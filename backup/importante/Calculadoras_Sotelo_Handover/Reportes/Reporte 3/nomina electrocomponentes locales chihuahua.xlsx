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dor\Desktop\ECI NOMINA\"/>
    </mc:Choice>
  </mc:AlternateContent>
  <xr:revisionPtr revIDLastSave="0" documentId="13_ncr:1_{1C0C0667-3B8C-40E8-A5F9-010CDDA2B9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 NOMINA" sheetId="1" r:id="rId1"/>
  </sheets>
  <externalReferences>
    <externalReference r:id="rId2"/>
  </externalReferences>
  <definedNames>
    <definedName name="_xlnm.Print_Area" localSheetId="0">'PRE NOMINA'!$A$1:$L$16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F9" i="1"/>
  <c r="G9" i="1" s="1"/>
  <c r="I7" i="1"/>
  <c r="G7" i="1"/>
  <c r="J11" i="1"/>
  <c r="I9" i="1" l="1"/>
  <c r="H10" i="1" l="1"/>
  <c r="I10" i="1" s="1"/>
  <c r="F10" i="1"/>
  <c r="G10" i="1" s="1"/>
  <c r="H8" i="1"/>
  <c r="I8" i="1" s="1"/>
  <c r="F8" i="1"/>
  <c r="G8" i="1" s="1"/>
  <c r="D9" i="1" l="1"/>
  <c r="D10" i="1" l="1"/>
  <c r="D8" i="1"/>
  <c r="E8" i="1"/>
  <c r="E10" i="1"/>
  <c r="E9" i="1"/>
  <c r="C10" i="1"/>
  <c r="C9" i="1"/>
  <c r="C8" i="1"/>
  <c r="D11" i="1" l="1"/>
  <c r="K10" i="1"/>
  <c r="K8" i="1"/>
  <c r="E11" i="1"/>
  <c r="C11" i="1"/>
  <c r="K9" i="1"/>
  <c r="K11" i="1" l="1"/>
</calcChain>
</file>

<file path=xl/sharedStrings.xml><?xml version="1.0" encoding="utf-8"?>
<sst xmlns="http://schemas.openxmlformats.org/spreadsheetml/2006/main" count="19" uniqueCount="17">
  <si>
    <t>NOMBRE</t>
  </si>
  <si>
    <t>ARMENDARIZ JUAREZ JESUS MANUEL</t>
  </si>
  <si>
    <t>SUELDO FIJO</t>
  </si>
  <si>
    <t>RENDIMIENTO</t>
  </si>
  <si>
    <t>HORA LAB</t>
  </si>
  <si>
    <t>BONO PUNT</t>
  </si>
  <si>
    <t>TOTAL</t>
  </si>
  <si>
    <t>NUM. EMPLEADO</t>
  </si>
  <si>
    <t>NOMINA DE OPERADORES ELECTROCOMPONENTES</t>
  </si>
  <si>
    <t>FLETES SOTELO</t>
  </si>
  <si>
    <t>VALLES HERNANDEZ MARCO ANTONIO</t>
  </si>
  <si>
    <t>Hrs Dobles</t>
  </si>
  <si>
    <t>Hrs Triples</t>
  </si>
  <si>
    <t>TOTAL A PAGAR</t>
  </si>
  <si>
    <t>MOVIMIENTOS LOCALES</t>
  </si>
  <si>
    <t>BONO</t>
  </si>
  <si>
    <t>PERIODO 53 DEL 22 DE DICIEMBRE AL 28 DE DICIEMBRE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</si>
</sst>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4" fontId="2" fillId="0" borderId="5" xfId="0" applyNumberFormat="1" applyFont="1" applyBorder="1" applyAlignment="1">
      <alignment horizontal="center" vertical="center"/>
    </xf>
    <xf numFmtId="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4" fontId="2" fillId="0" borderId="5" xfId="1" applyFont="1" applyBorder="1" applyAlignment="1">
      <alignment horizontal="center" vertical="center"/>
    </xf>
    <xf numFmtId="44" fontId="2" fillId="0" borderId="3" xfId="0" applyNumberFormat="1" applyFont="1" applyBorder="1" applyAlignment="1">
      <alignment horizontal="center" vertical="center"/>
    </xf>
    <xf numFmtId="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4" fontId="2" fillId="0" borderId="3" xfId="1" applyFont="1" applyBorder="1" applyAlignment="1">
      <alignment horizontal="center" vertical="center"/>
    </xf>
    <xf numFmtId="44" fontId="4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44" fontId="2" fillId="0" borderId="8" xfId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8" fontId="4" fillId="2" borderId="1" xfId="0" applyNumberFormat="1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121921</xdr:colOff>
      <xdr:row>1</xdr:row>
      <xdr:rowOff>45721</xdr:rowOff>
    </xdr:from>
    <xdr:to>
      <xdr:col>1</xdr:col>
      <xdr:colOff>1414021</xdr:colOff>
      <xdr:row>4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1" y="245746"/>
          <a:ext cx="2035050" cy="8877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2)LISTA%20DE%20MOVIMIENTOS%20PERIODO%2053%20DEL%2022%20DE%20DICIEMBRE%20AL%2028%20DE%20DICIEMBRE%20DE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12">
          <cell r="B12">
            <v>1951.4599999999998</v>
          </cell>
          <cell r="C12">
            <v>26</v>
          </cell>
          <cell r="D12">
            <v>0</v>
          </cell>
          <cell r="E12">
            <v>0</v>
          </cell>
          <cell r="G12">
            <v>53.772999999999996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G26">
            <v>0</v>
          </cell>
        </row>
        <row r="40">
          <cell r="B40">
            <v>1951.4599999999998</v>
          </cell>
          <cell r="C40">
            <v>24</v>
          </cell>
          <cell r="D40">
            <v>0</v>
          </cell>
          <cell r="E40">
            <v>0</v>
          </cell>
          <cell r="G40">
            <v>44.914000000000001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6"/>
  <sheetViews>
    <sheetView tabSelected="1" zoomScale="90" zoomScaleNormal="90" workbookViewId="0">
      <selection activeCell="E14" sqref="E14"/>
    </sheetView>
  </sheetViews>
  <sheetFormatPr baseColWidth="10" defaultColWidth="11.5703125" defaultRowHeight="15.75" x14ac:dyDescent="0.25"/>
  <cols>
    <col min="1" max="1" width="11.140625" style="1" customWidth="1"/>
    <col min="2" max="2" width="38.28515625" style="1" customWidth="1"/>
    <col min="3" max="5" width="18.7109375" style="1" customWidth="1"/>
    <col min="6" max="9" width="16" style="1" customWidth="1"/>
    <col min="10" max="10" width="14.42578125" style="1" customWidth="1"/>
    <col min="11" max="11" width="18.7109375" style="1" customWidth="1"/>
    <col min="12" max="12" width="4.28515625" style="21" customWidth="1"/>
    <col min="13" max="16384" width="11.5703125" style="1"/>
  </cols>
  <sheetData>
    <row r="2" spans="1:12" ht="21" x14ac:dyDescent="0.25">
      <c r="B2" s="31" t="s">
        <v>9</v>
      </c>
      <c r="C2" s="31"/>
      <c r="D2" s="31"/>
      <c r="E2" s="31"/>
      <c r="F2" s="31"/>
      <c r="G2" s="31"/>
      <c r="H2" s="31"/>
      <c r="I2" s="31"/>
      <c r="J2" s="31"/>
      <c r="K2" s="31"/>
    </row>
    <row r="3" spans="1:12" ht="21" x14ac:dyDescent="0.25">
      <c r="B3" s="31" t="s">
        <v>8</v>
      </c>
      <c r="C3" s="31"/>
      <c r="D3" s="31"/>
      <c r="E3" s="31"/>
      <c r="F3" s="31"/>
      <c r="G3" s="31"/>
      <c r="H3" s="31"/>
      <c r="I3" s="31"/>
      <c r="J3" s="31"/>
      <c r="K3" s="31"/>
    </row>
    <row r="4" spans="1:12" ht="21" x14ac:dyDescent="0.25">
      <c r="B4" s="31" t="s">
        <v>16</v>
      </c>
      <c r="C4" s="31"/>
      <c r="D4" s="31"/>
      <c r="E4" s="31"/>
      <c r="F4" s="31"/>
      <c r="G4" s="31"/>
      <c r="H4" s="31"/>
      <c r="I4" s="31"/>
      <c r="J4" s="31"/>
      <c r="K4" s="31"/>
    </row>
    <row r="5" spans="1:12" ht="16.5" thickBot="1" x14ac:dyDescent="0.3"/>
    <row r="6" spans="1:12" s="2" customFormat="1" ht="16.5" thickBot="1" x14ac:dyDescent="0.3">
      <c r="A6" s="3"/>
      <c r="B6" s="3"/>
      <c r="C6" s="19" t="s">
        <v>2</v>
      </c>
      <c r="D6" s="19" t="s">
        <v>3</v>
      </c>
      <c r="E6" s="19" t="s">
        <v>4</v>
      </c>
      <c r="F6" s="20"/>
      <c r="G6" s="20"/>
      <c r="H6" s="20"/>
      <c r="I6" s="20"/>
      <c r="J6" s="20"/>
      <c r="K6" s="20"/>
      <c r="L6" s="22"/>
    </row>
    <row r="7" spans="1:12" s="2" customFormat="1" ht="28.9" customHeight="1" thickBot="1" x14ac:dyDescent="0.3">
      <c r="A7" s="27" t="s">
        <v>7</v>
      </c>
      <c r="B7" s="28" t="s">
        <v>0</v>
      </c>
      <c r="C7" s="29">
        <v>278.77999999999997</v>
      </c>
      <c r="D7" s="30">
        <v>6</v>
      </c>
      <c r="E7" s="30">
        <v>10</v>
      </c>
      <c r="F7" s="30" t="s">
        <v>11</v>
      </c>
      <c r="G7" s="30">
        <f>(34.85*2)</f>
        <v>69.7</v>
      </c>
      <c r="H7" s="30" t="s">
        <v>12</v>
      </c>
      <c r="I7" s="30">
        <f>(34.85*3)</f>
        <v>104.55000000000001</v>
      </c>
      <c r="J7" s="28" t="s">
        <v>5</v>
      </c>
      <c r="K7" s="28" t="s">
        <v>13</v>
      </c>
      <c r="L7" s="22"/>
    </row>
    <row r="8" spans="1:12" ht="25.9" customHeight="1" x14ac:dyDescent="0.25">
      <c r="A8" s="15">
        <v>2717</v>
      </c>
      <c r="B8" s="4" t="s">
        <v>1</v>
      </c>
      <c r="C8" s="6">
        <f>[1]Hoja1!$B$12</f>
        <v>1951.4599999999998</v>
      </c>
      <c r="D8" s="7">
        <f>[1]Hoja1!$G$12*D7</f>
        <v>322.63799999999998</v>
      </c>
      <c r="E8" s="8">
        <f>[1]Hoja1!$C$12*E7</f>
        <v>260</v>
      </c>
      <c r="F8" s="8">
        <f>[1]Hoja1!$D$12</f>
        <v>0</v>
      </c>
      <c r="G8" s="6">
        <f>F8*G7</f>
        <v>0</v>
      </c>
      <c r="H8" s="8">
        <f>[1]Hoja1!$E$12</f>
        <v>0</v>
      </c>
      <c r="I8" s="6">
        <f>H8*I7</f>
        <v>0</v>
      </c>
      <c r="J8" s="9">
        <v>1000</v>
      </c>
      <c r="K8" s="6">
        <f>C8+D8+E8+G8+I8+J8+C14</f>
        <v>3669.098</v>
      </c>
    </row>
    <row r="9" spans="1:12" ht="25.9" customHeight="1" x14ac:dyDescent="0.25">
      <c r="A9" s="5"/>
      <c r="B9" s="5"/>
      <c r="C9" s="10">
        <f>[1]Hoja1!$B$26</f>
        <v>0</v>
      </c>
      <c r="D9" s="11">
        <f>[1]Hoja1!$G$26*D7</f>
        <v>0</v>
      </c>
      <c r="E9" s="12">
        <f>[1]Hoja1!$C$26*E7</f>
        <v>0</v>
      </c>
      <c r="F9" s="12">
        <f>[1]Hoja1!$D$26</f>
        <v>0</v>
      </c>
      <c r="G9" s="10">
        <f>F9*G7</f>
        <v>0</v>
      </c>
      <c r="H9" s="12">
        <f>[1]Hoja1!$E$26</f>
        <v>0</v>
      </c>
      <c r="I9" s="10">
        <f>H9*I7</f>
        <v>0</v>
      </c>
      <c r="J9" s="13">
        <v>0</v>
      </c>
      <c r="K9" s="6">
        <f>C9+D9+E9+G9+I9+J9+C15</f>
        <v>0</v>
      </c>
    </row>
    <row r="10" spans="1:12" ht="25.9" customHeight="1" thickBot="1" x14ac:dyDescent="0.3">
      <c r="A10" s="16">
        <v>751</v>
      </c>
      <c r="B10" s="5" t="s">
        <v>10</v>
      </c>
      <c r="C10" s="10">
        <f>[1]Hoja1!$B$40</f>
        <v>1951.4599999999998</v>
      </c>
      <c r="D10" s="11">
        <f>[1]Hoja1!$G$40*D7</f>
        <v>269.48400000000004</v>
      </c>
      <c r="E10" s="12">
        <f>[1]Hoja1!$C$40*E7</f>
        <v>240</v>
      </c>
      <c r="F10" s="12">
        <f>[1]Hoja1!$D$40</f>
        <v>0</v>
      </c>
      <c r="G10" s="10">
        <f>F10*G7</f>
        <v>0</v>
      </c>
      <c r="H10" s="12">
        <f>[1]Hoja1!$E$40</f>
        <v>0</v>
      </c>
      <c r="I10" s="10">
        <f>H10*I7</f>
        <v>0</v>
      </c>
      <c r="J10" s="13">
        <v>1000</v>
      </c>
      <c r="K10" s="6">
        <f>C10+D10+E10+G10+I10+J10+C16</f>
        <v>3460.944</v>
      </c>
    </row>
    <row r="11" spans="1:12" ht="25.9" customHeight="1" thickBot="1" x14ac:dyDescent="0.3">
      <c r="A11" s="17"/>
      <c r="B11" s="18" t="s">
        <v>6</v>
      </c>
      <c r="C11" s="14">
        <f>SUM(C8:C10)</f>
        <v>3902.9199999999996</v>
      </c>
      <c r="D11" s="14">
        <f t="shared" ref="D11:J11" si="0">SUM(D8:D10)</f>
        <v>592.12200000000007</v>
      </c>
      <c r="E11" s="14">
        <f t="shared" si="0"/>
        <v>500</v>
      </c>
      <c r="F11" s="14"/>
      <c r="G11" s="14"/>
      <c r="H11" s="14"/>
      <c r="I11" s="14"/>
      <c r="J11" s="14">
        <f t="shared" si="0"/>
        <v>2000</v>
      </c>
      <c r="K11" s="14">
        <f>SUM(K8:K10)</f>
        <v>7130.0419999999995</v>
      </c>
    </row>
    <row r="13" spans="1:12" x14ac:dyDescent="0.25">
      <c r="B13" s="24" t="s">
        <v>14</v>
      </c>
      <c r="C13" s="25" t="s">
        <v>15</v>
      </c>
    </row>
    <row r="14" spans="1:12" x14ac:dyDescent="0.25">
      <c r="B14" s="23" t="s">
        <v>1</v>
      </c>
      <c r="C14" s="26">
        <v>135</v>
      </c>
    </row>
    <row r="15" spans="1:12" x14ac:dyDescent="0.25">
      <c r="B15" s="5"/>
      <c r="C15" s="26">
        <v>0</v>
      </c>
    </row>
    <row r="16" spans="1:12" x14ac:dyDescent="0.25">
      <c r="B16" s="5" t="s">
        <v>10</v>
      </c>
      <c r="C16" s="26">
        <v>0</v>
      </c>
    </row>
  </sheetData>
  <mergeCells count="3">
    <mergeCell ref="B2:K2"/>
    <mergeCell ref="B3:K3"/>
    <mergeCell ref="B4:K4"/>
  </mergeCells>
  <pageMargins left="0.25" right="0.25" top="0.75" bottom="0.75" header="0.3" footer="0.3"/>
  <pageSetup scale="6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 NOMINA</vt:lpstr>
      <vt:lpstr>'PRE NOMINA'!Área_de_impresión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GUZMAN</dc:creator>
  <cp:lastModifiedBy>Fletes Sotelo</cp:lastModifiedBy>
  <cp:lastPrinted>2025-12-16T16:54:46Z</cp:lastPrinted>
  <dcterms:created xsi:type="dcterms:W3CDTF">2025-11-20T22:13:18Z</dcterms:created>
  <dcterms:modified xsi:type="dcterms:W3CDTF">2025-12-29T18:01:53Z</dcterms:modified>
</cp:coreProperties>
</file>