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0942Z0\Downloads\"/>
    </mc:Choice>
  </mc:AlternateContent>
  <xr:revisionPtr revIDLastSave="0" documentId="13_ncr:1_{D276AC94-7A46-4357-9C7C-59BCA2152E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NOMINA CHIHUAHUA OP" sheetId="2" r:id="rId1"/>
  </sheets>
  <externalReferences>
    <externalReference r:id="rId2"/>
  </externalReferences>
  <definedNames>
    <definedName name="_xlnm.Print_Area" localSheetId="0">'PRENOMINA CHIHUAHUA OP'!$A$1:$R$30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2" l="1"/>
  <c r="B26" i="2"/>
  <c r="B27" i="2"/>
  <c r="A27" i="2"/>
  <c r="A28" i="2"/>
  <c r="B28" i="2"/>
  <c r="E28" i="2" l="1"/>
  <c r="F28" i="2" s="1"/>
  <c r="C28" i="2"/>
  <c r="D28" i="2" s="1"/>
  <c r="M15" i="2"/>
  <c r="N15" i="2" s="1"/>
  <c r="K15" i="2"/>
  <c r="L15" i="2" s="1"/>
  <c r="I15" i="2"/>
  <c r="J15" i="2" s="1"/>
  <c r="E15" i="2"/>
  <c r="F15" i="2" s="1"/>
  <c r="G15" i="2" l="1"/>
  <c r="H15" i="2" s="1"/>
  <c r="E27" i="2" l="1"/>
  <c r="F27" i="2" s="1"/>
  <c r="C15" i="2"/>
  <c r="D15" i="2" s="1"/>
  <c r="C27" i="2"/>
  <c r="D27" i="2" s="1"/>
  <c r="K14" i="2"/>
  <c r="L14" i="2" s="1"/>
  <c r="I14" i="2"/>
  <c r="J14" i="2" s="1"/>
  <c r="E14" i="2"/>
  <c r="F14" i="2" s="1"/>
  <c r="G14" i="2"/>
  <c r="H14" i="2" s="1"/>
  <c r="C14" i="2"/>
  <c r="D14" i="2" s="1"/>
  <c r="N14" i="2" l="1"/>
  <c r="M14" i="2"/>
  <c r="R27" i="2" l="1"/>
  <c r="R28" i="2"/>
  <c r="O15" i="2" s="1"/>
  <c r="R15" i="2" s="1"/>
  <c r="O14" i="2" l="1"/>
  <c r="R14" i="2" l="1"/>
  <c r="E13" i="2"/>
  <c r="F13" i="2" s="1"/>
  <c r="I13" i="2"/>
  <c r="J13" i="2" s="1"/>
  <c r="K13" i="2"/>
  <c r="L13" i="2" s="1"/>
  <c r="M13" i="2"/>
  <c r="N13" i="2" s="1"/>
  <c r="C26" i="2"/>
  <c r="D26" i="2" s="1"/>
  <c r="E26" i="2"/>
  <c r="F26" i="2" s="1"/>
  <c r="C13" i="2"/>
  <c r="D13" i="2" s="1"/>
  <c r="G13" i="2" l="1"/>
  <c r="H13" i="2" s="1"/>
  <c r="R26" i="2"/>
  <c r="O13" i="2" s="1"/>
  <c r="R13" i="2" l="1"/>
  <c r="E6" i="2" l="1"/>
  <c r="F6" i="2" s="1"/>
  <c r="I6" i="2"/>
  <c r="J6" i="2" s="1"/>
  <c r="K6" i="2"/>
  <c r="L6" i="2" s="1"/>
  <c r="M6" i="2"/>
  <c r="N6" i="2" s="1"/>
  <c r="C19" i="2"/>
  <c r="D19" i="2" s="1"/>
  <c r="E19" i="2"/>
  <c r="F19" i="2" s="1"/>
  <c r="C7" i="2"/>
  <c r="D7" i="2" s="1"/>
  <c r="E7" i="2"/>
  <c r="F7" i="2" s="1"/>
  <c r="I7" i="2"/>
  <c r="J7" i="2" s="1"/>
  <c r="K7" i="2"/>
  <c r="L7" i="2" s="1"/>
  <c r="M7" i="2"/>
  <c r="N7" i="2" s="1"/>
  <c r="C20" i="2"/>
  <c r="D20" i="2" s="1"/>
  <c r="E20" i="2"/>
  <c r="F20" i="2" s="1"/>
  <c r="E25" i="2"/>
  <c r="F25" i="2" s="1"/>
  <c r="E24" i="2"/>
  <c r="F24" i="2" s="1"/>
  <c r="E23" i="2"/>
  <c r="F23" i="2" s="1"/>
  <c r="E22" i="2"/>
  <c r="F22" i="2" s="1"/>
  <c r="E21" i="2"/>
  <c r="F21" i="2" s="1"/>
  <c r="C6" i="2"/>
  <c r="D6" i="2" s="1"/>
  <c r="G6" i="2"/>
  <c r="H6" i="2" s="1"/>
  <c r="C8" i="2"/>
  <c r="D8" i="2" s="1"/>
  <c r="G8" i="2"/>
  <c r="H8" i="2" s="1"/>
  <c r="E8" i="2"/>
  <c r="F8" i="2" s="1"/>
  <c r="I8" i="2"/>
  <c r="J8" i="2" s="1"/>
  <c r="K8" i="2"/>
  <c r="L8" i="2" s="1"/>
  <c r="M8" i="2"/>
  <c r="N8" i="2" s="1"/>
  <c r="C21" i="2"/>
  <c r="D21" i="2" s="1"/>
  <c r="C9" i="2"/>
  <c r="D9" i="2" s="1"/>
  <c r="G9" i="2"/>
  <c r="H9" i="2" s="1"/>
  <c r="E9" i="2"/>
  <c r="F9" i="2" s="1"/>
  <c r="I9" i="2"/>
  <c r="J9" i="2" s="1"/>
  <c r="K9" i="2"/>
  <c r="L9" i="2" s="1"/>
  <c r="M9" i="2"/>
  <c r="N9" i="2" s="1"/>
  <c r="C22" i="2"/>
  <c r="D22" i="2" s="1"/>
  <c r="C10" i="2"/>
  <c r="D10" i="2" s="1"/>
  <c r="G10" i="2"/>
  <c r="H10" i="2" s="1"/>
  <c r="E10" i="2"/>
  <c r="F10" i="2" s="1"/>
  <c r="I10" i="2"/>
  <c r="J10" i="2" s="1"/>
  <c r="K10" i="2"/>
  <c r="L10" i="2" s="1"/>
  <c r="M10" i="2"/>
  <c r="N10" i="2" s="1"/>
  <c r="C23" i="2"/>
  <c r="D23" i="2" s="1"/>
  <c r="C11" i="2"/>
  <c r="D11" i="2" s="1"/>
  <c r="G11" i="2"/>
  <c r="H11" i="2" s="1"/>
  <c r="E11" i="2"/>
  <c r="F11" i="2" s="1"/>
  <c r="I11" i="2"/>
  <c r="J11" i="2" s="1"/>
  <c r="K11" i="2"/>
  <c r="L11" i="2" s="1"/>
  <c r="M11" i="2"/>
  <c r="N11" i="2" s="1"/>
  <c r="C24" i="2"/>
  <c r="D24" i="2" s="1"/>
  <c r="C12" i="2"/>
  <c r="D12" i="2" s="1"/>
  <c r="E12" i="2"/>
  <c r="F12" i="2" s="1"/>
  <c r="I12" i="2"/>
  <c r="J12" i="2" s="1"/>
  <c r="K12" i="2"/>
  <c r="L12" i="2" s="1"/>
  <c r="M12" i="2"/>
  <c r="N12" i="2" s="1"/>
  <c r="C25" i="2"/>
  <c r="D25" i="2" s="1"/>
  <c r="R25" i="2" s="1"/>
  <c r="O12" i="2" s="1"/>
  <c r="R23" i="2" l="1"/>
  <c r="O10" i="2" s="1"/>
  <c r="R10" i="2" s="1"/>
  <c r="R22" i="2"/>
  <c r="O9" i="2" s="1"/>
  <c r="R9" i="2" s="1"/>
  <c r="R24" i="2"/>
  <c r="O11" i="2" s="1"/>
  <c r="R11" i="2" s="1"/>
  <c r="R19" i="2"/>
  <c r="O6" i="2" s="1"/>
  <c r="R6" i="2" s="1"/>
  <c r="R21" i="2"/>
  <c r="O8" i="2" s="1"/>
  <c r="R8" i="2" s="1"/>
  <c r="G12" i="2"/>
  <c r="H12" i="2" s="1"/>
  <c r="R12" i="2" s="1"/>
  <c r="R20" i="2"/>
  <c r="O7" i="2" s="1"/>
  <c r="G7" i="2"/>
  <c r="H7" i="2" s="1"/>
  <c r="R7" i="2" l="1"/>
  <c r="R16" i="2" s="1"/>
  <c r="R29" i="2"/>
</calcChain>
</file>

<file path=xl/sharedStrings.xml><?xml version="1.0" encoding="utf-8"?>
<sst xmlns="http://schemas.openxmlformats.org/spreadsheetml/2006/main" count="55" uniqueCount="39">
  <si>
    <t>MOVS RAMPA</t>
  </si>
  <si>
    <t>MOVS INTER Y PT</t>
  </si>
  <si>
    <t>MOVS INTER</t>
  </si>
  <si>
    <t>MOVS SUR</t>
  </si>
  <si>
    <t>MOVS LARGOS</t>
  </si>
  <si>
    <t>HRS</t>
  </si>
  <si>
    <t>BONO</t>
  </si>
  <si>
    <t xml:space="preserve">TOTAL </t>
  </si>
  <si>
    <t>COSTO</t>
  </si>
  <si>
    <t>EST.</t>
  </si>
  <si>
    <t>ASIST.</t>
  </si>
  <si>
    <t>RENDIM</t>
  </si>
  <si>
    <t>VIAJES</t>
  </si>
  <si>
    <t>GALVAN FERNANDEZ CESAR</t>
  </si>
  <si>
    <t>LOPEZ MARTINEZ HUGO RENE</t>
  </si>
  <si>
    <t>0240</t>
  </si>
  <si>
    <t>SILVA CORRAL VICTOR ALFONSO</t>
  </si>
  <si>
    <t>TOTALES</t>
  </si>
  <si>
    <t>FLETES SOTELO S.A. DE C.V.</t>
  </si>
  <si>
    <t>NOMINA DE OPERADORES LOCALES DE CHIHUAHUA</t>
  </si>
  <si>
    <t>#</t>
  </si>
  <si>
    <t>NOMBRE DEL EMPLEADO</t>
  </si>
  <si>
    <t>RAMIREZ GONZALEZ RUFINO</t>
  </si>
  <si>
    <t># EMP</t>
  </si>
  <si>
    <t>HRS.LOC</t>
  </si>
  <si>
    <t>TOTAL HRS</t>
  </si>
  <si>
    <t>ESTRADA RAMIREZ RUBEN ARMANDO</t>
  </si>
  <si>
    <t>FUENTES SLVA MARIO ALBERTO</t>
  </si>
  <si>
    <t>ROSALES MARTINES ALEJANDRO</t>
  </si>
  <si>
    <t>HRS.CUAUHTEMOC</t>
  </si>
  <si>
    <t xml:space="preserve"> GUAR / APOY</t>
  </si>
  <si>
    <t>PERIODO 52 DEL 15 DE DICIEMBRE AL 21 DE DICIEMBRE DEL 2025</t>
  </si>
  <si>
    <t>SAFRAN, CHANDLER</t>
  </si>
  <si>
    <t>PERMISO POR TRAMITE DE LICENCIA</t>
  </si>
  <si>
    <t>VACACIONES</t>
  </si>
  <si>
    <t>ACC, GAMMA, SAFRAN, DART, LEONI</t>
  </si>
  <si>
    <t>SAFRAN, ELECTROCOMPONENTES, LEONI</t>
  </si>
  <si>
    <t>SAFRAN, CENTURY, ACC, ELECTROCOMPONENTES, CUAUHTEMOC</t>
  </si>
  <si>
    <t>GANE, LEONI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</si>
</sst>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2"/>
      <color theme="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Calibri"/>
      <family val="2"/>
      <scheme val="minor"/>
    </font>
    <font>
      <sz val="12"/>
      <color rgb="FF00000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7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4" fontId="9" fillId="2" borderId="1" xfId="1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44" fontId="4" fillId="0" borderId="0" xfId="1" applyFont="1" applyFill="1" applyBorder="1"/>
    <xf numFmtId="1" fontId="4" fillId="0" borderId="0" xfId="0" applyNumberFormat="1" applyFont="1"/>
    <xf numFmtId="12" fontId="5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 vertical="center"/>
    </xf>
    <xf numFmtId="12" fontId="11" fillId="0" borderId="1" xfId="0" applyNumberFormat="1" applyFont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/>
    </xf>
    <xf numFmtId="44" fontId="12" fillId="0" borderId="1" xfId="0" applyNumberFormat="1" applyFont="1" applyBorder="1" applyAlignment="1">
      <alignment horizontal="center"/>
    </xf>
    <xf numFmtId="0" fontId="4" fillId="0" borderId="0" xfId="0" applyFont="1"/>
    <xf numFmtId="0" fontId="14" fillId="0" borderId="0" xfId="0" applyFont="1"/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center" vertical="center"/>
    </xf>
    <xf numFmtId="44" fontId="4" fillId="0" borderId="4" xfId="1" applyFont="1" applyFill="1" applyBorder="1"/>
    <xf numFmtId="1" fontId="4" fillId="0" borderId="4" xfId="0" applyNumberFormat="1" applyFont="1" applyBorder="1"/>
    <xf numFmtId="44" fontId="5" fillId="0" borderId="6" xfId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44" fontId="5" fillId="0" borderId="6" xfId="0" applyNumberFormat="1" applyFont="1" applyBorder="1" applyAlignment="1">
      <alignment horizontal="center"/>
    </xf>
    <xf numFmtId="44" fontId="4" fillId="0" borderId="7" xfId="1" applyFont="1" applyFill="1" applyBorder="1"/>
    <xf numFmtId="0" fontId="10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8" xfId="0" applyFont="1" applyBorder="1"/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6" fontId="13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44" fontId="13" fillId="0" borderId="0" xfId="1" applyFont="1" applyFill="1" applyBorder="1" applyAlignment="1"/>
    <xf numFmtId="0" fontId="5" fillId="0" borderId="1" xfId="0" applyFont="1" applyBorder="1" applyAlignment="1">
      <alignment horizontal="center" vertical="center"/>
    </xf>
    <xf numFmtId="44" fontId="5" fillId="0" borderId="7" xfId="1" applyFont="1" applyFill="1" applyBorder="1" applyAlignment="1">
      <alignment horizontal="center"/>
    </xf>
    <xf numFmtId="44" fontId="11" fillId="0" borderId="6" xfId="1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2" fontId="5" fillId="0" borderId="10" xfId="0" applyNumberFormat="1" applyFont="1" applyBorder="1" applyAlignment="1">
      <alignment horizontal="center" vertical="center" wrapText="1"/>
    </xf>
    <xf numFmtId="44" fontId="5" fillId="0" borderId="5" xfId="1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1" fillId="0" borderId="1" xfId="0" applyFont="1" applyBorder="1"/>
    <xf numFmtId="0" fontId="19" fillId="0" borderId="1" xfId="0" applyFont="1" applyBorder="1" applyAlignment="1">
      <alignment horizontal="center"/>
    </xf>
    <xf numFmtId="44" fontId="19" fillId="0" borderId="1" xfId="1" applyFont="1" applyFill="1" applyBorder="1" applyAlignment="1">
      <alignment horizontal="center"/>
    </xf>
    <xf numFmtId="44" fontId="19" fillId="0" borderId="1" xfId="0" applyNumberFormat="1" applyFont="1" applyBorder="1" applyAlignment="1">
      <alignment horizontal="center"/>
    </xf>
    <xf numFmtId="44" fontId="11" fillId="0" borderId="6" xfId="0" applyNumberFormat="1" applyFont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3" borderId="1" xfId="0" applyFont="1" applyFill="1" applyBorder="1"/>
    <xf numFmtId="0" fontId="3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  <xf numFmtId="44" fontId="5" fillId="3" borderId="6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2" fontId="5" fillId="3" borderId="1" xfId="0" applyNumberFormat="1" applyFont="1" applyFill="1" applyBorder="1" applyAlignment="1">
      <alignment horizontal="center" vertical="center" wrapText="1"/>
    </xf>
    <xf numFmtId="44" fontId="5" fillId="3" borderId="6" xfId="1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44" fontId="4" fillId="0" borderId="4" xfId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2" fontId="5" fillId="0" borderId="10" xfId="0" applyNumberFormat="1" applyFont="1" applyBorder="1" applyAlignment="1">
      <alignment horizontal="left" vertical="center" wrapText="1"/>
    </xf>
    <xf numFmtId="12" fontId="5" fillId="3" borderId="1" xfId="0" applyNumberFormat="1" applyFont="1" applyFill="1" applyBorder="1" applyAlignment="1">
      <alignment horizontal="left" vertical="center" wrapText="1"/>
    </xf>
    <xf numFmtId="12" fontId="5" fillId="0" borderId="1" xfId="0" applyNumberFormat="1" applyFont="1" applyBorder="1" applyAlignment="1">
      <alignment horizontal="left" vertical="top" wrapText="1"/>
    </xf>
    <xf numFmtId="12" fontId="11" fillId="0" borderId="1" xfId="0" applyNumberFormat="1" applyFont="1" applyBorder="1" applyAlignment="1">
      <alignment horizontal="left" vertical="center" wrapText="1"/>
    </xf>
    <xf numFmtId="12" fontId="5" fillId="0" borderId="1" xfId="0" applyNumberFormat="1" applyFont="1" applyBorder="1" applyAlignment="1">
      <alignment horizontal="left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44" fontId="3" fillId="4" borderId="1" xfId="1" applyFont="1" applyFill="1" applyBorder="1" applyAlignment="1">
      <alignment horizontal="center"/>
    </xf>
    <xf numFmtId="44" fontId="12" fillId="4" borderId="1" xfId="1" applyFont="1" applyFill="1" applyBorder="1" applyAlignment="1">
      <alignment horizontal="center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/>
    </xf>
    <xf numFmtId="44" fontId="3" fillId="4" borderId="1" xfId="0" applyNumberFormat="1" applyFont="1" applyFill="1" applyBorder="1" applyAlignment="1">
      <alignment horizontal="center"/>
    </xf>
    <xf numFmtId="44" fontId="12" fillId="4" borderId="1" xfId="0" applyNumberFormat="1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1">
    <dxf>
      <font>
        <color theme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108585</xdr:colOff>
      <xdr:row>0</xdr:row>
      <xdr:rowOff>45720</xdr:rowOff>
    </xdr:from>
    <xdr:ext cx="213360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034A84EE-555E-4A98-8240-D6BDA3CD1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" y="45720"/>
          <a:ext cx="2133600" cy="74561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Nataly/NOMINAS/Nominas%20y%20Reportes%202025/FORMATO%20VIAJES%20OPERADORES%20SEMANA%2052%20DEL%2015%20DE%20DICIEMBRE%20AL%2021%20DE%20DICIEMBRE%20DEL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N BCO"/>
    </sheetNames>
    <sheetDataSet>
      <sheetData sheetId="0">
        <row r="12">
          <cell r="B12">
            <v>37</v>
          </cell>
          <cell r="C12">
            <v>20</v>
          </cell>
          <cell r="D12">
            <v>34</v>
          </cell>
          <cell r="E12">
            <v>4</v>
          </cell>
          <cell r="F12">
            <v>6</v>
          </cell>
          <cell r="G12">
            <v>2</v>
          </cell>
          <cell r="H12">
            <v>0</v>
          </cell>
          <cell r="I12">
            <v>4</v>
          </cell>
          <cell r="J1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45">
          <cell r="B45">
            <v>34</v>
          </cell>
          <cell r="C45">
            <v>30</v>
          </cell>
          <cell r="D45">
            <v>48</v>
          </cell>
          <cell r="E45">
            <v>4</v>
          </cell>
          <cell r="F45">
            <v>3</v>
          </cell>
          <cell r="G45">
            <v>2</v>
          </cell>
          <cell r="H45">
            <v>0</v>
          </cell>
          <cell r="I45">
            <v>9</v>
          </cell>
          <cell r="J45">
            <v>8</v>
          </cell>
        </row>
        <row r="56">
          <cell r="B56">
            <v>23</v>
          </cell>
          <cell r="C56">
            <v>35</v>
          </cell>
          <cell r="D56">
            <v>33</v>
          </cell>
          <cell r="E56">
            <v>36</v>
          </cell>
          <cell r="F56">
            <v>3</v>
          </cell>
          <cell r="G56">
            <v>5</v>
          </cell>
          <cell r="H56">
            <v>1</v>
          </cell>
          <cell r="I56">
            <v>16</v>
          </cell>
          <cell r="J56">
            <v>8</v>
          </cell>
        </row>
        <row r="69">
          <cell r="B69">
            <v>42</v>
          </cell>
          <cell r="C69">
            <v>34</v>
          </cell>
          <cell r="D69">
            <v>38</v>
          </cell>
          <cell r="E69">
            <v>32</v>
          </cell>
          <cell r="F69">
            <v>6</v>
          </cell>
          <cell r="G69">
            <v>2</v>
          </cell>
          <cell r="H69">
            <v>1</v>
          </cell>
          <cell r="I69">
            <v>9</v>
          </cell>
          <cell r="J69">
            <v>9</v>
          </cell>
        </row>
        <row r="80">
          <cell r="B80">
            <v>21</v>
          </cell>
          <cell r="C80">
            <v>21</v>
          </cell>
          <cell r="D80">
            <v>24</v>
          </cell>
          <cell r="E80">
            <v>24</v>
          </cell>
          <cell r="F80">
            <v>3</v>
          </cell>
          <cell r="G80">
            <v>6</v>
          </cell>
          <cell r="H80">
            <v>0</v>
          </cell>
          <cell r="I80">
            <v>6</v>
          </cell>
          <cell r="J80">
            <v>9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C1" zoomScale="150" zoomScaleNormal="150" workbookViewId="0">
      <selection activeCell="Q4" sqref="Q4:Q12"/>
    </sheetView>
  </sheetViews>
  <sheetFormatPr baseColWidth="10" defaultRowHeight="15" x14ac:dyDescent="0.25"/>
  <cols>
    <col min="1" max="1" width="7.28515625" style="1" customWidth="1"/>
    <col min="2" max="2" width="44.85546875" customWidth="1"/>
    <col min="3" max="3" width="8.42578125" customWidth="1"/>
    <col min="4" max="4" width="14.140625" customWidth="1"/>
    <col min="5" max="5" width="8.28515625" customWidth="1"/>
    <col min="6" max="6" width="12.5703125" customWidth="1"/>
    <col min="7" max="7" width="8.140625" customWidth="1"/>
    <col min="8" max="8" width="13.140625" customWidth="1"/>
    <col min="9" max="9" width="7.7109375" customWidth="1"/>
    <col min="10" max="10" width="11.140625" customWidth="1"/>
    <col min="11" max="11" width="8.42578125" customWidth="1"/>
    <col min="12" max="12" width="11.140625" customWidth="1"/>
    <col min="13" max="13" width="8.140625" customWidth="1"/>
    <col min="14" max="14" width="10.7109375" customWidth="1"/>
    <col min="15" max="15" width="13.28515625" customWidth="1"/>
    <col min="16" max="16" width="13.140625" customWidth="1"/>
    <col min="17" max="17" width="12.7109375" customWidth="1"/>
    <col min="18" max="18" width="14.85546875" customWidth="1"/>
  </cols>
  <sheetData>
    <row r="1" spans="1:18" ht="20.25" x14ac:dyDescent="0.25">
      <c r="A1" s="65" t="s">
        <v>18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</row>
    <row r="2" spans="1:18" ht="20.25" x14ac:dyDescent="0.25">
      <c r="A2" s="65" t="s">
        <v>19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</row>
    <row r="3" spans="1:18" ht="20.25" x14ac:dyDescent="0.25">
      <c r="A3" s="65" t="s">
        <v>31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8" ht="15.75" x14ac:dyDescent="0.25">
      <c r="A4" s="30" t="s">
        <v>23</v>
      </c>
      <c r="B4" s="2" t="s">
        <v>21</v>
      </c>
      <c r="C4" s="73" t="s">
        <v>0</v>
      </c>
      <c r="D4" s="74"/>
      <c r="E4" s="71" t="s">
        <v>30</v>
      </c>
      <c r="F4" s="72"/>
      <c r="G4" s="80" t="s">
        <v>1</v>
      </c>
      <c r="H4" s="81"/>
      <c r="I4" s="73" t="s">
        <v>2</v>
      </c>
      <c r="J4" s="74"/>
      <c r="K4" s="73" t="s">
        <v>3</v>
      </c>
      <c r="L4" s="74"/>
      <c r="M4" s="73" t="s">
        <v>4</v>
      </c>
      <c r="N4" s="74"/>
      <c r="O4" s="3" t="s">
        <v>5</v>
      </c>
      <c r="P4" s="4" t="s">
        <v>6</v>
      </c>
      <c r="Q4" s="4" t="s">
        <v>6</v>
      </c>
      <c r="R4" s="27" t="s">
        <v>7</v>
      </c>
    </row>
    <row r="5" spans="1:18" s="1" customFormat="1" ht="15.75" x14ac:dyDescent="0.25">
      <c r="A5" s="31"/>
      <c r="B5" s="2"/>
      <c r="C5" s="75" t="s">
        <v>8</v>
      </c>
      <c r="D5" s="76">
        <v>33</v>
      </c>
      <c r="E5" s="4" t="s">
        <v>8</v>
      </c>
      <c r="F5" s="5">
        <v>40</v>
      </c>
      <c r="G5" s="75" t="s">
        <v>8</v>
      </c>
      <c r="H5" s="76">
        <v>45</v>
      </c>
      <c r="I5" s="75" t="s">
        <v>8</v>
      </c>
      <c r="J5" s="76">
        <v>65</v>
      </c>
      <c r="K5" s="76" t="s">
        <v>8</v>
      </c>
      <c r="L5" s="76">
        <v>90</v>
      </c>
      <c r="M5" s="75" t="s">
        <v>8</v>
      </c>
      <c r="N5" s="76">
        <v>110</v>
      </c>
      <c r="O5" s="5" t="s">
        <v>9</v>
      </c>
      <c r="P5" s="4" t="s">
        <v>10</v>
      </c>
      <c r="Q5" s="4" t="s">
        <v>11</v>
      </c>
      <c r="R5" s="27" t="s">
        <v>12</v>
      </c>
    </row>
    <row r="6" spans="1:18" ht="15.75" x14ac:dyDescent="0.25">
      <c r="A6" s="32">
        <v>1302</v>
      </c>
      <c r="B6" s="7" t="s">
        <v>26</v>
      </c>
      <c r="C6" s="77">
        <f>'[1]FORMATO EN BCO'!$B$12</f>
        <v>37</v>
      </c>
      <c r="D6" s="78">
        <f>C6*$D$5</f>
        <v>1221</v>
      </c>
      <c r="E6" s="8">
        <f>'[1]FORMATO EN BCO'!$E$12</f>
        <v>4</v>
      </c>
      <c r="F6" s="9">
        <f t="shared" ref="F6" si="0">F5*$E$6</f>
        <v>160</v>
      </c>
      <c r="G6" s="77">
        <f>'[1]FORMATO EN BCO'!$C$12+'[1]FORMATO EN BCO'!$D$12</f>
        <v>54</v>
      </c>
      <c r="H6" s="78">
        <f>G6*H5</f>
        <v>2430</v>
      </c>
      <c r="I6" s="77">
        <f>'[1]FORMATO EN BCO'!$F$12</f>
        <v>6</v>
      </c>
      <c r="J6" s="78">
        <f>I6*$J$5</f>
        <v>390</v>
      </c>
      <c r="K6" s="77">
        <f>'[1]FORMATO EN BCO'!$G$12</f>
        <v>2</v>
      </c>
      <c r="L6" s="78">
        <f>K6*$L$5</f>
        <v>180</v>
      </c>
      <c r="M6" s="77">
        <f>'[1]FORMATO EN BCO'!$H$12</f>
        <v>0</v>
      </c>
      <c r="N6" s="83">
        <f>M6*$N$5</f>
        <v>0</v>
      </c>
      <c r="O6" s="9">
        <f>R19</f>
        <v>200</v>
      </c>
      <c r="P6" s="6">
        <v>600</v>
      </c>
      <c r="Q6" s="6">
        <v>0</v>
      </c>
      <c r="R6" s="28">
        <f t="shared" ref="R6:R15" si="1">D6+F6+H6+J6+L6+N6+O6+P6+Q6</f>
        <v>5181</v>
      </c>
    </row>
    <row r="7" spans="1:18" ht="15.75" x14ac:dyDescent="0.25">
      <c r="A7" s="54">
        <v>2054</v>
      </c>
      <c r="B7" s="55" t="s">
        <v>27</v>
      </c>
      <c r="C7" s="77">
        <f>'[1]FORMATO EN BCO'!$B$23</f>
        <v>0</v>
      </c>
      <c r="D7" s="78">
        <f t="shared" ref="D7:D14" si="2">C7*$D$5</f>
        <v>0</v>
      </c>
      <c r="E7" s="56">
        <f>'[1]FORMATO EN BCO'!$E$23</f>
        <v>0</v>
      </c>
      <c r="F7" s="58">
        <f>E7*F5</f>
        <v>0</v>
      </c>
      <c r="G7" s="77">
        <f>'[1]FORMATO EN BCO'!$C$23+'[1]FORMATO EN BCO'!$D$23</f>
        <v>0</v>
      </c>
      <c r="H7" s="78">
        <f>G7*H5</f>
        <v>0</v>
      </c>
      <c r="I7" s="77">
        <f>'[1]FORMATO EN BCO'!$F$23</f>
        <v>0</v>
      </c>
      <c r="J7" s="78">
        <f t="shared" ref="J7:J14" si="3">I7*$J$5</f>
        <v>0</v>
      </c>
      <c r="K7" s="77">
        <f>'[1]FORMATO EN BCO'!$G$23</f>
        <v>0</v>
      </c>
      <c r="L7" s="78">
        <f t="shared" ref="L7:L15" si="4">K7*$L$5</f>
        <v>0</v>
      </c>
      <c r="M7" s="77">
        <f>'[1]FORMATO EN BCO'!$H$23</f>
        <v>0</v>
      </c>
      <c r="N7" s="83">
        <f t="shared" ref="N7:N13" si="5">M7*$N$5</f>
        <v>0</v>
      </c>
      <c r="O7" s="58">
        <f>R20</f>
        <v>0</v>
      </c>
      <c r="P7" s="57">
        <v>0</v>
      </c>
      <c r="Q7" s="57">
        <v>0</v>
      </c>
      <c r="R7" s="59">
        <f t="shared" si="1"/>
        <v>0</v>
      </c>
    </row>
    <row r="8" spans="1:18" ht="15.75" x14ac:dyDescent="0.25">
      <c r="A8" s="63">
        <v>1908</v>
      </c>
      <c r="B8" s="55" t="s">
        <v>13</v>
      </c>
      <c r="C8" s="77">
        <f>'[1]FORMATO EN BCO'!$B$34</f>
        <v>0</v>
      </c>
      <c r="D8" s="78">
        <f t="shared" si="2"/>
        <v>0</v>
      </c>
      <c r="E8" s="56">
        <f>'[1]FORMATO EN BCO'!$E$34</f>
        <v>0</v>
      </c>
      <c r="F8" s="58">
        <f>E8*F5</f>
        <v>0</v>
      </c>
      <c r="G8" s="77">
        <f>'[1]FORMATO EN BCO'!$C$34+'[1]FORMATO EN BCO'!$D$34</f>
        <v>0</v>
      </c>
      <c r="H8" s="78">
        <f>G8*H5</f>
        <v>0</v>
      </c>
      <c r="I8" s="77">
        <f>'[1]FORMATO EN BCO'!$F$34</f>
        <v>0</v>
      </c>
      <c r="J8" s="78">
        <f t="shared" si="3"/>
        <v>0</v>
      </c>
      <c r="K8" s="77">
        <f>'[1]FORMATO EN BCO'!$G$34</f>
        <v>0</v>
      </c>
      <c r="L8" s="78">
        <f t="shared" si="4"/>
        <v>0</v>
      </c>
      <c r="M8" s="77">
        <f>'[1]FORMATO EN BCO'!$H$34</f>
        <v>0</v>
      </c>
      <c r="N8" s="83">
        <f t="shared" si="5"/>
        <v>0</v>
      </c>
      <c r="O8" s="58">
        <f t="shared" ref="O8:O12" si="6">R21</f>
        <v>0</v>
      </c>
      <c r="P8" s="57">
        <v>0</v>
      </c>
      <c r="Q8" s="57">
        <v>0</v>
      </c>
      <c r="R8" s="59">
        <f t="shared" si="1"/>
        <v>0</v>
      </c>
    </row>
    <row r="9" spans="1:18" ht="15.75" x14ac:dyDescent="0.25">
      <c r="A9" s="32">
        <v>1704</v>
      </c>
      <c r="B9" s="7" t="s">
        <v>14</v>
      </c>
      <c r="C9" s="77">
        <f>'[1]FORMATO EN BCO'!$B$45</f>
        <v>34</v>
      </c>
      <c r="D9" s="78">
        <f t="shared" si="2"/>
        <v>1122</v>
      </c>
      <c r="E9" s="8">
        <f>'[1]FORMATO EN BCO'!$E$45</f>
        <v>4</v>
      </c>
      <c r="F9" s="9">
        <f>E9*F5</f>
        <v>160</v>
      </c>
      <c r="G9" s="77">
        <f>'[1]FORMATO EN BCO'!$C$45+'[1]FORMATO EN BCO'!$D$45</f>
        <v>78</v>
      </c>
      <c r="H9" s="78">
        <f>G9*H5</f>
        <v>3510</v>
      </c>
      <c r="I9" s="77">
        <f>'[1]FORMATO EN BCO'!$F$45</f>
        <v>3</v>
      </c>
      <c r="J9" s="78">
        <f t="shared" si="3"/>
        <v>195</v>
      </c>
      <c r="K9" s="77">
        <f>'[1]FORMATO EN BCO'!$G$45</f>
        <v>2</v>
      </c>
      <c r="L9" s="78">
        <f t="shared" si="4"/>
        <v>180</v>
      </c>
      <c r="M9" s="77">
        <f>'[1]FORMATO EN BCO'!$H$45</f>
        <v>0</v>
      </c>
      <c r="N9" s="83">
        <f t="shared" si="5"/>
        <v>0</v>
      </c>
      <c r="O9" s="9">
        <f t="shared" si="6"/>
        <v>1010</v>
      </c>
      <c r="P9" s="6">
        <v>600</v>
      </c>
      <c r="Q9" s="6">
        <v>263</v>
      </c>
      <c r="R9" s="28">
        <f t="shared" si="1"/>
        <v>7040</v>
      </c>
    </row>
    <row r="10" spans="1:18" s="21" customFormat="1" ht="15.75" x14ac:dyDescent="0.25">
      <c r="A10" s="32">
        <v>1988</v>
      </c>
      <c r="B10" s="7" t="s">
        <v>22</v>
      </c>
      <c r="C10" s="77">
        <f>'[1]FORMATO EN BCO'!$B$56</f>
        <v>23</v>
      </c>
      <c r="D10" s="79">
        <f t="shared" si="2"/>
        <v>759</v>
      </c>
      <c r="E10" s="8">
        <f>'[1]FORMATO EN BCO'!$E$56</f>
        <v>36</v>
      </c>
      <c r="F10" s="9">
        <f>E10*F5</f>
        <v>1440</v>
      </c>
      <c r="G10" s="77">
        <f>'[1]FORMATO EN BCO'!$C$56+'[1]FORMATO EN BCO'!$D$56</f>
        <v>68</v>
      </c>
      <c r="H10" s="78">
        <f>G10*H5</f>
        <v>3060</v>
      </c>
      <c r="I10" s="77">
        <f>'[1]FORMATO EN BCO'!$F$56</f>
        <v>3</v>
      </c>
      <c r="J10" s="79">
        <f t="shared" si="3"/>
        <v>195</v>
      </c>
      <c r="K10" s="82">
        <f>'[1]FORMATO EN BCO'!$G$56</f>
        <v>5</v>
      </c>
      <c r="L10" s="78">
        <f t="shared" si="4"/>
        <v>450</v>
      </c>
      <c r="M10" s="82">
        <f>'[1]FORMATO EN BCO'!$H$56</f>
        <v>1</v>
      </c>
      <c r="N10" s="84">
        <f t="shared" si="5"/>
        <v>110</v>
      </c>
      <c r="O10" s="19">
        <f t="shared" si="6"/>
        <v>1360</v>
      </c>
      <c r="P10" s="18">
        <v>600</v>
      </c>
      <c r="Q10" s="18">
        <v>1388</v>
      </c>
      <c r="R10" s="28">
        <f t="shared" si="1"/>
        <v>9362</v>
      </c>
    </row>
    <row r="11" spans="1:18" ht="15.75" x14ac:dyDescent="0.25">
      <c r="A11" s="32" t="s">
        <v>15</v>
      </c>
      <c r="B11" s="7" t="s">
        <v>28</v>
      </c>
      <c r="C11" s="77">
        <f>'[1]FORMATO EN BCO'!$B$69</f>
        <v>42</v>
      </c>
      <c r="D11" s="78">
        <f t="shared" si="2"/>
        <v>1386</v>
      </c>
      <c r="E11" s="8">
        <f>'[1]FORMATO EN BCO'!$E$69</f>
        <v>32</v>
      </c>
      <c r="F11" s="9">
        <f>E11*F5</f>
        <v>1280</v>
      </c>
      <c r="G11" s="77">
        <f>'[1]FORMATO EN BCO'!$C$69+'[1]FORMATO EN BCO'!$D$69</f>
        <v>72</v>
      </c>
      <c r="H11" s="78">
        <f>G11*H5</f>
        <v>3240</v>
      </c>
      <c r="I11" s="77">
        <f>'[1]FORMATO EN BCO'!$F$69</f>
        <v>6</v>
      </c>
      <c r="J11" s="78">
        <f t="shared" si="3"/>
        <v>390</v>
      </c>
      <c r="K11" s="77">
        <f>'[1]FORMATO EN BCO'!$G$69</f>
        <v>2</v>
      </c>
      <c r="L11" s="78">
        <f t="shared" si="4"/>
        <v>180</v>
      </c>
      <c r="M11" s="77">
        <f>'[1]FORMATO EN BCO'!$H$69</f>
        <v>1</v>
      </c>
      <c r="N11" s="84">
        <f t="shared" ref="N11:N12" si="7">M11*$N$5</f>
        <v>110</v>
      </c>
      <c r="O11" s="9">
        <f t="shared" si="6"/>
        <v>1080</v>
      </c>
      <c r="P11" s="6">
        <v>600</v>
      </c>
      <c r="Q11" s="6">
        <v>500</v>
      </c>
      <c r="R11" s="28">
        <f t="shared" si="1"/>
        <v>8766</v>
      </c>
    </row>
    <row r="12" spans="1:18" ht="15.75" x14ac:dyDescent="0.25">
      <c r="A12" s="32">
        <v>1090</v>
      </c>
      <c r="B12" s="7" t="s">
        <v>16</v>
      </c>
      <c r="C12" s="77">
        <f>'[1]FORMATO EN BCO'!$B$80</f>
        <v>21</v>
      </c>
      <c r="D12" s="79">
        <f t="shared" ref="D12" si="8">C12*$D$5</f>
        <v>693</v>
      </c>
      <c r="E12" s="8">
        <f>'[1]FORMATO EN BCO'!$E$80</f>
        <v>24</v>
      </c>
      <c r="F12" s="9">
        <f>E12*F5</f>
        <v>960</v>
      </c>
      <c r="G12" s="77">
        <f>'[1]FORMATO EN BCO'!$C$80+'[1]FORMATO EN BCO'!$D$80</f>
        <v>45</v>
      </c>
      <c r="H12" s="78">
        <f>G12*H5</f>
        <v>2025</v>
      </c>
      <c r="I12" s="77">
        <f>'[1]FORMATO EN BCO'!$F$80</f>
        <v>3</v>
      </c>
      <c r="J12" s="79">
        <f t="shared" ref="J12" si="9">I12*$J$5</f>
        <v>195</v>
      </c>
      <c r="K12" s="82">
        <f>'[1]FORMATO EN BCO'!$G$80</f>
        <v>6</v>
      </c>
      <c r="L12" s="78">
        <f t="shared" si="4"/>
        <v>540</v>
      </c>
      <c r="M12" s="82">
        <f>'[1]FORMATO EN BCO'!$H$80</f>
        <v>0</v>
      </c>
      <c r="N12" s="84">
        <f t="shared" si="7"/>
        <v>0</v>
      </c>
      <c r="O12" s="19">
        <f t="shared" si="6"/>
        <v>930</v>
      </c>
      <c r="P12" s="18">
        <v>600</v>
      </c>
      <c r="Q12" s="18">
        <v>470</v>
      </c>
      <c r="R12" s="28">
        <f t="shared" si="1"/>
        <v>6413</v>
      </c>
    </row>
    <row r="13" spans="1:18" ht="15.75" x14ac:dyDescent="0.25">
      <c r="A13" s="48"/>
      <c r="B13" s="49"/>
      <c r="C13" s="50">
        <f>'[1]FORMATO EN BCO'!$B$91</f>
        <v>0</v>
      </c>
      <c r="D13" s="51">
        <f t="shared" si="2"/>
        <v>0</v>
      </c>
      <c r="E13" s="50">
        <f>'[1]FORMATO EN BCO'!$E$91</f>
        <v>0</v>
      </c>
      <c r="F13" s="52">
        <f>E13*F5</f>
        <v>0</v>
      </c>
      <c r="G13" s="50">
        <f>'[1]FORMATO EN BCO'!$C$91+'[1]FORMATO EN BCO'!$D$91</f>
        <v>0</v>
      </c>
      <c r="H13" s="51">
        <f>G13*H5</f>
        <v>0</v>
      </c>
      <c r="I13" s="50">
        <f>'[1]FORMATO EN BCO'!$F$91</f>
        <v>0</v>
      </c>
      <c r="J13" s="51">
        <f t="shared" si="3"/>
        <v>0</v>
      </c>
      <c r="K13" s="50">
        <f>'[1]FORMATO EN BCO'!$G$91</f>
        <v>0</v>
      </c>
      <c r="L13" s="51">
        <f t="shared" si="4"/>
        <v>0</v>
      </c>
      <c r="M13" s="50">
        <f>'[1]FORMATO EN BCO'!$H$91</f>
        <v>0</v>
      </c>
      <c r="N13" s="52">
        <f t="shared" si="5"/>
        <v>0</v>
      </c>
      <c r="O13" s="52">
        <f>R26</f>
        <v>0</v>
      </c>
      <c r="P13" s="51">
        <v>0</v>
      </c>
      <c r="Q13" s="51">
        <v>0</v>
      </c>
      <c r="R13" s="53">
        <f t="shared" si="1"/>
        <v>0</v>
      </c>
    </row>
    <row r="14" spans="1:18" ht="15.75" x14ac:dyDescent="0.25">
      <c r="A14" s="48"/>
      <c r="B14" s="49"/>
      <c r="C14" s="50">
        <f>'[1]FORMATO EN BCO'!$B$102</f>
        <v>0</v>
      </c>
      <c r="D14" s="51">
        <f t="shared" si="2"/>
        <v>0</v>
      </c>
      <c r="E14" s="50">
        <f>'[1]FORMATO EN BCO'!$E$102</f>
        <v>0</v>
      </c>
      <c r="F14" s="52">
        <f>E14*F5</f>
        <v>0</v>
      </c>
      <c r="G14" s="50">
        <f>'[1]FORMATO EN BCO'!$C$102+'[1]FORMATO EN BCO'!$D$102</f>
        <v>0</v>
      </c>
      <c r="H14" s="51">
        <f>G14*H5</f>
        <v>0</v>
      </c>
      <c r="I14" s="50">
        <f>'[1]FORMATO EN BCO'!$F$102</f>
        <v>0</v>
      </c>
      <c r="J14" s="51">
        <f t="shared" si="3"/>
        <v>0</v>
      </c>
      <c r="K14" s="50">
        <f>'[1]FORMATO EN BCO'!$G$102</f>
        <v>0</v>
      </c>
      <c r="L14" s="51">
        <f t="shared" si="4"/>
        <v>0</v>
      </c>
      <c r="M14" s="50">
        <f>'[1]FORMATO EN BCO'!$H$102</f>
        <v>0</v>
      </c>
      <c r="N14" s="52">
        <f>'[1]FORMATO EN BCO'!$H$102</f>
        <v>0</v>
      </c>
      <c r="O14" s="52">
        <f>R27</f>
        <v>0</v>
      </c>
      <c r="P14" s="51">
        <v>0</v>
      </c>
      <c r="Q14" s="51">
        <v>0</v>
      </c>
      <c r="R14" s="53">
        <f t="shared" si="1"/>
        <v>0</v>
      </c>
    </row>
    <row r="15" spans="1:18" ht="15.75" x14ac:dyDescent="0.25">
      <c r="A15" s="48"/>
      <c r="B15" s="49"/>
      <c r="C15" s="50">
        <f>'[1]FORMATO EN BCO'!$B$113</f>
        <v>0</v>
      </c>
      <c r="D15" s="51">
        <f t="shared" ref="D15" si="10">C15*$D$5</f>
        <v>0</v>
      </c>
      <c r="E15" s="50">
        <f>'[1]FORMATO EN BCO'!$E$113</f>
        <v>0</v>
      </c>
      <c r="F15" s="52">
        <f>E15*F5</f>
        <v>0</v>
      </c>
      <c r="G15" s="50">
        <f>'[1]FORMATO EN BCO'!$C$113+'[1]FORMATO EN BCO'!$D$113</f>
        <v>0</v>
      </c>
      <c r="H15" s="51">
        <f>G15*H5</f>
        <v>0</v>
      </c>
      <c r="I15" s="50">
        <f>'[1]FORMATO EN BCO'!$F$113</f>
        <v>0</v>
      </c>
      <c r="J15" s="51">
        <f t="shared" ref="J15" si="11">I15*$J$5</f>
        <v>0</v>
      </c>
      <c r="K15" s="50">
        <f>'[1]FORMATO EN BCO'!$G$113</f>
        <v>0</v>
      </c>
      <c r="L15" s="51">
        <f t="shared" si="4"/>
        <v>0</v>
      </c>
      <c r="M15" s="50">
        <f>'[1]FORMATO EN BCO'!$H$113</f>
        <v>0</v>
      </c>
      <c r="N15" s="52">
        <f t="shared" ref="N15" si="12">M15*$N$5</f>
        <v>0</v>
      </c>
      <c r="O15" s="52">
        <f t="shared" ref="O15" si="13">R28</f>
        <v>0</v>
      </c>
      <c r="P15" s="51">
        <v>0</v>
      </c>
      <c r="Q15" s="51">
        <v>0</v>
      </c>
      <c r="R15" s="53">
        <f t="shared" si="1"/>
        <v>0</v>
      </c>
    </row>
    <row r="16" spans="1:18" ht="16.5" thickBot="1" x14ac:dyDescent="0.3">
      <c r="A16" s="33"/>
      <c r="B16" s="22" t="s">
        <v>17</v>
      </c>
      <c r="C16" s="23"/>
      <c r="D16" s="24"/>
      <c r="E16" s="25"/>
      <c r="F16" s="25"/>
      <c r="G16" s="25"/>
      <c r="H16" s="24"/>
      <c r="I16" s="25"/>
      <c r="J16" s="24"/>
      <c r="K16" s="24"/>
      <c r="L16" s="24"/>
      <c r="M16" s="24"/>
      <c r="N16" s="24"/>
      <c r="O16" s="24"/>
      <c r="P16" s="24"/>
      <c r="Q16" s="24"/>
      <c r="R16" s="29">
        <f>SUM(R6:R15)</f>
        <v>36762</v>
      </c>
    </row>
    <row r="17" spans="1:18" ht="15.75" customHeight="1" x14ac:dyDescent="0.25">
      <c r="A17" s="20"/>
      <c r="B17" s="10"/>
      <c r="C17" s="11"/>
      <c r="D17" s="12"/>
      <c r="E17" s="13"/>
      <c r="F17" s="13"/>
      <c r="G17" s="13"/>
      <c r="H17" s="12"/>
      <c r="I17" s="13"/>
      <c r="J17" s="12"/>
      <c r="K17" s="12"/>
      <c r="L17" s="12"/>
      <c r="M17" s="12"/>
      <c r="N17" s="12"/>
      <c r="O17" s="12"/>
      <c r="P17" s="12"/>
      <c r="Q17" s="12"/>
      <c r="R17" s="12"/>
    </row>
    <row r="18" spans="1:18" ht="16.5" thickBot="1" x14ac:dyDescent="0.3">
      <c r="A18" s="35" t="s">
        <v>20</v>
      </c>
      <c r="B18" s="35" t="s">
        <v>21</v>
      </c>
      <c r="C18" s="36" t="s">
        <v>24</v>
      </c>
      <c r="D18" s="37">
        <v>50</v>
      </c>
      <c r="E18" s="38" t="s">
        <v>29</v>
      </c>
      <c r="F18" s="37">
        <v>70</v>
      </c>
      <c r="G18" s="38"/>
      <c r="H18" s="37"/>
      <c r="I18" s="39"/>
      <c r="J18" s="39"/>
      <c r="K18" s="39"/>
      <c r="L18" s="39"/>
      <c r="M18" s="39"/>
      <c r="N18" s="39"/>
      <c r="O18" s="39"/>
      <c r="P18" s="39"/>
      <c r="Q18" s="40"/>
      <c r="R18" s="41" t="s">
        <v>25</v>
      </c>
    </row>
    <row r="19" spans="1:18" ht="15.75" x14ac:dyDescent="0.25">
      <c r="A19" s="32">
        <v>1302</v>
      </c>
      <c r="B19" s="7" t="s">
        <v>26</v>
      </c>
      <c r="C19" s="45">
        <f>'[1]FORMATO EN BCO'!$I$12</f>
        <v>4</v>
      </c>
      <c r="D19" s="46">
        <f>C19*$D$18</f>
        <v>200</v>
      </c>
      <c r="E19" s="46">
        <f>'[1]FORMATO EN BCO'!$J$12</f>
        <v>0</v>
      </c>
      <c r="F19" s="14">
        <f>E19*F18</f>
        <v>0</v>
      </c>
      <c r="G19" s="66" t="s">
        <v>32</v>
      </c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47">
        <f>D19+F19</f>
        <v>200</v>
      </c>
    </row>
    <row r="20" spans="1:18" ht="15.75" x14ac:dyDescent="0.25">
      <c r="A20" s="54">
        <v>2054</v>
      </c>
      <c r="B20" s="55" t="s">
        <v>27</v>
      </c>
      <c r="C20" s="60">
        <f>'[1]FORMATO EN BCO'!$I$23</f>
        <v>0</v>
      </c>
      <c r="D20" s="61">
        <f t="shared" ref="D20:D28" si="14">C20*$D$18</f>
        <v>0</v>
      </c>
      <c r="E20" s="61">
        <f>'[1]FORMATO EN BCO'!$J$23</f>
        <v>0</v>
      </c>
      <c r="F20" s="61">
        <f>E20*F18</f>
        <v>0</v>
      </c>
      <c r="G20" s="67" t="s">
        <v>33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2">
        <f t="shared" ref="R20:R28" si="15">D20+F20</f>
        <v>0</v>
      </c>
    </row>
    <row r="21" spans="1:18" ht="15.75" x14ac:dyDescent="0.25">
      <c r="A21" s="63">
        <v>1908</v>
      </c>
      <c r="B21" s="55" t="s">
        <v>13</v>
      </c>
      <c r="C21" s="60">
        <f>'[1]FORMATO EN BCO'!$I$34</f>
        <v>0</v>
      </c>
      <c r="D21" s="61">
        <f t="shared" si="14"/>
        <v>0</v>
      </c>
      <c r="E21" s="61">
        <f>'[1]FORMATO EN BCO'!$J$34</f>
        <v>0</v>
      </c>
      <c r="F21" s="61">
        <f>E21*F18</f>
        <v>0</v>
      </c>
      <c r="G21" s="67" t="s">
        <v>34</v>
      </c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2">
        <f t="shared" si="15"/>
        <v>0</v>
      </c>
    </row>
    <row r="22" spans="1:18" ht="15.75" customHeight="1" x14ac:dyDescent="0.25">
      <c r="A22" s="32">
        <v>1704</v>
      </c>
      <c r="B22" s="7" t="s">
        <v>14</v>
      </c>
      <c r="C22" s="42">
        <f>'[1]FORMATO EN BCO'!$I$45</f>
        <v>9</v>
      </c>
      <c r="D22" s="14">
        <f t="shared" si="14"/>
        <v>450</v>
      </c>
      <c r="E22" s="14">
        <f>'[1]FORMATO EN BCO'!$J$45</f>
        <v>8</v>
      </c>
      <c r="F22" s="14">
        <f>E22*F18</f>
        <v>560</v>
      </c>
      <c r="G22" s="68" t="s">
        <v>35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26">
        <f t="shared" si="15"/>
        <v>1010</v>
      </c>
    </row>
    <row r="23" spans="1:18" s="1" customFormat="1" ht="15.75" customHeight="1" x14ac:dyDescent="0.25">
      <c r="A23" s="32">
        <v>1988</v>
      </c>
      <c r="B23" s="7" t="s">
        <v>22</v>
      </c>
      <c r="C23" s="42">
        <f>'[1]FORMATO EN BCO'!$I$56</f>
        <v>16</v>
      </c>
      <c r="D23" s="14">
        <f t="shared" si="14"/>
        <v>800</v>
      </c>
      <c r="E23" s="14">
        <f>'[1]FORMATO EN BCO'!$J$56</f>
        <v>8</v>
      </c>
      <c r="F23" s="14">
        <f>E23*F18</f>
        <v>560</v>
      </c>
      <c r="G23" s="70" t="s">
        <v>36</v>
      </c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26">
        <f t="shared" si="15"/>
        <v>1360</v>
      </c>
    </row>
    <row r="24" spans="1:18" ht="15.75" x14ac:dyDescent="0.25">
      <c r="A24" s="32" t="s">
        <v>15</v>
      </c>
      <c r="B24" s="7" t="s">
        <v>28</v>
      </c>
      <c r="C24" s="42">
        <f>'[1]FORMATO EN BCO'!$I$69</f>
        <v>9</v>
      </c>
      <c r="D24" s="14">
        <f t="shared" si="14"/>
        <v>450</v>
      </c>
      <c r="E24" s="14">
        <f>'[1]FORMATO EN BCO'!$J$69</f>
        <v>9</v>
      </c>
      <c r="F24" s="14">
        <f>E24*F18</f>
        <v>630</v>
      </c>
      <c r="G24" s="70" t="s">
        <v>37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26">
        <f t="shared" si="15"/>
        <v>1080</v>
      </c>
    </row>
    <row r="25" spans="1:18" ht="15.75" x14ac:dyDescent="0.25">
      <c r="A25" s="32">
        <v>1090</v>
      </c>
      <c r="B25" s="7" t="s">
        <v>16</v>
      </c>
      <c r="C25" s="42">
        <f>'[1]FORMATO EN BCO'!$I$80</f>
        <v>6</v>
      </c>
      <c r="D25" s="14">
        <f t="shared" si="14"/>
        <v>300</v>
      </c>
      <c r="E25" s="14">
        <f>'[1]FORMATO EN BCO'!$J$80</f>
        <v>9</v>
      </c>
      <c r="F25" s="14">
        <f>E25*F18</f>
        <v>630</v>
      </c>
      <c r="G25" s="70" t="s">
        <v>38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26">
        <f t="shared" si="15"/>
        <v>930</v>
      </c>
    </row>
    <row r="26" spans="1:18" ht="15.75" x14ac:dyDescent="0.25">
      <c r="A26" s="48">
        <f>A13</f>
        <v>0</v>
      </c>
      <c r="B26" s="49">
        <f>B13</f>
        <v>0</v>
      </c>
      <c r="C26" s="16">
        <f>'[1]FORMATO EN BCO'!$I$91</f>
        <v>0</v>
      </c>
      <c r="D26" s="17">
        <f t="shared" si="14"/>
        <v>0</v>
      </c>
      <c r="E26" s="17">
        <f>'[1]FORMATO EN BCO'!$J$91</f>
        <v>0</v>
      </c>
      <c r="F26" s="17">
        <f>E26*F18</f>
        <v>0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44">
        <f t="shared" si="15"/>
        <v>0</v>
      </c>
    </row>
    <row r="27" spans="1:18" ht="15.75" x14ac:dyDescent="0.25">
      <c r="A27" s="48">
        <f t="shared" ref="A27" si="16">A14</f>
        <v>0</v>
      </c>
      <c r="B27" s="15">
        <f>B14</f>
        <v>0</v>
      </c>
      <c r="C27" s="16">
        <f>'[1]FORMATO EN BCO'!$I$102</f>
        <v>0</v>
      </c>
      <c r="D27" s="17">
        <f t="shared" si="14"/>
        <v>0</v>
      </c>
      <c r="E27" s="17">
        <f>'[1]FORMATO EN BCO'!$J$102</f>
        <v>0</v>
      </c>
      <c r="F27" s="17">
        <f>E27*F18</f>
        <v>0</v>
      </c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44">
        <f t="shared" si="15"/>
        <v>0</v>
      </c>
    </row>
    <row r="28" spans="1:18" ht="15.75" x14ac:dyDescent="0.25">
      <c r="A28" s="48">
        <f t="shared" ref="A28:B28" si="17">A15</f>
        <v>0</v>
      </c>
      <c r="B28" s="15">
        <f t="shared" si="17"/>
        <v>0</v>
      </c>
      <c r="C28" s="16">
        <f>'[1]FORMATO EN BCO'!$I$113</f>
        <v>0</v>
      </c>
      <c r="D28" s="17">
        <f t="shared" si="14"/>
        <v>0</v>
      </c>
      <c r="E28" s="17">
        <f>'[1]FORMATO EN BCO'!$J$113</f>
        <v>0</v>
      </c>
      <c r="F28" s="17">
        <f>E28*F18</f>
        <v>0</v>
      </c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44">
        <f t="shared" si="15"/>
        <v>0</v>
      </c>
    </row>
    <row r="29" spans="1:18" ht="16.5" thickBot="1" x14ac:dyDescent="0.3">
      <c r="A29" s="33"/>
      <c r="B29" s="22" t="s">
        <v>17</v>
      </c>
      <c r="C29" s="23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43">
        <f>SUM(R19:R28)</f>
        <v>4580</v>
      </c>
    </row>
    <row r="32" spans="1:18" x14ac:dyDescent="0.25">
      <c r="A32"/>
    </row>
    <row r="33" spans="2:2" ht="15.75" x14ac:dyDescent="0.25">
      <c r="B33" s="34"/>
    </row>
  </sheetData>
  <mergeCells count="19">
    <mergeCell ref="A1:R1"/>
    <mergeCell ref="A2:R2"/>
    <mergeCell ref="C4:D4"/>
    <mergeCell ref="I4:J4"/>
    <mergeCell ref="K4:L4"/>
    <mergeCell ref="M4:N4"/>
    <mergeCell ref="E4:F4"/>
    <mergeCell ref="D29:Q29"/>
    <mergeCell ref="A3:R3"/>
    <mergeCell ref="G19:Q19"/>
    <mergeCell ref="G20:Q20"/>
    <mergeCell ref="G21:Q21"/>
    <mergeCell ref="G22:Q22"/>
    <mergeCell ref="G28:Q28"/>
    <mergeCell ref="G23:Q23"/>
    <mergeCell ref="G24:Q24"/>
    <mergeCell ref="G25:Q25"/>
    <mergeCell ref="G26:Q26"/>
    <mergeCell ref="G27:Q27"/>
  </mergeCells>
  <conditionalFormatting sqref="A27:A28">
    <cfRule type="cellIs" dxfId="0" priority="1" stopIfTrue="1" operator="equal">
      <formula>0</formula>
    </cfRule>
  </conditionalFormatting>
  <pageMargins left="0.23622047244094491" right="0.23622047244094491" top="1.1417322834645669" bottom="0.74803149606299213" header="0.31496062992125984" footer="0.31496062992125984"/>
  <pageSetup scale="5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PRENOMINA CHIHUAHUA OP</vt:lpstr>
      <vt:lpstr>'PRENOMINA CHIHUAHUA OP'!Área_de_impresión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Garcia</dc:creator>
  <cp:lastModifiedBy>Heriberto Reyes Olvera</cp:lastModifiedBy>
  <cp:lastPrinted>2025-12-22T22:14:17Z</cp:lastPrinted>
  <dcterms:created xsi:type="dcterms:W3CDTF">2022-05-03T17:03:36Z</dcterms:created>
  <dcterms:modified xsi:type="dcterms:W3CDTF">2025-12-30T18:53:29Z</dcterms:modified>
</cp:coreProperties>
</file>