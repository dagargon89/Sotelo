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KO0942Z0\Desktop\LIQUIDACIONES\Nominas 2025\Nomina Foraneos\Foraneo Chihuahua\11.-Noviembre 44 - 47\"/>
    </mc:Choice>
  </mc:AlternateContent>
  <xr:revisionPtr revIDLastSave="0" documentId="13_ncr:1_{A7D1D61B-DDA0-4A7A-BCFB-1707FA375945}" xr6:coauthVersionLast="47" xr6:coauthVersionMax="47" xr10:uidLastSave="{00000000-0000-0000-0000-000000000000}"/>
  <bookViews>
    <workbookView xWindow="-120" yWindow="-120" windowWidth="29040" windowHeight="15840" firstSheet="25" activeTab="26" xr2:uid="{00000000-000D-0000-FFFF-FFFF00000000}"/>
  </bookViews>
  <sheets>
    <sheet name="NOMINA" sheetId="27" r:id="rId1"/>
    <sheet name="AGUILAR ESQUIVEL CARLOS" sheetId="1" r:id="rId2"/>
    <sheet name="AGUILAR RODRIGUEZ JORGE ALONSO" sheetId="4" r:id="rId3"/>
    <sheet name="AGUILERA CONTRERAS LUIS GERARDO" sheetId="10" r:id="rId4"/>
    <sheet name="ANCHONDO ROMERO CESAR ALEJANDRO" sheetId="48" r:id="rId5"/>
    <sheet name="BALDERRAMA ROBLES JORGE" sheetId="23" r:id="rId6"/>
    <sheet name="BALLEZA RAMIREZ JESUS JOSE" sheetId="31" r:id="rId7"/>
    <sheet name="BURGOS TORRES RIGOBERTO" sheetId="28" r:id="rId8"/>
    <sheet name="CARRERA REYES MARTIN SEBASTIAN" sheetId="11" r:id="rId9"/>
    <sheet name="CORDOVA URIBE JOSE  ADRIAN" sheetId="24" r:id="rId10"/>
    <sheet name="FLORES BOJORQUEZ BRYAN OVED" sheetId="22" r:id="rId11"/>
    <sheet name="GUZMAN CHAPARRO PEDRO" sheetId="20" r:id="rId12"/>
    <sheet name="HERNANDEZ LICANO JOSE LUIS" sheetId="29" r:id="rId13"/>
    <sheet name="LIRA ARCEO JOEL EDUARDO" sheetId="47" r:id="rId14"/>
    <sheet name="MARTINEZ RAMIREZ ROSALIO" sheetId="30" r:id="rId15"/>
    <sheet name="MACHADO MAZUCA ADOLFO" sheetId="44" r:id="rId16"/>
    <sheet name="MELENDEZ SINALOA MANUEL ARAT" sheetId="13" r:id="rId17"/>
    <sheet name="MONTERO BURROLA LUIS" sheetId="9" r:id="rId18"/>
    <sheet name="MORALES LECHUGA GONZALO" sheetId="33" r:id="rId19"/>
    <sheet name="MORALES LOPEZ DE LARA MARIANO" sheetId="25" r:id="rId20"/>
    <sheet name="NUÑEZ RUIZ IRVING JAVIER." sheetId="43" r:id="rId21"/>
    <sheet name="ONTIVEROS LIRA JUAN" sheetId="39" r:id="rId22"/>
    <sheet name="ORONA BECERRA MAURO JOSE" sheetId="16" r:id="rId23"/>
    <sheet name="ORTIZ RAMIREZ HECTOR MANUEL" sheetId="38" r:id="rId24"/>
    <sheet name="RAMIREZ BAUTISTA ADRIAN" sheetId="15" r:id="rId25"/>
    <sheet name="REYES LARA DANTE" sheetId="17" r:id="rId26"/>
    <sheet name="RODRIGUEZ FLORES BRYAN DARIO" sheetId="41" r:id="rId27"/>
    <sheet name="RUIZ SAUCEDO DANIEL ALEJANDRO" sheetId="35" r:id="rId28"/>
    <sheet name="VALLES HERNANDEZ MANUEL MARCELI" sheetId="26" r:id="rId29"/>
    <sheet name="KM POR CHOFER" sheetId="36" r:id="rId30"/>
    <sheet name="KM POR UNIDAD" sheetId="37" r:id="rId31"/>
    <sheet name="KM POR CLIENTE" sheetId="45" r:id="rId32"/>
    <sheet name="KILOMETRAJE" sheetId="21" r:id="rId33"/>
    <sheet name="UNIDADES" sheetId="42" r:id="rId34"/>
    <sheet name="FORMULAS" sheetId="18" r:id="rId35"/>
  </sheets>
  <externalReferences>
    <externalReference r:id="rId36"/>
    <externalReference r:id="rId37"/>
    <externalReference r:id="rId38"/>
  </externalReferences>
  <definedNames>
    <definedName name="ANDRES" localSheetId="7">#REF!</definedName>
    <definedName name="ANDRES" localSheetId="32">#REF!</definedName>
    <definedName name="ANDRES" localSheetId="29">#REF!</definedName>
    <definedName name="ANDRES">#REF!</definedName>
    <definedName name="ARON">#REF!</definedName>
    <definedName name="AUX">[1]SEM.01!$AJ$6:$AK$45</definedName>
    <definedName name="BASE">#REF!</definedName>
    <definedName name="COPIA">#REF!</definedName>
    <definedName name="COPIAA">#REF!</definedName>
    <definedName name="CRUCE">#REF!</definedName>
    <definedName name="CRUCES">#REF!</definedName>
    <definedName name="_xlnm.Recorder">#REF!</definedName>
    <definedName name="IGOB">#REF!</definedName>
    <definedName name="INCON">#REF!</definedName>
    <definedName name="MIRE">#REF!</definedName>
    <definedName name="MIRO">#REF!</definedName>
    <definedName name="NOM">#REF!</definedName>
    <definedName name="NOM.">#REF!</definedName>
    <definedName name="NOM.04">#REF!</definedName>
    <definedName name="NOMIN">#REF!</definedName>
    <definedName name="NOMINA">#REF!</definedName>
    <definedName name="NUEVO">#REF!</definedName>
    <definedName name="SEM.03">#REF!</definedName>
    <definedName name="SEM.03B">#REF!</definedName>
    <definedName name="SEM.03C">#REF!</definedName>
    <definedName name="SEM.03V">#REF!</definedName>
    <definedName name="SEM.04">#REF!</definedName>
    <definedName name="SEM.04.">#REF!</definedName>
    <definedName name="SEMANA.03">#REF!</definedName>
    <definedName name="SSEM.08">[1]SEM.01!$AG$6:$AH$45</definedName>
    <definedName name="TABLA3">#REF!</definedName>
    <definedName name="TABLA4">#REF!</definedName>
    <definedName name="TABLA7">#REF!</definedName>
    <definedName name="TABLA7.05">#REF!</definedName>
    <definedName name="TABLA7.08">[1]SEM.01!$AM$6:$AN$45</definedName>
    <definedName name="TABLA7.3">#REF!</definedName>
    <definedName name="TABLA7.31">#REF!</definedName>
    <definedName name="TABLA7.5">#REF!</definedName>
    <definedName name="TABLA8">#REF!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S44" i="25" l="1"/>
  <c r="W41" i="20"/>
  <c r="U41" i="20"/>
  <c r="V41" i="10"/>
  <c r="R28" i="15"/>
  <c r="S28" i="15" s="1"/>
  <c r="T28" i="15" s="1"/>
  <c r="J28" i="15"/>
  <c r="Q28" i="15" s="1"/>
  <c r="I28" i="15"/>
  <c r="H28" i="15"/>
  <c r="J27" i="15"/>
  <c r="Q27" i="15" s="1"/>
  <c r="I27" i="15"/>
  <c r="H27" i="15"/>
  <c r="J22" i="38"/>
  <c r="I22" i="38"/>
  <c r="H22" i="38"/>
  <c r="J21" i="38"/>
  <c r="I21" i="38"/>
  <c r="H21" i="38"/>
  <c r="L28" i="15" l="1"/>
  <c r="S22" i="38"/>
  <c r="T22" i="38" s="1"/>
  <c r="L22" i="38"/>
  <c r="R23" i="28" l="1"/>
  <c r="J23" i="28"/>
  <c r="Q23" i="28" s="1"/>
  <c r="I23" i="28"/>
  <c r="H23" i="28"/>
  <c r="J22" i="28"/>
  <c r="Q22" i="28" s="1"/>
  <c r="I22" i="28"/>
  <c r="H22" i="28"/>
  <c r="J21" i="28"/>
  <c r="Q21" i="28" s="1"/>
  <c r="I21" i="28"/>
  <c r="H21" i="28"/>
  <c r="R26" i="26"/>
  <c r="J26" i="26"/>
  <c r="Q26" i="26" s="1"/>
  <c r="I26" i="26"/>
  <c r="H26" i="26"/>
  <c r="J25" i="26"/>
  <c r="Q25" i="26" s="1"/>
  <c r="I25" i="26"/>
  <c r="H25" i="26"/>
  <c r="R26" i="17"/>
  <c r="R24" i="17"/>
  <c r="J26" i="17"/>
  <c r="Q26" i="17" s="1"/>
  <c r="I26" i="17"/>
  <c r="H26" i="17"/>
  <c r="J25" i="17"/>
  <c r="Q25" i="17" s="1"/>
  <c r="I25" i="17"/>
  <c r="H25" i="17"/>
  <c r="J24" i="17"/>
  <c r="Q24" i="17" s="1"/>
  <c r="I24" i="17"/>
  <c r="H24" i="17"/>
  <c r="J23" i="17"/>
  <c r="Q23" i="17" s="1"/>
  <c r="I23" i="17"/>
  <c r="H23" i="17"/>
  <c r="R22" i="17"/>
  <c r="J22" i="17"/>
  <c r="Q22" i="17" s="1"/>
  <c r="I22" i="17"/>
  <c r="H22" i="17"/>
  <c r="J21" i="17"/>
  <c r="Q21" i="17" s="1"/>
  <c r="I21" i="17"/>
  <c r="H21" i="17"/>
  <c r="R26" i="4"/>
  <c r="R24" i="4"/>
  <c r="J26" i="4"/>
  <c r="Q26" i="4" s="1"/>
  <c r="I26" i="4"/>
  <c r="H26" i="4"/>
  <c r="J25" i="4"/>
  <c r="I25" i="4"/>
  <c r="H25" i="4"/>
  <c r="J24" i="4"/>
  <c r="Q24" i="4" s="1"/>
  <c r="I24" i="4"/>
  <c r="H24" i="4"/>
  <c r="J23" i="4"/>
  <c r="Q23" i="4" s="1"/>
  <c r="I23" i="4"/>
  <c r="H23" i="4"/>
  <c r="R22" i="4"/>
  <c r="J22" i="4"/>
  <c r="Q22" i="4" s="1"/>
  <c r="I22" i="4"/>
  <c r="H22" i="4"/>
  <c r="J21" i="4"/>
  <c r="Q21" i="4" s="1"/>
  <c r="I21" i="4"/>
  <c r="H21" i="4"/>
  <c r="R27" i="43"/>
  <c r="R25" i="43"/>
  <c r="J27" i="43"/>
  <c r="Q27" i="43" s="1"/>
  <c r="I27" i="43"/>
  <c r="H27" i="43"/>
  <c r="J26" i="43"/>
  <c r="I26" i="43"/>
  <c r="H26" i="43"/>
  <c r="J25" i="43"/>
  <c r="Q25" i="43" s="1"/>
  <c r="I25" i="43"/>
  <c r="H25" i="43"/>
  <c r="J24" i="43"/>
  <c r="Q24" i="43" s="1"/>
  <c r="I24" i="43"/>
  <c r="H24" i="43"/>
  <c r="R23" i="43"/>
  <c r="J23" i="43"/>
  <c r="Q23" i="43" s="1"/>
  <c r="I23" i="43"/>
  <c r="H23" i="43"/>
  <c r="J22" i="43"/>
  <c r="Q22" i="43" s="1"/>
  <c r="I22" i="43"/>
  <c r="H22" i="43"/>
  <c r="R28" i="1"/>
  <c r="R26" i="1"/>
  <c r="J28" i="1"/>
  <c r="Q28" i="1" s="1"/>
  <c r="I28" i="1"/>
  <c r="H28" i="1"/>
  <c r="J27" i="1"/>
  <c r="Q27" i="1" s="1"/>
  <c r="I27" i="1"/>
  <c r="H27" i="1"/>
  <c r="J26" i="1"/>
  <c r="Q26" i="1" s="1"/>
  <c r="I26" i="1"/>
  <c r="H26" i="1"/>
  <c r="J25" i="1"/>
  <c r="Q25" i="1" s="1"/>
  <c r="I25" i="1"/>
  <c r="H25" i="1"/>
  <c r="R24" i="1"/>
  <c r="J24" i="1"/>
  <c r="Q24" i="1" s="1"/>
  <c r="I24" i="1"/>
  <c r="H24" i="1"/>
  <c r="J23" i="1"/>
  <c r="Q23" i="1" s="1"/>
  <c r="I23" i="1"/>
  <c r="H23" i="1"/>
  <c r="R22" i="1"/>
  <c r="J22" i="1"/>
  <c r="Q22" i="1" s="1"/>
  <c r="I22" i="1"/>
  <c r="H22" i="1"/>
  <c r="J21" i="1"/>
  <c r="Q21" i="1" s="1"/>
  <c r="I21" i="1"/>
  <c r="H21" i="1"/>
  <c r="R30" i="16"/>
  <c r="R28" i="16"/>
  <c r="R26" i="16"/>
  <c r="J30" i="16"/>
  <c r="Q30" i="16" s="1"/>
  <c r="I30" i="16"/>
  <c r="H30" i="16"/>
  <c r="J29" i="16"/>
  <c r="I29" i="16"/>
  <c r="H29" i="16"/>
  <c r="J28" i="16"/>
  <c r="Q28" i="16" s="1"/>
  <c r="I28" i="16"/>
  <c r="H28" i="16"/>
  <c r="J27" i="16"/>
  <c r="Q27" i="16" s="1"/>
  <c r="I27" i="16"/>
  <c r="H27" i="16"/>
  <c r="J26" i="16"/>
  <c r="Q26" i="16" s="1"/>
  <c r="I26" i="16"/>
  <c r="H26" i="16"/>
  <c r="J25" i="16"/>
  <c r="Q25" i="16" s="1"/>
  <c r="I25" i="16"/>
  <c r="H25" i="16"/>
  <c r="R24" i="16"/>
  <c r="J24" i="16"/>
  <c r="Q24" i="16" s="1"/>
  <c r="I24" i="16"/>
  <c r="H24" i="16"/>
  <c r="J23" i="16"/>
  <c r="Q23" i="16" s="1"/>
  <c r="I23" i="16"/>
  <c r="H23" i="16"/>
  <c r="R22" i="16"/>
  <c r="J22" i="16"/>
  <c r="Q22" i="16" s="1"/>
  <c r="I22" i="16"/>
  <c r="H22" i="16"/>
  <c r="J21" i="16"/>
  <c r="Q21" i="16" s="1"/>
  <c r="I21" i="16"/>
  <c r="H21" i="16"/>
  <c r="R25" i="10"/>
  <c r="J25" i="10"/>
  <c r="Q25" i="10" s="1"/>
  <c r="I25" i="10"/>
  <c r="H25" i="10"/>
  <c r="J24" i="10"/>
  <c r="Q24" i="10" s="1"/>
  <c r="I24" i="10"/>
  <c r="H24" i="10"/>
  <c r="R23" i="10"/>
  <c r="J23" i="10"/>
  <c r="Q23" i="10" s="1"/>
  <c r="I23" i="10"/>
  <c r="H23" i="10"/>
  <c r="J22" i="10"/>
  <c r="Q22" i="10" s="1"/>
  <c r="I22" i="10"/>
  <c r="H22" i="10"/>
  <c r="R20" i="10"/>
  <c r="J20" i="10"/>
  <c r="Q20" i="10" s="1"/>
  <c r="I20" i="10"/>
  <c r="H20" i="10"/>
  <c r="J19" i="10"/>
  <c r="I19" i="10"/>
  <c r="H19" i="10"/>
  <c r="R26" i="29"/>
  <c r="R24" i="29"/>
  <c r="J26" i="29"/>
  <c r="Q26" i="29" s="1"/>
  <c r="I26" i="29"/>
  <c r="H26" i="29"/>
  <c r="J25" i="29"/>
  <c r="I25" i="29"/>
  <c r="H25" i="29"/>
  <c r="J24" i="29"/>
  <c r="Q24" i="29" s="1"/>
  <c r="I24" i="29"/>
  <c r="H24" i="29"/>
  <c r="J23" i="29"/>
  <c r="Q23" i="29" s="1"/>
  <c r="I23" i="29"/>
  <c r="H23" i="29"/>
  <c r="R22" i="29"/>
  <c r="J22" i="29"/>
  <c r="Q22" i="29" s="1"/>
  <c r="I22" i="29"/>
  <c r="H22" i="29"/>
  <c r="J21" i="29"/>
  <c r="Q21" i="29" s="1"/>
  <c r="I21" i="29"/>
  <c r="H21" i="29"/>
  <c r="R26" i="30"/>
  <c r="R24" i="30"/>
  <c r="S43" i="30"/>
  <c r="J26" i="30"/>
  <c r="Q26" i="30" s="1"/>
  <c r="I26" i="30"/>
  <c r="H26" i="30"/>
  <c r="J25" i="30"/>
  <c r="Q25" i="30" s="1"/>
  <c r="I25" i="30"/>
  <c r="H25" i="30"/>
  <c r="J24" i="30"/>
  <c r="Q24" i="30" s="1"/>
  <c r="I24" i="30"/>
  <c r="H24" i="30"/>
  <c r="J23" i="30"/>
  <c r="Q23" i="30" s="1"/>
  <c r="I23" i="30"/>
  <c r="H23" i="30"/>
  <c r="R22" i="30"/>
  <c r="J22" i="30"/>
  <c r="Q22" i="30" s="1"/>
  <c r="I22" i="30"/>
  <c r="H22" i="30"/>
  <c r="J21" i="30"/>
  <c r="Q21" i="30" s="1"/>
  <c r="I21" i="30"/>
  <c r="H21" i="30"/>
  <c r="R26" i="15"/>
  <c r="R24" i="15"/>
  <c r="S24" i="15" s="1"/>
  <c r="J26" i="15"/>
  <c r="Q26" i="15" s="1"/>
  <c r="I26" i="15"/>
  <c r="H26" i="15"/>
  <c r="J25" i="15"/>
  <c r="I25" i="15"/>
  <c r="H25" i="15"/>
  <c r="Q24" i="15"/>
  <c r="I24" i="15"/>
  <c r="H23" i="15"/>
  <c r="R22" i="15"/>
  <c r="J22" i="15"/>
  <c r="Q22" i="15" s="1"/>
  <c r="I22" i="15"/>
  <c r="H22" i="15"/>
  <c r="J21" i="15"/>
  <c r="Q21" i="15" s="1"/>
  <c r="I21" i="15"/>
  <c r="H21" i="15"/>
  <c r="R24" i="26"/>
  <c r="J24" i="26"/>
  <c r="Q24" i="26" s="1"/>
  <c r="I24" i="26"/>
  <c r="H24" i="26"/>
  <c r="J23" i="26"/>
  <c r="Q23" i="26" s="1"/>
  <c r="I23" i="26"/>
  <c r="H23" i="26"/>
  <c r="R22" i="26"/>
  <c r="J22" i="26"/>
  <c r="Q22" i="26" s="1"/>
  <c r="I22" i="26"/>
  <c r="H22" i="26"/>
  <c r="J21" i="26"/>
  <c r="I21" i="26"/>
  <c r="H21" i="26"/>
  <c r="S23" i="28" l="1"/>
  <c r="T23" i="28" s="1"/>
  <c r="L23" i="28"/>
  <c r="L26" i="26"/>
  <c r="S26" i="26"/>
  <c r="T26" i="26" s="1"/>
  <c r="S26" i="17"/>
  <c r="T26" i="17" s="1"/>
  <c r="L24" i="17"/>
  <c r="S24" i="17"/>
  <c r="T24" i="17" s="1"/>
  <c r="S22" i="17"/>
  <c r="T22" i="17" s="1"/>
  <c r="L22" i="17"/>
  <c r="L26" i="17"/>
  <c r="L26" i="4"/>
  <c r="Q25" i="4"/>
  <c r="L24" i="4"/>
  <c r="S22" i="4"/>
  <c r="T22" i="4" s="1"/>
  <c r="L22" i="4"/>
  <c r="S24" i="4"/>
  <c r="T24" i="4" s="1"/>
  <c r="S26" i="4"/>
  <c r="T26" i="4" s="1"/>
  <c r="L27" i="43"/>
  <c r="Q26" i="43"/>
  <c r="L25" i="43"/>
  <c r="L23" i="43"/>
  <c r="S25" i="43"/>
  <c r="T25" i="43" s="1"/>
  <c r="S23" i="43"/>
  <c r="T23" i="43" s="1"/>
  <c r="S27" i="43"/>
  <c r="T27" i="43" s="1"/>
  <c r="S22" i="1"/>
  <c r="T22" i="1" s="1"/>
  <c r="S28" i="1"/>
  <c r="T28" i="1" s="1"/>
  <c r="S24" i="1"/>
  <c r="T24" i="1" s="1"/>
  <c r="L22" i="1"/>
  <c r="L26" i="1"/>
  <c r="S26" i="1"/>
  <c r="T26" i="1" s="1"/>
  <c r="L24" i="1"/>
  <c r="L28" i="1"/>
  <c r="L30" i="16"/>
  <c r="Q29" i="16"/>
  <c r="L24" i="16"/>
  <c r="L26" i="16"/>
  <c r="L28" i="16"/>
  <c r="S22" i="16"/>
  <c r="T22" i="16" s="1"/>
  <c r="S24" i="16"/>
  <c r="T24" i="16" s="1"/>
  <c r="L22" i="16"/>
  <c r="S26" i="16"/>
  <c r="T26" i="16" s="1"/>
  <c r="S28" i="16"/>
  <c r="T28" i="16" s="1"/>
  <c r="S30" i="16"/>
  <c r="T30" i="16" s="1"/>
  <c r="L20" i="10"/>
  <c r="S25" i="10"/>
  <c r="T25" i="10" s="1"/>
  <c r="Q19" i="10"/>
  <c r="S23" i="10"/>
  <c r="T23" i="10" s="1"/>
  <c r="S20" i="10"/>
  <c r="T20" i="10" s="1"/>
  <c r="L23" i="10"/>
  <c r="L25" i="10"/>
  <c r="L26" i="29"/>
  <c r="Q25" i="29"/>
  <c r="L24" i="29"/>
  <c r="S26" i="29"/>
  <c r="T26" i="29" s="1"/>
  <c r="L22" i="29"/>
  <c r="S22" i="29"/>
  <c r="T22" i="29" s="1"/>
  <c r="S24" i="29"/>
  <c r="T24" i="29" s="1"/>
  <c r="L22" i="30"/>
  <c r="L26" i="30"/>
  <c r="S24" i="30"/>
  <c r="T24" i="30" s="1"/>
  <c r="L24" i="30"/>
  <c r="S22" i="30"/>
  <c r="T22" i="30" s="1"/>
  <c r="S26" i="30"/>
  <c r="T26" i="30" s="1"/>
  <c r="L26" i="15"/>
  <c r="Q25" i="15"/>
  <c r="S26" i="15"/>
  <c r="T26" i="15" s="1"/>
  <c r="S22" i="15"/>
  <c r="T22" i="15" s="1"/>
  <c r="T24" i="15"/>
  <c r="L24" i="15"/>
  <c r="L22" i="15"/>
  <c r="Q23" i="15"/>
  <c r="S24" i="26"/>
  <c r="T24" i="26" s="1"/>
  <c r="L24" i="26"/>
  <c r="S22" i="26"/>
  <c r="T22" i="26" s="1"/>
  <c r="L22" i="26"/>
  <c r="Q21" i="26"/>
  <c r="R26" i="31"/>
  <c r="J26" i="31"/>
  <c r="Q26" i="31" s="1"/>
  <c r="I26" i="31"/>
  <c r="H26" i="31"/>
  <c r="J25" i="31"/>
  <c r="Q25" i="31" s="1"/>
  <c r="I25" i="31"/>
  <c r="H25" i="31"/>
  <c r="R24" i="31"/>
  <c r="J24" i="31"/>
  <c r="Q24" i="31" s="1"/>
  <c r="I24" i="31"/>
  <c r="H24" i="31"/>
  <c r="J23" i="31"/>
  <c r="Q23" i="31" s="1"/>
  <c r="I23" i="31"/>
  <c r="H23" i="31"/>
  <c r="R22" i="31"/>
  <c r="J22" i="31"/>
  <c r="Q22" i="31" s="1"/>
  <c r="I22" i="31"/>
  <c r="H22" i="31"/>
  <c r="J21" i="31"/>
  <c r="Q21" i="31" s="1"/>
  <c r="I21" i="31"/>
  <c r="H21" i="31"/>
  <c r="J22" i="33"/>
  <c r="Q22" i="33" s="1"/>
  <c r="I22" i="33"/>
  <c r="H22" i="33"/>
  <c r="J21" i="33"/>
  <c r="Q21" i="33" s="1"/>
  <c r="I21" i="33"/>
  <c r="H21" i="33"/>
  <c r="Q28" i="13"/>
  <c r="I28" i="13"/>
  <c r="H27" i="13"/>
  <c r="J26" i="13"/>
  <c r="Q26" i="13" s="1"/>
  <c r="I26" i="13"/>
  <c r="H26" i="13"/>
  <c r="J25" i="13"/>
  <c r="I25" i="13"/>
  <c r="H25" i="13"/>
  <c r="J24" i="13"/>
  <c r="Q24" i="13" s="1"/>
  <c r="I24" i="13"/>
  <c r="H24" i="13"/>
  <c r="J23" i="13"/>
  <c r="I23" i="13"/>
  <c r="H23" i="13"/>
  <c r="J22" i="13"/>
  <c r="Q22" i="13" s="1"/>
  <c r="I22" i="13"/>
  <c r="H22" i="13"/>
  <c r="J21" i="13"/>
  <c r="Q21" i="13" s="1"/>
  <c r="I21" i="13"/>
  <c r="H21" i="13"/>
  <c r="R26" i="41"/>
  <c r="J26" i="41"/>
  <c r="Q26" i="41" s="1"/>
  <c r="I26" i="41"/>
  <c r="H26" i="41"/>
  <c r="J25" i="41"/>
  <c r="Q25" i="41" s="1"/>
  <c r="I25" i="41"/>
  <c r="H25" i="41"/>
  <c r="R24" i="41"/>
  <c r="J24" i="41"/>
  <c r="Q24" i="41" s="1"/>
  <c r="I24" i="41"/>
  <c r="H24" i="41"/>
  <c r="J23" i="41"/>
  <c r="Q23" i="41" s="1"/>
  <c r="I23" i="41"/>
  <c r="H23" i="41"/>
  <c r="R22" i="41"/>
  <c r="J22" i="41"/>
  <c r="Q22" i="41" s="1"/>
  <c r="I22" i="41"/>
  <c r="H22" i="41"/>
  <c r="J21" i="41"/>
  <c r="I21" i="41"/>
  <c r="H21" i="41"/>
  <c r="R24" i="23"/>
  <c r="J24" i="23"/>
  <c r="Q24" i="23" s="1"/>
  <c r="I24" i="23"/>
  <c r="H24" i="23"/>
  <c r="J23" i="23"/>
  <c r="Q23" i="23" s="1"/>
  <c r="I23" i="23"/>
  <c r="H23" i="23"/>
  <c r="R22" i="23"/>
  <c r="J22" i="23"/>
  <c r="Q22" i="23" s="1"/>
  <c r="I22" i="23"/>
  <c r="H22" i="23"/>
  <c r="J21" i="23"/>
  <c r="Q21" i="23" s="1"/>
  <c r="I21" i="23"/>
  <c r="H21" i="23"/>
  <c r="R22" i="9"/>
  <c r="J22" i="9"/>
  <c r="Q22" i="9" s="1"/>
  <c r="I22" i="9"/>
  <c r="H22" i="9"/>
  <c r="J21" i="9"/>
  <c r="Q21" i="9" s="1"/>
  <c r="I21" i="9"/>
  <c r="H21" i="9"/>
  <c r="J28" i="25"/>
  <c r="Q28" i="25" s="1"/>
  <c r="I28" i="25"/>
  <c r="H28" i="25"/>
  <c r="J27" i="25"/>
  <c r="I27" i="25"/>
  <c r="H27" i="25"/>
  <c r="J26" i="25"/>
  <c r="Q26" i="25" s="1"/>
  <c r="I26" i="25"/>
  <c r="H26" i="25"/>
  <c r="J25" i="25"/>
  <c r="I25" i="25"/>
  <c r="H25" i="25"/>
  <c r="J24" i="25"/>
  <c r="I24" i="25"/>
  <c r="H24" i="25"/>
  <c r="J23" i="25"/>
  <c r="I23" i="25"/>
  <c r="H23" i="25"/>
  <c r="J22" i="25"/>
  <c r="Q22" i="25" s="1"/>
  <c r="I22" i="25"/>
  <c r="H22" i="25"/>
  <c r="J21" i="25"/>
  <c r="I21" i="25"/>
  <c r="H21" i="25"/>
  <c r="R24" i="20"/>
  <c r="S41" i="20"/>
  <c r="J24" i="20"/>
  <c r="Q24" i="20" s="1"/>
  <c r="I24" i="20"/>
  <c r="H24" i="20"/>
  <c r="J23" i="20"/>
  <c r="Q23" i="20" s="1"/>
  <c r="I23" i="20"/>
  <c r="H23" i="20"/>
  <c r="Q22" i="20"/>
  <c r="I22" i="20"/>
  <c r="H22" i="20"/>
  <c r="Q21" i="20"/>
  <c r="I21" i="20"/>
  <c r="H21" i="20"/>
  <c r="R20" i="20"/>
  <c r="J20" i="20"/>
  <c r="Q20" i="20" s="1"/>
  <c r="I20" i="20"/>
  <c r="H20" i="20"/>
  <c r="J19" i="20"/>
  <c r="Q19" i="20" s="1"/>
  <c r="I19" i="20"/>
  <c r="H19" i="20"/>
  <c r="R20" i="23"/>
  <c r="J20" i="23"/>
  <c r="Q20" i="23" s="1"/>
  <c r="I20" i="23"/>
  <c r="H20" i="23"/>
  <c r="J19" i="23"/>
  <c r="Q19" i="23" s="1"/>
  <c r="I19" i="23"/>
  <c r="H19" i="23"/>
  <c r="W40" i="20"/>
  <c r="V40" i="20"/>
  <c r="R24" i="22"/>
  <c r="J24" i="22"/>
  <c r="Q24" i="22" s="1"/>
  <c r="I24" i="22"/>
  <c r="H24" i="22"/>
  <c r="J23" i="22"/>
  <c r="Q23" i="22" s="1"/>
  <c r="I23" i="22"/>
  <c r="H23" i="22"/>
  <c r="R22" i="22"/>
  <c r="J22" i="22"/>
  <c r="Q22" i="22" s="1"/>
  <c r="I22" i="22"/>
  <c r="H22" i="22"/>
  <c r="J21" i="22"/>
  <c r="Q21" i="22" s="1"/>
  <c r="I21" i="22"/>
  <c r="H21" i="22"/>
  <c r="R24" i="44"/>
  <c r="S40" i="44"/>
  <c r="S41" i="44"/>
  <c r="J24" i="44"/>
  <c r="Q24" i="44" s="1"/>
  <c r="I24" i="44"/>
  <c r="H24" i="44"/>
  <c r="J23" i="44"/>
  <c r="Q23" i="44" s="1"/>
  <c r="I23" i="44"/>
  <c r="H23" i="44"/>
  <c r="R22" i="44"/>
  <c r="J22" i="44"/>
  <c r="Q22" i="44" s="1"/>
  <c r="I22" i="44"/>
  <c r="H22" i="44"/>
  <c r="J21" i="44"/>
  <c r="Q21" i="44" s="1"/>
  <c r="I21" i="44"/>
  <c r="H21" i="44"/>
  <c r="S26" i="31" l="1"/>
  <c r="T26" i="31" s="1"/>
  <c r="L26" i="31"/>
  <c r="S24" i="31"/>
  <c r="T24" i="31" s="1"/>
  <c r="L24" i="31"/>
  <c r="L22" i="31"/>
  <c r="S22" i="31"/>
  <c r="T22" i="31" s="1"/>
  <c r="S22" i="33"/>
  <c r="T22" i="33" s="1"/>
  <c r="L22" i="33"/>
  <c r="L28" i="13"/>
  <c r="S26" i="13"/>
  <c r="T26" i="13" s="1"/>
  <c r="L26" i="13"/>
  <c r="L24" i="13"/>
  <c r="Q25" i="13"/>
  <c r="S28" i="13"/>
  <c r="T28" i="13" s="1"/>
  <c r="S24" i="13"/>
  <c r="T24" i="13" s="1"/>
  <c r="Q27" i="13"/>
  <c r="Q23" i="13"/>
  <c r="L22" i="13"/>
  <c r="S22" i="13"/>
  <c r="T22" i="13" s="1"/>
  <c r="L26" i="41"/>
  <c r="S26" i="41"/>
  <c r="T26" i="41" s="1"/>
  <c r="L24" i="41"/>
  <c r="S24" i="41"/>
  <c r="T24" i="41" s="1"/>
  <c r="L22" i="41"/>
  <c r="Q21" i="41"/>
  <c r="S22" i="41"/>
  <c r="T22" i="41" s="1"/>
  <c r="S24" i="23"/>
  <c r="T24" i="23" s="1"/>
  <c r="L24" i="23"/>
  <c r="L22" i="23"/>
  <c r="S22" i="23"/>
  <c r="T22" i="23" s="1"/>
  <c r="S22" i="9"/>
  <c r="T22" i="9" s="1"/>
  <c r="L22" i="9"/>
  <c r="S28" i="25"/>
  <c r="T28" i="25" s="1"/>
  <c r="Q27" i="25"/>
  <c r="L28" i="25"/>
  <c r="S26" i="25"/>
  <c r="T26" i="25" s="1"/>
  <c r="Q25" i="25"/>
  <c r="L26" i="25"/>
  <c r="S24" i="25"/>
  <c r="T24" i="25" s="1"/>
  <c r="L24" i="25"/>
  <c r="Q23" i="25"/>
  <c r="Q24" i="25"/>
  <c r="L22" i="25"/>
  <c r="S22" i="25"/>
  <c r="T22" i="25" s="1"/>
  <c r="Q21" i="25"/>
  <c r="S24" i="20"/>
  <c r="T24" i="20" s="1"/>
  <c r="L24" i="20"/>
  <c r="S20" i="20"/>
  <c r="T20" i="20" s="1"/>
  <c r="L20" i="20"/>
  <c r="S20" i="23"/>
  <c r="T20" i="23" s="1"/>
  <c r="F38" i="23"/>
  <c r="L20" i="23"/>
  <c r="U40" i="20"/>
  <c r="S24" i="22"/>
  <c r="T24" i="22" s="1"/>
  <c r="L24" i="22"/>
  <c r="S22" i="22"/>
  <c r="T22" i="22" s="1"/>
  <c r="L22" i="22"/>
  <c r="L24" i="44"/>
  <c r="S24" i="44"/>
  <c r="T24" i="44" s="1"/>
  <c r="S22" i="44"/>
  <c r="T22" i="44" s="1"/>
  <c r="L22" i="44"/>
  <c r="U42" i="38"/>
  <c r="T40" i="25"/>
  <c r="J20" i="25"/>
  <c r="Q20" i="25" s="1"/>
  <c r="I20" i="25"/>
  <c r="H20" i="25"/>
  <c r="J19" i="25"/>
  <c r="I19" i="25"/>
  <c r="H19" i="25"/>
  <c r="T40" i="28"/>
  <c r="W41" i="28"/>
  <c r="W40" i="28"/>
  <c r="V40" i="28"/>
  <c r="F39" i="23" l="1"/>
  <c r="U41" i="38"/>
  <c r="U41" i="28"/>
  <c r="S20" i="25"/>
  <c r="T20" i="25" s="1"/>
  <c r="Q19" i="25"/>
  <c r="L20" i="25"/>
  <c r="U40" i="28"/>
  <c r="T43" i="11" l="1"/>
  <c r="W44" i="10" l="1"/>
  <c r="V44" i="10"/>
  <c r="V43" i="10"/>
  <c r="W43" i="10"/>
  <c r="W42" i="10"/>
  <c r="V42" i="10"/>
  <c r="W41" i="10"/>
  <c r="U44" i="10" l="1"/>
  <c r="U42" i="10"/>
  <c r="U41" i="10"/>
  <c r="W44" i="11" l="1"/>
  <c r="W43" i="11"/>
  <c r="T43" i="17"/>
  <c r="W44" i="20" l="1"/>
  <c r="W43" i="20"/>
  <c r="V43" i="20"/>
  <c r="U44" i="20"/>
  <c r="U42" i="28"/>
  <c r="W42" i="28"/>
  <c r="V41" i="28"/>
  <c r="V42" i="20"/>
  <c r="V41" i="20"/>
  <c r="R21" i="43"/>
  <c r="J21" i="43"/>
  <c r="Q21" i="43" s="1"/>
  <c r="I21" i="43"/>
  <c r="H21" i="43"/>
  <c r="R20" i="15"/>
  <c r="J20" i="15"/>
  <c r="Q20" i="15" s="1"/>
  <c r="I20" i="15"/>
  <c r="H20" i="15"/>
  <c r="U43" i="20" l="1"/>
  <c r="R20" i="1" l="1"/>
  <c r="J20" i="13" l="1"/>
  <c r="I20" i="13"/>
  <c r="H20" i="13"/>
  <c r="J19" i="13"/>
  <c r="I19" i="13"/>
  <c r="H19" i="13"/>
  <c r="U43" i="44" l="1"/>
  <c r="J19" i="29" l="1"/>
  <c r="I19" i="29"/>
  <c r="H19" i="29"/>
  <c r="W43" i="28" l="1"/>
  <c r="W44" i="28"/>
  <c r="U44" i="28"/>
  <c r="V43" i="28"/>
  <c r="V42" i="28"/>
  <c r="W41" i="44" l="1"/>
  <c r="W42" i="44"/>
  <c r="V42" i="44"/>
  <c r="V41" i="44"/>
  <c r="U42" i="44" l="1"/>
  <c r="Q19" i="29" l="1"/>
  <c r="R20" i="41"/>
  <c r="J20" i="41"/>
  <c r="Q20" i="41" s="1"/>
  <c r="I20" i="41"/>
  <c r="H20" i="41"/>
  <c r="J19" i="41"/>
  <c r="I19" i="41"/>
  <c r="H19" i="41"/>
  <c r="L20" i="41" l="1"/>
  <c r="S20" i="41"/>
  <c r="T20" i="41" s="1"/>
  <c r="Q19" i="41"/>
  <c r="J20" i="17" l="1"/>
  <c r="I20" i="17"/>
  <c r="H20" i="17"/>
  <c r="J19" i="17"/>
  <c r="I19" i="17"/>
  <c r="H19" i="17"/>
  <c r="R20" i="28"/>
  <c r="V43" i="9" l="1"/>
  <c r="W43" i="9"/>
  <c r="U43" i="9" l="1"/>
  <c r="U45" i="10"/>
  <c r="W46" i="43" l="1"/>
  <c r="W45" i="11"/>
  <c r="U46" i="43" l="1"/>
  <c r="U45" i="11"/>
  <c r="U43" i="10" l="1"/>
  <c r="F38" i="38" l="1"/>
  <c r="T40" i="38" l="1"/>
  <c r="U45" i="30" l="1"/>
  <c r="W43" i="17" l="1"/>
  <c r="U43" i="17" l="1"/>
  <c r="I19" i="47" l="1"/>
  <c r="J19" i="47"/>
  <c r="E32" i="27" l="1"/>
  <c r="F32" i="27"/>
  <c r="G32" i="27"/>
  <c r="H32" i="27"/>
  <c r="I32" i="27"/>
  <c r="J32" i="27"/>
  <c r="V40" i="9" l="1"/>
  <c r="W42" i="26" l="1"/>
  <c r="R20" i="26"/>
  <c r="J19" i="26"/>
  <c r="Q19" i="26" s="1"/>
  <c r="I19" i="26"/>
  <c r="H19" i="26"/>
  <c r="U43" i="28" l="1"/>
  <c r="V43" i="26"/>
  <c r="W44" i="26"/>
  <c r="W43" i="26"/>
  <c r="U44" i="26"/>
  <c r="U43" i="26" l="1"/>
  <c r="W42" i="9" l="1"/>
  <c r="W41" i="9"/>
  <c r="V42" i="9"/>
  <c r="U42" i="9"/>
  <c r="V42" i="26"/>
  <c r="W41" i="26"/>
  <c r="V41" i="26"/>
  <c r="U41" i="9" l="1"/>
  <c r="U42" i="26"/>
  <c r="V40" i="26" l="1"/>
  <c r="U41" i="26"/>
  <c r="W40" i="9" l="1"/>
  <c r="V41" i="9"/>
  <c r="U40" i="9" l="1"/>
  <c r="W40" i="26"/>
  <c r="W39" i="26"/>
  <c r="V39" i="26"/>
  <c r="U40" i="26"/>
  <c r="J20" i="26"/>
  <c r="S20" i="26" s="1"/>
  <c r="I20" i="26"/>
  <c r="H20" i="26"/>
  <c r="T20" i="26" l="1"/>
  <c r="F38" i="26" s="1"/>
  <c r="U39" i="26"/>
  <c r="Q20" i="26"/>
  <c r="F37" i="26" s="1"/>
  <c r="R20" i="44" l="1"/>
  <c r="M35" i="25" l="1"/>
  <c r="Q3" i="33" l="1"/>
  <c r="J16" i="33"/>
  <c r="H19" i="33"/>
  <c r="I19" i="33"/>
  <c r="J19" i="33"/>
  <c r="H20" i="33"/>
  <c r="I20" i="33"/>
  <c r="J20" i="33"/>
  <c r="Q20" i="33" s="1"/>
  <c r="U41" i="33"/>
  <c r="U44" i="33"/>
  <c r="F34" i="33"/>
  <c r="H34" i="33" s="1"/>
  <c r="I34" i="33" s="1"/>
  <c r="J34" i="33" s="1"/>
  <c r="K34" i="33" s="1"/>
  <c r="L34" i="33" s="1"/>
  <c r="M35" i="33"/>
  <c r="F40" i="33" s="1"/>
  <c r="T40" i="33"/>
  <c r="V40" i="33"/>
  <c r="W40" i="33"/>
  <c r="T41" i="33"/>
  <c r="V41" i="33"/>
  <c r="W41" i="33"/>
  <c r="T42" i="33"/>
  <c r="U42" i="33"/>
  <c r="V42" i="33"/>
  <c r="W42" i="33"/>
  <c r="T43" i="33"/>
  <c r="U43" i="33"/>
  <c r="V43" i="33"/>
  <c r="W43" i="33"/>
  <c r="T44" i="33"/>
  <c r="V44" i="33"/>
  <c r="W44" i="33"/>
  <c r="T45" i="33"/>
  <c r="U45" i="33"/>
  <c r="V45" i="33"/>
  <c r="W45" i="33"/>
  <c r="L46" i="33"/>
  <c r="U46" i="33"/>
  <c r="V46" i="33"/>
  <c r="W46" i="33"/>
  <c r="S20" i="33" l="1"/>
  <c r="T20" i="33" s="1"/>
  <c r="F39" i="33" s="1"/>
  <c r="L20" i="33"/>
  <c r="F16" i="33"/>
  <c r="P16" i="33" s="1"/>
  <c r="U40" i="33"/>
  <c r="Q19" i="33"/>
  <c r="F38" i="33" s="1"/>
  <c r="F49" i="33" l="1"/>
  <c r="Q37" i="33" s="1"/>
  <c r="D21" i="27" s="1"/>
  <c r="J20" i="28"/>
  <c r="Q20" i="28" s="1"/>
  <c r="I20" i="28"/>
  <c r="H20" i="28"/>
  <c r="J19" i="28"/>
  <c r="I19" i="28"/>
  <c r="H19" i="28"/>
  <c r="S20" i="28" l="1"/>
  <c r="T20" i="28" s="1"/>
  <c r="F38" i="28" s="1"/>
  <c r="Q19" i="28"/>
  <c r="F37" i="28" s="1"/>
  <c r="U39" i="28"/>
  <c r="L20" i="28"/>
  <c r="U41" i="44" l="1"/>
  <c r="W39" i="28" l="1"/>
  <c r="V39" i="28" l="1"/>
  <c r="V40" i="44" l="1"/>
  <c r="V44" i="28" l="1"/>
  <c r="T39" i="28"/>
  <c r="H19" i="47" l="1"/>
  <c r="J19" i="44" l="1"/>
  <c r="Q19" i="44" s="1"/>
  <c r="I19" i="44"/>
  <c r="H19" i="44"/>
  <c r="J20" i="44"/>
  <c r="Q20" i="44" s="1"/>
  <c r="I20" i="44"/>
  <c r="H20" i="44"/>
  <c r="F38" i="44" l="1"/>
  <c r="S20" i="44"/>
  <c r="T20" i="44" s="1"/>
  <c r="F39" i="44" s="1"/>
  <c r="U40" i="44"/>
  <c r="L20" i="44"/>
  <c r="T41" i="11" l="1"/>
  <c r="T42" i="11" l="1"/>
  <c r="Q6" i="4" l="1"/>
  <c r="W43" i="44" l="1"/>
  <c r="W40" i="23" l="1"/>
  <c r="T45" i="31" l="1"/>
  <c r="W41" i="11"/>
  <c r="V44" i="11"/>
  <c r="V45" i="11"/>
  <c r="U44" i="11" l="1"/>
  <c r="V43" i="11" l="1"/>
  <c r="R20" i="22" l="1"/>
  <c r="T41" i="48" l="1"/>
  <c r="T42" i="48"/>
  <c r="U43" i="11" l="1"/>
  <c r="W45" i="10" l="1"/>
  <c r="V45" i="10" l="1"/>
  <c r="U46" i="10"/>
  <c r="T41" i="10"/>
  <c r="R20" i="4" l="1"/>
  <c r="R20" i="16" l="1"/>
  <c r="R20" i="31" l="1"/>
  <c r="K18" i="36" l="1"/>
  <c r="U41" i="39"/>
  <c r="H19" i="31" l="1"/>
  <c r="T40" i="24"/>
  <c r="K11" i="27" l="1"/>
  <c r="F10" i="27"/>
  <c r="W41" i="47" l="1"/>
  <c r="J23" i="27" l="1"/>
  <c r="I23" i="27"/>
  <c r="H23" i="27"/>
  <c r="G23" i="27"/>
  <c r="H5" i="27" l="1"/>
  <c r="I5" i="27"/>
  <c r="J5" i="27"/>
  <c r="T45" i="43" l="1"/>
  <c r="R20" i="47" l="1"/>
  <c r="T43" i="28" l="1"/>
  <c r="T41" i="28"/>
  <c r="D68" i="37" l="1"/>
  <c r="C68" i="37"/>
  <c r="B68" i="37"/>
  <c r="E68" i="37" l="1"/>
  <c r="U41" i="23" l="1"/>
  <c r="U42" i="23"/>
  <c r="U42" i="31" l="1"/>
  <c r="U42" i="24"/>
  <c r="U41" i="31" l="1"/>
  <c r="U42" i="11"/>
  <c r="U41" i="24" l="1"/>
  <c r="U43" i="31" l="1"/>
  <c r="U44" i="23"/>
  <c r="T40" i="47" l="1"/>
  <c r="T43" i="47"/>
  <c r="T42" i="47"/>
  <c r="T41" i="47"/>
  <c r="J19" i="16"/>
  <c r="J20" i="16"/>
  <c r="Q20" i="16" s="1"/>
  <c r="R20" i="9"/>
  <c r="Q19" i="16" l="1"/>
  <c r="F38" i="16" s="1"/>
  <c r="S20" i="16"/>
  <c r="T20" i="16" s="1"/>
  <c r="F39" i="16" s="1"/>
  <c r="L46" i="47" l="1"/>
  <c r="U42" i="48" l="1"/>
  <c r="U42" i="1"/>
  <c r="U43" i="16"/>
  <c r="U43" i="29"/>
  <c r="U43" i="25"/>
  <c r="U44" i="22"/>
  <c r="U45" i="22"/>
  <c r="U43" i="47"/>
  <c r="F34" i="22"/>
  <c r="U43" i="22" l="1"/>
  <c r="U41" i="22"/>
  <c r="C29" i="36"/>
  <c r="U42" i="16" l="1"/>
  <c r="U42" i="30"/>
  <c r="U41" i="16"/>
  <c r="U42" i="17"/>
  <c r="U42" i="25"/>
  <c r="U42" i="29"/>
  <c r="U41" i="48"/>
  <c r="U42" i="47"/>
  <c r="U41" i="29" l="1"/>
  <c r="U41" i="25" l="1"/>
  <c r="U41" i="47"/>
  <c r="U41" i="4"/>
  <c r="U41" i="1"/>
  <c r="U41" i="17"/>
  <c r="U41" i="30" l="1"/>
  <c r="R20" i="30" l="1"/>
  <c r="H19" i="30"/>
  <c r="I19" i="30"/>
  <c r="J19" i="30"/>
  <c r="H20" i="30"/>
  <c r="I20" i="30"/>
  <c r="J20" i="30"/>
  <c r="Q20" i="30" s="1"/>
  <c r="J16" i="26"/>
  <c r="S20" i="30" l="1"/>
  <c r="T20" i="30" s="1"/>
  <c r="F39" i="30" s="1"/>
  <c r="Q19" i="30"/>
  <c r="F38" i="30" s="1"/>
  <c r="U40" i="30"/>
  <c r="L20" i="30"/>
  <c r="J19" i="31" l="1"/>
  <c r="R20" i="11" l="1"/>
  <c r="R20" i="24"/>
  <c r="F36" i="43"/>
  <c r="H36" i="43" s="1"/>
  <c r="G18" i="42" l="1"/>
  <c r="G20" i="42" s="1"/>
  <c r="H21" i="42" s="1"/>
  <c r="R20" i="39" l="1"/>
  <c r="J20" i="39"/>
  <c r="Q20" i="39" s="1"/>
  <c r="I20" i="39"/>
  <c r="H20" i="39"/>
  <c r="J19" i="39"/>
  <c r="I19" i="39"/>
  <c r="H19" i="39"/>
  <c r="S20" i="39" l="1"/>
  <c r="T20" i="39" s="1"/>
  <c r="F39" i="39" s="1"/>
  <c r="U40" i="39"/>
  <c r="L20" i="39"/>
  <c r="Q19" i="39"/>
  <c r="F38" i="39" s="1"/>
  <c r="F40" i="10" l="1"/>
  <c r="F39" i="10" l="1"/>
  <c r="U45" i="15" l="1"/>
  <c r="G31" i="42"/>
  <c r="H28" i="42" s="1"/>
  <c r="I28" i="42" l="1"/>
  <c r="H31" i="42"/>
  <c r="H26" i="42"/>
  <c r="I27" i="42"/>
  <c r="H27" i="42"/>
  <c r="W42" i="25"/>
  <c r="V42" i="25"/>
  <c r="W40" i="1" l="1"/>
  <c r="V41" i="1"/>
  <c r="V40" i="1"/>
  <c r="J20" i="4"/>
  <c r="Q20" i="4" s="1"/>
  <c r="I20" i="4"/>
  <c r="H20" i="4"/>
  <c r="J19" i="4"/>
  <c r="I19" i="4"/>
  <c r="H19" i="4"/>
  <c r="Q19" i="4" l="1"/>
  <c r="F38" i="4" s="1"/>
  <c r="S20" i="4"/>
  <c r="T20" i="4" s="1"/>
  <c r="F39" i="4" s="1"/>
  <c r="L20" i="4"/>
  <c r="T42" i="25"/>
  <c r="T42" i="26" l="1"/>
  <c r="U39" i="9" l="1"/>
  <c r="U40" i="23" l="1"/>
  <c r="T41" i="38"/>
  <c r="T42" i="38"/>
  <c r="T43" i="38"/>
  <c r="T44" i="38"/>
  <c r="T45" i="38"/>
  <c r="T46" i="38"/>
  <c r="F34" i="16"/>
  <c r="H34" i="16" s="1"/>
  <c r="I34" i="16" s="1"/>
  <c r="J34" i="16" s="1"/>
  <c r="K34" i="16" s="1"/>
  <c r="L34" i="16" s="1"/>
  <c r="M35" i="16"/>
  <c r="Q3" i="4" l="1"/>
  <c r="W44" i="29"/>
  <c r="V44" i="29"/>
  <c r="U44" i="29" l="1"/>
  <c r="T44" i="31"/>
  <c r="W43" i="29"/>
  <c r="V43" i="29"/>
  <c r="T43" i="31"/>
  <c r="W42" i="29"/>
  <c r="V42" i="29"/>
  <c r="W40" i="29"/>
  <c r="W41" i="29"/>
  <c r="V41" i="29"/>
  <c r="R20" i="29"/>
  <c r="V40" i="29"/>
  <c r="J20" i="29"/>
  <c r="Q20" i="29" s="1"/>
  <c r="I20" i="29"/>
  <c r="H20" i="29"/>
  <c r="W43" i="30"/>
  <c r="V43" i="30"/>
  <c r="W42" i="30"/>
  <c r="V42" i="30"/>
  <c r="V41" i="30"/>
  <c r="W41" i="30"/>
  <c r="F34" i="4"/>
  <c r="T42" i="31"/>
  <c r="T41" i="31"/>
  <c r="T40" i="31"/>
  <c r="U40" i="29" l="1"/>
  <c r="L20" i="29"/>
  <c r="S20" i="29"/>
  <c r="T20" i="29" s="1"/>
  <c r="U43" i="30"/>
  <c r="F38" i="29"/>
  <c r="F39" i="29" l="1"/>
  <c r="T46" i="25"/>
  <c r="T44" i="9"/>
  <c r="T46" i="48"/>
  <c r="T45" i="48"/>
  <c r="T46" i="20"/>
  <c r="T45" i="20"/>
  <c r="B4" i="37"/>
  <c r="B5" i="37"/>
  <c r="B8" i="37"/>
  <c r="B16" i="37"/>
  <c r="B32" i="37"/>
  <c r="B35" i="37"/>
  <c r="B39" i="37"/>
  <c r="B40" i="37"/>
  <c r="B41" i="37"/>
  <c r="B42" i="37"/>
  <c r="B43" i="37"/>
  <c r="B44" i="37"/>
  <c r="B47" i="37"/>
  <c r="B48" i="37"/>
  <c r="B49" i="37"/>
  <c r="B50" i="37"/>
  <c r="B51" i="37"/>
  <c r="B53" i="37"/>
  <c r="B54" i="37"/>
  <c r="B57" i="37"/>
  <c r="B62" i="37"/>
  <c r="B63" i="37"/>
  <c r="B66" i="37"/>
  <c r="U44" i="13"/>
  <c r="L46" i="29"/>
  <c r="W45" i="16" l="1"/>
  <c r="W43" i="35"/>
  <c r="W42" i="35"/>
  <c r="V43" i="35"/>
  <c r="V42" i="35"/>
  <c r="W44" i="31"/>
  <c r="W43" i="31"/>
  <c r="W45" i="29"/>
  <c r="V45" i="29"/>
  <c r="U45" i="29"/>
  <c r="R20" i="48" l="1"/>
  <c r="U42" i="35" l="1"/>
  <c r="U43" i="35"/>
  <c r="T40" i="15" l="1"/>
  <c r="T44" i="43" l="1"/>
  <c r="F34" i="24" l="1"/>
  <c r="H34" i="24" s="1"/>
  <c r="W44" i="35" l="1"/>
  <c r="W40" i="30" l="1"/>
  <c r="W39" i="9"/>
  <c r="T44" i="35" l="1"/>
  <c r="U44" i="35"/>
  <c r="V44" i="35"/>
  <c r="T43" i="30"/>
  <c r="T43" i="1" l="1"/>
  <c r="T44" i="1"/>
  <c r="T45" i="1"/>
  <c r="W40" i="38" l="1"/>
  <c r="M29" i="36" l="1"/>
  <c r="M28" i="36"/>
  <c r="M27" i="36"/>
  <c r="M26" i="36"/>
  <c r="M25" i="36"/>
  <c r="M24" i="36"/>
  <c r="M23" i="36"/>
  <c r="M21" i="36"/>
  <c r="M20" i="36"/>
  <c r="M19" i="36"/>
  <c r="M17" i="36"/>
  <c r="M16" i="36"/>
  <c r="M15" i="36"/>
  <c r="M12" i="36"/>
  <c r="M11" i="36"/>
  <c r="M10" i="36"/>
  <c r="M9" i="36"/>
  <c r="M8" i="36"/>
  <c r="M7" i="36"/>
  <c r="M5" i="36"/>
  <c r="M4" i="36"/>
  <c r="W45" i="26"/>
  <c r="V45" i="26"/>
  <c r="U45" i="26"/>
  <c r="V44" i="26"/>
  <c r="W44" i="47"/>
  <c r="W43" i="47"/>
  <c r="W42" i="47"/>
  <c r="W40" i="47"/>
  <c r="U46" i="47"/>
  <c r="U45" i="47"/>
  <c r="U44" i="47"/>
  <c r="B7" i="37"/>
  <c r="W46" i="47"/>
  <c r="V46" i="47"/>
  <c r="W45" i="47"/>
  <c r="V45" i="47"/>
  <c r="V44" i="47"/>
  <c r="V43" i="47"/>
  <c r="V42" i="47"/>
  <c r="V41" i="47"/>
  <c r="V40" i="47"/>
  <c r="W46" i="15"/>
  <c r="W45" i="15"/>
  <c r="W44" i="15"/>
  <c r="W43" i="15"/>
  <c r="W42" i="15"/>
  <c r="W41" i="15"/>
  <c r="W40" i="15"/>
  <c r="V46" i="15"/>
  <c r="U46" i="15"/>
  <c r="V45" i="15"/>
  <c r="V44" i="15"/>
  <c r="U44" i="15"/>
  <c r="V43" i="15"/>
  <c r="U43" i="15"/>
  <c r="V42" i="15"/>
  <c r="U42" i="15"/>
  <c r="V41" i="15"/>
  <c r="U41" i="15"/>
  <c r="V40" i="15"/>
  <c r="U46" i="39"/>
  <c r="U44" i="39"/>
  <c r="U43" i="39"/>
  <c r="U42" i="39"/>
  <c r="W46" i="39"/>
  <c r="W45" i="39"/>
  <c r="W44" i="39"/>
  <c r="W43" i="39"/>
  <c r="W42" i="39"/>
  <c r="W41" i="39"/>
  <c r="W40" i="39"/>
  <c r="V46" i="39"/>
  <c r="V45" i="39"/>
  <c r="U45" i="39"/>
  <c r="V44" i="39"/>
  <c r="V43" i="39"/>
  <c r="V42" i="39"/>
  <c r="V41" i="39"/>
  <c r="V40" i="39"/>
  <c r="W46" i="38"/>
  <c r="W45" i="38"/>
  <c r="W44" i="38"/>
  <c r="W43" i="38"/>
  <c r="W42" i="38"/>
  <c r="W41" i="38"/>
  <c r="U46" i="38"/>
  <c r="U45" i="38"/>
  <c r="U44" i="38"/>
  <c r="U43" i="38"/>
  <c r="V46" i="38"/>
  <c r="V45" i="38"/>
  <c r="V44" i="38"/>
  <c r="V43" i="38"/>
  <c r="V42" i="38"/>
  <c r="V40" i="38"/>
  <c r="W46" i="17"/>
  <c r="W45" i="17"/>
  <c r="W44" i="17"/>
  <c r="W42" i="17"/>
  <c r="W41" i="17"/>
  <c r="W40" i="17"/>
  <c r="U46" i="17"/>
  <c r="U45" i="17"/>
  <c r="U44" i="17"/>
  <c r="V46" i="17"/>
  <c r="V45" i="17"/>
  <c r="V44" i="17"/>
  <c r="V43" i="17"/>
  <c r="V42" i="17"/>
  <c r="V41" i="17"/>
  <c r="V40" i="17"/>
  <c r="U48" i="43"/>
  <c r="U47" i="43"/>
  <c r="U45" i="43"/>
  <c r="U44" i="43"/>
  <c r="U43" i="43"/>
  <c r="V48" i="43"/>
  <c r="V47" i="43"/>
  <c r="V46" i="43"/>
  <c r="V45" i="43"/>
  <c r="V44" i="43"/>
  <c r="V43" i="43"/>
  <c r="V42" i="43"/>
  <c r="W48" i="43"/>
  <c r="W47" i="43"/>
  <c r="W45" i="43"/>
  <c r="W44" i="43"/>
  <c r="W43" i="43"/>
  <c r="W42" i="43"/>
  <c r="U46" i="44"/>
  <c r="U45" i="44"/>
  <c r="U44" i="44"/>
  <c r="V46" i="44"/>
  <c r="V45" i="44"/>
  <c r="V44" i="44"/>
  <c r="V43" i="44"/>
  <c r="W46" i="44"/>
  <c r="W45" i="44"/>
  <c r="W44" i="44"/>
  <c r="W40" i="44"/>
  <c r="U45" i="41"/>
  <c r="U44" i="41"/>
  <c r="U43" i="41"/>
  <c r="U42" i="41"/>
  <c r="U41" i="41"/>
  <c r="W46" i="41"/>
  <c r="W45" i="41"/>
  <c r="W44" i="41"/>
  <c r="W43" i="41"/>
  <c r="W42" i="41"/>
  <c r="W41" i="41"/>
  <c r="W40" i="41"/>
  <c r="V46" i="41"/>
  <c r="V45" i="41"/>
  <c r="V44" i="41"/>
  <c r="V43" i="41"/>
  <c r="V42" i="41"/>
  <c r="V41" i="41"/>
  <c r="V40" i="41"/>
  <c r="U46" i="41"/>
  <c r="V46" i="16"/>
  <c r="U46" i="16"/>
  <c r="V45" i="16"/>
  <c r="U45" i="16"/>
  <c r="V44" i="16"/>
  <c r="U44" i="16"/>
  <c r="V43" i="16"/>
  <c r="V42" i="16"/>
  <c r="V41" i="16"/>
  <c r="V40" i="16"/>
  <c r="W46" i="16"/>
  <c r="W44" i="16"/>
  <c r="W43" i="16"/>
  <c r="W42" i="16"/>
  <c r="W41" i="16"/>
  <c r="W40" i="16"/>
  <c r="V46" i="25"/>
  <c r="U46" i="25"/>
  <c r="V45" i="25"/>
  <c r="U45" i="25"/>
  <c r="V44" i="25"/>
  <c r="U44" i="25"/>
  <c r="V43" i="25"/>
  <c r="V41" i="25"/>
  <c r="V40" i="25"/>
  <c r="W46" i="25"/>
  <c r="W45" i="25"/>
  <c r="W44" i="25"/>
  <c r="W43" i="25"/>
  <c r="W41" i="25"/>
  <c r="W40" i="25"/>
  <c r="W38" i="9"/>
  <c r="W46" i="30"/>
  <c r="W45" i="30"/>
  <c r="W44" i="30"/>
  <c r="W46" i="48"/>
  <c r="W45" i="48"/>
  <c r="W44" i="48"/>
  <c r="W43" i="48"/>
  <c r="W42" i="48"/>
  <c r="W41" i="48"/>
  <c r="W40" i="48"/>
  <c r="W46" i="20"/>
  <c r="W45" i="20"/>
  <c r="W46" i="35"/>
  <c r="W45" i="35"/>
  <c r="W41" i="35"/>
  <c r="W40" i="35"/>
  <c r="W46" i="24"/>
  <c r="W45" i="24"/>
  <c r="W44" i="24"/>
  <c r="W43" i="24"/>
  <c r="W42" i="24"/>
  <c r="W41" i="24"/>
  <c r="W40" i="24"/>
  <c r="W47" i="11"/>
  <c r="W46" i="11"/>
  <c r="W42" i="11"/>
  <c r="W45" i="28"/>
  <c r="W46" i="23"/>
  <c r="W45" i="23"/>
  <c r="W44" i="23"/>
  <c r="W43" i="23"/>
  <c r="W42" i="23"/>
  <c r="W41" i="23"/>
  <c r="W46" i="31"/>
  <c r="W45" i="31"/>
  <c r="W42" i="31"/>
  <c r="W41" i="31"/>
  <c r="W40" i="31"/>
  <c r="W46" i="22"/>
  <c r="W45" i="22"/>
  <c r="W44" i="22"/>
  <c r="W43" i="22"/>
  <c r="W42" i="22"/>
  <c r="W41" i="22"/>
  <c r="W40" i="22"/>
  <c r="W47" i="10"/>
  <c r="W46" i="10"/>
  <c r="W46" i="13"/>
  <c r="W45" i="13"/>
  <c r="W44" i="13"/>
  <c r="W43" i="13"/>
  <c r="W42" i="13"/>
  <c r="W41" i="13"/>
  <c r="W40" i="13"/>
  <c r="W46" i="4"/>
  <c r="W45" i="4"/>
  <c r="W44" i="4"/>
  <c r="W43" i="4"/>
  <c r="W42" i="4"/>
  <c r="W41" i="4"/>
  <c r="W40" i="4"/>
  <c r="W46" i="1"/>
  <c r="W45" i="1"/>
  <c r="W44" i="1"/>
  <c r="W43" i="1"/>
  <c r="W42" i="1"/>
  <c r="W41" i="1"/>
  <c r="V39" i="9"/>
  <c r="V38" i="9"/>
  <c r="V46" i="30"/>
  <c r="U46" i="30"/>
  <c r="V44" i="30"/>
  <c r="U44" i="30"/>
  <c r="V40" i="30"/>
  <c r="V46" i="48"/>
  <c r="V45" i="48"/>
  <c r="V44" i="48"/>
  <c r="V43" i="48"/>
  <c r="V42" i="48"/>
  <c r="V41" i="48"/>
  <c r="V40" i="48"/>
  <c r="U46" i="48"/>
  <c r="U45" i="48"/>
  <c r="U44" i="48"/>
  <c r="U43" i="48"/>
  <c r="U46" i="20"/>
  <c r="U45" i="20"/>
  <c r="V46" i="20"/>
  <c r="V45" i="20"/>
  <c r="V44" i="20"/>
  <c r="V46" i="35"/>
  <c r="V45" i="35"/>
  <c r="V41" i="35"/>
  <c r="V40" i="35"/>
  <c r="U46" i="35"/>
  <c r="U45" i="35"/>
  <c r="U41" i="35"/>
  <c r="V46" i="24"/>
  <c r="U46" i="24"/>
  <c r="V45" i="24"/>
  <c r="U45" i="24"/>
  <c r="V44" i="24"/>
  <c r="U44" i="24"/>
  <c r="V43" i="24"/>
  <c r="U43" i="24"/>
  <c r="V42" i="24"/>
  <c r="V41" i="24"/>
  <c r="V40" i="24"/>
  <c r="U47" i="11"/>
  <c r="U46" i="11"/>
  <c r="V47" i="11"/>
  <c r="V46" i="11"/>
  <c r="V42" i="11"/>
  <c r="V41" i="11"/>
  <c r="V45" i="28"/>
  <c r="U45" i="28"/>
  <c r="U46" i="23"/>
  <c r="U45" i="23"/>
  <c r="U43" i="23"/>
  <c r="B61" i="37"/>
  <c r="V46" i="23"/>
  <c r="V45" i="23"/>
  <c r="V44" i="23"/>
  <c r="V43" i="23"/>
  <c r="V42" i="23"/>
  <c r="V41" i="23"/>
  <c r="V40" i="23"/>
  <c r="U46" i="31"/>
  <c r="U45" i="31"/>
  <c r="U44" i="31"/>
  <c r="V46" i="31"/>
  <c r="V45" i="31"/>
  <c r="V44" i="31"/>
  <c r="V43" i="31"/>
  <c r="V42" i="31"/>
  <c r="V41" i="31"/>
  <c r="V40" i="31"/>
  <c r="U46" i="22"/>
  <c r="B45" i="37"/>
  <c r="U42" i="22"/>
  <c r="V46" i="22"/>
  <c r="V45" i="22"/>
  <c r="V44" i="22"/>
  <c r="V43" i="22"/>
  <c r="V42" i="22"/>
  <c r="V41" i="22"/>
  <c r="V40" i="22"/>
  <c r="V47" i="10"/>
  <c r="U47" i="10"/>
  <c r="V46" i="10"/>
  <c r="B6" i="37"/>
  <c r="M36" i="10"/>
  <c r="U46" i="13"/>
  <c r="U45" i="13"/>
  <c r="U43" i="13"/>
  <c r="U42" i="13"/>
  <c r="U41" i="13"/>
  <c r="V46" i="13"/>
  <c r="V45" i="13"/>
  <c r="V44" i="13"/>
  <c r="V43" i="13"/>
  <c r="V42" i="13"/>
  <c r="V41" i="13"/>
  <c r="V40" i="13"/>
  <c r="V46" i="4"/>
  <c r="V45" i="4"/>
  <c r="V44" i="4"/>
  <c r="V43" i="4"/>
  <c r="V42" i="4"/>
  <c r="V41" i="4"/>
  <c r="V40" i="4"/>
  <c r="U46" i="4"/>
  <c r="U45" i="4"/>
  <c r="U44" i="4"/>
  <c r="U43" i="4"/>
  <c r="U42" i="4"/>
  <c r="M3" i="36"/>
  <c r="V46" i="1"/>
  <c r="V45" i="1"/>
  <c r="V44" i="1"/>
  <c r="V43" i="1"/>
  <c r="V42" i="1"/>
  <c r="U46" i="1"/>
  <c r="U45" i="1"/>
  <c r="U44" i="1"/>
  <c r="U43" i="1"/>
  <c r="M35" i="1"/>
  <c r="F40" i="1" s="1"/>
  <c r="D29" i="37" l="1"/>
  <c r="D67" i="37"/>
  <c r="B59" i="37"/>
  <c r="M31" i="36"/>
  <c r="B65" i="37" l="1"/>
  <c r="J20" i="38"/>
  <c r="I20" i="38"/>
  <c r="H20" i="38"/>
  <c r="J19" i="38"/>
  <c r="I19" i="38"/>
  <c r="H19" i="38"/>
  <c r="S20" i="38" l="1"/>
  <c r="T20" i="38" s="1"/>
  <c r="L20" i="38"/>
  <c r="U40" i="38"/>
  <c r="B58" i="37" s="1"/>
  <c r="F16" i="38"/>
  <c r="F39" i="38" l="1"/>
  <c r="B69" i="37"/>
  <c r="T41" i="23"/>
  <c r="F35" i="10" l="1"/>
  <c r="H35" i="10" s="1"/>
  <c r="T42" i="1"/>
  <c r="T41" i="1"/>
  <c r="T44" i="4"/>
  <c r="T42" i="39" l="1"/>
  <c r="T41" i="20" l="1"/>
  <c r="T41" i="9" l="1"/>
  <c r="M35" i="41" l="1"/>
  <c r="T41" i="13" l="1"/>
  <c r="I19" i="31" l="1"/>
  <c r="H20" i="31"/>
  <c r="I20" i="31"/>
  <c r="J20" i="31"/>
  <c r="S20" i="31" s="1"/>
  <c r="U40" i="31" l="1"/>
  <c r="T20" i="31"/>
  <c r="F39" i="31" s="1"/>
  <c r="Q19" i="31"/>
  <c r="L20" i="31"/>
  <c r="Q20" i="31"/>
  <c r="F38" i="31" l="1"/>
  <c r="T43" i="35"/>
  <c r="T45" i="35"/>
  <c r="T43" i="22" l="1"/>
  <c r="T40" i="22" l="1"/>
  <c r="J20" i="22"/>
  <c r="Q20" i="22" s="1"/>
  <c r="I20" i="22"/>
  <c r="H20" i="22"/>
  <c r="J19" i="22"/>
  <c r="I19" i="22"/>
  <c r="H19" i="22"/>
  <c r="R20" i="17"/>
  <c r="T40" i="17"/>
  <c r="Q20" i="17"/>
  <c r="S20" i="22" l="1"/>
  <c r="T20" i="22" s="1"/>
  <c r="Q19" i="22"/>
  <c r="F38" i="22" s="1"/>
  <c r="U40" i="22"/>
  <c r="U40" i="17"/>
  <c r="L20" i="17"/>
  <c r="Q19" i="17"/>
  <c r="F38" i="17" s="1"/>
  <c r="S20" i="17"/>
  <c r="T20" i="17" s="1"/>
  <c r="L20" i="22"/>
  <c r="F39" i="17" l="1"/>
  <c r="T41" i="39"/>
  <c r="T40" i="13" l="1"/>
  <c r="T40" i="26"/>
  <c r="T41" i="26"/>
  <c r="T43" i="26"/>
  <c r="T44" i="26"/>
  <c r="T45" i="26"/>
  <c r="T39" i="26"/>
  <c r="R20" i="35" l="1"/>
  <c r="T41" i="35"/>
  <c r="T40" i="35"/>
  <c r="J20" i="35"/>
  <c r="Q20" i="35" s="1"/>
  <c r="I20" i="35"/>
  <c r="H20" i="35"/>
  <c r="J19" i="35"/>
  <c r="I19" i="35"/>
  <c r="H19" i="35"/>
  <c r="U40" i="35" l="1"/>
  <c r="S20" i="35"/>
  <c r="T20" i="35" s="1"/>
  <c r="F39" i="35" s="1"/>
  <c r="L20" i="35"/>
  <c r="Q19" i="35"/>
  <c r="F38" i="35" s="1"/>
  <c r="T43" i="4" l="1"/>
  <c r="T46" i="17"/>
  <c r="M36" i="11" l="1"/>
  <c r="F41" i="11" s="1"/>
  <c r="T44" i="20" l="1"/>
  <c r="T45" i="15" l="1"/>
  <c r="M35" i="29" l="1"/>
  <c r="M35" i="35"/>
  <c r="F40" i="35" s="1"/>
  <c r="M35" i="15" l="1"/>
  <c r="M35" i="47" l="1"/>
  <c r="F40" i="47" s="1"/>
  <c r="T42" i="30"/>
  <c r="T45" i="4" l="1"/>
  <c r="H34" i="4"/>
  <c r="T46" i="16" l="1"/>
  <c r="T47" i="10" l="1"/>
  <c r="T46" i="10"/>
  <c r="T45" i="10"/>
  <c r="T44" i="10"/>
  <c r="T43" i="10"/>
  <c r="T42" i="10"/>
  <c r="T45" i="28" l="1"/>
  <c r="T45" i="29"/>
  <c r="T45" i="13" l="1"/>
  <c r="T46" i="35" l="1"/>
  <c r="T46" i="44" l="1"/>
  <c r="K30" i="27" l="1"/>
  <c r="T46" i="41"/>
  <c r="K18" i="27" l="1"/>
  <c r="J19" i="27"/>
  <c r="J22" i="27"/>
  <c r="J24" i="27"/>
  <c r="J25" i="27"/>
  <c r="J26" i="27"/>
  <c r="J17" i="27"/>
  <c r="J27" i="27"/>
  <c r="J28" i="27"/>
  <c r="K17" i="27"/>
  <c r="T46" i="47"/>
  <c r="T48" i="43"/>
  <c r="K24" i="27"/>
  <c r="B67" i="37" l="1"/>
  <c r="E67" i="37" s="1"/>
  <c r="B64" i="37"/>
  <c r="T40" i="23"/>
  <c r="Q3" i="26" l="1"/>
  <c r="T40" i="29"/>
  <c r="T41" i="29"/>
  <c r="T42" i="29"/>
  <c r="T43" i="29"/>
  <c r="T44" i="29"/>
  <c r="T46" i="15" l="1"/>
  <c r="T44" i="13" l="1"/>
  <c r="T43" i="13"/>
  <c r="T42" i="13"/>
  <c r="H20" i="16" l="1"/>
  <c r="I20" i="16"/>
  <c r="F7" i="27" l="1"/>
  <c r="T43" i="20"/>
  <c r="T44" i="28" l="1"/>
  <c r="T43" i="24"/>
  <c r="T42" i="28"/>
  <c r="T42" i="20"/>
  <c r="T42" i="4"/>
  <c r="T41" i="4"/>
  <c r="T42" i="24" l="1"/>
  <c r="T41" i="24"/>
  <c r="F32" i="9" l="1"/>
  <c r="H32" i="9" s="1"/>
  <c r="I32" i="9" s="1"/>
  <c r="J32" i="9" s="1"/>
  <c r="K32" i="9" s="1"/>
  <c r="L32" i="9" s="1"/>
  <c r="M33" i="9"/>
  <c r="F38" i="9" s="1"/>
  <c r="M35" i="31" l="1"/>
  <c r="F40" i="31" s="1"/>
  <c r="T41" i="15" l="1"/>
  <c r="T42" i="15"/>
  <c r="T43" i="15"/>
  <c r="T44" i="15"/>
  <c r="T40" i="16"/>
  <c r="T41" i="16"/>
  <c r="T42" i="16"/>
  <c r="T43" i="16"/>
  <c r="T44" i="16"/>
  <c r="T45" i="16"/>
  <c r="T44" i="48" l="1"/>
  <c r="J20" i="1" l="1"/>
  <c r="Q20" i="1" s="1"/>
  <c r="I20" i="1"/>
  <c r="H20" i="1"/>
  <c r="J19" i="1"/>
  <c r="I19" i="1"/>
  <c r="H19" i="1"/>
  <c r="S20" i="1" l="1"/>
  <c r="T20" i="1" s="1"/>
  <c r="F39" i="1" s="1"/>
  <c r="Q19" i="1"/>
  <c r="F38" i="1" s="1"/>
  <c r="L20" i="1"/>
  <c r="U40" i="1"/>
  <c r="B60" i="37"/>
  <c r="B22" i="37"/>
  <c r="I19" i="16"/>
  <c r="H19" i="16"/>
  <c r="I20" i="43"/>
  <c r="H20" i="43"/>
  <c r="J20" i="48"/>
  <c r="I20" i="48"/>
  <c r="H20" i="48"/>
  <c r="J19" i="48"/>
  <c r="I19" i="48"/>
  <c r="H19" i="48"/>
  <c r="B20" i="37" l="1"/>
  <c r="S20" i="48"/>
  <c r="T20" i="48" s="1"/>
  <c r="F39" i="48" s="1"/>
  <c r="U40" i="48"/>
  <c r="U40" i="16"/>
  <c r="B21" i="37" s="1"/>
  <c r="F16" i="16"/>
  <c r="U40" i="4"/>
  <c r="B19" i="37" s="1"/>
  <c r="B55" i="37"/>
  <c r="B11" i="37"/>
  <c r="L20" i="16"/>
  <c r="F39" i="20" l="1"/>
  <c r="B36" i="37"/>
  <c r="B33" i="37"/>
  <c r="B28" i="37"/>
  <c r="B34" i="37"/>
  <c r="T42" i="23"/>
  <c r="L20" i="26" l="1"/>
  <c r="F16" i="26"/>
  <c r="B37" i="37" l="1"/>
  <c r="D58" i="37"/>
  <c r="D59" i="37"/>
  <c r="D60" i="37"/>
  <c r="D61" i="37"/>
  <c r="D62" i="37"/>
  <c r="D63" i="37"/>
  <c r="D64" i="37"/>
  <c r="D65" i="37"/>
  <c r="D66" i="37"/>
  <c r="D69" i="37"/>
  <c r="C60" i="37"/>
  <c r="C61" i="37"/>
  <c r="C62" i="37"/>
  <c r="C69" i="37"/>
  <c r="E60" i="37" l="1"/>
  <c r="E64" i="37"/>
  <c r="E62" i="37"/>
  <c r="E65" i="37"/>
  <c r="E66" i="37"/>
  <c r="E58" i="37"/>
  <c r="E61" i="37"/>
  <c r="E69" i="37"/>
  <c r="E63" i="37"/>
  <c r="T40" i="9" l="1"/>
  <c r="T40" i="1" l="1"/>
  <c r="F40" i="25" l="1"/>
  <c r="T42" i="22" l="1"/>
  <c r="C11" i="45" l="1"/>
  <c r="J20" i="11"/>
  <c r="Q20" i="11" s="1"/>
  <c r="I20" i="11"/>
  <c r="H20" i="11"/>
  <c r="H19" i="24"/>
  <c r="Q20" i="48" l="1"/>
  <c r="L5" i="21" l="1"/>
  <c r="L4" i="21"/>
  <c r="M4" i="21" l="1"/>
  <c r="N4" i="21" s="1"/>
  <c r="M5" i="21"/>
  <c r="N5" i="21" s="1"/>
  <c r="P5" i="21" l="1"/>
  <c r="P4" i="21"/>
  <c r="T40" i="48"/>
  <c r="T43" i="48"/>
  <c r="T41" i="25" l="1"/>
  <c r="F39" i="25" l="1"/>
  <c r="U40" i="25"/>
  <c r="B31" i="37" s="1"/>
  <c r="B30" i="37"/>
  <c r="F38" i="25"/>
  <c r="L20" i="48" l="1"/>
  <c r="Q19" i="48"/>
  <c r="F38" i="48" s="1"/>
  <c r="C34" i="45" l="1"/>
  <c r="C33" i="45"/>
  <c r="C32" i="45"/>
  <c r="C27" i="45"/>
  <c r="C25" i="45"/>
  <c r="C24" i="45"/>
  <c r="C21" i="45"/>
  <c r="C20" i="45"/>
  <c r="C15" i="45"/>
  <c r="C14" i="45"/>
  <c r="T40" i="20" l="1"/>
  <c r="F38" i="20" l="1"/>
  <c r="C66" i="37"/>
  <c r="J20" i="43" l="1"/>
  <c r="S21" i="43" l="1"/>
  <c r="T21" i="43" s="1"/>
  <c r="L21" i="43"/>
  <c r="Q20" i="43"/>
  <c r="F40" i="43" s="1"/>
  <c r="U42" i="43"/>
  <c r="F41" i="43" l="1"/>
  <c r="K22" i="36"/>
  <c r="B52" i="37"/>
  <c r="T41" i="30"/>
  <c r="M35" i="22" l="1"/>
  <c r="F40" i="22" s="1"/>
  <c r="T40" i="39" l="1"/>
  <c r="T41" i="41"/>
  <c r="T40" i="41"/>
  <c r="M35" i="23" l="1"/>
  <c r="F40" i="23" s="1"/>
  <c r="F16" i="10" l="1"/>
  <c r="T40" i="30" l="1"/>
  <c r="C12" i="45"/>
  <c r="T40" i="4"/>
  <c r="J19" i="11"/>
  <c r="I19" i="11"/>
  <c r="H19" i="11"/>
  <c r="S20" i="11" l="1"/>
  <c r="T20" i="11" s="1"/>
  <c r="F40" i="11" s="1"/>
  <c r="Q19" i="11"/>
  <c r="F39" i="11" s="1"/>
  <c r="U41" i="11"/>
  <c r="C9" i="45"/>
  <c r="L20" i="11"/>
  <c r="C5" i="45"/>
  <c r="C7" i="27" l="1"/>
  <c r="T41" i="22" l="1"/>
  <c r="H20" i="24" l="1"/>
  <c r="I20" i="24"/>
  <c r="J20" i="24"/>
  <c r="Q20" i="24" l="1"/>
  <c r="D48" i="37" l="1"/>
  <c r="E48" i="37" l="1"/>
  <c r="D4" i="37" l="1"/>
  <c r="C5" i="37"/>
  <c r="D5" i="37"/>
  <c r="D6" i="37"/>
  <c r="D7" i="37"/>
  <c r="D8" i="37"/>
  <c r="D9" i="37"/>
  <c r="D10" i="37"/>
  <c r="D11" i="37"/>
  <c r="D12" i="37"/>
  <c r="D13" i="37"/>
  <c r="D14" i="37"/>
  <c r="D15" i="37"/>
  <c r="D16" i="37"/>
  <c r="D17" i="37"/>
  <c r="D18" i="37"/>
  <c r="D19" i="37"/>
  <c r="D20" i="37"/>
  <c r="D21" i="37"/>
  <c r="D22" i="37"/>
  <c r="D23" i="37"/>
  <c r="D24" i="37"/>
  <c r="D25" i="37"/>
  <c r="D26" i="37"/>
  <c r="D27" i="37"/>
  <c r="D28" i="37"/>
  <c r="D30" i="37"/>
  <c r="D31" i="37"/>
  <c r="C32" i="37"/>
  <c r="D32" i="37"/>
  <c r="C33" i="37"/>
  <c r="D33" i="37"/>
  <c r="D34" i="37"/>
  <c r="D35" i="37"/>
  <c r="D36" i="37"/>
  <c r="D37" i="37"/>
  <c r="D38" i="37"/>
  <c r="D39" i="37"/>
  <c r="D40" i="37"/>
  <c r="D41" i="37"/>
  <c r="D42" i="37"/>
  <c r="D43" i="37"/>
  <c r="D44" i="37"/>
  <c r="D45" i="37"/>
  <c r="D46" i="37"/>
  <c r="C47" i="37"/>
  <c r="D47" i="37"/>
  <c r="D49" i="37"/>
  <c r="D50" i="37"/>
  <c r="D51" i="37"/>
  <c r="D52" i="37"/>
  <c r="D53" i="37"/>
  <c r="D54" i="37"/>
  <c r="D55" i="37"/>
  <c r="D56" i="37"/>
  <c r="C57" i="37"/>
  <c r="D57" i="37"/>
  <c r="D3" i="37"/>
  <c r="P16" i="36"/>
  <c r="P28" i="36"/>
  <c r="O16" i="36"/>
  <c r="O28" i="36"/>
  <c r="N16" i="36"/>
  <c r="N28" i="36"/>
  <c r="H16" i="36"/>
  <c r="H28" i="36"/>
  <c r="G16" i="36"/>
  <c r="G28" i="36"/>
  <c r="E16" i="36"/>
  <c r="E28" i="36"/>
  <c r="D16" i="36"/>
  <c r="D28" i="36"/>
  <c r="C16" i="36"/>
  <c r="J10" i="27"/>
  <c r="J8" i="27"/>
  <c r="I8" i="27"/>
  <c r="H8" i="27"/>
  <c r="G8" i="27"/>
  <c r="F8" i="27"/>
  <c r="E8" i="27"/>
  <c r="D70" i="37" l="1"/>
  <c r="L46" i="48"/>
  <c r="M35" i="48"/>
  <c r="F40" i="48" s="1"/>
  <c r="F34" i="48"/>
  <c r="J16" i="48"/>
  <c r="J16" i="36" s="1"/>
  <c r="H34" i="48" l="1"/>
  <c r="I34" i="48" s="1"/>
  <c r="J34" i="48" s="1"/>
  <c r="K34" i="48" s="1"/>
  <c r="L34" i="48" s="1"/>
  <c r="F16" i="36"/>
  <c r="I16" i="36" s="1"/>
  <c r="L16" i="36" s="1"/>
  <c r="F48" i="48"/>
  <c r="F16" i="48"/>
  <c r="P16" i="48" s="1"/>
  <c r="Q3" i="20"/>
  <c r="K16" i="36" l="1"/>
  <c r="L46" i="39"/>
  <c r="Q37" i="48" l="1"/>
  <c r="Q3" i="16"/>
  <c r="Q3" i="43"/>
  <c r="Q3" i="25"/>
  <c r="Q3" i="9"/>
  <c r="Q3" i="44"/>
  <c r="Q3" i="13"/>
  <c r="Q3" i="24"/>
  <c r="Q3" i="22"/>
  <c r="Q3" i="39"/>
  <c r="Q3" i="17"/>
  <c r="D8" i="27" l="1"/>
  <c r="Q3" i="15"/>
  <c r="Q3" i="30"/>
  <c r="Q3" i="47"/>
  <c r="Q3" i="38"/>
  <c r="Q3" i="31"/>
  <c r="Q3" i="23"/>
  <c r="Q3" i="35"/>
  <c r="Q3" i="28" l="1"/>
  <c r="Q3" i="10" s="1"/>
  <c r="Q3" i="29" l="1"/>
  <c r="Q3" i="48"/>
  <c r="Q3" i="11"/>
  <c r="Q3" i="41" s="1"/>
  <c r="L47" i="11"/>
  <c r="E54" i="37" l="1"/>
  <c r="L48" i="43" l="1"/>
  <c r="L46" i="13" l="1"/>
  <c r="L45" i="26" l="1"/>
  <c r="L46" i="31"/>
  <c r="L46" i="15"/>
  <c r="L46" i="38"/>
  <c r="L46" i="16"/>
  <c r="L46" i="25"/>
  <c r="L47" i="10"/>
  <c r="L44" i="9"/>
  <c r="L46" i="30"/>
  <c r="L46" i="44"/>
  <c r="L46" i="41"/>
  <c r="L46" i="20"/>
  <c r="L46" i="35"/>
  <c r="L46" i="24"/>
  <c r="L45" i="28"/>
  <c r="L46" i="23"/>
  <c r="L46" i="22"/>
  <c r="L46" i="17"/>
  <c r="L46" i="4"/>
  <c r="L46" i="1"/>
  <c r="N10" i="36" l="1"/>
  <c r="N22" i="36"/>
  <c r="N25" i="36"/>
  <c r="N8" i="36"/>
  <c r="N29" i="36"/>
  <c r="N27" i="36"/>
  <c r="N24" i="36"/>
  <c r="N23" i="36"/>
  <c r="N14" i="36"/>
  <c r="N21" i="36"/>
  <c r="N12" i="36"/>
  <c r="N20" i="36"/>
  <c r="N19" i="36"/>
  <c r="N18" i="36"/>
  <c r="N30" i="36"/>
  <c r="N17" i="36"/>
  <c r="N15" i="36"/>
  <c r="N13" i="36"/>
  <c r="N11" i="36"/>
  <c r="N9" i="36"/>
  <c r="N7" i="36"/>
  <c r="N6" i="36"/>
  <c r="N5" i="36"/>
  <c r="N4" i="36"/>
  <c r="N26" i="36"/>
  <c r="N3" i="36"/>
  <c r="F13" i="36" l="1"/>
  <c r="M34" i="28" l="1"/>
  <c r="F39" i="28" s="1"/>
  <c r="F33" i="28"/>
  <c r="H33" i="28" s="1"/>
  <c r="I33" i="28" s="1"/>
  <c r="M35" i="24"/>
  <c r="F40" i="24" s="1"/>
  <c r="I34" i="24"/>
  <c r="J34" i="24" s="1"/>
  <c r="K34" i="24" s="1"/>
  <c r="L34" i="24" s="1"/>
  <c r="F34" i="35"/>
  <c r="H34" i="35" s="1"/>
  <c r="I34" i="35" s="1"/>
  <c r="J34" i="35" s="1"/>
  <c r="K34" i="35" s="1"/>
  <c r="L34" i="35" s="1"/>
  <c r="M35" i="20"/>
  <c r="F34" i="20"/>
  <c r="F40" i="29"/>
  <c r="F34" i="29"/>
  <c r="F40" i="41"/>
  <c r="F34" i="41"/>
  <c r="H34" i="41" s="1"/>
  <c r="I34" i="41" s="1"/>
  <c r="F35" i="11"/>
  <c r="M35" i="44"/>
  <c r="F40" i="44" s="1"/>
  <c r="F34" i="44"/>
  <c r="H34" i="44" s="1"/>
  <c r="I34" i="44" s="1"/>
  <c r="J34" i="44" s="1"/>
  <c r="K34" i="44" s="1"/>
  <c r="L34" i="44" s="1"/>
  <c r="M35" i="30"/>
  <c r="F40" i="30" s="1"/>
  <c r="F34" i="30"/>
  <c r="H34" i="30" s="1"/>
  <c r="I34" i="30" s="1"/>
  <c r="J34" i="30" s="1"/>
  <c r="K34" i="30" s="1"/>
  <c r="L34" i="30" s="1"/>
  <c r="F41" i="10"/>
  <c r="F50" i="10" s="1"/>
  <c r="F34" i="25"/>
  <c r="M35" i="13"/>
  <c r="F40" i="13" s="1"/>
  <c r="F34" i="13"/>
  <c r="F34" i="23" s="1"/>
  <c r="F40" i="16"/>
  <c r="M35" i="38"/>
  <c r="F40" i="38" s="1"/>
  <c r="F34" i="38"/>
  <c r="H34" i="38" s="1"/>
  <c r="I34" i="38" s="1"/>
  <c r="J34" i="38" s="1"/>
  <c r="K34" i="38" s="1"/>
  <c r="L34" i="38" s="1"/>
  <c r="F40" i="15"/>
  <c r="F34" i="15"/>
  <c r="M34" i="26"/>
  <c r="F39" i="26" s="1"/>
  <c r="F48" i="26" s="1"/>
  <c r="F34" i="47"/>
  <c r="H34" i="47" s="1"/>
  <c r="I34" i="47" s="1"/>
  <c r="J34" i="47" s="1"/>
  <c r="K34" i="47" s="1"/>
  <c r="L34" i="47" s="1"/>
  <c r="M37" i="43"/>
  <c r="F42" i="43" s="1"/>
  <c r="I36" i="43"/>
  <c r="J36" i="43" s="1"/>
  <c r="K36" i="43" s="1"/>
  <c r="L36" i="43" s="1"/>
  <c r="M35" i="39"/>
  <c r="F40" i="39" s="1"/>
  <c r="F49" i="39" s="1"/>
  <c r="F34" i="39"/>
  <c r="H34" i="39" s="1"/>
  <c r="H34" i="22"/>
  <c r="I34" i="22" s="1"/>
  <c r="J34" i="22" s="1"/>
  <c r="K34" i="22" s="1"/>
  <c r="L34" i="22" s="1"/>
  <c r="F34" i="17"/>
  <c r="F33" i="26" s="1"/>
  <c r="H33" i="26" s="1"/>
  <c r="I33" i="26" s="1"/>
  <c r="I34" i="4"/>
  <c r="M35" i="4"/>
  <c r="F40" i="4" s="1"/>
  <c r="T45" i="17"/>
  <c r="T44" i="17"/>
  <c r="T42" i="17"/>
  <c r="C54" i="37" s="1"/>
  <c r="T41" i="17"/>
  <c r="M35" i="17"/>
  <c r="F40" i="17" s="1"/>
  <c r="T45" i="22"/>
  <c r="T44" i="22"/>
  <c r="T45" i="23"/>
  <c r="T44" i="23"/>
  <c r="T43" i="23"/>
  <c r="T45" i="24"/>
  <c r="T44" i="24"/>
  <c r="T42" i="35"/>
  <c r="T45" i="41"/>
  <c r="T44" i="41"/>
  <c r="T43" i="41"/>
  <c r="T42" i="41"/>
  <c r="T46" i="11"/>
  <c r="T45" i="11"/>
  <c r="T44" i="11"/>
  <c r="T45" i="44"/>
  <c r="T44" i="44"/>
  <c r="T43" i="44"/>
  <c r="T42" i="44"/>
  <c r="T41" i="44"/>
  <c r="T40" i="44"/>
  <c r="C36" i="37" s="1"/>
  <c r="T45" i="30"/>
  <c r="T44" i="30"/>
  <c r="T43" i="9"/>
  <c r="T42" i="9"/>
  <c r="T39" i="9"/>
  <c r="C37" i="37" s="1"/>
  <c r="T38" i="9"/>
  <c r="T45" i="25"/>
  <c r="T44" i="25"/>
  <c r="T43" i="25"/>
  <c r="C34" i="37"/>
  <c r="T45" i="47"/>
  <c r="T44" i="47"/>
  <c r="C48" i="37"/>
  <c r="C59" i="37"/>
  <c r="T47" i="43"/>
  <c r="T46" i="43"/>
  <c r="C40" i="37" s="1"/>
  <c r="T43" i="43"/>
  <c r="C53" i="37" s="1"/>
  <c r="T42" i="43"/>
  <c r="T45" i="39"/>
  <c r="T44" i="39"/>
  <c r="T43" i="39"/>
  <c r="C65" i="37" l="1"/>
  <c r="C58" i="37"/>
  <c r="C64" i="37"/>
  <c r="C67" i="37"/>
  <c r="H35" i="11"/>
  <c r="I35" i="11" s="1"/>
  <c r="J35" i="11" s="1"/>
  <c r="K35" i="11" s="1"/>
  <c r="L35" i="11" s="1"/>
  <c r="H34" i="29"/>
  <c r="I34" i="29" s="1"/>
  <c r="J34" i="29" s="1"/>
  <c r="K34" i="29" s="1"/>
  <c r="L34" i="29" s="1"/>
  <c r="F40" i="20"/>
  <c r="F49" i="20" s="1"/>
  <c r="H34" i="20"/>
  <c r="I34" i="20" s="1"/>
  <c r="J34" i="20" s="1"/>
  <c r="K34" i="20" s="1"/>
  <c r="L34" i="20" s="1"/>
  <c r="F70" i="37"/>
  <c r="F65" i="37"/>
  <c r="F72" i="37"/>
  <c r="F71" i="37"/>
  <c r="F62" i="37"/>
  <c r="F60" i="37"/>
  <c r="F58" i="37"/>
  <c r="F64" i="37"/>
  <c r="F63" i="37"/>
  <c r="F66" i="37"/>
  <c r="F69" i="37"/>
  <c r="F61" i="37"/>
  <c r="F48" i="37"/>
  <c r="F54" i="37"/>
  <c r="J34" i="41"/>
  <c r="K34" i="41" s="1"/>
  <c r="L34" i="41" s="1"/>
  <c r="C46" i="37"/>
  <c r="C63" i="37"/>
  <c r="C28" i="37"/>
  <c r="J33" i="28"/>
  <c r="K33" i="28" s="1"/>
  <c r="L33" i="28" s="1"/>
  <c r="C35" i="37"/>
  <c r="C27" i="37"/>
  <c r="J33" i="26"/>
  <c r="K33" i="26" s="1"/>
  <c r="L33" i="26" s="1"/>
  <c r="I34" i="39"/>
  <c r="J34" i="39" s="1"/>
  <c r="K34" i="39" s="1"/>
  <c r="L34" i="39" s="1"/>
  <c r="H34" i="13"/>
  <c r="I34" i="13" s="1"/>
  <c r="J34" i="13" s="1"/>
  <c r="K34" i="13" s="1"/>
  <c r="L34" i="13" s="1"/>
  <c r="F34" i="31"/>
  <c r="H34" i="31" s="1"/>
  <c r="I34" i="31" s="1"/>
  <c r="J34" i="31" s="1"/>
  <c r="K34" i="31" s="1"/>
  <c r="L34" i="31" s="1"/>
  <c r="C20" i="37"/>
  <c r="C26" i="37"/>
  <c r="C21" i="37"/>
  <c r="C51" i="37"/>
  <c r="C50" i="37"/>
  <c r="C24" i="37"/>
  <c r="C56" i="37"/>
  <c r="C29" i="37"/>
  <c r="C10" i="37"/>
  <c r="C31" i="37"/>
  <c r="C14" i="37"/>
  <c r="C19" i="37"/>
  <c r="C45" i="37"/>
  <c r="C49" i="37"/>
  <c r="C9" i="37"/>
  <c r="C6" i="37"/>
  <c r="C55" i="37"/>
  <c r="C11" i="37"/>
  <c r="C22" i="37"/>
  <c r="C3" i="37"/>
  <c r="C4" i="37"/>
  <c r="C42" i="37"/>
  <c r="C25" i="37"/>
  <c r="C39" i="37"/>
  <c r="C41" i="37"/>
  <c r="C52" i="37"/>
  <c r="C44" i="37"/>
  <c r="C38" i="37"/>
  <c r="C13" i="37"/>
  <c r="C7" i="37"/>
  <c r="C12" i="37"/>
  <c r="C43" i="37"/>
  <c r="H34" i="25"/>
  <c r="I34" i="25" s="1"/>
  <c r="J34" i="25" s="1"/>
  <c r="K34" i="25" s="1"/>
  <c r="L34" i="25" s="1"/>
  <c r="H34" i="15"/>
  <c r="I34" i="15" s="1"/>
  <c r="J34" i="15" s="1"/>
  <c r="K34" i="15" s="1"/>
  <c r="L34" i="15" s="1"/>
  <c r="I35" i="10"/>
  <c r="J35" i="10" s="1"/>
  <c r="K35" i="10" s="1"/>
  <c r="L35" i="10" s="1"/>
  <c r="C18" i="37"/>
  <c r="H34" i="23" l="1"/>
  <c r="I34" i="23" s="1"/>
  <c r="J34" i="23" s="1"/>
  <c r="K34" i="23" s="1"/>
  <c r="L34" i="23" s="1"/>
  <c r="F21" i="36"/>
  <c r="F49" i="25" l="1"/>
  <c r="Q37" i="25" s="1"/>
  <c r="F24" i="36" l="1"/>
  <c r="F26" i="36"/>
  <c r="J19" i="9"/>
  <c r="I19" i="9"/>
  <c r="H19" i="9"/>
  <c r="Q19" i="9" l="1"/>
  <c r="F49" i="38" l="1"/>
  <c r="Q37" i="38" s="1"/>
  <c r="F49" i="16"/>
  <c r="Q37" i="16" s="1"/>
  <c r="F10" i="36" l="1"/>
  <c r="K29" i="27" l="1"/>
  <c r="J29" i="27"/>
  <c r="I29" i="27"/>
  <c r="J18" i="27"/>
  <c r="I18" i="27"/>
  <c r="H18" i="27"/>
  <c r="J30" i="27"/>
  <c r="I30" i="27"/>
  <c r="H30" i="27"/>
  <c r="F50" i="23" l="1"/>
  <c r="F7" i="36"/>
  <c r="I24" i="27" l="1"/>
  <c r="H24" i="27"/>
  <c r="Q37" i="23" l="1"/>
  <c r="D9" i="27" s="1"/>
  <c r="C22" i="45" l="1"/>
  <c r="S20" i="47" l="1"/>
  <c r="T20" i="47" s="1"/>
  <c r="F39" i="47" s="1"/>
  <c r="U40" i="47"/>
  <c r="B10" i="37" s="1"/>
  <c r="H25" i="36"/>
  <c r="Q20" i="47"/>
  <c r="F25" i="36"/>
  <c r="F22" i="36"/>
  <c r="Q19" i="47"/>
  <c r="L20" i="47"/>
  <c r="F38" i="47" l="1"/>
  <c r="E59" i="37"/>
  <c r="F59" i="37" s="1"/>
  <c r="F49" i="47" l="1"/>
  <c r="Q37" i="47" s="1"/>
  <c r="G25" i="36"/>
  <c r="I25" i="36" s="1"/>
  <c r="Q6" i="17" l="1"/>
  <c r="Q6" i="22" l="1"/>
  <c r="Q6" i="23" s="1"/>
  <c r="I17" i="27"/>
  <c r="H17" i="27"/>
  <c r="G17" i="27"/>
  <c r="F17" i="27"/>
  <c r="E17" i="27"/>
  <c r="E28" i="27"/>
  <c r="E49" i="37"/>
  <c r="F49" i="37" s="1"/>
  <c r="P25" i="36"/>
  <c r="O25" i="36"/>
  <c r="E25" i="36"/>
  <c r="E29" i="36"/>
  <c r="D25" i="36"/>
  <c r="D29" i="36"/>
  <c r="C25" i="36"/>
  <c r="J16" i="47"/>
  <c r="J25" i="36" s="1"/>
  <c r="F16" i="47" l="1"/>
  <c r="P16" i="47" s="1"/>
  <c r="K25" i="36" l="1"/>
  <c r="D17" i="27" l="1"/>
  <c r="H22" i="36" l="1"/>
  <c r="G22" i="36"/>
  <c r="H10" i="36"/>
  <c r="G10" i="36"/>
  <c r="F9" i="36" l="1"/>
  <c r="E35" i="37"/>
  <c r="F35" i="37" s="1"/>
  <c r="E36" i="37"/>
  <c r="F36" i="37" s="1"/>
  <c r="J9" i="27" l="1"/>
  <c r="I9" i="27"/>
  <c r="I10" i="27"/>
  <c r="H10" i="27"/>
  <c r="I28" i="27"/>
  <c r="F48" i="28" l="1"/>
  <c r="Q36" i="28" s="1"/>
  <c r="I25" i="27" l="1"/>
  <c r="H25" i="27"/>
  <c r="G25" i="27"/>
  <c r="F25" i="27"/>
  <c r="E25" i="27"/>
  <c r="G30" i="27" l="1"/>
  <c r="F30" i="27"/>
  <c r="E30" i="27"/>
  <c r="H8" i="36" l="1"/>
  <c r="H26" i="36"/>
  <c r="H24" i="36"/>
  <c r="G21" i="36"/>
  <c r="H21" i="36"/>
  <c r="H12" i="36"/>
  <c r="H15" i="36"/>
  <c r="G9" i="36"/>
  <c r="H9" i="36"/>
  <c r="G7" i="36"/>
  <c r="H7" i="36"/>
  <c r="H6" i="36"/>
  <c r="G3" i="36"/>
  <c r="F21" i="27" l="1"/>
  <c r="D4" i="36" l="1"/>
  <c r="D6" i="36"/>
  <c r="G13" i="36" l="1"/>
  <c r="H13" i="36"/>
  <c r="G24" i="27" l="1"/>
  <c r="F24" i="27"/>
  <c r="E24" i="27"/>
  <c r="G18" i="27"/>
  <c r="F18" i="27"/>
  <c r="E18" i="27"/>
  <c r="P18" i="36"/>
  <c r="P22" i="36"/>
  <c r="O18" i="36"/>
  <c r="O22" i="36"/>
  <c r="D22" i="36"/>
  <c r="D18" i="36"/>
  <c r="E18" i="36"/>
  <c r="E22" i="36"/>
  <c r="C18" i="36"/>
  <c r="C22" i="36"/>
  <c r="J16" i="44"/>
  <c r="J18" i="36" s="1"/>
  <c r="J17" i="43"/>
  <c r="J22" i="36" s="1"/>
  <c r="F51" i="43" l="1"/>
  <c r="Q38" i="43" s="1"/>
  <c r="D24" i="27" s="1"/>
  <c r="H18" i="36"/>
  <c r="F18" i="36"/>
  <c r="G18" i="36"/>
  <c r="F16" i="44"/>
  <c r="F17" i="43"/>
  <c r="F49" i="44" l="1"/>
  <c r="Q37" i="44" s="1"/>
  <c r="I18" i="36"/>
  <c r="P17" i="43"/>
  <c r="P16" i="44"/>
  <c r="D18" i="27" l="1"/>
  <c r="U40" i="13" l="1"/>
  <c r="S20" i="13"/>
  <c r="T20" i="13" s="1"/>
  <c r="L20" i="13"/>
  <c r="C17" i="45"/>
  <c r="H14" i="36"/>
  <c r="Q19" i="13"/>
  <c r="F14" i="36"/>
  <c r="Q20" i="13"/>
  <c r="G14" i="36"/>
  <c r="F38" i="13" l="1"/>
  <c r="F39" i="13"/>
  <c r="K14" i="36"/>
  <c r="I14" i="36"/>
  <c r="F49" i="13" l="1"/>
  <c r="Q37" i="13" s="1"/>
  <c r="D20" i="27" s="1"/>
  <c r="K12" i="27"/>
  <c r="J12" i="27"/>
  <c r="I12" i="27"/>
  <c r="K27" i="27"/>
  <c r="I27" i="27"/>
  <c r="K22" i="27"/>
  <c r="I22" i="27"/>
  <c r="E10" i="36" l="1"/>
  <c r="J16" i="39" l="1"/>
  <c r="J10" i="36" s="1"/>
  <c r="E27" i="27"/>
  <c r="F27" i="27"/>
  <c r="G27" i="27"/>
  <c r="H27" i="27"/>
  <c r="U40" i="41" l="1"/>
  <c r="H30" i="36"/>
  <c r="G30" i="36"/>
  <c r="H4" i="36"/>
  <c r="F30" i="36"/>
  <c r="F38" i="41"/>
  <c r="F16" i="39"/>
  <c r="P16" i="39" s="1"/>
  <c r="I10" i="36"/>
  <c r="I22" i="36"/>
  <c r="L22" i="36" s="1"/>
  <c r="B38" i="37" l="1"/>
  <c r="B29" i="37"/>
  <c r="B13" i="37"/>
  <c r="B23" i="37"/>
  <c r="I30" i="36"/>
  <c r="Q37" i="39"/>
  <c r="K10" i="36"/>
  <c r="F39" i="41" l="1"/>
  <c r="F49" i="41" s="1"/>
  <c r="Q37" i="41" s="1"/>
  <c r="D30" i="27" s="1"/>
  <c r="D25" i="27"/>
  <c r="F3" i="36" l="1"/>
  <c r="H3" i="36"/>
  <c r="I3" i="36" l="1"/>
  <c r="K3" i="36"/>
  <c r="F49" i="1" l="1"/>
  <c r="Q37" i="1" s="1"/>
  <c r="D5" i="27" s="1"/>
  <c r="I21" i="36"/>
  <c r="E14" i="36" l="1"/>
  <c r="F28" i="36" l="1"/>
  <c r="F50" i="11" l="1"/>
  <c r="Q38" i="11" s="1"/>
  <c r="K28" i="36"/>
  <c r="I28" i="36"/>
  <c r="D5" i="36"/>
  <c r="D13" i="27" l="1"/>
  <c r="E20" i="27"/>
  <c r="F20" i="27"/>
  <c r="G20" i="27"/>
  <c r="H20" i="27"/>
  <c r="I20" i="27"/>
  <c r="J20" i="27"/>
  <c r="C28" i="45" l="1"/>
  <c r="C26" i="45"/>
  <c r="C35" i="45"/>
  <c r="F12" i="36"/>
  <c r="G12" i="36"/>
  <c r="K20" i="27"/>
  <c r="K14" i="27"/>
  <c r="J14" i="27"/>
  <c r="J11" i="27"/>
  <c r="Q38" i="10" l="1"/>
  <c r="I12" i="36"/>
  <c r="D7" i="27" l="1"/>
  <c r="J31" i="27"/>
  <c r="I31" i="27"/>
  <c r="H31" i="27"/>
  <c r="P30" i="36"/>
  <c r="O30" i="36"/>
  <c r="D30" i="36"/>
  <c r="D11" i="36"/>
  <c r="E30" i="36"/>
  <c r="E11" i="36"/>
  <c r="C30" i="36"/>
  <c r="J16" i="41" l="1"/>
  <c r="J30" i="36" s="1"/>
  <c r="F16" i="41" l="1"/>
  <c r="P8" i="36"/>
  <c r="O8" i="36"/>
  <c r="D8" i="36"/>
  <c r="D24" i="36"/>
  <c r="E8" i="36"/>
  <c r="C8" i="36"/>
  <c r="G10" i="27"/>
  <c r="E10" i="27"/>
  <c r="P16" i="41" l="1"/>
  <c r="G31" i="27" l="1"/>
  <c r="P10" i="36" l="1"/>
  <c r="O10" i="36"/>
  <c r="D10" i="36"/>
  <c r="C10" i="36" l="1"/>
  <c r="L10" i="36"/>
  <c r="P26" i="36" l="1"/>
  <c r="O26" i="36"/>
  <c r="E26" i="36"/>
  <c r="E13" i="36"/>
  <c r="D26" i="36"/>
  <c r="C26" i="36"/>
  <c r="J16" i="38"/>
  <c r="J26" i="36" s="1"/>
  <c r="G26" i="36" l="1"/>
  <c r="I26" i="36" l="1"/>
  <c r="L26" i="36" s="1"/>
  <c r="D27" i="27"/>
  <c r="K26" i="36"/>
  <c r="P16" i="38"/>
  <c r="J21" i="27" l="1"/>
  <c r="I21" i="27"/>
  <c r="J7" i="27"/>
  <c r="K19" i="27"/>
  <c r="J13" i="27"/>
  <c r="K16" i="27"/>
  <c r="J16" i="27"/>
  <c r="J15" i="27"/>
  <c r="I15" i="27"/>
  <c r="H15" i="27"/>
  <c r="G15" i="27"/>
  <c r="H29" i="27"/>
  <c r="G29" i="27"/>
  <c r="F29" i="27"/>
  <c r="E20" i="37" l="1"/>
  <c r="E4" i="37"/>
  <c r="F4" i="37" s="1"/>
  <c r="E29" i="37"/>
  <c r="F29" i="37" s="1"/>
  <c r="E21" i="37"/>
  <c r="F21" i="37" s="1"/>
  <c r="E22" i="37"/>
  <c r="F22" i="37" s="1"/>
  <c r="E6" i="37"/>
  <c r="F6" i="37" s="1"/>
  <c r="E32" i="37"/>
  <c r="F32" i="37" s="1"/>
  <c r="E23" i="37"/>
  <c r="F23" i="37" s="1"/>
  <c r="E34" i="37"/>
  <c r="F34" i="37" s="1"/>
  <c r="E28" i="37"/>
  <c r="F28" i="37" s="1"/>
  <c r="E30" i="37"/>
  <c r="F30" i="37" s="1"/>
  <c r="E31" i="37"/>
  <c r="F31" i="37" s="1"/>
  <c r="E33" i="37"/>
  <c r="F33" i="37" s="1"/>
  <c r="E7" i="37"/>
  <c r="F7" i="37" s="1"/>
  <c r="E38" i="37"/>
  <c r="F38" i="37" s="1"/>
  <c r="E39" i="37"/>
  <c r="F39" i="37" s="1"/>
  <c r="E40" i="37"/>
  <c r="F40" i="37" s="1"/>
  <c r="E41" i="37"/>
  <c r="F41" i="37" s="1"/>
  <c r="E43" i="37"/>
  <c r="F43" i="37" s="1"/>
  <c r="E45" i="37"/>
  <c r="F45" i="37" s="1"/>
  <c r="E50" i="37"/>
  <c r="F50" i="37" s="1"/>
  <c r="E51" i="37"/>
  <c r="F51" i="37" s="1"/>
  <c r="E52" i="37"/>
  <c r="F52" i="37" s="1"/>
  <c r="E53" i="37"/>
  <c r="F53" i="37" s="1"/>
  <c r="E55" i="37"/>
  <c r="F55" i="37" s="1"/>
  <c r="E57" i="37"/>
  <c r="F57" i="37" s="1"/>
  <c r="C23" i="37"/>
  <c r="E21" i="36" l="1"/>
  <c r="E20" i="36"/>
  <c r="E19" i="36"/>
  <c r="O29" i="36"/>
  <c r="P29" i="36"/>
  <c r="P24" i="36"/>
  <c r="O24" i="36"/>
  <c r="P23" i="36"/>
  <c r="O23" i="36"/>
  <c r="P14" i="36"/>
  <c r="O14" i="36"/>
  <c r="P21" i="36"/>
  <c r="O21" i="36"/>
  <c r="P12" i="36"/>
  <c r="O12" i="36"/>
  <c r="P20" i="36"/>
  <c r="O20" i="36"/>
  <c r="P19" i="36"/>
  <c r="O19" i="36"/>
  <c r="P13" i="36"/>
  <c r="O13" i="36"/>
  <c r="P17" i="36"/>
  <c r="P15" i="36"/>
  <c r="P11" i="36"/>
  <c r="P9" i="36"/>
  <c r="P7" i="36"/>
  <c r="P6" i="36"/>
  <c r="P27" i="36"/>
  <c r="P5" i="36"/>
  <c r="P4" i="36"/>
  <c r="P3" i="36"/>
  <c r="O17" i="36"/>
  <c r="O15" i="36"/>
  <c r="O11" i="36"/>
  <c r="O9" i="36"/>
  <c r="O7" i="36"/>
  <c r="O6" i="36"/>
  <c r="O27" i="36"/>
  <c r="O5" i="36"/>
  <c r="O4" i="36"/>
  <c r="O3" i="36"/>
  <c r="N31" i="36" l="1"/>
  <c r="O31" i="36"/>
  <c r="P31" i="36"/>
  <c r="D23" i="36"/>
  <c r="D14" i="36"/>
  <c r="D21" i="36"/>
  <c r="D12" i="36"/>
  <c r="D20" i="36"/>
  <c r="D19" i="36"/>
  <c r="D13" i="36"/>
  <c r="D17" i="36"/>
  <c r="D15" i="36"/>
  <c r="D9" i="36"/>
  <c r="D7" i="36"/>
  <c r="D27" i="36"/>
  <c r="D3" i="36"/>
  <c r="E24" i="36"/>
  <c r="E23" i="36"/>
  <c r="E12" i="36"/>
  <c r="E17" i="36"/>
  <c r="E15" i="36"/>
  <c r="E9" i="36"/>
  <c r="E7" i="36"/>
  <c r="E6" i="36"/>
  <c r="E27" i="36"/>
  <c r="E5" i="36"/>
  <c r="E4" i="36"/>
  <c r="E3" i="36"/>
  <c r="C24" i="36"/>
  <c r="C23" i="36"/>
  <c r="C14" i="36"/>
  <c r="C21" i="36"/>
  <c r="C12" i="36"/>
  <c r="C20" i="36"/>
  <c r="C19" i="36"/>
  <c r="C13" i="36"/>
  <c r="C28" i="36"/>
  <c r="C17" i="36"/>
  <c r="C15" i="36"/>
  <c r="C11" i="36"/>
  <c r="C9" i="36"/>
  <c r="C7" i="36"/>
  <c r="C6" i="36"/>
  <c r="C27" i="36"/>
  <c r="C5" i="36"/>
  <c r="C4" i="36"/>
  <c r="C3" i="36"/>
  <c r="E31" i="36" l="1"/>
  <c r="F19" i="36" l="1"/>
  <c r="H19" i="36"/>
  <c r="G19" i="36"/>
  <c r="K19" i="36" l="1"/>
  <c r="I19" i="36"/>
  <c r="F23" i="27" l="1"/>
  <c r="K26" i="27" l="1"/>
  <c r="F31" i="27" l="1"/>
  <c r="E31" i="27"/>
  <c r="J16" i="35" l="1"/>
  <c r="J13" i="36" s="1"/>
  <c r="I13" i="36" l="1"/>
  <c r="F49" i="35"/>
  <c r="Q37" i="35" s="1"/>
  <c r="D31" i="27" s="1"/>
  <c r="F16" i="35"/>
  <c r="H21" i="27"/>
  <c r="E8" i="37" l="1"/>
  <c r="F8" i="37" s="1"/>
  <c r="P16" i="35"/>
  <c r="H12" i="27" l="1"/>
  <c r="G21" i="27" l="1"/>
  <c r="E21" i="27"/>
  <c r="J23" i="36"/>
  <c r="B14" i="37" l="1"/>
  <c r="E14" i="37" s="1"/>
  <c r="F14" i="37" s="1"/>
  <c r="B25" i="37"/>
  <c r="E25" i="37" s="1"/>
  <c r="F25" i="37" s="1"/>
  <c r="C18" i="45"/>
  <c r="C3" i="45"/>
  <c r="C23" i="45"/>
  <c r="G23" i="36"/>
  <c r="F23" i="36"/>
  <c r="H23" i="36"/>
  <c r="B27" i="37" l="1"/>
  <c r="E27" i="37" s="1"/>
  <c r="F27" i="37" s="1"/>
  <c r="I23" i="36"/>
  <c r="L23" i="36" s="1"/>
  <c r="K23" i="36"/>
  <c r="J6" i="27" l="1"/>
  <c r="I6" i="27"/>
  <c r="H6" i="27"/>
  <c r="J20" i="9" l="1"/>
  <c r="S20" i="9" s="1"/>
  <c r="I20" i="9"/>
  <c r="H20" i="9"/>
  <c r="J19" i="24"/>
  <c r="S20" i="24" s="1"/>
  <c r="I19" i="24"/>
  <c r="I7" i="36"/>
  <c r="J19" i="15"/>
  <c r="I19" i="15"/>
  <c r="H19" i="15"/>
  <c r="S20" i="15" l="1"/>
  <c r="T20" i="15" s="1"/>
  <c r="L20" i="15"/>
  <c r="Q19" i="15"/>
  <c r="F38" i="15" s="1"/>
  <c r="T20" i="9"/>
  <c r="F37" i="9" s="1"/>
  <c r="C4" i="45"/>
  <c r="H27" i="36"/>
  <c r="L20" i="24"/>
  <c r="U40" i="24"/>
  <c r="B9" i="37" s="1"/>
  <c r="U38" i="9"/>
  <c r="B46" i="37" s="1"/>
  <c r="G27" i="36"/>
  <c r="T20" i="24"/>
  <c r="F39" i="24" s="1"/>
  <c r="C10" i="45"/>
  <c r="U40" i="15"/>
  <c r="B56" i="37" s="1"/>
  <c r="E56" i="37" s="1"/>
  <c r="F56" i="37" s="1"/>
  <c r="Q20" i="9"/>
  <c r="F36" i="9" s="1"/>
  <c r="C8" i="45"/>
  <c r="L20" i="9"/>
  <c r="C6" i="45"/>
  <c r="C37" i="45"/>
  <c r="C29" i="45"/>
  <c r="C31" i="45"/>
  <c r="C16" i="45"/>
  <c r="C13" i="45"/>
  <c r="C19" i="45"/>
  <c r="C36" i="45"/>
  <c r="C30" i="45"/>
  <c r="C7" i="45"/>
  <c r="H29" i="36"/>
  <c r="H17" i="36"/>
  <c r="F4" i="36"/>
  <c r="F15" i="36"/>
  <c r="H11" i="36"/>
  <c r="G11" i="36"/>
  <c r="G5" i="36"/>
  <c r="F5" i="36"/>
  <c r="F6" i="36"/>
  <c r="F8" i="36"/>
  <c r="F49" i="31"/>
  <c r="F17" i="36"/>
  <c r="F20" i="36"/>
  <c r="F29" i="36"/>
  <c r="F11" i="36"/>
  <c r="Q19" i="24"/>
  <c r="F38" i="24" s="1"/>
  <c r="F27" i="36"/>
  <c r="G4" i="36"/>
  <c r="H20" i="36"/>
  <c r="H5" i="36"/>
  <c r="G20" i="36"/>
  <c r="L25" i="36"/>
  <c r="G15" i="36"/>
  <c r="G29" i="36"/>
  <c r="G6" i="36"/>
  <c r="G17" i="36"/>
  <c r="G8" i="36"/>
  <c r="G24" i="36"/>
  <c r="E47" i="37"/>
  <c r="F47" i="37" s="1"/>
  <c r="E42" i="37"/>
  <c r="F42" i="37" s="1"/>
  <c r="K21" i="36"/>
  <c r="F16" i="29"/>
  <c r="K12" i="36"/>
  <c r="B26" i="37" l="1"/>
  <c r="E26" i="37" s="1"/>
  <c r="F26" i="37" s="1"/>
  <c r="B17" i="37"/>
  <c r="E17" i="37" s="1"/>
  <c r="F17" i="37" s="1"/>
  <c r="I27" i="36"/>
  <c r="B12" i="37"/>
  <c r="E12" i="37" s="1"/>
  <c r="F12" i="37" s="1"/>
  <c r="B3" i="37"/>
  <c r="E3" i="37" s="1"/>
  <c r="F3" i="37" s="1"/>
  <c r="B18" i="37"/>
  <c r="B15" i="37"/>
  <c r="E15" i="37" s="1"/>
  <c r="F15" i="37" s="1"/>
  <c r="B24" i="37"/>
  <c r="E24" i="37" s="1"/>
  <c r="F24" i="37" s="1"/>
  <c r="E19" i="37"/>
  <c r="F19" i="37" s="1"/>
  <c r="F39" i="15"/>
  <c r="F47" i="9"/>
  <c r="Q35" i="9" s="1"/>
  <c r="Q36" i="26"/>
  <c r="D32" i="27" s="1"/>
  <c r="F49" i="4"/>
  <c r="Q37" i="4" s="1"/>
  <c r="I4" i="36"/>
  <c r="I11" i="36"/>
  <c r="C38" i="45"/>
  <c r="I5" i="36"/>
  <c r="F49" i="17"/>
  <c r="Q37" i="17" s="1"/>
  <c r="F39" i="22"/>
  <c r="F49" i="22" s="1"/>
  <c r="Q37" i="22" s="1"/>
  <c r="Q37" i="31"/>
  <c r="H31" i="36"/>
  <c r="I20" i="36"/>
  <c r="I8" i="36"/>
  <c r="I15" i="36"/>
  <c r="I29" i="36"/>
  <c r="K29" i="36"/>
  <c r="F31" i="36"/>
  <c r="I6" i="36"/>
  <c r="I17" i="36"/>
  <c r="G31" i="36"/>
  <c r="I24" i="36"/>
  <c r="I9" i="36"/>
  <c r="K4" i="36"/>
  <c r="K7" i="36"/>
  <c r="K17" i="36"/>
  <c r="K8" i="36"/>
  <c r="K27" i="36"/>
  <c r="K5" i="36"/>
  <c r="K9" i="36"/>
  <c r="K15" i="36"/>
  <c r="K11" i="36"/>
  <c r="K20" i="36"/>
  <c r="E11" i="37"/>
  <c r="F11" i="37" s="1"/>
  <c r="E16" i="37"/>
  <c r="F16" i="37" s="1"/>
  <c r="E5" i="37"/>
  <c r="F5" i="37" s="1"/>
  <c r="E37" i="37"/>
  <c r="F37" i="37" s="1"/>
  <c r="E10" i="37"/>
  <c r="F10" i="37" s="1"/>
  <c r="E13" i="37"/>
  <c r="F13" i="37" s="1"/>
  <c r="E44" i="37"/>
  <c r="F44" i="37" s="1"/>
  <c r="E9" i="37"/>
  <c r="F9" i="37" s="1"/>
  <c r="E46" i="37"/>
  <c r="F46" i="37" s="1"/>
  <c r="I13" i="27"/>
  <c r="H13" i="27"/>
  <c r="G13" i="27"/>
  <c r="I16" i="27"/>
  <c r="I14" i="27"/>
  <c r="H14" i="27"/>
  <c r="G14" i="27"/>
  <c r="H28" i="27"/>
  <c r="G28" i="27"/>
  <c r="I19" i="27"/>
  <c r="H19" i="27"/>
  <c r="G19" i="27"/>
  <c r="I7" i="27"/>
  <c r="I31" i="36" l="1"/>
  <c r="C39" i="45" s="1"/>
  <c r="B70" i="37"/>
  <c r="E18" i="37"/>
  <c r="F18" i="37" s="1"/>
  <c r="F49" i="24"/>
  <c r="Q37" i="24" s="1"/>
  <c r="Q37" i="20"/>
  <c r="D15" i="27" s="1"/>
  <c r="F49" i="29"/>
  <c r="Q37" i="29" s="1"/>
  <c r="J16" i="13"/>
  <c r="J14" i="36" s="1"/>
  <c r="L14" i="36" s="1"/>
  <c r="H7" i="27"/>
  <c r="J16" i="17"/>
  <c r="J5" i="36" s="1"/>
  <c r="H16" i="27"/>
  <c r="I11" i="27"/>
  <c r="J16" i="28"/>
  <c r="J9" i="36" s="1"/>
  <c r="J16" i="31"/>
  <c r="J8" i="36" s="1"/>
  <c r="F19" i="27"/>
  <c r="E19" i="27"/>
  <c r="J16" i="30"/>
  <c r="J19" i="36" s="1"/>
  <c r="I26" i="27"/>
  <c r="H26" i="27"/>
  <c r="G16" i="27"/>
  <c r="F16" i="27"/>
  <c r="E16" i="27"/>
  <c r="J16" i="29"/>
  <c r="J17" i="36" s="1"/>
  <c r="B71" i="37" l="1"/>
  <c r="B72" i="37" s="1"/>
  <c r="C40" i="45"/>
  <c r="F16" i="1"/>
  <c r="K24" i="36"/>
  <c r="K31" i="36" s="1"/>
  <c r="F16" i="28"/>
  <c r="L9" i="36" s="1"/>
  <c r="F16" i="23"/>
  <c r="F16" i="17"/>
  <c r="L5" i="36" s="1"/>
  <c r="F16" i="13"/>
  <c r="F16" i="31"/>
  <c r="L8" i="36" s="1"/>
  <c r="F16" i="30"/>
  <c r="H22" i="27"/>
  <c r="H9" i="27"/>
  <c r="G5" i="27"/>
  <c r="H11" i="27"/>
  <c r="G26" i="27"/>
  <c r="F26" i="27"/>
  <c r="E26" i="27"/>
  <c r="E23" i="27"/>
  <c r="G7" i="27"/>
  <c r="E7" i="27"/>
  <c r="G22" i="27"/>
  <c r="F22" i="27"/>
  <c r="E22" i="27"/>
  <c r="F13" i="27"/>
  <c r="E13" i="27"/>
  <c r="F15" i="27"/>
  <c r="E15" i="27"/>
  <c r="G11" i="27"/>
  <c r="F14" i="27"/>
  <c r="E14" i="27"/>
  <c r="F11" i="27"/>
  <c r="E11" i="27"/>
  <c r="P16" i="29" l="1"/>
  <c r="L17" i="36"/>
  <c r="P16" i="30"/>
  <c r="L19" i="36"/>
  <c r="P16" i="31"/>
  <c r="P16" i="28"/>
  <c r="D10" i="27" l="1"/>
  <c r="D16" i="27" l="1"/>
  <c r="D11" i="27"/>
  <c r="G9" i="27"/>
  <c r="F9" i="27"/>
  <c r="E9" i="27"/>
  <c r="G12" i="27"/>
  <c r="F12" i="27"/>
  <c r="E12" i="27"/>
  <c r="F28" i="27"/>
  <c r="E29" i="27"/>
  <c r="G6" i="27"/>
  <c r="F6" i="27"/>
  <c r="E6" i="27"/>
  <c r="F5" i="27"/>
  <c r="E5" i="27"/>
  <c r="L11" i="1"/>
  <c r="L11" i="33" s="1"/>
  <c r="L11" i="17"/>
  <c r="L11" i="48" s="1"/>
  <c r="P16" i="26"/>
  <c r="J16" i="25"/>
  <c r="J21" i="36" s="1"/>
  <c r="F16" i="9"/>
  <c r="F16" i="22"/>
  <c r="F16" i="4"/>
  <c r="J16" i="24"/>
  <c r="J11" i="36" s="1"/>
  <c r="J16" i="23"/>
  <c r="J7" i="36" s="1"/>
  <c r="L7" i="36" s="1"/>
  <c r="J16" i="22"/>
  <c r="J6" i="36" s="1"/>
  <c r="C17" i="37" l="1"/>
  <c r="C15" i="37"/>
  <c r="C30" i="37"/>
  <c r="C16" i="37"/>
  <c r="L11" i="47"/>
  <c r="C8" i="37"/>
  <c r="J29" i="36"/>
  <c r="L11" i="44"/>
  <c r="L11" i="43"/>
  <c r="L11" i="41"/>
  <c r="L11" i="39"/>
  <c r="L11" i="38"/>
  <c r="L11" i="35"/>
  <c r="L11" i="31"/>
  <c r="L11" i="30"/>
  <c r="L11" i="22"/>
  <c r="L11" i="29"/>
  <c r="F16" i="20"/>
  <c r="F16" i="11"/>
  <c r="L11" i="24"/>
  <c r="L11" i="25"/>
  <c r="F16" i="25"/>
  <c r="P16" i="22"/>
  <c r="F16" i="15"/>
  <c r="F16" i="24"/>
  <c r="P16" i="23"/>
  <c r="L11" i="11"/>
  <c r="L11" i="10"/>
  <c r="L11" i="20"/>
  <c r="L11" i="9"/>
  <c r="L11" i="4"/>
  <c r="L11" i="26"/>
  <c r="I5" i="18"/>
  <c r="L29" i="36" l="1"/>
  <c r="P16" i="25"/>
  <c r="P16" i="24"/>
  <c r="L11" i="16"/>
  <c r="L11" i="23"/>
  <c r="L11" i="13"/>
  <c r="L11" i="15"/>
  <c r="J16" i="20"/>
  <c r="J15" i="36" s="1"/>
  <c r="L15" i="36" s="1"/>
  <c r="I4" i="18"/>
  <c r="J16" i="16"/>
  <c r="J24" i="36" s="1"/>
  <c r="L24" i="36" s="1"/>
  <c r="J16" i="15"/>
  <c r="J16" i="11"/>
  <c r="J28" i="36" s="1"/>
  <c r="J16" i="10"/>
  <c r="J16" i="9"/>
  <c r="L11" i="36" l="1"/>
  <c r="D12" i="27"/>
  <c r="P16" i="9"/>
  <c r="J20" i="36"/>
  <c r="L20" i="36" s="1"/>
  <c r="P16" i="15"/>
  <c r="J27" i="36"/>
  <c r="L27" i="36" s="1"/>
  <c r="L21" i="36"/>
  <c r="J12" i="36"/>
  <c r="L28" i="36"/>
  <c r="D23" i="27"/>
  <c r="L11" i="28"/>
  <c r="P16" i="20"/>
  <c r="P16" i="16"/>
  <c r="P16" i="17"/>
  <c r="P16" i="13"/>
  <c r="P16" i="11"/>
  <c r="P16" i="10"/>
  <c r="J16" i="4"/>
  <c r="J4" i="36" s="1"/>
  <c r="J16" i="1"/>
  <c r="J3" i="36" s="1"/>
  <c r="L12" i="36" l="1"/>
  <c r="J31" i="36"/>
  <c r="L3" i="36"/>
  <c r="L4" i="36"/>
  <c r="D14" i="27"/>
  <c r="P16" i="4"/>
  <c r="P16" i="1"/>
  <c r="L31" i="36" l="1"/>
  <c r="D26" i="27" l="1"/>
  <c r="D29" i="27"/>
  <c r="D6" i="27" l="1"/>
  <c r="D34" i="27" s="1"/>
  <c r="D33" i="27" l="1"/>
  <c r="F49" i="15"/>
  <c r="Q37" i="15" s="1"/>
  <c r="D28" i="27" l="1"/>
  <c r="D22" i="27"/>
  <c r="D37" i="27" l="1"/>
  <c r="H34" i="1"/>
  <c r="I34" i="1" s="1"/>
  <c r="J34" i="1" s="1"/>
  <c r="K34" i="1" s="1"/>
  <c r="L34" i="1" s="1"/>
  <c r="J34" i="4"/>
  <c r="K34" i="4" s="1"/>
  <c r="L34" i="4" s="1"/>
  <c r="H34" i="17"/>
  <c r="I34" i="17" s="1"/>
  <c r="J34" i="17" s="1"/>
  <c r="K34" i="17" s="1"/>
  <c r="L34" i="17" s="1"/>
  <c r="F49" i="30"/>
  <c r="Q37" i="30" s="1"/>
  <c r="Q6" i="31"/>
  <c r="Q6" i="28" s="1"/>
  <c r="Q6" i="39" s="1"/>
  <c r="D19" i="27" l="1"/>
  <c r="D35" i="27" s="1"/>
  <c r="Q6" i="24"/>
  <c r="Q6" i="10" s="1"/>
  <c r="Q6" i="35" s="1"/>
  <c r="Q6" i="20" l="1"/>
  <c r="Q6" i="48" s="1"/>
  <c r="Q6" i="29" s="1"/>
  <c r="Q6" i="44" s="1"/>
  <c r="Q6" i="30" s="1"/>
  <c r="Q6" i="9" s="1"/>
  <c r="Q6" i="25" l="1"/>
  <c r="Q6" i="43" s="1"/>
  <c r="Q6" i="33" s="1"/>
  <c r="Q6" i="16" l="1"/>
  <c r="Q6" i="47" s="1"/>
  <c r="Q6" i="38" s="1"/>
  <c r="Q6" i="15" s="1"/>
  <c r="Q6" i="11" s="1"/>
  <c r="Q6" i="26" s="1"/>
</calcChain>
</file>

<file path=xl/sharedStrings.xml><?xml version="1.0" encoding="utf-8"?>
<sst xmlns="http://schemas.openxmlformats.org/spreadsheetml/2006/main" count="3283" uniqueCount="640">
  <si>
    <t>SEMANA:</t>
  </si>
  <si>
    <t>FLETES  SOTELO S.A DE C.V</t>
  </si>
  <si>
    <t>RFC: FSO880915JP8</t>
  </si>
  <si>
    <t>CAMINO DE LOS ESTEROS 720</t>
  </si>
  <si>
    <t>FOLIO DE LIQUIDACION</t>
  </si>
  <si>
    <t>PARTIDO DOBALDO CD.JUAREZ CHIHU.</t>
  </si>
  <si>
    <t>INFORMACION DEL OPERADOR</t>
  </si>
  <si>
    <t>OPERADOR:</t>
  </si>
  <si>
    <t>FECHA DE PERIODO:</t>
  </si>
  <si>
    <t>UNIDAD:</t>
  </si>
  <si>
    <t>ODOM.INIC:</t>
  </si>
  <si>
    <t>COMBUSTIBLE INICI:</t>
  </si>
  <si>
    <t>COMBUSTIBLE CARGADO:</t>
  </si>
  <si>
    <t>ODOM.FINAL:</t>
  </si>
  <si>
    <t>COMBUSTIBLE FIN:</t>
  </si>
  <si>
    <t>DIF. DE DIESEL:</t>
  </si>
  <si>
    <t>KM RECORRIDOS:</t>
  </si>
  <si>
    <t>DIESEL CONSUMIDO:</t>
  </si>
  <si>
    <t>RENDIMIENTO:</t>
  </si>
  <si>
    <t>FOLIO LIQUIDACION</t>
  </si>
  <si>
    <t>CORDENADA</t>
  </si>
  <si>
    <t>FECHA SALIDA</t>
  </si>
  <si>
    <t>FECHA LLEGADA</t>
  </si>
  <si>
    <t>R:</t>
  </si>
  <si>
    <t>ORIGEN</t>
  </si>
  <si>
    <t>DESTINO</t>
  </si>
  <si>
    <t>KMS</t>
  </si>
  <si>
    <t>RECARGA</t>
  </si>
  <si>
    <t>RENDIMIENTO</t>
  </si>
  <si>
    <t>C / V / PT</t>
  </si>
  <si>
    <t>REMOLQUE</t>
  </si>
  <si>
    <t>CLIENTE</t>
  </si>
  <si>
    <t>MANO DE OBRA</t>
  </si>
  <si>
    <t>LITROS A PAGO</t>
  </si>
  <si>
    <t>CRUCES</t>
  </si>
  <si>
    <t>TOTAL.C</t>
  </si>
  <si>
    <t>PERCEPCIONES DE LA SEMANA</t>
  </si>
  <si>
    <t>ADELANTO DE LIQUIDACION</t>
  </si>
  <si>
    <t>TOTAL:</t>
  </si>
  <si>
    <t>ESTANCIAS</t>
  </si>
  <si>
    <t>CRUCE PERICAS</t>
  </si>
  <si>
    <t>TOTAL DEDUCCIONES:</t>
  </si>
  <si>
    <t>TOTAL DE PERCEPCIONES:</t>
  </si>
  <si>
    <t>OBSERVACIONES:</t>
  </si>
  <si>
    <t>FIRMA DE AUTORIZACION</t>
  </si>
  <si>
    <t>FIRMA DE CONFORMIDAD</t>
  </si>
  <si>
    <t>CHIH.</t>
  </si>
  <si>
    <t>JRZ</t>
  </si>
  <si>
    <t>CODIGO C/V/PT</t>
  </si>
  <si>
    <t>CARGADO</t>
  </si>
  <si>
    <t>AGUILAR ESQUIVEL CARLOS</t>
  </si>
  <si>
    <t>F-051</t>
  </si>
  <si>
    <t>F-012</t>
  </si>
  <si>
    <t>AGUILAR RODRIGUEZ JORGE ALONSO</t>
  </si>
  <si>
    <t>MONTERO BURROLA LUIS</t>
  </si>
  <si>
    <t>F-002</t>
  </si>
  <si>
    <t>F-006</t>
  </si>
  <si>
    <t>F-004</t>
  </si>
  <si>
    <t>F-011</t>
  </si>
  <si>
    <t>ORONA BECERRA MAURO JOSE</t>
  </si>
  <si>
    <t>F-045</t>
  </si>
  <si>
    <t xml:space="preserve">PARA LOS QUE HACEN MOVIMIENTOS EN JUAREZ </t>
  </si>
  <si>
    <t>LITROS A PAGAR</t>
  </si>
  <si>
    <t>F-086</t>
  </si>
  <si>
    <t>OBRG</t>
  </si>
  <si>
    <t>DELICIAS</t>
  </si>
  <si>
    <t>CUAHU.</t>
  </si>
  <si>
    <t>JANOS</t>
  </si>
  <si>
    <t>GUAMUCHIL</t>
  </si>
  <si>
    <t>PARRAL</t>
  </si>
  <si>
    <t>FOLIO</t>
  </si>
  <si>
    <t>UNIDAD</t>
  </si>
  <si>
    <t>ODM. INICIAL</t>
  </si>
  <si>
    <t>ODM. FINAL</t>
  </si>
  <si>
    <t>KM. RECORR</t>
  </si>
  <si>
    <t>F-019</t>
  </si>
  <si>
    <t>BALDERRAMA ROBLES JORGE</t>
  </si>
  <si>
    <t>F-017</t>
  </si>
  <si>
    <t>CHIH.(HAW)</t>
  </si>
  <si>
    <t>F-074</t>
  </si>
  <si>
    <t>MORALES LOPEZ DE LARA MARIANO</t>
  </si>
  <si>
    <t>F-082</t>
  </si>
  <si>
    <t>VALLES HERNANDEZ MANUEL MARCELINO</t>
  </si>
  <si>
    <t>FLETES SOTELO S.A. DE C.V.</t>
  </si>
  <si>
    <t>VIAJES FORANEOS JUAREZ - CHIHUAHUA</t>
  </si>
  <si>
    <t>#</t>
  </si>
  <si>
    <t>EMPLEADO</t>
  </si>
  <si>
    <t>VIAJES FORANEOS</t>
  </si>
  <si>
    <t>NO. DE REPORTE</t>
  </si>
  <si>
    <t>0001</t>
  </si>
  <si>
    <t>1332</t>
  </si>
  <si>
    <t>0028</t>
  </si>
  <si>
    <t>0035</t>
  </si>
  <si>
    <t>BURGOS TORRES RIGOBERTO</t>
  </si>
  <si>
    <t>CORDOVA URIBE JOSE ADRIAN</t>
  </si>
  <si>
    <t>HERNANDEZ LICANO JOSE LUIS</t>
  </si>
  <si>
    <t>1047</t>
  </si>
  <si>
    <t xml:space="preserve">MARTINEZ RAMIREZ ROSALIO </t>
  </si>
  <si>
    <t>0176</t>
  </si>
  <si>
    <t xml:space="preserve">MONTERO BURROLA LUIS LEOBARDO </t>
  </si>
  <si>
    <t>0178</t>
  </si>
  <si>
    <t xml:space="preserve">MORALES LOPEZ DE LARA MARIANO </t>
  </si>
  <si>
    <t>1133</t>
  </si>
  <si>
    <t>0273</t>
  </si>
  <si>
    <t xml:space="preserve">VALLES HERNANDEZ MANUEL MARCELINO </t>
  </si>
  <si>
    <t xml:space="preserve">TOTAL </t>
  </si>
  <si>
    <t>CANANEA</t>
  </si>
  <si>
    <t xml:space="preserve">ELP. </t>
  </si>
  <si>
    <t xml:space="preserve">CHIH. </t>
  </si>
  <si>
    <t>MARTINEZ RAMIREZ ROSALIO</t>
  </si>
  <si>
    <t>TALLER EXTERNO</t>
  </si>
  <si>
    <t>DISTANCIA KILOMETROS JRZ-CHIH</t>
  </si>
  <si>
    <t>R</t>
  </si>
  <si>
    <t>F-008</t>
  </si>
  <si>
    <t>F-014</t>
  </si>
  <si>
    <t>CHIH. (FOKKER)</t>
  </si>
  <si>
    <t xml:space="preserve">BONO QMS </t>
  </si>
  <si>
    <t>CHIH. (HAW)</t>
  </si>
  <si>
    <t>IMURIS</t>
  </si>
  <si>
    <t>ONTIVEROS LIRA JUAN</t>
  </si>
  <si>
    <t>ELP</t>
  </si>
  <si>
    <t>CHIH. (HAWK)</t>
  </si>
  <si>
    <t>CHIH (AMPRI)</t>
  </si>
  <si>
    <t>F-009</t>
  </si>
  <si>
    <t>BONO TRANSERVICIOS</t>
  </si>
  <si>
    <t>CONCEPTO</t>
  </si>
  <si>
    <t>FECHA</t>
  </si>
  <si>
    <t>MONTO</t>
  </si>
  <si>
    <t>F-015</t>
  </si>
  <si>
    <t>F-013</t>
  </si>
  <si>
    <t>PT</t>
  </si>
  <si>
    <t>F-010</t>
  </si>
  <si>
    <t>F-005</t>
  </si>
  <si>
    <t>F-007</t>
  </si>
  <si>
    <t>F-050</t>
  </si>
  <si>
    <t>VACIO</t>
  </si>
  <si>
    <t>F-087</t>
  </si>
  <si>
    <t>NOMBRES</t>
  </si>
  <si>
    <t>DIESEL</t>
  </si>
  <si>
    <t>PAGADO</t>
  </si>
  <si>
    <t>TOTAL</t>
  </si>
  <si>
    <t>CARGADOS</t>
  </si>
  <si>
    <t>VACIOS</t>
  </si>
  <si>
    <t>LIQUIDACIONES</t>
  </si>
  <si>
    <t>F-061</t>
  </si>
  <si>
    <t>KM. LIQUID</t>
  </si>
  <si>
    <t>LTS</t>
  </si>
  <si>
    <t xml:space="preserve"> KMS LIQ.</t>
  </si>
  <si>
    <t>KMS ODOM.</t>
  </si>
  <si>
    <t>LTS.DIESEL</t>
  </si>
  <si>
    <t>F-003</t>
  </si>
  <si>
    <t>F-016</t>
  </si>
  <si>
    <t>F-021</t>
  </si>
  <si>
    <t>F-022</t>
  </si>
  <si>
    <t>F-023</t>
  </si>
  <si>
    <t>F-024</t>
  </si>
  <si>
    <t>F-025</t>
  </si>
  <si>
    <t>F-026</t>
  </si>
  <si>
    <t>F-027</t>
  </si>
  <si>
    <t>F-028</t>
  </si>
  <si>
    <t>F-029</t>
  </si>
  <si>
    <t>F-030</t>
  </si>
  <si>
    <t>F-031</t>
  </si>
  <si>
    <t>F-033</t>
  </si>
  <si>
    <t>F-034</t>
  </si>
  <si>
    <t>F-035</t>
  </si>
  <si>
    <t>F-036</t>
  </si>
  <si>
    <t>F-059</t>
  </si>
  <si>
    <t>F-060</t>
  </si>
  <si>
    <t>F-069</t>
  </si>
  <si>
    <t>F-088</t>
  </si>
  <si>
    <t>F-089</t>
  </si>
  <si>
    <t>F-090</t>
  </si>
  <si>
    <t>F-091</t>
  </si>
  <si>
    <t>F-092</t>
  </si>
  <si>
    <t>F-097</t>
  </si>
  <si>
    <t>F-098</t>
  </si>
  <si>
    <t>F-099</t>
  </si>
  <si>
    <t>F-107</t>
  </si>
  <si>
    <t>F-108</t>
  </si>
  <si>
    <t>F-110</t>
  </si>
  <si>
    <t xml:space="preserve"> </t>
  </si>
  <si>
    <t>ORTIZ RAMIREZ HECTOR MANUEL</t>
  </si>
  <si>
    <t>2018</t>
  </si>
  <si>
    <t>RENDIMIENTO PAGO</t>
  </si>
  <si>
    <t>RENIDMIENTO</t>
  </si>
  <si>
    <t>DOBLETE</t>
  </si>
  <si>
    <t>RAMIREZ BAUTISTA ADRIAN</t>
  </si>
  <si>
    <t>2046</t>
  </si>
  <si>
    <t>CUAHU. 1</t>
  </si>
  <si>
    <t>CUAHU. 2</t>
  </si>
  <si>
    <t>SMTC</t>
  </si>
  <si>
    <t>COFICAB</t>
  </si>
  <si>
    <t>SOUTHCO</t>
  </si>
  <si>
    <t>XOMOX</t>
  </si>
  <si>
    <t>APTIV</t>
  </si>
  <si>
    <t>PETSCHE</t>
  </si>
  <si>
    <t>CFI</t>
  </si>
  <si>
    <t>SAFRAN</t>
  </si>
  <si>
    <t>G. AMERICAN</t>
  </si>
  <si>
    <t>YAZAKI</t>
  </si>
  <si>
    <t>YAZAKI COM.</t>
  </si>
  <si>
    <t>SOTELO</t>
  </si>
  <si>
    <t>LYN LOG.</t>
  </si>
  <si>
    <t>BORGWARNER</t>
  </si>
  <si>
    <t>KM CARG.</t>
  </si>
  <si>
    <t>KM VAC.</t>
  </si>
  <si>
    <t>KM PT.</t>
  </si>
  <si>
    <t>TOTAL KM</t>
  </si>
  <si>
    <t>KM POR CLIENTE</t>
  </si>
  <si>
    <t>CH ROBINSON</t>
  </si>
  <si>
    <t>CHANDLER</t>
  </si>
  <si>
    <t>ESC. REPRES.</t>
  </si>
  <si>
    <t>HAAS</t>
  </si>
  <si>
    <t>MEXTAPE</t>
  </si>
  <si>
    <t>PACTIV</t>
  </si>
  <si>
    <t>SYSCOM</t>
  </si>
  <si>
    <t>TRANSERVICIOS</t>
  </si>
  <si>
    <t>V. REYES</t>
  </si>
  <si>
    <t>PAGO POR KM</t>
  </si>
  <si>
    <t>DIESEL A FAVOR</t>
  </si>
  <si>
    <t>F-038</t>
  </si>
  <si>
    <t>F-037</t>
  </si>
  <si>
    <t>F-100</t>
  </si>
  <si>
    <t>BONO POSTURA</t>
  </si>
  <si>
    <t>CORDOVA URIBE ADRIAN</t>
  </si>
  <si>
    <t>PLESANT</t>
  </si>
  <si>
    <t>RECONOCIMIENTO</t>
  </si>
  <si>
    <t>CARGADO/ELP</t>
  </si>
  <si>
    <t>CARGADO FOK/HAW</t>
  </si>
  <si>
    <t>CARGADO FOK/HAW-EL P</t>
  </si>
  <si>
    <t>COYOTE</t>
  </si>
  <si>
    <t>BALLEZA RAMIREZ JESUS JOSE</t>
  </si>
  <si>
    <t>0029</t>
  </si>
  <si>
    <t>PROMEDIO SEMANAL</t>
  </si>
  <si>
    <t>GUZMAN CHAPARRO PEDRO</t>
  </si>
  <si>
    <t>2319</t>
  </si>
  <si>
    <t>AUT. GALINDO</t>
  </si>
  <si>
    <t>Relacion Diciembre 2023</t>
  </si>
  <si>
    <t>RELACION DICIEMBRE 2023</t>
  </si>
  <si>
    <t>KM</t>
  </si>
  <si>
    <t>PAGO KM</t>
  </si>
  <si>
    <t>194</t>
  </si>
  <si>
    <t>BONO SIERRA</t>
  </si>
  <si>
    <t>0007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</si>
  <si>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</si>
  <si>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        </t>
  </si>
  <si>
    <t>XYLEM</t>
  </si>
  <si>
    <t>% VIAJE ACCIDENTE</t>
  </si>
  <si>
    <t>2067</t>
  </si>
  <si>
    <t>PAGO</t>
  </si>
  <si>
    <t>ODM.INICIAL</t>
  </si>
  <si>
    <t>ODOM.FINAL</t>
  </si>
  <si>
    <t>F-119</t>
  </si>
  <si>
    <t>F-111</t>
  </si>
  <si>
    <t>F-112</t>
  </si>
  <si>
    <t>F-113</t>
  </si>
  <si>
    <t>F-114</t>
  </si>
  <si>
    <t>F-115</t>
  </si>
  <si>
    <t>F-116</t>
  </si>
  <si>
    <t>F-117</t>
  </si>
  <si>
    <t>F-118</t>
  </si>
  <si>
    <t>F-120</t>
  </si>
  <si>
    <t>SENATOR INTERNACIONAL</t>
  </si>
  <si>
    <t xml:space="preserve">REPORTE </t>
  </si>
  <si>
    <t>ODOM.INC</t>
  </si>
  <si>
    <t>ODOM.FIN</t>
  </si>
  <si>
    <t>AGUILERA CONTRERAS LUIS GERARDO</t>
  </si>
  <si>
    <t>LN-38</t>
  </si>
  <si>
    <t>LN-45</t>
  </si>
  <si>
    <t>LN-42</t>
  </si>
  <si>
    <t>LN-43</t>
  </si>
  <si>
    <t>LN-46</t>
  </si>
  <si>
    <t>LN-36</t>
  </si>
  <si>
    <t>DEMO TECHNIC</t>
  </si>
  <si>
    <t>PEND</t>
  </si>
  <si>
    <t xml:space="preserve">  </t>
  </si>
  <si>
    <t>2505</t>
  </si>
  <si>
    <t>REYES LARA DANTE</t>
  </si>
  <si>
    <t>2020</t>
  </si>
  <si>
    <t>2508</t>
  </si>
  <si>
    <t>ADS</t>
  </si>
  <si>
    <t xml:space="preserve">   </t>
  </si>
  <si>
    <t xml:space="preserve">PT </t>
  </si>
  <si>
    <t>PESO</t>
  </si>
  <si>
    <t>PESO DE CARGA (kg)</t>
  </si>
  <si>
    <t>PESO  PROMEDIO DE CARGA (kg)</t>
  </si>
  <si>
    <t>g</t>
  </si>
  <si>
    <t>CASTMETAL FWF DE MEXICO</t>
  </si>
  <si>
    <t xml:space="preserve">                                                                                     </t>
  </si>
  <si>
    <t xml:space="preserve">                                                       </t>
  </si>
  <si>
    <t>LOCAL</t>
  </si>
  <si>
    <t>CASTMETAL</t>
  </si>
  <si>
    <t>COMPENSACION ALTO CONSUMO</t>
  </si>
  <si>
    <t>PT POR CRUCE</t>
  </si>
  <si>
    <t>2546</t>
  </si>
  <si>
    <t>CARRERA REYES MARTIN SEBASTIAN</t>
  </si>
  <si>
    <t>2548</t>
  </si>
  <si>
    <t>2549</t>
  </si>
  <si>
    <t>f-016</t>
  </si>
  <si>
    <t>litros</t>
  </si>
  <si>
    <t>km</t>
  </si>
  <si>
    <t>recarga</t>
  </si>
  <si>
    <t>por litro</t>
  </si>
  <si>
    <t>cargado</t>
  </si>
  <si>
    <t>vacio pt</t>
  </si>
  <si>
    <t>OPERADOR</t>
  </si>
  <si>
    <t>DOBLE OPERADOR</t>
  </si>
  <si>
    <t xml:space="preserve">BONO CAMARA </t>
  </si>
  <si>
    <t>BONO CAMARAS</t>
  </si>
  <si>
    <t>F-122</t>
  </si>
  <si>
    <t>F-121</t>
  </si>
  <si>
    <t>NUÑEZ RUIZ IRVING JAVIER</t>
  </si>
  <si>
    <t xml:space="preserve">RENDIMIENTO </t>
  </si>
  <si>
    <t>ADELANTO</t>
  </si>
  <si>
    <t xml:space="preserve">ADELANTO </t>
  </si>
  <si>
    <t>BONO CAMARA</t>
  </si>
  <si>
    <t>AMARRE</t>
  </si>
  <si>
    <t>F-040</t>
  </si>
  <si>
    <t xml:space="preserve">BONO SIERRA </t>
  </si>
  <si>
    <t>apoyo pacifico</t>
  </si>
  <si>
    <t>RECONOCIMIENTO AUTORIZO SR. SOTELO</t>
  </si>
  <si>
    <t>INTERLOAD FORWARDING</t>
  </si>
  <si>
    <t>ANTICIPO DE VIAJE 44253</t>
  </si>
  <si>
    <t xml:space="preserve">F-040 </t>
  </si>
  <si>
    <t xml:space="preserve">INDUCCION A PACIFICO </t>
  </si>
  <si>
    <t>CFI LOGISTICA</t>
  </si>
  <si>
    <t xml:space="preserve"> F-026</t>
  </si>
  <si>
    <t xml:space="preserve">F-023 </t>
  </si>
  <si>
    <t>CAROLINA LOGISTICS</t>
  </si>
  <si>
    <t>AUT. NAUM SOTELO PRUEBA L027</t>
  </si>
  <si>
    <t>L-027</t>
  </si>
  <si>
    <t>MELENDEZ SINALOA MANUEL ARAT</t>
  </si>
  <si>
    <t>RUIZ SAUCEDO DANIEL ALEJANDRO</t>
  </si>
  <si>
    <t>F-042</t>
  </si>
  <si>
    <t>2590</t>
  </si>
  <si>
    <t>2616</t>
  </si>
  <si>
    <t xml:space="preserve">F-005 </t>
  </si>
  <si>
    <t>.</t>
  </si>
  <si>
    <t>AUTORIZO NAHUM 20 LTS</t>
  </si>
  <si>
    <t xml:space="preserve">F-014 </t>
  </si>
  <si>
    <t>BONO DE LA SIERRA</t>
  </si>
  <si>
    <t xml:space="preserve">F-029 </t>
  </si>
  <si>
    <t>RODRIGUEZ FLORES BRYAN DARIO</t>
  </si>
  <si>
    <t xml:space="preserve">pendiente </t>
  </si>
  <si>
    <t xml:space="preserve">PENDIENTE </t>
  </si>
  <si>
    <t>PENDIENTE</t>
  </si>
  <si>
    <t xml:space="preserve">F-030 </t>
  </si>
  <si>
    <t>PT POR EXPO</t>
  </si>
  <si>
    <t>PENDIENTE SEMNA 33</t>
  </si>
  <si>
    <t xml:space="preserve">10 LTS ALINEACION </t>
  </si>
  <si>
    <t>SALIDA</t>
  </si>
  <si>
    <t>NA</t>
  </si>
  <si>
    <t>MACHADO MAZUCA ADOLFO</t>
  </si>
  <si>
    <t xml:space="preserve">REGRESO </t>
  </si>
  <si>
    <t>REGRESO</t>
  </si>
  <si>
    <t>LIRA ARCEO JOEL EDUARDO</t>
  </si>
  <si>
    <t>20 LTS</t>
  </si>
  <si>
    <t xml:space="preserve">AMARRE </t>
  </si>
  <si>
    <t>F-027 F-026</t>
  </si>
  <si>
    <t>F-010 F-012</t>
  </si>
  <si>
    <t>F-002 F-009 F-050</t>
  </si>
  <si>
    <t xml:space="preserve">PT POR CANCELACION DE IMPO </t>
  </si>
  <si>
    <t>RECONOCIMIENTO 35 LTS</t>
  </si>
  <si>
    <t>ANCHONDO ROMERO CESAR ALEJANDRO</t>
  </si>
  <si>
    <t>RECONOCIMIENTO 18 LTS</t>
  </si>
  <si>
    <t>ASENCION</t>
  </si>
  <si>
    <t>DIESEL TALLER</t>
  </si>
  <si>
    <t>MORALES LECHUGA GONZALO</t>
  </si>
  <si>
    <t>FLORES BOJORQUEZ BRYAN OVED</t>
  </si>
  <si>
    <t>2704</t>
  </si>
  <si>
    <t>DIESEL L-083</t>
  </si>
  <si>
    <t>2878160-2</t>
  </si>
  <si>
    <t>2878477-4</t>
  </si>
  <si>
    <t>FSM53925</t>
  </si>
  <si>
    <t>BS35030</t>
  </si>
  <si>
    <t>N/A</t>
  </si>
  <si>
    <t>2879018-3</t>
  </si>
  <si>
    <t>2879131-4</t>
  </si>
  <si>
    <t>BS53023</t>
  </si>
  <si>
    <t>BS35050</t>
  </si>
  <si>
    <t>2878849-2</t>
  </si>
  <si>
    <t>2878925-3</t>
  </si>
  <si>
    <t>BS35046</t>
  </si>
  <si>
    <t>FSA53048</t>
  </si>
  <si>
    <t>2878133-4</t>
  </si>
  <si>
    <t>2878247-3</t>
  </si>
  <si>
    <t>BS30737</t>
  </si>
  <si>
    <t>FSA30487</t>
  </si>
  <si>
    <t>2878688-4</t>
  </si>
  <si>
    <t>2878922-2</t>
  </si>
  <si>
    <t>BS35023</t>
  </si>
  <si>
    <t>FSM53958</t>
  </si>
  <si>
    <t>2878973-3</t>
  </si>
  <si>
    <t>2879314-4</t>
  </si>
  <si>
    <t>FSM53045</t>
  </si>
  <si>
    <t>FSM53927</t>
  </si>
  <si>
    <t>SUBIO 3 CM</t>
  </si>
  <si>
    <t>2878158-3</t>
  </si>
  <si>
    <t>2878308-3</t>
  </si>
  <si>
    <t>BS35125</t>
  </si>
  <si>
    <t>BS35049</t>
  </si>
  <si>
    <t>2877018-1</t>
  </si>
  <si>
    <t>2878441-4</t>
  </si>
  <si>
    <t>BS35114</t>
  </si>
  <si>
    <t>PT POR PERICAS</t>
  </si>
  <si>
    <t>2878672-3</t>
  </si>
  <si>
    <t>2878624-3</t>
  </si>
  <si>
    <t>2879035-3</t>
  </si>
  <si>
    <t>2879464-2</t>
  </si>
  <si>
    <t>BM53011</t>
  </si>
  <si>
    <t>BS35080</t>
  </si>
  <si>
    <t>FSM53992</t>
  </si>
  <si>
    <t>FSA54441</t>
  </si>
  <si>
    <t>2878131-4</t>
  </si>
  <si>
    <t>2877782-4</t>
  </si>
  <si>
    <t>QMS</t>
  </si>
  <si>
    <t>BS35141</t>
  </si>
  <si>
    <t>BS35121</t>
  </si>
  <si>
    <t>2878388-2</t>
  </si>
  <si>
    <t>2878620-2</t>
  </si>
  <si>
    <t>BS35126</t>
  </si>
  <si>
    <t>BS84012</t>
  </si>
  <si>
    <t>2878671-3</t>
  </si>
  <si>
    <t>2878914-4</t>
  </si>
  <si>
    <t>2878975-3</t>
  </si>
  <si>
    <t>2878890-3</t>
  </si>
  <si>
    <t>BS35066</t>
  </si>
  <si>
    <t>FSM53945</t>
  </si>
  <si>
    <t>AN530804</t>
  </si>
  <si>
    <t>FSA53039</t>
  </si>
  <si>
    <t>2878976-4</t>
  </si>
  <si>
    <t>2879205-4</t>
  </si>
  <si>
    <t>AN537917</t>
  </si>
  <si>
    <t>BS35092</t>
  </si>
  <si>
    <t>2878962-4</t>
  </si>
  <si>
    <t>2878891-3</t>
  </si>
  <si>
    <t>BS35118</t>
  </si>
  <si>
    <t>2879308-4</t>
  </si>
  <si>
    <t>2879500-2</t>
  </si>
  <si>
    <t>BS35067</t>
  </si>
  <si>
    <t>2878787-4</t>
  </si>
  <si>
    <t>2879092-3</t>
  </si>
  <si>
    <t>BM54096</t>
  </si>
  <si>
    <t>2879212-3</t>
  </si>
  <si>
    <t>2879459-3</t>
  </si>
  <si>
    <t>BS35095</t>
  </si>
  <si>
    <t>2877918-2</t>
  </si>
  <si>
    <t>2878050-3</t>
  </si>
  <si>
    <t>BS35015</t>
  </si>
  <si>
    <t>FSM53994</t>
  </si>
  <si>
    <t>2878190-3</t>
  </si>
  <si>
    <t>2878544-3</t>
  </si>
  <si>
    <t>BS35130</t>
  </si>
  <si>
    <t>BS35088</t>
  </si>
  <si>
    <t>2878685-3</t>
  </si>
  <si>
    <t>2878822-2</t>
  </si>
  <si>
    <t>2879109-2</t>
  </si>
  <si>
    <t>2879103-2</t>
  </si>
  <si>
    <t>2878062-3</t>
  </si>
  <si>
    <t>2877938-4</t>
  </si>
  <si>
    <t>BS53007</t>
  </si>
  <si>
    <t>FSM54003</t>
  </si>
  <si>
    <t>2878796-4</t>
  </si>
  <si>
    <t>2878768-3</t>
  </si>
  <si>
    <t>SS538943</t>
  </si>
  <si>
    <t>2878961-4</t>
  </si>
  <si>
    <t>2879153-3</t>
  </si>
  <si>
    <t>P-012</t>
  </si>
  <si>
    <t>FSA48879</t>
  </si>
  <si>
    <t>2879241-1</t>
  </si>
  <si>
    <t>2879245-4</t>
  </si>
  <si>
    <t>2879096-2</t>
  </si>
  <si>
    <t>2879096-3</t>
  </si>
  <si>
    <t>FSM54000</t>
  </si>
  <si>
    <t>2878290-3</t>
  </si>
  <si>
    <t>2878434-2</t>
  </si>
  <si>
    <t>2878788-3</t>
  </si>
  <si>
    <t>2879005-3</t>
  </si>
  <si>
    <t>SS538076</t>
  </si>
  <si>
    <t>2878132-2</t>
  </si>
  <si>
    <t>2878283-2</t>
  </si>
  <si>
    <t>BM54099</t>
  </si>
  <si>
    <t>2878390-2</t>
  </si>
  <si>
    <t>2878621-3</t>
  </si>
  <si>
    <t>2878389-2</t>
  </si>
  <si>
    <t>2879022-2</t>
  </si>
  <si>
    <t>AN530022</t>
  </si>
  <si>
    <t>2879341-3</t>
  </si>
  <si>
    <t>2879497-2</t>
  </si>
  <si>
    <t>BS53008</t>
  </si>
  <si>
    <t>DM35135</t>
  </si>
  <si>
    <t>2878134-3</t>
  </si>
  <si>
    <t>2878429-2</t>
  </si>
  <si>
    <t>FSM54442</t>
  </si>
  <si>
    <t>BS35074</t>
  </si>
  <si>
    <t>f-030</t>
  </si>
  <si>
    <t>2878417-3</t>
  </si>
  <si>
    <t>2878341-4</t>
  </si>
  <si>
    <t>BS35062</t>
  </si>
  <si>
    <t>n/a</t>
  </si>
  <si>
    <t>2879013-3</t>
  </si>
  <si>
    <t>2878897-3</t>
  </si>
  <si>
    <t>2877934-4</t>
  </si>
  <si>
    <t>2877964-5</t>
  </si>
  <si>
    <t>BS35027</t>
  </si>
  <si>
    <t>2878469-3</t>
  </si>
  <si>
    <t>2878478-3</t>
  </si>
  <si>
    <t>2878719-2</t>
  </si>
  <si>
    <t>2878918-2</t>
  </si>
  <si>
    <t>KM-30</t>
  </si>
  <si>
    <t>AN539130</t>
  </si>
  <si>
    <t>BS35089</t>
  </si>
  <si>
    <t>FSM48535</t>
  </si>
  <si>
    <t>BS53757</t>
  </si>
  <si>
    <t>2877657-4</t>
  </si>
  <si>
    <t>2877995-3</t>
  </si>
  <si>
    <t>2878302-4</t>
  </si>
  <si>
    <t>2878462-4</t>
  </si>
  <si>
    <t>2878670-5</t>
  </si>
  <si>
    <t>2878773-2</t>
  </si>
  <si>
    <t>2879074-3</t>
  </si>
  <si>
    <t>2878758-5</t>
  </si>
  <si>
    <t>BS35101</t>
  </si>
  <si>
    <t>DM35136</t>
  </si>
  <si>
    <t>FSA48920</t>
  </si>
  <si>
    <t>2879014-3</t>
  </si>
  <si>
    <t>2879038-4</t>
  </si>
  <si>
    <t>DM53283</t>
  </si>
  <si>
    <t>2878245-3</t>
  </si>
  <si>
    <t>2878363-2</t>
  </si>
  <si>
    <t>2878419-3</t>
  </si>
  <si>
    <t>2878717-4</t>
  </si>
  <si>
    <t>2878910-1</t>
  </si>
  <si>
    <t>2878971-3</t>
  </si>
  <si>
    <t>2879011-3</t>
  </si>
  <si>
    <t>2879470-2</t>
  </si>
  <si>
    <t>DM53934</t>
  </si>
  <si>
    <t>BS35106</t>
  </si>
  <si>
    <t>BS35098</t>
  </si>
  <si>
    <t>FSM53901</t>
  </si>
  <si>
    <t>AN539308</t>
  </si>
  <si>
    <t>2878177-4</t>
  </si>
  <si>
    <t>2878795-3</t>
  </si>
  <si>
    <t>2878908-1</t>
  </si>
  <si>
    <t>2878876-2</t>
  </si>
  <si>
    <t>2878007-4</t>
  </si>
  <si>
    <t>2878188-3</t>
  </si>
  <si>
    <t>FSM48502</t>
  </si>
  <si>
    <t>FSM54002</t>
  </si>
  <si>
    <t>f-019</t>
  </si>
  <si>
    <t>2877900-4</t>
  </si>
  <si>
    <t>2878021-3</t>
  </si>
  <si>
    <t>qms</t>
  </si>
  <si>
    <t>2878155-4</t>
  </si>
  <si>
    <t>2878296-4</t>
  </si>
  <si>
    <t>2878420-3</t>
  </si>
  <si>
    <t>2878714-5</t>
  </si>
  <si>
    <t>2878907-1</t>
  </si>
  <si>
    <t>2878979-2</t>
  </si>
  <si>
    <t>2879004-4</t>
  </si>
  <si>
    <t>2879015-5</t>
  </si>
  <si>
    <t>2879243-1</t>
  </si>
  <si>
    <t>2879067-3</t>
  </si>
  <si>
    <t>BS53754</t>
  </si>
  <si>
    <t>BS35082</t>
  </si>
  <si>
    <t>SS537024</t>
  </si>
  <si>
    <t>SS538944</t>
  </si>
  <si>
    <t>FSM48536</t>
  </si>
  <si>
    <t>BS35122</t>
  </si>
  <si>
    <t>AN5397624</t>
  </si>
  <si>
    <t>FSM53955</t>
  </si>
  <si>
    <t>f-022</t>
  </si>
  <si>
    <t>f-021</t>
  </si>
  <si>
    <t>2877977-2</t>
  </si>
  <si>
    <t>2878236-3</t>
  </si>
  <si>
    <t>FSA31063</t>
  </si>
  <si>
    <t>2878154-2</t>
  </si>
  <si>
    <t>2878301-4</t>
  </si>
  <si>
    <t>2878720-3</t>
  </si>
  <si>
    <t>2878601-4</t>
  </si>
  <si>
    <t>FSA53037</t>
  </si>
  <si>
    <t>2878963-3</t>
  </si>
  <si>
    <t>2879152-3</t>
  </si>
  <si>
    <t>FSA53029</t>
  </si>
  <si>
    <t>2879291-3</t>
  </si>
  <si>
    <t>2879443-3</t>
  </si>
  <si>
    <t>2878153-3</t>
  </si>
  <si>
    <t>2878078-4</t>
  </si>
  <si>
    <t>2878346-4</t>
  </si>
  <si>
    <t>2878909-1</t>
  </si>
  <si>
    <t>2878431-3</t>
  </si>
  <si>
    <t>2878895-2</t>
  </si>
  <si>
    <t>2878968-5</t>
  </si>
  <si>
    <t>2879222-3</t>
  </si>
  <si>
    <t>FSA53044</t>
  </si>
  <si>
    <t>AN5301392</t>
  </si>
  <si>
    <t>BS35091</t>
  </si>
  <si>
    <t>FSM53978</t>
  </si>
  <si>
    <t>f-014</t>
  </si>
  <si>
    <t>2877016-1</t>
  </si>
  <si>
    <t>2876965-3</t>
  </si>
  <si>
    <t>2877340-4</t>
  </si>
  <si>
    <t>2877406-3</t>
  </si>
  <si>
    <t>2877753-3</t>
  </si>
  <si>
    <t>2877368-5</t>
  </si>
  <si>
    <t>2877754-5</t>
  </si>
  <si>
    <t>2877785-4</t>
  </si>
  <si>
    <t>FSM53909</t>
  </si>
  <si>
    <t>2877666-3</t>
  </si>
  <si>
    <t>2878192-3</t>
  </si>
  <si>
    <t>2878474-3</t>
  </si>
  <si>
    <t>2878585-3</t>
  </si>
  <si>
    <t>2878703-4</t>
  </si>
  <si>
    <t>2878903-2</t>
  </si>
  <si>
    <t>2879117-3</t>
  </si>
  <si>
    <t>2879238-3</t>
  </si>
  <si>
    <t>FSM22301</t>
  </si>
  <si>
    <t>2879151-4</t>
  </si>
  <si>
    <t>2879313-4</t>
  </si>
  <si>
    <t>BS35096</t>
  </si>
  <si>
    <t>2878418-4</t>
  </si>
  <si>
    <t>2878504-6</t>
  </si>
  <si>
    <t>2878984-2</t>
  </si>
  <si>
    <t>FSM53924</t>
  </si>
  <si>
    <t>BS53753</t>
  </si>
  <si>
    <t>2879377-3</t>
  </si>
  <si>
    <t>2879485-2</t>
  </si>
  <si>
    <t>2878083-3</t>
  </si>
  <si>
    <t>2878595-3</t>
  </si>
  <si>
    <t>FSM53902</t>
  </si>
  <si>
    <t>FSM53987</t>
  </si>
  <si>
    <t>2878882-3</t>
  </si>
  <si>
    <t>2879145-2</t>
  </si>
  <si>
    <t>DM35141</t>
  </si>
  <si>
    <t>VIAJE EN RUTA</t>
  </si>
  <si>
    <t>SEMANA #45 PERIODO DEL 27 de oct AL 02 de nov DEL 2025</t>
  </si>
  <si>
    <t>f-028</t>
  </si>
  <si>
    <t>anticipo</t>
  </si>
  <si>
    <t>f-033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</si>
</sst>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44" formatCode="_-&quot;$&quot;* #,##0.00_-;\-&quot;$&quot;* #,##0.00_-;_-&quot;$&quot;* &quot;-&quot;??_-;_-@_-"/>
    <numFmt numFmtId="43" formatCode="_-* #,##0.00_-;\-* #,##0.00_-;_-* &quot;-&quot;??_-;_-@_-"/>
    <numFmt numFmtId="164" formatCode="_(* #,##0.00_);_(* \(#,##0.00\);_(* &quot;-&quot;??_);_(@_)"/>
    <numFmt numFmtId="165" formatCode="0.0000"/>
    <numFmt numFmtId="166" formatCode="_(&quot;$&quot;* #,##0.00_);_(&quot;$&quot;* \(#,##0.00\);_(&quot;$&quot;* &quot;-&quot;??_);_(@_)"/>
    <numFmt numFmtId="167" formatCode="0.000"/>
    <numFmt numFmtId="168" formatCode="_(* #,##0_);_(* \(#,##0\);_(* &quot;-&quot;??_);_(@_)"/>
    <numFmt numFmtId="169" formatCode="_(* #,##0.000_);_(* \(#,##0.000\);_(* &quot;-&quot;??_);_(@_)"/>
    <numFmt numFmtId="170" formatCode="_(* #,##0.0000_);_(* \(#,##0.0000\);_(* &quot;-&quot;??_);_(@_)"/>
    <numFmt numFmtId="171" formatCode="_(* #,##0.00000_);_(* \(#,##0.00000\);_(* &quot;-&quot;??_);_(@_)"/>
    <numFmt numFmtId="172" formatCode="_-* #,##0.000_-;\-* #,##0.000_-;_-* &quot;-&quot;??_-;_-@_-"/>
    <numFmt numFmtId="173" formatCode="[$-F400]h:mm:ss\ AM/PM"/>
  </numFmts>
  <fonts count="38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11"/>
      <name val="Arial"/>
      <family val="2"/>
    </font>
    <font>
      <b/>
      <sz val="16"/>
      <color theme="1"/>
      <name val="Arial"/>
      <family val="2"/>
    </font>
    <font>
      <b/>
      <sz val="14"/>
      <color theme="1"/>
      <name val="Arial"/>
      <family val="2"/>
    </font>
    <font>
      <b/>
      <sz val="12"/>
      <color theme="0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sz val="8"/>
      <name val="Arial"/>
      <family val="2"/>
    </font>
    <font>
      <sz val="8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b/>
      <sz val="18"/>
      <name val="Arial"/>
      <family val="2"/>
    </font>
    <font>
      <sz val="12"/>
      <color indexed="8"/>
      <name val="Arial"/>
      <family val="2"/>
    </font>
    <font>
      <b/>
      <sz val="9"/>
      <color theme="1"/>
      <name val="Arial"/>
      <family val="2"/>
    </font>
    <font>
      <sz val="8"/>
      <name val="Arial"/>
      <family val="2"/>
    </font>
    <font>
      <sz val="9"/>
      <color theme="0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b/>
      <sz val="9"/>
      <color theme="1"/>
      <name val="Calibri"/>
      <family val="2"/>
      <scheme val="minor"/>
    </font>
    <font>
      <b/>
      <sz val="10"/>
      <color theme="1"/>
      <name val="Arial"/>
      <family val="2"/>
    </font>
    <font>
      <sz val="9"/>
      <color rgb="FFFF0000"/>
      <name val="Arial"/>
      <family val="2"/>
    </font>
    <font>
      <u/>
      <sz val="10"/>
      <color theme="10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00808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-0.249977111117893"/>
        <bgColor indexed="64"/>
      </patternFill>
    </fill>
  </fills>
  <borders count="7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ck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22">
    <xf numFmtId="0" fontId="0" fillId="0" borderId="0"/>
    <xf numFmtId="164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0" fontId="8" fillId="0" borderId="0"/>
    <xf numFmtId="0" fontId="7" fillId="0" borderId="0"/>
    <xf numFmtId="0" fontId="11" fillId="0" borderId="0"/>
    <xf numFmtId="43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0" fontId="6" fillId="0" borderId="0"/>
    <xf numFmtId="0" fontId="6" fillId="0" borderId="0"/>
    <xf numFmtId="164" fontId="11" fillId="0" borderId="0" applyFont="0" applyFill="0" applyBorder="0" applyAlignment="0" applyProtection="0"/>
    <xf numFmtId="0" fontId="5" fillId="0" borderId="0"/>
    <xf numFmtId="0" fontId="5" fillId="0" borderId="0"/>
    <xf numFmtId="43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0" fontId="5" fillId="0" borderId="0"/>
    <xf numFmtId="0" fontId="5" fillId="0" borderId="0"/>
    <xf numFmtId="43" fontId="11" fillId="0" borderId="0" applyFont="0" applyFill="0" applyBorder="0" applyAlignment="0" applyProtection="0"/>
    <xf numFmtId="0" fontId="4" fillId="0" borderId="0"/>
    <xf numFmtId="164" fontId="4" fillId="0" borderId="0" applyFont="0" applyFill="0" applyBorder="0" applyAlignment="0" applyProtection="0"/>
    <xf numFmtId="0" fontId="3" fillId="0" borderId="0"/>
    <xf numFmtId="0" fontId="37" fillId="0" borderId="0" applyNumberFormat="0" applyFill="0" applyBorder="0" applyAlignment="0" applyProtection="0"/>
  </cellStyleXfs>
  <cellXfs count="708">
    <xf numFmtId="0" fontId="0" fillId="0" borderId="0" xfId="0"/>
    <xf numFmtId="0" fontId="10" fillId="2" borderId="3" xfId="0" applyFont="1" applyFill="1" applyBorder="1"/>
    <xf numFmtId="0" fontId="11" fillId="2" borderId="4" xfId="0" applyFont="1" applyFill="1" applyBorder="1"/>
    <xf numFmtId="0" fontId="10" fillId="2" borderId="4" xfId="0" applyFont="1" applyFill="1" applyBorder="1" applyAlignment="1">
      <alignment horizontal="right"/>
    </xf>
    <xf numFmtId="0" fontId="10" fillId="2" borderId="6" xfId="0" applyFont="1" applyFill="1" applyBorder="1"/>
    <xf numFmtId="0" fontId="11" fillId="2" borderId="0" xfId="0" applyFont="1" applyFill="1" applyAlignment="1">
      <alignment horizontal="left"/>
    </xf>
    <xf numFmtId="0" fontId="10" fillId="2" borderId="0" xfId="0" applyFont="1" applyFill="1" applyAlignment="1">
      <alignment horizontal="right"/>
    </xf>
    <xf numFmtId="0" fontId="10" fillId="2" borderId="0" xfId="0" applyFont="1" applyFill="1"/>
    <xf numFmtId="0" fontId="10" fillId="2" borderId="7" xfId="0" applyFont="1" applyFill="1" applyBorder="1" applyAlignment="1">
      <alignment horizontal="left"/>
    </xf>
    <xf numFmtId="0" fontId="10" fillId="2" borderId="9" xfId="0" applyFont="1" applyFill="1" applyBorder="1" applyAlignment="1">
      <alignment horizontal="right"/>
    </xf>
    <xf numFmtId="165" fontId="10" fillId="2" borderId="9" xfId="0" applyNumberFormat="1" applyFont="1" applyFill="1" applyBorder="1"/>
    <xf numFmtId="0" fontId="12" fillId="2" borderId="12" xfId="0" applyFont="1" applyFill="1" applyBorder="1" applyAlignment="1">
      <alignment horizontal="center" vertical="center"/>
    </xf>
    <xf numFmtId="16" fontId="12" fillId="2" borderId="12" xfId="0" applyNumberFormat="1" applyFont="1" applyFill="1" applyBorder="1" applyAlignment="1">
      <alignment horizontal="center"/>
    </xf>
    <xf numFmtId="166" fontId="12" fillId="2" borderId="12" xfId="2" applyFont="1" applyFill="1" applyBorder="1"/>
    <xf numFmtId="0" fontId="13" fillId="0" borderId="0" xfId="0" applyFont="1"/>
    <xf numFmtId="164" fontId="13" fillId="0" borderId="0" xfId="1" applyFont="1"/>
    <xf numFmtId="14" fontId="12" fillId="2" borderId="16" xfId="0" applyNumberFormat="1" applyFont="1" applyFill="1" applyBorder="1" applyAlignment="1">
      <alignment horizontal="center" vertical="center"/>
    </xf>
    <xf numFmtId="0" fontId="12" fillId="2" borderId="17" xfId="0" applyFont="1" applyFill="1" applyBorder="1" applyAlignment="1">
      <alignment horizontal="center"/>
    </xf>
    <xf numFmtId="0" fontId="11" fillId="0" borderId="0" xfId="0" applyFont="1"/>
    <xf numFmtId="164" fontId="12" fillId="2" borderId="21" xfId="1" applyFont="1" applyFill="1" applyBorder="1"/>
    <xf numFmtId="0" fontId="10" fillId="0" borderId="0" xfId="0" applyFont="1"/>
    <xf numFmtId="0" fontId="12" fillId="0" borderId="0" xfId="0" applyFont="1"/>
    <xf numFmtId="0" fontId="12" fillId="2" borderId="12" xfId="1" applyNumberFormat="1" applyFont="1" applyFill="1" applyBorder="1" applyAlignment="1">
      <alignment horizontal="center" vertical="center"/>
    </xf>
    <xf numFmtId="167" fontId="12" fillId="2" borderId="12" xfId="0" applyNumberFormat="1" applyFont="1" applyFill="1" applyBorder="1" applyAlignment="1">
      <alignment horizontal="center" vertical="center"/>
    </xf>
    <xf numFmtId="0" fontId="12" fillId="2" borderId="16" xfId="0" applyFont="1" applyFill="1" applyBorder="1" applyAlignment="1">
      <alignment horizontal="center" vertical="center"/>
    </xf>
    <xf numFmtId="16" fontId="12" fillId="2" borderId="21" xfId="0" applyNumberFormat="1" applyFont="1" applyFill="1" applyBorder="1" applyAlignment="1">
      <alignment horizontal="center"/>
    </xf>
    <xf numFmtId="2" fontId="12" fillId="2" borderId="21" xfId="0" applyNumberFormat="1" applyFont="1" applyFill="1" applyBorder="1" applyAlignment="1">
      <alignment horizontal="center" vertical="center"/>
    </xf>
    <xf numFmtId="0" fontId="12" fillId="2" borderId="21" xfId="0" applyFont="1" applyFill="1" applyBorder="1" applyAlignment="1">
      <alignment horizontal="center" vertical="center"/>
    </xf>
    <xf numFmtId="167" fontId="12" fillId="2" borderId="21" xfId="0" applyNumberFormat="1" applyFont="1" applyFill="1" applyBorder="1" applyAlignment="1">
      <alignment horizontal="center" vertical="center"/>
    </xf>
    <xf numFmtId="166" fontId="12" fillId="2" borderId="21" xfId="2" applyFont="1" applyFill="1" applyBorder="1"/>
    <xf numFmtId="166" fontId="12" fillId="2" borderId="22" xfId="2" applyFont="1" applyFill="1" applyBorder="1"/>
    <xf numFmtId="0" fontId="12" fillId="2" borderId="21" xfId="1" applyNumberFormat="1" applyFont="1" applyFill="1" applyBorder="1" applyAlignment="1">
      <alignment horizontal="center" vertical="center"/>
    </xf>
    <xf numFmtId="0" fontId="12" fillId="2" borderId="31" xfId="0" applyFont="1" applyFill="1" applyBorder="1" applyAlignment="1">
      <alignment horizontal="center" vertical="center"/>
    </xf>
    <xf numFmtId="0" fontId="12" fillId="2" borderId="37" xfId="0" applyFont="1" applyFill="1" applyBorder="1" applyAlignment="1">
      <alignment horizontal="center" vertical="center"/>
    </xf>
    <xf numFmtId="0" fontId="12" fillId="2" borderId="37" xfId="0" applyFont="1" applyFill="1" applyBorder="1" applyAlignment="1">
      <alignment horizontal="center" vertical="center" wrapText="1"/>
    </xf>
    <xf numFmtId="0" fontId="12" fillId="2" borderId="38" xfId="0" applyFont="1" applyFill="1" applyBorder="1" applyAlignment="1">
      <alignment horizontal="center" vertical="center" wrapText="1"/>
    </xf>
    <xf numFmtId="0" fontId="12" fillId="2" borderId="25" xfId="0" applyFont="1" applyFill="1" applyBorder="1" applyAlignment="1">
      <alignment horizontal="center"/>
    </xf>
    <xf numFmtId="16" fontId="12" fillId="2" borderId="25" xfId="0" applyNumberFormat="1" applyFont="1" applyFill="1" applyBorder="1" applyAlignment="1">
      <alignment horizontal="center"/>
    </xf>
    <xf numFmtId="0" fontId="12" fillId="2" borderId="25" xfId="0" applyFont="1" applyFill="1" applyBorder="1" applyAlignment="1">
      <alignment horizontal="center" vertical="center"/>
    </xf>
    <xf numFmtId="0" fontId="12" fillId="2" borderId="25" xfId="1" applyNumberFormat="1" applyFont="1" applyFill="1" applyBorder="1" applyAlignment="1">
      <alignment horizontal="center" vertical="center"/>
    </xf>
    <xf numFmtId="166" fontId="12" fillId="2" borderId="25" xfId="2" applyFont="1" applyFill="1" applyBorder="1"/>
    <xf numFmtId="166" fontId="12" fillId="2" borderId="26" xfId="2" applyFont="1" applyFill="1" applyBorder="1"/>
    <xf numFmtId="16" fontId="12" fillId="2" borderId="16" xfId="0" applyNumberFormat="1" applyFont="1" applyFill="1" applyBorder="1" applyAlignment="1">
      <alignment horizontal="center"/>
    </xf>
    <xf numFmtId="0" fontId="12" fillId="2" borderId="16" xfId="0" applyFont="1" applyFill="1" applyBorder="1" applyAlignment="1">
      <alignment horizontal="center"/>
    </xf>
    <xf numFmtId="167" fontId="12" fillId="2" borderId="16" xfId="0" applyNumberFormat="1" applyFont="1" applyFill="1" applyBorder="1" applyAlignment="1">
      <alignment horizontal="center" vertical="center"/>
    </xf>
    <xf numFmtId="166" fontId="12" fillId="2" borderId="16" xfId="2" applyFont="1" applyFill="1" applyBorder="1"/>
    <xf numFmtId="166" fontId="12" fillId="2" borderId="17" xfId="2" applyFont="1" applyFill="1" applyBorder="1"/>
    <xf numFmtId="2" fontId="12" fillId="2" borderId="25" xfId="0" applyNumberFormat="1" applyFont="1" applyFill="1" applyBorder="1" applyAlignment="1">
      <alignment horizontal="center" vertical="center"/>
    </xf>
    <xf numFmtId="167" fontId="12" fillId="2" borderId="25" xfId="0" applyNumberFormat="1" applyFont="1" applyFill="1" applyBorder="1" applyAlignment="1">
      <alignment horizontal="center" vertical="center"/>
    </xf>
    <xf numFmtId="2" fontId="12" fillId="2" borderId="16" xfId="2" applyNumberFormat="1" applyFont="1" applyFill="1" applyBorder="1"/>
    <xf numFmtId="2" fontId="12" fillId="2" borderId="21" xfId="2" applyNumberFormat="1" applyFont="1" applyFill="1" applyBorder="1"/>
    <xf numFmtId="0" fontId="12" fillId="2" borderId="16" xfId="1" applyNumberFormat="1" applyFont="1" applyFill="1" applyBorder="1" applyAlignment="1">
      <alignment horizontal="center" vertical="center"/>
    </xf>
    <xf numFmtId="164" fontId="12" fillId="2" borderId="16" xfId="1" applyFont="1" applyFill="1" applyBorder="1"/>
    <xf numFmtId="0" fontId="12" fillId="2" borderId="29" xfId="0" applyFont="1" applyFill="1" applyBorder="1" applyAlignment="1">
      <alignment horizontal="center" vertical="center"/>
    </xf>
    <xf numFmtId="0" fontId="12" fillId="2" borderId="32" xfId="0" applyFont="1" applyFill="1" applyBorder="1" applyAlignment="1">
      <alignment horizontal="center" vertical="center"/>
    </xf>
    <xf numFmtId="0" fontId="12" fillId="2" borderId="22" xfId="0" applyFont="1" applyFill="1" applyBorder="1" applyAlignment="1">
      <alignment horizontal="center" vertical="center"/>
    </xf>
    <xf numFmtId="167" fontId="12" fillId="2" borderId="16" xfId="1" applyNumberFormat="1" applyFont="1" applyFill="1" applyBorder="1" applyAlignment="1">
      <alignment horizontal="center" vertical="center"/>
    </xf>
    <xf numFmtId="0" fontId="12" fillId="2" borderId="41" xfId="0" applyFont="1" applyFill="1" applyBorder="1" applyAlignment="1">
      <alignment horizontal="center"/>
    </xf>
    <xf numFmtId="16" fontId="12" fillId="2" borderId="41" xfId="0" applyNumberFormat="1" applyFont="1" applyFill="1" applyBorder="1" applyAlignment="1">
      <alignment horizontal="center"/>
    </xf>
    <xf numFmtId="0" fontId="7" fillId="0" borderId="0" xfId="4"/>
    <xf numFmtId="0" fontId="7" fillId="0" borderId="0" xfId="4" applyAlignment="1">
      <alignment horizontal="center" vertical="center"/>
    </xf>
    <xf numFmtId="0" fontId="12" fillId="2" borderId="12" xfId="0" applyFont="1" applyFill="1" applyBorder="1" applyAlignment="1">
      <alignment horizontal="center"/>
    </xf>
    <xf numFmtId="0" fontId="12" fillId="2" borderId="21" xfId="0" applyFont="1" applyFill="1" applyBorder="1" applyAlignment="1">
      <alignment horizontal="center"/>
    </xf>
    <xf numFmtId="0" fontId="12" fillId="2" borderId="28" xfId="0" applyFont="1" applyFill="1" applyBorder="1" applyAlignment="1">
      <alignment horizontal="center" vertical="center"/>
    </xf>
    <xf numFmtId="0" fontId="12" fillId="2" borderId="44" xfId="0" applyFont="1" applyFill="1" applyBorder="1" applyAlignment="1">
      <alignment horizontal="center"/>
    </xf>
    <xf numFmtId="2" fontId="12" fillId="2" borderId="16" xfId="0" applyNumberFormat="1" applyFont="1" applyFill="1" applyBorder="1" applyAlignment="1">
      <alignment horizontal="center" vertical="center"/>
    </xf>
    <xf numFmtId="0" fontId="18" fillId="0" borderId="12" xfId="5" applyFont="1" applyBorder="1" applyAlignment="1">
      <alignment horizontal="left" vertical="center"/>
    </xf>
    <xf numFmtId="166" fontId="12" fillId="2" borderId="46" xfId="2" applyFont="1" applyFill="1" applyBorder="1"/>
    <xf numFmtId="0" fontId="12" fillId="2" borderId="46" xfId="0" applyFont="1" applyFill="1" applyBorder="1" applyAlignment="1">
      <alignment horizontal="center"/>
    </xf>
    <xf numFmtId="16" fontId="12" fillId="2" borderId="46" xfId="0" applyNumberFormat="1" applyFont="1" applyFill="1" applyBorder="1" applyAlignment="1">
      <alignment horizontal="center"/>
    </xf>
    <xf numFmtId="0" fontId="12" fillId="2" borderId="46" xfId="0" applyFont="1" applyFill="1" applyBorder="1" applyAlignment="1">
      <alignment horizontal="center" vertical="center"/>
    </xf>
    <xf numFmtId="0" fontId="12" fillId="2" borderId="46" xfId="1" applyNumberFormat="1" applyFont="1" applyFill="1" applyBorder="1" applyAlignment="1">
      <alignment horizontal="center" vertical="center"/>
    </xf>
    <xf numFmtId="167" fontId="12" fillId="2" borderId="46" xfId="0" applyNumberFormat="1" applyFont="1" applyFill="1" applyBorder="1" applyAlignment="1">
      <alignment horizontal="center" vertical="center"/>
    </xf>
    <xf numFmtId="166" fontId="12" fillId="2" borderId="33" xfId="2" applyFont="1" applyFill="1" applyBorder="1"/>
    <xf numFmtId="0" fontId="12" fillId="2" borderId="36" xfId="0" applyFont="1" applyFill="1" applyBorder="1" applyAlignment="1">
      <alignment horizontal="center"/>
    </xf>
    <xf numFmtId="0" fontId="12" fillId="2" borderId="38" xfId="0" applyFont="1" applyFill="1" applyBorder="1" applyAlignment="1">
      <alignment horizontal="center"/>
    </xf>
    <xf numFmtId="0" fontId="12" fillId="2" borderId="48" xfId="0" applyFont="1" applyFill="1" applyBorder="1" applyAlignment="1">
      <alignment horizontal="center"/>
    </xf>
    <xf numFmtId="0" fontId="12" fillId="2" borderId="37" xfId="0" applyFont="1" applyFill="1" applyBorder="1" applyAlignment="1">
      <alignment horizontal="center"/>
    </xf>
    <xf numFmtId="0" fontId="12" fillId="2" borderId="30" xfId="0" applyFont="1" applyFill="1" applyBorder="1" applyAlignment="1">
      <alignment horizontal="center" vertical="center"/>
    </xf>
    <xf numFmtId="0" fontId="12" fillId="2" borderId="17" xfId="0" applyFont="1" applyFill="1" applyBorder="1" applyAlignment="1">
      <alignment horizontal="center" vertical="center"/>
    </xf>
    <xf numFmtId="0" fontId="12" fillId="2" borderId="15" xfId="0" applyFont="1" applyFill="1" applyBorder="1" applyAlignment="1">
      <alignment horizontal="center" vertical="center"/>
    </xf>
    <xf numFmtId="0" fontId="12" fillId="2" borderId="21" xfId="0" applyFont="1" applyFill="1" applyBorder="1"/>
    <xf numFmtId="0" fontId="12" fillId="2" borderId="22" xfId="0" applyFont="1" applyFill="1" applyBorder="1"/>
    <xf numFmtId="0" fontId="12" fillId="2" borderId="20" xfId="0" applyFont="1" applyFill="1" applyBorder="1"/>
    <xf numFmtId="0" fontId="10" fillId="0" borderId="30" xfId="0" applyFont="1" applyBorder="1" applyAlignment="1">
      <alignment horizontal="center" vertical="center"/>
    </xf>
    <xf numFmtId="0" fontId="9" fillId="0" borderId="17" xfId="4" applyFont="1" applyBorder="1" applyAlignment="1">
      <alignment horizontal="center" vertical="center"/>
    </xf>
    <xf numFmtId="0" fontId="10" fillId="0" borderId="31" xfId="0" applyFont="1" applyBorder="1" applyAlignment="1">
      <alignment horizontal="center" vertical="center"/>
    </xf>
    <xf numFmtId="0" fontId="9" fillId="0" borderId="29" xfId="4" applyFont="1" applyBorder="1" applyAlignment="1">
      <alignment horizontal="center" vertical="center"/>
    </xf>
    <xf numFmtId="0" fontId="10" fillId="0" borderId="29" xfId="0" applyFont="1" applyBorder="1" applyAlignment="1">
      <alignment horizontal="center" vertical="center"/>
    </xf>
    <xf numFmtId="0" fontId="10" fillId="0" borderId="22" xfId="0" applyFont="1" applyBorder="1" applyAlignment="1">
      <alignment horizontal="center" vertical="center"/>
    </xf>
    <xf numFmtId="0" fontId="10" fillId="0" borderId="33" xfId="0" applyFont="1" applyBorder="1" applyAlignment="1">
      <alignment horizontal="center" vertical="center"/>
    </xf>
    <xf numFmtId="0" fontId="10" fillId="0" borderId="17" xfId="0" applyFont="1" applyBorder="1" applyAlignment="1">
      <alignment horizontal="center" vertical="center"/>
    </xf>
    <xf numFmtId="0" fontId="12" fillId="2" borderId="16" xfId="1" applyNumberFormat="1" applyFont="1" applyFill="1" applyBorder="1" applyAlignment="1">
      <alignment horizontal="center"/>
    </xf>
    <xf numFmtId="166" fontId="12" fillId="2" borderId="49" xfId="2" applyFont="1" applyFill="1" applyBorder="1"/>
    <xf numFmtId="0" fontId="12" fillId="2" borderId="31" xfId="0" applyFont="1" applyFill="1" applyBorder="1" applyAlignment="1">
      <alignment horizontal="center"/>
    </xf>
    <xf numFmtId="0" fontId="12" fillId="2" borderId="28" xfId="0" applyFont="1" applyFill="1" applyBorder="1" applyAlignment="1">
      <alignment horizontal="center"/>
    </xf>
    <xf numFmtId="0" fontId="12" fillId="2" borderId="49" xfId="0" applyFont="1" applyFill="1" applyBorder="1" applyAlignment="1">
      <alignment horizontal="center"/>
    </xf>
    <xf numFmtId="16" fontId="12" fillId="2" borderId="49" xfId="0" applyNumberFormat="1" applyFont="1" applyFill="1" applyBorder="1" applyAlignment="1">
      <alignment horizontal="center"/>
    </xf>
    <xf numFmtId="0" fontId="12" fillId="2" borderId="49" xfId="0" applyFont="1" applyFill="1" applyBorder="1" applyAlignment="1">
      <alignment horizontal="center" vertical="center"/>
    </xf>
    <xf numFmtId="0" fontId="12" fillId="2" borderId="49" xfId="1" applyNumberFormat="1" applyFont="1" applyFill="1" applyBorder="1" applyAlignment="1">
      <alignment horizontal="center" vertical="center"/>
    </xf>
    <xf numFmtId="167" fontId="12" fillId="2" borderId="49" xfId="0" applyNumberFormat="1" applyFont="1" applyFill="1" applyBorder="1" applyAlignment="1">
      <alignment horizontal="center" vertical="center"/>
    </xf>
    <xf numFmtId="0" fontId="12" fillId="2" borderId="32" xfId="0" applyFont="1" applyFill="1" applyBorder="1"/>
    <xf numFmtId="0" fontId="10" fillId="0" borderId="39" xfId="0" applyFont="1" applyBorder="1" applyAlignment="1">
      <alignment horizontal="center" vertical="center"/>
    </xf>
    <xf numFmtId="0" fontId="9" fillId="0" borderId="43" xfId="0" applyFont="1" applyBorder="1" applyAlignment="1">
      <alignment horizontal="center" vertical="center"/>
    </xf>
    <xf numFmtId="0" fontId="9" fillId="0" borderId="34" xfId="3" applyFont="1" applyBorder="1" applyAlignment="1">
      <alignment horizontal="center"/>
    </xf>
    <xf numFmtId="0" fontId="10" fillId="0" borderId="50" xfId="0" applyFont="1" applyBorder="1" applyAlignment="1">
      <alignment horizontal="center" vertical="center"/>
    </xf>
    <xf numFmtId="0" fontId="9" fillId="0" borderId="51" xfId="4" applyFont="1" applyBorder="1" applyAlignment="1">
      <alignment horizontal="center" vertical="center"/>
    </xf>
    <xf numFmtId="0" fontId="10" fillId="0" borderId="26" xfId="0" applyFont="1" applyBorder="1" applyAlignment="1">
      <alignment horizontal="center" vertical="center"/>
    </xf>
    <xf numFmtId="0" fontId="10" fillId="0" borderId="32" xfId="0" applyFont="1" applyBorder="1" applyAlignment="1">
      <alignment horizontal="center" vertical="center"/>
    </xf>
    <xf numFmtId="0" fontId="10" fillId="0" borderId="47" xfId="0" applyFont="1" applyBorder="1" applyAlignment="1">
      <alignment horizontal="center" vertical="center"/>
    </xf>
    <xf numFmtId="0" fontId="10" fillId="0" borderId="27" xfId="0" applyFont="1" applyBorder="1" applyAlignment="1">
      <alignment horizontal="center" vertical="center"/>
    </xf>
    <xf numFmtId="166" fontId="12" fillId="2" borderId="29" xfId="2" applyFont="1" applyFill="1" applyBorder="1" applyAlignment="1">
      <alignment horizontal="center"/>
    </xf>
    <xf numFmtId="167" fontId="12" fillId="2" borderId="21" xfId="1" applyNumberFormat="1" applyFont="1" applyFill="1" applyBorder="1" applyAlignment="1">
      <alignment horizontal="center" vertical="center"/>
    </xf>
    <xf numFmtId="0" fontId="13" fillId="2" borderId="32" xfId="0" applyFont="1" applyFill="1" applyBorder="1"/>
    <xf numFmtId="0" fontId="12" fillId="2" borderId="47" xfId="0" applyFont="1" applyFill="1" applyBorder="1" applyAlignment="1">
      <alignment horizontal="center"/>
    </xf>
    <xf numFmtId="166" fontId="12" fillId="2" borderId="33" xfId="2" applyFont="1" applyFill="1" applyBorder="1" applyAlignment="1">
      <alignment horizontal="center"/>
    </xf>
    <xf numFmtId="0" fontId="22" fillId="0" borderId="12" xfId="5" applyFont="1" applyBorder="1" applyAlignment="1">
      <alignment horizontal="left" vertical="center"/>
    </xf>
    <xf numFmtId="14" fontId="12" fillId="2" borderId="12" xfId="0" applyNumberFormat="1" applyFont="1" applyFill="1" applyBorder="1" applyAlignment="1">
      <alignment horizontal="center"/>
    </xf>
    <xf numFmtId="0" fontId="12" fillId="2" borderId="30" xfId="0" applyFont="1" applyFill="1" applyBorder="1" applyAlignment="1">
      <alignment horizontal="center"/>
    </xf>
    <xf numFmtId="166" fontId="12" fillId="2" borderId="17" xfId="2" applyFont="1" applyFill="1" applyBorder="1" applyAlignment="1">
      <alignment horizontal="center"/>
    </xf>
    <xf numFmtId="166" fontId="13" fillId="0" borderId="0" xfId="0" applyNumberFormat="1" applyFont="1"/>
    <xf numFmtId="2" fontId="12" fillId="2" borderId="25" xfId="2" applyNumberFormat="1" applyFont="1" applyFill="1" applyBorder="1"/>
    <xf numFmtId="0" fontId="11" fillId="0" borderId="0" xfId="5"/>
    <xf numFmtId="0" fontId="20" fillId="0" borderId="0" xfId="5" applyFont="1" applyAlignment="1">
      <alignment horizontal="center" vertical="center" wrapText="1"/>
    </xf>
    <xf numFmtId="0" fontId="11" fillId="0" borderId="0" xfId="5" applyAlignment="1">
      <alignment wrapText="1"/>
    </xf>
    <xf numFmtId="0" fontId="22" fillId="0" borderId="12" xfId="10" applyNumberFormat="1" applyFont="1" applyBorder="1" applyAlignment="1">
      <alignment horizontal="center" vertical="center" wrapText="1"/>
    </xf>
    <xf numFmtId="0" fontId="22" fillId="0" borderId="12" xfId="5" applyFont="1" applyBorder="1" applyAlignment="1">
      <alignment horizontal="center" vertical="center" wrapText="1"/>
    </xf>
    <xf numFmtId="0" fontId="11" fillId="0" borderId="0" xfId="5" applyAlignment="1">
      <alignment horizontal="center"/>
    </xf>
    <xf numFmtId="0" fontId="11" fillId="0" borderId="0" xfId="5" applyAlignment="1">
      <alignment horizontal="left"/>
    </xf>
    <xf numFmtId="164" fontId="11" fillId="0" borderId="0" xfId="5" applyNumberFormat="1" applyAlignment="1">
      <alignment horizontal="center"/>
    </xf>
    <xf numFmtId="0" fontId="11" fillId="2" borderId="0" xfId="0" applyFont="1" applyFill="1"/>
    <xf numFmtId="0" fontId="22" fillId="0" borderId="30" xfId="5" applyFont="1" applyBorder="1" applyAlignment="1">
      <alignment horizontal="center" vertical="center" wrapText="1"/>
    </xf>
    <xf numFmtId="0" fontId="22" fillId="0" borderId="16" xfId="5" applyFont="1" applyBorder="1" applyAlignment="1">
      <alignment horizontal="center" vertical="center" wrapText="1"/>
    </xf>
    <xf numFmtId="0" fontId="22" fillId="0" borderId="17" xfId="5" applyFont="1" applyBorder="1" applyAlignment="1">
      <alignment horizontal="center" vertical="center" wrapText="1"/>
    </xf>
    <xf numFmtId="0" fontId="22" fillId="0" borderId="31" xfId="5" applyFont="1" applyBorder="1" applyAlignment="1">
      <alignment horizontal="center" vertical="center" wrapText="1"/>
    </xf>
    <xf numFmtId="0" fontId="22" fillId="0" borderId="29" xfId="5" applyFont="1" applyBorder="1" applyAlignment="1">
      <alignment horizontal="center" vertical="center" wrapText="1"/>
    </xf>
    <xf numFmtId="0" fontId="26" fillId="2" borderId="31" xfId="2" applyNumberFormat="1" applyFont="1" applyFill="1" applyBorder="1" applyAlignment="1">
      <alignment horizontal="center" vertical="center"/>
    </xf>
    <xf numFmtId="0" fontId="26" fillId="2" borderId="30" xfId="0" applyFont="1" applyFill="1" applyBorder="1" applyAlignment="1">
      <alignment horizontal="center" vertical="center"/>
    </xf>
    <xf numFmtId="0" fontId="26" fillId="2" borderId="32" xfId="2" applyNumberFormat="1" applyFont="1" applyFill="1" applyBorder="1" applyAlignment="1">
      <alignment horizontal="center" vertical="center"/>
    </xf>
    <xf numFmtId="0" fontId="26" fillId="0" borderId="0" xfId="2" applyNumberFormat="1" applyFont="1" applyFill="1" applyBorder="1" applyAlignment="1">
      <alignment horizontal="center" vertical="center"/>
    </xf>
    <xf numFmtId="0" fontId="4" fillId="0" borderId="0" xfId="18"/>
    <xf numFmtId="0" fontId="28" fillId="5" borderId="12" xfId="18" applyFont="1" applyFill="1" applyBorder="1" applyAlignment="1">
      <alignment horizontal="center"/>
    </xf>
    <xf numFmtId="0" fontId="28" fillId="5" borderId="49" xfId="18" applyFont="1" applyFill="1" applyBorder="1" applyAlignment="1">
      <alignment horizontal="center"/>
    </xf>
    <xf numFmtId="0" fontId="29" fillId="3" borderId="12" xfId="18" applyFont="1" applyFill="1" applyBorder="1" applyAlignment="1">
      <alignment horizontal="center"/>
    </xf>
    <xf numFmtId="168" fontId="29" fillId="3" borderId="12" xfId="19" applyNumberFormat="1" applyFont="1" applyFill="1" applyBorder="1"/>
    <xf numFmtId="167" fontId="29" fillId="3" borderId="12" xfId="18" applyNumberFormat="1" applyFont="1" applyFill="1" applyBorder="1" applyAlignment="1">
      <alignment horizontal="center"/>
    </xf>
    <xf numFmtId="0" fontId="4" fillId="3" borderId="0" xfId="18" applyFill="1"/>
    <xf numFmtId="0" fontId="4" fillId="0" borderId="0" xfId="18" applyAlignment="1">
      <alignment horizontal="center"/>
    </xf>
    <xf numFmtId="168" fontId="4" fillId="0" borderId="0" xfId="19" applyNumberFormat="1"/>
    <xf numFmtId="167" fontId="4" fillId="0" borderId="0" xfId="18" applyNumberFormat="1"/>
    <xf numFmtId="164" fontId="29" fillId="3" borderId="12" xfId="19" applyFont="1" applyFill="1" applyBorder="1"/>
    <xf numFmtId="168" fontId="25" fillId="0" borderId="12" xfId="10" applyNumberFormat="1" applyFont="1" applyBorder="1" applyAlignment="1">
      <alignment horizontal="center" vertical="center" wrapText="1"/>
    </xf>
    <xf numFmtId="168" fontId="18" fillId="0" borderId="12" xfId="10" applyNumberFormat="1" applyFont="1" applyBorder="1" applyAlignment="1">
      <alignment horizontal="center" vertical="center" wrapText="1"/>
    </xf>
    <xf numFmtId="0" fontId="18" fillId="0" borderId="12" xfId="5" applyFont="1" applyBorder="1" applyAlignment="1">
      <alignment horizontal="center" vertical="center" wrapText="1"/>
    </xf>
    <xf numFmtId="0" fontId="22" fillId="0" borderId="12" xfId="5" applyFont="1" applyBorder="1" applyAlignment="1">
      <alignment horizontal="left" vertical="center" wrapText="1"/>
    </xf>
    <xf numFmtId="0" fontId="23" fillId="0" borderId="36" xfId="5" applyFont="1" applyBorder="1" applyAlignment="1">
      <alignment horizontal="center" vertical="center"/>
    </xf>
    <xf numFmtId="0" fontId="23" fillId="0" borderId="37" xfId="5" applyFont="1" applyBorder="1" applyAlignment="1">
      <alignment horizontal="center" vertical="center"/>
    </xf>
    <xf numFmtId="164" fontId="23" fillId="0" borderId="37" xfId="10" applyFont="1" applyBorder="1" applyAlignment="1">
      <alignment horizontal="center" vertical="center"/>
    </xf>
    <xf numFmtId="169" fontId="23" fillId="0" borderId="38" xfId="10" applyNumberFormat="1" applyFont="1" applyBorder="1" applyAlignment="1">
      <alignment horizontal="center" vertical="center"/>
    </xf>
    <xf numFmtId="0" fontId="23" fillId="0" borderId="13" xfId="5" applyFont="1" applyBorder="1" applyAlignment="1">
      <alignment horizontal="center" vertical="center"/>
    </xf>
    <xf numFmtId="164" fontId="22" fillId="4" borderId="41" xfId="10" applyFont="1" applyFill="1" applyBorder="1" applyAlignment="1">
      <alignment horizontal="center"/>
    </xf>
    <xf numFmtId="165" fontId="22" fillId="4" borderId="42" xfId="10" applyNumberFormat="1" applyFont="1" applyFill="1" applyBorder="1" applyAlignment="1">
      <alignment horizontal="center" vertical="center" wrapText="1"/>
    </xf>
    <xf numFmtId="0" fontId="22" fillId="0" borderId="8" xfId="5" applyFont="1" applyBorder="1" applyAlignment="1">
      <alignment horizontal="center" vertical="center" wrapText="1"/>
    </xf>
    <xf numFmtId="0" fontId="22" fillId="0" borderId="18" xfId="5" applyFont="1" applyBorder="1" applyAlignment="1">
      <alignment horizontal="center" vertical="center" wrapText="1"/>
    </xf>
    <xf numFmtId="0" fontId="22" fillId="0" borderId="10" xfId="5" applyFont="1" applyBorder="1" applyAlignment="1">
      <alignment horizontal="center" vertical="center" wrapText="1"/>
    </xf>
    <xf numFmtId="165" fontId="22" fillId="3" borderId="12" xfId="10" applyNumberFormat="1" applyFont="1" applyFill="1" applyBorder="1" applyAlignment="1">
      <alignment horizontal="center" vertical="center" wrapText="1"/>
    </xf>
    <xf numFmtId="0" fontId="18" fillId="0" borderId="12" xfId="5" applyFont="1" applyBorder="1" applyAlignment="1">
      <alignment horizontal="left" vertical="center" wrapText="1"/>
    </xf>
    <xf numFmtId="168" fontId="22" fillId="0" borderId="12" xfId="10" applyNumberFormat="1" applyFont="1" applyBorder="1" applyAlignment="1">
      <alignment horizontal="center" vertical="center" wrapText="1"/>
    </xf>
    <xf numFmtId="0" fontId="22" fillId="0" borderId="16" xfId="5" applyFont="1" applyBorder="1" applyAlignment="1">
      <alignment horizontal="left" vertical="center" wrapText="1"/>
    </xf>
    <xf numFmtId="0" fontId="18" fillId="0" borderId="16" xfId="5" applyFont="1" applyBorder="1" applyAlignment="1">
      <alignment horizontal="center" vertical="center" wrapText="1"/>
    </xf>
    <xf numFmtId="165" fontId="22" fillId="3" borderId="16" xfId="10" applyNumberFormat="1" applyFont="1" applyFill="1" applyBorder="1" applyAlignment="1">
      <alignment horizontal="center" vertical="center" wrapText="1"/>
    </xf>
    <xf numFmtId="0" fontId="22" fillId="0" borderId="32" xfId="5" applyFont="1" applyBorder="1" applyAlignment="1">
      <alignment horizontal="center" vertical="center" wrapText="1"/>
    </xf>
    <xf numFmtId="0" fontId="22" fillId="0" borderId="21" xfId="5" applyFont="1" applyBorder="1" applyAlignment="1">
      <alignment horizontal="center" vertical="center" wrapText="1"/>
    </xf>
    <xf numFmtId="165" fontId="22" fillId="3" borderId="21" xfId="10" applyNumberFormat="1" applyFont="1" applyFill="1" applyBorder="1" applyAlignment="1">
      <alignment horizontal="center" vertical="center" wrapText="1"/>
    </xf>
    <xf numFmtId="0" fontId="22" fillId="0" borderId="22" xfId="5" applyFont="1" applyBorder="1" applyAlignment="1">
      <alignment horizontal="center" vertical="center" wrapText="1"/>
    </xf>
    <xf numFmtId="0" fontId="11" fillId="0" borderId="0" xfId="5" applyAlignment="1">
      <alignment horizontal="center" vertical="center"/>
    </xf>
    <xf numFmtId="0" fontId="12" fillId="2" borderId="30" xfId="0" applyFont="1" applyFill="1" applyBorder="1"/>
    <xf numFmtId="0" fontId="30" fillId="0" borderId="31" xfId="0" applyFont="1" applyBorder="1" applyAlignment="1">
      <alignment horizontal="center"/>
    </xf>
    <xf numFmtId="0" fontId="30" fillId="0" borderId="29" xfId="0" applyFont="1" applyBorder="1" applyAlignment="1">
      <alignment horizontal="center"/>
    </xf>
    <xf numFmtId="0" fontId="30" fillId="0" borderId="0" xfId="0" applyFont="1" applyAlignment="1">
      <alignment horizontal="center"/>
    </xf>
    <xf numFmtId="0" fontId="30" fillId="0" borderId="32" xfId="0" applyFont="1" applyBorder="1" applyAlignment="1">
      <alignment horizontal="center"/>
    </xf>
    <xf numFmtId="0" fontId="30" fillId="0" borderId="39" xfId="0" applyFont="1" applyBorder="1" applyAlignment="1">
      <alignment horizontal="center"/>
    </xf>
    <xf numFmtId="0" fontId="30" fillId="0" borderId="26" xfId="0" applyFont="1" applyBorder="1" applyAlignment="1">
      <alignment horizontal="center"/>
    </xf>
    <xf numFmtId="0" fontId="14" fillId="0" borderId="43" xfId="0" applyFont="1" applyBorder="1" applyAlignment="1">
      <alignment horizontal="center"/>
    </xf>
    <xf numFmtId="0" fontId="14" fillId="0" borderId="34" xfId="0" applyFont="1" applyBorder="1" applyAlignment="1">
      <alignment horizontal="center"/>
    </xf>
    <xf numFmtId="170" fontId="12" fillId="2" borderId="21" xfId="1" applyNumberFormat="1" applyFont="1" applyFill="1" applyBorder="1"/>
    <xf numFmtId="164" fontId="12" fillId="2" borderId="25" xfId="1" applyFont="1" applyFill="1" applyBorder="1"/>
    <xf numFmtId="170" fontId="12" fillId="2" borderId="16" xfId="1" applyNumberFormat="1" applyFont="1" applyFill="1" applyBorder="1"/>
    <xf numFmtId="170" fontId="12" fillId="2" borderId="25" xfId="1" applyNumberFormat="1" applyFont="1" applyFill="1" applyBorder="1"/>
    <xf numFmtId="170" fontId="13" fillId="0" borderId="0" xfId="1" applyNumberFormat="1" applyFont="1"/>
    <xf numFmtId="171" fontId="12" fillId="2" borderId="21" xfId="1" applyNumberFormat="1" applyFont="1" applyFill="1" applyBorder="1"/>
    <xf numFmtId="171" fontId="12" fillId="2" borderId="16" xfId="1" applyNumberFormat="1" applyFont="1" applyFill="1" applyBorder="1"/>
    <xf numFmtId="171" fontId="12" fillId="2" borderId="25" xfId="1" applyNumberFormat="1" applyFont="1" applyFill="1" applyBorder="1"/>
    <xf numFmtId="171" fontId="13" fillId="0" borderId="0" xfId="1" applyNumberFormat="1" applyFont="1"/>
    <xf numFmtId="164" fontId="12" fillId="2" borderId="46" xfId="1" applyFont="1" applyFill="1" applyBorder="1"/>
    <xf numFmtId="164" fontId="12" fillId="2" borderId="12" xfId="1" applyFont="1" applyFill="1" applyBorder="1"/>
    <xf numFmtId="164" fontId="12" fillId="2" borderId="49" xfId="1" applyFont="1" applyFill="1" applyBorder="1"/>
    <xf numFmtId="171" fontId="12" fillId="2" borderId="46" xfId="1" applyNumberFormat="1" applyFont="1" applyFill="1" applyBorder="1"/>
    <xf numFmtId="0" fontId="11" fillId="2" borderId="5" xfId="0" applyFont="1" applyFill="1" applyBorder="1"/>
    <xf numFmtId="164" fontId="22" fillId="0" borderId="16" xfId="10" applyFont="1" applyFill="1" applyBorder="1" applyAlignment="1">
      <alignment vertical="center" wrapText="1"/>
    </xf>
    <xf numFmtId="164" fontId="22" fillId="0" borderId="12" xfId="10" applyFont="1" applyFill="1" applyBorder="1" applyAlignment="1">
      <alignment vertical="center" wrapText="1"/>
    </xf>
    <xf numFmtId="167" fontId="12" fillId="2" borderId="25" xfId="1" applyNumberFormat="1" applyFont="1" applyFill="1" applyBorder="1" applyAlignment="1">
      <alignment horizontal="center" vertical="center"/>
    </xf>
    <xf numFmtId="0" fontId="12" fillId="2" borderId="25" xfId="1" applyNumberFormat="1" applyFont="1" applyFill="1" applyBorder="1" applyAlignment="1">
      <alignment horizontal="center"/>
    </xf>
    <xf numFmtId="164" fontId="23" fillId="0" borderId="37" xfId="1" applyFont="1" applyBorder="1" applyAlignment="1">
      <alignment horizontal="center" vertical="center"/>
    </xf>
    <xf numFmtId="164" fontId="22" fillId="0" borderId="16" xfId="1" applyFont="1" applyFill="1" applyBorder="1" applyAlignment="1">
      <alignment vertical="center" wrapText="1"/>
    </xf>
    <xf numFmtId="164" fontId="22" fillId="0" borderId="12" xfId="1" applyFont="1" applyFill="1" applyBorder="1" applyAlignment="1">
      <alignment vertical="center" wrapText="1"/>
    </xf>
    <xf numFmtId="164" fontId="22" fillId="0" borderId="21" xfId="1" applyFont="1" applyFill="1" applyBorder="1" applyAlignment="1">
      <alignment vertical="center" wrapText="1"/>
    </xf>
    <xf numFmtId="164" fontId="22" fillId="4" borderId="41" xfId="1" applyFont="1" applyFill="1" applyBorder="1" applyAlignment="1">
      <alignment horizontal="center"/>
    </xf>
    <xf numFmtId="164" fontId="11" fillId="0" borderId="0" xfId="1" applyAlignment="1">
      <alignment horizontal="center"/>
    </xf>
    <xf numFmtId="164" fontId="22" fillId="0" borderId="16" xfId="1" applyFont="1" applyBorder="1" applyAlignment="1">
      <alignment horizontal="center" vertical="center" wrapText="1"/>
    </xf>
    <xf numFmtId="164" fontId="22" fillId="0" borderId="12" xfId="1" applyFont="1" applyBorder="1" applyAlignment="1">
      <alignment horizontal="center" vertical="center" wrapText="1"/>
    </xf>
    <xf numFmtId="164" fontId="22" fillId="0" borderId="21" xfId="1" applyFont="1" applyBorder="1" applyAlignment="1">
      <alignment horizontal="center" vertical="center" wrapText="1"/>
    </xf>
    <xf numFmtId="164" fontId="22" fillId="4" borderId="41" xfId="1" applyFont="1" applyFill="1" applyBorder="1" applyAlignment="1">
      <alignment horizontal="left" vertical="center"/>
    </xf>
    <xf numFmtId="164" fontId="11" fillId="0" borderId="0" xfId="1" applyAlignment="1">
      <alignment horizontal="center" vertical="center"/>
    </xf>
    <xf numFmtId="0" fontId="3" fillId="0" borderId="0" xfId="20" applyAlignment="1">
      <alignment horizontal="center"/>
    </xf>
    <xf numFmtId="164" fontId="3" fillId="0" borderId="0" xfId="1" applyFont="1" applyAlignment="1">
      <alignment horizontal="center"/>
    </xf>
    <xf numFmtId="0" fontId="3" fillId="0" borderId="0" xfId="20"/>
    <xf numFmtId="0" fontId="9" fillId="0" borderId="36" xfId="20" applyFont="1" applyBorder="1" applyAlignment="1">
      <alignment horizontal="center"/>
    </xf>
    <xf numFmtId="164" fontId="9" fillId="0" borderId="38" xfId="1" applyFont="1" applyBorder="1" applyAlignment="1">
      <alignment horizontal="center"/>
    </xf>
    <xf numFmtId="0" fontId="9" fillId="0" borderId="30" xfId="20" applyFont="1" applyBorder="1" applyAlignment="1">
      <alignment horizontal="center"/>
    </xf>
    <xf numFmtId="164" fontId="3" fillId="0" borderId="17" xfId="1" applyFont="1" applyBorder="1" applyAlignment="1">
      <alignment horizontal="center"/>
    </xf>
    <xf numFmtId="0" fontId="9" fillId="0" borderId="31" xfId="20" applyFont="1" applyBorder="1" applyAlignment="1">
      <alignment horizontal="center"/>
    </xf>
    <xf numFmtId="0" fontId="9" fillId="0" borderId="40" xfId="20" applyFont="1" applyBorder="1" applyAlignment="1">
      <alignment horizontal="center"/>
    </xf>
    <xf numFmtId="164" fontId="9" fillId="0" borderId="42" xfId="1" applyFont="1" applyBorder="1" applyAlignment="1">
      <alignment horizontal="center"/>
    </xf>
    <xf numFmtId="164" fontId="3" fillId="0" borderId="29" xfId="1" applyFont="1" applyBorder="1" applyAlignment="1">
      <alignment horizontal="center"/>
    </xf>
    <xf numFmtId="0" fontId="9" fillId="0" borderId="32" xfId="20" applyFont="1" applyBorder="1" applyAlignment="1">
      <alignment horizontal="center"/>
    </xf>
    <xf numFmtId="164" fontId="3" fillId="0" borderId="22" xfId="1" applyFont="1" applyBorder="1" applyAlignment="1">
      <alignment horizontal="center"/>
    </xf>
    <xf numFmtId="3" fontId="12" fillId="2" borderId="16" xfId="0" applyNumberFormat="1" applyFont="1" applyFill="1" applyBorder="1" applyAlignment="1">
      <alignment horizontal="center" wrapText="1"/>
    </xf>
    <xf numFmtId="168" fontId="4" fillId="0" borderId="0" xfId="18" applyNumberFormat="1"/>
    <xf numFmtId="0" fontId="18" fillId="0" borderId="46" xfId="5" applyFont="1" applyBorder="1" applyAlignment="1">
      <alignment horizontal="left" vertical="center"/>
    </xf>
    <xf numFmtId="0" fontId="22" fillId="0" borderId="46" xfId="5" applyFont="1" applyBorder="1" applyAlignment="1">
      <alignment horizontal="center" vertical="center" wrapText="1"/>
    </xf>
    <xf numFmtId="164" fontId="22" fillId="0" borderId="46" xfId="1" applyFont="1" applyBorder="1" applyAlignment="1">
      <alignment horizontal="center" vertical="center" wrapText="1"/>
    </xf>
    <xf numFmtId="0" fontId="22" fillId="0" borderId="33" xfId="5" applyFont="1" applyBorder="1" applyAlignment="1">
      <alignment horizontal="center" vertical="center" wrapText="1"/>
    </xf>
    <xf numFmtId="171" fontId="12" fillId="2" borderId="49" xfId="1" applyNumberFormat="1" applyFont="1" applyFill="1" applyBorder="1"/>
    <xf numFmtId="164" fontId="4" fillId="3" borderId="0" xfId="18" applyNumberFormat="1" applyFill="1"/>
    <xf numFmtId="43" fontId="4" fillId="0" borderId="0" xfId="18" applyNumberFormat="1"/>
    <xf numFmtId="166" fontId="12" fillId="2" borderId="16" xfId="2" applyFont="1" applyFill="1" applyBorder="1" applyAlignment="1">
      <alignment horizontal="center" vertical="center"/>
    </xf>
    <xf numFmtId="0" fontId="12" fillId="2" borderId="16" xfId="2" applyNumberFormat="1" applyFont="1" applyFill="1" applyBorder="1" applyAlignment="1">
      <alignment horizontal="center" vertical="center"/>
    </xf>
    <xf numFmtId="0" fontId="12" fillId="2" borderId="39" xfId="0" applyFont="1" applyFill="1" applyBorder="1"/>
    <xf numFmtId="0" fontId="12" fillId="2" borderId="47" xfId="0" applyFont="1" applyFill="1" applyBorder="1"/>
    <xf numFmtId="0" fontId="12" fillId="2" borderId="40" xfId="0" applyFont="1" applyFill="1" applyBorder="1"/>
    <xf numFmtId="166" fontId="12" fillId="2" borderId="21" xfId="2" applyFont="1" applyFill="1" applyBorder="1" applyAlignment="1">
      <alignment horizontal="center" vertical="center"/>
    </xf>
    <xf numFmtId="0" fontId="12" fillId="2" borderId="21" xfId="2" applyNumberFormat="1" applyFont="1" applyFill="1" applyBorder="1" applyAlignment="1">
      <alignment horizontal="center" vertical="center"/>
    </xf>
    <xf numFmtId="0" fontId="12" fillId="2" borderId="36" xfId="0" applyFont="1" applyFill="1" applyBorder="1" applyAlignment="1">
      <alignment horizontal="center" vertical="center" wrapText="1"/>
    </xf>
    <xf numFmtId="44" fontId="13" fillId="0" borderId="0" xfId="0" applyNumberFormat="1" applyFont="1"/>
    <xf numFmtId="43" fontId="13" fillId="0" borderId="0" xfId="0" applyNumberFormat="1" applyFont="1"/>
    <xf numFmtId="0" fontId="13" fillId="3" borderId="3" xfId="0" applyFont="1" applyFill="1" applyBorder="1"/>
    <xf numFmtId="0" fontId="13" fillId="3" borderId="4" xfId="0" applyFont="1" applyFill="1" applyBorder="1"/>
    <xf numFmtId="0" fontId="13" fillId="3" borderId="5" xfId="0" applyFont="1" applyFill="1" applyBorder="1"/>
    <xf numFmtId="166" fontId="34" fillId="0" borderId="0" xfId="2" applyFont="1" applyFill="1" applyBorder="1"/>
    <xf numFmtId="0" fontId="13" fillId="3" borderId="6" xfId="0" applyFont="1" applyFill="1" applyBorder="1"/>
    <xf numFmtId="0" fontId="13" fillId="3" borderId="0" xfId="0" applyFont="1" applyFill="1"/>
    <xf numFmtId="0" fontId="13" fillId="3" borderId="7" xfId="0" applyFont="1" applyFill="1" applyBorder="1"/>
    <xf numFmtId="0" fontId="13" fillId="3" borderId="8" xfId="0" applyFont="1" applyFill="1" applyBorder="1"/>
    <xf numFmtId="0" fontId="13" fillId="3" borderId="9" xfId="0" applyFont="1" applyFill="1" applyBorder="1"/>
    <xf numFmtId="0" fontId="13" fillId="3" borderId="10" xfId="0" applyFont="1" applyFill="1" applyBorder="1"/>
    <xf numFmtId="0" fontId="11" fillId="2" borderId="7" xfId="0" applyFont="1" applyFill="1" applyBorder="1"/>
    <xf numFmtId="0" fontId="11" fillId="2" borderId="9" xfId="0" applyFont="1" applyFill="1" applyBorder="1"/>
    <xf numFmtId="0" fontId="11" fillId="2" borderId="10" xfId="0" applyFont="1" applyFill="1" applyBorder="1"/>
    <xf numFmtId="166" fontId="12" fillId="2" borderId="25" xfId="2" applyFont="1" applyFill="1" applyBorder="1" applyAlignment="1">
      <alignment horizontal="center" vertical="center"/>
    </xf>
    <xf numFmtId="0" fontId="12" fillId="2" borderId="25" xfId="2" applyNumberFormat="1" applyFont="1" applyFill="1" applyBorder="1" applyAlignment="1">
      <alignment horizontal="center" vertical="center"/>
    </xf>
    <xf numFmtId="0" fontId="12" fillId="2" borderId="50" xfId="0" applyFont="1" applyFill="1" applyBorder="1"/>
    <xf numFmtId="166" fontId="12" fillId="2" borderId="49" xfId="2" applyFont="1" applyFill="1" applyBorder="1" applyAlignment="1">
      <alignment horizontal="center" vertical="center"/>
    </xf>
    <xf numFmtId="0" fontId="12" fillId="2" borderId="49" xfId="2" applyNumberFormat="1" applyFont="1" applyFill="1" applyBorder="1" applyAlignment="1">
      <alignment horizontal="center" vertical="center"/>
    </xf>
    <xf numFmtId="0" fontId="13" fillId="2" borderId="22" xfId="0" applyFont="1" applyFill="1" applyBorder="1"/>
    <xf numFmtId="0" fontId="13" fillId="2" borderId="20" xfId="0" applyFont="1" applyFill="1" applyBorder="1"/>
    <xf numFmtId="164" fontId="11" fillId="2" borderId="9" xfId="1" applyFont="1" applyFill="1" applyBorder="1"/>
    <xf numFmtId="164" fontId="22" fillId="0" borderId="46" xfId="10" applyFont="1" applyFill="1" applyBorder="1" applyAlignment="1">
      <alignment vertical="center" wrapText="1"/>
    </xf>
    <xf numFmtId="0" fontId="2" fillId="0" borderId="0" xfId="18" applyFont="1"/>
    <xf numFmtId="164" fontId="4" fillId="0" borderId="0" xfId="18" applyNumberFormat="1"/>
    <xf numFmtId="0" fontId="12" fillId="2" borderId="21" xfId="1" applyNumberFormat="1" applyFont="1" applyFill="1" applyBorder="1" applyAlignment="1">
      <alignment horizontal="center"/>
    </xf>
    <xf numFmtId="0" fontId="12" fillId="0" borderId="0" xfId="0" applyFont="1" applyAlignment="1">
      <alignment horizontal="center" vertical="center"/>
    </xf>
    <xf numFmtId="0" fontId="22" fillId="4" borderId="41" xfId="1" applyNumberFormat="1" applyFont="1" applyFill="1" applyBorder="1" applyAlignment="1">
      <alignment horizontal="center" vertical="center"/>
    </xf>
    <xf numFmtId="0" fontId="22" fillId="0" borderId="12" xfId="5" applyFont="1" applyBorder="1" applyAlignment="1">
      <alignment vertical="center" wrapText="1"/>
    </xf>
    <xf numFmtId="164" fontId="22" fillId="0" borderId="21" xfId="10" applyFont="1" applyFill="1" applyBorder="1" applyAlignment="1">
      <alignment vertical="center" wrapText="1"/>
    </xf>
    <xf numFmtId="2" fontId="22" fillId="0" borderId="12" xfId="5" applyNumberFormat="1" applyFont="1" applyBorder="1" applyAlignment="1">
      <alignment vertical="center" wrapText="1"/>
    </xf>
    <xf numFmtId="0" fontId="12" fillId="2" borderId="28" xfId="1" applyNumberFormat="1" applyFont="1" applyFill="1" applyBorder="1" applyAlignment="1">
      <alignment horizontal="center" vertical="center"/>
    </xf>
    <xf numFmtId="44" fontId="0" fillId="0" borderId="0" xfId="0" applyNumberFormat="1"/>
    <xf numFmtId="166" fontId="13" fillId="0" borderId="0" xfId="2" applyFont="1"/>
    <xf numFmtId="0" fontId="22" fillId="0" borderId="47" xfId="5" applyFont="1" applyBorder="1" applyAlignment="1">
      <alignment horizontal="center" vertical="center" wrapText="1"/>
    </xf>
    <xf numFmtId="44" fontId="12" fillId="0" borderId="0" xfId="0" applyNumberFormat="1" applyFont="1"/>
    <xf numFmtId="0" fontId="22" fillId="0" borderId="21" xfId="10" applyNumberFormat="1" applyFont="1" applyBorder="1" applyAlignment="1">
      <alignment horizontal="center" vertical="center" wrapText="1"/>
    </xf>
    <xf numFmtId="0" fontId="12" fillId="2" borderId="32" xfId="0" applyFont="1" applyFill="1" applyBorder="1" applyAlignment="1">
      <alignment horizontal="center"/>
    </xf>
    <xf numFmtId="166" fontId="12" fillId="2" borderId="22" xfId="2" applyFont="1" applyFill="1" applyBorder="1" applyAlignment="1">
      <alignment horizontal="center"/>
    </xf>
    <xf numFmtId="166" fontId="10" fillId="2" borderId="18" xfId="2" applyFont="1" applyFill="1" applyBorder="1" applyAlignment="1">
      <alignment horizontal="center"/>
    </xf>
    <xf numFmtId="14" fontId="12" fillId="2" borderId="21" xfId="0" applyNumberFormat="1" applyFont="1" applyFill="1" applyBorder="1" applyAlignment="1">
      <alignment horizontal="center"/>
    </xf>
    <xf numFmtId="168" fontId="22" fillId="0" borderId="46" xfId="10" applyNumberFormat="1" applyFont="1" applyBorder="1" applyAlignment="1">
      <alignment horizontal="center" vertical="center" wrapText="1"/>
    </xf>
    <xf numFmtId="0" fontId="22" fillId="0" borderId="46" xfId="10" applyNumberFormat="1" applyFont="1" applyBorder="1" applyAlignment="1">
      <alignment horizontal="center" vertical="center" wrapText="1"/>
    </xf>
    <xf numFmtId="0" fontId="22" fillId="0" borderId="21" xfId="5" applyFont="1" applyBorder="1" applyAlignment="1">
      <alignment horizontal="left" vertical="center"/>
    </xf>
    <xf numFmtId="0" fontId="22" fillId="0" borderId="46" xfId="5" applyFont="1" applyBorder="1" applyAlignment="1">
      <alignment horizontal="left" vertical="center" wrapText="1"/>
    </xf>
    <xf numFmtId="168" fontId="18" fillId="0" borderId="21" xfId="10" applyNumberFormat="1" applyFont="1" applyBorder="1" applyAlignment="1">
      <alignment horizontal="center" vertical="center" wrapText="1"/>
    </xf>
    <xf numFmtId="0" fontId="18" fillId="0" borderId="46" xfId="5" applyFont="1" applyBorder="1" applyAlignment="1">
      <alignment horizontal="center" vertical="center" wrapText="1"/>
    </xf>
    <xf numFmtId="166" fontId="0" fillId="0" borderId="0" xfId="2" applyFont="1"/>
    <xf numFmtId="44" fontId="10" fillId="2" borderId="1" xfId="0" applyNumberFormat="1" applyFont="1" applyFill="1" applyBorder="1" applyAlignment="1">
      <alignment vertical="center"/>
    </xf>
    <xf numFmtId="44" fontId="10" fillId="2" borderId="11" xfId="0" applyNumberFormat="1" applyFont="1" applyFill="1" applyBorder="1" applyAlignment="1">
      <alignment vertical="center"/>
    </xf>
    <xf numFmtId="44" fontId="10" fillId="2" borderId="2" xfId="0" applyNumberFormat="1" applyFont="1" applyFill="1" applyBorder="1" applyAlignment="1">
      <alignment vertical="center"/>
    </xf>
    <xf numFmtId="0" fontId="36" fillId="0" borderId="0" xfId="0" applyFont="1"/>
    <xf numFmtId="164" fontId="12" fillId="0" borderId="0" xfId="1" applyFont="1"/>
    <xf numFmtId="0" fontId="12" fillId="0" borderId="0" xfId="0" applyFont="1" applyAlignment="1">
      <alignment horizontal="center"/>
    </xf>
    <xf numFmtId="167" fontId="12" fillId="2" borderId="46" xfId="1" applyNumberFormat="1" applyFont="1" applyFill="1" applyBorder="1" applyAlignment="1">
      <alignment horizontal="center" vertical="center"/>
    </xf>
    <xf numFmtId="166" fontId="12" fillId="2" borderId="15" xfId="2" applyFont="1" applyFill="1" applyBorder="1"/>
    <xf numFmtId="166" fontId="12" fillId="2" borderId="20" xfId="2" applyFont="1" applyFill="1" applyBorder="1"/>
    <xf numFmtId="0" fontId="9" fillId="0" borderId="47" xfId="20" applyFont="1" applyBorder="1" applyAlignment="1">
      <alignment horizontal="center"/>
    </xf>
    <xf numFmtId="164" fontId="3" fillId="0" borderId="33" xfId="1" applyFont="1" applyBorder="1" applyAlignment="1">
      <alignment horizontal="center"/>
    </xf>
    <xf numFmtId="0" fontId="26" fillId="2" borderId="28" xfId="2" applyNumberFormat="1" applyFont="1" applyFill="1" applyBorder="1" applyAlignment="1">
      <alignment horizontal="center" vertical="center"/>
    </xf>
    <xf numFmtId="0" fontId="12" fillId="2" borderId="38" xfId="0" applyFont="1" applyFill="1" applyBorder="1" applyAlignment="1">
      <alignment horizontal="center" vertical="center"/>
    </xf>
    <xf numFmtId="0" fontId="26" fillId="2" borderId="15" xfId="0" applyFont="1" applyFill="1" applyBorder="1" applyAlignment="1">
      <alignment horizontal="center" vertical="center"/>
    </xf>
    <xf numFmtId="0" fontId="26" fillId="2" borderId="20" xfId="2" applyNumberFormat="1" applyFont="1" applyFill="1" applyBorder="1" applyAlignment="1">
      <alignment horizontal="center" vertical="center"/>
    </xf>
    <xf numFmtId="0" fontId="12" fillId="2" borderId="61" xfId="0" applyFont="1" applyFill="1" applyBorder="1"/>
    <xf numFmtId="0" fontId="26" fillId="2" borderId="31" xfId="0" applyFont="1" applyFill="1" applyBorder="1" applyAlignment="1">
      <alignment horizontal="center" vertical="center"/>
    </xf>
    <xf numFmtId="0" fontId="12" fillId="2" borderId="39" xfId="0" applyFont="1" applyFill="1" applyBorder="1" applyAlignment="1">
      <alignment horizontal="center"/>
    </xf>
    <xf numFmtId="0" fontId="12" fillId="2" borderId="26" xfId="0" applyFont="1" applyFill="1" applyBorder="1" applyAlignment="1">
      <alignment horizontal="center" vertical="center"/>
    </xf>
    <xf numFmtId="0" fontId="12" fillId="2" borderId="45" xfId="0" applyFont="1" applyFill="1" applyBorder="1" applyAlignment="1">
      <alignment horizontal="center"/>
    </xf>
    <xf numFmtId="166" fontId="12" fillId="2" borderId="34" xfId="2" applyFont="1" applyFill="1" applyBorder="1" applyAlignment="1">
      <alignment horizontal="center"/>
    </xf>
    <xf numFmtId="166" fontId="12" fillId="2" borderId="26" xfId="2" applyFont="1" applyFill="1" applyBorder="1" applyAlignment="1">
      <alignment horizontal="center"/>
    </xf>
    <xf numFmtId="0" fontId="12" fillId="2" borderId="43" xfId="0" applyFont="1" applyFill="1" applyBorder="1" applyAlignment="1">
      <alignment horizontal="left" vertical="center"/>
    </xf>
    <xf numFmtId="0" fontId="12" fillId="2" borderId="39" xfId="0" applyFont="1" applyFill="1" applyBorder="1" applyAlignment="1">
      <alignment horizontal="center" vertical="center"/>
    </xf>
    <xf numFmtId="0" fontId="12" fillId="2" borderId="62" xfId="0" applyFont="1" applyFill="1" applyBorder="1" applyAlignment="1">
      <alignment horizontal="center" vertical="center"/>
    </xf>
    <xf numFmtId="0" fontId="26" fillId="2" borderId="39" xfId="0" applyFont="1" applyFill="1" applyBorder="1" applyAlignment="1">
      <alignment horizontal="center" vertical="center"/>
    </xf>
    <xf numFmtId="0" fontId="12" fillId="2" borderId="41" xfId="0" applyFont="1" applyFill="1" applyBorder="1" applyAlignment="1">
      <alignment horizontal="center" vertical="center"/>
    </xf>
    <xf numFmtId="3" fontId="12" fillId="2" borderId="16" xfId="0" applyNumberFormat="1" applyFont="1" applyFill="1" applyBorder="1" applyAlignment="1">
      <alignment horizontal="center"/>
    </xf>
    <xf numFmtId="0" fontId="12" fillId="2" borderId="51" xfId="0" applyFont="1" applyFill="1" applyBorder="1" applyAlignment="1">
      <alignment horizontal="center" vertical="center"/>
    </xf>
    <xf numFmtId="0" fontId="26" fillId="2" borderId="62" xfId="0" applyFont="1" applyFill="1" applyBorder="1" applyAlignment="1">
      <alignment horizontal="center" vertical="center"/>
    </xf>
    <xf numFmtId="0" fontId="12" fillId="2" borderId="63" xfId="0" applyFont="1" applyFill="1" applyBorder="1" applyAlignment="1">
      <alignment horizontal="center" vertical="center"/>
    </xf>
    <xf numFmtId="0" fontId="12" fillId="2" borderId="30" xfId="0" applyFont="1" applyFill="1" applyBorder="1" applyAlignment="1">
      <alignment horizontal="right"/>
    </xf>
    <xf numFmtId="0" fontId="12" fillId="2" borderId="43" xfId="0" applyFont="1" applyFill="1" applyBorder="1" applyAlignment="1">
      <alignment horizontal="center"/>
    </xf>
    <xf numFmtId="0" fontId="12" fillId="2" borderId="34" xfId="0" applyFont="1" applyFill="1" applyBorder="1" applyAlignment="1">
      <alignment horizontal="center"/>
    </xf>
    <xf numFmtId="14" fontId="12" fillId="2" borderId="31" xfId="0" applyNumberFormat="1" applyFont="1" applyFill="1" applyBorder="1" applyAlignment="1">
      <alignment horizontal="center"/>
    </xf>
    <xf numFmtId="0" fontId="12" fillId="2" borderId="60" xfId="0" applyFont="1" applyFill="1" applyBorder="1"/>
    <xf numFmtId="14" fontId="12" fillId="2" borderId="15" xfId="0" applyNumberFormat="1" applyFont="1" applyFill="1" applyBorder="1"/>
    <xf numFmtId="0" fontId="1" fillId="0" borderId="0" xfId="4" applyFont="1"/>
    <xf numFmtId="164" fontId="1" fillId="0" borderId="0" xfId="1" applyFont="1"/>
    <xf numFmtId="164" fontId="7" fillId="0" borderId="0" xfId="4" applyNumberFormat="1"/>
    <xf numFmtId="166" fontId="1" fillId="0" borderId="0" xfId="2" applyFont="1"/>
    <xf numFmtId="0" fontId="12" fillId="2" borderId="41" xfId="1" applyNumberFormat="1" applyFont="1" applyFill="1" applyBorder="1" applyAlignment="1">
      <alignment horizontal="center" vertical="center"/>
    </xf>
    <xf numFmtId="167" fontId="12" fillId="2" borderId="41" xfId="0" applyNumberFormat="1" applyFont="1" applyFill="1" applyBorder="1" applyAlignment="1">
      <alignment horizontal="center" vertical="center"/>
    </xf>
    <xf numFmtId="166" fontId="12" fillId="2" borderId="41" xfId="2" applyFont="1" applyFill="1" applyBorder="1"/>
    <xf numFmtId="171" fontId="12" fillId="2" borderId="41" xfId="1" applyNumberFormat="1" applyFont="1" applyFill="1" applyBorder="1"/>
    <xf numFmtId="164" fontId="12" fillId="2" borderId="41" xfId="1" applyFont="1" applyFill="1" applyBorder="1"/>
    <xf numFmtId="171" fontId="12" fillId="2" borderId="12" xfId="1" applyNumberFormat="1" applyFont="1" applyFill="1" applyBorder="1"/>
    <xf numFmtId="0" fontId="12" fillId="2" borderId="64" xfId="0" applyFont="1" applyFill="1" applyBorder="1"/>
    <xf numFmtId="0" fontId="13" fillId="6" borderId="0" xfId="0" applyFont="1" applyFill="1"/>
    <xf numFmtId="15" fontId="12" fillId="2" borderId="16" xfId="0" applyNumberFormat="1" applyFont="1" applyFill="1" applyBorder="1" applyAlignment="1">
      <alignment horizontal="center"/>
    </xf>
    <xf numFmtId="0" fontId="12" fillId="2" borderId="55" xfId="0" applyFont="1" applyFill="1" applyBorder="1" applyAlignment="1">
      <alignment horizontal="center" vertical="center"/>
    </xf>
    <xf numFmtId="0" fontId="12" fillId="2" borderId="12" xfId="0" applyFont="1" applyFill="1" applyBorder="1"/>
    <xf numFmtId="0" fontId="12" fillId="2" borderId="56" xfId="0" applyFont="1" applyFill="1" applyBorder="1" applyAlignment="1">
      <alignment horizontal="center" vertical="center"/>
    </xf>
    <xf numFmtId="166" fontId="12" fillId="0" borderId="0" xfId="2" applyFont="1" applyFill="1" applyBorder="1" applyAlignment="1">
      <alignment horizontal="center"/>
    </xf>
    <xf numFmtId="166" fontId="10" fillId="0" borderId="0" xfId="2" applyFont="1" applyFill="1" applyBorder="1" applyAlignment="1">
      <alignment horizontal="center"/>
    </xf>
    <xf numFmtId="164" fontId="12" fillId="2" borderId="16" xfId="1" applyFont="1" applyFill="1" applyBorder="1" applyAlignment="1">
      <alignment horizontal="center" vertical="center"/>
    </xf>
    <xf numFmtId="164" fontId="12" fillId="2" borderId="21" xfId="1" applyFont="1" applyFill="1" applyBorder="1" applyAlignment="1">
      <alignment horizontal="center" vertical="center"/>
    </xf>
    <xf numFmtId="164" fontId="12" fillId="2" borderId="25" xfId="1" applyFont="1" applyFill="1" applyBorder="1" applyAlignment="1">
      <alignment horizontal="center" vertical="center"/>
    </xf>
    <xf numFmtId="0" fontId="12" fillId="2" borderId="65" xfId="0" applyFont="1" applyFill="1" applyBorder="1" applyAlignment="1">
      <alignment horizontal="center" vertical="center"/>
    </xf>
    <xf numFmtId="0" fontId="12" fillId="2" borderId="53" xfId="0" applyFont="1" applyFill="1" applyBorder="1" applyAlignment="1">
      <alignment horizontal="center"/>
    </xf>
    <xf numFmtId="164" fontId="12" fillId="2" borderId="17" xfId="0" applyNumberFormat="1" applyFont="1" applyFill="1" applyBorder="1"/>
    <xf numFmtId="164" fontId="12" fillId="2" borderId="29" xfId="0" applyNumberFormat="1" applyFont="1" applyFill="1" applyBorder="1"/>
    <xf numFmtId="164" fontId="12" fillId="2" borderId="22" xfId="0" applyNumberFormat="1" applyFont="1" applyFill="1" applyBorder="1"/>
    <xf numFmtId="0" fontId="24" fillId="0" borderId="0" xfId="5" applyFont="1"/>
    <xf numFmtId="169" fontId="23" fillId="0" borderId="5" xfId="10" applyNumberFormat="1" applyFont="1" applyBorder="1" applyAlignment="1">
      <alignment vertical="center"/>
    </xf>
    <xf numFmtId="164" fontId="22" fillId="3" borderId="16" xfId="1" applyFont="1" applyFill="1" applyBorder="1" applyAlignment="1">
      <alignment vertical="center" wrapText="1"/>
    </xf>
    <xf numFmtId="164" fontId="22" fillId="3" borderId="12" xfId="1" applyFont="1" applyFill="1" applyBorder="1" applyAlignment="1">
      <alignment vertical="center" wrapText="1"/>
    </xf>
    <xf numFmtId="164" fontId="22" fillId="3" borderId="46" xfId="1" applyFont="1" applyFill="1" applyBorder="1" applyAlignment="1">
      <alignment vertical="center" wrapText="1"/>
    </xf>
    <xf numFmtId="164" fontId="22" fillId="3" borderId="21" xfId="1" applyFont="1" applyFill="1" applyBorder="1" applyAlignment="1">
      <alignment vertical="center" wrapText="1"/>
    </xf>
    <xf numFmtId="2" fontId="12" fillId="2" borderId="46" xfId="0" applyNumberFormat="1" applyFont="1" applyFill="1" applyBorder="1" applyAlignment="1">
      <alignment horizontal="center" vertical="center"/>
    </xf>
    <xf numFmtId="2" fontId="12" fillId="2" borderId="12" xfId="0" applyNumberFormat="1" applyFont="1" applyFill="1" applyBorder="1" applyAlignment="1">
      <alignment horizontal="center" vertical="center"/>
    </xf>
    <xf numFmtId="0" fontId="13" fillId="2" borderId="58" xfId="0" applyFont="1" applyFill="1" applyBorder="1"/>
    <xf numFmtId="0" fontId="13" fillId="3" borderId="0" xfId="0" applyFont="1" applyFill="1" applyAlignment="1">
      <alignment horizontal="center" vertical="center" wrapText="1"/>
    </xf>
    <xf numFmtId="164" fontId="22" fillId="4" borderId="9" xfId="1" applyFont="1" applyFill="1" applyBorder="1" applyAlignment="1">
      <alignment vertical="center" wrapText="1"/>
    </xf>
    <xf numFmtId="0" fontId="12" fillId="2" borderId="47" xfId="0" applyFont="1" applyFill="1" applyBorder="1" applyAlignment="1">
      <alignment horizontal="left"/>
    </xf>
    <xf numFmtId="0" fontId="12" fillId="2" borderId="46" xfId="0" applyFont="1" applyFill="1" applyBorder="1" applyAlignment="1">
      <alignment horizontal="left"/>
    </xf>
    <xf numFmtId="167" fontId="12" fillId="2" borderId="12" xfId="1" applyNumberFormat="1" applyFont="1" applyFill="1" applyBorder="1" applyAlignment="1">
      <alignment horizontal="center" vertical="center"/>
    </xf>
    <xf numFmtId="164" fontId="12" fillId="2" borderId="46" xfId="1" applyFont="1" applyFill="1" applyBorder="1" applyAlignment="1">
      <alignment horizontal="center" vertical="center"/>
    </xf>
    <xf numFmtId="164" fontId="12" fillId="2" borderId="12" xfId="1" applyFont="1" applyFill="1" applyBorder="1" applyAlignment="1">
      <alignment horizontal="center" vertical="center"/>
    </xf>
    <xf numFmtId="0" fontId="12" fillId="2" borderId="25" xfId="0" applyFont="1" applyFill="1" applyBorder="1"/>
    <xf numFmtId="0" fontId="12" fillId="2" borderId="46" xfId="0" applyFont="1" applyFill="1" applyBorder="1"/>
    <xf numFmtId="0" fontId="11" fillId="2" borderId="7" xfId="0" applyFont="1" applyFill="1" applyBorder="1" applyAlignment="1">
      <alignment horizontal="left"/>
    </xf>
    <xf numFmtId="0" fontId="12" fillId="2" borderId="13" xfId="0" applyFont="1" applyFill="1" applyBorder="1" applyAlignment="1">
      <alignment horizontal="center"/>
    </xf>
    <xf numFmtId="166" fontId="12" fillId="2" borderId="38" xfId="2" applyFont="1" applyFill="1" applyBorder="1" applyAlignment="1">
      <alignment horizontal="center"/>
    </xf>
    <xf numFmtId="164" fontId="12" fillId="2" borderId="49" xfId="1" applyFont="1" applyFill="1" applyBorder="1" applyAlignment="1">
      <alignment horizontal="center" vertical="center"/>
    </xf>
    <xf numFmtId="2" fontId="12" fillId="2" borderId="46" xfId="2" applyNumberFormat="1" applyFont="1" applyFill="1" applyBorder="1"/>
    <xf numFmtId="172" fontId="4" fillId="0" borderId="0" xfId="18" applyNumberFormat="1"/>
    <xf numFmtId="0" fontId="12" fillId="2" borderId="31" xfId="0" applyFont="1" applyFill="1" applyBorder="1"/>
    <xf numFmtId="44" fontId="10" fillId="2" borderId="66" xfId="0" applyNumberFormat="1" applyFont="1" applyFill="1" applyBorder="1" applyAlignment="1">
      <alignment vertical="center"/>
    </xf>
    <xf numFmtId="0" fontId="12" fillId="2" borderId="12" xfId="0" applyFont="1" applyFill="1" applyBorder="1" applyAlignment="1">
      <alignment wrapText="1"/>
    </xf>
    <xf numFmtId="0" fontId="12" fillId="2" borderId="12" xfId="0" applyFont="1" applyFill="1" applyBorder="1" applyAlignment="1">
      <alignment horizontal="center" vertical="center" wrapText="1"/>
    </xf>
    <xf numFmtId="0" fontId="12" fillId="2" borderId="12" xfId="0" applyFont="1" applyFill="1" applyBorder="1" applyAlignment="1">
      <alignment horizontal="center" wrapText="1"/>
    </xf>
    <xf numFmtId="164" fontId="12" fillId="2" borderId="41" xfId="1" applyFont="1" applyFill="1" applyBorder="1" applyAlignment="1">
      <alignment horizontal="center" vertical="center"/>
    </xf>
    <xf numFmtId="0" fontId="18" fillId="0" borderId="40" xfId="0" applyFont="1" applyBorder="1" applyAlignment="1">
      <alignment horizontal="center" vertical="center"/>
    </xf>
    <xf numFmtId="0" fontId="19" fillId="0" borderId="41" xfId="0" applyFont="1" applyBorder="1" applyAlignment="1">
      <alignment horizontal="right"/>
    </xf>
    <xf numFmtId="166" fontId="19" fillId="0" borderId="41" xfId="2" applyFont="1" applyFill="1" applyBorder="1" applyAlignment="1">
      <alignment horizontal="right"/>
    </xf>
    <xf numFmtId="0" fontId="18" fillId="0" borderId="41" xfId="0" applyFont="1" applyBorder="1" applyAlignment="1">
      <alignment horizontal="center"/>
    </xf>
    <xf numFmtId="0" fontId="18" fillId="0" borderId="42" xfId="0" applyFont="1" applyBorder="1" applyAlignment="1">
      <alignment horizontal="center"/>
    </xf>
    <xf numFmtId="164" fontId="0" fillId="0" borderId="0" xfId="1" applyFont="1" applyFill="1"/>
    <xf numFmtId="49" fontId="17" fillId="8" borderId="43" xfId="0" applyNumberFormat="1" applyFont="1" applyFill="1" applyBorder="1" applyAlignment="1">
      <alignment horizontal="center" vertical="center" wrapText="1"/>
    </xf>
    <xf numFmtId="0" fontId="17" fillId="8" borderId="45" xfId="0" applyFont="1" applyFill="1" applyBorder="1" applyAlignment="1">
      <alignment horizontal="center" vertical="center" wrapText="1"/>
    </xf>
    <xf numFmtId="164" fontId="17" fillId="8" borderId="45" xfId="1" applyFont="1" applyFill="1" applyBorder="1" applyAlignment="1">
      <alignment horizontal="center" vertical="center" wrapText="1"/>
    </xf>
    <xf numFmtId="164" fontId="13" fillId="0" borderId="0" xfId="1" applyFont="1" applyBorder="1"/>
    <xf numFmtId="164" fontId="13" fillId="0" borderId="24" xfId="1" applyFont="1" applyBorder="1"/>
    <xf numFmtId="0" fontId="37" fillId="0" borderId="0" xfId="21"/>
    <xf numFmtId="164" fontId="22" fillId="0" borderId="12" xfId="1" applyFont="1" applyFill="1" applyBorder="1"/>
    <xf numFmtId="164" fontId="22" fillId="0" borderId="29" xfId="1" applyFont="1" applyFill="1" applyBorder="1"/>
    <xf numFmtId="0" fontId="13" fillId="0" borderId="0" xfId="0" applyFont="1" applyAlignment="1">
      <alignment horizontal="right"/>
    </xf>
    <xf numFmtId="0" fontId="13" fillId="0" borderId="0" xfId="0" applyFont="1" applyAlignment="1">
      <alignment horizontal="left" indent="3"/>
    </xf>
    <xf numFmtId="164" fontId="22" fillId="0" borderId="17" xfId="1" applyFont="1" applyFill="1" applyBorder="1"/>
    <xf numFmtId="0" fontId="13" fillId="0" borderId="69" xfId="0" applyFont="1" applyBorder="1"/>
    <xf numFmtId="164" fontId="22" fillId="0" borderId="21" xfId="1" applyFont="1" applyFill="1" applyBorder="1"/>
    <xf numFmtId="164" fontId="22" fillId="0" borderId="22" xfId="1" applyFont="1" applyFill="1" applyBorder="1"/>
    <xf numFmtId="49" fontId="22" fillId="0" borderId="47" xfId="5" applyNumberFormat="1" applyFont="1" applyBorder="1"/>
    <xf numFmtId="166" fontId="12" fillId="2" borderId="57" xfId="2" applyFont="1" applyFill="1" applyBorder="1" applyAlignment="1">
      <alignment horizontal="center"/>
    </xf>
    <xf numFmtId="14" fontId="12" fillId="2" borderId="12" xfId="0" applyNumberFormat="1" applyFont="1" applyFill="1" applyBorder="1"/>
    <xf numFmtId="166" fontId="12" fillId="2" borderId="23" xfId="2" applyFont="1" applyFill="1" applyBorder="1" applyAlignment="1">
      <alignment horizontal="center"/>
    </xf>
    <xf numFmtId="166" fontId="12" fillId="2" borderId="59" xfId="2" applyFont="1" applyFill="1" applyBorder="1" applyAlignment="1">
      <alignment horizontal="center"/>
    </xf>
    <xf numFmtId="14" fontId="12" fillId="2" borderId="30" xfId="0" applyNumberFormat="1" applyFont="1" applyFill="1" applyBorder="1"/>
    <xf numFmtId="14" fontId="12" fillId="2" borderId="16" xfId="0" applyNumberFormat="1" applyFont="1" applyFill="1" applyBorder="1"/>
    <xf numFmtId="1" fontId="12" fillId="2" borderId="17" xfId="0" applyNumberFormat="1" applyFont="1" applyFill="1" applyBorder="1" applyAlignment="1">
      <alignment horizontal="center"/>
    </xf>
    <xf numFmtId="1" fontId="12" fillId="2" borderId="29" xfId="0" applyNumberFormat="1" applyFont="1" applyFill="1" applyBorder="1" applyAlignment="1">
      <alignment horizontal="center"/>
    </xf>
    <xf numFmtId="0" fontId="12" fillId="2" borderId="29" xfId="0" applyFont="1" applyFill="1" applyBorder="1" applyAlignment="1">
      <alignment horizontal="center"/>
    </xf>
    <xf numFmtId="14" fontId="12" fillId="2" borderId="32" xfId="0" applyNumberFormat="1" applyFont="1" applyFill="1" applyBorder="1" applyAlignment="1">
      <alignment horizontal="center"/>
    </xf>
    <xf numFmtId="0" fontId="12" fillId="2" borderId="22" xfId="0" applyFont="1" applyFill="1" applyBorder="1" applyAlignment="1">
      <alignment horizontal="center"/>
    </xf>
    <xf numFmtId="0" fontId="12" fillId="2" borderId="17" xfId="0" applyFont="1" applyFill="1" applyBorder="1"/>
    <xf numFmtId="164" fontId="22" fillId="0" borderId="31" xfId="1" applyFont="1" applyFill="1" applyBorder="1"/>
    <xf numFmtId="164" fontId="22" fillId="0" borderId="30" xfId="1" applyFont="1" applyFill="1" applyBorder="1"/>
    <xf numFmtId="164" fontId="22" fillId="0" borderId="16" xfId="1" applyFont="1" applyFill="1" applyBorder="1"/>
    <xf numFmtId="164" fontId="22" fillId="0" borderId="12" xfId="1" applyFont="1" applyFill="1" applyBorder="1" applyAlignment="1">
      <alignment horizontal="center" vertical="center"/>
    </xf>
    <xf numFmtId="164" fontId="22" fillId="0" borderId="32" xfId="1" applyFont="1" applyFill="1" applyBorder="1"/>
    <xf numFmtId="166" fontId="12" fillId="2" borderId="12" xfId="2" applyFont="1" applyFill="1" applyBorder="1" applyAlignment="1">
      <alignment horizontal="center" vertical="center"/>
    </xf>
    <xf numFmtId="0" fontId="12" fillId="2" borderId="12" xfId="2" applyNumberFormat="1" applyFont="1" applyFill="1" applyBorder="1" applyAlignment="1">
      <alignment horizontal="center" vertical="center"/>
    </xf>
    <xf numFmtId="14" fontId="12" fillId="2" borderId="60" xfId="0" applyNumberFormat="1" applyFont="1" applyFill="1" applyBorder="1"/>
    <xf numFmtId="14" fontId="12" fillId="2" borderId="14" xfId="0" applyNumberFormat="1" applyFont="1" applyFill="1" applyBorder="1"/>
    <xf numFmtId="16" fontId="12" fillId="2" borderId="15" xfId="0" applyNumberFormat="1" applyFont="1" applyFill="1" applyBorder="1"/>
    <xf numFmtId="0" fontId="12" fillId="2" borderId="58" xfId="0" applyFont="1" applyFill="1" applyBorder="1" applyAlignment="1">
      <alignment horizontal="center" vertical="center"/>
    </xf>
    <xf numFmtId="16" fontId="12" fillId="2" borderId="37" xfId="0" applyNumberFormat="1" applyFont="1" applyFill="1" applyBorder="1" applyAlignment="1">
      <alignment horizontal="center"/>
    </xf>
    <xf numFmtId="0" fontId="12" fillId="2" borderId="15" xfId="0" applyFont="1" applyFill="1" applyBorder="1"/>
    <xf numFmtId="164" fontId="12" fillId="2" borderId="37" xfId="1" applyFont="1" applyFill="1" applyBorder="1" applyAlignment="1">
      <alignment horizontal="center" vertical="center"/>
    </xf>
    <xf numFmtId="0" fontId="12" fillId="2" borderId="36" xfId="0" applyFont="1" applyFill="1" applyBorder="1"/>
    <xf numFmtId="166" fontId="12" fillId="2" borderId="37" xfId="2" applyFont="1" applyFill="1" applyBorder="1" applyAlignment="1">
      <alignment horizontal="center" vertical="center"/>
    </xf>
    <xf numFmtId="0" fontId="12" fillId="2" borderId="37" xfId="2" applyNumberFormat="1" applyFont="1" applyFill="1" applyBorder="1" applyAlignment="1">
      <alignment horizontal="center" vertical="center"/>
    </xf>
    <xf numFmtId="167" fontId="12" fillId="2" borderId="37" xfId="0" applyNumberFormat="1" applyFont="1" applyFill="1" applyBorder="1" applyAlignment="1">
      <alignment horizontal="center" vertical="center"/>
    </xf>
    <xf numFmtId="166" fontId="12" fillId="2" borderId="37" xfId="2" applyFont="1" applyFill="1" applyBorder="1"/>
    <xf numFmtId="171" fontId="12" fillId="2" borderId="37" xfId="1" applyNumberFormat="1" applyFont="1" applyFill="1" applyBorder="1"/>
    <xf numFmtId="164" fontId="12" fillId="2" borderId="37" xfId="1" applyFont="1" applyFill="1" applyBorder="1"/>
    <xf numFmtId="0" fontId="12" fillId="2" borderId="37" xfId="1" applyNumberFormat="1" applyFont="1" applyFill="1" applyBorder="1" applyAlignment="1">
      <alignment horizontal="center"/>
    </xf>
    <xf numFmtId="0" fontId="12" fillId="2" borderId="37" xfId="1" applyNumberFormat="1" applyFont="1" applyFill="1" applyBorder="1" applyAlignment="1">
      <alignment horizontal="center" vertical="center"/>
    </xf>
    <xf numFmtId="0" fontId="13" fillId="0" borderId="0" xfId="0" quotePrefix="1" applyFont="1"/>
    <xf numFmtId="0" fontId="18" fillId="9" borderId="46" xfId="5" applyFont="1" applyFill="1" applyBorder="1" applyAlignment="1">
      <alignment horizontal="left" vertical="center"/>
    </xf>
    <xf numFmtId="166" fontId="19" fillId="9" borderId="46" xfId="2" applyFont="1" applyFill="1" applyBorder="1"/>
    <xf numFmtId="0" fontId="18" fillId="9" borderId="46" xfId="0" applyFont="1" applyFill="1" applyBorder="1" applyAlignment="1">
      <alignment horizontal="center"/>
    </xf>
    <xf numFmtId="0" fontId="18" fillId="9" borderId="67" xfId="0" applyFont="1" applyFill="1" applyBorder="1" applyAlignment="1">
      <alignment horizontal="center"/>
    </xf>
    <xf numFmtId="2" fontId="12" fillId="2" borderId="49" xfId="2" applyNumberFormat="1" applyFont="1" applyFill="1" applyBorder="1"/>
    <xf numFmtId="0" fontId="12" fillId="2" borderId="36" xfId="0" applyFont="1" applyFill="1" applyBorder="1" applyAlignment="1">
      <alignment horizontal="center" vertical="center"/>
    </xf>
    <xf numFmtId="0" fontId="12" fillId="2" borderId="48" xfId="0" applyFont="1" applyFill="1" applyBorder="1" applyAlignment="1">
      <alignment horizontal="center" vertical="center"/>
    </xf>
    <xf numFmtId="20" fontId="13" fillId="0" borderId="0" xfId="0" applyNumberFormat="1" applyFont="1"/>
    <xf numFmtId="0" fontId="12" fillId="2" borderId="21" xfId="1" applyNumberFormat="1" applyFont="1" applyFill="1" applyBorder="1"/>
    <xf numFmtId="173" fontId="13" fillId="0" borderId="0" xfId="1" applyNumberFormat="1" applyFont="1"/>
    <xf numFmtId="173" fontId="13" fillId="0" borderId="0" xfId="0" applyNumberFormat="1" applyFont="1"/>
    <xf numFmtId="0" fontId="12" fillId="2" borderId="68" xfId="0" applyFont="1" applyFill="1" applyBorder="1" applyAlignment="1">
      <alignment horizontal="center" vertical="center" wrapText="1"/>
    </xf>
    <xf numFmtId="166" fontId="12" fillId="2" borderId="55" xfId="2" applyFont="1" applyFill="1" applyBorder="1"/>
    <xf numFmtId="166" fontId="12" fillId="2" borderId="58" xfId="2" applyFont="1" applyFill="1" applyBorder="1"/>
    <xf numFmtId="166" fontId="12" fillId="2" borderId="56" xfId="2" applyFont="1" applyFill="1" applyBorder="1"/>
    <xf numFmtId="166" fontId="12" fillId="2" borderId="65" xfId="2" applyFont="1" applyFill="1" applyBorder="1"/>
    <xf numFmtId="0" fontId="12" fillId="2" borderId="43" xfId="0" applyFont="1" applyFill="1" applyBorder="1" applyAlignment="1">
      <alignment horizontal="center" vertical="center"/>
    </xf>
    <xf numFmtId="0" fontId="12" fillId="2" borderId="34" xfId="0" applyFont="1" applyFill="1" applyBorder="1" applyAlignment="1">
      <alignment horizontal="center" vertical="center"/>
    </xf>
    <xf numFmtId="166" fontId="12" fillId="2" borderId="67" xfId="2" applyFont="1" applyFill="1" applyBorder="1"/>
    <xf numFmtId="166" fontId="13" fillId="0" borderId="0" xfId="2" applyFont="1" applyAlignment="1"/>
    <xf numFmtId="0" fontId="12" fillId="0" borderId="0" xfId="0" applyFont="1" applyAlignment="1">
      <alignment vertical="center"/>
    </xf>
    <xf numFmtId="0" fontId="12" fillId="2" borderId="36" xfId="0" applyFont="1" applyFill="1" applyBorder="1" applyAlignment="1">
      <alignment vertical="center"/>
    </xf>
    <xf numFmtId="0" fontId="12" fillId="2" borderId="38" xfId="0" applyFont="1" applyFill="1" applyBorder="1" applyAlignment="1">
      <alignment vertical="center"/>
    </xf>
    <xf numFmtId="0" fontId="12" fillId="2" borderId="40" xfId="0" applyFont="1" applyFill="1" applyBorder="1" applyAlignment="1">
      <alignment horizontal="center" vertical="center"/>
    </xf>
    <xf numFmtId="0" fontId="12" fillId="2" borderId="42" xfId="0" applyFont="1" applyFill="1" applyBorder="1" applyAlignment="1">
      <alignment horizontal="center" vertical="center"/>
    </xf>
    <xf numFmtId="0" fontId="12" fillId="2" borderId="12" xfId="0" applyFont="1" applyFill="1" applyBorder="1" applyAlignment="1">
      <alignment vertical="center"/>
    </xf>
    <xf numFmtId="166" fontId="12" fillId="2" borderId="71" xfId="2" applyFont="1" applyFill="1" applyBorder="1"/>
    <xf numFmtId="166" fontId="12" fillId="2" borderId="54" xfId="2" applyFont="1" applyFill="1" applyBorder="1"/>
    <xf numFmtId="20" fontId="12" fillId="2" borderId="12" xfId="0" applyNumberFormat="1" applyFont="1" applyFill="1" applyBorder="1" applyAlignment="1">
      <alignment vertical="center"/>
    </xf>
    <xf numFmtId="166" fontId="12" fillId="2" borderId="68" xfId="2" applyFont="1" applyFill="1" applyBorder="1"/>
    <xf numFmtId="20" fontId="12" fillId="2" borderId="12" xfId="0" applyNumberFormat="1" applyFont="1" applyFill="1" applyBorder="1" applyAlignment="1">
      <alignment horizontal="center" vertical="center"/>
    </xf>
    <xf numFmtId="3" fontId="12" fillId="2" borderId="25" xfId="0" applyNumberFormat="1" applyFont="1" applyFill="1" applyBorder="1" applyAlignment="1">
      <alignment horizontal="center"/>
    </xf>
    <xf numFmtId="0" fontId="12" fillId="2" borderId="17" xfId="2" applyNumberFormat="1" applyFont="1" applyFill="1" applyBorder="1" applyAlignment="1">
      <alignment horizontal="center" vertical="center"/>
    </xf>
    <xf numFmtId="0" fontId="12" fillId="2" borderId="22" xfId="2" applyNumberFormat="1" applyFont="1" applyFill="1" applyBorder="1" applyAlignment="1">
      <alignment horizontal="center" vertical="center"/>
    </xf>
    <xf numFmtId="0" fontId="13" fillId="2" borderId="12" xfId="0" applyFont="1" applyFill="1" applyBorder="1" applyAlignment="1">
      <alignment horizontal="center"/>
    </xf>
    <xf numFmtId="0" fontId="12" fillId="2" borderId="33" xfId="0" applyFont="1" applyFill="1" applyBorder="1" applyAlignment="1">
      <alignment horizontal="center"/>
    </xf>
    <xf numFmtId="0" fontId="12" fillId="2" borderId="26" xfId="0" applyFont="1" applyFill="1" applyBorder="1" applyAlignment="1">
      <alignment horizontal="center"/>
    </xf>
    <xf numFmtId="44" fontId="12" fillId="2" borderId="32" xfId="0" applyNumberFormat="1" applyFont="1" applyFill="1" applyBorder="1" applyAlignment="1">
      <alignment horizontal="center"/>
    </xf>
    <xf numFmtId="0" fontId="13" fillId="0" borderId="0" xfId="0" applyFont="1" applyAlignment="1">
      <alignment horizontal="center"/>
    </xf>
    <xf numFmtId="2" fontId="12" fillId="2" borderId="41" xfId="0" applyNumberFormat="1" applyFont="1" applyFill="1" applyBorder="1" applyAlignment="1">
      <alignment horizontal="center" vertical="center"/>
    </xf>
    <xf numFmtId="44" fontId="12" fillId="2" borderId="25" xfId="0" applyNumberFormat="1" applyFont="1" applyFill="1" applyBorder="1" applyAlignment="1">
      <alignment horizontal="center" vertical="center"/>
    </xf>
    <xf numFmtId="0" fontId="12" fillId="2" borderId="33" xfId="0" applyFont="1" applyFill="1" applyBorder="1" applyAlignment="1">
      <alignment horizontal="center" vertical="center"/>
    </xf>
    <xf numFmtId="0" fontId="12" fillId="2" borderId="46" xfId="2" applyNumberFormat="1" applyFont="1" applyFill="1" applyBorder="1" applyAlignment="1">
      <alignment horizontal="center" vertical="center"/>
    </xf>
    <xf numFmtId="0" fontId="12" fillId="2" borderId="33" xfId="2" applyNumberFormat="1" applyFont="1" applyFill="1" applyBorder="1" applyAlignment="1">
      <alignment horizontal="center" vertical="center"/>
    </xf>
    <xf numFmtId="0" fontId="12" fillId="2" borderId="67" xfId="0" applyFont="1" applyFill="1" applyBorder="1" applyAlignment="1">
      <alignment horizontal="center" vertical="center"/>
    </xf>
    <xf numFmtId="166" fontId="12" fillId="2" borderId="72" xfId="2" applyFont="1" applyFill="1" applyBorder="1"/>
    <xf numFmtId="166" fontId="12" fillId="2" borderId="62" xfId="2" applyFont="1" applyFill="1" applyBorder="1"/>
    <xf numFmtId="0" fontId="12" fillId="2" borderId="46" xfId="0" applyFont="1" applyFill="1" applyBorder="1" applyAlignment="1">
      <alignment vertical="center"/>
    </xf>
    <xf numFmtId="0" fontId="12" fillId="2" borderId="25" xfId="0" applyFont="1" applyFill="1" applyBorder="1" applyAlignment="1">
      <alignment vertical="center"/>
    </xf>
    <xf numFmtId="0" fontId="12" fillId="2" borderId="16" xfId="0" applyFont="1" applyFill="1" applyBorder="1" applyAlignment="1">
      <alignment vertical="center"/>
    </xf>
    <xf numFmtId="0" fontId="12" fillId="2" borderId="17" xfId="0" applyFont="1" applyFill="1" applyBorder="1" applyAlignment="1">
      <alignment vertical="center"/>
    </xf>
    <xf numFmtId="0" fontId="12" fillId="2" borderId="21" xfId="0" applyFont="1" applyFill="1" applyBorder="1" applyAlignment="1">
      <alignment vertical="center"/>
    </xf>
    <xf numFmtId="0" fontId="12" fillId="2" borderId="22" xfId="0" applyFont="1" applyFill="1" applyBorder="1" applyAlignment="1">
      <alignment vertical="center"/>
    </xf>
    <xf numFmtId="166" fontId="12" fillId="2" borderId="41" xfId="2" applyFont="1" applyFill="1" applyBorder="1" applyAlignment="1">
      <alignment horizontal="center" vertical="center"/>
    </xf>
    <xf numFmtId="0" fontId="12" fillId="2" borderId="41" xfId="2" applyNumberFormat="1" applyFont="1" applyFill="1" applyBorder="1" applyAlignment="1">
      <alignment horizontal="center" vertical="center"/>
    </xf>
    <xf numFmtId="49" fontId="18" fillId="0" borderId="30" xfId="5" applyNumberFormat="1" applyFont="1" applyBorder="1"/>
    <xf numFmtId="0" fontId="18" fillId="0" borderId="16" xfId="0" applyFont="1" applyBorder="1" applyAlignment="1">
      <alignment horizontal="center"/>
    </xf>
    <xf numFmtId="0" fontId="18" fillId="0" borderId="55" xfId="0" applyFont="1" applyBorder="1" applyAlignment="1">
      <alignment horizontal="center"/>
    </xf>
    <xf numFmtId="49" fontId="18" fillId="0" borderId="31" xfId="5" applyNumberFormat="1" applyFont="1" applyBorder="1"/>
    <xf numFmtId="0" fontId="18" fillId="0" borderId="12" xfId="0" applyFont="1" applyBorder="1" applyAlignment="1">
      <alignment horizontal="center"/>
    </xf>
    <xf numFmtId="0" fontId="18" fillId="0" borderId="56" xfId="0" applyFont="1" applyBorder="1" applyAlignment="1">
      <alignment horizontal="center"/>
    </xf>
    <xf numFmtId="0" fontId="22" fillId="0" borderId="12" xfId="0" applyFont="1" applyBorder="1" applyAlignment="1">
      <alignment horizontal="center"/>
    </xf>
    <xf numFmtId="49" fontId="18" fillId="0" borderId="47" xfId="5" applyNumberFormat="1" applyFont="1" applyBorder="1"/>
    <xf numFmtId="0" fontId="18" fillId="0" borderId="46" xfId="0" applyFont="1" applyBorder="1" applyAlignment="1">
      <alignment horizontal="center"/>
    </xf>
    <xf numFmtId="0" fontId="18" fillId="0" borderId="67" xfId="0" applyFont="1" applyBorder="1" applyAlignment="1">
      <alignment horizontal="center"/>
    </xf>
    <xf numFmtId="49" fontId="18" fillId="0" borderId="32" xfId="5" applyNumberFormat="1" applyFont="1" applyBorder="1"/>
    <xf numFmtId="0" fontId="18" fillId="0" borderId="21" xfId="0" applyFont="1" applyBorder="1" applyAlignment="1">
      <alignment horizontal="center"/>
    </xf>
    <xf numFmtId="0" fontId="18" fillId="0" borderId="58" xfId="0" applyFont="1" applyBorder="1" applyAlignment="1">
      <alignment horizontal="center"/>
    </xf>
    <xf numFmtId="20" fontId="12" fillId="0" borderId="0" xfId="0" applyNumberFormat="1" applyFont="1"/>
    <xf numFmtId="20" fontId="26" fillId="0" borderId="0" xfId="2" applyNumberFormat="1" applyFont="1" applyFill="1" applyBorder="1" applyAlignment="1">
      <alignment horizontal="center" vertical="center"/>
    </xf>
    <xf numFmtId="0" fontId="12" fillId="2" borderId="43" xfId="0" applyFont="1" applyFill="1" applyBorder="1" applyAlignment="1">
      <alignment horizontal="center" vertical="center" wrapText="1"/>
    </xf>
    <xf numFmtId="0" fontId="12" fillId="2" borderId="45" xfId="0" applyFont="1" applyFill="1" applyBorder="1" applyAlignment="1">
      <alignment horizontal="center" vertical="center"/>
    </xf>
    <xf numFmtId="0" fontId="12" fillId="2" borderId="45" xfId="0" applyFont="1" applyFill="1" applyBorder="1" applyAlignment="1">
      <alignment horizontal="center" vertical="center" wrapText="1"/>
    </xf>
    <xf numFmtId="0" fontId="12" fillId="2" borderId="53" xfId="0" applyFont="1" applyFill="1" applyBorder="1" applyAlignment="1">
      <alignment horizontal="center" vertical="center" wrapText="1"/>
    </xf>
    <xf numFmtId="44" fontId="12" fillId="2" borderId="21" xfId="0" applyNumberFormat="1" applyFont="1" applyFill="1" applyBorder="1" applyAlignment="1">
      <alignment horizontal="center" vertical="center"/>
    </xf>
    <xf numFmtId="0" fontId="12" fillId="2" borderId="43" xfId="0" applyFont="1" applyFill="1" applyBorder="1" applyAlignment="1">
      <alignment vertical="center"/>
    </xf>
    <xf numFmtId="0" fontId="12" fillId="2" borderId="34" xfId="0" applyFont="1" applyFill="1" applyBorder="1" applyAlignment="1">
      <alignment vertical="center"/>
    </xf>
    <xf numFmtId="16" fontId="12" fillId="2" borderId="32" xfId="0" applyNumberFormat="1" applyFont="1" applyFill="1" applyBorder="1"/>
    <xf numFmtId="166" fontId="12" fillId="2" borderId="21" xfId="0" applyNumberFormat="1" applyFont="1" applyFill="1" applyBorder="1" applyAlignment="1">
      <alignment horizontal="center" vertical="center"/>
    </xf>
    <xf numFmtId="20" fontId="12" fillId="2" borderId="25" xfId="0" applyNumberFormat="1" applyFont="1" applyFill="1" applyBorder="1" applyAlignment="1">
      <alignment horizontal="center" vertical="center"/>
    </xf>
    <xf numFmtId="0" fontId="18" fillId="10" borderId="12" xfId="5" applyFont="1" applyFill="1" applyBorder="1" applyAlignment="1">
      <alignment horizontal="left" vertical="center"/>
    </xf>
    <xf numFmtId="166" fontId="19" fillId="10" borderId="12" xfId="2" applyFont="1" applyFill="1" applyBorder="1"/>
    <xf numFmtId="0" fontId="18" fillId="10" borderId="12" xfId="0" applyFont="1" applyFill="1" applyBorder="1" applyAlignment="1">
      <alignment horizontal="center"/>
    </xf>
    <xf numFmtId="166" fontId="23" fillId="10" borderId="12" xfId="2" applyFont="1" applyFill="1" applyBorder="1"/>
    <xf numFmtId="0" fontId="22" fillId="10" borderId="12" xfId="0" applyFont="1" applyFill="1" applyBorder="1" applyAlignment="1">
      <alignment horizontal="center"/>
    </xf>
    <xf numFmtId="0" fontId="18" fillId="10" borderId="46" xfId="5" applyFont="1" applyFill="1" applyBorder="1" applyAlignment="1">
      <alignment horizontal="left" vertical="center"/>
    </xf>
    <xf numFmtId="0" fontId="18" fillId="11" borderId="12" xfId="5" applyFont="1" applyFill="1" applyBorder="1" applyAlignment="1">
      <alignment horizontal="left" vertical="center"/>
    </xf>
    <xf numFmtId="166" fontId="19" fillId="11" borderId="12" xfId="2" applyFont="1" applyFill="1" applyBorder="1"/>
    <xf numFmtId="0" fontId="18" fillId="11" borderId="12" xfId="0" applyFont="1" applyFill="1" applyBorder="1" applyAlignment="1">
      <alignment horizontal="center"/>
    </xf>
    <xf numFmtId="0" fontId="18" fillId="11" borderId="56" xfId="0" applyFont="1" applyFill="1" applyBorder="1" applyAlignment="1">
      <alignment horizontal="center"/>
    </xf>
    <xf numFmtId="0" fontId="22" fillId="11" borderId="12" xfId="5" applyFont="1" applyFill="1" applyBorder="1" applyAlignment="1">
      <alignment horizontal="left" vertical="center"/>
    </xf>
    <xf numFmtId="166" fontId="23" fillId="11" borderId="12" xfId="2" applyFont="1" applyFill="1" applyBorder="1"/>
    <xf numFmtId="0" fontId="22" fillId="11" borderId="12" xfId="0" applyFont="1" applyFill="1" applyBorder="1" applyAlignment="1">
      <alignment horizontal="center"/>
    </xf>
    <xf numFmtId="0" fontId="18" fillId="11" borderId="46" xfId="5" applyFont="1" applyFill="1" applyBorder="1" applyAlignment="1">
      <alignment horizontal="left" vertical="center"/>
    </xf>
    <xf numFmtId="166" fontId="19" fillId="10" borderId="16" xfId="2" applyFont="1" applyFill="1" applyBorder="1"/>
    <xf numFmtId="0" fontId="18" fillId="10" borderId="16" xfId="0" applyFont="1" applyFill="1" applyBorder="1" applyAlignment="1">
      <alignment horizontal="center"/>
    </xf>
    <xf numFmtId="0" fontId="18" fillId="10" borderId="16" xfId="5" applyFont="1" applyFill="1" applyBorder="1" applyAlignment="1">
      <alignment horizontal="left" vertical="center"/>
    </xf>
    <xf numFmtId="0" fontId="22" fillId="10" borderId="46" xfId="5" applyFont="1" applyFill="1" applyBorder="1" applyAlignment="1">
      <alignment horizontal="left" vertical="center"/>
    </xf>
    <xf numFmtId="166" fontId="19" fillId="10" borderId="46" xfId="2" applyFont="1" applyFill="1" applyBorder="1"/>
    <xf numFmtId="0" fontId="18" fillId="10" borderId="46" xfId="0" applyFont="1" applyFill="1" applyBorder="1" applyAlignment="1">
      <alignment horizontal="center"/>
    </xf>
    <xf numFmtId="0" fontId="18" fillId="10" borderId="46" xfId="0" applyFont="1" applyFill="1" applyBorder="1" applyAlignment="1">
      <alignment horizontal="left" vertical="center"/>
    </xf>
    <xf numFmtId="0" fontId="18" fillId="10" borderId="21" xfId="5" applyFont="1" applyFill="1" applyBorder="1" applyAlignment="1">
      <alignment horizontal="left" vertical="center"/>
    </xf>
    <xf numFmtId="166" fontId="19" fillId="10" borderId="21" xfId="2" applyFont="1" applyFill="1" applyBorder="1"/>
    <xf numFmtId="0" fontId="18" fillId="10" borderId="21" xfId="0" applyFont="1" applyFill="1" applyBorder="1" applyAlignment="1">
      <alignment horizontal="center"/>
    </xf>
    <xf numFmtId="0" fontId="12" fillId="2" borderId="14" xfId="0" applyFont="1" applyFill="1" applyBorder="1"/>
    <xf numFmtId="0" fontId="12" fillId="2" borderId="23" xfId="0" applyFont="1" applyFill="1" applyBorder="1"/>
    <xf numFmtId="0" fontId="12" fillId="2" borderId="27" xfId="0" applyFont="1" applyFill="1" applyBorder="1"/>
    <xf numFmtId="0" fontId="12" fillId="2" borderId="57" xfId="0" applyFont="1" applyFill="1" applyBorder="1"/>
    <xf numFmtId="14" fontId="12" fillId="2" borderId="70" xfId="0" applyNumberFormat="1" applyFont="1" applyFill="1" applyBorder="1"/>
    <xf numFmtId="166" fontId="12" fillId="2" borderId="42" xfId="2" applyFont="1" applyFill="1" applyBorder="1"/>
    <xf numFmtId="0" fontId="12" fillId="2" borderId="42" xfId="0" applyFont="1" applyFill="1" applyBorder="1" applyAlignment="1">
      <alignment horizontal="center"/>
    </xf>
    <xf numFmtId="0" fontId="10" fillId="2" borderId="21" xfId="0" applyFont="1" applyFill="1" applyBorder="1" applyAlignment="1">
      <alignment horizontal="center"/>
    </xf>
    <xf numFmtId="0" fontId="12" fillId="2" borderId="29" xfId="0" applyFont="1" applyFill="1" applyBorder="1" applyAlignment="1">
      <alignment vertical="center"/>
    </xf>
    <xf numFmtId="0" fontId="12" fillId="2" borderId="15" xfId="0" applyFont="1" applyFill="1" applyBorder="1" applyAlignment="1">
      <alignment horizontal="center"/>
    </xf>
    <xf numFmtId="0" fontId="10" fillId="2" borderId="0" xfId="0" applyFont="1" applyFill="1" applyAlignment="1">
      <alignment horizontal="left"/>
    </xf>
    <xf numFmtId="164" fontId="12" fillId="2" borderId="55" xfId="1" applyFont="1" applyFill="1" applyBorder="1"/>
    <xf numFmtId="164" fontId="12" fillId="2" borderId="67" xfId="1" applyFont="1" applyFill="1" applyBorder="1"/>
    <xf numFmtId="164" fontId="12" fillId="2" borderId="58" xfId="1" applyFont="1" applyFill="1" applyBorder="1"/>
    <xf numFmtId="164" fontId="12" fillId="2" borderId="65" xfId="1" applyFont="1" applyFill="1" applyBorder="1"/>
    <xf numFmtId="0" fontId="12" fillId="2" borderId="68" xfId="0" applyFont="1" applyFill="1" applyBorder="1" applyAlignment="1">
      <alignment horizontal="center"/>
    </xf>
    <xf numFmtId="0" fontId="12" fillId="2" borderId="68" xfId="0" applyFont="1" applyFill="1" applyBorder="1" applyAlignment="1">
      <alignment horizontal="center" vertical="center"/>
    </xf>
    <xf numFmtId="0" fontId="12" fillId="2" borderId="58" xfId="0" applyFont="1" applyFill="1" applyBorder="1"/>
    <xf numFmtId="0" fontId="12" fillId="2" borderId="72" xfId="0" applyFont="1" applyFill="1" applyBorder="1" applyAlignment="1">
      <alignment horizontal="center"/>
    </xf>
    <xf numFmtId="0" fontId="12" fillId="2" borderId="72" xfId="0" applyFont="1" applyFill="1" applyBorder="1" applyAlignment="1">
      <alignment horizontal="center" vertical="center"/>
    </xf>
    <xf numFmtId="0" fontId="12" fillId="2" borderId="20" xfId="0" applyFont="1" applyFill="1" applyBorder="1" applyAlignment="1">
      <alignment horizontal="center"/>
    </xf>
    <xf numFmtId="0" fontId="12" fillId="2" borderId="62" xfId="0" applyFont="1" applyFill="1" applyBorder="1" applyAlignment="1">
      <alignment horizontal="center"/>
    </xf>
    <xf numFmtId="166" fontId="12" fillId="2" borderId="0" xfId="2" applyFont="1" applyFill="1" applyBorder="1"/>
    <xf numFmtId="0" fontId="12" fillId="2" borderId="66" xfId="0" applyFont="1" applyFill="1" applyBorder="1" applyAlignment="1">
      <alignment horizontal="center" vertical="center" wrapText="1"/>
    </xf>
    <xf numFmtId="166" fontId="12" fillId="2" borderId="13" xfId="2" applyFont="1" applyFill="1" applyBorder="1"/>
    <xf numFmtId="166" fontId="12" fillId="2" borderId="18" xfId="2" applyFont="1" applyFill="1" applyBorder="1"/>
    <xf numFmtId="0" fontId="12" fillId="2" borderId="5" xfId="0" applyFont="1" applyFill="1" applyBorder="1" applyAlignment="1">
      <alignment horizontal="center"/>
    </xf>
    <xf numFmtId="0" fontId="12" fillId="2" borderId="7" xfId="0" applyFont="1" applyFill="1" applyBorder="1" applyAlignment="1">
      <alignment horizontal="center" vertical="center"/>
    </xf>
    <xf numFmtId="0" fontId="12" fillId="2" borderId="10" xfId="0" applyFont="1" applyFill="1" applyBorder="1"/>
    <xf numFmtId="0" fontId="15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7" fillId="8" borderId="53" xfId="0" applyFont="1" applyFill="1" applyBorder="1" applyAlignment="1">
      <alignment horizontal="center" vertical="center" wrapText="1"/>
    </xf>
    <xf numFmtId="0" fontId="17" fillId="8" borderId="11" xfId="0" applyFont="1" applyFill="1" applyBorder="1" applyAlignment="1">
      <alignment horizontal="center" vertical="center" wrapText="1"/>
    </xf>
    <xf numFmtId="0" fontId="17" fillId="8" borderId="2" xfId="0" applyFont="1" applyFill="1" applyBorder="1" applyAlignment="1">
      <alignment horizontal="center" vertical="center" wrapText="1"/>
    </xf>
    <xf numFmtId="0" fontId="17" fillId="8" borderId="68" xfId="0" applyFont="1" applyFill="1" applyBorder="1" applyAlignment="1">
      <alignment horizontal="center" vertical="center" wrapText="1"/>
    </xf>
    <xf numFmtId="0" fontId="17" fillId="8" borderId="4" xfId="0" applyFont="1" applyFill="1" applyBorder="1" applyAlignment="1">
      <alignment horizontal="center" vertical="center" wrapText="1"/>
    </xf>
    <xf numFmtId="0" fontId="17" fillId="8" borderId="5" xfId="0" applyFont="1" applyFill="1" applyBorder="1" applyAlignment="1">
      <alignment horizontal="center" vertical="center" wrapText="1"/>
    </xf>
    <xf numFmtId="0" fontId="12" fillId="2" borderId="55" xfId="0" applyFont="1" applyFill="1" applyBorder="1" applyAlignment="1">
      <alignment horizontal="center" vertical="center"/>
    </xf>
    <xf numFmtId="0" fontId="12" fillId="2" borderId="23" xfId="0" applyFont="1" applyFill="1" applyBorder="1" applyAlignment="1">
      <alignment horizontal="center" vertical="center"/>
    </xf>
    <xf numFmtId="0" fontId="12" fillId="2" borderId="56" xfId="0" applyFont="1" applyFill="1" applyBorder="1" applyAlignment="1">
      <alignment horizontal="center" vertical="center"/>
    </xf>
    <xf numFmtId="0" fontId="12" fillId="2" borderId="57" xfId="0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/>
    </xf>
    <xf numFmtId="0" fontId="12" fillId="2" borderId="11" xfId="0" applyFont="1" applyFill="1" applyBorder="1" applyAlignment="1">
      <alignment horizontal="center"/>
    </xf>
    <xf numFmtId="0" fontId="12" fillId="2" borderId="2" xfId="0" applyFont="1" applyFill="1" applyBorder="1" applyAlignment="1">
      <alignment horizontal="center"/>
    </xf>
    <xf numFmtId="0" fontId="12" fillId="2" borderId="58" xfId="0" applyFont="1" applyFill="1" applyBorder="1" applyAlignment="1">
      <alignment horizontal="center" vertical="center"/>
    </xf>
    <xf numFmtId="0" fontId="12" fillId="2" borderId="59" xfId="0" applyFont="1" applyFill="1" applyBorder="1" applyAlignment="1">
      <alignment horizontal="center" vertical="center"/>
    </xf>
    <xf numFmtId="0" fontId="12" fillId="2" borderId="32" xfId="0" applyFont="1" applyFill="1" applyBorder="1" applyAlignment="1">
      <alignment horizontal="left"/>
    </xf>
    <xf numFmtId="0" fontId="12" fillId="2" borderId="21" xfId="0" applyFont="1" applyFill="1" applyBorder="1" applyAlignment="1">
      <alignment horizontal="left"/>
    </xf>
    <xf numFmtId="166" fontId="12" fillId="2" borderId="21" xfId="2" applyFont="1" applyFill="1" applyBorder="1" applyAlignment="1">
      <alignment horizontal="left"/>
    </xf>
    <xf numFmtId="166" fontId="12" fillId="2" borderId="22" xfId="2" applyFont="1" applyFill="1" applyBorder="1" applyAlignment="1">
      <alignment horizontal="left"/>
    </xf>
    <xf numFmtId="0" fontId="10" fillId="2" borderId="8" xfId="0" applyFont="1" applyFill="1" applyBorder="1" applyAlignment="1">
      <alignment horizontal="center"/>
    </xf>
    <xf numFmtId="0" fontId="10" fillId="2" borderId="9" xfId="0" applyFont="1" applyFill="1" applyBorder="1" applyAlignment="1">
      <alignment horizontal="center"/>
    </xf>
    <xf numFmtId="0" fontId="10" fillId="2" borderId="52" xfId="0" applyFont="1" applyFill="1" applyBorder="1" applyAlignment="1">
      <alignment horizontal="center"/>
    </xf>
    <xf numFmtId="166" fontId="10" fillId="2" borderId="54" xfId="2" applyFont="1" applyFill="1" applyBorder="1" applyAlignment="1">
      <alignment horizontal="center"/>
    </xf>
    <xf numFmtId="166" fontId="10" fillId="2" borderId="10" xfId="2" applyFont="1" applyFill="1" applyBorder="1" applyAlignment="1">
      <alignment horizontal="center"/>
    </xf>
    <xf numFmtId="0" fontId="12" fillId="2" borderId="31" xfId="0" applyFont="1" applyFill="1" applyBorder="1" applyAlignment="1">
      <alignment horizontal="left"/>
    </xf>
    <xf numFmtId="0" fontId="12" fillId="2" borderId="12" xfId="0" applyFont="1" applyFill="1" applyBorder="1" applyAlignment="1">
      <alignment horizontal="left"/>
    </xf>
    <xf numFmtId="166" fontId="12" fillId="2" borderId="12" xfId="2" applyFont="1" applyFill="1" applyBorder="1" applyAlignment="1">
      <alignment horizontal="center"/>
    </xf>
    <xf numFmtId="166" fontId="12" fillId="2" borderId="29" xfId="2" applyFont="1" applyFill="1" applyBorder="1" applyAlignment="1">
      <alignment horizontal="center"/>
    </xf>
    <xf numFmtId="166" fontId="12" fillId="2" borderId="12" xfId="2" applyFont="1" applyFill="1" applyBorder="1" applyAlignment="1">
      <alignment horizontal="left"/>
    </xf>
    <xf numFmtId="166" fontId="12" fillId="2" borderId="29" xfId="2" applyFont="1" applyFill="1" applyBorder="1" applyAlignment="1">
      <alignment horizontal="left"/>
    </xf>
    <xf numFmtId="0" fontId="12" fillId="2" borderId="3" xfId="0" applyFont="1" applyFill="1" applyBorder="1" applyAlignment="1">
      <alignment horizontal="center" vertical="center"/>
    </xf>
    <xf numFmtId="0" fontId="12" fillId="2" borderId="4" xfId="0" applyFont="1" applyFill="1" applyBorder="1" applyAlignment="1">
      <alignment horizontal="center" vertical="center"/>
    </xf>
    <xf numFmtId="0" fontId="12" fillId="2" borderId="5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/>
    </xf>
    <xf numFmtId="0" fontId="10" fillId="2" borderId="2" xfId="0" applyFont="1" applyFill="1" applyBorder="1" applyAlignment="1">
      <alignment horizontal="center"/>
    </xf>
    <xf numFmtId="44" fontId="10" fillId="2" borderId="1" xfId="0" applyNumberFormat="1" applyFont="1" applyFill="1" applyBorder="1" applyAlignment="1">
      <alignment horizontal="center" vertical="center"/>
    </xf>
    <xf numFmtId="44" fontId="10" fillId="2" borderId="11" xfId="0" applyNumberFormat="1" applyFont="1" applyFill="1" applyBorder="1" applyAlignment="1">
      <alignment horizontal="center" vertical="center"/>
    </xf>
    <xf numFmtId="44" fontId="10" fillId="2" borderId="2" xfId="0" applyNumberFormat="1" applyFont="1" applyFill="1" applyBorder="1" applyAlignment="1">
      <alignment horizontal="center" vertical="center"/>
    </xf>
    <xf numFmtId="0" fontId="12" fillId="2" borderId="30" xfId="0" applyFont="1" applyFill="1" applyBorder="1" applyAlignment="1">
      <alignment horizontal="left"/>
    </xf>
    <xf numFmtId="0" fontId="12" fillId="2" borderId="16" xfId="0" applyFont="1" applyFill="1" applyBorder="1" applyAlignment="1">
      <alignment horizontal="left"/>
    </xf>
    <xf numFmtId="166" fontId="12" fillId="2" borderId="16" xfId="2" applyFont="1" applyFill="1" applyBorder="1" applyAlignment="1">
      <alignment horizontal="center"/>
    </xf>
    <xf numFmtId="166" fontId="12" fillId="2" borderId="17" xfId="2" applyFont="1" applyFill="1" applyBorder="1" applyAlignment="1">
      <alignment horizontal="center"/>
    </xf>
    <xf numFmtId="0" fontId="12" fillId="2" borderId="30" xfId="0" applyFont="1" applyFill="1" applyBorder="1" applyAlignment="1">
      <alignment horizontal="center"/>
    </xf>
    <xf numFmtId="0" fontId="12" fillId="2" borderId="16" xfId="0" applyFont="1" applyFill="1" applyBorder="1" applyAlignment="1">
      <alignment horizontal="center"/>
    </xf>
    <xf numFmtId="0" fontId="12" fillId="2" borderId="17" xfId="0" applyFont="1" applyFill="1" applyBorder="1" applyAlignment="1">
      <alignment horizontal="center"/>
    </xf>
    <xf numFmtId="0" fontId="11" fillId="2" borderId="6" xfId="0" applyFont="1" applyFill="1" applyBorder="1" applyAlignment="1">
      <alignment horizontal="left"/>
    </xf>
    <xf numFmtId="0" fontId="11" fillId="2" borderId="0" xfId="0" applyFont="1" applyFill="1" applyAlignment="1">
      <alignment horizontal="left"/>
    </xf>
    <xf numFmtId="0" fontId="10" fillId="2" borderId="6" xfId="0" applyFont="1" applyFill="1" applyBorder="1" applyAlignment="1">
      <alignment horizontal="left"/>
    </xf>
    <xf numFmtId="0" fontId="10" fillId="2" borderId="0" xfId="0" applyFont="1" applyFill="1" applyAlignment="1">
      <alignment horizontal="left"/>
    </xf>
    <xf numFmtId="0" fontId="10" fillId="2" borderId="8" xfId="0" applyFont="1" applyFill="1" applyBorder="1" applyAlignment="1">
      <alignment horizontal="left"/>
    </xf>
    <xf numFmtId="0" fontId="10" fillId="2" borderId="9" xfId="0" applyFont="1" applyFill="1" applyBorder="1" applyAlignment="1">
      <alignment horizontal="left"/>
    </xf>
    <xf numFmtId="0" fontId="12" fillId="2" borderId="13" xfId="0" applyFont="1" applyFill="1" applyBorder="1" applyAlignment="1">
      <alignment horizontal="center" vertical="center"/>
    </xf>
    <xf numFmtId="0" fontId="12" fillId="2" borderId="18" xfId="0" applyFont="1" applyFill="1" applyBorder="1" applyAlignment="1">
      <alignment horizontal="center" vertical="center"/>
    </xf>
    <xf numFmtId="0" fontId="12" fillId="0" borderId="35" xfId="0" applyFont="1" applyBorder="1" applyAlignment="1">
      <alignment horizontal="center"/>
    </xf>
    <xf numFmtId="0" fontId="10" fillId="2" borderId="10" xfId="0" applyFont="1" applyFill="1" applyBorder="1" applyAlignment="1">
      <alignment horizontal="center"/>
    </xf>
    <xf numFmtId="0" fontId="35" fillId="2" borderId="1" xfId="0" applyFont="1" applyFill="1" applyBorder="1" applyAlignment="1">
      <alignment horizontal="center"/>
    </xf>
    <xf numFmtId="0" fontId="35" fillId="2" borderId="11" xfId="0" applyFont="1" applyFill="1" applyBorder="1" applyAlignment="1">
      <alignment horizontal="center"/>
    </xf>
    <xf numFmtId="0" fontId="35" fillId="2" borderId="2" xfId="0" applyFont="1" applyFill="1" applyBorder="1" applyAlignment="1">
      <alignment horizontal="center"/>
    </xf>
    <xf numFmtId="0" fontId="26" fillId="2" borderId="3" xfId="0" applyFont="1" applyFill="1" applyBorder="1" applyAlignment="1">
      <alignment horizontal="center"/>
    </xf>
    <xf numFmtId="0" fontId="26" fillId="2" borderId="4" xfId="0" applyFont="1" applyFill="1" applyBorder="1" applyAlignment="1">
      <alignment horizontal="center"/>
    </xf>
    <xf numFmtId="0" fontId="26" fillId="2" borderId="5" xfId="0" applyFont="1" applyFill="1" applyBorder="1" applyAlignment="1">
      <alignment horizontal="center"/>
    </xf>
    <xf numFmtId="0" fontId="10" fillId="2" borderId="11" xfId="0" applyFont="1" applyFill="1" applyBorder="1" applyAlignment="1">
      <alignment horizontal="center"/>
    </xf>
    <xf numFmtId="0" fontId="26" fillId="2" borderId="6" xfId="0" applyFont="1" applyFill="1" applyBorder="1" applyAlignment="1">
      <alignment horizontal="center"/>
    </xf>
    <xf numFmtId="0" fontId="26" fillId="2" borderId="0" xfId="0" applyFont="1" applyFill="1" applyAlignment="1">
      <alignment horizontal="center"/>
    </xf>
    <xf numFmtId="0" fontId="26" fillId="2" borderId="7" xfId="0" applyFont="1" applyFill="1" applyBorder="1" applyAlignment="1">
      <alignment horizontal="center"/>
    </xf>
    <xf numFmtId="0" fontId="12" fillId="2" borderId="6" xfId="0" applyFont="1" applyFill="1" applyBorder="1" applyAlignment="1">
      <alignment horizontal="center"/>
    </xf>
    <xf numFmtId="0" fontId="12" fillId="2" borderId="0" xfId="0" applyFont="1" applyFill="1" applyAlignment="1">
      <alignment horizontal="center"/>
    </xf>
    <xf numFmtId="0" fontId="12" fillId="2" borderId="7" xfId="0" applyFont="1" applyFill="1" applyBorder="1" applyAlignment="1">
      <alignment horizontal="center"/>
    </xf>
    <xf numFmtId="14" fontId="12" fillId="2" borderId="14" xfId="0" applyNumberFormat="1" applyFont="1" applyFill="1" applyBorder="1" applyAlignment="1">
      <alignment horizontal="center" vertical="center"/>
    </xf>
    <xf numFmtId="14" fontId="12" fillId="2" borderId="15" xfId="0" applyNumberFormat="1" applyFont="1" applyFill="1" applyBorder="1" applyAlignment="1">
      <alignment horizontal="center" vertical="center"/>
    </xf>
    <xf numFmtId="166" fontId="12" fillId="2" borderId="19" xfId="2" applyFont="1" applyFill="1" applyBorder="1" applyAlignment="1">
      <alignment horizontal="center"/>
    </xf>
    <xf numFmtId="166" fontId="12" fillId="2" borderId="20" xfId="2" applyFont="1" applyFill="1" applyBorder="1" applyAlignment="1">
      <alignment horizontal="center"/>
    </xf>
    <xf numFmtId="0" fontId="12" fillId="2" borderId="8" xfId="0" applyFont="1" applyFill="1" applyBorder="1" applyAlignment="1">
      <alignment horizontal="center"/>
    </xf>
    <xf numFmtId="0" fontId="12" fillId="2" borderId="9" xfId="0" applyFont="1" applyFill="1" applyBorder="1" applyAlignment="1">
      <alignment horizontal="center"/>
    </xf>
    <xf numFmtId="0" fontId="12" fillId="2" borderId="10" xfId="0" applyFont="1" applyFill="1" applyBorder="1" applyAlignment="1">
      <alignment horizontal="center"/>
    </xf>
    <xf numFmtId="0" fontId="10" fillId="2" borderId="8" xfId="1" applyNumberFormat="1" applyFont="1" applyFill="1" applyBorder="1" applyAlignment="1">
      <alignment horizontal="center" vertical="center"/>
    </xf>
    <xf numFmtId="0" fontId="10" fillId="2" borderId="9" xfId="1" applyNumberFormat="1" applyFont="1" applyFill="1" applyBorder="1" applyAlignment="1">
      <alignment horizontal="center" vertical="center"/>
    </xf>
    <xf numFmtId="0" fontId="10" fillId="2" borderId="10" xfId="1" applyNumberFormat="1" applyFont="1" applyFill="1" applyBorder="1" applyAlignment="1">
      <alignment horizontal="center" vertical="center"/>
    </xf>
    <xf numFmtId="0" fontId="11" fillId="2" borderId="4" xfId="0" applyFont="1" applyFill="1" applyBorder="1" applyAlignment="1">
      <alignment horizontal="left"/>
    </xf>
    <xf numFmtId="166" fontId="12" fillId="7" borderId="19" xfId="2" applyFont="1" applyFill="1" applyBorder="1" applyAlignment="1">
      <alignment horizontal="center"/>
    </xf>
    <xf numFmtId="166" fontId="12" fillId="7" borderId="20" xfId="2" applyFont="1" applyFill="1" applyBorder="1" applyAlignment="1">
      <alignment horizontal="center"/>
    </xf>
    <xf numFmtId="0" fontId="11" fillId="2" borderId="5" xfId="0" applyFont="1" applyFill="1" applyBorder="1" applyAlignment="1">
      <alignment horizontal="left"/>
    </xf>
    <xf numFmtId="166" fontId="12" fillId="2" borderId="56" xfId="2" applyFont="1" applyFill="1" applyBorder="1" applyAlignment="1">
      <alignment horizontal="center"/>
    </xf>
    <xf numFmtId="166" fontId="12" fillId="2" borderId="57" xfId="2" applyFont="1" applyFill="1" applyBorder="1" applyAlignment="1">
      <alignment horizontal="center"/>
    </xf>
    <xf numFmtId="0" fontId="12" fillId="2" borderId="60" xfId="0" applyFont="1" applyFill="1" applyBorder="1" applyAlignment="1">
      <alignment horizontal="center"/>
    </xf>
    <xf numFmtId="0" fontId="12" fillId="2" borderId="14" xfId="0" applyFont="1" applyFill="1" applyBorder="1" applyAlignment="1">
      <alignment horizontal="center"/>
    </xf>
    <xf numFmtId="0" fontId="12" fillId="2" borderId="23" xfId="0" applyFont="1" applyFill="1" applyBorder="1" applyAlignment="1">
      <alignment horizontal="center"/>
    </xf>
    <xf numFmtId="0" fontId="12" fillId="2" borderId="15" xfId="0" applyFont="1" applyFill="1" applyBorder="1" applyAlignment="1">
      <alignment horizontal="center"/>
    </xf>
    <xf numFmtId="0" fontId="12" fillId="2" borderId="36" xfId="0" applyFont="1" applyFill="1" applyBorder="1" applyAlignment="1">
      <alignment horizontal="center"/>
    </xf>
    <xf numFmtId="0" fontId="12" fillId="2" borderId="37" xfId="0" applyFont="1" applyFill="1" applyBorder="1" applyAlignment="1">
      <alignment horizontal="center"/>
    </xf>
    <xf numFmtId="0" fontId="12" fillId="2" borderId="38" xfId="0" applyFont="1" applyFill="1" applyBorder="1" applyAlignment="1">
      <alignment horizontal="center"/>
    </xf>
    <xf numFmtId="0" fontId="13" fillId="3" borderId="4" xfId="0" applyFont="1" applyFill="1" applyBorder="1" applyAlignment="1">
      <alignment horizontal="center" vertical="center" wrapText="1"/>
    </xf>
    <xf numFmtId="0" fontId="13" fillId="3" borderId="5" xfId="0" applyFont="1" applyFill="1" applyBorder="1" applyAlignment="1">
      <alignment horizontal="center" vertical="center" wrapText="1"/>
    </xf>
    <xf numFmtId="0" fontId="13" fillId="3" borderId="0" xfId="0" applyFont="1" applyFill="1" applyAlignment="1">
      <alignment horizontal="center" vertical="center" wrapText="1"/>
    </xf>
    <xf numFmtId="0" fontId="13" fillId="3" borderId="7" xfId="0" applyFont="1" applyFill="1" applyBorder="1" applyAlignment="1">
      <alignment horizontal="center" vertical="center" wrapText="1"/>
    </xf>
    <xf numFmtId="0" fontId="13" fillId="3" borderId="9" xfId="0" applyFont="1" applyFill="1" applyBorder="1" applyAlignment="1">
      <alignment horizontal="center" vertical="center" wrapText="1"/>
    </xf>
    <xf numFmtId="0" fontId="13" fillId="3" borderId="10" xfId="0" applyFont="1" applyFill="1" applyBorder="1" applyAlignment="1">
      <alignment horizontal="center" vertical="center" wrapText="1"/>
    </xf>
    <xf numFmtId="44" fontId="10" fillId="0" borderId="0" xfId="0" applyNumberFormat="1" applyFont="1" applyAlignment="1">
      <alignment horizontal="center" vertical="center"/>
    </xf>
    <xf numFmtId="0" fontId="20" fillId="2" borderId="4" xfId="0" applyFont="1" applyFill="1" applyBorder="1" applyAlignment="1">
      <alignment horizontal="left"/>
    </xf>
    <xf numFmtId="0" fontId="12" fillId="2" borderId="3" xfId="0" applyFont="1" applyFill="1" applyBorder="1" applyAlignment="1">
      <alignment horizontal="center"/>
    </xf>
    <xf numFmtId="0" fontId="12" fillId="2" borderId="4" xfId="0" applyFont="1" applyFill="1" applyBorder="1" applyAlignment="1">
      <alignment horizontal="center"/>
    </xf>
    <xf numFmtId="0" fontId="12" fillId="2" borderId="48" xfId="0" applyFont="1" applyFill="1" applyBorder="1" applyAlignment="1">
      <alignment horizontal="center"/>
    </xf>
    <xf numFmtId="16" fontId="11" fillId="2" borderId="0" xfId="0" applyNumberFormat="1" applyFont="1" applyFill="1" applyAlignment="1">
      <alignment horizontal="left"/>
    </xf>
    <xf numFmtId="0" fontId="24" fillId="0" borderId="6" xfId="5" applyFont="1" applyBorder="1" applyAlignment="1">
      <alignment horizontal="center"/>
    </xf>
    <xf numFmtId="0" fontId="24" fillId="0" borderId="0" xfId="5" applyFont="1" applyAlignment="1">
      <alignment horizontal="center"/>
    </xf>
    <xf numFmtId="0" fontId="22" fillId="4" borderId="1" xfId="5" applyFont="1" applyFill="1" applyBorder="1" applyAlignment="1">
      <alignment horizontal="center" wrapText="1"/>
    </xf>
    <xf numFmtId="0" fontId="22" fillId="4" borderId="11" xfId="5" applyFont="1" applyFill="1" applyBorder="1" applyAlignment="1">
      <alignment horizontal="center" wrapText="1"/>
    </xf>
    <xf numFmtId="0" fontId="22" fillId="4" borderId="44" xfId="5" applyFont="1" applyFill="1" applyBorder="1" applyAlignment="1">
      <alignment horizontal="center" wrapText="1"/>
    </xf>
    <xf numFmtId="0" fontId="9" fillId="0" borderId="24" xfId="18" applyFont="1" applyBorder="1" applyAlignment="1">
      <alignment horizontal="center" vertical="center"/>
    </xf>
    <xf numFmtId="0" fontId="10" fillId="0" borderId="21" xfId="4" applyFont="1" applyBorder="1" applyAlignment="1">
      <alignment horizontal="center"/>
    </xf>
    <xf numFmtId="0" fontId="9" fillId="0" borderId="21" xfId="4" applyFont="1" applyBorder="1" applyAlignment="1">
      <alignment horizontal="center"/>
    </xf>
    <xf numFmtId="0" fontId="10" fillId="0" borderId="12" xfId="0" applyFont="1" applyBorder="1" applyAlignment="1">
      <alignment horizontal="center"/>
    </xf>
    <xf numFmtId="0" fontId="10" fillId="0" borderId="46" xfId="0" applyFont="1" applyBorder="1" applyAlignment="1">
      <alignment horizontal="center"/>
    </xf>
    <xf numFmtId="0" fontId="10" fillId="0" borderId="16" xfId="4" applyFont="1" applyBorder="1" applyAlignment="1">
      <alignment horizontal="center"/>
    </xf>
    <xf numFmtId="0" fontId="9" fillId="0" borderId="16" xfId="4" applyFont="1" applyBorder="1" applyAlignment="1">
      <alignment horizontal="center"/>
    </xf>
    <xf numFmtId="0" fontId="10" fillId="0" borderId="25" xfId="0" applyFont="1" applyBorder="1" applyAlignment="1">
      <alignment horizontal="center"/>
    </xf>
    <xf numFmtId="0" fontId="9" fillId="0" borderId="3" xfId="3" applyFont="1" applyBorder="1" applyAlignment="1">
      <alignment horizontal="center"/>
    </xf>
    <xf numFmtId="0" fontId="9" fillId="0" borderId="4" xfId="3" applyFont="1" applyBorder="1" applyAlignment="1">
      <alignment horizontal="center"/>
    </xf>
    <xf numFmtId="0" fontId="9" fillId="0" borderId="5" xfId="3" applyFont="1" applyBorder="1" applyAlignment="1">
      <alignment horizontal="center"/>
    </xf>
    <xf numFmtId="0" fontId="9" fillId="0" borderId="45" xfId="3" applyFont="1" applyBorder="1" applyAlignment="1">
      <alignment horizontal="center" vertical="center"/>
    </xf>
    <xf numFmtId="0" fontId="9" fillId="0" borderId="45" xfId="3" applyFont="1" applyBorder="1" applyAlignment="1">
      <alignment horizontal="center"/>
    </xf>
    <xf numFmtId="0" fontId="9" fillId="0" borderId="49" xfId="4" applyFont="1" applyBorder="1" applyAlignment="1">
      <alignment horizontal="center"/>
    </xf>
    <xf numFmtId="0" fontId="9" fillId="0" borderId="12" xfId="4" applyFont="1" applyBorder="1" applyAlignment="1">
      <alignment horizontal="center"/>
    </xf>
    <xf numFmtId="0" fontId="10" fillId="0" borderId="46" xfId="4" applyFont="1" applyBorder="1" applyAlignment="1">
      <alignment horizontal="center"/>
    </xf>
    <xf numFmtId="0" fontId="9" fillId="0" borderId="46" xfId="4" applyFont="1" applyBorder="1" applyAlignment="1">
      <alignment horizontal="center"/>
    </xf>
    <xf numFmtId="0" fontId="10" fillId="0" borderId="16" xfId="0" applyFont="1" applyBorder="1" applyAlignment="1">
      <alignment horizontal="center"/>
    </xf>
    <xf numFmtId="0" fontId="10" fillId="0" borderId="21" xfId="0" applyFont="1" applyBorder="1" applyAlignment="1">
      <alignment horizontal="center"/>
    </xf>
    <xf numFmtId="0" fontId="10" fillId="0" borderId="32" xfId="0" applyFont="1" applyBorder="1" applyAlignment="1">
      <alignment horizontal="center"/>
    </xf>
    <xf numFmtId="0" fontId="10" fillId="0" borderId="30" xfId="0" applyFont="1" applyBorder="1" applyAlignment="1">
      <alignment horizontal="center"/>
    </xf>
    <xf numFmtId="0" fontId="10" fillId="0" borderId="0" xfId="0" applyFont="1" applyAlignment="1">
      <alignment horizontal="center"/>
    </xf>
  </cellXfs>
  <cellStyles count="22">
    <cellStyle name="Hipervínculo" xfId="21" builtinId="8"/>
    <cellStyle name="Millares" xfId="1" builtinId="3"/>
    <cellStyle name="Millares 2" xfId="6" xr:uid="{00000000-0005-0000-0000-000002000000}"/>
    <cellStyle name="Millares 2 2" xfId="13" xr:uid="{00000000-0005-0000-0000-000003000000}"/>
    <cellStyle name="Millares 2 3" xfId="19" xr:uid="{00000000-0005-0000-0000-000004000000}"/>
    <cellStyle name="Millares 3" xfId="10" xr:uid="{00000000-0005-0000-0000-000005000000}"/>
    <cellStyle name="Millares 3 2" xfId="17" xr:uid="{00000000-0005-0000-0000-000006000000}"/>
    <cellStyle name="Moneda" xfId="2" builtinId="4"/>
    <cellStyle name="Moneda 2" xfId="7" xr:uid="{00000000-0005-0000-0000-000008000000}"/>
    <cellStyle name="Moneda 2 2" xfId="14" xr:uid="{00000000-0005-0000-0000-000009000000}"/>
    <cellStyle name="Normal" xfId="0" builtinId="0"/>
    <cellStyle name="Normal 2" xfId="3" xr:uid="{00000000-0005-0000-0000-00000B000000}"/>
    <cellStyle name="Normal 2 2" xfId="4" xr:uid="{00000000-0005-0000-0000-00000C000000}"/>
    <cellStyle name="Normal 2 2 2" xfId="9" xr:uid="{00000000-0005-0000-0000-00000D000000}"/>
    <cellStyle name="Normal 2 2 2 2" xfId="16" xr:uid="{00000000-0005-0000-0000-00000E000000}"/>
    <cellStyle name="Normal 2 2 3" xfId="12" xr:uid="{00000000-0005-0000-0000-00000F000000}"/>
    <cellStyle name="Normal 2 3" xfId="8" xr:uid="{00000000-0005-0000-0000-000010000000}"/>
    <cellStyle name="Normal 2 3 2" xfId="15" xr:uid="{00000000-0005-0000-0000-000011000000}"/>
    <cellStyle name="Normal 2 4" xfId="11" xr:uid="{00000000-0005-0000-0000-000012000000}"/>
    <cellStyle name="Normal 4" xfId="18" xr:uid="{00000000-0005-0000-0000-000013000000}"/>
    <cellStyle name="Normal 4 2" xfId="20" xr:uid="{00000000-0005-0000-0000-000014000000}"/>
    <cellStyle name="Normal 72 2" xfId="5" xr:uid="{00000000-0005-0000-0000-000015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externalLink" Target="externalLinks/externalLink3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externalLink" Target="externalLinks/externalLink2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externalLink" Target="externalLinks/externalLink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2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2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2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2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27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28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29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752475</xdr:colOff>
      <xdr:row>0</xdr:row>
      <xdr:rowOff>0</xdr:rowOff>
    </xdr:from>
    <xdr:ext cx="1809750" cy="745613"/>
    <xdr:pic>
      <xdr:nvPicPr>
        <xdr:cNvPr id="2" name="Imagen 1">
          <a:extLst>
            <a:ext uri="{FF2B5EF4-FFF2-40B4-BE49-F238E27FC236}">
              <a16:creationId xmlns:a16="http://schemas.microsoft.com/office/drawing/2014/main" id="{C71973A9-7D33-4291-B209-3832AF1113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52475" y="0"/>
          <a:ext cx="1809750" cy="745613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200025</xdr:colOff>
      <xdr:row>2</xdr:row>
      <xdr:rowOff>47625</xdr:rowOff>
    </xdr:from>
    <xdr:to>
      <xdr:col>5</xdr:col>
      <xdr:colOff>438150</xdr:colOff>
      <xdr:row>8</xdr:row>
      <xdr:rowOff>68792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E9C4032-9212-49B9-A32D-4D6007E57F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4000" y="361950"/>
          <a:ext cx="1524000" cy="9069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200025</xdr:colOff>
      <xdr:row>2</xdr:row>
      <xdr:rowOff>47624</xdr:rowOff>
    </xdr:from>
    <xdr:to>
      <xdr:col>5</xdr:col>
      <xdr:colOff>186267</xdr:colOff>
      <xdr:row>6</xdr:row>
      <xdr:rowOff>19049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A354149-79BA-4DD0-AE48-3C7EC328EC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52575" y="361949"/>
          <a:ext cx="1605492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76540</xdr:colOff>
      <xdr:row>4</xdr:row>
      <xdr:rowOff>42521</xdr:rowOff>
    </xdr:from>
    <xdr:to>
      <xdr:col>6</xdr:col>
      <xdr:colOff>144576</xdr:colOff>
      <xdr:row>8</xdr:row>
      <xdr:rowOff>13605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A2E078C-0EE1-4D58-BF3C-899AE963B0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4643" y="697365"/>
          <a:ext cx="2083594" cy="5068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200025</xdr:colOff>
      <xdr:row>2</xdr:row>
      <xdr:rowOff>47625</xdr:rowOff>
    </xdr:from>
    <xdr:to>
      <xdr:col>5</xdr:col>
      <xdr:colOff>504825</xdr:colOff>
      <xdr:row>3</xdr:row>
      <xdr:rowOff>35983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FD8E95E-E211-4ED2-BA82-05B994D62C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3025" y="381000"/>
          <a:ext cx="1590675" cy="91228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200024</xdr:colOff>
      <xdr:row>2</xdr:row>
      <xdr:rowOff>47625</xdr:rowOff>
    </xdr:from>
    <xdr:to>
      <xdr:col>7</xdr:col>
      <xdr:colOff>219074</xdr:colOff>
      <xdr:row>8</xdr:row>
      <xdr:rowOff>68792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244C98C-6B87-49CE-85F2-8E0CDBE4EC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76349" y="361950"/>
          <a:ext cx="2124075" cy="9069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200025</xdr:colOff>
      <xdr:row>2</xdr:row>
      <xdr:rowOff>47625</xdr:rowOff>
    </xdr:from>
    <xdr:to>
      <xdr:col>5</xdr:col>
      <xdr:colOff>342900</xdr:colOff>
      <xdr:row>8</xdr:row>
      <xdr:rowOff>66675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4ADD42E-1ABE-4808-9A12-813946E0F0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09700" y="361950"/>
          <a:ext cx="1371600" cy="904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67504</xdr:colOff>
      <xdr:row>0</xdr:row>
      <xdr:rowOff>138732</xdr:rowOff>
    </xdr:from>
    <xdr:to>
      <xdr:col>5</xdr:col>
      <xdr:colOff>583266</xdr:colOff>
      <xdr:row>4</xdr:row>
      <xdr:rowOff>145677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C9079BB-0BB0-41BF-938B-3E51674EE5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8592" y="138732"/>
          <a:ext cx="2196084" cy="65688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200025</xdr:colOff>
      <xdr:row>2</xdr:row>
      <xdr:rowOff>47625</xdr:rowOff>
    </xdr:from>
    <xdr:to>
      <xdr:col>5</xdr:col>
      <xdr:colOff>467783</xdr:colOff>
      <xdr:row>8</xdr:row>
      <xdr:rowOff>68792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EBAD7C1-C46F-450F-8CA3-51F2A75DC0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66925" y="371475"/>
          <a:ext cx="1600200" cy="904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200024</xdr:colOff>
      <xdr:row>2</xdr:row>
      <xdr:rowOff>47625</xdr:rowOff>
    </xdr:from>
    <xdr:to>
      <xdr:col>5</xdr:col>
      <xdr:colOff>243415</xdr:colOff>
      <xdr:row>8</xdr:row>
      <xdr:rowOff>68792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E86EB5A-9C87-468A-859C-3F0C50170C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90107" y="354542"/>
          <a:ext cx="1260475" cy="89958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200025</xdr:colOff>
      <xdr:row>2</xdr:row>
      <xdr:rowOff>47625</xdr:rowOff>
    </xdr:from>
    <xdr:to>
      <xdr:col>5</xdr:col>
      <xdr:colOff>517525</xdr:colOff>
      <xdr:row>6</xdr:row>
      <xdr:rowOff>31750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0429C48-B350-4BE8-8D3D-E29389F7BE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13442" y="354542"/>
          <a:ext cx="1608667" cy="6614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200025</xdr:colOff>
      <xdr:row>2</xdr:row>
      <xdr:rowOff>47625</xdr:rowOff>
    </xdr:from>
    <xdr:to>
      <xdr:col>7</xdr:col>
      <xdr:colOff>224446</xdr:colOff>
      <xdr:row>9</xdr:row>
      <xdr:rowOff>10583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0485180-2FA2-46B3-AEC1-437D8EBB2B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33525" y="354542"/>
          <a:ext cx="2244725" cy="101070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348853</xdr:colOff>
      <xdr:row>4</xdr:row>
      <xdr:rowOff>127000</xdr:rowOff>
    </xdr:from>
    <xdr:to>
      <xdr:col>6</xdr:col>
      <xdr:colOff>126074</xdr:colOff>
      <xdr:row>8</xdr:row>
      <xdr:rowOff>9922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D9009B8-511A-411A-BA4A-FA239A88ED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9556" y="791766"/>
          <a:ext cx="1592924" cy="5278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200025</xdr:colOff>
      <xdr:row>2</xdr:row>
      <xdr:rowOff>47625</xdr:rowOff>
    </xdr:from>
    <xdr:to>
      <xdr:col>5</xdr:col>
      <xdr:colOff>265545</xdr:colOff>
      <xdr:row>8</xdr:row>
      <xdr:rowOff>66675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6959702-9A22-4C0C-8B56-920DD329AF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70025" y="354542"/>
          <a:ext cx="1715558" cy="89746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200023</xdr:colOff>
      <xdr:row>2</xdr:row>
      <xdr:rowOff>47623</xdr:rowOff>
    </xdr:from>
    <xdr:to>
      <xdr:col>5</xdr:col>
      <xdr:colOff>377406</xdr:colOff>
      <xdr:row>6</xdr:row>
      <xdr:rowOff>17971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5D676E7-D775-4FB6-81B1-E1A788E5AF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7028" y="380099"/>
          <a:ext cx="1507288" cy="6532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200024</xdr:colOff>
      <xdr:row>2</xdr:row>
      <xdr:rowOff>47625</xdr:rowOff>
    </xdr:from>
    <xdr:to>
      <xdr:col>5</xdr:col>
      <xdr:colOff>333374</xdr:colOff>
      <xdr:row>8</xdr:row>
      <xdr:rowOff>68792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E39445B-9431-4E2F-B784-74BA58AA0C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43049" y="361950"/>
          <a:ext cx="1362075" cy="9069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200025</xdr:colOff>
      <xdr:row>2</xdr:row>
      <xdr:rowOff>47625</xdr:rowOff>
    </xdr:from>
    <xdr:to>
      <xdr:col>5</xdr:col>
      <xdr:colOff>519642</xdr:colOff>
      <xdr:row>8</xdr:row>
      <xdr:rowOff>68792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AA3ED8B-ABD6-41B6-8EC3-110EED38C7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66925" y="371475"/>
          <a:ext cx="1600200" cy="904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200025</xdr:colOff>
      <xdr:row>2</xdr:row>
      <xdr:rowOff>47625</xdr:rowOff>
    </xdr:from>
    <xdr:to>
      <xdr:col>5</xdr:col>
      <xdr:colOff>495300</xdr:colOff>
      <xdr:row>8</xdr:row>
      <xdr:rowOff>68792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C2DA259-49F8-4BA9-8194-692914F89F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90675" y="361950"/>
          <a:ext cx="1876425" cy="9069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200024</xdr:colOff>
      <xdr:row>2</xdr:row>
      <xdr:rowOff>47624</xdr:rowOff>
    </xdr:from>
    <xdr:to>
      <xdr:col>5</xdr:col>
      <xdr:colOff>296332</xdr:colOff>
      <xdr:row>5</xdr:row>
      <xdr:rowOff>114299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4FBE3A2-6A68-4D07-AC4A-F9C1DBD894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81124" y="361949"/>
          <a:ext cx="1477433" cy="581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200025</xdr:colOff>
      <xdr:row>2</xdr:row>
      <xdr:rowOff>47625</xdr:rowOff>
    </xdr:from>
    <xdr:to>
      <xdr:col>5</xdr:col>
      <xdr:colOff>530226</xdr:colOff>
      <xdr:row>8</xdr:row>
      <xdr:rowOff>68792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C1F5420-F3D6-4B12-B700-FD515C6DF8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66925" y="371475"/>
          <a:ext cx="1600200" cy="904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200025</xdr:colOff>
      <xdr:row>2</xdr:row>
      <xdr:rowOff>47625</xdr:rowOff>
    </xdr:from>
    <xdr:to>
      <xdr:col>5</xdr:col>
      <xdr:colOff>245533</xdr:colOff>
      <xdr:row>8</xdr:row>
      <xdr:rowOff>68792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E26703E-0F21-4CD5-8402-4C88EA7F66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66925" y="371475"/>
          <a:ext cx="1600200" cy="904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200025</xdr:colOff>
      <xdr:row>2</xdr:row>
      <xdr:rowOff>47625</xdr:rowOff>
    </xdr:from>
    <xdr:to>
      <xdr:col>5</xdr:col>
      <xdr:colOff>10583</xdr:colOff>
      <xdr:row>6</xdr:row>
      <xdr:rowOff>74083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2F4DC4D-3A6E-4361-A365-51F194B83B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1275" y="354542"/>
          <a:ext cx="1101725" cy="70379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200025</xdr:colOff>
      <xdr:row>2</xdr:row>
      <xdr:rowOff>47625</xdr:rowOff>
    </xdr:from>
    <xdr:to>
      <xdr:col>5</xdr:col>
      <xdr:colOff>480483</xdr:colOff>
      <xdr:row>3</xdr:row>
      <xdr:rowOff>40217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1A3122C-30ED-4884-9802-76309ACDF2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66925" y="371475"/>
          <a:ext cx="1600200" cy="904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200025</xdr:colOff>
      <xdr:row>2</xdr:row>
      <xdr:rowOff>47625</xdr:rowOff>
    </xdr:from>
    <xdr:to>
      <xdr:col>4</xdr:col>
      <xdr:colOff>204259</xdr:colOff>
      <xdr:row>8</xdr:row>
      <xdr:rowOff>68792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2ACE2A7-18BB-4C09-B66E-8A5E3BDAC6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66925" y="371475"/>
          <a:ext cx="1600200" cy="904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47625</xdr:colOff>
      <xdr:row>1</xdr:row>
      <xdr:rowOff>85725</xdr:rowOff>
    </xdr:from>
    <xdr:to>
      <xdr:col>5</xdr:col>
      <xdr:colOff>552450</xdr:colOff>
      <xdr:row>8</xdr:row>
      <xdr:rowOff>13758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D65D763-D55B-4458-8FC1-888E30897F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81100" y="247650"/>
          <a:ext cx="2114550" cy="90910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200024</xdr:colOff>
      <xdr:row>2</xdr:row>
      <xdr:rowOff>47624</xdr:rowOff>
    </xdr:from>
    <xdr:to>
      <xdr:col>4</xdr:col>
      <xdr:colOff>204678</xdr:colOff>
      <xdr:row>7</xdr:row>
      <xdr:rowOff>57149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AEAE1A0-6617-46FC-9792-E75B2A6386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28774" y="361949"/>
          <a:ext cx="2147779" cy="809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3</xdr:row>
      <xdr:rowOff>0</xdr:rowOff>
    </xdr:from>
    <xdr:to>
      <xdr:col>5</xdr:col>
      <xdr:colOff>61804</xdr:colOff>
      <xdr:row>8</xdr:row>
      <xdr:rowOff>95250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8FAE626-4EEA-4A03-9DED-930381FCA0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0600" y="485775"/>
          <a:ext cx="2147779" cy="809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200025</xdr:colOff>
      <xdr:row>2</xdr:row>
      <xdr:rowOff>47625</xdr:rowOff>
    </xdr:from>
    <xdr:to>
      <xdr:col>5</xdr:col>
      <xdr:colOff>518583</xdr:colOff>
      <xdr:row>7</xdr:row>
      <xdr:rowOff>151341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8CEEE2B-565A-4895-87D2-79EB680328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66925" y="371475"/>
          <a:ext cx="1600200" cy="904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200025</xdr:colOff>
      <xdr:row>2</xdr:row>
      <xdr:rowOff>47625</xdr:rowOff>
    </xdr:from>
    <xdr:to>
      <xdr:col>5</xdr:col>
      <xdr:colOff>540808</xdr:colOff>
      <xdr:row>8</xdr:row>
      <xdr:rowOff>68791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7C9CA8A-7643-4A57-B8DB-D56D7BAB60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66925" y="371475"/>
          <a:ext cx="1600200" cy="904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Z-FACT-006\Users\KO0942Z0\Desktop\Heriberto\Nominas%202022\Operadores%20Cruce\05.-Mayo\Documents%20and%20Settings\admin\Escritorio\Reportes%20pancho\ANDRES.xls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KO0942Z0\Desktop\LIQUIDACIONES\Nominas%202023\Nomina%20Foraneos\Foraneo%20Chihuahua\12.-Diciembre%2048%20-%2052\Foraneo%20Chihuahua%20Semana%20%2351.xlsx" TargetMode="External"/><Relationship Id="rId1" Type="http://schemas.openxmlformats.org/officeDocument/2006/relationships/externalLinkPath" Target="file:///\\JZ-FACT-006\Users\KO0942Z0\Desktop\LIQUIDACIONES\Nominas%202023\Nomina%20Foraneos\Foraneo%20Chihuahua\12.-Diciembre%2048%20-%2052\Foraneo%20Chihuahua%20Semana%20%2351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LIQUIDACIONES\Nominas%202025\Nomina%20Foraneos\Foraneo%20Chihuahua\09.-Septiembre%2036%20-%2039\Foraneo%20Chihuahua%20Semana%20%2339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SE"/>
      <sheetName val="SEM.01"/>
      <sheetName val="SEM.52"/>
      <sheetName val="SEM.51"/>
      <sheetName val="SEM.50"/>
      <sheetName val="SEM.49"/>
      <sheetName val="SEM.48"/>
      <sheetName val="SEM.47"/>
      <sheetName val="SEM.46"/>
      <sheetName val="SEM.45"/>
      <sheetName val="SEM.44"/>
      <sheetName val="SEM.43"/>
      <sheetName val="SEM.42"/>
      <sheetName val="SEM.41"/>
      <sheetName val="SEM.40"/>
      <sheetName val="SEM.39"/>
      <sheetName val="SEM.38"/>
      <sheetName val="SEM.37"/>
      <sheetName val="SEM.36"/>
      <sheetName val="SEM.35"/>
      <sheetName val="SEM.34"/>
      <sheetName val="SEM.33"/>
      <sheetName val="SEM.32"/>
      <sheetName val="SEM.31"/>
      <sheetName val="SEM.30"/>
      <sheetName val="SEM.29"/>
      <sheetName val="SEM.28"/>
      <sheetName val="SEM.27"/>
      <sheetName val="SEM.26"/>
      <sheetName val="SEM.25"/>
      <sheetName val="SEM.24"/>
      <sheetName val="SEM.23"/>
      <sheetName val="SEM.22"/>
      <sheetName val="SEM.21"/>
      <sheetName val="SEM.20"/>
      <sheetName val="SEM.19"/>
      <sheetName val="SEM.18"/>
      <sheetName val="SEM.17"/>
      <sheetName val="SEM.16"/>
      <sheetName val="LUGARES"/>
      <sheetName val="Nomina"/>
    </sheetNames>
    <sheetDataSet>
      <sheetData sheetId="0" refreshError="1"/>
      <sheetData sheetId="1" refreshError="1">
        <row r="6">
          <cell r="AG6">
            <v>0.25</v>
          </cell>
          <cell r="AH6">
            <v>55.95</v>
          </cell>
          <cell r="AJ6">
            <v>0.25</v>
          </cell>
          <cell r="AK6">
            <v>52.2</v>
          </cell>
          <cell r="AM6">
            <v>0.25</v>
          </cell>
          <cell r="AN6">
            <v>49.7</v>
          </cell>
        </row>
        <row r="7">
          <cell r="AG7">
            <v>0.5</v>
          </cell>
          <cell r="AH7">
            <v>111.9</v>
          </cell>
          <cell r="AJ7">
            <v>0.5</v>
          </cell>
          <cell r="AK7">
            <v>104.4</v>
          </cell>
          <cell r="AM7">
            <v>0.5</v>
          </cell>
          <cell r="AN7">
            <v>99.4</v>
          </cell>
        </row>
        <row r="8">
          <cell r="AG8">
            <v>0.75</v>
          </cell>
          <cell r="AH8">
            <v>167.85</v>
          </cell>
          <cell r="AJ8">
            <v>0.75</v>
          </cell>
          <cell r="AK8">
            <v>156.6</v>
          </cell>
          <cell r="AM8">
            <v>0.75</v>
          </cell>
          <cell r="AN8">
            <v>149.1</v>
          </cell>
        </row>
        <row r="9">
          <cell r="AG9">
            <v>1</v>
          </cell>
          <cell r="AH9">
            <v>223.8</v>
          </cell>
          <cell r="AJ9">
            <v>1</v>
          </cell>
          <cell r="AK9">
            <v>208.8</v>
          </cell>
          <cell r="AM9">
            <v>1</v>
          </cell>
          <cell r="AN9">
            <v>198.8</v>
          </cell>
        </row>
        <row r="10">
          <cell r="AG10">
            <v>1.25</v>
          </cell>
          <cell r="AH10">
            <v>279.75</v>
          </cell>
          <cell r="AJ10">
            <v>1.25</v>
          </cell>
          <cell r="AK10">
            <v>261</v>
          </cell>
          <cell r="AM10">
            <v>1.25</v>
          </cell>
          <cell r="AN10">
            <v>248.5</v>
          </cell>
        </row>
        <row r="11">
          <cell r="AG11">
            <v>1.5</v>
          </cell>
          <cell r="AH11">
            <v>335.70000000000005</v>
          </cell>
          <cell r="AJ11">
            <v>1.5</v>
          </cell>
          <cell r="AK11">
            <v>313.20000000000005</v>
          </cell>
          <cell r="AM11">
            <v>1.5</v>
          </cell>
          <cell r="AN11">
            <v>298.20000000000005</v>
          </cell>
        </row>
        <row r="12">
          <cell r="AG12">
            <v>1.75</v>
          </cell>
          <cell r="AH12">
            <v>391.65000000000003</v>
          </cell>
          <cell r="AJ12">
            <v>1.75</v>
          </cell>
          <cell r="AK12">
            <v>365.40000000000003</v>
          </cell>
          <cell r="AM12">
            <v>1.75</v>
          </cell>
          <cell r="AN12">
            <v>347.90000000000003</v>
          </cell>
        </row>
        <row r="13">
          <cell r="AG13">
            <v>2</v>
          </cell>
          <cell r="AH13">
            <v>447.6</v>
          </cell>
          <cell r="AJ13">
            <v>2</v>
          </cell>
          <cell r="AK13">
            <v>417.6</v>
          </cell>
          <cell r="AM13">
            <v>2</v>
          </cell>
          <cell r="AN13">
            <v>397.6</v>
          </cell>
        </row>
        <row r="14">
          <cell r="AG14">
            <v>2.25</v>
          </cell>
          <cell r="AH14">
            <v>503.55</v>
          </cell>
          <cell r="AJ14">
            <v>2.25</v>
          </cell>
          <cell r="AK14">
            <v>469.8</v>
          </cell>
          <cell r="AM14">
            <v>2.25</v>
          </cell>
          <cell r="AN14">
            <v>447.3</v>
          </cell>
        </row>
        <row r="15">
          <cell r="AG15">
            <v>2.5</v>
          </cell>
          <cell r="AH15">
            <v>559.5</v>
          </cell>
          <cell r="AJ15">
            <v>2.5</v>
          </cell>
          <cell r="AK15">
            <v>522</v>
          </cell>
          <cell r="AM15">
            <v>2.5</v>
          </cell>
          <cell r="AN15">
            <v>497</v>
          </cell>
        </row>
        <row r="16">
          <cell r="AG16">
            <v>2.75</v>
          </cell>
          <cell r="AH16">
            <v>615.45000000000005</v>
          </cell>
          <cell r="AJ16">
            <v>2.75</v>
          </cell>
          <cell r="AK16">
            <v>574.20000000000005</v>
          </cell>
          <cell r="AM16">
            <v>2.75</v>
          </cell>
          <cell r="AN16">
            <v>546.70000000000005</v>
          </cell>
        </row>
        <row r="17">
          <cell r="AG17">
            <v>3</v>
          </cell>
          <cell r="AH17">
            <v>671.40000000000009</v>
          </cell>
          <cell r="AJ17">
            <v>3</v>
          </cell>
          <cell r="AK17">
            <v>626.40000000000009</v>
          </cell>
          <cell r="AM17">
            <v>3</v>
          </cell>
          <cell r="AN17">
            <v>596.40000000000009</v>
          </cell>
        </row>
        <row r="18">
          <cell r="AG18">
            <v>3.25</v>
          </cell>
          <cell r="AH18">
            <v>727.35</v>
          </cell>
          <cell r="AJ18">
            <v>3.25</v>
          </cell>
          <cell r="AK18">
            <v>678.6</v>
          </cell>
          <cell r="AM18">
            <v>3.25</v>
          </cell>
          <cell r="AN18">
            <v>646.1</v>
          </cell>
        </row>
        <row r="19">
          <cell r="AG19">
            <v>3.5</v>
          </cell>
          <cell r="AH19">
            <v>783.30000000000007</v>
          </cell>
          <cell r="AJ19">
            <v>3.5</v>
          </cell>
          <cell r="AK19">
            <v>730.80000000000007</v>
          </cell>
          <cell r="AM19">
            <v>3.5</v>
          </cell>
          <cell r="AN19">
            <v>695.80000000000007</v>
          </cell>
        </row>
        <row r="20">
          <cell r="AG20">
            <v>3.75</v>
          </cell>
          <cell r="AH20">
            <v>839.25</v>
          </cell>
          <cell r="AJ20">
            <v>3.75</v>
          </cell>
          <cell r="AK20">
            <v>783</v>
          </cell>
          <cell r="AM20">
            <v>3.75</v>
          </cell>
          <cell r="AN20">
            <v>745.5</v>
          </cell>
        </row>
        <row r="21">
          <cell r="AG21">
            <v>4</v>
          </cell>
          <cell r="AH21">
            <v>895.2</v>
          </cell>
          <cell r="AJ21">
            <v>4</v>
          </cell>
          <cell r="AK21">
            <v>835.2</v>
          </cell>
          <cell r="AM21">
            <v>4</v>
          </cell>
          <cell r="AN21">
            <v>795.2</v>
          </cell>
        </row>
        <row r="22">
          <cell r="AG22">
            <v>4.25</v>
          </cell>
          <cell r="AH22">
            <v>951.15000000000009</v>
          </cell>
          <cell r="AJ22">
            <v>4.25</v>
          </cell>
          <cell r="AK22">
            <v>887.40000000000009</v>
          </cell>
          <cell r="AM22">
            <v>4.25</v>
          </cell>
          <cell r="AN22">
            <v>844.90000000000009</v>
          </cell>
        </row>
        <row r="23">
          <cell r="AG23">
            <v>4.5</v>
          </cell>
          <cell r="AH23">
            <v>1007.1</v>
          </cell>
          <cell r="AJ23">
            <v>4.5</v>
          </cell>
          <cell r="AK23">
            <v>939.6</v>
          </cell>
          <cell r="AM23">
            <v>4.5</v>
          </cell>
          <cell r="AN23">
            <v>894.6</v>
          </cell>
        </row>
        <row r="24">
          <cell r="AG24">
            <v>4.75</v>
          </cell>
          <cell r="AH24">
            <v>1063.05</v>
          </cell>
          <cell r="AJ24">
            <v>4.75</v>
          </cell>
          <cell r="AK24">
            <v>991.80000000000007</v>
          </cell>
          <cell r="AM24">
            <v>4.75</v>
          </cell>
          <cell r="AN24">
            <v>944.30000000000007</v>
          </cell>
        </row>
        <row r="25">
          <cell r="AG25">
            <v>5</v>
          </cell>
          <cell r="AH25">
            <v>1119</v>
          </cell>
          <cell r="AJ25">
            <v>5</v>
          </cell>
          <cell r="AK25">
            <v>1044</v>
          </cell>
          <cell r="AM25">
            <v>5</v>
          </cell>
          <cell r="AN25">
            <v>994</v>
          </cell>
        </row>
        <row r="26">
          <cell r="AG26">
            <v>5.25</v>
          </cell>
          <cell r="AH26">
            <v>1174.95</v>
          </cell>
          <cell r="AJ26">
            <v>5.25</v>
          </cell>
          <cell r="AK26">
            <v>1096.2</v>
          </cell>
          <cell r="AM26">
            <v>5.25</v>
          </cell>
          <cell r="AN26">
            <v>1043.7</v>
          </cell>
        </row>
        <row r="27">
          <cell r="AG27">
            <v>5.5</v>
          </cell>
          <cell r="AH27">
            <v>1230.9000000000001</v>
          </cell>
          <cell r="AJ27">
            <v>5.5</v>
          </cell>
          <cell r="AK27">
            <v>1148.4000000000001</v>
          </cell>
          <cell r="AM27">
            <v>5.5</v>
          </cell>
          <cell r="AN27">
            <v>1093.4000000000001</v>
          </cell>
        </row>
        <row r="28">
          <cell r="AG28">
            <v>5.75</v>
          </cell>
          <cell r="AH28">
            <v>1286.8500000000001</v>
          </cell>
          <cell r="AJ28">
            <v>5.75</v>
          </cell>
          <cell r="AK28">
            <v>1200.6000000000001</v>
          </cell>
          <cell r="AM28">
            <v>5.75</v>
          </cell>
          <cell r="AN28">
            <v>1143.1000000000001</v>
          </cell>
        </row>
        <row r="29">
          <cell r="AG29">
            <v>6</v>
          </cell>
          <cell r="AH29">
            <v>1342.8000000000002</v>
          </cell>
          <cell r="AJ29">
            <v>6</v>
          </cell>
          <cell r="AK29">
            <v>1252.8000000000002</v>
          </cell>
          <cell r="AM29">
            <v>6</v>
          </cell>
          <cell r="AN29">
            <v>1192.8000000000002</v>
          </cell>
        </row>
        <row r="30">
          <cell r="AG30">
            <v>6.25</v>
          </cell>
          <cell r="AH30">
            <v>1398.75</v>
          </cell>
          <cell r="AJ30">
            <v>6.25</v>
          </cell>
          <cell r="AK30">
            <v>1305</v>
          </cell>
          <cell r="AM30">
            <v>6.25</v>
          </cell>
          <cell r="AN30">
            <v>1242.5</v>
          </cell>
        </row>
        <row r="31">
          <cell r="AG31">
            <v>6.5</v>
          </cell>
          <cell r="AH31">
            <v>1454.7</v>
          </cell>
          <cell r="AJ31">
            <v>6.5</v>
          </cell>
          <cell r="AK31">
            <v>1357.2</v>
          </cell>
          <cell r="AM31">
            <v>6.5</v>
          </cell>
          <cell r="AN31">
            <v>1292.2</v>
          </cell>
        </row>
        <row r="32">
          <cell r="AG32">
            <v>6.75</v>
          </cell>
          <cell r="AH32">
            <v>1510.65</v>
          </cell>
          <cell r="AJ32">
            <v>6.75</v>
          </cell>
          <cell r="AK32">
            <v>1409.4</v>
          </cell>
          <cell r="AM32">
            <v>6.75</v>
          </cell>
          <cell r="AN32">
            <v>1341.9</v>
          </cell>
        </row>
        <row r="33">
          <cell r="AG33">
            <v>7</v>
          </cell>
          <cell r="AH33">
            <v>1566.6000000000001</v>
          </cell>
          <cell r="AJ33">
            <v>7</v>
          </cell>
          <cell r="AK33">
            <v>1461.6000000000001</v>
          </cell>
          <cell r="AM33">
            <v>7</v>
          </cell>
          <cell r="AN33">
            <v>1391.6000000000001</v>
          </cell>
        </row>
        <row r="34">
          <cell r="AG34">
            <v>7.25</v>
          </cell>
          <cell r="AH34">
            <v>1622.5500000000002</v>
          </cell>
          <cell r="AJ34">
            <v>7.25</v>
          </cell>
          <cell r="AK34">
            <v>1513.8000000000002</v>
          </cell>
          <cell r="AM34">
            <v>7.25</v>
          </cell>
          <cell r="AN34">
            <v>1441.3000000000002</v>
          </cell>
        </row>
        <row r="35">
          <cell r="AG35">
            <v>7.5</v>
          </cell>
          <cell r="AH35">
            <v>1678.5</v>
          </cell>
          <cell r="AJ35">
            <v>7.5</v>
          </cell>
          <cell r="AK35">
            <v>1566</v>
          </cell>
          <cell r="AM35">
            <v>7.5</v>
          </cell>
          <cell r="AN35">
            <v>1491</v>
          </cell>
        </row>
        <row r="36">
          <cell r="AG36">
            <v>7.75</v>
          </cell>
          <cell r="AH36">
            <v>1734.45</v>
          </cell>
          <cell r="AJ36">
            <v>7.75</v>
          </cell>
          <cell r="AK36">
            <v>1618.2</v>
          </cell>
          <cell r="AM36">
            <v>7.75</v>
          </cell>
          <cell r="AN36">
            <v>1540.7</v>
          </cell>
        </row>
        <row r="37">
          <cell r="AG37">
            <v>8</v>
          </cell>
          <cell r="AH37">
            <v>1790.4</v>
          </cell>
          <cell r="AJ37">
            <v>8</v>
          </cell>
          <cell r="AK37">
            <v>1670.4</v>
          </cell>
          <cell r="AM37">
            <v>8</v>
          </cell>
          <cell r="AN37">
            <v>1590.4</v>
          </cell>
        </row>
        <row r="38">
          <cell r="AG38">
            <v>8.25</v>
          </cell>
          <cell r="AH38">
            <v>1846.3500000000001</v>
          </cell>
          <cell r="AJ38">
            <v>8.25</v>
          </cell>
          <cell r="AK38">
            <v>1722.6000000000001</v>
          </cell>
          <cell r="AM38">
            <v>8.25</v>
          </cell>
          <cell r="AN38">
            <v>1640.1000000000001</v>
          </cell>
        </row>
        <row r="39">
          <cell r="AG39">
            <v>8.5</v>
          </cell>
          <cell r="AH39">
            <v>1902.3000000000002</v>
          </cell>
          <cell r="AJ39">
            <v>8.5</v>
          </cell>
          <cell r="AK39">
            <v>1774.8000000000002</v>
          </cell>
          <cell r="AM39">
            <v>8.5</v>
          </cell>
          <cell r="AN39">
            <v>1689.8000000000002</v>
          </cell>
        </row>
        <row r="40">
          <cell r="AG40">
            <v>8.75</v>
          </cell>
          <cell r="AH40">
            <v>1958.25</v>
          </cell>
          <cell r="AJ40">
            <v>8.75</v>
          </cell>
          <cell r="AK40">
            <v>1827</v>
          </cell>
          <cell r="AM40">
            <v>8.75</v>
          </cell>
          <cell r="AN40">
            <v>1739.5</v>
          </cell>
        </row>
        <row r="41">
          <cell r="AG41">
            <v>9</v>
          </cell>
          <cell r="AH41">
            <v>2014.2</v>
          </cell>
          <cell r="AJ41">
            <v>9</v>
          </cell>
          <cell r="AK41">
            <v>1879.2</v>
          </cell>
          <cell r="AM41">
            <v>9</v>
          </cell>
          <cell r="AN41">
            <v>1789.2</v>
          </cell>
        </row>
        <row r="42">
          <cell r="AG42">
            <v>8</v>
          </cell>
          <cell r="AH42">
            <v>1790.4</v>
          </cell>
          <cell r="AJ42">
            <v>8</v>
          </cell>
          <cell r="AK42">
            <v>1670.4</v>
          </cell>
          <cell r="AM42">
            <v>8</v>
          </cell>
          <cell r="AN42">
            <v>1590.4</v>
          </cell>
        </row>
        <row r="43">
          <cell r="AG43">
            <v>9.5</v>
          </cell>
          <cell r="AH43">
            <v>2126.1</v>
          </cell>
          <cell r="AJ43">
            <v>9.5</v>
          </cell>
          <cell r="AK43">
            <v>1983.6000000000001</v>
          </cell>
          <cell r="AM43">
            <v>9.5</v>
          </cell>
          <cell r="AN43">
            <v>1888.6000000000001</v>
          </cell>
        </row>
        <row r="44">
          <cell r="AG44">
            <v>9.75</v>
          </cell>
          <cell r="AH44">
            <v>2182.0500000000002</v>
          </cell>
          <cell r="AJ44">
            <v>9.75</v>
          </cell>
          <cell r="AK44">
            <v>2035.8000000000002</v>
          </cell>
          <cell r="AM44">
            <v>9.75</v>
          </cell>
          <cell r="AN44">
            <v>1938.3000000000002</v>
          </cell>
        </row>
        <row r="45">
          <cell r="AG45">
            <v>10</v>
          </cell>
          <cell r="AH45">
            <v>2238</v>
          </cell>
          <cell r="AJ45">
            <v>10</v>
          </cell>
          <cell r="AK45">
            <v>2088</v>
          </cell>
          <cell r="AM45">
            <v>10</v>
          </cell>
          <cell r="AN45">
            <v>1988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OMINA"/>
      <sheetName val="AGUILAR"/>
      <sheetName val="AGUILAR JORGE"/>
      <sheetName val="ALDACO"/>
      <sheetName val="AZAR"/>
      <sheetName val="BALDERRAMA"/>
      <sheetName val="BALLEZA"/>
      <sheetName val="BURGOS"/>
      <sheetName val="COLLAZO"/>
      <sheetName val="CORDOVA"/>
      <sheetName val="MARIN JOSE"/>
      <sheetName val="GONZALEZ FLORES"/>
      <sheetName val="GONZALEZ MARTINEZ"/>
      <sheetName val="CHAPARRO GUZMAN"/>
      <sheetName val="GUZMAN"/>
      <sheetName val="HERNANDEZ"/>
      <sheetName val="HERNANDEZ ROBLEDO JOSE"/>
      <sheetName val="MAGALLANES"/>
      <sheetName val="MARTINEZ"/>
      <sheetName val="MONTERO"/>
      <sheetName val="MARIANO"/>
      <sheetName val="MURILLO ANDRE"/>
      <sheetName val="ONTIVEROS"/>
      <sheetName val="ORONA"/>
      <sheetName val="ORTIZ H."/>
      <sheetName val="ORTIZ"/>
      <sheetName val="RAMIREZ "/>
      <sheetName val="ROJO"/>
      <sheetName val="VALLES"/>
      <sheetName val="KM POR CHOFER"/>
      <sheetName val="KM POR UNIDAD"/>
      <sheetName val="KM POR CLIENTE"/>
      <sheetName val="KILOMETRAJE"/>
      <sheetName val="UNIDADES"/>
      <sheetName val="FORMULA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>
        <row r="4">
          <cell r="C4" t="str">
            <v>JRZ</v>
          </cell>
          <cell r="E4" t="str">
            <v>CHIH.(HAW)</v>
          </cell>
          <cell r="G4">
            <v>425</v>
          </cell>
        </row>
        <row r="5">
          <cell r="C5" t="str">
            <v>JRZ</v>
          </cell>
          <cell r="E5" t="str">
            <v>CHIH.</v>
          </cell>
          <cell r="G5">
            <v>375</v>
          </cell>
        </row>
        <row r="6">
          <cell r="C6" t="str">
            <v xml:space="preserve">CHIH. </v>
          </cell>
          <cell r="E6" t="str">
            <v>JRZ</v>
          </cell>
          <cell r="G6">
            <v>375</v>
          </cell>
        </row>
        <row r="7">
          <cell r="C7" t="str">
            <v xml:space="preserve">ELP. </v>
          </cell>
          <cell r="E7" t="str">
            <v>CHIH.</v>
          </cell>
          <cell r="G7">
            <v>415</v>
          </cell>
        </row>
        <row r="8">
          <cell r="C8" t="str">
            <v>JRZ</v>
          </cell>
          <cell r="E8" t="str">
            <v>CANANEA</v>
          </cell>
          <cell r="G8">
            <v>457</v>
          </cell>
        </row>
        <row r="9">
          <cell r="C9" t="str">
            <v>CANANEA</v>
          </cell>
          <cell r="E9" t="str">
            <v>JRZ</v>
          </cell>
          <cell r="G9">
            <v>457</v>
          </cell>
        </row>
        <row r="10">
          <cell r="C10" t="str">
            <v>CUAHU.</v>
          </cell>
          <cell r="E10" t="str">
            <v>JRZ</v>
          </cell>
          <cell r="G10">
            <v>480</v>
          </cell>
        </row>
        <row r="11">
          <cell r="C11" t="str">
            <v>JRZ</v>
          </cell>
          <cell r="E11" t="str">
            <v>CUAHU.</v>
          </cell>
          <cell r="G11">
            <v>480</v>
          </cell>
        </row>
        <row r="12">
          <cell r="C12" t="str">
            <v>CUAHU. 1</v>
          </cell>
          <cell r="E12" t="str">
            <v>CHIH.</v>
          </cell>
          <cell r="G12">
            <v>105</v>
          </cell>
        </row>
        <row r="13">
          <cell r="C13" t="str">
            <v xml:space="preserve">CHIH. </v>
          </cell>
          <cell r="E13" t="str">
            <v>CUAHU. 1</v>
          </cell>
          <cell r="G13">
            <v>105</v>
          </cell>
        </row>
        <row r="14">
          <cell r="C14" t="str">
            <v>JRZ</v>
          </cell>
          <cell r="E14" t="str">
            <v>DELICIAS</v>
          </cell>
          <cell r="G14">
            <v>490</v>
          </cell>
        </row>
        <row r="15">
          <cell r="C15" t="str">
            <v>DELICIAS</v>
          </cell>
          <cell r="E15" t="str">
            <v>JRZ</v>
          </cell>
          <cell r="G15">
            <v>490</v>
          </cell>
        </row>
        <row r="16">
          <cell r="C16" t="str">
            <v>JRZ</v>
          </cell>
          <cell r="E16" t="str">
            <v>PARRAL</v>
          </cell>
          <cell r="G16">
            <v>680</v>
          </cell>
        </row>
        <row r="17">
          <cell r="C17" t="str">
            <v>PARRAL</v>
          </cell>
          <cell r="E17" t="str">
            <v>JRZ</v>
          </cell>
          <cell r="G17">
            <v>680</v>
          </cell>
        </row>
        <row r="18">
          <cell r="C18" t="str">
            <v>JRZ</v>
          </cell>
          <cell r="E18" t="str">
            <v>OBRG</v>
          </cell>
          <cell r="G18">
            <v>1021</v>
          </cell>
        </row>
        <row r="19">
          <cell r="C19" t="str">
            <v>OBRG</v>
          </cell>
          <cell r="E19" t="str">
            <v>JRZ</v>
          </cell>
          <cell r="G19">
            <v>1021</v>
          </cell>
        </row>
        <row r="20">
          <cell r="C20" t="str">
            <v>JRZ</v>
          </cell>
          <cell r="E20" t="str">
            <v>GUAMUCHIL</v>
          </cell>
          <cell r="G20">
            <v>1330</v>
          </cell>
        </row>
        <row r="21">
          <cell r="C21" t="str">
            <v>GUAMUCHIL</v>
          </cell>
          <cell r="E21" t="str">
            <v>JRZ</v>
          </cell>
          <cell r="G21">
            <v>1330</v>
          </cell>
        </row>
        <row r="22">
          <cell r="C22" t="str">
            <v>JRZ</v>
          </cell>
          <cell r="E22" t="str">
            <v>JANOS</v>
          </cell>
          <cell r="G22">
            <v>219</v>
          </cell>
        </row>
        <row r="23">
          <cell r="C23" t="str">
            <v>JANOS</v>
          </cell>
          <cell r="E23" t="str">
            <v>JRZ</v>
          </cell>
          <cell r="G23">
            <v>219</v>
          </cell>
        </row>
        <row r="24">
          <cell r="C24" t="str">
            <v xml:space="preserve">CHIH. </v>
          </cell>
          <cell r="E24" t="str">
            <v>JANOS</v>
          </cell>
          <cell r="G24">
            <v>348</v>
          </cell>
        </row>
        <row r="25">
          <cell r="C25" t="str">
            <v>JANOS</v>
          </cell>
          <cell r="E25" t="str">
            <v>CHIH.</v>
          </cell>
          <cell r="G25">
            <v>348</v>
          </cell>
        </row>
        <row r="26">
          <cell r="C26" t="str">
            <v>JRZ</v>
          </cell>
          <cell r="E26" t="str">
            <v>CHIH. (FOKKER)</v>
          </cell>
          <cell r="G26">
            <v>425</v>
          </cell>
        </row>
        <row r="27">
          <cell r="C27" t="str">
            <v xml:space="preserve">ELP. </v>
          </cell>
          <cell r="E27" t="str">
            <v>CHIH. (HAW)</v>
          </cell>
          <cell r="G27">
            <v>465</v>
          </cell>
        </row>
        <row r="28">
          <cell r="C28" t="str">
            <v>JRZ</v>
          </cell>
          <cell r="E28" t="str">
            <v>IMURIS</v>
          </cell>
          <cell r="G28">
            <v>538</v>
          </cell>
        </row>
        <row r="29">
          <cell r="C29" t="str">
            <v>IMURIS</v>
          </cell>
          <cell r="E29" t="str">
            <v>JRZ</v>
          </cell>
          <cell r="G29">
            <v>538</v>
          </cell>
        </row>
        <row r="30">
          <cell r="C30" t="str">
            <v xml:space="preserve">CHIH. </v>
          </cell>
          <cell r="E30" t="str">
            <v>ELP</v>
          </cell>
          <cell r="G30">
            <v>415</v>
          </cell>
        </row>
        <row r="31">
          <cell r="C31" t="str">
            <v xml:space="preserve">ELP. </v>
          </cell>
          <cell r="E31" t="str">
            <v>CHIH. (FOKKER)</v>
          </cell>
          <cell r="G31">
            <v>465</v>
          </cell>
        </row>
        <row r="32">
          <cell r="C32" t="str">
            <v xml:space="preserve">ELP. </v>
          </cell>
          <cell r="E32" t="str">
            <v>CHIH. (HAWK)</v>
          </cell>
          <cell r="G32">
            <v>465</v>
          </cell>
        </row>
        <row r="33">
          <cell r="C33" t="str">
            <v>JRZ</v>
          </cell>
          <cell r="E33" t="str">
            <v>CHIH (AMPRI)</v>
          </cell>
          <cell r="G33">
            <v>425</v>
          </cell>
        </row>
        <row r="34">
          <cell r="C34" t="str">
            <v>CHIH. (HAWK)</v>
          </cell>
          <cell r="E34" t="str">
            <v>JRZ</v>
          </cell>
          <cell r="G34">
            <v>425</v>
          </cell>
        </row>
        <row r="35">
          <cell r="C35" t="str">
            <v xml:space="preserve">ELP. </v>
          </cell>
          <cell r="E35" t="str">
            <v>CHIH (AMPRI)</v>
          </cell>
          <cell r="G35">
            <v>465</v>
          </cell>
        </row>
        <row r="36">
          <cell r="C36" t="str">
            <v>CUAHU. 2</v>
          </cell>
          <cell r="E36" t="str">
            <v>CHIH.</v>
          </cell>
          <cell r="G36">
            <v>145</v>
          </cell>
        </row>
        <row r="37">
          <cell r="C37" t="str">
            <v>CHIH.</v>
          </cell>
          <cell r="E37" t="str">
            <v>CUAHU. 2</v>
          </cell>
          <cell r="G37">
            <v>145</v>
          </cell>
        </row>
        <row r="38">
          <cell r="C38" t="str">
            <v>CHIH.</v>
          </cell>
          <cell r="E38" t="str">
            <v>OBRG</v>
          </cell>
          <cell r="G38">
            <v>1131</v>
          </cell>
        </row>
      </sheetData>
      <sheetData sheetId="33"/>
      <sheetData sheetId="34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OMINA"/>
      <sheetName val="AGUILAR ESQUIVEL CARLOS"/>
      <sheetName val="AGUILAR RODRIGUEZ JORGE ALONSO"/>
      <sheetName val="AGUILERA CONTRERAS LUIS GERARDO"/>
      <sheetName val="BALDERRAMA ROBLES JORGE"/>
      <sheetName val="BALLEZA RAMIREZ JESUS JOSE"/>
      <sheetName val="BURGOS TORRES RIGOBERTO"/>
      <sheetName val="CARDENAS CARDENAS JAVIER "/>
      <sheetName val="CARRERA REYES MARTIN SEBASTIAN"/>
      <sheetName val="CORDOVA URIBE JOSE  ADRIAN"/>
      <sheetName val="GUZMAN CHAPARRO PEDRO"/>
      <sheetName val="HERNANDEZ FAVELA ROBERTO"/>
      <sheetName val="HERNANDEZ LICANO JOSE LUIS"/>
      <sheetName val="MARTINEZ RAMIREZ ROSALIO"/>
      <sheetName val="MELENDEZ SINALOA MANUEL ARAT"/>
      <sheetName val="MERCADO LOPEZ JESUS"/>
      <sheetName val="MONTERO BURROLA LUIS"/>
      <sheetName val="MORALES LOPEZ DE LARA MARIANO"/>
      <sheetName val="NUÑEZ RUIZ IRVING JAVIER."/>
      <sheetName val="ONTIVEROS LIRA JUAN"/>
      <sheetName val="ORONA BECERRA MAURO JOSE"/>
      <sheetName val="ORONA VILLARREAL JUAN PABLO"/>
      <sheetName val="ORTIZ RAMIREZ HECTOR MANUEL"/>
      <sheetName val="RAMIREZ BAUTISTA ADRIAN"/>
      <sheetName val="REYES LARA DANTE"/>
      <sheetName val="RODRIGUEZ FLORES BRYAN DARIO"/>
      <sheetName val="RUIZ SAUCEDO DANIEL ALEJANDRO"/>
      <sheetName val="RUEDA SALAZAR ISMAEL"/>
      <sheetName val="VALLES HERNANDEZ MANUEL MARCELI"/>
      <sheetName val="KM POR CHOFER"/>
      <sheetName val="KM POR UNIDAD"/>
      <sheetName val="KM POR CLIENTE"/>
      <sheetName val="KILOMETRAJE"/>
      <sheetName val="UNIDADES"/>
      <sheetName val="FORMULA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>
        <row r="4">
          <cell r="C4" t="str">
            <v>JRZ</v>
          </cell>
          <cell r="E4" t="str">
            <v>CHIH.(HAW)</v>
          </cell>
          <cell r="G4">
            <v>425</v>
          </cell>
        </row>
        <row r="5">
          <cell r="C5" t="str">
            <v>JRZ</v>
          </cell>
          <cell r="E5" t="str">
            <v>CHIH.</v>
          </cell>
          <cell r="G5">
            <v>375</v>
          </cell>
        </row>
        <row r="6">
          <cell r="C6" t="str">
            <v xml:space="preserve">CHIH. </v>
          </cell>
          <cell r="E6" t="str">
            <v>JRZ</v>
          </cell>
          <cell r="G6">
            <v>375</v>
          </cell>
        </row>
        <row r="7">
          <cell r="C7" t="str">
            <v xml:space="preserve">ELP. </v>
          </cell>
          <cell r="E7" t="str">
            <v>CHIH.</v>
          </cell>
          <cell r="G7">
            <v>415</v>
          </cell>
        </row>
        <row r="8">
          <cell r="C8" t="str">
            <v>JRZ</v>
          </cell>
          <cell r="E8" t="str">
            <v>CANANEA</v>
          </cell>
          <cell r="G8">
            <v>457</v>
          </cell>
        </row>
        <row r="9">
          <cell r="C9" t="str">
            <v>CANANEA</v>
          </cell>
          <cell r="E9" t="str">
            <v>JRZ</v>
          </cell>
          <cell r="G9">
            <v>457</v>
          </cell>
        </row>
        <row r="10">
          <cell r="C10" t="str">
            <v>CUAHU.</v>
          </cell>
          <cell r="E10" t="str">
            <v>JRZ</v>
          </cell>
          <cell r="G10">
            <v>480</v>
          </cell>
        </row>
        <row r="11">
          <cell r="C11" t="str">
            <v>JRZ</v>
          </cell>
          <cell r="E11" t="str">
            <v>CUAHU.</v>
          </cell>
          <cell r="G11">
            <v>480</v>
          </cell>
        </row>
        <row r="12">
          <cell r="C12" t="str">
            <v>CUAHU. 1</v>
          </cell>
          <cell r="E12" t="str">
            <v>CHIH.</v>
          </cell>
          <cell r="G12">
            <v>105</v>
          </cell>
        </row>
        <row r="13">
          <cell r="C13" t="str">
            <v xml:space="preserve">CHIH. </v>
          </cell>
          <cell r="E13" t="str">
            <v>CUAHU. 1</v>
          </cell>
          <cell r="G13">
            <v>105</v>
          </cell>
        </row>
        <row r="14">
          <cell r="C14" t="str">
            <v>JRZ</v>
          </cell>
          <cell r="E14" t="str">
            <v>DELICIAS</v>
          </cell>
          <cell r="G14">
            <v>490</v>
          </cell>
        </row>
        <row r="15">
          <cell r="C15" t="str">
            <v>DELICIAS</v>
          </cell>
          <cell r="E15" t="str">
            <v>JRZ</v>
          </cell>
          <cell r="G15">
            <v>490</v>
          </cell>
        </row>
        <row r="16">
          <cell r="C16" t="str">
            <v>JRZ</v>
          </cell>
          <cell r="E16" t="str">
            <v>PARRAL</v>
          </cell>
          <cell r="G16">
            <v>680</v>
          </cell>
        </row>
        <row r="17">
          <cell r="C17" t="str">
            <v>PARRAL</v>
          </cell>
          <cell r="E17" t="str">
            <v>JRZ</v>
          </cell>
          <cell r="G17">
            <v>680</v>
          </cell>
        </row>
        <row r="18">
          <cell r="C18" t="str">
            <v>JRZ</v>
          </cell>
          <cell r="E18" t="str">
            <v>OBRG</v>
          </cell>
          <cell r="G18">
            <v>1021</v>
          </cell>
        </row>
        <row r="19">
          <cell r="C19" t="str">
            <v>OBRG</v>
          </cell>
          <cell r="E19" t="str">
            <v>JRZ</v>
          </cell>
          <cell r="G19">
            <v>1021</v>
          </cell>
        </row>
        <row r="20">
          <cell r="C20" t="str">
            <v>JRZ</v>
          </cell>
          <cell r="E20" t="str">
            <v>GUAMUCHIL</v>
          </cell>
          <cell r="G20">
            <v>1330</v>
          </cell>
        </row>
        <row r="21">
          <cell r="C21" t="str">
            <v>GUAMUCHIL</v>
          </cell>
          <cell r="E21" t="str">
            <v>JRZ</v>
          </cell>
          <cell r="G21">
            <v>1330</v>
          </cell>
        </row>
        <row r="22">
          <cell r="C22" t="str">
            <v>JRZ</v>
          </cell>
          <cell r="E22" t="str">
            <v>JANOS</v>
          </cell>
          <cell r="G22">
            <v>219</v>
          </cell>
        </row>
        <row r="23">
          <cell r="C23" t="str">
            <v>JANOS</v>
          </cell>
          <cell r="E23" t="str">
            <v>JRZ</v>
          </cell>
          <cell r="G23">
            <v>219</v>
          </cell>
        </row>
        <row r="24">
          <cell r="C24" t="str">
            <v xml:space="preserve">CHIH. </v>
          </cell>
          <cell r="E24" t="str">
            <v>JANOS</v>
          </cell>
          <cell r="G24">
            <v>348</v>
          </cell>
        </row>
        <row r="25">
          <cell r="C25" t="str">
            <v>JANOS</v>
          </cell>
          <cell r="E25" t="str">
            <v>CHIH.</v>
          </cell>
          <cell r="G25">
            <v>348</v>
          </cell>
        </row>
        <row r="26">
          <cell r="C26" t="str">
            <v>JRZ</v>
          </cell>
          <cell r="E26" t="str">
            <v>CHIH. (FOKKER)</v>
          </cell>
          <cell r="G26">
            <v>425</v>
          </cell>
        </row>
        <row r="27">
          <cell r="C27" t="str">
            <v xml:space="preserve">ELP. </v>
          </cell>
          <cell r="E27" t="str">
            <v>CHIH. (HAW)</v>
          </cell>
          <cell r="G27">
            <v>465</v>
          </cell>
        </row>
        <row r="28">
          <cell r="C28" t="str">
            <v>JRZ</v>
          </cell>
          <cell r="E28" t="str">
            <v>IMURIS</v>
          </cell>
          <cell r="G28">
            <v>538</v>
          </cell>
        </row>
        <row r="29">
          <cell r="C29" t="str">
            <v>IMURIS</v>
          </cell>
          <cell r="E29" t="str">
            <v>JRZ</v>
          </cell>
          <cell r="G29">
            <v>538</v>
          </cell>
        </row>
        <row r="30">
          <cell r="C30" t="str">
            <v xml:space="preserve">CHIH. </v>
          </cell>
          <cell r="E30" t="str">
            <v>ELP</v>
          </cell>
          <cell r="G30">
            <v>415</v>
          </cell>
        </row>
        <row r="31">
          <cell r="C31" t="str">
            <v xml:space="preserve">ELP. </v>
          </cell>
          <cell r="E31" t="str">
            <v>CHIH. (FOKKER)</v>
          </cell>
          <cell r="G31">
            <v>465</v>
          </cell>
        </row>
        <row r="32">
          <cell r="C32" t="str">
            <v xml:space="preserve">ELP. </v>
          </cell>
          <cell r="E32" t="str">
            <v>CHIH. (HAWK)</v>
          </cell>
          <cell r="G32">
            <v>465</v>
          </cell>
        </row>
        <row r="33">
          <cell r="C33" t="str">
            <v>JRZ</v>
          </cell>
          <cell r="E33" t="str">
            <v>CHIH (AMPRI)</v>
          </cell>
          <cell r="G33">
            <v>425</v>
          </cell>
        </row>
        <row r="34">
          <cell r="C34" t="str">
            <v>CHIH. (HAWK)</v>
          </cell>
          <cell r="E34" t="str">
            <v>JRZ</v>
          </cell>
          <cell r="G34">
            <v>425</v>
          </cell>
        </row>
        <row r="35">
          <cell r="C35" t="str">
            <v xml:space="preserve">ELP. </v>
          </cell>
          <cell r="E35" t="str">
            <v>CHIH (AMPRI)</v>
          </cell>
          <cell r="G35">
            <v>465</v>
          </cell>
        </row>
        <row r="36">
          <cell r="C36" t="str">
            <v>CUAHU. 2</v>
          </cell>
          <cell r="E36" t="str">
            <v>CHIH.</v>
          </cell>
          <cell r="G36">
            <v>145</v>
          </cell>
        </row>
        <row r="37">
          <cell r="C37" t="str">
            <v>CHIH.</v>
          </cell>
          <cell r="E37" t="str">
            <v>CUAHU. 2</v>
          </cell>
          <cell r="G37">
            <v>145</v>
          </cell>
        </row>
        <row r="38">
          <cell r="C38" t="str">
            <v>CHIH.</v>
          </cell>
          <cell r="E38" t="str">
            <v>OBRG</v>
          </cell>
          <cell r="G38">
            <v>1131</v>
          </cell>
        </row>
      </sheetData>
      <sheetData sheetId="33">
        <row r="3">
          <cell r="B3" t="str">
            <v>F-002</v>
          </cell>
          <cell r="C3">
            <v>2.3734099999999998</v>
          </cell>
        </row>
        <row r="4">
          <cell r="B4" t="str">
            <v>F-003</v>
          </cell>
          <cell r="C4">
            <v>2.3734099999999998</v>
          </cell>
        </row>
        <row r="5">
          <cell r="B5" t="str">
            <v>F-004</v>
          </cell>
          <cell r="C5">
            <v>2.3734099999999998</v>
          </cell>
        </row>
        <row r="6">
          <cell r="B6" t="str">
            <v>F-005</v>
          </cell>
          <cell r="C6">
            <v>2.3734099999999998</v>
          </cell>
        </row>
        <row r="7">
          <cell r="B7" t="str">
            <v>F-006</v>
          </cell>
          <cell r="C7">
            <v>2.3734099999999998</v>
          </cell>
        </row>
        <row r="8">
          <cell r="B8" t="str">
            <v>F-007</v>
          </cell>
          <cell r="C8">
            <v>2.3734099999999998</v>
          </cell>
        </row>
        <row r="9">
          <cell r="B9" t="str">
            <v>F-008</v>
          </cell>
          <cell r="C9">
            <v>2.3734099999999998</v>
          </cell>
        </row>
        <row r="10">
          <cell r="B10" t="str">
            <v>F-009</v>
          </cell>
          <cell r="C10">
            <v>2.3734099999999998</v>
          </cell>
        </row>
        <row r="11">
          <cell r="B11" t="str">
            <v>F-010</v>
          </cell>
          <cell r="C11">
            <v>2.3734099999999998</v>
          </cell>
        </row>
        <row r="12">
          <cell r="B12" t="str">
            <v>F-011</v>
          </cell>
          <cell r="C12">
            <v>2.3734099999999998</v>
          </cell>
        </row>
        <row r="13">
          <cell r="B13" t="str">
            <v>F-012</v>
          </cell>
          <cell r="C13">
            <v>2.3734099999999998</v>
          </cell>
        </row>
        <row r="14">
          <cell r="B14" t="str">
            <v>F-013</v>
          </cell>
          <cell r="C14">
            <v>2.3734099999999998</v>
          </cell>
        </row>
        <row r="15">
          <cell r="B15" t="str">
            <v>F-014</v>
          </cell>
          <cell r="C15">
            <v>2.3734099999999998</v>
          </cell>
        </row>
        <row r="16">
          <cell r="B16" t="str">
            <v>F-015</v>
          </cell>
          <cell r="C16">
            <v>2.3734099999999998</v>
          </cell>
        </row>
        <row r="17">
          <cell r="B17" t="str">
            <v>F-016</v>
          </cell>
          <cell r="C17">
            <v>2.3734099999999998</v>
          </cell>
        </row>
        <row r="18">
          <cell r="B18" t="str">
            <v>F-017</v>
          </cell>
          <cell r="C18">
            <v>2.3734099999999998</v>
          </cell>
        </row>
        <row r="19">
          <cell r="B19" t="str">
            <v>F-019</v>
          </cell>
          <cell r="C19">
            <v>2.3734099999999998</v>
          </cell>
        </row>
        <row r="20">
          <cell r="B20" t="str">
            <v>F-021</v>
          </cell>
          <cell r="C20">
            <v>2.4509799999999999</v>
          </cell>
        </row>
        <row r="21">
          <cell r="B21" t="str">
            <v>F-022</v>
          </cell>
          <cell r="C21">
            <v>2.4509799999999999</v>
          </cell>
        </row>
        <row r="22">
          <cell r="B22" t="str">
            <v>F-023</v>
          </cell>
          <cell r="C22">
            <v>2.4509799999999999</v>
          </cell>
        </row>
        <row r="23">
          <cell r="B23" t="str">
            <v>F-024</v>
          </cell>
          <cell r="C23">
            <v>2.4509799999999999</v>
          </cell>
        </row>
        <row r="24">
          <cell r="B24" t="str">
            <v>F-025</v>
          </cell>
          <cell r="C24">
            <v>2.4509799999999999</v>
          </cell>
        </row>
        <row r="25">
          <cell r="B25" t="str">
            <v>F-026</v>
          </cell>
          <cell r="C25">
            <v>2.4509799999999999</v>
          </cell>
        </row>
        <row r="26">
          <cell r="B26" t="str">
            <v>F-027</v>
          </cell>
          <cell r="C26">
            <v>2.4509799999999999</v>
          </cell>
        </row>
        <row r="27">
          <cell r="B27" t="str">
            <v>F-028</v>
          </cell>
          <cell r="C27">
            <v>2.4509799999999999</v>
          </cell>
        </row>
        <row r="28">
          <cell r="B28" t="str">
            <v>F-029</v>
          </cell>
          <cell r="C28">
            <v>2.4509799999999999</v>
          </cell>
        </row>
        <row r="29">
          <cell r="B29" t="str">
            <v>F-030</v>
          </cell>
          <cell r="C29">
            <v>2.4509799999999999</v>
          </cell>
        </row>
        <row r="30">
          <cell r="B30" t="str">
            <v>F-031</v>
          </cell>
          <cell r="C30">
            <v>2.4509799999999999</v>
          </cell>
        </row>
        <row r="31">
          <cell r="B31" t="str">
            <v>F-040</v>
          </cell>
          <cell r="C31">
            <v>2.4509799999999999</v>
          </cell>
        </row>
        <row r="32">
          <cell r="B32" t="str">
            <v>F-033</v>
          </cell>
          <cell r="C32">
            <v>2.4509799999999999</v>
          </cell>
        </row>
        <row r="33">
          <cell r="B33" t="str">
            <v>F-034</v>
          </cell>
          <cell r="C33">
            <v>2.60127</v>
          </cell>
        </row>
        <row r="34">
          <cell r="B34" t="str">
            <v>F-035</v>
          </cell>
          <cell r="C34">
            <v>2.60127</v>
          </cell>
        </row>
        <row r="35">
          <cell r="B35" t="str">
            <v>F-036</v>
          </cell>
          <cell r="C35">
            <v>2.60127</v>
          </cell>
        </row>
        <row r="36">
          <cell r="B36" t="str">
            <v>F-045</v>
          </cell>
          <cell r="C36">
            <v>2.11267</v>
          </cell>
        </row>
        <row r="37">
          <cell r="B37" t="str">
            <v>F-042</v>
          </cell>
          <cell r="C37">
            <v>2.4509799999999999</v>
          </cell>
        </row>
        <row r="38">
          <cell r="B38" t="str">
            <v>F-050</v>
          </cell>
          <cell r="C38">
            <v>2.3734099999999998</v>
          </cell>
        </row>
        <row r="39">
          <cell r="B39" t="str">
            <v>F-051</v>
          </cell>
          <cell r="C39">
            <v>2.11267</v>
          </cell>
        </row>
        <row r="40">
          <cell r="B40" t="str">
            <v>F-059</v>
          </cell>
          <cell r="C40">
            <v>2.11267</v>
          </cell>
        </row>
        <row r="41">
          <cell r="B41" t="str">
            <v>F-060</v>
          </cell>
          <cell r="C41">
            <v>2.3734099999999998</v>
          </cell>
        </row>
        <row r="42">
          <cell r="B42" t="str">
            <v>F-061</v>
          </cell>
          <cell r="C42">
            <v>2.3734099999999998</v>
          </cell>
        </row>
        <row r="43">
          <cell r="B43" t="str">
            <v>F-069</v>
          </cell>
          <cell r="C43">
            <v>2.11267</v>
          </cell>
        </row>
        <row r="44">
          <cell r="B44" t="str">
            <v>F-074</v>
          </cell>
          <cell r="C44">
            <v>2.11267</v>
          </cell>
        </row>
        <row r="45">
          <cell r="B45" t="str">
            <v>F-082</v>
          </cell>
          <cell r="C45">
            <v>2.11267</v>
          </cell>
        </row>
        <row r="46">
          <cell r="B46" t="str">
            <v>F-086</v>
          </cell>
          <cell r="C46">
            <v>2.3734099999999998</v>
          </cell>
        </row>
        <row r="47">
          <cell r="B47" t="str">
            <v>F-087</v>
          </cell>
          <cell r="C47">
            <v>2.3734099999999998</v>
          </cell>
        </row>
        <row r="48">
          <cell r="B48" t="str">
            <v>F-088</v>
          </cell>
          <cell r="C48">
            <v>2.3734099999999998</v>
          </cell>
        </row>
        <row r="49">
          <cell r="B49" t="str">
            <v>F-089</v>
          </cell>
          <cell r="C49">
            <v>2.3734099999999998</v>
          </cell>
        </row>
        <row r="50">
          <cell r="B50" t="str">
            <v>F-090</v>
          </cell>
          <cell r="C50">
            <v>2.3734099999999998</v>
          </cell>
        </row>
        <row r="51">
          <cell r="B51" t="str">
            <v>F-091</v>
          </cell>
          <cell r="C51">
            <v>2.3734099999999998</v>
          </cell>
        </row>
        <row r="52">
          <cell r="B52" t="str">
            <v>F-092</v>
          </cell>
          <cell r="C52">
            <v>2.3734099999999998</v>
          </cell>
        </row>
        <row r="53">
          <cell r="B53" t="str">
            <v>F-097</v>
          </cell>
          <cell r="C53">
            <v>2.3734099999999998</v>
          </cell>
        </row>
        <row r="54">
          <cell r="B54" t="str">
            <v>F-098</v>
          </cell>
          <cell r="C54">
            <v>2.3734099999999998</v>
          </cell>
        </row>
        <row r="55">
          <cell r="B55" t="str">
            <v>F-099</v>
          </cell>
          <cell r="C55">
            <v>2.3734099999999998</v>
          </cell>
        </row>
        <row r="56">
          <cell r="B56" t="str">
            <v>F-100</v>
          </cell>
          <cell r="C56">
            <v>2.11267</v>
          </cell>
        </row>
        <row r="57">
          <cell r="B57" t="str">
            <v>F-107</v>
          </cell>
          <cell r="C57">
            <v>2.3734099999999998</v>
          </cell>
        </row>
        <row r="58">
          <cell r="B58" t="str">
            <v>F-108</v>
          </cell>
          <cell r="C58">
            <v>2.3734099999999998</v>
          </cell>
        </row>
        <row r="59">
          <cell r="B59" t="str">
            <v>F-110</v>
          </cell>
          <cell r="C59">
            <v>2.3734099999999998</v>
          </cell>
        </row>
      </sheetData>
      <sheetData sheetId="34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2.xml"/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3.xml"/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4.xml"/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5.xml"/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6.xml"/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7.xml"/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8.xml"/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9.xml"/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>
    <pageSetUpPr fitToPage="1"/>
  </sheetPr>
  <dimension ref="A1:S39"/>
  <sheetViews>
    <sheetView topLeftCell="B1" zoomScaleNormal="100" workbookViewId="0">
      <selection activeCell="B4" sqref="B4"/>
    </sheetView>
  </sheetViews>
  <sheetFormatPr baseColWidth="10" defaultRowHeight="12.75" x14ac:dyDescent="0.2"/>
  <cols>
    <col min="2" max="2" width="6.42578125" bestFit="1" customWidth="1"/>
    <col min="3" max="3" width="51.42578125" customWidth="1"/>
    <col min="4" max="4" width="21.5703125" customWidth="1"/>
    <col min="5" max="11" width="10.85546875" customWidth="1"/>
    <col min="13" max="13" width="12.5703125" bestFit="1" customWidth="1"/>
  </cols>
  <sheetData>
    <row r="1" spans="2:19" ht="20.25" x14ac:dyDescent="0.2">
      <c r="B1" s="576" t="s">
        <v>83</v>
      </c>
      <c r="C1" s="576"/>
      <c r="D1" s="576"/>
      <c r="E1" s="576"/>
      <c r="F1" s="576"/>
      <c r="G1" s="576"/>
      <c r="H1" s="576"/>
      <c r="I1" s="576"/>
      <c r="J1" s="576"/>
      <c r="K1" s="576"/>
    </row>
    <row r="2" spans="2:19" ht="18" x14ac:dyDescent="0.2">
      <c r="B2" s="577" t="s">
        <v>84</v>
      </c>
      <c r="C2" s="577"/>
      <c r="D2" s="577"/>
      <c r="E2" s="577"/>
      <c r="F2" s="577"/>
      <c r="G2" s="577"/>
      <c r="H2" s="577"/>
      <c r="I2" s="577"/>
      <c r="J2" s="577"/>
      <c r="K2" s="577"/>
    </row>
    <row r="3" spans="2:19" ht="18.75" thickBot="1" x14ac:dyDescent="0.25">
      <c r="B3" s="577" t="s">
        <v>636</v>
      </c>
      <c r="C3" s="577"/>
      <c r="D3" s="577"/>
      <c r="E3" s="577"/>
      <c r="F3" s="577"/>
      <c r="G3" s="577"/>
      <c r="H3" s="577"/>
      <c r="I3" s="577"/>
      <c r="J3" s="577"/>
      <c r="K3" s="577"/>
    </row>
    <row r="4" spans="2:19" ht="32.25" thickBot="1" x14ac:dyDescent="0.25">
      <c r="B4" s="392"/>
      <c r="C4" s="393" t="s">
        <v>86</v>
      </c>
      <c r="D4" s="394" t="s">
        <v>87</v>
      </c>
      <c r="E4" s="578" t="s">
        <v>88</v>
      </c>
      <c r="F4" s="579"/>
      <c r="G4" s="579"/>
      <c r="H4" s="579"/>
      <c r="I4" s="579"/>
      <c r="J4" s="579"/>
      <c r="K4" s="580"/>
      <c r="L4" s="581" t="s">
        <v>313</v>
      </c>
      <c r="M4" s="582"/>
      <c r="N4" s="582"/>
      <c r="O4" s="582"/>
      <c r="P4" s="582"/>
      <c r="Q4" s="582"/>
      <c r="R4" s="583"/>
    </row>
    <row r="5" spans="2:19" ht="15.75" x14ac:dyDescent="0.25">
      <c r="B5" s="498" t="s">
        <v>89</v>
      </c>
      <c r="C5" s="539" t="s">
        <v>50</v>
      </c>
      <c r="D5" s="537">
        <f>+'AGUILAR ESQUIVEL CARLOS'!Q37</f>
        <v>12772.334135280584</v>
      </c>
      <c r="E5" s="538">
        <f>+'AGUILAR ESQUIVEL CARLOS'!O40</f>
        <v>46484</v>
      </c>
      <c r="F5" s="538">
        <f>+'AGUILAR ESQUIVEL CARLOS'!O41</f>
        <v>46500</v>
      </c>
      <c r="G5" s="538">
        <f>+'AGUILAR ESQUIVEL CARLOS'!O42</f>
        <v>46136</v>
      </c>
      <c r="H5" s="538">
        <f>+'AGUILAR ESQUIVEL CARLOS'!O43</f>
        <v>46164</v>
      </c>
      <c r="I5" s="499">
        <f>+'AGUILAR ESQUIVEL CARLOS'!O44</f>
        <v>46196</v>
      </c>
      <c r="J5" s="499">
        <f>+'AGUILAR ESQUIVEL CARLOS'!O45</f>
        <v>0</v>
      </c>
      <c r="K5" s="500">
        <v>0</v>
      </c>
      <c r="L5" s="420"/>
      <c r="M5" s="421"/>
      <c r="N5" s="421"/>
      <c r="O5" s="421"/>
      <c r="P5" s="421"/>
      <c r="Q5" s="421"/>
      <c r="R5" s="402"/>
      <c r="S5" s="391"/>
    </row>
    <row r="6" spans="2:19" ht="15.75" x14ac:dyDescent="0.25">
      <c r="B6" s="501" t="s">
        <v>90</v>
      </c>
      <c r="C6" s="523" t="s">
        <v>53</v>
      </c>
      <c r="D6" s="524">
        <f>+'AGUILAR RODRIGUEZ JORGE ALONSO'!Q37</f>
        <v>7454.0199082244671</v>
      </c>
      <c r="E6" s="525">
        <f>+'AGUILAR RODRIGUEZ JORGE ALONSO'!O40</f>
        <v>46405</v>
      </c>
      <c r="F6" s="525">
        <f>+'AGUILAR RODRIGUEZ JORGE ALONSO'!O41</f>
        <v>46434</v>
      </c>
      <c r="G6" s="525">
        <f>+'AGUILAR RODRIGUEZ JORGE ALONSO'!O42</f>
        <v>46462</v>
      </c>
      <c r="H6" s="525">
        <f>+'AGUILAR RODRIGUEZ JORGE ALONSO'!O43</f>
        <v>46465</v>
      </c>
      <c r="I6" s="502">
        <f>+'AGUILAR RODRIGUEZ JORGE ALONSO'!O44</f>
        <v>0</v>
      </c>
      <c r="J6" s="502">
        <f>+'AGUILAR RODRIGUEZ JORGE ALONSO'!O45</f>
        <v>0</v>
      </c>
      <c r="K6" s="503">
        <v>0</v>
      </c>
      <c r="L6" s="419"/>
      <c r="M6" s="398"/>
      <c r="N6" s="398"/>
      <c r="O6" s="398"/>
      <c r="P6" s="398"/>
      <c r="Q6" s="398"/>
      <c r="R6" s="399"/>
      <c r="S6" s="391"/>
    </row>
    <row r="7" spans="2:19" ht="15.75" x14ac:dyDescent="0.25">
      <c r="B7" s="501" t="s">
        <v>249</v>
      </c>
      <c r="C7" s="523" t="str">
        <f>+'AGUILERA CONTRERAS LUIS GERARDO'!E11</f>
        <v>AGUILERA CONTRERAS LUIS GERARDO</v>
      </c>
      <c r="D7" s="524">
        <f>+'AGUILERA CONTRERAS LUIS GERARDO'!Q38</f>
        <v>4695.7317999250035</v>
      </c>
      <c r="E7" s="525">
        <f>+'AGUILERA CONTRERAS LUIS GERARDO'!O41</f>
        <v>46129</v>
      </c>
      <c r="F7" s="525">
        <f>+'AGUILERA CONTRERAS LUIS GERARDO'!O42</f>
        <v>46157</v>
      </c>
      <c r="G7" s="525">
        <f>+'AGUILERA CONTRERAS LUIS GERARDO'!O43</f>
        <v>46102</v>
      </c>
      <c r="H7" s="525">
        <f>+'AGUILERA CONTRERAS LUIS GERARDO'!O44</f>
        <v>0</v>
      </c>
      <c r="I7" s="502">
        <f>+'AGUILERA CONTRERAS LUIS GERARDO'!O45</f>
        <v>0</v>
      </c>
      <c r="J7" s="502">
        <f>+'AGUILERA CONTRERAS LUIS GERARDO'!O46</f>
        <v>0</v>
      </c>
      <c r="K7" s="503"/>
      <c r="L7" s="419"/>
      <c r="M7" s="398"/>
      <c r="N7" s="398"/>
      <c r="O7" s="398"/>
      <c r="P7" s="398"/>
      <c r="Q7" s="398"/>
      <c r="R7" s="399"/>
      <c r="S7" s="391"/>
    </row>
    <row r="8" spans="2:19" ht="18.75" customHeight="1" x14ac:dyDescent="0.25">
      <c r="B8" s="501" t="s">
        <v>277</v>
      </c>
      <c r="C8" s="523" t="s">
        <v>364</v>
      </c>
      <c r="D8" s="524" t="e">
        <f>+'ANCHONDO ROMERO CESAR ALEJANDRO'!Q37</f>
        <v>#N/A</v>
      </c>
      <c r="E8" s="525">
        <f>+'ANCHONDO ROMERO CESAR ALEJANDRO'!O40</f>
        <v>0</v>
      </c>
      <c r="F8" s="525">
        <f>+'ANCHONDO ROMERO CESAR ALEJANDRO'!O41</f>
        <v>0</v>
      </c>
      <c r="G8" s="525">
        <f>+'ANCHONDO ROMERO CESAR ALEJANDRO'!O42</f>
        <v>0</v>
      </c>
      <c r="H8" s="525">
        <f>+'ANCHONDO ROMERO CESAR ALEJANDRO'!O43</f>
        <v>0</v>
      </c>
      <c r="I8" s="502">
        <f>+'ANCHONDO ROMERO CESAR ALEJANDRO'!O44</f>
        <v>0</v>
      </c>
      <c r="J8" s="502">
        <f>+'ANCHONDO ROMERO CESAR ALEJANDRO'!O45</f>
        <v>0</v>
      </c>
      <c r="K8" s="503"/>
      <c r="L8" s="419"/>
      <c r="M8" s="398"/>
      <c r="N8" s="398"/>
      <c r="O8" s="398"/>
      <c r="P8" s="398"/>
      <c r="Q8" s="398"/>
      <c r="R8" s="399"/>
      <c r="S8" s="391"/>
    </row>
    <row r="9" spans="2:19" ht="15.75" x14ac:dyDescent="0.25">
      <c r="B9" s="501" t="s">
        <v>244</v>
      </c>
      <c r="C9" s="536" t="s">
        <v>76</v>
      </c>
      <c r="D9" s="530">
        <f>+'BALDERRAMA ROBLES JORGE'!Q37</f>
        <v>4681.4862296387582</v>
      </c>
      <c r="E9" s="531">
        <f>+'BALDERRAMA ROBLES JORGE'!O40</f>
        <v>46108</v>
      </c>
      <c r="F9" s="531">
        <f>+'BALDERRAMA ROBLES JORGE'!O41</f>
        <v>46146</v>
      </c>
      <c r="G9" s="531">
        <f>+'BALDERRAMA ROBLES JORGE'!O42</f>
        <v>46178</v>
      </c>
      <c r="H9" s="531">
        <f>+'BALDERRAMA ROBLES JORGE'!O43</f>
        <v>0</v>
      </c>
      <c r="I9" s="502">
        <f>+'BALDERRAMA ROBLES JORGE'!O44</f>
        <v>0</v>
      </c>
      <c r="J9" s="502">
        <f>+'BALDERRAMA ROBLES JORGE'!O45</f>
        <v>0</v>
      </c>
      <c r="K9" s="503"/>
      <c r="L9" s="419"/>
      <c r="M9" s="398"/>
      <c r="N9" s="398"/>
      <c r="O9" s="398"/>
      <c r="P9" s="398"/>
      <c r="Q9" s="398"/>
      <c r="R9" s="399"/>
      <c r="S9" s="391"/>
    </row>
    <row r="10" spans="2:19" ht="15.75" x14ac:dyDescent="0.25">
      <c r="B10" s="501" t="s">
        <v>91</v>
      </c>
      <c r="C10" s="523" t="s">
        <v>232</v>
      </c>
      <c r="D10" s="524">
        <f>+'BALLEZA RAMIREZ JESUS JOSE'!Q37</f>
        <v>11293.055947810017</v>
      </c>
      <c r="E10" s="525">
        <f>+'BALLEZA RAMIREZ JESUS JOSE'!O40</f>
        <v>46495</v>
      </c>
      <c r="F10" s="525">
        <f>+'BALLEZA RAMIREZ JESUS JOSE'!O41</f>
        <v>46116</v>
      </c>
      <c r="G10" s="525">
        <f>+'BALLEZA RAMIREZ JESUS JOSE'!O42</f>
        <v>46139</v>
      </c>
      <c r="H10" s="525">
        <f>+'BALLEZA RAMIREZ JESUS JOSE'!O43</f>
        <v>46200</v>
      </c>
      <c r="I10" s="525">
        <f>+'BALLEZA RAMIREZ JESUS JOSE'!O44</f>
        <v>0</v>
      </c>
      <c r="J10" s="502">
        <f>+'BALLEZA RAMIREZ JESUS JOSE'!O45</f>
        <v>0</v>
      </c>
      <c r="K10" s="503"/>
      <c r="L10" s="419"/>
      <c r="M10" s="398"/>
      <c r="N10" s="398"/>
      <c r="O10" s="398"/>
      <c r="P10" s="398"/>
      <c r="Q10" s="398"/>
      <c r="R10" s="399"/>
      <c r="S10" s="391"/>
    </row>
    <row r="11" spans="2:19" ht="15.75" x14ac:dyDescent="0.25">
      <c r="B11" s="501" t="s">
        <v>233</v>
      </c>
      <c r="C11" s="523" t="s">
        <v>93</v>
      </c>
      <c r="D11" s="524">
        <f>+'BURGOS TORRES RIGOBERTO'!Q36</f>
        <v>10113.221350295393</v>
      </c>
      <c r="E11" s="525">
        <f>+'BURGOS TORRES RIGOBERTO'!O39</f>
        <v>46197</v>
      </c>
      <c r="F11" s="525">
        <f>+'BURGOS TORRES RIGOBERTO'!O40</f>
        <v>46123</v>
      </c>
      <c r="G11" s="525">
        <f>+'BURGOS TORRES RIGOBERTO'!O41</f>
        <v>0</v>
      </c>
      <c r="H11" s="525">
        <f>+'BURGOS TORRES RIGOBERTO'!O42</f>
        <v>0</v>
      </c>
      <c r="I11" s="525">
        <f>+'BURGOS TORRES RIGOBERTO'!O43</f>
        <v>0</v>
      </c>
      <c r="J11" s="502">
        <f>+'BURGOS TORRES RIGOBERTO'!O44</f>
        <v>0</v>
      </c>
      <c r="K11" s="503">
        <f>+'BURGOS TORRES RIGOBERTO'!O45</f>
        <v>0</v>
      </c>
      <c r="L11" s="419"/>
      <c r="M11" s="398"/>
      <c r="N11" s="398"/>
      <c r="O11" s="398"/>
      <c r="P11" s="398"/>
      <c r="Q11" s="398"/>
      <c r="R11" s="399"/>
      <c r="S11" s="391"/>
    </row>
    <row r="12" spans="2:19" ht="15.75" x14ac:dyDescent="0.25">
      <c r="B12" s="501"/>
      <c r="C12" s="529" t="s">
        <v>369</v>
      </c>
      <c r="D12" s="530">
        <f>+'FLORES BOJORQUEZ BRYAN OVED'!Q37</f>
        <v>4122.6828177011148</v>
      </c>
      <c r="E12" s="531">
        <f>+'FLORES BOJORQUEZ BRYAN OVED'!O40</f>
        <v>46106</v>
      </c>
      <c r="F12" s="531">
        <f>+'FLORES BOJORQUEZ BRYAN OVED'!O41</f>
        <v>46149</v>
      </c>
      <c r="G12" s="531">
        <f>+'FLORES BOJORQUEZ BRYAN OVED'!O42</f>
        <v>46170</v>
      </c>
      <c r="H12" s="531">
        <f>+'FLORES BOJORQUEZ BRYAN OVED'!O43</f>
        <v>0</v>
      </c>
      <c r="I12" s="502">
        <f>+'FLORES BOJORQUEZ BRYAN OVED'!O44</f>
        <v>0</v>
      </c>
      <c r="J12" s="502">
        <f>+'FLORES BOJORQUEZ BRYAN OVED'!O45</f>
        <v>0</v>
      </c>
      <c r="K12" s="503">
        <f>+'FLORES BOJORQUEZ BRYAN OVED'!O46</f>
        <v>0</v>
      </c>
      <c r="L12" s="419"/>
      <c r="M12" s="422"/>
      <c r="N12" s="398"/>
      <c r="O12" s="398"/>
      <c r="P12" s="398"/>
      <c r="Q12" s="398"/>
      <c r="R12" s="399"/>
      <c r="S12" s="391"/>
    </row>
    <row r="13" spans="2:19" ht="15.75" x14ac:dyDescent="0.25">
      <c r="B13" s="501" t="s">
        <v>92</v>
      </c>
      <c r="C13" s="523" t="s">
        <v>296</v>
      </c>
      <c r="D13" s="524" t="e">
        <f>+'CARRERA REYES MARTIN SEBASTIAN'!Q38</f>
        <v>#N/A</v>
      </c>
      <c r="E13" s="525">
        <f>+'CARRERA REYES MARTIN SEBASTIAN'!O41</f>
        <v>0</v>
      </c>
      <c r="F13" s="525">
        <f>+'CARRERA REYES MARTIN SEBASTIAN'!O42</f>
        <v>0</v>
      </c>
      <c r="G13" s="525">
        <f>+'CARRERA REYES MARTIN SEBASTIAN'!O43</f>
        <v>0</v>
      </c>
      <c r="H13" s="525">
        <f>+'CARRERA REYES MARTIN SEBASTIAN'!O44</f>
        <v>0</v>
      </c>
      <c r="I13" s="502">
        <f>+'CARRERA REYES MARTIN SEBASTIAN'!O45</f>
        <v>0</v>
      </c>
      <c r="J13" s="502">
        <f>+'CARRERA REYES MARTIN SEBASTIAN'!O46</f>
        <v>0</v>
      </c>
      <c r="K13" s="503"/>
      <c r="L13" s="419"/>
      <c r="M13" s="398"/>
      <c r="N13" s="398"/>
      <c r="O13" s="398"/>
      <c r="P13" s="398"/>
      <c r="Q13" s="398"/>
      <c r="R13" s="399"/>
      <c r="S13" s="391"/>
    </row>
    <row r="14" spans="2:19" ht="15.75" x14ac:dyDescent="0.25">
      <c r="B14" s="501" t="s">
        <v>297</v>
      </c>
      <c r="C14" s="533" t="s">
        <v>94</v>
      </c>
      <c r="D14" s="534" t="e">
        <f>+'CORDOVA URIBE JOSE  ADRIAN'!Q37</f>
        <v>#N/A</v>
      </c>
      <c r="E14" s="535">
        <f>+'CORDOVA URIBE JOSE  ADRIAN'!O40</f>
        <v>0</v>
      </c>
      <c r="F14" s="535">
        <f>+'CORDOVA URIBE JOSE  ADRIAN'!O41</f>
        <v>0</v>
      </c>
      <c r="G14" s="535">
        <f>+'CORDOVA URIBE JOSE  ADRIAN'!O42</f>
        <v>0</v>
      </c>
      <c r="H14" s="535">
        <f>+'CORDOVA URIBE JOSE  ADRIAN'!O43</f>
        <v>0</v>
      </c>
      <c r="I14" s="504">
        <f>+'CORDOVA URIBE JOSE  ADRIAN'!O44</f>
        <v>0</v>
      </c>
      <c r="J14" s="504">
        <f>+'CORDOVA URIBE JOSE  ADRIAN'!O45</f>
        <v>0</v>
      </c>
      <c r="K14" s="503">
        <f>+'CORDOVA URIBE JOSE  ADRIAN'!O46</f>
        <v>0</v>
      </c>
      <c r="L14" s="419"/>
      <c r="M14" s="398"/>
      <c r="N14" s="398"/>
      <c r="O14" s="398"/>
      <c r="P14" s="398"/>
      <c r="Q14" s="398"/>
      <c r="R14" s="399"/>
      <c r="S14" s="391"/>
    </row>
    <row r="15" spans="2:19" ht="15.75" x14ac:dyDescent="0.25">
      <c r="B15" s="501" t="s">
        <v>280</v>
      </c>
      <c r="C15" s="523" t="s">
        <v>235</v>
      </c>
      <c r="D15" s="524">
        <f>+'GUZMAN CHAPARRO PEDRO'!Q37</f>
        <v>5002.9483013227637</v>
      </c>
      <c r="E15" s="525">
        <f>+'GUZMAN CHAPARRO PEDRO'!O40</f>
        <v>46108</v>
      </c>
      <c r="F15" s="525">
        <f>+'GUZMAN CHAPARRO PEDRO'!O41</f>
        <v>46152</v>
      </c>
      <c r="G15" s="525">
        <f>+'GUZMAN CHAPARRO PEDRO'!O42</f>
        <v>0</v>
      </c>
      <c r="H15" s="525">
        <f>+'GUZMAN CHAPARRO PEDRO'!O43</f>
        <v>0</v>
      </c>
      <c r="I15" s="502">
        <f>+'GUZMAN CHAPARRO PEDRO'!O44</f>
        <v>0</v>
      </c>
      <c r="J15" s="502">
        <f>+'GUZMAN CHAPARRO PEDRO'!O45</f>
        <v>0</v>
      </c>
      <c r="K15" s="503"/>
      <c r="L15" s="419"/>
      <c r="M15" s="398"/>
      <c r="N15" s="398"/>
      <c r="O15" s="398"/>
      <c r="P15" s="398"/>
      <c r="Q15" s="398"/>
      <c r="R15" s="399"/>
      <c r="S15" s="391"/>
    </row>
    <row r="16" spans="2:19" ht="15.75" x14ac:dyDescent="0.25">
      <c r="B16" s="501"/>
      <c r="C16" s="523" t="s">
        <v>95</v>
      </c>
      <c r="D16" s="524">
        <f>+'HERNANDEZ LICANO JOSE LUIS'!Q37</f>
        <v>7417.6910843427822</v>
      </c>
      <c r="E16" s="525">
        <f>+'HERNANDEZ LICANO JOSE LUIS'!O40</f>
        <v>46109</v>
      </c>
      <c r="F16" s="525">
        <f>+'HERNANDEZ LICANO JOSE LUIS'!O41</f>
        <v>46142</v>
      </c>
      <c r="G16" s="525">
        <f>+'HERNANDEZ LICANO JOSE LUIS'!O42</f>
        <v>46176</v>
      </c>
      <c r="H16" s="525">
        <f>+'HERNANDEZ LICANO JOSE LUIS'!O43</f>
        <v>46159</v>
      </c>
      <c r="I16" s="502">
        <f>+'HERNANDEZ LICANO JOSE LUIS'!O44</f>
        <v>0</v>
      </c>
      <c r="J16" s="502">
        <f>+'HERNANDEZ LICANO JOSE LUIS'!O45</f>
        <v>0</v>
      </c>
      <c r="K16" s="503">
        <f>+'HERNANDEZ LICANO JOSE LUIS'!O46</f>
        <v>0</v>
      </c>
      <c r="L16" s="419"/>
      <c r="M16" s="398"/>
      <c r="N16" s="398"/>
      <c r="O16" s="398"/>
      <c r="P16" s="398"/>
      <c r="Q16" s="398"/>
      <c r="R16" s="399"/>
      <c r="S16" s="391"/>
    </row>
    <row r="17" spans="1:19" ht="15.75" x14ac:dyDescent="0.25">
      <c r="A17" t="s">
        <v>181</v>
      </c>
      <c r="B17" s="501" t="s">
        <v>279</v>
      </c>
      <c r="C17" s="523" t="s">
        <v>356</v>
      </c>
      <c r="D17" s="524" t="e">
        <f>+'LIRA ARCEO JOEL EDUARDO'!Q37</f>
        <v>#N/A</v>
      </c>
      <c r="E17" s="525">
        <f>+'LIRA ARCEO JOEL EDUARDO'!O40</f>
        <v>0</v>
      </c>
      <c r="F17" s="525">
        <f>+'LIRA ARCEO JOEL EDUARDO'!O41</f>
        <v>0</v>
      </c>
      <c r="G17" s="525">
        <f>+'LIRA ARCEO JOEL EDUARDO'!O42</f>
        <v>0</v>
      </c>
      <c r="H17" s="525">
        <f>+'LIRA ARCEO JOEL EDUARDO'!O43</f>
        <v>0</v>
      </c>
      <c r="I17" s="502">
        <f>+'LIRA ARCEO JOEL EDUARDO'!O44</f>
        <v>0</v>
      </c>
      <c r="J17" s="502">
        <f>+'LIRA ARCEO JOEL EDUARDO'!O45</f>
        <v>0</v>
      </c>
      <c r="K17" s="503">
        <f>+'LIRA ARCEO JOEL EDUARDO'!O46</f>
        <v>0</v>
      </c>
      <c r="L17" s="419"/>
      <c r="M17" s="398"/>
      <c r="N17" s="398"/>
      <c r="O17" s="398"/>
      <c r="P17" s="398"/>
      <c r="Q17" s="398"/>
      <c r="R17" s="399"/>
      <c r="S17" s="391"/>
    </row>
    <row r="18" spans="1:19" ht="15.75" x14ac:dyDescent="0.25">
      <c r="B18" s="501" t="s">
        <v>102</v>
      </c>
      <c r="C18" s="523" t="s">
        <v>353</v>
      </c>
      <c r="D18" s="524">
        <f>+'MACHADO MAZUCA ADOLFO'!Q37</f>
        <v>5826.7987999250036</v>
      </c>
      <c r="E18" s="525">
        <f>+'MACHADO MAZUCA ADOLFO'!O40</f>
        <v>46112</v>
      </c>
      <c r="F18" s="525">
        <f>+'MACHADO MAZUCA ADOLFO'!O41</f>
        <v>46171</v>
      </c>
      <c r="G18" s="525">
        <f>+'MACHADO MAZUCA ADOLFO'!O42</f>
        <v>46150</v>
      </c>
      <c r="H18" s="525">
        <f>+'MACHADO MAZUCA ADOLFO'!O43</f>
        <v>0</v>
      </c>
      <c r="I18" s="502">
        <f>+'MACHADO MAZUCA ADOLFO'!O44</f>
        <v>0</v>
      </c>
      <c r="J18" s="502">
        <f>+'MACHADO MAZUCA ADOLFO'!O45</f>
        <v>0</v>
      </c>
      <c r="K18" s="503">
        <f>+'MACHADO MAZUCA ADOLFO'!O46</f>
        <v>0</v>
      </c>
      <c r="L18" s="419"/>
      <c r="M18" s="398"/>
      <c r="N18" s="398"/>
      <c r="O18" s="398"/>
      <c r="P18" s="398"/>
      <c r="Q18" s="398"/>
      <c r="R18" s="399"/>
      <c r="S18" s="391"/>
    </row>
    <row r="19" spans="1:19" ht="15.75" x14ac:dyDescent="0.25">
      <c r="B19" s="501" t="s">
        <v>236</v>
      </c>
      <c r="C19" s="523" t="s">
        <v>97</v>
      </c>
      <c r="D19" s="524">
        <f>+'MARTINEZ RAMIREZ ROSALIO'!Q37</f>
        <v>6781.3829566948743</v>
      </c>
      <c r="E19" s="525">
        <f>+'MARTINEZ RAMIREZ ROSALIO'!O40</f>
        <v>46486</v>
      </c>
      <c r="F19" s="525">
        <f>+'MARTINEZ RAMIREZ ROSALIO'!O41</f>
        <v>46128</v>
      </c>
      <c r="G19" s="525">
        <f>+'MARTINEZ RAMIREZ ROSALIO'!O42</f>
        <v>46155</v>
      </c>
      <c r="H19" s="525">
        <f>+'MARTINEZ RAMIREZ ROSALIO'!O43</f>
        <v>46167</v>
      </c>
      <c r="I19" s="502">
        <f>+'MARTINEZ RAMIREZ ROSALIO'!O44</f>
        <v>0</v>
      </c>
      <c r="J19" s="502">
        <f>+'MARTINEZ RAMIREZ ROSALIO'!O45</f>
        <v>0</v>
      </c>
      <c r="K19" s="503">
        <f>+'MARTINEZ RAMIREZ ROSALIO'!O46</f>
        <v>0</v>
      </c>
      <c r="L19" s="419"/>
      <c r="M19" s="398"/>
      <c r="N19" s="398"/>
      <c r="O19" s="398"/>
      <c r="P19" s="398"/>
      <c r="Q19" s="398"/>
      <c r="R19" s="399"/>
      <c r="S19" s="391"/>
    </row>
    <row r="20" spans="1:19" ht="15.75" x14ac:dyDescent="0.25">
      <c r="B20" s="501" t="s">
        <v>298</v>
      </c>
      <c r="C20" s="523" t="s">
        <v>332</v>
      </c>
      <c r="D20" s="524">
        <f>+'MELENDEZ SINALOA MANUEL ARAT'!Q37</f>
        <v>7865.8964530612229</v>
      </c>
      <c r="E20" s="525">
        <f>+'MELENDEZ SINALOA MANUEL ARAT'!O40</f>
        <v>46104</v>
      </c>
      <c r="F20" s="525">
        <f>+'MELENDEZ SINALOA MANUEL ARAT'!O41</f>
        <v>46145</v>
      </c>
      <c r="G20" s="525">
        <f>+'MELENDEZ SINALOA MANUEL ARAT'!O42</f>
        <v>46166</v>
      </c>
      <c r="H20" s="525">
        <f>+'MELENDEZ SINALOA MANUEL ARAT'!O43</f>
        <v>46182</v>
      </c>
      <c r="I20" s="502">
        <f>+'MELENDEZ SINALOA MANUEL ARAT'!O44</f>
        <v>46210</v>
      </c>
      <c r="J20" s="502">
        <f>+'MELENDEZ SINALOA MANUEL ARAT'!O45</f>
        <v>0</v>
      </c>
      <c r="K20" s="503">
        <f>+'MELENDEZ SINALOA MANUEL ARAT'!O46</f>
        <v>0</v>
      </c>
      <c r="L20" s="419"/>
      <c r="M20" s="398"/>
      <c r="N20" s="398"/>
      <c r="O20" s="398"/>
      <c r="P20" s="398"/>
      <c r="Q20" s="398"/>
      <c r="R20" s="399"/>
      <c r="S20" s="391"/>
    </row>
    <row r="21" spans="1:19" ht="15.75" x14ac:dyDescent="0.25">
      <c r="A21" t="s">
        <v>181</v>
      </c>
      <c r="B21" s="501" t="s">
        <v>370</v>
      </c>
      <c r="C21" s="529" t="s">
        <v>368</v>
      </c>
      <c r="D21" s="530">
        <f>+'MORALES LECHUGA GONZALO'!Q37</f>
        <v>3130.8877346938766</v>
      </c>
      <c r="E21" s="531">
        <f>+'MORALES LECHUGA GONZALO'!O40</f>
        <v>46105</v>
      </c>
      <c r="F21" s="531">
        <f>+'MORALES LECHUGA GONZALO'!O41</f>
        <v>46417</v>
      </c>
      <c r="G21" s="531">
        <f>+'MORALES LECHUGA GONZALO'!O42</f>
        <v>0</v>
      </c>
      <c r="H21" s="531">
        <f>+'MORALES LECHUGA GONZALO'!O43</f>
        <v>0</v>
      </c>
      <c r="I21" s="531">
        <f>+'MORALES LECHUGA GONZALO'!O44</f>
        <v>0</v>
      </c>
      <c r="J21" s="531">
        <f>+'MORALES LECHUGA GONZALO'!O45</f>
        <v>0</v>
      </c>
      <c r="K21" s="532"/>
      <c r="L21" s="419"/>
      <c r="M21" s="398"/>
      <c r="N21" s="398"/>
      <c r="O21" s="398"/>
      <c r="P21" s="398"/>
      <c r="Q21" s="398"/>
      <c r="R21" s="399"/>
      <c r="S21" s="391"/>
    </row>
    <row r="22" spans="1:19" ht="15.75" x14ac:dyDescent="0.25">
      <c r="B22" s="501" t="s">
        <v>96</v>
      </c>
      <c r="C22" s="523" t="s">
        <v>99</v>
      </c>
      <c r="D22" s="524">
        <f>+'MONTERO BURROLA LUIS'!Q35</f>
        <v>11974.050954112234</v>
      </c>
      <c r="E22" s="525">
        <f>+'MONTERO BURROLA LUIS'!O38</f>
        <v>46162</v>
      </c>
      <c r="F22" s="525">
        <f>+'MONTERO BURROLA LUIS'!O39</f>
        <v>46195</v>
      </c>
      <c r="G22" s="525">
        <f>+'MONTERO BURROLA LUIS'!O40</f>
        <v>0</v>
      </c>
      <c r="H22" s="525">
        <f>+'MONTERO BURROLA LUIS'!O41</f>
        <v>0</v>
      </c>
      <c r="I22" s="525">
        <f>+'MONTERO BURROLA LUIS'!O42</f>
        <v>0</v>
      </c>
      <c r="J22" s="502">
        <f>+'MONTERO BURROLA LUIS'!O43</f>
        <v>0</v>
      </c>
      <c r="K22" s="503">
        <f>+'MONTERO BURROLA LUIS'!O44</f>
        <v>0</v>
      </c>
      <c r="L22" s="419"/>
      <c r="M22" s="398"/>
      <c r="N22" s="398"/>
      <c r="O22" s="398"/>
      <c r="P22" s="398"/>
      <c r="Q22" s="398"/>
      <c r="R22" s="399"/>
      <c r="S22" s="391"/>
    </row>
    <row r="23" spans="1:19" ht="15.75" x14ac:dyDescent="0.25">
      <c r="B23" s="501" t="s">
        <v>98</v>
      </c>
      <c r="C23" s="529" t="s">
        <v>101</v>
      </c>
      <c r="D23" s="530">
        <f>+'MORALES LOPEZ DE LARA MARIANO'!Q37</f>
        <v>12877.673336734693</v>
      </c>
      <c r="E23" s="531">
        <f>+'MORALES LOPEZ DE LARA MARIANO'!O40</f>
        <v>46498</v>
      </c>
      <c r="F23" s="531">
        <f>+'MORALES LOPEZ DE LARA MARIANO'!O41</f>
        <v>46117</v>
      </c>
      <c r="G23" s="531">
        <f>+'MORALES LOPEZ DE LARA MARIANO'!O42</f>
        <v>46140</v>
      </c>
      <c r="H23" s="531">
        <f>+'MORALES LOPEZ DE LARA MARIANO'!O43</f>
        <v>46165</v>
      </c>
      <c r="I23" s="502">
        <f>+'MORALES LOPEZ DE LARA MARIANO'!O44</f>
        <v>46180</v>
      </c>
      <c r="J23" s="502">
        <f>+'MORALES LOPEZ DE LARA MARIANO'!O45</f>
        <v>0</v>
      </c>
      <c r="K23" s="503"/>
      <c r="L23" s="419"/>
      <c r="M23" s="398"/>
      <c r="N23" s="398"/>
      <c r="O23" s="398"/>
      <c r="P23" s="398"/>
      <c r="Q23" s="398"/>
      <c r="R23" s="399"/>
      <c r="S23" s="391"/>
    </row>
    <row r="24" spans="1:19" ht="15.75" x14ac:dyDescent="0.25">
      <c r="B24" s="501" t="s">
        <v>100</v>
      </c>
      <c r="C24" s="523" t="s">
        <v>312</v>
      </c>
      <c r="D24" s="524">
        <f>+'NUÑEZ RUIZ IRVING JAVIER.'!Q38</f>
        <v>5735.850102118894</v>
      </c>
      <c r="E24" s="525">
        <f>+'NUÑEZ RUIZ IRVING JAVIER.'!O42</f>
        <v>46110</v>
      </c>
      <c r="F24" s="525">
        <f>+'NUÑEZ RUIZ IRVING JAVIER.'!O43</f>
        <v>46131</v>
      </c>
      <c r="G24" s="525">
        <f>+'NUÑEZ RUIZ IRVING JAVIER.'!O44</f>
        <v>46158</v>
      </c>
      <c r="H24" s="525">
        <f>+'NUÑEZ RUIZ IRVING JAVIER.'!O45</f>
        <v>46173</v>
      </c>
      <c r="I24" s="502">
        <f>+'NUÑEZ RUIZ IRVING JAVIER.'!O46</f>
        <v>0</v>
      </c>
      <c r="J24" s="502">
        <f>+'NUÑEZ RUIZ IRVING JAVIER.'!O47</f>
        <v>0</v>
      </c>
      <c r="K24" s="503">
        <f>+'NUÑEZ RUIZ IRVING JAVIER.'!O48</f>
        <v>0</v>
      </c>
      <c r="L24" s="419"/>
      <c r="M24" s="398"/>
      <c r="N24" s="398"/>
      <c r="O24" s="398"/>
      <c r="P24" s="398"/>
      <c r="Q24" s="398"/>
      <c r="R24" s="399"/>
      <c r="S24" s="391"/>
    </row>
    <row r="25" spans="1:19" ht="15.75" x14ac:dyDescent="0.25">
      <c r="B25" s="501" t="s">
        <v>335</v>
      </c>
      <c r="C25" s="540" t="s">
        <v>119</v>
      </c>
      <c r="D25" s="526">
        <f>+'ONTIVEROS LIRA JUAN'!Q37</f>
        <v>2849.2142666416676</v>
      </c>
      <c r="E25" s="527">
        <f>+'ONTIVEROS LIRA JUAN'!O40</f>
        <v>46143</v>
      </c>
      <c r="F25" s="527">
        <f>+'ONTIVEROS LIRA JUAN'!O41</f>
        <v>0</v>
      </c>
      <c r="G25" s="527">
        <f>+'ONTIVEROS LIRA JUAN'!O42</f>
        <v>0</v>
      </c>
      <c r="H25" s="527">
        <f>+'ONTIVEROS LIRA JUAN'!O43</f>
        <v>0</v>
      </c>
      <c r="I25" s="504">
        <f>+'ONTIVEROS LIRA JUAN'!O44</f>
        <v>0</v>
      </c>
      <c r="J25" s="504">
        <f>+'ONTIVEROS LIRA JUAN'!O45</f>
        <v>0</v>
      </c>
      <c r="K25" s="503"/>
      <c r="L25" s="419"/>
      <c r="M25" s="398"/>
      <c r="N25" s="398"/>
      <c r="O25" s="398"/>
      <c r="P25" s="398"/>
      <c r="Q25" s="398"/>
      <c r="R25" s="399"/>
      <c r="S25" s="391"/>
    </row>
    <row r="26" spans="1:19" ht="15.75" x14ac:dyDescent="0.25">
      <c r="B26" s="501" t="s">
        <v>242</v>
      </c>
      <c r="C26" s="523" t="s">
        <v>59</v>
      </c>
      <c r="D26" s="524">
        <f>+'ORONA BECERRA MAURO JOSE'!Q37</f>
        <v>13456.223410807106</v>
      </c>
      <c r="E26" s="525">
        <f>+'ORONA BECERRA MAURO JOSE'!O40</f>
        <v>46491</v>
      </c>
      <c r="F26" s="525">
        <f>+'ORONA BECERRA MAURO JOSE'!O41</f>
        <v>46107</v>
      </c>
      <c r="G26" s="525">
        <f>+'ORONA BECERRA MAURO JOSE'!O42</f>
        <v>46133</v>
      </c>
      <c r="H26" s="525">
        <f>+'ORONA BECERRA MAURO JOSE'!O43</f>
        <v>46156</v>
      </c>
      <c r="I26" s="502">
        <f>+'ORONA BECERRA MAURO JOSE'!O44</f>
        <v>46175</v>
      </c>
      <c r="J26" s="502">
        <f>+'ORONA BECERRA MAURO JOSE'!O45</f>
        <v>46193</v>
      </c>
      <c r="K26" s="503">
        <f>+'ORONA BECERRA MAURO JOSE'!O46</f>
        <v>0</v>
      </c>
      <c r="L26" s="419"/>
      <c r="M26" s="398"/>
      <c r="N26" s="398"/>
      <c r="O26" s="398"/>
      <c r="P26" s="398"/>
      <c r="Q26" s="398"/>
      <c r="R26" s="399"/>
      <c r="S26" s="391"/>
    </row>
    <row r="27" spans="1:19" ht="15.75" x14ac:dyDescent="0.25">
      <c r="B27" s="501" t="s">
        <v>336</v>
      </c>
      <c r="C27" s="523" t="s">
        <v>182</v>
      </c>
      <c r="D27" s="524">
        <f>+'ORTIZ RAMIREZ HECTOR MANUEL'!Q37</f>
        <v>6337.7331851851814</v>
      </c>
      <c r="E27" s="525">
        <f>+'ORTIZ RAMIREZ HECTOR MANUEL'!O40</f>
        <v>46121</v>
      </c>
      <c r="F27" s="525">
        <f>+'ORTIZ RAMIREZ HECTOR MANUEL'!O41</f>
        <v>46160</v>
      </c>
      <c r="G27" s="525">
        <f>+'ORTIZ RAMIREZ HECTOR MANUEL'!O42</f>
        <v>0</v>
      </c>
      <c r="H27" s="525">
        <f>+'ORTIZ RAMIREZ HECTOR MANUEL'!O43</f>
        <v>0</v>
      </c>
      <c r="I27" s="502">
        <f>+'ORTIZ RAMIREZ HECTOR MANUEL'!O44</f>
        <v>0</v>
      </c>
      <c r="J27" s="502">
        <f>+'ORTIZ RAMIREZ HECTOR MANUEL'!O45</f>
        <v>0</v>
      </c>
      <c r="K27" s="503">
        <f>+'ORTIZ RAMIREZ HECTOR MANUEL'!O46</f>
        <v>0</v>
      </c>
      <c r="L27" s="419"/>
      <c r="M27" s="398"/>
      <c r="N27" s="398"/>
      <c r="O27" s="398"/>
      <c r="P27" s="398"/>
      <c r="Q27" s="398"/>
      <c r="R27" s="399"/>
      <c r="S27" s="391"/>
    </row>
    <row r="28" spans="1:19" ht="15.75" x14ac:dyDescent="0.25">
      <c r="B28" s="505" t="s">
        <v>183</v>
      </c>
      <c r="C28" s="528" t="s">
        <v>187</v>
      </c>
      <c r="D28" s="541">
        <f>+'RAMIREZ BAUTISTA ADRIAN'!Q37</f>
        <v>7414.9460255833601</v>
      </c>
      <c r="E28" s="542">
        <f>+'RAMIREZ BAUTISTA ADRIAN'!O40</f>
        <v>46489</v>
      </c>
      <c r="F28" s="542">
        <f>+'RAMIREZ BAUTISTA ADRIAN'!O41</f>
        <v>46153</v>
      </c>
      <c r="G28" s="542">
        <f>+'RAMIREZ BAUTISTA ADRIAN'!O42</f>
        <v>46168</v>
      </c>
      <c r="H28" s="542">
        <f>+'RAMIREZ BAUTISTA ADRIAN'!O43</f>
        <v>46181</v>
      </c>
      <c r="I28" s="506">
        <f>+'RAMIREZ BAUTISTA ADRIAN'!O44</f>
        <v>46126</v>
      </c>
      <c r="J28" s="506">
        <f>+'RAMIREZ BAUTISTA ADRIAN'!O45</f>
        <v>0</v>
      </c>
      <c r="K28" s="507"/>
      <c r="L28" s="419"/>
      <c r="M28" s="398"/>
      <c r="N28" s="398"/>
      <c r="O28" s="398"/>
      <c r="P28" s="398"/>
      <c r="Q28" s="398"/>
      <c r="R28" s="399"/>
      <c r="S28" s="391"/>
    </row>
    <row r="29" spans="1:19" ht="15.75" x14ac:dyDescent="0.25">
      <c r="B29" s="501" t="s">
        <v>188</v>
      </c>
      <c r="C29" s="523" t="s">
        <v>278</v>
      </c>
      <c r="D29" s="524">
        <f>+'REYES LARA DANTE'!Q37</f>
        <v>6707.6995843427821</v>
      </c>
      <c r="E29" s="542">
        <f>+'REYES LARA DANTE'!O40</f>
        <v>46492</v>
      </c>
      <c r="F29" s="525">
        <f>+'REYES LARA DANTE'!O41</f>
        <v>46127</v>
      </c>
      <c r="G29" s="525">
        <f>+'REYES LARA DANTE'!O42</f>
        <v>46154</v>
      </c>
      <c r="H29" s="525">
        <f>+'REYES LARA DANTE'!O43</f>
        <v>46174</v>
      </c>
      <c r="I29" s="502">
        <f>+'REYES LARA DANTE'!O44</f>
        <v>0</v>
      </c>
      <c r="J29" s="502">
        <f>+'REYES LARA DANTE'!O45</f>
        <v>0</v>
      </c>
      <c r="K29" s="503">
        <f>+'REYES LARA DANTE'!O46</f>
        <v>0</v>
      </c>
      <c r="L29" s="419"/>
      <c r="M29" s="398"/>
      <c r="N29" s="398"/>
      <c r="O29" s="398"/>
      <c r="P29" s="398"/>
      <c r="Q29" s="398"/>
      <c r="R29" s="399"/>
      <c r="S29" s="391"/>
    </row>
    <row r="30" spans="1:19" ht="15.75" x14ac:dyDescent="0.25">
      <c r="B30" s="406"/>
      <c r="C30" s="543" t="s">
        <v>343</v>
      </c>
      <c r="D30" s="541">
        <f>+'RODRIGUEZ FLORES BRYAN DARIO'!Q37</f>
        <v>4814.760408224467</v>
      </c>
      <c r="E30" s="542">
        <f>+'RODRIGUEZ FLORES BRYAN DARIO'!O40</f>
        <v>46488</v>
      </c>
      <c r="F30" s="542">
        <f>+'RODRIGUEZ FLORES BRYAN DARIO'!O41</f>
        <v>46111</v>
      </c>
      <c r="G30" s="542">
        <f>+'RODRIGUEZ FLORES BRYAN DARIO'!O42</f>
        <v>46151</v>
      </c>
      <c r="H30" s="542">
        <f>+'RODRIGUEZ FLORES BRYAN DARIO'!O43</f>
        <v>46172</v>
      </c>
      <c r="I30" s="506">
        <f>+'RODRIGUEZ FLORES BRYAN DARIO'!O44</f>
        <v>0</v>
      </c>
      <c r="J30" s="506">
        <f>+'RODRIGUEZ FLORES BRYAN DARIO'!O45</f>
        <v>0</v>
      </c>
      <c r="K30" s="507">
        <f>+'RODRIGUEZ FLORES BRYAN DARIO'!O46</f>
        <v>0</v>
      </c>
      <c r="L30" s="419"/>
      <c r="M30" s="398"/>
      <c r="N30" s="398"/>
      <c r="O30" s="398"/>
      <c r="P30" s="398"/>
      <c r="Q30" s="398"/>
      <c r="R30" s="399"/>
      <c r="S30" s="391"/>
    </row>
    <row r="31" spans="1:19" ht="15.75" x14ac:dyDescent="0.25">
      <c r="B31" s="406" t="s">
        <v>295</v>
      </c>
      <c r="C31" s="443" t="s">
        <v>333</v>
      </c>
      <c r="D31" s="444" t="e">
        <f>+'RUIZ SAUCEDO DANIEL ALEJANDRO'!Q37</f>
        <v>#N/A</v>
      </c>
      <c r="E31" s="445">
        <f>+'RUIZ SAUCEDO DANIEL ALEJANDRO'!O40</f>
        <v>0</v>
      </c>
      <c r="F31" s="445">
        <f>+'RUIZ SAUCEDO DANIEL ALEJANDRO'!O41</f>
        <v>0</v>
      </c>
      <c r="G31" s="445">
        <f>+'RUIZ SAUCEDO DANIEL ALEJANDRO'!O42</f>
        <v>0</v>
      </c>
      <c r="H31" s="445">
        <f>+'RUIZ SAUCEDO DANIEL ALEJANDRO'!O43</f>
        <v>0</v>
      </c>
      <c r="I31" s="445">
        <f>+'RUIZ SAUCEDO DANIEL ALEJANDRO'!O44</f>
        <v>0</v>
      </c>
      <c r="J31" s="445">
        <f>+'RUIZ SAUCEDO DANIEL ALEJANDRO'!O45</f>
        <v>0</v>
      </c>
      <c r="K31" s="446"/>
      <c r="L31" s="419"/>
      <c r="M31" s="398"/>
      <c r="N31" s="398"/>
      <c r="O31" s="398"/>
      <c r="P31" s="398"/>
      <c r="Q31" s="398"/>
      <c r="R31" s="399"/>
      <c r="S31" s="391"/>
    </row>
    <row r="32" spans="1:19" ht="16.5" thickBot="1" x14ac:dyDescent="0.3">
      <c r="B32" s="508" t="s">
        <v>103</v>
      </c>
      <c r="C32" s="544" t="s">
        <v>104</v>
      </c>
      <c r="D32" s="545">
        <f>+'VALLES HERNANDEZ MANUEL MARCELI'!Q36</f>
        <v>8960.1779082244666</v>
      </c>
      <c r="E32" s="546">
        <f>+'VALLES HERNANDEZ MANUEL MARCELI'!O39</f>
        <v>46499</v>
      </c>
      <c r="F32" s="546">
        <f>+'VALLES HERNANDEZ MANUEL MARCELI'!O40</f>
        <v>46119</v>
      </c>
      <c r="G32" s="546">
        <f>+'VALLES HERNANDEZ MANUEL MARCELI'!O41</f>
        <v>46163</v>
      </c>
      <c r="H32" s="546">
        <f>+'VALLES HERNANDEZ MANUEL MARCELI'!O42</f>
        <v>46179</v>
      </c>
      <c r="I32" s="546">
        <f>+'VALLES HERNANDEZ MANUEL MARCELI'!O43</f>
        <v>0</v>
      </c>
      <c r="J32" s="509">
        <f>+'VALLES HERNANDEZ MANUEL MARCELI'!O44</f>
        <v>0</v>
      </c>
      <c r="K32" s="510"/>
      <c r="L32" s="423"/>
      <c r="M32" s="404"/>
      <c r="N32" s="404"/>
      <c r="O32" s="404"/>
      <c r="P32" s="404"/>
      <c r="Q32" s="404"/>
      <c r="R32" s="405"/>
      <c r="S32" s="391"/>
    </row>
    <row r="33" spans="2:13" ht="16.5" thickBot="1" x14ac:dyDescent="0.3">
      <c r="B33" s="386"/>
      <c r="C33" s="387" t="s">
        <v>105</v>
      </c>
      <c r="D33" s="388" t="e">
        <f>SUM(D5:D32)</f>
        <v>#N/A</v>
      </c>
      <c r="E33" s="389"/>
      <c r="F33" s="389"/>
      <c r="G33" s="389"/>
      <c r="H33" s="389"/>
      <c r="I33" s="389"/>
      <c r="J33" s="389"/>
      <c r="K33" s="390"/>
    </row>
    <row r="34" spans="2:13" x14ac:dyDescent="0.2">
      <c r="D34" t="e">
        <f>SUM(D16:D18,D20,D26:D29+D23+D24)+D14+D12+D11+D10+D9+D7+D6+D5</f>
        <v>#VALUE!</v>
      </c>
    </row>
    <row r="35" spans="2:13" x14ac:dyDescent="0.2">
      <c r="D35" s="277" t="e">
        <f>+D32+D29+D28+D27+D26+D24+D23+D20+D18+D17+D16+D14+D12+D11+D10+D9+D7+D6+D5</f>
        <v>#N/A</v>
      </c>
    </row>
    <row r="37" spans="2:13" x14ac:dyDescent="0.2">
      <c r="D37" s="277" t="e">
        <f>+D31+D30+D28+D24+D23+D20+D18+D16+D13+D11+D6</f>
        <v>#N/A</v>
      </c>
    </row>
    <row r="38" spans="2:13" x14ac:dyDescent="0.2">
      <c r="D38" s="277"/>
      <c r="M38" s="277"/>
    </row>
    <row r="39" spans="2:13" x14ac:dyDescent="0.2">
      <c r="C39" s="391"/>
    </row>
  </sheetData>
  <sortState xmlns:xlrd2="http://schemas.microsoft.com/office/spreadsheetml/2017/richdata2" ref="B5:K32">
    <sortCondition ref="C5:C32"/>
  </sortState>
  <mergeCells count="5">
    <mergeCell ref="B1:K1"/>
    <mergeCell ref="B2:K2"/>
    <mergeCell ref="B3:K3"/>
    <mergeCell ref="E4:K4"/>
    <mergeCell ref="L4:R4"/>
  </mergeCells>
  <pageMargins left="0.7" right="0.7" top="0.75" bottom="0.75" header="0.3" footer="0.3"/>
  <pageSetup paperSize="9" scale="54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2">
    <pageSetUpPr fitToPage="1"/>
  </sheetPr>
  <dimension ref="C1:X57"/>
  <sheetViews>
    <sheetView topLeftCell="A6" zoomScaleNormal="100" workbookViewId="0">
      <selection activeCell="I39" sqref="I39:L42"/>
    </sheetView>
  </sheetViews>
  <sheetFormatPr baseColWidth="10" defaultColWidth="9.140625" defaultRowHeight="12" x14ac:dyDescent="0.2"/>
  <cols>
    <col min="1" max="1" width="2" style="14" customWidth="1"/>
    <col min="2" max="2" width="4.85546875" style="14" customWidth="1"/>
    <col min="3" max="3" width="13" style="14" customWidth="1"/>
    <col min="4" max="4" width="11.42578125" style="14" customWidth="1"/>
    <col min="5" max="5" width="7.85546875" style="14" customWidth="1"/>
    <col min="6" max="6" width="8.85546875" style="14" customWidth="1"/>
    <col min="7" max="7" width="3" style="14" bestFit="1" customWidth="1"/>
    <col min="8" max="8" width="10.140625" style="14" bestFit="1" customWidth="1"/>
    <col min="9" max="9" width="16" style="14" customWidth="1"/>
    <col min="10" max="10" width="10.85546875" style="14" customWidth="1"/>
    <col min="11" max="11" width="10.42578125" style="14" customWidth="1"/>
    <col min="12" max="12" width="13" style="14" customWidth="1"/>
    <col min="13" max="13" width="12" style="14" customWidth="1"/>
    <col min="14" max="14" width="8.140625" style="14" customWidth="1"/>
    <col min="15" max="15" width="13.85546875" style="14" customWidth="1"/>
    <col min="16" max="17" width="11.85546875" style="14" customWidth="1"/>
    <col min="18" max="18" width="14.42578125" style="14" hidden="1" customWidth="1"/>
    <col min="19" max="19" width="10.5703125" style="14" customWidth="1"/>
    <col min="20" max="20" width="10.85546875" style="14" customWidth="1"/>
    <col min="21" max="21" width="12.140625" style="14" customWidth="1"/>
    <col min="22" max="22" width="9.28515625" style="14" customWidth="1"/>
    <col min="23" max="23" width="11.7109375" style="14" customWidth="1"/>
    <col min="24" max="24" width="12.85546875" style="14" customWidth="1"/>
    <col min="25" max="26" width="9.140625" style="14" customWidth="1"/>
    <col min="27" max="259" width="9.140625" style="14"/>
    <col min="260" max="260" width="5.7109375" style="14" customWidth="1"/>
    <col min="261" max="261" width="13.140625" style="14" customWidth="1"/>
    <col min="262" max="262" width="12.28515625" style="14" customWidth="1"/>
    <col min="263" max="263" width="8.85546875" style="14" customWidth="1"/>
    <col min="264" max="264" width="10.85546875" style="14" customWidth="1"/>
    <col min="265" max="265" width="2.85546875" style="14" customWidth="1"/>
    <col min="266" max="266" width="12.140625" style="14" customWidth="1"/>
    <col min="267" max="267" width="10.140625" style="14" customWidth="1"/>
    <col min="268" max="268" width="11.7109375" style="14" customWidth="1"/>
    <col min="269" max="269" width="11.42578125" style="14" customWidth="1"/>
    <col min="270" max="270" width="12.7109375" style="14" customWidth="1"/>
    <col min="271" max="271" width="11.42578125" style="14" customWidth="1"/>
    <col min="272" max="272" width="10.7109375" style="14" customWidth="1"/>
    <col min="273" max="273" width="10.5703125" style="14" customWidth="1"/>
    <col min="274" max="274" width="11.28515625" style="14" customWidth="1"/>
    <col min="275" max="275" width="9.7109375" style="14" customWidth="1"/>
    <col min="276" max="276" width="12" style="14" customWidth="1"/>
    <col min="277" max="277" width="11.28515625" style="14" customWidth="1"/>
    <col min="278" max="515" width="9.140625" style="14"/>
    <col min="516" max="516" width="5.7109375" style="14" customWidth="1"/>
    <col min="517" max="517" width="13.140625" style="14" customWidth="1"/>
    <col min="518" max="518" width="12.28515625" style="14" customWidth="1"/>
    <col min="519" max="519" width="8.85546875" style="14" customWidth="1"/>
    <col min="520" max="520" width="10.85546875" style="14" customWidth="1"/>
    <col min="521" max="521" width="2.85546875" style="14" customWidth="1"/>
    <col min="522" max="522" width="12.140625" style="14" customWidth="1"/>
    <col min="523" max="523" width="10.140625" style="14" customWidth="1"/>
    <col min="524" max="524" width="11.7109375" style="14" customWidth="1"/>
    <col min="525" max="525" width="11.42578125" style="14" customWidth="1"/>
    <col min="526" max="526" width="12.7109375" style="14" customWidth="1"/>
    <col min="527" max="527" width="11.42578125" style="14" customWidth="1"/>
    <col min="528" max="528" width="10.7109375" style="14" customWidth="1"/>
    <col min="529" max="529" width="10.5703125" style="14" customWidth="1"/>
    <col min="530" max="530" width="11.28515625" style="14" customWidth="1"/>
    <col min="531" max="531" width="9.7109375" style="14" customWidth="1"/>
    <col min="532" max="532" width="12" style="14" customWidth="1"/>
    <col min="533" max="533" width="11.28515625" style="14" customWidth="1"/>
    <col min="534" max="771" width="9.140625" style="14"/>
    <col min="772" max="772" width="5.7109375" style="14" customWidth="1"/>
    <col min="773" max="773" width="13.140625" style="14" customWidth="1"/>
    <col min="774" max="774" width="12.28515625" style="14" customWidth="1"/>
    <col min="775" max="775" width="8.85546875" style="14" customWidth="1"/>
    <col min="776" max="776" width="10.85546875" style="14" customWidth="1"/>
    <col min="777" max="777" width="2.85546875" style="14" customWidth="1"/>
    <col min="778" max="778" width="12.140625" style="14" customWidth="1"/>
    <col min="779" max="779" width="10.140625" style="14" customWidth="1"/>
    <col min="780" max="780" width="11.7109375" style="14" customWidth="1"/>
    <col min="781" max="781" width="11.42578125" style="14" customWidth="1"/>
    <col min="782" max="782" width="12.7109375" style="14" customWidth="1"/>
    <col min="783" max="783" width="11.42578125" style="14" customWidth="1"/>
    <col min="784" max="784" width="10.7109375" style="14" customWidth="1"/>
    <col min="785" max="785" width="10.5703125" style="14" customWidth="1"/>
    <col min="786" max="786" width="11.28515625" style="14" customWidth="1"/>
    <col min="787" max="787" width="9.7109375" style="14" customWidth="1"/>
    <col min="788" max="788" width="12" style="14" customWidth="1"/>
    <col min="789" max="789" width="11.28515625" style="14" customWidth="1"/>
    <col min="790" max="1027" width="9.140625" style="14"/>
    <col min="1028" max="1028" width="5.7109375" style="14" customWidth="1"/>
    <col min="1029" max="1029" width="13.140625" style="14" customWidth="1"/>
    <col min="1030" max="1030" width="12.28515625" style="14" customWidth="1"/>
    <col min="1031" max="1031" width="8.85546875" style="14" customWidth="1"/>
    <col min="1032" max="1032" width="10.85546875" style="14" customWidth="1"/>
    <col min="1033" max="1033" width="2.85546875" style="14" customWidth="1"/>
    <col min="1034" max="1034" width="12.140625" style="14" customWidth="1"/>
    <col min="1035" max="1035" width="10.140625" style="14" customWidth="1"/>
    <col min="1036" max="1036" width="11.7109375" style="14" customWidth="1"/>
    <col min="1037" max="1037" width="11.42578125" style="14" customWidth="1"/>
    <col min="1038" max="1038" width="12.7109375" style="14" customWidth="1"/>
    <col min="1039" max="1039" width="11.42578125" style="14" customWidth="1"/>
    <col min="1040" max="1040" width="10.7109375" style="14" customWidth="1"/>
    <col min="1041" max="1041" width="10.5703125" style="14" customWidth="1"/>
    <col min="1042" max="1042" width="11.28515625" style="14" customWidth="1"/>
    <col min="1043" max="1043" width="9.7109375" style="14" customWidth="1"/>
    <col min="1044" max="1044" width="12" style="14" customWidth="1"/>
    <col min="1045" max="1045" width="11.28515625" style="14" customWidth="1"/>
    <col min="1046" max="1283" width="9.140625" style="14"/>
    <col min="1284" max="1284" width="5.7109375" style="14" customWidth="1"/>
    <col min="1285" max="1285" width="13.140625" style="14" customWidth="1"/>
    <col min="1286" max="1286" width="12.28515625" style="14" customWidth="1"/>
    <col min="1287" max="1287" width="8.85546875" style="14" customWidth="1"/>
    <col min="1288" max="1288" width="10.85546875" style="14" customWidth="1"/>
    <col min="1289" max="1289" width="2.85546875" style="14" customWidth="1"/>
    <col min="1290" max="1290" width="12.140625" style="14" customWidth="1"/>
    <col min="1291" max="1291" width="10.140625" style="14" customWidth="1"/>
    <col min="1292" max="1292" width="11.7109375" style="14" customWidth="1"/>
    <col min="1293" max="1293" width="11.42578125" style="14" customWidth="1"/>
    <col min="1294" max="1294" width="12.7109375" style="14" customWidth="1"/>
    <col min="1295" max="1295" width="11.42578125" style="14" customWidth="1"/>
    <col min="1296" max="1296" width="10.7109375" style="14" customWidth="1"/>
    <col min="1297" max="1297" width="10.5703125" style="14" customWidth="1"/>
    <col min="1298" max="1298" width="11.28515625" style="14" customWidth="1"/>
    <col min="1299" max="1299" width="9.7109375" style="14" customWidth="1"/>
    <col min="1300" max="1300" width="12" style="14" customWidth="1"/>
    <col min="1301" max="1301" width="11.28515625" style="14" customWidth="1"/>
    <col min="1302" max="1539" width="9.140625" style="14"/>
    <col min="1540" max="1540" width="5.7109375" style="14" customWidth="1"/>
    <col min="1541" max="1541" width="13.140625" style="14" customWidth="1"/>
    <col min="1542" max="1542" width="12.28515625" style="14" customWidth="1"/>
    <col min="1543" max="1543" width="8.85546875" style="14" customWidth="1"/>
    <col min="1544" max="1544" width="10.85546875" style="14" customWidth="1"/>
    <col min="1545" max="1545" width="2.85546875" style="14" customWidth="1"/>
    <col min="1546" max="1546" width="12.140625" style="14" customWidth="1"/>
    <col min="1547" max="1547" width="10.140625" style="14" customWidth="1"/>
    <col min="1548" max="1548" width="11.7109375" style="14" customWidth="1"/>
    <col min="1549" max="1549" width="11.42578125" style="14" customWidth="1"/>
    <col min="1550" max="1550" width="12.7109375" style="14" customWidth="1"/>
    <col min="1551" max="1551" width="11.42578125" style="14" customWidth="1"/>
    <col min="1552" max="1552" width="10.7109375" style="14" customWidth="1"/>
    <col min="1553" max="1553" width="10.5703125" style="14" customWidth="1"/>
    <col min="1554" max="1554" width="11.28515625" style="14" customWidth="1"/>
    <col min="1555" max="1555" width="9.7109375" style="14" customWidth="1"/>
    <col min="1556" max="1556" width="12" style="14" customWidth="1"/>
    <col min="1557" max="1557" width="11.28515625" style="14" customWidth="1"/>
    <col min="1558" max="1795" width="9.140625" style="14"/>
    <col min="1796" max="1796" width="5.7109375" style="14" customWidth="1"/>
    <col min="1797" max="1797" width="13.140625" style="14" customWidth="1"/>
    <col min="1798" max="1798" width="12.28515625" style="14" customWidth="1"/>
    <col min="1799" max="1799" width="8.85546875" style="14" customWidth="1"/>
    <col min="1800" max="1800" width="10.85546875" style="14" customWidth="1"/>
    <col min="1801" max="1801" width="2.85546875" style="14" customWidth="1"/>
    <col min="1802" max="1802" width="12.140625" style="14" customWidth="1"/>
    <col min="1803" max="1803" width="10.140625" style="14" customWidth="1"/>
    <col min="1804" max="1804" width="11.7109375" style="14" customWidth="1"/>
    <col min="1805" max="1805" width="11.42578125" style="14" customWidth="1"/>
    <col min="1806" max="1806" width="12.7109375" style="14" customWidth="1"/>
    <col min="1807" max="1807" width="11.42578125" style="14" customWidth="1"/>
    <col min="1808" max="1808" width="10.7109375" style="14" customWidth="1"/>
    <col min="1809" max="1809" width="10.5703125" style="14" customWidth="1"/>
    <col min="1810" max="1810" width="11.28515625" style="14" customWidth="1"/>
    <col min="1811" max="1811" width="9.7109375" style="14" customWidth="1"/>
    <col min="1812" max="1812" width="12" style="14" customWidth="1"/>
    <col min="1813" max="1813" width="11.28515625" style="14" customWidth="1"/>
    <col min="1814" max="2051" width="9.140625" style="14"/>
    <col min="2052" max="2052" width="5.7109375" style="14" customWidth="1"/>
    <col min="2053" max="2053" width="13.140625" style="14" customWidth="1"/>
    <col min="2054" max="2054" width="12.28515625" style="14" customWidth="1"/>
    <col min="2055" max="2055" width="8.85546875" style="14" customWidth="1"/>
    <col min="2056" max="2056" width="10.85546875" style="14" customWidth="1"/>
    <col min="2057" max="2057" width="2.85546875" style="14" customWidth="1"/>
    <col min="2058" max="2058" width="12.140625" style="14" customWidth="1"/>
    <col min="2059" max="2059" width="10.140625" style="14" customWidth="1"/>
    <col min="2060" max="2060" width="11.7109375" style="14" customWidth="1"/>
    <col min="2061" max="2061" width="11.42578125" style="14" customWidth="1"/>
    <col min="2062" max="2062" width="12.7109375" style="14" customWidth="1"/>
    <col min="2063" max="2063" width="11.42578125" style="14" customWidth="1"/>
    <col min="2064" max="2064" width="10.7109375" style="14" customWidth="1"/>
    <col min="2065" max="2065" width="10.5703125" style="14" customWidth="1"/>
    <col min="2066" max="2066" width="11.28515625" style="14" customWidth="1"/>
    <col min="2067" max="2067" width="9.7109375" style="14" customWidth="1"/>
    <col min="2068" max="2068" width="12" style="14" customWidth="1"/>
    <col min="2069" max="2069" width="11.28515625" style="14" customWidth="1"/>
    <col min="2070" max="2307" width="9.140625" style="14"/>
    <col min="2308" max="2308" width="5.7109375" style="14" customWidth="1"/>
    <col min="2309" max="2309" width="13.140625" style="14" customWidth="1"/>
    <col min="2310" max="2310" width="12.28515625" style="14" customWidth="1"/>
    <col min="2311" max="2311" width="8.85546875" style="14" customWidth="1"/>
    <col min="2312" max="2312" width="10.85546875" style="14" customWidth="1"/>
    <col min="2313" max="2313" width="2.85546875" style="14" customWidth="1"/>
    <col min="2314" max="2314" width="12.140625" style="14" customWidth="1"/>
    <col min="2315" max="2315" width="10.140625" style="14" customWidth="1"/>
    <col min="2316" max="2316" width="11.7109375" style="14" customWidth="1"/>
    <col min="2317" max="2317" width="11.42578125" style="14" customWidth="1"/>
    <col min="2318" max="2318" width="12.7109375" style="14" customWidth="1"/>
    <col min="2319" max="2319" width="11.42578125" style="14" customWidth="1"/>
    <col min="2320" max="2320" width="10.7109375" style="14" customWidth="1"/>
    <col min="2321" max="2321" width="10.5703125" style="14" customWidth="1"/>
    <col min="2322" max="2322" width="11.28515625" style="14" customWidth="1"/>
    <col min="2323" max="2323" width="9.7109375" style="14" customWidth="1"/>
    <col min="2324" max="2324" width="12" style="14" customWidth="1"/>
    <col min="2325" max="2325" width="11.28515625" style="14" customWidth="1"/>
    <col min="2326" max="2563" width="9.140625" style="14"/>
    <col min="2564" max="2564" width="5.7109375" style="14" customWidth="1"/>
    <col min="2565" max="2565" width="13.140625" style="14" customWidth="1"/>
    <col min="2566" max="2566" width="12.28515625" style="14" customWidth="1"/>
    <col min="2567" max="2567" width="8.85546875" style="14" customWidth="1"/>
    <col min="2568" max="2568" width="10.85546875" style="14" customWidth="1"/>
    <col min="2569" max="2569" width="2.85546875" style="14" customWidth="1"/>
    <col min="2570" max="2570" width="12.140625" style="14" customWidth="1"/>
    <col min="2571" max="2571" width="10.140625" style="14" customWidth="1"/>
    <col min="2572" max="2572" width="11.7109375" style="14" customWidth="1"/>
    <col min="2573" max="2573" width="11.42578125" style="14" customWidth="1"/>
    <col min="2574" max="2574" width="12.7109375" style="14" customWidth="1"/>
    <col min="2575" max="2575" width="11.42578125" style="14" customWidth="1"/>
    <col min="2576" max="2576" width="10.7109375" style="14" customWidth="1"/>
    <col min="2577" max="2577" width="10.5703125" style="14" customWidth="1"/>
    <col min="2578" max="2578" width="11.28515625" style="14" customWidth="1"/>
    <col min="2579" max="2579" width="9.7109375" style="14" customWidth="1"/>
    <col min="2580" max="2580" width="12" style="14" customWidth="1"/>
    <col min="2581" max="2581" width="11.28515625" style="14" customWidth="1"/>
    <col min="2582" max="2819" width="9.140625" style="14"/>
    <col min="2820" max="2820" width="5.7109375" style="14" customWidth="1"/>
    <col min="2821" max="2821" width="13.140625" style="14" customWidth="1"/>
    <col min="2822" max="2822" width="12.28515625" style="14" customWidth="1"/>
    <col min="2823" max="2823" width="8.85546875" style="14" customWidth="1"/>
    <col min="2824" max="2824" width="10.85546875" style="14" customWidth="1"/>
    <col min="2825" max="2825" width="2.85546875" style="14" customWidth="1"/>
    <col min="2826" max="2826" width="12.140625" style="14" customWidth="1"/>
    <col min="2827" max="2827" width="10.140625" style="14" customWidth="1"/>
    <col min="2828" max="2828" width="11.7109375" style="14" customWidth="1"/>
    <col min="2829" max="2829" width="11.42578125" style="14" customWidth="1"/>
    <col min="2830" max="2830" width="12.7109375" style="14" customWidth="1"/>
    <col min="2831" max="2831" width="11.42578125" style="14" customWidth="1"/>
    <col min="2832" max="2832" width="10.7109375" style="14" customWidth="1"/>
    <col min="2833" max="2833" width="10.5703125" style="14" customWidth="1"/>
    <col min="2834" max="2834" width="11.28515625" style="14" customWidth="1"/>
    <col min="2835" max="2835" width="9.7109375" style="14" customWidth="1"/>
    <col min="2836" max="2836" width="12" style="14" customWidth="1"/>
    <col min="2837" max="2837" width="11.28515625" style="14" customWidth="1"/>
    <col min="2838" max="3075" width="9.140625" style="14"/>
    <col min="3076" max="3076" width="5.7109375" style="14" customWidth="1"/>
    <col min="3077" max="3077" width="13.140625" style="14" customWidth="1"/>
    <col min="3078" max="3078" width="12.28515625" style="14" customWidth="1"/>
    <col min="3079" max="3079" width="8.85546875" style="14" customWidth="1"/>
    <col min="3080" max="3080" width="10.85546875" style="14" customWidth="1"/>
    <col min="3081" max="3081" width="2.85546875" style="14" customWidth="1"/>
    <col min="3082" max="3082" width="12.140625" style="14" customWidth="1"/>
    <col min="3083" max="3083" width="10.140625" style="14" customWidth="1"/>
    <col min="3084" max="3084" width="11.7109375" style="14" customWidth="1"/>
    <col min="3085" max="3085" width="11.42578125" style="14" customWidth="1"/>
    <col min="3086" max="3086" width="12.7109375" style="14" customWidth="1"/>
    <col min="3087" max="3087" width="11.42578125" style="14" customWidth="1"/>
    <col min="3088" max="3088" width="10.7109375" style="14" customWidth="1"/>
    <col min="3089" max="3089" width="10.5703125" style="14" customWidth="1"/>
    <col min="3090" max="3090" width="11.28515625" style="14" customWidth="1"/>
    <col min="3091" max="3091" width="9.7109375" style="14" customWidth="1"/>
    <col min="3092" max="3092" width="12" style="14" customWidth="1"/>
    <col min="3093" max="3093" width="11.28515625" style="14" customWidth="1"/>
    <col min="3094" max="3331" width="9.140625" style="14"/>
    <col min="3332" max="3332" width="5.7109375" style="14" customWidth="1"/>
    <col min="3333" max="3333" width="13.140625" style="14" customWidth="1"/>
    <col min="3334" max="3334" width="12.28515625" style="14" customWidth="1"/>
    <col min="3335" max="3335" width="8.85546875" style="14" customWidth="1"/>
    <col min="3336" max="3336" width="10.85546875" style="14" customWidth="1"/>
    <col min="3337" max="3337" width="2.85546875" style="14" customWidth="1"/>
    <col min="3338" max="3338" width="12.140625" style="14" customWidth="1"/>
    <col min="3339" max="3339" width="10.140625" style="14" customWidth="1"/>
    <col min="3340" max="3340" width="11.7109375" style="14" customWidth="1"/>
    <col min="3341" max="3341" width="11.42578125" style="14" customWidth="1"/>
    <col min="3342" max="3342" width="12.7109375" style="14" customWidth="1"/>
    <col min="3343" max="3343" width="11.42578125" style="14" customWidth="1"/>
    <col min="3344" max="3344" width="10.7109375" style="14" customWidth="1"/>
    <col min="3345" max="3345" width="10.5703125" style="14" customWidth="1"/>
    <col min="3346" max="3346" width="11.28515625" style="14" customWidth="1"/>
    <col min="3347" max="3347" width="9.7109375" style="14" customWidth="1"/>
    <col min="3348" max="3348" width="12" style="14" customWidth="1"/>
    <col min="3349" max="3349" width="11.28515625" style="14" customWidth="1"/>
    <col min="3350" max="3587" width="9.140625" style="14"/>
    <col min="3588" max="3588" width="5.7109375" style="14" customWidth="1"/>
    <col min="3589" max="3589" width="13.140625" style="14" customWidth="1"/>
    <col min="3590" max="3590" width="12.28515625" style="14" customWidth="1"/>
    <col min="3591" max="3591" width="8.85546875" style="14" customWidth="1"/>
    <col min="3592" max="3592" width="10.85546875" style="14" customWidth="1"/>
    <col min="3593" max="3593" width="2.85546875" style="14" customWidth="1"/>
    <col min="3594" max="3594" width="12.140625" style="14" customWidth="1"/>
    <col min="3595" max="3595" width="10.140625" style="14" customWidth="1"/>
    <col min="3596" max="3596" width="11.7109375" style="14" customWidth="1"/>
    <col min="3597" max="3597" width="11.42578125" style="14" customWidth="1"/>
    <col min="3598" max="3598" width="12.7109375" style="14" customWidth="1"/>
    <col min="3599" max="3599" width="11.42578125" style="14" customWidth="1"/>
    <col min="3600" max="3600" width="10.7109375" style="14" customWidth="1"/>
    <col min="3601" max="3601" width="10.5703125" style="14" customWidth="1"/>
    <col min="3602" max="3602" width="11.28515625" style="14" customWidth="1"/>
    <col min="3603" max="3603" width="9.7109375" style="14" customWidth="1"/>
    <col min="3604" max="3604" width="12" style="14" customWidth="1"/>
    <col min="3605" max="3605" width="11.28515625" style="14" customWidth="1"/>
    <col min="3606" max="3843" width="9.140625" style="14"/>
    <col min="3844" max="3844" width="5.7109375" style="14" customWidth="1"/>
    <col min="3845" max="3845" width="13.140625" style="14" customWidth="1"/>
    <col min="3846" max="3846" width="12.28515625" style="14" customWidth="1"/>
    <col min="3847" max="3847" width="8.85546875" style="14" customWidth="1"/>
    <col min="3848" max="3848" width="10.85546875" style="14" customWidth="1"/>
    <col min="3849" max="3849" width="2.85546875" style="14" customWidth="1"/>
    <col min="3850" max="3850" width="12.140625" style="14" customWidth="1"/>
    <col min="3851" max="3851" width="10.140625" style="14" customWidth="1"/>
    <col min="3852" max="3852" width="11.7109375" style="14" customWidth="1"/>
    <col min="3853" max="3853" width="11.42578125" style="14" customWidth="1"/>
    <col min="3854" max="3854" width="12.7109375" style="14" customWidth="1"/>
    <col min="3855" max="3855" width="11.42578125" style="14" customWidth="1"/>
    <col min="3856" max="3856" width="10.7109375" style="14" customWidth="1"/>
    <col min="3857" max="3857" width="10.5703125" style="14" customWidth="1"/>
    <col min="3858" max="3858" width="11.28515625" style="14" customWidth="1"/>
    <col min="3859" max="3859" width="9.7109375" style="14" customWidth="1"/>
    <col min="3860" max="3860" width="12" style="14" customWidth="1"/>
    <col min="3861" max="3861" width="11.28515625" style="14" customWidth="1"/>
    <col min="3862" max="4099" width="9.140625" style="14"/>
    <col min="4100" max="4100" width="5.7109375" style="14" customWidth="1"/>
    <col min="4101" max="4101" width="13.140625" style="14" customWidth="1"/>
    <col min="4102" max="4102" width="12.28515625" style="14" customWidth="1"/>
    <col min="4103" max="4103" width="8.85546875" style="14" customWidth="1"/>
    <col min="4104" max="4104" width="10.85546875" style="14" customWidth="1"/>
    <col min="4105" max="4105" width="2.85546875" style="14" customWidth="1"/>
    <col min="4106" max="4106" width="12.140625" style="14" customWidth="1"/>
    <col min="4107" max="4107" width="10.140625" style="14" customWidth="1"/>
    <col min="4108" max="4108" width="11.7109375" style="14" customWidth="1"/>
    <col min="4109" max="4109" width="11.42578125" style="14" customWidth="1"/>
    <col min="4110" max="4110" width="12.7109375" style="14" customWidth="1"/>
    <col min="4111" max="4111" width="11.42578125" style="14" customWidth="1"/>
    <col min="4112" max="4112" width="10.7109375" style="14" customWidth="1"/>
    <col min="4113" max="4113" width="10.5703125" style="14" customWidth="1"/>
    <col min="4114" max="4114" width="11.28515625" style="14" customWidth="1"/>
    <col min="4115" max="4115" width="9.7109375" style="14" customWidth="1"/>
    <col min="4116" max="4116" width="12" style="14" customWidth="1"/>
    <col min="4117" max="4117" width="11.28515625" style="14" customWidth="1"/>
    <col min="4118" max="4355" width="9.140625" style="14"/>
    <col min="4356" max="4356" width="5.7109375" style="14" customWidth="1"/>
    <col min="4357" max="4357" width="13.140625" style="14" customWidth="1"/>
    <col min="4358" max="4358" width="12.28515625" style="14" customWidth="1"/>
    <col min="4359" max="4359" width="8.85546875" style="14" customWidth="1"/>
    <col min="4360" max="4360" width="10.85546875" style="14" customWidth="1"/>
    <col min="4361" max="4361" width="2.85546875" style="14" customWidth="1"/>
    <col min="4362" max="4362" width="12.140625" style="14" customWidth="1"/>
    <col min="4363" max="4363" width="10.140625" style="14" customWidth="1"/>
    <col min="4364" max="4364" width="11.7109375" style="14" customWidth="1"/>
    <col min="4365" max="4365" width="11.42578125" style="14" customWidth="1"/>
    <col min="4366" max="4366" width="12.7109375" style="14" customWidth="1"/>
    <col min="4367" max="4367" width="11.42578125" style="14" customWidth="1"/>
    <col min="4368" max="4368" width="10.7109375" style="14" customWidth="1"/>
    <col min="4369" max="4369" width="10.5703125" style="14" customWidth="1"/>
    <col min="4370" max="4370" width="11.28515625" style="14" customWidth="1"/>
    <col min="4371" max="4371" width="9.7109375" style="14" customWidth="1"/>
    <col min="4372" max="4372" width="12" style="14" customWidth="1"/>
    <col min="4373" max="4373" width="11.28515625" style="14" customWidth="1"/>
    <col min="4374" max="4611" width="9.140625" style="14"/>
    <col min="4612" max="4612" width="5.7109375" style="14" customWidth="1"/>
    <col min="4613" max="4613" width="13.140625" style="14" customWidth="1"/>
    <col min="4614" max="4614" width="12.28515625" style="14" customWidth="1"/>
    <col min="4615" max="4615" width="8.85546875" style="14" customWidth="1"/>
    <col min="4616" max="4616" width="10.85546875" style="14" customWidth="1"/>
    <col min="4617" max="4617" width="2.85546875" style="14" customWidth="1"/>
    <col min="4618" max="4618" width="12.140625" style="14" customWidth="1"/>
    <col min="4619" max="4619" width="10.140625" style="14" customWidth="1"/>
    <col min="4620" max="4620" width="11.7109375" style="14" customWidth="1"/>
    <col min="4621" max="4621" width="11.42578125" style="14" customWidth="1"/>
    <col min="4622" max="4622" width="12.7109375" style="14" customWidth="1"/>
    <col min="4623" max="4623" width="11.42578125" style="14" customWidth="1"/>
    <col min="4624" max="4624" width="10.7109375" style="14" customWidth="1"/>
    <col min="4625" max="4625" width="10.5703125" style="14" customWidth="1"/>
    <col min="4626" max="4626" width="11.28515625" style="14" customWidth="1"/>
    <col min="4627" max="4627" width="9.7109375" style="14" customWidth="1"/>
    <col min="4628" max="4628" width="12" style="14" customWidth="1"/>
    <col min="4629" max="4629" width="11.28515625" style="14" customWidth="1"/>
    <col min="4630" max="4867" width="9.140625" style="14"/>
    <col min="4868" max="4868" width="5.7109375" style="14" customWidth="1"/>
    <col min="4869" max="4869" width="13.140625" style="14" customWidth="1"/>
    <col min="4870" max="4870" width="12.28515625" style="14" customWidth="1"/>
    <col min="4871" max="4871" width="8.85546875" style="14" customWidth="1"/>
    <col min="4872" max="4872" width="10.85546875" style="14" customWidth="1"/>
    <col min="4873" max="4873" width="2.85546875" style="14" customWidth="1"/>
    <col min="4874" max="4874" width="12.140625" style="14" customWidth="1"/>
    <col min="4875" max="4875" width="10.140625" style="14" customWidth="1"/>
    <col min="4876" max="4876" width="11.7109375" style="14" customWidth="1"/>
    <col min="4877" max="4877" width="11.42578125" style="14" customWidth="1"/>
    <col min="4878" max="4878" width="12.7109375" style="14" customWidth="1"/>
    <col min="4879" max="4879" width="11.42578125" style="14" customWidth="1"/>
    <col min="4880" max="4880" width="10.7109375" style="14" customWidth="1"/>
    <col min="4881" max="4881" width="10.5703125" style="14" customWidth="1"/>
    <col min="4882" max="4882" width="11.28515625" style="14" customWidth="1"/>
    <col min="4883" max="4883" width="9.7109375" style="14" customWidth="1"/>
    <col min="4884" max="4884" width="12" style="14" customWidth="1"/>
    <col min="4885" max="4885" width="11.28515625" style="14" customWidth="1"/>
    <col min="4886" max="5123" width="9.140625" style="14"/>
    <col min="5124" max="5124" width="5.7109375" style="14" customWidth="1"/>
    <col min="5125" max="5125" width="13.140625" style="14" customWidth="1"/>
    <col min="5126" max="5126" width="12.28515625" style="14" customWidth="1"/>
    <col min="5127" max="5127" width="8.85546875" style="14" customWidth="1"/>
    <col min="5128" max="5128" width="10.85546875" style="14" customWidth="1"/>
    <col min="5129" max="5129" width="2.85546875" style="14" customWidth="1"/>
    <col min="5130" max="5130" width="12.140625" style="14" customWidth="1"/>
    <col min="5131" max="5131" width="10.140625" style="14" customWidth="1"/>
    <col min="5132" max="5132" width="11.7109375" style="14" customWidth="1"/>
    <col min="5133" max="5133" width="11.42578125" style="14" customWidth="1"/>
    <col min="5134" max="5134" width="12.7109375" style="14" customWidth="1"/>
    <col min="5135" max="5135" width="11.42578125" style="14" customWidth="1"/>
    <col min="5136" max="5136" width="10.7109375" style="14" customWidth="1"/>
    <col min="5137" max="5137" width="10.5703125" style="14" customWidth="1"/>
    <col min="5138" max="5138" width="11.28515625" style="14" customWidth="1"/>
    <col min="5139" max="5139" width="9.7109375" style="14" customWidth="1"/>
    <col min="5140" max="5140" width="12" style="14" customWidth="1"/>
    <col min="5141" max="5141" width="11.28515625" style="14" customWidth="1"/>
    <col min="5142" max="5379" width="9.140625" style="14"/>
    <col min="5380" max="5380" width="5.7109375" style="14" customWidth="1"/>
    <col min="5381" max="5381" width="13.140625" style="14" customWidth="1"/>
    <col min="5382" max="5382" width="12.28515625" style="14" customWidth="1"/>
    <col min="5383" max="5383" width="8.85546875" style="14" customWidth="1"/>
    <col min="5384" max="5384" width="10.85546875" style="14" customWidth="1"/>
    <col min="5385" max="5385" width="2.85546875" style="14" customWidth="1"/>
    <col min="5386" max="5386" width="12.140625" style="14" customWidth="1"/>
    <col min="5387" max="5387" width="10.140625" style="14" customWidth="1"/>
    <col min="5388" max="5388" width="11.7109375" style="14" customWidth="1"/>
    <col min="5389" max="5389" width="11.42578125" style="14" customWidth="1"/>
    <col min="5390" max="5390" width="12.7109375" style="14" customWidth="1"/>
    <col min="5391" max="5391" width="11.42578125" style="14" customWidth="1"/>
    <col min="5392" max="5392" width="10.7109375" style="14" customWidth="1"/>
    <col min="5393" max="5393" width="10.5703125" style="14" customWidth="1"/>
    <col min="5394" max="5394" width="11.28515625" style="14" customWidth="1"/>
    <col min="5395" max="5395" width="9.7109375" style="14" customWidth="1"/>
    <col min="5396" max="5396" width="12" style="14" customWidth="1"/>
    <col min="5397" max="5397" width="11.28515625" style="14" customWidth="1"/>
    <col min="5398" max="5635" width="9.140625" style="14"/>
    <col min="5636" max="5636" width="5.7109375" style="14" customWidth="1"/>
    <col min="5637" max="5637" width="13.140625" style="14" customWidth="1"/>
    <col min="5638" max="5638" width="12.28515625" style="14" customWidth="1"/>
    <col min="5639" max="5639" width="8.85546875" style="14" customWidth="1"/>
    <col min="5640" max="5640" width="10.85546875" style="14" customWidth="1"/>
    <col min="5641" max="5641" width="2.85546875" style="14" customWidth="1"/>
    <col min="5642" max="5642" width="12.140625" style="14" customWidth="1"/>
    <col min="5643" max="5643" width="10.140625" style="14" customWidth="1"/>
    <col min="5644" max="5644" width="11.7109375" style="14" customWidth="1"/>
    <col min="5645" max="5645" width="11.42578125" style="14" customWidth="1"/>
    <col min="5646" max="5646" width="12.7109375" style="14" customWidth="1"/>
    <col min="5647" max="5647" width="11.42578125" style="14" customWidth="1"/>
    <col min="5648" max="5648" width="10.7109375" style="14" customWidth="1"/>
    <col min="5649" max="5649" width="10.5703125" style="14" customWidth="1"/>
    <col min="5650" max="5650" width="11.28515625" style="14" customWidth="1"/>
    <col min="5651" max="5651" width="9.7109375" style="14" customWidth="1"/>
    <col min="5652" max="5652" width="12" style="14" customWidth="1"/>
    <col min="5653" max="5653" width="11.28515625" style="14" customWidth="1"/>
    <col min="5654" max="5891" width="9.140625" style="14"/>
    <col min="5892" max="5892" width="5.7109375" style="14" customWidth="1"/>
    <col min="5893" max="5893" width="13.140625" style="14" customWidth="1"/>
    <col min="5894" max="5894" width="12.28515625" style="14" customWidth="1"/>
    <col min="5895" max="5895" width="8.85546875" style="14" customWidth="1"/>
    <col min="5896" max="5896" width="10.85546875" style="14" customWidth="1"/>
    <col min="5897" max="5897" width="2.85546875" style="14" customWidth="1"/>
    <col min="5898" max="5898" width="12.140625" style="14" customWidth="1"/>
    <col min="5899" max="5899" width="10.140625" style="14" customWidth="1"/>
    <col min="5900" max="5900" width="11.7109375" style="14" customWidth="1"/>
    <col min="5901" max="5901" width="11.42578125" style="14" customWidth="1"/>
    <col min="5902" max="5902" width="12.7109375" style="14" customWidth="1"/>
    <col min="5903" max="5903" width="11.42578125" style="14" customWidth="1"/>
    <col min="5904" max="5904" width="10.7109375" style="14" customWidth="1"/>
    <col min="5905" max="5905" width="10.5703125" style="14" customWidth="1"/>
    <col min="5906" max="5906" width="11.28515625" style="14" customWidth="1"/>
    <col min="5907" max="5907" width="9.7109375" style="14" customWidth="1"/>
    <col min="5908" max="5908" width="12" style="14" customWidth="1"/>
    <col min="5909" max="5909" width="11.28515625" style="14" customWidth="1"/>
    <col min="5910" max="6147" width="9.140625" style="14"/>
    <col min="6148" max="6148" width="5.7109375" style="14" customWidth="1"/>
    <col min="6149" max="6149" width="13.140625" style="14" customWidth="1"/>
    <col min="6150" max="6150" width="12.28515625" style="14" customWidth="1"/>
    <col min="6151" max="6151" width="8.85546875" style="14" customWidth="1"/>
    <col min="6152" max="6152" width="10.85546875" style="14" customWidth="1"/>
    <col min="6153" max="6153" width="2.85546875" style="14" customWidth="1"/>
    <col min="6154" max="6154" width="12.140625" style="14" customWidth="1"/>
    <col min="6155" max="6155" width="10.140625" style="14" customWidth="1"/>
    <col min="6156" max="6156" width="11.7109375" style="14" customWidth="1"/>
    <col min="6157" max="6157" width="11.42578125" style="14" customWidth="1"/>
    <col min="6158" max="6158" width="12.7109375" style="14" customWidth="1"/>
    <col min="6159" max="6159" width="11.42578125" style="14" customWidth="1"/>
    <col min="6160" max="6160" width="10.7109375" style="14" customWidth="1"/>
    <col min="6161" max="6161" width="10.5703125" style="14" customWidth="1"/>
    <col min="6162" max="6162" width="11.28515625" style="14" customWidth="1"/>
    <col min="6163" max="6163" width="9.7109375" style="14" customWidth="1"/>
    <col min="6164" max="6164" width="12" style="14" customWidth="1"/>
    <col min="6165" max="6165" width="11.28515625" style="14" customWidth="1"/>
    <col min="6166" max="6403" width="9.140625" style="14"/>
    <col min="6404" max="6404" width="5.7109375" style="14" customWidth="1"/>
    <col min="6405" max="6405" width="13.140625" style="14" customWidth="1"/>
    <col min="6406" max="6406" width="12.28515625" style="14" customWidth="1"/>
    <col min="6407" max="6407" width="8.85546875" style="14" customWidth="1"/>
    <col min="6408" max="6408" width="10.85546875" style="14" customWidth="1"/>
    <col min="6409" max="6409" width="2.85546875" style="14" customWidth="1"/>
    <col min="6410" max="6410" width="12.140625" style="14" customWidth="1"/>
    <col min="6411" max="6411" width="10.140625" style="14" customWidth="1"/>
    <col min="6412" max="6412" width="11.7109375" style="14" customWidth="1"/>
    <col min="6413" max="6413" width="11.42578125" style="14" customWidth="1"/>
    <col min="6414" max="6414" width="12.7109375" style="14" customWidth="1"/>
    <col min="6415" max="6415" width="11.42578125" style="14" customWidth="1"/>
    <col min="6416" max="6416" width="10.7109375" style="14" customWidth="1"/>
    <col min="6417" max="6417" width="10.5703125" style="14" customWidth="1"/>
    <col min="6418" max="6418" width="11.28515625" style="14" customWidth="1"/>
    <col min="6419" max="6419" width="9.7109375" style="14" customWidth="1"/>
    <col min="6420" max="6420" width="12" style="14" customWidth="1"/>
    <col min="6421" max="6421" width="11.28515625" style="14" customWidth="1"/>
    <col min="6422" max="6659" width="9.140625" style="14"/>
    <col min="6660" max="6660" width="5.7109375" style="14" customWidth="1"/>
    <col min="6661" max="6661" width="13.140625" style="14" customWidth="1"/>
    <col min="6662" max="6662" width="12.28515625" style="14" customWidth="1"/>
    <col min="6663" max="6663" width="8.85546875" style="14" customWidth="1"/>
    <col min="6664" max="6664" width="10.85546875" style="14" customWidth="1"/>
    <col min="6665" max="6665" width="2.85546875" style="14" customWidth="1"/>
    <col min="6666" max="6666" width="12.140625" style="14" customWidth="1"/>
    <col min="6667" max="6667" width="10.140625" style="14" customWidth="1"/>
    <col min="6668" max="6668" width="11.7109375" style="14" customWidth="1"/>
    <col min="6669" max="6669" width="11.42578125" style="14" customWidth="1"/>
    <col min="6670" max="6670" width="12.7109375" style="14" customWidth="1"/>
    <col min="6671" max="6671" width="11.42578125" style="14" customWidth="1"/>
    <col min="6672" max="6672" width="10.7109375" style="14" customWidth="1"/>
    <col min="6673" max="6673" width="10.5703125" style="14" customWidth="1"/>
    <col min="6674" max="6674" width="11.28515625" style="14" customWidth="1"/>
    <col min="6675" max="6675" width="9.7109375" style="14" customWidth="1"/>
    <col min="6676" max="6676" width="12" style="14" customWidth="1"/>
    <col min="6677" max="6677" width="11.28515625" style="14" customWidth="1"/>
    <col min="6678" max="6915" width="9.140625" style="14"/>
    <col min="6916" max="6916" width="5.7109375" style="14" customWidth="1"/>
    <col min="6917" max="6917" width="13.140625" style="14" customWidth="1"/>
    <col min="6918" max="6918" width="12.28515625" style="14" customWidth="1"/>
    <col min="6919" max="6919" width="8.85546875" style="14" customWidth="1"/>
    <col min="6920" max="6920" width="10.85546875" style="14" customWidth="1"/>
    <col min="6921" max="6921" width="2.85546875" style="14" customWidth="1"/>
    <col min="6922" max="6922" width="12.140625" style="14" customWidth="1"/>
    <col min="6923" max="6923" width="10.140625" style="14" customWidth="1"/>
    <col min="6924" max="6924" width="11.7109375" style="14" customWidth="1"/>
    <col min="6925" max="6925" width="11.42578125" style="14" customWidth="1"/>
    <col min="6926" max="6926" width="12.7109375" style="14" customWidth="1"/>
    <col min="6927" max="6927" width="11.42578125" style="14" customWidth="1"/>
    <col min="6928" max="6928" width="10.7109375" style="14" customWidth="1"/>
    <col min="6929" max="6929" width="10.5703125" style="14" customWidth="1"/>
    <col min="6930" max="6930" width="11.28515625" style="14" customWidth="1"/>
    <col min="6931" max="6931" width="9.7109375" style="14" customWidth="1"/>
    <col min="6932" max="6932" width="12" style="14" customWidth="1"/>
    <col min="6933" max="6933" width="11.28515625" style="14" customWidth="1"/>
    <col min="6934" max="7171" width="9.140625" style="14"/>
    <col min="7172" max="7172" width="5.7109375" style="14" customWidth="1"/>
    <col min="7173" max="7173" width="13.140625" style="14" customWidth="1"/>
    <col min="7174" max="7174" width="12.28515625" style="14" customWidth="1"/>
    <col min="7175" max="7175" width="8.85546875" style="14" customWidth="1"/>
    <col min="7176" max="7176" width="10.85546875" style="14" customWidth="1"/>
    <col min="7177" max="7177" width="2.85546875" style="14" customWidth="1"/>
    <col min="7178" max="7178" width="12.140625" style="14" customWidth="1"/>
    <col min="7179" max="7179" width="10.140625" style="14" customWidth="1"/>
    <col min="7180" max="7180" width="11.7109375" style="14" customWidth="1"/>
    <col min="7181" max="7181" width="11.42578125" style="14" customWidth="1"/>
    <col min="7182" max="7182" width="12.7109375" style="14" customWidth="1"/>
    <col min="7183" max="7183" width="11.42578125" style="14" customWidth="1"/>
    <col min="7184" max="7184" width="10.7109375" style="14" customWidth="1"/>
    <col min="7185" max="7185" width="10.5703125" style="14" customWidth="1"/>
    <col min="7186" max="7186" width="11.28515625" style="14" customWidth="1"/>
    <col min="7187" max="7187" width="9.7109375" style="14" customWidth="1"/>
    <col min="7188" max="7188" width="12" style="14" customWidth="1"/>
    <col min="7189" max="7189" width="11.28515625" style="14" customWidth="1"/>
    <col min="7190" max="7427" width="9.140625" style="14"/>
    <col min="7428" max="7428" width="5.7109375" style="14" customWidth="1"/>
    <col min="7429" max="7429" width="13.140625" style="14" customWidth="1"/>
    <col min="7430" max="7430" width="12.28515625" style="14" customWidth="1"/>
    <col min="7431" max="7431" width="8.85546875" style="14" customWidth="1"/>
    <col min="7432" max="7432" width="10.85546875" style="14" customWidth="1"/>
    <col min="7433" max="7433" width="2.85546875" style="14" customWidth="1"/>
    <col min="7434" max="7434" width="12.140625" style="14" customWidth="1"/>
    <col min="7435" max="7435" width="10.140625" style="14" customWidth="1"/>
    <col min="7436" max="7436" width="11.7109375" style="14" customWidth="1"/>
    <col min="7437" max="7437" width="11.42578125" style="14" customWidth="1"/>
    <col min="7438" max="7438" width="12.7109375" style="14" customWidth="1"/>
    <col min="7439" max="7439" width="11.42578125" style="14" customWidth="1"/>
    <col min="7440" max="7440" width="10.7109375" style="14" customWidth="1"/>
    <col min="7441" max="7441" width="10.5703125" style="14" customWidth="1"/>
    <col min="7442" max="7442" width="11.28515625" style="14" customWidth="1"/>
    <col min="7443" max="7443" width="9.7109375" style="14" customWidth="1"/>
    <col min="7444" max="7444" width="12" style="14" customWidth="1"/>
    <col min="7445" max="7445" width="11.28515625" style="14" customWidth="1"/>
    <col min="7446" max="7683" width="9.140625" style="14"/>
    <col min="7684" max="7684" width="5.7109375" style="14" customWidth="1"/>
    <col min="7685" max="7685" width="13.140625" style="14" customWidth="1"/>
    <col min="7686" max="7686" width="12.28515625" style="14" customWidth="1"/>
    <col min="7687" max="7687" width="8.85546875" style="14" customWidth="1"/>
    <col min="7688" max="7688" width="10.85546875" style="14" customWidth="1"/>
    <col min="7689" max="7689" width="2.85546875" style="14" customWidth="1"/>
    <col min="7690" max="7690" width="12.140625" style="14" customWidth="1"/>
    <col min="7691" max="7691" width="10.140625" style="14" customWidth="1"/>
    <col min="7692" max="7692" width="11.7109375" style="14" customWidth="1"/>
    <col min="7693" max="7693" width="11.42578125" style="14" customWidth="1"/>
    <col min="7694" max="7694" width="12.7109375" style="14" customWidth="1"/>
    <col min="7695" max="7695" width="11.42578125" style="14" customWidth="1"/>
    <col min="7696" max="7696" width="10.7109375" style="14" customWidth="1"/>
    <col min="7697" max="7697" width="10.5703125" style="14" customWidth="1"/>
    <col min="7698" max="7698" width="11.28515625" style="14" customWidth="1"/>
    <col min="7699" max="7699" width="9.7109375" style="14" customWidth="1"/>
    <col min="7700" max="7700" width="12" style="14" customWidth="1"/>
    <col min="7701" max="7701" width="11.28515625" style="14" customWidth="1"/>
    <col min="7702" max="7939" width="9.140625" style="14"/>
    <col min="7940" max="7940" width="5.7109375" style="14" customWidth="1"/>
    <col min="7941" max="7941" width="13.140625" style="14" customWidth="1"/>
    <col min="7942" max="7942" width="12.28515625" style="14" customWidth="1"/>
    <col min="7943" max="7943" width="8.85546875" style="14" customWidth="1"/>
    <col min="7944" max="7944" width="10.85546875" style="14" customWidth="1"/>
    <col min="7945" max="7945" width="2.85546875" style="14" customWidth="1"/>
    <col min="7946" max="7946" width="12.140625" style="14" customWidth="1"/>
    <col min="7947" max="7947" width="10.140625" style="14" customWidth="1"/>
    <col min="7948" max="7948" width="11.7109375" style="14" customWidth="1"/>
    <col min="7949" max="7949" width="11.42578125" style="14" customWidth="1"/>
    <col min="7950" max="7950" width="12.7109375" style="14" customWidth="1"/>
    <col min="7951" max="7951" width="11.42578125" style="14" customWidth="1"/>
    <col min="7952" max="7952" width="10.7109375" style="14" customWidth="1"/>
    <col min="7953" max="7953" width="10.5703125" style="14" customWidth="1"/>
    <col min="7954" max="7954" width="11.28515625" style="14" customWidth="1"/>
    <col min="7955" max="7955" width="9.7109375" style="14" customWidth="1"/>
    <col min="7956" max="7956" width="12" style="14" customWidth="1"/>
    <col min="7957" max="7957" width="11.28515625" style="14" customWidth="1"/>
    <col min="7958" max="8195" width="9.140625" style="14"/>
    <col min="8196" max="8196" width="5.7109375" style="14" customWidth="1"/>
    <col min="8197" max="8197" width="13.140625" style="14" customWidth="1"/>
    <col min="8198" max="8198" width="12.28515625" style="14" customWidth="1"/>
    <col min="8199" max="8199" width="8.85546875" style="14" customWidth="1"/>
    <col min="8200" max="8200" width="10.85546875" style="14" customWidth="1"/>
    <col min="8201" max="8201" width="2.85546875" style="14" customWidth="1"/>
    <col min="8202" max="8202" width="12.140625" style="14" customWidth="1"/>
    <col min="8203" max="8203" width="10.140625" style="14" customWidth="1"/>
    <col min="8204" max="8204" width="11.7109375" style="14" customWidth="1"/>
    <col min="8205" max="8205" width="11.42578125" style="14" customWidth="1"/>
    <col min="8206" max="8206" width="12.7109375" style="14" customWidth="1"/>
    <col min="8207" max="8207" width="11.42578125" style="14" customWidth="1"/>
    <col min="8208" max="8208" width="10.7109375" style="14" customWidth="1"/>
    <col min="8209" max="8209" width="10.5703125" style="14" customWidth="1"/>
    <col min="8210" max="8210" width="11.28515625" style="14" customWidth="1"/>
    <col min="8211" max="8211" width="9.7109375" style="14" customWidth="1"/>
    <col min="8212" max="8212" width="12" style="14" customWidth="1"/>
    <col min="8213" max="8213" width="11.28515625" style="14" customWidth="1"/>
    <col min="8214" max="8451" width="9.140625" style="14"/>
    <col min="8452" max="8452" width="5.7109375" style="14" customWidth="1"/>
    <col min="8453" max="8453" width="13.140625" style="14" customWidth="1"/>
    <col min="8454" max="8454" width="12.28515625" style="14" customWidth="1"/>
    <col min="8455" max="8455" width="8.85546875" style="14" customWidth="1"/>
    <col min="8456" max="8456" width="10.85546875" style="14" customWidth="1"/>
    <col min="8457" max="8457" width="2.85546875" style="14" customWidth="1"/>
    <col min="8458" max="8458" width="12.140625" style="14" customWidth="1"/>
    <col min="8459" max="8459" width="10.140625" style="14" customWidth="1"/>
    <col min="8460" max="8460" width="11.7109375" style="14" customWidth="1"/>
    <col min="8461" max="8461" width="11.42578125" style="14" customWidth="1"/>
    <col min="8462" max="8462" width="12.7109375" style="14" customWidth="1"/>
    <col min="8463" max="8463" width="11.42578125" style="14" customWidth="1"/>
    <col min="8464" max="8464" width="10.7109375" style="14" customWidth="1"/>
    <col min="8465" max="8465" width="10.5703125" style="14" customWidth="1"/>
    <col min="8466" max="8466" width="11.28515625" style="14" customWidth="1"/>
    <col min="8467" max="8467" width="9.7109375" style="14" customWidth="1"/>
    <col min="8468" max="8468" width="12" style="14" customWidth="1"/>
    <col min="8469" max="8469" width="11.28515625" style="14" customWidth="1"/>
    <col min="8470" max="8707" width="9.140625" style="14"/>
    <col min="8708" max="8708" width="5.7109375" style="14" customWidth="1"/>
    <col min="8709" max="8709" width="13.140625" style="14" customWidth="1"/>
    <col min="8710" max="8710" width="12.28515625" style="14" customWidth="1"/>
    <col min="8711" max="8711" width="8.85546875" style="14" customWidth="1"/>
    <col min="8712" max="8712" width="10.85546875" style="14" customWidth="1"/>
    <col min="8713" max="8713" width="2.85546875" style="14" customWidth="1"/>
    <col min="8714" max="8714" width="12.140625" style="14" customWidth="1"/>
    <col min="8715" max="8715" width="10.140625" style="14" customWidth="1"/>
    <col min="8716" max="8716" width="11.7109375" style="14" customWidth="1"/>
    <col min="8717" max="8717" width="11.42578125" style="14" customWidth="1"/>
    <col min="8718" max="8718" width="12.7109375" style="14" customWidth="1"/>
    <col min="8719" max="8719" width="11.42578125" style="14" customWidth="1"/>
    <col min="8720" max="8720" width="10.7109375" style="14" customWidth="1"/>
    <col min="8721" max="8721" width="10.5703125" style="14" customWidth="1"/>
    <col min="8722" max="8722" width="11.28515625" style="14" customWidth="1"/>
    <col min="8723" max="8723" width="9.7109375" style="14" customWidth="1"/>
    <col min="8724" max="8724" width="12" style="14" customWidth="1"/>
    <col min="8725" max="8725" width="11.28515625" style="14" customWidth="1"/>
    <col min="8726" max="8963" width="9.140625" style="14"/>
    <col min="8964" max="8964" width="5.7109375" style="14" customWidth="1"/>
    <col min="8965" max="8965" width="13.140625" style="14" customWidth="1"/>
    <col min="8966" max="8966" width="12.28515625" style="14" customWidth="1"/>
    <col min="8967" max="8967" width="8.85546875" style="14" customWidth="1"/>
    <col min="8968" max="8968" width="10.85546875" style="14" customWidth="1"/>
    <col min="8969" max="8969" width="2.85546875" style="14" customWidth="1"/>
    <col min="8970" max="8970" width="12.140625" style="14" customWidth="1"/>
    <col min="8971" max="8971" width="10.140625" style="14" customWidth="1"/>
    <col min="8972" max="8972" width="11.7109375" style="14" customWidth="1"/>
    <col min="8973" max="8973" width="11.42578125" style="14" customWidth="1"/>
    <col min="8974" max="8974" width="12.7109375" style="14" customWidth="1"/>
    <col min="8975" max="8975" width="11.42578125" style="14" customWidth="1"/>
    <col min="8976" max="8976" width="10.7109375" style="14" customWidth="1"/>
    <col min="8977" max="8977" width="10.5703125" style="14" customWidth="1"/>
    <col min="8978" max="8978" width="11.28515625" style="14" customWidth="1"/>
    <col min="8979" max="8979" width="9.7109375" style="14" customWidth="1"/>
    <col min="8980" max="8980" width="12" style="14" customWidth="1"/>
    <col min="8981" max="8981" width="11.28515625" style="14" customWidth="1"/>
    <col min="8982" max="9219" width="9.140625" style="14"/>
    <col min="9220" max="9220" width="5.7109375" style="14" customWidth="1"/>
    <col min="9221" max="9221" width="13.140625" style="14" customWidth="1"/>
    <col min="9222" max="9222" width="12.28515625" style="14" customWidth="1"/>
    <col min="9223" max="9223" width="8.85546875" style="14" customWidth="1"/>
    <col min="9224" max="9224" width="10.85546875" style="14" customWidth="1"/>
    <col min="9225" max="9225" width="2.85546875" style="14" customWidth="1"/>
    <col min="9226" max="9226" width="12.140625" style="14" customWidth="1"/>
    <col min="9227" max="9227" width="10.140625" style="14" customWidth="1"/>
    <col min="9228" max="9228" width="11.7109375" style="14" customWidth="1"/>
    <col min="9229" max="9229" width="11.42578125" style="14" customWidth="1"/>
    <col min="9230" max="9230" width="12.7109375" style="14" customWidth="1"/>
    <col min="9231" max="9231" width="11.42578125" style="14" customWidth="1"/>
    <col min="9232" max="9232" width="10.7109375" style="14" customWidth="1"/>
    <col min="9233" max="9233" width="10.5703125" style="14" customWidth="1"/>
    <col min="9234" max="9234" width="11.28515625" style="14" customWidth="1"/>
    <col min="9235" max="9235" width="9.7109375" style="14" customWidth="1"/>
    <col min="9236" max="9236" width="12" style="14" customWidth="1"/>
    <col min="9237" max="9237" width="11.28515625" style="14" customWidth="1"/>
    <col min="9238" max="9475" width="9.140625" style="14"/>
    <col min="9476" max="9476" width="5.7109375" style="14" customWidth="1"/>
    <col min="9477" max="9477" width="13.140625" style="14" customWidth="1"/>
    <col min="9478" max="9478" width="12.28515625" style="14" customWidth="1"/>
    <col min="9479" max="9479" width="8.85546875" style="14" customWidth="1"/>
    <col min="9480" max="9480" width="10.85546875" style="14" customWidth="1"/>
    <col min="9481" max="9481" width="2.85546875" style="14" customWidth="1"/>
    <col min="9482" max="9482" width="12.140625" style="14" customWidth="1"/>
    <col min="9483" max="9483" width="10.140625" style="14" customWidth="1"/>
    <col min="9484" max="9484" width="11.7109375" style="14" customWidth="1"/>
    <col min="9485" max="9485" width="11.42578125" style="14" customWidth="1"/>
    <col min="9486" max="9486" width="12.7109375" style="14" customWidth="1"/>
    <col min="9487" max="9487" width="11.42578125" style="14" customWidth="1"/>
    <col min="9488" max="9488" width="10.7109375" style="14" customWidth="1"/>
    <col min="9489" max="9489" width="10.5703125" style="14" customWidth="1"/>
    <col min="9490" max="9490" width="11.28515625" style="14" customWidth="1"/>
    <col min="9491" max="9491" width="9.7109375" style="14" customWidth="1"/>
    <col min="9492" max="9492" width="12" style="14" customWidth="1"/>
    <col min="9493" max="9493" width="11.28515625" style="14" customWidth="1"/>
    <col min="9494" max="9731" width="9.140625" style="14"/>
    <col min="9732" max="9732" width="5.7109375" style="14" customWidth="1"/>
    <col min="9733" max="9733" width="13.140625" style="14" customWidth="1"/>
    <col min="9734" max="9734" width="12.28515625" style="14" customWidth="1"/>
    <col min="9735" max="9735" width="8.85546875" style="14" customWidth="1"/>
    <col min="9736" max="9736" width="10.85546875" style="14" customWidth="1"/>
    <col min="9737" max="9737" width="2.85546875" style="14" customWidth="1"/>
    <col min="9738" max="9738" width="12.140625" style="14" customWidth="1"/>
    <col min="9739" max="9739" width="10.140625" style="14" customWidth="1"/>
    <col min="9740" max="9740" width="11.7109375" style="14" customWidth="1"/>
    <col min="9741" max="9741" width="11.42578125" style="14" customWidth="1"/>
    <col min="9742" max="9742" width="12.7109375" style="14" customWidth="1"/>
    <col min="9743" max="9743" width="11.42578125" style="14" customWidth="1"/>
    <col min="9744" max="9744" width="10.7109375" style="14" customWidth="1"/>
    <col min="9745" max="9745" width="10.5703125" style="14" customWidth="1"/>
    <col min="9746" max="9746" width="11.28515625" style="14" customWidth="1"/>
    <col min="9747" max="9747" width="9.7109375" style="14" customWidth="1"/>
    <col min="9748" max="9748" width="12" style="14" customWidth="1"/>
    <col min="9749" max="9749" width="11.28515625" style="14" customWidth="1"/>
    <col min="9750" max="9987" width="9.140625" style="14"/>
    <col min="9988" max="9988" width="5.7109375" style="14" customWidth="1"/>
    <col min="9989" max="9989" width="13.140625" style="14" customWidth="1"/>
    <col min="9990" max="9990" width="12.28515625" style="14" customWidth="1"/>
    <col min="9991" max="9991" width="8.85546875" style="14" customWidth="1"/>
    <col min="9992" max="9992" width="10.85546875" style="14" customWidth="1"/>
    <col min="9993" max="9993" width="2.85546875" style="14" customWidth="1"/>
    <col min="9994" max="9994" width="12.140625" style="14" customWidth="1"/>
    <col min="9995" max="9995" width="10.140625" style="14" customWidth="1"/>
    <col min="9996" max="9996" width="11.7109375" style="14" customWidth="1"/>
    <col min="9997" max="9997" width="11.42578125" style="14" customWidth="1"/>
    <col min="9998" max="9998" width="12.7109375" style="14" customWidth="1"/>
    <col min="9999" max="9999" width="11.42578125" style="14" customWidth="1"/>
    <col min="10000" max="10000" width="10.7109375" style="14" customWidth="1"/>
    <col min="10001" max="10001" width="10.5703125" style="14" customWidth="1"/>
    <col min="10002" max="10002" width="11.28515625" style="14" customWidth="1"/>
    <col min="10003" max="10003" width="9.7109375" style="14" customWidth="1"/>
    <col min="10004" max="10004" width="12" style="14" customWidth="1"/>
    <col min="10005" max="10005" width="11.28515625" style="14" customWidth="1"/>
    <col min="10006" max="10243" width="9.140625" style="14"/>
    <col min="10244" max="10244" width="5.7109375" style="14" customWidth="1"/>
    <col min="10245" max="10245" width="13.140625" style="14" customWidth="1"/>
    <col min="10246" max="10246" width="12.28515625" style="14" customWidth="1"/>
    <col min="10247" max="10247" width="8.85546875" style="14" customWidth="1"/>
    <col min="10248" max="10248" width="10.85546875" style="14" customWidth="1"/>
    <col min="10249" max="10249" width="2.85546875" style="14" customWidth="1"/>
    <col min="10250" max="10250" width="12.140625" style="14" customWidth="1"/>
    <col min="10251" max="10251" width="10.140625" style="14" customWidth="1"/>
    <col min="10252" max="10252" width="11.7109375" style="14" customWidth="1"/>
    <col min="10253" max="10253" width="11.42578125" style="14" customWidth="1"/>
    <col min="10254" max="10254" width="12.7109375" style="14" customWidth="1"/>
    <col min="10255" max="10255" width="11.42578125" style="14" customWidth="1"/>
    <col min="10256" max="10256" width="10.7109375" style="14" customWidth="1"/>
    <col min="10257" max="10257" width="10.5703125" style="14" customWidth="1"/>
    <col min="10258" max="10258" width="11.28515625" style="14" customWidth="1"/>
    <col min="10259" max="10259" width="9.7109375" style="14" customWidth="1"/>
    <col min="10260" max="10260" width="12" style="14" customWidth="1"/>
    <col min="10261" max="10261" width="11.28515625" style="14" customWidth="1"/>
    <col min="10262" max="10499" width="9.140625" style="14"/>
    <col min="10500" max="10500" width="5.7109375" style="14" customWidth="1"/>
    <col min="10501" max="10501" width="13.140625" style="14" customWidth="1"/>
    <col min="10502" max="10502" width="12.28515625" style="14" customWidth="1"/>
    <col min="10503" max="10503" width="8.85546875" style="14" customWidth="1"/>
    <col min="10504" max="10504" width="10.85546875" style="14" customWidth="1"/>
    <col min="10505" max="10505" width="2.85546875" style="14" customWidth="1"/>
    <col min="10506" max="10506" width="12.140625" style="14" customWidth="1"/>
    <col min="10507" max="10507" width="10.140625" style="14" customWidth="1"/>
    <col min="10508" max="10508" width="11.7109375" style="14" customWidth="1"/>
    <col min="10509" max="10509" width="11.42578125" style="14" customWidth="1"/>
    <col min="10510" max="10510" width="12.7109375" style="14" customWidth="1"/>
    <col min="10511" max="10511" width="11.42578125" style="14" customWidth="1"/>
    <col min="10512" max="10512" width="10.7109375" style="14" customWidth="1"/>
    <col min="10513" max="10513" width="10.5703125" style="14" customWidth="1"/>
    <col min="10514" max="10514" width="11.28515625" style="14" customWidth="1"/>
    <col min="10515" max="10515" width="9.7109375" style="14" customWidth="1"/>
    <col min="10516" max="10516" width="12" style="14" customWidth="1"/>
    <col min="10517" max="10517" width="11.28515625" style="14" customWidth="1"/>
    <col min="10518" max="10755" width="9.140625" style="14"/>
    <col min="10756" max="10756" width="5.7109375" style="14" customWidth="1"/>
    <col min="10757" max="10757" width="13.140625" style="14" customWidth="1"/>
    <col min="10758" max="10758" width="12.28515625" style="14" customWidth="1"/>
    <col min="10759" max="10759" width="8.85546875" style="14" customWidth="1"/>
    <col min="10760" max="10760" width="10.85546875" style="14" customWidth="1"/>
    <col min="10761" max="10761" width="2.85546875" style="14" customWidth="1"/>
    <col min="10762" max="10762" width="12.140625" style="14" customWidth="1"/>
    <col min="10763" max="10763" width="10.140625" style="14" customWidth="1"/>
    <col min="10764" max="10764" width="11.7109375" style="14" customWidth="1"/>
    <col min="10765" max="10765" width="11.42578125" style="14" customWidth="1"/>
    <col min="10766" max="10766" width="12.7109375" style="14" customWidth="1"/>
    <col min="10767" max="10767" width="11.42578125" style="14" customWidth="1"/>
    <col min="10768" max="10768" width="10.7109375" style="14" customWidth="1"/>
    <col min="10769" max="10769" width="10.5703125" style="14" customWidth="1"/>
    <col min="10770" max="10770" width="11.28515625" style="14" customWidth="1"/>
    <col min="10771" max="10771" width="9.7109375" style="14" customWidth="1"/>
    <col min="10772" max="10772" width="12" style="14" customWidth="1"/>
    <col min="10773" max="10773" width="11.28515625" style="14" customWidth="1"/>
    <col min="10774" max="11011" width="9.140625" style="14"/>
    <col min="11012" max="11012" width="5.7109375" style="14" customWidth="1"/>
    <col min="11013" max="11013" width="13.140625" style="14" customWidth="1"/>
    <col min="11014" max="11014" width="12.28515625" style="14" customWidth="1"/>
    <col min="11015" max="11015" width="8.85546875" style="14" customWidth="1"/>
    <col min="11016" max="11016" width="10.85546875" style="14" customWidth="1"/>
    <col min="11017" max="11017" width="2.85546875" style="14" customWidth="1"/>
    <col min="11018" max="11018" width="12.140625" style="14" customWidth="1"/>
    <col min="11019" max="11019" width="10.140625" style="14" customWidth="1"/>
    <col min="11020" max="11020" width="11.7109375" style="14" customWidth="1"/>
    <col min="11021" max="11021" width="11.42578125" style="14" customWidth="1"/>
    <col min="11022" max="11022" width="12.7109375" style="14" customWidth="1"/>
    <col min="11023" max="11023" width="11.42578125" style="14" customWidth="1"/>
    <col min="11024" max="11024" width="10.7109375" style="14" customWidth="1"/>
    <col min="11025" max="11025" width="10.5703125" style="14" customWidth="1"/>
    <col min="11026" max="11026" width="11.28515625" style="14" customWidth="1"/>
    <col min="11027" max="11027" width="9.7109375" style="14" customWidth="1"/>
    <col min="11028" max="11028" width="12" style="14" customWidth="1"/>
    <col min="11029" max="11029" width="11.28515625" style="14" customWidth="1"/>
    <col min="11030" max="11267" width="9.140625" style="14"/>
    <col min="11268" max="11268" width="5.7109375" style="14" customWidth="1"/>
    <col min="11269" max="11269" width="13.140625" style="14" customWidth="1"/>
    <col min="11270" max="11270" width="12.28515625" style="14" customWidth="1"/>
    <col min="11271" max="11271" width="8.85546875" style="14" customWidth="1"/>
    <col min="11272" max="11272" width="10.85546875" style="14" customWidth="1"/>
    <col min="11273" max="11273" width="2.85546875" style="14" customWidth="1"/>
    <col min="11274" max="11274" width="12.140625" style="14" customWidth="1"/>
    <col min="11275" max="11275" width="10.140625" style="14" customWidth="1"/>
    <col min="11276" max="11276" width="11.7109375" style="14" customWidth="1"/>
    <col min="11277" max="11277" width="11.42578125" style="14" customWidth="1"/>
    <col min="11278" max="11278" width="12.7109375" style="14" customWidth="1"/>
    <col min="11279" max="11279" width="11.42578125" style="14" customWidth="1"/>
    <col min="11280" max="11280" width="10.7109375" style="14" customWidth="1"/>
    <col min="11281" max="11281" width="10.5703125" style="14" customWidth="1"/>
    <col min="11282" max="11282" width="11.28515625" style="14" customWidth="1"/>
    <col min="11283" max="11283" width="9.7109375" style="14" customWidth="1"/>
    <col min="11284" max="11284" width="12" style="14" customWidth="1"/>
    <col min="11285" max="11285" width="11.28515625" style="14" customWidth="1"/>
    <col min="11286" max="11523" width="9.140625" style="14"/>
    <col min="11524" max="11524" width="5.7109375" style="14" customWidth="1"/>
    <col min="11525" max="11525" width="13.140625" style="14" customWidth="1"/>
    <col min="11526" max="11526" width="12.28515625" style="14" customWidth="1"/>
    <col min="11527" max="11527" width="8.85546875" style="14" customWidth="1"/>
    <col min="11528" max="11528" width="10.85546875" style="14" customWidth="1"/>
    <col min="11529" max="11529" width="2.85546875" style="14" customWidth="1"/>
    <col min="11530" max="11530" width="12.140625" style="14" customWidth="1"/>
    <col min="11531" max="11531" width="10.140625" style="14" customWidth="1"/>
    <col min="11532" max="11532" width="11.7109375" style="14" customWidth="1"/>
    <col min="11533" max="11533" width="11.42578125" style="14" customWidth="1"/>
    <col min="11534" max="11534" width="12.7109375" style="14" customWidth="1"/>
    <col min="11535" max="11535" width="11.42578125" style="14" customWidth="1"/>
    <col min="11536" max="11536" width="10.7109375" style="14" customWidth="1"/>
    <col min="11537" max="11537" width="10.5703125" style="14" customWidth="1"/>
    <col min="11538" max="11538" width="11.28515625" style="14" customWidth="1"/>
    <col min="11539" max="11539" width="9.7109375" style="14" customWidth="1"/>
    <col min="11540" max="11540" width="12" style="14" customWidth="1"/>
    <col min="11541" max="11541" width="11.28515625" style="14" customWidth="1"/>
    <col min="11542" max="11779" width="9.140625" style="14"/>
    <col min="11780" max="11780" width="5.7109375" style="14" customWidth="1"/>
    <col min="11781" max="11781" width="13.140625" style="14" customWidth="1"/>
    <col min="11782" max="11782" width="12.28515625" style="14" customWidth="1"/>
    <col min="11783" max="11783" width="8.85546875" style="14" customWidth="1"/>
    <col min="11784" max="11784" width="10.85546875" style="14" customWidth="1"/>
    <col min="11785" max="11785" width="2.85546875" style="14" customWidth="1"/>
    <col min="11786" max="11786" width="12.140625" style="14" customWidth="1"/>
    <col min="11787" max="11787" width="10.140625" style="14" customWidth="1"/>
    <col min="11788" max="11788" width="11.7109375" style="14" customWidth="1"/>
    <col min="11789" max="11789" width="11.42578125" style="14" customWidth="1"/>
    <col min="11790" max="11790" width="12.7109375" style="14" customWidth="1"/>
    <col min="11791" max="11791" width="11.42578125" style="14" customWidth="1"/>
    <col min="11792" max="11792" width="10.7109375" style="14" customWidth="1"/>
    <col min="11793" max="11793" width="10.5703125" style="14" customWidth="1"/>
    <col min="11794" max="11794" width="11.28515625" style="14" customWidth="1"/>
    <col min="11795" max="11795" width="9.7109375" style="14" customWidth="1"/>
    <col min="11796" max="11796" width="12" style="14" customWidth="1"/>
    <col min="11797" max="11797" width="11.28515625" style="14" customWidth="1"/>
    <col min="11798" max="12035" width="9.140625" style="14"/>
    <col min="12036" max="12036" width="5.7109375" style="14" customWidth="1"/>
    <col min="12037" max="12037" width="13.140625" style="14" customWidth="1"/>
    <col min="12038" max="12038" width="12.28515625" style="14" customWidth="1"/>
    <col min="12039" max="12039" width="8.85546875" style="14" customWidth="1"/>
    <col min="12040" max="12040" width="10.85546875" style="14" customWidth="1"/>
    <col min="12041" max="12041" width="2.85546875" style="14" customWidth="1"/>
    <col min="12042" max="12042" width="12.140625" style="14" customWidth="1"/>
    <col min="12043" max="12043" width="10.140625" style="14" customWidth="1"/>
    <col min="12044" max="12044" width="11.7109375" style="14" customWidth="1"/>
    <col min="12045" max="12045" width="11.42578125" style="14" customWidth="1"/>
    <col min="12046" max="12046" width="12.7109375" style="14" customWidth="1"/>
    <col min="12047" max="12047" width="11.42578125" style="14" customWidth="1"/>
    <col min="12048" max="12048" width="10.7109375" style="14" customWidth="1"/>
    <col min="12049" max="12049" width="10.5703125" style="14" customWidth="1"/>
    <col min="12050" max="12050" width="11.28515625" style="14" customWidth="1"/>
    <col min="12051" max="12051" width="9.7109375" style="14" customWidth="1"/>
    <col min="12052" max="12052" width="12" style="14" customWidth="1"/>
    <col min="12053" max="12053" width="11.28515625" style="14" customWidth="1"/>
    <col min="12054" max="12291" width="9.140625" style="14"/>
    <col min="12292" max="12292" width="5.7109375" style="14" customWidth="1"/>
    <col min="12293" max="12293" width="13.140625" style="14" customWidth="1"/>
    <col min="12294" max="12294" width="12.28515625" style="14" customWidth="1"/>
    <col min="12295" max="12295" width="8.85546875" style="14" customWidth="1"/>
    <col min="12296" max="12296" width="10.85546875" style="14" customWidth="1"/>
    <col min="12297" max="12297" width="2.85546875" style="14" customWidth="1"/>
    <col min="12298" max="12298" width="12.140625" style="14" customWidth="1"/>
    <col min="12299" max="12299" width="10.140625" style="14" customWidth="1"/>
    <col min="12300" max="12300" width="11.7109375" style="14" customWidth="1"/>
    <col min="12301" max="12301" width="11.42578125" style="14" customWidth="1"/>
    <col min="12302" max="12302" width="12.7109375" style="14" customWidth="1"/>
    <col min="12303" max="12303" width="11.42578125" style="14" customWidth="1"/>
    <col min="12304" max="12304" width="10.7109375" style="14" customWidth="1"/>
    <col min="12305" max="12305" width="10.5703125" style="14" customWidth="1"/>
    <col min="12306" max="12306" width="11.28515625" style="14" customWidth="1"/>
    <col min="12307" max="12307" width="9.7109375" style="14" customWidth="1"/>
    <col min="12308" max="12308" width="12" style="14" customWidth="1"/>
    <col min="12309" max="12309" width="11.28515625" style="14" customWidth="1"/>
    <col min="12310" max="12547" width="9.140625" style="14"/>
    <col min="12548" max="12548" width="5.7109375" style="14" customWidth="1"/>
    <col min="12549" max="12549" width="13.140625" style="14" customWidth="1"/>
    <col min="12550" max="12550" width="12.28515625" style="14" customWidth="1"/>
    <col min="12551" max="12551" width="8.85546875" style="14" customWidth="1"/>
    <col min="12552" max="12552" width="10.85546875" style="14" customWidth="1"/>
    <col min="12553" max="12553" width="2.85546875" style="14" customWidth="1"/>
    <col min="12554" max="12554" width="12.140625" style="14" customWidth="1"/>
    <col min="12555" max="12555" width="10.140625" style="14" customWidth="1"/>
    <col min="12556" max="12556" width="11.7109375" style="14" customWidth="1"/>
    <col min="12557" max="12557" width="11.42578125" style="14" customWidth="1"/>
    <col min="12558" max="12558" width="12.7109375" style="14" customWidth="1"/>
    <col min="12559" max="12559" width="11.42578125" style="14" customWidth="1"/>
    <col min="12560" max="12560" width="10.7109375" style="14" customWidth="1"/>
    <col min="12561" max="12561" width="10.5703125" style="14" customWidth="1"/>
    <col min="12562" max="12562" width="11.28515625" style="14" customWidth="1"/>
    <col min="12563" max="12563" width="9.7109375" style="14" customWidth="1"/>
    <col min="12564" max="12564" width="12" style="14" customWidth="1"/>
    <col min="12565" max="12565" width="11.28515625" style="14" customWidth="1"/>
    <col min="12566" max="12803" width="9.140625" style="14"/>
    <col min="12804" max="12804" width="5.7109375" style="14" customWidth="1"/>
    <col min="12805" max="12805" width="13.140625" style="14" customWidth="1"/>
    <col min="12806" max="12806" width="12.28515625" style="14" customWidth="1"/>
    <col min="12807" max="12807" width="8.85546875" style="14" customWidth="1"/>
    <col min="12808" max="12808" width="10.85546875" style="14" customWidth="1"/>
    <col min="12809" max="12809" width="2.85546875" style="14" customWidth="1"/>
    <col min="12810" max="12810" width="12.140625" style="14" customWidth="1"/>
    <col min="12811" max="12811" width="10.140625" style="14" customWidth="1"/>
    <col min="12812" max="12812" width="11.7109375" style="14" customWidth="1"/>
    <col min="12813" max="12813" width="11.42578125" style="14" customWidth="1"/>
    <col min="12814" max="12814" width="12.7109375" style="14" customWidth="1"/>
    <col min="12815" max="12815" width="11.42578125" style="14" customWidth="1"/>
    <col min="12816" max="12816" width="10.7109375" style="14" customWidth="1"/>
    <col min="12817" max="12817" width="10.5703125" style="14" customWidth="1"/>
    <col min="12818" max="12818" width="11.28515625" style="14" customWidth="1"/>
    <col min="12819" max="12819" width="9.7109375" style="14" customWidth="1"/>
    <col min="12820" max="12820" width="12" style="14" customWidth="1"/>
    <col min="12821" max="12821" width="11.28515625" style="14" customWidth="1"/>
    <col min="12822" max="13059" width="9.140625" style="14"/>
    <col min="13060" max="13060" width="5.7109375" style="14" customWidth="1"/>
    <col min="13061" max="13061" width="13.140625" style="14" customWidth="1"/>
    <col min="13062" max="13062" width="12.28515625" style="14" customWidth="1"/>
    <col min="13063" max="13063" width="8.85546875" style="14" customWidth="1"/>
    <col min="13064" max="13064" width="10.85546875" style="14" customWidth="1"/>
    <col min="13065" max="13065" width="2.85546875" style="14" customWidth="1"/>
    <col min="13066" max="13066" width="12.140625" style="14" customWidth="1"/>
    <col min="13067" max="13067" width="10.140625" style="14" customWidth="1"/>
    <col min="13068" max="13068" width="11.7109375" style="14" customWidth="1"/>
    <col min="13069" max="13069" width="11.42578125" style="14" customWidth="1"/>
    <col min="13070" max="13070" width="12.7109375" style="14" customWidth="1"/>
    <col min="13071" max="13071" width="11.42578125" style="14" customWidth="1"/>
    <col min="13072" max="13072" width="10.7109375" style="14" customWidth="1"/>
    <col min="13073" max="13073" width="10.5703125" style="14" customWidth="1"/>
    <col min="13074" max="13074" width="11.28515625" style="14" customWidth="1"/>
    <col min="13075" max="13075" width="9.7109375" style="14" customWidth="1"/>
    <col min="13076" max="13076" width="12" style="14" customWidth="1"/>
    <col min="13077" max="13077" width="11.28515625" style="14" customWidth="1"/>
    <col min="13078" max="13315" width="9.140625" style="14"/>
    <col min="13316" max="13316" width="5.7109375" style="14" customWidth="1"/>
    <col min="13317" max="13317" width="13.140625" style="14" customWidth="1"/>
    <col min="13318" max="13318" width="12.28515625" style="14" customWidth="1"/>
    <col min="13319" max="13319" width="8.85546875" style="14" customWidth="1"/>
    <col min="13320" max="13320" width="10.85546875" style="14" customWidth="1"/>
    <col min="13321" max="13321" width="2.85546875" style="14" customWidth="1"/>
    <col min="13322" max="13322" width="12.140625" style="14" customWidth="1"/>
    <col min="13323" max="13323" width="10.140625" style="14" customWidth="1"/>
    <col min="13324" max="13324" width="11.7109375" style="14" customWidth="1"/>
    <col min="13325" max="13325" width="11.42578125" style="14" customWidth="1"/>
    <col min="13326" max="13326" width="12.7109375" style="14" customWidth="1"/>
    <col min="13327" max="13327" width="11.42578125" style="14" customWidth="1"/>
    <col min="13328" max="13328" width="10.7109375" style="14" customWidth="1"/>
    <col min="13329" max="13329" width="10.5703125" style="14" customWidth="1"/>
    <col min="13330" max="13330" width="11.28515625" style="14" customWidth="1"/>
    <col min="13331" max="13331" width="9.7109375" style="14" customWidth="1"/>
    <col min="13332" max="13332" width="12" style="14" customWidth="1"/>
    <col min="13333" max="13333" width="11.28515625" style="14" customWidth="1"/>
    <col min="13334" max="13571" width="9.140625" style="14"/>
    <col min="13572" max="13572" width="5.7109375" style="14" customWidth="1"/>
    <col min="13573" max="13573" width="13.140625" style="14" customWidth="1"/>
    <col min="13574" max="13574" width="12.28515625" style="14" customWidth="1"/>
    <col min="13575" max="13575" width="8.85546875" style="14" customWidth="1"/>
    <col min="13576" max="13576" width="10.85546875" style="14" customWidth="1"/>
    <col min="13577" max="13577" width="2.85546875" style="14" customWidth="1"/>
    <col min="13578" max="13578" width="12.140625" style="14" customWidth="1"/>
    <col min="13579" max="13579" width="10.140625" style="14" customWidth="1"/>
    <col min="13580" max="13580" width="11.7109375" style="14" customWidth="1"/>
    <col min="13581" max="13581" width="11.42578125" style="14" customWidth="1"/>
    <col min="13582" max="13582" width="12.7109375" style="14" customWidth="1"/>
    <col min="13583" max="13583" width="11.42578125" style="14" customWidth="1"/>
    <col min="13584" max="13584" width="10.7109375" style="14" customWidth="1"/>
    <col min="13585" max="13585" width="10.5703125" style="14" customWidth="1"/>
    <col min="13586" max="13586" width="11.28515625" style="14" customWidth="1"/>
    <col min="13587" max="13587" width="9.7109375" style="14" customWidth="1"/>
    <col min="13588" max="13588" width="12" style="14" customWidth="1"/>
    <col min="13589" max="13589" width="11.28515625" style="14" customWidth="1"/>
    <col min="13590" max="13827" width="9.140625" style="14"/>
    <col min="13828" max="13828" width="5.7109375" style="14" customWidth="1"/>
    <col min="13829" max="13829" width="13.140625" style="14" customWidth="1"/>
    <col min="13830" max="13830" width="12.28515625" style="14" customWidth="1"/>
    <col min="13831" max="13831" width="8.85546875" style="14" customWidth="1"/>
    <col min="13832" max="13832" width="10.85546875" style="14" customWidth="1"/>
    <col min="13833" max="13833" width="2.85546875" style="14" customWidth="1"/>
    <col min="13834" max="13834" width="12.140625" style="14" customWidth="1"/>
    <col min="13835" max="13835" width="10.140625" style="14" customWidth="1"/>
    <col min="13836" max="13836" width="11.7109375" style="14" customWidth="1"/>
    <col min="13837" max="13837" width="11.42578125" style="14" customWidth="1"/>
    <col min="13838" max="13838" width="12.7109375" style="14" customWidth="1"/>
    <col min="13839" max="13839" width="11.42578125" style="14" customWidth="1"/>
    <col min="13840" max="13840" width="10.7109375" style="14" customWidth="1"/>
    <col min="13841" max="13841" width="10.5703125" style="14" customWidth="1"/>
    <col min="13842" max="13842" width="11.28515625" style="14" customWidth="1"/>
    <col min="13843" max="13843" width="9.7109375" style="14" customWidth="1"/>
    <col min="13844" max="13844" width="12" style="14" customWidth="1"/>
    <col min="13845" max="13845" width="11.28515625" style="14" customWidth="1"/>
    <col min="13846" max="14083" width="9.140625" style="14"/>
    <col min="14084" max="14084" width="5.7109375" style="14" customWidth="1"/>
    <col min="14085" max="14085" width="13.140625" style="14" customWidth="1"/>
    <col min="14086" max="14086" width="12.28515625" style="14" customWidth="1"/>
    <col min="14087" max="14087" width="8.85546875" style="14" customWidth="1"/>
    <col min="14088" max="14088" width="10.85546875" style="14" customWidth="1"/>
    <col min="14089" max="14089" width="2.85546875" style="14" customWidth="1"/>
    <col min="14090" max="14090" width="12.140625" style="14" customWidth="1"/>
    <col min="14091" max="14091" width="10.140625" style="14" customWidth="1"/>
    <col min="14092" max="14092" width="11.7109375" style="14" customWidth="1"/>
    <col min="14093" max="14093" width="11.42578125" style="14" customWidth="1"/>
    <col min="14094" max="14094" width="12.7109375" style="14" customWidth="1"/>
    <col min="14095" max="14095" width="11.42578125" style="14" customWidth="1"/>
    <col min="14096" max="14096" width="10.7109375" style="14" customWidth="1"/>
    <col min="14097" max="14097" width="10.5703125" style="14" customWidth="1"/>
    <col min="14098" max="14098" width="11.28515625" style="14" customWidth="1"/>
    <col min="14099" max="14099" width="9.7109375" style="14" customWidth="1"/>
    <col min="14100" max="14100" width="12" style="14" customWidth="1"/>
    <col min="14101" max="14101" width="11.28515625" style="14" customWidth="1"/>
    <col min="14102" max="14339" width="9.140625" style="14"/>
    <col min="14340" max="14340" width="5.7109375" style="14" customWidth="1"/>
    <col min="14341" max="14341" width="13.140625" style="14" customWidth="1"/>
    <col min="14342" max="14342" width="12.28515625" style="14" customWidth="1"/>
    <col min="14343" max="14343" width="8.85546875" style="14" customWidth="1"/>
    <col min="14344" max="14344" width="10.85546875" style="14" customWidth="1"/>
    <col min="14345" max="14345" width="2.85546875" style="14" customWidth="1"/>
    <col min="14346" max="14346" width="12.140625" style="14" customWidth="1"/>
    <col min="14347" max="14347" width="10.140625" style="14" customWidth="1"/>
    <col min="14348" max="14348" width="11.7109375" style="14" customWidth="1"/>
    <col min="14349" max="14349" width="11.42578125" style="14" customWidth="1"/>
    <col min="14350" max="14350" width="12.7109375" style="14" customWidth="1"/>
    <col min="14351" max="14351" width="11.42578125" style="14" customWidth="1"/>
    <col min="14352" max="14352" width="10.7109375" style="14" customWidth="1"/>
    <col min="14353" max="14353" width="10.5703125" style="14" customWidth="1"/>
    <col min="14354" max="14354" width="11.28515625" style="14" customWidth="1"/>
    <col min="14355" max="14355" width="9.7109375" style="14" customWidth="1"/>
    <col min="14356" max="14356" width="12" style="14" customWidth="1"/>
    <col min="14357" max="14357" width="11.28515625" style="14" customWidth="1"/>
    <col min="14358" max="14595" width="9.140625" style="14"/>
    <col min="14596" max="14596" width="5.7109375" style="14" customWidth="1"/>
    <col min="14597" max="14597" width="13.140625" style="14" customWidth="1"/>
    <col min="14598" max="14598" width="12.28515625" style="14" customWidth="1"/>
    <col min="14599" max="14599" width="8.85546875" style="14" customWidth="1"/>
    <col min="14600" max="14600" width="10.85546875" style="14" customWidth="1"/>
    <col min="14601" max="14601" width="2.85546875" style="14" customWidth="1"/>
    <col min="14602" max="14602" width="12.140625" style="14" customWidth="1"/>
    <col min="14603" max="14603" width="10.140625" style="14" customWidth="1"/>
    <col min="14604" max="14604" width="11.7109375" style="14" customWidth="1"/>
    <col min="14605" max="14605" width="11.42578125" style="14" customWidth="1"/>
    <col min="14606" max="14606" width="12.7109375" style="14" customWidth="1"/>
    <col min="14607" max="14607" width="11.42578125" style="14" customWidth="1"/>
    <col min="14608" max="14608" width="10.7109375" style="14" customWidth="1"/>
    <col min="14609" max="14609" width="10.5703125" style="14" customWidth="1"/>
    <col min="14610" max="14610" width="11.28515625" style="14" customWidth="1"/>
    <col min="14611" max="14611" width="9.7109375" style="14" customWidth="1"/>
    <col min="14612" max="14612" width="12" style="14" customWidth="1"/>
    <col min="14613" max="14613" width="11.28515625" style="14" customWidth="1"/>
    <col min="14614" max="14851" width="9.140625" style="14"/>
    <col min="14852" max="14852" width="5.7109375" style="14" customWidth="1"/>
    <col min="14853" max="14853" width="13.140625" style="14" customWidth="1"/>
    <col min="14854" max="14854" width="12.28515625" style="14" customWidth="1"/>
    <col min="14855" max="14855" width="8.85546875" style="14" customWidth="1"/>
    <col min="14856" max="14856" width="10.85546875" style="14" customWidth="1"/>
    <col min="14857" max="14857" width="2.85546875" style="14" customWidth="1"/>
    <col min="14858" max="14858" width="12.140625" style="14" customWidth="1"/>
    <col min="14859" max="14859" width="10.140625" style="14" customWidth="1"/>
    <col min="14860" max="14860" width="11.7109375" style="14" customWidth="1"/>
    <col min="14861" max="14861" width="11.42578125" style="14" customWidth="1"/>
    <col min="14862" max="14862" width="12.7109375" style="14" customWidth="1"/>
    <col min="14863" max="14863" width="11.42578125" style="14" customWidth="1"/>
    <col min="14864" max="14864" width="10.7109375" style="14" customWidth="1"/>
    <col min="14865" max="14865" width="10.5703125" style="14" customWidth="1"/>
    <col min="14866" max="14866" width="11.28515625" style="14" customWidth="1"/>
    <col min="14867" max="14867" width="9.7109375" style="14" customWidth="1"/>
    <col min="14868" max="14868" width="12" style="14" customWidth="1"/>
    <col min="14869" max="14869" width="11.28515625" style="14" customWidth="1"/>
    <col min="14870" max="15107" width="9.140625" style="14"/>
    <col min="15108" max="15108" width="5.7109375" style="14" customWidth="1"/>
    <col min="15109" max="15109" width="13.140625" style="14" customWidth="1"/>
    <col min="15110" max="15110" width="12.28515625" style="14" customWidth="1"/>
    <col min="15111" max="15111" width="8.85546875" style="14" customWidth="1"/>
    <col min="15112" max="15112" width="10.85546875" style="14" customWidth="1"/>
    <col min="15113" max="15113" width="2.85546875" style="14" customWidth="1"/>
    <col min="15114" max="15114" width="12.140625" style="14" customWidth="1"/>
    <col min="15115" max="15115" width="10.140625" style="14" customWidth="1"/>
    <col min="15116" max="15116" width="11.7109375" style="14" customWidth="1"/>
    <col min="15117" max="15117" width="11.42578125" style="14" customWidth="1"/>
    <col min="15118" max="15118" width="12.7109375" style="14" customWidth="1"/>
    <col min="15119" max="15119" width="11.42578125" style="14" customWidth="1"/>
    <col min="15120" max="15120" width="10.7109375" style="14" customWidth="1"/>
    <col min="15121" max="15121" width="10.5703125" style="14" customWidth="1"/>
    <col min="15122" max="15122" width="11.28515625" style="14" customWidth="1"/>
    <col min="15123" max="15123" width="9.7109375" style="14" customWidth="1"/>
    <col min="15124" max="15124" width="12" style="14" customWidth="1"/>
    <col min="15125" max="15125" width="11.28515625" style="14" customWidth="1"/>
    <col min="15126" max="15363" width="9.140625" style="14"/>
    <col min="15364" max="15364" width="5.7109375" style="14" customWidth="1"/>
    <col min="15365" max="15365" width="13.140625" style="14" customWidth="1"/>
    <col min="15366" max="15366" width="12.28515625" style="14" customWidth="1"/>
    <col min="15367" max="15367" width="8.85546875" style="14" customWidth="1"/>
    <col min="15368" max="15368" width="10.85546875" style="14" customWidth="1"/>
    <col min="15369" max="15369" width="2.85546875" style="14" customWidth="1"/>
    <col min="15370" max="15370" width="12.140625" style="14" customWidth="1"/>
    <col min="15371" max="15371" width="10.140625" style="14" customWidth="1"/>
    <col min="15372" max="15372" width="11.7109375" style="14" customWidth="1"/>
    <col min="15373" max="15373" width="11.42578125" style="14" customWidth="1"/>
    <col min="15374" max="15374" width="12.7109375" style="14" customWidth="1"/>
    <col min="15375" max="15375" width="11.42578125" style="14" customWidth="1"/>
    <col min="15376" max="15376" width="10.7109375" style="14" customWidth="1"/>
    <col min="15377" max="15377" width="10.5703125" style="14" customWidth="1"/>
    <col min="15378" max="15378" width="11.28515625" style="14" customWidth="1"/>
    <col min="15379" max="15379" width="9.7109375" style="14" customWidth="1"/>
    <col min="15380" max="15380" width="12" style="14" customWidth="1"/>
    <col min="15381" max="15381" width="11.28515625" style="14" customWidth="1"/>
    <col min="15382" max="15619" width="9.140625" style="14"/>
    <col min="15620" max="15620" width="5.7109375" style="14" customWidth="1"/>
    <col min="15621" max="15621" width="13.140625" style="14" customWidth="1"/>
    <col min="15622" max="15622" width="12.28515625" style="14" customWidth="1"/>
    <col min="15623" max="15623" width="8.85546875" style="14" customWidth="1"/>
    <col min="15624" max="15624" width="10.85546875" style="14" customWidth="1"/>
    <col min="15625" max="15625" width="2.85546875" style="14" customWidth="1"/>
    <col min="15626" max="15626" width="12.140625" style="14" customWidth="1"/>
    <col min="15627" max="15627" width="10.140625" style="14" customWidth="1"/>
    <col min="15628" max="15628" width="11.7109375" style="14" customWidth="1"/>
    <col min="15629" max="15629" width="11.42578125" style="14" customWidth="1"/>
    <col min="15630" max="15630" width="12.7109375" style="14" customWidth="1"/>
    <col min="15631" max="15631" width="11.42578125" style="14" customWidth="1"/>
    <col min="15632" max="15632" width="10.7109375" style="14" customWidth="1"/>
    <col min="15633" max="15633" width="10.5703125" style="14" customWidth="1"/>
    <col min="15634" max="15634" width="11.28515625" style="14" customWidth="1"/>
    <col min="15635" max="15635" width="9.7109375" style="14" customWidth="1"/>
    <col min="15636" max="15636" width="12" style="14" customWidth="1"/>
    <col min="15637" max="15637" width="11.28515625" style="14" customWidth="1"/>
    <col min="15638" max="15875" width="9.140625" style="14"/>
    <col min="15876" max="15876" width="5.7109375" style="14" customWidth="1"/>
    <col min="15877" max="15877" width="13.140625" style="14" customWidth="1"/>
    <col min="15878" max="15878" width="12.28515625" style="14" customWidth="1"/>
    <col min="15879" max="15879" width="8.85546875" style="14" customWidth="1"/>
    <col min="15880" max="15880" width="10.85546875" style="14" customWidth="1"/>
    <col min="15881" max="15881" width="2.85546875" style="14" customWidth="1"/>
    <col min="15882" max="15882" width="12.140625" style="14" customWidth="1"/>
    <col min="15883" max="15883" width="10.140625" style="14" customWidth="1"/>
    <col min="15884" max="15884" width="11.7109375" style="14" customWidth="1"/>
    <col min="15885" max="15885" width="11.42578125" style="14" customWidth="1"/>
    <col min="15886" max="15886" width="12.7109375" style="14" customWidth="1"/>
    <col min="15887" max="15887" width="11.42578125" style="14" customWidth="1"/>
    <col min="15888" max="15888" width="10.7109375" style="14" customWidth="1"/>
    <col min="15889" max="15889" width="10.5703125" style="14" customWidth="1"/>
    <col min="15890" max="15890" width="11.28515625" style="14" customWidth="1"/>
    <col min="15891" max="15891" width="9.7109375" style="14" customWidth="1"/>
    <col min="15892" max="15892" width="12" style="14" customWidth="1"/>
    <col min="15893" max="15893" width="11.28515625" style="14" customWidth="1"/>
    <col min="15894" max="16131" width="9.140625" style="14"/>
    <col min="16132" max="16132" width="5.7109375" style="14" customWidth="1"/>
    <col min="16133" max="16133" width="13.140625" style="14" customWidth="1"/>
    <col min="16134" max="16134" width="12.28515625" style="14" customWidth="1"/>
    <col min="16135" max="16135" width="8.85546875" style="14" customWidth="1"/>
    <col min="16136" max="16136" width="10.85546875" style="14" customWidth="1"/>
    <col min="16137" max="16137" width="2.85546875" style="14" customWidth="1"/>
    <col min="16138" max="16138" width="12.140625" style="14" customWidth="1"/>
    <col min="16139" max="16139" width="10.140625" style="14" customWidth="1"/>
    <col min="16140" max="16140" width="11.7109375" style="14" customWidth="1"/>
    <col min="16141" max="16141" width="11.42578125" style="14" customWidth="1"/>
    <col min="16142" max="16142" width="12.7109375" style="14" customWidth="1"/>
    <col min="16143" max="16143" width="11.42578125" style="14" customWidth="1"/>
    <col min="16144" max="16144" width="10.7109375" style="14" customWidth="1"/>
    <col min="16145" max="16145" width="10.5703125" style="14" customWidth="1"/>
    <col min="16146" max="16146" width="11.28515625" style="14" customWidth="1"/>
    <col min="16147" max="16147" width="9.7109375" style="14" customWidth="1"/>
    <col min="16148" max="16148" width="12" style="14" customWidth="1"/>
    <col min="16149" max="16149" width="11.28515625" style="14" customWidth="1"/>
    <col min="16150" max="16384" width="9.140625" style="14"/>
  </cols>
  <sheetData>
    <row r="1" spans="4:20" ht="12.75" thickBot="1" x14ac:dyDescent="0.25"/>
    <row r="2" spans="4:20" ht="12" customHeight="1" thickBot="1" x14ac:dyDescent="0.25">
      <c r="Q2" s="633" t="s">
        <v>0</v>
      </c>
      <c r="R2" s="634"/>
      <c r="S2" s="635"/>
    </row>
    <row r="3" spans="4:20" ht="13.5" thickBot="1" x14ac:dyDescent="0.25">
      <c r="I3" s="636" t="s">
        <v>1</v>
      </c>
      <c r="J3" s="637"/>
      <c r="K3" s="637"/>
      <c r="L3" s="637"/>
      <c r="M3" s="637"/>
      <c r="N3" s="637"/>
      <c r="O3" s="638"/>
      <c r="Q3" s="611">
        <v>45</v>
      </c>
      <c r="R3" s="639"/>
      <c r="S3" s="612"/>
    </row>
    <row r="4" spans="4:20" ht="13.5" thickBot="1" x14ac:dyDescent="0.25">
      <c r="I4" s="640" t="s">
        <v>2</v>
      </c>
      <c r="J4" s="641"/>
      <c r="K4" s="641"/>
      <c r="L4" s="641"/>
      <c r="M4" s="641"/>
      <c r="N4" s="641"/>
      <c r="O4" s="642"/>
      <c r="Q4" s="18"/>
      <c r="R4" s="18"/>
      <c r="S4" s="18"/>
    </row>
    <row r="5" spans="4:20" ht="13.5" thickBot="1" x14ac:dyDescent="0.25">
      <c r="I5" s="643" t="s">
        <v>3</v>
      </c>
      <c r="J5" s="644"/>
      <c r="K5" s="644"/>
      <c r="L5" s="644"/>
      <c r="M5" s="644"/>
      <c r="N5" s="644"/>
      <c r="O5" s="645"/>
      <c r="Q5" s="611" t="s">
        <v>4</v>
      </c>
      <c r="R5" s="639"/>
      <c r="S5" s="612"/>
    </row>
    <row r="6" spans="4:20" ht="13.5" thickBot="1" x14ac:dyDescent="0.25">
      <c r="I6" s="650" t="s">
        <v>5</v>
      </c>
      <c r="J6" s="651"/>
      <c r="K6" s="651"/>
      <c r="L6" s="651"/>
      <c r="M6" s="651"/>
      <c r="N6" s="651"/>
      <c r="O6" s="652"/>
      <c r="Q6" s="653">
        <v>100</v>
      </c>
      <c r="R6" s="654"/>
      <c r="S6" s="655"/>
    </row>
    <row r="7" spans="4:20" ht="9" customHeight="1" x14ac:dyDescent="0.2"/>
    <row r="8" spans="4:20" ht="6.75" customHeight="1" thickBot="1" x14ac:dyDescent="0.25"/>
    <row r="9" spans="4:20" ht="13.5" thickBot="1" x14ac:dyDescent="0.25">
      <c r="I9" s="611" t="s">
        <v>6</v>
      </c>
      <c r="J9" s="639"/>
      <c r="K9" s="639"/>
      <c r="L9" s="639"/>
      <c r="M9" s="639"/>
      <c r="N9" s="639"/>
      <c r="O9" s="612"/>
    </row>
    <row r="10" spans="4:20" ht="11.25" customHeight="1" thickBot="1" x14ac:dyDescent="0.25">
      <c r="T10" s="14" t="s">
        <v>181</v>
      </c>
    </row>
    <row r="11" spans="4:20" ht="12.75" x14ac:dyDescent="0.2">
      <c r="D11" s="1" t="s">
        <v>7</v>
      </c>
      <c r="E11" s="656" t="s">
        <v>50</v>
      </c>
      <c r="F11" s="656"/>
      <c r="G11" s="656"/>
      <c r="H11" s="656"/>
      <c r="I11" s="2"/>
      <c r="J11" s="2"/>
      <c r="K11" s="3" t="s">
        <v>8</v>
      </c>
      <c r="L11" s="2" t="str">
        <f>+NOMINA!B3</f>
        <v>SEMANA #45 PERIODO DEL 27 de oct AL 02 de nov DEL 2025</v>
      </c>
      <c r="M11" s="2"/>
      <c r="N11" s="2"/>
      <c r="O11" s="2"/>
      <c r="P11" s="2"/>
      <c r="Q11" s="2"/>
      <c r="R11" s="2"/>
      <c r="S11" s="198"/>
    </row>
    <row r="12" spans="4:20" ht="12.75" x14ac:dyDescent="0.2">
      <c r="D12" s="4" t="s">
        <v>9</v>
      </c>
      <c r="E12" s="624" t="s">
        <v>152</v>
      </c>
      <c r="F12" s="624"/>
      <c r="G12" s="5"/>
      <c r="H12" s="130"/>
      <c r="I12" s="130"/>
      <c r="J12" s="130"/>
      <c r="K12" s="130"/>
      <c r="L12" s="130"/>
      <c r="M12" s="130"/>
      <c r="N12" s="130"/>
      <c r="O12" s="130"/>
      <c r="P12" s="130"/>
      <c r="Q12" s="130"/>
      <c r="R12" s="130"/>
      <c r="S12" s="256"/>
    </row>
    <row r="13" spans="4:20" ht="9.75" customHeight="1" x14ac:dyDescent="0.2">
      <c r="D13" s="623"/>
      <c r="E13" s="624"/>
      <c r="F13" s="130"/>
      <c r="G13" s="130"/>
      <c r="H13" s="130"/>
      <c r="I13" s="130"/>
      <c r="J13" s="130"/>
      <c r="K13" s="130"/>
      <c r="L13" s="130"/>
      <c r="M13" s="130"/>
      <c r="N13" s="130"/>
      <c r="O13" s="130"/>
      <c r="P13" s="130"/>
      <c r="Q13" s="130"/>
      <c r="R13" s="130"/>
      <c r="S13" s="256"/>
    </row>
    <row r="14" spans="4:20" ht="12.75" x14ac:dyDescent="0.2">
      <c r="D14" s="625" t="s">
        <v>10</v>
      </c>
      <c r="E14" s="626"/>
      <c r="F14" s="130">
        <v>157771</v>
      </c>
      <c r="G14" s="130"/>
      <c r="H14" s="130"/>
      <c r="I14" s="6" t="s">
        <v>11</v>
      </c>
      <c r="J14" s="6"/>
      <c r="K14" s="130"/>
      <c r="L14" s="130"/>
      <c r="M14" s="130"/>
      <c r="N14" s="130"/>
      <c r="O14" s="6" t="s">
        <v>12</v>
      </c>
      <c r="P14" s="7"/>
      <c r="Q14" s="7"/>
      <c r="R14" s="7"/>
      <c r="S14" s="8"/>
    </row>
    <row r="15" spans="4:20" ht="12.75" x14ac:dyDescent="0.2">
      <c r="D15" s="625" t="s">
        <v>13</v>
      </c>
      <c r="E15" s="626"/>
      <c r="F15" s="130">
        <v>158520</v>
      </c>
      <c r="G15" s="130"/>
      <c r="H15" s="130"/>
      <c r="I15" s="6" t="s">
        <v>14</v>
      </c>
      <c r="J15" s="6"/>
      <c r="K15" s="130"/>
      <c r="L15" s="130"/>
      <c r="M15" s="130"/>
      <c r="N15" s="130"/>
      <c r="O15" s="6" t="s">
        <v>15</v>
      </c>
      <c r="P15" s="130"/>
      <c r="Q15" s="130"/>
      <c r="R15" s="130"/>
      <c r="S15" s="256"/>
    </row>
    <row r="16" spans="4:20" ht="13.5" thickBot="1" x14ac:dyDescent="0.25">
      <c r="D16" s="627" t="s">
        <v>16</v>
      </c>
      <c r="E16" s="628"/>
      <c r="F16" s="257">
        <f>SUM(J19:J32)</f>
        <v>4030</v>
      </c>
      <c r="G16" s="257"/>
      <c r="H16" s="257"/>
      <c r="I16" s="9" t="s">
        <v>17</v>
      </c>
      <c r="J16" s="257">
        <f>SUM(K19:K32)</f>
        <v>1107.6200000000001</v>
      </c>
      <c r="K16" s="257"/>
      <c r="L16" s="257"/>
      <c r="M16" s="257"/>
      <c r="N16" s="257"/>
      <c r="O16" s="9" t="s">
        <v>18</v>
      </c>
      <c r="P16" s="10">
        <f>+F16/J16</f>
        <v>3.6384319531969442</v>
      </c>
      <c r="Q16" s="257"/>
      <c r="R16" s="257"/>
      <c r="S16" s="258"/>
    </row>
    <row r="17" spans="3:24" ht="7.5" customHeight="1" thickBot="1" x14ac:dyDescent="0.25"/>
    <row r="18" spans="3:24" ht="33" customHeight="1" thickBot="1" x14ac:dyDescent="0.25">
      <c r="C18" s="243" t="s">
        <v>19</v>
      </c>
      <c r="D18" s="33" t="s">
        <v>20</v>
      </c>
      <c r="E18" s="34" t="s">
        <v>21</v>
      </c>
      <c r="F18" s="34" t="s">
        <v>22</v>
      </c>
      <c r="G18" s="34" t="s">
        <v>23</v>
      </c>
      <c r="H18" s="34" t="s">
        <v>24</v>
      </c>
      <c r="I18" s="34" t="s">
        <v>25</v>
      </c>
      <c r="J18" s="34" t="s">
        <v>26</v>
      </c>
      <c r="K18" s="34" t="s">
        <v>27</v>
      </c>
      <c r="L18" s="34" t="s">
        <v>28</v>
      </c>
      <c r="M18" s="34" t="s">
        <v>285</v>
      </c>
      <c r="N18" s="34" t="s">
        <v>29</v>
      </c>
      <c r="O18" s="34" t="s">
        <v>30</v>
      </c>
      <c r="P18" s="33" t="s">
        <v>31</v>
      </c>
      <c r="Q18" s="34" t="s">
        <v>219</v>
      </c>
      <c r="R18" s="34" t="s">
        <v>184</v>
      </c>
      <c r="S18" s="34" t="s">
        <v>33</v>
      </c>
      <c r="T18" s="35" t="s">
        <v>220</v>
      </c>
      <c r="U18" s="448" t="s">
        <v>351</v>
      </c>
      <c r="V18" s="305" t="s">
        <v>354</v>
      </c>
      <c r="X18" s="14" t="s">
        <v>181</v>
      </c>
    </row>
    <row r="19" spans="3:24" ht="12.75" customHeight="1" x14ac:dyDescent="0.2">
      <c r="C19" s="176">
        <v>46484</v>
      </c>
      <c r="D19" s="43" t="s">
        <v>574</v>
      </c>
      <c r="E19" s="42">
        <v>45957</v>
      </c>
      <c r="F19" s="42">
        <v>45958</v>
      </c>
      <c r="G19" s="43">
        <v>4</v>
      </c>
      <c r="H19" s="236" t="str">
        <f>IF(G19=1,KILOMETRAJE!C$4,IF(G19=2,KILOMETRAJE!C$5,IF(G19=3,KILOMETRAJE!C$6,IF(G19=4,KILOMETRAJE!C$7,IF(G19=5,KILOMETRAJE!C$8,IF(G19=6,KILOMETRAJE!C$9,IF(G19=7,KILOMETRAJE!C$10,IF(G19=8,KILOMETRAJE!C$11,IF(G19=9,KILOMETRAJE!C$12,IF(G19=10,KILOMETRAJE!C$13,IF(G19=11,KILOMETRAJE!C$14,IF(G19=12,KILOMETRAJE!C$15,IF(G19=13,KILOMETRAJE!C$16,IF(G19=14,KILOMETRAJE!C$17,IF(G19=15,KILOMETRAJE!C$18,IF(G19=16,KILOMETRAJE!C$19,IF(G19=17,KILOMETRAJE!C$20,IF(G19=18,KILOMETRAJE!C$21,IF(G19=19,KILOMETRAJE!C$22,IF(G19=20,KILOMETRAJE!C$23,IF(G19=21,KILOMETRAJE!C$24,IF(G19=22,KILOMETRAJE!C$25,IF(G19=23,KILOMETRAJE!C$26,IF(G19=24,KILOMETRAJE!C$27,IF(G19=25,KILOMETRAJE!C$28,IF(G19=26,KILOMETRAJE!C$29,IF(G19=27,KILOMETRAJE!C$30,IF(G19=28,KILOMETRAJE!C$31,IF(G19=29,KILOMETRAJE!C$32,IF(G19=30,KILOMETRAJE!C$33,IF(G19=31,KILOMETRAJE!C$34,IF(G19=32,KILOMETRAJE!C$35,IF(G19=33,KILOMETRAJE!C$36,IF(G19=34,KILOMETRAJE!C$37,IF(G19=35,KILOMETRAJE!C$38,IF(G19=36,KILOMETRAJE!C$39,IF(G19=37,KILOMETRAJE!C$40,IF(G19=38,KILOMETRAJE!C$41,IF(G19=39,KILOMETRAJE!C$42,IF(G19=40,KILOMETRAJE!C$43,IF(G19=41,KILOMETRAJE!C$44,IF(G19=42,KILOMETRAJE!C$45,IF(G19=43,KILOMETRAJE!C$46,IF(G19=44,KILOMETRAJE!C$47,IF(G19=45,KILOMETRAJE!C$48,IF(G19=46,KILOMETRAJE!C$49,IF(G19=47,KILOMETRAJE!C$50,IF(G19=48,KILOMETRAJE!C$51,IF(G19=49,KILOMETRAJE!C$52,IF(G19=50,KILOMETRAJE!C$53,IF(G19=51,KILOMETRAJE!C$54,IF(G19=52,KILOMETRAJE!C$55,IF(G19=53,KILOMETRAJE!C$56,IF(G19=54,KILOMETRAJE!C$57,IF(G19=55,KILOMETRAJE!C$58,IF(G19=56,KILOMETRAJE!C$59,IF(G19=57,KILOMETRAJE!C$60,IF(G19=58,KILOMETRAJE!C$61,IF(G19=59,KILOMETRAJE!C$62,IF(G19=60,KILOMETRAJE!C$63,IF(G19=61,KILOMETRAJE!C$64,IF(G19=62,KILOMETRAJE!C$65,IF(G19=63,KILOMETRAJE!C$66)))))))))))))))))))))))))))))))))))))))))))))))))))))))))))))))</f>
        <v xml:space="preserve">ELP. </v>
      </c>
      <c r="I19" s="236" t="str">
        <f>IF(G19=1,KILOMETRAJE!E$4,IF(G19=2,KILOMETRAJE!E$5,IF(G19=3,KILOMETRAJE!E$6,IF(G19=4,KILOMETRAJE!E$7,IF(G19=5,KILOMETRAJE!E$8,IF(G19=6,KILOMETRAJE!E$9,IF(G19=7,KILOMETRAJE!E$10,IF(G19=8,KILOMETRAJE!E$11,IF(G19=9,KILOMETRAJE!E$12,IF(G19=10,KILOMETRAJE!E$13,IF(G19=11,KILOMETRAJE!E$14,IF(G19=12,KILOMETRAJE!E$15,IF(G19=13,KILOMETRAJE!E$16,IF(G19=14,KILOMETRAJE!E$17,IF(G19=15,KILOMETRAJE!E$18,IF(G19=16,KILOMETRAJE!E$19,IF(G19=17,KILOMETRAJE!E$20,IF(G19=18,KILOMETRAJE!E$21,IF(G19=19,KILOMETRAJE!E$22,IF(G19=20,KILOMETRAJE!E$23,IF(G19=21,KILOMETRAJE!E$24,IF(G19=22,KILOMETRAJE!E$25,IF(G19=23,KILOMETRAJE!E$26,IF(G19=24,KILOMETRAJE!E$27,IF(G19=25,KILOMETRAJE!E$28,IF(G19=26,KILOMETRAJE!E$29,IF(G19=27,KILOMETRAJE!E$30,IF(G19=28,KILOMETRAJE!E$31,IF(G19=29,KILOMETRAJE!E$32,IF(G19=30,KILOMETRAJE!E$33,IF(G19=31,KILOMETRAJE!E$34,IF(G19=32,KILOMETRAJE!E$35,IF(G19=33,KILOMETRAJE!E$36,IF(G19=34,KILOMETRAJE!E$37,IF(G19=35,KILOMETRAJE!E$38,IF(G19=36,KILOMETRAJE!E$39,IF(G19=37,KILOMETRAJE!E$40,IF(G19=38,KILOMETRAJE!E$41,IF(G19=39,KILOMETRAJE!E$42,IF(G19=40,KILOMETRAJE!E$43,IF(G19=41,KILOMETRAJE!E$44,IF(G19=42,KILOMETRAJE!E$45,IF(G19=43,KILOMETRAJE!E$46,IF(G19=44,KILOMETRAJE!E$47,IF(G19=45,KILOMETRAJE!E$48,IF(G19=46,KILOMETRAJE!E$49,IF(G19=47,KILOMETRAJE!E$50,IF(G19=48,KILOMETRAJE!E$51,IF(G19=49,KILOMETRAJE!E$52,IF(G19=50,KILOMETRAJE!E$53,IF(G19=51,KILOMETRAJE!E$54,IF(G19=52,KILOMETRAJE!E$55,IF(G19=53,KILOMETRAJE!E$56,IF(G19=54,KILOMETRAJE!E$57,IF(G19=55,KILOMETRAJE!E$58,IF(G19=56,KILOMETRAJE!E$59,IF(G19=57,KILOMETRAJE!E$60,IF(G19=58,KILOMETRAJE!E$61,IF(G19=59,KILOMETRAJE!E$62,IF(G19=60,KILOMETRAJE!E$63,IF(G19=61,KILOMETRAJE!E$64,IF(G19=62,KILOMETRAJE!E$65,IF(G19=63,KILOMETRAJE!E$66)))))))))))))))))))))))))))))))))))))))))))))))))))))))))))))))</f>
        <v>CHIH.</v>
      </c>
      <c r="J19" s="237">
        <f>IF(G19=1,KILOMETRAJE!G$4,IF(G19=2,KILOMETRAJE!G$5,IF(G19=3,KILOMETRAJE!G$6,IF(G19=4,KILOMETRAJE!G$7,IF(G19=5,KILOMETRAJE!G$8,IF(G19=6,KILOMETRAJE!G$9,IF(G19=7,KILOMETRAJE!G$10,IF(G19=8,KILOMETRAJE!G$11,IF(G19=9,KILOMETRAJE!G$12,IF(G19=10,KILOMETRAJE!G$13,IF(G19=11,KILOMETRAJE!G$14,IF(G19=12,KILOMETRAJE!G$15,IF(G19=13,KILOMETRAJE!G$16,IF(G19=14,KILOMETRAJE!G$17,IF(G19=15,KILOMETRAJE!G$18,IF(G19=16,KILOMETRAJE!G$19,IF(G19=17,KILOMETRAJE!G$20,IF(G19=18,KILOMETRAJE!G$21,IF(G19=19,KILOMETRAJE!G$22,IF(G19=20,KILOMETRAJE!G$23,IF(G19=21,KILOMETRAJE!G$24,IF(G19=22,KILOMETRAJE!G$25,IF(G19=23,KILOMETRAJE!G$26,IF(G19=24,KILOMETRAJE!G$27,IF(G19=25,KILOMETRAJE!G$28,IF(G19=26,KILOMETRAJE!G$29,IF(G19=27,KILOMETRAJE!G$30,IF(G19=28,KILOMETRAJE!G$31,IF(G19=29,KILOMETRAJE!G$32,IF(G19=30,KILOMETRAJE!G$33,IF(G19=31,KILOMETRAJE!G$34,IF(G19=32,KILOMETRAJE!G$35,IF(G19=33,KILOMETRAJE!G$36,IF(G19=34,KILOMETRAJE!G$37,IF(G19=35,KILOMETRAJE!G$38,IF(G19=36,KILOMETRAJE!G$39,IF(G19=37,KILOMETRAJE!G$40,IF(G19=38,KILOMETRAJE!G$41,IF(G19=39,KILOMETRAJE!G$42,IF(G19=40,KILOMETRAJE!G$43,IF(G19=41,KILOMETRAJE!G$44,IF(G19=42,KILOMETRAJE!G$45,IF(G19=43,KILOMETRAJE!G$46,IF(G19=44,KILOMETRAJE!G$47,IF(G19=45,KILOMETRAJE!G$48,IF(G19=46,KILOMETRAJE!G$49,IF(G19=47,KILOMETRAJE!G$50,IF(G19=48,KILOMETRAJE!G$51,IF(G19=49,KILOMETRAJE!G$52,IF(G19=50,KILOMETRAJE!G$53,IF(G19=51,KILOMETRAJE!G$54,IF(G19=52,KILOMETRAJE!G$55,IF(G19=53,KILOMETRAJE!G$56,IF(G19=54,KILOMETRAJE!G$57,IF(G19=55,KILOMETRAJE!G$58,IF(G19=56,KILOMETRAJE!G$59,IF(G19=57,KILOMETRAJE!G$60,IF(G19=58,KILOMETRAJE!G$61,IF(G19=59,KILOMETRAJE!G$62,IF(G19=60,KILOMETRAJE!G$63,IF(G19=61,KILOMETRAJE!G$64,IF(G19=62,KILOMETRAJE!G$65,IF(G19=63,KILOMETRAJE!G$66)))))))))))))))))))))))))))))))))))))))))))))))))))))))))))))))</f>
        <v>415</v>
      </c>
      <c r="K19" s="24"/>
      <c r="L19" s="44"/>
      <c r="M19" s="348">
        <v>1200</v>
      </c>
      <c r="N19" s="24">
        <v>4</v>
      </c>
      <c r="O19" s="24" t="s">
        <v>576</v>
      </c>
      <c r="P19" s="24" t="s">
        <v>199</v>
      </c>
      <c r="Q19" s="45">
        <f>((((IF(N19=1,((J19)*0.29333)))+(IF(N19=2,((J19)*0.146666)))+(IF(N19=3,((J19)*0.146666)))))+(IF(N19=4,((J19-40)*0.29333)))+(IF(N19=5,((J19-50)*0.29333)))+(IF(N19=6,((J19-90)*0.29333))))</f>
        <v>109.99874999999999</v>
      </c>
      <c r="R19" s="187"/>
      <c r="S19" s="49"/>
      <c r="T19" s="455"/>
      <c r="U19" s="24" t="s">
        <v>352</v>
      </c>
      <c r="V19" s="79" t="s">
        <v>352</v>
      </c>
    </row>
    <row r="20" spans="3:24" ht="12.75" thickBot="1" x14ac:dyDescent="0.25">
      <c r="C20" s="101"/>
      <c r="D20" s="25" t="s">
        <v>575</v>
      </c>
      <c r="E20" s="25">
        <v>45958</v>
      </c>
      <c r="F20" s="25">
        <v>45958</v>
      </c>
      <c r="G20" s="62">
        <v>27</v>
      </c>
      <c r="H20" s="27" t="str">
        <f>IF(G20=1,KILOMETRAJE!C$4,IF(G20=2,KILOMETRAJE!C$5,IF(G20=3,KILOMETRAJE!C$6,IF(G20=4,KILOMETRAJE!C$7,IF(G20=5,KILOMETRAJE!C$8,IF(G20=6,KILOMETRAJE!C$9,IF(G20=7,KILOMETRAJE!C$10,IF(G20=8,KILOMETRAJE!C$11,IF(G20=9,KILOMETRAJE!C$12,IF(G20=10,KILOMETRAJE!C$13,IF(G20=11,KILOMETRAJE!C$14,IF(G20=12,KILOMETRAJE!C$15,IF(G20=13,KILOMETRAJE!C$16,IF(G20=14,KILOMETRAJE!C$17,IF(G20=15,KILOMETRAJE!C$18,IF(G20=16,KILOMETRAJE!C$19,IF(G20=17,KILOMETRAJE!C$20,IF(G20=18,KILOMETRAJE!C$21,IF(G20=19,KILOMETRAJE!C$22,IF(G20=20,KILOMETRAJE!C$23,IF(G20=21,KILOMETRAJE!C$24,IF(G20=22,KILOMETRAJE!C$25,IF(G20=23,KILOMETRAJE!C$26,IF(G20=24,KILOMETRAJE!C$27,IF(G20=25,KILOMETRAJE!C$28,IF(G20=26,KILOMETRAJE!C$29,IF(G20=27,KILOMETRAJE!C$30,IF(G20=28,KILOMETRAJE!C$31,IF(G20=29,KILOMETRAJE!C$32,IF(G20=30,KILOMETRAJE!C$33,IF(G20=31,KILOMETRAJE!C$34,IF(G20=32,KILOMETRAJE!C$35,IF(G20=33,KILOMETRAJE!C$36,IF(G20=34,KILOMETRAJE!C$37,IF(G20=35,KILOMETRAJE!C$38,IF(G20=36,KILOMETRAJE!C$39,IF(G20=37,KILOMETRAJE!C$40,IF(G20=38,KILOMETRAJE!C$41,IF(G20=39,KILOMETRAJE!C$42,IF(G20=40,KILOMETRAJE!C$43,IF(G20=41,KILOMETRAJE!C$44,IF(G20=42,KILOMETRAJE!C$45,IF(G20=43,KILOMETRAJE!C$46,IF(G20=44,KILOMETRAJE!C$47,IF(G20=45,KILOMETRAJE!C$48,IF(G20=46,KILOMETRAJE!C$49,IF(G20=47,KILOMETRAJE!C$50,IF(G20=48,KILOMETRAJE!C$51,IF(G20=49,KILOMETRAJE!C$52,IF(G20=50,KILOMETRAJE!C$53,IF(G20=51,KILOMETRAJE!C$54,IF(G20=52,KILOMETRAJE!C$55,IF(G20=53,KILOMETRAJE!C$56,IF(G20=54,KILOMETRAJE!C$57,IF(G20=55,KILOMETRAJE!C$58,IF(G20=56,KILOMETRAJE!C$59,IF(G20=57,KILOMETRAJE!C$60,IF(G20=58,KILOMETRAJE!C$61,IF(G20=59,KILOMETRAJE!C$62,IF(G20=60,KILOMETRAJE!C$63,IF(G20=61,KILOMETRAJE!C$64,IF(G20=62,KILOMETRAJE!C$65,IF(G20=63,KILOMETRAJE!C$66)))))))))))))))))))))))))))))))))))))))))))))))))))))))))))))))</f>
        <v xml:space="preserve">CHIH. </v>
      </c>
      <c r="I20" s="27" t="str">
        <f>IF(G20=1,KILOMETRAJE!E$4,IF(G20=2,KILOMETRAJE!E$5,IF(G20=3,KILOMETRAJE!E$6,IF(G20=4,KILOMETRAJE!E$7,IF(G20=5,KILOMETRAJE!E$8,IF(G20=6,KILOMETRAJE!E$9,IF(G20=7,KILOMETRAJE!E$10,IF(G20=8,KILOMETRAJE!E$11,IF(G20=9,KILOMETRAJE!E$12,IF(G20=10,KILOMETRAJE!E$13,IF(G20=11,KILOMETRAJE!E$14,IF(G20=12,KILOMETRAJE!E$15,IF(G20=13,KILOMETRAJE!E$16,IF(G20=14,KILOMETRAJE!E$17,IF(G20=15,KILOMETRAJE!E$18,IF(G20=16,KILOMETRAJE!E$19,IF(G20=17,KILOMETRAJE!E$20,IF(G20=18,KILOMETRAJE!E$21,IF(G20=19,KILOMETRAJE!E$22,IF(G20=20,KILOMETRAJE!E$23,IF(G20=21,KILOMETRAJE!E$24,IF(G20=22,KILOMETRAJE!E$25,IF(G20=23,KILOMETRAJE!E$26,IF(G20=24,KILOMETRAJE!E$27,IF(G20=25,KILOMETRAJE!E$28,IF(G20=26,KILOMETRAJE!E$29,IF(G20=27,KILOMETRAJE!E$30,IF(G20=28,KILOMETRAJE!E$31,IF(G20=29,KILOMETRAJE!E$32,IF(G20=30,KILOMETRAJE!E$33,IF(G20=31,KILOMETRAJE!E$34,IF(G20=32,KILOMETRAJE!E$35,IF(G20=33,KILOMETRAJE!E$36,IF(G20=34,KILOMETRAJE!E$37,IF(G20=35,KILOMETRAJE!E$38,IF(G20=36,KILOMETRAJE!E$39,IF(G20=37,KILOMETRAJE!E$40,IF(G20=38,KILOMETRAJE!E$41,IF(G20=39,KILOMETRAJE!E$42,IF(G20=40,KILOMETRAJE!E$43,IF(G20=41,KILOMETRAJE!E$44,IF(G20=42,KILOMETRAJE!E$45,IF(G20=43,KILOMETRAJE!E$46,IF(G20=44,KILOMETRAJE!E$47,IF(G20=45,KILOMETRAJE!E$48,IF(G20=46,KILOMETRAJE!E$49,IF(G20=47,KILOMETRAJE!E$50,IF(G20=48,KILOMETRAJE!E$51,IF(G20=49,KILOMETRAJE!E$52,IF(G20=50,KILOMETRAJE!E$53,IF(G20=51,KILOMETRAJE!E$54,IF(G20=52,KILOMETRAJE!E$55,IF(G20=53,KILOMETRAJE!E$56,IF(G20=54,KILOMETRAJE!E$57,IF(G20=55,KILOMETRAJE!E$58,IF(G20=56,KILOMETRAJE!E$59,IF(G20=57,KILOMETRAJE!E$60,IF(G20=58,KILOMETRAJE!E$61,IF(G20=59,KILOMETRAJE!E$62,IF(G20=60,KILOMETRAJE!E$63,IF(G20=61,KILOMETRAJE!E$64,IF(G20=62,KILOMETRAJE!E$65,IF(G20=63,KILOMETRAJE!E$66)))))))))))))))))))))))))))))))))))))))))))))))))))))))))))))))</f>
        <v>ELP</v>
      </c>
      <c r="J20" s="31">
        <f>IF(G20=1,KILOMETRAJE!G$4,IF(G20=2,KILOMETRAJE!G$5,IF(G20=3,KILOMETRAJE!G$6,IF(G20=4,KILOMETRAJE!G$7,IF(G20=5,KILOMETRAJE!G$8,IF(G20=6,KILOMETRAJE!G$9,IF(G20=7,KILOMETRAJE!G$10,IF(G20=8,KILOMETRAJE!G$11,IF(G20=9,KILOMETRAJE!G$12,IF(G20=10,KILOMETRAJE!G$13,IF(G20=11,KILOMETRAJE!G$14,IF(G20=12,KILOMETRAJE!G$15,IF(G20=13,KILOMETRAJE!G$16,IF(G20=14,KILOMETRAJE!G$17,IF(G20=15,KILOMETRAJE!G$18,IF(G20=16,KILOMETRAJE!G$19,IF(G20=17,KILOMETRAJE!G$20,IF(G20=18,KILOMETRAJE!G$21,IF(G20=19,KILOMETRAJE!G$22,IF(G20=20,KILOMETRAJE!G$23,IF(G20=21,KILOMETRAJE!G$24,IF(G20=22,KILOMETRAJE!G$25,IF(G20=23,KILOMETRAJE!G$26,IF(G20=24,KILOMETRAJE!G$27,IF(G20=25,KILOMETRAJE!G$28,IF(G20=26,KILOMETRAJE!G$29,IF(G20=27,KILOMETRAJE!G$30,IF(G20=28,KILOMETRAJE!G$31,IF(G20=29,KILOMETRAJE!G$32,IF(G20=30,KILOMETRAJE!G$33,IF(G20=31,KILOMETRAJE!G$34,IF(G20=32,KILOMETRAJE!G$35,IF(G20=33,KILOMETRAJE!G$36,IF(G20=34,KILOMETRAJE!G$37,IF(G20=35,KILOMETRAJE!G$38,IF(G20=36,KILOMETRAJE!G$39,IF(G20=37,KILOMETRAJE!G$40,IF(G20=38,KILOMETRAJE!G$41,IF(G20=39,KILOMETRAJE!G$42,IF(G20=40,KILOMETRAJE!G$43,IF(G20=41,KILOMETRAJE!G$44,IF(G20=42,KILOMETRAJE!G$45,IF(G20=43,KILOMETRAJE!G$46,IF(G20=44,KILOMETRAJE!G$47,IF(G20=45,KILOMETRAJE!G$48,IF(G20=46,KILOMETRAJE!G$49,IF(G20=47,KILOMETRAJE!G$50,IF(G20=48,KILOMETRAJE!G$51,IF(G20=49,KILOMETRAJE!G$52,IF(G20=50,KILOMETRAJE!G$53,IF(G20=51,KILOMETRAJE!G$54,IF(G20=52,KILOMETRAJE!G$55,IF(G20=53,KILOMETRAJE!G$56,IF(G20=54,KILOMETRAJE!G$57,IF(G20=55,KILOMETRAJE!G$58,IF(G20=56,KILOMETRAJE!G$59,IF(G20=57,KILOMETRAJE!G$60,IF(G20=58,KILOMETRAJE!G$61,IF(G20=59,KILOMETRAJE!G$62,IF(G20=60,KILOMETRAJE!G$63,IF(G20=61,KILOMETRAJE!G$64,IF(G20=62,KILOMETRAJE!G$65,IF(G20=63,KILOMETRAJE!G$66)))))))))))))))))))))))))))))))))))))))))))))))))))))))))))))))</f>
        <v>415</v>
      </c>
      <c r="K20" s="27">
        <v>217.02</v>
      </c>
      <c r="L20" s="28">
        <f>SUM(J19:J20)/K20</f>
        <v>3.8245323011703989</v>
      </c>
      <c r="M20" s="349">
        <v>3262</v>
      </c>
      <c r="N20" s="27">
        <v>4</v>
      </c>
      <c r="O20" s="27" t="s">
        <v>564</v>
      </c>
      <c r="P20" s="27" t="s">
        <v>199</v>
      </c>
      <c r="Q20" s="29">
        <f t="shared" ref="Q20" si="0">((((IF(N20=1,((J20)*0.29333)))+(IF(N20=2,((J20)*0.146666)))+(IF(N20=3,((J20)*0.146666)))))+(IF(N20=4,((J20-40)*0.29333)))+(IF(N20=5,((J20-50)*0.29333)))+(IF(N20=6,((J20-90)*0.29333))))</f>
        <v>109.99874999999999</v>
      </c>
      <c r="R20" s="190">
        <f>+LOOKUP(P40,UNIDADES!B$3:B$59,UNIDADES!C$3:C$59)</f>
        <v>2.4509799999999999</v>
      </c>
      <c r="S20" s="50">
        <f>+((SUM(J19:J20)-80)/R20)-K20</f>
        <v>88.980048960007849</v>
      </c>
      <c r="T20" s="456">
        <f>+S20*14.85</f>
        <v>1321.3537270561164</v>
      </c>
      <c r="U20" s="27">
        <v>57</v>
      </c>
      <c r="V20" s="55">
        <v>59</v>
      </c>
    </row>
    <row r="21" spans="3:24" ht="11.25" customHeight="1" x14ac:dyDescent="0.2">
      <c r="C21" s="176">
        <v>46500</v>
      </c>
      <c r="D21" s="43" t="s">
        <v>577</v>
      </c>
      <c r="E21" s="42">
        <v>45958</v>
      </c>
      <c r="F21" s="42">
        <v>45959</v>
      </c>
      <c r="G21" s="43">
        <v>4</v>
      </c>
      <c r="H21" s="236" t="str">
        <f>IF(G21=1,KILOMETRAJE!C$4,IF(G21=2,KILOMETRAJE!C$5,IF(G21=3,KILOMETRAJE!C$6,IF(G21=4,KILOMETRAJE!C$7,IF(G21=5,KILOMETRAJE!C$8,IF(G21=6,KILOMETRAJE!C$9,IF(G21=7,KILOMETRAJE!C$10,IF(G21=8,KILOMETRAJE!C$11,IF(G21=9,KILOMETRAJE!C$12,IF(G21=10,KILOMETRAJE!C$13,IF(G21=11,KILOMETRAJE!C$14,IF(G21=12,KILOMETRAJE!C$15,IF(G21=13,KILOMETRAJE!C$16,IF(G21=14,KILOMETRAJE!C$17,IF(G21=15,KILOMETRAJE!C$18,IF(G21=16,KILOMETRAJE!C$19,IF(G21=17,KILOMETRAJE!C$20,IF(G21=18,KILOMETRAJE!C$21,IF(G21=19,KILOMETRAJE!C$22,IF(G21=20,KILOMETRAJE!C$23,IF(G21=21,KILOMETRAJE!C$24,IF(G21=22,KILOMETRAJE!C$25,IF(G21=23,KILOMETRAJE!C$26,IF(G21=24,KILOMETRAJE!C$27,IF(G21=25,KILOMETRAJE!C$28,IF(G21=26,KILOMETRAJE!C$29,IF(G21=27,KILOMETRAJE!C$30,IF(G21=28,KILOMETRAJE!C$31,IF(G21=29,KILOMETRAJE!C$32,IF(G21=30,KILOMETRAJE!C$33,IF(G21=31,KILOMETRAJE!C$34,IF(G21=32,KILOMETRAJE!C$35,IF(G21=33,KILOMETRAJE!C$36,IF(G21=34,KILOMETRAJE!C$37,IF(G21=35,KILOMETRAJE!C$38,IF(G21=36,KILOMETRAJE!C$39,IF(G21=37,KILOMETRAJE!C$40,IF(G21=38,KILOMETRAJE!C$41,IF(G21=39,KILOMETRAJE!C$42,IF(G21=40,KILOMETRAJE!C$43,IF(G21=41,KILOMETRAJE!C$44,IF(G21=42,KILOMETRAJE!C$45,IF(G21=43,KILOMETRAJE!C$46,IF(G21=44,KILOMETRAJE!C$47,IF(G21=45,KILOMETRAJE!C$48,IF(G21=46,KILOMETRAJE!C$49,IF(G21=47,KILOMETRAJE!C$50,IF(G21=48,KILOMETRAJE!C$51,IF(G21=49,KILOMETRAJE!C$52,IF(G21=50,KILOMETRAJE!C$53,IF(G21=51,KILOMETRAJE!C$54,IF(G21=52,KILOMETRAJE!C$55,IF(G21=53,KILOMETRAJE!C$56,IF(G21=54,KILOMETRAJE!C$57,IF(G21=55,KILOMETRAJE!C$58,IF(G21=56,KILOMETRAJE!C$59,IF(G21=57,KILOMETRAJE!C$60,IF(G21=58,KILOMETRAJE!C$61,IF(G21=59,KILOMETRAJE!C$62,IF(G21=60,KILOMETRAJE!C$63,IF(G21=61,KILOMETRAJE!C$64,IF(G21=62,KILOMETRAJE!C$65,IF(G21=63,KILOMETRAJE!C$66)))))))))))))))))))))))))))))))))))))))))))))))))))))))))))))))</f>
        <v xml:space="preserve">ELP. </v>
      </c>
      <c r="I21" s="236" t="str">
        <f>IF(G21=1,KILOMETRAJE!E$4,IF(G21=2,KILOMETRAJE!E$5,IF(G21=3,KILOMETRAJE!E$6,IF(G21=4,KILOMETRAJE!E$7,IF(G21=5,KILOMETRAJE!E$8,IF(G21=6,KILOMETRAJE!E$9,IF(G21=7,KILOMETRAJE!E$10,IF(G21=8,KILOMETRAJE!E$11,IF(G21=9,KILOMETRAJE!E$12,IF(G21=10,KILOMETRAJE!E$13,IF(G21=11,KILOMETRAJE!E$14,IF(G21=12,KILOMETRAJE!E$15,IF(G21=13,KILOMETRAJE!E$16,IF(G21=14,KILOMETRAJE!E$17,IF(G21=15,KILOMETRAJE!E$18,IF(G21=16,KILOMETRAJE!E$19,IF(G21=17,KILOMETRAJE!E$20,IF(G21=18,KILOMETRAJE!E$21,IF(G21=19,KILOMETRAJE!E$22,IF(G21=20,KILOMETRAJE!E$23,IF(G21=21,KILOMETRAJE!E$24,IF(G21=22,KILOMETRAJE!E$25,IF(G21=23,KILOMETRAJE!E$26,IF(G21=24,KILOMETRAJE!E$27,IF(G21=25,KILOMETRAJE!E$28,IF(G21=26,KILOMETRAJE!E$29,IF(G21=27,KILOMETRAJE!E$30,IF(G21=28,KILOMETRAJE!E$31,IF(G21=29,KILOMETRAJE!E$32,IF(G21=30,KILOMETRAJE!E$33,IF(G21=31,KILOMETRAJE!E$34,IF(G21=32,KILOMETRAJE!E$35,IF(G21=33,KILOMETRAJE!E$36,IF(G21=34,KILOMETRAJE!E$37,IF(G21=35,KILOMETRAJE!E$38,IF(G21=36,KILOMETRAJE!E$39,IF(G21=37,KILOMETRAJE!E$40,IF(G21=38,KILOMETRAJE!E$41,IF(G21=39,KILOMETRAJE!E$42,IF(G21=40,KILOMETRAJE!E$43,IF(G21=41,KILOMETRAJE!E$44,IF(G21=42,KILOMETRAJE!E$45,IF(G21=43,KILOMETRAJE!E$46,IF(G21=44,KILOMETRAJE!E$47,IF(G21=45,KILOMETRAJE!E$48,IF(G21=46,KILOMETRAJE!E$49,IF(G21=47,KILOMETRAJE!E$50,IF(G21=48,KILOMETRAJE!E$51,IF(G21=49,KILOMETRAJE!E$52,IF(G21=50,KILOMETRAJE!E$53,IF(G21=51,KILOMETRAJE!E$54,IF(G21=52,KILOMETRAJE!E$55,IF(G21=53,KILOMETRAJE!E$56,IF(G21=54,KILOMETRAJE!E$57,IF(G21=55,KILOMETRAJE!E$58,IF(G21=56,KILOMETRAJE!E$59,IF(G21=57,KILOMETRAJE!E$60,IF(G21=58,KILOMETRAJE!E$61,IF(G21=59,KILOMETRAJE!E$62,IF(G21=60,KILOMETRAJE!E$63,IF(G21=61,KILOMETRAJE!E$64,IF(G21=62,KILOMETRAJE!E$65,IF(G21=63,KILOMETRAJE!E$66)))))))))))))))))))))))))))))))))))))))))))))))))))))))))))))))</f>
        <v>CHIH.</v>
      </c>
      <c r="J21" s="237">
        <f>IF(G21=1,KILOMETRAJE!G$4,IF(G21=2,KILOMETRAJE!G$5,IF(G21=3,KILOMETRAJE!G$6,IF(G21=4,KILOMETRAJE!G$7,IF(G21=5,KILOMETRAJE!G$8,IF(G21=6,KILOMETRAJE!G$9,IF(G21=7,KILOMETRAJE!G$10,IF(G21=8,KILOMETRAJE!G$11,IF(G21=9,KILOMETRAJE!G$12,IF(G21=10,KILOMETRAJE!G$13,IF(G21=11,KILOMETRAJE!G$14,IF(G21=12,KILOMETRAJE!G$15,IF(G21=13,KILOMETRAJE!G$16,IF(G21=14,KILOMETRAJE!G$17,IF(G21=15,KILOMETRAJE!G$18,IF(G21=16,KILOMETRAJE!G$19,IF(G21=17,KILOMETRAJE!G$20,IF(G21=18,KILOMETRAJE!G$21,IF(G21=19,KILOMETRAJE!G$22,IF(G21=20,KILOMETRAJE!G$23,IF(G21=21,KILOMETRAJE!G$24,IF(G21=22,KILOMETRAJE!G$25,IF(G21=23,KILOMETRAJE!G$26,IF(G21=24,KILOMETRAJE!G$27,IF(G21=25,KILOMETRAJE!G$28,IF(G21=26,KILOMETRAJE!G$29,IF(G21=27,KILOMETRAJE!G$30,IF(G21=28,KILOMETRAJE!G$31,IF(G21=29,KILOMETRAJE!G$32,IF(G21=30,KILOMETRAJE!G$33,IF(G21=31,KILOMETRAJE!G$34,IF(G21=32,KILOMETRAJE!G$35,IF(G21=33,KILOMETRAJE!G$36,IF(G21=34,KILOMETRAJE!G$37,IF(G21=35,KILOMETRAJE!G$38,IF(G21=36,KILOMETRAJE!G$39,IF(G21=37,KILOMETRAJE!G$40,IF(G21=38,KILOMETRAJE!G$41,IF(G21=39,KILOMETRAJE!G$42,IF(G21=40,KILOMETRAJE!G$43,IF(G21=41,KILOMETRAJE!G$44,IF(G21=42,KILOMETRAJE!G$45,IF(G21=43,KILOMETRAJE!G$46,IF(G21=44,KILOMETRAJE!G$47,IF(G21=45,KILOMETRAJE!G$48,IF(G21=46,KILOMETRAJE!G$49,IF(G21=47,KILOMETRAJE!G$50,IF(G21=48,KILOMETRAJE!G$51,IF(G21=49,KILOMETRAJE!G$52,IF(G21=50,KILOMETRAJE!G$53,IF(G21=51,KILOMETRAJE!G$54,IF(G21=52,KILOMETRAJE!G$55,IF(G21=53,KILOMETRAJE!G$56,IF(G21=54,KILOMETRAJE!G$57,IF(G21=55,KILOMETRAJE!G$58,IF(G21=56,KILOMETRAJE!G$59,IF(G21=57,KILOMETRAJE!G$60,IF(G21=58,KILOMETRAJE!G$61,IF(G21=59,KILOMETRAJE!G$62,IF(G21=60,KILOMETRAJE!G$63,IF(G21=61,KILOMETRAJE!G$64,IF(G21=62,KILOMETRAJE!G$65,IF(G21=63,KILOMETRAJE!G$66)))))))))))))))))))))))))))))))))))))))))))))))))))))))))))))))</f>
        <v>415</v>
      </c>
      <c r="K21" s="24"/>
      <c r="L21" s="44"/>
      <c r="M21" s="348">
        <v>489</v>
      </c>
      <c r="N21" s="24">
        <v>4</v>
      </c>
      <c r="O21" s="24" t="s">
        <v>491</v>
      </c>
      <c r="P21" s="24" t="s">
        <v>199</v>
      </c>
      <c r="Q21" s="45">
        <f>((((IF(N21=1,((J21)*0.29333)))+(IF(N21=2,((J21)*0.146666)))+(IF(N21=3,((J21)*0.146666)))))+(IF(N21=4,((J21-40)*0.29333)))+(IF(N21=5,((J21-50)*0.29333)))+(IF(N21=6,((J21-90)*0.29333))))</f>
        <v>109.99874999999999</v>
      </c>
      <c r="R21" s="187"/>
      <c r="S21" s="49"/>
      <c r="T21" s="455"/>
      <c r="U21" s="24" t="s">
        <v>352</v>
      </c>
      <c r="V21" s="79" t="s">
        <v>352</v>
      </c>
    </row>
    <row r="22" spans="3:24" ht="12.75" thickBot="1" x14ac:dyDescent="0.25">
      <c r="C22" s="101"/>
      <c r="D22" s="25" t="s">
        <v>578</v>
      </c>
      <c r="E22" s="25">
        <v>45959</v>
      </c>
      <c r="F22" s="25">
        <v>45959</v>
      </c>
      <c r="G22" s="62">
        <v>27</v>
      </c>
      <c r="H22" s="27" t="str">
        <f>IF(G22=1,KILOMETRAJE!C$4,IF(G22=2,KILOMETRAJE!C$5,IF(G22=3,KILOMETRAJE!C$6,IF(G22=4,KILOMETRAJE!C$7,IF(G22=5,KILOMETRAJE!C$8,IF(G22=6,KILOMETRAJE!C$9,IF(G22=7,KILOMETRAJE!C$10,IF(G22=8,KILOMETRAJE!C$11,IF(G22=9,KILOMETRAJE!C$12,IF(G22=10,KILOMETRAJE!C$13,IF(G22=11,KILOMETRAJE!C$14,IF(G22=12,KILOMETRAJE!C$15,IF(G22=13,KILOMETRAJE!C$16,IF(G22=14,KILOMETRAJE!C$17,IF(G22=15,KILOMETRAJE!C$18,IF(G22=16,KILOMETRAJE!C$19,IF(G22=17,KILOMETRAJE!C$20,IF(G22=18,KILOMETRAJE!C$21,IF(G22=19,KILOMETRAJE!C$22,IF(G22=20,KILOMETRAJE!C$23,IF(G22=21,KILOMETRAJE!C$24,IF(G22=22,KILOMETRAJE!C$25,IF(G22=23,KILOMETRAJE!C$26,IF(G22=24,KILOMETRAJE!C$27,IF(G22=25,KILOMETRAJE!C$28,IF(G22=26,KILOMETRAJE!C$29,IF(G22=27,KILOMETRAJE!C$30,IF(G22=28,KILOMETRAJE!C$31,IF(G22=29,KILOMETRAJE!C$32,IF(G22=30,KILOMETRAJE!C$33,IF(G22=31,KILOMETRAJE!C$34,IF(G22=32,KILOMETRAJE!C$35,IF(G22=33,KILOMETRAJE!C$36,IF(G22=34,KILOMETRAJE!C$37,IF(G22=35,KILOMETRAJE!C$38,IF(G22=36,KILOMETRAJE!C$39,IF(G22=37,KILOMETRAJE!C$40,IF(G22=38,KILOMETRAJE!C$41,IF(G22=39,KILOMETRAJE!C$42,IF(G22=40,KILOMETRAJE!C$43,IF(G22=41,KILOMETRAJE!C$44,IF(G22=42,KILOMETRAJE!C$45,IF(G22=43,KILOMETRAJE!C$46,IF(G22=44,KILOMETRAJE!C$47,IF(G22=45,KILOMETRAJE!C$48,IF(G22=46,KILOMETRAJE!C$49,IF(G22=47,KILOMETRAJE!C$50,IF(G22=48,KILOMETRAJE!C$51,IF(G22=49,KILOMETRAJE!C$52,IF(G22=50,KILOMETRAJE!C$53,IF(G22=51,KILOMETRAJE!C$54,IF(G22=52,KILOMETRAJE!C$55,IF(G22=53,KILOMETRAJE!C$56,IF(G22=54,KILOMETRAJE!C$57,IF(G22=55,KILOMETRAJE!C$58,IF(G22=56,KILOMETRAJE!C$59,IF(G22=57,KILOMETRAJE!C$60,IF(G22=58,KILOMETRAJE!C$61,IF(G22=59,KILOMETRAJE!C$62,IF(G22=60,KILOMETRAJE!C$63,IF(G22=61,KILOMETRAJE!C$64,IF(G22=62,KILOMETRAJE!C$65,IF(G22=63,KILOMETRAJE!C$66)))))))))))))))))))))))))))))))))))))))))))))))))))))))))))))))</f>
        <v xml:space="preserve">CHIH. </v>
      </c>
      <c r="I22" s="27" t="str">
        <f>IF(G22=1,KILOMETRAJE!E$4,IF(G22=2,KILOMETRAJE!E$5,IF(G22=3,KILOMETRAJE!E$6,IF(G22=4,KILOMETRAJE!E$7,IF(G22=5,KILOMETRAJE!E$8,IF(G22=6,KILOMETRAJE!E$9,IF(G22=7,KILOMETRAJE!E$10,IF(G22=8,KILOMETRAJE!E$11,IF(G22=9,KILOMETRAJE!E$12,IF(G22=10,KILOMETRAJE!E$13,IF(G22=11,KILOMETRAJE!E$14,IF(G22=12,KILOMETRAJE!E$15,IF(G22=13,KILOMETRAJE!E$16,IF(G22=14,KILOMETRAJE!E$17,IF(G22=15,KILOMETRAJE!E$18,IF(G22=16,KILOMETRAJE!E$19,IF(G22=17,KILOMETRAJE!E$20,IF(G22=18,KILOMETRAJE!E$21,IF(G22=19,KILOMETRAJE!E$22,IF(G22=20,KILOMETRAJE!E$23,IF(G22=21,KILOMETRAJE!E$24,IF(G22=22,KILOMETRAJE!E$25,IF(G22=23,KILOMETRAJE!E$26,IF(G22=24,KILOMETRAJE!E$27,IF(G22=25,KILOMETRAJE!E$28,IF(G22=26,KILOMETRAJE!E$29,IF(G22=27,KILOMETRAJE!E$30,IF(G22=28,KILOMETRAJE!E$31,IF(G22=29,KILOMETRAJE!E$32,IF(G22=30,KILOMETRAJE!E$33,IF(G22=31,KILOMETRAJE!E$34,IF(G22=32,KILOMETRAJE!E$35,IF(G22=33,KILOMETRAJE!E$36,IF(G22=34,KILOMETRAJE!E$37,IF(G22=35,KILOMETRAJE!E$38,IF(G22=36,KILOMETRAJE!E$39,IF(G22=37,KILOMETRAJE!E$40,IF(G22=38,KILOMETRAJE!E$41,IF(G22=39,KILOMETRAJE!E$42,IF(G22=40,KILOMETRAJE!E$43,IF(G22=41,KILOMETRAJE!E$44,IF(G22=42,KILOMETRAJE!E$45,IF(G22=43,KILOMETRAJE!E$46,IF(G22=44,KILOMETRAJE!E$47,IF(G22=45,KILOMETRAJE!E$48,IF(G22=46,KILOMETRAJE!E$49,IF(G22=47,KILOMETRAJE!E$50,IF(G22=48,KILOMETRAJE!E$51,IF(G22=49,KILOMETRAJE!E$52,IF(G22=50,KILOMETRAJE!E$53,IF(G22=51,KILOMETRAJE!E$54,IF(G22=52,KILOMETRAJE!E$55,IF(G22=53,KILOMETRAJE!E$56,IF(G22=54,KILOMETRAJE!E$57,IF(G22=55,KILOMETRAJE!E$58,IF(G22=56,KILOMETRAJE!E$59,IF(G22=57,KILOMETRAJE!E$60,IF(G22=58,KILOMETRAJE!E$61,IF(G22=59,KILOMETRAJE!E$62,IF(G22=60,KILOMETRAJE!E$63,IF(G22=61,KILOMETRAJE!E$64,IF(G22=62,KILOMETRAJE!E$65,IF(G22=63,KILOMETRAJE!E$66)))))))))))))))))))))))))))))))))))))))))))))))))))))))))))))))</f>
        <v>ELP</v>
      </c>
      <c r="J22" s="31">
        <f>IF(G22=1,KILOMETRAJE!G$4,IF(G22=2,KILOMETRAJE!G$5,IF(G22=3,KILOMETRAJE!G$6,IF(G22=4,KILOMETRAJE!G$7,IF(G22=5,KILOMETRAJE!G$8,IF(G22=6,KILOMETRAJE!G$9,IF(G22=7,KILOMETRAJE!G$10,IF(G22=8,KILOMETRAJE!G$11,IF(G22=9,KILOMETRAJE!G$12,IF(G22=10,KILOMETRAJE!G$13,IF(G22=11,KILOMETRAJE!G$14,IF(G22=12,KILOMETRAJE!G$15,IF(G22=13,KILOMETRAJE!G$16,IF(G22=14,KILOMETRAJE!G$17,IF(G22=15,KILOMETRAJE!G$18,IF(G22=16,KILOMETRAJE!G$19,IF(G22=17,KILOMETRAJE!G$20,IF(G22=18,KILOMETRAJE!G$21,IF(G22=19,KILOMETRAJE!G$22,IF(G22=20,KILOMETRAJE!G$23,IF(G22=21,KILOMETRAJE!G$24,IF(G22=22,KILOMETRAJE!G$25,IF(G22=23,KILOMETRAJE!G$26,IF(G22=24,KILOMETRAJE!G$27,IF(G22=25,KILOMETRAJE!G$28,IF(G22=26,KILOMETRAJE!G$29,IF(G22=27,KILOMETRAJE!G$30,IF(G22=28,KILOMETRAJE!G$31,IF(G22=29,KILOMETRAJE!G$32,IF(G22=30,KILOMETRAJE!G$33,IF(G22=31,KILOMETRAJE!G$34,IF(G22=32,KILOMETRAJE!G$35,IF(G22=33,KILOMETRAJE!G$36,IF(G22=34,KILOMETRAJE!G$37,IF(G22=35,KILOMETRAJE!G$38,IF(G22=36,KILOMETRAJE!G$39,IF(G22=37,KILOMETRAJE!G$40,IF(G22=38,KILOMETRAJE!G$41,IF(G22=39,KILOMETRAJE!G$42,IF(G22=40,KILOMETRAJE!G$43,IF(G22=41,KILOMETRAJE!G$44,IF(G22=42,KILOMETRAJE!G$45,IF(G22=43,KILOMETRAJE!G$46,IF(G22=44,KILOMETRAJE!G$47,IF(G22=45,KILOMETRAJE!G$48,IF(G22=46,KILOMETRAJE!G$49,IF(G22=47,KILOMETRAJE!G$50,IF(G22=48,KILOMETRAJE!G$51,IF(G22=49,KILOMETRAJE!G$52,IF(G22=50,KILOMETRAJE!G$53,IF(G22=51,KILOMETRAJE!G$54,IF(G22=52,KILOMETRAJE!G$55,IF(G22=53,KILOMETRAJE!G$56,IF(G22=54,KILOMETRAJE!G$57,IF(G22=55,KILOMETRAJE!G$58,IF(G22=56,KILOMETRAJE!G$59,IF(G22=57,KILOMETRAJE!G$60,IF(G22=58,KILOMETRAJE!G$61,IF(G22=59,KILOMETRAJE!G$62,IF(G22=60,KILOMETRAJE!G$63,IF(G22=61,KILOMETRAJE!G$64,IF(G22=62,KILOMETRAJE!G$65,IF(G22=63,KILOMETRAJE!G$66)))))))))))))))))))))))))))))))))))))))))))))))))))))))))))))))</f>
        <v>415</v>
      </c>
      <c r="K22" s="27">
        <v>226.09</v>
      </c>
      <c r="L22" s="28">
        <f>SUM(J21:J22)/K22</f>
        <v>3.6711044274403997</v>
      </c>
      <c r="M22" s="349">
        <v>6666</v>
      </c>
      <c r="N22" s="27">
        <v>4</v>
      </c>
      <c r="O22" s="27" t="s">
        <v>379</v>
      </c>
      <c r="P22" s="27" t="s">
        <v>247</v>
      </c>
      <c r="Q22" s="29">
        <f t="shared" ref="Q22" si="1">((((IF(N22=1,((J22)*0.29333)))+(IF(N22=2,((J22)*0.146666)))+(IF(N22=3,((J22)*0.146666)))))+(IF(N22=4,((J22-40)*0.29333)))+(IF(N22=5,((J22-50)*0.29333)))+(IF(N22=6,((J22-90)*0.29333))))</f>
        <v>109.99874999999999</v>
      </c>
      <c r="R22" s="190">
        <f>+LOOKUP(P42,UNIDADES!B$3:B$59,UNIDADES!C$3:C$59)</f>
        <v>2.4509799999999999</v>
      </c>
      <c r="S22" s="50">
        <f>+((SUM(J21:J22)-80)/R22)-K22</f>
        <v>79.910048960007856</v>
      </c>
      <c r="T22" s="456">
        <f>+S22*14.85</f>
        <v>1186.6642270561167</v>
      </c>
      <c r="U22" s="27">
        <v>57</v>
      </c>
      <c r="V22" s="55">
        <v>59</v>
      </c>
    </row>
    <row r="23" spans="3:24" x14ac:dyDescent="0.2">
      <c r="C23" s="238">
        <v>46138</v>
      </c>
      <c r="D23" s="36" t="s">
        <v>579</v>
      </c>
      <c r="E23" s="37">
        <v>45960</v>
      </c>
      <c r="F23" s="37">
        <v>45960</v>
      </c>
      <c r="G23" s="36">
        <v>4</v>
      </c>
      <c r="H23" s="259" t="str">
        <f>IF(G23=1,KILOMETRAJE!C$4,IF(G23=2,KILOMETRAJE!C$5,IF(G23=3,KILOMETRAJE!C$6,IF(G23=4,KILOMETRAJE!C$7,IF(G23=5,KILOMETRAJE!C$8,IF(G23=6,KILOMETRAJE!C$9,IF(G23=7,KILOMETRAJE!C$10,IF(G23=8,KILOMETRAJE!C$11,IF(G23=9,KILOMETRAJE!C$12,IF(G23=10,KILOMETRAJE!C$13,IF(G23=11,KILOMETRAJE!C$14,IF(G23=12,KILOMETRAJE!C$15,IF(G23=13,KILOMETRAJE!C$16,IF(G23=14,KILOMETRAJE!C$17,IF(G23=15,KILOMETRAJE!C$18,IF(G23=16,KILOMETRAJE!C$19,IF(G23=17,KILOMETRAJE!C$20,IF(G23=18,KILOMETRAJE!C$21,IF(G23=19,KILOMETRAJE!C$22,IF(G23=20,KILOMETRAJE!C$23,IF(G23=21,KILOMETRAJE!C$24,IF(G23=22,KILOMETRAJE!C$25,IF(G23=23,KILOMETRAJE!C$26,IF(G23=24,KILOMETRAJE!C$27,IF(G23=25,KILOMETRAJE!C$28,IF(G23=26,KILOMETRAJE!C$29,IF(G23=27,KILOMETRAJE!C$30,IF(G23=28,KILOMETRAJE!C$31,IF(G23=29,KILOMETRAJE!C$32,IF(G23=30,KILOMETRAJE!C$33,IF(G23=31,KILOMETRAJE!C$34,IF(G23=32,KILOMETRAJE!C$35,IF(G23=33,KILOMETRAJE!C$36,IF(G23=34,KILOMETRAJE!C$37,IF(G23=35,KILOMETRAJE!C$38,IF(G23=36,KILOMETRAJE!C$39,IF(G23=37,KILOMETRAJE!C$40,IF(G23=38,KILOMETRAJE!C$41,IF(G23=39,KILOMETRAJE!C$42,IF(G23=40,KILOMETRAJE!C$43,IF(G23=41,KILOMETRAJE!C$44,IF(G23=42,KILOMETRAJE!C$45,IF(G23=43,KILOMETRAJE!C$46,IF(G23=44,KILOMETRAJE!C$47,IF(G23=45,KILOMETRAJE!C$48,IF(G23=46,KILOMETRAJE!C$49,IF(G23=47,KILOMETRAJE!C$50,IF(G23=48,KILOMETRAJE!C$51,IF(G23=49,KILOMETRAJE!C$52,IF(G23=50,KILOMETRAJE!C$53,IF(G23=51,KILOMETRAJE!C$54,IF(G23=52,KILOMETRAJE!C$55,IF(G23=53,KILOMETRAJE!C$56,IF(G23=54,KILOMETRAJE!C$57,IF(G23=55,KILOMETRAJE!C$58,IF(G23=56,KILOMETRAJE!C$59,IF(G23=57,KILOMETRAJE!C$60,IF(G23=58,KILOMETRAJE!C$61,IF(G23=59,KILOMETRAJE!C$62,IF(G23=60,KILOMETRAJE!C$63,IF(G23=61,KILOMETRAJE!C$64,IF(G23=62,KILOMETRAJE!C$65,IF(G23=63,KILOMETRAJE!C$66)))))))))))))))))))))))))))))))))))))))))))))))))))))))))))))))</f>
        <v xml:space="preserve">ELP. </v>
      </c>
      <c r="I23" s="259" t="str">
        <f>IF(G23=1,KILOMETRAJE!E$4,IF(G23=2,KILOMETRAJE!E$5,IF(G23=3,KILOMETRAJE!E$6,IF(G23=4,KILOMETRAJE!E$7,IF(G23=5,KILOMETRAJE!E$8,IF(G23=6,KILOMETRAJE!E$9,IF(G23=7,KILOMETRAJE!E$10,IF(G23=8,KILOMETRAJE!E$11,IF(G23=9,KILOMETRAJE!E$12,IF(G23=10,KILOMETRAJE!E$13,IF(G23=11,KILOMETRAJE!E$14,IF(G23=12,KILOMETRAJE!E$15,IF(G23=13,KILOMETRAJE!E$16,IF(G23=14,KILOMETRAJE!E$17,IF(G23=15,KILOMETRAJE!E$18,IF(G23=16,KILOMETRAJE!E$19,IF(G23=17,KILOMETRAJE!E$20,IF(G23=18,KILOMETRAJE!E$21,IF(G23=19,KILOMETRAJE!E$22,IF(G23=20,KILOMETRAJE!E$23,IF(G23=21,KILOMETRAJE!E$24,IF(G23=22,KILOMETRAJE!E$25,IF(G23=23,KILOMETRAJE!E$26,IF(G23=24,KILOMETRAJE!E$27,IF(G23=25,KILOMETRAJE!E$28,IF(G23=26,KILOMETRAJE!E$29,IF(G23=27,KILOMETRAJE!E$30,IF(G23=28,KILOMETRAJE!E$31,IF(G23=29,KILOMETRAJE!E$32,IF(G23=30,KILOMETRAJE!E$33,IF(G23=31,KILOMETRAJE!E$34,IF(G23=32,KILOMETRAJE!E$35,IF(G23=33,KILOMETRAJE!E$36,IF(G23=34,KILOMETRAJE!E$37,IF(G23=35,KILOMETRAJE!E$38,IF(G23=36,KILOMETRAJE!E$39,IF(G23=37,KILOMETRAJE!E$40,IF(G23=38,KILOMETRAJE!E$41,IF(G23=39,KILOMETRAJE!E$42,IF(G23=40,KILOMETRAJE!E$43,IF(G23=41,KILOMETRAJE!E$44,IF(G23=42,KILOMETRAJE!E$45,IF(G23=43,KILOMETRAJE!E$46,IF(G23=44,KILOMETRAJE!E$47,IF(G23=45,KILOMETRAJE!E$48,IF(G23=46,KILOMETRAJE!E$49,IF(G23=47,KILOMETRAJE!E$50,IF(G23=48,KILOMETRAJE!E$51,IF(G23=49,KILOMETRAJE!E$52,IF(G23=50,KILOMETRAJE!E$53,IF(G23=51,KILOMETRAJE!E$54,IF(G23=52,KILOMETRAJE!E$55,IF(G23=53,KILOMETRAJE!E$56,IF(G23=54,KILOMETRAJE!E$57,IF(G23=55,KILOMETRAJE!E$58,IF(G23=56,KILOMETRAJE!E$59,IF(G23=57,KILOMETRAJE!E$60,IF(G23=58,KILOMETRAJE!E$61,IF(G23=59,KILOMETRAJE!E$62,IF(G23=60,KILOMETRAJE!E$63,IF(G23=61,KILOMETRAJE!E$64,IF(G23=62,KILOMETRAJE!E$65,IF(G23=63,KILOMETRAJE!E$66)))))))))))))))))))))))))))))))))))))))))))))))))))))))))))))))</f>
        <v>CHIH.</v>
      </c>
      <c r="J23" s="260">
        <f>IF(G23=1,KILOMETRAJE!G$4,IF(G23=2,KILOMETRAJE!G$5,IF(G23=3,KILOMETRAJE!G$6,IF(G23=4,KILOMETRAJE!G$7,IF(G23=5,KILOMETRAJE!G$8,IF(G23=6,KILOMETRAJE!G$9,IF(G23=7,KILOMETRAJE!G$10,IF(G23=8,KILOMETRAJE!G$11,IF(G23=9,KILOMETRAJE!G$12,IF(G23=10,KILOMETRAJE!G$13,IF(G23=11,KILOMETRAJE!G$14,IF(G23=12,KILOMETRAJE!G$15,IF(G23=13,KILOMETRAJE!G$16,IF(G23=14,KILOMETRAJE!G$17,IF(G23=15,KILOMETRAJE!G$18,IF(G23=16,KILOMETRAJE!G$19,IF(G23=17,KILOMETRAJE!G$20,IF(G23=18,KILOMETRAJE!G$21,IF(G23=19,KILOMETRAJE!G$22,IF(G23=20,KILOMETRAJE!G$23,IF(G23=21,KILOMETRAJE!G$24,IF(G23=22,KILOMETRAJE!G$25,IF(G23=23,KILOMETRAJE!G$26,IF(G23=24,KILOMETRAJE!G$27,IF(G23=25,KILOMETRAJE!G$28,IF(G23=26,KILOMETRAJE!G$29,IF(G23=27,KILOMETRAJE!G$30,IF(G23=28,KILOMETRAJE!G$31,IF(G23=29,KILOMETRAJE!G$32,IF(G23=30,KILOMETRAJE!G$33,IF(G23=31,KILOMETRAJE!G$34,IF(G23=32,KILOMETRAJE!G$35,IF(G23=33,KILOMETRAJE!G$36,IF(G23=34,KILOMETRAJE!G$37,IF(G23=35,KILOMETRAJE!G$38,IF(G23=36,KILOMETRAJE!G$39,IF(G23=37,KILOMETRAJE!G$40,IF(G23=38,KILOMETRAJE!G$41,IF(G23=39,KILOMETRAJE!G$42,IF(G23=40,KILOMETRAJE!G$43,IF(G23=41,KILOMETRAJE!G$44,IF(G23=42,KILOMETRAJE!G$45,IF(G23=43,KILOMETRAJE!G$46,IF(G23=44,KILOMETRAJE!G$47,IF(G23=45,KILOMETRAJE!G$48,IF(G23=46,KILOMETRAJE!G$49,IF(G23=47,KILOMETRAJE!G$50,IF(G23=48,KILOMETRAJE!G$51,IF(G23=49,KILOMETRAJE!G$52,IF(G23=50,KILOMETRAJE!G$53,IF(G23=51,KILOMETRAJE!G$54,IF(G23=52,KILOMETRAJE!G$55,IF(G23=53,KILOMETRAJE!G$56,IF(G23=54,KILOMETRAJE!G$57,IF(G23=55,KILOMETRAJE!G$58,IF(G23=56,KILOMETRAJE!G$59,IF(G23=57,KILOMETRAJE!G$60,IF(G23=58,KILOMETRAJE!G$61,IF(G23=59,KILOMETRAJE!G$62,IF(G23=60,KILOMETRAJE!G$63,IF(G23=61,KILOMETRAJE!G$64,IF(G23=62,KILOMETRAJE!G$65,IF(G23=63,KILOMETRAJE!G$66)))))))))))))))))))))))))))))))))))))))))))))))))))))))))))))))</f>
        <v>415</v>
      </c>
      <c r="K23" s="38"/>
      <c r="L23" s="48"/>
      <c r="M23" s="350">
        <v>6365</v>
      </c>
      <c r="N23" s="38">
        <v>4</v>
      </c>
      <c r="O23" s="38">
        <v>1043</v>
      </c>
      <c r="P23" s="38" t="s">
        <v>203</v>
      </c>
      <c r="Q23" s="40">
        <f>((((IF(N23=1,((J23)*0.29333)))+(IF(N23=2,((J23)*0.146666)))+(IF(N23=3,((J23)*0.146666)))))+(IF(N23=4,((J23-40)*0.29333)))+(IF(N23=5,((J23-50)*0.29333)))+(IF(N23=6,((J23-90)*0.29333))))</f>
        <v>109.99874999999999</v>
      </c>
      <c r="R23" s="188"/>
      <c r="S23" s="121"/>
      <c r="T23" s="458"/>
      <c r="U23" s="38" t="s">
        <v>352</v>
      </c>
      <c r="V23" s="38" t="s">
        <v>352</v>
      </c>
    </row>
    <row r="24" spans="3:24" ht="12.75" thickBot="1" x14ac:dyDescent="0.25">
      <c r="C24" s="239"/>
      <c r="D24" s="69" t="s">
        <v>580</v>
      </c>
      <c r="E24" s="69">
        <v>45961</v>
      </c>
      <c r="F24" s="69">
        <v>45961</v>
      </c>
      <c r="G24" s="68">
        <v>3</v>
      </c>
      <c r="H24" s="70" t="str">
        <f>IF(G24=1,KILOMETRAJE!C$4,IF(G24=2,KILOMETRAJE!C$5,IF(G24=3,KILOMETRAJE!C$6,IF(G24=4,KILOMETRAJE!C$7,IF(G24=5,KILOMETRAJE!C$8,IF(G24=6,KILOMETRAJE!C$9,IF(G24=7,KILOMETRAJE!C$10,IF(G24=8,KILOMETRAJE!C$11,IF(G24=9,KILOMETRAJE!C$12,IF(G24=10,KILOMETRAJE!C$13,IF(G24=11,KILOMETRAJE!C$14,IF(G24=12,KILOMETRAJE!C$15,IF(G24=13,KILOMETRAJE!C$16,IF(G24=14,KILOMETRAJE!C$17,IF(G24=15,KILOMETRAJE!C$18,IF(G24=16,KILOMETRAJE!C$19,IF(G24=17,KILOMETRAJE!C$20,IF(G24=18,KILOMETRAJE!C$21,IF(G24=19,KILOMETRAJE!C$22,IF(G24=20,KILOMETRAJE!C$23,IF(G24=21,KILOMETRAJE!C$24,IF(G24=22,KILOMETRAJE!C$25,IF(G24=23,KILOMETRAJE!C$26,IF(G24=24,KILOMETRAJE!C$27,IF(G24=25,KILOMETRAJE!C$28,IF(G24=26,KILOMETRAJE!C$29,IF(G24=27,KILOMETRAJE!C$30,IF(G24=28,KILOMETRAJE!C$31,IF(G24=29,KILOMETRAJE!C$32,IF(G24=30,KILOMETRAJE!C$33,IF(G24=31,KILOMETRAJE!C$34,IF(G24=32,KILOMETRAJE!C$35,IF(G24=33,KILOMETRAJE!C$36,IF(G24=34,KILOMETRAJE!C$37,IF(G24=35,KILOMETRAJE!C$38,IF(G24=36,KILOMETRAJE!C$39,IF(G24=37,KILOMETRAJE!C$40,IF(G24=38,KILOMETRAJE!C$41,IF(G24=39,KILOMETRAJE!C$42,IF(G24=40,KILOMETRAJE!C$43,IF(G24=41,KILOMETRAJE!C$44,IF(G24=42,KILOMETRAJE!C$45,IF(G24=43,KILOMETRAJE!C$46,IF(G24=44,KILOMETRAJE!C$47,IF(G24=45,KILOMETRAJE!C$48,IF(G24=46,KILOMETRAJE!C$49,IF(G24=47,KILOMETRAJE!C$50,IF(G24=48,KILOMETRAJE!C$51,IF(G24=49,KILOMETRAJE!C$52,IF(G24=50,KILOMETRAJE!C$53,IF(G24=51,KILOMETRAJE!C$54,IF(G24=52,KILOMETRAJE!C$55,IF(G24=53,KILOMETRAJE!C$56,IF(G24=54,KILOMETRAJE!C$57,IF(G24=55,KILOMETRAJE!C$58,IF(G24=56,KILOMETRAJE!C$59,IF(G24=57,KILOMETRAJE!C$60,IF(G24=58,KILOMETRAJE!C$61,IF(G24=59,KILOMETRAJE!C$62,IF(G24=60,KILOMETRAJE!C$63,IF(G24=61,KILOMETRAJE!C$64,IF(G24=62,KILOMETRAJE!C$65,IF(G24=63,KILOMETRAJE!C$66)))))))))))))))))))))))))))))))))))))))))))))))))))))))))))))))</f>
        <v xml:space="preserve">CHIH. </v>
      </c>
      <c r="I24" s="70" t="str">
        <f>IF(G24=1,KILOMETRAJE!E$4,IF(G24=2,KILOMETRAJE!E$5,IF(G24=3,KILOMETRAJE!E$6,IF(G24=4,KILOMETRAJE!E$7,IF(G24=5,KILOMETRAJE!E$8,IF(G24=6,KILOMETRAJE!E$9,IF(G24=7,KILOMETRAJE!E$10,IF(G24=8,KILOMETRAJE!E$11,IF(G24=9,KILOMETRAJE!E$12,IF(G24=10,KILOMETRAJE!E$13,IF(G24=11,KILOMETRAJE!E$14,IF(G24=12,KILOMETRAJE!E$15,IF(G24=13,KILOMETRAJE!E$16,IF(G24=14,KILOMETRAJE!E$17,IF(G24=15,KILOMETRAJE!E$18,IF(G24=16,KILOMETRAJE!E$19,IF(G24=17,KILOMETRAJE!E$20,IF(G24=18,KILOMETRAJE!E$21,IF(G24=19,KILOMETRAJE!E$22,IF(G24=20,KILOMETRAJE!E$23,IF(G24=21,KILOMETRAJE!E$24,IF(G24=22,KILOMETRAJE!E$25,IF(G24=23,KILOMETRAJE!E$26,IF(G24=24,KILOMETRAJE!E$27,IF(G24=25,KILOMETRAJE!E$28,IF(G24=26,KILOMETRAJE!E$29,IF(G24=27,KILOMETRAJE!E$30,IF(G24=28,KILOMETRAJE!E$31,IF(G24=29,KILOMETRAJE!E$32,IF(G24=30,KILOMETRAJE!E$33,IF(G24=31,KILOMETRAJE!E$34,IF(G24=32,KILOMETRAJE!E$35,IF(G24=33,KILOMETRAJE!E$36,IF(G24=34,KILOMETRAJE!E$37,IF(G24=35,KILOMETRAJE!E$38,IF(G24=36,KILOMETRAJE!E$39,IF(G24=37,KILOMETRAJE!E$40,IF(G24=38,KILOMETRAJE!E$41,IF(G24=39,KILOMETRAJE!E$42,IF(G24=40,KILOMETRAJE!E$43,IF(G24=41,KILOMETRAJE!E$44,IF(G24=42,KILOMETRAJE!E$45,IF(G24=43,KILOMETRAJE!E$46,IF(G24=44,KILOMETRAJE!E$47,IF(G24=45,KILOMETRAJE!E$48,IF(G24=46,KILOMETRAJE!E$49,IF(G24=47,KILOMETRAJE!E$50,IF(G24=48,KILOMETRAJE!E$51,IF(G24=49,KILOMETRAJE!E$52,IF(G24=50,KILOMETRAJE!E$53,IF(G24=51,KILOMETRAJE!E$54,IF(G24=52,KILOMETRAJE!E$55,IF(G24=53,KILOMETRAJE!E$56,IF(G24=54,KILOMETRAJE!E$57,IF(G24=55,KILOMETRAJE!E$58,IF(G24=56,KILOMETRAJE!E$59,IF(G24=57,KILOMETRAJE!E$60,IF(G24=58,KILOMETRAJE!E$61,IF(G24=59,KILOMETRAJE!E$62,IF(G24=60,KILOMETRAJE!E$63,IF(G24=61,KILOMETRAJE!E$64,IF(G24=62,KILOMETRAJE!E$65,IF(G24=63,KILOMETRAJE!E$66)))))))))))))))))))))))))))))))))))))))))))))))))))))))))))))))</f>
        <v>JRZ</v>
      </c>
      <c r="J24" s="71">
        <f>IF(G24=1,KILOMETRAJE!G$4,IF(G24=2,KILOMETRAJE!G$5,IF(G24=3,KILOMETRAJE!G$6,IF(G24=4,KILOMETRAJE!G$7,IF(G24=5,KILOMETRAJE!G$8,IF(G24=6,KILOMETRAJE!G$9,IF(G24=7,KILOMETRAJE!G$10,IF(G24=8,KILOMETRAJE!G$11,IF(G24=9,KILOMETRAJE!G$12,IF(G24=10,KILOMETRAJE!G$13,IF(G24=11,KILOMETRAJE!G$14,IF(G24=12,KILOMETRAJE!G$15,IF(G24=13,KILOMETRAJE!G$16,IF(G24=14,KILOMETRAJE!G$17,IF(G24=15,KILOMETRAJE!G$18,IF(G24=16,KILOMETRAJE!G$19,IF(G24=17,KILOMETRAJE!G$20,IF(G24=18,KILOMETRAJE!G$21,IF(G24=19,KILOMETRAJE!G$22,IF(G24=20,KILOMETRAJE!G$23,IF(G24=21,KILOMETRAJE!G$24,IF(G24=22,KILOMETRAJE!G$25,IF(G24=23,KILOMETRAJE!G$26,IF(G24=24,KILOMETRAJE!G$27,IF(G24=25,KILOMETRAJE!G$28,IF(G24=26,KILOMETRAJE!G$29,IF(G24=27,KILOMETRAJE!G$30,IF(G24=28,KILOMETRAJE!G$31,IF(G24=29,KILOMETRAJE!G$32,IF(G24=30,KILOMETRAJE!G$33,IF(G24=31,KILOMETRAJE!G$34,IF(G24=32,KILOMETRAJE!G$35,IF(G24=33,KILOMETRAJE!G$36,IF(G24=34,KILOMETRAJE!G$37,IF(G24=35,KILOMETRAJE!G$38,IF(G24=36,KILOMETRAJE!G$39,IF(G24=37,KILOMETRAJE!G$40,IF(G24=38,KILOMETRAJE!G$41,IF(G24=39,KILOMETRAJE!G$42,IF(G24=40,KILOMETRAJE!G$43,IF(G24=41,KILOMETRAJE!G$44,IF(G24=42,KILOMETRAJE!G$45,IF(G24=43,KILOMETRAJE!G$46,IF(G24=44,KILOMETRAJE!G$47,IF(G24=45,KILOMETRAJE!G$48,IF(G24=46,KILOMETRAJE!G$49,IF(G24=47,KILOMETRAJE!G$50,IF(G24=48,KILOMETRAJE!G$51,IF(G24=49,KILOMETRAJE!G$52,IF(G24=50,KILOMETRAJE!G$53,IF(G24=51,KILOMETRAJE!G$54,IF(G24=52,KILOMETRAJE!G$55,IF(G24=53,KILOMETRAJE!G$56,IF(G24=54,KILOMETRAJE!G$57,IF(G24=55,KILOMETRAJE!G$58,IF(G24=56,KILOMETRAJE!G$59,IF(G24=57,KILOMETRAJE!G$60,IF(G24=58,KILOMETRAJE!G$61,IF(G24=59,KILOMETRAJE!G$62,IF(G24=60,KILOMETRAJE!G$63,IF(G24=61,KILOMETRAJE!G$64,IF(G24=62,KILOMETRAJE!G$65,IF(G24=63,KILOMETRAJE!G$66)))))))))))))))))))))))))))))))))))))))))))))))))))))))))))))))</f>
        <v>375</v>
      </c>
      <c r="K24" s="70">
        <v>210.5</v>
      </c>
      <c r="L24" s="72">
        <f>SUM(J23:J24)/K24</f>
        <v>3.7529691211401426</v>
      </c>
      <c r="M24" s="370">
        <v>9898</v>
      </c>
      <c r="N24" s="70">
        <v>1</v>
      </c>
      <c r="O24" s="70" t="s">
        <v>581</v>
      </c>
      <c r="P24" s="70" t="s">
        <v>191</v>
      </c>
      <c r="Q24" s="67">
        <f t="shared" ref="Q24" si="2">((((IF(N24=1,((J24)*0.29333)))+(IF(N24=2,((J24)*0.146666)))+(IF(N24=3,((J24)*0.146666)))))+(IF(N24=4,((J24-40)*0.29333)))+(IF(N24=5,((J24-50)*0.29333)))+(IF(N24=6,((J24-90)*0.29333))))</f>
        <v>109.99874999999999</v>
      </c>
      <c r="R24" s="197">
        <f>+LOOKUP(P44,UNIDADES!B$3:B$59,UNIDADES!C$3:C$59)</f>
        <v>2.4509799999999999</v>
      </c>
      <c r="S24" s="378">
        <f>+((SUM(J23:J24)-40)/R24)-K24</f>
        <v>95.500048960007859</v>
      </c>
      <c r="T24" s="461">
        <f>+S24*14.85</f>
        <v>1418.1757270561168</v>
      </c>
      <c r="U24" s="70">
        <v>57</v>
      </c>
      <c r="V24" s="70">
        <v>59</v>
      </c>
    </row>
    <row r="25" spans="3:24" ht="12" customHeight="1" x14ac:dyDescent="0.2">
      <c r="C25" s="176">
        <v>46164</v>
      </c>
      <c r="D25" s="43" t="s">
        <v>582</v>
      </c>
      <c r="E25" s="42">
        <v>45961</v>
      </c>
      <c r="F25" s="42">
        <v>45961</v>
      </c>
      <c r="G25" s="43">
        <v>4</v>
      </c>
      <c r="H25" s="236" t="str">
        <f>IF(G25=1,KILOMETRAJE!C$4,IF(G25=2,KILOMETRAJE!C$5,IF(G25=3,KILOMETRAJE!C$6,IF(G25=4,KILOMETRAJE!C$7,IF(G25=5,KILOMETRAJE!C$8,IF(G25=6,KILOMETRAJE!C$9,IF(G25=7,KILOMETRAJE!C$10,IF(G25=8,KILOMETRAJE!C$11,IF(G25=9,KILOMETRAJE!C$12,IF(G25=10,KILOMETRAJE!C$13,IF(G25=11,KILOMETRAJE!C$14,IF(G25=12,KILOMETRAJE!C$15,IF(G25=13,KILOMETRAJE!C$16,IF(G25=14,KILOMETRAJE!C$17,IF(G25=15,KILOMETRAJE!C$18,IF(G25=16,KILOMETRAJE!C$19,IF(G25=17,KILOMETRAJE!C$20,IF(G25=18,KILOMETRAJE!C$21,IF(G25=19,KILOMETRAJE!C$22,IF(G25=20,KILOMETRAJE!C$23,IF(G25=21,KILOMETRAJE!C$24,IF(G25=22,KILOMETRAJE!C$25,IF(G25=23,KILOMETRAJE!C$26,IF(G25=24,KILOMETRAJE!C$27,IF(G25=25,KILOMETRAJE!C$28,IF(G25=26,KILOMETRAJE!C$29,IF(G25=27,KILOMETRAJE!C$30,IF(G25=28,KILOMETRAJE!C$31,IF(G25=29,KILOMETRAJE!C$32,IF(G25=30,KILOMETRAJE!C$33,IF(G25=31,KILOMETRAJE!C$34,IF(G25=32,KILOMETRAJE!C$35,IF(G25=33,KILOMETRAJE!C$36,IF(G25=34,KILOMETRAJE!C$37,IF(G25=35,KILOMETRAJE!C$38,IF(G25=36,KILOMETRAJE!C$39,IF(G25=37,KILOMETRAJE!C$40,IF(G25=38,KILOMETRAJE!C$41,IF(G25=39,KILOMETRAJE!C$42,IF(G25=40,KILOMETRAJE!C$43,IF(G25=41,KILOMETRAJE!C$44,IF(G25=42,KILOMETRAJE!C$45,IF(G25=43,KILOMETRAJE!C$46,IF(G25=44,KILOMETRAJE!C$47,IF(G25=45,KILOMETRAJE!C$48,IF(G25=46,KILOMETRAJE!C$49,IF(G25=47,KILOMETRAJE!C$50,IF(G25=48,KILOMETRAJE!C$51,IF(G25=49,KILOMETRAJE!C$52,IF(G25=50,KILOMETRAJE!C$53,IF(G25=51,KILOMETRAJE!C$54,IF(G25=52,KILOMETRAJE!C$55,IF(G25=53,KILOMETRAJE!C$56,IF(G25=54,KILOMETRAJE!C$57,IF(G25=55,KILOMETRAJE!C$58,IF(G25=56,KILOMETRAJE!C$59,IF(G25=57,KILOMETRAJE!C$60,IF(G25=58,KILOMETRAJE!C$61,IF(G25=59,KILOMETRAJE!C$62,IF(G25=60,KILOMETRAJE!C$63,IF(G25=61,KILOMETRAJE!C$64,IF(G25=62,KILOMETRAJE!C$65,IF(G25=63,KILOMETRAJE!C$66)))))))))))))))))))))))))))))))))))))))))))))))))))))))))))))))</f>
        <v xml:space="preserve">ELP. </v>
      </c>
      <c r="I25" s="236" t="str">
        <f>IF(G25=1,KILOMETRAJE!E$4,IF(G25=2,KILOMETRAJE!E$5,IF(G25=3,KILOMETRAJE!E$6,IF(G25=4,KILOMETRAJE!E$7,IF(G25=5,KILOMETRAJE!E$8,IF(G25=6,KILOMETRAJE!E$9,IF(G25=7,KILOMETRAJE!E$10,IF(G25=8,KILOMETRAJE!E$11,IF(G25=9,KILOMETRAJE!E$12,IF(G25=10,KILOMETRAJE!E$13,IF(G25=11,KILOMETRAJE!E$14,IF(G25=12,KILOMETRAJE!E$15,IF(G25=13,KILOMETRAJE!E$16,IF(G25=14,KILOMETRAJE!E$17,IF(G25=15,KILOMETRAJE!E$18,IF(G25=16,KILOMETRAJE!E$19,IF(G25=17,KILOMETRAJE!E$20,IF(G25=18,KILOMETRAJE!E$21,IF(G25=19,KILOMETRAJE!E$22,IF(G25=20,KILOMETRAJE!E$23,IF(G25=21,KILOMETRAJE!E$24,IF(G25=22,KILOMETRAJE!E$25,IF(G25=23,KILOMETRAJE!E$26,IF(G25=24,KILOMETRAJE!E$27,IF(G25=25,KILOMETRAJE!E$28,IF(G25=26,KILOMETRAJE!E$29,IF(G25=27,KILOMETRAJE!E$30,IF(G25=28,KILOMETRAJE!E$31,IF(G25=29,KILOMETRAJE!E$32,IF(G25=30,KILOMETRAJE!E$33,IF(G25=31,KILOMETRAJE!E$34,IF(G25=32,KILOMETRAJE!E$35,IF(G25=33,KILOMETRAJE!E$36,IF(G25=34,KILOMETRAJE!E$37,IF(G25=35,KILOMETRAJE!E$38,IF(G25=36,KILOMETRAJE!E$39,IF(G25=37,KILOMETRAJE!E$40,IF(G25=38,KILOMETRAJE!E$41,IF(G25=39,KILOMETRAJE!E$42,IF(G25=40,KILOMETRAJE!E$43,IF(G25=41,KILOMETRAJE!E$44,IF(G25=42,KILOMETRAJE!E$45,IF(G25=43,KILOMETRAJE!E$46,IF(G25=44,KILOMETRAJE!E$47,IF(G25=45,KILOMETRAJE!E$48,IF(G25=46,KILOMETRAJE!E$49,IF(G25=47,KILOMETRAJE!E$50,IF(G25=48,KILOMETRAJE!E$51,IF(G25=49,KILOMETRAJE!E$52,IF(G25=50,KILOMETRAJE!E$53,IF(G25=51,KILOMETRAJE!E$54,IF(G25=52,KILOMETRAJE!E$55,IF(G25=53,KILOMETRAJE!E$56,IF(G25=54,KILOMETRAJE!E$57,IF(G25=55,KILOMETRAJE!E$58,IF(G25=56,KILOMETRAJE!E$59,IF(G25=57,KILOMETRAJE!E$60,IF(G25=58,KILOMETRAJE!E$61,IF(G25=59,KILOMETRAJE!E$62,IF(G25=60,KILOMETRAJE!E$63,IF(G25=61,KILOMETRAJE!E$64,IF(G25=62,KILOMETRAJE!E$65,IF(G25=63,KILOMETRAJE!E$66)))))))))))))))))))))))))))))))))))))))))))))))))))))))))))))))</f>
        <v>CHIH.</v>
      </c>
      <c r="J25" s="237">
        <f>IF(G25=1,KILOMETRAJE!G$4,IF(G25=2,KILOMETRAJE!G$5,IF(G25=3,KILOMETRAJE!G$6,IF(G25=4,KILOMETRAJE!G$7,IF(G25=5,KILOMETRAJE!G$8,IF(G25=6,KILOMETRAJE!G$9,IF(G25=7,KILOMETRAJE!G$10,IF(G25=8,KILOMETRAJE!G$11,IF(G25=9,KILOMETRAJE!G$12,IF(G25=10,KILOMETRAJE!G$13,IF(G25=11,KILOMETRAJE!G$14,IF(G25=12,KILOMETRAJE!G$15,IF(G25=13,KILOMETRAJE!G$16,IF(G25=14,KILOMETRAJE!G$17,IF(G25=15,KILOMETRAJE!G$18,IF(G25=16,KILOMETRAJE!G$19,IF(G25=17,KILOMETRAJE!G$20,IF(G25=18,KILOMETRAJE!G$21,IF(G25=19,KILOMETRAJE!G$22,IF(G25=20,KILOMETRAJE!G$23,IF(G25=21,KILOMETRAJE!G$24,IF(G25=22,KILOMETRAJE!G$25,IF(G25=23,KILOMETRAJE!G$26,IF(G25=24,KILOMETRAJE!G$27,IF(G25=25,KILOMETRAJE!G$28,IF(G25=26,KILOMETRAJE!G$29,IF(G25=27,KILOMETRAJE!G$30,IF(G25=28,KILOMETRAJE!G$31,IF(G25=29,KILOMETRAJE!G$32,IF(G25=30,KILOMETRAJE!G$33,IF(G25=31,KILOMETRAJE!G$34,IF(G25=32,KILOMETRAJE!G$35,IF(G25=33,KILOMETRAJE!G$36,IF(G25=34,KILOMETRAJE!G$37,IF(G25=35,KILOMETRAJE!G$38,IF(G25=36,KILOMETRAJE!G$39,IF(G25=37,KILOMETRAJE!G$40,IF(G25=38,KILOMETRAJE!G$41,IF(G25=39,KILOMETRAJE!G$42,IF(G25=40,KILOMETRAJE!G$43,IF(G25=41,KILOMETRAJE!G$44,IF(G25=42,KILOMETRAJE!G$45,IF(G25=43,KILOMETRAJE!G$46,IF(G25=44,KILOMETRAJE!G$47,IF(G25=45,KILOMETRAJE!G$48,IF(G25=46,KILOMETRAJE!G$49,IF(G25=47,KILOMETRAJE!G$50,IF(G25=48,KILOMETRAJE!G$51,IF(G25=49,KILOMETRAJE!G$52,IF(G25=50,KILOMETRAJE!G$53,IF(G25=51,KILOMETRAJE!G$54,IF(G25=52,KILOMETRAJE!G$55,IF(G25=53,KILOMETRAJE!G$56,IF(G25=54,KILOMETRAJE!G$57,IF(G25=55,KILOMETRAJE!G$58,IF(G25=56,KILOMETRAJE!G$59,IF(G25=57,KILOMETRAJE!G$60,IF(G25=58,KILOMETRAJE!G$61,IF(G25=59,KILOMETRAJE!G$62,IF(G25=60,KILOMETRAJE!G$63,IF(G25=61,KILOMETRAJE!G$64,IF(G25=62,KILOMETRAJE!G$65,IF(G25=63,KILOMETRAJE!G$66)))))))))))))))))))))))))))))))))))))))))))))))))))))))))))))))</f>
        <v>415</v>
      </c>
      <c r="K25" s="24"/>
      <c r="L25" s="44"/>
      <c r="M25" s="348">
        <v>6955</v>
      </c>
      <c r="N25" s="24">
        <v>4</v>
      </c>
      <c r="O25" s="24" t="s">
        <v>538</v>
      </c>
      <c r="P25" s="24" t="s">
        <v>199</v>
      </c>
      <c r="Q25" s="45">
        <f>((((IF(N25=1,((J25)*0.29333)))+(IF(N25=2,((J25)*0.146666)))+(IF(N25=3,((J25)*0.146666)))))+(IF(N25=4,((J25-40)*0.29333)))+(IF(N25=5,((J25-50)*0.29333)))+(IF(N25=6,((J25-90)*0.29333))))</f>
        <v>109.99874999999999</v>
      </c>
      <c r="R25" s="187"/>
      <c r="S25" s="49"/>
      <c r="T25" s="45"/>
      <c r="U25" s="24" t="s">
        <v>352</v>
      </c>
      <c r="V25" s="79" t="s">
        <v>352</v>
      </c>
    </row>
    <row r="26" spans="3:24" ht="15" customHeight="1" thickBot="1" x14ac:dyDescent="0.25">
      <c r="C26" s="101"/>
      <c r="D26" s="62" t="s">
        <v>583</v>
      </c>
      <c r="E26" s="25">
        <v>45961</v>
      </c>
      <c r="F26" s="25">
        <v>45961</v>
      </c>
      <c r="G26" s="62">
        <v>3</v>
      </c>
      <c r="H26" s="27" t="str">
        <f>IF(G26=1,KILOMETRAJE!C$4,IF(G26=2,KILOMETRAJE!C$5,IF(G26=3,KILOMETRAJE!C$6,IF(G26=4,KILOMETRAJE!C$7,IF(G26=5,KILOMETRAJE!C$8,IF(G26=6,KILOMETRAJE!C$9,IF(G26=7,KILOMETRAJE!C$10,IF(G26=8,KILOMETRAJE!C$11,IF(G26=9,KILOMETRAJE!C$12,IF(G26=10,KILOMETRAJE!C$13,IF(G26=11,KILOMETRAJE!C$14,IF(G26=12,KILOMETRAJE!C$15,IF(G26=13,KILOMETRAJE!C$16,IF(G26=14,KILOMETRAJE!C$17,IF(G26=15,KILOMETRAJE!C$18,IF(G26=16,KILOMETRAJE!C$19,IF(G26=17,KILOMETRAJE!C$20,IF(G26=18,KILOMETRAJE!C$21,IF(G26=19,KILOMETRAJE!C$22,IF(G26=20,KILOMETRAJE!C$23,IF(G26=21,KILOMETRAJE!C$24,IF(G26=22,KILOMETRAJE!C$25,IF(G26=23,KILOMETRAJE!C$26,IF(G26=24,KILOMETRAJE!C$27,IF(G26=25,KILOMETRAJE!C$28,IF(G26=26,KILOMETRAJE!C$29,IF(G26=27,KILOMETRAJE!C$30,IF(G26=28,KILOMETRAJE!C$31,IF(G26=29,KILOMETRAJE!C$32,IF(G26=30,KILOMETRAJE!C$33,IF(G26=31,KILOMETRAJE!C$34,IF(G26=32,KILOMETRAJE!C$35,IF(G26=33,KILOMETRAJE!C$36,IF(G26=34,KILOMETRAJE!C$37,IF(G26=35,KILOMETRAJE!C$38,IF(G26=36,KILOMETRAJE!C$39,IF(G26=37,KILOMETRAJE!C$40,IF(G26=38,KILOMETRAJE!C$41,IF(G26=39,KILOMETRAJE!C$42,IF(G26=40,KILOMETRAJE!C$43,IF(G26=41,KILOMETRAJE!C$44,IF(G26=42,KILOMETRAJE!C$45,IF(G26=43,KILOMETRAJE!C$46,IF(G26=44,KILOMETRAJE!C$47,IF(G26=45,KILOMETRAJE!C$48,IF(G26=46,KILOMETRAJE!C$49,IF(G26=47,KILOMETRAJE!C$50,IF(G26=48,KILOMETRAJE!C$51,IF(G26=49,KILOMETRAJE!C$52,IF(G26=50,KILOMETRAJE!C$53,IF(G26=51,KILOMETRAJE!C$54,IF(G26=52,KILOMETRAJE!C$55,IF(G26=53,KILOMETRAJE!C$56,IF(G26=54,KILOMETRAJE!C$57,IF(G26=55,KILOMETRAJE!C$58,IF(G26=56,KILOMETRAJE!C$59,IF(G26=57,KILOMETRAJE!C$60,IF(G26=58,KILOMETRAJE!C$61,IF(G26=59,KILOMETRAJE!C$62,IF(G26=60,KILOMETRAJE!C$63,IF(G26=61,KILOMETRAJE!C$64,IF(G26=62,KILOMETRAJE!C$65,IF(G26=63,KILOMETRAJE!C$66)))))))))))))))))))))))))))))))))))))))))))))))))))))))))))))))</f>
        <v xml:space="preserve">CHIH. </v>
      </c>
      <c r="I26" s="27" t="str">
        <f>IF(G26=1,KILOMETRAJE!E$4,IF(G26=2,KILOMETRAJE!E$5,IF(G26=3,KILOMETRAJE!E$6,IF(G26=4,KILOMETRAJE!E$7,IF(G26=5,KILOMETRAJE!E$8,IF(G26=6,KILOMETRAJE!E$9,IF(G26=7,KILOMETRAJE!E$10,IF(G26=8,KILOMETRAJE!E$11,IF(G26=9,KILOMETRAJE!E$12,IF(G26=10,KILOMETRAJE!E$13,IF(G26=11,KILOMETRAJE!E$14,IF(G26=12,KILOMETRAJE!E$15,IF(G26=13,KILOMETRAJE!E$16,IF(G26=14,KILOMETRAJE!E$17,IF(G26=15,KILOMETRAJE!E$18,IF(G26=16,KILOMETRAJE!E$19,IF(G26=17,KILOMETRAJE!E$20,IF(G26=18,KILOMETRAJE!E$21,IF(G26=19,KILOMETRAJE!E$22,IF(G26=20,KILOMETRAJE!E$23,IF(G26=21,KILOMETRAJE!E$24,IF(G26=22,KILOMETRAJE!E$25,IF(G26=23,KILOMETRAJE!E$26,IF(G26=24,KILOMETRAJE!E$27,IF(G26=25,KILOMETRAJE!E$28,IF(G26=26,KILOMETRAJE!E$29,IF(G26=27,KILOMETRAJE!E$30,IF(G26=28,KILOMETRAJE!E$31,IF(G26=29,KILOMETRAJE!E$32,IF(G26=30,KILOMETRAJE!E$33,IF(G26=31,KILOMETRAJE!E$34,IF(G26=32,KILOMETRAJE!E$35,IF(G26=33,KILOMETRAJE!E$36,IF(G26=34,KILOMETRAJE!E$37,IF(G26=35,KILOMETRAJE!E$38,IF(G26=36,KILOMETRAJE!E$39,IF(G26=37,KILOMETRAJE!E$40,IF(G26=38,KILOMETRAJE!E$41,IF(G26=39,KILOMETRAJE!E$42,IF(G26=40,KILOMETRAJE!E$43,IF(G26=41,KILOMETRAJE!E$44,IF(G26=42,KILOMETRAJE!E$45,IF(G26=43,KILOMETRAJE!E$46,IF(G26=44,KILOMETRAJE!E$47,IF(G26=45,KILOMETRAJE!E$48,IF(G26=46,KILOMETRAJE!E$49,IF(G26=47,KILOMETRAJE!E$50,IF(G26=48,KILOMETRAJE!E$51,IF(G26=49,KILOMETRAJE!E$52,IF(G26=50,KILOMETRAJE!E$53,IF(G26=51,KILOMETRAJE!E$54,IF(G26=52,KILOMETRAJE!E$55,IF(G26=53,KILOMETRAJE!E$56,IF(G26=54,KILOMETRAJE!E$57,IF(G26=55,KILOMETRAJE!E$58,IF(G26=56,KILOMETRAJE!E$59,IF(G26=57,KILOMETRAJE!E$60,IF(G26=58,KILOMETRAJE!E$61,IF(G26=59,KILOMETRAJE!E$62,IF(G26=60,KILOMETRAJE!E$63,IF(G26=61,KILOMETRAJE!E$64,IF(G26=62,KILOMETRAJE!E$65,IF(G26=63,KILOMETRAJE!E$66)))))))))))))))))))))))))))))))))))))))))))))))))))))))))))))))</f>
        <v>JRZ</v>
      </c>
      <c r="J26" s="31">
        <f>IF(G26=1,KILOMETRAJE!G$4,IF(G26=2,KILOMETRAJE!G$5,IF(G26=3,KILOMETRAJE!G$6,IF(G26=4,KILOMETRAJE!G$7,IF(G26=5,KILOMETRAJE!G$8,IF(G26=6,KILOMETRAJE!G$9,IF(G26=7,KILOMETRAJE!G$10,IF(G26=8,KILOMETRAJE!G$11,IF(G26=9,KILOMETRAJE!G$12,IF(G26=10,KILOMETRAJE!G$13,IF(G26=11,KILOMETRAJE!G$14,IF(G26=12,KILOMETRAJE!G$15,IF(G26=13,KILOMETRAJE!G$16,IF(G26=14,KILOMETRAJE!G$17,IF(G26=15,KILOMETRAJE!G$18,IF(G26=16,KILOMETRAJE!G$19,IF(G26=17,KILOMETRAJE!G$20,IF(G26=18,KILOMETRAJE!G$21,IF(G26=19,KILOMETRAJE!G$22,IF(G26=20,KILOMETRAJE!G$23,IF(G26=21,KILOMETRAJE!G$24,IF(G26=22,KILOMETRAJE!G$25,IF(G26=23,KILOMETRAJE!G$26,IF(G26=24,KILOMETRAJE!G$27,IF(G26=25,KILOMETRAJE!G$28,IF(G26=26,KILOMETRAJE!G$29,IF(G26=27,KILOMETRAJE!G$30,IF(G26=28,KILOMETRAJE!G$31,IF(G26=29,KILOMETRAJE!G$32,IF(G26=30,KILOMETRAJE!G$33,IF(G26=31,KILOMETRAJE!G$34,IF(G26=32,KILOMETRAJE!G$35,IF(G26=33,KILOMETRAJE!G$36,IF(G26=34,KILOMETRAJE!G$37,IF(G26=35,KILOMETRAJE!G$38,IF(G26=36,KILOMETRAJE!G$39,IF(G26=37,KILOMETRAJE!G$40,IF(G26=38,KILOMETRAJE!G$41,IF(G26=39,KILOMETRAJE!G$42,IF(G26=40,KILOMETRAJE!G$43,IF(G26=41,KILOMETRAJE!G$44,IF(G26=42,KILOMETRAJE!G$45,IF(G26=43,KILOMETRAJE!G$46,IF(G26=44,KILOMETRAJE!G$47,IF(G26=45,KILOMETRAJE!G$48,IF(G26=46,KILOMETRAJE!G$49,IF(G26=47,KILOMETRAJE!G$50,IF(G26=48,KILOMETRAJE!G$51,IF(G26=49,KILOMETRAJE!G$52,IF(G26=50,KILOMETRAJE!G$53,IF(G26=51,KILOMETRAJE!G$54,IF(G26=52,KILOMETRAJE!G$55,IF(G26=53,KILOMETRAJE!G$56,IF(G26=54,KILOMETRAJE!G$57,IF(G26=55,KILOMETRAJE!G$58,IF(G26=56,KILOMETRAJE!G$59,IF(G26=57,KILOMETRAJE!G$60,IF(G26=58,KILOMETRAJE!G$61,IF(G26=59,KILOMETRAJE!G$62,IF(G26=60,KILOMETRAJE!G$63,IF(G26=61,KILOMETRAJE!G$64,IF(G26=62,KILOMETRAJE!G$65,IF(G26=63,KILOMETRAJE!G$66)))))))))))))))))))))))))))))))))))))))))))))))))))))))))))))))</f>
        <v>375</v>
      </c>
      <c r="K26" s="27">
        <v>227.22</v>
      </c>
      <c r="L26" s="28">
        <f>SUM(J25:J26)/K26</f>
        <v>3.4768066191356395</v>
      </c>
      <c r="M26" s="349">
        <v>1254</v>
      </c>
      <c r="N26" s="27">
        <v>1</v>
      </c>
      <c r="O26" s="27" t="s">
        <v>584</v>
      </c>
      <c r="P26" s="27" t="s">
        <v>247</v>
      </c>
      <c r="Q26" s="29">
        <f t="shared" ref="Q26" si="3">((((IF(N26=1,((J26)*0.29333)))+(IF(N26=2,((J26)*0.146666)))+(IF(N26=3,((J26)*0.146666)))))+(IF(N26=4,((J26-40)*0.29333)))+(IF(N26=5,((J26-50)*0.29333)))+(IF(N26=6,((J26-90)*0.29333))))</f>
        <v>109.99874999999999</v>
      </c>
      <c r="R26" s="190">
        <f>+LOOKUP(P43,UNIDADES!B$3:B$59,UNIDADES!C$3:C$59)</f>
        <v>2.4509799999999999</v>
      </c>
      <c r="S26" s="50">
        <f>+((SUM(J25:J26)-40)/R26)-K26</f>
        <v>78.780048960007861</v>
      </c>
      <c r="T26" s="29">
        <f>+S26*14.85</f>
        <v>1169.8837270561166</v>
      </c>
      <c r="U26" s="27">
        <v>57</v>
      </c>
      <c r="V26" s="55">
        <v>59</v>
      </c>
    </row>
    <row r="27" spans="3:24" x14ac:dyDescent="0.2">
      <c r="C27" s="238">
        <v>46196</v>
      </c>
      <c r="D27" s="36" t="s">
        <v>585</v>
      </c>
      <c r="E27" s="37">
        <v>45964</v>
      </c>
      <c r="F27" s="37">
        <v>45965</v>
      </c>
      <c r="G27" s="36">
        <v>4</v>
      </c>
      <c r="H27" s="259" t="str">
        <f>IF(G27=1,KILOMETRAJE!C$4,IF(G27=2,KILOMETRAJE!C$5,IF(G27=3,KILOMETRAJE!C$6,IF(G27=4,KILOMETRAJE!C$7,IF(G27=5,KILOMETRAJE!C$8,IF(G27=6,KILOMETRAJE!C$9,IF(G27=7,KILOMETRAJE!C$10,IF(G27=8,KILOMETRAJE!C$11,IF(G27=9,KILOMETRAJE!C$12,IF(G27=10,KILOMETRAJE!C$13,IF(G27=11,KILOMETRAJE!C$14,IF(G27=12,KILOMETRAJE!C$15,IF(G27=13,KILOMETRAJE!C$16,IF(G27=14,KILOMETRAJE!C$17,IF(G27=15,KILOMETRAJE!C$18,IF(G27=16,KILOMETRAJE!C$19,IF(G27=17,KILOMETRAJE!C$20,IF(G27=18,KILOMETRAJE!C$21,IF(G27=19,KILOMETRAJE!C$22,IF(G27=20,KILOMETRAJE!C$23,IF(G27=21,KILOMETRAJE!C$24,IF(G27=22,KILOMETRAJE!C$25,IF(G27=23,KILOMETRAJE!C$26,IF(G27=24,KILOMETRAJE!C$27,IF(G27=25,KILOMETRAJE!C$28,IF(G27=26,KILOMETRAJE!C$29,IF(G27=27,KILOMETRAJE!C$30,IF(G27=28,KILOMETRAJE!C$31,IF(G27=29,KILOMETRAJE!C$32,IF(G27=30,KILOMETRAJE!C$33,IF(G27=31,KILOMETRAJE!C$34,IF(G27=32,KILOMETRAJE!C$35,IF(G27=33,KILOMETRAJE!C$36,IF(G27=34,KILOMETRAJE!C$37,IF(G27=35,KILOMETRAJE!C$38,IF(G27=36,KILOMETRAJE!C$39,IF(G27=37,KILOMETRAJE!C$40,IF(G27=38,KILOMETRAJE!C$41,IF(G27=39,KILOMETRAJE!C$42,IF(G27=40,KILOMETRAJE!C$43,IF(G27=41,KILOMETRAJE!C$44,IF(G27=42,KILOMETRAJE!C$45,IF(G27=43,KILOMETRAJE!C$46,IF(G27=44,KILOMETRAJE!C$47,IF(G27=45,KILOMETRAJE!C$48,IF(G27=46,KILOMETRAJE!C$49,IF(G27=47,KILOMETRAJE!C$50,IF(G27=48,KILOMETRAJE!C$51,IF(G27=49,KILOMETRAJE!C$52,IF(G27=50,KILOMETRAJE!C$53,IF(G27=51,KILOMETRAJE!C$54,IF(G27=52,KILOMETRAJE!C$55,IF(G27=53,KILOMETRAJE!C$56,IF(G27=54,KILOMETRAJE!C$57,IF(G27=55,KILOMETRAJE!C$58,IF(G27=56,KILOMETRAJE!C$59,IF(G27=57,KILOMETRAJE!C$60,IF(G27=58,KILOMETRAJE!C$61,IF(G27=59,KILOMETRAJE!C$62,IF(G27=60,KILOMETRAJE!C$63,IF(G27=61,KILOMETRAJE!C$64,IF(G27=62,KILOMETRAJE!C$65,IF(G27=63,KILOMETRAJE!C$66)))))))))))))))))))))))))))))))))))))))))))))))))))))))))))))))</f>
        <v xml:space="preserve">ELP. </v>
      </c>
      <c r="I27" s="259" t="str">
        <f>IF(G27=1,KILOMETRAJE!E$4,IF(G27=2,KILOMETRAJE!E$5,IF(G27=3,KILOMETRAJE!E$6,IF(G27=4,KILOMETRAJE!E$7,IF(G27=5,KILOMETRAJE!E$8,IF(G27=6,KILOMETRAJE!E$9,IF(G27=7,KILOMETRAJE!E$10,IF(G27=8,KILOMETRAJE!E$11,IF(G27=9,KILOMETRAJE!E$12,IF(G27=10,KILOMETRAJE!E$13,IF(G27=11,KILOMETRAJE!E$14,IF(G27=12,KILOMETRAJE!E$15,IF(G27=13,KILOMETRAJE!E$16,IF(G27=14,KILOMETRAJE!E$17,IF(G27=15,KILOMETRAJE!E$18,IF(G27=16,KILOMETRAJE!E$19,IF(G27=17,KILOMETRAJE!E$20,IF(G27=18,KILOMETRAJE!E$21,IF(G27=19,KILOMETRAJE!E$22,IF(G27=20,KILOMETRAJE!E$23,IF(G27=21,KILOMETRAJE!E$24,IF(G27=22,KILOMETRAJE!E$25,IF(G27=23,KILOMETRAJE!E$26,IF(G27=24,KILOMETRAJE!E$27,IF(G27=25,KILOMETRAJE!E$28,IF(G27=26,KILOMETRAJE!E$29,IF(G27=27,KILOMETRAJE!E$30,IF(G27=28,KILOMETRAJE!E$31,IF(G27=29,KILOMETRAJE!E$32,IF(G27=30,KILOMETRAJE!E$33,IF(G27=31,KILOMETRAJE!E$34,IF(G27=32,KILOMETRAJE!E$35,IF(G27=33,KILOMETRAJE!E$36,IF(G27=34,KILOMETRAJE!E$37,IF(G27=35,KILOMETRAJE!E$38,IF(G27=36,KILOMETRAJE!E$39,IF(G27=37,KILOMETRAJE!E$40,IF(G27=38,KILOMETRAJE!E$41,IF(G27=39,KILOMETRAJE!E$42,IF(G27=40,KILOMETRAJE!E$43,IF(G27=41,KILOMETRAJE!E$44,IF(G27=42,KILOMETRAJE!E$45,IF(G27=43,KILOMETRAJE!E$46,IF(G27=44,KILOMETRAJE!E$47,IF(G27=45,KILOMETRAJE!E$48,IF(G27=46,KILOMETRAJE!E$49,IF(G27=47,KILOMETRAJE!E$50,IF(G27=48,KILOMETRAJE!E$51,IF(G27=49,KILOMETRAJE!E$52,IF(G27=50,KILOMETRAJE!E$53,IF(G27=51,KILOMETRAJE!E$54,IF(G27=52,KILOMETRAJE!E$55,IF(G27=53,KILOMETRAJE!E$56,IF(G27=54,KILOMETRAJE!E$57,IF(G27=55,KILOMETRAJE!E$58,IF(G27=56,KILOMETRAJE!E$59,IF(G27=57,KILOMETRAJE!E$60,IF(G27=58,KILOMETRAJE!E$61,IF(G27=59,KILOMETRAJE!E$62,IF(G27=60,KILOMETRAJE!E$63,IF(G27=61,KILOMETRAJE!E$64,IF(G27=62,KILOMETRAJE!E$65,IF(G27=63,KILOMETRAJE!E$66)))))))))))))))))))))))))))))))))))))))))))))))))))))))))))))))</f>
        <v>CHIH.</v>
      </c>
      <c r="J27" s="260">
        <f>IF(G27=1,KILOMETRAJE!G$4,IF(G27=2,KILOMETRAJE!G$5,IF(G27=3,KILOMETRAJE!G$6,IF(G27=4,KILOMETRAJE!G$7,IF(G27=5,KILOMETRAJE!G$8,IF(G27=6,KILOMETRAJE!G$9,IF(G27=7,KILOMETRAJE!G$10,IF(G27=8,KILOMETRAJE!G$11,IF(G27=9,KILOMETRAJE!G$12,IF(G27=10,KILOMETRAJE!G$13,IF(G27=11,KILOMETRAJE!G$14,IF(G27=12,KILOMETRAJE!G$15,IF(G27=13,KILOMETRAJE!G$16,IF(G27=14,KILOMETRAJE!G$17,IF(G27=15,KILOMETRAJE!G$18,IF(G27=16,KILOMETRAJE!G$19,IF(G27=17,KILOMETRAJE!G$20,IF(G27=18,KILOMETRAJE!G$21,IF(G27=19,KILOMETRAJE!G$22,IF(G27=20,KILOMETRAJE!G$23,IF(G27=21,KILOMETRAJE!G$24,IF(G27=22,KILOMETRAJE!G$25,IF(G27=23,KILOMETRAJE!G$26,IF(G27=24,KILOMETRAJE!G$27,IF(G27=25,KILOMETRAJE!G$28,IF(G27=26,KILOMETRAJE!G$29,IF(G27=27,KILOMETRAJE!G$30,IF(G27=28,KILOMETRAJE!G$31,IF(G27=29,KILOMETRAJE!G$32,IF(G27=30,KILOMETRAJE!G$33,IF(G27=31,KILOMETRAJE!G$34,IF(G27=32,KILOMETRAJE!G$35,IF(G27=33,KILOMETRAJE!G$36,IF(G27=34,KILOMETRAJE!G$37,IF(G27=35,KILOMETRAJE!G$38,IF(G27=36,KILOMETRAJE!G$39,IF(G27=37,KILOMETRAJE!G$40,IF(G27=38,KILOMETRAJE!G$41,IF(G27=39,KILOMETRAJE!G$42,IF(G27=40,KILOMETRAJE!G$43,IF(G27=41,KILOMETRAJE!G$44,IF(G27=42,KILOMETRAJE!G$45,IF(G27=43,KILOMETRAJE!G$46,IF(G27=44,KILOMETRAJE!G$47,IF(G27=45,KILOMETRAJE!G$48,IF(G27=46,KILOMETRAJE!G$49,IF(G27=47,KILOMETRAJE!G$50,IF(G27=48,KILOMETRAJE!G$51,IF(G27=49,KILOMETRAJE!G$52,IF(G27=50,KILOMETRAJE!G$53,IF(G27=51,KILOMETRAJE!G$54,IF(G27=52,KILOMETRAJE!G$55,IF(G27=53,KILOMETRAJE!G$56,IF(G27=54,KILOMETRAJE!G$57,IF(G27=55,KILOMETRAJE!G$58,IF(G27=56,KILOMETRAJE!G$59,IF(G27=57,KILOMETRAJE!G$60,IF(G27=58,KILOMETRAJE!G$61,IF(G27=59,KILOMETRAJE!G$62,IF(G27=60,KILOMETRAJE!G$63,IF(G27=61,KILOMETRAJE!G$64,IF(G27=62,KILOMETRAJE!G$65,IF(G27=63,KILOMETRAJE!G$66)))))))))))))))))))))))))))))))))))))))))))))))))))))))))))))))</f>
        <v>415</v>
      </c>
      <c r="K27" s="38"/>
      <c r="L27" s="48"/>
      <c r="M27" s="350">
        <v>1955</v>
      </c>
      <c r="N27" s="38">
        <v>4</v>
      </c>
      <c r="O27" s="38" t="s">
        <v>384</v>
      </c>
      <c r="P27" s="38" t="s">
        <v>198</v>
      </c>
      <c r="Q27" s="40">
        <f>((((IF(N27=1,((J27)*0.29333)))+(IF(N27=2,((J27)*0.146666)))+(IF(N27=3,((J27)*0.146666)))))+(IF(N27=4,((J27-40)*0.29333)))+(IF(N27=5,((J27-50)*0.29333)))+(IF(N27=6,((J27-90)*0.29333))))</f>
        <v>109.99874999999999</v>
      </c>
      <c r="R27" s="188"/>
      <c r="S27" s="121"/>
      <c r="T27" s="458"/>
      <c r="U27" s="483" t="s">
        <v>352</v>
      </c>
      <c r="V27" s="38" t="s">
        <v>352</v>
      </c>
    </row>
    <row r="28" spans="3:24" ht="15.75" customHeight="1" thickBot="1" x14ac:dyDescent="0.25">
      <c r="C28" s="101"/>
      <c r="D28" s="62" t="s">
        <v>586</v>
      </c>
      <c r="E28" s="25">
        <v>45965</v>
      </c>
      <c r="F28" s="25">
        <v>45965</v>
      </c>
      <c r="G28" s="62">
        <v>3</v>
      </c>
      <c r="H28" s="27" t="str">
        <f>IF(G28=1,KILOMETRAJE!C$4,IF(G28=2,KILOMETRAJE!C$5,IF(G28=3,KILOMETRAJE!C$6,IF(G28=4,KILOMETRAJE!C$7,IF(G28=5,KILOMETRAJE!C$8,IF(G28=6,KILOMETRAJE!C$9,IF(G28=7,KILOMETRAJE!C$10,IF(G28=8,KILOMETRAJE!C$11,IF(G28=9,KILOMETRAJE!C$12,IF(G28=10,KILOMETRAJE!C$13,IF(G28=11,KILOMETRAJE!C$14,IF(G28=12,KILOMETRAJE!C$15,IF(G28=13,KILOMETRAJE!C$16,IF(G28=14,KILOMETRAJE!C$17,IF(G28=15,KILOMETRAJE!C$18,IF(G28=16,KILOMETRAJE!C$19,IF(G28=17,KILOMETRAJE!C$20,IF(G28=18,KILOMETRAJE!C$21,IF(G28=19,KILOMETRAJE!C$22,IF(G28=20,KILOMETRAJE!C$23,IF(G28=21,KILOMETRAJE!C$24,IF(G28=22,KILOMETRAJE!C$25,IF(G28=23,KILOMETRAJE!C$26,IF(G28=24,KILOMETRAJE!C$27,IF(G28=25,KILOMETRAJE!C$28,IF(G28=26,KILOMETRAJE!C$29,IF(G28=27,KILOMETRAJE!C$30,IF(G28=28,KILOMETRAJE!C$31,IF(G28=29,KILOMETRAJE!C$32,IF(G28=30,KILOMETRAJE!C$33,IF(G28=31,KILOMETRAJE!C$34,IF(G28=32,KILOMETRAJE!C$35,IF(G28=33,KILOMETRAJE!C$36,IF(G28=34,KILOMETRAJE!C$37,IF(G28=35,KILOMETRAJE!C$38,IF(G28=36,KILOMETRAJE!C$39,IF(G28=37,KILOMETRAJE!C$40,IF(G28=38,KILOMETRAJE!C$41,IF(G28=39,KILOMETRAJE!C$42,IF(G28=40,KILOMETRAJE!C$43,IF(G28=41,KILOMETRAJE!C$44,IF(G28=42,KILOMETRAJE!C$45,IF(G28=43,KILOMETRAJE!C$46,IF(G28=44,KILOMETRAJE!C$47,IF(G28=45,KILOMETRAJE!C$48,IF(G28=46,KILOMETRAJE!C$49,IF(G28=47,KILOMETRAJE!C$50,IF(G28=48,KILOMETRAJE!C$51,IF(G28=49,KILOMETRAJE!C$52,IF(G28=50,KILOMETRAJE!C$53,IF(G28=51,KILOMETRAJE!C$54,IF(G28=52,KILOMETRAJE!C$55,IF(G28=53,KILOMETRAJE!C$56,IF(G28=54,KILOMETRAJE!C$57,IF(G28=55,KILOMETRAJE!C$58,IF(G28=56,KILOMETRAJE!C$59,IF(G28=57,KILOMETRAJE!C$60,IF(G28=58,KILOMETRAJE!C$61,IF(G28=59,KILOMETRAJE!C$62,IF(G28=60,KILOMETRAJE!C$63,IF(G28=61,KILOMETRAJE!C$64,IF(G28=62,KILOMETRAJE!C$65,IF(G28=63,KILOMETRAJE!C$66)))))))))))))))))))))))))))))))))))))))))))))))))))))))))))))))</f>
        <v xml:space="preserve">CHIH. </v>
      </c>
      <c r="I28" s="27" t="str">
        <f>IF(G28=1,KILOMETRAJE!E$4,IF(G28=2,KILOMETRAJE!E$5,IF(G28=3,KILOMETRAJE!E$6,IF(G28=4,KILOMETRAJE!E$7,IF(G28=5,KILOMETRAJE!E$8,IF(G28=6,KILOMETRAJE!E$9,IF(G28=7,KILOMETRAJE!E$10,IF(G28=8,KILOMETRAJE!E$11,IF(G28=9,KILOMETRAJE!E$12,IF(G28=10,KILOMETRAJE!E$13,IF(G28=11,KILOMETRAJE!E$14,IF(G28=12,KILOMETRAJE!E$15,IF(G28=13,KILOMETRAJE!E$16,IF(G28=14,KILOMETRAJE!E$17,IF(G28=15,KILOMETRAJE!E$18,IF(G28=16,KILOMETRAJE!E$19,IF(G28=17,KILOMETRAJE!E$20,IF(G28=18,KILOMETRAJE!E$21,IF(G28=19,KILOMETRAJE!E$22,IF(G28=20,KILOMETRAJE!E$23,IF(G28=21,KILOMETRAJE!E$24,IF(G28=22,KILOMETRAJE!E$25,IF(G28=23,KILOMETRAJE!E$26,IF(G28=24,KILOMETRAJE!E$27,IF(G28=25,KILOMETRAJE!E$28,IF(G28=26,KILOMETRAJE!E$29,IF(G28=27,KILOMETRAJE!E$30,IF(G28=28,KILOMETRAJE!E$31,IF(G28=29,KILOMETRAJE!E$32,IF(G28=30,KILOMETRAJE!E$33,IF(G28=31,KILOMETRAJE!E$34,IF(G28=32,KILOMETRAJE!E$35,IF(G28=33,KILOMETRAJE!E$36,IF(G28=34,KILOMETRAJE!E$37,IF(G28=35,KILOMETRAJE!E$38,IF(G28=36,KILOMETRAJE!E$39,IF(G28=37,KILOMETRAJE!E$40,IF(G28=38,KILOMETRAJE!E$41,IF(G28=39,KILOMETRAJE!E$42,IF(G28=40,KILOMETRAJE!E$43,IF(G28=41,KILOMETRAJE!E$44,IF(G28=42,KILOMETRAJE!E$45,IF(G28=43,KILOMETRAJE!E$46,IF(G28=44,KILOMETRAJE!E$47,IF(G28=45,KILOMETRAJE!E$48,IF(G28=46,KILOMETRAJE!E$49,IF(G28=47,KILOMETRAJE!E$50,IF(G28=48,KILOMETRAJE!E$51,IF(G28=49,KILOMETRAJE!E$52,IF(G28=50,KILOMETRAJE!E$53,IF(G28=51,KILOMETRAJE!E$54,IF(G28=52,KILOMETRAJE!E$55,IF(G28=53,KILOMETRAJE!E$56,IF(G28=54,KILOMETRAJE!E$57,IF(G28=55,KILOMETRAJE!E$58,IF(G28=56,KILOMETRAJE!E$59,IF(G28=57,KILOMETRAJE!E$60,IF(G28=58,KILOMETRAJE!E$61,IF(G28=59,KILOMETRAJE!E$62,IF(G28=60,KILOMETRAJE!E$63,IF(G28=61,KILOMETRAJE!E$64,IF(G28=62,KILOMETRAJE!E$65,IF(G28=63,KILOMETRAJE!E$66)))))))))))))))))))))))))))))))))))))))))))))))))))))))))))))))</f>
        <v>JRZ</v>
      </c>
      <c r="J28" s="31">
        <f>IF(G28=1,KILOMETRAJE!G$4,IF(G28=2,KILOMETRAJE!G$5,IF(G28=3,KILOMETRAJE!G$6,IF(G28=4,KILOMETRAJE!G$7,IF(G28=5,KILOMETRAJE!G$8,IF(G28=6,KILOMETRAJE!G$9,IF(G28=7,KILOMETRAJE!G$10,IF(G28=8,KILOMETRAJE!G$11,IF(G28=9,KILOMETRAJE!G$12,IF(G28=10,KILOMETRAJE!G$13,IF(G28=11,KILOMETRAJE!G$14,IF(G28=12,KILOMETRAJE!G$15,IF(G28=13,KILOMETRAJE!G$16,IF(G28=14,KILOMETRAJE!G$17,IF(G28=15,KILOMETRAJE!G$18,IF(G28=16,KILOMETRAJE!G$19,IF(G28=17,KILOMETRAJE!G$20,IF(G28=18,KILOMETRAJE!G$21,IF(G28=19,KILOMETRAJE!G$22,IF(G28=20,KILOMETRAJE!G$23,IF(G28=21,KILOMETRAJE!G$24,IF(G28=22,KILOMETRAJE!G$25,IF(G28=23,KILOMETRAJE!G$26,IF(G28=24,KILOMETRAJE!G$27,IF(G28=25,KILOMETRAJE!G$28,IF(G28=26,KILOMETRAJE!G$29,IF(G28=27,KILOMETRAJE!G$30,IF(G28=28,KILOMETRAJE!G$31,IF(G28=29,KILOMETRAJE!G$32,IF(G28=30,KILOMETRAJE!G$33,IF(G28=31,KILOMETRAJE!G$34,IF(G28=32,KILOMETRAJE!G$35,IF(G28=33,KILOMETRAJE!G$36,IF(G28=34,KILOMETRAJE!G$37,IF(G28=35,KILOMETRAJE!G$38,IF(G28=36,KILOMETRAJE!G$39,IF(G28=37,KILOMETRAJE!G$40,IF(G28=38,KILOMETRAJE!G$41,IF(G28=39,KILOMETRAJE!G$42,IF(G28=40,KILOMETRAJE!G$43,IF(G28=41,KILOMETRAJE!G$44,IF(G28=42,KILOMETRAJE!G$45,IF(G28=43,KILOMETRAJE!G$46,IF(G28=44,KILOMETRAJE!G$47,IF(G28=45,KILOMETRAJE!G$48,IF(G28=46,KILOMETRAJE!G$49,IF(G28=47,KILOMETRAJE!G$50,IF(G28=48,KILOMETRAJE!G$51,IF(G28=49,KILOMETRAJE!G$52,IF(G28=50,KILOMETRAJE!G$53,IF(G28=51,KILOMETRAJE!G$54,IF(G28=52,KILOMETRAJE!G$55,IF(G28=53,KILOMETRAJE!G$56,IF(G28=54,KILOMETRAJE!G$57,IF(G28=55,KILOMETRAJE!G$58,IF(G28=56,KILOMETRAJE!G$59,IF(G28=57,KILOMETRAJE!G$60,IF(G28=58,KILOMETRAJE!G$61,IF(G28=59,KILOMETRAJE!G$62,IF(G28=60,KILOMETRAJE!G$63,IF(G28=61,KILOMETRAJE!G$64,IF(G28=62,KILOMETRAJE!G$65,IF(G28=63,KILOMETRAJE!G$66)))))))))))))))))))))))))))))))))))))))))))))))))))))))))))))))</f>
        <v>375</v>
      </c>
      <c r="K28" s="27">
        <v>226.79</v>
      </c>
      <c r="L28" s="28">
        <f>SUM(J27:J28)/K28</f>
        <v>3.4833987389214691</v>
      </c>
      <c r="M28" s="349">
        <v>18000</v>
      </c>
      <c r="N28" s="27">
        <v>1</v>
      </c>
      <c r="O28" s="27" t="s">
        <v>568</v>
      </c>
      <c r="P28" s="27" t="s">
        <v>200</v>
      </c>
      <c r="Q28" s="29">
        <f t="shared" ref="Q28" si="4">((((IF(N28=1,((J28)*0.29333)))+(IF(N28=2,((J28)*0.146666)))+(IF(N28=3,((J28)*0.146666)))))+(IF(N28=4,((J28-40)*0.29333)))+(IF(N28=5,((J28-50)*0.29333)))+(IF(N28=6,((J28-90)*0.29333))))</f>
        <v>109.99874999999999</v>
      </c>
      <c r="R28" s="190">
        <f>+LOOKUP(P44,UNIDADES!B$3:B$59,UNIDADES!C$3:C$59)</f>
        <v>2.4509799999999999</v>
      </c>
      <c r="S28" s="50">
        <f>+((SUM(J27:J28)-40)/R28)-K28</f>
        <v>79.210048960007867</v>
      </c>
      <c r="T28" s="456">
        <f>+S28*14.85</f>
        <v>1176.2692270561167</v>
      </c>
      <c r="U28" s="11">
        <v>57</v>
      </c>
      <c r="V28" s="11">
        <v>59</v>
      </c>
    </row>
    <row r="29" spans="3:24" hidden="1" x14ac:dyDescent="0.2">
      <c r="C29" s="176"/>
      <c r="D29" s="43"/>
      <c r="E29" s="42"/>
      <c r="F29" s="42"/>
      <c r="G29" s="43"/>
      <c r="H29" s="236"/>
      <c r="I29" s="236"/>
      <c r="J29" s="237"/>
      <c r="K29" s="24"/>
      <c r="L29" s="44"/>
      <c r="M29" s="348"/>
      <c r="N29" s="24"/>
      <c r="O29" s="24"/>
      <c r="P29" s="24"/>
      <c r="Q29" s="45"/>
      <c r="R29" s="187"/>
      <c r="S29" s="49"/>
      <c r="T29" s="455"/>
      <c r="U29" s="11"/>
      <c r="V29" s="11"/>
    </row>
    <row r="30" spans="3:24" ht="12.75" hidden="1" thickBot="1" x14ac:dyDescent="0.25">
      <c r="C30" s="101"/>
      <c r="D30" s="62"/>
      <c r="E30" s="25"/>
      <c r="F30" s="25"/>
      <c r="G30" s="62"/>
      <c r="H30" s="241"/>
      <c r="I30" s="241"/>
      <c r="J30" s="242"/>
      <c r="K30" s="27"/>
      <c r="L30" s="28"/>
      <c r="M30" s="349"/>
      <c r="N30" s="27"/>
      <c r="O30" s="27"/>
      <c r="P30" s="27"/>
      <c r="Q30" s="29"/>
      <c r="R30" s="190"/>
      <c r="S30" s="50"/>
      <c r="T30" s="456"/>
      <c r="U30" s="11"/>
      <c r="V30" s="11"/>
    </row>
    <row r="31" spans="3:24" hidden="1" x14ac:dyDescent="0.2">
      <c r="C31" s="238"/>
      <c r="D31" s="36"/>
      <c r="E31" s="37"/>
      <c r="F31" s="37"/>
      <c r="G31" s="36"/>
      <c r="H31" s="259"/>
      <c r="I31" s="259"/>
      <c r="J31" s="260"/>
      <c r="K31" s="38"/>
      <c r="L31" s="48"/>
      <c r="M31" s="350"/>
      <c r="N31" s="38"/>
      <c r="O31" s="38"/>
      <c r="P31" s="38"/>
      <c r="Q31" s="40"/>
      <c r="R31" s="188"/>
      <c r="S31" s="121"/>
      <c r="T31" s="458"/>
      <c r="U31" s="11"/>
      <c r="V31" s="11"/>
    </row>
    <row r="32" spans="3:24" ht="12.75" hidden="1" thickBot="1" x14ac:dyDescent="0.25">
      <c r="C32" s="101"/>
      <c r="D32" s="62"/>
      <c r="E32" s="25"/>
      <c r="F32" s="25"/>
      <c r="G32" s="62"/>
      <c r="H32" s="27"/>
      <c r="I32" s="27"/>
      <c r="J32" s="31"/>
      <c r="K32" s="27"/>
      <c r="L32" s="28"/>
      <c r="M32" s="349"/>
      <c r="N32" s="27"/>
      <c r="O32" s="27"/>
      <c r="P32" s="27"/>
      <c r="Q32" s="29"/>
      <c r="R32" s="185"/>
      <c r="S32" s="50"/>
      <c r="T32" s="456"/>
      <c r="U32" s="11"/>
      <c r="V32" s="11"/>
    </row>
    <row r="33" spans="3:24" ht="12.75" thickBot="1" x14ac:dyDescent="0.25">
      <c r="I33" s="15"/>
      <c r="R33" s="189"/>
      <c r="U33" s="463"/>
      <c r="V33" s="463"/>
    </row>
    <row r="34" spans="3:24" x14ac:dyDescent="0.2">
      <c r="E34" s="629" t="s">
        <v>34</v>
      </c>
      <c r="F34" s="646">
        <v>45957</v>
      </c>
      <c r="G34" s="647"/>
      <c r="H34" s="16">
        <f>+F34+1</f>
        <v>45958</v>
      </c>
      <c r="I34" s="16">
        <f>+H34+1</f>
        <v>45959</v>
      </c>
      <c r="J34" s="16">
        <f>+I34+1</f>
        <v>45960</v>
      </c>
      <c r="K34" s="16">
        <f>+J34+1</f>
        <v>45961</v>
      </c>
      <c r="L34" s="16">
        <f>+K34+2</f>
        <v>45963</v>
      </c>
      <c r="M34" s="17" t="s">
        <v>35</v>
      </c>
    </row>
    <row r="35" spans="3:24" ht="12.75" thickBot="1" x14ac:dyDescent="0.25">
      <c r="E35" s="630"/>
      <c r="F35" s="648">
        <v>1000</v>
      </c>
      <c r="G35" s="649"/>
      <c r="H35" s="29">
        <v>1000</v>
      </c>
      <c r="I35" s="29">
        <v>1600</v>
      </c>
      <c r="J35" s="29">
        <v>750</v>
      </c>
      <c r="K35" s="29"/>
      <c r="L35" s="29">
        <v>750</v>
      </c>
      <c r="M35" s="30">
        <f>SUM(F35:L35)</f>
        <v>5100</v>
      </c>
    </row>
    <row r="36" spans="3:24" ht="12.75" thickBot="1" x14ac:dyDescent="0.25">
      <c r="I36" s="15" t="s">
        <v>181</v>
      </c>
    </row>
    <row r="37" spans="3:24" ht="13.5" thickBot="1" x14ac:dyDescent="0.25">
      <c r="C37" s="608" t="s">
        <v>36</v>
      </c>
      <c r="D37" s="609"/>
      <c r="E37" s="609"/>
      <c r="F37" s="609"/>
      <c r="G37" s="610"/>
      <c r="I37" s="620"/>
      <c r="J37" s="621"/>
      <c r="K37" s="621"/>
      <c r="L37" s="622"/>
      <c r="M37" s="298"/>
      <c r="O37" s="611" t="s">
        <v>38</v>
      </c>
      <c r="P37" s="612"/>
      <c r="Q37" s="613">
        <f>+F49-L46</f>
        <v>12772.334135280584</v>
      </c>
      <c r="R37" s="614"/>
      <c r="S37" s="615"/>
    </row>
    <row r="38" spans="3:24" ht="12.75" thickBot="1" x14ac:dyDescent="0.25">
      <c r="C38" s="616" t="s">
        <v>219</v>
      </c>
      <c r="D38" s="617"/>
      <c r="E38" s="617"/>
      <c r="F38" s="618">
        <f>SUM(Q18:Q33)</f>
        <v>1099.9875</v>
      </c>
      <c r="G38" s="619"/>
      <c r="I38" s="114" t="s">
        <v>125</v>
      </c>
      <c r="J38" s="68" t="s">
        <v>126</v>
      </c>
      <c r="K38" s="68" t="s">
        <v>70</v>
      </c>
      <c r="L38" s="115" t="s">
        <v>127</v>
      </c>
      <c r="M38" s="346"/>
    </row>
    <row r="39" spans="3:24" ht="13.5" customHeight="1" thickBot="1" x14ac:dyDescent="0.25">
      <c r="C39" s="602" t="s">
        <v>220</v>
      </c>
      <c r="D39" s="603"/>
      <c r="E39" s="603"/>
      <c r="F39" s="604">
        <f>SUM(T18:T33)</f>
        <v>6272.3466352805826</v>
      </c>
      <c r="G39" s="605"/>
      <c r="I39" s="344"/>
      <c r="J39" s="408"/>
      <c r="K39" s="344"/>
      <c r="L39" s="119"/>
      <c r="M39" s="346"/>
      <c r="O39" s="74" t="s">
        <v>70</v>
      </c>
      <c r="P39" s="75" t="s">
        <v>71</v>
      </c>
      <c r="Q39" s="325" t="s">
        <v>72</v>
      </c>
      <c r="R39" s="64"/>
      <c r="S39" s="312" t="s">
        <v>73</v>
      </c>
      <c r="T39" s="326" t="s">
        <v>74</v>
      </c>
      <c r="U39" s="325" t="s">
        <v>145</v>
      </c>
      <c r="V39" s="352" t="s">
        <v>146</v>
      </c>
      <c r="W39" s="326" t="s">
        <v>284</v>
      </c>
    </row>
    <row r="40" spans="3:24" x14ac:dyDescent="0.2">
      <c r="C40" s="602" t="s">
        <v>34</v>
      </c>
      <c r="D40" s="603"/>
      <c r="E40" s="603"/>
      <c r="F40" s="604">
        <f>+M35</f>
        <v>5100</v>
      </c>
      <c r="G40" s="605"/>
      <c r="I40" s="94"/>
      <c r="J40" s="117"/>
      <c r="K40" s="61"/>
      <c r="L40" s="111"/>
      <c r="M40" s="346"/>
      <c r="O40" s="78">
        <v>46484</v>
      </c>
      <c r="P40" s="79" t="s">
        <v>573</v>
      </c>
      <c r="Q40" s="316">
        <v>195042</v>
      </c>
      <c r="R40" s="38"/>
      <c r="S40" s="311">
        <v>195802</v>
      </c>
      <c r="T40" s="323">
        <f t="shared" ref="T40:T45" si="5">+S40-Q40</f>
        <v>760</v>
      </c>
      <c r="U40" s="137">
        <f>SUM(J19:J20)</f>
        <v>830</v>
      </c>
      <c r="V40" s="343">
        <f>+K20</f>
        <v>217.02</v>
      </c>
      <c r="W40" s="353">
        <f>(SUM(M19:M20)/2)</f>
        <v>2231</v>
      </c>
      <c r="X40" s="395"/>
    </row>
    <row r="41" spans="3:24" x14ac:dyDescent="0.2">
      <c r="C41" s="602" t="s">
        <v>186</v>
      </c>
      <c r="D41" s="603"/>
      <c r="E41" s="603"/>
      <c r="F41" s="604"/>
      <c r="G41" s="605"/>
      <c r="I41" s="94"/>
      <c r="J41" s="117"/>
      <c r="K41" s="61"/>
      <c r="L41" s="111"/>
      <c r="M41" s="346"/>
      <c r="O41" s="316">
        <v>46500</v>
      </c>
      <c r="P41" s="311" t="s">
        <v>573</v>
      </c>
      <c r="Q41" s="311">
        <v>195802</v>
      </c>
      <c r="R41" s="38"/>
      <c r="S41" s="316">
        <v>196631</v>
      </c>
      <c r="T41" s="323">
        <f t="shared" si="5"/>
        <v>829</v>
      </c>
      <c r="U41" s="318">
        <f>SUM(J21:J22)</f>
        <v>830</v>
      </c>
      <c r="V41" s="351">
        <f>+K22</f>
        <v>226.09</v>
      </c>
      <c r="W41" s="354">
        <f>(SUM(M21:M22)/2)</f>
        <v>3577.5</v>
      </c>
      <c r="X41" s="395"/>
    </row>
    <row r="42" spans="3:24" x14ac:dyDescent="0.2">
      <c r="C42" s="602" t="s">
        <v>39</v>
      </c>
      <c r="D42" s="603"/>
      <c r="E42" s="603"/>
      <c r="F42" s="604">
        <v>300</v>
      </c>
      <c r="G42" s="605"/>
      <c r="I42" s="94"/>
      <c r="J42" s="117"/>
      <c r="K42" s="61"/>
      <c r="L42" s="111"/>
      <c r="M42" s="346"/>
      <c r="O42" s="316">
        <v>46136</v>
      </c>
      <c r="P42" s="311" t="s">
        <v>573</v>
      </c>
      <c r="Q42" s="316">
        <v>196631</v>
      </c>
      <c r="R42" s="38"/>
      <c r="S42" s="32">
        <v>197393</v>
      </c>
      <c r="T42" s="323">
        <f t="shared" si="5"/>
        <v>762</v>
      </c>
      <c r="U42" s="318">
        <f>SUM(J23:J24)</f>
        <v>790</v>
      </c>
      <c r="V42" s="351">
        <f>+K24</f>
        <v>210.5</v>
      </c>
      <c r="W42" s="354">
        <f>(SUM(M23:M24)/2)</f>
        <v>8131.5</v>
      </c>
      <c r="X42" s="395"/>
    </row>
    <row r="43" spans="3:24" x14ac:dyDescent="0.2">
      <c r="C43" s="602" t="s">
        <v>116</v>
      </c>
      <c r="D43" s="603"/>
      <c r="E43" s="603"/>
      <c r="F43" s="604"/>
      <c r="G43" s="605"/>
      <c r="I43" s="310"/>
      <c r="J43" s="117"/>
      <c r="K43" s="61"/>
      <c r="L43" s="111"/>
      <c r="M43" s="346"/>
      <c r="O43" s="32">
        <v>46164</v>
      </c>
      <c r="P43" s="53" t="s">
        <v>573</v>
      </c>
      <c r="Q43" s="32">
        <v>197393</v>
      </c>
      <c r="R43" s="11"/>
      <c r="S43" s="53">
        <v>198163</v>
      </c>
      <c r="T43" s="323">
        <f t="shared" si="5"/>
        <v>770</v>
      </c>
      <c r="U43" s="136">
        <f>SUM(J25:J26)</f>
        <v>790</v>
      </c>
      <c r="V43" s="345">
        <f>+K26</f>
        <v>227.22</v>
      </c>
      <c r="W43" s="354">
        <f>(SUM(M25:M26)/2)</f>
        <v>4104.5</v>
      </c>
      <c r="X43" s="395"/>
    </row>
    <row r="44" spans="3:24" x14ac:dyDescent="0.2">
      <c r="C44" s="602" t="s">
        <v>40</v>
      </c>
      <c r="D44" s="603"/>
      <c r="E44" s="603"/>
      <c r="F44" s="604"/>
      <c r="G44" s="605"/>
      <c r="I44" s="94"/>
      <c r="J44" s="117"/>
      <c r="K44" s="61"/>
      <c r="L44" s="111"/>
      <c r="M44" s="346"/>
      <c r="O44" s="32">
        <v>46196</v>
      </c>
      <c r="P44" s="53" t="s">
        <v>573</v>
      </c>
      <c r="Q44" s="32">
        <v>198163</v>
      </c>
      <c r="R44" s="61"/>
      <c r="S44" s="53">
        <v>198942</v>
      </c>
      <c r="T44" s="323">
        <f t="shared" si="5"/>
        <v>779</v>
      </c>
      <c r="U44" s="136">
        <f>SUM(J27:J28)</f>
        <v>790</v>
      </c>
      <c r="V44" s="345">
        <f>+K28</f>
        <v>226.79</v>
      </c>
      <c r="W44" s="354">
        <f>(SUM(M27:M28)/2)</f>
        <v>9977.5</v>
      </c>
      <c r="X44" s="395"/>
    </row>
    <row r="45" spans="3:24" ht="12.75" thickBot="1" x14ac:dyDescent="0.25">
      <c r="C45" s="602" t="s">
        <v>357</v>
      </c>
      <c r="D45" s="603"/>
      <c r="E45" s="603"/>
      <c r="F45" s="604"/>
      <c r="G45" s="605"/>
      <c r="I45" s="282"/>
      <c r="J45" s="285"/>
      <c r="K45" s="62"/>
      <c r="L45" s="283"/>
      <c r="M45" s="346"/>
      <c r="O45" s="32"/>
      <c r="P45" s="53"/>
      <c r="Q45" s="32"/>
      <c r="R45" s="61"/>
      <c r="S45" s="53"/>
      <c r="T45" s="323">
        <f t="shared" si="5"/>
        <v>0</v>
      </c>
      <c r="U45" s="136">
        <f>SUM(J29:J30)</f>
        <v>0</v>
      </c>
      <c r="V45" s="345">
        <f>+K30</f>
        <v>0</v>
      </c>
      <c r="W45" s="354">
        <f>(SUM(M29:M30)/2)</f>
        <v>0</v>
      </c>
      <c r="X45" s="395"/>
    </row>
    <row r="46" spans="3:24" ht="13.5" customHeight="1" thickBot="1" x14ac:dyDescent="0.25">
      <c r="C46" s="602" t="s">
        <v>186</v>
      </c>
      <c r="D46" s="603"/>
      <c r="E46" s="603"/>
      <c r="F46" s="606"/>
      <c r="G46" s="607"/>
      <c r="I46" s="597" t="s">
        <v>41</v>
      </c>
      <c r="J46" s="598"/>
      <c r="K46" s="632"/>
      <c r="L46" s="284">
        <f>SUM(L39:L45)</f>
        <v>0</v>
      </c>
      <c r="M46" s="347"/>
      <c r="O46" s="113"/>
      <c r="P46" s="264"/>
      <c r="Q46" s="113"/>
      <c r="R46" s="81"/>
      <c r="S46" s="82"/>
      <c r="T46" s="308"/>
      <c r="U46" s="136">
        <f>SUM(J31:J32)</f>
        <v>0</v>
      </c>
      <c r="V46" s="345">
        <f>+K32</f>
        <v>0</v>
      </c>
      <c r="W46" s="354">
        <f>(SUM(M31:M32)/2)</f>
        <v>0</v>
      </c>
      <c r="X46" s="396"/>
    </row>
    <row r="47" spans="3:24" ht="13.5" customHeight="1" x14ac:dyDescent="0.2">
      <c r="C47" s="602" t="s">
        <v>294</v>
      </c>
      <c r="D47" s="603"/>
      <c r="E47" s="603"/>
      <c r="F47" s="606"/>
      <c r="G47" s="607"/>
      <c r="R47" s="21"/>
      <c r="S47" s="21"/>
      <c r="T47" s="21"/>
      <c r="U47" s="139"/>
      <c r="V47" s="271"/>
    </row>
    <row r="48" spans="3:24" ht="13.5" customHeight="1" thickBot="1" x14ac:dyDescent="0.25">
      <c r="C48" s="593" t="s">
        <v>358</v>
      </c>
      <c r="D48" s="594"/>
      <c r="E48" s="594"/>
      <c r="F48" s="595"/>
      <c r="G48" s="596"/>
      <c r="H48" s="120"/>
      <c r="P48" s="450"/>
      <c r="Q48" s="450"/>
      <c r="R48" s="511"/>
      <c r="S48" s="21"/>
      <c r="T48" s="280"/>
      <c r="U48" s="139"/>
      <c r="V48" s="271"/>
    </row>
    <row r="49" spans="3:22" ht="13.5" thickBot="1" x14ac:dyDescent="0.25">
      <c r="C49" s="597" t="s">
        <v>42</v>
      </c>
      <c r="D49" s="598"/>
      <c r="E49" s="599"/>
      <c r="F49" s="600">
        <f>SUM(F38:G48)</f>
        <v>12772.334135280584</v>
      </c>
      <c r="G49" s="601"/>
      <c r="S49" s="21"/>
      <c r="T49" s="21"/>
      <c r="U49" s="139"/>
      <c r="V49" s="271"/>
    </row>
    <row r="50" spans="3:22" ht="13.5" customHeight="1" thickBot="1" x14ac:dyDescent="0.25">
      <c r="P50" s="588" t="s">
        <v>48</v>
      </c>
      <c r="Q50" s="589"/>
      <c r="R50" s="590"/>
      <c r="S50" s="21"/>
      <c r="T50" s="21"/>
      <c r="U50" s="139"/>
      <c r="V50" s="271"/>
    </row>
    <row r="51" spans="3:22" ht="12.75" customHeight="1" x14ac:dyDescent="0.2">
      <c r="C51" s="246" t="s">
        <v>43</v>
      </c>
      <c r="D51" s="247"/>
      <c r="E51" s="247"/>
      <c r="F51" s="247"/>
      <c r="G51" s="247"/>
      <c r="H51" s="247"/>
      <c r="I51" s="247"/>
      <c r="J51" s="247"/>
      <c r="K51" s="247"/>
      <c r="L51" s="248"/>
      <c r="M51" s="251"/>
      <c r="P51" s="78">
        <v>1</v>
      </c>
      <c r="Q51" s="584" t="s">
        <v>49</v>
      </c>
      <c r="R51" s="585"/>
      <c r="S51" s="21"/>
      <c r="T51" s="21"/>
      <c r="U51" s="249"/>
    </row>
    <row r="52" spans="3:22" ht="12.75" customHeight="1" x14ac:dyDescent="0.2">
      <c r="C52" s="250"/>
      <c r="D52" s="251"/>
      <c r="E52" s="251"/>
      <c r="F52" s="251"/>
      <c r="G52" s="251"/>
      <c r="H52" s="251"/>
      <c r="I52" s="251"/>
      <c r="J52" s="251"/>
      <c r="K52" s="251"/>
      <c r="L52" s="252"/>
      <c r="M52" s="251"/>
      <c r="P52" s="32">
        <v>2</v>
      </c>
      <c r="Q52" s="586" t="s">
        <v>135</v>
      </c>
      <c r="R52" s="587"/>
      <c r="S52" s="21"/>
      <c r="T52" s="249"/>
    </row>
    <row r="53" spans="3:22" ht="12.75" thickBot="1" x14ac:dyDescent="0.25">
      <c r="C53" s="253"/>
      <c r="D53" s="254"/>
      <c r="E53" s="254"/>
      <c r="F53" s="254"/>
      <c r="G53" s="254"/>
      <c r="H53" s="254"/>
      <c r="I53" s="254"/>
      <c r="J53" s="254"/>
      <c r="K53" s="254"/>
      <c r="L53" s="255"/>
      <c r="M53" s="251"/>
      <c r="P53" s="32">
        <v>3</v>
      </c>
      <c r="Q53" s="586" t="s">
        <v>130</v>
      </c>
      <c r="R53" s="587"/>
      <c r="S53" s="21"/>
      <c r="T53" s="249"/>
    </row>
    <row r="54" spans="3:22" x14ac:dyDescent="0.2">
      <c r="P54" s="32">
        <v>4</v>
      </c>
      <c r="Q54" s="586" t="s">
        <v>228</v>
      </c>
      <c r="R54" s="587"/>
      <c r="S54" s="21"/>
      <c r="T54" s="249"/>
    </row>
    <row r="55" spans="3:22" ht="12.75" thickBot="1" x14ac:dyDescent="0.25">
      <c r="P55" s="32">
        <v>5</v>
      </c>
      <c r="Q55" s="586" t="s">
        <v>229</v>
      </c>
      <c r="R55" s="587"/>
      <c r="S55" s="21"/>
    </row>
    <row r="56" spans="3:22" ht="14.25" customHeight="1" thickTop="1" thickBot="1" x14ac:dyDescent="0.25">
      <c r="D56" s="631" t="s">
        <v>44</v>
      </c>
      <c r="E56" s="631"/>
      <c r="F56" s="631"/>
      <c r="G56" s="631"/>
      <c r="H56" s="631"/>
      <c r="J56" s="631" t="s">
        <v>45</v>
      </c>
      <c r="K56" s="631"/>
      <c r="L56" s="631"/>
      <c r="M56" s="631"/>
      <c r="N56" s="631"/>
      <c r="P56" s="54">
        <v>6</v>
      </c>
      <c r="Q56" s="591" t="s">
        <v>230</v>
      </c>
      <c r="R56" s="592"/>
      <c r="S56" s="21"/>
      <c r="T56" s="21"/>
    </row>
    <row r="57" spans="3:22" x14ac:dyDescent="0.2">
      <c r="S57" s="21"/>
      <c r="T57" s="21"/>
    </row>
  </sheetData>
  <mergeCells count="56">
    <mergeCell ref="D56:H56"/>
    <mergeCell ref="J56:N56"/>
    <mergeCell ref="I46:K46"/>
    <mergeCell ref="Q2:S2"/>
    <mergeCell ref="I3:O3"/>
    <mergeCell ref="Q3:S3"/>
    <mergeCell ref="I4:O4"/>
    <mergeCell ref="I5:O5"/>
    <mergeCell ref="Q5:S5"/>
    <mergeCell ref="F34:G34"/>
    <mergeCell ref="F35:G35"/>
    <mergeCell ref="I6:O6"/>
    <mergeCell ref="Q6:S6"/>
    <mergeCell ref="I9:O9"/>
    <mergeCell ref="E11:H11"/>
    <mergeCell ref="E12:F12"/>
    <mergeCell ref="D13:E13"/>
    <mergeCell ref="D14:E14"/>
    <mergeCell ref="D15:E15"/>
    <mergeCell ref="D16:E16"/>
    <mergeCell ref="E34:E35"/>
    <mergeCell ref="C37:G37"/>
    <mergeCell ref="O37:P37"/>
    <mergeCell ref="Q37:S37"/>
    <mergeCell ref="C38:E38"/>
    <mergeCell ref="F38:G38"/>
    <mergeCell ref="I37:L37"/>
    <mergeCell ref="C42:E42"/>
    <mergeCell ref="F42:G42"/>
    <mergeCell ref="C44:E44"/>
    <mergeCell ref="F44:G44"/>
    <mergeCell ref="C39:E39"/>
    <mergeCell ref="F39:G39"/>
    <mergeCell ref="C40:E40"/>
    <mergeCell ref="F40:G40"/>
    <mergeCell ref="C41:E41"/>
    <mergeCell ref="F41:G41"/>
    <mergeCell ref="C43:E43"/>
    <mergeCell ref="F43:G43"/>
    <mergeCell ref="C48:E48"/>
    <mergeCell ref="F48:G48"/>
    <mergeCell ref="C49:E49"/>
    <mergeCell ref="F49:G49"/>
    <mergeCell ref="C45:E45"/>
    <mergeCell ref="F45:G45"/>
    <mergeCell ref="C46:E46"/>
    <mergeCell ref="F46:G46"/>
    <mergeCell ref="C47:E47"/>
    <mergeCell ref="F47:G47"/>
    <mergeCell ref="Q51:R51"/>
    <mergeCell ref="Q52:R52"/>
    <mergeCell ref="P50:R50"/>
    <mergeCell ref="Q56:R56"/>
    <mergeCell ref="Q55:R55"/>
    <mergeCell ref="Q54:R54"/>
    <mergeCell ref="Q53:R53"/>
  </mergeCells>
  <phoneticPr fontId="20" type="noConversion"/>
  <pageMargins left="0.19685039370078741" right="0.19685039370078741" top="0.35433070866141736" bottom="0.35433070866141736" header="0.31496062992125984" footer="0.31496062992125984"/>
  <pageSetup paperSize="9" scale="72" orientation="landscape" horizontalDpi="300" verticalDpi="3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3">
    <pageSetUpPr fitToPage="1"/>
  </sheetPr>
  <dimension ref="B1:Z57"/>
  <sheetViews>
    <sheetView topLeftCell="B11" zoomScaleNormal="100" workbookViewId="0">
      <selection activeCell="V37" sqref="V37"/>
    </sheetView>
  </sheetViews>
  <sheetFormatPr baseColWidth="10" defaultColWidth="9.140625" defaultRowHeight="12" x14ac:dyDescent="0.2"/>
  <cols>
    <col min="1" max="1" width="2.85546875" style="14" customWidth="1"/>
    <col min="2" max="2" width="4.5703125" style="14" customWidth="1"/>
    <col min="3" max="3" width="12.85546875" style="14" customWidth="1"/>
    <col min="4" max="4" width="12" style="14" bestFit="1" customWidth="1"/>
    <col min="5" max="5" width="12.28515625" style="14" customWidth="1"/>
    <col min="6" max="6" width="9.140625" style="14" bestFit="1" customWidth="1"/>
    <col min="7" max="7" width="3" style="14" bestFit="1" customWidth="1"/>
    <col min="8" max="8" width="9.85546875" style="14" bestFit="1" customWidth="1"/>
    <col min="9" max="9" width="14.85546875" style="14" customWidth="1"/>
    <col min="10" max="10" width="9.85546875" style="14" bestFit="1" customWidth="1"/>
    <col min="11" max="11" width="14" style="14" customWidth="1"/>
    <col min="12" max="12" width="12.140625" style="14" customWidth="1"/>
    <col min="13" max="13" width="11.28515625" style="14" bestFit="1" customWidth="1"/>
    <col min="14" max="14" width="8.7109375" style="14" bestFit="1" customWidth="1"/>
    <col min="15" max="15" width="13.85546875" style="14" customWidth="1"/>
    <col min="16" max="16" width="12.42578125" style="14" bestFit="1" customWidth="1"/>
    <col min="17" max="17" width="12.140625" style="14" customWidth="1"/>
    <col min="18" max="18" width="12" style="14" hidden="1" customWidth="1"/>
    <col min="19" max="19" width="11" style="14" bestFit="1" customWidth="1"/>
    <col min="20" max="20" width="11.5703125" style="14" bestFit="1" customWidth="1"/>
    <col min="21" max="21" width="10.28515625" style="14" customWidth="1"/>
    <col min="22" max="22" width="9.28515625" style="14" customWidth="1"/>
    <col min="23" max="23" width="10" style="14" customWidth="1"/>
    <col min="24" max="24" width="12.140625" style="14" customWidth="1"/>
    <col min="25" max="259" width="9.140625" style="14"/>
    <col min="260" max="260" width="5.7109375" style="14" customWidth="1"/>
    <col min="261" max="261" width="13.140625" style="14" customWidth="1"/>
    <col min="262" max="262" width="12.28515625" style="14" customWidth="1"/>
    <col min="263" max="263" width="8.85546875" style="14" customWidth="1"/>
    <col min="264" max="264" width="10.85546875" style="14" customWidth="1"/>
    <col min="265" max="265" width="2.85546875" style="14" customWidth="1"/>
    <col min="266" max="266" width="12.140625" style="14" customWidth="1"/>
    <col min="267" max="267" width="10.140625" style="14" customWidth="1"/>
    <col min="268" max="268" width="11.7109375" style="14" customWidth="1"/>
    <col min="269" max="269" width="11.42578125" style="14" customWidth="1"/>
    <col min="270" max="270" width="12.7109375" style="14" customWidth="1"/>
    <col min="271" max="271" width="11.42578125" style="14" customWidth="1"/>
    <col min="272" max="272" width="10.7109375" style="14" customWidth="1"/>
    <col min="273" max="273" width="10.5703125" style="14" customWidth="1"/>
    <col min="274" max="274" width="11.28515625" style="14" customWidth="1"/>
    <col min="275" max="275" width="9.7109375" style="14" customWidth="1"/>
    <col min="276" max="276" width="12" style="14" customWidth="1"/>
    <col min="277" max="277" width="11.28515625" style="14" customWidth="1"/>
    <col min="278" max="515" width="9.140625" style="14"/>
    <col min="516" max="516" width="5.7109375" style="14" customWidth="1"/>
    <col min="517" max="517" width="13.140625" style="14" customWidth="1"/>
    <col min="518" max="518" width="12.28515625" style="14" customWidth="1"/>
    <col min="519" max="519" width="8.85546875" style="14" customWidth="1"/>
    <col min="520" max="520" width="10.85546875" style="14" customWidth="1"/>
    <col min="521" max="521" width="2.85546875" style="14" customWidth="1"/>
    <col min="522" max="522" width="12.140625" style="14" customWidth="1"/>
    <col min="523" max="523" width="10.140625" style="14" customWidth="1"/>
    <col min="524" max="524" width="11.7109375" style="14" customWidth="1"/>
    <col min="525" max="525" width="11.42578125" style="14" customWidth="1"/>
    <col min="526" max="526" width="12.7109375" style="14" customWidth="1"/>
    <col min="527" max="527" width="11.42578125" style="14" customWidth="1"/>
    <col min="528" max="528" width="10.7109375" style="14" customWidth="1"/>
    <col min="529" max="529" width="10.5703125" style="14" customWidth="1"/>
    <col min="530" max="530" width="11.28515625" style="14" customWidth="1"/>
    <col min="531" max="531" width="9.7109375" style="14" customWidth="1"/>
    <col min="532" max="532" width="12" style="14" customWidth="1"/>
    <col min="533" max="533" width="11.28515625" style="14" customWidth="1"/>
    <col min="534" max="771" width="9.140625" style="14"/>
    <col min="772" max="772" width="5.7109375" style="14" customWidth="1"/>
    <col min="773" max="773" width="13.140625" style="14" customWidth="1"/>
    <col min="774" max="774" width="12.28515625" style="14" customWidth="1"/>
    <col min="775" max="775" width="8.85546875" style="14" customWidth="1"/>
    <col min="776" max="776" width="10.85546875" style="14" customWidth="1"/>
    <col min="777" max="777" width="2.85546875" style="14" customWidth="1"/>
    <col min="778" max="778" width="12.140625" style="14" customWidth="1"/>
    <col min="779" max="779" width="10.140625" style="14" customWidth="1"/>
    <col min="780" max="780" width="11.7109375" style="14" customWidth="1"/>
    <col min="781" max="781" width="11.42578125" style="14" customWidth="1"/>
    <col min="782" max="782" width="12.7109375" style="14" customWidth="1"/>
    <col min="783" max="783" width="11.42578125" style="14" customWidth="1"/>
    <col min="784" max="784" width="10.7109375" style="14" customWidth="1"/>
    <col min="785" max="785" width="10.5703125" style="14" customWidth="1"/>
    <col min="786" max="786" width="11.28515625" style="14" customWidth="1"/>
    <col min="787" max="787" width="9.7109375" style="14" customWidth="1"/>
    <col min="788" max="788" width="12" style="14" customWidth="1"/>
    <col min="789" max="789" width="11.28515625" style="14" customWidth="1"/>
    <col min="790" max="1027" width="9.140625" style="14"/>
    <col min="1028" max="1028" width="5.7109375" style="14" customWidth="1"/>
    <col min="1029" max="1029" width="13.140625" style="14" customWidth="1"/>
    <col min="1030" max="1030" width="12.28515625" style="14" customWidth="1"/>
    <col min="1031" max="1031" width="8.85546875" style="14" customWidth="1"/>
    <col min="1032" max="1032" width="10.85546875" style="14" customWidth="1"/>
    <col min="1033" max="1033" width="2.85546875" style="14" customWidth="1"/>
    <col min="1034" max="1034" width="12.140625" style="14" customWidth="1"/>
    <col min="1035" max="1035" width="10.140625" style="14" customWidth="1"/>
    <col min="1036" max="1036" width="11.7109375" style="14" customWidth="1"/>
    <col min="1037" max="1037" width="11.42578125" style="14" customWidth="1"/>
    <col min="1038" max="1038" width="12.7109375" style="14" customWidth="1"/>
    <col min="1039" max="1039" width="11.42578125" style="14" customWidth="1"/>
    <col min="1040" max="1040" width="10.7109375" style="14" customWidth="1"/>
    <col min="1041" max="1041" width="10.5703125" style="14" customWidth="1"/>
    <col min="1042" max="1042" width="11.28515625" style="14" customWidth="1"/>
    <col min="1043" max="1043" width="9.7109375" style="14" customWidth="1"/>
    <col min="1044" max="1044" width="12" style="14" customWidth="1"/>
    <col min="1045" max="1045" width="11.28515625" style="14" customWidth="1"/>
    <col min="1046" max="1283" width="9.140625" style="14"/>
    <col min="1284" max="1284" width="5.7109375" style="14" customWidth="1"/>
    <col min="1285" max="1285" width="13.140625" style="14" customWidth="1"/>
    <col min="1286" max="1286" width="12.28515625" style="14" customWidth="1"/>
    <col min="1287" max="1287" width="8.85546875" style="14" customWidth="1"/>
    <col min="1288" max="1288" width="10.85546875" style="14" customWidth="1"/>
    <col min="1289" max="1289" width="2.85546875" style="14" customWidth="1"/>
    <col min="1290" max="1290" width="12.140625" style="14" customWidth="1"/>
    <col min="1291" max="1291" width="10.140625" style="14" customWidth="1"/>
    <col min="1292" max="1292" width="11.7109375" style="14" customWidth="1"/>
    <col min="1293" max="1293" width="11.42578125" style="14" customWidth="1"/>
    <col min="1294" max="1294" width="12.7109375" style="14" customWidth="1"/>
    <col min="1295" max="1295" width="11.42578125" style="14" customWidth="1"/>
    <col min="1296" max="1296" width="10.7109375" style="14" customWidth="1"/>
    <col min="1297" max="1297" width="10.5703125" style="14" customWidth="1"/>
    <col min="1298" max="1298" width="11.28515625" style="14" customWidth="1"/>
    <col min="1299" max="1299" width="9.7109375" style="14" customWidth="1"/>
    <col min="1300" max="1300" width="12" style="14" customWidth="1"/>
    <col min="1301" max="1301" width="11.28515625" style="14" customWidth="1"/>
    <col min="1302" max="1539" width="9.140625" style="14"/>
    <col min="1540" max="1540" width="5.7109375" style="14" customWidth="1"/>
    <col min="1541" max="1541" width="13.140625" style="14" customWidth="1"/>
    <col min="1542" max="1542" width="12.28515625" style="14" customWidth="1"/>
    <col min="1543" max="1543" width="8.85546875" style="14" customWidth="1"/>
    <col min="1544" max="1544" width="10.85546875" style="14" customWidth="1"/>
    <col min="1545" max="1545" width="2.85546875" style="14" customWidth="1"/>
    <col min="1546" max="1546" width="12.140625" style="14" customWidth="1"/>
    <col min="1547" max="1547" width="10.140625" style="14" customWidth="1"/>
    <col min="1548" max="1548" width="11.7109375" style="14" customWidth="1"/>
    <col min="1549" max="1549" width="11.42578125" style="14" customWidth="1"/>
    <col min="1550" max="1550" width="12.7109375" style="14" customWidth="1"/>
    <col min="1551" max="1551" width="11.42578125" style="14" customWidth="1"/>
    <col min="1552" max="1552" width="10.7109375" style="14" customWidth="1"/>
    <col min="1553" max="1553" width="10.5703125" style="14" customWidth="1"/>
    <col min="1554" max="1554" width="11.28515625" style="14" customWidth="1"/>
    <col min="1555" max="1555" width="9.7109375" style="14" customWidth="1"/>
    <col min="1556" max="1556" width="12" style="14" customWidth="1"/>
    <col min="1557" max="1557" width="11.28515625" style="14" customWidth="1"/>
    <col min="1558" max="1795" width="9.140625" style="14"/>
    <col min="1796" max="1796" width="5.7109375" style="14" customWidth="1"/>
    <col min="1797" max="1797" width="13.140625" style="14" customWidth="1"/>
    <col min="1798" max="1798" width="12.28515625" style="14" customWidth="1"/>
    <col min="1799" max="1799" width="8.85546875" style="14" customWidth="1"/>
    <col min="1800" max="1800" width="10.85546875" style="14" customWidth="1"/>
    <col min="1801" max="1801" width="2.85546875" style="14" customWidth="1"/>
    <col min="1802" max="1802" width="12.140625" style="14" customWidth="1"/>
    <col min="1803" max="1803" width="10.140625" style="14" customWidth="1"/>
    <col min="1804" max="1804" width="11.7109375" style="14" customWidth="1"/>
    <col min="1805" max="1805" width="11.42578125" style="14" customWidth="1"/>
    <col min="1806" max="1806" width="12.7109375" style="14" customWidth="1"/>
    <col min="1807" max="1807" width="11.42578125" style="14" customWidth="1"/>
    <col min="1808" max="1808" width="10.7109375" style="14" customWidth="1"/>
    <col min="1809" max="1809" width="10.5703125" style="14" customWidth="1"/>
    <col min="1810" max="1810" width="11.28515625" style="14" customWidth="1"/>
    <col min="1811" max="1811" width="9.7109375" style="14" customWidth="1"/>
    <col min="1812" max="1812" width="12" style="14" customWidth="1"/>
    <col min="1813" max="1813" width="11.28515625" style="14" customWidth="1"/>
    <col min="1814" max="2051" width="9.140625" style="14"/>
    <col min="2052" max="2052" width="5.7109375" style="14" customWidth="1"/>
    <col min="2053" max="2053" width="13.140625" style="14" customWidth="1"/>
    <col min="2054" max="2054" width="12.28515625" style="14" customWidth="1"/>
    <col min="2055" max="2055" width="8.85546875" style="14" customWidth="1"/>
    <col min="2056" max="2056" width="10.85546875" style="14" customWidth="1"/>
    <col min="2057" max="2057" width="2.85546875" style="14" customWidth="1"/>
    <col min="2058" max="2058" width="12.140625" style="14" customWidth="1"/>
    <col min="2059" max="2059" width="10.140625" style="14" customWidth="1"/>
    <col min="2060" max="2060" width="11.7109375" style="14" customWidth="1"/>
    <col min="2061" max="2061" width="11.42578125" style="14" customWidth="1"/>
    <col min="2062" max="2062" width="12.7109375" style="14" customWidth="1"/>
    <col min="2063" max="2063" width="11.42578125" style="14" customWidth="1"/>
    <col min="2064" max="2064" width="10.7109375" style="14" customWidth="1"/>
    <col min="2065" max="2065" width="10.5703125" style="14" customWidth="1"/>
    <col min="2066" max="2066" width="11.28515625" style="14" customWidth="1"/>
    <col min="2067" max="2067" width="9.7109375" style="14" customWidth="1"/>
    <col min="2068" max="2068" width="12" style="14" customWidth="1"/>
    <col min="2069" max="2069" width="11.28515625" style="14" customWidth="1"/>
    <col min="2070" max="2307" width="9.140625" style="14"/>
    <col min="2308" max="2308" width="5.7109375" style="14" customWidth="1"/>
    <col min="2309" max="2309" width="13.140625" style="14" customWidth="1"/>
    <col min="2310" max="2310" width="12.28515625" style="14" customWidth="1"/>
    <col min="2311" max="2311" width="8.85546875" style="14" customWidth="1"/>
    <col min="2312" max="2312" width="10.85546875" style="14" customWidth="1"/>
    <col min="2313" max="2313" width="2.85546875" style="14" customWidth="1"/>
    <col min="2314" max="2314" width="12.140625" style="14" customWidth="1"/>
    <col min="2315" max="2315" width="10.140625" style="14" customWidth="1"/>
    <col min="2316" max="2316" width="11.7109375" style="14" customWidth="1"/>
    <col min="2317" max="2317" width="11.42578125" style="14" customWidth="1"/>
    <col min="2318" max="2318" width="12.7109375" style="14" customWidth="1"/>
    <col min="2319" max="2319" width="11.42578125" style="14" customWidth="1"/>
    <col min="2320" max="2320" width="10.7109375" style="14" customWidth="1"/>
    <col min="2321" max="2321" width="10.5703125" style="14" customWidth="1"/>
    <col min="2322" max="2322" width="11.28515625" style="14" customWidth="1"/>
    <col min="2323" max="2323" width="9.7109375" style="14" customWidth="1"/>
    <col min="2324" max="2324" width="12" style="14" customWidth="1"/>
    <col min="2325" max="2325" width="11.28515625" style="14" customWidth="1"/>
    <col min="2326" max="2563" width="9.140625" style="14"/>
    <col min="2564" max="2564" width="5.7109375" style="14" customWidth="1"/>
    <col min="2565" max="2565" width="13.140625" style="14" customWidth="1"/>
    <col min="2566" max="2566" width="12.28515625" style="14" customWidth="1"/>
    <col min="2567" max="2567" width="8.85546875" style="14" customWidth="1"/>
    <col min="2568" max="2568" width="10.85546875" style="14" customWidth="1"/>
    <col min="2569" max="2569" width="2.85546875" style="14" customWidth="1"/>
    <col min="2570" max="2570" width="12.140625" style="14" customWidth="1"/>
    <col min="2571" max="2571" width="10.140625" style="14" customWidth="1"/>
    <col min="2572" max="2572" width="11.7109375" style="14" customWidth="1"/>
    <col min="2573" max="2573" width="11.42578125" style="14" customWidth="1"/>
    <col min="2574" max="2574" width="12.7109375" style="14" customWidth="1"/>
    <col min="2575" max="2575" width="11.42578125" style="14" customWidth="1"/>
    <col min="2576" max="2576" width="10.7109375" style="14" customWidth="1"/>
    <col min="2577" max="2577" width="10.5703125" style="14" customWidth="1"/>
    <col min="2578" max="2578" width="11.28515625" style="14" customWidth="1"/>
    <col min="2579" max="2579" width="9.7109375" style="14" customWidth="1"/>
    <col min="2580" max="2580" width="12" style="14" customWidth="1"/>
    <col min="2581" max="2581" width="11.28515625" style="14" customWidth="1"/>
    <col min="2582" max="2819" width="9.140625" style="14"/>
    <col min="2820" max="2820" width="5.7109375" style="14" customWidth="1"/>
    <col min="2821" max="2821" width="13.140625" style="14" customWidth="1"/>
    <col min="2822" max="2822" width="12.28515625" style="14" customWidth="1"/>
    <col min="2823" max="2823" width="8.85546875" style="14" customWidth="1"/>
    <col min="2824" max="2824" width="10.85546875" style="14" customWidth="1"/>
    <col min="2825" max="2825" width="2.85546875" style="14" customWidth="1"/>
    <col min="2826" max="2826" width="12.140625" style="14" customWidth="1"/>
    <col min="2827" max="2827" width="10.140625" style="14" customWidth="1"/>
    <col min="2828" max="2828" width="11.7109375" style="14" customWidth="1"/>
    <col min="2829" max="2829" width="11.42578125" style="14" customWidth="1"/>
    <col min="2830" max="2830" width="12.7109375" style="14" customWidth="1"/>
    <col min="2831" max="2831" width="11.42578125" style="14" customWidth="1"/>
    <col min="2832" max="2832" width="10.7109375" style="14" customWidth="1"/>
    <col min="2833" max="2833" width="10.5703125" style="14" customWidth="1"/>
    <col min="2834" max="2834" width="11.28515625" style="14" customWidth="1"/>
    <col min="2835" max="2835" width="9.7109375" style="14" customWidth="1"/>
    <col min="2836" max="2836" width="12" style="14" customWidth="1"/>
    <col min="2837" max="2837" width="11.28515625" style="14" customWidth="1"/>
    <col min="2838" max="3075" width="9.140625" style="14"/>
    <col min="3076" max="3076" width="5.7109375" style="14" customWidth="1"/>
    <col min="3077" max="3077" width="13.140625" style="14" customWidth="1"/>
    <col min="3078" max="3078" width="12.28515625" style="14" customWidth="1"/>
    <col min="3079" max="3079" width="8.85546875" style="14" customWidth="1"/>
    <col min="3080" max="3080" width="10.85546875" style="14" customWidth="1"/>
    <col min="3081" max="3081" width="2.85546875" style="14" customWidth="1"/>
    <col min="3082" max="3082" width="12.140625" style="14" customWidth="1"/>
    <col min="3083" max="3083" width="10.140625" style="14" customWidth="1"/>
    <col min="3084" max="3084" width="11.7109375" style="14" customWidth="1"/>
    <col min="3085" max="3085" width="11.42578125" style="14" customWidth="1"/>
    <col min="3086" max="3086" width="12.7109375" style="14" customWidth="1"/>
    <col min="3087" max="3087" width="11.42578125" style="14" customWidth="1"/>
    <col min="3088" max="3088" width="10.7109375" style="14" customWidth="1"/>
    <col min="3089" max="3089" width="10.5703125" style="14" customWidth="1"/>
    <col min="3090" max="3090" width="11.28515625" style="14" customWidth="1"/>
    <col min="3091" max="3091" width="9.7109375" style="14" customWidth="1"/>
    <col min="3092" max="3092" width="12" style="14" customWidth="1"/>
    <col min="3093" max="3093" width="11.28515625" style="14" customWidth="1"/>
    <col min="3094" max="3331" width="9.140625" style="14"/>
    <col min="3332" max="3332" width="5.7109375" style="14" customWidth="1"/>
    <col min="3333" max="3333" width="13.140625" style="14" customWidth="1"/>
    <col min="3334" max="3334" width="12.28515625" style="14" customWidth="1"/>
    <col min="3335" max="3335" width="8.85546875" style="14" customWidth="1"/>
    <col min="3336" max="3336" width="10.85546875" style="14" customWidth="1"/>
    <col min="3337" max="3337" width="2.85546875" style="14" customWidth="1"/>
    <col min="3338" max="3338" width="12.140625" style="14" customWidth="1"/>
    <col min="3339" max="3339" width="10.140625" style="14" customWidth="1"/>
    <col min="3340" max="3340" width="11.7109375" style="14" customWidth="1"/>
    <col min="3341" max="3341" width="11.42578125" style="14" customWidth="1"/>
    <col min="3342" max="3342" width="12.7109375" style="14" customWidth="1"/>
    <col min="3343" max="3343" width="11.42578125" style="14" customWidth="1"/>
    <col min="3344" max="3344" width="10.7109375" style="14" customWidth="1"/>
    <col min="3345" max="3345" width="10.5703125" style="14" customWidth="1"/>
    <col min="3346" max="3346" width="11.28515625" style="14" customWidth="1"/>
    <col min="3347" max="3347" width="9.7109375" style="14" customWidth="1"/>
    <col min="3348" max="3348" width="12" style="14" customWidth="1"/>
    <col min="3349" max="3349" width="11.28515625" style="14" customWidth="1"/>
    <col min="3350" max="3587" width="9.140625" style="14"/>
    <col min="3588" max="3588" width="5.7109375" style="14" customWidth="1"/>
    <col min="3589" max="3589" width="13.140625" style="14" customWidth="1"/>
    <col min="3590" max="3590" width="12.28515625" style="14" customWidth="1"/>
    <col min="3591" max="3591" width="8.85546875" style="14" customWidth="1"/>
    <col min="3592" max="3592" width="10.85546875" style="14" customWidth="1"/>
    <col min="3593" max="3593" width="2.85546875" style="14" customWidth="1"/>
    <col min="3594" max="3594" width="12.140625" style="14" customWidth="1"/>
    <col min="3595" max="3595" width="10.140625" style="14" customWidth="1"/>
    <col min="3596" max="3596" width="11.7109375" style="14" customWidth="1"/>
    <col min="3597" max="3597" width="11.42578125" style="14" customWidth="1"/>
    <col min="3598" max="3598" width="12.7109375" style="14" customWidth="1"/>
    <col min="3599" max="3599" width="11.42578125" style="14" customWidth="1"/>
    <col min="3600" max="3600" width="10.7109375" style="14" customWidth="1"/>
    <col min="3601" max="3601" width="10.5703125" style="14" customWidth="1"/>
    <col min="3602" max="3602" width="11.28515625" style="14" customWidth="1"/>
    <col min="3603" max="3603" width="9.7109375" style="14" customWidth="1"/>
    <col min="3604" max="3604" width="12" style="14" customWidth="1"/>
    <col min="3605" max="3605" width="11.28515625" style="14" customWidth="1"/>
    <col min="3606" max="3843" width="9.140625" style="14"/>
    <col min="3844" max="3844" width="5.7109375" style="14" customWidth="1"/>
    <col min="3845" max="3845" width="13.140625" style="14" customWidth="1"/>
    <col min="3846" max="3846" width="12.28515625" style="14" customWidth="1"/>
    <col min="3847" max="3847" width="8.85546875" style="14" customWidth="1"/>
    <col min="3848" max="3848" width="10.85546875" style="14" customWidth="1"/>
    <col min="3849" max="3849" width="2.85546875" style="14" customWidth="1"/>
    <col min="3850" max="3850" width="12.140625" style="14" customWidth="1"/>
    <col min="3851" max="3851" width="10.140625" style="14" customWidth="1"/>
    <col min="3852" max="3852" width="11.7109375" style="14" customWidth="1"/>
    <col min="3853" max="3853" width="11.42578125" style="14" customWidth="1"/>
    <col min="3854" max="3854" width="12.7109375" style="14" customWidth="1"/>
    <col min="3855" max="3855" width="11.42578125" style="14" customWidth="1"/>
    <col min="3856" max="3856" width="10.7109375" style="14" customWidth="1"/>
    <col min="3857" max="3857" width="10.5703125" style="14" customWidth="1"/>
    <col min="3858" max="3858" width="11.28515625" style="14" customWidth="1"/>
    <col min="3859" max="3859" width="9.7109375" style="14" customWidth="1"/>
    <col min="3860" max="3860" width="12" style="14" customWidth="1"/>
    <col min="3861" max="3861" width="11.28515625" style="14" customWidth="1"/>
    <col min="3862" max="4099" width="9.140625" style="14"/>
    <col min="4100" max="4100" width="5.7109375" style="14" customWidth="1"/>
    <col min="4101" max="4101" width="13.140625" style="14" customWidth="1"/>
    <col min="4102" max="4102" width="12.28515625" style="14" customWidth="1"/>
    <col min="4103" max="4103" width="8.85546875" style="14" customWidth="1"/>
    <col min="4104" max="4104" width="10.85546875" style="14" customWidth="1"/>
    <col min="4105" max="4105" width="2.85546875" style="14" customWidth="1"/>
    <col min="4106" max="4106" width="12.140625" style="14" customWidth="1"/>
    <col min="4107" max="4107" width="10.140625" style="14" customWidth="1"/>
    <col min="4108" max="4108" width="11.7109375" style="14" customWidth="1"/>
    <col min="4109" max="4109" width="11.42578125" style="14" customWidth="1"/>
    <col min="4110" max="4110" width="12.7109375" style="14" customWidth="1"/>
    <col min="4111" max="4111" width="11.42578125" style="14" customWidth="1"/>
    <col min="4112" max="4112" width="10.7109375" style="14" customWidth="1"/>
    <col min="4113" max="4113" width="10.5703125" style="14" customWidth="1"/>
    <col min="4114" max="4114" width="11.28515625" style="14" customWidth="1"/>
    <col min="4115" max="4115" width="9.7109375" style="14" customWidth="1"/>
    <col min="4116" max="4116" width="12" style="14" customWidth="1"/>
    <col min="4117" max="4117" width="11.28515625" style="14" customWidth="1"/>
    <col min="4118" max="4355" width="9.140625" style="14"/>
    <col min="4356" max="4356" width="5.7109375" style="14" customWidth="1"/>
    <col min="4357" max="4357" width="13.140625" style="14" customWidth="1"/>
    <col min="4358" max="4358" width="12.28515625" style="14" customWidth="1"/>
    <col min="4359" max="4359" width="8.85546875" style="14" customWidth="1"/>
    <col min="4360" max="4360" width="10.85546875" style="14" customWidth="1"/>
    <col min="4361" max="4361" width="2.85546875" style="14" customWidth="1"/>
    <col min="4362" max="4362" width="12.140625" style="14" customWidth="1"/>
    <col min="4363" max="4363" width="10.140625" style="14" customWidth="1"/>
    <col min="4364" max="4364" width="11.7109375" style="14" customWidth="1"/>
    <col min="4365" max="4365" width="11.42578125" style="14" customWidth="1"/>
    <col min="4366" max="4366" width="12.7109375" style="14" customWidth="1"/>
    <col min="4367" max="4367" width="11.42578125" style="14" customWidth="1"/>
    <col min="4368" max="4368" width="10.7109375" style="14" customWidth="1"/>
    <col min="4369" max="4369" width="10.5703125" style="14" customWidth="1"/>
    <col min="4370" max="4370" width="11.28515625" style="14" customWidth="1"/>
    <col min="4371" max="4371" width="9.7109375" style="14" customWidth="1"/>
    <col min="4372" max="4372" width="12" style="14" customWidth="1"/>
    <col min="4373" max="4373" width="11.28515625" style="14" customWidth="1"/>
    <col min="4374" max="4611" width="9.140625" style="14"/>
    <col min="4612" max="4612" width="5.7109375" style="14" customWidth="1"/>
    <col min="4613" max="4613" width="13.140625" style="14" customWidth="1"/>
    <col min="4614" max="4614" width="12.28515625" style="14" customWidth="1"/>
    <col min="4615" max="4615" width="8.85546875" style="14" customWidth="1"/>
    <col min="4616" max="4616" width="10.85546875" style="14" customWidth="1"/>
    <col min="4617" max="4617" width="2.85546875" style="14" customWidth="1"/>
    <col min="4618" max="4618" width="12.140625" style="14" customWidth="1"/>
    <col min="4619" max="4619" width="10.140625" style="14" customWidth="1"/>
    <col min="4620" max="4620" width="11.7109375" style="14" customWidth="1"/>
    <col min="4621" max="4621" width="11.42578125" style="14" customWidth="1"/>
    <col min="4622" max="4622" width="12.7109375" style="14" customWidth="1"/>
    <col min="4623" max="4623" width="11.42578125" style="14" customWidth="1"/>
    <col min="4624" max="4624" width="10.7109375" style="14" customWidth="1"/>
    <col min="4625" max="4625" width="10.5703125" style="14" customWidth="1"/>
    <col min="4626" max="4626" width="11.28515625" style="14" customWidth="1"/>
    <col min="4627" max="4627" width="9.7109375" style="14" customWidth="1"/>
    <col min="4628" max="4628" width="12" style="14" customWidth="1"/>
    <col min="4629" max="4629" width="11.28515625" style="14" customWidth="1"/>
    <col min="4630" max="4867" width="9.140625" style="14"/>
    <col min="4868" max="4868" width="5.7109375" style="14" customWidth="1"/>
    <col min="4869" max="4869" width="13.140625" style="14" customWidth="1"/>
    <col min="4870" max="4870" width="12.28515625" style="14" customWidth="1"/>
    <col min="4871" max="4871" width="8.85546875" style="14" customWidth="1"/>
    <col min="4872" max="4872" width="10.85546875" style="14" customWidth="1"/>
    <col min="4873" max="4873" width="2.85546875" style="14" customWidth="1"/>
    <col min="4874" max="4874" width="12.140625" style="14" customWidth="1"/>
    <col min="4875" max="4875" width="10.140625" style="14" customWidth="1"/>
    <col min="4876" max="4876" width="11.7109375" style="14" customWidth="1"/>
    <col min="4877" max="4877" width="11.42578125" style="14" customWidth="1"/>
    <col min="4878" max="4878" width="12.7109375" style="14" customWidth="1"/>
    <col min="4879" max="4879" width="11.42578125" style="14" customWidth="1"/>
    <col min="4880" max="4880" width="10.7109375" style="14" customWidth="1"/>
    <col min="4881" max="4881" width="10.5703125" style="14" customWidth="1"/>
    <col min="4882" max="4882" width="11.28515625" style="14" customWidth="1"/>
    <col min="4883" max="4883" width="9.7109375" style="14" customWidth="1"/>
    <col min="4884" max="4884" width="12" style="14" customWidth="1"/>
    <col min="4885" max="4885" width="11.28515625" style="14" customWidth="1"/>
    <col min="4886" max="5123" width="9.140625" style="14"/>
    <col min="5124" max="5124" width="5.7109375" style="14" customWidth="1"/>
    <col min="5125" max="5125" width="13.140625" style="14" customWidth="1"/>
    <col min="5126" max="5126" width="12.28515625" style="14" customWidth="1"/>
    <col min="5127" max="5127" width="8.85546875" style="14" customWidth="1"/>
    <col min="5128" max="5128" width="10.85546875" style="14" customWidth="1"/>
    <col min="5129" max="5129" width="2.85546875" style="14" customWidth="1"/>
    <col min="5130" max="5130" width="12.140625" style="14" customWidth="1"/>
    <col min="5131" max="5131" width="10.140625" style="14" customWidth="1"/>
    <col min="5132" max="5132" width="11.7109375" style="14" customWidth="1"/>
    <col min="5133" max="5133" width="11.42578125" style="14" customWidth="1"/>
    <col min="5134" max="5134" width="12.7109375" style="14" customWidth="1"/>
    <col min="5135" max="5135" width="11.42578125" style="14" customWidth="1"/>
    <col min="5136" max="5136" width="10.7109375" style="14" customWidth="1"/>
    <col min="5137" max="5137" width="10.5703125" style="14" customWidth="1"/>
    <col min="5138" max="5138" width="11.28515625" style="14" customWidth="1"/>
    <col min="5139" max="5139" width="9.7109375" style="14" customWidth="1"/>
    <col min="5140" max="5140" width="12" style="14" customWidth="1"/>
    <col min="5141" max="5141" width="11.28515625" style="14" customWidth="1"/>
    <col min="5142" max="5379" width="9.140625" style="14"/>
    <col min="5380" max="5380" width="5.7109375" style="14" customWidth="1"/>
    <col min="5381" max="5381" width="13.140625" style="14" customWidth="1"/>
    <col min="5382" max="5382" width="12.28515625" style="14" customWidth="1"/>
    <col min="5383" max="5383" width="8.85546875" style="14" customWidth="1"/>
    <col min="5384" max="5384" width="10.85546875" style="14" customWidth="1"/>
    <col min="5385" max="5385" width="2.85546875" style="14" customWidth="1"/>
    <col min="5386" max="5386" width="12.140625" style="14" customWidth="1"/>
    <col min="5387" max="5387" width="10.140625" style="14" customWidth="1"/>
    <col min="5388" max="5388" width="11.7109375" style="14" customWidth="1"/>
    <col min="5389" max="5389" width="11.42578125" style="14" customWidth="1"/>
    <col min="5390" max="5390" width="12.7109375" style="14" customWidth="1"/>
    <col min="5391" max="5391" width="11.42578125" style="14" customWidth="1"/>
    <col min="5392" max="5392" width="10.7109375" style="14" customWidth="1"/>
    <col min="5393" max="5393" width="10.5703125" style="14" customWidth="1"/>
    <col min="5394" max="5394" width="11.28515625" style="14" customWidth="1"/>
    <col min="5395" max="5395" width="9.7109375" style="14" customWidth="1"/>
    <col min="5396" max="5396" width="12" style="14" customWidth="1"/>
    <col min="5397" max="5397" width="11.28515625" style="14" customWidth="1"/>
    <col min="5398" max="5635" width="9.140625" style="14"/>
    <col min="5636" max="5636" width="5.7109375" style="14" customWidth="1"/>
    <col min="5637" max="5637" width="13.140625" style="14" customWidth="1"/>
    <col min="5638" max="5638" width="12.28515625" style="14" customWidth="1"/>
    <col min="5639" max="5639" width="8.85546875" style="14" customWidth="1"/>
    <col min="5640" max="5640" width="10.85546875" style="14" customWidth="1"/>
    <col min="5641" max="5641" width="2.85546875" style="14" customWidth="1"/>
    <col min="5642" max="5642" width="12.140625" style="14" customWidth="1"/>
    <col min="5643" max="5643" width="10.140625" style="14" customWidth="1"/>
    <col min="5644" max="5644" width="11.7109375" style="14" customWidth="1"/>
    <col min="5645" max="5645" width="11.42578125" style="14" customWidth="1"/>
    <col min="5646" max="5646" width="12.7109375" style="14" customWidth="1"/>
    <col min="5647" max="5647" width="11.42578125" style="14" customWidth="1"/>
    <col min="5648" max="5648" width="10.7109375" style="14" customWidth="1"/>
    <col min="5649" max="5649" width="10.5703125" style="14" customWidth="1"/>
    <col min="5650" max="5650" width="11.28515625" style="14" customWidth="1"/>
    <col min="5651" max="5651" width="9.7109375" style="14" customWidth="1"/>
    <col min="5652" max="5652" width="12" style="14" customWidth="1"/>
    <col min="5653" max="5653" width="11.28515625" style="14" customWidth="1"/>
    <col min="5654" max="5891" width="9.140625" style="14"/>
    <col min="5892" max="5892" width="5.7109375" style="14" customWidth="1"/>
    <col min="5893" max="5893" width="13.140625" style="14" customWidth="1"/>
    <col min="5894" max="5894" width="12.28515625" style="14" customWidth="1"/>
    <col min="5895" max="5895" width="8.85546875" style="14" customWidth="1"/>
    <col min="5896" max="5896" width="10.85546875" style="14" customWidth="1"/>
    <col min="5897" max="5897" width="2.85546875" style="14" customWidth="1"/>
    <col min="5898" max="5898" width="12.140625" style="14" customWidth="1"/>
    <col min="5899" max="5899" width="10.140625" style="14" customWidth="1"/>
    <col min="5900" max="5900" width="11.7109375" style="14" customWidth="1"/>
    <col min="5901" max="5901" width="11.42578125" style="14" customWidth="1"/>
    <col min="5902" max="5902" width="12.7109375" style="14" customWidth="1"/>
    <col min="5903" max="5903" width="11.42578125" style="14" customWidth="1"/>
    <col min="5904" max="5904" width="10.7109375" style="14" customWidth="1"/>
    <col min="5905" max="5905" width="10.5703125" style="14" customWidth="1"/>
    <col min="5906" max="5906" width="11.28515625" style="14" customWidth="1"/>
    <col min="5907" max="5907" width="9.7109375" style="14" customWidth="1"/>
    <col min="5908" max="5908" width="12" style="14" customWidth="1"/>
    <col min="5909" max="5909" width="11.28515625" style="14" customWidth="1"/>
    <col min="5910" max="6147" width="9.140625" style="14"/>
    <col min="6148" max="6148" width="5.7109375" style="14" customWidth="1"/>
    <col min="6149" max="6149" width="13.140625" style="14" customWidth="1"/>
    <col min="6150" max="6150" width="12.28515625" style="14" customWidth="1"/>
    <col min="6151" max="6151" width="8.85546875" style="14" customWidth="1"/>
    <col min="6152" max="6152" width="10.85546875" style="14" customWidth="1"/>
    <col min="6153" max="6153" width="2.85546875" style="14" customWidth="1"/>
    <col min="6154" max="6154" width="12.140625" style="14" customWidth="1"/>
    <col min="6155" max="6155" width="10.140625" style="14" customWidth="1"/>
    <col min="6156" max="6156" width="11.7109375" style="14" customWidth="1"/>
    <col min="6157" max="6157" width="11.42578125" style="14" customWidth="1"/>
    <col min="6158" max="6158" width="12.7109375" style="14" customWidth="1"/>
    <col min="6159" max="6159" width="11.42578125" style="14" customWidth="1"/>
    <col min="6160" max="6160" width="10.7109375" style="14" customWidth="1"/>
    <col min="6161" max="6161" width="10.5703125" style="14" customWidth="1"/>
    <col min="6162" max="6162" width="11.28515625" style="14" customWidth="1"/>
    <col min="6163" max="6163" width="9.7109375" style="14" customWidth="1"/>
    <col min="6164" max="6164" width="12" style="14" customWidth="1"/>
    <col min="6165" max="6165" width="11.28515625" style="14" customWidth="1"/>
    <col min="6166" max="6403" width="9.140625" style="14"/>
    <col min="6404" max="6404" width="5.7109375" style="14" customWidth="1"/>
    <col min="6405" max="6405" width="13.140625" style="14" customWidth="1"/>
    <col min="6406" max="6406" width="12.28515625" style="14" customWidth="1"/>
    <col min="6407" max="6407" width="8.85546875" style="14" customWidth="1"/>
    <col min="6408" max="6408" width="10.85546875" style="14" customWidth="1"/>
    <col min="6409" max="6409" width="2.85546875" style="14" customWidth="1"/>
    <col min="6410" max="6410" width="12.140625" style="14" customWidth="1"/>
    <col min="6411" max="6411" width="10.140625" style="14" customWidth="1"/>
    <col min="6412" max="6412" width="11.7109375" style="14" customWidth="1"/>
    <col min="6413" max="6413" width="11.42578125" style="14" customWidth="1"/>
    <col min="6414" max="6414" width="12.7109375" style="14" customWidth="1"/>
    <col min="6415" max="6415" width="11.42578125" style="14" customWidth="1"/>
    <col min="6416" max="6416" width="10.7109375" style="14" customWidth="1"/>
    <col min="6417" max="6417" width="10.5703125" style="14" customWidth="1"/>
    <col min="6418" max="6418" width="11.28515625" style="14" customWidth="1"/>
    <col min="6419" max="6419" width="9.7109375" style="14" customWidth="1"/>
    <col min="6420" max="6420" width="12" style="14" customWidth="1"/>
    <col min="6421" max="6421" width="11.28515625" style="14" customWidth="1"/>
    <col min="6422" max="6659" width="9.140625" style="14"/>
    <col min="6660" max="6660" width="5.7109375" style="14" customWidth="1"/>
    <col min="6661" max="6661" width="13.140625" style="14" customWidth="1"/>
    <col min="6662" max="6662" width="12.28515625" style="14" customWidth="1"/>
    <col min="6663" max="6663" width="8.85546875" style="14" customWidth="1"/>
    <col min="6664" max="6664" width="10.85546875" style="14" customWidth="1"/>
    <col min="6665" max="6665" width="2.85546875" style="14" customWidth="1"/>
    <col min="6666" max="6666" width="12.140625" style="14" customWidth="1"/>
    <col min="6667" max="6667" width="10.140625" style="14" customWidth="1"/>
    <col min="6668" max="6668" width="11.7109375" style="14" customWidth="1"/>
    <col min="6669" max="6669" width="11.42578125" style="14" customWidth="1"/>
    <col min="6670" max="6670" width="12.7109375" style="14" customWidth="1"/>
    <col min="6671" max="6671" width="11.42578125" style="14" customWidth="1"/>
    <col min="6672" max="6672" width="10.7109375" style="14" customWidth="1"/>
    <col min="6673" max="6673" width="10.5703125" style="14" customWidth="1"/>
    <col min="6674" max="6674" width="11.28515625" style="14" customWidth="1"/>
    <col min="6675" max="6675" width="9.7109375" style="14" customWidth="1"/>
    <col min="6676" max="6676" width="12" style="14" customWidth="1"/>
    <col min="6677" max="6677" width="11.28515625" style="14" customWidth="1"/>
    <col min="6678" max="6915" width="9.140625" style="14"/>
    <col min="6916" max="6916" width="5.7109375" style="14" customWidth="1"/>
    <col min="6917" max="6917" width="13.140625" style="14" customWidth="1"/>
    <col min="6918" max="6918" width="12.28515625" style="14" customWidth="1"/>
    <col min="6919" max="6919" width="8.85546875" style="14" customWidth="1"/>
    <col min="6920" max="6920" width="10.85546875" style="14" customWidth="1"/>
    <col min="6921" max="6921" width="2.85546875" style="14" customWidth="1"/>
    <col min="6922" max="6922" width="12.140625" style="14" customWidth="1"/>
    <col min="6923" max="6923" width="10.140625" style="14" customWidth="1"/>
    <col min="6924" max="6924" width="11.7109375" style="14" customWidth="1"/>
    <col min="6925" max="6925" width="11.42578125" style="14" customWidth="1"/>
    <col min="6926" max="6926" width="12.7109375" style="14" customWidth="1"/>
    <col min="6927" max="6927" width="11.42578125" style="14" customWidth="1"/>
    <col min="6928" max="6928" width="10.7109375" style="14" customWidth="1"/>
    <col min="6929" max="6929" width="10.5703125" style="14" customWidth="1"/>
    <col min="6930" max="6930" width="11.28515625" style="14" customWidth="1"/>
    <col min="6931" max="6931" width="9.7109375" style="14" customWidth="1"/>
    <col min="6932" max="6932" width="12" style="14" customWidth="1"/>
    <col min="6933" max="6933" width="11.28515625" style="14" customWidth="1"/>
    <col min="6934" max="7171" width="9.140625" style="14"/>
    <col min="7172" max="7172" width="5.7109375" style="14" customWidth="1"/>
    <col min="7173" max="7173" width="13.140625" style="14" customWidth="1"/>
    <col min="7174" max="7174" width="12.28515625" style="14" customWidth="1"/>
    <col min="7175" max="7175" width="8.85546875" style="14" customWidth="1"/>
    <col min="7176" max="7176" width="10.85546875" style="14" customWidth="1"/>
    <col min="7177" max="7177" width="2.85546875" style="14" customWidth="1"/>
    <col min="7178" max="7178" width="12.140625" style="14" customWidth="1"/>
    <col min="7179" max="7179" width="10.140625" style="14" customWidth="1"/>
    <col min="7180" max="7180" width="11.7109375" style="14" customWidth="1"/>
    <col min="7181" max="7181" width="11.42578125" style="14" customWidth="1"/>
    <col min="7182" max="7182" width="12.7109375" style="14" customWidth="1"/>
    <col min="7183" max="7183" width="11.42578125" style="14" customWidth="1"/>
    <col min="7184" max="7184" width="10.7109375" style="14" customWidth="1"/>
    <col min="7185" max="7185" width="10.5703125" style="14" customWidth="1"/>
    <col min="7186" max="7186" width="11.28515625" style="14" customWidth="1"/>
    <col min="7187" max="7187" width="9.7109375" style="14" customWidth="1"/>
    <col min="7188" max="7188" width="12" style="14" customWidth="1"/>
    <col min="7189" max="7189" width="11.28515625" style="14" customWidth="1"/>
    <col min="7190" max="7427" width="9.140625" style="14"/>
    <col min="7428" max="7428" width="5.7109375" style="14" customWidth="1"/>
    <col min="7429" max="7429" width="13.140625" style="14" customWidth="1"/>
    <col min="7430" max="7430" width="12.28515625" style="14" customWidth="1"/>
    <col min="7431" max="7431" width="8.85546875" style="14" customWidth="1"/>
    <col min="7432" max="7432" width="10.85546875" style="14" customWidth="1"/>
    <col min="7433" max="7433" width="2.85546875" style="14" customWidth="1"/>
    <col min="7434" max="7434" width="12.140625" style="14" customWidth="1"/>
    <col min="7435" max="7435" width="10.140625" style="14" customWidth="1"/>
    <col min="7436" max="7436" width="11.7109375" style="14" customWidth="1"/>
    <col min="7437" max="7437" width="11.42578125" style="14" customWidth="1"/>
    <col min="7438" max="7438" width="12.7109375" style="14" customWidth="1"/>
    <col min="7439" max="7439" width="11.42578125" style="14" customWidth="1"/>
    <col min="7440" max="7440" width="10.7109375" style="14" customWidth="1"/>
    <col min="7441" max="7441" width="10.5703125" style="14" customWidth="1"/>
    <col min="7442" max="7442" width="11.28515625" style="14" customWidth="1"/>
    <col min="7443" max="7443" width="9.7109375" style="14" customWidth="1"/>
    <col min="7444" max="7444" width="12" style="14" customWidth="1"/>
    <col min="7445" max="7445" width="11.28515625" style="14" customWidth="1"/>
    <col min="7446" max="7683" width="9.140625" style="14"/>
    <col min="7684" max="7684" width="5.7109375" style="14" customWidth="1"/>
    <col min="7685" max="7685" width="13.140625" style="14" customWidth="1"/>
    <col min="7686" max="7686" width="12.28515625" style="14" customWidth="1"/>
    <col min="7687" max="7687" width="8.85546875" style="14" customWidth="1"/>
    <col min="7688" max="7688" width="10.85546875" style="14" customWidth="1"/>
    <col min="7689" max="7689" width="2.85546875" style="14" customWidth="1"/>
    <col min="7690" max="7690" width="12.140625" style="14" customWidth="1"/>
    <col min="7691" max="7691" width="10.140625" style="14" customWidth="1"/>
    <col min="7692" max="7692" width="11.7109375" style="14" customWidth="1"/>
    <col min="7693" max="7693" width="11.42578125" style="14" customWidth="1"/>
    <col min="7694" max="7694" width="12.7109375" style="14" customWidth="1"/>
    <col min="7695" max="7695" width="11.42578125" style="14" customWidth="1"/>
    <col min="7696" max="7696" width="10.7109375" style="14" customWidth="1"/>
    <col min="7697" max="7697" width="10.5703125" style="14" customWidth="1"/>
    <col min="7698" max="7698" width="11.28515625" style="14" customWidth="1"/>
    <col min="7699" max="7699" width="9.7109375" style="14" customWidth="1"/>
    <col min="7700" max="7700" width="12" style="14" customWidth="1"/>
    <col min="7701" max="7701" width="11.28515625" style="14" customWidth="1"/>
    <col min="7702" max="7939" width="9.140625" style="14"/>
    <col min="7940" max="7940" width="5.7109375" style="14" customWidth="1"/>
    <col min="7941" max="7941" width="13.140625" style="14" customWidth="1"/>
    <col min="7942" max="7942" width="12.28515625" style="14" customWidth="1"/>
    <col min="7943" max="7943" width="8.85546875" style="14" customWidth="1"/>
    <col min="7944" max="7944" width="10.85546875" style="14" customWidth="1"/>
    <col min="7945" max="7945" width="2.85546875" style="14" customWidth="1"/>
    <col min="7946" max="7946" width="12.140625" style="14" customWidth="1"/>
    <col min="7947" max="7947" width="10.140625" style="14" customWidth="1"/>
    <col min="7948" max="7948" width="11.7109375" style="14" customWidth="1"/>
    <col min="7949" max="7949" width="11.42578125" style="14" customWidth="1"/>
    <col min="7950" max="7950" width="12.7109375" style="14" customWidth="1"/>
    <col min="7951" max="7951" width="11.42578125" style="14" customWidth="1"/>
    <col min="7952" max="7952" width="10.7109375" style="14" customWidth="1"/>
    <col min="7953" max="7953" width="10.5703125" style="14" customWidth="1"/>
    <col min="7954" max="7954" width="11.28515625" style="14" customWidth="1"/>
    <col min="7955" max="7955" width="9.7109375" style="14" customWidth="1"/>
    <col min="7956" max="7956" width="12" style="14" customWidth="1"/>
    <col min="7957" max="7957" width="11.28515625" style="14" customWidth="1"/>
    <col min="7958" max="8195" width="9.140625" style="14"/>
    <col min="8196" max="8196" width="5.7109375" style="14" customWidth="1"/>
    <col min="8197" max="8197" width="13.140625" style="14" customWidth="1"/>
    <col min="8198" max="8198" width="12.28515625" style="14" customWidth="1"/>
    <col min="8199" max="8199" width="8.85546875" style="14" customWidth="1"/>
    <col min="8200" max="8200" width="10.85546875" style="14" customWidth="1"/>
    <col min="8201" max="8201" width="2.85546875" style="14" customWidth="1"/>
    <col min="8202" max="8202" width="12.140625" style="14" customWidth="1"/>
    <col min="8203" max="8203" width="10.140625" style="14" customWidth="1"/>
    <col min="8204" max="8204" width="11.7109375" style="14" customWidth="1"/>
    <col min="8205" max="8205" width="11.42578125" style="14" customWidth="1"/>
    <col min="8206" max="8206" width="12.7109375" style="14" customWidth="1"/>
    <col min="8207" max="8207" width="11.42578125" style="14" customWidth="1"/>
    <col min="8208" max="8208" width="10.7109375" style="14" customWidth="1"/>
    <col min="8209" max="8209" width="10.5703125" style="14" customWidth="1"/>
    <col min="8210" max="8210" width="11.28515625" style="14" customWidth="1"/>
    <col min="8211" max="8211" width="9.7109375" style="14" customWidth="1"/>
    <col min="8212" max="8212" width="12" style="14" customWidth="1"/>
    <col min="8213" max="8213" width="11.28515625" style="14" customWidth="1"/>
    <col min="8214" max="8451" width="9.140625" style="14"/>
    <col min="8452" max="8452" width="5.7109375" style="14" customWidth="1"/>
    <col min="8453" max="8453" width="13.140625" style="14" customWidth="1"/>
    <col min="8454" max="8454" width="12.28515625" style="14" customWidth="1"/>
    <col min="8455" max="8455" width="8.85546875" style="14" customWidth="1"/>
    <col min="8456" max="8456" width="10.85546875" style="14" customWidth="1"/>
    <col min="8457" max="8457" width="2.85546875" style="14" customWidth="1"/>
    <col min="8458" max="8458" width="12.140625" style="14" customWidth="1"/>
    <col min="8459" max="8459" width="10.140625" style="14" customWidth="1"/>
    <col min="8460" max="8460" width="11.7109375" style="14" customWidth="1"/>
    <col min="8461" max="8461" width="11.42578125" style="14" customWidth="1"/>
    <col min="8462" max="8462" width="12.7109375" style="14" customWidth="1"/>
    <col min="8463" max="8463" width="11.42578125" style="14" customWidth="1"/>
    <col min="8464" max="8464" width="10.7109375" style="14" customWidth="1"/>
    <col min="8465" max="8465" width="10.5703125" style="14" customWidth="1"/>
    <col min="8466" max="8466" width="11.28515625" style="14" customWidth="1"/>
    <col min="8467" max="8467" width="9.7109375" style="14" customWidth="1"/>
    <col min="8468" max="8468" width="12" style="14" customWidth="1"/>
    <col min="8469" max="8469" width="11.28515625" style="14" customWidth="1"/>
    <col min="8470" max="8707" width="9.140625" style="14"/>
    <col min="8708" max="8708" width="5.7109375" style="14" customWidth="1"/>
    <col min="8709" max="8709" width="13.140625" style="14" customWidth="1"/>
    <col min="8710" max="8710" width="12.28515625" style="14" customWidth="1"/>
    <col min="8711" max="8711" width="8.85546875" style="14" customWidth="1"/>
    <col min="8712" max="8712" width="10.85546875" style="14" customWidth="1"/>
    <col min="8713" max="8713" width="2.85546875" style="14" customWidth="1"/>
    <col min="8714" max="8714" width="12.140625" style="14" customWidth="1"/>
    <col min="8715" max="8715" width="10.140625" style="14" customWidth="1"/>
    <col min="8716" max="8716" width="11.7109375" style="14" customWidth="1"/>
    <col min="8717" max="8717" width="11.42578125" style="14" customWidth="1"/>
    <col min="8718" max="8718" width="12.7109375" style="14" customWidth="1"/>
    <col min="8719" max="8719" width="11.42578125" style="14" customWidth="1"/>
    <col min="8720" max="8720" width="10.7109375" style="14" customWidth="1"/>
    <col min="8721" max="8721" width="10.5703125" style="14" customWidth="1"/>
    <col min="8722" max="8722" width="11.28515625" style="14" customWidth="1"/>
    <col min="8723" max="8723" width="9.7109375" style="14" customWidth="1"/>
    <col min="8724" max="8724" width="12" style="14" customWidth="1"/>
    <col min="8725" max="8725" width="11.28515625" style="14" customWidth="1"/>
    <col min="8726" max="8963" width="9.140625" style="14"/>
    <col min="8964" max="8964" width="5.7109375" style="14" customWidth="1"/>
    <col min="8965" max="8965" width="13.140625" style="14" customWidth="1"/>
    <col min="8966" max="8966" width="12.28515625" style="14" customWidth="1"/>
    <col min="8967" max="8967" width="8.85546875" style="14" customWidth="1"/>
    <col min="8968" max="8968" width="10.85546875" style="14" customWidth="1"/>
    <col min="8969" max="8969" width="2.85546875" style="14" customWidth="1"/>
    <col min="8970" max="8970" width="12.140625" style="14" customWidth="1"/>
    <col min="8971" max="8971" width="10.140625" style="14" customWidth="1"/>
    <col min="8972" max="8972" width="11.7109375" style="14" customWidth="1"/>
    <col min="8973" max="8973" width="11.42578125" style="14" customWidth="1"/>
    <col min="8974" max="8974" width="12.7109375" style="14" customWidth="1"/>
    <col min="8975" max="8975" width="11.42578125" style="14" customWidth="1"/>
    <col min="8976" max="8976" width="10.7109375" style="14" customWidth="1"/>
    <col min="8977" max="8977" width="10.5703125" style="14" customWidth="1"/>
    <col min="8978" max="8978" width="11.28515625" style="14" customWidth="1"/>
    <col min="8979" max="8979" width="9.7109375" style="14" customWidth="1"/>
    <col min="8980" max="8980" width="12" style="14" customWidth="1"/>
    <col min="8981" max="8981" width="11.28515625" style="14" customWidth="1"/>
    <col min="8982" max="9219" width="9.140625" style="14"/>
    <col min="9220" max="9220" width="5.7109375" style="14" customWidth="1"/>
    <col min="9221" max="9221" width="13.140625" style="14" customWidth="1"/>
    <col min="9222" max="9222" width="12.28515625" style="14" customWidth="1"/>
    <col min="9223" max="9223" width="8.85546875" style="14" customWidth="1"/>
    <col min="9224" max="9224" width="10.85546875" style="14" customWidth="1"/>
    <col min="9225" max="9225" width="2.85546875" style="14" customWidth="1"/>
    <col min="9226" max="9226" width="12.140625" style="14" customWidth="1"/>
    <col min="9227" max="9227" width="10.140625" style="14" customWidth="1"/>
    <col min="9228" max="9228" width="11.7109375" style="14" customWidth="1"/>
    <col min="9229" max="9229" width="11.42578125" style="14" customWidth="1"/>
    <col min="9230" max="9230" width="12.7109375" style="14" customWidth="1"/>
    <col min="9231" max="9231" width="11.42578125" style="14" customWidth="1"/>
    <col min="9232" max="9232" width="10.7109375" style="14" customWidth="1"/>
    <col min="9233" max="9233" width="10.5703125" style="14" customWidth="1"/>
    <col min="9234" max="9234" width="11.28515625" style="14" customWidth="1"/>
    <col min="9235" max="9235" width="9.7109375" style="14" customWidth="1"/>
    <col min="9236" max="9236" width="12" style="14" customWidth="1"/>
    <col min="9237" max="9237" width="11.28515625" style="14" customWidth="1"/>
    <col min="9238" max="9475" width="9.140625" style="14"/>
    <col min="9476" max="9476" width="5.7109375" style="14" customWidth="1"/>
    <col min="9477" max="9477" width="13.140625" style="14" customWidth="1"/>
    <col min="9478" max="9478" width="12.28515625" style="14" customWidth="1"/>
    <col min="9479" max="9479" width="8.85546875" style="14" customWidth="1"/>
    <col min="9480" max="9480" width="10.85546875" style="14" customWidth="1"/>
    <col min="9481" max="9481" width="2.85546875" style="14" customWidth="1"/>
    <col min="9482" max="9482" width="12.140625" style="14" customWidth="1"/>
    <col min="9483" max="9483" width="10.140625" style="14" customWidth="1"/>
    <col min="9484" max="9484" width="11.7109375" style="14" customWidth="1"/>
    <col min="9485" max="9485" width="11.42578125" style="14" customWidth="1"/>
    <col min="9486" max="9486" width="12.7109375" style="14" customWidth="1"/>
    <col min="9487" max="9487" width="11.42578125" style="14" customWidth="1"/>
    <col min="9488" max="9488" width="10.7109375" style="14" customWidth="1"/>
    <col min="9489" max="9489" width="10.5703125" style="14" customWidth="1"/>
    <col min="9490" max="9490" width="11.28515625" style="14" customWidth="1"/>
    <col min="9491" max="9491" width="9.7109375" style="14" customWidth="1"/>
    <col min="9492" max="9492" width="12" style="14" customWidth="1"/>
    <col min="9493" max="9493" width="11.28515625" style="14" customWidth="1"/>
    <col min="9494" max="9731" width="9.140625" style="14"/>
    <col min="9732" max="9732" width="5.7109375" style="14" customWidth="1"/>
    <col min="9733" max="9733" width="13.140625" style="14" customWidth="1"/>
    <col min="9734" max="9734" width="12.28515625" style="14" customWidth="1"/>
    <col min="9735" max="9735" width="8.85546875" style="14" customWidth="1"/>
    <col min="9736" max="9736" width="10.85546875" style="14" customWidth="1"/>
    <col min="9737" max="9737" width="2.85546875" style="14" customWidth="1"/>
    <col min="9738" max="9738" width="12.140625" style="14" customWidth="1"/>
    <col min="9739" max="9739" width="10.140625" style="14" customWidth="1"/>
    <col min="9740" max="9740" width="11.7109375" style="14" customWidth="1"/>
    <col min="9741" max="9741" width="11.42578125" style="14" customWidth="1"/>
    <col min="9742" max="9742" width="12.7109375" style="14" customWidth="1"/>
    <col min="9743" max="9743" width="11.42578125" style="14" customWidth="1"/>
    <col min="9744" max="9744" width="10.7109375" style="14" customWidth="1"/>
    <col min="9745" max="9745" width="10.5703125" style="14" customWidth="1"/>
    <col min="9746" max="9746" width="11.28515625" style="14" customWidth="1"/>
    <col min="9747" max="9747" width="9.7109375" style="14" customWidth="1"/>
    <col min="9748" max="9748" width="12" style="14" customWidth="1"/>
    <col min="9749" max="9749" width="11.28515625" style="14" customWidth="1"/>
    <col min="9750" max="9987" width="9.140625" style="14"/>
    <col min="9988" max="9988" width="5.7109375" style="14" customWidth="1"/>
    <col min="9989" max="9989" width="13.140625" style="14" customWidth="1"/>
    <col min="9990" max="9990" width="12.28515625" style="14" customWidth="1"/>
    <col min="9991" max="9991" width="8.85546875" style="14" customWidth="1"/>
    <col min="9992" max="9992" width="10.85546875" style="14" customWidth="1"/>
    <col min="9993" max="9993" width="2.85546875" style="14" customWidth="1"/>
    <col min="9994" max="9994" width="12.140625" style="14" customWidth="1"/>
    <col min="9995" max="9995" width="10.140625" style="14" customWidth="1"/>
    <col min="9996" max="9996" width="11.7109375" style="14" customWidth="1"/>
    <col min="9997" max="9997" width="11.42578125" style="14" customWidth="1"/>
    <col min="9998" max="9998" width="12.7109375" style="14" customWidth="1"/>
    <col min="9999" max="9999" width="11.42578125" style="14" customWidth="1"/>
    <col min="10000" max="10000" width="10.7109375" style="14" customWidth="1"/>
    <col min="10001" max="10001" width="10.5703125" style="14" customWidth="1"/>
    <col min="10002" max="10002" width="11.28515625" style="14" customWidth="1"/>
    <col min="10003" max="10003" width="9.7109375" style="14" customWidth="1"/>
    <col min="10004" max="10004" width="12" style="14" customWidth="1"/>
    <col min="10005" max="10005" width="11.28515625" style="14" customWidth="1"/>
    <col min="10006" max="10243" width="9.140625" style="14"/>
    <col min="10244" max="10244" width="5.7109375" style="14" customWidth="1"/>
    <col min="10245" max="10245" width="13.140625" style="14" customWidth="1"/>
    <col min="10246" max="10246" width="12.28515625" style="14" customWidth="1"/>
    <col min="10247" max="10247" width="8.85546875" style="14" customWidth="1"/>
    <col min="10248" max="10248" width="10.85546875" style="14" customWidth="1"/>
    <col min="10249" max="10249" width="2.85546875" style="14" customWidth="1"/>
    <col min="10250" max="10250" width="12.140625" style="14" customWidth="1"/>
    <col min="10251" max="10251" width="10.140625" style="14" customWidth="1"/>
    <col min="10252" max="10252" width="11.7109375" style="14" customWidth="1"/>
    <col min="10253" max="10253" width="11.42578125" style="14" customWidth="1"/>
    <col min="10254" max="10254" width="12.7109375" style="14" customWidth="1"/>
    <col min="10255" max="10255" width="11.42578125" style="14" customWidth="1"/>
    <col min="10256" max="10256" width="10.7109375" style="14" customWidth="1"/>
    <col min="10257" max="10257" width="10.5703125" style="14" customWidth="1"/>
    <col min="10258" max="10258" width="11.28515625" style="14" customWidth="1"/>
    <col min="10259" max="10259" width="9.7109375" style="14" customWidth="1"/>
    <col min="10260" max="10260" width="12" style="14" customWidth="1"/>
    <col min="10261" max="10261" width="11.28515625" style="14" customWidth="1"/>
    <col min="10262" max="10499" width="9.140625" style="14"/>
    <col min="10500" max="10500" width="5.7109375" style="14" customWidth="1"/>
    <col min="10501" max="10501" width="13.140625" style="14" customWidth="1"/>
    <col min="10502" max="10502" width="12.28515625" style="14" customWidth="1"/>
    <col min="10503" max="10503" width="8.85546875" style="14" customWidth="1"/>
    <col min="10504" max="10504" width="10.85546875" style="14" customWidth="1"/>
    <col min="10505" max="10505" width="2.85546875" style="14" customWidth="1"/>
    <col min="10506" max="10506" width="12.140625" style="14" customWidth="1"/>
    <col min="10507" max="10507" width="10.140625" style="14" customWidth="1"/>
    <col min="10508" max="10508" width="11.7109375" style="14" customWidth="1"/>
    <col min="10509" max="10509" width="11.42578125" style="14" customWidth="1"/>
    <col min="10510" max="10510" width="12.7109375" style="14" customWidth="1"/>
    <col min="10511" max="10511" width="11.42578125" style="14" customWidth="1"/>
    <col min="10512" max="10512" width="10.7109375" style="14" customWidth="1"/>
    <col min="10513" max="10513" width="10.5703125" style="14" customWidth="1"/>
    <col min="10514" max="10514" width="11.28515625" style="14" customWidth="1"/>
    <col min="10515" max="10515" width="9.7109375" style="14" customWidth="1"/>
    <col min="10516" max="10516" width="12" style="14" customWidth="1"/>
    <col min="10517" max="10517" width="11.28515625" style="14" customWidth="1"/>
    <col min="10518" max="10755" width="9.140625" style="14"/>
    <col min="10756" max="10756" width="5.7109375" style="14" customWidth="1"/>
    <col min="10757" max="10757" width="13.140625" style="14" customWidth="1"/>
    <col min="10758" max="10758" width="12.28515625" style="14" customWidth="1"/>
    <col min="10759" max="10759" width="8.85546875" style="14" customWidth="1"/>
    <col min="10760" max="10760" width="10.85546875" style="14" customWidth="1"/>
    <col min="10761" max="10761" width="2.85546875" style="14" customWidth="1"/>
    <col min="10762" max="10762" width="12.140625" style="14" customWidth="1"/>
    <col min="10763" max="10763" width="10.140625" style="14" customWidth="1"/>
    <col min="10764" max="10764" width="11.7109375" style="14" customWidth="1"/>
    <col min="10765" max="10765" width="11.42578125" style="14" customWidth="1"/>
    <col min="10766" max="10766" width="12.7109375" style="14" customWidth="1"/>
    <col min="10767" max="10767" width="11.42578125" style="14" customWidth="1"/>
    <col min="10768" max="10768" width="10.7109375" style="14" customWidth="1"/>
    <col min="10769" max="10769" width="10.5703125" style="14" customWidth="1"/>
    <col min="10770" max="10770" width="11.28515625" style="14" customWidth="1"/>
    <col min="10771" max="10771" width="9.7109375" style="14" customWidth="1"/>
    <col min="10772" max="10772" width="12" style="14" customWidth="1"/>
    <col min="10773" max="10773" width="11.28515625" style="14" customWidth="1"/>
    <col min="10774" max="11011" width="9.140625" style="14"/>
    <col min="11012" max="11012" width="5.7109375" style="14" customWidth="1"/>
    <col min="11013" max="11013" width="13.140625" style="14" customWidth="1"/>
    <col min="11014" max="11014" width="12.28515625" style="14" customWidth="1"/>
    <col min="11015" max="11015" width="8.85546875" style="14" customWidth="1"/>
    <col min="11016" max="11016" width="10.85546875" style="14" customWidth="1"/>
    <col min="11017" max="11017" width="2.85546875" style="14" customWidth="1"/>
    <col min="11018" max="11018" width="12.140625" style="14" customWidth="1"/>
    <col min="11019" max="11019" width="10.140625" style="14" customWidth="1"/>
    <col min="11020" max="11020" width="11.7109375" style="14" customWidth="1"/>
    <col min="11021" max="11021" width="11.42578125" style="14" customWidth="1"/>
    <col min="11022" max="11022" width="12.7109375" style="14" customWidth="1"/>
    <col min="11023" max="11023" width="11.42578125" style="14" customWidth="1"/>
    <col min="11024" max="11024" width="10.7109375" style="14" customWidth="1"/>
    <col min="11025" max="11025" width="10.5703125" style="14" customWidth="1"/>
    <col min="11026" max="11026" width="11.28515625" style="14" customWidth="1"/>
    <col min="11027" max="11027" width="9.7109375" style="14" customWidth="1"/>
    <col min="11028" max="11028" width="12" style="14" customWidth="1"/>
    <col min="11029" max="11029" width="11.28515625" style="14" customWidth="1"/>
    <col min="11030" max="11267" width="9.140625" style="14"/>
    <col min="11268" max="11268" width="5.7109375" style="14" customWidth="1"/>
    <col min="11269" max="11269" width="13.140625" style="14" customWidth="1"/>
    <col min="11270" max="11270" width="12.28515625" style="14" customWidth="1"/>
    <col min="11271" max="11271" width="8.85546875" style="14" customWidth="1"/>
    <col min="11272" max="11272" width="10.85546875" style="14" customWidth="1"/>
    <col min="11273" max="11273" width="2.85546875" style="14" customWidth="1"/>
    <col min="11274" max="11274" width="12.140625" style="14" customWidth="1"/>
    <col min="11275" max="11275" width="10.140625" style="14" customWidth="1"/>
    <col min="11276" max="11276" width="11.7109375" style="14" customWidth="1"/>
    <col min="11277" max="11277" width="11.42578125" style="14" customWidth="1"/>
    <col min="11278" max="11278" width="12.7109375" style="14" customWidth="1"/>
    <col min="11279" max="11279" width="11.42578125" style="14" customWidth="1"/>
    <col min="11280" max="11280" width="10.7109375" style="14" customWidth="1"/>
    <col min="11281" max="11281" width="10.5703125" style="14" customWidth="1"/>
    <col min="11282" max="11282" width="11.28515625" style="14" customWidth="1"/>
    <col min="11283" max="11283" width="9.7109375" style="14" customWidth="1"/>
    <col min="11284" max="11284" width="12" style="14" customWidth="1"/>
    <col min="11285" max="11285" width="11.28515625" style="14" customWidth="1"/>
    <col min="11286" max="11523" width="9.140625" style="14"/>
    <col min="11524" max="11524" width="5.7109375" style="14" customWidth="1"/>
    <col min="11525" max="11525" width="13.140625" style="14" customWidth="1"/>
    <col min="11526" max="11526" width="12.28515625" style="14" customWidth="1"/>
    <col min="11527" max="11527" width="8.85546875" style="14" customWidth="1"/>
    <col min="11528" max="11528" width="10.85546875" style="14" customWidth="1"/>
    <col min="11529" max="11529" width="2.85546875" style="14" customWidth="1"/>
    <col min="11530" max="11530" width="12.140625" style="14" customWidth="1"/>
    <col min="11531" max="11531" width="10.140625" style="14" customWidth="1"/>
    <col min="11532" max="11532" width="11.7109375" style="14" customWidth="1"/>
    <col min="11533" max="11533" width="11.42578125" style="14" customWidth="1"/>
    <col min="11534" max="11534" width="12.7109375" style="14" customWidth="1"/>
    <col min="11535" max="11535" width="11.42578125" style="14" customWidth="1"/>
    <col min="11536" max="11536" width="10.7109375" style="14" customWidth="1"/>
    <col min="11537" max="11537" width="10.5703125" style="14" customWidth="1"/>
    <col min="11538" max="11538" width="11.28515625" style="14" customWidth="1"/>
    <col min="11539" max="11539" width="9.7109375" style="14" customWidth="1"/>
    <col min="11540" max="11540" width="12" style="14" customWidth="1"/>
    <col min="11541" max="11541" width="11.28515625" style="14" customWidth="1"/>
    <col min="11542" max="11779" width="9.140625" style="14"/>
    <col min="11780" max="11780" width="5.7109375" style="14" customWidth="1"/>
    <col min="11781" max="11781" width="13.140625" style="14" customWidth="1"/>
    <col min="11782" max="11782" width="12.28515625" style="14" customWidth="1"/>
    <col min="11783" max="11783" width="8.85546875" style="14" customWidth="1"/>
    <col min="11784" max="11784" width="10.85546875" style="14" customWidth="1"/>
    <col min="11785" max="11785" width="2.85546875" style="14" customWidth="1"/>
    <col min="11786" max="11786" width="12.140625" style="14" customWidth="1"/>
    <col min="11787" max="11787" width="10.140625" style="14" customWidth="1"/>
    <col min="11788" max="11788" width="11.7109375" style="14" customWidth="1"/>
    <col min="11789" max="11789" width="11.42578125" style="14" customWidth="1"/>
    <col min="11790" max="11790" width="12.7109375" style="14" customWidth="1"/>
    <col min="11791" max="11791" width="11.42578125" style="14" customWidth="1"/>
    <col min="11792" max="11792" width="10.7109375" style="14" customWidth="1"/>
    <col min="11793" max="11793" width="10.5703125" style="14" customWidth="1"/>
    <col min="11794" max="11794" width="11.28515625" style="14" customWidth="1"/>
    <col min="11795" max="11795" width="9.7109375" style="14" customWidth="1"/>
    <col min="11796" max="11796" width="12" style="14" customWidth="1"/>
    <col min="11797" max="11797" width="11.28515625" style="14" customWidth="1"/>
    <col min="11798" max="12035" width="9.140625" style="14"/>
    <col min="12036" max="12036" width="5.7109375" style="14" customWidth="1"/>
    <col min="12037" max="12037" width="13.140625" style="14" customWidth="1"/>
    <col min="12038" max="12038" width="12.28515625" style="14" customWidth="1"/>
    <col min="12039" max="12039" width="8.85546875" style="14" customWidth="1"/>
    <col min="12040" max="12040" width="10.85546875" style="14" customWidth="1"/>
    <col min="12041" max="12041" width="2.85546875" style="14" customWidth="1"/>
    <col min="12042" max="12042" width="12.140625" style="14" customWidth="1"/>
    <col min="12043" max="12043" width="10.140625" style="14" customWidth="1"/>
    <col min="12044" max="12044" width="11.7109375" style="14" customWidth="1"/>
    <col min="12045" max="12045" width="11.42578125" style="14" customWidth="1"/>
    <col min="12046" max="12046" width="12.7109375" style="14" customWidth="1"/>
    <col min="12047" max="12047" width="11.42578125" style="14" customWidth="1"/>
    <col min="12048" max="12048" width="10.7109375" style="14" customWidth="1"/>
    <col min="12049" max="12049" width="10.5703125" style="14" customWidth="1"/>
    <col min="12050" max="12050" width="11.28515625" style="14" customWidth="1"/>
    <col min="12051" max="12051" width="9.7109375" style="14" customWidth="1"/>
    <col min="12052" max="12052" width="12" style="14" customWidth="1"/>
    <col min="12053" max="12053" width="11.28515625" style="14" customWidth="1"/>
    <col min="12054" max="12291" width="9.140625" style="14"/>
    <col min="12292" max="12292" width="5.7109375" style="14" customWidth="1"/>
    <col min="12293" max="12293" width="13.140625" style="14" customWidth="1"/>
    <col min="12294" max="12294" width="12.28515625" style="14" customWidth="1"/>
    <col min="12295" max="12295" width="8.85546875" style="14" customWidth="1"/>
    <col min="12296" max="12296" width="10.85546875" style="14" customWidth="1"/>
    <col min="12297" max="12297" width="2.85546875" style="14" customWidth="1"/>
    <col min="12298" max="12298" width="12.140625" style="14" customWidth="1"/>
    <col min="12299" max="12299" width="10.140625" style="14" customWidth="1"/>
    <col min="12300" max="12300" width="11.7109375" style="14" customWidth="1"/>
    <col min="12301" max="12301" width="11.42578125" style="14" customWidth="1"/>
    <col min="12302" max="12302" width="12.7109375" style="14" customWidth="1"/>
    <col min="12303" max="12303" width="11.42578125" style="14" customWidth="1"/>
    <col min="12304" max="12304" width="10.7109375" style="14" customWidth="1"/>
    <col min="12305" max="12305" width="10.5703125" style="14" customWidth="1"/>
    <col min="12306" max="12306" width="11.28515625" style="14" customWidth="1"/>
    <col min="12307" max="12307" width="9.7109375" style="14" customWidth="1"/>
    <col min="12308" max="12308" width="12" style="14" customWidth="1"/>
    <col min="12309" max="12309" width="11.28515625" style="14" customWidth="1"/>
    <col min="12310" max="12547" width="9.140625" style="14"/>
    <col min="12548" max="12548" width="5.7109375" style="14" customWidth="1"/>
    <col min="12549" max="12549" width="13.140625" style="14" customWidth="1"/>
    <col min="12550" max="12550" width="12.28515625" style="14" customWidth="1"/>
    <col min="12551" max="12551" width="8.85546875" style="14" customWidth="1"/>
    <col min="12552" max="12552" width="10.85546875" style="14" customWidth="1"/>
    <col min="12553" max="12553" width="2.85546875" style="14" customWidth="1"/>
    <col min="12554" max="12554" width="12.140625" style="14" customWidth="1"/>
    <col min="12555" max="12555" width="10.140625" style="14" customWidth="1"/>
    <col min="12556" max="12556" width="11.7109375" style="14" customWidth="1"/>
    <col min="12557" max="12557" width="11.42578125" style="14" customWidth="1"/>
    <col min="12558" max="12558" width="12.7109375" style="14" customWidth="1"/>
    <col min="12559" max="12559" width="11.42578125" style="14" customWidth="1"/>
    <col min="12560" max="12560" width="10.7109375" style="14" customWidth="1"/>
    <col min="12561" max="12561" width="10.5703125" style="14" customWidth="1"/>
    <col min="12562" max="12562" width="11.28515625" style="14" customWidth="1"/>
    <col min="12563" max="12563" width="9.7109375" style="14" customWidth="1"/>
    <col min="12564" max="12564" width="12" style="14" customWidth="1"/>
    <col min="12565" max="12565" width="11.28515625" style="14" customWidth="1"/>
    <col min="12566" max="12803" width="9.140625" style="14"/>
    <col min="12804" max="12804" width="5.7109375" style="14" customWidth="1"/>
    <col min="12805" max="12805" width="13.140625" style="14" customWidth="1"/>
    <col min="12806" max="12806" width="12.28515625" style="14" customWidth="1"/>
    <col min="12807" max="12807" width="8.85546875" style="14" customWidth="1"/>
    <col min="12808" max="12808" width="10.85546875" style="14" customWidth="1"/>
    <col min="12809" max="12809" width="2.85546875" style="14" customWidth="1"/>
    <col min="12810" max="12810" width="12.140625" style="14" customWidth="1"/>
    <col min="12811" max="12811" width="10.140625" style="14" customWidth="1"/>
    <col min="12812" max="12812" width="11.7109375" style="14" customWidth="1"/>
    <col min="12813" max="12813" width="11.42578125" style="14" customWidth="1"/>
    <col min="12814" max="12814" width="12.7109375" style="14" customWidth="1"/>
    <col min="12815" max="12815" width="11.42578125" style="14" customWidth="1"/>
    <col min="12816" max="12816" width="10.7109375" style="14" customWidth="1"/>
    <col min="12817" max="12817" width="10.5703125" style="14" customWidth="1"/>
    <col min="12818" max="12818" width="11.28515625" style="14" customWidth="1"/>
    <col min="12819" max="12819" width="9.7109375" style="14" customWidth="1"/>
    <col min="12820" max="12820" width="12" style="14" customWidth="1"/>
    <col min="12821" max="12821" width="11.28515625" style="14" customWidth="1"/>
    <col min="12822" max="13059" width="9.140625" style="14"/>
    <col min="13060" max="13060" width="5.7109375" style="14" customWidth="1"/>
    <col min="13061" max="13061" width="13.140625" style="14" customWidth="1"/>
    <col min="13062" max="13062" width="12.28515625" style="14" customWidth="1"/>
    <col min="13063" max="13063" width="8.85546875" style="14" customWidth="1"/>
    <col min="13064" max="13064" width="10.85546875" style="14" customWidth="1"/>
    <col min="13065" max="13065" width="2.85546875" style="14" customWidth="1"/>
    <col min="13066" max="13066" width="12.140625" style="14" customWidth="1"/>
    <col min="13067" max="13067" width="10.140625" style="14" customWidth="1"/>
    <col min="13068" max="13068" width="11.7109375" style="14" customWidth="1"/>
    <col min="13069" max="13069" width="11.42578125" style="14" customWidth="1"/>
    <col min="13070" max="13070" width="12.7109375" style="14" customWidth="1"/>
    <col min="13071" max="13071" width="11.42578125" style="14" customWidth="1"/>
    <col min="13072" max="13072" width="10.7109375" style="14" customWidth="1"/>
    <col min="13073" max="13073" width="10.5703125" style="14" customWidth="1"/>
    <col min="13074" max="13074" width="11.28515625" style="14" customWidth="1"/>
    <col min="13075" max="13075" width="9.7109375" style="14" customWidth="1"/>
    <col min="13076" max="13076" width="12" style="14" customWidth="1"/>
    <col min="13077" max="13077" width="11.28515625" style="14" customWidth="1"/>
    <col min="13078" max="13315" width="9.140625" style="14"/>
    <col min="13316" max="13316" width="5.7109375" style="14" customWidth="1"/>
    <col min="13317" max="13317" width="13.140625" style="14" customWidth="1"/>
    <col min="13318" max="13318" width="12.28515625" style="14" customWidth="1"/>
    <col min="13319" max="13319" width="8.85546875" style="14" customWidth="1"/>
    <col min="13320" max="13320" width="10.85546875" style="14" customWidth="1"/>
    <col min="13321" max="13321" width="2.85546875" style="14" customWidth="1"/>
    <col min="13322" max="13322" width="12.140625" style="14" customWidth="1"/>
    <col min="13323" max="13323" width="10.140625" style="14" customWidth="1"/>
    <col min="13324" max="13324" width="11.7109375" style="14" customWidth="1"/>
    <col min="13325" max="13325" width="11.42578125" style="14" customWidth="1"/>
    <col min="13326" max="13326" width="12.7109375" style="14" customWidth="1"/>
    <col min="13327" max="13327" width="11.42578125" style="14" customWidth="1"/>
    <col min="13328" max="13328" width="10.7109375" style="14" customWidth="1"/>
    <col min="13329" max="13329" width="10.5703125" style="14" customWidth="1"/>
    <col min="13330" max="13330" width="11.28515625" style="14" customWidth="1"/>
    <col min="13331" max="13331" width="9.7109375" style="14" customWidth="1"/>
    <col min="13332" max="13332" width="12" style="14" customWidth="1"/>
    <col min="13333" max="13333" width="11.28515625" style="14" customWidth="1"/>
    <col min="13334" max="13571" width="9.140625" style="14"/>
    <col min="13572" max="13572" width="5.7109375" style="14" customWidth="1"/>
    <col min="13573" max="13573" width="13.140625" style="14" customWidth="1"/>
    <col min="13574" max="13574" width="12.28515625" style="14" customWidth="1"/>
    <col min="13575" max="13575" width="8.85546875" style="14" customWidth="1"/>
    <col min="13576" max="13576" width="10.85546875" style="14" customWidth="1"/>
    <col min="13577" max="13577" width="2.85546875" style="14" customWidth="1"/>
    <col min="13578" max="13578" width="12.140625" style="14" customWidth="1"/>
    <col min="13579" max="13579" width="10.140625" style="14" customWidth="1"/>
    <col min="13580" max="13580" width="11.7109375" style="14" customWidth="1"/>
    <col min="13581" max="13581" width="11.42578125" style="14" customWidth="1"/>
    <col min="13582" max="13582" width="12.7109375" style="14" customWidth="1"/>
    <col min="13583" max="13583" width="11.42578125" style="14" customWidth="1"/>
    <col min="13584" max="13584" width="10.7109375" style="14" customWidth="1"/>
    <col min="13585" max="13585" width="10.5703125" style="14" customWidth="1"/>
    <col min="13586" max="13586" width="11.28515625" style="14" customWidth="1"/>
    <col min="13587" max="13587" width="9.7109375" style="14" customWidth="1"/>
    <col min="13588" max="13588" width="12" style="14" customWidth="1"/>
    <col min="13589" max="13589" width="11.28515625" style="14" customWidth="1"/>
    <col min="13590" max="13827" width="9.140625" style="14"/>
    <col min="13828" max="13828" width="5.7109375" style="14" customWidth="1"/>
    <col min="13829" max="13829" width="13.140625" style="14" customWidth="1"/>
    <col min="13830" max="13830" width="12.28515625" style="14" customWidth="1"/>
    <col min="13831" max="13831" width="8.85546875" style="14" customWidth="1"/>
    <col min="13832" max="13832" width="10.85546875" style="14" customWidth="1"/>
    <col min="13833" max="13833" width="2.85546875" style="14" customWidth="1"/>
    <col min="13834" max="13834" width="12.140625" style="14" customWidth="1"/>
    <col min="13835" max="13835" width="10.140625" style="14" customWidth="1"/>
    <col min="13836" max="13836" width="11.7109375" style="14" customWidth="1"/>
    <col min="13837" max="13837" width="11.42578125" style="14" customWidth="1"/>
    <col min="13838" max="13838" width="12.7109375" style="14" customWidth="1"/>
    <col min="13839" max="13839" width="11.42578125" style="14" customWidth="1"/>
    <col min="13840" max="13840" width="10.7109375" style="14" customWidth="1"/>
    <col min="13841" max="13841" width="10.5703125" style="14" customWidth="1"/>
    <col min="13842" max="13842" width="11.28515625" style="14" customWidth="1"/>
    <col min="13843" max="13843" width="9.7109375" style="14" customWidth="1"/>
    <col min="13844" max="13844" width="12" style="14" customWidth="1"/>
    <col min="13845" max="13845" width="11.28515625" style="14" customWidth="1"/>
    <col min="13846" max="14083" width="9.140625" style="14"/>
    <col min="14084" max="14084" width="5.7109375" style="14" customWidth="1"/>
    <col min="14085" max="14085" width="13.140625" style="14" customWidth="1"/>
    <col min="14086" max="14086" width="12.28515625" style="14" customWidth="1"/>
    <col min="14087" max="14087" width="8.85546875" style="14" customWidth="1"/>
    <col min="14088" max="14088" width="10.85546875" style="14" customWidth="1"/>
    <col min="14089" max="14089" width="2.85546875" style="14" customWidth="1"/>
    <col min="14090" max="14090" width="12.140625" style="14" customWidth="1"/>
    <col min="14091" max="14091" width="10.140625" style="14" customWidth="1"/>
    <col min="14092" max="14092" width="11.7109375" style="14" customWidth="1"/>
    <col min="14093" max="14093" width="11.42578125" style="14" customWidth="1"/>
    <col min="14094" max="14094" width="12.7109375" style="14" customWidth="1"/>
    <col min="14095" max="14095" width="11.42578125" style="14" customWidth="1"/>
    <col min="14096" max="14096" width="10.7109375" style="14" customWidth="1"/>
    <col min="14097" max="14097" width="10.5703125" style="14" customWidth="1"/>
    <col min="14098" max="14098" width="11.28515625" style="14" customWidth="1"/>
    <col min="14099" max="14099" width="9.7109375" style="14" customWidth="1"/>
    <col min="14100" max="14100" width="12" style="14" customWidth="1"/>
    <col min="14101" max="14101" width="11.28515625" style="14" customWidth="1"/>
    <col min="14102" max="14339" width="9.140625" style="14"/>
    <col min="14340" max="14340" width="5.7109375" style="14" customWidth="1"/>
    <col min="14341" max="14341" width="13.140625" style="14" customWidth="1"/>
    <col min="14342" max="14342" width="12.28515625" style="14" customWidth="1"/>
    <col min="14343" max="14343" width="8.85546875" style="14" customWidth="1"/>
    <col min="14344" max="14344" width="10.85546875" style="14" customWidth="1"/>
    <col min="14345" max="14345" width="2.85546875" style="14" customWidth="1"/>
    <col min="14346" max="14346" width="12.140625" style="14" customWidth="1"/>
    <col min="14347" max="14347" width="10.140625" style="14" customWidth="1"/>
    <col min="14348" max="14348" width="11.7109375" style="14" customWidth="1"/>
    <col min="14349" max="14349" width="11.42578125" style="14" customWidth="1"/>
    <col min="14350" max="14350" width="12.7109375" style="14" customWidth="1"/>
    <col min="14351" max="14351" width="11.42578125" style="14" customWidth="1"/>
    <col min="14352" max="14352" width="10.7109375" style="14" customWidth="1"/>
    <col min="14353" max="14353" width="10.5703125" style="14" customWidth="1"/>
    <col min="14354" max="14354" width="11.28515625" style="14" customWidth="1"/>
    <col min="14355" max="14355" width="9.7109375" style="14" customWidth="1"/>
    <col min="14356" max="14356" width="12" style="14" customWidth="1"/>
    <col min="14357" max="14357" width="11.28515625" style="14" customWidth="1"/>
    <col min="14358" max="14595" width="9.140625" style="14"/>
    <col min="14596" max="14596" width="5.7109375" style="14" customWidth="1"/>
    <col min="14597" max="14597" width="13.140625" style="14" customWidth="1"/>
    <col min="14598" max="14598" width="12.28515625" style="14" customWidth="1"/>
    <col min="14599" max="14599" width="8.85546875" style="14" customWidth="1"/>
    <col min="14600" max="14600" width="10.85546875" style="14" customWidth="1"/>
    <col min="14601" max="14601" width="2.85546875" style="14" customWidth="1"/>
    <col min="14602" max="14602" width="12.140625" style="14" customWidth="1"/>
    <col min="14603" max="14603" width="10.140625" style="14" customWidth="1"/>
    <col min="14604" max="14604" width="11.7109375" style="14" customWidth="1"/>
    <col min="14605" max="14605" width="11.42578125" style="14" customWidth="1"/>
    <col min="14606" max="14606" width="12.7109375" style="14" customWidth="1"/>
    <col min="14607" max="14607" width="11.42578125" style="14" customWidth="1"/>
    <col min="14608" max="14608" width="10.7109375" style="14" customWidth="1"/>
    <col min="14609" max="14609" width="10.5703125" style="14" customWidth="1"/>
    <col min="14610" max="14610" width="11.28515625" style="14" customWidth="1"/>
    <col min="14611" max="14611" width="9.7109375" style="14" customWidth="1"/>
    <col min="14612" max="14612" width="12" style="14" customWidth="1"/>
    <col min="14613" max="14613" width="11.28515625" style="14" customWidth="1"/>
    <col min="14614" max="14851" width="9.140625" style="14"/>
    <col min="14852" max="14852" width="5.7109375" style="14" customWidth="1"/>
    <col min="14853" max="14853" width="13.140625" style="14" customWidth="1"/>
    <col min="14854" max="14854" width="12.28515625" style="14" customWidth="1"/>
    <col min="14855" max="14855" width="8.85546875" style="14" customWidth="1"/>
    <col min="14856" max="14856" width="10.85546875" style="14" customWidth="1"/>
    <col min="14857" max="14857" width="2.85546875" style="14" customWidth="1"/>
    <col min="14858" max="14858" width="12.140625" style="14" customWidth="1"/>
    <col min="14859" max="14859" width="10.140625" style="14" customWidth="1"/>
    <col min="14860" max="14860" width="11.7109375" style="14" customWidth="1"/>
    <col min="14861" max="14861" width="11.42578125" style="14" customWidth="1"/>
    <col min="14862" max="14862" width="12.7109375" style="14" customWidth="1"/>
    <col min="14863" max="14863" width="11.42578125" style="14" customWidth="1"/>
    <col min="14864" max="14864" width="10.7109375" style="14" customWidth="1"/>
    <col min="14865" max="14865" width="10.5703125" style="14" customWidth="1"/>
    <col min="14866" max="14866" width="11.28515625" style="14" customWidth="1"/>
    <col min="14867" max="14867" width="9.7109375" style="14" customWidth="1"/>
    <col min="14868" max="14868" width="12" style="14" customWidth="1"/>
    <col min="14869" max="14869" width="11.28515625" style="14" customWidth="1"/>
    <col min="14870" max="15107" width="9.140625" style="14"/>
    <col min="15108" max="15108" width="5.7109375" style="14" customWidth="1"/>
    <col min="15109" max="15109" width="13.140625" style="14" customWidth="1"/>
    <col min="15110" max="15110" width="12.28515625" style="14" customWidth="1"/>
    <col min="15111" max="15111" width="8.85546875" style="14" customWidth="1"/>
    <col min="15112" max="15112" width="10.85546875" style="14" customWidth="1"/>
    <col min="15113" max="15113" width="2.85546875" style="14" customWidth="1"/>
    <col min="15114" max="15114" width="12.140625" style="14" customWidth="1"/>
    <col min="15115" max="15115" width="10.140625" style="14" customWidth="1"/>
    <col min="15116" max="15116" width="11.7109375" style="14" customWidth="1"/>
    <col min="15117" max="15117" width="11.42578125" style="14" customWidth="1"/>
    <col min="15118" max="15118" width="12.7109375" style="14" customWidth="1"/>
    <col min="15119" max="15119" width="11.42578125" style="14" customWidth="1"/>
    <col min="15120" max="15120" width="10.7109375" style="14" customWidth="1"/>
    <col min="15121" max="15121" width="10.5703125" style="14" customWidth="1"/>
    <col min="15122" max="15122" width="11.28515625" style="14" customWidth="1"/>
    <col min="15123" max="15123" width="9.7109375" style="14" customWidth="1"/>
    <col min="15124" max="15124" width="12" style="14" customWidth="1"/>
    <col min="15125" max="15125" width="11.28515625" style="14" customWidth="1"/>
    <col min="15126" max="15363" width="9.140625" style="14"/>
    <col min="15364" max="15364" width="5.7109375" style="14" customWidth="1"/>
    <col min="15365" max="15365" width="13.140625" style="14" customWidth="1"/>
    <col min="15366" max="15366" width="12.28515625" style="14" customWidth="1"/>
    <col min="15367" max="15367" width="8.85546875" style="14" customWidth="1"/>
    <col min="15368" max="15368" width="10.85546875" style="14" customWidth="1"/>
    <col min="15369" max="15369" width="2.85546875" style="14" customWidth="1"/>
    <col min="15370" max="15370" width="12.140625" style="14" customWidth="1"/>
    <col min="15371" max="15371" width="10.140625" style="14" customWidth="1"/>
    <col min="15372" max="15372" width="11.7109375" style="14" customWidth="1"/>
    <col min="15373" max="15373" width="11.42578125" style="14" customWidth="1"/>
    <col min="15374" max="15374" width="12.7109375" style="14" customWidth="1"/>
    <col min="15375" max="15375" width="11.42578125" style="14" customWidth="1"/>
    <col min="15376" max="15376" width="10.7109375" style="14" customWidth="1"/>
    <col min="15377" max="15377" width="10.5703125" style="14" customWidth="1"/>
    <col min="15378" max="15378" width="11.28515625" style="14" customWidth="1"/>
    <col min="15379" max="15379" width="9.7109375" style="14" customWidth="1"/>
    <col min="15380" max="15380" width="12" style="14" customWidth="1"/>
    <col min="15381" max="15381" width="11.28515625" style="14" customWidth="1"/>
    <col min="15382" max="15619" width="9.140625" style="14"/>
    <col min="15620" max="15620" width="5.7109375" style="14" customWidth="1"/>
    <col min="15621" max="15621" width="13.140625" style="14" customWidth="1"/>
    <col min="15622" max="15622" width="12.28515625" style="14" customWidth="1"/>
    <col min="15623" max="15623" width="8.85546875" style="14" customWidth="1"/>
    <col min="15624" max="15624" width="10.85546875" style="14" customWidth="1"/>
    <col min="15625" max="15625" width="2.85546875" style="14" customWidth="1"/>
    <col min="15626" max="15626" width="12.140625" style="14" customWidth="1"/>
    <col min="15627" max="15627" width="10.140625" style="14" customWidth="1"/>
    <col min="15628" max="15628" width="11.7109375" style="14" customWidth="1"/>
    <col min="15629" max="15629" width="11.42578125" style="14" customWidth="1"/>
    <col min="15630" max="15630" width="12.7109375" style="14" customWidth="1"/>
    <col min="15631" max="15631" width="11.42578125" style="14" customWidth="1"/>
    <col min="15632" max="15632" width="10.7109375" style="14" customWidth="1"/>
    <col min="15633" max="15633" width="10.5703125" style="14" customWidth="1"/>
    <col min="15634" max="15634" width="11.28515625" style="14" customWidth="1"/>
    <col min="15635" max="15635" width="9.7109375" style="14" customWidth="1"/>
    <col min="15636" max="15636" width="12" style="14" customWidth="1"/>
    <col min="15637" max="15637" width="11.28515625" style="14" customWidth="1"/>
    <col min="15638" max="15875" width="9.140625" style="14"/>
    <col min="15876" max="15876" width="5.7109375" style="14" customWidth="1"/>
    <col min="15877" max="15877" width="13.140625" style="14" customWidth="1"/>
    <col min="15878" max="15878" width="12.28515625" style="14" customWidth="1"/>
    <col min="15879" max="15879" width="8.85546875" style="14" customWidth="1"/>
    <col min="15880" max="15880" width="10.85546875" style="14" customWidth="1"/>
    <col min="15881" max="15881" width="2.85546875" style="14" customWidth="1"/>
    <col min="15882" max="15882" width="12.140625" style="14" customWidth="1"/>
    <col min="15883" max="15883" width="10.140625" style="14" customWidth="1"/>
    <col min="15884" max="15884" width="11.7109375" style="14" customWidth="1"/>
    <col min="15885" max="15885" width="11.42578125" style="14" customWidth="1"/>
    <col min="15886" max="15886" width="12.7109375" style="14" customWidth="1"/>
    <col min="15887" max="15887" width="11.42578125" style="14" customWidth="1"/>
    <col min="15888" max="15888" width="10.7109375" style="14" customWidth="1"/>
    <col min="15889" max="15889" width="10.5703125" style="14" customWidth="1"/>
    <col min="15890" max="15890" width="11.28515625" style="14" customWidth="1"/>
    <col min="15891" max="15891" width="9.7109375" style="14" customWidth="1"/>
    <col min="15892" max="15892" width="12" style="14" customWidth="1"/>
    <col min="15893" max="15893" width="11.28515625" style="14" customWidth="1"/>
    <col min="15894" max="16131" width="9.140625" style="14"/>
    <col min="16132" max="16132" width="5.7109375" style="14" customWidth="1"/>
    <col min="16133" max="16133" width="13.140625" style="14" customWidth="1"/>
    <col min="16134" max="16134" width="12.28515625" style="14" customWidth="1"/>
    <col min="16135" max="16135" width="8.85546875" style="14" customWidth="1"/>
    <col min="16136" max="16136" width="10.85546875" style="14" customWidth="1"/>
    <col min="16137" max="16137" width="2.85546875" style="14" customWidth="1"/>
    <col min="16138" max="16138" width="12.140625" style="14" customWidth="1"/>
    <col min="16139" max="16139" width="10.140625" style="14" customWidth="1"/>
    <col min="16140" max="16140" width="11.7109375" style="14" customWidth="1"/>
    <col min="16141" max="16141" width="11.42578125" style="14" customWidth="1"/>
    <col min="16142" max="16142" width="12.7109375" style="14" customWidth="1"/>
    <col min="16143" max="16143" width="11.42578125" style="14" customWidth="1"/>
    <col min="16144" max="16144" width="10.7109375" style="14" customWidth="1"/>
    <col min="16145" max="16145" width="10.5703125" style="14" customWidth="1"/>
    <col min="16146" max="16146" width="11.28515625" style="14" customWidth="1"/>
    <col min="16147" max="16147" width="9.7109375" style="14" customWidth="1"/>
    <col min="16148" max="16148" width="12" style="14" customWidth="1"/>
    <col min="16149" max="16149" width="11.28515625" style="14" customWidth="1"/>
    <col min="16150" max="16384" width="9.140625" style="14"/>
  </cols>
  <sheetData>
    <row r="1" spans="4:26" ht="12.75" thickBot="1" x14ac:dyDescent="0.25"/>
    <row r="2" spans="4:26" ht="12" customHeight="1" thickBot="1" x14ac:dyDescent="0.25">
      <c r="Q2" s="633" t="s">
        <v>0</v>
      </c>
      <c r="R2" s="634"/>
      <c r="S2" s="635"/>
    </row>
    <row r="3" spans="4:26" ht="13.5" thickBot="1" x14ac:dyDescent="0.25">
      <c r="I3" s="636" t="s">
        <v>1</v>
      </c>
      <c r="J3" s="637"/>
      <c r="K3" s="637"/>
      <c r="L3" s="637"/>
      <c r="M3" s="637"/>
      <c r="N3" s="637"/>
      <c r="O3" s="638"/>
      <c r="Q3" s="611">
        <f>+'AGUILAR ESQUIVEL CARLOS'!Q3:S3</f>
        <v>45</v>
      </c>
      <c r="R3" s="639"/>
      <c r="S3" s="612"/>
    </row>
    <row r="4" spans="4:26" ht="13.5" thickBot="1" x14ac:dyDescent="0.25">
      <c r="I4" s="640" t="s">
        <v>2</v>
      </c>
      <c r="J4" s="641"/>
      <c r="K4" s="641"/>
      <c r="L4" s="641"/>
      <c r="M4" s="641"/>
      <c r="N4" s="641"/>
      <c r="O4" s="642"/>
      <c r="Q4" s="18"/>
      <c r="R4" s="18"/>
      <c r="S4" s="18"/>
    </row>
    <row r="5" spans="4:26" ht="13.5" thickBot="1" x14ac:dyDescent="0.25">
      <c r="I5" s="643" t="s">
        <v>3</v>
      </c>
      <c r="J5" s="644"/>
      <c r="K5" s="644"/>
      <c r="L5" s="644"/>
      <c r="M5" s="644"/>
      <c r="N5" s="644"/>
      <c r="O5" s="645"/>
      <c r="Q5" s="611" t="s">
        <v>4</v>
      </c>
      <c r="R5" s="639"/>
      <c r="S5" s="612"/>
    </row>
    <row r="6" spans="4:26" ht="13.5" thickBot="1" x14ac:dyDescent="0.25">
      <c r="I6" s="650" t="s">
        <v>5</v>
      </c>
      <c r="J6" s="651"/>
      <c r="K6" s="651"/>
      <c r="L6" s="651"/>
      <c r="M6" s="651"/>
      <c r="N6" s="651"/>
      <c r="O6" s="652"/>
      <c r="Q6" s="653">
        <f>+'AGUILAR ESQUIVEL CARLOS'!Q6+1</f>
        <v>101</v>
      </c>
      <c r="R6" s="654"/>
      <c r="S6" s="655"/>
    </row>
    <row r="7" spans="4:26" ht="9" customHeight="1" x14ac:dyDescent="0.2"/>
    <row r="8" spans="4:26" ht="6.75" customHeight="1" thickBot="1" x14ac:dyDescent="0.25">
      <c r="T8" s="14" t="s">
        <v>181</v>
      </c>
    </row>
    <row r="9" spans="4:26" ht="13.5" thickBot="1" x14ac:dyDescent="0.25">
      <c r="I9" s="611" t="s">
        <v>6</v>
      </c>
      <c r="J9" s="639"/>
      <c r="K9" s="639"/>
      <c r="L9" s="639"/>
      <c r="M9" s="639"/>
      <c r="N9" s="639"/>
      <c r="O9" s="612"/>
    </row>
    <row r="10" spans="4:26" ht="11.25" customHeight="1" thickBot="1" x14ac:dyDescent="0.25">
      <c r="Z10" s="298"/>
    </row>
    <row r="11" spans="4:26" ht="12.75" x14ac:dyDescent="0.2">
      <c r="D11" s="1" t="s">
        <v>7</v>
      </c>
      <c r="E11" s="2" t="s">
        <v>53</v>
      </c>
      <c r="F11" s="2"/>
      <c r="G11" s="2"/>
      <c r="H11" s="2"/>
      <c r="I11" s="2"/>
      <c r="J11" s="2"/>
      <c r="K11" s="3" t="s">
        <v>8</v>
      </c>
      <c r="L11" s="656" t="str">
        <f>'REYES LARA DANTE'!L11</f>
        <v>SEMANA #45 PERIODO DEL 27 de oct AL 02 de nov DEL 2025</v>
      </c>
      <c r="M11" s="656"/>
      <c r="N11" s="656"/>
      <c r="O11" s="656"/>
      <c r="P11" s="656"/>
      <c r="Q11" s="656"/>
      <c r="R11" s="656"/>
      <c r="S11" s="659"/>
      <c r="Z11" s="298"/>
    </row>
    <row r="12" spans="4:26" ht="12.75" x14ac:dyDescent="0.2">
      <c r="D12" s="4" t="s">
        <v>9</v>
      </c>
      <c r="E12" s="624" t="s">
        <v>342</v>
      </c>
      <c r="F12" s="624"/>
      <c r="G12" s="5"/>
      <c r="H12" s="130"/>
      <c r="I12" s="130"/>
      <c r="J12" s="130"/>
      <c r="K12" s="130"/>
      <c r="L12" s="130"/>
      <c r="M12" s="130"/>
      <c r="N12" s="130"/>
      <c r="O12" s="130"/>
      <c r="P12" s="130"/>
      <c r="Q12" s="130"/>
      <c r="R12" s="130"/>
      <c r="S12" s="256"/>
    </row>
    <row r="13" spans="4:26" ht="9.75" customHeight="1" x14ac:dyDescent="0.2">
      <c r="D13" s="623"/>
      <c r="E13" s="624"/>
      <c r="F13" s="130"/>
      <c r="G13" s="130"/>
      <c r="H13" s="130"/>
      <c r="I13" s="130"/>
      <c r="J13" s="130"/>
      <c r="K13" s="130"/>
      <c r="L13" s="130"/>
      <c r="M13" s="130"/>
      <c r="N13" s="130"/>
      <c r="O13" s="130"/>
      <c r="P13" s="130"/>
      <c r="Q13" s="130"/>
      <c r="R13" s="130"/>
      <c r="S13" s="256"/>
    </row>
    <row r="14" spans="4:26" ht="12.75" x14ac:dyDescent="0.2">
      <c r="D14" s="625" t="s">
        <v>10</v>
      </c>
      <c r="E14" s="626"/>
      <c r="F14" s="130">
        <v>167918</v>
      </c>
      <c r="G14" s="130"/>
      <c r="H14" s="130"/>
      <c r="I14" s="6" t="s">
        <v>11</v>
      </c>
      <c r="J14" s="6"/>
      <c r="K14" s="130"/>
      <c r="L14" s="130"/>
      <c r="M14" s="130"/>
      <c r="N14" s="130"/>
      <c r="O14" s="6" t="s">
        <v>12</v>
      </c>
      <c r="P14" s="7"/>
      <c r="Q14" s="7"/>
      <c r="R14" s="7"/>
      <c r="S14" s="8"/>
    </row>
    <row r="15" spans="4:26" ht="12.75" x14ac:dyDescent="0.2">
      <c r="D15" s="625" t="s">
        <v>13</v>
      </c>
      <c r="E15" s="626"/>
      <c r="F15" s="130">
        <v>168634</v>
      </c>
      <c r="G15" s="130"/>
      <c r="H15" s="130"/>
      <c r="I15" s="6" t="s">
        <v>14</v>
      </c>
      <c r="J15" s="6"/>
      <c r="K15" s="130"/>
      <c r="L15" s="130"/>
      <c r="M15" s="130"/>
      <c r="N15" s="130"/>
      <c r="O15" s="6" t="s">
        <v>15</v>
      </c>
      <c r="P15" s="130"/>
      <c r="Q15" s="130"/>
      <c r="R15" s="130"/>
      <c r="S15" s="256"/>
    </row>
    <row r="16" spans="4:26" ht="13.5" thickBot="1" x14ac:dyDescent="0.25">
      <c r="D16" s="627" t="s">
        <v>16</v>
      </c>
      <c r="E16" s="628"/>
      <c r="F16" s="257">
        <f>SUM(J19:J32)</f>
        <v>3000</v>
      </c>
      <c r="G16" s="257"/>
      <c r="H16" s="257"/>
      <c r="I16" s="9" t="s">
        <v>17</v>
      </c>
      <c r="J16" s="257">
        <f>SUM(K19:K32)</f>
        <v>834.84</v>
      </c>
      <c r="K16" s="257"/>
      <c r="L16" s="257"/>
      <c r="M16" s="257"/>
      <c r="N16" s="257"/>
      <c r="O16" s="9" t="s">
        <v>18</v>
      </c>
      <c r="P16" s="10">
        <f>+F16/J16</f>
        <v>3.593502946672416</v>
      </c>
      <c r="Q16" s="257"/>
      <c r="R16" s="257"/>
      <c r="S16" s="258"/>
    </row>
    <row r="17" spans="2:22" ht="7.5" customHeight="1" thickBot="1" x14ac:dyDescent="0.25"/>
    <row r="18" spans="2:22" ht="33" customHeight="1" thickBot="1" x14ac:dyDescent="0.25">
      <c r="C18" s="243" t="s">
        <v>19</v>
      </c>
      <c r="D18" s="33" t="s">
        <v>20</v>
      </c>
      <c r="E18" s="34" t="s">
        <v>21</v>
      </c>
      <c r="F18" s="34" t="s">
        <v>22</v>
      </c>
      <c r="G18" s="34" t="s">
        <v>23</v>
      </c>
      <c r="H18" s="34" t="s">
        <v>24</v>
      </c>
      <c r="I18" s="34" t="s">
        <v>25</v>
      </c>
      <c r="J18" s="34" t="s">
        <v>26</v>
      </c>
      <c r="K18" s="34" t="s">
        <v>27</v>
      </c>
      <c r="L18" s="34" t="s">
        <v>28</v>
      </c>
      <c r="M18" s="34" t="s">
        <v>285</v>
      </c>
      <c r="N18" s="34" t="s">
        <v>29</v>
      </c>
      <c r="O18" s="34" t="s">
        <v>30</v>
      </c>
      <c r="P18" s="33" t="s">
        <v>31</v>
      </c>
      <c r="Q18" s="34" t="s">
        <v>219</v>
      </c>
      <c r="R18" s="34" t="s">
        <v>184</v>
      </c>
      <c r="S18" s="34" t="s">
        <v>33</v>
      </c>
      <c r="T18" s="454" t="s">
        <v>220</v>
      </c>
      <c r="U18" s="448" t="s">
        <v>351</v>
      </c>
      <c r="V18" s="305" t="s">
        <v>354</v>
      </c>
    </row>
    <row r="19" spans="2:22" x14ac:dyDescent="0.2">
      <c r="C19" s="176">
        <v>46405</v>
      </c>
      <c r="D19" s="43" t="s">
        <v>600</v>
      </c>
      <c r="E19" s="42">
        <v>45952</v>
      </c>
      <c r="F19" s="42">
        <v>45952</v>
      </c>
      <c r="G19" s="43">
        <v>2</v>
      </c>
      <c r="H19" s="236" t="str">
        <f>IF(G19=1,KILOMETRAJE!C$4,IF(G19=2,KILOMETRAJE!C$5,IF(G19=3,KILOMETRAJE!C$6,IF(G19=4,KILOMETRAJE!C$7,IF(G19=5,KILOMETRAJE!C$8,IF(G19=6,KILOMETRAJE!C$9,IF(G19=7,KILOMETRAJE!C$10,IF(G19=8,KILOMETRAJE!C$11,IF(G19=9,KILOMETRAJE!C$12,IF(G19=10,KILOMETRAJE!C$13,IF(G19=11,KILOMETRAJE!C$14,IF(G19=12,KILOMETRAJE!C$15,IF(G19=13,KILOMETRAJE!C$16,IF(G19=14,KILOMETRAJE!C$17,IF(G19=15,KILOMETRAJE!C$18,IF(G19=16,KILOMETRAJE!C$19,IF(G19=17,KILOMETRAJE!C$20,IF(G19=18,KILOMETRAJE!C$21,IF(G19=19,KILOMETRAJE!C$22,IF(G19=20,KILOMETRAJE!C$23,IF(G19=21,KILOMETRAJE!C$24,IF(G19=22,KILOMETRAJE!C$25,IF(G19=23,KILOMETRAJE!C$26,IF(G19=24,KILOMETRAJE!C$27,IF(G19=25,KILOMETRAJE!C$28,IF(G19=26,KILOMETRAJE!C$29,IF(G19=27,KILOMETRAJE!C$30,IF(G19=28,KILOMETRAJE!C$31,IF(G19=29,KILOMETRAJE!C$32,IF(G19=30,KILOMETRAJE!C$33,IF(G19=31,KILOMETRAJE!C$34,IF(G19=32,KILOMETRAJE!C$35,IF(G19=33,KILOMETRAJE!C$36,IF(G19=34,KILOMETRAJE!C$37,IF(G19=35,KILOMETRAJE!C$38,IF(G19=36,KILOMETRAJE!C$39,IF(G19=37,KILOMETRAJE!C$40,IF(G19=38,KILOMETRAJE!C$41,IF(G19=39,KILOMETRAJE!C$42,IF(G19=40,KILOMETRAJE!C$43,IF(G19=41,KILOMETRAJE!C$44,IF(G19=42,KILOMETRAJE!C$45,IF(G19=43,KILOMETRAJE!C$46,IF(G19=44,KILOMETRAJE!C$47,IF(G19=45,KILOMETRAJE!C$48,IF(G19=46,KILOMETRAJE!C$49,IF(G19=47,KILOMETRAJE!C$50,IF(G19=48,KILOMETRAJE!C$51,IF(G19=49,KILOMETRAJE!C$52,IF(G19=50,KILOMETRAJE!C$53,IF(G19=51,KILOMETRAJE!C$54,IF(G19=52,KILOMETRAJE!C$55,IF(G19=53,KILOMETRAJE!C$56,IF(G19=54,KILOMETRAJE!C$57,IF(G19=55,KILOMETRAJE!C$58,IF(G19=56,KILOMETRAJE!C$59,IF(G19=57,KILOMETRAJE!C$60,IF(G19=58,KILOMETRAJE!C$61,IF(G19=59,KILOMETRAJE!C$62,IF(G19=60,KILOMETRAJE!C$63,IF(G19=61,KILOMETRAJE!C$64,IF(G19=62,KILOMETRAJE!C$65,IF(G19=63,KILOMETRAJE!C$66)))))))))))))))))))))))))))))))))))))))))))))))))))))))))))))))</f>
        <v>JRZ</v>
      </c>
      <c r="I19" s="236" t="str">
        <f>IF(G19=1,KILOMETRAJE!E$4,IF(G19=2,KILOMETRAJE!E$5,IF(G19=3,KILOMETRAJE!E$6,IF(G19=4,KILOMETRAJE!E$7,IF(G19=5,KILOMETRAJE!E$8,IF(G19=6,KILOMETRAJE!E$9,IF(G19=7,KILOMETRAJE!E$10,IF(G19=8,KILOMETRAJE!E$11,IF(G19=9,KILOMETRAJE!E$12,IF(G19=10,KILOMETRAJE!E$13,IF(G19=11,KILOMETRAJE!E$14,IF(G19=12,KILOMETRAJE!E$15,IF(G19=13,KILOMETRAJE!E$16,IF(G19=14,KILOMETRAJE!E$17,IF(G19=15,KILOMETRAJE!E$18,IF(G19=16,KILOMETRAJE!E$19,IF(G19=17,KILOMETRAJE!E$20,IF(G19=18,KILOMETRAJE!E$21,IF(G19=19,KILOMETRAJE!E$22,IF(G19=20,KILOMETRAJE!E$23,IF(G19=21,KILOMETRAJE!E$24,IF(G19=22,KILOMETRAJE!E$25,IF(G19=23,KILOMETRAJE!E$26,IF(G19=24,KILOMETRAJE!E$27,IF(G19=25,KILOMETRAJE!E$28,IF(G19=26,KILOMETRAJE!E$29,IF(G19=27,KILOMETRAJE!E$30,IF(G19=28,KILOMETRAJE!E$31,IF(G19=29,KILOMETRAJE!E$32,IF(G19=30,KILOMETRAJE!E$33,IF(G19=31,KILOMETRAJE!E$34,IF(G19=32,KILOMETRAJE!E$35,IF(G19=33,KILOMETRAJE!E$36,IF(G19=34,KILOMETRAJE!E$37,IF(G19=35,KILOMETRAJE!E$38,IF(G19=36,KILOMETRAJE!E$39,IF(G19=37,KILOMETRAJE!E$40,IF(G19=38,KILOMETRAJE!E$41,IF(G19=39,KILOMETRAJE!E$42,IF(G19=40,KILOMETRAJE!E$43,IF(G19=41,KILOMETRAJE!E$44,IF(G19=42,KILOMETRAJE!E$45,IF(G19=43,KILOMETRAJE!E$46,IF(G19=44,KILOMETRAJE!E$47,IF(G19=45,KILOMETRAJE!E$48,IF(G19=46,KILOMETRAJE!E$49,IF(G19=47,KILOMETRAJE!E$50,IF(G19=48,KILOMETRAJE!E$51,IF(G19=49,KILOMETRAJE!E$52,IF(G19=50,KILOMETRAJE!E$53,IF(G19=51,KILOMETRAJE!E$54,IF(G19=52,KILOMETRAJE!E$55,IF(G19=53,KILOMETRAJE!E$56,IF(G19=54,KILOMETRAJE!E$57,IF(G19=55,KILOMETRAJE!E$58,IF(G19=56,KILOMETRAJE!E$59,IF(G19=57,KILOMETRAJE!E$60,IF(G19=58,KILOMETRAJE!E$61,IF(G19=59,KILOMETRAJE!E$62,IF(G19=60,KILOMETRAJE!E$63,IF(G19=61,KILOMETRAJE!E$64,IF(G19=62,KILOMETRAJE!E$65,IF(G19=63,KILOMETRAJE!E$66)))))))))))))))))))))))))))))))))))))))))))))))))))))))))))))))</f>
        <v>CHIH.</v>
      </c>
      <c r="J19" s="237">
        <f>IF(G19=1,KILOMETRAJE!G$4,IF(G19=2,KILOMETRAJE!G$5,IF(G19=3,KILOMETRAJE!G$6,IF(G19=4,KILOMETRAJE!G$7,IF(G19=5,KILOMETRAJE!G$8,IF(G19=6,KILOMETRAJE!G$9,IF(G19=7,KILOMETRAJE!G$10,IF(G19=8,KILOMETRAJE!G$11,IF(G19=9,KILOMETRAJE!G$12,IF(G19=10,KILOMETRAJE!G$13,IF(G19=11,KILOMETRAJE!G$14,IF(G19=12,KILOMETRAJE!G$15,IF(G19=13,KILOMETRAJE!G$16,IF(G19=14,KILOMETRAJE!G$17,IF(G19=15,KILOMETRAJE!G$18,IF(G19=16,KILOMETRAJE!G$19,IF(G19=17,KILOMETRAJE!G$20,IF(G19=18,KILOMETRAJE!G$21,IF(G19=19,KILOMETRAJE!G$22,IF(G19=20,KILOMETRAJE!G$23,IF(G19=21,KILOMETRAJE!G$24,IF(G19=22,KILOMETRAJE!G$25,IF(G19=23,KILOMETRAJE!G$26,IF(G19=24,KILOMETRAJE!G$27,IF(G19=25,KILOMETRAJE!G$28,IF(G19=26,KILOMETRAJE!G$29,IF(G19=27,KILOMETRAJE!G$30,IF(G19=28,KILOMETRAJE!G$31,IF(G19=29,KILOMETRAJE!G$32,IF(G19=30,KILOMETRAJE!G$33,IF(G19=31,KILOMETRAJE!G$34,IF(G19=32,KILOMETRAJE!G$35,IF(G19=33,KILOMETRAJE!G$36,IF(G19=34,KILOMETRAJE!G$37,IF(G19=35,KILOMETRAJE!G$38,IF(G19=36,KILOMETRAJE!G$39,IF(G19=37,KILOMETRAJE!G$40,IF(G19=38,KILOMETRAJE!G$41,IF(G19=39,KILOMETRAJE!G$42,IF(G19=40,KILOMETRAJE!G$43,IF(G19=41,KILOMETRAJE!G$44,IF(G19=42,KILOMETRAJE!G$45,IF(G19=43,KILOMETRAJE!G$46,IF(G19=44,KILOMETRAJE!G$47,IF(G19=45,KILOMETRAJE!G$48,IF(G19=46,KILOMETRAJE!G$49,IF(G19=47,KILOMETRAJE!G$50,IF(G19=48,KILOMETRAJE!G$51,IF(G19=49,KILOMETRAJE!G$52,IF(G19=50,KILOMETRAJE!G$53,IF(G19=51,KILOMETRAJE!G$54,IF(G19=52,KILOMETRAJE!G$55,IF(G19=53,KILOMETRAJE!G$56,IF(G19=54,KILOMETRAJE!G$57,IF(G19=55,KILOMETRAJE!G$58,IF(G19=56,KILOMETRAJE!G$59,IF(G19=57,KILOMETRAJE!G$60,IF(G19=58,KILOMETRAJE!G$61,IF(G19=59,KILOMETRAJE!G$62,IF(G19=60,KILOMETRAJE!G$63,IF(G19=61,KILOMETRAJE!G$64,IF(G19=62,KILOMETRAJE!G$65,IF(G19=63,KILOMETRAJE!G$66)))))))))))))))))))))))))))))))))))))))))))))))))))))))))))))))</f>
        <v>375</v>
      </c>
      <c r="K19" s="24"/>
      <c r="L19" s="44"/>
      <c r="M19" s="348">
        <v>0</v>
      </c>
      <c r="N19" s="24">
        <v>2</v>
      </c>
      <c r="O19" s="24" t="s">
        <v>494</v>
      </c>
      <c r="P19" s="24" t="s">
        <v>202</v>
      </c>
      <c r="Q19" s="45">
        <f>((((IF(N19=1,((J19)*0.29333)))+(IF(N19=2,((J19)*0.146666)))+(IF(N19=3,((J19)*0.146666)))))+(IF(N19=4,((J19-40)*0.29333)))+(IF(N19=5,((J19-50)*0.29333)))+(IF(N19=6,((J19-90)*0.29333))))</f>
        <v>54.999749999999999</v>
      </c>
      <c r="R19" s="187"/>
      <c r="S19" s="49"/>
      <c r="T19" s="455"/>
      <c r="U19" s="24"/>
      <c r="V19" s="79"/>
    </row>
    <row r="20" spans="2:22" ht="12.75" thickBot="1" x14ac:dyDescent="0.25">
      <c r="C20" s="113"/>
      <c r="D20" s="25" t="s">
        <v>601</v>
      </c>
      <c r="E20" s="25">
        <v>45952</v>
      </c>
      <c r="F20" s="25">
        <v>45952</v>
      </c>
      <c r="G20" s="62">
        <v>3</v>
      </c>
      <c r="H20" s="27" t="str">
        <f>IF(G20=1,KILOMETRAJE!C$4,IF(G20=2,KILOMETRAJE!C$5,IF(G20=3,KILOMETRAJE!C$6,IF(G20=4,KILOMETRAJE!C$7,IF(G20=5,KILOMETRAJE!C$8,IF(G20=6,KILOMETRAJE!C$9,IF(G20=7,KILOMETRAJE!C$10,IF(G20=8,KILOMETRAJE!C$11,IF(G20=9,KILOMETRAJE!C$12,IF(G20=10,KILOMETRAJE!C$13,IF(G20=11,KILOMETRAJE!C$14,IF(G20=12,KILOMETRAJE!C$15,IF(G20=13,KILOMETRAJE!C$16,IF(G20=14,KILOMETRAJE!C$17,IF(G20=15,KILOMETRAJE!C$18,IF(G20=16,KILOMETRAJE!C$19,IF(G20=17,KILOMETRAJE!C$20,IF(G20=18,KILOMETRAJE!C$21,IF(G20=19,KILOMETRAJE!C$22,IF(G20=20,KILOMETRAJE!C$23,IF(G20=21,KILOMETRAJE!C$24,IF(G20=22,KILOMETRAJE!C$25,IF(G20=23,KILOMETRAJE!C$26,IF(G20=24,KILOMETRAJE!C$27,IF(G20=25,KILOMETRAJE!C$28,IF(G20=26,KILOMETRAJE!C$29,IF(G20=27,KILOMETRAJE!C$30,IF(G20=28,KILOMETRAJE!C$31,IF(G20=29,KILOMETRAJE!C$32,IF(G20=30,KILOMETRAJE!C$33,IF(G20=31,KILOMETRAJE!C$34,IF(G20=32,KILOMETRAJE!C$35,IF(G20=33,KILOMETRAJE!C$36,IF(G20=34,KILOMETRAJE!C$37,IF(G20=35,KILOMETRAJE!C$38,IF(G20=36,KILOMETRAJE!C$39,IF(G20=37,KILOMETRAJE!C$40,IF(G20=38,KILOMETRAJE!C$41,IF(G20=39,KILOMETRAJE!C$42,IF(G20=40,KILOMETRAJE!C$43,IF(G20=41,KILOMETRAJE!C$44,IF(G20=42,KILOMETRAJE!C$45,IF(G20=43,KILOMETRAJE!C$46,IF(G20=44,KILOMETRAJE!C$47,IF(G20=45,KILOMETRAJE!C$48,IF(G20=46,KILOMETRAJE!C$49,IF(G20=47,KILOMETRAJE!C$50,IF(G20=48,KILOMETRAJE!C$51,IF(G20=49,KILOMETRAJE!C$52,IF(G20=50,KILOMETRAJE!C$53,IF(G20=51,KILOMETRAJE!C$54,IF(G20=52,KILOMETRAJE!C$55,IF(G20=53,KILOMETRAJE!C$56,IF(G20=54,KILOMETRAJE!C$57,IF(G20=55,KILOMETRAJE!C$58,IF(G20=56,KILOMETRAJE!C$59,IF(G20=57,KILOMETRAJE!C$60,IF(G20=58,KILOMETRAJE!C$61,IF(G20=59,KILOMETRAJE!C$62,IF(G20=60,KILOMETRAJE!C$63,IF(G20=61,KILOMETRAJE!C$64,IF(G20=62,KILOMETRAJE!C$65,IF(G20=63,KILOMETRAJE!C$66)))))))))))))))))))))))))))))))))))))))))))))))))))))))))))))))</f>
        <v xml:space="preserve">CHIH. </v>
      </c>
      <c r="I20" s="27" t="str">
        <f>IF(G20=1,KILOMETRAJE!E$4,IF(G20=2,KILOMETRAJE!E$5,IF(G20=3,KILOMETRAJE!E$6,IF(G20=4,KILOMETRAJE!E$7,IF(G20=5,KILOMETRAJE!E$8,IF(G20=6,KILOMETRAJE!E$9,IF(G20=7,KILOMETRAJE!E$10,IF(G20=8,KILOMETRAJE!E$11,IF(G20=9,KILOMETRAJE!E$12,IF(G20=10,KILOMETRAJE!E$13,IF(G20=11,KILOMETRAJE!E$14,IF(G20=12,KILOMETRAJE!E$15,IF(G20=13,KILOMETRAJE!E$16,IF(G20=14,KILOMETRAJE!E$17,IF(G20=15,KILOMETRAJE!E$18,IF(G20=16,KILOMETRAJE!E$19,IF(G20=17,KILOMETRAJE!E$20,IF(G20=18,KILOMETRAJE!E$21,IF(G20=19,KILOMETRAJE!E$22,IF(G20=20,KILOMETRAJE!E$23,IF(G20=21,KILOMETRAJE!E$24,IF(G20=22,KILOMETRAJE!E$25,IF(G20=23,KILOMETRAJE!E$26,IF(G20=24,KILOMETRAJE!E$27,IF(G20=25,KILOMETRAJE!E$28,IF(G20=26,KILOMETRAJE!E$29,IF(G20=27,KILOMETRAJE!E$30,IF(G20=28,KILOMETRAJE!E$31,IF(G20=29,KILOMETRAJE!E$32,IF(G20=30,KILOMETRAJE!E$33,IF(G20=31,KILOMETRAJE!E$34,IF(G20=32,KILOMETRAJE!E$35,IF(G20=33,KILOMETRAJE!E$36,IF(G20=34,KILOMETRAJE!E$37,IF(G20=35,KILOMETRAJE!E$38,IF(G20=36,KILOMETRAJE!E$39,IF(G20=37,KILOMETRAJE!E$40,IF(G20=38,KILOMETRAJE!E$41,IF(G20=39,KILOMETRAJE!E$42,IF(G20=40,KILOMETRAJE!E$43,IF(G20=41,KILOMETRAJE!E$44,IF(G20=42,KILOMETRAJE!E$45,IF(G20=43,KILOMETRAJE!E$46,IF(G20=44,KILOMETRAJE!E$47,IF(G20=45,KILOMETRAJE!E$48,IF(G20=46,KILOMETRAJE!E$49,IF(G20=47,KILOMETRAJE!E$50,IF(G20=48,KILOMETRAJE!E$51,IF(G20=49,KILOMETRAJE!E$52,IF(G20=50,KILOMETRAJE!E$53,IF(G20=51,KILOMETRAJE!E$54,IF(G20=52,KILOMETRAJE!E$55,IF(G20=53,KILOMETRAJE!E$56,IF(G20=54,KILOMETRAJE!E$57,IF(G20=55,KILOMETRAJE!E$58,IF(G20=56,KILOMETRAJE!E$59,IF(G20=57,KILOMETRAJE!E$60,IF(G20=58,KILOMETRAJE!E$61,IF(G20=59,KILOMETRAJE!E$62,IF(G20=60,KILOMETRAJE!E$63,IF(G20=61,KILOMETRAJE!E$64,IF(G20=62,KILOMETRAJE!E$65,IF(G20=63,KILOMETRAJE!E$66)))))))))))))))))))))))))))))))))))))))))))))))))))))))))))))))</f>
        <v>JRZ</v>
      </c>
      <c r="J20" s="31">
        <f>IF(G20=1,KILOMETRAJE!G$4,IF(G20=2,KILOMETRAJE!G$5,IF(G20=3,KILOMETRAJE!G$6,IF(G20=4,KILOMETRAJE!G$7,IF(G20=5,KILOMETRAJE!G$8,IF(G20=6,KILOMETRAJE!G$9,IF(G20=7,KILOMETRAJE!G$10,IF(G20=8,KILOMETRAJE!G$11,IF(G20=9,KILOMETRAJE!G$12,IF(G20=10,KILOMETRAJE!G$13,IF(G20=11,KILOMETRAJE!G$14,IF(G20=12,KILOMETRAJE!G$15,IF(G20=13,KILOMETRAJE!G$16,IF(G20=14,KILOMETRAJE!G$17,IF(G20=15,KILOMETRAJE!G$18,IF(G20=16,KILOMETRAJE!G$19,IF(G20=17,KILOMETRAJE!G$20,IF(G20=18,KILOMETRAJE!G$21,IF(G20=19,KILOMETRAJE!G$22,IF(G20=20,KILOMETRAJE!G$23,IF(G20=21,KILOMETRAJE!G$24,IF(G20=22,KILOMETRAJE!G$25,IF(G20=23,KILOMETRAJE!G$26,IF(G20=24,KILOMETRAJE!G$27,IF(G20=25,KILOMETRAJE!G$28,IF(G20=26,KILOMETRAJE!G$29,IF(G20=27,KILOMETRAJE!G$30,IF(G20=28,KILOMETRAJE!G$31,IF(G20=29,KILOMETRAJE!G$32,IF(G20=30,KILOMETRAJE!G$33,IF(G20=31,KILOMETRAJE!G$34,IF(G20=32,KILOMETRAJE!G$35,IF(G20=33,KILOMETRAJE!G$36,IF(G20=34,KILOMETRAJE!G$37,IF(G20=35,KILOMETRAJE!G$38,IF(G20=36,KILOMETRAJE!G$39,IF(G20=37,KILOMETRAJE!G$40,IF(G20=38,KILOMETRAJE!G$41,IF(G20=39,KILOMETRAJE!G$42,IF(G20=40,KILOMETRAJE!G$43,IF(G20=41,KILOMETRAJE!G$44,IF(G20=42,KILOMETRAJE!G$45,IF(G20=43,KILOMETRAJE!G$46,IF(G20=44,KILOMETRAJE!G$47,IF(G20=45,KILOMETRAJE!G$48,IF(G20=46,KILOMETRAJE!G$49,IF(G20=47,KILOMETRAJE!G$50,IF(G20=48,KILOMETRAJE!G$51,IF(G20=49,KILOMETRAJE!G$52,IF(G20=50,KILOMETRAJE!G$53,IF(G20=51,KILOMETRAJE!G$54,IF(G20=52,KILOMETRAJE!G$55,IF(G20=53,KILOMETRAJE!G$56,IF(G20=54,KILOMETRAJE!G$57,IF(G20=55,KILOMETRAJE!G$58,IF(G20=56,KILOMETRAJE!G$59,IF(G20=57,KILOMETRAJE!G$60,IF(G20=58,KILOMETRAJE!G$61,IF(G20=59,KILOMETRAJE!G$62,IF(G20=60,KILOMETRAJE!G$63,IF(G20=61,KILOMETRAJE!G$64,IF(G20=62,KILOMETRAJE!G$65,IF(G20=63,KILOMETRAJE!G$66)))))))))))))))))))))))))))))))))))))))))))))))))))))))))))))))</f>
        <v>375</v>
      </c>
      <c r="K20" s="27">
        <v>209.97</v>
      </c>
      <c r="L20" s="28">
        <f>SUM(J19:J20)/K20</f>
        <v>3.5719388484069152</v>
      </c>
      <c r="M20" s="349">
        <v>1256</v>
      </c>
      <c r="N20" s="27">
        <v>1</v>
      </c>
      <c r="O20" s="27">
        <v>1055</v>
      </c>
      <c r="P20" s="27" t="s">
        <v>203</v>
      </c>
      <c r="Q20" s="29">
        <f t="shared" ref="Q20" si="0">((((IF(N20=1,((J20)*0.29333)))+(IF(N20=2,((J20)*0.146666)))+(IF(N20=3,((J20)*0.146666)))))+(IF(N20=4,((J20-40)*0.29333)))+(IF(N20=5,((J20-50)*0.29333)))+(IF(N20=6,((J20-90)*0.29333))))</f>
        <v>109.99874999999999</v>
      </c>
      <c r="R20" s="190">
        <f>+LOOKUP(P40,UNIDADES!B$3:B$59,UNIDADES!C$3:C$59)</f>
        <v>2.4509799999999999</v>
      </c>
      <c r="S20" s="50">
        <f>+((SUM(J19:J20))/R20)-K20</f>
        <v>96.030048960007861</v>
      </c>
      <c r="T20" s="456">
        <f>+S20*14.85</f>
        <v>1426.0462270561168</v>
      </c>
      <c r="U20" s="27"/>
      <c r="V20" s="55"/>
    </row>
    <row r="21" spans="2:22" ht="12.75" customHeight="1" x14ac:dyDescent="0.2">
      <c r="C21" s="176">
        <v>46434</v>
      </c>
      <c r="D21" s="43" t="s">
        <v>602</v>
      </c>
      <c r="E21" s="42">
        <v>45953</v>
      </c>
      <c r="F21" s="42">
        <v>45954</v>
      </c>
      <c r="G21" s="43">
        <v>2</v>
      </c>
      <c r="H21" s="236" t="str">
        <f>IF(G21=1,KILOMETRAJE!C$4,IF(G21=2,KILOMETRAJE!C$5,IF(G21=3,KILOMETRAJE!C$6,IF(G21=4,KILOMETRAJE!C$7,IF(G21=5,KILOMETRAJE!C$8,IF(G21=6,KILOMETRAJE!C$9,IF(G21=7,KILOMETRAJE!C$10,IF(G21=8,KILOMETRAJE!C$11,IF(G21=9,KILOMETRAJE!C$12,IF(G21=10,KILOMETRAJE!C$13,IF(G21=11,KILOMETRAJE!C$14,IF(G21=12,KILOMETRAJE!C$15,IF(G21=13,KILOMETRAJE!C$16,IF(G21=14,KILOMETRAJE!C$17,IF(G21=15,KILOMETRAJE!C$18,IF(G21=16,KILOMETRAJE!C$19,IF(G21=17,KILOMETRAJE!C$20,IF(G21=18,KILOMETRAJE!C$21,IF(G21=19,KILOMETRAJE!C$22,IF(G21=20,KILOMETRAJE!C$23,IF(G21=21,KILOMETRAJE!C$24,IF(G21=22,KILOMETRAJE!C$25,IF(G21=23,KILOMETRAJE!C$26,IF(G21=24,KILOMETRAJE!C$27,IF(G21=25,KILOMETRAJE!C$28,IF(G21=26,KILOMETRAJE!C$29,IF(G21=27,KILOMETRAJE!C$30,IF(G21=28,KILOMETRAJE!C$31,IF(G21=29,KILOMETRAJE!C$32,IF(G21=30,KILOMETRAJE!C$33,IF(G21=31,KILOMETRAJE!C$34,IF(G21=32,KILOMETRAJE!C$35,IF(G21=33,KILOMETRAJE!C$36,IF(G21=34,KILOMETRAJE!C$37,IF(G21=35,KILOMETRAJE!C$38,IF(G21=36,KILOMETRAJE!C$39,IF(G21=37,KILOMETRAJE!C$40,IF(G21=38,KILOMETRAJE!C$41,IF(G21=39,KILOMETRAJE!C$42,IF(G21=40,KILOMETRAJE!C$43,IF(G21=41,KILOMETRAJE!C$44,IF(G21=42,KILOMETRAJE!C$45,IF(G21=43,KILOMETRAJE!C$46,IF(G21=44,KILOMETRAJE!C$47,IF(G21=45,KILOMETRAJE!C$48,IF(G21=46,KILOMETRAJE!C$49,IF(G21=47,KILOMETRAJE!C$50,IF(G21=48,KILOMETRAJE!C$51,IF(G21=49,KILOMETRAJE!C$52,IF(G21=50,KILOMETRAJE!C$53,IF(G21=51,KILOMETRAJE!C$54,IF(G21=52,KILOMETRAJE!C$55,IF(G21=53,KILOMETRAJE!C$56,IF(G21=54,KILOMETRAJE!C$57,IF(G21=55,KILOMETRAJE!C$58,IF(G21=56,KILOMETRAJE!C$59,IF(G21=57,KILOMETRAJE!C$60,IF(G21=58,KILOMETRAJE!C$61,IF(G21=59,KILOMETRAJE!C$62,IF(G21=60,KILOMETRAJE!C$63,IF(G21=61,KILOMETRAJE!C$64,IF(G21=62,KILOMETRAJE!C$65,IF(G21=63,KILOMETRAJE!C$66)))))))))))))))))))))))))))))))))))))))))))))))))))))))))))))))</f>
        <v>JRZ</v>
      </c>
      <c r="I21" s="236" t="str">
        <f>IF(G21=1,KILOMETRAJE!E$4,IF(G21=2,KILOMETRAJE!E$5,IF(G21=3,KILOMETRAJE!E$6,IF(G21=4,KILOMETRAJE!E$7,IF(G21=5,KILOMETRAJE!E$8,IF(G21=6,KILOMETRAJE!E$9,IF(G21=7,KILOMETRAJE!E$10,IF(G21=8,KILOMETRAJE!E$11,IF(G21=9,KILOMETRAJE!E$12,IF(G21=10,KILOMETRAJE!E$13,IF(G21=11,KILOMETRAJE!E$14,IF(G21=12,KILOMETRAJE!E$15,IF(G21=13,KILOMETRAJE!E$16,IF(G21=14,KILOMETRAJE!E$17,IF(G21=15,KILOMETRAJE!E$18,IF(G21=16,KILOMETRAJE!E$19,IF(G21=17,KILOMETRAJE!E$20,IF(G21=18,KILOMETRAJE!E$21,IF(G21=19,KILOMETRAJE!E$22,IF(G21=20,KILOMETRAJE!E$23,IF(G21=21,KILOMETRAJE!E$24,IF(G21=22,KILOMETRAJE!E$25,IF(G21=23,KILOMETRAJE!E$26,IF(G21=24,KILOMETRAJE!E$27,IF(G21=25,KILOMETRAJE!E$28,IF(G21=26,KILOMETRAJE!E$29,IF(G21=27,KILOMETRAJE!E$30,IF(G21=28,KILOMETRAJE!E$31,IF(G21=29,KILOMETRAJE!E$32,IF(G21=30,KILOMETRAJE!E$33,IF(G21=31,KILOMETRAJE!E$34,IF(G21=32,KILOMETRAJE!E$35,IF(G21=33,KILOMETRAJE!E$36,IF(G21=34,KILOMETRAJE!E$37,IF(G21=35,KILOMETRAJE!E$38,IF(G21=36,KILOMETRAJE!E$39,IF(G21=37,KILOMETRAJE!E$40,IF(G21=38,KILOMETRAJE!E$41,IF(G21=39,KILOMETRAJE!E$42,IF(G21=40,KILOMETRAJE!E$43,IF(G21=41,KILOMETRAJE!E$44,IF(G21=42,KILOMETRAJE!E$45,IF(G21=43,KILOMETRAJE!E$46,IF(G21=44,KILOMETRAJE!E$47,IF(G21=45,KILOMETRAJE!E$48,IF(G21=46,KILOMETRAJE!E$49,IF(G21=47,KILOMETRAJE!E$50,IF(G21=48,KILOMETRAJE!E$51,IF(G21=49,KILOMETRAJE!E$52,IF(G21=50,KILOMETRAJE!E$53,IF(G21=51,KILOMETRAJE!E$54,IF(G21=52,KILOMETRAJE!E$55,IF(G21=53,KILOMETRAJE!E$56,IF(G21=54,KILOMETRAJE!E$57,IF(G21=55,KILOMETRAJE!E$58,IF(G21=56,KILOMETRAJE!E$59,IF(G21=57,KILOMETRAJE!E$60,IF(G21=58,KILOMETRAJE!E$61,IF(G21=59,KILOMETRAJE!E$62,IF(G21=60,KILOMETRAJE!E$63,IF(G21=61,KILOMETRAJE!E$64,IF(G21=62,KILOMETRAJE!E$65,IF(G21=63,KILOMETRAJE!E$66)))))))))))))))))))))))))))))))))))))))))))))))))))))))))))))))</f>
        <v>CHIH.</v>
      </c>
      <c r="J21" s="237">
        <f>IF(G21=1,KILOMETRAJE!G$4,IF(G21=2,KILOMETRAJE!G$5,IF(G21=3,KILOMETRAJE!G$6,IF(G21=4,KILOMETRAJE!G$7,IF(G21=5,KILOMETRAJE!G$8,IF(G21=6,KILOMETRAJE!G$9,IF(G21=7,KILOMETRAJE!G$10,IF(G21=8,KILOMETRAJE!G$11,IF(G21=9,KILOMETRAJE!G$12,IF(G21=10,KILOMETRAJE!G$13,IF(G21=11,KILOMETRAJE!G$14,IF(G21=12,KILOMETRAJE!G$15,IF(G21=13,KILOMETRAJE!G$16,IF(G21=14,KILOMETRAJE!G$17,IF(G21=15,KILOMETRAJE!G$18,IF(G21=16,KILOMETRAJE!G$19,IF(G21=17,KILOMETRAJE!G$20,IF(G21=18,KILOMETRAJE!G$21,IF(G21=19,KILOMETRAJE!G$22,IF(G21=20,KILOMETRAJE!G$23,IF(G21=21,KILOMETRAJE!G$24,IF(G21=22,KILOMETRAJE!G$25,IF(G21=23,KILOMETRAJE!G$26,IF(G21=24,KILOMETRAJE!G$27,IF(G21=25,KILOMETRAJE!G$28,IF(G21=26,KILOMETRAJE!G$29,IF(G21=27,KILOMETRAJE!G$30,IF(G21=28,KILOMETRAJE!G$31,IF(G21=29,KILOMETRAJE!G$32,IF(G21=30,KILOMETRAJE!G$33,IF(G21=31,KILOMETRAJE!G$34,IF(G21=32,KILOMETRAJE!G$35,IF(G21=33,KILOMETRAJE!G$36,IF(G21=34,KILOMETRAJE!G$37,IF(G21=35,KILOMETRAJE!G$38,IF(G21=36,KILOMETRAJE!G$39,IF(G21=37,KILOMETRAJE!G$40,IF(G21=38,KILOMETRAJE!G$41,IF(G21=39,KILOMETRAJE!G$42,IF(G21=40,KILOMETRAJE!G$43,IF(G21=41,KILOMETRAJE!G$44,IF(G21=42,KILOMETRAJE!G$45,IF(G21=43,KILOMETRAJE!G$46,IF(G21=44,KILOMETRAJE!G$47,IF(G21=45,KILOMETRAJE!G$48,IF(G21=46,KILOMETRAJE!G$49,IF(G21=47,KILOMETRAJE!G$50,IF(G21=48,KILOMETRAJE!G$51,IF(G21=49,KILOMETRAJE!G$52,IF(G21=50,KILOMETRAJE!G$53,IF(G21=51,KILOMETRAJE!G$54,IF(G21=52,KILOMETRAJE!G$55,IF(G21=53,KILOMETRAJE!G$56,IF(G21=54,KILOMETRAJE!G$57,IF(G21=55,KILOMETRAJE!G$58,IF(G21=56,KILOMETRAJE!G$59,IF(G21=57,KILOMETRAJE!G$60,IF(G21=58,KILOMETRAJE!G$61,IF(G21=59,KILOMETRAJE!G$62,IF(G21=60,KILOMETRAJE!G$63,IF(G21=61,KILOMETRAJE!G$64,IF(G21=62,KILOMETRAJE!G$65,IF(G21=63,KILOMETRAJE!G$66)))))))))))))))))))))))))))))))))))))))))))))))))))))))))))))))</f>
        <v>375</v>
      </c>
      <c r="K21" s="24"/>
      <c r="L21" s="44"/>
      <c r="M21" s="348">
        <v>962</v>
      </c>
      <c r="N21" s="24">
        <v>1</v>
      </c>
      <c r="O21" s="24" t="s">
        <v>528</v>
      </c>
      <c r="P21" s="24" t="s">
        <v>199</v>
      </c>
      <c r="Q21" s="45">
        <f>((((IF(N21=1,((J21)*0.29333)))+(IF(N21=2,((J21)*0.146666)))+(IF(N21=3,((J21)*0.146666)))))+(IF(N21=4,((J21-40)*0.29333)))+(IF(N21=5,((J21-50)*0.29333)))+(IF(N21=6,((J21-90)*0.29333))))</f>
        <v>109.99874999999999</v>
      </c>
      <c r="R21" s="187"/>
      <c r="S21" s="49"/>
      <c r="T21" s="455"/>
      <c r="U21" s="24"/>
      <c r="V21" s="79"/>
    </row>
    <row r="22" spans="2:22" ht="12.75" thickBot="1" x14ac:dyDescent="0.25">
      <c r="C22" s="101"/>
      <c r="D22" s="62" t="s">
        <v>603</v>
      </c>
      <c r="E22" s="25">
        <v>45954</v>
      </c>
      <c r="F22" s="25">
        <v>45954</v>
      </c>
      <c r="G22" s="62">
        <v>3</v>
      </c>
      <c r="H22" s="27" t="str">
        <f>IF(G22=1,KILOMETRAJE!C$4,IF(G22=2,KILOMETRAJE!C$5,IF(G22=3,KILOMETRAJE!C$6,IF(G22=4,KILOMETRAJE!C$7,IF(G22=5,KILOMETRAJE!C$8,IF(G22=6,KILOMETRAJE!C$9,IF(G22=7,KILOMETRAJE!C$10,IF(G22=8,KILOMETRAJE!C$11,IF(G22=9,KILOMETRAJE!C$12,IF(G22=10,KILOMETRAJE!C$13,IF(G22=11,KILOMETRAJE!C$14,IF(G22=12,KILOMETRAJE!C$15,IF(G22=13,KILOMETRAJE!C$16,IF(G22=14,KILOMETRAJE!C$17,IF(G22=15,KILOMETRAJE!C$18,IF(G22=16,KILOMETRAJE!C$19,IF(G22=17,KILOMETRAJE!C$20,IF(G22=18,KILOMETRAJE!C$21,IF(G22=19,KILOMETRAJE!C$22,IF(G22=20,KILOMETRAJE!C$23,IF(G22=21,KILOMETRAJE!C$24,IF(G22=22,KILOMETRAJE!C$25,IF(G22=23,KILOMETRAJE!C$26,IF(G22=24,KILOMETRAJE!C$27,IF(G22=25,KILOMETRAJE!C$28,IF(G22=26,KILOMETRAJE!C$29,IF(G22=27,KILOMETRAJE!C$30,IF(G22=28,KILOMETRAJE!C$31,IF(G22=29,KILOMETRAJE!C$32,IF(G22=30,KILOMETRAJE!C$33,IF(G22=31,KILOMETRAJE!C$34,IF(G22=32,KILOMETRAJE!C$35,IF(G22=33,KILOMETRAJE!C$36,IF(G22=34,KILOMETRAJE!C$37,IF(G22=35,KILOMETRAJE!C$38,IF(G22=36,KILOMETRAJE!C$39,IF(G22=37,KILOMETRAJE!C$40,IF(G22=38,KILOMETRAJE!C$41,IF(G22=39,KILOMETRAJE!C$42,IF(G22=40,KILOMETRAJE!C$43,IF(G22=41,KILOMETRAJE!C$44,IF(G22=42,KILOMETRAJE!C$45,IF(G22=43,KILOMETRAJE!C$46,IF(G22=44,KILOMETRAJE!C$47,IF(G22=45,KILOMETRAJE!C$48,IF(G22=46,KILOMETRAJE!C$49,IF(G22=47,KILOMETRAJE!C$50,IF(G22=48,KILOMETRAJE!C$51,IF(G22=49,KILOMETRAJE!C$52,IF(G22=50,KILOMETRAJE!C$53,IF(G22=51,KILOMETRAJE!C$54,IF(G22=52,KILOMETRAJE!C$55,IF(G22=53,KILOMETRAJE!C$56,IF(G22=54,KILOMETRAJE!C$57,IF(G22=55,KILOMETRAJE!C$58,IF(G22=56,KILOMETRAJE!C$59,IF(G22=57,KILOMETRAJE!C$60,IF(G22=58,KILOMETRAJE!C$61,IF(G22=59,KILOMETRAJE!C$62,IF(G22=60,KILOMETRAJE!C$63,IF(G22=61,KILOMETRAJE!C$64,IF(G22=62,KILOMETRAJE!C$65,IF(G22=63,KILOMETRAJE!C$66)))))))))))))))))))))))))))))))))))))))))))))))))))))))))))))))</f>
        <v xml:space="preserve">CHIH. </v>
      </c>
      <c r="I22" s="27" t="str">
        <f>IF(G22=1,KILOMETRAJE!E$4,IF(G22=2,KILOMETRAJE!E$5,IF(G22=3,KILOMETRAJE!E$6,IF(G22=4,KILOMETRAJE!E$7,IF(G22=5,KILOMETRAJE!E$8,IF(G22=6,KILOMETRAJE!E$9,IF(G22=7,KILOMETRAJE!E$10,IF(G22=8,KILOMETRAJE!E$11,IF(G22=9,KILOMETRAJE!E$12,IF(G22=10,KILOMETRAJE!E$13,IF(G22=11,KILOMETRAJE!E$14,IF(G22=12,KILOMETRAJE!E$15,IF(G22=13,KILOMETRAJE!E$16,IF(G22=14,KILOMETRAJE!E$17,IF(G22=15,KILOMETRAJE!E$18,IF(G22=16,KILOMETRAJE!E$19,IF(G22=17,KILOMETRAJE!E$20,IF(G22=18,KILOMETRAJE!E$21,IF(G22=19,KILOMETRAJE!E$22,IF(G22=20,KILOMETRAJE!E$23,IF(G22=21,KILOMETRAJE!E$24,IF(G22=22,KILOMETRAJE!E$25,IF(G22=23,KILOMETRAJE!E$26,IF(G22=24,KILOMETRAJE!E$27,IF(G22=25,KILOMETRAJE!E$28,IF(G22=26,KILOMETRAJE!E$29,IF(G22=27,KILOMETRAJE!E$30,IF(G22=28,KILOMETRAJE!E$31,IF(G22=29,KILOMETRAJE!E$32,IF(G22=30,KILOMETRAJE!E$33,IF(G22=31,KILOMETRAJE!E$34,IF(G22=32,KILOMETRAJE!E$35,IF(G22=33,KILOMETRAJE!E$36,IF(G22=34,KILOMETRAJE!E$37,IF(G22=35,KILOMETRAJE!E$38,IF(G22=36,KILOMETRAJE!E$39,IF(G22=37,KILOMETRAJE!E$40,IF(G22=38,KILOMETRAJE!E$41,IF(G22=39,KILOMETRAJE!E$42,IF(G22=40,KILOMETRAJE!E$43,IF(G22=41,KILOMETRAJE!E$44,IF(G22=42,KILOMETRAJE!E$45,IF(G22=43,KILOMETRAJE!E$46,IF(G22=44,KILOMETRAJE!E$47,IF(G22=45,KILOMETRAJE!E$48,IF(G22=46,KILOMETRAJE!E$49,IF(G22=47,KILOMETRAJE!E$50,IF(G22=48,KILOMETRAJE!E$51,IF(G22=49,KILOMETRAJE!E$52,IF(G22=50,KILOMETRAJE!E$53,IF(G22=51,KILOMETRAJE!E$54,IF(G22=52,KILOMETRAJE!E$55,IF(G22=53,KILOMETRAJE!E$56,IF(G22=54,KILOMETRAJE!E$57,IF(G22=55,KILOMETRAJE!E$58,IF(G22=56,KILOMETRAJE!E$59,IF(G22=57,KILOMETRAJE!E$60,IF(G22=58,KILOMETRAJE!E$61,IF(G22=59,KILOMETRAJE!E$62,IF(G22=60,KILOMETRAJE!E$63,IF(G22=61,KILOMETRAJE!E$64,IF(G22=62,KILOMETRAJE!E$65,IF(G22=63,KILOMETRAJE!E$66)))))))))))))))))))))))))))))))))))))))))))))))))))))))))))))))</f>
        <v>JRZ</v>
      </c>
      <c r="J22" s="31">
        <f>IF(G22=1,KILOMETRAJE!G$4,IF(G22=2,KILOMETRAJE!G$5,IF(G22=3,KILOMETRAJE!G$6,IF(G22=4,KILOMETRAJE!G$7,IF(G22=5,KILOMETRAJE!G$8,IF(G22=6,KILOMETRAJE!G$9,IF(G22=7,KILOMETRAJE!G$10,IF(G22=8,KILOMETRAJE!G$11,IF(G22=9,KILOMETRAJE!G$12,IF(G22=10,KILOMETRAJE!G$13,IF(G22=11,KILOMETRAJE!G$14,IF(G22=12,KILOMETRAJE!G$15,IF(G22=13,KILOMETRAJE!G$16,IF(G22=14,KILOMETRAJE!G$17,IF(G22=15,KILOMETRAJE!G$18,IF(G22=16,KILOMETRAJE!G$19,IF(G22=17,KILOMETRAJE!G$20,IF(G22=18,KILOMETRAJE!G$21,IF(G22=19,KILOMETRAJE!G$22,IF(G22=20,KILOMETRAJE!G$23,IF(G22=21,KILOMETRAJE!G$24,IF(G22=22,KILOMETRAJE!G$25,IF(G22=23,KILOMETRAJE!G$26,IF(G22=24,KILOMETRAJE!G$27,IF(G22=25,KILOMETRAJE!G$28,IF(G22=26,KILOMETRAJE!G$29,IF(G22=27,KILOMETRAJE!G$30,IF(G22=28,KILOMETRAJE!G$31,IF(G22=29,KILOMETRAJE!G$32,IF(G22=30,KILOMETRAJE!G$33,IF(G22=31,KILOMETRAJE!G$34,IF(G22=32,KILOMETRAJE!G$35,IF(G22=33,KILOMETRAJE!G$36,IF(G22=34,KILOMETRAJE!G$37,IF(G22=35,KILOMETRAJE!G$38,IF(G22=36,KILOMETRAJE!G$39,IF(G22=37,KILOMETRAJE!G$40,IF(G22=38,KILOMETRAJE!G$41,IF(G22=39,KILOMETRAJE!G$42,IF(G22=40,KILOMETRAJE!G$43,IF(G22=41,KILOMETRAJE!G$44,IF(G22=42,KILOMETRAJE!G$45,IF(G22=43,KILOMETRAJE!G$46,IF(G22=44,KILOMETRAJE!G$47,IF(G22=45,KILOMETRAJE!G$48,IF(G22=46,KILOMETRAJE!G$49,IF(G22=47,KILOMETRAJE!G$50,IF(G22=48,KILOMETRAJE!G$51,IF(G22=49,KILOMETRAJE!G$52,IF(G22=50,KILOMETRAJE!G$53,IF(G22=51,KILOMETRAJE!G$54,IF(G22=52,KILOMETRAJE!G$55,IF(G22=53,KILOMETRAJE!G$56,IF(G22=54,KILOMETRAJE!G$57,IF(G22=55,KILOMETRAJE!G$58,IF(G22=56,KILOMETRAJE!G$59,IF(G22=57,KILOMETRAJE!G$60,IF(G22=58,KILOMETRAJE!G$61,IF(G22=59,KILOMETRAJE!G$62,IF(G22=60,KILOMETRAJE!G$63,IF(G22=61,KILOMETRAJE!G$64,IF(G22=62,KILOMETRAJE!G$65,IF(G22=63,KILOMETRAJE!G$66)))))))))))))))))))))))))))))))))))))))))))))))))))))))))))))))</f>
        <v>375</v>
      </c>
      <c r="K22" s="27">
        <v>195</v>
      </c>
      <c r="L22" s="28">
        <f>SUM(J21:J22)/K22</f>
        <v>3.8461538461538463</v>
      </c>
      <c r="M22" s="349">
        <v>9865</v>
      </c>
      <c r="N22" s="27">
        <v>1</v>
      </c>
      <c r="O22" s="27" t="s">
        <v>539</v>
      </c>
      <c r="P22" s="27" t="s">
        <v>199</v>
      </c>
      <c r="Q22" s="29">
        <f t="shared" ref="Q22" si="1">((((IF(N22=1,((J22)*0.29333)))+(IF(N22=2,((J22)*0.146666)))+(IF(N22=3,((J22)*0.146666)))))+(IF(N22=4,((J22-40)*0.29333)))+(IF(N22=5,((J22-50)*0.29333)))+(IF(N22=6,((J22-90)*0.29333))))</f>
        <v>109.99874999999999</v>
      </c>
      <c r="R22" s="190">
        <f>+LOOKUP(P42,UNIDADES!B$3:B$59,UNIDADES!C$3:C$59)</f>
        <v>2.4509799999999999</v>
      </c>
      <c r="S22" s="50">
        <f>+((SUM(J21:J22))/R22)-K22</f>
        <v>111.00004896000786</v>
      </c>
      <c r="T22" s="456">
        <f>+S22*14.85</f>
        <v>1648.3507270561167</v>
      </c>
      <c r="U22" s="27"/>
      <c r="V22" s="55"/>
    </row>
    <row r="23" spans="2:22" ht="11.25" customHeight="1" x14ac:dyDescent="0.2">
      <c r="B23" s="14" t="s">
        <v>553</v>
      </c>
      <c r="C23" s="238">
        <v>46462</v>
      </c>
      <c r="D23" s="36" t="s">
        <v>604</v>
      </c>
      <c r="E23" s="37">
        <v>45954</v>
      </c>
      <c r="F23" s="37">
        <v>45955</v>
      </c>
      <c r="G23" s="36">
        <v>2</v>
      </c>
      <c r="H23" s="259" t="str">
        <f>IF(G23=1,KILOMETRAJE!C$4,IF(G23=2,KILOMETRAJE!C$5,IF(G23=3,KILOMETRAJE!C$6,IF(G23=4,KILOMETRAJE!C$7,IF(G23=5,KILOMETRAJE!C$8,IF(G23=6,KILOMETRAJE!C$9,IF(G23=7,KILOMETRAJE!C$10,IF(G23=8,KILOMETRAJE!C$11,IF(G23=9,KILOMETRAJE!C$12,IF(G23=10,KILOMETRAJE!C$13,IF(G23=11,KILOMETRAJE!C$14,IF(G23=12,KILOMETRAJE!C$15,IF(G23=13,KILOMETRAJE!C$16,IF(G23=14,KILOMETRAJE!C$17,IF(G23=15,KILOMETRAJE!C$18,IF(G23=16,KILOMETRAJE!C$19,IF(G23=17,KILOMETRAJE!C$20,IF(G23=18,KILOMETRAJE!C$21,IF(G23=19,KILOMETRAJE!C$22,IF(G23=20,KILOMETRAJE!C$23,IF(G23=21,KILOMETRAJE!C$24,IF(G23=22,KILOMETRAJE!C$25,IF(G23=23,KILOMETRAJE!C$26,IF(G23=24,KILOMETRAJE!C$27,IF(G23=25,KILOMETRAJE!C$28,IF(G23=26,KILOMETRAJE!C$29,IF(G23=27,KILOMETRAJE!C$30,IF(G23=28,KILOMETRAJE!C$31,IF(G23=29,KILOMETRAJE!C$32,IF(G23=30,KILOMETRAJE!C$33,IF(G23=31,KILOMETRAJE!C$34,IF(G23=32,KILOMETRAJE!C$35,IF(G23=33,KILOMETRAJE!C$36,IF(G23=34,KILOMETRAJE!C$37,IF(G23=35,KILOMETRAJE!C$38,IF(G23=36,KILOMETRAJE!C$39,IF(G23=37,KILOMETRAJE!C$40,IF(G23=38,KILOMETRAJE!C$41,IF(G23=39,KILOMETRAJE!C$42,IF(G23=40,KILOMETRAJE!C$43,IF(G23=41,KILOMETRAJE!C$44,IF(G23=42,KILOMETRAJE!C$45,IF(G23=43,KILOMETRAJE!C$46,IF(G23=44,KILOMETRAJE!C$47,IF(G23=45,KILOMETRAJE!C$48,IF(G23=46,KILOMETRAJE!C$49,IF(G23=47,KILOMETRAJE!C$50,IF(G23=48,KILOMETRAJE!C$51,IF(G23=49,KILOMETRAJE!C$52,IF(G23=50,KILOMETRAJE!C$53,IF(G23=51,KILOMETRAJE!C$54,IF(G23=52,KILOMETRAJE!C$55,IF(G23=53,KILOMETRAJE!C$56,IF(G23=54,KILOMETRAJE!C$57,IF(G23=55,KILOMETRAJE!C$58,IF(G23=56,KILOMETRAJE!C$59,IF(G23=57,KILOMETRAJE!C$60,IF(G23=58,KILOMETRAJE!C$61,IF(G23=59,KILOMETRAJE!C$62,IF(G23=60,KILOMETRAJE!C$63,IF(G23=61,KILOMETRAJE!C$64,IF(G23=62,KILOMETRAJE!C$65,IF(G23=63,KILOMETRAJE!C$66)))))))))))))))))))))))))))))))))))))))))))))))))))))))))))))))</f>
        <v>JRZ</v>
      </c>
      <c r="I23" s="259" t="str">
        <f>IF(G23=1,KILOMETRAJE!E$4,IF(G23=2,KILOMETRAJE!E$5,IF(G23=3,KILOMETRAJE!E$6,IF(G23=4,KILOMETRAJE!E$7,IF(G23=5,KILOMETRAJE!E$8,IF(G23=6,KILOMETRAJE!E$9,IF(G23=7,KILOMETRAJE!E$10,IF(G23=8,KILOMETRAJE!E$11,IF(G23=9,KILOMETRAJE!E$12,IF(G23=10,KILOMETRAJE!E$13,IF(G23=11,KILOMETRAJE!E$14,IF(G23=12,KILOMETRAJE!E$15,IF(G23=13,KILOMETRAJE!E$16,IF(G23=14,KILOMETRAJE!E$17,IF(G23=15,KILOMETRAJE!E$18,IF(G23=16,KILOMETRAJE!E$19,IF(G23=17,KILOMETRAJE!E$20,IF(G23=18,KILOMETRAJE!E$21,IF(G23=19,KILOMETRAJE!E$22,IF(G23=20,KILOMETRAJE!E$23,IF(G23=21,KILOMETRAJE!E$24,IF(G23=22,KILOMETRAJE!E$25,IF(G23=23,KILOMETRAJE!E$26,IF(G23=24,KILOMETRAJE!E$27,IF(G23=25,KILOMETRAJE!E$28,IF(G23=26,KILOMETRAJE!E$29,IF(G23=27,KILOMETRAJE!E$30,IF(G23=28,KILOMETRAJE!E$31,IF(G23=29,KILOMETRAJE!E$32,IF(G23=30,KILOMETRAJE!E$33,IF(G23=31,KILOMETRAJE!E$34,IF(G23=32,KILOMETRAJE!E$35,IF(G23=33,KILOMETRAJE!E$36,IF(G23=34,KILOMETRAJE!E$37,IF(G23=35,KILOMETRAJE!E$38,IF(G23=36,KILOMETRAJE!E$39,IF(G23=37,KILOMETRAJE!E$40,IF(G23=38,KILOMETRAJE!E$41,IF(G23=39,KILOMETRAJE!E$42,IF(G23=40,KILOMETRAJE!E$43,IF(G23=41,KILOMETRAJE!E$44,IF(G23=42,KILOMETRAJE!E$45,IF(G23=43,KILOMETRAJE!E$46,IF(G23=44,KILOMETRAJE!E$47,IF(G23=45,KILOMETRAJE!E$48,IF(G23=46,KILOMETRAJE!E$49,IF(G23=47,KILOMETRAJE!E$50,IF(G23=48,KILOMETRAJE!E$51,IF(G23=49,KILOMETRAJE!E$52,IF(G23=50,KILOMETRAJE!E$53,IF(G23=51,KILOMETRAJE!E$54,IF(G23=52,KILOMETRAJE!E$55,IF(G23=53,KILOMETRAJE!E$56,IF(G23=54,KILOMETRAJE!E$57,IF(G23=55,KILOMETRAJE!E$58,IF(G23=56,KILOMETRAJE!E$59,IF(G23=57,KILOMETRAJE!E$60,IF(G23=58,KILOMETRAJE!E$61,IF(G23=59,KILOMETRAJE!E$62,IF(G23=60,KILOMETRAJE!E$63,IF(G23=61,KILOMETRAJE!E$64,IF(G23=62,KILOMETRAJE!E$65,IF(G23=63,KILOMETRAJE!E$66)))))))))))))))))))))))))))))))))))))))))))))))))))))))))))))))</f>
        <v>CHIH.</v>
      </c>
      <c r="J23" s="260">
        <f>IF(G23=1,KILOMETRAJE!G$4,IF(G23=2,KILOMETRAJE!G$5,IF(G23=3,KILOMETRAJE!G$6,IF(G23=4,KILOMETRAJE!G$7,IF(G23=5,KILOMETRAJE!G$8,IF(G23=6,KILOMETRAJE!G$9,IF(G23=7,KILOMETRAJE!G$10,IF(G23=8,KILOMETRAJE!G$11,IF(G23=9,KILOMETRAJE!G$12,IF(G23=10,KILOMETRAJE!G$13,IF(G23=11,KILOMETRAJE!G$14,IF(G23=12,KILOMETRAJE!G$15,IF(G23=13,KILOMETRAJE!G$16,IF(G23=14,KILOMETRAJE!G$17,IF(G23=15,KILOMETRAJE!G$18,IF(G23=16,KILOMETRAJE!G$19,IF(G23=17,KILOMETRAJE!G$20,IF(G23=18,KILOMETRAJE!G$21,IF(G23=19,KILOMETRAJE!G$22,IF(G23=20,KILOMETRAJE!G$23,IF(G23=21,KILOMETRAJE!G$24,IF(G23=22,KILOMETRAJE!G$25,IF(G23=23,KILOMETRAJE!G$26,IF(G23=24,KILOMETRAJE!G$27,IF(G23=25,KILOMETRAJE!G$28,IF(G23=26,KILOMETRAJE!G$29,IF(G23=27,KILOMETRAJE!G$30,IF(G23=28,KILOMETRAJE!G$31,IF(G23=29,KILOMETRAJE!G$32,IF(G23=30,KILOMETRAJE!G$33,IF(G23=31,KILOMETRAJE!G$34,IF(G23=32,KILOMETRAJE!G$35,IF(G23=33,KILOMETRAJE!G$36,IF(G23=34,KILOMETRAJE!G$37,IF(G23=35,KILOMETRAJE!G$38,IF(G23=36,KILOMETRAJE!G$39,IF(G23=37,KILOMETRAJE!G$40,IF(G23=38,KILOMETRAJE!G$41,IF(G23=39,KILOMETRAJE!G$42,IF(G23=40,KILOMETRAJE!G$43,IF(G23=41,KILOMETRAJE!G$44,IF(G23=42,KILOMETRAJE!G$45,IF(G23=43,KILOMETRAJE!G$46,IF(G23=44,KILOMETRAJE!G$47,IF(G23=45,KILOMETRAJE!G$48,IF(G23=46,KILOMETRAJE!G$49,IF(G23=47,KILOMETRAJE!G$50,IF(G23=48,KILOMETRAJE!G$51,IF(G23=49,KILOMETRAJE!G$52,IF(G23=50,KILOMETRAJE!G$53,IF(G23=51,KILOMETRAJE!G$54,IF(G23=52,KILOMETRAJE!G$55,IF(G23=53,KILOMETRAJE!G$56,IF(G23=54,KILOMETRAJE!G$57,IF(G23=55,KILOMETRAJE!G$58,IF(G23=56,KILOMETRAJE!G$59,IF(G23=57,KILOMETRAJE!G$60,IF(G23=58,KILOMETRAJE!G$61,IF(G23=59,KILOMETRAJE!G$62,IF(G23=60,KILOMETRAJE!G$63,IF(G23=61,KILOMETRAJE!G$64,IF(G23=62,KILOMETRAJE!G$65,IF(G23=63,KILOMETRAJE!G$66)))))))))))))))))))))))))))))))))))))))))))))))))))))))))))))))</f>
        <v>375</v>
      </c>
      <c r="K23" s="38"/>
      <c r="L23" s="48"/>
      <c r="M23" s="350">
        <v>4665</v>
      </c>
      <c r="N23" s="38">
        <v>1</v>
      </c>
      <c r="O23" s="38" t="s">
        <v>383</v>
      </c>
      <c r="P23" s="38" t="s">
        <v>191</v>
      </c>
      <c r="Q23" s="40">
        <f>((((IF(N23=1,((J23)*0.29333)))+(IF(N23=2,((J23)*0.146666)))+(IF(N23=3,((J23)*0.146666)))))+(IF(N23=4,((J23-40)*0.29333)))+(IF(N23=5,((J23-50)*0.29333)))+(IF(N23=6,((J23-90)*0.29333))))</f>
        <v>109.99874999999999</v>
      </c>
      <c r="R23" s="188"/>
      <c r="S23" s="121"/>
      <c r="T23" s="458"/>
      <c r="U23" s="38"/>
      <c r="V23" s="38"/>
    </row>
    <row r="24" spans="2:22" ht="12.75" thickBot="1" x14ac:dyDescent="0.25">
      <c r="C24" s="239"/>
      <c r="D24" s="68" t="s">
        <v>605</v>
      </c>
      <c r="E24" s="69">
        <v>45955</v>
      </c>
      <c r="F24" s="69">
        <v>45955</v>
      </c>
      <c r="G24" s="68">
        <v>3</v>
      </c>
      <c r="H24" s="70" t="str">
        <f>IF(G24=1,KILOMETRAJE!C$4,IF(G24=2,KILOMETRAJE!C$5,IF(G24=3,KILOMETRAJE!C$6,IF(G24=4,KILOMETRAJE!C$7,IF(G24=5,KILOMETRAJE!C$8,IF(G24=6,KILOMETRAJE!C$9,IF(G24=7,KILOMETRAJE!C$10,IF(G24=8,KILOMETRAJE!C$11,IF(G24=9,KILOMETRAJE!C$12,IF(G24=10,KILOMETRAJE!C$13,IF(G24=11,KILOMETRAJE!C$14,IF(G24=12,KILOMETRAJE!C$15,IF(G24=13,KILOMETRAJE!C$16,IF(G24=14,KILOMETRAJE!C$17,IF(G24=15,KILOMETRAJE!C$18,IF(G24=16,KILOMETRAJE!C$19,IF(G24=17,KILOMETRAJE!C$20,IF(G24=18,KILOMETRAJE!C$21,IF(G24=19,KILOMETRAJE!C$22,IF(G24=20,KILOMETRAJE!C$23,IF(G24=21,KILOMETRAJE!C$24,IF(G24=22,KILOMETRAJE!C$25,IF(G24=23,KILOMETRAJE!C$26,IF(G24=24,KILOMETRAJE!C$27,IF(G24=25,KILOMETRAJE!C$28,IF(G24=26,KILOMETRAJE!C$29,IF(G24=27,KILOMETRAJE!C$30,IF(G24=28,KILOMETRAJE!C$31,IF(G24=29,KILOMETRAJE!C$32,IF(G24=30,KILOMETRAJE!C$33,IF(G24=31,KILOMETRAJE!C$34,IF(G24=32,KILOMETRAJE!C$35,IF(G24=33,KILOMETRAJE!C$36,IF(G24=34,KILOMETRAJE!C$37,IF(G24=35,KILOMETRAJE!C$38,IF(G24=36,KILOMETRAJE!C$39,IF(G24=37,KILOMETRAJE!C$40,IF(G24=38,KILOMETRAJE!C$41,IF(G24=39,KILOMETRAJE!C$42,IF(G24=40,KILOMETRAJE!C$43,IF(G24=41,KILOMETRAJE!C$44,IF(G24=42,KILOMETRAJE!C$45,IF(G24=43,KILOMETRAJE!C$46,IF(G24=44,KILOMETRAJE!C$47,IF(G24=45,KILOMETRAJE!C$48,IF(G24=46,KILOMETRAJE!C$49,IF(G24=47,KILOMETRAJE!C$50,IF(G24=48,KILOMETRAJE!C$51,IF(G24=49,KILOMETRAJE!C$52,IF(G24=50,KILOMETRAJE!C$53,IF(G24=51,KILOMETRAJE!C$54,IF(G24=52,KILOMETRAJE!C$55,IF(G24=53,KILOMETRAJE!C$56,IF(G24=54,KILOMETRAJE!C$57,IF(G24=55,KILOMETRAJE!C$58,IF(G24=56,KILOMETRAJE!C$59,IF(G24=57,KILOMETRAJE!C$60,IF(G24=58,KILOMETRAJE!C$61,IF(G24=59,KILOMETRAJE!C$62,IF(G24=60,KILOMETRAJE!C$63,IF(G24=61,KILOMETRAJE!C$64,IF(G24=62,KILOMETRAJE!C$65,IF(G24=63,KILOMETRAJE!C$66)))))))))))))))))))))))))))))))))))))))))))))))))))))))))))))))</f>
        <v xml:space="preserve">CHIH. </v>
      </c>
      <c r="I24" s="70" t="str">
        <f>IF(G24=1,KILOMETRAJE!E$4,IF(G24=2,KILOMETRAJE!E$5,IF(G24=3,KILOMETRAJE!E$6,IF(G24=4,KILOMETRAJE!E$7,IF(G24=5,KILOMETRAJE!E$8,IF(G24=6,KILOMETRAJE!E$9,IF(G24=7,KILOMETRAJE!E$10,IF(G24=8,KILOMETRAJE!E$11,IF(G24=9,KILOMETRAJE!E$12,IF(G24=10,KILOMETRAJE!E$13,IF(G24=11,KILOMETRAJE!E$14,IF(G24=12,KILOMETRAJE!E$15,IF(G24=13,KILOMETRAJE!E$16,IF(G24=14,KILOMETRAJE!E$17,IF(G24=15,KILOMETRAJE!E$18,IF(G24=16,KILOMETRAJE!E$19,IF(G24=17,KILOMETRAJE!E$20,IF(G24=18,KILOMETRAJE!E$21,IF(G24=19,KILOMETRAJE!E$22,IF(G24=20,KILOMETRAJE!E$23,IF(G24=21,KILOMETRAJE!E$24,IF(G24=22,KILOMETRAJE!E$25,IF(G24=23,KILOMETRAJE!E$26,IF(G24=24,KILOMETRAJE!E$27,IF(G24=25,KILOMETRAJE!E$28,IF(G24=26,KILOMETRAJE!E$29,IF(G24=27,KILOMETRAJE!E$30,IF(G24=28,KILOMETRAJE!E$31,IF(G24=29,KILOMETRAJE!E$32,IF(G24=30,KILOMETRAJE!E$33,IF(G24=31,KILOMETRAJE!E$34,IF(G24=32,KILOMETRAJE!E$35,IF(G24=33,KILOMETRAJE!E$36,IF(G24=34,KILOMETRAJE!E$37,IF(G24=35,KILOMETRAJE!E$38,IF(G24=36,KILOMETRAJE!E$39,IF(G24=37,KILOMETRAJE!E$40,IF(G24=38,KILOMETRAJE!E$41,IF(G24=39,KILOMETRAJE!E$42,IF(G24=40,KILOMETRAJE!E$43,IF(G24=41,KILOMETRAJE!E$44,IF(G24=42,KILOMETRAJE!E$45,IF(G24=43,KILOMETRAJE!E$46,IF(G24=44,KILOMETRAJE!E$47,IF(G24=45,KILOMETRAJE!E$48,IF(G24=46,KILOMETRAJE!E$49,IF(G24=47,KILOMETRAJE!E$50,IF(G24=48,KILOMETRAJE!E$51,IF(G24=49,KILOMETRAJE!E$52,IF(G24=50,KILOMETRAJE!E$53,IF(G24=51,KILOMETRAJE!E$54,IF(G24=52,KILOMETRAJE!E$55,IF(G24=53,KILOMETRAJE!E$56,IF(G24=54,KILOMETRAJE!E$57,IF(G24=55,KILOMETRAJE!E$58,IF(G24=56,KILOMETRAJE!E$59,IF(G24=57,KILOMETRAJE!E$60,IF(G24=58,KILOMETRAJE!E$61,IF(G24=59,KILOMETRAJE!E$62,IF(G24=60,KILOMETRAJE!E$63,IF(G24=61,KILOMETRAJE!E$64,IF(G24=62,KILOMETRAJE!E$65,IF(G24=63,KILOMETRAJE!E$66)))))))))))))))))))))))))))))))))))))))))))))))))))))))))))))))</f>
        <v>JRZ</v>
      </c>
      <c r="J24" s="71">
        <f>IF(G24=1,KILOMETRAJE!G$4,IF(G24=2,KILOMETRAJE!G$5,IF(G24=3,KILOMETRAJE!G$6,IF(G24=4,KILOMETRAJE!G$7,IF(G24=5,KILOMETRAJE!G$8,IF(G24=6,KILOMETRAJE!G$9,IF(G24=7,KILOMETRAJE!G$10,IF(G24=8,KILOMETRAJE!G$11,IF(G24=9,KILOMETRAJE!G$12,IF(G24=10,KILOMETRAJE!G$13,IF(G24=11,KILOMETRAJE!G$14,IF(G24=12,KILOMETRAJE!G$15,IF(G24=13,KILOMETRAJE!G$16,IF(G24=14,KILOMETRAJE!G$17,IF(G24=15,KILOMETRAJE!G$18,IF(G24=16,KILOMETRAJE!G$19,IF(G24=17,KILOMETRAJE!G$20,IF(G24=18,KILOMETRAJE!G$21,IF(G24=19,KILOMETRAJE!G$22,IF(G24=20,KILOMETRAJE!G$23,IF(G24=21,KILOMETRAJE!G$24,IF(G24=22,KILOMETRAJE!G$25,IF(G24=23,KILOMETRAJE!G$26,IF(G24=24,KILOMETRAJE!G$27,IF(G24=25,KILOMETRAJE!G$28,IF(G24=26,KILOMETRAJE!G$29,IF(G24=27,KILOMETRAJE!G$30,IF(G24=28,KILOMETRAJE!G$31,IF(G24=29,KILOMETRAJE!G$32,IF(G24=30,KILOMETRAJE!G$33,IF(G24=31,KILOMETRAJE!G$34,IF(G24=32,KILOMETRAJE!G$35,IF(G24=33,KILOMETRAJE!G$36,IF(G24=34,KILOMETRAJE!G$37,IF(G24=35,KILOMETRAJE!G$38,IF(G24=36,KILOMETRAJE!G$39,IF(G24=37,KILOMETRAJE!G$40,IF(G24=38,KILOMETRAJE!G$41,IF(G24=39,KILOMETRAJE!G$42,IF(G24=40,KILOMETRAJE!G$43,IF(G24=41,KILOMETRAJE!G$44,IF(G24=42,KILOMETRAJE!G$45,IF(G24=43,KILOMETRAJE!G$46,IF(G24=44,KILOMETRAJE!G$47,IF(G24=45,KILOMETRAJE!G$48,IF(G24=46,KILOMETRAJE!G$49,IF(G24=47,KILOMETRAJE!G$50,IF(G24=48,KILOMETRAJE!G$51,IF(G24=49,KILOMETRAJE!G$52,IF(G24=50,KILOMETRAJE!G$53,IF(G24=51,KILOMETRAJE!G$54,IF(G24=52,KILOMETRAJE!G$55,IF(G24=53,KILOMETRAJE!G$56,IF(G24=54,KILOMETRAJE!G$57,IF(G24=55,KILOMETRAJE!G$58,IF(G24=56,KILOMETRAJE!G$59,IF(G24=57,KILOMETRAJE!G$60,IF(G24=58,KILOMETRAJE!G$61,IF(G24=59,KILOMETRAJE!G$62,IF(G24=60,KILOMETRAJE!G$63,IF(G24=61,KILOMETRAJE!G$64,IF(G24=62,KILOMETRAJE!G$65,IF(G24=63,KILOMETRAJE!G$66)))))))))))))))))))))))))))))))))))))))))))))))))))))))))))))))</f>
        <v>375</v>
      </c>
      <c r="K24" s="70">
        <v>229.95</v>
      </c>
      <c r="L24" s="72">
        <f>SUM(J23:J24)/K24</f>
        <v>3.2615786040443577</v>
      </c>
      <c r="M24" s="370">
        <v>952</v>
      </c>
      <c r="N24" s="70">
        <v>1</v>
      </c>
      <c r="O24" s="70" t="s">
        <v>440</v>
      </c>
      <c r="P24" s="70" t="s">
        <v>194</v>
      </c>
      <c r="Q24" s="67">
        <f t="shared" ref="Q24" si="2">((((IF(N24=1,((J24)*0.29333)))+(IF(N24=2,((J24)*0.146666)))+(IF(N24=3,((J24)*0.146666)))))+(IF(N24=4,((J24-40)*0.29333)))+(IF(N24=5,((J24-50)*0.29333)))+(IF(N24=6,((J24-90)*0.29333))))</f>
        <v>109.99874999999999</v>
      </c>
      <c r="R24" s="197">
        <f>+LOOKUP(P42,UNIDADES!B$3:B$59,UNIDADES!C$3:C$59)</f>
        <v>2.4509799999999999</v>
      </c>
      <c r="S24" s="378">
        <f>+((SUM(J23:J24))/R24)-K24</f>
        <v>76.050048960007871</v>
      </c>
      <c r="T24" s="461">
        <f>+S24*14.85</f>
        <v>1129.3432270561168</v>
      </c>
      <c r="U24" s="70"/>
      <c r="V24" s="70"/>
    </row>
    <row r="25" spans="2:22" x14ac:dyDescent="0.2">
      <c r="B25" s="14" t="s">
        <v>553</v>
      </c>
      <c r="C25" s="176">
        <v>46465</v>
      </c>
      <c r="D25" s="43" t="s">
        <v>606</v>
      </c>
      <c r="E25" s="42">
        <v>45955</v>
      </c>
      <c r="F25" s="42">
        <v>45956</v>
      </c>
      <c r="G25" s="43">
        <v>2</v>
      </c>
      <c r="H25" s="236" t="str">
        <f>IF(G25=1,KILOMETRAJE!C$4,IF(G25=2,KILOMETRAJE!C$5,IF(G25=3,KILOMETRAJE!C$6,IF(G25=4,KILOMETRAJE!C$7,IF(G25=5,KILOMETRAJE!C$8,IF(G25=6,KILOMETRAJE!C$9,IF(G25=7,KILOMETRAJE!C$10,IF(G25=8,KILOMETRAJE!C$11,IF(G25=9,KILOMETRAJE!C$12,IF(G25=10,KILOMETRAJE!C$13,IF(G25=11,KILOMETRAJE!C$14,IF(G25=12,KILOMETRAJE!C$15,IF(G25=13,KILOMETRAJE!C$16,IF(G25=14,KILOMETRAJE!C$17,IF(G25=15,KILOMETRAJE!C$18,IF(G25=16,KILOMETRAJE!C$19,IF(G25=17,KILOMETRAJE!C$20,IF(G25=18,KILOMETRAJE!C$21,IF(G25=19,KILOMETRAJE!C$22,IF(G25=20,KILOMETRAJE!C$23,IF(G25=21,KILOMETRAJE!C$24,IF(G25=22,KILOMETRAJE!C$25,IF(G25=23,KILOMETRAJE!C$26,IF(G25=24,KILOMETRAJE!C$27,IF(G25=25,KILOMETRAJE!C$28,IF(G25=26,KILOMETRAJE!C$29,IF(G25=27,KILOMETRAJE!C$30,IF(G25=28,KILOMETRAJE!C$31,IF(G25=29,KILOMETRAJE!C$32,IF(G25=30,KILOMETRAJE!C$33,IF(G25=31,KILOMETRAJE!C$34,IF(G25=32,KILOMETRAJE!C$35,IF(G25=33,KILOMETRAJE!C$36,IF(G25=34,KILOMETRAJE!C$37,IF(G25=35,KILOMETRAJE!C$38,IF(G25=36,KILOMETRAJE!C$39,IF(G25=37,KILOMETRAJE!C$40,IF(G25=38,KILOMETRAJE!C$41,IF(G25=39,KILOMETRAJE!C$42,IF(G25=40,KILOMETRAJE!C$43,IF(G25=41,KILOMETRAJE!C$44,IF(G25=42,KILOMETRAJE!C$45,IF(G25=43,KILOMETRAJE!C$46,IF(G25=44,KILOMETRAJE!C$47,IF(G25=45,KILOMETRAJE!C$48,IF(G25=46,KILOMETRAJE!C$49,IF(G25=47,KILOMETRAJE!C$50,IF(G25=48,KILOMETRAJE!C$51,IF(G25=49,KILOMETRAJE!C$52,IF(G25=50,KILOMETRAJE!C$53,IF(G25=51,KILOMETRAJE!C$54,IF(G25=52,KILOMETRAJE!C$55,IF(G25=53,KILOMETRAJE!C$56,IF(G25=54,KILOMETRAJE!C$57,IF(G25=55,KILOMETRAJE!C$58,IF(G25=56,KILOMETRAJE!C$59,IF(G25=57,KILOMETRAJE!C$60,IF(G25=58,KILOMETRAJE!C$61,IF(G25=59,KILOMETRAJE!C$62,IF(G25=60,KILOMETRAJE!C$63,IF(G25=61,KILOMETRAJE!C$64,IF(G25=62,KILOMETRAJE!C$65,IF(G25=63,KILOMETRAJE!C$66)))))))))))))))))))))))))))))))))))))))))))))))))))))))))))))))</f>
        <v>JRZ</v>
      </c>
      <c r="I25" s="236" t="str">
        <f>IF(G25=1,KILOMETRAJE!E$4,IF(G25=2,KILOMETRAJE!E$5,IF(G25=3,KILOMETRAJE!E$6,IF(G25=4,KILOMETRAJE!E$7,IF(G25=5,KILOMETRAJE!E$8,IF(G25=6,KILOMETRAJE!E$9,IF(G25=7,KILOMETRAJE!E$10,IF(G25=8,KILOMETRAJE!E$11,IF(G25=9,KILOMETRAJE!E$12,IF(G25=10,KILOMETRAJE!E$13,IF(G25=11,KILOMETRAJE!E$14,IF(G25=12,KILOMETRAJE!E$15,IF(G25=13,KILOMETRAJE!E$16,IF(G25=14,KILOMETRAJE!E$17,IF(G25=15,KILOMETRAJE!E$18,IF(G25=16,KILOMETRAJE!E$19,IF(G25=17,KILOMETRAJE!E$20,IF(G25=18,KILOMETRAJE!E$21,IF(G25=19,KILOMETRAJE!E$22,IF(G25=20,KILOMETRAJE!E$23,IF(G25=21,KILOMETRAJE!E$24,IF(G25=22,KILOMETRAJE!E$25,IF(G25=23,KILOMETRAJE!E$26,IF(G25=24,KILOMETRAJE!E$27,IF(G25=25,KILOMETRAJE!E$28,IF(G25=26,KILOMETRAJE!E$29,IF(G25=27,KILOMETRAJE!E$30,IF(G25=28,KILOMETRAJE!E$31,IF(G25=29,KILOMETRAJE!E$32,IF(G25=30,KILOMETRAJE!E$33,IF(G25=31,KILOMETRAJE!E$34,IF(G25=32,KILOMETRAJE!E$35,IF(G25=33,KILOMETRAJE!E$36,IF(G25=34,KILOMETRAJE!E$37,IF(G25=35,KILOMETRAJE!E$38,IF(G25=36,KILOMETRAJE!E$39,IF(G25=37,KILOMETRAJE!E$40,IF(G25=38,KILOMETRAJE!E$41,IF(G25=39,KILOMETRAJE!E$42,IF(G25=40,KILOMETRAJE!E$43,IF(G25=41,KILOMETRAJE!E$44,IF(G25=42,KILOMETRAJE!E$45,IF(G25=43,KILOMETRAJE!E$46,IF(G25=44,KILOMETRAJE!E$47,IF(G25=45,KILOMETRAJE!E$48,IF(G25=46,KILOMETRAJE!E$49,IF(G25=47,KILOMETRAJE!E$50,IF(G25=48,KILOMETRAJE!E$51,IF(G25=49,KILOMETRAJE!E$52,IF(G25=50,KILOMETRAJE!E$53,IF(G25=51,KILOMETRAJE!E$54,IF(G25=52,KILOMETRAJE!E$55,IF(G25=53,KILOMETRAJE!E$56,IF(G25=54,KILOMETRAJE!E$57,IF(G25=55,KILOMETRAJE!E$58,IF(G25=56,KILOMETRAJE!E$59,IF(G25=57,KILOMETRAJE!E$60,IF(G25=58,KILOMETRAJE!E$61,IF(G25=59,KILOMETRAJE!E$62,IF(G25=60,KILOMETRAJE!E$63,IF(G25=61,KILOMETRAJE!E$64,IF(G25=62,KILOMETRAJE!E$65,IF(G25=63,KILOMETRAJE!E$66)))))))))))))))))))))))))))))))))))))))))))))))))))))))))))))))</f>
        <v>CHIH.</v>
      </c>
      <c r="J25" s="237">
        <f>IF(G25=1,KILOMETRAJE!G$4,IF(G25=2,KILOMETRAJE!G$5,IF(G25=3,KILOMETRAJE!G$6,IF(G25=4,KILOMETRAJE!G$7,IF(G25=5,KILOMETRAJE!G$8,IF(G25=6,KILOMETRAJE!G$9,IF(G25=7,KILOMETRAJE!G$10,IF(G25=8,KILOMETRAJE!G$11,IF(G25=9,KILOMETRAJE!G$12,IF(G25=10,KILOMETRAJE!G$13,IF(G25=11,KILOMETRAJE!G$14,IF(G25=12,KILOMETRAJE!G$15,IF(G25=13,KILOMETRAJE!G$16,IF(G25=14,KILOMETRAJE!G$17,IF(G25=15,KILOMETRAJE!G$18,IF(G25=16,KILOMETRAJE!G$19,IF(G25=17,KILOMETRAJE!G$20,IF(G25=18,KILOMETRAJE!G$21,IF(G25=19,KILOMETRAJE!G$22,IF(G25=20,KILOMETRAJE!G$23,IF(G25=21,KILOMETRAJE!G$24,IF(G25=22,KILOMETRAJE!G$25,IF(G25=23,KILOMETRAJE!G$26,IF(G25=24,KILOMETRAJE!G$27,IF(G25=25,KILOMETRAJE!G$28,IF(G25=26,KILOMETRAJE!G$29,IF(G25=27,KILOMETRAJE!G$30,IF(G25=28,KILOMETRAJE!G$31,IF(G25=29,KILOMETRAJE!G$32,IF(G25=30,KILOMETRAJE!G$33,IF(G25=31,KILOMETRAJE!G$34,IF(G25=32,KILOMETRAJE!G$35,IF(G25=33,KILOMETRAJE!G$36,IF(G25=34,KILOMETRAJE!G$37,IF(G25=35,KILOMETRAJE!G$38,IF(G25=36,KILOMETRAJE!G$39,IF(G25=37,KILOMETRAJE!G$40,IF(G25=38,KILOMETRAJE!G$41,IF(G25=39,KILOMETRAJE!G$42,IF(G25=40,KILOMETRAJE!G$43,IF(G25=41,KILOMETRAJE!G$44,IF(G25=42,KILOMETRAJE!G$45,IF(G25=43,KILOMETRAJE!G$46,IF(G25=44,KILOMETRAJE!G$47,IF(G25=45,KILOMETRAJE!G$48,IF(G25=46,KILOMETRAJE!G$49,IF(G25=47,KILOMETRAJE!G$50,IF(G25=48,KILOMETRAJE!G$51,IF(G25=49,KILOMETRAJE!G$52,IF(G25=50,KILOMETRAJE!G$53,IF(G25=51,KILOMETRAJE!G$54,IF(G25=52,KILOMETRAJE!G$55,IF(G25=53,KILOMETRAJE!G$56,IF(G25=54,KILOMETRAJE!G$57,IF(G25=55,KILOMETRAJE!G$58,IF(G25=56,KILOMETRAJE!G$59,IF(G25=57,KILOMETRAJE!G$60,IF(G25=58,KILOMETRAJE!G$61,IF(G25=59,KILOMETRAJE!G$62,IF(G25=60,KILOMETRAJE!G$63,IF(G25=61,KILOMETRAJE!G$64,IF(G25=62,KILOMETRAJE!G$65,IF(G25=63,KILOMETRAJE!G$66)))))))))))))))))))))))))))))))))))))))))))))))))))))))))))))))</f>
        <v>375</v>
      </c>
      <c r="K25" s="24"/>
      <c r="L25" s="44"/>
      <c r="M25" s="348">
        <v>1365</v>
      </c>
      <c r="N25" s="24">
        <v>1</v>
      </c>
      <c r="O25" s="24">
        <v>1055</v>
      </c>
      <c r="P25" s="24" t="s">
        <v>203</v>
      </c>
      <c r="Q25" s="45">
        <f>((((IF(N25=1,((J25)*0.29333)))+(IF(N25=2,((J25)*0.146666)))+(IF(N25=3,((J25)*0.146666)))))+(IF(N25=4,((J25-40)*0.29333)))+(IF(N25=5,((J25-50)*0.29333)))+(IF(N25=6,((J25-90)*0.29333))))</f>
        <v>109.99874999999999</v>
      </c>
      <c r="R25" s="45"/>
      <c r="S25" s="49"/>
      <c r="T25" s="455"/>
      <c r="U25" s="24"/>
      <c r="V25" s="79"/>
    </row>
    <row r="26" spans="2:22" ht="12.75" thickBot="1" x14ac:dyDescent="0.25">
      <c r="B26" s="14" t="s">
        <v>553</v>
      </c>
      <c r="C26" s="101"/>
      <c r="D26" s="62" t="s">
        <v>607</v>
      </c>
      <c r="E26" s="25">
        <v>45956</v>
      </c>
      <c r="F26" s="25">
        <v>45956</v>
      </c>
      <c r="G26" s="62">
        <v>3</v>
      </c>
      <c r="H26" s="27" t="str">
        <f>IF(G26=1,KILOMETRAJE!C$4,IF(G26=2,KILOMETRAJE!C$5,IF(G26=3,KILOMETRAJE!C$6,IF(G26=4,KILOMETRAJE!C$7,IF(G26=5,KILOMETRAJE!C$8,IF(G26=6,KILOMETRAJE!C$9,IF(G26=7,KILOMETRAJE!C$10,IF(G26=8,KILOMETRAJE!C$11,IF(G26=9,KILOMETRAJE!C$12,IF(G26=10,KILOMETRAJE!C$13,IF(G26=11,KILOMETRAJE!C$14,IF(G26=12,KILOMETRAJE!C$15,IF(G26=13,KILOMETRAJE!C$16,IF(G26=14,KILOMETRAJE!C$17,IF(G26=15,KILOMETRAJE!C$18,IF(G26=16,KILOMETRAJE!C$19,IF(G26=17,KILOMETRAJE!C$20,IF(G26=18,KILOMETRAJE!C$21,IF(G26=19,KILOMETRAJE!C$22,IF(G26=20,KILOMETRAJE!C$23,IF(G26=21,KILOMETRAJE!C$24,IF(G26=22,KILOMETRAJE!C$25,IF(G26=23,KILOMETRAJE!C$26,IF(G26=24,KILOMETRAJE!C$27,IF(G26=25,KILOMETRAJE!C$28,IF(G26=26,KILOMETRAJE!C$29,IF(G26=27,KILOMETRAJE!C$30,IF(G26=28,KILOMETRAJE!C$31,IF(G26=29,KILOMETRAJE!C$32,IF(G26=30,KILOMETRAJE!C$33,IF(G26=31,KILOMETRAJE!C$34,IF(G26=32,KILOMETRAJE!C$35,IF(G26=33,KILOMETRAJE!C$36,IF(G26=34,KILOMETRAJE!C$37,IF(G26=35,KILOMETRAJE!C$38,IF(G26=36,KILOMETRAJE!C$39,IF(G26=37,KILOMETRAJE!C$40,IF(G26=38,KILOMETRAJE!C$41,IF(G26=39,KILOMETRAJE!C$42,IF(G26=40,KILOMETRAJE!C$43,IF(G26=41,KILOMETRAJE!C$44,IF(G26=42,KILOMETRAJE!C$45,IF(G26=43,KILOMETRAJE!C$46,IF(G26=44,KILOMETRAJE!C$47,IF(G26=45,KILOMETRAJE!C$48,IF(G26=46,KILOMETRAJE!C$49,IF(G26=47,KILOMETRAJE!C$50,IF(G26=48,KILOMETRAJE!C$51,IF(G26=49,KILOMETRAJE!C$52,IF(G26=50,KILOMETRAJE!C$53,IF(G26=51,KILOMETRAJE!C$54,IF(G26=52,KILOMETRAJE!C$55,IF(G26=53,KILOMETRAJE!C$56,IF(G26=54,KILOMETRAJE!C$57,IF(G26=55,KILOMETRAJE!C$58,IF(G26=56,KILOMETRAJE!C$59,IF(G26=57,KILOMETRAJE!C$60,IF(G26=58,KILOMETRAJE!C$61,IF(G26=59,KILOMETRAJE!C$62,IF(G26=60,KILOMETRAJE!C$63,IF(G26=61,KILOMETRAJE!C$64,IF(G26=62,KILOMETRAJE!C$65,IF(G26=63,KILOMETRAJE!C$66)))))))))))))))))))))))))))))))))))))))))))))))))))))))))))))))</f>
        <v xml:space="preserve">CHIH. </v>
      </c>
      <c r="I26" s="27" t="str">
        <f>IF(G26=1,KILOMETRAJE!E$4,IF(G26=2,KILOMETRAJE!E$5,IF(G26=3,KILOMETRAJE!E$6,IF(G26=4,KILOMETRAJE!E$7,IF(G26=5,KILOMETRAJE!E$8,IF(G26=6,KILOMETRAJE!E$9,IF(G26=7,KILOMETRAJE!E$10,IF(G26=8,KILOMETRAJE!E$11,IF(G26=9,KILOMETRAJE!E$12,IF(G26=10,KILOMETRAJE!E$13,IF(G26=11,KILOMETRAJE!E$14,IF(G26=12,KILOMETRAJE!E$15,IF(G26=13,KILOMETRAJE!E$16,IF(G26=14,KILOMETRAJE!E$17,IF(G26=15,KILOMETRAJE!E$18,IF(G26=16,KILOMETRAJE!E$19,IF(G26=17,KILOMETRAJE!E$20,IF(G26=18,KILOMETRAJE!E$21,IF(G26=19,KILOMETRAJE!E$22,IF(G26=20,KILOMETRAJE!E$23,IF(G26=21,KILOMETRAJE!E$24,IF(G26=22,KILOMETRAJE!E$25,IF(G26=23,KILOMETRAJE!E$26,IF(G26=24,KILOMETRAJE!E$27,IF(G26=25,KILOMETRAJE!E$28,IF(G26=26,KILOMETRAJE!E$29,IF(G26=27,KILOMETRAJE!E$30,IF(G26=28,KILOMETRAJE!E$31,IF(G26=29,KILOMETRAJE!E$32,IF(G26=30,KILOMETRAJE!E$33,IF(G26=31,KILOMETRAJE!E$34,IF(G26=32,KILOMETRAJE!E$35,IF(G26=33,KILOMETRAJE!E$36,IF(G26=34,KILOMETRAJE!E$37,IF(G26=35,KILOMETRAJE!E$38,IF(G26=36,KILOMETRAJE!E$39,IF(G26=37,KILOMETRAJE!E$40,IF(G26=38,KILOMETRAJE!E$41,IF(G26=39,KILOMETRAJE!E$42,IF(G26=40,KILOMETRAJE!E$43,IF(G26=41,KILOMETRAJE!E$44,IF(G26=42,KILOMETRAJE!E$45,IF(G26=43,KILOMETRAJE!E$46,IF(G26=44,KILOMETRAJE!E$47,IF(G26=45,KILOMETRAJE!E$48,IF(G26=46,KILOMETRAJE!E$49,IF(G26=47,KILOMETRAJE!E$50,IF(G26=48,KILOMETRAJE!E$51,IF(G26=49,KILOMETRAJE!E$52,IF(G26=50,KILOMETRAJE!E$53,IF(G26=51,KILOMETRAJE!E$54,IF(G26=52,KILOMETRAJE!E$55,IF(G26=53,KILOMETRAJE!E$56,IF(G26=54,KILOMETRAJE!E$57,IF(G26=55,KILOMETRAJE!E$58,IF(G26=56,KILOMETRAJE!E$59,IF(G26=57,KILOMETRAJE!E$60,IF(G26=58,KILOMETRAJE!E$61,IF(G26=59,KILOMETRAJE!E$62,IF(G26=60,KILOMETRAJE!E$63,IF(G26=61,KILOMETRAJE!E$64,IF(G26=62,KILOMETRAJE!E$65,IF(G26=63,KILOMETRAJE!E$66)))))))))))))))))))))))))))))))))))))))))))))))))))))))))))))))</f>
        <v>JRZ</v>
      </c>
      <c r="J26" s="31">
        <f>IF(G26=1,KILOMETRAJE!G$4,IF(G26=2,KILOMETRAJE!G$5,IF(G26=3,KILOMETRAJE!G$6,IF(G26=4,KILOMETRAJE!G$7,IF(G26=5,KILOMETRAJE!G$8,IF(G26=6,KILOMETRAJE!G$9,IF(G26=7,KILOMETRAJE!G$10,IF(G26=8,KILOMETRAJE!G$11,IF(G26=9,KILOMETRAJE!G$12,IF(G26=10,KILOMETRAJE!G$13,IF(G26=11,KILOMETRAJE!G$14,IF(G26=12,KILOMETRAJE!G$15,IF(G26=13,KILOMETRAJE!G$16,IF(G26=14,KILOMETRAJE!G$17,IF(G26=15,KILOMETRAJE!G$18,IF(G26=16,KILOMETRAJE!G$19,IF(G26=17,KILOMETRAJE!G$20,IF(G26=18,KILOMETRAJE!G$21,IF(G26=19,KILOMETRAJE!G$22,IF(G26=20,KILOMETRAJE!G$23,IF(G26=21,KILOMETRAJE!G$24,IF(G26=22,KILOMETRAJE!G$25,IF(G26=23,KILOMETRAJE!G$26,IF(G26=24,KILOMETRAJE!G$27,IF(G26=25,KILOMETRAJE!G$28,IF(G26=26,KILOMETRAJE!G$29,IF(G26=27,KILOMETRAJE!G$30,IF(G26=28,KILOMETRAJE!G$31,IF(G26=29,KILOMETRAJE!G$32,IF(G26=30,KILOMETRAJE!G$33,IF(G26=31,KILOMETRAJE!G$34,IF(G26=32,KILOMETRAJE!G$35,IF(G26=33,KILOMETRAJE!G$36,IF(G26=34,KILOMETRAJE!G$37,IF(G26=35,KILOMETRAJE!G$38,IF(G26=36,KILOMETRAJE!G$39,IF(G26=37,KILOMETRAJE!G$40,IF(G26=38,KILOMETRAJE!G$41,IF(G26=39,KILOMETRAJE!G$42,IF(G26=40,KILOMETRAJE!G$43,IF(G26=41,KILOMETRAJE!G$44,IF(G26=42,KILOMETRAJE!G$45,IF(G26=43,KILOMETRAJE!G$46,IF(G26=44,KILOMETRAJE!G$47,IF(G26=45,KILOMETRAJE!G$48,IF(G26=46,KILOMETRAJE!G$49,IF(G26=47,KILOMETRAJE!G$50,IF(G26=48,KILOMETRAJE!G$51,IF(G26=49,KILOMETRAJE!G$52,IF(G26=50,KILOMETRAJE!G$53,IF(G26=51,KILOMETRAJE!G$54,IF(G26=52,KILOMETRAJE!G$55,IF(G26=53,KILOMETRAJE!G$56,IF(G26=54,KILOMETRAJE!G$57,IF(G26=55,KILOMETRAJE!G$58,IF(G26=56,KILOMETRAJE!G$59,IF(G26=57,KILOMETRAJE!G$60,IF(G26=58,KILOMETRAJE!G$61,IF(G26=59,KILOMETRAJE!G$62,IF(G26=60,KILOMETRAJE!G$63,IF(G26=61,KILOMETRAJE!G$64,IF(G26=62,KILOMETRAJE!G$65,IF(G26=63,KILOMETRAJE!G$66)))))))))))))))))))))))))))))))))))))))))))))))))))))))))))))))</f>
        <v>375</v>
      </c>
      <c r="K26" s="27">
        <v>199.92</v>
      </c>
      <c r="L26" s="28">
        <f>SUM(J25:J26)/K26</f>
        <v>3.7515006002400964</v>
      </c>
      <c r="M26" s="349">
        <v>8069</v>
      </c>
      <c r="N26" s="27">
        <v>1</v>
      </c>
      <c r="O26" s="27" t="s">
        <v>608</v>
      </c>
      <c r="P26" s="27" t="s">
        <v>198</v>
      </c>
      <c r="Q26" s="29">
        <f t="shared" ref="Q26" si="3">((((IF(N26=1,((J26)*0.29333)))+(IF(N26=2,((J26)*0.146666)))+(IF(N26=3,((J26)*0.146666)))))+(IF(N26=4,((J26-40)*0.29333)))+(IF(N26=5,((J26-50)*0.29333)))+(IF(N26=6,((J26-90)*0.29333))))</f>
        <v>109.99874999999999</v>
      </c>
      <c r="R26" s="190">
        <f>+LOOKUP(P43,UNIDADES!B$3:B$59,UNIDADES!C$3:C$59)</f>
        <v>2.4509799999999999</v>
      </c>
      <c r="S26" s="50">
        <f>+((SUM(J25:J26))/R26)-K26</f>
        <v>106.08004896000787</v>
      </c>
      <c r="T26" s="456">
        <f>+S26*14.85</f>
        <v>1575.2887270561168</v>
      </c>
      <c r="U26" s="27"/>
      <c r="V26" s="55"/>
    </row>
    <row r="27" spans="2:22" hidden="1" x14ac:dyDescent="0.2">
      <c r="C27" s="238"/>
      <c r="D27" s="36"/>
      <c r="E27" s="37"/>
      <c r="F27" s="37"/>
      <c r="G27" s="36"/>
      <c r="H27" s="259"/>
      <c r="I27" s="259"/>
      <c r="J27" s="260"/>
      <c r="K27" s="38"/>
      <c r="L27" s="48"/>
      <c r="M27" s="350"/>
      <c r="N27" s="38"/>
      <c r="O27" s="38"/>
      <c r="P27" s="38"/>
      <c r="Q27" s="40"/>
      <c r="R27" s="121"/>
      <c r="S27" s="121"/>
      <c r="T27" s="458"/>
      <c r="U27" s="38"/>
      <c r="V27" s="38"/>
    </row>
    <row r="28" spans="2:22" ht="12.75" hidden="1" thickBot="1" x14ac:dyDescent="0.25">
      <c r="C28" s="101"/>
      <c r="D28" s="62"/>
      <c r="E28" s="25"/>
      <c r="F28" s="25"/>
      <c r="G28" s="62"/>
      <c r="H28" s="27"/>
      <c r="I28" s="27"/>
      <c r="J28" s="31"/>
      <c r="K28" s="27"/>
      <c r="L28" s="28"/>
      <c r="M28" s="349"/>
      <c r="N28" s="27"/>
      <c r="O28" s="27"/>
      <c r="P28" s="27"/>
      <c r="Q28" s="29"/>
      <c r="R28" s="451"/>
      <c r="S28" s="50"/>
      <c r="T28" s="456"/>
      <c r="U28" s="11"/>
      <c r="V28" s="11"/>
    </row>
    <row r="29" spans="2:22" ht="10.5" hidden="1" customHeight="1" x14ac:dyDescent="0.2">
      <c r="C29" s="238"/>
      <c r="D29" s="36"/>
      <c r="E29" s="37"/>
      <c r="F29" s="37"/>
      <c r="G29" s="36"/>
      <c r="H29" s="259"/>
      <c r="I29" s="259"/>
      <c r="J29" s="260"/>
      <c r="K29" s="38"/>
      <c r="L29" s="48"/>
      <c r="M29" s="350"/>
      <c r="N29" s="38"/>
      <c r="O29" s="38"/>
      <c r="P29" s="38"/>
      <c r="Q29" s="40"/>
      <c r="R29" s="40"/>
      <c r="S29" s="121"/>
      <c r="T29" s="458"/>
      <c r="U29" s="11"/>
      <c r="V29" s="11"/>
    </row>
    <row r="30" spans="2:22" ht="12.75" hidden="1" thickBot="1" x14ac:dyDescent="0.25">
      <c r="C30" s="101"/>
      <c r="D30" s="62"/>
      <c r="E30" s="25"/>
      <c r="F30" s="25"/>
      <c r="G30" s="62"/>
      <c r="H30" s="241"/>
      <c r="I30" s="241"/>
      <c r="J30" s="242"/>
      <c r="K30" s="27"/>
      <c r="L30" s="28"/>
      <c r="M30" s="349"/>
      <c r="N30" s="27"/>
      <c r="O30" s="27"/>
      <c r="P30" s="27"/>
      <c r="Q30" s="29"/>
      <c r="R30" s="185"/>
      <c r="S30" s="50"/>
      <c r="T30" s="456"/>
      <c r="U30" s="11"/>
      <c r="V30" s="11"/>
    </row>
    <row r="31" spans="2:22" hidden="1" x14ac:dyDescent="0.2">
      <c r="C31" s="238"/>
      <c r="D31" s="36"/>
      <c r="E31" s="37"/>
      <c r="F31" s="37"/>
      <c r="G31" s="36"/>
      <c r="H31" s="259"/>
      <c r="I31" s="259"/>
      <c r="J31" s="260"/>
      <c r="K31" s="38"/>
      <c r="L31" s="48"/>
      <c r="M31" s="350"/>
      <c r="N31" s="38"/>
      <c r="O31" s="38"/>
      <c r="P31" s="38"/>
      <c r="Q31" s="40"/>
      <c r="R31" s="40"/>
      <c r="S31" s="121"/>
      <c r="T31" s="458"/>
      <c r="U31" s="11"/>
      <c r="V31" s="11"/>
    </row>
    <row r="32" spans="2:22" ht="12.75" hidden="1" thickBot="1" x14ac:dyDescent="0.25">
      <c r="C32" s="101"/>
      <c r="D32" s="62"/>
      <c r="E32" s="25"/>
      <c r="F32" s="25"/>
      <c r="G32" s="62"/>
      <c r="H32" s="27"/>
      <c r="I32" s="27"/>
      <c r="J32" s="31"/>
      <c r="K32" s="27"/>
      <c r="L32" s="28"/>
      <c r="M32" s="349"/>
      <c r="N32" s="27"/>
      <c r="O32" s="27"/>
      <c r="P32" s="27"/>
      <c r="Q32" s="29"/>
      <c r="R32" s="29"/>
      <c r="S32" s="19"/>
      <c r="T32" s="456"/>
      <c r="U32" s="11"/>
      <c r="V32" s="11"/>
    </row>
    <row r="33" spans="3:23" ht="12.75" thickBot="1" x14ac:dyDescent="0.25">
      <c r="I33" s="15"/>
    </row>
    <row r="34" spans="3:23" x14ac:dyDescent="0.2">
      <c r="E34" s="629" t="s">
        <v>34</v>
      </c>
      <c r="F34" s="646">
        <f>+'AGUILAR ESQUIVEL CARLOS'!F34:G34</f>
        <v>45957</v>
      </c>
      <c r="G34" s="647"/>
      <c r="H34" s="16">
        <f>+F34+1</f>
        <v>45958</v>
      </c>
      <c r="I34" s="16">
        <f>+H34+1</f>
        <v>45959</v>
      </c>
      <c r="J34" s="16">
        <f>+I34+1</f>
        <v>45960</v>
      </c>
      <c r="K34" s="16">
        <f>+J34+1</f>
        <v>45961</v>
      </c>
      <c r="L34" s="16">
        <f>+K34+2</f>
        <v>45963</v>
      </c>
      <c r="M34" s="17" t="s">
        <v>35</v>
      </c>
    </row>
    <row r="35" spans="3:23" ht="12.75" thickBot="1" x14ac:dyDescent="0.25">
      <c r="E35" s="630"/>
      <c r="F35" s="657"/>
      <c r="G35" s="658"/>
      <c r="H35" s="29"/>
      <c r="I35" s="29"/>
      <c r="J35" s="29"/>
      <c r="K35" s="29"/>
      <c r="L35" s="29"/>
      <c r="M35" s="30">
        <f>SUM(F35:L35)</f>
        <v>0</v>
      </c>
    </row>
    <row r="36" spans="3:23" ht="12.75" thickBot="1" x14ac:dyDescent="0.25">
      <c r="I36" s="15"/>
    </row>
    <row r="37" spans="3:23" ht="13.5" thickBot="1" x14ac:dyDescent="0.25">
      <c r="C37" s="608" t="s">
        <v>36</v>
      </c>
      <c r="D37" s="609"/>
      <c r="E37" s="609"/>
      <c r="F37" s="609"/>
      <c r="G37" s="610"/>
      <c r="I37" s="620" t="s">
        <v>37</v>
      </c>
      <c r="J37" s="621"/>
      <c r="K37" s="621"/>
      <c r="L37" s="622"/>
      <c r="M37" s="298"/>
      <c r="O37" s="611" t="s">
        <v>38</v>
      </c>
      <c r="P37" s="612"/>
      <c r="Q37" s="613">
        <f>+F49-L46</f>
        <v>7454.0199082244671</v>
      </c>
      <c r="R37" s="614"/>
      <c r="S37" s="615"/>
    </row>
    <row r="38" spans="3:23" ht="12.75" thickBot="1" x14ac:dyDescent="0.25">
      <c r="C38" s="616" t="s">
        <v>219</v>
      </c>
      <c r="D38" s="617"/>
      <c r="E38" s="617"/>
      <c r="F38" s="618">
        <f>SUM(Q18:Q33)</f>
        <v>824.99099999999987</v>
      </c>
      <c r="G38" s="619"/>
      <c r="I38" s="114" t="s">
        <v>125</v>
      </c>
      <c r="J38" s="68" t="s">
        <v>126</v>
      </c>
      <c r="K38" s="68" t="s">
        <v>70</v>
      </c>
      <c r="L38" s="115" t="s">
        <v>127</v>
      </c>
      <c r="M38" s="346"/>
    </row>
    <row r="39" spans="3:23" ht="13.5" customHeight="1" thickBot="1" x14ac:dyDescent="0.25">
      <c r="C39" s="602" t="s">
        <v>220</v>
      </c>
      <c r="D39" s="603"/>
      <c r="E39" s="603"/>
      <c r="F39" s="604">
        <f>SUM(T18:T33)</f>
        <v>5779.0289082244672</v>
      </c>
      <c r="G39" s="605"/>
      <c r="I39" s="328"/>
      <c r="J39" s="547"/>
      <c r="K39" s="329"/>
      <c r="L39" s="119"/>
      <c r="M39" s="346"/>
      <c r="O39" s="74" t="s">
        <v>70</v>
      </c>
      <c r="P39" s="75" t="s">
        <v>71</v>
      </c>
      <c r="Q39" s="76" t="s">
        <v>72</v>
      </c>
      <c r="R39" s="76"/>
      <c r="S39" s="77" t="s">
        <v>73</v>
      </c>
      <c r="T39" s="75" t="s">
        <v>74</v>
      </c>
      <c r="U39" s="74" t="s">
        <v>145</v>
      </c>
      <c r="V39" s="75" t="s">
        <v>146</v>
      </c>
      <c r="W39" s="326" t="s">
        <v>284</v>
      </c>
    </row>
    <row r="40" spans="3:23" x14ac:dyDescent="0.2">
      <c r="C40" s="602" t="s">
        <v>34</v>
      </c>
      <c r="D40" s="603"/>
      <c r="E40" s="603"/>
      <c r="F40" s="604">
        <f>+M35</f>
        <v>0</v>
      </c>
      <c r="G40" s="605"/>
      <c r="I40" s="310"/>
      <c r="J40" s="117"/>
      <c r="K40" s="61"/>
      <c r="L40" s="111"/>
      <c r="M40" s="346"/>
      <c r="O40" s="78">
        <v>46405</v>
      </c>
      <c r="P40" s="79" t="s">
        <v>160</v>
      </c>
      <c r="Q40" s="78">
        <v>141550</v>
      </c>
      <c r="R40" s="24"/>
      <c r="S40" s="24">
        <v>142251</v>
      </c>
      <c r="T40" s="79">
        <f t="shared" ref="T40:T43" si="4">+S40-Q40</f>
        <v>701</v>
      </c>
      <c r="U40" s="137">
        <f>SUM(J19:J20)</f>
        <v>750</v>
      </c>
      <c r="V40" s="79">
        <f>+K20</f>
        <v>209.97</v>
      </c>
      <c r="W40" s="353">
        <f>(SUM(M19:M20)/2)</f>
        <v>628</v>
      </c>
    </row>
    <row r="41" spans="3:23" x14ac:dyDescent="0.2">
      <c r="C41" s="602" t="s">
        <v>186</v>
      </c>
      <c r="D41" s="603"/>
      <c r="E41" s="603"/>
      <c r="F41" s="604">
        <v>100</v>
      </c>
      <c r="G41" s="605"/>
      <c r="I41" s="94"/>
      <c r="J41" s="117"/>
      <c r="K41" s="61"/>
      <c r="L41" s="111"/>
      <c r="M41" s="346"/>
      <c r="O41" s="32">
        <v>46434</v>
      </c>
      <c r="P41" s="53" t="s">
        <v>160</v>
      </c>
      <c r="Q41" s="32">
        <v>142310</v>
      </c>
      <c r="R41" s="11"/>
      <c r="S41" s="11">
        <v>143008</v>
      </c>
      <c r="T41" s="53">
        <f t="shared" si="4"/>
        <v>698</v>
      </c>
      <c r="U41" s="309">
        <f>SUM(J21:J22)</f>
        <v>750</v>
      </c>
      <c r="V41" s="53">
        <f>+K22</f>
        <v>195</v>
      </c>
      <c r="W41" s="354">
        <f>(SUM(M21:M22)/2)</f>
        <v>5413.5</v>
      </c>
    </row>
    <row r="42" spans="3:23" x14ac:dyDescent="0.2">
      <c r="C42" s="602" t="s">
        <v>39</v>
      </c>
      <c r="D42" s="603"/>
      <c r="E42" s="603"/>
      <c r="F42" s="604"/>
      <c r="G42" s="605"/>
      <c r="I42" s="94"/>
      <c r="J42" s="117"/>
      <c r="K42" s="61"/>
      <c r="L42" s="111"/>
      <c r="M42" s="346"/>
      <c r="O42" s="32">
        <v>46462</v>
      </c>
      <c r="P42" s="53" t="s">
        <v>160</v>
      </c>
      <c r="Q42" s="32">
        <v>143008</v>
      </c>
      <c r="R42" s="63"/>
      <c r="S42" s="11">
        <v>143707</v>
      </c>
      <c r="T42" s="53">
        <f t="shared" si="4"/>
        <v>699</v>
      </c>
      <c r="U42" s="136">
        <f>SUM(J23:J24)</f>
        <v>750</v>
      </c>
      <c r="V42" s="53">
        <f>+K24</f>
        <v>229.95</v>
      </c>
      <c r="W42" s="354">
        <f>(SUM(M23:M24)/2)</f>
        <v>2808.5</v>
      </c>
    </row>
    <row r="43" spans="3:23" x14ac:dyDescent="0.2">
      <c r="C43" s="602" t="s">
        <v>116</v>
      </c>
      <c r="D43" s="603"/>
      <c r="E43" s="603"/>
      <c r="F43" s="604">
        <v>750</v>
      </c>
      <c r="G43" s="605"/>
      <c r="I43" s="94"/>
      <c r="J43" s="117"/>
      <c r="K43" s="61"/>
      <c r="L43" s="111"/>
      <c r="M43" s="346"/>
      <c r="O43" s="32">
        <v>46465</v>
      </c>
      <c r="P43" s="53" t="s">
        <v>160</v>
      </c>
      <c r="Q43" s="32">
        <v>143702</v>
      </c>
      <c r="R43" s="63"/>
      <c r="S43" s="11">
        <v>144406</v>
      </c>
      <c r="T43" s="53">
        <f t="shared" si="4"/>
        <v>704</v>
      </c>
      <c r="U43" s="136">
        <f>SUM(J25:J26)</f>
        <v>750</v>
      </c>
      <c r="V43" s="53">
        <f>+K26</f>
        <v>199.92</v>
      </c>
      <c r="W43" s="354">
        <f>(SUM(M25:M26)/2)</f>
        <v>4717</v>
      </c>
    </row>
    <row r="44" spans="3:23" x14ac:dyDescent="0.2">
      <c r="C44" s="602" t="s">
        <v>40</v>
      </c>
      <c r="D44" s="603"/>
      <c r="E44" s="603"/>
      <c r="F44" s="604"/>
      <c r="G44" s="605"/>
      <c r="I44" s="94"/>
      <c r="J44" s="117"/>
      <c r="K44" s="61"/>
      <c r="L44" s="111"/>
      <c r="M44" s="346"/>
      <c r="O44" s="32"/>
      <c r="P44" s="53"/>
      <c r="Q44" s="32"/>
      <c r="R44" s="95"/>
      <c r="S44" s="11"/>
      <c r="T44" s="53">
        <f>+S44-Q44</f>
        <v>0</v>
      </c>
      <c r="U44" s="136">
        <f>SUM(J27:J28)</f>
        <v>0</v>
      </c>
      <c r="V44" s="53">
        <f>+K28</f>
        <v>0</v>
      </c>
      <c r="W44" s="354">
        <f>(SUM(M27:M28)/2)</f>
        <v>0</v>
      </c>
    </row>
    <row r="45" spans="3:23" ht="12.75" thickBot="1" x14ac:dyDescent="0.25">
      <c r="C45" s="602" t="s">
        <v>124</v>
      </c>
      <c r="D45" s="603"/>
      <c r="E45" s="603"/>
      <c r="F45" s="604">
        <v>0</v>
      </c>
      <c r="G45" s="605"/>
      <c r="I45" s="282"/>
      <c r="J45" s="285"/>
      <c r="K45" s="62"/>
      <c r="L45" s="283"/>
      <c r="M45" s="346"/>
      <c r="O45" s="32"/>
      <c r="P45" s="53"/>
      <c r="Q45" s="32"/>
      <c r="R45" s="95"/>
      <c r="S45" s="11"/>
      <c r="T45" s="53">
        <f>+S45-Q45</f>
        <v>0</v>
      </c>
      <c r="U45" s="136">
        <f>SUM(J29:J30)</f>
        <v>0</v>
      </c>
      <c r="V45" s="53">
        <f>+K30</f>
        <v>0</v>
      </c>
      <c r="W45" s="354">
        <f>(SUM(M29:M30)/2)</f>
        <v>0</v>
      </c>
    </row>
    <row r="46" spans="3:23" ht="13.5" customHeight="1" thickBot="1" x14ac:dyDescent="0.25">
      <c r="C46" s="602" t="s">
        <v>224</v>
      </c>
      <c r="D46" s="603"/>
      <c r="E46" s="603"/>
      <c r="F46" s="606">
        <v>0</v>
      </c>
      <c r="G46" s="607"/>
      <c r="I46" s="597" t="s">
        <v>41</v>
      </c>
      <c r="J46" s="598"/>
      <c r="K46" s="632"/>
      <c r="L46" s="284">
        <f>SUM(L39:L45)</f>
        <v>0</v>
      </c>
      <c r="M46" s="347"/>
      <c r="O46" s="113"/>
      <c r="P46" s="264"/>
      <c r="Q46" s="113"/>
      <c r="R46" s="83"/>
      <c r="S46" s="81"/>
      <c r="T46" s="82"/>
      <c r="U46" s="138">
        <f>SUM(J31:J32)</f>
        <v>0</v>
      </c>
      <c r="V46" s="55">
        <f>+K32</f>
        <v>0</v>
      </c>
      <c r="W46" s="355">
        <f>(SUM(M31:M32)/2)</f>
        <v>0</v>
      </c>
    </row>
    <row r="47" spans="3:23" ht="13.5" customHeight="1" x14ac:dyDescent="0.2">
      <c r="C47" s="602" t="s">
        <v>110</v>
      </c>
      <c r="D47" s="603"/>
      <c r="E47" s="603"/>
      <c r="F47" s="606">
        <v>0</v>
      </c>
      <c r="G47" s="607"/>
      <c r="R47" s="21"/>
      <c r="S47" s="21"/>
      <c r="T47" s="21"/>
      <c r="U47" s="139"/>
      <c r="V47" s="271"/>
    </row>
    <row r="48" spans="3:23" ht="13.5" customHeight="1" thickBot="1" x14ac:dyDescent="0.25">
      <c r="C48" s="593" t="s">
        <v>363</v>
      </c>
      <c r="D48" s="594"/>
      <c r="E48" s="594"/>
      <c r="F48" s="595"/>
      <c r="G48" s="596"/>
      <c r="R48" s="21"/>
      <c r="S48" s="21"/>
      <c r="T48" s="21"/>
      <c r="U48" s="139"/>
      <c r="V48" s="271"/>
    </row>
    <row r="49" spans="3:22" ht="13.5" thickBot="1" x14ac:dyDescent="0.25">
      <c r="C49" s="597" t="s">
        <v>42</v>
      </c>
      <c r="D49" s="598"/>
      <c r="E49" s="599"/>
      <c r="F49" s="600">
        <f>SUM(F38:G48)</f>
        <v>7454.0199082244671</v>
      </c>
      <c r="G49" s="601"/>
      <c r="R49" s="21"/>
      <c r="S49" s="21"/>
      <c r="T49" s="21"/>
      <c r="U49" s="139"/>
      <c r="V49" s="271"/>
    </row>
    <row r="50" spans="3:22" ht="13.5" customHeight="1" thickBot="1" x14ac:dyDescent="0.25">
      <c r="P50" s="588" t="s">
        <v>48</v>
      </c>
      <c r="Q50" s="589"/>
      <c r="R50" s="590"/>
      <c r="S50" s="21"/>
      <c r="T50" s="21"/>
      <c r="U50" s="139"/>
      <c r="V50" s="271"/>
    </row>
    <row r="51" spans="3:22" ht="12.75" customHeight="1" x14ac:dyDescent="0.2">
      <c r="C51" s="246" t="s">
        <v>43</v>
      </c>
      <c r="D51" s="247"/>
      <c r="E51" s="247"/>
      <c r="F51" s="247"/>
      <c r="G51" s="247"/>
      <c r="H51" s="247"/>
      <c r="I51" s="247"/>
      <c r="J51" s="247"/>
      <c r="K51" s="247"/>
      <c r="L51" s="248"/>
      <c r="M51" s="251"/>
      <c r="P51" s="78">
        <v>1</v>
      </c>
      <c r="Q51" s="584" t="s">
        <v>49</v>
      </c>
      <c r="R51" s="585"/>
      <c r="S51" s="21"/>
      <c r="T51" s="21"/>
      <c r="U51" s="249"/>
    </row>
    <row r="52" spans="3:22" ht="12.75" customHeight="1" x14ac:dyDescent="0.2">
      <c r="C52" s="250"/>
      <c r="D52" s="251"/>
      <c r="E52" s="251"/>
      <c r="F52" s="251"/>
      <c r="G52" s="251"/>
      <c r="H52" s="251"/>
      <c r="I52" s="251"/>
      <c r="J52" s="251"/>
      <c r="K52" s="251"/>
      <c r="L52" s="252"/>
      <c r="M52" s="251"/>
      <c r="P52" s="32">
        <v>2</v>
      </c>
      <c r="Q52" s="586" t="s">
        <v>135</v>
      </c>
      <c r="R52" s="587"/>
      <c r="S52" s="21"/>
      <c r="T52" s="249"/>
    </row>
    <row r="53" spans="3:22" ht="12.75" thickBot="1" x14ac:dyDescent="0.25">
      <c r="C53" s="253"/>
      <c r="D53" s="254"/>
      <c r="E53" s="254"/>
      <c r="F53" s="254"/>
      <c r="G53" s="254"/>
      <c r="H53" s="254"/>
      <c r="I53" s="254"/>
      <c r="J53" s="254"/>
      <c r="K53" s="254"/>
      <c r="L53" s="255"/>
      <c r="M53" s="251"/>
      <c r="P53" s="32">
        <v>3</v>
      </c>
      <c r="Q53" s="586" t="s">
        <v>130</v>
      </c>
      <c r="R53" s="587"/>
      <c r="S53" s="21"/>
      <c r="T53" s="249"/>
    </row>
    <row r="54" spans="3:22" x14ac:dyDescent="0.2">
      <c r="P54" s="32">
        <v>4</v>
      </c>
      <c r="Q54" s="586" t="s">
        <v>228</v>
      </c>
      <c r="R54" s="587"/>
      <c r="S54" s="21"/>
      <c r="T54" s="249"/>
    </row>
    <row r="55" spans="3:22" ht="12.75" thickBot="1" x14ac:dyDescent="0.25">
      <c r="P55" s="32">
        <v>5</v>
      </c>
      <c r="Q55" s="586" t="s">
        <v>229</v>
      </c>
      <c r="R55" s="587"/>
      <c r="S55" s="21"/>
    </row>
    <row r="56" spans="3:22" ht="14.25" customHeight="1" thickTop="1" thickBot="1" x14ac:dyDescent="0.25">
      <c r="D56" s="631" t="s">
        <v>44</v>
      </c>
      <c r="E56" s="631"/>
      <c r="F56" s="631"/>
      <c r="G56" s="631"/>
      <c r="H56" s="631"/>
      <c r="J56" s="631" t="s">
        <v>45</v>
      </c>
      <c r="K56" s="631"/>
      <c r="L56" s="631"/>
      <c r="M56" s="631"/>
      <c r="N56" s="631"/>
      <c r="P56" s="54">
        <v>6</v>
      </c>
      <c r="Q56" s="591" t="s">
        <v>230</v>
      </c>
      <c r="R56" s="592"/>
      <c r="S56" s="21"/>
      <c r="T56" s="21"/>
    </row>
    <row r="57" spans="3:22" x14ac:dyDescent="0.2">
      <c r="S57" s="21"/>
      <c r="T57" s="21"/>
    </row>
  </sheetData>
  <mergeCells count="56">
    <mergeCell ref="O37:P37"/>
    <mergeCell ref="Q37:S37"/>
    <mergeCell ref="F34:G34"/>
    <mergeCell ref="F35:G35"/>
    <mergeCell ref="I6:O6"/>
    <mergeCell ref="Q6:S6"/>
    <mergeCell ref="I9:O9"/>
    <mergeCell ref="L11:S11"/>
    <mergeCell ref="E12:F12"/>
    <mergeCell ref="D13:E13"/>
    <mergeCell ref="D14:E14"/>
    <mergeCell ref="D15:E15"/>
    <mergeCell ref="D16:E16"/>
    <mergeCell ref="E34:E35"/>
    <mergeCell ref="Q2:S2"/>
    <mergeCell ref="I3:O3"/>
    <mergeCell ref="Q3:S3"/>
    <mergeCell ref="I4:O4"/>
    <mergeCell ref="I5:O5"/>
    <mergeCell ref="Q5:S5"/>
    <mergeCell ref="C38:E38"/>
    <mergeCell ref="F38:G38"/>
    <mergeCell ref="I37:L37"/>
    <mergeCell ref="C39:E39"/>
    <mergeCell ref="F39:G39"/>
    <mergeCell ref="C37:G37"/>
    <mergeCell ref="C40:E40"/>
    <mergeCell ref="F40:G40"/>
    <mergeCell ref="C41:E41"/>
    <mergeCell ref="F41:G41"/>
    <mergeCell ref="C42:E42"/>
    <mergeCell ref="F42:G42"/>
    <mergeCell ref="I46:K46"/>
    <mergeCell ref="F43:G43"/>
    <mergeCell ref="F44:G44"/>
    <mergeCell ref="C44:E44"/>
    <mergeCell ref="C43:E43"/>
    <mergeCell ref="C45:E45"/>
    <mergeCell ref="F45:G45"/>
    <mergeCell ref="C46:E46"/>
    <mergeCell ref="F46:G46"/>
    <mergeCell ref="C47:E47"/>
    <mergeCell ref="F47:G47"/>
    <mergeCell ref="C48:E48"/>
    <mergeCell ref="F48:G48"/>
    <mergeCell ref="Q53:R53"/>
    <mergeCell ref="Q54:R54"/>
    <mergeCell ref="Q55:R55"/>
    <mergeCell ref="Q56:R56"/>
    <mergeCell ref="C49:E49"/>
    <mergeCell ref="Q52:R52"/>
    <mergeCell ref="D56:H56"/>
    <mergeCell ref="J56:N56"/>
    <mergeCell ref="F49:G49"/>
    <mergeCell ref="P50:R50"/>
    <mergeCell ref="Q51:R51"/>
  </mergeCells>
  <pageMargins left="0.19685039370078741" right="0" top="0.35433070866141736" bottom="0.35433070866141736" header="0.31496062992125984" footer="0.31496062992125984"/>
  <pageSetup paperSize="9" scale="74" orientation="landscape" horizontalDpi="300" verticalDpi="30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Hoja18">
    <pageSetUpPr fitToPage="1"/>
  </sheetPr>
  <dimension ref="C1:W61"/>
  <sheetViews>
    <sheetView zoomScaleNormal="100" workbookViewId="0">
      <selection activeCell="I40" sqref="I40:L44"/>
    </sheetView>
  </sheetViews>
  <sheetFormatPr baseColWidth="10" defaultColWidth="9.140625" defaultRowHeight="12" x14ac:dyDescent="0.2"/>
  <cols>
    <col min="1" max="1" width="1.85546875" style="14" customWidth="1"/>
    <col min="2" max="2" width="1.28515625" style="14" customWidth="1"/>
    <col min="3" max="3" width="14" style="14" customWidth="1"/>
    <col min="4" max="4" width="12" style="14" bestFit="1" customWidth="1"/>
    <col min="5" max="5" width="8.7109375" style="14" customWidth="1"/>
    <col min="6" max="6" width="9.5703125" style="14" customWidth="1"/>
    <col min="7" max="7" width="4.28515625" style="14" customWidth="1"/>
    <col min="8" max="8" width="11" style="14" customWidth="1"/>
    <col min="9" max="9" width="10" style="14" customWidth="1"/>
    <col min="10" max="10" width="9.85546875" style="14" bestFit="1" customWidth="1"/>
    <col min="11" max="11" width="11.5703125" style="14" customWidth="1"/>
    <col min="12" max="13" width="12.7109375" style="14" customWidth="1"/>
    <col min="14" max="14" width="10.5703125" style="14" customWidth="1"/>
    <col min="15" max="15" width="10.140625" style="14" customWidth="1"/>
    <col min="16" max="16" width="15" style="14" customWidth="1"/>
    <col min="17" max="17" width="12.140625" style="14" bestFit="1" customWidth="1"/>
    <col min="18" max="18" width="11.28515625" style="14" hidden="1" customWidth="1"/>
    <col min="19" max="19" width="10.7109375" style="14" customWidth="1"/>
    <col min="20" max="20" width="11.42578125" style="14" customWidth="1"/>
    <col min="21" max="21" width="7.5703125" style="14" customWidth="1"/>
    <col min="22" max="22" width="9.28515625" style="14" customWidth="1"/>
    <col min="23" max="23" width="14.42578125" style="14" customWidth="1"/>
    <col min="24" max="25" width="9.140625" style="14" customWidth="1"/>
    <col min="26" max="259" width="9.140625" style="14"/>
    <col min="260" max="260" width="5.7109375" style="14" customWidth="1"/>
    <col min="261" max="261" width="13.140625" style="14" customWidth="1"/>
    <col min="262" max="262" width="12.28515625" style="14" customWidth="1"/>
    <col min="263" max="263" width="8.85546875" style="14" customWidth="1"/>
    <col min="264" max="264" width="10.85546875" style="14" customWidth="1"/>
    <col min="265" max="265" width="2.85546875" style="14" customWidth="1"/>
    <col min="266" max="266" width="12.140625" style="14" customWidth="1"/>
    <col min="267" max="267" width="10.140625" style="14" customWidth="1"/>
    <col min="268" max="268" width="11.7109375" style="14" customWidth="1"/>
    <col min="269" max="269" width="11.42578125" style="14" customWidth="1"/>
    <col min="270" max="270" width="12.7109375" style="14" customWidth="1"/>
    <col min="271" max="271" width="11.42578125" style="14" customWidth="1"/>
    <col min="272" max="272" width="10.7109375" style="14" customWidth="1"/>
    <col min="273" max="273" width="10.5703125" style="14" customWidth="1"/>
    <col min="274" max="274" width="11.28515625" style="14" customWidth="1"/>
    <col min="275" max="275" width="9.7109375" style="14" customWidth="1"/>
    <col min="276" max="276" width="12" style="14" customWidth="1"/>
    <col min="277" max="277" width="11.28515625" style="14" customWidth="1"/>
    <col min="278" max="515" width="9.140625" style="14"/>
    <col min="516" max="516" width="5.7109375" style="14" customWidth="1"/>
    <col min="517" max="517" width="13.140625" style="14" customWidth="1"/>
    <col min="518" max="518" width="12.28515625" style="14" customWidth="1"/>
    <col min="519" max="519" width="8.85546875" style="14" customWidth="1"/>
    <col min="520" max="520" width="10.85546875" style="14" customWidth="1"/>
    <col min="521" max="521" width="2.85546875" style="14" customWidth="1"/>
    <col min="522" max="522" width="12.140625" style="14" customWidth="1"/>
    <col min="523" max="523" width="10.140625" style="14" customWidth="1"/>
    <col min="524" max="524" width="11.7109375" style="14" customWidth="1"/>
    <col min="525" max="525" width="11.42578125" style="14" customWidth="1"/>
    <col min="526" max="526" width="12.7109375" style="14" customWidth="1"/>
    <col min="527" max="527" width="11.42578125" style="14" customWidth="1"/>
    <col min="528" max="528" width="10.7109375" style="14" customWidth="1"/>
    <col min="529" max="529" width="10.5703125" style="14" customWidth="1"/>
    <col min="530" max="530" width="11.28515625" style="14" customWidth="1"/>
    <col min="531" max="531" width="9.7109375" style="14" customWidth="1"/>
    <col min="532" max="532" width="12" style="14" customWidth="1"/>
    <col min="533" max="533" width="11.28515625" style="14" customWidth="1"/>
    <col min="534" max="771" width="9.140625" style="14"/>
    <col min="772" max="772" width="5.7109375" style="14" customWidth="1"/>
    <col min="773" max="773" width="13.140625" style="14" customWidth="1"/>
    <col min="774" max="774" width="12.28515625" style="14" customWidth="1"/>
    <col min="775" max="775" width="8.85546875" style="14" customWidth="1"/>
    <col min="776" max="776" width="10.85546875" style="14" customWidth="1"/>
    <col min="777" max="777" width="2.85546875" style="14" customWidth="1"/>
    <col min="778" max="778" width="12.140625" style="14" customWidth="1"/>
    <col min="779" max="779" width="10.140625" style="14" customWidth="1"/>
    <col min="780" max="780" width="11.7109375" style="14" customWidth="1"/>
    <col min="781" max="781" width="11.42578125" style="14" customWidth="1"/>
    <col min="782" max="782" width="12.7109375" style="14" customWidth="1"/>
    <col min="783" max="783" width="11.42578125" style="14" customWidth="1"/>
    <col min="784" max="784" width="10.7109375" style="14" customWidth="1"/>
    <col min="785" max="785" width="10.5703125" style="14" customWidth="1"/>
    <col min="786" max="786" width="11.28515625" style="14" customWidth="1"/>
    <col min="787" max="787" width="9.7109375" style="14" customWidth="1"/>
    <col min="788" max="788" width="12" style="14" customWidth="1"/>
    <col min="789" max="789" width="11.28515625" style="14" customWidth="1"/>
    <col min="790" max="1027" width="9.140625" style="14"/>
    <col min="1028" max="1028" width="5.7109375" style="14" customWidth="1"/>
    <col min="1029" max="1029" width="13.140625" style="14" customWidth="1"/>
    <col min="1030" max="1030" width="12.28515625" style="14" customWidth="1"/>
    <col min="1031" max="1031" width="8.85546875" style="14" customWidth="1"/>
    <col min="1032" max="1032" width="10.85546875" style="14" customWidth="1"/>
    <col min="1033" max="1033" width="2.85546875" style="14" customWidth="1"/>
    <col min="1034" max="1034" width="12.140625" style="14" customWidth="1"/>
    <col min="1035" max="1035" width="10.140625" style="14" customWidth="1"/>
    <col min="1036" max="1036" width="11.7109375" style="14" customWidth="1"/>
    <col min="1037" max="1037" width="11.42578125" style="14" customWidth="1"/>
    <col min="1038" max="1038" width="12.7109375" style="14" customWidth="1"/>
    <col min="1039" max="1039" width="11.42578125" style="14" customWidth="1"/>
    <col min="1040" max="1040" width="10.7109375" style="14" customWidth="1"/>
    <col min="1041" max="1041" width="10.5703125" style="14" customWidth="1"/>
    <col min="1042" max="1042" width="11.28515625" style="14" customWidth="1"/>
    <col min="1043" max="1043" width="9.7109375" style="14" customWidth="1"/>
    <col min="1044" max="1044" width="12" style="14" customWidth="1"/>
    <col min="1045" max="1045" width="11.28515625" style="14" customWidth="1"/>
    <col min="1046" max="1283" width="9.140625" style="14"/>
    <col min="1284" max="1284" width="5.7109375" style="14" customWidth="1"/>
    <col min="1285" max="1285" width="13.140625" style="14" customWidth="1"/>
    <col min="1286" max="1286" width="12.28515625" style="14" customWidth="1"/>
    <col min="1287" max="1287" width="8.85546875" style="14" customWidth="1"/>
    <col min="1288" max="1288" width="10.85546875" style="14" customWidth="1"/>
    <col min="1289" max="1289" width="2.85546875" style="14" customWidth="1"/>
    <col min="1290" max="1290" width="12.140625" style="14" customWidth="1"/>
    <col min="1291" max="1291" width="10.140625" style="14" customWidth="1"/>
    <col min="1292" max="1292" width="11.7109375" style="14" customWidth="1"/>
    <col min="1293" max="1293" width="11.42578125" style="14" customWidth="1"/>
    <col min="1294" max="1294" width="12.7109375" style="14" customWidth="1"/>
    <col min="1295" max="1295" width="11.42578125" style="14" customWidth="1"/>
    <col min="1296" max="1296" width="10.7109375" style="14" customWidth="1"/>
    <col min="1297" max="1297" width="10.5703125" style="14" customWidth="1"/>
    <col min="1298" max="1298" width="11.28515625" style="14" customWidth="1"/>
    <col min="1299" max="1299" width="9.7109375" style="14" customWidth="1"/>
    <col min="1300" max="1300" width="12" style="14" customWidth="1"/>
    <col min="1301" max="1301" width="11.28515625" style="14" customWidth="1"/>
    <col min="1302" max="1539" width="9.140625" style="14"/>
    <col min="1540" max="1540" width="5.7109375" style="14" customWidth="1"/>
    <col min="1541" max="1541" width="13.140625" style="14" customWidth="1"/>
    <col min="1542" max="1542" width="12.28515625" style="14" customWidth="1"/>
    <col min="1543" max="1543" width="8.85546875" style="14" customWidth="1"/>
    <col min="1544" max="1544" width="10.85546875" style="14" customWidth="1"/>
    <col min="1545" max="1545" width="2.85546875" style="14" customWidth="1"/>
    <col min="1546" max="1546" width="12.140625" style="14" customWidth="1"/>
    <col min="1547" max="1547" width="10.140625" style="14" customWidth="1"/>
    <col min="1548" max="1548" width="11.7109375" style="14" customWidth="1"/>
    <col min="1549" max="1549" width="11.42578125" style="14" customWidth="1"/>
    <col min="1550" max="1550" width="12.7109375" style="14" customWidth="1"/>
    <col min="1551" max="1551" width="11.42578125" style="14" customWidth="1"/>
    <col min="1552" max="1552" width="10.7109375" style="14" customWidth="1"/>
    <col min="1553" max="1553" width="10.5703125" style="14" customWidth="1"/>
    <col min="1554" max="1554" width="11.28515625" style="14" customWidth="1"/>
    <col min="1555" max="1555" width="9.7109375" style="14" customWidth="1"/>
    <col min="1556" max="1556" width="12" style="14" customWidth="1"/>
    <col min="1557" max="1557" width="11.28515625" style="14" customWidth="1"/>
    <col min="1558" max="1795" width="9.140625" style="14"/>
    <col min="1796" max="1796" width="5.7109375" style="14" customWidth="1"/>
    <col min="1797" max="1797" width="13.140625" style="14" customWidth="1"/>
    <col min="1798" max="1798" width="12.28515625" style="14" customWidth="1"/>
    <col min="1799" max="1799" width="8.85546875" style="14" customWidth="1"/>
    <col min="1800" max="1800" width="10.85546875" style="14" customWidth="1"/>
    <col min="1801" max="1801" width="2.85546875" style="14" customWidth="1"/>
    <col min="1802" max="1802" width="12.140625" style="14" customWidth="1"/>
    <col min="1803" max="1803" width="10.140625" style="14" customWidth="1"/>
    <col min="1804" max="1804" width="11.7109375" style="14" customWidth="1"/>
    <col min="1805" max="1805" width="11.42578125" style="14" customWidth="1"/>
    <col min="1806" max="1806" width="12.7109375" style="14" customWidth="1"/>
    <col min="1807" max="1807" width="11.42578125" style="14" customWidth="1"/>
    <col min="1808" max="1808" width="10.7109375" style="14" customWidth="1"/>
    <col min="1809" max="1809" width="10.5703125" style="14" customWidth="1"/>
    <col min="1810" max="1810" width="11.28515625" style="14" customWidth="1"/>
    <col min="1811" max="1811" width="9.7109375" style="14" customWidth="1"/>
    <col min="1812" max="1812" width="12" style="14" customWidth="1"/>
    <col min="1813" max="1813" width="11.28515625" style="14" customWidth="1"/>
    <col min="1814" max="2051" width="9.140625" style="14"/>
    <col min="2052" max="2052" width="5.7109375" style="14" customWidth="1"/>
    <col min="2053" max="2053" width="13.140625" style="14" customWidth="1"/>
    <col min="2054" max="2054" width="12.28515625" style="14" customWidth="1"/>
    <col min="2055" max="2055" width="8.85546875" style="14" customWidth="1"/>
    <col min="2056" max="2056" width="10.85546875" style="14" customWidth="1"/>
    <col min="2057" max="2057" width="2.85546875" style="14" customWidth="1"/>
    <col min="2058" max="2058" width="12.140625" style="14" customWidth="1"/>
    <col min="2059" max="2059" width="10.140625" style="14" customWidth="1"/>
    <col min="2060" max="2060" width="11.7109375" style="14" customWidth="1"/>
    <col min="2061" max="2061" width="11.42578125" style="14" customWidth="1"/>
    <col min="2062" max="2062" width="12.7109375" style="14" customWidth="1"/>
    <col min="2063" max="2063" width="11.42578125" style="14" customWidth="1"/>
    <col min="2064" max="2064" width="10.7109375" style="14" customWidth="1"/>
    <col min="2065" max="2065" width="10.5703125" style="14" customWidth="1"/>
    <col min="2066" max="2066" width="11.28515625" style="14" customWidth="1"/>
    <col min="2067" max="2067" width="9.7109375" style="14" customWidth="1"/>
    <col min="2068" max="2068" width="12" style="14" customWidth="1"/>
    <col min="2069" max="2069" width="11.28515625" style="14" customWidth="1"/>
    <col min="2070" max="2307" width="9.140625" style="14"/>
    <col min="2308" max="2308" width="5.7109375" style="14" customWidth="1"/>
    <col min="2309" max="2309" width="13.140625" style="14" customWidth="1"/>
    <col min="2310" max="2310" width="12.28515625" style="14" customWidth="1"/>
    <col min="2311" max="2311" width="8.85546875" style="14" customWidth="1"/>
    <col min="2312" max="2312" width="10.85546875" style="14" customWidth="1"/>
    <col min="2313" max="2313" width="2.85546875" style="14" customWidth="1"/>
    <col min="2314" max="2314" width="12.140625" style="14" customWidth="1"/>
    <col min="2315" max="2315" width="10.140625" style="14" customWidth="1"/>
    <col min="2316" max="2316" width="11.7109375" style="14" customWidth="1"/>
    <col min="2317" max="2317" width="11.42578125" style="14" customWidth="1"/>
    <col min="2318" max="2318" width="12.7109375" style="14" customWidth="1"/>
    <col min="2319" max="2319" width="11.42578125" style="14" customWidth="1"/>
    <col min="2320" max="2320" width="10.7109375" style="14" customWidth="1"/>
    <col min="2321" max="2321" width="10.5703125" style="14" customWidth="1"/>
    <col min="2322" max="2322" width="11.28515625" style="14" customWidth="1"/>
    <col min="2323" max="2323" width="9.7109375" style="14" customWidth="1"/>
    <col min="2324" max="2324" width="12" style="14" customWidth="1"/>
    <col min="2325" max="2325" width="11.28515625" style="14" customWidth="1"/>
    <col min="2326" max="2563" width="9.140625" style="14"/>
    <col min="2564" max="2564" width="5.7109375" style="14" customWidth="1"/>
    <col min="2565" max="2565" width="13.140625" style="14" customWidth="1"/>
    <col min="2566" max="2566" width="12.28515625" style="14" customWidth="1"/>
    <col min="2567" max="2567" width="8.85546875" style="14" customWidth="1"/>
    <col min="2568" max="2568" width="10.85546875" style="14" customWidth="1"/>
    <col min="2569" max="2569" width="2.85546875" style="14" customWidth="1"/>
    <col min="2570" max="2570" width="12.140625" style="14" customWidth="1"/>
    <col min="2571" max="2571" width="10.140625" style="14" customWidth="1"/>
    <col min="2572" max="2572" width="11.7109375" style="14" customWidth="1"/>
    <col min="2573" max="2573" width="11.42578125" style="14" customWidth="1"/>
    <col min="2574" max="2574" width="12.7109375" style="14" customWidth="1"/>
    <col min="2575" max="2575" width="11.42578125" style="14" customWidth="1"/>
    <col min="2576" max="2576" width="10.7109375" style="14" customWidth="1"/>
    <col min="2577" max="2577" width="10.5703125" style="14" customWidth="1"/>
    <col min="2578" max="2578" width="11.28515625" style="14" customWidth="1"/>
    <col min="2579" max="2579" width="9.7109375" style="14" customWidth="1"/>
    <col min="2580" max="2580" width="12" style="14" customWidth="1"/>
    <col min="2581" max="2581" width="11.28515625" style="14" customWidth="1"/>
    <col min="2582" max="2819" width="9.140625" style="14"/>
    <col min="2820" max="2820" width="5.7109375" style="14" customWidth="1"/>
    <col min="2821" max="2821" width="13.140625" style="14" customWidth="1"/>
    <col min="2822" max="2822" width="12.28515625" style="14" customWidth="1"/>
    <col min="2823" max="2823" width="8.85546875" style="14" customWidth="1"/>
    <col min="2824" max="2824" width="10.85546875" style="14" customWidth="1"/>
    <col min="2825" max="2825" width="2.85546875" style="14" customWidth="1"/>
    <col min="2826" max="2826" width="12.140625" style="14" customWidth="1"/>
    <col min="2827" max="2827" width="10.140625" style="14" customWidth="1"/>
    <col min="2828" max="2828" width="11.7109375" style="14" customWidth="1"/>
    <col min="2829" max="2829" width="11.42578125" style="14" customWidth="1"/>
    <col min="2830" max="2830" width="12.7109375" style="14" customWidth="1"/>
    <col min="2831" max="2831" width="11.42578125" style="14" customWidth="1"/>
    <col min="2832" max="2832" width="10.7109375" style="14" customWidth="1"/>
    <col min="2833" max="2833" width="10.5703125" style="14" customWidth="1"/>
    <col min="2834" max="2834" width="11.28515625" style="14" customWidth="1"/>
    <col min="2835" max="2835" width="9.7109375" style="14" customWidth="1"/>
    <col min="2836" max="2836" width="12" style="14" customWidth="1"/>
    <col min="2837" max="2837" width="11.28515625" style="14" customWidth="1"/>
    <col min="2838" max="3075" width="9.140625" style="14"/>
    <col min="3076" max="3076" width="5.7109375" style="14" customWidth="1"/>
    <col min="3077" max="3077" width="13.140625" style="14" customWidth="1"/>
    <col min="3078" max="3078" width="12.28515625" style="14" customWidth="1"/>
    <col min="3079" max="3079" width="8.85546875" style="14" customWidth="1"/>
    <col min="3080" max="3080" width="10.85546875" style="14" customWidth="1"/>
    <col min="3081" max="3081" width="2.85546875" style="14" customWidth="1"/>
    <col min="3082" max="3082" width="12.140625" style="14" customWidth="1"/>
    <col min="3083" max="3083" width="10.140625" style="14" customWidth="1"/>
    <col min="3084" max="3084" width="11.7109375" style="14" customWidth="1"/>
    <col min="3085" max="3085" width="11.42578125" style="14" customWidth="1"/>
    <col min="3086" max="3086" width="12.7109375" style="14" customWidth="1"/>
    <col min="3087" max="3087" width="11.42578125" style="14" customWidth="1"/>
    <col min="3088" max="3088" width="10.7109375" style="14" customWidth="1"/>
    <col min="3089" max="3089" width="10.5703125" style="14" customWidth="1"/>
    <col min="3090" max="3090" width="11.28515625" style="14" customWidth="1"/>
    <col min="3091" max="3091" width="9.7109375" style="14" customWidth="1"/>
    <col min="3092" max="3092" width="12" style="14" customWidth="1"/>
    <col min="3093" max="3093" width="11.28515625" style="14" customWidth="1"/>
    <col min="3094" max="3331" width="9.140625" style="14"/>
    <col min="3332" max="3332" width="5.7109375" style="14" customWidth="1"/>
    <col min="3333" max="3333" width="13.140625" style="14" customWidth="1"/>
    <col min="3334" max="3334" width="12.28515625" style="14" customWidth="1"/>
    <col min="3335" max="3335" width="8.85546875" style="14" customWidth="1"/>
    <col min="3336" max="3336" width="10.85546875" style="14" customWidth="1"/>
    <col min="3337" max="3337" width="2.85546875" style="14" customWidth="1"/>
    <col min="3338" max="3338" width="12.140625" style="14" customWidth="1"/>
    <col min="3339" max="3339" width="10.140625" style="14" customWidth="1"/>
    <col min="3340" max="3340" width="11.7109375" style="14" customWidth="1"/>
    <col min="3341" max="3341" width="11.42578125" style="14" customWidth="1"/>
    <col min="3342" max="3342" width="12.7109375" style="14" customWidth="1"/>
    <col min="3343" max="3343" width="11.42578125" style="14" customWidth="1"/>
    <col min="3344" max="3344" width="10.7109375" style="14" customWidth="1"/>
    <col min="3345" max="3345" width="10.5703125" style="14" customWidth="1"/>
    <col min="3346" max="3346" width="11.28515625" style="14" customWidth="1"/>
    <col min="3347" max="3347" width="9.7109375" style="14" customWidth="1"/>
    <col min="3348" max="3348" width="12" style="14" customWidth="1"/>
    <col min="3349" max="3349" width="11.28515625" style="14" customWidth="1"/>
    <col min="3350" max="3587" width="9.140625" style="14"/>
    <col min="3588" max="3588" width="5.7109375" style="14" customWidth="1"/>
    <col min="3589" max="3589" width="13.140625" style="14" customWidth="1"/>
    <col min="3590" max="3590" width="12.28515625" style="14" customWidth="1"/>
    <col min="3591" max="3591" width="8.85546875" style="14" customWidth="1"/>
    <col min="3592" max="3592" width="10.85546875" style="14" customWidth="1"/>
    <col min="3593" max="3593" width="2.85546875" style="14" customWidth="1"/>
    <col min="3594" max="3594" width="12.140625" style="14" customWidth="1"/>
    <col min="3595" max="3595" width="10.140625" style="14" customWidth="1"/>
    <col min="3596" max="3596" width="11.7109375" style="14" customWidth="1"/>
    <col min="3597" max="3597" width="11.42578125" style="14" customWidth="1"/>
    <col min="3598" max="3598" width="12.7109375" style="14" customWidth="1"/>
    <col min="3599" max="3599" width="11.42578125" style="14" customWidth="1"/>
    <col min="3600" max="3600" width="10.7109375" style="14" customWidth="1"/>
    <col min="3601" max="3601" width="10.5703125" style="14" customWidth="1"/>
    <col min="3602" max="3602" width="11.28515625" style="14" customWidth="1"/>
    <col min="3603" max="3603" width="9.7109375" style="14" customWidth="1"/>
    <col min="3604" max="3604" width="12" style="14" customWidth="1"/>
    <col min="3605" max="3605" width="11.28515625" style="14" customWidth="1"/>
    <col min="3606" max="3843" width="9.140625" style="14"/>
    <col min="3844" max="3844" width="5.7109375" style="14" customWidth="1"/>
    <col min="3845" max="3845" width="13.140625" style="14" customWidth="1"/>
    <col min="3846" max="3846" width="12.28515625" style="14" customWidth="1"/>
    <col min="3847" max="3847" width="8.85546875" style="14" customWidth="1"/>
    <col min="3848" max="3848" width="10.85546875" style="14" customWidth="1"/>
    <col min="3849" max="3849" width="2.85546875" style="14" customWidth="1"/>
    <col min="3850" max="3850" width="12.140625" style="14" customWidth="1"/>
    <col min="3851" max="3851" width="10.140625" style="14" customWidth="1"/>
    <col min="3852" max="3852" width="11.7109375" style="14" customWidth="1"/>
    <col min="3853" max="3853" width="11.42578125" style="14" customWidth="1"/>
    <col min="3854" max="3854" width="12.7109375" style="14" customWidth="1"/>
    <col min="3855" max="3855" width="11.42578125" style="14" customWidth="1"/>
    <col min="3856" max="3856" width="10.7109375" style="14" customWidth="1"/>
    <col min="3857" max="3857" width="10.5703125" style="14" customWidth="1"/>
    <col min="3858" max="3858" width="11.28515625" style="14" customWidth="1"/>
    <col min="3859" max="3859" width="9.7109375" style="14" customWidth="1"/>
    <col min="3860" max="3860" width="12" style="14" customWidth="1"/>
    <col min="3861" max="3861" width="11.28515625" style="14" customWidth="1"/>
    <col min="3862" max="4099" width="9.140625" style="14"/>
    <col min="4100" max="4100" width="5.7109375" style="14" customWidth="1"/>
    <col min="4101" max="4101" width="13.140625" style="14" customWidth="1"/>
    <col min="4102" max="4102" width="12.28515625" style="14" customWidth="1"/>
    <col min="4103" max="4103" width="8.85546875" style="14" customWidth="1"/>
    <col min="4104" max="4104" width="10.85546875" style="14" customWidth="1"/>
    <col min="4105" max="4105" width="2.85546875" style="14" customWidth="1"/>
    <col min="4106" max="4106" width="12.140625" style="14" customWidth="1"/>
    <col min="4107" max="4107" width="10.140625" style="14" customWidth="1"/>
    <col min="4108" max="4108" width="11.7109375" style="14" customWidth="1"/>
    <col min="4109" max="4109" width="11.42578125" style="14" customWidth="1"/>
    <col min="4110" max="4110" width="12.7109375" style="14" customWidth="1"/>
    <col min="4111" max="4111" width="11.42578125" style="14" customWidth="1"/>
    <col min="4112" max="4112" width="10.7109375" style="14" customWidth="1"/>
    <col min="4113" max="4113" width="10.5703125" style="14" customWidth="1"/>
    <col min="4114" max="4114" width="11.28515625" style="14" customWidth="1"/>
    <col min="4115" max="4115" width="9.7109375" style="14" customWidth="1"/>
    <col min="4116" max="4116" width="12" style="14" customWidth="1"/>
    <col min="4117" max="4117" width="11.28515625" style="14" customWidth="1"/>
    <col min="4118" max="4355" width="9.140625" style="14"/>
    <col min="4356" max="4356" width="5.7109375" style="14" customWidth="1"/>
    <col min="4357" max="4357" width="13.140625" style="14" customWidth="1"/>
    <col min="4358" max="4358" width="12.28515625" style="14" customWidth="1"/>
    <col min="4359" max="4359" width="8.85546875" style="14" customWidth="1"/>
    <col min="4360" max="4360" width="10.85546875" style="14" customWidth="1"/>
    <col min="4361" max="4361" width="2.85546875" style="14" customWidth="1"/>
    <col min="4362" max="4362" width="12.140625" style="14" customWidth="1"/>
    <col min="4363" max="4363" width="10.140625" style="14" customWidth="1"/>
    <col min="4364" max="4364" width="11.7109375" style="14" customWidth="1"/>
    <col min="4365" max="4365" width="11.42578125" style="14" customWidth="1"/>
    <col min="4366" max="4366" width="12.7109375" style="14" customWidth="1"/>
    <col min="4367" max="4367" width="11.42578125" style="14" customWidth="1"/>
    <col min="4368" max="4368" width="10.7109375" style="14" customWidth="1"/>
    <col min="4369" max="4369" width="10.5703125" style="14" customWidth="1"/>
    <col min="4370" max="4370" width="11.28515625" style="14" customWidth="1"/>
    <col min="4371" max="4371" width="9.7109375" style="14" customWidth="1"/>
    <col min="4372" max="4372" width="12" style="14" customWidth="1"/>
    <col min="4373" max="4373" width="11.28515625" style="14" customWidth="1"/>
    <col min="4374" max="4611" width="9.140625" style="14"/>
    <col min="4612" max="4612" width="5.7109375" style="14" customWidth="1"/>
    <col min="4613" max="4613" width="13.140625" style="14" customWidth="1"/>
    <col min="4614" max="4614" width="12.28515625" style="14" customWidth="1"/>
    <col min="4615" max="4615" width="8.85546875" style="14" customWidth="1"/>
    <col min="4616" max="4616" width="10.85546875" style="14" customWidth="1"/>
    <col min="4617" max="4617" width="2.85546875" style="14" customWidth="1"/>
    <col min="4618" max="4618" width="12.140625" style="14" customWidth="1"/>
    <col min="4619" max="4619" width="10.140625" style="14" customWidth="1"/>
    <col min="4620" max="4620" width="11.7109375" style="14" customWidth="1"/>
    <col min="4621" max="4621" width="11.42578125" style="14" customWidth="1"/>
    <col min="4622" max="4622" width="12.7109375" style="14" customWidth="1"/>
    <col min="4623" max="4623" width="11.42578125" style="14" customWidth="1"/>
    <col min="4624" max="4624" width="10.7109375" style="14" customWidth="1"/>
    <col min="4625" max="4625" width="10.5703125" style="14" customWidth="1"/>
    <col min="4626" max="4626" width="11.28515625" style="14" customWidth="1"/>
    <col min="4627" max="4627" width="9.7109375" style="14" customWidth="1"/>
    <col min="4628" max="4628" width="12" style="14" customWidth="1"/>
    <col min="4629" max="4629" width="11.28515625" style="14" customWidth="1"/>
    <col min="4630" max="4867" width="9.140625" style="14"/>
    <col min="4868" max="4868" width="5.7109375" style="14" customWidth="1"/>
    <col min="4869" max="4869" width="13.140625" style="14" customWidth="1"/>
    <col min="4870" max="4870" width="12.28515625" style="14" customWidth="1"/>
    <col min="4871" max="4871" width="8.85546875" style="14" customWidth="1"/>
    <col min="4872" max="4872" width="10.85546875" style="14" customWidth="1"/>
    <col min="4873" max="4873" width="2.85546875" style="14" customWidth="1"/>
    <col min="4874" max="4874" width="12.140625" style="14" customWidth="1"/>
    <col min="4875" max="4875" width="10.140625" style="14" customWidth="1"/>
    <col min="4876" max="4876" width="11.7109375" style="14" customWidth="1"/>
    <col min="4877" max="4877" width="11.42578125" style="14" customWidth="1"/>
    <col min="4878" max="4878" width="12.7109375" style="14" customWidth="1"/>
    <col min="4879" max="4879" width="11.42578125" style="14" customWidth="1"/>
    <col min="4880" max="4880" width="10.7109375" style="14" customWidth="1"/>
    <col min="4881" max="4881" width="10.5703125" style="14" customWidth="1"/>
    <col min="4882" max="4882" width="11.28515625" style="14" customWidth="1"/>
    <col min="4883" max="4883" width="9.7109375" style="14" customWidth="1"/>
    <col min="4884" max="4884" width="12" style="14" customWidth="1"/>
    <col min="4885" max="4885" width="11.28515625" style="14" customWidth="1"/>
    <col min="4886" max="5123" width="9.140625" style="14"/>
    <col min="5124" max="5124" width="5.7109375" style="14" customWidth="1"/>
    <col min="5125" max="5125" width="13.140625" style="14" customWidth="1"/>
    <col min="5126" max="5126" width="12.28515625" style="14" customWidth="1"/>
    <col min="5127" max="5127" width="8.85546875" style="14" customWidth="1"/>
    <col min="5128" max="5128" width="10.85546875" style="14" customWidth="1"/>
    <col min="5129" max="5129" width="2.85546875" style="14" customWidth="1"/>
    <col min="5130" max="5130" width="12.140625" style="14" customWidth="1"/>
    <col min="5131" max="5131" width="10.140625" style="14" customWidth="1"/>
    <col min="5132" max="5132" width="11.7109375" style="14" customWidth="1"/>
    <col min="5133" max="5133" width="11.42578125" style="14" customWidth="1"/>
    <col min="5134" max="5134" width="12.7109375" style="14" customWidth="1"/>
    <col min="5135" max="5135" width="11.42578125" style="14" customWidth="1"/>
    <col min="5136" max="5136" width="10.7109375" style="14" customWidth="1"/>
    <col min="5137" max="5137" width="10.5703125" style="14" customWidth="1"/>
    <col min="5138" max="5138" width="11.28515625" style="14" customWidth="1"/>
    <col min="5139" max="5139" width="9.7109375" style="14" customWidth="1"/>
    <col min="5140" max="5140" width="12" style="14" customWidth="1"/>
    <col min="5141" max="5141" width="11.28515625" style="14" customWidth="1"/>
    <col min="5142" max="5379" width="9.140625" style="14"/>
    <col min="5380" max="5380" width="5.7109375" style="14" customWidth="1"/>
    <col min="5381" max="5381" width="13.140625" style="14" customWidth="1"/>
    <col min="5382" max="5382" width="12.28515625" style="14" customWidth="1"/>
    <col min="5383" max="5383" width="8.85546875" style="14" customWidth="1"/>
    <col min="5384" max="5384" width="10.85546875" style="14" customWidth="1"/>
    <col min="5385" max="5385" width="2.85546875" style="14" customWidth="1"/>
    <col min="5386" max="5386" width="12.140625" style="14" customWidth="1"/>
    <col min="5387" max="5387" width="10.140625" style="14" customWidth="1"/>
    <col min="5388" max="5388" width="11.7109375" style="14" customWidth="1"/>
    <col min="5389" max="5389" width="11.42578125" style="14" customWidth="1"/>
    <col min="5390" max="5390" width="12.7109375" style="14" customWidth="1"/>
    <col min="5391" max="5391" width="11.42578125" style="14" customWidth="1"/>
    <col min="5392" max="5392" width="10.7109375" style="14" customWidth="1"/>
    <col min="5393" max="5393" width="10.5703125" style="14" customWidth="1"/>
    <col min="5394" max="5394" width="11.28515625" style="14" customWidth="1"/>
    <col min="5395" max="5395" width="9.7109375" style="14" customWidth="1"/>
    <col min="5396" max="5396" width="12" style="14" customWidth="1"/>
    <col min="5397" max="5397" width="11.28515625" style="14" customWidth="1"/>
    <col min="5398" max="5635" width="9.140625" style="14"/>
    <col min="5636" max="5636" width="5.7109375" style="14" customWidth="1"/>
    <col min="5637" max="5637" width="13.140625" style="14" customWidth="1"/>
    <col min="5638" max="5638" width="12.28515625" style="14" customWidth="1"/>
    <col min="5639" max="5639" width="8.85546875" style="14" customWidth="1"/>
    <col min="5640" max="5640" width="10.85546875" style="14" customWidth="1"/>
    <col min="5641" max="5641" width="2.85546875" style="14" customWidth="1"/>
    <col min="5642" max="5642" width="12.140625" style="14" customWidth="1"/>
    <col min="5643" max="5643" width="10.140625" style="14" customWidth="1"/>
    <col min="5644" max="5644" width="11.7109375" style="14" customWidth="1"/>
    <col min="5645" max="5645" width="11.42578125" style="14" customWidth="1"/>
    <col min="5646" max="5646" width="12.7109375" style="14" customWidth="1"/>
    <col min="5647" max="5647" width="11.42578125" style="14" customWidth="1"/>
    <col min="5648" max="5648" width="10.7109375" style="14" customWidth="1"/>
    <col min="5649" max="5649" width="10.5703125" style="14" customWidth="1"/>
    <col min="5650" max="5650" width="11.28515625" style="14" customWidth="1"/>
    <col min="5651" max="5651" width="9.7109375" style="14" customWidth="1"/>
    <col min="5652" max="5652" width="12" style="14" customWidth="1"/>
    <col min="5653" max="5653" width="11.28515625" style="14" customWidth="1"/>
    <col min="5654" max="5891" width="9.140625" style="14"/>
    <col min="5892" max="5892" width="5.7109375" style="14" customWidth="1"/>
    <col min="5893" max="5893" width="13.140625" style="14" customWidth="1"/>
    <col min="5894" max="5894" width="12.28515625" style="14" customWidth="1"/>
    <col min="5895" max="5895" width="8.85546875" style="14" customWidth="1"/>
    <col min="5896" max="5896" width="10.85546875" style="14" customWidth="1"/>
    <col min="5897" max="5897" width="2.85546875" style="14" customWidth="1"/>
    <col min="5898" max="5898" width="12.140625" style="14" customWidth="1"/>
    <col min="5899" max="5899" width="10.140625" style="14" customWidth="1"/>
    <col min="5900" max="5900" width="11.7109375" style="14" customWidth="1"/>
    <col min="5901" max="5901" width="11.42578125" style="14" customWidth="1"/>
    <col min="5902" max="5902" width="12.7109375" style="14" customWidth="1"/>
    <col min="5903" max="5903" width="11.42578125" style="14" customWidth="1"/>
    <col min="5904" max="5904" width="10.7109375" style="14" customWidth="1"/>
    <col min="5905" max="5905" width="10.5703125" style="14" customWidth="1"/>
    <col min="5906" max="5906" width="11.28515625" style="14" customWidth="1"/>
    <col min="5907" max="5907" width="9.7109375" style="14" customWidth="1"/>
    <col min="5908" max="5908" width="12" style="14" customWidth="1"/>
    <col min="5909" max="5909" width="11.28515625" style="14" customWidth="1"/>
    <col min="5910" max="6147" width="9.140625" style="14"/>
    <col min="6148" max="6148" width="5.7109375" style="14" customWidth="1"/>
    <col min="6149" max="6149" width="13.140625" style="14" customWidth="1"/>
    <col min="6150" max="6150" width="12.28515625" style="14" customWidth="1"/>
    <col min="6151" max="6151" width="8.85546875" style="14" customWidth="1"/>
    <col min="6152" max="6152" width="10.85546875" style="14" customWidth="1"/>
    <col min="6153" max="6153" width="2.85546875" style="14" customWidth="1"/>
    <col min="6154" max="6154" width="12.140625" style="14" customWidth="1"/>
    <col min="6155" max="6155" width="10.140625" style="14" customWidth="1"/>
    <col min="6156" max="6156" width="11.7109375" style="14" customWidth="1"/>
    <col min="6157" max="6157" width="11.42578125" style="14" customWidth="1"/>
    <col min="6158" max="6158" width="12.7109375" style="14" customWidth="1"/>
    <col min="6159" max="6159" width="11.42578125" style="14" customWidth="1"/>
    <col min="6160" max="6160" width="10.7109375" style="14" customWidth="1"/>
    <col min="6161" max="6161" width="10.5703125" style="14" customWidth="1"/>
    <col min="6162" max="6162" width="11.28515625" style="14" customWidth="1"/>
    <col min="6163" max="6163" width="9.7109375" style="14" customWidth="1"/>
    <col min="6164" max="6164" width="12" style="14" customWidth="1"/>
    <col min="6165" max="6165" width="11.28515625" style="14" customWidth="1"/>
    <col min="6166" max="6403" width="9.140625" style="14"/>
    <col min="6404" max="6404" width="5.7109375" style="14" customWidth="1"/>
    <col min="6405" max="6405" width="13.140625" style="14" customWidth="1"/>
    <col min="6406" max="6406" width="12.28515625" style="14" customWidth="1"/>
    <col min="6407" max="6407" width="8.85546875" style="14" customWidth="1"/>
    <col min="6408" max="6408" width="10.85546875" style="14" customWidth="1"/>
    <col min="6409" max="6409" width="2.85546875" style="14" customWidth="1"/>
    <col min="6410" max="6410" width="12.140625" style="14" customWidth="1"/>
    <col min="6411" max="6411" width="10.140625" style="14" customWidth="1"/>
    <col min="6412" max="6412" width="11.7109375" style="14" customWidth="1"/>
    <col min="6413" max="6413" width="11.42578125" style="14" customWidth="1"/>
    <col min="6414" max="6414" width="12.7109375" style="14" customWidth="1"/>
    <col min="6415" max="6415" width="11.42578125" style="14" customWidth="1"/>
    <col min="6416" max="6416" width="10.7109375" style="14" customWidth="1"/>
    <col min="6417" max="6417" width="10.5703125" style="14" customWidth="1"/>
    <col min="6418" max="6418" width="11.28515625" style="14" customWidth="1"/>
    <col min="6419" max="6419" width="9.7109375" style="14" customWidth="1"/>
    <col min="6420" max="6420" width="12" style="14" customWidth="1"/>
    <col min="6421" max="6421" width="11.28515625" style="14" customWidth="1"/>
    <col min="6422" max="6659" width="9.140625" style="14"/>
    <col min="6660" max="6660" width="5.7109375" style="14" customWidth="1"/>
    <col min="6661" max="6661" width="13.140625" style="14" customWidth="1"/>
    <col min="6662" max="6662" width="12.28515625" style="14" customWidth="1"/>
    <col min="6663" max="6663" width="8.85546875" style="14" customWidth="1"/>
    <col min="6664" max="6664" width="10.85546875" style="14" customWidth="1"/>
    <col min="6665" max="6665" width="2.85546875" style="14" customWidth="1"/>
    <col min="6666" max="6666" width="12.140625" style="14" customWidth="1"/>
    <col min="6667" max="6667" width="10.140625" style="14" customWidth="1"/>
    <col min="6668" max="6668" width="11.7109375" style="14" customWidth="1"/>
    <col min="6669" max="6669" width="11.42578125" style="14" customWidth="1"/>
    <col min="6670" max="6670" width="12.7109375" style="14" customWidth="1"/>
    <col min="6671" max="6671" width="11.42578125" style="14" customWidth="1"/>
    <col min="6672" max="6672" width="10.7109375" style="14" customWidth="1"/>
    <col min="6673" max="6673" width="10.5703125" style="14" customWidth="1"/>
    <col min="6674" max="6674" width="11.28515625" style="14" customWidth="1"/>
    <col min="6675" max="6675" width="9.7109375" style="14" customWidth="1"/>
    <col min="6676" max="6676" width="12" style="14" customWidth="1"/>
    <col min="6677" max="6677" width="11.28515625" style="14" customWidth="1"/>
    <col min="6678" max="6915" width="9.140625" style="14"/>
    <col min="6916" max="6916" width="5.7109375" style="14" customWidth="1"/>
    <col min="6917" max="6917" width="13.140625" style="14" customWidth="1"/>
    <col min="6918" max="6918" width="12.28515625" style="14" customWidth="1"/>
    <col min="6919" max="6919" width="8.85546875" style="14" customWidth="1"/>
    <col min="6920" max="6920" width="10.85546875" style="14" customWidth="1"/>
    <col min="6921" max="6921" width="2.85546875" style="14" customWidth="1"/>
    <col min="6922" max="6922" width="12.140625" style="14" customWidth="1"/>
    <col min="6923" max="6923" width="10.140625" style="14" customWidth="1"/>
    <col min="6924" max="6924" width="11.7109375" style="14" customWidth="1"/>
    <col min="6925" max="6925" width="11.42578125" style="14" customWidth="1"/>
    <col min="6926" max="6926" width="12.7109375" style="14" customWidth="1"/>
    <col min="6927" max="6927" width="11.42578125" style="14" customWidth="1"/>
    <col min="6928" max="6928" width="10.7109375" style="14" customWidth="1"/>
    <col min="6929" max="6929" width="10.5703125" style="14" customWidth="1"/>
    <col min="6930" max="6930" width="11.28515625" style="14" customWidth="1"/>
    <col min="6931" max="6931" width="9.7109375" style="14" customWidth="1"/>
    <col min="6932" max="6932" width="12" style="14" customWidth="1"/>
    <col min="6933" max="6933" width="11.28515625" style="14" customWidth="1"/>
    <col min="6934" max="7171" width="9.140625" style="14"/>
    <col min="7172" max="7172" width="5.7109375" style="14" customWidth="1"/>
    <col min="7173" max="7173" width="13.140625" style="14" customWidth="1"/>
    <col min="7174" max="7174" width="12.28515625" style="14" customWidth="1"/>
    <col min="7175" max="7175" width="8.85546875" style="14" customWidth="1"/>
    <col min="7176" max="7176" width="10.85546875" style="14" customWidth="1"/>
    <col min="7177" max="7177" width="2.85546875" style="14" customWidth="1"/>
    <col min="7178" max="7178" width="12.140625" style="14" customWidth="1"/>
    <col min="7179" max="7179" width="10.140625" style="14" customWidth="1"/>
    <col min="7180" max="7180" width="11.7109375" style="14" customWidth="1"/>
    <col min="7181" max="7181" width="11.42578125" style="14" customWidth="1"/>
    <col min="7182" max="7182" width="12.7109375" style="14" customWidth="1"/>
    <col min="7183" max="7183" width="11.42578125" style="14" customWidth="1"/>
    <col min="7184" max="7184" width="10.7109375" style="14" customWidth="1"/>
    <col min="7185" max="7185" width="10.5703125" style="14" customWidth="1"/>
    <col min="7186" max="7186" width="11.28515625" style="14" customWidth="1"/>
    <col min="7187" max="7187" width="9.7109375" style="14" customWidth="1"/>
    <col min="7188" max="7188" width="12" style="14" customWidth="1"/>
    <col min="7189" max="7189" width="11.28515625" style="14" customWidth="1"/>
    <col min="7190" max="7427" width="9.140625" style="14"/>
    <col min="7428" max="7428" width="5.7109375" style="14" customWidth="1"/>
    <col min="7429" max="7429" width="13.140625" style="14" customWidth="1"/>
    <col min="7430" max="7430" width="12.28515625" style="14" customWidth="1"/>
    <col min="7431" max="7431" width="8.85546875" style="14" customWidth="1"/>
    <col min="7432" max="7432" width="10.85546875" style="14" customWidth="1"/>
    <col min="7433" max="7433" width="2.85546875" style="14" customWidth="1"/>
    <col min="7434" max="7434" width="12.140625" style="14" customWidth="1"/>
    <col min="7435" max="7435" width="10.140625" style="14" customWidth="1"/>
    <col min="7436" max="7436" width="11.7109375" style="14" customWidth="1"/>
    <col min="7437" max="7437" width="11.42578125" style="14" customWidth="1"/>
    <col min="7438" max="7438" width="12.7109375" style="14" customWidth="1"/>
    <col min="7439" max="7439" width="11.42578125" style="14" customWidth="1"/>
    <col min="7440" max="7440" width="10.7109375" style="14" customWidth="1"/>
    <col min="7441" max="7441" width="10.5703125" style="14" customWidth="1"/>
    <col min="7442" max="7442" width="11.28515625" style="14" customWidth="1"/>
    <col min="7443" max="7443" width="9.7109375" style="14" customWidth="1"/>
    <col min="7444" max="7444" width="12" style="14" customWidth="1"/>
    <col min="7445" max="7445" width="11.28515625" style="14" customWidth="1"/>
    <col min="7446" max="7683" width="9.140625" style="14"/>
    <col min="7684" max="7684" width="5.7109375" style="14" customWidth="1"/>
    <col min="7685" max="7685" width="13.140625" style="14" customWidth="1"/>
    <col min="7686" max="7686" width="12.28515625" style="14" customWidth="1"/>
    <col min="7687" max="7687" width="8.85546875" style="14" customWidth="1"/>
    <col min="7688" max="7688" width="10.85546875" style="14" customWidth="1"/>
    <col min="7689" max="7689" width="2.85546875" style="14" customWidth="1"/>
    <col min="7690" max="7690" width="12.140625" style="14" customWidth="1"/>
    <col min="7691" max="7691" width="10.140625" style="14" customWidth="1"/>
    <col min="7692" max="7692" width="11.7109375" style="14" customWidth="1"/>
    <col min="7693" max="7693" width="11.42578125" style="14" customWidth="1"/>
    <col min="7694" max="7694" width="12.7109375" style="14" customWidth="1"/>
    <col min="7695" max="7695" width="11.42578125" style="14" customWidth="1"/>
    <col min="7696" max="7696" width="10.7109375" style="14" customWidth="1"/>
    <col min="7697" max="7697" width="10.5703125" style="14" customWidth="1"/>
    <col min="7698" max="7698" width="11.28515625" style="14" customWidth="1"/>
    <col min="7699" max="7699" width="9.7109375" style="14" customWidth="1"/>
    <col min="7700" max="7700" width="12" style="14" customWidth="1"/>
    <col min="7701" max="7701" width="11.28515625" style="14" customWidth="1"/>
    <col min="7702" max="7939" width="9.140625" style="14"/>
    <col min="7940" max="7940" width="5.7109375" style="14" customWidth="1"/>
    <col min="7941" max="7941" width="13.140625" style="14" customWidth="1"/>
    <col min="7942" max="7942" width="12.28515625" style="14" customWidth="1"/>
    <col min="7943" max="7943" width="8.85546875" style="14" customWidth="1"/>
    <col min="7944" max="7944" width="10.85546875" style="14" customWidth="1"/>
    <col min="7945" max="7945" width="2.85546875" style="14" customWidth="1"/>
    <col min="7946" max="7946" width="12.140625" style="14" customWidth="1"/>
    <col min="7947" max="7947" width="10.140625" style="14" customWidth="1"/>
    <col min="7948" max="7948" width="11.7109375" style="14" customWidth="1"/>
    <col min="7949" max="7949" width="11.42578125" style="14" customWidth="1"/>
    <col min="7950" max="7950" width="12.7109375" style="14" customWidth="1"/>
    <col min="7951" max="7951" width="11.42578125" style="14" customWidth="1"/>
    <col min="7952" max="7952" width="10.7109375" style="14" customWidth="1"/>
    <col min="7953" max="7953" width="10.5703125" style="14" customWidth="1"/>
    <col min="7954" max="7954" width="11.28515625" style="14" customWidth="1"/>
    <col min="7955" max="7955" width="9.7109375" style="14" customWidth="1"/>
    <col min="7956" max="7956" width="12" style="14" customWidth="1"/>
    <col min="7957" max="7957" width="11.28515625" style="14" customWidth="1"/>
    <col min="7958" max="8195" width="9.140625" style="14"/>
    <col min="8196" max="8196" width="5.7109375" style="14" customWidth="1"/>
    <col min="8197" max="8197" width="13.140625" style="14" customWidth="1"/>
    <col min="8198" max="8198" width="12.28515625" style="14" customWidth="1"/>
    <col min="8199" max="8199" width="8.85546875" style="14" customWidth="1"/>
    <col min="8200" max="8200" width="10.85546875" style="14" customWidth="1"/>
    <col min="8201" max="8201" width="2.85546875" style="14" customWidth="1"/>
    <col min="8202" max="8202" width="12.140625" style="14" customWidth="1"/>
    <col min="8203" max="8203" width="10.140625" style="14" customWidth="1"/>
    <col min="8204" max="8204" width="11.7109375" style="14" customWidth="1"/>
    <col min="8205" max="8205" width="11.42578125" style="14" customWidth="1"/>
    <col min="8206" max="8206" width="12.7109375" style="14" customWidth="1"/>
    <col min="8207" max="8207" width="11.42578125" style="14" customWidth="1"/>
    <col min="8208" max="8208" width="10.7109375" style="14" customWidth="1"/>
    <col min="8209" max="8209" width="10.5703125" style="14" customWidth="1"/>
    <col min="8210" max="8210" width="11.28515625" style="14" customWidth="1"/>
    <col min="8211" max="8211" width="9.7109375" style="14" customWidth="1"/>
    <col min="8212" max="8212" width="12" style="14" customWidth="1"/>
    <col min="8213" max="8213" width="11.28515625" style="14" customWidth="1"/>
    <col min="8214" max="8451" width="9.140625" style="14"/>
    <col min="8452" max="8452" width="5.7109375" style="14" customWidth="1"/>
    <col min="8453" max="8453" width="13.140625" style="14" customWidth="1"/>
    <col min="8454" max="8454" width="12.28515625" style="14" customWidth="1"/>
    <col min="8455" max="8455" width="8.85546875" style="14" customWidth="1"/>
    <col min="8456" max="8456" width="10.85546875" style="14" customWidth="1"/>
    <col min="8457" max="8457" width="2.85546875" style="14" customWidth="1"/>
    <col min="8458" max="8458" width="12.140625" style="14" customWidth="1"/>
    <col min="8459" max="8459" width="10.140625" style="14" customWidth="1"/>
    <col min="8460" max="8460" width="11.7109375" style="14" customWidth="1"/>
    <col min="8461" max="8461" width="11.42578125" style="14" customWidth="1"/>
    <col min="8462" max="8462" width="12.7109375" style="14" customWidth="1"/>
    <col min="8463" max="8463" width="11.42578125" style="14" customWidth="1"/>
    <col min="8464" max="8464" width="10.7109375" style="14" customWidth="1"/>
    <col min="8465" max="8465" width="10.5703125" style="14" customWidth="1"/>
    <col min="8466" max="8466" width="11.28515625" style="14" customWidth="1"/>
    <col min="8467" max="8467" width="9.7109375" style="14" customWidth="1"/>
    <col min="8468" max="8468" width="12" style="14" customWidth="1"/>
    <col min="8469" max="8469" width="11.28515625" style="14" customWidth="1"/>
    <col min="8470" max="8707" width="9.140625" style="14"/>
    <col min="8708" max="8708" width="5.7109375" style="14" customWidth="1"/>
    <col min="8709" max="8709" width="13.140625" style="14" customWidth="1"/>
    <col min="8710" max="8710" width="12.28515625" style="14" customWidth="1"/>
    <col min="8711" max="8711" width="8.85546875" style="14" customWidth="1"/>
    <col min="8712" max="8712" width="10.85546875" style="14" customWidth="1"/>
    <col min="8713" max="8713" width="2.85546875" style="14" customWidth="1"/>
    <col min="8714" max="8714" width="12.140625" style="14" customWidth="1"/>
    <col min="8715" max="8715" width="10.140625" style="14" customWidth="1"/>
    <col min="8716" max="8716" width="11.7109375" style="14" customWidth="1"/>
    <col min="8717" max="8717" width="11.42578125" style="14" customWidth="1"/>
    <col min="8718" max="8718" width="12.7109375" style="14" customWidth="1"/>
    <col min="8719" max="8719" width="11.42578125" style="14" customWidth="1"/>
    <col min="8720" max="8720" width="10.7109375" style="14" customWidth="1"/>
    <col min="8721" max="8721" width="10.5703125" style="14" customWidth="1"/>
    <col min="8722" max="8722" width="11.28515625" style="14" customWidth="1"/>
    <col min="8723" max="8723" width="9.7109375" style="14" customWidth="1"/>
    <col min="8724" max="8724" width="12" style="14" customWidth="1"/>
    <col min="8725" max="8725" width="11.28515625" style="14" customWidth="1"/>
    <col min="8726" max="8963" width="9.140625" style="14"/>
    <col min="8964" max="8964" width="5.7109375" style="14" customWidth="1"/>
    <col min="8965" max="8965" width="13.140625" style="14" customWidth="1"/>
    <col min="8966" max="8966" width="12.28515625" style="14" customWidth="1"/>
    <col min="8967" max="8967" width="8.85546875" style="14" customWidth="1"/>
    <col min="8968" max="8968" width="10.85546875" style="14" customWidth="1"/>
    <col min="8969" max="8969" width="2.85546875" style="14" customWidth="1"/>
    <col min="8970" max="8970" width="12.140625" style="14" customWidth="1"/>
    <col min="8971" max="8971" width="10.140625" style="14" customWidth="1"/>
    <col min="8972" max="8972" width="11.7109375" style="14" customWidth="1"/>
    <col min="8973" max="8973" width="11.42578125" style="14" customWidth="1"/>
    <col min="8974" max="8974" width="12.7109375" style="14" customWidth="1"/>
    <col min="8975" max="8975" width="11.42578125" style="14" customWidth="1"/>
    <col min="8976" max="8976" width="10.7109375" style="14" customWidth="1"/>
    <col min="8977" max="8977" width="10.5703125" style="14" customWidth="1"/>
    <col min="8978" max="8978" width="11.28515625" style="14" customWidth="1"/>
    <col min="8979" max="8979" width="9.7109375" style="14" customWidth="1"/>
    <col min="8980" max="8980" width="12" style="14" customWidth="1"/>
    <col min="8981" max="8981" width="11.28515625" style="14" customWidth="1"/>
    <col min="8982" max="9219" width="9.140625" style="14"/>
    <col min="9220" max="9220" width="5.7109375" style="14" customWidth="1"/>
    <col min="9221" max="9221" width="13.140625" style="14" customWidth="1"/>
    <col min="9222" max="9222" width="12.28515625" style="14" customWidth="1"/>
    <col min="9223" max="9223" width="8.85546875" style="14" customWidth="1"/>
    <col min="9224" max="9224" width="10.85546875" style="14" customWidth="1"/>
    <col min="9225" max="9225" width="2.85546875" style="14" customWidth="1"/>
    <col min="9226" max="9226" width="12.140625" style="14" customWidth="1"/>
    <col min="9227" max="9227" width="10.140625" style="14" customWidth="1"/>
    <col min="9228" max="9228" width="11.7109375" style="14" customWidth="1"/>
    <col min="9229" max="9229" width="11.42578125" style="14" customWidth="1"/>
    <col min="9230" max="9230" width="12.7109375" style="14" customWidth="1"/>
    <col min="9231" max="9231" width="11.42578125" style="14" customWidth="1"/>
    <col min="9232" max="9232" width="10.7109375" style="14" customWidth="1"/>
    <col min="9233" max="9233" width="10.5703125" style="14" customWidth="1"/>
    <col min="9234" max="9234" width="11.28515625" style="14" customWidth="1"/>
    <col min="9235" max="9235" width="9.7109375" style="14" customWidth="1"/>
    <col min="9236" max="9236" width="12" style="14" customWidth="1"/>
    <col min="9237" max="9237" width="11.28515625" style="14" customWidth="1"/>
    <col min="9238" max="9475" width="9.140625" style="14"/>
    <col min="9476" max="9476" width="5.7109375" style="14" customWidth="1"/>
    <col min="9477" max="9477" width="13.140625" style="14" customWidth="1"/>
    <col min="9478" max="9478" width="12.28515625" style="14" customWidth="1"/>
    <col min="9479" max="9479" width="8.85546875" style="14" customWidth="1"/>
    <col min="9480" max="9480" width="10.85546875" style="14" customWidth="1"/>
    <col min="9481" max="9481" width="2.85546875" style="14" customWidth="1"/>
    <col min="9482" max="9482" width="12.140625" style="14" customWidth="1"/>
    <col min="9483" max="9483" width="10.140625" style="14" customWidth="1"/>
    <col min="9484" max="9484" width="11.7109375" style="14" customWidth="1"/>
    <col min="9485" max="9485" width="11.42578125" style="14" customWidth="1"/>
    <col min="9486" max="9486" width="12.7109375" style="14" customWidth="1"/>
    <col min="9487" max="9487" width="11.42578125" style="14" customWidth="1"/>
    <col min="9488" max="9488" width="10.7109375" style="14" customWidth="1"/>
    <col min="9489" max="9489" width="10.5703125" style="14" customWidth="1"/>
    <col min="9490" max="9490" width="11.28515625" style="14" customWidth="1"/>
    <col min="9491" max="9491" width="9.7109375" style="14" customWidth="1"/>
    <col min="9492" max="9492" width="12" style="14" customWidth="1"/>
    <col min="9493" max="9493" width="11.28515625" style="14" customWidth="1"/>
    <col min="9494" max="9731" width="9.140625" style="14"/>
    <col min="9732" max="9732" width="5.7109375" style="14" customWidth="1"/>
    <col min="9733" max="9733" width="13.140625" style="14" customWidth="1"/>
    <col min="9734" max="9734" width="12.28515625" style="14" customWidth="1"/>
    <col min="9735" max="9735" width="8.85546875" style="14" customWidth="1"/>
    <col min="9736" max="9736" width="10.85546875" style="14" customWidth="1"/>
    <col min="9737" max="9737" width="2.85546875" style="14" customWidth="1"/>
    <col min="9738" max="9738" width="12.140625" style="14" customWidth="1"/>
    <col min="9739" max="9739" width="10.140625" style="14" customWidth="1"/>
    <col min="9740" max="9740" width="11.7109375" style="14" customWidth="1"/>
    <col min="9741" max="9741" width="11.42578125" style="14" customWidth="1"/>
    <col min="9742" max="9742" width="12.7109375" style="14" customWidth="1"/>
    <col min="9743" max="9743" width="11.42578125" style="14" customWidth="1"/>
    <col min="9744" max="9744" width="10.7109375" style="14" customWidth="1"/>
    <col min="9745" max="9745" width="10.5703125" style="14" customWidth="1"/>
    <col min="9746" max="9746" width="11.28515625" style="14" customWidth="1"/>
    <col min="9747" max="9747" width="9.7109375" style="14" customWidth="1"/>
    <col min="9748" max="9748" width="12" style="14" customWidth="1"/>
    <col min="9749" max="9749" width="11.28515625" style="14" customWidth="1"/>
    <col min="9750" max="9987" width="9.140625" style="14"/>
    <col min="9988" max="9988" width="5.7109375" style="14" customWidth="1"/>
    <col min="9989" max="9989" width="13.140625" style="14" customWidth="1"/>
    <col min="9990" max="9990" width="12.28515625" style="14" customWidth="1"/>
    <col min="9991" max="9991" width="8.85546875" style="14" customWidth="1"/>
    <col min="9992" max="9992" width="10.85546875" style="14" customWidth="1"/>
    <col min="9993" max="9993" width="2.85546875" style="14" customWidth="1"/>
    <col min="9994" max="9994" width="12.140625" style="14" customWidth="1"/>
    <col min="9995" max="9995" width="10.140625" style="14" customWidth="1"/>
    <col min="9996" max="9996" width="11.7109375" style="14" customWidth="1"/>
    <col min="9997" max="9997" width="11.42578125" style="14" customWidth="1"/>
    <col min="9998" max="9998" width="12.7109375" style="14" customWidth="1"/>
    <col min="9999" max="9999" width="11.42578125" style="14" customWidth="1"/>
    <col min="10000" max="10000" width="10.7109375" style="14" customWidth="1"/>
    <col min="10001" max="10001" width="10.5703125" style="14" customWidth="1"/>
    <col min="10002" max="10002" width="11.28515625" style="14" customWidth="1"/>
    <col min="10003" max="10003" width="9.7109375" style="14" customWidth="1"/>
    <col min="10004" max="10004" width="12" style="14" customWidth="1"/>
    <col min="10005" max="10005" width="11.28515625" style="14" customWidth="1"/>
    <col min="10006" max="10243" width="9.140625" style="14"/>
    <col min="10244" max="10244" width="5.7109375" style="14" customWidth="1"/>
    <col min="10245" max="10245" width="13.140625" style="14" customWidth="1"/>
    <col min="10246" max="10246" width="12.28515625" style="14" customWidth="1"/>
    <col min="10247" max="10247" width="8.85546875" style="14" customWidth="1"/>
    <col min="10248" max="10248" width="10.85546875" style="14" customWidth="1"/>
    <col min="10249" max="10249" width="2.85546875" style="14" customWidth="1"/>
    <col min="10250" max="10250" width="12.140625" style="14" customWidth="1"/>
    <col min="10251" max="10251" width="10.140625" style="14" customWidth="1"/>
    <col min="10252" max="10252" width="11.7109375" style="14" customWidth="1"/>
    <col min="10253" max="10253" width="11.42578125" style="14" customWidth="1"/>
    <col min="10254" max="10254" width="12.7109375" style="14" customWidth="1"/>
    <col min="10255" max="10255" width="11.42578125" style="14" customWidth="1"/>
    <col min="10256" max="10256" width="10.7109375" style="14" customWidth="1"/>
    <col min="10257" max="10257" width="10.5703125" style="14" customWidth="1"/>
    <col min="10258" max="10258" width="11.28515625" style="14" customWidth="1"/>
    <col min="10259" max="10259" width="9.7109375" style="14" customWidth="1"/>
    <col min="10260" max="10260" width="12" style="14" customWidth="1"/>
    <col min="10261" max="10261" width="11.28515625" style="14" customWidth="1"/>
    <col min="10262" max="10499" width="9.140625" style="14"/>
    <col min="10500" max="10500" width="5.7109375" style="14" customWidth="1"/>
    <col min="10501" max="10501" width="13.140625" style="14" customWidth="1"/>
    <col min="10502" max="10502" width="12.28515625" style="14" customWidth="1"/>
    <col min="10503" max="10503" width="8.85546875" style="14" customWidth="1"/>
    <col min="10504" max="10504" width="10.85546875" style="14" customWidth="1"/>
    <col min="10505" max="10505" width="2.85546875" style="14" customWidth="1"/>
    <col min="10506" max="10506" width="12.140625" style="14" customWidth="1"/>
    <col min="10507" max="10507" width="10.140625" style="14" customWidth="1"/>
    <col min="10508" max="10508" width="11.7109375" style="14" customWidth="1"/>
    <col min="10509" max="10509" width="11.42578125" style="14" customWidth="1"/>
    <col min="10510" max="10510" width="12.7109375" style="14" customWidth="1"/>
    <col min="10511" max="10511" width="11.42578125" style="14" customWidth="1"/>
    <col min="10512" max="10512" width="10.7109375" style="14" customWidth="1"/>
    <col min="10513" max="10513" width="10.5703125" style="14" customWidth="1"/>
    <col min="10514" max="10514" width="11.28515625" style="14" customWidth="1"/>
    <col min="10515" max="10515" width="9.7109375" style="14" customWidth="1"/>
    <col min="10516" max="10516" width="12" style="14" customWidth="1"/>
    <col min="10517" max="10517" width="11.28515625" style="14" customWidth="1"/>
    <col min="10518" max="10755" width="9.140625" style="14"/>
    <col min="10756" max="10756" width="5.7109375" style="14" customWidth="1"/>
    <col min="10757" max="10757" width="13.140625" style="14" customWidth="1"/>
    <col min="10758" max="10758" width="12.28515625" style="14" customWidth="1"/>
    <col min="10759" max="10759" width="8.85546875" style="14" customWidth="1"/>
    <col min="10760" max="10760" width="10.85546875" style="14" customWidth="1"/>
    <col min="10761" max="10761" width="2.85546875" style="14" customWidth="1"/>
    <col min="10762" max="10762" width="12.140625" style="14" customWidth="1"/>
    <col min="10763" max="10763" width="10.140625" style="14" customWidth="1"/>
    <col min="10764" max="10764" width="11.7109375" style="14" customWidth="1"/>
    <col min="10765" max="10765" width="11.42578125" style="14" customWidth="1"/>
    <col min="10766" max="10766" width="12.7109375" style="14" customWidth="1"/>
    <col min="10767" max="10767" width="11.42578125" style="14" customWidth="1"/>
    <col min="10768" max="10768" width="10.7109375" style="14" customWidth="1"/>
    <col min="10769" max="10769" width="10.5703125" style="14" customWidth="1"/>
    <col min="10770" max="10770" width="11.28515625" style="14" customWidth="1"/>
    <col min="10771" max="10771" width="9.7109375" style="14" customWidth="1"/>
    <col min="10772" max="10772" width="12" style="14" customWidth="1"/>
    <col min="10773" max="10773" width="11.28515625" style="14" customWidth="1"/>
    <col min="10774" max="11011" width="9.140625" style="14"/>
    <col min="11012" max="11012" width="5.7109375" style="14" customWidth="1"/>
    <col min="11013" max="11013" width="13.140625" style="14" customWidth="1"/>
    <col min="11014" max="11014" width="12.28515625" style="14" customWidth="1"/>
    <col min="11015" max="11015" width="8.85546875" style="14" customWidth="1"/>
    <col min="11016" max="11016" width="10.85546875" style="14" customWidth="1"/>
    <col min="11017" max="11017" width="2.85546875" style="14" customWidth="1"/>
    <col min="11018" max="11018" width="12.140625" style="14" customWidth="1"/>
    <col min="11019" max="11019" width="10.140625" style="14" customWidth="1"/>
    <col min="11020" max="11020" width="11.7109375" style="14" customWidth="1"/>
    <col min="11021" max="11021" width="11.42578125" style="14" customWidth="1"/>
    <col min="11022" max="11022" width="12.7109375" style="14" customWidth="1"/>
    <col min="11023" max="11023" width="11.42578125" style="14" customWidth="1"/>
    <col min="11024" max="11024" width="10.7109375" style="14" customWidth="1"/>
    <col min="11025" max="11025" width="10.5703125" style="14" customWidth="1"/>
    <col min="11026" max="11026" width="11.28515625" style="14" customWidth="1"/>
    <col min="11027" max="11027" width="9.7109375" style="14" customWidth="1"/>
    <col min="11028" max="11028" width="12" style="14" customWidth="1"/>
    <col min="11029" max="11029" width="11.28515625" style="14" customWidth="1"/>
    <col min="11030" max="11267" width="9.140625" style="14"/>
    <col min="11268" max="11268" width="5.7109375" style="14" customWidth="1"/>
    <col min="11269" max="11269" width="13.140625" style="14" customWidth="1"/>
    <col min="11270" max="11270" width="12.28515625" style="14" customWidth="1"/>
    <col min="11271" max="11271" width="8.85546875" style="14" customWidth="1"/>
    <col min="11272" max="11272" width="10.85546875" style="14" customWidth="1"/>
    <col min="11273" max="11273" width="2.85546875" style="14" customWidth="1"/>
    <col min="11274" max="11274" width="12.140625" style="14" customWidth="1"/>
    <col min="11275" max="11275" width="10.140625" style="14" customWidth="1"/>
    <col min="11276" max="11276" width="11.7109375" style="14" customWidth="1"/>
    <col min="11277" max="11277" width="11.42578125" style="14" customWidth="1"/>
    <col min="11278" max="11278" width="12.7109375" style="14" customWidth="1"/>
    <col min="11279" max="11279" width="11.42578125" style="14" customWidth="1"/>
    <col min="11280" max="11280" width="10.7109375" style="14" customWidth="1"/>
    <col min="11281" max="11281" width="10.5703125" style="14" customWidth="1"/>
    <col min="11282" max="11282" width="11.28515625" style="14" customWidth="1"/>
    <col min="11283" max="11283" width="9.7109375" style="14" customWidth="1"/>
    <col min="11284" max="11284" width="12" style="14" customWidth="1"/>
    <col min="11285" max="11285" width="11.28515625" style="14" customWidth="1"/>
    <col min="11286" max="11523" width="9.140625" style="14"/>
    <col min="11524" max="11524" width="5.7109375" style="14" customWidth="1"/>
    <col min="11525" max="11525" width="13.140625" style="14" customWidth="1"/>
    <col min="11526" max="11526" width="12.28515625" style="14" customWidth="1"/>
    <col min="11527" max="11527" width="8.85546875" style="14" customWidth="1"/>
    <col min="11528" max="11528" width="10.85546875" style="14" customWidth="1"/>
    <col min="11529" max="11529" width="2.85546875" style="14" customWidth="1"/>
    <col min="11530" max="11530" width="12.140625" style="14" customWidth="1"/>
    <col min="11531" max="11531" width="10.140625" style="14" customWidth="1"/>
    <col min="11532" max="11532" width="11.7109375" style="14" customWidth="1"/>
    <col min="11533" max="11533" width="11.42578125" style="14" customWidth="1"/>
    <col min="11534" max="11534" width="12.7109375" style="14" customWidth="1"/>
    <col min="11535" max="11535" width="11.42578125" style="14" customWidth="1"/>
    <col min="11536" max="11536" width="10.7109375" style="14" customWidth="1"/>
    <col min="11537" max="11537" width="10.5703125" style="14" customWidth="1"/>
    <col min="11538" max="11538" width="11.28515625" style="14" customWidth="1"/>
    <col min="11539" max="11539" width="9.7109375" style="14" customWidth="1"/>
    <col min="11540" max="11540" width="12" style="14" customWidth="1"/>
    <col min="11541" max="11541" width="11.28515625" style="14" customWidth="1"/>
    <col min="11542" max="11779" width="9.140625" style="14"/>
    <col min="11780" max="11780" width="5.7109375" style="14" customWidth="1"/>
    <col min="11781" max="11781" width="13.140625" style="14" customWidth="1"/>
    <col min="11782" max="11782" width="12.28515625" style="14" customWidth="1"/>
    <col min="11783" max="11783" width="8.85546875" style="14" customWidth="1"/>
    <col min="11784" max="11784" width="10.85546875" style="14" customWidth="1"/>
    <col min="11785" max="11785" width="2.85546875" style="14" customWidth="1"/>
    <col min="11786" max="11786" width="12.140625" style="14" customWidth="1"/>
    <col min="11787" max="11787" width="10.140625" style="14" customWidth="1"/>
    <col min="11788" max="11788" width="11.7109375" style="14" customWidth="1"/>
    <col min="11789" max="11789" width="11.42578125" style="14" customWidth="1"/>
    <col min="11790" max="11790" width="12.7109375" style="14" customWidth="1"/>
    <col min="11791" max="11791" width="11.42578125" style="14" customWidth="1"/>
    <col min="11792" max="11792" width="10.7109375" style="14" customWidth="1"/>
    <col min="11793" max="11793" width="10.5703125" style="14" customWidth="1"/>
    <col min="11794" max="11794" width="11.28515625" style="14" customWidth="1"/>
    <col min="11795" max="11795" width="9.7109375" style="14" customWidth="1"/>
    <col min="11796" max="11796" width="12" style="14" customWidth="1"/>
    <col min="11797" max="11797" width="11.28515625" style="14" customWidth="1"/>
    <col min="11798" max="12035" width="9.140625" style="14"/>
    <col min="12036" max="12036" width="5.7109375" style="14" customWidth="1"/>
    <col min="12037" max="12037" width="13.140625" style="14" customWidth="1"/>
    <col min="12038" max="12038" width="12.28515625" style="14" customWidth="1"/>
    <col min="12039" max="12039" width="8.85546875" style="14" customWidth="1"/>
    <col min="12040" max="12040" width="10.85546875" style="14" customWidth="1"/>
    <col min="12041" max="12041" width="2.85546875" style="14" customWidth="1"/>
    <col min="12042" max="12042" width="12.140625" style="14" customWidth="1"/>
    <col min="12043" max="12043" width="10.140625" style="14" customWidth="1"/>
    <col min="12044" max="12044" width="11.7109375" style="14" customWidth="1"/>
    <col min="12045" max="12045" width="11.42578125" style="14" customWidth="1"/>
    <col min="12046" max="12046" width="12.7109375" style="14" customWidth="1"/>
    <col min="12047" max="12047" width="11.42578125" style="14" customWidth="1"/>
    <col min="12048" max="12048" width="10.7109375" style="14" customWidth="1"/>
    <col min="12049" max="12049" width="10.5703125" style="14" customWidth="1"/>
    <col min="12050" max="12050" width="11.28515625" style="14" customWidth="1"/>
    <col min="12051" max="12051" width="9.7109375" style="14" customWidth="1"/>
    <col min="12052" max="12052" width="12" style="14" customWidth="1"/>
    <col min="12053" max="12053" width="11.28515625" style="14" customWidth="1"/>
    <col min="12054" max="12291" width="9.140625" style="14"/>
    <col min="12292" max="12292" width="5.7109375" style="14" customWidth="1"/>
    <col min="12293" max="12293" width="13.140625" style="14" customWidth="1"/>
    <col min="12294" max="12294" width="12.28515625" style="14" customWidth="1"/>
    <col min="12295" max="12295" width="8.85546875" style="14" customWidth="1"/>
    <col min="12296" max="12296" width="10.85546875" style="14" customWidth="1"/>
    <col min="12297" max="12297" width="2.85546875" style="14" customWidth="1"/>
    <col min="12298" max="12298" width="12.140625" style="14" customWidth="1"/>
    <col min="12299" max="12299" width="10.140625" style="14" customWidth="1"/>
    <col min="12300" max="12300" width="11.7109375" style="14" customWidth="1"/>
    <col min="12301" max="12301" width="11.42578125" style="14" customWidth="1"/>
    <col min="12302" max="12302" width="12.7109375" style="14" customWidth="1"/>
    <col min="12303" max="12303" width="11.42578125" style="14" customWidth="1"/>
    <col min="12304" max="12304" width="10.7109375" style="14" customWidth="1"/>
    <col min="12305" max="12305" width="10.5703125" style="14" customWidth="1"/>
    <col min="12306" max="12306" width="11.28515625" style="14" customWidth="1"/>
    <col min="12307" max="12307" width="9.7109375" style="14" customWidth="1"/>
    <col min="12308" max="12308" width="12" style="14" customWidth="1"/>
    <col min="12309" max="12309" width="11.28515625" style="14" customWidth="1"/>
    <col min="12310" max="12547" width="9.140625" style="14"/>
    <col min="12548" max="12548" width="5.7109375" style="14" customWidth="1"/>
    <col min="12549" max="12549" width="13.140625" style="14" customWidth="1"/>
    <col min="12550" max="12550" width="12.28515625" style="14" customWidth="1"/>
    <col min="12551" max="12551" width="8.85546875" style="14" customWidth="1"/>
    <col min="12552" max="12552" width="10.85546875" style="14" customWidth="1"/>
    <col min="12553" max="12553" width="2.85546875" style="14" customWidth="1"/>
    <col min="12554" max="12554" width="12.140625" style="14" customWidth="1"/>
    <col min="12555" max="12555" width="10.140625" style="14" customWidth="1"/>
    <col min="12556" max="12556" width="11.7109375" style="14" customWidth="1"/>
    <col min="12557" max="12557" width="11.42578125" style="14" customWidth="1"/>
    <col min="12558" max="12558" width="12.7109375" style="14" customWidth="1"/>
    <col min="12559" max="12559" width="11.42578125" style="14" customWidth="1"/>
    <col min="12560" max="12560" width="10.7109375" style="14" customWidth="1"/>
    <col min="12561" max="12561" width="10.5703125" style="14" customWidth="1"/>
    <col min="12562" max="12562" width="11.28515625" style="14" customWidth="1"/>
    <col min="12563" max="12563" width="9.7109375" style="14" customWidth="1"/>
    <col min="12564" max="12564" width="12" style="14" customWidth="1"/>
    <col min="12565" max="12565" width="11.28515625" style="14" customWidth="1"/>
    <col min="12566" max="12803" width="9.140625" style="14"/>
    <col min="12804" max="12804" width="5.7109375" style="14" customWidth="1"/>
    <col min="12805" max="12805" width="13.140625" style="14" customWidth="1"/>
    <col min="12806" max="12806" width="12.28515625" style="14" customWidth="1"/>
    <col min="12807" max="12807" width="8.85546875" style="14" customWidth="1"/>
    <col min="12808" max="12808" width="10.85546875" style="14" customWidth="1"/>
    <col min="12809" max="12809" width="2.85546875" style="14" customWidth="1"/>
    <col min="12810" max="12810" width="12.140625" style="14" customWidth="1"/>
    <col min="12811" max="12811" width="10.140625" style="14" customWidth="1"/>
    <col min="12812" max="12812" width="11.7109375" style="14" customWidth="1"/>
    <col min="12813" max="12813" width="11.42578125" style="14" customWidth="1"/>
    <col min="12814" max="12814" width="12.7109375" style="14" customWidth="1"/>
    <col min="12815" max="12815" width="11.42578125" style="14" customWidth="1"/>
    <col min="12816" max="12816" width="10.7109375" style="14" customWidth="1"/>
    <col min="12817" max="12817" width="10.5703125" style="14" customWidth="1"/>
    <col min="12818" max="12818" width="11.28515625" style="14" customWidth="1"/>
    <col min="12819" max="12819" width="9.7109375" style="14" customWidth="1"/>
    <col min="12820" max="12820" width="12" style="14" customWidth="1"/>
    <col min="12821" max="12821" width="11.28515625" style="14" customWidth="1"/>
    <col min="12822" max="13059" width="9.140625" style="14"/>
    <col min="13060" max="13060" width="5.7109375" style="14" customWidth="1"/>
    <col min="13061" max="13061" width="13.140625" style="14" customWidth="1"/>
    <col min="13062" max="13062" width="12.28515625" style="14" customWidth="1"/>
    <col min="13063" max="13063" width="8.85546875" style="14" customWidth="1"/>
    <col min="13064" max="13064" width="10.85546875" style="14" customWidth="1"/>
    <col min="13065" max="13065" width="2.85546875" style="14" customWidth="1"/>
    <col min="13066" max="13066" width="12.140625" style="14" customWidth="1"/>
    <col min="13067" max="13067" width="10.140625" style="14" customWidth="1"/>
    <col min="13068" max="13068" width="11.7109375" style="14" customWidth="1"/>
    <col min="13069" max="13069" width="11.42578125" style="14" customWidth="1"/>
    <col min="13070" max="13070" width="12.7109375" style="14" customWidth="1"/>
    <col min="13071" max="13071" width="11.42578125" style="14" customWidth="1"/>
    <col min="13072" max="13072" width="10.7109375" style="14" customWidth="1"/>
    <col min="13073" max="13073" width="10.5703125" style="14" customWidth="1"/>
    <col min="13074" max="13074" width="11.28515625" style="14" customWidth="1"/>
    <col min="13075" max="13075" width="9.7109375" style="14" customWidth="1"/>
    <col min="13076" max="13076" width="12" style="14" customWidth="1"/>
    <col min="13077" max="13077" width="11.28515625" style="14" customWidth="1"/>
    <col min="13078" max="13315" width="9.140625" style="14"/>
    <col min="13316" max="13316" width="5.7109375" style="14" customWidth="1"/>
    <col min="13317" max="13317" width="13.140625" style="14" customWidth="1"/>
    <col min="13318" max="13318" width="12.28515625" style="14" customWidth="1"/>
    <col min="13319" max="13319" width="8.85546875" style="14" customWidth="1"/>
    <col min="13320" max="13320" width="10.85546875" style="14" customWidth="1"/>
    <col min="13321" max="13321" width="2.85546875" style="14" customWidth="1"/>
    <col min="13322" max="13322" width="12.140625" style="14" customWidth="1"/>
    <col min="13323" max="13323" width="10.140625" style="14" customWidth="1"/>
    <col min="13324" max="13324" width="11.7109375" style="14" customWidth="1"/>
    <col min="13325" max="13325" width="11.42578125" style="14" customWidth="1"/>
    <col min="13326" max="13326" width="12.7109375" style="14" customWidth="1"/>
    <col min="13327" max="13327" width="11.42578125" style="14" customWidth="1"/>
    <col min="13328" max="13328" width="10.7109375" style="14" customWidth="1"/>
    <col min="13329" max="13329" width="10.5703125" style="14" customWidth="1"/>
    <col min="13330" max="13330" width="11.28515625" style="14" customWidth="1"/>
    <col min="13331" max="13331" width="9.7109375" style="14" customWidth="1"/>
    <col min="13332" max="13332" width="12" style="14" customWidth="1"/>
    <col min="13333" max="13333" width="11.28515625" style="14" customWidth="1"/>
    <col min="13334" max="13571" width="9.140625" style="14"/>
    <col min="13572" max="13572" width="5.7109375" style="14" customWidth="1"/>
    <col min="13573" max="13573" width="13.140625" style="14" customWidth="1"/>
    <col min="13574" max="13574" width="12.28515625" style="14" customWidth="1"/>
    <col min="13575" max="13575" width="8.85546875" style="14" customWidth="1"/>
    <col min="13576" max="13576" width="10.85546875" style="14" customWidth="1"/>
    <col min="13577" max="13577" width="2.85546875" style="14" customWidth="1"/>
    <col min="13578" max="13578" width="12.140625" style="14" customWidth="1"/>
    <col min="13579" max="13579" width="10.140625" style="14" customWidth="1"/>
    <col min="13580" max="13580" width="11.7109375" style="14" customWidth="1"/>
    <col min="13581" max="13581" width="11.42578125" style="14" customWidth="1"/>
    <col min="13582" max="13582" width="12.7109375" style="14" customWidth="1"/>
    <col min="13583" max="13583" width="11.42578125" style="14" customWidth="1"/>
    <col min="13584" max="13584" width="10.7109375" style="14" customWidth="1"/>
    <col min="13585" max="13585" width="10.5703125" style="14" customWidth="1"/>
    <col min="13586" max="13586" width="11.28515625" style="14" customWidth="1"/>
    <col min="13587" max="13587" width="9.7109375" style="14" customWidth="1"/>
    <col min="13588" max="13588" width="12" style="14" customWidth="1"/>
    <col min="13589" max="13589" width="11.28515625" style="14" customWidth="1"/>
    <col min="13590" max="13827" width="9.140625" style="14"/>
    <col min="13828" max="13828" width="5.7109375" style="14" customWidth="1"/>
    <col min="13829" max="13829" width="13.140625" style="14" customWidth="1"/>
    <col min="13830" max="13830" width="12.28515625" style="14" customWidth="1"/>
    <col min="13831" max="13831" width="8.85546875" style="14" customWidth="1"/>
    <col min="13832" max="13832" width="10.85546875" style="14" customWidth="1"/>
    <col min="13833" max="13833" width="2.85546875" style="14" customWidth="1"/>
    <col min="13834" max="13834" width="12.140625" style="14" customWidth="1"/>
    <col min="13835" max="13835" width="10.140625" style="14" customWidth="1"/>
    <col min="13836" max="13836" width="11.7109375" style="14" customWidth="1"/>
    <col min="13837" max="13837" width="11.42578125" style="14" customWidth="1"/>
    <col min="13838" max="13838" width="12.7109375" style="14" customWidth="1"/>
    <col min="13839" max="13839" width="11.42578125" style="14" customWidth="1"/>
    <col min="13840" max="13840" width="10.7109375" style="14" customWidth="1"/>
    <col min="13841" max="13841" width="10.5703125" style="14" customWidth="1"/>
    <col min="13842" max="13842" width="11.28515625" style="14" customWidth="1"/>
    <col min="13843" max="13843" width="9.7109375" style="14" customWidth="1"/>
    <col min="13844" max="13844" width="12" style="14" customWidth="1"/>
    <col min="13845" max="13845" width="11.28515625" style="14" customWidth="1"/>
    <col min="13846" max="14083" width="9.140625" style="14"/>
    <col min="14084" max="14084" width="5.7109375" style="14" customWidth="1"/>
    <col min="14085" max="14085" width="13.140625" style="14" customWidth="1"/>
    <col min="14086" max="14086" width="12.28515625" style="14" customWidth="1"/>
    <col min="14087" max="14087" width="8.85546875" style="14" customWidth="1"/>
    <col min="14088" max="14088" width="10.85546875" style="14" customWidth="1"/>
    <col min="14089" max="14089" width="2.85546875" style="14" customWidth="1"/>
    <col min="14090" max="14090" width="12.140625" style="14" customWidth="1"/>
    <col min="14091" max="14091" width="10.140625" style="14" customWidth="1"/>
    <col min="14092" max="14092" width="11.7109375" style="14" customWidth="1"/>
    <col min="14093" max="14093" width="11.42578125" style="14" customWidth="1"/>
    <col min="14094" max="14094" width="12.7109375" style="14" customWidth="1"/>
    <col min="14095" max="14095" width="11.42578125" style="14" customWidth="1"/>
    <col min="14096" max="14096" width="10.7109375" style="14" customWidth="1"/>
    <col min="14097" max="14097" width="10.5703125" style="14" customWidth="1"/>
    <col min="14098" max="14098" width="11.28515625" style="14" customWidth="1"/>
    <col min="14099" max="14099" width="9.7109375" style="14" customWidth="1"/>
    <col min="14100" max="14100" width="12" style="14" customWidth="1"/>
    <col min="14101" max="14101" width="11.28515625" style="14" customWidth="1"/>
    <col min="14102" max="14339" width="9.140625" style="14"/>
    <col min="14340" max="14340" width="5.7109375" style="14" customWidth="1"/>
    <col min="14341" max="14341" width="13.140625" style="14" customWidth="1"/>
    <col min="14342" max="14342" width="12.28515625" style="14" customWidth="1"/>
    <col min="14343" max="14343" width="8.85546875" style="14" customWidth="1"/>
    <col min="14344" max="14344" width="10.85546875" style="14" customWidth="1"/>
    <col min="14345" max="14345" width="2.85546875" style="14" customWidth="1"/>
    <col min="14346" max="14346" width="12.140625" style="14" customWidth="1"/>
    <col min="14347" max="14347" width="10.140625" style="14" customWidth="1"/>
    <col min="14348" max="14348" width="11.7109375" style="14" customWidth="1"/>
    <col min="14349" max="14349" width="11.42578125" style="14" customWidth="1"/>
    <col min="14350" max="14350" width="12.7109375" style="14" customWidth="1"/>
    <col min="14351" max="14351" width="11.42578125" style="14" customWidth="1"/>
    <col min="14352" max="14352" width="10.7109375" style="14" customWidth="1"/>
    <col min="14353" max="14353" width="10.5703125" style="14" customWidth="1"/>
    <col min="14354" max="14354" width="11.28515625" style="14" customWidth="1"/>
    <col min="14355" max="14355" width="9.7109375" style="14" customWidth="1"/>
    <col min="14356" max="14356" width="12" style="14" customWidth="1"/>
    <col min="14357" max="14357" width="11.28515625" style="14" customWidth="1"/>
    <col min="14358" max="14595" width="9.140625" style="14"/>
    <col min="14596" max="14596" width="5.7109375" style="14" customWidth="1"/>
    <col min="14597" max="14597" width="13.140625" style="14" customWidth="1"/>
    <col min="14598" max="14598" width="12.28515625" style="14" customWidth="1"/>
    <col min="14599" max="14599" width="8.85546875" style="14" customWidth="1"/>
    <col min="14600" max="14600" width="10.85546875" style="14" customWidth="1"/>
    <col min="14601" max="14601" width="2.85546875" style="14" customWidth="1"/>
    <col min="14602" max="14602" width="12.140625" style="14" customWidth="1"/>
    <col min="14603" max="14603" width="10.140625" style="14" customWidth="1"/>
    <col min="14604" max="14604" width="11.7109375" style="14" customWidth="1"/>
    <col min="14605" max="14605" width="11.42578125" style="14" customWidth="1"/>
    <col min="14606" max="14606" width="12.7109375" style="14" customWidth="1"/>
    <col min="14607" max="14607" width="11.42578125" style="14" customWidth="1"/>
    <col min="14608" max="14608" width="10.7109375" style="14" customWidth="1"/>
    <col min="14609" max="14609" width="10.5703125" style="14" customWidth="1"/>
    <col min="14610" max="14610" width="11.28515625" style="14" customWidth="1"/>
    <col min="14611" max="14611" width="9.7109375" style="14" customWidth="1"/>
    <col min="14612" max="14612" width="12" style="14" customWidth="1"/>
    <col min="14613" max="14613" width="11.28515625" style="14" customWidth="1"/>
    <col min="14614" max="14851" width="9.140625" style="14"/>
    <col min="14852" max="14852" width="5.7109375" style="14" customWidth="1"/>
    <col min="14853" max="14853" width="13.140625" style="14" customWidth="1"/>
    <col min="14854" max="14854" width="12.28515625" style="14" customWidth="1"/>
    <col min="14855" max="14855" width="8.85546875" style="14" customWidth="1"/>
    <col min="14856" max="14856" width="10.85546875" style="14" customWidth="1"/>
    <col min="14857" max="14857" width="2.85546875" style="14" customWidth="1"/>
    <col min="14858" max="14858" width="12.140625" style="14" customWidth="1"/>
    <col min="14859" max="14859" width="10.140625" style="14" customWidth="1"/>
    <col min="14860" max="14860" width="11.7109375" style="14" customWidth="1"/>
    <col min="14861" max="14861" width="11.42578125" style="14" customWidth="1"/>
    <col min="14862" max="14862" width="12.7109375" style="14" customWidth="1"/>
    <col min="14863" max="14863" width="11.42578125" style="14" customWidth="1"/>
    <col min="14864" max="14864" width="10.7109375" style="14" customWidth="1"/>
    <col min="14865" max="14865" width="10.5703125" style="14" customWidth="1"/>
    <col min="14866" max="14866" width="11.28515625" style="14" customWidth="1"/>
    <col min="14867" max="14867" width="9.7109375" style="14" customWidth="1"/>
    <col min="14868" max="14868" width="12" style="14" customWidth="1"/>
    <col min="14869" max="14869" width="11.28515625" style="14" customWidth="1"/>
    <col min="14870" max="15107" width="9.140625" style="14"/>
    <col min="15108" max="15108" width="5.7109375" style="14" customWidth="1"/>
    <col min="15109" max="15109" width="13.140625" style="14" customWidth="1"/>
    <col min="15110" max="15110" width="12.28515625" style="14" customWidth="1"/>
    <col min="15111" max="15111" width="8.85546875" style="14" customWidth="1"/>
    <col min="15112" max="15112" width="10.85546875" style="14" customWidth="1"/>
    <col min="15113" max="15113" width="2.85546875" style="14" customWidth="1"/>
    <col min="15114" max="15114" width="12.140625" style="14" customWidth="1"/>
    <col min="15115" max="15115" width="10.140625" style="14" customWidth="1"/>
    <col min="15116" max="15116" width="11.7109375" style="14" customWidth="1"/>
    <col min="15117" max="15117" width="11.42578125" style="14" customWidth="1"/>
    <col min="15118" max="15118" width="12.7109375" style="14" customWidth="1"/>
    <col min="15119" max="15119" width="11.42578125" style="14" customWidth="1"/>
    <col min="15120" max="15120" width="10.7109375" style="14" customWidth="1"/>
    <col min="15121" max="15121" width="10.5703125" style="14" customWidth="1"/>
    <col min="15122" max="15122" width="11.28515625" style="14" customWidth="1"/>
    <col min="15123" max="15123" width="9.7109375" style="14" customWidth="1"/>
    <col min="15124" max="15124" width="12" style="14" customWidth="1"/>
    <col min="15125" max="15125" width="11.28515625" style="14" customWidth="1"/>
    <col min="15126" max="15363" width="9.140625" style="14"/>
    <col min="15364" max="15364" width="5.7109375" style="14" customWidth="1"/>
    <col min="15365" max="15365" width="13.140625" style="14" customWidth="1"/>
    <col min="15366" max="15366" width="12.28515625" style="14" customWidth="1"/>
    <col min="15367" max="15367" width="8.85546875" style="14" customWidth="1"/>
    <col min="15368" max="15368" width="10.85546875" style="14" customWidth="1"/>
    <col min="15369" max="15369" width="2.85546875" style="14" customWidth="1"/>
    <col min="15370" max="15370" width="12.140625" style="14" customWidth="1"/>
    <col min="15371" max="15371" width="10.140625" style="14" customWidth="1"/>
    <col min="15372" max="15372" width="11.7109375" style="14" customWidth="1"/>
    <col min="15373" max="15373" width="11.42578125" style="14" customWidth="1"/>
    <col min="15374" max="15374" width="12.7109375" style="14" customWidth="1"/>
    <col min="15375" max="15375" width="11.42578125" style="14" customWidth="1"/>
    <col min="15376" max="15376" width="10.7109375" style="14" customWidth="1"/>
    <col min="15377" max="15377" width="10.5703125" style="14" customWidth="1"/>
    <col min="15378" max="15378" width="11.28515625" style="14" customWidth="1"/>
    <col min="15379" max="15379" width="9.7109375" style="14" customWidth="1"/>
    <col min="15380" max="15380" width="12" style="14" customWidth="1"/>
    <col min="15381" max="15381" width="11.28515625" style="14" customWidth="1"/>
    <col min="15382" max="15619" width="9.140625" style="14"/>
    <col min="15620" max="15620" width="5.7109375" style="14" customWidth="1"/>
    <col min="15621" max="15621" width="13.140625" style="14" customWidth="1"/>
    <col min="15622" max="15622" width="12.28515625" style="14" customWidth="1"/>
    <col min="15623" max="15623" width="8.85546875" style="14" customWidth="1"/>
    <col min="15624" max="15624" width="10.85546875" style="14" customWidth="1"/>
    <col min="15625" max="15625" width="2.85546875" style="14" customWidth="1"/>
    <col min="15626" max="15626" width="12.140625" style="14" customWidth="1"/>
    <col min="15627" max="15627" width="10.140625" style="14" customWidth="1"/>
    <col min="15628" max="15628" width="11.7109375" style="14" customWidth="1"/>
    <col min="15629" max="15629" width="11.42578125" style="14" customWidth="1"/>
    <col min="15630" max="15630" width="12.7109375" style="14" customWidth="1"/>
    <col min="15631" max="15631" width="11.42578125" style="14" customWidth="1"/>
    <col min="15632" max="15632" width="10.7109375" style="14" customWidth="1"/>
    <col min="15633" max="15633" width="10.5703125" style="14" customWidth="1"/>
    <col min="15634" max="15634" width="11.28515625" style="14" customWidth="1"/>
    <col min="15635" max="15635" width="9.7109375" style="14" customWidth="1"/>
    <col min="15636" max="15636" width="12" style="14" customWidth="1"/>
    <col min="15637" max="15637" width="11.28515625" style="14" customWidth="1"/>
    <col min="15638" max="15875" width="9.140625" style="14"/>
    <col min="15876" max="15876" width="5.7109375" style="14" customWidth="1"/>
    <col min="15877" max="15877" width="13.140625" style="14" customWidth="1"/>
    <col min="15878" max="15878" width="12.28515625" style="14" customWidth="1"/>
    <col min="15879" max="15879" width="8.85546875" style="14" customWidth="1"/>
    <col min="15880" max="15880" width="10.85546875" style="14" customWidth="1"/>
    <col min="15881" max="15881" width="2.85546875" style="14" customWidth="1"/>
    <col min="15882" max="15882" width="12.140625" style="14" customWidth="1"/>
    <col min="15883" max="15883" width="10.140625" style="14" customWidth="1"/>
    <col min="15884" max="15884" width="11.7109375" style="14" customWidth="1"/>
    <col min="15885" max="15885" width="11.42578125" style="14" customWidth="1"/>
    <col min="15886" max="15886" width="12.7109375" style="14" customWidth="1"/>
    <col min="15887" max="15887" width="11.42578125" style="14" customWidth="1"/>
    <col min="15888" max="15888" width="10.7109375" style="14" customWidth="1"/>
    <col min="15889" max="15889" width="10.5703125" style="14" customWidth="1"/>
    <col min="15890" max="15890" width="11.28515625" style="14" customWidth="1"/>
    <col min="15891" max="15891" width="9.7109375" style="14" customWidth="1"/>
    <col min="15892" max="15892" width="12" style="14" customWidth="1"/>
    <col min="15893" max="15893" width="11.28515625" style="14" customWidth="1"/>
    <col min="15894" max="16131" width="9.140625" style="14"/>
    <col min="16132" max="16132" width="5.7109375" style="14" customWidth="1"/>
    <col min="16133" max="16133" width="13.140625" style="14" customWidth="1"/>
    <col min="16134" max="16134" width="12.28515625" style="14" customWidth="1"/>
    <col min="16135" max="16135" width="8.85546875" style="14" customWidth="1"/>
    <col min="16136" max="16136" width="10.85546875" style="14" customWidth="1"/>
    <col min="16137" max="16137" width="2.85546875" style="14" customWidth="1"/>
    <col min="16138" max="16138" width="12.140625" style="14" customWidth="1"/>
    <col min="16139" max="16139" width="10.140625" style="14" customWidth="1"/>
    <col min="16140" max="16140" width="11.7109375" style="14" customWidth="1"/>
    <col min="16141" max="16141" width="11.42578125" style="14" customWidth="1"/>
    <col min="16142" max="16142" width="12.7109375" style="14" customWidth="1"/>
    <col min="16143" max="16143" width="11.42578125" style="14" customWidth="1"/>
    <col min="16144" max="16144" width="10.7109375" style="14" customWidth="1"/>
    <col min="16145" max="16145" width="10.5703125" style="14" customWidth="1"/>
    <col min="16146" max="16146" width="11.28515625" style="14" customWidth="1"/>
    <col min="16147" max="16147" width="9.7109375" style="14" customWidth="1"/>
    <col min="16148" max="16148" width="12" style="14" customWidth="1"/>
    <col min="16149" max="16149" width="11.28515625" style="14" customWidth="1"/>
    <col min="16150" max="16384" width="9.140625" style="14"/>
  </cols>
  <sheetData>
    <row r="1" spans="4:19" ht="12.75" thickBot="1" x14ac:dyDescent="0.25"/>
    <row r="2" spans="4:19" ht="12" customHeight="1" thickBot="1" x14ac:dyDescent="0.25">
      <c r="Q2" s="633" t="s">
        <v>0</v>
      </c>
      <c r="R2" s="634"/>
      <c r="S2" s="635"/>
    </row>
    <row r="3" spans="4:19" ht="13.5" thickBot="1" x14ac:dyDescent="0.25">
      <c r="I3" s="636" t="s">
        <v>1</v>
      </c>
      <c r="J3" s="637"/>
      <c r="K3" s="637"/>
      <c r="L3" s="637"/>
      <c r="M3" s="637"/>
      <c r="N3" s="637"/>
      <c r="O3" s="638"/>
      <c r="Q3" s="611">
        <f>+'BURGOS TORRES RIGOBERTO'!Q3:S3</f>
        <v>45</v>
      </c>
      <c r="R3" s="639"/>
      <c r="S3" s="612"/>
    </row>
    <row r="4" spans="4:19" ht="13.5" thickBot="1" x14ac:dyDescent="0.25">
      <c r="I4" s="640" t="s">
        <v>2</v>
      </c>
      <c r="J4" s="641"/>
      <c r="K4" s="641"/>
      <c r="L4" s="641"/>
      <c r="M4" s="641"/>
      <c r="N4" s="641"/>
      <c r="O4" s="642"/>
      <c r="Q4" s="18"/>
      <c r="R4" s="18"/>
      <c r="S4" s="18"/>
    </row>
    <row r="5" spans="4:19" ht="13.5" thickBot="1" x14ac:dyDescent="0.25">
      <c r="I5" s="643" t="s">
        <v>3</v>
      </c>
      <c r="J5" s="644"/>
      <c r="K5" s="644"/>
      <c r="L5" s="644"/>
      <c r="M5" s="644"/>
      <c r="N5" s="644"/>
      <c r="O5" s="645"/>
      <c r="Q5" s="611" t="s">
        <v>4</v>
      </c>
      <c r="R5" s="639"/>
      <c r="S5" s="612"/>
    </row>
    <row r="6" spans="4:19" ht="13.5" thickBot="1" x14ac:dyDescent="0.25">
      <c r="I6" s="650" t="s">
        <v>5</v>
      </c>
      <c r="J6" s="651"/>
      <c r="K6" s="651"/>
      <c r="L6" s="651"/>
      <c r="M6" s="651"/>
      <c r="N6" s="651"/>
      <c r="O6" s="652"/>
      <c r="Q6" s="653">
        <f>+'CORDOVA URIBE JOSE  ADRIAN'!Q6+1</f>
        <v>109</v>
      </c>
      <c r="R6" s="654"/>
      <c r="S6" s="655"/>
    </row>
    <row r="7" spans="4:19" ht="9" customHeight="1" x14ac:dyDescent="0.2"/>
    <row r="8" spans="4:19" ht="6.75" customHeight="1" thickBot="1" x14ac:dyDescent="0.25"/>
    <row r="9" spans="4:19" ht="13.5" thickBot="1" x14ac:dyDescent="0.25">
      <c r="I9" s="611" t="s">
        <v>6</v>
      </c>
      <c r="J9" s="639"/>
      <c r="K9" s="639"/>
      <c r="L9" s="639"/>
      <c r="M9" s="639"/>
      <c r="N9" s="639"/>
      <c r="O9" s="612"/>
    </row>
    <row r="10" spans="4:19" ht="11.25" customHeight="1" thickBot="1" x14ac:dyDescent="0.25"/>
    <row r="11" spans="4:19" ht="12.75" x14ac:dyDescent="0.2">
      <c r="D11" s="1" t="s">
        <v>7</v>
      </c>
      <c r="E11" s="2" t="s">
        <v>267</v>
      </c>
      <c r="F11" s="2"/>
      <c r="G11" s="2"/>
      <c r="H11" s="2"/>
      <c r="I11" s="2"/>
      <c r="J11" s="2"/>
      <c r="K11" s="3" t="s">
        <v>8</v>
      </c>
      <c r="L11" s="656" t="str">
        <f>'REYES LARA DANTE'!L11</f>
        <v>SEMANA #45 PERIODO DEL 27 de oct AL 02 de nov DEL 2025</v>
      </c>
      <c r="M11" s="656"/>
      <c r="N11" s="656"/>
      <c r="O11" s="656"/>
      <c r="P11" s="656"/>
      <c r="Q11" s="656"/>
      <c r="R11" s="656"/>
      <c r="S11" s="659"/>
    </row>
    <row r="12" spans="4:19" ht="12.75" x14ac:dyDescent="0.2">
      <c r="D12" s="4" t="s">
        <v>9</v>
      </c>
      <c r="E12" s="624" t="s">
        <v>75</v>
      </c>
      <c r="F12" s="624"/>
      <c r="G12" s="5"/>
      <c r="H12" s="130"/>
      <c r="I12" s="130"/>
      <c r="J12" s="130"/>
      <c r="K12" s="130"/>
      <c r="L12" s="130"/>
      <c r="M12" s="130"/>
      <c r="N12" s="130"/>
      <c r="O12" s="130"/>
      <c r="P12" s="130"/>
      <c r="Q12" s="130"/>
      <c r="R12" s="130"/>
      <c r="S12" s="256"/>
    </row>
    <row r="13" spans="4:19" ht="9.75" customHeight="1" x14ac:dyDescent="0.2">
      <c r="D13" s="623"/>
      <c r="E13" s="624"/>
      <c r="F13" s="130"/>
      <c r="G13" s="130"/>
      <c r="H13" s="130"/>
      <c r="I13" s="130"/>
      <c r="J13" s="130"/>
      <c r="K13" s="130"/>
      <c r="L13" s="130"/>
      <c r="M13" s="130"/>
      <c r="N13" s="130"/>
      <c r="O13" s="130"/>
      <c r="P13" s="130"/>
      <c r="Q13" s="130"/>
      <c r="R13" s="130"/>
      <c r="S13" s="256"/>
    </row>
    <row r="14" spans="4:19" ht="12.75" x14ac:dyDescent="0.2">
      <c r="D14" s="625" t="s">
        <v>10</v>
      </c>
      <c r="E14" s="626"/>
      <c r="F14" s="130">
        <v>121469</v>
      </c>
      <c r="G14" s="130"/>
      <c r="H14" s="130"/>
      <c r="I14" s="6" t="s">
        <v>11</v>
      </c>
      <c r="J14" s="6"/>
      <c r="K14" s="130"/>
      <c r="L14" s="130"/>
      <c r="M14" s="130"/>
      <c r="N14" s="130"/>
      <c r="O14" s="6" t="s">
        <v>12</v>
      </c>
      <c r="P14" s="7"/>
      <c r="Q14" s="7"/>
      <c r="R14" s="7"/>
      <c r="S14" s="8"/>
    </row>
    <row r="15" spans="4:19" ht="12.75" x14ac:dyDescent="0.2">
      <c r="D15" s="625" t="s">
        <v>13</v>
      </c>
      <c r="E15" s="626"/>
      <c r="F15" s="130">
        <v>122158</v>
      </c>
      <c r="G15" s="130"/>
      <c r="H15" s="130"/>
      <c r="I15" s="6" t="s">
        <v>14</v>
      </c>
      <c r="J15" s="6"/>
      <c r="K15" s="130"/>
      <c r="L15" s="130"/>
      <c r="M15" s="130"/>
      <c r="N15" s="130"/>
      <c r="O15" s="6" t="s">
        <v>15</v>
      </c>
      <c r="P15" s="130"/>
      <c r="Q15" s="130"/>
      <c r="R15" s="130"/>
      <c r="S15" s="256"/>
    </row>
    <row r="16" spans="4:19" ht="13.5" thickBot="1" x14ac:dyDescent="0.25">
      <c r="D16" s="627" t="s">
        <v>16</v>
      </c>
      <c r="E16" s="628"/>
      <c r="F16" s="257">
        <f>SUM(J19:J33)</f>
        <v>2250</v>
      </c>
      <c r="G16" s="257"/>
      <c r="H16" s="257"/>
      <c r="I16" s="9" t="s">
        <v>17</v>
      </c>
      <c r="J16" s="257">
        <f>SUM(K19:K33)</f>
        <v>680.95</v>
      </c>
      <c r="K16" s="257"/>
      <c r="L16" s="257"/>
      <c r="M16" s="257"/>
      <c r="N16" s="257"/>
      <c r="O16" s="9" t="s">
        <v>18</v>
      </c>
      <c r="P16" s="10">
        <f>+F16/J16</f>
        <v>3.3042073573683823</v>
      </c>
      <c r="Q16" s="257"/>
      <c r="R16" s="257"/>
      <c r="S16" s="258"/>
    </row>
    <row r="17" spans="3:22" ht="7.5" customHeight="1" thickBot="1" x14ac:dyDescent="0.25"/>
    <row r="18" spans="3:22" ht="33" customHeight="1" thickBot="1" x14ac:dyDescent="0.25">
      <c r="C18" s="243" t="s">
        <v>19</v>
      </c>
      <c r="D18" s="33" t="s">
        <v>20</v>
      </c>
      <c r="E18" s="34" t="s">
        <v>21</v>
      </c>
      <c r="F18" s="34" t="s">
        <v>22</v>
      </c>
      <c r="G18" s="34" t="s">
        <v>23</v>
      </c>
      <c r="H18" s="34" t="s">
        <v>24</v>
      </c>
      <c r="I18" s="34" t="s">
        <v>25</v>
      </c>
      <c r="J18" s="34" t="s">
        <v>26</v>
      </c>
      <c r="K18" s="34" t="s">
        <v>27</v>
      </c>
      <c r="L18" s="34" t="s">
        <v>28</v>
      </c>
      <c r="M18" s="34" t="s">
        <v>285</v>
      </c>
      <c r="N18" s="34" t="s">
        <v>29</v>
      </c>
      <c r="O18" s="34" t="s">
        <v>30</v>
      </c>
      <c r="P18" s="33" t="s">
        <v>31</v>
      </c>
      <c r="Q18" s="34" t="s">
        <v>219</v>
      </c>
      <c r="R18" s="34" t="s">
        <v>184</v>
      </c>
      <c r="S18" s="34" t="s">
        <v>33</v>
      </c>
      <c r="T18" s="454" t="s">
        <v>220</v>
      </c>
      <c r="U18" s="464" t="s">
        <v>351</v>
      </c>
      <c r="V18" s="465" t="s">
        <v>354</v>
      </c>
    </row>
    <row r="19" spans="3:22" ht="12.75" customHeight="1" x14ac:dyDescent="0.2">
      <c r="C19" s="176">
        <v>46129</v>
      </c>
      <c r="D19" s="43" t="s">
        <v>542</v>
      </c>
      <c r="E19" s="42">
        <v>45959</v>
      </c>
      <c r="F19" s="42">
        <v>45960</v>
      </c>
      <c r="G19" s="43">
        <v>2</v>
      </c>
      <c r="H19" s="24" t="str">
        <f>IF(G19=1,KILOMETRAJE!C$4,IF(G19=2,KILOMETRAJE!C$5,IF(G19=3,KILOMETRAJE!C$6,IF(G19=4,KILOMETRAJE!C$7,IF(G19=5,KILOMETRAJE!C$8,IF(G19=6,KILOMETRAJE!C$9,IF(G19=7,KILOMETRAJE!C$10,IF(G19=8,KILOMETRAJE!C$11,IF(G19=9,KILOMETRAJE!C$12,IF(G19=10,KILOMETRAJE!C$13,IF(G19=11,KILOMETRAJE!C$14,IF(G19=12,KILOMETRAJE!C$15,IF(G19=13,KILOMETRAJE!C$16,IF(G19=14,KILOMETRAJE!C$17,IF(G19=15,KILOMETRAJE!C$18,IF(G19=16,KILOMETRAJE!C$19,IF(G19=17,KILOMETRAJE!C$20,IF(G19=18,KILOMETRAJE!C$21,IF(G19=19,KILOMETRAJE!C$22,IF(G19=20,KILOMETRAJE!C$23,IF(G19=21,KILOMETRAJE!C$24,IF(G19=22,KILOMETRAJE!C$25,IF(G19=23,KILOMETRAJE!C$26,IF(G19=24,KILOMETRAJE!C$27,IF(G19=25,KILOMETRAJE!C$28,IF(G19=26,KILOMETRAJE!C$29,IF(G19=27,KILOMETRAJE!C$30,IF(G19=28,KILOMETRAJE!C$31,IF(G19=29,KILOMETRAJE!C$32,IF(G19=30,KILOMETRAJE!C$33,IF(G19=31,KILOMETRAJE!C$34,IF(G19=32,KILOMETRAJE!C$35,IF(G19=33,KILOMETRAJE!C$36,IF(G19=34,KILOMETRAJE!C$37,IF(G19=35,KILOMETRAJE!C$38,IF(G19=36,KILOMETRAJE!C$39,IF(G19=37,KILOMETRAJE!C$40,IF(G19=38,KILOMETRAJE!C$41,IF(G19=39,KILOMETRAJE!C$42,IF(G19=40,KILOMETRAJE!C$43,IF(G19=41,KILOMETRAJE!C$44,IF(G19=42,KILOMETRAJE!C$45,IF(G19=43,KILOMETRAJE!C$46,IF(G19=44,KILOMETRAJE!C$47,IF(G19=45,KILOMETRAJE!C$48,IF(G19=46,KILOMETRAJE!C$49,IF(G19=47,KILOMETRAJE!C$50,IF(G19=48,KILOMETRAJE!C$51,IF(G19=49,KILOMETRAJE!C$52,IF(G19=50,KILOMETRAJE!C$53,IF(G19=51,KILOMETRAJE!C$54,IF(G19=52,KILOMETRAJE!C$55,IF(G19=53,KILOMETRAJE!C$56,IF(G19=54,KILOMETRAJE!C$57,IF(G19=55,KILOMETRAJE!C$58,IF(G19=56,KILOMETRAJE!C$59,IF(G19=57,KILOMETRAJE!C$60,IF(G19=58,KILOMETRAJE!C$61,IF(G19=59,KILOMETRAJE!C$62,IF(G19=60,KILOMETRAJE!C$63,IF(G19=61,KILOMETRAJE!C$64,IF(G19=62,KILOMETRAJE!C$65,IF(G19=63,KILOMETRAJE!C$66)))))))))))))))))))))))))))))))))))))))))))))))))))))))))))))))</f>
        <v>JRZ</v>
      </c>
      <c r="I19" s="24" t="str">
        <f>IF(G19=1,KILOMETRAJE!E$4,IF(G19=2,KILOMETRAJE!E$5,IF(G19=3,KILOMETRAJE!E$6,IF(G19=4,KILOMETRAJE!E$7,IF(G19=5,KILOMETRAJE!E$8,IF(G19=6,KILOMETRAJE!E$9,IF(G19=7,KILOMETRAJE!E$10,IF(G19=8,KILOMETRAJE!E$11,IF(G19=9,KILOMETRAJE!E$12,IF(G19=10,KILOMETRAJE!E$13,IF(G19=11,KILOMETRAJE!E$14,IF(G19=12,KILOMETRAJE!E$15,IF(G19=13,KILOMETRAJE!E$16,IF(G19=14,KILOMETRAJE!E$17,IF(G19=15,KILOMETRAJE!E$18,IF(G19=16,KILOMETRAJE!E$19,IF(G19=17,KILOMETRAJE!E$20,IF(G19=18,KILOMETRAJE!E$21,IF(G19=19,KILOMETRAJE!E$22,IF(G19=20,KILOMETRAJE!E$23,IF(G19=21,KILOMETRAJE!E$24,IF(G19=22,KILOMETRAJE!E$25,IF(G19=23,KILOMETRAJE!E$26,IF(G19=24,KILOMETRAJE!E$27,IF(G19=25,KILOMETRAJE!E$28,IF(G19=26,KILOMETRAJE!E$29,IF(G19=27,KILOMETRAJE!E$30,IF(G19=28,KILOMETRAJE!E$31,IF(G19=29,KILOMETRAJE!E$32,IF(G19=30,KILOMETRAJE!E$33,IF(G19=31,KILOMETRAJE!E$34,IF(G19=32,KILOMETRAJE!E$35,IF(G19=33,KILOMETRAJE!E$36,IF(G19=34,KILOMETRAJE!E$37,IF(G19=35,KILOMETRAJE!E$38,IF(G19=36,KILOMETRAJE!E$39,IF(G19=37,KILOMETRAJE!E$40,IF(G19=38,KILOMETRAJE!E$41,IF(G19=39,KILOMETRAJE!E$42,IF(G19=40,KILOMETRAJE!E$43,IF(G19=41,KILOMETRAJE!E$44,IF(G19=42,KILOMETRAJE!E$45,IF(G19=43,KILOMETRAJE!E$46,IF(G19=44,KILOMETRAJE!E$47,IF(G19=45,KILOMETRAJE!E$48,IF(G19=46,KILOMETRAJE!E$49,IF(G19=47,KILOMETRAJE!E$50,IF(G19=48,KILOMETRAJE!E$51,IF(G19=49,KILOMETRAJE!E$52,IF(G19=50,KILOMETRAJE!E$53,IF(G19=51,KILOMETRAJE!E$54,IF(G19=52,KILOMETRAJE!E$55,IF(G19=53,KILOMETRAJE!E$56,IF(G19=54,KILOMETRAJE!E$57,IF(G19=55,KILOMETRAJE!E$58,IF(G19=56,KILOMETRAJE!E$59,IF(G19=57,KILOMETRAJE!E$60,IF(G19=58,KILOMETRAJE!E$61,IF(G19=59,KILOMETRAJE!E$62,IF(G19=60,KILOMETRAJE!E$63,IF(G19=61,KILOMETRAJE!E$64,IF(G19=62,KILOMETRAJE!E$65,IF(G19=63,KILOMETRAJE!E$66)))))))))))))))))))))))))))))))))))))))))))))))))))))))))))))))</f>
        <v>CHIH.</v>
      </c>
      <c r="J19" s="51">
        <f>IF(G19=1,KILOMETRAJE!G$4,IF(G19=2,KILOMETRAJE!G$5,IF(G19=3,KILOMETRAJE!G$6,IF(G19=4,KILOMETRAJE!G$7,IF(G19=5,KILOMETRAJE!G$8,IF(G19=6,KILOMETRAJE!G$9,IF(G19=7,KILOMETRAJE!G$10,IF(G19=8,KILOMETRAJE!G$11,IF(G19=9,KILOMETRAJE!G$12,IF(G19=10,KILOMETRAJE!G$13,IF(G19=11,KILOMETRAJE!G$14,IF(G19=12,KILOMETRAJE!G$15,IF(G19=13,KILOMETRAJE!G$16,IF(G19=14,KILOMETRAJE!G$17,IF(G19=15,KILOMETRAJE!G$18,IF(G19=16,KILOMETRAJE!G$19,IF(G19=17,KILOMETRAJE!G$20,IF(G19=18,KILOMETRAJE!G$21,IF(G19=19,KILOMETRAJE!G$22,IF(G19=20,KILOMETRAJE!G$23,IF(G19=21,KILOMETRAJE!G$24,IF(G19=22,KILOMETRAJE!G$25,IF(G19=23,KILOMETRAJE!G$26,IF(G19=24,KILOMETRAJE!G$27,IF(G19=25,KILOMETRAJE!G$28,IF(G19=26,KILOMETRAJE!G$29,IF(G19=27,KILOMETRAJE!G$30,IF(G19=28,KILOMETRAJE!G$31,IF(G19=29,KILOMETRAJE!G$32,IF(G19=30,KILOMETRAJE!G$33,IF(G19=31,KILOMETRAJE!G$34,IF(G19=32,KILOMETRAJE!G$35,IF(G19=33,KILOMETRAJE!G$36,IF(G19=34,KILOMETRAJE!G$37,IF(G19=35,KILOMETRAJE!G$38,IF(G19=36,KILOMETRAJE!G$39,IF(G19=37,KILOMETRAJE!G$40,IF(G19=38,KILOMETRAJE!G$41,IF(G19=39,KILOMETRAJE!G$42,IF(G19=40,KILOMETRAJE!G$43,IF(G19=41,KILOMETRAJE!G$44,IF(G19=42,KILOMETRAJE!G$45,IF(G19=43,KILOMETRAJE!G$46,IF(G19=44,KILOMETRAJE!G$47,IF(G19=45,KILOMETRAJE!G$48,IF(G19=46,KILOMETRAJE!G$49,IF(G19=47,KILOMETRAJE!G$50,IF(G19=48,KILOMETRAJE!G$51,IF(G19=49,KILOMETRAJE!G$52,IF(G19=50,KILOMETRAJE!G$53,IF(G19=51,KILOMETRAJE!G$54,IF(G19=52,KILOMETRAJE!G$55,IF(G19=53,KILOMETRAJE!G$56,IF(G19=54,KILOMETRAJE!G$57,IF(G19=55,KILOMETRAJE!G$58,IF(G19=56,KILOMETRAJE!G$59,IF(G19=57,KILOMETRAJE!G$60,IF(G19=58,KILOMETRAJE!G$61,IF(G19=59,KILOMETRAJE!G$62,IF(G19=60,KILOMETRAJE!G$63,IF(G19=61,KILOMETRAJE!G$64,IF(G19=62,KILOMETRAJE!G$65,IF(G19=63,KILOMETRAJE!G$66)))))))))))))))))))))))))))))))))))))))))))))))))))))))))))))))</f>
        <v>375</v>
      </c>
      <c r="K19" s="24"/>
      <c r="L19" s="56"/>
      <c r="M19" s="348">
        <v>88</v>
      </c>
      <c r="N19" s="24">
        <v>1</v>
      </c>
      <c r="O19" s="24" t="s">
        <v>428</v>
      </c>
      <c r="P19" s="24" t="s">
        <v>211</v>
      </c>
      <c r="Q19" s="45">
        <f t="shared" ref="Q19:Q20" si="0">((((IF(N19=1,((J19)*0.29333)))+(IF(N19=2,((J19)*0.146666)))+(IF(N19=3,((J19)*0.146666)))))+(IF(N19=4,((J19-40)*0.29333)))+(IF(N19=5,((J19-50)*0.29333)))+(IF(N19=6,((J19-90)*0.29333))))</f>
        <v>109.99874999999999</v>
      </c>
      <c r="R19" s="191"/>
      <c r="S19" s="52"/>
      <c r="T19" s="45"/>
      <c r="U19" s="24" t="s">
        <v>352</v>
      </c>
      <c r="V19" s="79" t="s">
        <v>352</v>
      </c>
    </row>
    <row r="20" spans="3:22" ht="13.5" customHeight="1" thickBot="1" x14ac:dyDescent="0.25">
      <c r="C20" s="380"/>
      <c r="D20" s="61" t="s">
        <v>543</v>
      </c>
      <c r="E20" s="12">
        <v>45960</v>
      </c>
      <c r="F20" s="12">
        <v>45960</v>
      </c>
      <c r="G20" s="61">
        <v>3</v>
      </c>
      <c r="H20" s="11" t="str">
        <f>IF(G20=1,KILOMETRAJE!C$4,IF(G20=2,KILOMETRAJE!C$5,IF(G20=3,KILOMETRAJE!C$6,IF(G20=4,KILOMETRAJE!C$7,IF(G20=5,KILOMETRAJE!C$8,IF(G20=6,KILOMETRAJE!C$9,IF(G20=7,KILOMETRAJE!C$10,IF(G20=8,KILOMETRAJE!C$11,IF(G20=9,KILOMETRAJE!C$12,IF(G20=10,KILOMETRAJE!C$13,IF(G20=11,KILOMETRAJE!C$14,IF(G20=12,KILOMETRAJE!C$15,IF(G20=13,KILOMETRAJE!C$16,IF(G20=14,KILOMETRAJE!C$17,IF(G20=15,KILOMETRAJE!C$18,IF(G20=16,KILOMETRAJE!C$19,IF(G20=17,KILOMETRAJE!C$20,IF(G20=18,KILOMETRAJE!C$21,IF(G20=19,KILOMETRAJE!C$22,IF(G20=20,KILOMETRAJE!C$23,IF(G20=21,KILOMETRAJE!C$24,IF(G20=22,KILOMETRAJE!C$25,IF(G20=23,KILOMETRAJE!C$26,IF(G20=24,KILOMETRAJE!C$27,IF(G20=25,KILOMETRAJE!C$28,IF(G20=26,KILOMETRAJE!C$29,IF(G20=27,KILOMETRAJE!C$30,IF(G20=28,KILOMETRAJE!C$31,IF(G20=29,KILOMETRAJE!C$32,IF(G20=30,KILOMETRAJE!C$33,IF(G20=31,KILOMETRAJE!C$34,IF(G20=32,KILOMETRAJE!C$35,IF(G20=33,KILOMETRAJE!C$36,IF(G20=34,KILOMETRAJE!C$37,IF(G20=35,KILOMETRAJE!C$38,IF(G20=36,KILOMETRAJE!C$39,IF(G20=37,KILOMETRAJE!C$40,IF(G20=38,KILOMETRAJE!C$41,IF(G20=39,KILOMETRAJE!C$42,IF(G20=40,KILOMETRAJE!C$43,IF(G20=41,KILOMETRAJE!C$44,IF(G20=42,KILOMETRAJE!C$45,IF(G20=43,KILOMETRAJE!C$46,IF(G20=44,KILOMETRAJE!C$47,IF(G20=45,KILOMETRAJE!C$48,IF(G20=46,KILOMETRAJE!C$49,IF(G20=47,KILOMETRAJE!C$50,IF(G20=48,KILOMETRAJE!C$51,IF(G20=49,KILOMETRAJE!C$52,IF(G20=50,KILOMETRAJE!C$53,IF(G20=51,KILOMETRAJE!C$54,IF(G20=52,KILOMETRAJE!C$55,IF(G20=53,KILOMETRAJE!C$56,IF(G20=54,KILOMETRAJE!C$57,IF(G20=55,KILOMETRAJE!C$58,IF(G20=56,KILOMETRAJE!C$59,IF(G20=57,KILOMETRAJE!C$60,IF(G20=58,KILOMETRAJE!C$61,IF(G20=59,KILOMETRAJE!C$62,IF(G20=60,KILOMETRAJE!C$63,IF(G20=61,KILOMETRAJE!C$64,IF(G20=62,KILOMETRAJE!C$65,IF(G20=63,KILOMETRAJE!C$66)))))))))))))))))))))))))))))))))))))))))))))))))))))))))))))))</f>
        <v xml:space="preserve">CHIH. </v>
      </c>
      <c r="I20" s="11" t="str">
        <f>IF(G20=1,KILOMETRAJE!E$4,IF(G20=2,KILOMETRAJE!E$5,IF(G20=3,KILOMETRAJE!E$6,IF(G20=4,KILOMETRAJE!E$7,IF(G20=5,KILOMETRAJE!E$8,IF(G20=6,KILOMETRAJE!E$9,IF(G20=7,KILOMETRAJE!E$10,IF(G20=8,KILOMETRAJE!E$11,IF(G20=9,KILOMETRAJE!E$12,IF(G20=10,KILOMETRAJE!E$13,IF(G20=11,KILOMETRAJE!E$14,IF(G20=12,KILOMETRAJE!E$15,IF(G20=13,KILOMETRAJE!E$16,IF(G20=14,KILOMETRAJE!E$17,IF(G20=15,KILOMETRAJE!E$18,IF(G20=16,KILOMETRAJE!E$19,IF(G20=17,KILOMETRAJE!E$20,IF(G20=18,KILOMETRAJE!E$21,IF(G20=19,KILOMETRAJE!E$22,IF(G20=20,KILOMETRAJE!E$23,IF(G20=21,KILOMETRAJE!E$24,IF(G20=22,KILOMETRAJE!E$25,IF(G20=23,KILOMETRAJE!E$26,IF(G20=24,KILOMETRAJE!E$27,IF(G20=25,KILOMETRAJE!E$28,IF(G20=26,KILOMETRAJE!E$29,IF(G20=27,KILOMETRAJE!E$30,IF(G20=28,KILOMETRAJE!E$31,IF(G20=29,KILOMETRAJE!E$32,IF(G20=30,KILOMETRAJE!E$33,IF(G20=31,KILOMETRAJE!E$34,IF(G20=32,KILOMETRAJE!E$35,IF(G20=33,KILOMETRAJE!E$36,IF(G20=34,KILOMETRAJE!E$37,IF(G20=35,KILOMETRAJE!E$38,IF(G20=36,KILOMETRAJE!E$39,IF(G20=37,KILOMETRAJE!E$40,IF(G20=38,KILOMETRAJE!E$41,IF(G20=39,KILOMETRAJE!E$42,IF(G20=40,KILOMETRAJE!E$43,IF(G20=41,KILOMETRAJE!E$44,IF(G20=42,KILOMETRAJE!E$45,IF(G20=43,KILOMETRAJE!E$46,IF(G20=44,KILOMETRAJE!E$47,IF(G20=45,KILOMETRAJE!E$48,IF(G20=46,KILOMETRAJE!E$49,IF(G20=47,KILOMETRAJE!E$50,IF(G20=48,KILOMETRAJE!E$51,IF(G20=49,KILOMETRAJE!E$52,IF(G20=50,KILOMETRAJE!E$53,IF(G20=51,KILOMETRAJE!E$54,IF(G20=52,KILOMETRAJE!E$55,IF(G20=53,KILOMETRAJE!E$56,IF(G20=54,KILOMETRAJE!E$57,IF(G20=55,KILOMETRAJE!E$58,IF(G20=56,KILOMETRAJE!E$59,IF(G20=57,KILOMETRAJE!E$60,IF(G20=58,KILOMETRAJE!E$61,IF(G20=59,KILOMETRAJE!E$62,IF(G20=60,KILOMETRAJE!E$63,IF(G20=61,KILOMETRAJE!E$64,IF(G20=62,KILOMETRAJE!E$65,IF(G20=63,KILOMETRAJE!E$66)))))))))))))))))))))))))))))))))))))))))))))))))))))))))))))))</f>
        <v>JRZ</v>
      </c>
      <c r="J20" s="22">
        <f>IF(G20=1,KILOMETRAJE!G$4,IF(G20=2,KILOMETRAJE!G$5,IF(G20=3,KILOMETRAJE!G$6,IF(G20=4,KILOMETRAJE!G$7,IF(G20=5,KILOMETRAJE!G$8,IF(G20=6,KILOMETRAJE!G$9,IF(G20=7,KILOMETRAJE!G$10,IF(G20=8,KILOMETRAJE!G$11,IF(G20=9,KILOMETRAJE!G$12,IF(G20=10,KILOMETRAJE!G$13,IF(G20=11,KILOMETRAJE!G$14,IF(G20=12,KILOMETRAJE!G$15,IF(G20=13,KILOMETRAJE!G$16,IF(G20=14,KILOMETRAJE!G$17,IF(G20=15,KILOMETRAJE!G$18,IF(G20=16,KILOMETRAJE!G$19,IF(G20=17,KILOMETRAJE!G$20,IF(G20=18,KILOMETRAJE!G$21,IF(G20=19,KILOMETRAJE!G$22,IF(G20=20,KILOMETRAJE!G$23,IF(G20=21,KILOMETRAJE!G$24,IF(G20=22,KILOMETRAJE!G$25,IF(G20=23,KILOMETRAJE!G$26,IF(G20=24,KILOMETRAJE!G$27,IF(G20=25,KILOMETRAJE!G$28,IF(G20=26,KILOMETRAJE!G$29,IF(G20=27,KILOMETRAJE!G$30,IF(G20=28,KILOMETRAJE!G$31,IF(G20=29,KILOMETRAJE!G$32,IF(G20=30,KILOMETRAJE!G$33,IF(G20=31,KILOMETRAJE!G$34,IF(G20=32,KILOMETRAJE!G$35,IF(G20=33,KILOMETRAJE!G$36,IF(G20=34,KILOMETRAJE!G$37,IF(G20=35,KILOMETRAJE!G$38,IF(G20=36,KILOMETRAJE!G$39,IF(G20=37,KILOMETRAJE!G$40,IF(G20=38,KILOMETRAJE!G$41,IF(G20=39,KILOMETRAJE!G$42,IF(G20=40,KILOMETRAJE!G$43,IF(G20=41,KILOMETRAJE!G$44,IF(G20=42,KILOMETRAJE!G$45,IF(G20=43,KILOMETRAJE!G$46,IF(G20=44,KILOMETRAJE!G$47,IF(G20=45,KILOMETRAJE!G$48,IF(G20=46,KILOMETRAJE!G$49,IF(G20=47,KILOMETRAJE!G$50,IF(G20=48,KILOMETRAJE!G$51,IF(G20=49,KILOMETRAJE!G$52,IF(G20=50,KILOMETRAJE!G$53,IF(G20=51,KILOMETRAJE!G$54,IF(G20=52,KILOMETRAJE!G$55,IF(G20=53,KILOMETRAJE!G$56,IF(G20=54,KILOMETRAJE!G$57,IF(G20=55,KILOMETRAJE!G$58,IF(G20=56,KILOMETRAJE!G$59,IF(G20=57,KILOMETRAJE!G$60,IF(G20=58,KILOMETRAJE!G$61,IF(G20=59,KILOMETRAJE!G$62,IF(G20=60,KILOMETRAJE!G$63,IF(G20=61,KILOMETRAJE!G$64,IF(G20=62,KILOMETRAJE!G$65,IF(G20=63,KILOMETRAJE!G$66)))))))))))))))))))))))))))))))))))))))))))))))))))))))))))))))</f>
        <v>375</v>
      </c>
      <c r="K20" s="11">
        <v>216.14</v>
      </c>
      <c r="L20" s="369">
        <f>SUM(J19:J20)/K20</f>
        <v>3.4699731655408534</v>
      </c>
      <c r="M20" s="371">
        <v>1375</v>
      </c>
      <c r="N20" s="11">
        <v>1</v>
      </c>
      <c r="O20" s="11" t="s">
        <v>548</v>
      </c>
      <c r="P20" s="11" t="s">
        <v>195</v>
      </c>
      <c r="Q20" s="13">
        <f t="shared" si="0"/>
        <v>109.99874999999999</v>
      </c>
      <c r="R20" s="339">
        <f>+LOOKUP(P40,UNIDADES!B$3:B$59,UNIDADES!C$3:C$59)</f>
        <v>2.3734099999999998</v>
      </c>
      <c r="S20" s="195">
        <f>+((SUM(J19:J20))/R20)-K20</f>
        <v>99.861028056677981</v>
      </c>
      <c r="T20" s="13">
        <f>+S20*14.85</f>
        <v>1482.936266641668</v>
      </c>
      <c r="U20" s="11">
        <v>6</v>
      </c>
      <c r="V20" s="53">
        <v>62</v>
      </c>
    </row>
    <row r="21" spans="3:22" ht="12.75" hidden="1" thickBot="1" x14ac:dyDescent="0.25">
      <c r="C21" s="239"/>
      <c r="D21" s="68"/>
      <c r="E21" s="69"/>
      <c r="F21" s="69"/>
      <c r="G21" s="68"/>
      <c r="H21" s="70"/>
      <c r="I21" s="70"/>
      <c r="J21" s="71"/>
      <c r="K21" s="70"/>
      <c r="L21" s="299"/>
      <c r="M21" s="370"/>
      <c r="N21" s="70"/>
      <c r="O21" s="70"/>
      <c r="P21" s="70"/>
      <c r="Q21" s="67"/>
      <c r="R21" s="197"/>
      <c r="S21" s="194"/>
      <c r="T21" s="67"/>
      <c r="U21" s="70"/>
      <c r="V21" s="484"/>
    </row>
    <row r="22" spans="3:22" ht="13.5" customHeight="1" x14ac:dyDescent="0.2">
      <c r="C22" s="176">
        <v>46157</v>
      </c>
      <c r="D22" s="43" t="s">
        <v>544</v>
      </c>
      <c r="E22" s="42">
        <v>45960</v>
      </c>
      <c r="F22" s="42">
        <v>45961</v>
      </c>
      <c r="G22" s="43">
        <v>2</v>
      </c>
      <c r="H22" s="24" t="str">
        <f>IF(G22=1,KILOMETRAJE!C$4,IF(G22=2,KILOMETRAJE!C$5,IF(G22=3,KILOMETRAJE!C$6,IF(G22=4,KILOMETRAJE!C$7,IF(G22=5,KILOMETRAJE!C$8,IF(G22=6,KILOMETRAJE!C$9,IF(G22=7,KILOMETRAJE!C$10,IF(G22=8,KILOMETRAJE!C$11,IF(G22=9,KILOMETRAJE!C$12,IF(G22=10,KILOMETRAJE!C$13,IF(G22=11,KILOMETRAJE!C$14,IF(G22=12,KILOMETRAJE!C$15,IF(G22=13,KILOMETRAJE!C$16,IF(G22=14,KILOMETRAJE!C$17,IF(G22=15,KILOMETRAJE!C$18,IF(G22=16,KILOMETRAJE!C$19,IF(G22=17,KILOMETRAJE!C$20,IF(G22=18,KILOMETRAJE!C$21,IF(G22=19,KILOMETRAJE!C$22,IF(G22=20,KILOMETRAJE!C$23,IF(G22=21,KILOMETRAJE!C$24,IF(G22=22,KILOMETRAJE!C$25,IF(G22=23,KILOMETRAJE!C$26,IF(G22=24,KILOMETRAJE!C$27,IF(G22=25,KILOMETRAJE!C$28,IF(G22=26,KILOMETRAJE!C$29,IF(G22=27,KILOMETRAJE!C$30,IF(G22=28,KILOMETRAJE!C$31,IF(G22=29,KILOMETRAJE!C$32,IF(G22=30,KILOMETRAJE!C$33,IF(G22=31,KILOMETRAJE!C$34,IF(G22=32,KILOMETRAJE!C$35,IF(G22=33,KILOMETRAJE!C$36,IF(G22=34,KILOMETRAJE!C$37,IF(G22=35,KILOMETRAJE!C$38,IF(G22=36,KILOMETRAJE!C$39,IF(G22=37,KILOMETRAJE!C$40,IF(G22=38,KILOMETRAJE!C$41,IF(G22=39,KILOMETRAJE!C$42,IF(G22=40,KILOMETRAJE!C$43,IF(G22=41,KILOMETRAJE!C$44,IF(G22=42,KILOMETRAJE!C$45,IF(G22=43,KILOMETRAJE!C$46,IF(G22=44,KILOMETRAJE!C$47,IF(G22=45,KILOMETRAJE!C$48,IF(G22=46,KILOMETRAJE!C$49,IF(G22=47,KILOMETRAJE!C$50,IF(G22=48,KILOMETRAJE!C$51,IF(G22=49,KILOMETRAJE!C$52,IF(G22=50,KILOMETRAJE!C$53,IF(G22=51,KILOMETRAJE!C$54,IF(G22=52,KILOMETRAJE!C$55,IF(G22=53,KILOMETRAJE!C$56,IF(G22=54,KILOMETRAJE!C$57,IF(G22=55,KILOMETRAJE!C$58,IF(G22=56,KILOMETRAJE!C$59,IF(G22=57,KILOMETRAJE!C$60,IF(G22=58,KILOMETRAJE!C$61,IF(G22=59,KILOMETRAJE!C$62,IF(G22=60,KILOMETRAJE!C$63,IF(G22=61,KILOMETRAJE!C$64,IF(G22=62,KILOMETRAJE!C$65,IF(G22=63,KILOMETRAJE!C$66)))))))))))))))))))))))))))))))))))))))))))))))))))))))))))))))</f>
        <v>JRZ</v>
      </c>
      <c r="I22" s="24" t="str">
        <f>IF(G22=1,KILOMETRAJE!E$4,IF(G22=2,KILOMETRAJE!E$5,IF(G22=3,KILOMETRAJE!E$6,IF(G22=4,KILOMETRAJE!E$7,IF(G22=5,KILOMETRAJE!E$8,IF(G22=6,KILOMETRAJE!E$9,IF(G22=7,KILOMETRAJE!E$10,IF(G22=8,KILOMETRAJE!E$11,IF(G22=9,KILOMETRAJE!E$12,IF(G22=10,KILOMETRAJE!E$13,IF(G22=11,KILOMETRAJE!E$14,IF(G22=12,KILOMETRAJE!E$15,IF(G22=13,KILOMETRAJE!E$16,IF(G22=14,KILOMETRAJE!E$17,IF(G22=15,KILOMETRAJE!E$18,IF(G22=16,KILOMETRAJE!E$19,IF(G22=17,KILOMETRAJE!E$20,IF(G22=18,KILOMETRAJE!E$21,IF(G22=19,KILOMETRAJE!E$22,IF(G22=20,KILOMETRAJE!E$23,IF(G22=21,KILOMETRAJE!E$24,IF(G22=22,KILOMETRAJE!E$25,IF(G22=23,KILOMETRAJE!E$26,IF(G22=24,KILOMETRAJE!E$27,IF(G22=25,KILOMETRAJE!E$28,IF(G22=26,KILOMETRAJE!E$29,IF(G22=27,KILOMETRAJE!E$30,IF(G22=28,KILOMETRAJE!E$31,IF(G22=29,KILOMETRAJE!E$32,IF(G22=30,KILOMETRAJE!E$33,IF(G22=31,KILOMETRAJE!E$34,IF(G22=32,KILOMETRAJE!E$35,IF(G22=33,KILOMETRAJE!E$36,IF(G22=34,KILOMETRAJE!E$37,IF(G22=35,KILOMETRAJE!E$38,IF(G22=36,KILOMETRAJE!E$39,IF(G22=37,KILOMETRAJE!E$40,IF(G22=38,KILOMETRAJE!E$41,IF(G22=39,KILOMETRAJE!E$42,IF(G22=40,KILOMETRAJE!E$43,IF(G22=41,KILOMETRAJE!E$44,IF(G22=42,KILOMETRAJE!E$45,IF(G22=43,KILOMETRAJE!E$46,IF(G22=44,KILOMETRAJE!E$47,IF(G22=45,KILOMETRAJE!E$48,IF(G22=46,KILOMETRAJE!E$49,IF(G22=47,KILOMETRAJE!E$50,IF(G22=48,KILOMETRAJE!E$51,IF(G22=49,KILOMETRAJE!E$52,IF(G22=50,KILOMETRAJE!E$53,IF(G22=51,KILOMETRAJE!E$54,IF(G22=52,KILOMETRAJE!E$55,IF(G22=53,KILOMETRAJE!E$56,IF(G22=54,KILOMETRAJE!E$57,IF(G22=55,KILOMETRAJE!E$58,IF(G22=56,KILOMETRAJE!E$59,IF(G22=57,KILOMETRAJE!E$60,IF(G22=58,KILOMETRAJE!E$61,IF(G22=59,KILOMETRAJE!E$62,IF(G22=60,KILOMETRAJE!E$63,IF(G22=61,KILOMETRAJE!E$64,IF(G22=62,KILOMETRAJE!E$65,IF(G22=63,KILOMETRAJE!E$66)))))))))))))))))))))))))))))))))))))))))))))))))))))))))))))))</f>
        <v>CHIH.</v>
      </c>
      <c r="J22" s="51">
        <f>IF(G22=1,KILOMETRAJE!G$4,IF(G22=2,KILOMETRAJE!G$5,IF(G22=3,KILOMETRAJE!G$6,IF(G22=4,KILOMETRAJE!G$7,IF(G22=5,KILOMETRAJE!G$8,IF(G22=6,KILOMETRAJE!G$9,IF(G22=7,KILOMETRAJE!G$10,IF(G22=8,KILOMETRAJE!G$11,IF(G22=9,KILOMETRAJE!G$12,IF(G22=10,KILOMETRAJE!G$13,IF(G22=11,KILOMETRAJE!G$14,IF(G22=12,KILOMETRAJE!G$15,IF(G22=13,KILOMETRAJE!G$16,IF(G22=14,KILOMETRAJE!G$17,IF(G22=15,KILOMETRAJE!G$18,IF(G22=16,KILOMETRAJE!G$19,IF(G22=17,KILOMETRAJE!G$20,IF(G22=18,KILOMETRAJE!G$21,IF(G22=19,KILOMETRAJE!G$22,IF(G22=20,KILOMETRAJE!G$23,IF(G22=21,KILOMETRAJE!G$24,IF(G22=22,KILOMETRAJE!G$25,IF(G22=23,KILOMETRAJE!G$26,IF(G22=24,KILOMETRAJE!G$27,IF(G22=25,KILOMETRAJE!G$28,IF(G22=26,KILOMETRAJE!G$29,IF(G22=27,KILOMETRAJE!G$30,IF(G22=28,KILOMETRAJE!G$31,IF(G22=29,KILOMETRAJE!G$32,IF(G22=30,KILOMETRAJE!G$33,IF(G22=31,KILOMETRAJE!G$34,IF(G22=32,KILOMETRAJE!G$35,IF(G22=33,KILOMETRAJE!G$36,IF(G22=34,KILOMETRAJE!G$37,IF(G22=35,KILOMETRAJE!G$38,IF(G22=36,KILOMETRAJE!G$39,IF(G22=37,KILOMETRAJE!G$40,IF(G22=38,KILOMETRAJE!G$41,IF(G22=39,KILOMETRAJE!G$42,IF(G22=40,KILOMETRAJE!G$43,IF(G22=41,KILOMETRAJE!G$44,IF(G22=42,KILOMETRAJE!G$45,IF(G22=43,KILOMETRAJE!G$46,IF(G22=44,KILOMETRAJE!G$47,IF(G22=45,KILOMETRAJE!G$48,IF(G22=46,KILOMETRAJE!G$49,IF(G22=47,KILOMETRAJE!G$50,IF(G22=48,KILOMETRAJE!G$51,IF(G22=49,KILOMETRAJE!G$52,IF(G22=50,KILOMETRAJE!G$53,IF(G22=51,KILOMETRAJE!G$54,IF(G22=52,KILOMETRAJE!G$55,IF(G22=53,KILOMETRAJE!G$56,IF(G22=54,KILOMETRAJE!G$57,IF(G22=55,KILOMETRAJE!G$58,IF(G22=56,KILOMETRAJE!G$59,IF(G22=57,KILOMETRAJE!G$60,IF(G22=58,KILOMETRAJE!G$61,IF(G22=59,KILOMETRAJE!G$62,IF(G22=60,KILOMETRAJE!G$63,IF(G22=61,KILOMETRAJE!G$64,IF(G22=62,KILOMETRAJE!G$65,IF(G22=63,KILOMETRAJE!G$66)))))))))))))))))))))))))))))))))))))))))))))))))))))))))))))))</f>
        <v>375</v>
      </c>
      <c r="K22" s="24"/>
      <c r="L22" s="56"/>
      <c r="M22" s="348"/>
      <c r="N22" s="24">
        <v>2</v>
      </c>
      <c r="O22" s="24" t="s">
        <v>549</v>
      </c>
      <c r="P22" s="24" t="s">
        <v>202</v>
      </c>
      <c r="Q22" s="45">
        <f t="shared" ref="Q22:Q25" si="1">((((IF(N22=1,((J22)*0.29333)))+(IF(N22=2,((J22)*0.146666)))+(IF(N22=3,((J22)*0.146666)))))+(IF(N22=4,((J22-40)*0.29333)))+(IF(N22=5,((J22-50)*0.29333)))+(IF(N22=6,((J22-90)*0.29333))))</f>
        <v>54.999749999999999</v>
      </c>
      <c r="R22" s="191"/>
      <c r="S22" s="52"/>
      <c r="T22" s="45"/>
      <c r="U22" s="24" t="s">
        <v>352</v>
      </c>
      <c r="V22" s="79" t="s">
        <v>352</v>
      </c>
    </row>
    <row r="23" spans="3:22" ht="12.75" thickBot="1" x14ac:dyDescent="0.25">
      <c r="C23" s="239"/>
      <c r="D23" s="68" t="s">
        <v>545</v>
      </c>
      <c r="E23" s="69">
        <v>45961</v>
      </c>
      <c r="F23" s="69">
        <v>45961</v>
      </c>
      <c r="G23" s="68">
        <v>3</v>
      </c>
      <c r="H23" s="70" t="str">
        <f>IF(G23=1,KILOMETRAJE!C$4,IF(G23=2,KILOMETRAJE!C$5,IF(G23=3,KILOMETRAJE!C$6,IF(G23=4,KILOMETRAJE!C$7,IF(G23=5,KILOMETRAJE!C$8,IF(G23=6,KILOMETRAJE!C$9,IF(G23=7,KILOMETRAJE!C$10,IF(G23=8,KILOMETRAJE!C$11,IF(G23=9,KILOMETRAJE!C$12,IF(G23=10,KILOMETRAJE!C$13,IF(G23=11,KILOMETRAJE!C$14,IF(G23=12,KILOMETRAJE!C$15,IF(G23=13,KILOMETRAJE!C$16,IF(G23=14,KILOMETRAJE!C$17,IF(G23=15,KILOMETRAJE!C$18,IF(G23=16,KILOMETRAJE!C$19,IF(G23=17,KILOMETRAJE!C$20,IF(G23=18,KILOMETRAJE!C$21,IF(G23=19,KILOMETRAJE!C$22,IF(G23=20,KILOMETRAJE!C$23,IF(G23=21,KILOMETRAJE!C$24,IF(G23=22,KILOMETRAJE!C$25,IF(G23=23,KILOMETRAJE!C$26,IF(G23=24,KILOMETRAJE!C$27,IF(G23=25,KILOMETRAJE!C$28,IF(G23=26,KILOMETRAJE!C$29,IF(G23=27,KILOMETRAJE!C$30,IF(G23=28,KILOMETRAJE!C$31,IF(G23=29,KILOMETRAJE!C$32,IF(G23=30,KILOMETRAJE!C$33,IF(G23=31,KILOMETRAJE!C$34,IF(G23=32,KILOMETRAJE!C$35,IF(G23=33,KILOMETRAJE!C$36,IF(G23=34,KILOMETRAJE!C$37,IF(G23=35,KILOMETRAJE!C$38,IF(G23=36,KILOMETRAJE!C$39,IF(G23=37,KILOMETRAJE!C$40,IF(G23=38,KILOMETRAJE!C$41,IF(G23=39,KILOMETRAJE!C$42,IF(G23=40,KILOMETRAJE!C$43,IF(G23=41,KILOMETRAJE!C$44,IF(G23=42,KILOMETRAJE!C$45,IF(G23=43,KILOMETRAJE!C$46,IF(G23=44,KILOMETRAJE!C$47,IF(G23=45,KILOMETRAJE!C$48,IF(G23=46,KILOMETRAJE!C$49,IF(G23=47,KILOMETRAJE!C$50,IF(G23=48,KILOMETRAJE!C$51,IF(G23=49,KILOMETRAJE!C$52,IF(G23=50,KILOMETRAJE!C$53,IF(G23=51,KILOMETRAJE!C$54,IF(G23=52,KILOMETRAJE!C$55,IF(G23=53,KILOMETRAJE!C$56,IF(G23=54,KILOMETRAJE!C$57,IF(G23=55,KILOMETRAJE!C$58,IF(G23=56,KILOMETRAJE!C$59,IF(G23=57,KILOMETRAJE!C$60,IF(G23=58,KILOMETRAJE!C$61,IF(G23=59,KILOMETRAJE!C$62,IF(G23=60,KILOMETRAJE!C$63,IF(G23=61,KILOMETRAJE!C$64,IF(G23=62,KILOMETRAJE!C$65,IF(G23=63,KILOMETRAJE!C$66)))))))))))))))))))))))))))))))))))))))))))))))))))))))))))))))</f>
        <v xml:space="preserve">CHIH. </v>
      </c>
      <c r="I23" s="70" t="str">
        <f>IF(G23=1,KILOMETRAJE!E$4,IF(G23=2,KILOMETRAJE!E$5,IF(G23=3,KILOMETRAJE!E$6,IF(G23=4,KILOMETRAJE!E$7,IF(G23=5,KILOMETRAJE!E$8,IF(G23=6,KILOMETRAJE!E$9,IF(G23=7,KILOMETRAJE!E$10,IF(G23=8,KILOMETRAJE!E$11,IF(G23=9,KILOMETRAJE!E$12,IF(G23=10,KILOMETRAJE!E$13,IF(G23=11,KILOMETRAJE!E$14,IF(G23=12,KILOMETRAJE!E$15,IF(G23=13,KILOMETRAJE!E$16,IF(G23=14,KILOMETRAJE!E$17,IF(G23=15,KILOMETRAJE!E$18,IF(G23=16,KILOMETRAJE!E$19,IF(G23=17,KILOMETRAJE!E$20,IF(G23=18,KILOMETRAJE!E$21,IF(G23=19,KILOMETRAJE!E$22,IF(G23=20,KILOMETRAJE!E$23,IF(G23=21,KILOMETRAJE!E$24,IF(G23=22,KILOMETRAJE!E$25,IF(G23=23,KILOMETRAJE!E$26,IF(G23=24,KILOMETRAJE!E$27,IF(G23=25,KILOMETRAJE!E$28,IF(G23=26,KILOMETRAJE!E$29,IF(G23=27,KILOMETRAJE!E$30,IF(G23=28,KILOMETRAJE!E$31,IF(G23=29,KILOMETRAJE!E$32,IF(G23=30,KILOMETRAJE!E$33,IF(G23=31,KILOMETRAJE!E$34,IF(G23=32,KILOMETRAJE!E$35,IF(G23=33,KILOMETRAJE!E$36,IF(G23=34,KILOMETRAJE!E$37,IF(G23=35,KILOMETRAJE!E$38,IF(G23=36,KILOMETRAJE!E$39,IF(G23=37,KILOMETRAJE!E$40,IF(G23=38,KILOMETRAJE!E$41,IF(G23=39,KILOMETRAJE!E$42,IF(G23=40,KILOMETRAJE!E$43,IF(G23=41,KILOMETRAJE!E$44,IF(G23=42,KILOMETRAJE!E$45,IF(G23=43,KILOMETRAJE!E$46,IF(G23=44,KILOMETRAJE!E$47,IF(G23=45,KILOMETRAJE!E$48,IF(G23=46,KILOMETRAJE!E$49,IF(G23=47,KILOMETRAJE!E$50,IF(G23=48,KILOMETRAJE!E$51,IF(G23=49,KILOMETRAJE!E$52,IF(G23=50,KILOMETRAJE!E$53,IF(G23=51,KILOMETRAJE!E$54,IF(G23=52,KILOMETRAJE!E$55,IF(G23=53,KILOMETRAJE!E$56,IF(G23=54,KILOMETRAJE!E$57,IF(G23=55,KILOMETRAJE!E$58,IF(G23=56,KILOMETRAJE!E$59,IF(G23=57,KILOMETRAJE!E$60,IF(G23=58,KILOMETRAJE!E$61,IF(G23=59,KILOMETRAJE!E$62,IF(G23=60,KILOMETRAJE!E$63,IF(G23=61,KILOMETRAJE!E$64,IF(G23=62,KILOMETRAJE!E$65,IF(G23=63,KILOMETRAJE!E$66)))))))))))))))))))))))))))))))))))))))))))))))))))))))))))))))</f>
        <v>JRZ</v>
      </c>
      <c r="J23" s="71">
        <f>IF(G23=1,KILOMETRAJE!G$4,IF(G23=2,KILOMETRAJE!G$5,IF(G23=3,KILOMETRAJE!G$6,IF(G23=4,KILOMETRAJE!G$7,IF(G23=5,KILOMETRAJE!G$8,IF(G23=6,KILOMETRAJE!G$9,IF(G23=7,KILOMETRAJE!G$10,IF(G23=8,KILOMETRAJE!G$11,IF(G23=9,KILOMETRAJE!G$12,IF(G23=10,KILOMETRAJE!G$13,IF(G23=11,KILOMETRAJE!G$14,IF(G23=12,KILOMETRAJE!G$15,IF(G23=13,KILOMETRAJE!G$16,IF(G23=14,KILOMETRAJE!G$17,IF(G23=15,KILOMETRAJE!G$18,IF(G23=16,KILOMETRAJE!G$19,IF(G23=17,KILOMETRAJE!G$20,IF(G23=18,KILOMETRAJE!G$21,IF(G23=19,KILOMETRAJE!G$22,IF(G23=20,KILOMETRAJE!G$23,IF(G23=21,KILOMETRAJE!G$24,IF(G23=22,KILOMETRAJE!G$25,IF(G23=23,KILOMETRAJE!G$26,IF(G23=24,KILOMETRAJE!G$27,IF(G23=25,KILOMETRAJE!G$28,IF(G23=26,KILOMETRAJE!G$29,IF(G23=27,KILOMETRAJE!G$30,IF(G23=28,KILOMETRAJE!G$31,IF(G23=29,KILOMETRAJE!G$32,IF(G23=30,KILOMETRAJE!G$33,IF(G23=31,KILOMETRAJE!G$34,IF(G23=32,KILOMETRAJE!G$35,IF(G23=33,KILOMETRAJE!G$36,IF(G23=34,KILOMETRAJE!G$37,IF(G23=35,KILOMETRAJE!G$38,IF(G23=36,KILOMETRAJE!G$39,IF(G23=37,KILOMETRAJE!G$40,IF(G23=38,KILOMETRAJE!G$41,IF(G23=39,KILOMETRAJE!G$42,IF(G23=40,KILOMETRAJE!G$43,IF(G23=41,KILOMETRAJE!G$44,IF(G23=42,KILOMETRAJE!G$45,IF(G23=43,KILOMETRAJE!G$46,IF(G23=44,KILOMETRAJE!G$47,IF(G23=45,KILOMETRAJE!G$48,IF(G23=46,KILOMETRAJE!G$49,IF(G23=47,KILOMETRAJE!G$50,IF(G23=48,KILOMETRAJE!G$51,IF(G23=49,KILOMETRAJE!G$52,IF(G23=50,KILOMETRAJE!G$53,IF(G23=51,KILOMETRAJE!G$54,IF(G23=52,KILOMETRAJE!G$55,IF(G23=53,KILOMETRAJE!G$56,IF(G23=54,KILOMETRAJE!G$57,IF(G23=55,KILOMETRAJE!G$58,IF(G23=56,KILOMETRAJE!G$59,IF(G23=57,KILOMETRAJE!G$60,IF(G23=58,KILOMETRAJE!G$61,IF(G23=59,KILOMETRAJE!G$62,IF(G23=60,KILOMETRAJE!G$63,IF(G23=61,KILOMETRAJE!G$64,IF(G23=62,KILOMETRAJE!G$65,IF(G23=63,KILOMETRAJE!G$66)))))))))))))))))))))))))))))))))))))))))))))))))))))))))))))))</f>
        <v>375</v>
      </c>
      <c r="K23" s="70">
        <v>228.81</v>
      </c>
      <c r="L23" s="299">
        <f>SUM(J22:J23)/K23</f>
        <v>3.2778287662252525</v>
      </c>
      <c r="M23" s="370">
        <v>6208</v>
      </c>
      <c r="N23" s="70">
        <v>1</v>
      </c>
      <c r="O23" s="70" t="s">
        <v>421</v>
      </c>
      <c r="P23" s="70" t="s">
        <v>247</v>
      </c>
      <c r="Q23" s="67">
        <f t="shared" si="1"/>
        <v>109.99874999999999</v>
      </c>
      <c r="R23" s="197">
        <f>+LOOKUP(P43,UNIDADES!B$3:B$59,UNIDADES!C$3:C$59)</f>
        <v>2.3734099999999998</v>
      </c>
      <c r="S23" s="194">
        <f>+((SUM(J22:J23))/R23)-K23</f>
        <v>87.191028056677965</v>
      </c>
      <c r="T23" s="67">
        <f>+S23*14.85</f>
        <v>1294.7867666416678</v>
      </c>
      <c r="U23" s="70">
        <v>62</v>
      </c>
      <c r="V23" s="484">
        <v>61</v>
      </c>
    </row>
    <row r="24" spans="3:22" ht="13.5" customHeight="1" x14ac:dyDescent="0.2">
      <c r="C24" s="176">
        <v>46102</v>
      </c>
      <c r="D24" s="43" t="s">
        <v>546</v>
      </c>
      <c r="E24" s="42">
        <v>45958</v>
      </c>
      <c r="F24" s="42">
        <v>45959</v>
      </c>
      <c r="G24" s="43">
        <v>2</v>
      </c>
      <c r="H24" s="24" t="str">
        <f>IF(G24=1,KILOMETRAJE!C$4,IF(G24=2,KILOMETRAJE!C$5,IF(G24=3,KILOMETRAJE!C$6,IF(G24=4,KILOMETRAJE!C$7,IF(G24=5,KILOMETRAJE!C$8,IF(G24=6,KILOMETRAJE!C$9,IF(G24=7,KILOMETRAJE!C$10,IF(G24=8,KILOMETRAJE!C$11,IF(G24=9,KILOMETRAJE!C$12,IF(G24=10,KILOMETRAJE!C$13,IF(G24=11,KILOMETRAJE!C$14,IF(G24=12,KILOMETRAJE!C$15,IF(G24=13,KILOMETRAJE!C$16,IF(G24=14,KILOMETRAJE!C$17,IF(G24=15,KILOMETRAJE!C$18,IF(G24=16,KILOMETRAJE!C$19,IF(G24=17,KILOMETRAJE!C$20,IF(G24=18,KILOMETRAJE!C$21,IF(G24=19,KILOMETRAJE!C$22,IF(G24=20,KILOMETRAJE!C$23,IF(G24=21,KILOMETRAJE!C$24,IF(G24=22,KILOMETRAJE!C$25,IF(G24=23,KILOMETRAJE!C$26,IF(G24=24,KILOMETRAJE!C$27,IF(G24=25,KILOMETRAJE!C$28,IF(G24=26,KILOMETRAJE!C$29,IF(G24=27,KILOMETRAJE!C$30,IF(G24=28,KILOMETRAJE!C$31,IF(G24=29,KILOMETRAJE!C$32,IF(G24=30,KILOMETRAJE!C$33,IF(G24=31,KILOMETRAJE!C$34,IF(G24=32,KILOMETRAJE!C$35,IF(G24=33,KILOMETRAJE!C$36,IF(G24=34,KILOMETRAJE!C$37,IF(G24=35,KILOMETRAJE!C$38,IF(G24=36,KILOMETRAJE!C$39,IF(G24=37,KILOMETRAJE!C$40,IF(G24=38,KILOMETRAJE!C$41,IF(G24=39,KILOMETRAJE!C$42,IF(G24=40,KILOMETRAJE!C$43,IF(G24=41,KILOMETRAJE!C$44,IF(G24=42,KILOMETRAJE!C$45,IF(G24=43,KILOMETRAJE!C$46,IF(G24=44,KILOMETRAJE!C$47,IF(G24=45,KILOMETRAJE!C$48,IF(G24=46,KILOMETRAJE!C$49,IF(G24=47,KILOMETRAJE!C$50,IF(G24=48,KILOMETRAJE!C$51,IF(G24=49,KILOMETRAJE!C$52,IF(G24=50,KILOMETRAJE!C$53,IF(G24=51,KILOMETRAJE!C$54,IF(G24=52,KILOMETRAJE!C$55,IF(G24=53,KILOMETRAJE!C$56,IF(G24=54,KILOMETRAJE!C$57,IF(G24=55,KILOMETRAJE!C$58,IF(G24=56,KILOMETRAJE!C$59,IF(G24=57,KILOMETRAJE!C$60,IF(G24=58,KILOMETRAJE!C$61,IF(G24=59,KILOMETRAJE!C$62,IF(G24=60,KILOMETRAJE!C$63,IF(G24=61,KILOMETRAJE!C$64,IF(G24=62,KILOMETRAJE!C$65,IF(G24=63,KILOMETRAJE!C$66)))))))))))))))))))))))))))))))))))))))))))))))))))))))))))))))</f>
        <v>JRZ</v>
      </c>
      <c r="I24" s="24" t="str">
        <f>IF(G24=1,KILOMETRAJE!E$4,IF(G24=2,KILOMETRAJE!E$5,IF(G24=3,KILOMETRAJE!E$6,IF(G24=4,KILOMETRAJE!E$7,IF(G24=5,KILOMETRAJE!E$8,IF(G24=6,KILOMETRAJE!E$9,IF(G24=7,KILOMETRAJE!E$10,IF(G24=8,KILOMETRAJE!E$11,IF(G24=9,KILOMETRAJE!E$12,IF(G24=10,KILOMETRAJE!E$13,IF(G24=11,KILOMETRAJE!E$14,IF(G24=12,KILOMETRAJE!E$15,IF(G24=13,KILOMETRAJE!E$16,IF(G24=14,KILOMETRAJE!E$17,IF(G24=15,KILOMETRAJE!E$18,IF(G24=16,KILOMETRAJE!E$19,IF(G24=17,KILOMETRAJE!E$20,IF(G24=18,KILOMETRAJE!E$21,IF(G24=19,KILOMETRAJE!E$22,IF(G24=20,KILOMETRAJE!E$23,IF(G24=21,KILOMETRAJE!E$24,IF(G24=22,KILOMETRAJE!E$25,IF(G24=23,KILOMETRAJE!E$26,IF(G24=24,KILOMETRAJE!E$27,IF(G24=25,KILOMETRAJE!E$28,IF(G24=26,KILOMETRAJE!E$29,IF(G24=27,KILOMETRAJE!E$30,IF(G24=28,KILOMETRAJE!E$31,IF(G24=29,KILOMETRAJE!E$32,IF(G24=30,KILOMETRAJE!E$33,IF(G24=31,KILOMETRAJE!E$34,IF(G24=32,KILOMETRAJE!E$35,IF(G24=33,KILOMETRAJE!E$36,IF(G24=34,KILOMETRAJE!E$37,IF(G24=35,KILOMETRAJE!E$38,IF(G24=36,KILOMETRAJE!E$39,IF(G24=37,KILOMETRAJE!E$40,IF(G24=38,KILOMETRAJE!E$41,IF(G24=39,KILOMETRAJE!E$42,IF(G24=40,KILOMETRAJE!E$43,IF(G24=41,KILOMETRAJE!E$44,IF(G24=42,KILOMETRAJE!E$45,IF(G24=43,KILOMETRAJE!E$46,IF(G24=44,KILOMETRAJE!E$47,IF(G24=45,KILOMETRAJE!E$48,IF(G24=46,KILOMETRAJE!E$49,IF(G24=47,KILOMETRAJE!E$50,IF(G24=48,KILOMETRAJE!E$51,IF(G24=49,KILOMETRAJE!E$52,IF(G24=50,KILOMETRAJE!E$53,IF(G24=51,KILOMETRAJE!E$54,IF(G24=52,KILOMETRAJE!E$55,IF(G24=53,KILOMETRAJE!E$56,IF(G24=54,KILOMETRAJE!E$57,IF(G24=55,KILOMETRAJE!E$58,IF(G24=56,KILOMETRAJE!E$59,IF(G24=57,KILOMETRAJE!E$60,IF(G24=58,KILOMETRAJE!E$61,IF(G24=59,KILOMETRAJE!E$62,IF(G24=60,KILOMETRAJE!E$63,IF(G24=61,KILOMETRAJE!E$64,IF(G24=62,KILOMETRAJE!E$65,IF(G24=63,KILOMETRAJE!E$66)))))))))))))))))))))))))))))))))))))))))))))))))))))))))))))))</f>
        <v>CHIH.</v>
      </c>
      <c r="J24" s="51">
        <f>IF(G24=1,KILOMETRAJE!G$4,IF(G24=2,KILOMETRAJE!G$5,IF(G24=3,KILOMETRAJE!G$6,IF(G24=4,KILOMETRAJE!G$7,IF(G24=5,KILOMETRAJE!G$8,IF(G24=6,KILOMETRAJE!G$9,IF(G24=7,KILOMETRAJE!G$10,IF(G24=8,KILOMETRAJE!G$11,IF(G24=9,KILOMETRAJE!G$12,IF(G24=10,KILOMETRAJE!G$13,IF(G24=11,KILOMETRAJE!G$14,IF(G24=12,KILOMETRAJE!G$15,IF(G24=13,KILOMETRAJE!G$16,IF(G24=14,KILOMETRAJE!G$17,IF(G24=15,KILOMETRAJE!G$18,IF(G24=16,KILOMETRAJE!G$19,IF(G24=17,KILOMETRAJE!G$20,IF(G24=18,KILOMETRAJE!G$21,IF(G24=19,KILOMETRAJE!G$22,IF(G24=20,KILOMETRAJE!G$23,IF(G24=21,KILOMETRAJE!G$24,IF(G24=22,KILOMETRAJE!G$25,IF(G24=23,KILOMETRAJE!G$26,IF(G24=24,KILOMETRAJE!G$27,IF(G24=25,KILOMETRAJE!G$28,IF(G24=26,KILOMETRAJE!G$29,IF(G24=27,KILOMETRAJE!G$30,IF(G24=28,KILOMETRAJE!G$31,IF(G24=29,KILOMETRAJE!G$32,IF(G24=30,KILOMETRAJE!G$33,IF(G24=31,KILOMETRAJE!G$34,IF(G24=32,KILOMETRAJE!G$35,IF(G24=33,KILOMETRAJE!G$36,IF(G24=34,KILOMETRAJE!G$37,IF(G24=35,KILOMETRAJE!G$38,IF(G24=36,KILOMETRAJE!G$39,IF(G24=37,KILOMETRAJE!G$40,IF(G24=38,KILOMETRAJE!G$41,IF(G24=39,KILOMETRAJE!G$42,IF(G24=40,KILOMETRAJE!G$43,IF(G24=41,KILOMETRAJE!G$44,IF(G24=42,KILOMETRAJE!G$45,IF(G24=43,KILOMETRAJE!G$46,IF(G24=44,KILOMETRAJE!G$47,IF(G24=45,KILOMETRAJE!G$48,IF(G24=46,KILOMETRAJE!G$49,IF(G24=47,KILOMETRAJE!G$50,IF(G24=48,KILOMETRAJE!G$51,IF(G24=49,KILOMETRAJE!G$52,IF(G24=50,KILOMETRAJE!G$53,IF(G24=51,KILOMETRAJE!G$54,IF(G24=52,KILOMETRAJE!G$55,IF(G24=53,KILOMETRAJE!G$56,IF(G24=54,KILOMETRAJE!G$57,IF(G24=55,KILOMETRAJE!G$58,IF(G24=56,KILOMETRAJE!G$59,IF(G24=57,KILOMETRAJE!G$60,IF(G24=58,KILOMETRAJE!G$61,IF(G24=59,KILOMETRAJE!G$62,IF(G24=60,KILOMETRAJE!G$63,IF(G24=61,KILOMETRAJE!G$64,IF(G24=62,KILOMETRAJE!G$65,IF(G24=63,KILOMETRAJE!G$66)))))))))))))))))))))))))))))))))))))))))))))))))))))))))))))))</f>
        <v>375</v>
      </c>
      <c r="K24" s="24"/>
      <c r="L24" s="56"/>
      <c r="M24" s="348">
        <v>4499</v>
      </c>
      <c r="N24" s="24">
        <v>1</v>
      </c>
      <c r="O24" s="24" t="s">
        <v>375</v>
      </c>
      <c r="P24" s="24" t="s">
        <v>191</v>
      </c>
      <c r="Q24" s="45">
        <f t="shared" si="1"/>
        <v>109.99874999999999</v>
      </c>
      <c r="R24" s="191"/>
      <c r="S24" s="52"/>
      <c r="T24" s="45"/>
      <c r="U24" s="24" t="s">
        <v>352</v>
      </c>
      <c r="V24" s="79" t="s">
        <v>352</v>
      </c>
    </row>
    <row r="25" spans="3:22" x14ac:dyDescent="0.2">
      <c r="C25" s="239"/>
      <c r="D25" s="68" t="s">
        <v>547</v>
      </c>
      <c r="E25" s="69">
        <v>45959</v>
      </c>
      <c r="F25" s="69">
        <v>45959</v>
      </c>
      <c r="G25" s="68">
        <v>3</v>
      </c>
      <c r="H25" s="70" t="str">
        <f>IF(G25=1,KILOMETRAJE!C$4,IF(G25=2,KILOMETRAJE!C$5,IF(G25=3,KILOMETRAJE!C$6,IF(G25=4,KILOMETRAJE!C$7,IF(G25=5,KILOMETRAJE!C$8,IF(G25=6,KILOMETRAJE!C$9,IF(G25=7,KILOMETRAJE!C$10,IF(G25=8,KILOMETRAJE!C$11,IF(G25=9,KILOMETRAJE!C$12,IF(G25=10,KILOMETRAJE!C$13,IF(G25=11,KILOMETRAJE!C$14,IF(G25=12,KILOMETRAJE!C$15,IF(G25=13,KILOMETRAJE!C$16,IF(G25=14,KILOMETRAJE!C$17,IF(G25=15,KILOMETRAJE!C$18,IF(G25=16,KILOMETRAJE!C$19,IF(G25=17,KILOMETRAJE!C$20,IF(G25=18,KILOMETRAJE!C$21,IF(G25=19,KILOMETRAJE!C$22,IF(G25=20,KILOMETRAJE!C$23,IF(G25=21,KILOMETRAJE!C$24,IF(G25=22,KILOMETRAJE!C$25,IF(G25=23,KILOMETRAJE!C$26,IF(G25=24,KILOMETRAJE!C$27,IF(G25=25,KILOMETRAJE!C$28,IF(G25=26,KILOMETRAJE!C$29,IF(G25=27,KILOMETRAJE!C$30,IF(G25=28,KILOMETRAJE!C$31,IF(G25=29,KILOMETRAJE!C$32,IF(G25=30,KILOMETRAJE!C$33,IF(G25=31,KILOMETRAJE!C$34,IF(G25=32,KILOMETRAJE!C$35,IF(G25=33,KILOMETRAJE!C$36,IF(G25=34,KILOMETRAJE!C$37,IF(G25=35,KILOMETRAJE!C$38,IF(G25=36,KILOMETRAJE!C$39,IF(G25=37,KILOMETRAJE!C$40,IF(G25=38,KILOMETRAJE!C$41,IF(G25=39,KILOMETRAJE!C$42,IF(G25=40,KILOMETRAJE!C$43,IF(G25=41,KILOMETRAJE!C$44,IF(G25=42,KILOMETRAJE!C$45,IF(G25=43,KILOMETRAJE!C$46,IF(G25=44,KILOMETRAJE!C$47,IF(G25=45,KILOMETRAJE!C$48,IF(G25=46,KILOMETRAJE!C$49,IF(G25=47,KILOMETRAJE!C$50,IF(G25=48,KILOMETRAJE!C$51,IF(G25=49,KILOMETRAJE!C$52,IF(G25=50,KILOMETRAJE!C$53,IF(G25=51,KILOMETRAJE!C$54,IF(G25=52,KILOMETRAJE!C$55,IF(G25=53,KILOMETRAJE!C$56,IF(G25=54,KILOMETRAJE!C$57,IF(G25=55,KILOMETRAJE!C$58,IF(G25=56,KILOMETRAJE!C$59,IF(G25=57,KILOMETRAJE!C$60,IF(G25=58,KILOMETRAJE!C$61,IF(G25=59,KILOMETRAJE!C$62,IF(G25=60,KILOMETRAJE!C$63,IF(G25=61,KILOMETRAJE!C$64,IF(G25=62,KILOMETRAJE!C$65,IF(G25=63,KILOMETRAJE!C$66)))))))))))))))))))))))))))))))))))))))))))))))))))))))))))))))</f>
        <v xml:space="preserve">CHIH. </v>
      </c>
      <c r="I25" s="70" t="str">
        <f>IF(G25=1,KILOMETRAJE!E$4,IF(G25=2,KILOMETRAJE!E$5,IF(G25=3,KILOMETRAJE!E$6,IF(G25=4,KILOMETRAJE!E$7,IF(G25=5,KILOMETRAJE!E$8,IF(G25=6,KILOMETRAJE!E$9,IF(G25=7,KILOMETRAJE!E$10,IF(G25=8,KILOMETRAJE!E$11,IF(G25=9,KILOMETRAJE!E$12,IF(G25=10,KILOMETRAJE!E$13,IF(G25=11,KILOMETRAJE!E$14,IF(G25=12,KILOMETRAJE!E$15,IF(G25=13,KILOMETRAJE!E$16,IF(G25=14,KILOMETRAJE!E$17,IF(G25=15,KILOMETRAJE!E$18,IF(G25=16,KILOMETRAJE!E$19,IF(G25=17,KILOMETRAJE!E$20,IF(G25=18,KILOMETRAJE!E$21,IF(G25=19,KILOMETRAJE!E$22,IF(G25=20,KILOMETRAJE!E$23,IF(G25=21,KILOMETRAJE!E$24,IF(G25=22,KILOMETRAJE!E$25,IF(G25=23,KILOMETRAJE!E$26,IF(G25=24,KILOMETRAJE!E$27,IF(G25=25,KILOMETRAJE!E$28,IF(G25=26,KILOMETRAJE!E$29,IF(G25=27,KILOMETRAJE!E$30,IF(G25=28,KILOMETRAJE!E$31,IF(G25=29,KILOMETRAJE!E$32,IF(G25=30,KILOMETRAJE!E$33,IF(G25=31,KILOMETRAJE!E$34,IF(G25=32,KILOMETRAJE!E$35,IF(G25=33,KILOMETRAJE!E$36,IF(G25=34,KILOMETRAJE!E$37,IF(G25=35,KILOMETRAJE!E$38,IF(G25=36,KILOMETRAJE!E$39,IF(G25=37,KILOMETRAJE!E$40,IF(G25=38,KILOMETRAJE!E$41,IF(G25=39,KILOMETRAJE!E$42,IF(G25=40,KILOMETRAJE!E$43,IF(G25=41,KILOMETRAJE!E$44,IF(G25=42,KILOMETRAJE!E$45,IF(G25=43,KILOMETRAJE!E$46,IF(G25=44,KILOMETRAJE!E$47,IF(G25=45,KILOMETRAJE!E$48,IF(G25=46,KILOMETRAJE!E$49,IF(G25=47,KILOMETRAJE!E$50,IF(G25=48,KILOMETRAJE!E$51,IF(G25=49,KILOMETRAJE!E$52,IF(G25=50,KILOMETRAJE!E$53,IF(G25=51,KILOMETRAJE!E$54,IF(G25=52,KILOMETRAJE!E$55,IF(G25=53,KILOMETRAJE!E$56,IF(G25=54,KILOMETRAJE!E$57,IF(G25=55,KILOMETRAJE!E$58,IF(G25=56,KILOMETRAJE!E$59,IF(G25=57,KILOMETRAJE!E$60,IF(G25=58,KILOMETRAJE!E$61,IF(G25=59,KILOMETRAJE!E$62,IF(G25=60,KILOMETRAJE!E$63,IF(G25=61,KILOMETRAJE!E$64,IF(G25=62,KILOMETRAJE!E$65,IF(G25=63,KILOMETRAJE!E$66)))))))))))))))))))))))))))))))))))))))))))))))))))))))))))))))</f>
        <v>JRZ</v>
      </c>
      <c r="J25" s="71">
        <f>IF(G25=1,KILOMETRAJE!G$4,IF(G25=2,KILOMETRAJE!G$5,IF(G25=3,KILOMETRAJE!G$6,IF(G25=4,KILOMETRAJE!G$7,IF(G25=5,KILOMETRAJE!G$8,IF(G25=6,KILOMETRAJE!G$9,IF(G25=7,KILOMETRAJE!G$10,IF(G25=8,KILOMETRAJE!G$11,IF(G25=9,KILOMETRAJE!G$12,IF(G25=10,KILOMETRAJE!G$13,IF(G25=11,KILOMETRAJE!G$14,IF(G25=12,KILOMETRAJE!G$15,IF(G25=13,KILOMETRAJE!G$16,IF(G25=14,KILOMETRAJE!G$17,IF(G25=15,KILOMETRAJE!G$18,IF(G25=16,KILOMETRAJE!G$19,IF(G25=17,KILOMETRAJE!G$20,IF(G25=18,KILOMETRAJE!G$21,IF(G25=19,KILOMETRAJE!G$22,IF(G25=20,KILOMETRAJE!G$23,IF(G25=21,KILOMETRAJE!G$24,IF(G25=22,KILOMETRAJE!G$25,IF(G25=23,KILOMETRAJE!G$26,IF(G25=24,KILOMETRAJE!G$27,IF(G25=25,KILOMETRAJE!G$28,IF(G25=26,KILOMETRAJE!G$29,IF(G25=27,KILOMETRAJE!G$30,IF(G25=28,KILOMETRAJE!G$31,IF(G25=29,KILOMETRAJE!G$32,IF(G25=30,KILOMETRAJE!G$33,IF(G25=31,KILOMETRAJE!G$34,IF(G25=32,KILOMETRAJE!G$35,IF(G25=33,KILOMETRAJE!G$36,IF(G25=34,KILOMETRAJE!G$37,IF(G25=35,KILOMETRAJE!G$38,IF(G25=36,KILOMETRAJE!G$39,IF(G25=37,KILOMETRAJE!G$40,IF(G25=38,KILOMETRAJE!G$41,IF(G25=39,KILOMETRAJE!G$42,IF(G25=40,KILOMETRAJE!G$43,IF(G25=41,KILOMETRAJE!G$44,IF(G25=42,KILOMETRAJE!G$45,IF(G25=43,KILOMETRAJE!G$46,IF(G25=44,KILOMETRAJE!G$47,IF(G25=45,KILOMETRAJE!G$48,IF(G25=46,KILOMETRAJE!G$49,IF(G25=47,KILOMETRAJE!G$50,IF(G25=48,KILOMETRAJE!G$51,IF(G25=49,KILOMETRAJE!G$52,IF(G25=50,KILOMETRAJE!G$53,IF(G25=51,KILOMETRAJE!G$54,IF(G25=52,KILOMETRAJE!G$55,IF(G25=53,KILOMETRAJE!G$56,IF(G25=54,KILOMETRAJE!G$57,IF(G25=55,KILOMETRAJE!G$58,IF(G25=56,KILOMETRAJE!G$59,IF(G25=57,KILOMETRAJE!G$60,IF(G25=58,KILOMETRAJE!G$61,IF(G25=59,KILOMETRAJE!G$62,IF(G25=60,KILOMETRAJE!G$63,IF(G25=61,KILOMETRAJE!G$64,IF(G25=62,KILOMETRAJE!G$65,IF(G25=63,KILOMETRAJE!G$66)))))))))))))))))))))))))))))))))))))))))))))))))))))))))))))))</f>
        <v>375</v>
      </c>
      <c r="K25" s="70">
        <v>236</v>
      </c>
      <c r="L25" s="299">
        <f>SUM(J24:J25)/K25</f>
        <v>3.1779661016949152</v>
      </c>
      <c r="M25" s="370">
        <v>2419</v>
      </c>
      <c r="N25" s="70">
        <v>1</v>
      </c>
      <c r="O25" s="70">
        <v>1055</v>
      </c>
      <c r="P25" s="70" t="s">
        <v>203</v>
      </c>
      <c r="Q25" s="67">
        <f t="shared" si="1"/>
        <v>109.99874999999999</v>
      </c>
      <c r="R25" s="197">
        <f>+LOOKUP(P43,UNIDADES!B$3:B$59,UNIDADES!C$3:C$59)</f>
        <v>2.3734099999999998</v>
      </c>
      <c r="S25" s="194">
        <f>+((SUM(J24:J25))/R25)-K25</f>
        <v>80.001028056677967</v>
      </c>
      <c r="T25" s="67">
        <f>+S25*14.85</f>
        <v>1188.0152666416677</v>
      </c>
      <c r="U25" s="70">
        <v>63</v>
      </c>
      <c r="V25" s="484">
        <v>61</v>
      </c>
    </row>
    <row r="26" spans="3:22" ht="13.5" hidden="1" customHeight="1" x14ac:dyDescent="0.2">
      <c r="C26" s="176"/>
      <c r="D26" s="43"/>
      <c r="E26" s="42"/>
      <c r="F26" s="42"/>
      <c r="G26" s="43"/>
      <c r="H26" s="24"/>
      <c r="I26" s="24"/>
      <c r="J26" s="51"/>
      <c r="K26" s="24"/>
      <c r="L26" s="56"/>
      <c r="M26" s="348"/>
      <c r="N26" s="24"/>
      <c r="O26" s="24"/>
      <c r="P26" s="24"/>
      <c r="Q26" s="45"/>
      <c r="R26" s="191"/>
      <c r="S26" s="52"/>
      <c r="T26" s="45"/>
      <c r="U26" s="24"/>
      <c r="V26" s="79"/>
    </row>
    <row r="27" spans="3:22" ht="12.75" hidden="1" customHeight="1" thickBot="1" x14ac:dyDescent="0.25">
      <c r="C27" s="101"/>
      <c r="D27" s="62"/>
      <c r="E27" s="25"/>
      <c r="F27" s="25"/>
      <c r="G27" s="62"/>
      <c r="H27" s="27"/>
      <c r="I27" s="27"/>
      <c r="J27" s="31"/>
      <c r="K27" s="27"/>
      <c r="L27" s="112"/>
      <c r="M27" s="349"/>
      <c r="N27" s="27"/>
      <c r="O27" s="27"/>
      <c r="P27" s="27"/>
      <c r="Q27" s="29"/>
      <c r="R27" s="190"/>
      <c r="S27" s="19"/>
      <c r="T27" s="29"/>
      <c r="U27" s="517"/>
      <c r="V27" s="55"/>
    </row>
    <row r="28" spans="3:22" hidden="1" x14ac:dyDescent="0.2">
      <c r="C28" s="238"/>
      <c r="D28" s="36"/>
      <c r="E28" s="37"/>
      <c r="F28" s="37"/>
      <c r="G28" s="36"/>
      <c r="H28" s="38"/>
      <c r="I28" s="38"/>
      <c r="J28" s="39"/>
      <c r="K28" s="38"/>
      <c r="L28" s="201"/>
      <c r="M28" s="350"/>
      <c r="N28" s="38"/>
      <c r="O28" s="38"/>
      <c r="P28" s="38"/>
      <c r="Q28" s="40"/>
      <c r="R28" s="192"/>
      <c r="S28" s="186"/>
      <c r="T28" s="458"/>
      <c r="U28" s="38"/>
      <c r="V28" s="38"/>
    </row>
    <row r="29" spans="3:22" ht="13.5" hidden="1" customHeight="1" thickBot="1" x14ac:dyDescent="0.25">
      <c r="C29" s="101"/>
      <c r="D29" s="62"/>
      <c r="E29" s="25"/>
      <c r="F29" s="25"/>
      <c r="G29" s="62"/>
      <c r="H29" s="27"/>
      <c r="I29" s="27"/>
      <c r="J29" s="31"/>
      <c r="K29" s="27"/>
      <c r="L29" s="112"/>
      <c r="M29" s="349"/>
      <c r="N29" s="27"/>
      <c r="O29" s="27"/>
      <c r="P29" s="27"/>
      <c r="Q29" s="29"/>
      <c r="R29" s="190"/>
      <c r="S29" s="19"/>
      <c r="T29" s="456"/>
      <c r="U29" s="11"/>
      <c r="V29" s="11"/>
    </row>
    <row r="30" spans="3:22" hidden="1" x14ac:dyDescent="0.2">
      <c r="C30" s="372"/>
      <c r="D30" s="36"/>
      <c r="E30" s="37"/>
      <c r="F30" s="37"/>
      <c r="G30" s="36"/>
      <c r="H30" s="47"/>
      <c r="I30" s="38"/>
      <c r="J30" s="39"/>
      <c r="K30" s="38"/>
      <c r="L30" s="48"/>
      <c r="M30" s="350"/>
      <c r="N30" s="38"/>
      <c r="O30" s="38"/>
      <c r="P30" s="38"/>
      <c r="Q30" s="40"/>
      <c r="R30" s="192"/>
      <c r="S30" s="186"/>
      <c r="T30" s="458"/>
      <c r="U30" s="11"/>
      <c r="V30" s="11"/>
    </row>
    <row r="31" spans="3:22" ht="13.5" hidden="1" customHeight="1" x14ac:dyDescent="0.2">
      <c r="C31" s="382"/>
      <c r="D31" s="383"/>
      <c r="E31" s="12"/>
      <c r="F31" s="12"/>
      <c r="G31" s="61"/>
      <c r="H31" s="363"/>
      <c r="I31" s="11"/>
      <c r="J31" s="22"/>
      <c r="K31" s="11"/>
      <c r="L31" s="23"/>
      <c r="M31" s="371"/>
      <c r="N31" s="11"/>
      <c r="O31" s="11"/>
      <c r="P31" s="11"/>
      <c r="Q31" s="13"/>
      <c r="R31" s="339"/>
      <c r="S31" s="195"/>
      <c r="T31" s="457"/>
      <c r="U31" s="11"/>
      <c r="V31" s="11"/>
    </row>
    <row r="32" spans="3:22" hidden="1" x14ac:dyDescent="0.2">
      <c r="C32" s="382"/>
      <c r="D32" s="384"/>
      <c r="E32" s="12"/>
      <c r="F32" s="12"/>
      <c r="G32" s="61"/>
      <c r="H32" s="363"/>
      <c r="I32" s="11"/>
      <c r="J32" s="22"/>
      <c r="K32" s="11"/>
      <c r="L32" s="23"/>
      <c r="M32" s="371"/>
      <c r="N32" s="11"/>
      <c r="O32" s="11"/>
      <c r="P32" s="11"/>
      <c r="Q32" s="13"/>
      <c r="R32" s="339"/>
      <c r="S32" s="195"/>
      <c r="T32" s="457"/>
      <c r="U32" s="11"/>
      <c r="V32" s="11"/>
    </row>
    <row r="33" spans="3:23" ht="13.5" hidden="1" customHeight="1" thickBot="1" x14ac:dyDescent="0.25">
      <c r="C33" s="344"/>
      <c r="D33" s="61"/>
      <c r="E33" s="12"/>
      <c r="F33" s="12"/>
      <c r="G33" s="61"/>
      <c r="H33" s="363"/>
      <c r="I33" s="11"/>
      <c r="J33" s="22"/>
      <c r="K33" s="11"/>
      <c r="L33" s="23"/>
      <c r="M33" s="371"/>
      <c r="N33" s="11"/>
      <c r="O33" s="11"/>
      <c r="P33" s="11"/>
      <c r="Q33" s="13"/>
      <c r="R33" s="339"/>
      <c r="S33" s="195"/>
      <c r="T33" s="457"/>
      <c r="U33" s="466"/>
      <c r="V33" s="467"/>
    </row>
    <row r="34" spans="3:23" ht="12.75" thickBot="1" x14ac:dyDescent="0.25">
      <c r="I34" s="15"/>
      <c r="R34" s="193"/>
      <c r="S34" s="15"/>
    </row>
    <row r="35" spans="3:23" x14ac:dyDescent="0.2">
      <c r="E35" s="629" t="s">
        <v>34</v>
      </c>
      <c r="F35" s="646">
        <f>+'AGUILAR ESQUIVEL CARLOS'!F34</f>
        <v>45957</v>
      </c>
      <c r="G35" s="647"/>
      <c r="H35" s="16">
        <f>+F35+1</f>
        <v>45958</v>
      </c>
      <c r="I35" s="16">
        <f>+H35+1</f>
        <v>45959</v>
      </c>
      <c r="J35" s="16">
        <f>+I35+1</f>
        <v>45960</v>
      </c>
      <c r="K35" s="16">
        <f>+J35+1</f>
        <v>45961</v>
      </c>
      <c r="L35" s="16">
        <f>+K35+2</f>
        <v>45963</v>
      </c>
      <c r="M35" s="17" t="s">
        <v>35</v>
      </c>
    </row>
    <row r="36" spans="3:23" ht="12.75" thickBot="1" x14ac:dyDescent="0.25">
      <c r="E36" s="630"/>
      <c r="F36" s="648"/>
      <c r="G36" s="649"/>
      <c r="H36" s="29"/>
      <c r="I36" s="29"/>
      <c r="J36" s="29">
        <v>125</v>
      </c>
      <c r="K36" s="29"/>
      <c r="L36" s="29"/>
      <c r="M36" s="30">
        <f>SUM(F36:L36)</f>
        <v>125</v>
      </c>
      <c r="P36" s="14" t="s">
        <v>181</v>
      </c>
    </row>
    <row r="37" spans="3:23" ht="12.75" thickBot="1" x14ac:dyDescent="0.25">
      <c r="I37" s="15"/>
      <c r="K37" s="14" t="s">
        <v>181</v>
      </c>
    </row>
    <row r="38" spans="3:23" ht="13.5" thickBot="1" x14ac:dyDescent="0.25">
      <c r="C38" s="608" t="s">
        <v>36</v>
      </c>
      <c r="D38" s="609"/>
      <c r="E38" s="609"/>
      <c r="F38" s="609"/>
      <c r="G38" s="610"/>
      <c r="I38" s="620" t="s">
        <v>37</v>
      </c>
      <c r="J38" s="621"/>
      <c r="K38" s="621"/>
      <c r="L38" s="622"/>
      <c r="M38" s="298"/>
      <c r="O38" s="611" t="s">
        <v>38</v>
      </c>
      <c r="P38" s="612"/>
      <c r="Q38" s="293">
        <f>+F50-L47</f>
        <v>4695.7317999250035</v>
      </c>
      <c r="R38" s="294"/>
      <c r="S38" s="295"/>
    </row>
    <row r="39" spans="3:23" ht="12.75" thickBot="1" x14ac:dyDescent="0.25">
      <c r="C39" s="616" t="s">
        <v>219</v>
      </c>
      <c r="D39" s="617"/>
      <c r="E39" s="617"/>
      <c r="F39" s="618">
        <f>SUM(Q18:Q34)</f>
        <v>604.99349999999993</v>
      </c>
      <c r="G39" s="619"/>
      <c r="I39" s="114" t="s">
        <v>125</v>
      </c>
      <c r="J39" s="68" t="s">
        <v>126</v>
      </c>
      <c r="K39" s="68" t="s">
        <v>70</v>
      </c>
      <c r="L39" s="115" t="s">
        <v>127</v>
      </c>
      <c r="M39" s="346"/>
    </row>
    <row r="40" spans="3:23" ht="13.5" customHeight="1" thickBot="1" x14ac:dyDescent="0.25">
      <c r="C40" s="602" t="s">
        <v>220</v>
      </c>
      <c r="D40" s="603"/>
      <c r="E40" s="603"/>
      <c r="F40" s="604">
        <f>SUM(T18:T34)</f>
        <v>3965.738299925004</v>
      </c>
      <c r="G40" s="605"/>
      <c r="I40" s="411"/>
      <c r="J40" s="412"/>
      <c r="K40" s="413"/>
      <c r="L40" s="409"/>
      <c r="M40" s="346"/>
      <c r="O40" s="74" t="s">
        <v>70</v>
      </c>
      <c r="P40" s="75" t="s">
        <v>71</v>
      </c>
      <c r="Q40" s="76" t="s">
        <v>72</v>
      </c>
      <c r="R40" s="64"/>
      <c r="S40" s="77" t="s">
        <v>73</v>
      </c>
      <c r="T40" s="75" t="s">
        <v>74</v>
      </c>
      <c r="U40" s="74" t="s">
        <v>145</v>
      </c>
      <c r="V40" s="75" t="s">
        <v>146</v>
      </c>
      <c r="W40" s="326" t="s">
        <v>284</v>
      </c>
    </row>
    <row r="41" spans="3:23" x14ac:dyDescent="0.2">
      <c r="C41" s="602" t="s">
        <v>34</v>
      </c>
      <c r="D41" s="603"/>
      <c r="E41" s="603"/>
      <c r="F41" s="604">
        <f>+M36</f>
        <v>125</v>
      </c>
      <c r="G41" s="605"/>
      <c r="I41" s="327"/>
      <c r="J41" s="117"/>
      <c r="K41" s="414"/>
      <c r="L41" s="407"/>
      <c r="M41" s="346"/>
      <c r="O41" s="78">
        <v>46129</v>
      </c>
      <c r="P41" s="79" t="s">
        <v>550</v>
      </c>
      <c r="Q41" s="80">
        <v>237689</v>
      </c>
      <c r="R41" s="80"/>
      <c r="S41" s="63">
        <v>238389</v>
      </c>
      <c r="T41" s="53">
        <f>+S41-Q41</f>
        <v>700</v>
      </c>
      <c r="U41" s="137">
        <f>SUM(J19:J21)</f>
        <v>750</v>
      </c>
      <c r="V41" s="79">
        <f>+K20</f>
        <v>216.14</v>
      </c>
      <c r="W41" s="353">
        <f>(SUM(M19:M21)/2)</f>
        <v>731.5</v>
      </c>
    </row>
    <row r="42" spans="3:23" x14ac:dyDescent="0.2">
      <c r="C42" s="602" t="s">
        <v>186</v>
      </c>
      <c r="D42" s="603"/>
      <c r="E42" s="603"/>
      <c r="F42" s="604">
        <v>0</v>
      </c>
      <c r="G42" s="605"/>
      <c r="I42" s="327"/>
      <c r="J42" s="117"/>
      <c r="K42" s="414"/>
      <c r="L42" s="407"/>
      <c r="M42" s="346"/>
      <c r="O42" s="32">
        <v>46157</v>
      </c>
      <c r="P42" s="53" t="s">
        <v>550</v>
      </c>
      <c r="Q42" s="63">
        <v>238889</v>
      </c>
      <c r="R42" s="63"/>
      <c r="S42" s="63">
        <v>239085</v>
      </c>
      <c r="T42" s="53">
        <f t="shared" ref="T42:T44" si="2">+S42-Q42</f>
        <v>196</v>
      </c>
      <c r="U42" s="136">
        <f>SUM(J22:J23)</f>
        <v>750</v>
      </c>
      <c r="V42" s="53">
        <f>+K23</f>
        <v>228.81</v>
      </c>
      <c r="W42" s="354">
        <f>(SUM(M22:M23)/2)</f>
        <v>3104</v>
      </c>
    </row>
    <row r="43" spans="3:23" x14ac:dyDescent="0.2">
      <c r="C43" s="602" t="s">
        <v>39</v>
      </c>
      <c r="D43" s="603"/>
      <c r="E43" s="603"/>
      <c r="F43" s="604"/>
      <c r="G43" s="605"/>
      <c r="I43" s="327"/>
      <c r="J43" s="117"/>
      <c r="K43" s="414"/>
      <c r="L43" s="407"/>
      <c r="M43" s="346"/>
      <c r="O43" s="32">
        <v>46102</v>
      </c>
      <c r="P43" s="53" t="s">
        <v>550</v>
      </c>
      <c r="Q43" s="63">
        <v>236972</v>
      </c>
      <c r="R43" s="63"/>
      <c r="S43" s="63">
        <v>277689</v>
      </c>
      <c r="T43" s="53">
        <f t="shared" si="2"/>
        <v>40717</v>
      </c>
      <c r="U43" s="136">
        <f>SUM(J23:J24)</f>
        <v>750</v>
      </c>
      <c r="V43" s="53">
        <f>+K25</f>
        <v>236</v>
      </c>
      <c r="W43" s="354">
        <f>(SUM(M24:M25)/2)</f>
        <v>3459</v>
      </c>
    </row>
    <row r="44" spans="3:23" x14ac:dyDescent="0.2">
      <c r="C44" s="602" t="s">
        <v>116</v>
      </c>
      <c r="D44" s="603"/>
      <c r="E44" s="603"/>
      <c r="F44" s="604"/>
      <c r="G44" s="605"/>
      <c r="I44" s="327"/>
      <c r="J44" s="117"/>
      <c r="K44" s="414"/>
      <c r="L44" s="407"/>
      <c r="M44" s="346"/>
      <c r="O44" s="32"/>
      <c r="P44" s="53"/>
      <c r="Q44" s="63"/>
      <c r="R44" s="63"/>
      <c r="S44" s="11"/>
      <c r="T44" s="53">
        <f t="shared" si="2"/>
        <v>0</v>
      </c>
      <c r="U44" s="136">
        <f>SUM(J26:J27)</f>
        <v>0</v>
      </c>
      <c r="V44" s="53">
        <f>+K27</f>
        <v>0</v>
      </c>
      <c r="W44" s="354">
        <f>(SUM(M26:M27)/2)</f>
        <v>0</v>
      </c>
    </row>
    <row r="45" spans="3:23" x14ac:dyDescent="0.2">
      <c r="C45" s="602" t="s">
        <v>40</v>
      </c>
      <c r="D45" s="603"/>
      <c r="E45" s="603"/>
      <c r="F45" s="604"/>
      <c r="G45" s="605"/>
      <c r="I45" s="327"/>
      <c r="J45" s="117"/>
      <c r="K45" s="415"/>
      <c r="L45" s="407"/>
      <c r="M45" s="346"/>
      <c r="O45" s="32"/>
      <c r="P45" s="53"/>
      <c r="Q45" s="63"/>
      <c r="R45" s="95"/>
      <c r="S45" s="11"/>
      <c r="T45" s="53">
        <f>+S45-Q45</f>
        <v>0</v>
      </c>
      <c r="U45" s="136">
        <f>SUM(J28:J29)</f>
        <v>0</v>
      </c>
      <c r="V45" s="53">
        <f>+K29</f>
        <v>0</v>
      </c>
      <c r="W45" s="354">
        <f>(SUM(M28:M29)/2)</f>
        <v>0</v>
      </c>
    </row>
    <row r="46" spans="3:23" ht="12.75" thickBot="1" x14ac:dyDescent="0.25">
      <c r="C46" s="602" t="s">
        <v>124</v>
      </c>
      <c r="D46" s="603"/>
      <c r="E46" s="603"/>
      <c r="F46" s="604"/>
      <c r="G46" s="605"/>
      <c r="I46" s="416"/>
      <c r="J46" s="285"/>
      <c r="K46" s="417"/>
      <c r="L46" s="410"/>
      <c r="M46" s="346"/>
      <c r="O46" s="32"/>
      <c r="P46" s="53"/>
      <c r="Q46" s="63"/>
      <c r="R46" s="95"/>
      <c r="S46" s="11"/>
      <c r="T46" s="53">
        <f t="shared" ref="T46" si="3">+S46-Q46</f>
        <v>0</v>
      </c>
      <c r="U46" s="136">
        <f>SUM(J30:J31)</f>
        <v>0</v>
      </c>
      <c r="V46" s="53">
        <f>+K31</f>
        <v>0</v>
      </c>
      <c r="W46" s="354">
        <f>(SUM(M30:M31)/2)</f>
        <v>0</v>
      </c>
    </row>
    <row r="47" spans="3:23" ht="13.5" customHeight="1" thickBot="1" x14ac:dyDescent="0.25">
      <c r="C47" s="602" t="s">
        <v>243</v>
      </c>
      <c r="D47" s="603"/>
      <c r="E47" s="603"/>
      <c r="F47" s="606"/>
      <c r="G47" s="607"/>
      <c r="I47" s="597" t="s">
        <v>41</v>
      </c>
      <c r="J47" s="598"/>
      <c r="K47" s="632"/>
      <c r="L47" s="284">
        <f>SUM(L40:L46)</f>
        <v>0</v>
      </c>
      <c r="M47" s="347"/>
      <c r="O47" s="113"/>
      <c r="P47" s="264"/>
      <c r="Q47" s="265"/>
      <c r="R47" s="83"/>
      <c r="S47" s="81"/>
      <c r="T47" s="82">
        <f>+S47-Q47</f>
        <v>0</v>
      </c>
      <c r="U47" s="138">
        <f>SUM(J32:J33)</f>
        <v>0</v>
      </c>
      <c r="V47" s="55">
        <f>+K33</f>
        <v>0</v>
      </c>
      <c r="W47" s="355">
        <f>(SUM(M32:M33)/2)</f>
        <v>0</v>
      </c>
    </row>
    <row r="48" spans="3:23" ht="13.5" customHeight="1" x14ac:dyDescent="0.2">
      <c r="C48" s="602" t="s">
        <v>344</v>
      </c>
      <c r="D48" s="603"/>
      <c r="E48" s="603"/>
      <c r="F48" s="606"/>
      <c r="G48" s="607"/>
      <c r="R48" s="21"/>
      <c r="S48" s="21"/>
      <c r="T48" s="21"/>
      <c r="U48" s="139"/>
      <c r="V48" s="271"/>
    </row>
    <row r="49" spans="3:22" ht="13.5" customHeight="1" thickBot="1" x14ac:dyDescent="0.25">
      <c r="C49" s="593" t="s">
        <v>314</v>
      </c>
      <c r="D49" s="594"/>
      <c r="E49" s="594"/>
      <c r="F49" s="595"/>
      <c r="G49" s="596"/>
      <c r="R49" s="21"/>
      <c r="S49" s="21"/>
      <c r="T49" s="21"/>
      <c r="U49" s="139"/>
      <c r="V49" s="271"/>
    </row>
    <row r="50" spans="3:22" ht="13.5" thickBot="1" x14ac:dyDescent="0.25">
      <c r="C50" s="597" t="s">
        <v>42</v>
      </c>
      <c r="D50" s="598"/>
      <c r="E50" s="599"/>
      <c r="F50" s="600">
        <f>SUM(F39:G49)</f>
        <v>4695.7317999250035</v>
      </c>
      <c r="G50" s="601"/>
      <c r="R50" s="21"/>
      <c r="S50" s="21"/>
      <c r="T50" s="21"/>
      <c r="U50" s="139"/>
      <c r="V50" s="271"/>
    </row>
    <row r="51" spans="3:22" ht="13.5" customHeight="1" thickBot="1" x14ac:dyDescent="0.25">
      <c r="P51" s="588" t="s">
        <v>48</v>
      </c>
      <c r="Q51" s="589"/>
      <c r="R51" s="590"/>
      <c r="S51" s="21"/>
      <c r="T51" s="21"/>
      <c r="U51" s="139"/>
      <c r="V51" s="271"/>
    </row>
    <row r="52" spans="3:22" ht="12.75" customHeight="1" x14ac:dyDescent="0.2">
      <c r="C52" s="246" t="s">
        <v>43</v>
      </c>
      <c r="D52" s="247"/>
      <c r="E52" s="247"/>
      <c r="F52" s="247"/>
      <c r="G52" s="247"/>
      <c r="H52" s="247"/>
      <c r="I52" s="247"/>
      <c r="J52" s="247"/>
      <c r="K52" s="247"/>
      <c r="L52" s="248"/>
      <c r="M52" s="251"/>
      <c r="P52" s="78">
        <v>1</v>
      </c>
      <c r="Q52" s="584" t="s">
        <v>49</v>
      </c>
      <c r="R52" s="585"/>
      <c r="S52" s="21"/>
      <c r="T52" s="21"/>
      <c r="U52" s="249"/>
    </row>
    <row r="53" spans="3:22" ht="12.75" customHeight="1" x14ac:dyDescent="0.2">
      <c r="C53" s="250"/>
      <c r="D53" s="251"/>
      <c r="E53" s="251"/>
      <c r="F53" s="251"/>
      <c r="G53" s="251"/>
      <c r="H53" s="251"/>
      <c r="I53" s="251"/>
      <c r="J53" s="251"/>
      <c r="K53" s="251"/>
      <c r="L53" s="252"/>
      <c r="M53" s="251"/>
      <c r="P53" s="32">
        <v>2</v>
      </c>
      <c r="Q53" s="586" t="s">
        <v>135</v>
      </c>
      <c r="R53" s="587"/>
      <c r="S53" s="21"/>
      <c r="T53" s="249"/>
    </row>
    <row r="54" spans="3:22" ht="12.75" thickBot="1" x14ac:dyDescent="0.25">
      <c r="C54" s="253"/>
      <c r="D54" s="254"/>
      <c r="E54" s="254"/>
      <c r="F54" s="254"/>
      <c r="G54" s="254"/>
      <c r="H54" s="254"/>
      <c r="I54" s="254"/>
      <c r="J54" s="254"/>
      <c r="K54" s="254"/>
      <c r="L54" s="255"/>
      <c r="M54" s="251"/>
      <c r="P54" s="32">
        <v>3</v>
      </c>
      <c r="Q54" s="586" t="s">
        <v>130</v>
      </c>
      <c r="R54" s="587"/>
      <c r="S54" s="21"/>
      <c r="T54" s="249"/>
    </row>
    <row r="55" spans="3:22" x14ac:dyDescent="0.2">
      <c r="P55" s="32">
        <v>4</v>
      </c>
      <c r="Q55" s="586" t="s">
        <v>228</v>
      </c>
      <c r="R55" s="587"/>
      <c r="S55" s="21"/>
      <c r="T55" s="249"/>
    </row>
    <row r="56" spans="3:22" ht="12.75" thickBot="1" x14ac:dyDescent="0.25">
      <c r="P56" s="32">
        <v>5</v>
      </c>
      <c r="Q56" s="586" t="s">
        <v>229</v>
      </c>
      <c r="R56" s="587"/>
      <c r="S56" s="21"/>
    </row>
    <row r="57" spans="3:22" ht="14.25" customHeight="1" thickTop="1" thickBot="1" x14ac:dyDescent="0.25">
      <c r="D57" s="631" t="s">
        <v>44</v>
      </c>
      <c r="E57" s="631"/>
      <c r="F57" s="631"/>
      <c r="G57" s="631"/>
      <c r="H57" s="631"/>
      <c r="J57" s="631" t="s">
        <v>45</v>
      </c>
      <c r="K57" s="631"/>
      <c r="L57" s="631"/>
      <c r="M57" s="631"/>
      <c r="N57" s="631"/>
      <c r="P57" s="54">
        <v>6</v>
      </c>
      <c r="Q57" s="591" t="s">
        <v>230</v>
      </c>
      <c r="R57" s="592"/>
      <c r="S57" s="21"/>
      <c r="T57" s="21"/>
    </row>
    <row r="58" spans="3:22" x14ac:dyDescent="0.2">
      <c r="S58" s="21"/>
      <c r="T58" s="21"/>
    </row>
    <row r="61" spans="3:22" ht="15" customHeight="1" x14ac:dyDescent="0.2"/>
  </sheetData>
  <mergeCells count="55">
    <mergeCell ref="D57:H57"/>
    <mergeCell ref="J57:N57"/>
    <mergeCell ref="I47:K47"/>
    <mergeCell ref="C49:E49"/>
    <mergeCell ref="F49:G49"/>
    <mergeCell ref="C50:E50"/>
    <mergeCell ref="F50:G50"/>
    <mergeCell ref="C48:E48"/>
    <mergeCell ref="F48:G48"/>
    <mergeCell ref="C47:E47"/>
    <mergeCell ref="F47:G47"/>
    <mergeCell ref="F46:G46"/>
    <mergeCell ref="C41:E41"/>
    <mergeCell ref="F41:G41"/>
    <mergeCell ref="C38:G38"/>
    <mergeCell ref="C45:E45"/>
    <mergeCell ref="C46:E46"/>
    <mergeCell ref="C39:E39"/>
    <mergeCell ref="F39:G39"/>
    <mergeCell ref="C42:E42"/>
    <mergeCell ref="F42:G42"/>
    <mergeCell ref="C43:E43"/>
    <mergeCell ref="F43:G43"/>
    <mergeCell ref="F44:G44"/>
    <mergeCell ref="C44:E44"/>
    <mergeCell ref="C40:E40"/>
    <mergeCell ref="F40:G40"/>
    <mergeCell ref="F35:G35"/>
    <mergeCell ref="F36:G36"/>
    <mergeCell ref="F45:G45"/>
    <mergeCell ref="Q6:S6"/>
    <mergeCell ref="I9:O9"/>
    <mergeCell ref="L11:S11"/>
    <mergeCell ref="E12:F12"/>
    <mergeCell ref="I38:L38"/>
    <mergeCell ref="D13:E13"/>
    <mergeCell ref="D14:E14"/>
    <mergeCell ref="D15:E15"/>
    <mergeCell ref="D16:E16"/>
    <mergeCell ref="E35:E36"/>
    <mergeCell ref="Q54:R54"/>
    <mergeCell ref="Q55:R55"/>
    <mergeCell ref="Q56:R56"/>
    <mergeCell ref="Q57:R57"/>
    <mergeCell ref="Q2:S2"/>
    <mergeCell ref="P51:R51"/>
    <mergeCell ref="Q52:R52"/>
    <mergeCell ref="Q53:R53"/>
    <mergeCell ref="O38:P38"/>
    <mergeCell ref="I3:O3"/>
    <mergeCell ref="Q3:S3"/>
    <mergeCell ref="I4:O4"/>
    <mergeCell ref="I5:O5"/>
    <mergeCell ref="Q5:S5"/>
    <mergeCell ref="I6:O6"/>
  </mergeCells>
  <phoneticPr fontId="21" type="noConversion"/>
  <pageMargins left="0" right="0" top="0.35433070866141736" bottom="0.35433070866141736" header="0.31496062992125984" footer="0.31496062992125984"/>
  <pageSetup paperSize="9" scale="78" orientation="landscape" horizontalDpi="300" verticalDpi="30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Hoja35">
    <pageSetUpPr fitToPage="1"/>
  </sheetPr>
  <dimension ref="C1:W56"/>
  <sheetViews>
    <sheetView topLeftCell="A6" zoomScaleNormal="100" workbookViewId="0">
      <selection activeCell="I37" sqref="I37:L37"/>
    </sheetView>
  </sheetViews>
  <sheetFormatPr baseColWidth="10" defaultColWidth="9.140625" defaultRowHeight="12" x14ac:dyDescent="0.2"/>
  <cols>
    <col min="1" max="1" width="2.85546875" style="14" customWidth="1"/>
    <col min="2" max="2" width="2.42578125" style="14" customWidth="1"/>
    <col min="3" max="3" width="11.85546875" style="14" customWidth="1"/>
    <col min="4" max="4" width="11.42578125" style="14" customWidth="1"/>
    <col min="5" max="5" width="7.85546875" style="14" customWidth="1"/>
    <col min="6" max="6" width="8.85546875" style="14" customWidth="1"/>
    <col min="7" max="7" width="3" style="14" bestFit="1" customWidth="1"/>
    <col min="8" max="8" width="10.42578125" style="14" customWidth="1"/>
    <col min="9" max="9" width="12" style="14" customWidth="1"/>
    <col min="10" max="10" width="10" style="14" customWidth="1"/>
    <col min="11" max="11" width="10.7109375" style="14" customWidth="1"/>
    <col min="12" max="12" width="13.7109375" style="14" customWidth="1"/>
    <col min="13" max="13" width="10" style="14" customWidth="1"/>
    <col min="14" max="14" width="10.140625" style="14" customWidth="1"/>
    <col min="15" max="15" width="11.85546875" style="14" customWidth="1"/>
    <col min="16" max="16" width="13.5703125" style="14" customWidth="1"/>
    <col min="17" max="17" width="10.85546875" style="14" customWidth="1"/>
    <col min="18" max="18" width="9" style="14" customWidth="1"/>
    <col min="19" max="19" width="10.140625" style="14" customWidth="1"/>
    <col min="20" max="20" width="11.5703125" style="14" customWidth="1"/>
    <col min="21" max="22" width="9" style="14" customWidth="1"/>
    <col min="23" max="23" width="10" style="14" customWidth="1"/>
    <col min="24" max="24" width="9.140625" style="14" customWidth="1"/>
    <col min="25" max="259" width="9.140625" style="14"/>
    <col min="260" max="260" width="5.7109375" style="14" customWidth="1"/>
    <col min="261" max="261" width="13.140625" style="14" customWidth="1"/>
    <col min="262" max="262" width="12.28515625" style="14" customWidth="1"/>
    <col min="263" max="263" width="8.85546875" style="14" customWidth="1"/>
    <col min="264" max="264" width="10.85546875" style="14" customWidth="1"/>
    <col min="265" max="265" width="2.85546875" style="14" customWidth="1"/>
    <col min="266" max="266" width="12.140625" style="14" customWidth="1"/>
    <col min="267" max="267" width="10.140625" style="14" customWidth="1"/>
    <col min="268" max="268" width="11.7109375" style="14" customWidth="1"/>
    <col min="269" max="269" width="11.42578125" style="14" customWidth="1"/>
    <col min="270" max="270" width="12.7109375" style="14" customWidth="1"/>
    <col min="271" max="271" width="11.42578125" style="14" customWidth="1"/>
    <col min="272" max="272" width="10.7109375" style="14" customWidth="1"/>
    <col min="273" max="273" width="10.5703125" style="14" customWidth="1"/>
    <col min="274" max="274" width="11.28515625" style="14" customWidth="1"/>
    <col min="275" max="275" width="9.7109375" style="14" customWidth="1"/>
    <col min="276" max="276" width="12" style="14" customWidth="1"/>
    <col min="277" max="277" width="11.28515625" style="14" customWidth="1"/>
    <col min="278" max="515" width="9.140625" style="14"/>
    <col min="516" max="516" width="5.7109375" style="14" customWidth="1"/>
    <col min="517" max="517" width="13.140625" style="14" customWidth="1"/>
    <col min="518" max="518" width="12.28515625" style="14" customWidth="1"/>
    <col min="519" max="519" width="8.85546875" style="14" customWidth="1"/>
    <col min="520" max="520" width="10.85546875" style="14" customWidth="1"/>
    <col min="521" max="521" width="2.85546875" style="14" customWidth="1"/>
    <col min="522" max="522" width="12.140625" style="14" customWidth="1"/>
    <col min="523" max="523" width="10.140625" style="14" customWidth="1"/>
    <col min="524" max="524" width="11.7109375" style="14" customWidth="1"/>
    <col min="525" max="525" width="11.42578125" style="14" customWidth="1"/>
    <col min="526" max="526" width="12.7109375" style="14" customWidth="1"/>
    <col min="527" max="527" width="11.42578125" style="14" customWidth="1"/>
    <col min="528" max="528" width="10.7109375" style="14" customWidth="1"/>
    <col min="529" max="529" width="10.5703125" style="14" customWidth="1"/>
    <col min="530" max="530" width="11.28515625" style="14" customWidth="1"/>
    <col min="531" max="531" width="9.7109375" style="14" customWidth="1"/>
    <col min="532" max="532" width="12" style="14" customWidth="1"/>
    <col min="533" max="533" width="11.28515625" style="14" customWidth="1"/>
    <col min="534" max="771" width="9.140625" style="14"/>
    <col min="772" max="772" width="5.7109375" style="14" customWidth="1"/>
    <col min="773" max="773" width="13.140625" style="14" customWidth="1"/>
    <col min="774" max="774" width="12.28515625" style="14" customWidth="1"/>
    <col min="775" max="775" width="8.85546875" style="14" customWidth="1"/>
    <col min="776" max="776" width="10.85546875" style="14" customWidth="1"/>
    <col min="777" max="777" width="2.85546875" style="14" customWidth="1"/>
    <col min="778" max="778" width="12.140625" style="14" customWidth="1"/>
    <col min="779" max="779" width="10.140625" style="14" customWidth="1"/>
    <col min="780" max="780" width="11.7109375" style="14" customWidth="1"/>
    <col min="781" max="781" width="11.42578125" style="14" customWidth="1"/>
    <col min="782" max="782" width="12.7109375" style="14" customWidth="1"/>
    <col min="783" max="783" width="11.42578125" style="14" customWidth="1"/>
    <col min="784" max="784" width="10.7109375" style="14" customWidth="1"/>
    <col min="785" max="785" width="10.5703125" style="14" customWidth="1"/>
    <col min="786" max="786" width="11.28515625" style="14" customWidth="1"/>
    <col min="787" max="787" width="9.7109375" style="14" customWidth="1"/>
    <col min="788" max="788" width="12" style="14" customWidth="1"/>
    <col min="789" max="789" width="11.28515625" style="14" customWidth="1"/>
    <col min="790" max="1027" width="9.140625" style="14"/>
    <col min="1028" max="1028" width="5.7109375" style="14" customWidth="1"/>
    <col min="1029" max="1029" width="13.140625" style="14" customWidth="1"/>
    <col min="1030" max="1030" width="12.28515625" style="14" customWidth="1"/>
    <col min="1031" max="1031" width="8.85546875" style="14" customWidth="1"/>
    <col min="1032" max="1032" width="10.85546875" style="14" customWidth="1"/>
    <col min="1033" max="1033" width="2.85546875" style="14" customWidth="1"/>
    <col min="1034" max="1034" width="12.140625" style="14" customWidth="1"/>
    <col min="1035" max="1035" width="10.140625" style="14" customWidth="1"/>
    <col min="1036" max="1036" width="11.7109375" style="14" customWidth="1"/>
    <col min="1037" max="1037" width="11.42578125" style="14" customWidth="1"/>
    <col min="1038" max="1038" width="12.7109375" style="14" customWidth="1"/>
    <col min="1039" max="1039" width="11.42578125" style="14" customWidth="1"/>
    <col min="1040" max="1040" width="10.7109375" style="14" customWidth="1"/>
    <col min="1041" max="1041" width="10.5703125" style="14" customWidth="1"/>
    <col min="1042" max="1042" width="11.28515625" style="14" customWidth="1"/>
    <col min="1043" max="1043" width="9.7109375" style="14" customWidth="1"/>
    <col min="1044" max="1044" width="12" style="14" customWidth="1"/>
    <col min="1045" max="1045" width="11.28515625" style="14" customWidth="1"/>
    <col min="1046" max="1283" width="9.140625" style="14"/>
    <col min="1284" max="1284" width="5.7109375" style="14" customWidth="1"/>
    <col min="1285" max="1285" width="13.140625" style="14" customWidth="1"/>
    <col min="1286" max="1286" width="12.28515625" style="14" customWidth="1"/>
    <col min="1287" max="1287" width="8.85546875" style="14" customWidth="1"/>
    <col min="1288" max="1288" width="10.85546875" style="14" customWidth="1"/>
    <col min="1289" max="1289" width="2.85546875" style="14" customWidth="1"/>
    <col min="1290" max="1290" width="12.140625" style="14" customWidth="1"/>
    <col min="1291" max="1291" width="10.140625" style="14" customWidth="1"/>
    <col min="1292" max="1292" width="11.7109375" style="14" customWidth="1"/>
    <col min="1293" max="1293" width="11.42578125" style="14" customWidth="1"/>
    <col min="1294" max="1294" width="12.7109375" style="14" customWidth="1"/>
    <col min="1295" max="1295" width="11.42578125" style="14" customWidth="1"/>
    <col min="1296" max="1296" width="10.7109375" style="14" customWidth="1"/>
    <col min="1297" max="1297" width="10.5703125" style="14" customWidth="1"/>
    <col min="1298" max="1298" width="11.28515625" style="14" customWidth="1"/>
    <col min="1299" max="1299" width="9.7109375" style="14" customWidth="1"/>
    <col min="1300" max="1300" width="12" style="14" customWidth="1"/>
    <col min="1301" max="1301" width="11.28515625" style="14" customWidth="1"/>
    <col min="1302" max="1539" width="9.140625" style="14"/>
    <col min="1540" max="1540" width="5.7109375" style="14" customWidth="1"/>
    <col min="1541" max="1541" width="13.140625" style="14" customWidth="1"/>
    <col min="1542" max="1542" width="12.28515625" style="14" customWidth="1"/>
    <col min="1543" max="1543" width="8.85546875" style="14" customWidth="1"/>
    <col min="1544" max="1544" width="10.85546875" style="14" customWidth="1"/>
    <col min="1545" max="1545" width="2.85546875" style="14" customWidth="1"/>
    <col min="1546" max="1546" width="12.140625" style="14" customWidth="1"/>
    <col min="1547" max="1547" width="10.140625" style="14" customWidth="1"/>
    <col min="1548" max="1548" width="11.7109375" style="14" customWidth="1"/>
    <col min="1549" max="1549" width="11.42578125" style="14" customWidth="1"/>
    <col min="1550" max="1550" width="12.7109375" style="14" customWidth="1"/>
    <col min="1551" max="1551" width="11.42578125" style="14" customWidth="1"/>
    <col min="1552" max="1552" width="10.7109375" style="14" customWidth="1"/>
    <col min="1553" max="1553" width="10.5703125" style="14" customWidth="1"/>
    <col min="1554" max="1554" width="11.28515625" style="14" customWidth="1"/>
    <col min="1555" max="1555" width="9.7109375" style="14" customWidth="1"/>
    <col min="1556" max="1556" width="12" style="14" customWidth="1"/>
    <col min="1557" max="1557" width="11.28515625" style="14" customWidth="1"/>
    <col min="1558" max="1795" width="9.140625" style="14"/>
    <col min="1796" max="1796" width="5.7109375" style="14" customWidth="1"/>
    <col min="1797" max="1797" width="13.140625" style="14" customWidth="1"/>
    <col min="1798" max="1798" width="12.28515625" style="14" customWidth="1"/>
    <col min="1799" max="1799" width="8.85546875" style="14" customWidth="1"/>
    <col min="1800" max="1800" width="10.85546875" style="14" customWidth="1"/>
    <col min="1801" max="1801" width="2.85546875" style="14" customWidth="1"/>
    <col min="1802" max="1802" width="12.140625" style="14" customWidth="1"/>
    <col min="1803" max="1803" width="10.140625" style="14" customWidth="1"/>
    <col min="1804" max="1804" width="11.7109375" style="14" customWidth="1"/>
    <col min="1805" max="1805" width="11.42578125" style="14" customWidth="1"/>
    <col min="1806" max="1806" width="12.7109375" style="14" customWidth="1"/>
    <col min="1807" max="1807" width="11.42578125" style="14" customWidth="1"/>
    <col min="1808" max="1808" width="10.7109375" style="14" customWidth="1"/>
    <col min="1809" max="1809" width="10.5703125" style="14" customWidth="1"/>
    <col min="1810" max="1810" width="11.28515625" style="14" customWidth="1"/>
    <col min="1811" max="1811" width="9.7109375" style="14" customWidth="1"/>
    <col min="1812" max="1812" width="12" style="14" customWidth="1"/>
    <col min="1813" max="1813" width="11.28515625" style="14" customWidth="1"/>
    <col min="1814" max="2051" width="9.140625" style="14"/>
    <col min="2052" max="2052" width="5.7109375" style="14" customWidth="1"/>
    <col min="2053" max="2053" width="13.140625" style="14" customWidth="1"/>
    <col min="2054" max="2054" width="12.28515625" style="14" customWidth="1"/>
    <col min="2055" max="2055" width="8.85546875" style="14" customWidth="1"/>
    <col min="2056" max="2056" width="10.85546875" style="14" customWidth="1"/>
    <col min="2057" max="2057" width="2.85546875" style="14" customWidth="1"/>
    <col min="2058" max="2058" width="12.140625" style="14" customWidth="1"/>
    <col min="2059" max="2059" width="10.140625" style="14" customWidth="1"/>
    <col min="2060" max="2060" width="11.7109375" style="14" customWidth="1"/>
    <col min="2061" max="2061" width="11.42578125" style="14" customWidth="1"/>
    <col min="2062" max="2062" width="12.7109375" style="14" customWidth="1"/>
    <col min="2063" max="2063" width="11.42578125" style="14" customWidth="1"/>
    <col min="2064" max="2064" width="10.7109375" style="14" customWidth="1"/>
    <col min="2065" max="2065" width="10.5703125" style="14" customWidth="1"/>
    <col min="2066" max="2066" width="11.28515625" style="14" customWidth="1"/>
    <col min="2067" max="2067" width="9.7109375" style="14" customWidth="1"/>
    <col min="2068" max="2068" width="12" style="14" customWidth="1"/>
    <col min="2069" max="2069" width="11.28515625" style="14" customWidth="1"/>
    <col min="2070" max="2307" width="9.140625" style="14"/>
    <col min="2308" max="2308" width="5.7109375" style="14" customWidth="1"/>
    <col min="2309" max="2309" width="13.140625" style="14" customWidth="1"/>
    <col min="2310" max="2310" width="12.28515625" style="14" customWidth="1"/>
    <col min="2311" max="2311" width="8.85546875" style="14" customWidth="1"/>
    <col min="2312" max="2312" width="10.85546875" style="14" customWidth="1"/>
    <col min="2313" max="2313" width="2.85546875" style="14" customWidth="1"/>
    <col min="2314" max="2314" width="12.140625" style="14" customWidth="1"/>
    <col min="2315" max="2315" width="10.140625" style="14" customWidth="1"/>
    <col min="2316" max="2316" width="11.7109375" style="14" customWidth="1"/>
    <col min="2317" max="2317" width="11.42578125" style="14" customWidth="1"/>
    <col min="2318" max="2318" width="12.7109375" style="14" customWidth="1"/>
    <col min="2319" max="2319" width="11.42578125" style="14" customWidth="1"/>
    <col min="2320" max="2320" width="10.7109375" style="14" customWidth="1"/>
    <col min="2321" max="2321" width="10.5703125" style="14" customWidth="1"/>
    <col min="2322" max="2322" width="11.28515625" style="14" customWidth="1"/>
    <col min="2323" max="2323" width="9.7109375" style="14" customWidth="1"/>
    <col min="2324" max="2324" width="12" style="14" customWidth="1"/>
    <col min="2325" max="2325" width="11.28515625" style="14" customWidth="1"/>
    <col min="2326" max="2563" width="9.140625" style="14"/>
    <col min="2564" max="2564" width="5.7109375" style="14" customWidth="1"/>
    <col min="2565" max="2565" width="13.140625" style="14" customWidth="1"/>
    <col min="2566" max="2566" width="12.28515625" style="14" customWidth="1"/>
    <col min="2567" max="2567" width="8.85546875" style="14" customWidth="1"/>
    <col min="2568" max="2568" width="10.85546875" style="14" customWidth="1"/>
    <col min="2569" max="2569" width="2.85546875" style="14" customWidth="1"/>
    <col min="2570" max="2570" width="12.140625" style="14" customWidth="1"/>
    <col min="2571" max="2571" width="10.140625" style="14" customWidth="1"/>
    <col min="2572" max="2572" width="11.7109375" style="14" customWidth="1"/>
    <col min="2573" max="2573" width="11.42578125" style="14" customWidth="1"/>
    <col min="2574" max="2574" width="12.7109375" style="14" customWidth="1"/>
    <col min="2575" max="2575" width="11.42578125" style="14" customWidth="1"/>
    <col min="2576" max="2576" width="10.7109375" style="14" customWidth="1"/>
    <col min="2577" max="2577" width="10.5703125" style="14" customWidth="1"/>
    <col min="2578" max="2578" width="11.28515625" style="14" customWidth="1"/>
    <col min="2579" max="2579" width="9.7109375" style="14" customWidth="1"/>
    <col min="2580" max="2580" width="12" style="14" customWidth="1"/>
    <col min="2581" max="2581" width="11.28515625" style="14" customWidth="1"/>
    <col min="2582" max="2819" width="9.140625" style="14"/>
    <col min="2820" max="2820" width="5.7109375" style="14" customWidth="1"/>
    <col min="2821" max="2821" width="13.140625" style="14" customWidth="1"/>
    <col min="2822" max="2822" width="12.28515625" style="14" customWidth="1"/>
    <col min="2823" max="2823" width="8.85546875" style="14" customWidth="1"/>
    <col min="2824" max="2824" width="10.85546875" style="14" customWidth="1"/>
    <col min="2825" max="2825" width="2.85546875" style="14" customWidth="1"/>
    <col min="2826" max="2826" width="12.140625" style="14" customWidth="1"/>
    <col min="2827" max="2827" width="10.140625" style="14" customWidth="1"/>
    <col min="2828" max="2828" width="11.7109375" style="14" customWidth="1"/>
    <col min="2829" max="2829" width="11.42578125" style="14" customWidth="1"/>
    <col min="2830" max="2830" width="12.7109375" style="14" customWidth="1"/>
    <col min="2831" max="2831" width="11.42578125" style="14" customWidth="1"/>
    <col min="2832" max="2832" width="10.7109375" style="14" customWidth="1"/>
    <col min="2833" max="2833" width="10.5703125" style="14" customWidth="1"/>
    <col min="2834" max="2834" width="11.28515625" style="14" customWidth="1"/>
    <col min="2835" max="2835" width="9.7109375" style="14" customWidth="1"/>
    <col min="2836" max="2836" width="12" style="14" customWidth="1"/>
    <col min="2837" max="2837" width="11.28515625" style="14" customWidth="1"/>
    <col min="2838" max="3075" width="9.140625" style="14"/>
    <col min="3076" max="3076" width="5.7109375" style="14" customWidth="1"/>
    <col min="3077" max="3077" width="13.140625" style="14" customWidth="1"/>
    <col min="3078" max="3078" width="12.28515625" style="14" customWidth="1"/>
    <col min="3079" max="3079" width="8.85546875" style="14" customWidth="1"/>
    <col min="3080" max="3080" width="10.85546875" style="14" customWidth="1"/>
    <col min="3081" max="3081" width="2.85546875" style="14" customWidth="1"/>
    <col min="3082" max="3082" width="12.140625" style="14" customWidth="1"/>
    <col min="3083" max="3083" width="10.140625" style="14" customWidth="1"/>
    <col min="3084" max="3084" width="11.7109375" style="14" customWidth="1"/>
    <col min="3085" max="3085" width="11.42578125" style="14" customWidth="1"/>
    <col min="3086" max="3086" width="12.7109375" style="14" customWidth="1"/>
    <col min="3087" max="3087" width="11.42578125" style="14" customWidth="1"/>
    <col min="3088" max="3088" width="10.7109375" style="14" customWidth="1"/>
    <col min="3089" max="3089" width="10.5703125" style="14" customWidth="1"/>
    <col min="3090" max="3090" width="11.28515625" style="14" customWidth="1"/>
    <col min="3091" max="3091" width="9.7109375" style="14" customWidth="1"/>
    <col min="3092" max="3092" width="12" style="14" customWidth="1"/>
    <col min="3093" max="3093" width="11.28515625" style="14" customWidth="1"/>
    <col min="3094" max="3331" width="9.140625" style="14"/>
    <col min="3332" max="3332" width="5.7109375" style="14" customWidth="1"/>
    <col min="3333" max="3333" width="13.140625" style="14" customWidth="1"/>
    <col min="3334" max="3334" width="12.28515625" style="14" customWidth="1"/>
    <col min="3335" max="3335" width="8.85546875" style="14" customWidth="1"/>
    <col min="3336" max="3336" width="10.85546875" style="14" customWidth="1"/>
    <col min="3337" max="3337" width="2.85546875" style="14" customWidth="1"/>
    <col min="3338" max="3338" width="12.140625" style="14" customWidth="1"/>
    <col min="3339" max="3339" width="10.140625" style="14" customWidth="1"/>
    <col min="3340" max="3340" width="11.7109375" style="14" customWidth="1"/>
    <col min="3341" max="3341" width="11.42578125" style="14" customWidth="1"/>
    <col min="3342" max="3342" width="12.7109375" style="14" customWidth="1"/>
    <col min="3343" max="3343" width="11.42578125" style="14" customWidth="1"/>
    <col min="3344" max="3344" width="10.7109375" style="14" customWidth="1"/>
    <col min="3345" max="3345" width="10.5703125" style="14" customWidth="1"/>
    <col min="3346" max="3346" width="11.28515625" style="14" customWidth="1"/>
    <col min="3347" max="3347" width="9.7109375" style="14" customWidth="1"/>
    <col min="3348" max="3348" width="12" style="14" customWidth="1"/>
    <col min="3349" max="3349" width="11.28515625" style="14" customWidth="1"/>
    <col min="3350" max="3587" width="9.140625" style="14"/>
    <col min="3588" max="3588" width="5.7109375" style="14" customWidth="1"/>
    <col min="3589" max="3589" width="13.140625" style="14" customWidth="1"/>
    <col min="3590" max="3590" width="12.28515625" style="14" customWidth="1"/>
    <col min="3591" max="3591" width="8.85546875" style="14" customWidth="1"/>
    <col min="3592" max="3592" width="10.85546875" style="14" customWidth="1"/>
    <col min="3593" max="3593" width="2.85546875" style="14" customWidth="1"/>
    <col min="3594" max="3594" width="12.140625" style="14" customWidth="1"/>
    <col min="3595" max="3595" width="10.140625" style="14" customWidth="1"/>
    <col min="3596" max="3596" width="11.7109375" style="14" customWidth="1"/>
    <col min="3597" max="3597" width="11.42578125" style="14" customWidth="1"/>
    <col min="3598" max="3598" width="12.7109375" style="14" customWidth="1"/>
    <col min="3599" max="3599" width="11.42578125" style="14" customWidth="1"/>
    <col min="3600" max="3600" width="10.7109375" style="14" customWidth="1"/>
    <col min="3601" max="3601" width="10.5703125" style="14" customWidth="1"/>
    <col min="3602" max="3602" width="11.28515625" style="14" customWidth="1"/>
    <col min="3603" max="3603" width="9.7109375" style="14" customWidth="1"/>
    <col min="3604" max="3604" width="12" style="14" customWidth="1"/>
    <col min="3605" max="3605" width="11.28515625" style="14" customWidth="1"/>
    <col min="3606" max="3843" width="9.140625" style="14"/>
    <col min="3844" max="3844" width="5.7109375" style="14" customWidth="1"/>
    <col min="3845" max="3845" width="13.140625" style="14" customWidth="1"/>
    <col min="3846" max="3846" width="12.28515625" style="14" customWidth="1"/>
    <col min="3847" max="3847" width="8.85546875" style="14" customWidth="1"/>
    <col min="3848" max="3848" width="10.85546875" style="14" customWidth="1"/>
    <col min="3849" max="3849" width="2.85546875" style="14" customWidth="1"/>
    <col min="3850" max="3850" width="12.140625" style="14" customWidth="1"/>
    <col min="3851" max="3851" width="10.140625" style="14" customWidth="1"/>
    <col min="3852" max="3852" width="11.7109375" style="14" customWidth="1"/>
    <col min="3853" max="3853" width="11.42578125" style="14" customWidth="1"/>
    <col min="3854" max="3854" width="12.7109375" style="14" customWidth="1"/>
    <col min="3855" max="3855" width="11.42578125" style="14" customWidth="1"/>
    <col min="3856" max="3856" width="10.7109375" style="14" customWidth="1"/>
    <col min="3857" max="3857" width="10.5703125" style="14" customWidth="1"/>
    <col min="3858" max="3858" width="11.28515625" style="14" customWidth="1"/>
    <col min="3859" max="3859" width="9.7109375" style="14" customWidth="1"/>
    <col min="3860" max="3860" width="12" style="14" customWidth="1"/>
    <col min="3861" max="3861" width="11.28515625" style="14" customWidth="1"/>
    <col min="3862" max="4099" width="9.140625" style="14"/>
    <col min="4100" max="4100" width="5.7109375" style="14" customWidth="1"/>
    <col min="4101" max="4101" width="13.140625" style="14" customWidth="1"/>
    <col min="4102" max="4102" width="12.28515625" style="14" customWidth="1"/>
    <col min="4103" max="4103" width="8.85546875" style="14" customWidth="1"/>
    <col min="4104" max="4104" width="10.85546875" style="14" customWidth="1"/>
    <col min="4105" max="4105" width="2.85546875" style="14" customWidth="1"/>
    <col min="4106" max="4106" width="12.140625" style="14" customWidth="1"/>
    <col min="4107" max="4107" width="10.140625" style="14" customWidth="1"/>
    <col min="4108" max="4108" width="11.7109375" style="14" customWidth="1"/>
    <col min="4109" max="4109" width="11.42578125" style="14" customWidth="1"/>
    <col min="4110" max="4110" width="12.7109375" style="14" customWidth="1"/>
    <col min="4111" max="4111" width="11.42578125" style="14" customWidth="1"/>
    <col min="4112" max="4112" width="10.7109375" style="14" customWidth="1"/>
    <col min="4113" max="4113" width="10.5703125" style="14" customWidth="1"/>
    <col min="4114" max="4114" width="11.28515625" style="14" customWidth="1"/>
    <col min="4115" max="4115" width="9.7109375" style="14" customWidth="1"/>
    <col min="4116" max="4116" width="12" style="14" customWidth="1"/>
    <col min="4117" max="4117" width="11.28515625" style="14" customWidth="1"/>
    <col min="4118" max="4355" width="9.140625" style="14"/>
    <col min="4356" max="4356" width="5.7109375" style="14" customWidth="1"/>
    <col min="4357" max="4357" width="13.140625" style="14" customWidth="1"/>
    <col min="4358" max="4358" width="12.28515625" style="14" customWidth="1"/>
    <col min="4359" max="4359" width="8.85546875" style="14" customWidth="1"/>
    <col min="4360" max="4360" width="10.85546875" style="14" customWidth="1"/>
    <col min="4361" max="4361" width="2.85546875" style="14" customWidth="1"/>
    <col min="4362" max="4362" width="12.140625" style="14" customWidth="1"/>
    <col min="4363" max="4363" width="10.140625" style="14" customWidth="1"/>
    <col min="4364" max="4364" width="11.7109375" style="14" customWidth="1"/>
    <col min="4365" max="4365" width="11.42578125" style="14" customWidth="1"/>
    <col min="4366" max="4366" width="12.7109375" style="14" customWidth="1"/>
    <col min="4367" max="4367" width="11.42578125" style="14" customWidth="1"/>
    <col min="4368" max="4368" width="10.7109375" style="14" customWidth="1"/>
    <col min="4369" max="4369" width="10.5703125" style="14" customWidth="1"/>
    <col min="4370" max="4370" width="11.28515625" style="14" customWidth="1"/>
    <col min="4371" max="4371" width="9.7109375" style="14" customWidth="1"/>
    <col min="4372" max="4372" width="12" style="14" customWidth="1"/>
    <col min="4373" max="4373" width="11.28515625" style="14" customWidth="1"/>
    <col min="4374" max="4611" width="9.140625" style="14"/>
    <col min="4612" max="4612" width="5.7109375" style="14" customWidth="1"/>
    <col min="4613" max="4613" width="13.140625" style="14" customWidth="1"/>
    <col min="4614" max="4614" width="12.28515625" style="14" customWidth="1"/>
    <col min="4615" max="4615" width="8.85546875" style="14" customWidth="1"/>
    <col min="4616" max="4616" width="10.85546875" style="14" customWidth="1"/>
    <col min="4617" max="4617" width="2.85546875" style="14" customWidth="1"/>
    <col min="4618" max="4618" width="12.140625" style="14" customWidth="1"/>
    <col min="4619" max="4619" width="10.140625" style="14" customWidth="1"/>
    <col min="4620" max="4620" width="11.7109375" style="14" customWidth="1"/>
    <col min="4621" max="4621" width="11.42578125" style="14" customWidth="1"/>
    <col min="4622" max="4622" width="12.7109375" style="14" customWidth="1"/>
    <col min="4623" max="4623" width="11.42578125" style="14" customWidth="1"/>
    <col min="4624" max="4624" width="10.7109375" style="14" customWidth="1"/>
    <col min="4625" max="4625" width="10.5703125" style="14" customWidth="1"/>
    <col min="4626" max="4626" width="11.28515625" style="14" customWidth="1"/>
    <col min="4627" max="4627" width="9.7109375" style="14" customWidth="1"/>
    <col min="4628" max="4628" width="12" style="14" customWidth="1"/>
    <col min="4629" max="4629" width="11.28515625" style="14" customWidth="1"/>
    <col min="4630" max="4867" width="9.140625" style="14"/>
    <col min="4868" max="4868" width="5.7109375" style="14" customWidth="1"/>
    <col min="4869" max="4869" width="13.140625" style="14" customWidth="1"/>
    <col min="4870" max="4870" width="12.28515625" style="14" customWidth="1"/>
    <col min="4871" max="4871" width="8.85546875" style="14" customWidth="1"/>
    <col min="4872" max="4872" width="10.85546875" style="14" customWidth="1"/>
    <col min="4873" max="4873" width="2.85546875" style="14" customWidth="1"/>
    <col min="4874" max="4874" width="12.140625" style="14" customWidth="1"/>
    <col min="4875" max="4875" width="10.140625" style="14" customWidth="1"/>
    <col min="4876" max="4876" width="11.7109375" style="14" customWidth="1"/>
    <col min="4877" max="4877" width="11.42578125" style="14" customWidth="1"/>
    <col min="4878" max="4878" width="12.7109375" style="14" customWidth="1"/>
    <col min="4879" max="4879" width="11.42578125" style="14" customWidth="1"/>
    <col min="4880" max="4880" width="10.7109375" style="14" customWidth="1"/>
    <col min="4881" max="4881" width="10.5703125" style="14" customWidth="1"/>
    <col min="4882" max="4882" width="11.28515625" style="14" customWidth="1"/>
    <col min="4883" max="4883" width="9.7109375" style="14" customWidth="1"/>
    <col min="4884" max="4884" width="12" style="14" customWidth="1"/>
    <col min="4885" max="4885" width="11.28515625" style="14" customWidth="1"/>
    <col min="4886" max="5123" width="9.140625" style="14"/>
    <col min="5124" max="5124" width="5.7109375" style="14" customWidth="1"/>
    <col min="5125" max="5125" width="13.140625" style="14" customWidth="1"/>
    <col min="5126" max="5126" width="12.28515625" style="14" customWidth="1"/>
    <col min="5127" max="5127" width="8.85546875" style="14" customWidth="1"/>
    <col min="5128" max="5128" width="10.85546875" style="14" customWidth="1"/>
    <col min="5129" max="5129" width="2.85546875" style="14" customWidth="1"/>
    <col min="5130" max="5130" width="12.140625" style="14" customWidth="1"/>
    <col min="5131" max="5131" width="10.140625" style="14" customWidth="1"/>
    <col min="5132" max="5132" width="11.7109375" style="14" customWidth="1"/>
    <col min="5133" max="5133" width="11.42578125" style="14" customWidth="1"/>
    <col min="5134" max="5134" width="12.7109375" style="14" customWidth="1"/>
    <col min="5135" max="5135" width="11.42578125" style="14" customWidth="1"/>
    <col min="5136" max="5136" width="10.7109375" style="14" customWidth="1"/>
    <col min="5137" max="5137" width="10.5703125" style="14" customWidth="1"/>
    <col min="5138" max="5138" width="11.28515625" style="14" customWidth="1"/>
    <col min="5139" max="5139" width="9.7109375" style="14" customWidth="1"/>
    <col min="5140" max="5140" width="12" style="14" customWidth="1"/>
    <col min="5141" max="5141" width="11.28515625" style="14" customWidth="1"/>
    <col min="5142" max="5379" width="9.140625" style="14"/>
    <col min="5380" max="5380" width="5.7109375" style="14" customWidth="1"/>
    <col min="5381" max="5381" width="13.140625" style="14" customWidth="1"/>
    <col min="5382" max="5382" width="12.28515625" style="14" customWidth="1"/>
    <col min="5383" max="5383" width="8.85546875" style="14" customWidth="1"/>
    <col min="5384" max="5384" width="10.85546875" style="14" customWidth="1"/>
    <col min="5385" max="5385" width="2.85546875" style="14" customWidth="1"/>
    <col min="5386" max="5386" width="12.140625" style="14" customWidth="1"/>
    <col min="5387" max="5387" width="10.140625" style="14" customWidth="1"/>
    <col min="5388" max="5388" width="11.7109375" style="14" customWidth="1"/>
    <col min="5389" max="5389" width="11.42578125" style="14" customWidth="1"/>
    <col min="5390" max="5390" width="12.7109375" style="14" customWidth="1"/>
    <col min="5391" max="5391" width="11.42578125" style="14" customWidth="1"/>
    <col min="5392" max="5392" width="10.7109375" style="14" customWidth="1"/>
    <col min="5393" max="5393" width="10.5703125" style="14" customWidth="1"/>
    <col min="5394" max="5394" width="11.28515625" style="14" customWidth="1"/>
    <col min="5395" max="5395" width="9.7109375" style="14" customWidth="1"/>
    <col min="5396" max="5396" width="12" style="14" customWidth="1"/>
    <col min="5397" max="5397" width="11.28515625" style="14" customWidth="1"/>
    <col min="5398" max="5635" width="9.140625" style="14"/>
    <col min="5636" max="5636" width="5.7109375" style="14" customWidth="1"/>
    <col min="5637" max="5637" width="13.140625" style="14" customWidth="1"/>
    <col min="5638" max="5638" width="12.28515625" style="14" customWidth="1"/>
    <col min="5639" max="5639" width="8.85546875" style="14" customWidth="1"/>
    <col min="5640" max="5640" width="10.85546875" style="14" customWidth="1"/>
    <col min="5641" max="5641" width="2.85546875" style="14" customWidth="1"/>
    <col min="5642" max="5642" width="12.140625" style="14" customWidth="1"/>
    <col min="5643" max="5643" width="10.140625" style="14" customWidth="1"/>
    <col min="5644" max="5644" width="11.7109375" style="14" customWidth="1"/>
    <col min="5645" max="5645" width="11.42578125" style="14" customWidth="1"/>
    <col min="5646" max="5646" width="12.7109375" style="14" customWidth="1"/>
    <col min="5647" max="5647" width="11.42578125" style="14" customWidth="1"/>
    <col min="5648" max="5648" width="10.7109375" style="14" customWidth="1"/>
    <col min="5649" max="5649" width="10.5703125" style="14" customWidth="1"/>
    <col min="5650" max="5650" width="11.28515625" style="14" customWidth="1"/>
    <col min="5651" max="5651" width="9.7109375" style="14" customWidth="1"/>
    <col min="5652" max="5652" width="12" style="14" customWidth="1"/>
    <col min="5653" max="5653" width="11.28515625" style="14" customWidth="1"/>
    <col min="5654" max="5891" width="9.140625" style="14"/>
    <col min="5892" max="5892" width="5.7109375" style="14" customWidth="1"/>
    <col min="5893" max="5893" width="13.140625" style="14" customWidth="1"/>
    <col min="5894" max="5894" width="12.28515625" style="14" customWidth="1"/>
    <col min="5895" max="5895" width="8.85546875" style="14" customWidth="1"/>
    <col min="5896" max="5896" width="10.85546875" style="14" customWidth="1"/>
    <col min="5897" max="5897" width="2.85546875" style="14" customWidth="1"/>
    <col min="5898" max="5898" width="12.140625" style="14" customWidth="1"/>
    <col min="5899" max="5899" width="10.140625" style="14" customWidth="1"/>
    <col min="5900" max="5900" width="11.7109375" style="14" customWidth="1"/>
    <col min="5901" max="5901" width="11.42578125" style="14" customWidth="1"/>
    <col min="5902" max="5902" width="12.7109375" style="14" customWidth="1"/>
    <col min="5903" max="5903" width="11.42578125" style="14" customWidth="1"/>
    <col min="5904" max="5904" width="10.7109375" style="14" customWidth="1"/>
    <col min="5905" max="5905" width="10.5703125" style="14" customWidth="1"/>
    <col min="5906" max="5906" width="11.28515625" style="14" customWidth="1"/>
    <col min="5907" max="5907" width="9.7109375" style="14" customWidth="1"/>
    <col min="5908" max="5908" width="12" style="14" customWidth="1"/>
    <col min="5909" max="5909" width="11.28515625" style="14" customWidth="1"/>
    <col min="5910" max="6147" width="9.140625" style="14"/>
    <col min="6148" max="6148" width="5.7109375" style="14" customWidth="1"/>
    <col min="6149" max="6149" width="13.140625" style="14" customWidth="1"/>
    <col min="6150" max="6150" width="12.28515625" style="14" customWidth="1"/>
    <col min="6151" max="6151" width="8.85546875" style="14" customWidth="1"/>
    <col min="6152" max="6152" width="10.85546875" style="14" customWidth="1"/>
    <col min="6153" max="6153" width="2.85546875" style="14" customWidth="1"/>
    <col min="6154" max="6154" width="12.140625" style="14" customWidth="1"/>
    <col min="6155" max="6155" width="10.140625" style="14" customWidth="1"/>
    <col min="6156" max="6156" width="11.7109375" style="14" customWidth="1"/>
    <col min="6157" max="6157" width="11.42578125" style="14" customWidth="1"/>
    <col min="6158" max="6158" width="12.7109375" style="14" customWidth="1"/>
    <col min="6159" max="6159" width="11.42578125" style="14" customWidth="1"/>
    <col min="6160" max="6160" width="10.7109375" style="14" customWidth="1"/>
    <col min="6161" max="6161" width="10.5703125" style="14" customWidth="1"/>
    <col min="6162" max="6162" width="11.28515625" style="14" customWidth="1"/>
    <col min="6163" max="6163" width="9.7109375" style="14" customWidth="1"/>
    <col min="6164" max="6164" width="12" style="14" customWidth="1"/>
    <col min="6165" max="6165" width="11.28515625" style="14" customWidth="1"/>
    <col min="6166" max="6403" width="9.140625" style="14"/>
    <col min="6404" max="6404" width="5.7109375" style="14" customWidth="1"/>
    <col min="6405" max="6405" width="13.140625" style="14" customWidth="1"/>
    <col min="6406" max="6406" width="12.28515625" style="14" customWidth="1"/>
    <col min="6407" max="6407" width="8.85546875" style="14" customWidth="1"/>
    <col min="6408" max="6408" width="10.85546875" style="14" customWidth="1"/>
    <col min="6409" max="6409" width="2.85546875" style="14" customWidth="1"/>
    <col min="6410" max="6410" width="12.140625" style="14" customWidth="1"/>
    <col min="6411" max="6411" width="10.140625" style="14" customWidth="1"/>
    <col min="6412" max="6412" width="11.7109375" style="14" customWidth="1"/>
    <col min="6413" max="6413" width="11.42578125" style="14" customWidth="1"/>
    <col min="6414" max="6414" width="12.7109375" style="14" customWidth="1"/>
    <col min="6415" max="6415" width="11.42578125" style="14" customWidth="1"/>
    <col min="6416" max="6416" width="10.7109375" style="14" customWidth="1"/>
    <col min="6417" max="6417" width="10.5703125" style="14" customWidth="1"/>
    <col min="6418" max="6418" width="11.28515625" style="14" customWidth="1"/>
    <col min="6419" max="6419" width="9.7109375" style="14" customWidth="1"/>
    <col min="6420" max="6420" width="12" style="14" customWidth="1"/>
    <col min="6421" max="6421" width="11.28515625" style="14" customWidth="1"/>
    <col min="6422" max="6659" width="9.140625" style="14"/>
    <col min="6660" max="6660" width="5.7109375" style="14" customWidth="1"/>
    <col min="6661" max="6661" width="13.140625" style="14" customWidth="1"/>
    <col min="6662" max="6662" width="12.28515625" style="14" customWidth="1"/>
    <col min="6663" max="6663" width="8.85546875" style="14" customWidth="1"/>
    <col min="6664" max="6664" width="10.85546875" style="14" customWidth="1"/>
    <col min="6665" max="6665" width="2.85546875" style="14" customWidth="1"/>
    <col min="6666" max="6666" width="12.140625" style="14" customWidth="1"/>
    <col min="6667" max="6667" width="10.140625" style="14" customWidth="1"/>
    <col min="6668" max="6668" width="11.7109375" style="14" customWidth="1"/>
    <col min="6669" max="6669" width="11.42578125" style="14" customWidth="1"/>
    <col min="6670" max="6670" width="12.7109375" style="14" customWidth="1"/>
    <col min="6671" max="6671" width="11.42578125" style="14" customWidth="1"/>
    <col min="6672" max="6672" width="10.7109375" style="14" customWidth="1"/>
    <col min="6673" max="6673" width="10.5703125" style="14" customWidth="1"/>
    <col min="6674" max="6674" width="11.28515625" style="14" customWidth="1"/>
    <col min="6675" max="6675" width="9.7109375" style="14" customWidth="1"/>
    <col min="6676" max="6676" width="12" style="14" customWidth="1"/>
    <col min="6677" max="6677" width="11.28515625" style="14" customWidth="1"/>
    <col min="6678" max="6915" width="9.140625" style="14"/>
    <col min="6916" max="6916" width="5.7109375" style="14" customWidth="1"/>
    <col min="6917" max="6917" width="13.140625" style="14" customWidth="1"/>
    <col min="6918" max="6918" width="12.28515625" style="14" customWidth="1"/>
    <col min="6919" max="6919" width="8.85546875" style="14" customWidth="1"/>
    <col min="6920" max="6920" width="10.85546875" style="14" customWidth="1"/>
    <col min="6921" max="6921" width="2.85546875" style="14" customWidth="1"/>
    <col min="6922" max="6922" width="12.140625" style="14" customWidth="1"/>
    <col min="6923" max="6923" width="10.140625" style="14" customWidth="1"/>
    <col min="6924" max="6924" width="11.7109375" style="14" customWidth="1"/>
    <col min="6925" max="6925" width="11.42578125" style="14" customWidth="1"/>
    <col min="6926" max="6926" width="12.7109375" style="14" customWidth="1"/>
    <col min="6927" max="6927" width="11.42578125" style="14" customWidth="1"/>
    <col min="6928" max="6928" width="10.7109375" style="14" customWidth="1"/>
    <col min="6929" max="6929" width="10.5703125" style="14" customWidth="1"/>
    <col min="6930" max="6930" width="11.28515625" style="14" customWidth="1"/>
    <col min="6931" max="6931" width="9.7109375" style="14" customWidth="1"/>
    <col min="6932" max="6932" width="12" style="14" customWidth="1"/>
    <col min="6933" max="6933" width="11.28515625" style="14" customWidth="1"/>
    <col min="6934" max="7171" width="9.140625" style="14"/>
    <col min="7172" max="7172" width="5.7109375" style="14" customWidth="1"/>
    <col min="7173" max="7173" width="13.140625" style="14" customWidth="1"/>
    <col min="7174" max="7174" width="12.28515625" style="14" customWidth="1"/>
    <col min="7175" max="7175" width="8.85546875" style="14" customWidth="1"/>
    <col min="7176" max="7176" width="10.85546875" style="14" customWidth="1"/>
    <col min="7177" max="7177" width="2.85546875" style="14" customWidth="1"/>
    <col min="7178" max="7178" width="12.140625" style="14" customWidth="1"/>
    <col min="7179" max="7179" width="10.140625" style="14" customWidth="1"/>
    <col min="7180" max="7180" width="11.7109375" style="14" customWidth="1"/>
    <col min="7181" max="7181" width="11.42578125" style="14" customWidth="1"/>
    <col min="7182" max="7182" width="12.7109375" style="14" customWidth="1"/>
    <col min="7183" max="7183" width="11.42578125" style="14" customWidth="1"/>
    <col min="7184" max="7184" width="10.7109375" style="14" customWidth="1"/>
    <col min="7185" max="7185" width="10.5703125" style="14" customWidth="1"/>
    <col min="7186" max="7186" width="11.28515625" style="14" customWidth="1"/>
    <col min="7187" max="7187" width="9.7109375" style="14" customWidth="1"/>
    <col min="7188" max="7188" width="12" style="14" customWidth="1"/>
    <col min="7189" max="7189" width="11.28515625" style="14" customWidth="1"/>
    <col min="7190" max="7427" width="9.140625" style="14"/>
    <col min="7428" max="7428" width="5.7109375" style="14" customWidth="1"/>
    <col min="7429" max="7429" width="13.140625" style="14" customWidth="1"/>
    <col min="7430" max="7430" width="12.28515625" style="14" customWidth="1"/>
    <col min="7431" max="7431" width="8.85546875" style="14" customWidth="1"/>
    <col min="7432" max="7432" width="10.85546875" style="14" customWidth="1"/>
    <col min="7433" max="7433" width="2.85546875" style="14" customWidth="1"/>
    <col min="7434" max="7434" width="12.140625" style="14" customWidth="1"/>
    <col min="7435" max="7435" width="10.140625" style="14" customWidth="1"/>
    <col min="7436" max="7436" width="11.7109375" style="14" customWidth="1"/>
    <col min="7437" max="7437" width="11.42578125" style="14" customWidth="1"/>
    <col min="7438" max="7438" width="12.7109375" style="14" customWidth="1"/>
    <col min="7439" max="7439" width="11.42578125" style="14" customWidth="1"/>
    <col min="7440" max="7440" width="10.7109375" style="14" customWidth="1"/>
    <col min="7441" max="7441" width="10.5703125" style="14" customWidth="1"/>
    <col min="7442" max="7442" width="11.28515625" style="14" customWidth="1"/>
    <col min="7443" max="7443" width="9.7109375" style="14" customWidth="1"/>
    <col min="7444" max="7444" width="12" style="14" customWidth="1"/>
    <col min="7445" max="7445" width="11.28515625" style="14" customWidth="1"/>
    <col min="7446" max="7683" width="9.140625" style="14"/>
    <col min="7684" max="7684" width="5.7109375" style="14" customWidth="1"/>
    <col min="7685" max="7685" width="13.140625" style="14" customWidth="1"/>
    <col min="7686" max="7686" width="12.28515625" style="14" customWidth="1"/>
    <col min="7687" max="7687" width="8.85546875" style="14" customWidth="1"/>
    <col min="7688" max="7688" width="10.85546875" style="14" customWidth="1"/>
    <col min="7689" max="7689" width="2.85546875" style="14" customWidth="1"/>
    <col min="7690" max="7690" width="12.140625" style="14" customWidth="1"/>
    <col min="7691" max="7691" width="10.140625" style="14" customWidth="1"/>
    <col min="7692" max="7692" width="11.7109375" style="14" customWidth="1"/>
    <col min="7693" max="7693" width="11.42578125" style="14" customWidth="1"/>
    <col min="7694" max="7694" width="12.7109375" style="14" customWidth="1"/>
    <col min="7695" max="7695" width="11.42578125" style="14" customWidth="1"/>
    <col min="7696" max="7696" width="10.7109375" style="14" customWidth="1"/>
    <col min="7697" max="7697" width="10.5703125" style="14" customWidth="1"/>
    <col min="7698" max="7698" width="11.28515625" style="14" customWidth="1"/>
    <col min="7699" max="7699" width="9.7109375" style="14" customWidth="1"/>
    <col min="7700" max="7700" width="12" style="14" customWidth="1"/>
    <col min="7701" max="7701" width="11.28515625" style="14" customWidth="1"/>
    <col min="7702" max="7939" width="9.140625" style="14"/>
    <col min="7940" max="7940" width="5.7109375" style="14" customWidth="1"/>
    <col min="7941" max="7941" width="13.140625" style="14" customWidth="1"/>
    <col min="7942" max="7942" width="12.28515625" style="14" customWidth="1"/>
    <col min="7943" max="7943" width="8.85546875" style="14" customWidth="1"/>
    <col min="7944" max="7944" width="10.85546875" style="14" customWidth="1"/>
    <col min="7945" max="7945" width="2.85546875" style="14" customWidth="1"/>
    <col min="7946" max="7946" width="12.140625" style="14" customWidth="1"/>
    <col min="7947" max="7947" width="10.140625" style="14" customWidth="1"/>
    <col min="7948" max="7948" width="11.7109375" style="14" customWidth="1"/>
    <col min="7949" max="7949" width="11.42578125" style="14" customWidth="1"/>
    <col min="7950" max="7950" width="12.7109375" style="14" customWidth="1"/>
    <col min="7951" max="7951" width="11.42578125" style="14" customWidth="1"/>
    <col min="7952" max="7952" width="10.7109375" style="14" customWidth="1"/>
    <col min="7953" max="7953" width="10.5703125" style="14" customWidth="1"/>
    <col min="7954" max="7954" width="11.28515625" style="14" customWidth="1"/>
    <col min="7955" max="7955" width="9.7109375" style="14" customWidth="1"/>
    <col min="7956" max="7956" width="12" style="14" customWidth="1"/>
    <col min="7957" max="7957" width="11.28515625" style="14" customWidth="1"/>
    <col min="7958" max="8195" width="9.140625" style="14"/>
    <col min="8196" max="8196" width="5.7109375" style="14" customWidth="1"/>
    <col min="8197" max="8197" width="13.140625" style="14" customWidth="1"/>
    <col min="8198" max="8198" width="12.28515625" style="14" customWidth="1"/>
    <col min="8199" max="8199" width="8.85546875" style="14" customWidth="1"/>
    <col min="8200" max="8200" width="10.85546875" style="14" customWidth="1"/>
    <col min="8201" max="8201" width="2.85546875" style="14" customWidth="1"/>
    <col min="8202" max="8202" width="12.140625" style="14" customWidth="1"/>
    <col min="8203" max="8203" width="10.140625" style="14" customWidth="1"/>
    <col min="8204" max="8204" width="11.7109375" style="14" customWidth="1"/>
    <col min="8205" max="8205" width="11.42578125" style="14" customWidth="1"/>
    <col min="8206" max="8206" width="12.7109375" style="14" customWidth="1"/>
    <col min="8207" max="8207" width="11.42578125" style="14" customWidth="1"/>
    <col min="8208" max="8208" width="10.7109375" style="14" customWidth="1"/>
    <col min="8209" max="8209" width="10.5703125" style="14" customWidth="1"/>
    <col min="8210" max="8210" width="11.28515625" style="14" customWidth="1"/>
    <col min="8211" max="8211" width="9.7109375" style="14" customWidth="1"/>
    <col min="8212" max="8212" width="12" style="14" customWidth="1"/>
    <col min="8213" max="8213" width="11.28515625" style="14" customWidth="1"/>
    <col min="8214" max="8451" width="9.140625" style="14"/>
    <col min="8452" max="8452" width="5.7109375" style="14" customWidth="1"/>
    <col min="8453" max="8453" width="13.140625" style="14" customWidth="1"/>
    <col min="8454" max="8454" width="12.28515625" style="14" customWidth="1"/>
    <col min="8455" max="8455" width="8.85546875" style="14" customWidth="1"/>
    <col min="8456" max="8456" width="10.85546875" style="14" customWidth="1"/>
    <col min="8457" max="8457" width="2.85546875" style="14" customWidth="1"/>
    <col min="8458" max="8458" width="12.140625" style="14" customWidth="1"/>
    <col min="8459" max="8459" width="10.140625" style="14" customWidth="1"/>
    <col min="8460" max="8460" width="11.7109375" style="14" customWidth="1"/>
    <col min="8461" max="8461" width="11.42578125" style="14" customWidth="1"/>
    <col min="8462" max="8462" width="12.7109375" style="14" customWidth="1"/>
    <col min="8463" max="8463" width="11.42578125" style="14" customWidth="1"/>
    <col min="8464" max="8464" width="10.7109375" style="14" customWidth="1"/>
    <col min="8465" max="8465" width="10.5703125" style="14" customWidth="1"/>
    <col min="8466" max="8466" width="11.28515625" style="14" customWidth="1"/>
    <col min="8467" max="8467" width="9.7109375" style="14" customWidth="1"/>
    <col min="8468" max="8468" width="12" style="14" customWidth="1"/>
    <col min="8469" max="8469" width="11.28515625" style="14" customWidth="1"/>
    <col min="8470" max="8707" width="9.140625" style="14"/>
    <col min="8708" max="8708" width="5.7109375" style="14" customWidth="1"/>
    <col min="8709" max="8709" width="13.140625" style="14" customWidth="1"/>
    <col min="8710" max="8710" width="12.28515625" style="14" customWidth="1"/>
    <col min="8711" max="8711" width="8.85546875" style="14" customWidth="1"/>
    <col min="8712" max="8712" width="10.85546875" style="14" customWidth="1"/>
    <col min="8713" max="8713" width="2.85546875" style="14" customWidth="1"/>
    <col min="8714" max="8714" width="12.140625" style="14" customWidth="1"/>
    <col min="8715" max="8715" width="10.140625" style="14" customWidth="1"/>
    <col min="8716" max="8716" width="11.7109375" style="14" customWidth="1"/>
    <col min="8717" max="8717" width="11.42578125" style="14" customWidth="1"/>
    <col min="8718" max="8718" width="12.7109375" style="14" customWidth="1"/>
    <col min="8719" max="8719" width="11.42578125" style="14" customWidth="1"/>
    <col min="8720" max="8720" width="10.7109375" style="14" customWidth="1"/>
    <col min="8721" max="8721" width="10.5703125" style="14" customWidth="1"/>
    <col min="8722" max="8722" width="11.28515625" style="14" customWidth="1"/>
    <col min="8723" max="8723" width="9.7109375" style="14" customWidth="1"/>
    <col min="8724" max="8724" width="12" style="14" customWidth="1"/>
    <col min="8725" max="8725" width="11.28515625" style="14" customWidth="1"/>
    <col min="8726" max="8963" width="9.140625" style="14"/>
    <col min="8964" max="8964" width="5.7109375" style="14" customWidth="1"/>
    <col min="8965" max="8965" width="13.140625" style="14" customWidth="1"/>
    <col min="8966" max="8966" width="12.28515625" style="14" customWidth="1"/>
    <col min="8967" max="8967" width="8.85546875" style="14" customWidth="1"/>
    <col min="8968" max="8968" width="10.85546875" style="14" customWidth="1"/>
    <col min="8969" max="8969" width="2.85546875" style="14" customWidth="1"/>
    <col min="8970" max="8970" width="12.140625" style="14" customWidth="1"/>
    <col min="8971" max="8971" width="10.140625" style="14" customWidth="1"/>
    <col min="8972" max="8972" width="11.7109375" style="14" customWidth="1"/>
    <col min="8973" max="8973" width="11.42578125" style="14" customWidth="1"/>
    <col min="8974" max="8974" width="12.7109375" style="14" customWidth="1"/>
    <col min="8975" max="8975" width="11.42578125" style="14" customWidth="1"/>
    <col min="8976" max="8976" width="10.7109375" style="14" customWidth="1"/>
    <col min="8977" max="8977" width="10.5703125" style="14" customWidth="1"/>
    <col min="8978" max="8978" width="11.28515625" style="14" customWidth="1"/>
    <col min="8979" max="8979" width="9.7109375" style="14" customWidth="1"/>
    <col min="8980" max="8980" width="12" style="14" customWidth="1"/>
    <col min="8981" max="8981" width="11.28515625" style="14" customWidth="1"/>
    <col min="8982" max="9219" width="9.140625" style="14"/>
    <col min="9220" max="9220" width="5.7109375" style="14" customWidth="1"/>
    <col min="9221" max="9221" width="13.140625" style="14" customWidth="1"/>
    <col min="9222" max="9222" width="12.28515625" style="14" customWidth="1"/>
    <col min="9223" max="9223" width="8.85546875" style="14" customWidth="1"/>
    <col min="9224" max="9224" width="10.85546875" style="14" customWidth="1"/>
    <col min="9225" max="9225" width="2.85546875" style="14" customWidth="1"/>
    <col min="9226" max="9226" width="12.140625" style="14" customWidth="1"/>
    <col min="9227" max="9227" width="10.140625" style="14" customWidth="1"/>
    <col min="9228" max="9228" width="11.7109375" style="14" customWidth="1"/>
    <col min="9229" max="9229" width="11.42578125" style="14" customWidth="1"/>
    <col min="9230" max="9230" width="12.7109375" style="14" customWidth="1"/>
    <col min="9231" max="9231" width="11.42578125" style="14" customWidth="1"/>
    <col min="9232" max="9232" width="10.7109375" style="14" customWidth="1"/>
    <col min="9233" max="9233" width="10.5703125" style="14" customWidth="1"/>
    <col min="9234" max="9234" width="11.28515625" style="14" customWidth="1"/>
    <col min="9235" max="9235" width="9.7109375" style="14" customWidth="1"/>
    <col min="9236" max="9236" width="12" style="14" customWidth="1"/>
    <col min="9237" max="9237" width="11.28515625" style="14" customWidth="1"/>
    <col min="9238" max="9475" width="9.140625" style="14"/>
    <col min="9476" max="9476" width="5.7109375" style="14" customWidth="1"/>
    <col min="9477" max="9477" width="13.140625" style="14" customWidth="1"/>
    <col min="9478" max="9478" width="12.28515625" style="14" customWidth="1"/>
    <col min="9479" max="9479" width="8.85546875" style="14" customWidth="1"/>
    <col min="9480" max="9480" width="10.85546875" style="14" customWidth="1"/>
    <col min="9481" max="9481" width="2.85546875" style="14" customWidth="1"/>
    <col min="9482" max="9482" width="12.140625" style="14" customWidth="1"/>
    <col min="9483" max="9483" width="10.140625" style="14" customWidth="1"/>
    <col min="9484" max="9484" width="11.7109375" style="14" customWidth="1"/>
    <col min="9485" max="9485" width="11.42578125" style="14" customWidth="1"/>
    <col min="9486" max="9486" width="12.7109375" style="14" customWidth="1"/>
    <col min="9487" max="9487" width="11.42578125" style="14" customWidth="1"/>
    <col min="9488" max="9488" width="10.7109375" style="14" customWidth="1"/>
    <col min="9489" max="9489" width="10.5703125" style="14" customWidth="1"/>
    <col min="9490" max="9490" width="11.28515625" style="14" customWidth="1"/>
    <col min="9491" max="9491" width="9.7109375" style="14" customWidth="1"/>
    <col min="9492" max="9492" width="12" style="14" customWidth="1"/>
    <col min="9493" max="9493" width="11.28515625" style="14" customWidth="1"/>
    <col min="9494" max="9731" width="9.140625" style="14"/>
    <col min="9732" max="9732" width="5.7109375" style="14" customWidth="1"/>
    <col min="9733" max="9733" width="13.140625" style="14" customWidth="1"/>
    <col min="9734" max="9734" width="12.28515625" style="14" customWidth="1"/>
    <col min="9735" max="9735" width="8.85546875" style="14" customWidth="1"/>
    <col min="9736" max="9736" width="10.85546875" style="14" customWidth="1"/>
    <col min="9737" max="9737" width="2.85546875" style="14" customWidth="1"/>
    <col min="9738" max="9738" width="12.140625" style="14" customWidth="1"/>
    <col min="9739" max="9739" width="10.140625" style="14" customWidth="1"/>
    <col min="9740" max="9740" width="11.7109375" style="14" customWidth="1"/>
    <col min="9741" max="9741" width="11.42578125" style="14" customWidth="1"/>
    <col min="9742" max="9742" width="12.7109375" style="14" customWidth="1"/>
    <col min="9743" max="9743" width="11.42578125" style="14" customWidth="1"/>
    <col min="9744" max="9744" width="10.7109375" style="14" customWidth="1"/>
    <col min="9745" max="9745" width="10.5703125" style="14" customWidth="1"/>
    <col min="9746" max="9746" width="11.28515625" style="14" customWidth="1"/>
    <col min="9747" max="9747" width="9.7109375" style="14" customWidth="1"/>
    <col min="9748" max="9748" width="12" style="14" customWidth="1"/>
    <col min="9749" max="9749" width="11.28515625" style="14" customWidth="1"/>
    <col min="9750" max="9987" width="9.140625" style="14"/>
    <col min="9988" max="9988" width="5.7109375" style="14" customWidth="1"/>
    <col min="9989" max="9989" width="13.140625" style="14" customWidth="1"/>
    <col min="9990" max="9990" width="12.28515625" style="14" customWidth="1"/>
    <col min="9991" max="9991" width="8.85546875" style="14" customWidth="1"/>
    <col min="9992" max="9992" width="10.85546875" style="14" customWidth="1"/>
    <col min="9993" max="9993" width="2.85546875" style="14" customWidth="1"/>
    <col min="9994" max="9994" width="12.140625" style="14" customWidth="1"/>
    <col min="9995" max="9995" width="10.140625" style="14" customWidth="1"/>
    <col min="9996" max="9996" width="11.7109375" style="14" customWidth="1"/>
    <col min="9997" max="9997" width="11.42578125" style="14" customWidth="1"/>
    <col min="9998" max="9998" width="12.7109375" style="14" customWidth="1"/>
    <col min="9999" max="9999" width="11.42578125" style="14" customWidth="1"/>
    <col min="10000" max="10000" width="10.7109375" style="14" customWidth="1"/>
    <col min="10001" max="10001" width="10.5703125" style="14" customWidth="1"/>
    <col min="10002" max="10002" width="11.28515625" style="14" customWidth="1"/>
    <col min="10003" max="10003" width="9.7109375" style="14" customWidth="1"/>
    <col min="10004" max="10004" width="12" style="14" customWidth="1"/>
    <col min="10005" max="10005" width="11.28515625" style="14" customWidth="1"/>
    <col min="10006" max="10243" width="9.140625" style="14"/>
    <col min="10244" max="10244" width="5.7109375" style="14" customWidth="1"/>
    <col min="10245" max="10245" width="13.140625" style="14" customWidth="1"/>
    <col min="10246" max="10246" width="12.28515625" style="14" customWidth="1"/>
    <col min="10247" max="10247" width="8.85546875" style="14" customWidth="1"/>
    <col min="10248" max="10248" width="10.85546875" style="14" customWidth="1"/>
    <col min="10249" max="10249" width="2.85546875" style="14" customWidth="1"/>
    <col min="10250" max="10250" width="12.140625" style="14" customWidth="1"/>
    <col min="10251" max="10251" width="10.140625" style="14" customWidth="1"/>
    <col min="10252" max="10252" width="11.7109375" style="14" customWidth="1"/>
    <col min="10253" max="10253" width="11.42578125" style="14" customWidth="1"/>
    <col min="10254" max="10254" width="12.7109375" style="14" customWidth="1"/>
    <col min="10255" max="10255" width="11.42578125" style="14" customWidth="1"/>
    <col min="10256" max="10256" width="10.7109375" style="14" customWidth="1"/>
    <col min="10257" max="10257" width="10.5703125" style="14" customWidth="1"/>
    <col min="10258" max="10258" width="11.28515625" style="14" customWidth="1"/>
    <col min="10259" max="10259" width="9.7109375" style="14" customWidth="1"/>
    <col min="10260" max="10260" width="12" style="14" customWidth="1"/>
    <col min="10261" max="10261" width="11.28515625" style="14" customWidth="1"/>
    <col min="10262" max="10499" width="9.140625" style="14"/>
    <col min="10500" max="10500" width="5.7109375" style="14" customWidth="1"/>
    <col min="10501" max="10501" width="13.140625" style="14" customWidth="1"/>
    <col min="10502" max="10502" width="12.28515625" style="14" customWidth="1"/>
    <col min="10503" max="10503" width="8.85546875" style="14" customWidth="1"/>
    <col min="10504" max="10504" width="10.85546875" style="14" customWidth="1"/>
    <col min="10505" max="10505" width="2.85546875" style="14" customWidth="1"/>
    <col min="10506" max="10506" width="12.140625" style="14" customWidth="1"/>
    <col min="10507" max="10507" width="10.140625" style="14" customWidth="1"/>
    <col min="10508" max="10508" width="11.7109375" style="14" customWidth="1"/>
    <col min="10509" max="10509" width="11.42578125" style="14" customWidth="1"/>
    <col min="10510" max="10510" width="12.7109375" style="14" customWidth="1"/>
    <col min="10511" max="10511" width="11.42578125" style="14" customWidth="1"/>
    <col min="10512" max="10512" width="10.7109375" style="14" customWidth="1"/>
    <col min="10513" max="10513" width="10.5703125" style="14" customWidth="1"/>
    <col min="10514" max="10514" width="11.28515625" style="14" customWidth="1"/>
    <col min="10515" max="10515" width="9.7109375" style="14" customWidth="1"/>
    <col min="10516" max="10516" width="12" style="14" customWidth="1"/>
    <col min="10517" max="10517" width="11.28515625" style="14" customWidth="1"/>
    <col min="10518" max="10755" width="9.140625" style="14"/>
    <col min="10756" max="10756" width="5.7109375" style="14" customWidth="1"/>
    <col min="10757" max="10757" width="13.140625" style="14" customWidth="1"/>
    <col min="10758" max="10758" width="12.28515625" style="14" customWidth="1"/>
    <col min="10759" max="10759" width="8.85546875" style="14" customWidth="1"/>
    <col min="10760" max="10760" width="10.85546875" style="14" customWidth="1"/>
    <col min="10761" max="10761" width="2.85546875" style="14" customWidth="1"/>
    <col min="10762" max="10762" width="12.140625" style="14" customWidth="1"/>
    <col min="10763" max="10763" width="10.140625" style="14" customWidth="1"/>
    <col min="10764" max="10764" width="11.7109375" style="14" customWidth="1"/>
    <col min="10765" max="10765" width="11.42578125" style="14" customWidth="1"/>
    <col min="10766" max="10766" width="12.7109375" style="14" customWidth="1"/>
    <col min="10767" max="10767" width="11.42578125" style="14" customWidth="1"/>
    <col min="10768" max="10768" width="10.7109375" style="14" customWidth="1"/>
    <col min="10769" max="10769" width="10.5703125" style="14" customWidth="1"/>
    <col min="10770" max="10770" width="11.28515625" style="14" customWidth="1"/>
    <col min="10771" max="10771" width="9.7109375" style="14" customWidth="1"/>
    <col min="10772" max="10772" width="12" style="14" customWidth="1"/>
    <col min="10773" max="10773" width="11.28515625" style="14" customWidth="1"/>
    <col min="10774" max="11011" width="9.140625" style="14"/>
    <col min="11012" max="11012" width="5.7109375" style="14" customWidth="1"/>
    <col min="11013" max="11013" width="13.140625" style="14" customWidth="1"/>
    <col min="11014" max="11014" width="12.28515625" style="14" customWidth="1"/>
    <col min="11015" max="11015" width="8.85546875" style="14" customWidth="1"/>
    <col min="11016" max="11016" width="10.85546875" style="14" customWidth="1"/>
    <col min="11017" max="11017" width="2.85546875" style="14" customWidth="1"/>
    <col min="11018" max="11018" width="12.140625" style="14" customWidth="1"/>
    <col min="11019" max="11019" width="10.140625" style="14" customWidth="1"/>
    <col min="11020" max="11020" width="11.7109375" style="14" customWidth="1"/>
    <col min="11021" max="11021" width="11.42578125" style="14" customWidth="1"/>
    <col min="11022" max="11022" width="12.7109375" style="14" customWidth="1"/>
    <col min="11023" max="11023" width="11.42578125" style="14" customWidth="1"/>
    <col min="11024" max="11024" width="10.7109375" style="14" customWidth="1"/>
    <col min="11025" max="11025" width="10.5703125" style="14" customWidth="1"/>
    <col min="11026" max="11026" width="11.28515625" style="14" customWidth="1"/>
    <col min="11027" max="11027" width="9.7109375" style="14" customWidth="1"/>
    <col min="11028" max="11028" width="12" style="14" customWidth="1"/>
    <col min="11029" max="11029" width="11.28515625" style="14" customWidth="1"/>
    <col min="11030" max="11267" width="9.140625" style="14"/>
    <col min="11268" max="11268" width="5.7109375" style="14" customWidth="1"/>
    <col min="11269" max="11269" width="13.140625" style="14" customWidth="1"/>
    <col min="11270" max="11270" width="12.28515625" style="14" customWidth="1"/>
    <col min="11271" max="11271" width="8.85546875" style="14" customWidth="1"/>
    <col min="11272" max="11272" width="10.85546875" style="14" customWidth="1"/>
    <col min="11273" max="11273" width="2.85546875" style="14" customWidth="1"/>
    <col min="11274" max="11274" width="12.140625" style="14" customWidth="1"/>
    <col min="11275" max="11275" width="10.140625" style="14" customWidth="1"/>
    <col min="11276" max="11276" width="11.7109375" style="14" customWidth="1"/>
    <col min="11277" max="11277" width="11.42578125" style="14" customWidth="1"/>
    <col min="11278" max="11278" width="12.7109375" style="14" customWidth="1"/>
    <col min="11279" max="11279" width="11.42578125" style="14" customWidth="1"/>
    <col min="11280" max="11280" width="10.7109375" style="14" customWidth="1"/>
    <col min="11281" max="11281" width="10.5703125" style="14" customWidth="1"/>
    <col min="11282" max="11282" width="11.28515625" style="14" customWidth="1"/>
    <col min="11283" max="11283" width="9.7109375" style="14" customWidth="1"/>
    <col min="11284" max="11284" width="12" style="14" customWidth="1"/>
    <col min="11285" max="11285" width="11.28515625" style="14" customWidth="1"/>
    <col min="11286" max="11523" width="9.140625" style="14"/>
    <col min="11524" max="11524" width="5.7109375" style="14" customWidth="1"/>
    <col min="11525" max="11525" width="13.140625" style="14" customWidth="1"/>
    <col min="11526" max="11526" width="12.28515625" style="14" customWidth="1"/>
    <col min="11527" max="11527" width="8.85546875" style="14" customWidth="1"/>
    <col min="11528" max="11528" width="10.85546875" style="14" customWidth="1"/>
    <col min="11529" max="11529" width="2.85546875" style="14" customWidth="1"/>
    <col min="11530" max="11530" width="12.140625" style="14" customWidth="1"/>
    <col min="11531" max="11531" width="10.140625" style="14" customWidth="1"/>
    <col min="11532" max="11532" width="11.7109375" style="14" customWidth="1"/>
    <col min="11533" max="11533" width="11.42578125" style="14" customWidth="1"/>
    <col min="11534" max="11534" width="12.7109375" style="14" customWidth="1"/>
    <col min="11535" max="11535" width="11.42578125" style="14" customWidth="1"/>
    <col min="11536" max="11536" width="10.7109375" style="14" customWidth="1"/>
    <col min="11537" max="11537" width="10.5703125" style="14" customWidth="1"/>
    <col min="11538" max="11538" width="11.28515625" style="14" customWidth="1"/>
    <col min="11539" max="11539" width="9.7109375" style="14" customWidth="1"/>
    <col min="11540" max="11540" width="12" style="14" customWidth="1"/>
    <col min="11541" max="11541" width="11.28515625" style="14" customWidth="1"/>
    <col min="11542" max="11779" width="9.140625" style="14"/>
    <col min="11780" max="11780" width="5.7109375" style="14" customWidth="1"/>
    <col min="11781" max="11781" width="13.140625" style="14" customWidth="1"/>
    <col min="11782" max="11782" width="12.28515625" style="14" customWidth="1"/>
    <col min="11783" max="11783" width="8.85546875" style="14" customWidth="1"/>
    <col min="11784" max="11784" width="10.85546875" style="14" customWidth="1"/>
    <col min="11785" max="11785" width="2.85546875" style="14" customWidth="1"/>
    <col min="11786" max="11786" width="12.140625" style="14" customWidth="1"/>
    <col min="11787" max="11787" width="10.140625" style="14" customWidth="1"/>
    <col min="11788" max="11788" width="11.7109375" style="14" customWidth="1"/>
    <col min="11789" max="11789" width="11.42578125" style="14" customWidth="1"/>
    <col min="11790" max="11790" width="12.7109375" style="14" customWidth="1"/>
    <col min="11791" max="11791" width="11.42578125" style="14" customWidth="1"/>
    <col min="11792" max="11792" width="10.7109375" style="14" customWidth="1"/>
    <col min="11793" max="11793" width="10.5703125" style="14" customWidth="1"/>
    <col min="11794" max="11794" width="11.28515625" style="14" customWidth="1"/>
    <col min="11795" max="11795" width="9.7109375" style="14" customWidth="1"/>
    <col min="11796" max="11796" width="12" style="14" customWidth="1"/>
    <col min="11797" max="11797" width="11.28515625" style="14" customWidth="1"/>
    <col min="11798" max="12035" width="9.140625" style="14"/>
    <col min="12036" max="12036" width="5.7109375" style="14" customWidth="1"/>
    <col min="12037" max="12037" width="13.140625" style="14" customWidth="1"/>
    <col min="12038" max="12038" width="12.28515625" style="14" customWidth="1"/>
    <col min="12039" max="12039" width="8.85546875" style="14" customWidth="1"/>
    <col min="12040" max="12040" width="10.85546875" style="14" customWidth="1"/>
    <col min="12041" max="12041" width="2.85546875" style="14" customWidth="1"/>
    <col min="12042" max="12042" width="12.140625" style="14" customWidth="1"/>
    <col min="12043" max="12043" width="10.140625" style="14" customWidth="1"/>
    <col min="12044" max="12044" width="11.7109375" style="14" customWidth="1"/>
    <col min="12045" max="12045" width="11.42578125" style="14" customWidth="1"/>
    <col min="12046" max="12046" width="12.7109375" style="14" customWidth="1"/>
    <col min="12047" max="12047" width="11.42578125" style="14" customWidth="1"/>
    <col min="12048" max="12048" width="10.7109375" style="14" customWidth="1"/>
    <col min="12049" max="12049" width="10.5703125" style="14" customWidth="1"/>
    <col min="12050" max="12050" width="11.28515625" style="14" customWidth="1"/>
    <col min="12051" max="12051" width="9.7109375" style="14" customWidth="1"/>
    <col min="12052" max="12052" width="12" style="14" customWidth="1"/>
    <col min="12053" max="12053" width="11.28515625" style="14" customWidth="1"/>
    <col min="12054" max="12291" width="9.140625" style="14"/>
    <col min="12292" max="12292" width="5.7109375" style="14" customWidth="1"/>
    <col min="12293" max="12293" width="13.140625" style="14" customWidth="1"/>
    <col min="12294" max="12294" width="12.28515625" style="14" customWidth="1"/>
    <col min="12295" max="12295" width="8.85546875" style="14" customWidth="1"/>
    <col min="12296" max="12296" width="10.85546875" style="14" customWidth="1"/>
    <col min="12297" max="12297" width="2.85546875" style="14" customWidth="1"/>
    <col min="12298" max="12298" width="12.140625" style="14" customWidth="1"/>
    <col min="12299" max="12299" width="10.140625" style="14" customWidth="1"/>
    <col min="12300" max="12300" width="11.7109375" style="14" customWidth="1"/>
    <col min="12301" max="12301" width="11.42578125" style="14" customWidth="1"/>
    <col min="12302" max="12302" width="12.7109375" style="14" customWidth="1"/>
    <col min="12303" max="12303" width="11.42578125" style="14" customWidth="1"/>
    <col min="12304" max="12304" width="10.7109375" style="14" customWidth="1"/>
    <col min="12305" max="12305" width="10.5703125" style="14" customWidth="1"/>
    <col min="12306" max="12306" width="11.28515625" style="14" customWidth="1"/>
    <col min="12307" max="12307" width="9.7109375" style="14" customWidth="1"/>
    <col min="12308" max="12308" width="12" style="14" customWidth="1"/>
    <col min="12309" max="12309" width="11.28515625" style="14" customWidth="1"/>
    <col min="12310" max="12547" width="9.140625" style="14"/>
    <col min="12548" max="12548" width="5.7109375" style="14" customWidth="1"/>
    <col min="12549" max="12549" width="13.140625" style="14" customWidth="1"/>
    <col min="12550" max="12550" width="12.28515625" style="14" customWidth="1"/>
    <col min="12551" max="12551" width="8.85546875" style="14" customWidth="1"/>
    <col min="12552" max="12552" width="10.85546875" style="14" customWidth="1"/>
    <col min="12553" max="12553" width="2.85546875" style="14" customWidth="1"/>
    <col min="12554" max="12554" width="12.140625" style="14" customWidth="1"/>
    <col min="12555" max="12555" width="10.140625" style="14" customWidth="1"/>
    <col min="12556" max="12556" width="11.7109375" style="14" customWidth="1"/>
    <col min="12557" max="12557" width="11.42578125" style="14" customWidth="1"/>
    <col min="12558" max="12558" width="12.7109375" style="14" customWidth="1"/>
    <col min="12559" max="12559" width="11.42578125" style="14" customWidth="1"/>
    <col min="12560" max="12560" width="10.7109375" style="14" customWidth="1"/>
    <col min="12561" max="12561" width="10.5703125" style="14" customWidth="1"/>
    <col min="12562" max="12562" width="11.28515625" style="14" customWidth="1"/>
    <col min="12563" max="12563" width="9.7109375" style="14" customWidth="1"/>
    <col min="12564" max="12564" width="12" style="14" customWidth="1"/>
    <col min="12565" max="12565" width="11.28515625" style="14" customWidth="1"/>
    <col min="12566" max="12803" width="9.140625" style="14"/>
    <col min="12804" max="12804" width="5.7109375" style="14" customWidth="1"/>
    <col min="12805" max="12805" width="13.140625" style="14" customWidth="1"/>
    <col min="12806" max="12806" width="12.28515625" style="14" customWidth="1"/>
    <col min="12807" max="12807" width="8.85546875" style="14" customWidth="1"/>
    <col min="12808" max="12808" width="10.85546875" style="14" customWidth="1"/>
    <col min="12809" max="12809" width="2.85546875" style="14" customWidth="1"/>
    <col min="12810" max="12810" width="12.140625" style="14" customWidth="1"/>
    <col min="12811" max="12811" width="10.140625" style="14" customWidth="1"/>
    <col min="12812" max="12812" width="11.7109375" style="14" customWidth="1"/>
    <col min="12813" max="12813" width="11.42578125" style="14" customWidth="1"/>
    <col min="12814" max="12814" width="12.7109375" style="14" customWidth="1"/>
    <col min="12815" max="12815" width="11.42578125" style="14" customWidth="1"/>
    <col min="12816" max="12816" width="10.7109375" style="14" customWidth="1"/>
    <col min="12817" max="12817" width="10.5703125" style="14" customWidth="1"/>
    <col min="12818" max="12818" width="11.28515625" style="14" customWidth="1"/>
    <col min="12819" max="12819" width="9.7109375" style="14" customWidth="1"/>
    <col min="12820" max="12820" width="12" style="14" customWidth="1"/>
    <col min="12821" max="12821" width="11.28515625" style="14" customWidth="1"/>
    <col min="12822" max="13059" width="9.140625" style="14"/>
    <col min="13060" max="13060" width="5.7109375" style="14" customWidth="1"/>
    <col min="13061" max="13061" width="13.140625" style="14" customWidth="1"/>
    <col min="13062" max="13062" width="12.28515625" style="14" customWidth="1"/>
    <col min="13063" max="13063" width="8.85546875" style="14" customWidth="1"/>
    <col min="13064" max="13064" width="10.85546875" style="14" customWidth="1"/>
    <col min="13065" max="13065" width="2.85546875" style="14" customWidth="1"/>
    <col min="13066" max="13066" width="12.140625" style="14" customWidth="1"/>
    <col min="13067" max="13067" width="10.140625" style="14" customWidth="1"/>
    <col min="13068" max="13068" width="11.7109375" style="14" customWidth="1"/>
    <col min="13069" max="13069" width="11.42578125" style="14" customWidth="1"/>
    <col min="13070" max="13070" width="12.7109375" style="14" customWidth="1"/>
    <col min="13071" max="13071" width="11.42578125" style="14" customWidth="1"/>
    <col min="13072" max="13072" width="10.7109375" style="14" customWidth="1"/>
    <col min="13073" max="13073" width="10.5703125" style="14" customWidth="1"/>
    <col min="13074" max="13074" width="11.28515625" style="14" customWidth="1"/>
    <col min="13075" max="13075" width="9.7109375" style="14" customWidth="1"/>
    <col min="13076" max="13076" width="12" style="14" customWidth="1"/>
    <col min="13077" max="13077" width="11.28515625" style="14" customWidth="1"/>
    <col min="13078" max="13315" width="9.140625" style="14"/>
    <col min="13316" max="13316" width="5.7109375" style="14" customWidth="1"/>
    <col min="13317" max="13317" width="13.140625" style="14" customWidth="1"/>
    <col min="13318" max="13318" width="12.28515625" style="14" customWidth="1"/>
    <col min="13319" max="13319" width="8.85546875" style="14" customWidth="1"/>
    <col min="13320" max="13320" width="10.85546875" style="14" customWidth="1"/>
    <col min="13321" max="13321" width="2.85546875" style="14" customWidth="1"/>
    <col min="13322" max="13322" width="12.140625" style="14" customWidth="1"/>
    <col min="13323" max="13323" width="10.140625" style="14" customWidth="1"/>
    <col min="13324" max="13324" width="11.7109375" style="14" customWidth="1"/>
    <col min="13325" max="13325" width="11.42578125" style="14" customWidth="1"/>
    <col min="13326" max="13326" width="12.7109375" style="14" customWidth="1"/>
    <col min="13327" max="13327" width="11.42578125" style="14" customWidth="1"/>
    <col min="13328" max="13328" width="10.7109375" style="14" customWidth="1"/>
    <col min="13329" max="13329" width="10.5703125" style="14" customWidth="1"/>
    <col min="13330" max="13330" width="11.28515625" style="14" customWidth="1"/>
    <col min="13331" max="13331" width="9.7109375" style="14" customWidth="1"/>
    <col min="13332" max="13332" width="12" style="14" customWidth="1"/>
    <col min="13333" max="13333" width="11.28515625" style="14" customWidth="1"/>
    <col min="13334" max="13571" width="9.140625" style="14"/>
    <col min="13572" max="13572" width="5.7109375" style="14" customWidth="1"/>
    <col min="13573" max="13573" width="13.140625" style="14" customWidth="1"/>
    <col min="13574" max="13574" width="12.28515625" style="14" customWidth="1"/>
    <col min="13575" max="13575" width="8.85546875" style="14" customWidth="1"/>
    <col min="13576" max="13576" width="10.85546875" style="14" customWidth="1"/>
    <col min="13577" max="13577" width="2.85546875" style="14" customWidth="1"/>
    <col min="13578" max="13578" width="12.140625" style="14" customWidth="1"/>
    <col min="13579" max="13579" width="10.140625" style="14" customWidth="1"/>
    <col min="13580" max="13580" width="11.7109375" style="14" customWidth="1"/>
    <col min="13581" max="13581" width="11.42578125" style="14" customWidth="1"/>
    <col min="13582" max="13582" width="12.7109375" style="14" customWidth="1"/>
    <col min="13583" max="13583" width="11.42578125" style="14" customWidth="1"/>
    <col min="13584" max="13584" width="10.7109375" style="14" customWidth="1"/>
    <col min="13585" max="13585" width="10.5703125" style="14" customWidth="1"/>
    <col min="13586" max="13586" width="11.28515625" style="14" customWidth="1"/>
    <col min="13587" max="13587" width="9.7109375" style="14" customWidth="1"/>
    <col min="13588" max="13588" width="12" style="14" customWidth="1"/>
    <col min="13589" max="13589" width="11.28515625" style="14" customWidth="1"/>
    <col min="13590" max="13827" width="9.140625" style="14"/>
    <col min="13828" max="13828" width="5.7109375" style="14" customWidth="1"/>
    <col min="13829" max="13829" width="13.140625" style="14" customWidth="1"/>
    <col min="13830" max="13830" width="12.28515625" style="14" customWidth="1"/>
    <col min="13831" max="13831" width="8.85546875" style="14" customWidth="1"/>
    <col min="13832" max="13832" width="10.85546875" style="14" customWidth="1"/>
    <col min="13833" max="13833" width="2.85546875" style="14" customWidth="1"/>
    <col min="13834" max="13834" width="12.140625" style="14" customWidth="1"/>
    <col min="13835" max="13835" width="10.140625" style="14" customWidth="1"/>
    <col min="13836" max="13836" width="11.7109375" style="14" customWidth="1"/>
    <col min="13837" max="13837" width="11.42578125" style="14" customWidth="1"/>
    <col min="13838" max="13838" width="12.7109375" style="14" customWidth="1"/>
    <col min="13839" max="13839" width="11.42578125" style="14" customWidth="1"/>
    <col min="13840" max="13840" width="10.7109375" style="14" customWidth="1"/>
    <col min="13841" max="13841" width="10.5703125" style="14" customWidth="1"/>
    <col min="13842" max="13842" width="11.28515625" style="14" customWidth="1"/>
    <col min="13843" max="13843" width="9.7109375" style="14" customWidth="1"/>
    <col min="13844" max="13844" width="12" style="14" customWidth="1"/>
    <col min="13845" max="13845" width="11.28515625" style="14" customWidth="1"/>
    <col min="13846" max="14083" width="9.140625" style="14"/>
    <col min="14084" max="14084" width="5.7109375" style="14" customWidth="1"/>
    <col min="14085" max="14085" width="13.140625" style="14" customWidth="1"/>
    <col min="14086" max="14086" width="12.28515625" style="14" customWidth="1"/>
    <col min="14087" max="14087" width="8.85546875" style="14" customWidth="1"/>
    <col min="14088" max="14088" width="10.85546875" style="14" customWidth="1"/>
    <col min="14089" max="14089" width="2.85546875" style="14" customWidth="1"/>
    <col min="14090" max="14090" width="12.140625" style="14" customWidth="1"/>
    <col min="14091" max="14091" width="10.140625" style="14" customWidth="1"/>
    <col min="14092" max="14092" width="11.7109375" style="14" customWidth="1"/>
    <col min="14093" max="14093" width="11.42578125" style="14" customWidth="1"/>
    <col min="14094" max="14094" width="12.7109375" style="14" customWidth="1"/>
    <col min="14095" max="14095" width="11.42578125" style="14" customWidth="1"/>
    <col min="14096" max="14096" width="10.7109375" style="14" customWidth="1"/>
    <col min="14097" max="14097" width="10.5703125" style="14" customWidth="1"/>
    <col min="14098" max="14098" width="11.28515625" style="14" customWidth="1"/>
    <col min="14099" max="14099" width="9.7109375" style="14" customWidth="1"/>
    <col min="14100" max="14100" width="12" style="14" customWidth="1"/>
    <col min="14101" max="14101" width="11.28515625" style="14" customWidth="1"/>
    <col min="14102" max="14339" width="9.140625" style="14"/>
    <col min="14340" max="14340" width="5.7109375" style="14" customWidth="1"/>
    <col min="14341" max="14341" width="13.140625" style="14" customWidth="1"/>
    <col min="14342" max="14342" width="12.28515625" style="14" customWidth="1"/>
    <col min="14343" max="14343" width="8.85546875" style="14" customWidth="1"/>
    <col min="14344" max="14344" width="10.85546875" style="14" customWidth="1"/>
    <col min="14345" max="14345" width="2.85546875" style="14" customWidth="1"/>
    <col min="14346" max="14346" width="12.140625" style="14" customWidth="1"/>
    <col min="14347" max="14347" width="10.140625" style="14" customWidth="1"/>
    <col min="14348" max="14348" width="11.7109375" style="14" customWidth="1"/>
    <col min="14349" max="14349" width="11.42578125" style="14" customWidth="1"/>
    <col min="14350" max="14350" width="12.7109375" style="14" customWidth="1"/>
    <col min="14351" max="14351" width="11.42578125" style="14" customWidth="1"/>
    <col min="14352" max="14352" width="10.7109375" style="14" customWidth="1"/>
    <col min="14353" max="14353" width="10.5703125" style="14" customWidth="1"/>
    <col min="14354" max="14354" width="11.28515625" style="14" customWidth="1"/>
    <col min="14355" max="14355" width="9.7109375" style="14" customWidth="1"/>
    <col min="14356" max="14356" width="12" style="14" customWidth="1"/>
    <col min="14357" max="14357" width="11.28515625" style="14" customWidth="1"/>
    <col min="14358" max="14595" width="9.140625" style="14"/>
    <col min="14596" max="14596" width="5.7109375" style="14" customWidth="1"/>
    <col min="14597" max="14597" width="13.140625" style="14" customWidth="1"/>
    <col min="14598" max="14598" width="12.28515625" style="14" customWidth="1"/>
    <col min="14599" max="14599" width="8.85546875" style="14" customWidth="1"/>
    <col min="14600" max="14600" width="10.85546875" style="14" customWidth="1"/>
    <col min="14601" max="14601" width="2.85546875" style="14" customWidth="1"/>
    <col min="14602" max="14602" width="12.140625" style="14" customWidth="1"/>
    <col min="14603" max="14603" width="10.140625" style="14" customWidth="1"/>
    <col min="14604" max="14604" width="11.7109375" style="14" customWidth="1"/>
    <col min="14605" max="14605" width="11.42578125" style="14" customWidth="1"/>
    <col min="14606" max="14606" width="12.7109375" style="14" customWidth="1"/>
    <col min="14607" max="14607" width="11.42578125" style="14" customWidth="1"/>
    <col min="14608" max="14608" width="10.7109375" style="14" customWidth="1"/>
    <col min="14609" max="14609" width="10.5703125" style="14" customWidth="1"/>
    <col min="14610" max="14610" width="11.28515625" style="14" customWidth="1"/>
    <col min="14611" max="14611" width="9.7109375" style="14" customWidth="1"/>
    <col min="14612" max="14612" width="12" style="14" customWidth="1"/>
    <col min="14613" max="14613" width="11.28515625" style="14" customWidth="1"/>
    <col min="14614" max="14851" width="9.140625" style="14"/>
    <col min="14852" max="14852" width="5.7109375" style="14" customWidth="1"/>
    <col min="14853" max="14853" width="13.140625" style="14" customWidth="1"/>
    <col min="14854" max="14854" width="12.28515625" style="14" customWidth="1"/>
    <col min="14855" max="14855" width="8.85546875" style="14" customWidth="1"/>
    <col min="14856" max="14856" width="10.85546875" style="14" customWidth="1"/>
    <col min="14857" max="14857" width="2.85546875" style="14" customWidth="1"/>
    <col min="14858" max="14858" width="12.140625" style="14" customWidth="1"/>
    <col min="14859" max="14859" width="10.140625" style="14" customWidth="1"/>
    <col min="14860" max="14860" width="11.7109375" style="14" customWidth="1"/>
    <col min="14861" max="14861" width="11.42578125" style="14" customWidth="1"/>
    <col min="14862" max="14862" width="12.7109375" style="14" customWidth="1"/>
    <col min="14863" max="14863" width="11.42578125" style="14" customWidth="1"/>
    <col min="14864" max="14864" width="10.7109375" style="14" customWidth="1"/>
    <col min="14865" max="14865" width="10.5703125" style="14" customWidth="1"/>
    <col min="14866" max="14866" width="11.28515625" style="14" customWidth="1"/>
    <col min="14867" max="14867" width="9.7109375" style="14" customWidth="1"/>
    <col min="14868" max="14868" width="12" style="14" customWidth="1"/>
    <col min="14869" max="14869" width="11.28515625" style="14" customWidth="1"/>
    <col min="14870" max="15107" width="9.140625" style="14"/>
    <col min="15108" max="15108" width="5.7109375" style="14" customWidth="1"/>
    <col min="15109" max="15109" width="13.140625" style="14" customWidth="1"/>
    <col min="15110" max="15110" width="12.28515625" style="14" customWidth="1"/>
    <col min="15111" max="15111" width="8.85546875" style="14" customWidth="1"/>
    <col min="15112" max="15112" width="10.85546875" style="14" customWidth="1"/>
    <col min="15113" max="15113" width="2.85546875" style="14" customWidth="1"/>
    <col min="15114" max="15114" width="12.140625" style="14" customWidth="1"/>
    <col min="15115" max="15115" width="10.140625" style="14" customWidth="1"/>
    <col min="15116" max="15116" width="11.7109375" style="14" customWidth="1"/>
    <col min="15117" max="15117" width="11.42578125" style="14" customWidth="1"/>
    <col min="15118" max="15118" width="12.7109375" style="14" customWidth="1"/>
    <col min="15119" max="15119" width="11.42578125" style="14" customWidth="1"/>
    <col min="15120" max="15120" width="10.7109375" style="14" customWidth="1"/>
    <col min="15121" max="15121" width="10.5703125" style="14" customWidth="1"/>
    <col min="15122" max="15122" width="11.28515625" style="14" customWidth="1"/>
    <col min="15123" max="15123" width="9.7109375" style="14" customWidth="1"/>
    <col min="15124" max="15124" width="12" style="14" customWidth="1"/>
    <col min="15125" max="15125" width="11.28515625" style="14" customWidth="1"/>
    <col min="15126" max="15363" width="9.140625" style="14"/>
    <col min="15364" max="15364" width="5.7109375" style="14" customWidth="1"/>
    <col min="15365" max="15365" width="13.140625" style="14" customWidth="1"/>
    <col min="15366" max="15366" width="12.28515625" style="14" customWidth="1"/>
    <col min="15367" max="15367" width="8.85546875" style="14" customWidth="1"/>
    <col min="15368" max="15368" width="10.85546875" style="14" customWidth="1"/>
    <col min="15369" max="15369" width="2.85546875" style="14" customWidth="1"/>
    <col min="15370" max="15370" width="12.140625" style="14" customWidth="1"/>
    <col min="15371" max="15371" width="10.140625" style="14" customWidth="1"/>
    <col min="15372" max="15372" width="11.7109375" style="14" customWidth="1"/>
    <col min="15373" max="15373" width="11.42578125" style="14" customWidth="1"/>
    <col min="15374" max="15374" width="12.7109375" style="14" customWidth="1"/>
    <col min="15375" max="15375" width="11.42578125" style="14" customWidth="1"/>
    <col min="15376" max="15376" width="10.7109375" style="14" customWidth="1"/>
    <col min="15377" max="15377" width="10.5703125" style="14" customWidth="1"/>
    <col min="15378" max="15378" width="11.28515625" style="14" customWidth="1"/>
    <col min="15379" max="15379" width="9.7109375" style="14" customWidth="1"/>
    <col min="15380" max="15380" width="12" style="14" customWidth="1"/>
    <col min="15381" max="15381" width="11.28515625" style="14" customWidth="1"/>
    <col min="15382" max="15619" width="9.140625" style="14"/>
    <col min="15620" max="15620" width="5.7109375" style="14" customWidth="1"/>
    <col min="15621" max="15621" width="13.140625" style="14" customWidth="1"/>
    <col min="15622" max="15622" width="12.28515625" style="14" customWidth="1"/>
    <col min="15623" max="15623" width="8.85546875" style="14" customWidth="1"/>
    <col min="15624" max="15624" width="10.85546875" style="14" customWidth="1"/>
    <col min="15625" max="15625" width="2.85546875" style="14" customWidth="1"/>
    <col min="15626" max="15626" width="12.140625" style="14" customWidth="1"/>
    <col min="15627" max="15627" width="10.140625" style="14" customWidth="1"/>
    <col min="15628" max="15628" width="11.7109375" style="14" customWidth="1"/>
    <col min="15629" max="15629" width="11.42578125" style="14" customWidth="1"/>
    <col min="15630" max="15630" width="12.7109375" style="14" customWidth="1"/>
    <col min="15631" max="15631" width="11.42578125" style="14" customWidth="1"/>
    <col min="15632" max="15632" width="10.7109375" style="14" customWidth="1"/>
    <col min="15633" max="15633" width="10.5703125" style="14" customWidth="1"/>
    <col min="15634" max="15634" width="11.28515625" style="14" customWidth="1"/>
    <col min="15635" max="15635" width="9.7109375" style="14" customWidth="1"/>
    <col min="15636" max="15636" width="12" style="14" customWidth="1"/>
    <col min="15637" max="15637" width="11.28515625" style="14" customWidth="1"/>
    <col min="15638" max="15875" width="9.140625" style="14"/>
    <col min="15876" max="15876" width="5.7109375" style="14" customWidth="1"/>
    <col min="15877" max="15877" width="13.140625" style="14" customWidth="1"/>
    <col min="15878" max="15878" width="12.28515625" style="14" customWidth="1"/>
    <col min="15879" max="15879" width="8.85546875" style="14" customWidth="1"/>
    <col min="15880" max="15880" width="10.85546875" style="14" customWidth="1"/>
    <col min="15881" max="15881" width="2.85546875" style="14" customWidth="1"/>
    <col min="15882" max="15882" width="12.140625" style="14" customWidth="1"/>
    <col min="15883" max="15883" width="10.140625" style="14" customWidth="1"/>
    <col min="15884" max="15884" width="11.7109375" style="14" customWidth="1"/>
    <col min="15885" max="15885" width="11.42578125" style="14" customWidth="1"/>
    <col min="15886" max="15886" width="12.7109375" style="14" customWidth="1"/>
    <col min="15887" max="15887" width="11.42578125" style="14" customWidth="1"/>
    <col min="15888" max="15888" width="10.7109375" style="14" customWidth="1"/>
    <col min="15889" max="15889" width="10.5703125" style="14" customWidth="1"/>
    <col min="15890" max="15890" width="11.28515625" style="14" customWidth="1"/>
    <col min="15891" max="15891" width="9.7109375" style="14" customWidth="1"/>
    <col min="15892" max="15892" width="12" style="14" customWidth="1"/>
    <col min="15893" max="15893" width="11.28515625" style="14" customWidth="1"/>
    <col min="15894" max="16131" width="9.140625" style="14"/>
    <col min="16132" max="16132" width="5.7109375" style="14" customWidth="1"/>
    <col min="16133" max="16133" width="13.140625" style="14" customWidth="1"/>
    <col min="16134" max="16134" width="12.28515625" style="14" customWidth="1"/>
    <col min="16135" max="16135" width="8.85546875" style="14" customWidth="1"/>
    <col min="16136" max="16136" width="10.85546875" style="14" customWidth="1"/>
    <col min="16137" max="16137" width="2.85546875" style="14" customWidth="1"/>
    <col min="16138" max="16138" width="12.140625" style="14" customWidth="1"/>
    <col min="16139" max="16139" width="10.140625" style="14" customWidth="1"/>
    <col min="16140" max="16140" width="11.7109375" style="14" customWidth="1"/>
    <col min="16141" max="16141" width="11.42578125" style="14" customWidth="1"/>
    <col min="16142" max="16142" width="12.7109375" style="14" customWidth="1"/>
    <col min="16143" max="16143" width="11.42578125" style="14" customWidth="1"/>
    <col min="16144" max="16144" width="10.7109375" style="14" customWidth="1"/>
    <col min="16145" max="16145" width="10.5703125" style="14" customWidth="1"/>
    <col min="16146" max="16146" width="11.28515625" style="14" customWidth="1"/>
    <col min="16147" max="16147" width="9.7109375" style="14" customWidth="1"/>
    <col min="16148" max="16148" width="12" style="14" customWidth="1"/>
    <col min="16149" max="16149" width="11.28515625" style="14" customWidth="1"/>
    <col min="16150" max="16384" width="9.140625" style="14"/>
  </cols>
  <sheetData>
    <row r="1" spans="4:19" ht="12.75" thickBot="1" x14ac:dyDescent="0.25"/>
    <row r="2" spans="4:19" ht="13.5" thickBot="1" x14ac:dyDescent="0.25">
      <c r="Q2" s="633" t="s">
        <v>0</v>
      </c>
      <c r="R2" s="634"/>
      <c r="S2" s="635"/>
    </row>
    <row r="3" spans="4:19" ht="13.5" thickBot="1" x14ac:dyDescent="0.25">
      <c r="I3" s="636" t="s">
        <v>1</v>
      </c>
      <c r="J3" s="637"/>
      <c r="K3" s="637"/>
      <c r="L3" s="637"/>
      <c r="M3" s="637"/>
      <c r="N3" s="637"/>
      <c r="O3" s="638"/>
      <c r="Q3" s="611">
        <f>'AGUILERA CONTRERAS LUIS GERARDO'!Q3</f>
        <v>45</v>
      </c>
      <c r="R3" s="639"/>
      <c r="S3" s="612"/>
    </row>
    <row r="4" spans="4:19" ht="13.5" thickBot="1" x14ac:dyDescent="0.25">
      <c r="I4" s="640" t="s">
        <v>2</v>
      </c>
      <c r="J4" s="641"/>
      <c r="K4" s="641"/>
      <c r="L4" s="641"/>
      <c r="M4" s="641"/>
      <c r="N4" s="641"/>
      <c r="O4" s="642"/>
      <c r="Q4" s="18"/>
      <c r="R4" s="18"/>
      <c r="S4" s="18"/>
    </row>
    <row r="5" spans="4:19" ht="13.5" thickBot="1" x14ac:dyDescent="0.25">
      <c r="I5" s="643" t="s">
        <v>3</v>
      </c>
      <c r="J5" s="644"/>
      <c r="K5" s="644"/>
      <c r="L5" s="644"/>
      <c r="M5" s="644"/>
      <c r="N5" s="644"/>
      <c r="O5" s="645"/>
      <c r="Q5" s="611" t="s">
        <v>4</v>
      </c>
      <c r="R5" s="639"/>
      <c r="S5" s="612"/>
    </row>
    <row r="6" spans="4:19" ht="13.5" thickBot="1" x14ac:dyDescent="0.25">
      <c r="I6" s="650" t="s">
        <v>5</v>
      </c>
      <c r="J6" s="651"/>
      <c r="K6" s="651"/>
      <c r="L6" s="651"/>
      <c r="M6" s="651"/>
      <c r="N6" s="651"/>
      <c r="O6" s="652"/>
      <c r="Q6" s="653">
        <f>+'GUZMAN CHAPARRO PEDRO'!Q6+1</f>
        <v>112</v>
      </c>
      <c r="R6" s="654"/>
      <c r="S6" s="655"/>
    </row>
    <row r="8" spans="4:19" ht="12.75" thickBot="1" x14ac:dyDescent="0.25"/>
    <row r="9" spans="4:19" ht="13.5" thickBot="1" x14ac:dyDescent="0.25">
      <c r="I9" s="611" t="s">
        <v>6</v>
      </c>
      <c r="J9" s="639"/>
      <c r="K9" s="639"/>
      <c r="L9" s="639"/>
      <c r="M9" s="639"/>
      <c r="N9" s="639"/>
      <c r="O9" s="612"/>
    </row>
    <row r="10" spans="4:19" ht="12.75" thickBot="1" x14ac:dyDescent="0.25"/>
    <row r="11" spans="4:19" ht="12.75" x14ac:dyDescent="0.2">
      <c r="D11" s="1" t="s">
        <v>7</v>
      </c>
      <c r="E11" s="2" t="s">
        <v>364</v>
      </c>
      <c r="F11" s="2"/>
      <c r="G11" s="2"/>
      <c r="H11" s="2"/>
      <c r="I11" s="2"/>
      <c r="J11" s="2"/>
      <c r="K11" s="3" t="s">
        <v>8</v>
      </c>
      <c r="L11" s="656" t="str">
        <f>'REYES LARA DANTE'!L11</f>
        <v>SEMANA #45 PERIODO DEL 27 de oct AL 02 de nov DEL 2025</v>
      </c>
      <c r="M11" s="656"/>
      <c r="N11" s="656"/>
      <c r="O11" s="656"/>
      <c r="P11" s="656"/>
      <c r="Q11" s="656"/>
      <c r="R11" s="656"/>
      <c r="S11" s="659"/>
    </row>
    <row r="12" spans="4:19" ht="12.75" x14ac:dyDescent="0.2">
      <c r="D12" s="4" t="s">
        <v>9</v>
      </c>
      <c r="E12" s="624" t="s">
        <v>155</v>
      </c>
      <c r="F12" s="624"/>
      <c r="G12" s="5"/>
      <c r="H12" s="130"/>
      <c r="I12" s="130"/>
      <c r="J12" s="130"/>
      <c r="K12" s="130"/>
      <c r="L12" s="130"/>
      <c r="M12" s="130"/>
      <c r="N12" s="130"/>
      <c r="O12" s="130"/>
      <c r="P12" s="130"/>
      <c r="Q12" s="130"/>
      <c r="R12" s="130"/>
      <c r="S12" s="256"/>
    </row>
    <row r="13" spans="4:19" ht="12.75" x14ac:dyDescent="0.2">
      <c r="D13" s="623"/>
      <c r="E13" s="624"/>
      <c r="F13" s="130"/>
      <c r="G13" s="130"/>
      <c r="H13" s="130"/>
      <c r="I13" s="130"/>
      <c r="J13" s="130"/>
      <c r="K13" s="130"/>
      <c r="L13" s="130"/>
      <c r="M13" s="130"/>
      <c r="N13" s="130"/>
      <c r="O13" s="130"/>
      <c r="P13" s="130"/>
      <c r="Q13" s="130"/>
      <c r="R13" s="130"/>
      <c r="S13" s="256"/>
    </row>
    <row r="14" spans="4:19" ht="12.75" x14ac:dyDescent="0.2">
      <c r="D14" s="625" t="s">
        <v>10</v>
      </c>
      <c r="E14" s="626"/>
      <c r="F14" s="130">
        <v>105625</v>
      </c>
      <c r="G14" s="130"/>
      <c r="H14" s="130"/>
      <c r="I14" s="6" t="s">
        <v>11</v>
      </c>
      <c r="J14" s="6"/>
      <c r="K14" s="130"/>
      <c r="L14" s="130"/>
      <c r="M14" s="130"/>
      <c r="N14" s="130"/>
      <c r="O14" s="6" t="s">
        <v>12</v>
      </c>
      <c r="P14" s="7"/>
      <c r="Q14" s="7"/>
      <c r="R14" s="7"/>
      <c r="S14" s="8"/>
    </row>
    <row r="15" spans="4:19" ht="12.75" x14ac:dyDescent="0.2">
      <c r="D15" s="625" t="s">
        <v>13</v>
      </c>
      <c r="E15" s="626"/>
      <c r="F15" s="130">
        <v>106338</v>
      </c>
      <c r="G15" s="130"/>
      <c r="H15" s="130"/>
      <c r="I15" s="6" t="s">
        <v>14</v>
      </c>
      <c r="J15" s="6"/>
      <c r="K15" s="130"/>
      <c r="L15" s="130"/>
      <c r="M15" s="130"/>
      <c r="N15" s="130"/>
      <c r="O15" s="6" t="s">
        <v>15</v>
      </c>
      <c r="P15" s="130"/>
      <c r="Q15" s="130"/>
      <c r="R15" s="130"/>
      <c r="S15" s="256"/>
    </row>
    <row r="16" spans="4:19" ht="13.5" thickBot="1" x14ac:dyDescent="0.25">
      <c r="D16" s="627" t="s">
        <v>16</v>
      </c>
      <c r="E16" s="628"/>
      <c r="F16" s="257">
        <f>SUM(J19:J32)</f>
        <v>0</v>
      </c>
      <c r="G16" s="257"/>
      <c r="H16" s="257"/>
      <c r="I16" s="9" t="s">
        <v>17</v>
      </c>
      <c r="J16" s="257">
        <f>SUM(K19:K32)</f>
        <v>0</v>
      </c>
      <c r="K16" s="257"/>
      <c r="L16" s="257"/>
      <c r="M16" s="257"/>
      <c r="N16" s="257"/>
      <c r="O16" s="9" t="s">
        <v>18</v>
      </c>
      <c r="P16" s="10" t="e">
        <f>+F16/J16</f>
        <v>#DIV/0!</v>
      </c>
      <c r="Q16" s="257"/>
      <c r="R16" s="257"/>
      <c r="S16" s="258"/>
    </row>
    <row r="17" spans="3:23" ht="12.75" thickBot="1" x14ac:dyDescent="0.25"/>
    <row r="18" spans="3:23" ht="36.75" thickBot="1" x14ac:dyDescent="0.25">
      <c r="C18" s="243" t="s">
        <v>19</v>
      </c>
      <c r="D18" s="33" t="s">
        <v>20</v>
      </c>
      <c r="E18" s="34" t="s">
        <v>21</v>
      </c>
      <c r="F18" s="34" t="s">
        <v>22</v>
      </c>
      <c r="G18" s="34" t="s">
        <v>23</v>
      </c>
      <c r="H18" s="34" t="s">
        <v>24</v>
      </c>
      <c r="I18" s="34" t="s">
        <v>25</v>
      </c>
      <c r="J18" s="34" t="s">
        <v>26</v>
      </c>
      <c r="K18" s="34" t="s">
        <v>27</v>
      </c>
      <c r="L18" s="34" t="s">
        <v>28</v>
      </c>
      <c r="M18" s="34" t="s">
        <v>285</v>
      </c>
      <c r="N18" s="34">
        <v>1</v>
      </c>
      <c r="O18" s="34" t="s">
        <v>30</v>
      </c>
      <c r="P18" s="33" t="s">
        <v>31</v>
      </c>
      <c r="Q18" s="34" t="s">
        <v>219</v>
      </c>
      <c r="R18" s="34" t="s">
        <v>184</v>
      </c>
      <c r="S18" s="34" t="s">
        <v>33</v>
      </c>
      <c r="T18" s="454" t="s">
        <v>220</v>
      </c>
      <c r="U18" s="448" t="s">
        <v>351</v>
      </c>
      <c r="V18" s="305" t="s">
        <v>354</v>
      </c>
    </row>
    <row r="19" spans="3:23" x14ac:dyDescent="0.2">
      <c r="C19" s="176"/>
      <c r="D19" s="43"/>
      <c r="E19" s="42"/>
      <c r="F19" s="42"/>
      <c r="G19" s="43"/>
      <c r="H19" s="24" t="b">
        <f>IF(G19=1,KILOMETRAJE!C$4,IF(G19=2,KILOMETRAJE!C$5,IF(G19=3,KILOMETRAJE!C$6,IF(G19=4,KILOMETRAJE!C$7,IF(G19=5,KILOMETRAJE!C$8,IF(G19=6,KILOMETRAJE!C$9,IF(G19=7,KILOMETRAJE!C$10,IF(G19=8,KILOMETRAJE!C$11,IF(G19=9,KILOMETRAJE!C$12,IF(G19=10,KILOMETRAJE!C$13,IF(G19=11,KILOMETRAJE!C$14,IF(G19=12,KILOMETRAJE!C$15,IF(G19=13,KILOMETRAJE!C$16,IF(G19=14,KILOMETRAJE!C$17,IF(G19=15,KILOMETRAJE!C$18,IF(G19=16,KILOMETRAJE!C$19,IF(G19=17,KILOMETRAJE!C$20,IF(G19=18,KILOMETRAJE!C$21,IF(G19=19,KILOMETRAJE!C$22,IF(G19=20,KILOMETRAJE!C$23,IF(G19=21,KILOMETRAJE!C$24,IF(G19=22,KILOMETRAJE!C$25,IF(G19=23,KILOMETRAJE!C$26,IF(G19=24,KILOMETRAJE!C$27,IF(G19=25,KILOMETRAJE!C$28,IF(G19=26,KILOMETRAJE!C$29,IF(G19=27,KILOMETRAJE!C$30,IF(G19=28,KILOMETRAJE!C$31,IF(G19=29,KILOMETRAJE!C$32,IF(G19=30,KILOMETRAJE!C$33,IF(G19=31,KILOMETRAJE!C$34,IF(G19=32,KILOMETRAJE!C$35,IF(G19=33,KILOMETRAJE!C$36,IF(G19=34,KILOMETRAJE!C$37,IF(G19=35,KILOMETRAJE!C$38,IF(G19=36,KILOMETRAJE!C$39,IF(G19=37,KILOMETRAJE!C$40,IF(G19=38,KILOMETRAJE!C$41,IF(G19=39,KILOMETRAJE!C$42,IF(G19=40,KILOMETRAJE!C$43,IF(G19=41,KILOMETRAJE!C$44,IF(G19=42,KILOMETRAJE!C$45,IF(G19=43,KILOMETRAJE!C$46,IF(G19=44,KILOMETRAJE!C$47,IF(G19=45,KILOMETRAJE!C$48,IF(G19=46,KILOMETRAJE!C$49,IF(G19=47,KILOMETRAJE!C$50,IF(G19=48,KILOMETRAJE!C$51,IF(G19=49,KILOMETRAJE!C$52,IF(G19=50,KILOMETRAJE!C$53,IF(G19=51,KILOMETRAJE!C$54,IF(G19=52,KILOMETRAJE!C$55,IF(G19=53,KILOMETRAJE!C$56,IF(G19=54,KILOMETRAJE!C$57,IF(G19=55,KILOMETRAJE!C$58,IF(G19=56,KILOMETRAJE!C$59,IF(G19=57,KILOMETRAJE!C$60,IF(G19=58,KILOMETRAJE!C$61,IF(G19=59,KILOMETRAJE!C$62,IF(G19=60,KILOMETRAJE!C$63,IF(G19=61,KILOMETRAJE!C$64,IF(G19=62,KILOMETRAJE!C$65,IF(G19=63,KILOMETRAJE!C$66)))))))))))))))))))))))))))))))))))))))))))))))))))))))))))))))</f>
        <v>0</v>
      </c>
      <c r="I19" s="24" t="b">
        <f>IF(G19=1,KILOMETRAJE!E$4,IF(G19=2,KILOMETRAJE!E$5,IF(G19=3,KILOMETRAJE!E$6,IF(G19=4,KILOMETRAJE!E$7,IF(G19=5,KILOMETRAJE!E$8,IF(G19=6,KILOMETRAJE!E$9,IF(G19=7,KILOMETRAJE!E$10,IF(G19=8,KILOMETRAJE!E$11,IF(G19=9,KILOMETRAJE!E$12,IF(G19=10,KILOMETRAJE!E$13,IF(G19=11,KILOMETRAJE!E$14,IF(G19=12,KILOMETRAJE!E$15,IF(G19=13,KILOMETRAJE!E$16,IF(G19=14,KILOMETRAJE!E$17,IF(G19=15,KILOMETRAJE!E$18,IF(G19=16,KILOMETRAJE!E$19,IF(G19=17,KILOMETRAJE!E$20,IF(G19=18,KILOMETRAJE!E$21,IF(G19=19,KILOMETRAJE!E$22,IF(G19=20,KILOMETRAJE!E$23,IF(G19=21,KILOMETRAJE!E$24,IF(G19=22,KILOMETRAJE!E$25,IF(G19=23,KILOMETRAJE!E$26,IF(G19=24,KILOMETRAJE!E$27,IF(G19=25,KILOMETRAJE!E$28,IF(G19=26,KILOMETRAJE!E$29,IF(G19=27,KILOMETRAJE!E$30,IF(G19=28,KILOMETRAJE!E$31,IF(G19=29,KILOMETRAJE!E$32,IF(G19=30,KILOMETRAJE!E$33,IF(G19=31,KILOMETRAJE!E$34,IF(G19=32,KILOMETRAJE!E$35,IF(G19=33,KILOMETRAJE!E$36,IF(G19=34,KILOMETRAJE!E$37,IF(G19=35,KILOMETRAJE!E$38,IF(G19=36,KILOMETRAJE!E$39,IF(G19=37,KILOMETRAJE!E$40,IF(G19=38,KILOMETRAJE!E$41,IF(G19=39,KILOMETRAJE!E$42,IF(G19=40,KILOMETRAJE!E$43,IF(G19=41,KILOMETRAJE!E$44,IF(G19=42,KILOMETRAJE!E$45,IF(G19=43,KILOMETRAJE!E$46,IF(G19=44,KILOMETRAJE!E$47,IF(G19=45,KILOMETRAJE!E$48,IF(G19=46,KILOMETRAJE!E$49,IF(G19=47,KILOMETRAJE!E$50,IF(G19=48,KILOMETRAJE!E$51,IF(G19=49,KILOMETRAJE!E$52,IF(G19=50,KILOMETRAJE!E$53,IF(G19=51,KILOMETRAJE!E$54,IF(G19=52,KILOMETRAJE!E$55,IF(G19=53,KILOMETRAJE!E$56,IF(G19=54,KILOMETRAJE!E$57,IF(G19=55,KILOMETRAJE!E$58,IF(G19=56,KILOMETRAJE!E$59,IF(G19=57,KILOMETRAJE!E$60,IF(G19=58,KILOMETRAJE!E$61,IF(G19=59,KILOMETRAJE!E$62,IF(G19=60,KILOMETRAJE!E$63,IF(G19=61,KILOMETRAJE!E$64,IF(G19=62,KILOMETRAJE!E$65,IF(G19=63,KILOMETRAJE!E$66)))))))))))))))))))))))))))))))))))))))))))))))))))))))))))))))</f>
        <v>0</v>
      </c>
      <c r="J19" s="51" t="b">
        <f>IF(G19=1,KILOMETRAJE!G$4,IF(G19=2,KILOMETRAJE!G$5,IF(G19=3,KILOMETRAJE!G$6,IF(G19=4,KILOMETRAJE!G$7,IF(G19=5,KILOMETRAJE!G$8,IF(G19=6,KILOMETRAJE!G$9,IF(G19=7,KILOMETRAJE!G$10,IF(G19=8,KILOMETRAJE!G$11,IF(G19=9,KILOMETRAJE!G$12,IF(G19=10,KILOMETRAJE!G$13,IF(G19=11,KILOMETRAJE!G$14,IF(G19=12,KILOMETRAJE!G$15,IF(G19=13,KILOMETRAJE!G$16,IF(G19=14,KILOMETRAJE!G$17,IF(G19=15,KILOMETRAJE!G$18,IF(G19=16,KILOMETRAJE!G$19,IF(G19=17,KILOMETRAJE!G$20,IF(G19=18,KILOMETRAJE!G$21,IF(G19=19,KILOMETRAJE!G$22,IF(G19=20,KILOMETRAJE!G$23,IF(G19=21,KILOMETRAJE!G$24,IF(G19=22,KILOMETRAJE!G$25,IF(G19=23,KILOMETRAJE!G$26,IF(G19=24,KILOMETRAJE!G$27,IF(G19=25,KILOMETRAJE!G$28,IF(G19=26,KILOMETRAJE!G$29,IF(G19=27,KILOMETRAJE!G$30,IF(G19=28,KILOMETRAJE!G$31,IF(G19=29,KILOMETRAJE!G$32,IF(G19=30,KILOMETRAJE!G$33,IF(G19=31,KILOMETRAJE!G$34,IF(G19=32,KILOMETRAJE!G$35,IF(G19=33,KILOMETRAJE!G$36,IF(G19=34,KILOMETRAJE!G$37,IF(G19=35,KILOMETRAJE!G$38,IF(G19=36,KILOMETRAJE!G$39,IF(G19=37,KILOMETRAJE!G$40,IF(G19=38,KILOMETRAJE!G$41,IF(G19=39,KILOMETRAJE!G$42,IF(G19=40,KILOMETRAJE!G$43,IF(G19=41,KILOMETRAJE!G$44,IF(G19=42,KILOMETRAJE!G$45,IF(G19=43,KILOMETRAJE!G$46,IF(G19=44,KILOMETRAJE!G$47,IF(G19=45,KILOMETRAJE!G$48,IF(G19=46,KILOMETRAJE!G$49,IF(G19=47,KILOMETRAJE!G$50,IF(G19=48,KILOMETRAJE!G$51,IF(G19=49,KILOMETRAJE!G$52,IF(G19=50,KILOMETRAJE!G$53,IF(G19=51,KILOMETRAJE!G$54,IF(G19=52,KILOMETRAJE!G$55,IF(G19=53,KILOMETRAJE!G$56,IF(G19=54,KILOMETRAJE!G$57,IF(G19=55,KILOMETRAJE!G$58,IF(G19=56,KILOMETRAJE!G$59,IF(G19=57,KILOMETRAJE!G$60,IF(G19=58,KILOMETRAJE!G$61,IF(G19=59,KILOMETRAJE!G$62,IF(G19=60,KILOMETRAJE!G$63,IF(G19=61,KILOMETRAJE!G$64,IF(G19=62,KILOMETRAJE!G$65,IF(G19=63,KILOMETRAJE!G$66)))))))))))))))))))))))))))))))))))))))))))))))))))))))))))))))</f>
        <v>0</v>
      </c>
      <c r="K19" s="24"/>
      <c r="L19" s="44"/>
      <c r="M19" s="348"/>
      <c r="N19" s="24"/>
      <c r="O19" s="24"/>
      <c r="P19" s="24"/>
      <c r="Q19" s="45">
        <f t="shared" ref="Q19:Q20" si="0">((((IF(N19=1,((J19)*0.29333)))+(IF(N19=2,((J19)*0.146666)))+(IF(N19=3,((J19)*0.146666)))))+(IF(N19=4,((J19-40)*0.29333)))+(IF(N19=5,((J19-50)*0.29333)))+(IF(N19=6,((J19-90)*0.29333))))</f>
        <v>0</v>
      </c>
      <c r="R19" s="191"/>
      <c r="S19" s="52"/>
      <c r="T19" s="455"/>
      <c r="U19" s="43" t="s">
        <v>352</v>
      </c>
      <c r="V19" s="17" t="s">
        <v>352</v>
      </c>
    </row>
    <row r="20" spans="3:23" ht="13.5" customHeight="1" thickBot="1" x14ac:dyDescent="0.25">
      <c r="C20" s="239"/>
      <c r="D20" s="68"/>
      <c r="E20" s="69"/>
      <c r="F20" s="69"/>
      <c r="G20" s="68"/>
      <c r="H20" s="70" t="b">
        <f>IF(G20=1,KILOMETRAJE!C$4,IF(G20=2,KILOMETRAJE!C$5,IF(G20=3,KILOMETRAJE!C$6,IF(G20=4,KILOMETRAJE!C$7,IF(G20=5,KILOMETRAJE!C$8,IF(G20=6,KILOMETRAJE!C$9,IF(G20=7,KILOMETRAJE!C$10,IF(G20=8,KILOMETRAJE!C$11,IF(G20=9,KILOMETRAJE!C$12,IF(G20=10,KILOMETRAJE!C$13,IF(G20=11,KILOMETRAJE!C$14,IF(G20=12,KILOMETRAJE!C$15,IF(G20=13,KILOMETRAJE!C$16,IF(G20=14,KILOMETRAJE!C$17,IF(G20=15,KILOMETRAJE!C$18,IF(G20=16,KILOMETRAJE!C$19,IF(G20=17,KILOMETRAJE!C$20,IF(G20=18,KILOMETRAJE!C$21,IF(G20=19,KILOMETRAJE!C$22,IF(G20=20,KILOMETRAJE!C$23,IF(G20=21,KILOMETRAJE!C$24,IF(G20=22,KILOMETRAJE!C$25,IF(G20=23,KILOMETRAJE!C$26,IF(G20=24,KILOMETRAJE!C$27,IF(G20=25,KILOMETRAJE!C$28,IF(G20=26,KILOMETRAJE!C$29,IF(G20=27,KILOMETRAJE!C$30,IF(G20=28,KILOMETRAJE!C$31,IF(G20=29,KILOMETRAJE!C$32,IF(G20=30,KILOMETRAJE!C$33,IF(G20=31,KILOMETRAJE!C$34,IF(G20=32,KILOMETRAJE!C$35,IF(G20=33,KILOMETRAJE!C$36,IF(G20=34,KILOMETRAJE!C$37,IF(G20=35,KILOMETRAJE!C$38,IF(G20=36,KILOMETRAJE!C$39,IF(G20=37,KILOMETRAJE!C$40,IF(G20=38,KILOMETRAJE!C$41,IF(G20=39,KILOMETRAJE!C$42,IF(G20=40,KILOMETRAJE!C$43,IF(G20=41,KILOMETRAJE!C$44,IF(G20=42,KILOMETRAJE!C$45,IF(G20=43,KILOMETRAJE!C$46,IF(G20=44,KILOMETRAJE!C$47,IF(G20=45,KILOMETRAJE!C$48,IF(G20=46,KILOMETRAJE!C$49,IF(G20=47,KILOMETRAJE!C$50,IF(G20=48,KILOMETRAJE!C$51,IF(G20=49,KILOMETRAJE!C$52,IF(G20=50,KILOMETRAJE!C$53,IF(G20=51,KILOMETRAJE!C$54,IF(G20=52,KILOMETRAJE!C$55,IF(G20=53,KILOMETRAJE!C$56,IF(G20=54,KILOMETRAJE!C$57,IF(G20=55,KILOMETRAJE!C$58,IF(G20=56,KILOMETRAJE!C$59,IF(G20=57,KILOMETRAJE!C$60,IF(G20=58,KILOMETRAJE!C$61,IF(G20=59,KILOMETRAJE!C$62,IF(G20=60,KILOMETRAJE!C$63,IF(G20=61,KILOMETRAJE!C$64,IF(G20=62,KILOMETRAJE!C$65,IF(G20=63,KILOMETRAJE!C$66)))))))))))))))))))))))))))))))))))))))))))))))))))))))))))))))</f>
        <v>0</v>
      </c>
      <c r="I20" s="70" t="b">
        <f>IF(G20=1,KILOMETRAJE!E$4,IF(G20=2,KILOMETRAJE!E$5,IF(G20=3,KILOMETRAJE!E$6,IF(G20=4,KILOMETRAJE!E$7,IF(G20=5,KILOMETRAJE!E$8,IF(G20=6,KILOMETRAJE!E$9,IF(G20=7,KILOMETRAJE!E$10,IF(G20=8,KILOMETRAJE!E$11,IF(G20=9,KILOMETRAJE!E$12,IF(G20=10,KILOMETRAJE!E$13,IF(G20=11,KILOMETRAJE!E$14,IF(G20=12,KILOMETRAJE!E$15,IF(G20=13,KILOMETRAJE!E$16,IF(G20=14,KILOMETRAJE!E$17,IF(G20=15,KILOMETRAJE!E$18,IF(G20=16,KILOMETRAJE!E$19,IF(G20=17,KILOMETRAJE!E$20,IF(G20=18,KILOMETRAJE!E$21,IF(G20=19,KILOMETRAJE!E$22,IF(G20=20,KILOMETRAJE!E$23,IF(G20=21,KILOMETRAJE!E$24,IF(G20=22,KILOMETRAJE!E$25,IF(G20=23,KILOMETRAJE!E$26,IF(G20=24,KILOMETRAJE!E$27,IF(G20=25,KILOMETRAJE!E$28,IF(G20=26,KILOMETRAJE!E$29,IF(G20=27,KILOMETRAJE!E$30,IF(G20=28,KILOMETRAJE!E$31,IF(G20=29,KILOMETRAJE!E$32,IF(G20=30,KILOMETRAJE!E$33,IF(G20=31,KILOMETRAJE!E$34,IF(G20=32,KILOMETRAJE!E$35,IF(G20=33,KILOMETRAJE!E$36,IF(G20=34,KILOMETRAJE!E$37,IF(G20=35,KILOMETRAJE!E$38,IF(G20=36,KILOMETRAJE!E$39,IF(G20=37,KILOMETRAJE!E$40,IF(G20=38,KILOMETRAJE!E$41,IF(G20=39,KILOMETRAJE!E$42,IF(G20=40,KILOMETRAJE!E$43,IF(G20=41,KILOMETRAJE!E$44,IF(G20=42,KILOMETRAJE!E$45,IF(G20=43,KILOMETRAJE!E$46,IF(G20=44,KILOMETRAJE!E$47,IF(G20=45,KILOMETRAJE!E$48,IF(G20=46,KILOMETRAJE!E$49,IF(G20=47,KILOMETRAJE!E$50,IF(G20=48,KILOMETRAJE!E$51,IF(G20=49,KILOMETRAJE!E$52,IF(G20=50,KILOMETRAJE!E$53,IF(G20=51,KILOMETRAJE!E$54,IF(G20=52,KILOMETRAJE!E$55,IF(G20=53,KILOMETRAJE!E$56,IF(G20=54,KILOMETRAJE!E$57,IF(G20=55,KILOMETRAJE!E$58,IF(G20=56,KILOMETRAJE!E$59,IF(G20=57,KILOMETRAJE!E$60,IF(G20=58,KILOMETRAJE!E$61,IF(G20=59,KILOMETRAJE!E$62,IF(G20=60,KILOMETRAJE!E$63,IF(G20=61,KILOMETRAJE!E$64,IF(G20=62,KILOMETRAJE!E$65,IF(G20=63,KILOMETRAJE!E$66)))))))))))))))))))))))))))))))))))))))))))))))))))))))))))))))</f>
        <v>0</v>
      </c>
      <c r="J20" s="71" t="b">
        <f>IF(G20=1,KILOMETRAJE!G$4,IF(G20=2,KILOMETRAJE!G$5,IF(G20=3,KILOMETRAJE!G$6,IF(G20=4,KILOMETRAJE!G$7,IF(G20=5,KILOMETRAJE!G$8,IF(G20=6,KILOMETRAJE!G$9,IF(G20=7,KILOMETRAJE!G$10,IF(G20=8,KILOMETRAJE!G$11,IF(G20=9,KILOMETRAJE!G$12,IF(G20=10,KILOMETRAJE!G$13,IF(G20=11,KILOMETRAJE!G$14,IF(G20=12,KILOMETRAJE!G$15,IF(G20=13,KILOMETRAJE!G$16,IF(G20=14,KILOMETRAJE!G$17,IF(G20=15,KILOMETRAJE!G$18,IF(G20=16,KILOMETRAJE!G$19,IF(G20=17,KILOMETRAJE!G$20,IF(G20=18,KILOMETRAJE!G$21,IF(G20=19,KILOMETRAJE!G$22,IF(G20=20,KILOMETRAJE!G$23,IF(G20=21,KILOMETRAJE!G$24,IF(G20=22,KILOMETRAJE!G$25,IF(G20=23,KILOMETRAJE!G$26,IF(G20=24,KILOMETRAJE!G$27,IF(G20=25,KILOMETRAJE!G$28,IF(G20=26,KILOMETRAJE!G$29,IF(G20=27,KILOMETRAJE!G$30,IF(G20=28,KILOMETRAJE!G$31,IF(G20=29,KILOMETRAJE!G$32,IF(G20=30,KILOMETRAJE!G$33,IF(G20=31,KILOMETRAJE!G$34,IF(G20=32,KILOMETRAJE!G$35,IF(G20=33,KILOMETRAJE!G$36,IF(G20=34,KILOMETRAJE!G$37,IF(G20=35,KILOMETRAJE!G$38,IF(G20=36,KILOMETRAJE!G$39,IF(G20=37,KILOMETRAJE!G$40,IF(G20=38,KILOMETRAJE!G$41,IF(G20=39,KILOMETRAJE!G$42,IF(G20=40,KILOMETRAJE!G$43,IF(G20=41,KILOMETRAJE!G$44,IF(G20=42,KILOMETRAJE!G$45,IF(G20=43,KILOMETRAJE!G$46,IF(G20=44,KILOMETRAJE!G$47,IF(G20=45,KILOMETRAJE!G$48,IF(G20=46,KILOMETRAJE!G$49,IF(G20=47,KILOMETRAJE!G$50,IF(G20=48,KILOMETRAJE!G$51,IF(G20=49,KILOMETRAJE!G$52,IF(G20=50,KILOMETRAJE!G$53,IF(G20=51,KILOMETRAJE!G$54,IF(G20=52,KILOMETRAJE!G$55,IF(G20=53,KILOMETRAJE!G$56,IF(G20=54,KILOMETRAJE!G$57,IF(G20=55,KILOMETRAJE!G$58,IF(G20=56,KILOMETRAJE!G$59,IF(G20=57,KILOMETRAJE!G$60,IF(G20=58,KILOMETRAJE!G$61,IF(G20=59,KILOMETRAJE!G$62,IF(G20=60,KILOMETRAJE!G$63,IF(G20=61,KILOMETRAJE!G$64,IF(G20=62,KILOMETRAJE!G$65,IF(G20=63,KILOMETRAJE!G$66)))))))))))))))))))))))))))))))))))))))))))))))))))))))))))))))</f>
        <v>0</v>
      </c>
      <c r="K20" s="70"/>
      <c r="L20" s="72" t="e">
        <f>SUM(J19:J20)/K20</f>
        <v>#DIV/0!</v>
      </c>
      <c r="M20" s="370"/>
      <c r="N20" s="70"/>
      <c r="O20" s="70"/>
      <c r="P20" s="70"/>
      <c r="Q20" s="67">
        <f t="shared" si="0"/>
        <v>0</v>
      </c>
      <c r="R20" s="197" t="e">
        <f>+LOOKUP(P40,UNIDADES!B$3:B$59,UNIDADES!C$3:C$59)</f>
        <v>#N/A</v>
      </c>
      <c r="S20" s="194" t="e">
        <f>+((SUM(J19:J20))/R20)-K20</f>
        <v>#N/A</v>
      </c>
      <c r="T20" s="461" t="e">
        <f>+S20*14.85</f>
        <v>#N/A</v>
      </c>
      <c r="U20" s="68">
        <v>58</v>
      </c>
      <c r="V20" s="478">
        <v>59</v>
      </c>
      <c r="W20" s="244"/>
    </row>
    <row r="21" spans="3:23" ht="11.25" customHeight="1" x14ac:dyDescent="0.2">
      <c r="C21" s="176"/>
      <c r="D21" s="43"/>
      <c r="E21" s="42"/>
      <c r="F21" s="42"/>
      <c r="G21" s="43"/>
      <c r="H21" s="24"/>
      <c r="I21" s="24"/>
      <c r="J21" s="51"/>
      <c r="K21" s="24"/>
      <c r="L21" s="44"/>
      <c r="M21" s="348"/>
      <c r="N21" s="24"/>
      <c r="O21" s="24"/>
      <c r="P21" s="24"/>
      <c r="Q21" s="45"/>
      <c r="R21" s="191"/>
      <c r="S21" s="52"/>
      <c r="T21" s="455"/>
      <c r="U21" s="43"/>
      <c r="V21" s="17"/>
    </row>
    <row r="22" spans="3:23" ht="13.5" customHeight="1" thickBot="1" x14ac:dyDescent="0.25">
      <c r="C22" s="240"/>
      <c r="D22" s="57"/>
      <c r="E22" s="58"/>
      <c r="F22" s="58"/>
      <c r="G22" s="57"/>
      <c r="H22" s="27"/>
      <c r="I22" s="27"/>
      <c r="J22" s="31"/>
      <c r="K22" s="27"/>
      <c r="L22" s="28"/>
      <c r="M22" s="349"/>
      <c r="N22" s="27"/>
      <c r="O22" s="27"/>
      <c r="P22" s="27"/>
      <c r="Q22" s="29"/>
      <c r="R22" s="190"/>
      <c r="S22" s="19"/>
      <c r="T22" s="456"/>
      <c r="U22" s="62"/>
      <c r="V22" s="417"/>
    </row>
    <row r="23" spans="3:23" x14ac:dyDescent="0.2">
      <c r="C23" s="176"/>
      <c r="D23" s="43"/>
      <c r="E23" s="42"/>
      <c r="F23" s="42"/>
      <c r="G23" s="43"/>
      <c r="H23" s="24"/>
      <c r="I23" s="24"/>
      <c r="J23" s="51"/>
      <c r="K23" s="24"/>
      <c r="L23" s="44"/>
      <c r="M23" s="348"/>
      <c r="N23" s="24"/>
      <c r="O23" s="24"/>
      <c r="P23" s="24"/>
      <c r="Q23" s="45"/>
      <c r="R23" s="191"/>
      <c r="S23" s="52"/>
      <c r="T23" s="455"/>
      <c r="U23" s="24"/>
      <c r="V23" s="79"/>
    </row>
    <row r="24" spans="3:23" ht="13.5" customHeight="1" thickBot="1" x14ac:dyDescent="0.25">
      <c r="C24" s="101"/>
      <c r="D24" s="62"/>
      <c r="E24" s="25"/>
      <c r="F24" s="25"/>
      <c r="G24" s="62"/>
      <c r="H24" s="27"/>
      <c r="I24" s="27"/>
      <c r="J24" s="31"/>
      <c r="K24" s="27"/>
      <c r="L24" s="28"/>
      <c r="M24" s="349"/>
      <c r="N24" s="27"/>
      <c r="O24" s="27"/>
      <c r="P24" s="27"/>
      <c r="Q24" s="29"/>
      <c r="R24" s="190"/>
      <c r="S24" s="19"/>
      <c r="T24" s="456"/>
      <c r="U24" s="27"/>
      <c r="V24" s="55"/>
    </row>
    <row r="25" spans="3:23" x14ac:dyDescent="0.2">
      <c r="C25" s="238"/>
      <c r="D25" s="36"/>
      <c r="E25" s="37"/>
      <c r="F25" s="37"/>
      <c r="G25" s="36"/>
      <c r="H25" s="38"/>
      <c r="I25" s="38"/>
      <c r="J25" s="39"/>
      <c r="K25" s="38"/>
      <c r="L25" s="48"/>
      <c r="M25" s="350"/>
      <c r="N25" s="38"/>
      <c r="O25" s="38"/>
      <c r="P25" s="38"/>
      <c r="Q25" s="40"/>
      <c r="R25" s="192"/>
      <c r="S25" s="186"/>
      <c r="T25" s="458"/>
      <c r="U25" s="38"/>
      <c r="V25" s="38"/>
    </row>
    <row r="26" spans="3:23" ht="13.5" customHeight="1" thickBot="1" x14ac:dyDescent="0.25">
      <c r="C26" s="101"/>
      <c r="D26" s="62"/>
      <c r="E26" s="25"/>
      <c r="F26" s="25"/>
      <c r="G26" s="62"/>
      <c r="H26" s="27"/>
      <c r="I26" s="27"/>
      <c r="J26" s="31"/>
      <c r="K26" s="27"/>
      <c r="L26" s="28"/>
      <c r="M26" s="349"/>
      <c r="N26" s="27"/>
      <c r="O26" s="27"/>
      <c r="P26" s="27"/>
      <c r="Q26" s="29"/>
      <c r="R26" s="190"/>
      <c r="S26" s="19"/>
      <c r="T26" s="456"/>
      <c r="U26" s="11"/>
      <c r="V26" s="11"/>
    </row>
    <row r="27" spans="3:23" ht="14.25" customHeight="1" x14ac:dyDescent="0.2">
      <c r="C27" s="176"/>
      <c r="D27" s="43"/>
      <c r="E27" s="42"/>
      <c r="F27" s="42"/>
      <c r="G27" s="43"/>
      <c r="H27" s="24"/>
      <c r="I27" s="24"/>
      <c r="J27" s="51"/>
      <c r="K27" s="24"/>
      <c r="L27" s="44"/>
      <c r="M27" s="348"/>
      <c r="N27" s="24"/>
      <c r="O27" s="24"/>
      <c r="P27" s="24"/>
      <c r="Q27" s="45"/>
      <c r="R27" s="191"/>
      <c r="S27" s="52"/>
      <c r="T27" s="46"/>
    </row>
    <row r="28" spans="3:23" ht="14.25" customHeight="1" thickBot="1" x14ac:dyDescent="0.25">
      <c r="C28" s="101"/>
      <c r="D28" s="62"/>
      <c r="E28" s="25"/>
      <c r="F28" s="25"/>
      <c r="G28" s="62"/>
      <c r="H28" s="27"/>
      <c r="I28" s="27"/>
      <c r="J28" s="31"/>
      <c r="K28" s="27"/>
      <c r="L28" s="28"/>
      <c r="M28" s="349"/>
      <c r="N28" s="27"/>
      <c r="O28" s="27"/>
      <c r="P28" s="27"/>
      <c r="Q28" s="29"/>
      <c r="R28" s="190"/>
      <c r="S28" s="19"/>
      <c r="T28" s="30"/>
    </row>
    <row r="29" spans="3:23" x14ac:dyDescent="0.2">
      <c r="C29" s="238"/>
      <c r="D29" s="36"/>
      <c r="E29" s="37"/>
      <c r="F29" s="37"/>
      <c r="G29" s="36"/>
      <c r="H29" s="38"/>
      <c r="I29" s="38"/>
      <c r="J29" s="39"/>
      <c r="K29" s="38"/>
      <c r="L29" s="48"/>
      <c r="M29" s="348"/>
      <c r="N29" s="38"/>
      <c r="O29" s="38"/>
      <c r="P29" s="38"/>
      <c r="Q29" s="40"/>
      <c r="R29" s="192"/>
      <c r="S29" s="186"/>
      <c r="T29" s="41"/>
    </row>
    <row r="30" spans="3:23" ht="12.75" thickBot="1" x14ac:dyDescent="0.25">
      <c r="C30" s="101"/>
      <c r="D30" s="62"/>
      <c r="E30" s="25"/>
      <c r="F30" s="25"/>
      <c r="G30" s="62"/>
      <c r="H30" s="27"/>
      <c r="I30" s="27"/>
      <c r="J30" s="31"/>
      <c r="K30" s="27"/>
      <c r="L30" s="28"/>
      <c r="M30" s="349"/>
      <c r="N30" s="27"/>
      <c r="O30" s="27"/>
      <c r="P30" s="27"/>
      <c r="Q30" s="29"/>
      <c r="R30" s="190"/>
      <c r="S30" s="19"/>
      <c r="T30" s="30"/>
    </row>
    <row r="31" spans="3:23" x14ac:dyDescent="0.2">
      <c r="C31" s="176"/>
      <c r="D31" s="43"/>
      <c r="E31" s="42"/>
      <c r="F31" s="42"/>
      <c r="G31" s="43"/>
      <c r="H31" s="24"/>
      <c r="I31" s="24"/>
      <c r="J31" s="51"/>
      <c r="K31" s="24"/>
      <c r="L31" s="44"/>
      <c r="M31" s="348"/>
      <c r="N31" s="24"/>
      <c r="O31" s="24"/>
      <c r="P31" s="24"/>
      <c r="Q31" s="45"/>
      <c r="R31" s="192"/>
      <c r="S31" s="52"/>
      <c r="T31" s="46"/>
    </row>
    <row r="32" spans="3:23" ht="12.75" thickBot="1" x14ac:dyDescent="0.25">
      <c r="C32" s="101"/>
      <c r="D32" s="62"/>
      <c r="E32" s="25"/>
      <c r="F32" s="25"/>
      <c r="G32" s="62"/>
      <c r="H32" s="27"/>
      <c r="I32" s="27"/>
      <c r="J32" s="31"/>
      <c r="K32" s="27"/>
      <c r="L32" s="28"/>
      <c r="M32" s="349"/>
      <c r="N32" s="27"/>
      <c r="O32" s="27"/>
      <c r="P32" s="27"/>
      <c r="Q32" s="29"/>
      <c r="R32" s="190"/>
      <c r="S32" s="19"/>
      <c r="T32" s="30"/>
    </row>
    <row r="33" spans="3:23" ht="12.75" thickBot="1" x14ac:dyDescent="0.25">
      <c r="I33" s="15"/>
      <c r="N33" s="14" t="s">
        <v>181</v>
      </c>
      <c r="R33" s="193"/>
      <c r="S33" s="15"/>
    </row>
    <row r="34" spans="3:23" x14ac:dyDescent="0.2">
      <c r="E34" s="629" t="s">
        <v>34</v>
      </c>
      <c r="F34" s="646">
        <f>+'AGUILAR ESQUIVEL CARLOS'!F34</f>
        <v>45957</v>
      </c>
      <c r="G34" s="647"/>
      <c r="H34" s="16">
        <f>+F34+1</f>
        <v>45958</v>
      </c>
      <c r="I34" s="16">
        <f>+H34+1</f>
        <v>45959</v>
      </c>
      <c r="J34" s="16">
        <f>+I34+1</f>
        <v>45960</v>
      </c>
      <c r="K34" s="16">
        <f>+J34+1</f>
        <v>45961</v>
      </c>
      <c r="L34" s="16">
        <f>+K34+2</f>
        <v>45963</v>
      </c>
      <c r="M34" s="17" t="s">
        <v>35</v>
      </c>
    </row>
    <row r="35" spans="3:23" ht="12.75" thickBot="1" x14ac:dyDescent="0.25">
      <c r="E35" s="630"/>
      <c r="F35" s="648"/>
      <c r="G35" s="649"/>
      <c r="H35" s="29"/>
      <c r="I35" s="29"/>
      <c r="J35" s="29"/>
      <c r="K35" s="29"/>
      <c r="L35" s="29"/>
      <c r="M35" s="30">
        <f>SUM(F35:L35)</f>
        <v>0</v>
      </c>
    </row>
    <row r="36" spans="3:23" ht="12.75" thickBot="1" x14ac:dyDescent="0.25">
      <c r="I36" s="15"/>
    </row>
    <row r="37" spans="3:23" ht="13.5" thickBot="1" x14ac:dyDescent="0.25">
      <c r="C37" s="608" t="s">
        <v>36</v>
      </c>
      <c r="D37" s="609"/>
      <c r="E37" s="609"/>
      <c r="F37" s="609"/>
      <c r="G37" s="610"/>
      <c r="I37" s="620" t="s">
        <v>37</v>
      </c>
      <c r="J37" s="621"/>
      <c r="K37" s="621"/>
      <c r="L37" s="622"/>
      <c r="M37" s="298"/>
      <c r="O37" s="611" t="s">
        <v>38</v>
      </c>
      <c r="P37" s="612"/>
      <c r="Q37" s="613" t="e">
        <f>+F48-L46</f>
        <v>#N/A</v>
      </c>
      <c r="R37" s="614"/>
      <c r="S37" s="615"/>
    </row>
    <row r="38" spans="3:23" ht="12.75" thickBot="1" x14ac:dyDescent="0.25">
      <c r="C38" s="616" t="s">
        <v>219</v>
      </c>
      <c r="D38" s="617"/>
      <c r="E38" s="617"/>
      <c r="F38" s="618">
        <f>SUM(Q18:Q33)</f>
        <v>0</v>
      </c>
      <c r="G38" s="619"/>
      <c r="I38" s="114" t="s">
        <v>125</v>
      </c>
      <c r="J38" s="68" t="s">
        <v>126</v>
      </c>
      <c r="K38" s="68" t="s">
        <v>70</v>
      </c>
      <c r="L38" s="115" t="s">
        <v>127</v>
      </c>
      <c r="M38" s="346"/>
    </row>
    <row r="39" spans="3:23" ht="13.5" customHeight="1" thickBot="1" x14ac:dyDescent="0.25">
      <c r="C39" s="602" t="s">
        <v>220</v>
      </c>
      <c r="D39" s="603"/>
      <c r="E39" s="603"/>
      <c r="F39" s="604" t="e">
        <f>SUM(T18:T33)</f>
        <v>#N/A</v>
      </c>
      <c r="G39" s="605"/>
      <c r="I39" s="328"/>
      <c r="J39" s="427"/>
      <c r="K39" s="431"/>
      <c r="L39" s="119"/>
      <c r="M39" s="346"/>
      <c r="O39" s="74" t="s">
        <v>70</v>
      </c>
      <c r="P39" s="75" t="s">
        <v>71</v>
      </c>
      <c r="Q39" s="76" t="s">
        <v>72</v>
      </c>
      <c r="R39" s="64"/>
      <c r="S39" s="77" t="s">
        <v>73</v>
      </c>
      <c r="T39" s="75" t="s">
        <v>74</v>
      </c>
      <c r="U39" s="74" t="s">
        <v>145</v>
      </c>
      <c r="V39" s="75" t="s">
        <v>146</v>
      </c>
      <c r="W39" s="75" t="s">
        <v>284</v>
      </c>
    </row>
    <row r="40" spans="3:23" x14ac:dyDescent="0.2">
      <c r="C40" s="602" t="s">
        <v>34</v>
      </c>
      <c r="D40" s="603"/>
      <c r="E40" s="603"/>
      <c r="F40" s="604">
        <f>+M35</f>
        <v>0</v>
      </c>
      <c r="G40" s="605"/>
      <c r="I40" s="94"/>
      <c r="J40" s="117"/>
      <c r="K40" s="61"/>
      <c r="L40" s="111"/>
      <c r="M40" s="346"/>
      <c r="N40" s="400"/>
      <c r="O40" s="78"/>
      <c r="P40" s="79"/>
      <c r="Q40" s="78"/>
      <c r="R40" s="80"/>
      <c r="S40" s="24"/>
      <c r="T40" s="79">
        <f t="shared" ref="T40:T42" si="1">+S40-Q40</f>
        <v>0</v>
      </c>
      <c r="U40" s="306">
        <f>SUM(J19:J20)</f>
        <v>0</v>
      </c>
      <c r="V40" s="79">
        <f>+K20</f>
        <v>0</v>
      </c>
      <c r="W40" s="353">
        <f>(SUM(M19:M20)/2)</f>
        <v>0</v>
      </c>
    </row>
    <row r="41" spans="3:23" x14ac:dyDescent="0.2">
      <c r="C41" s="602" t="s">
        <v>186</v>
      </c>
      <c r="D41" s="603"/>
      <c r="E41" s="603"/>
      <c r="F41" s="604"/>
      <c r="G41" s="605"/>
      <c r="I41" s="94"/>
      <c r="J41" s="117"/>
      <c r="K41" s="61"/>
      <c r="L41" s="111"/>
      <c r="M41" s="346"/>
      <c r="N41" s="400"/>
      <c r="O41" s="316"/>
      <c r="P41" s="311"/>
      <c r="Q41" s="316"/>
      <c r="R41" s="317"/>
      <c r="S41" s="98"/>
      <c r="T41" s="321">
        <f t="shared" ref="T41" si="2">+S41-Q41</f>
        <v>0</v>
      </c>
      <c r="U41" s="322">
        <f>SUM(J21:J22)</f>
        <v>0</v>
      </c>
      <c r="V41" s="311">
        <f>+K22</f>
        <v>0</v>
      </c>
      <c r="W41" s="354">
        <f>(SUM(M21:M22)/2)</f>
        <v>0</v>
      </c>
    </row>
    <row r="42" spans="3:23" x14ac:dyDescent="0.2">
      <c r="C42" s="602" t="s">
        <v>39</v>
      </c>
      <c r="D42" s="603"/>
      <c r="E42" s="603"/>
      <c r="F42" s="604"/>
      <c r="G42" s="605"/>
      <c r="I42" s="94"/>
      <c r="J42" s="117"/>
      <c r="K42" s="61"/>
      <c r="L42" s="111"/>
      <c r="M42" s="346"/>
      <c r="N42" s="400"/>
      <c r="O42" s="32"/>
      <c r="P42" s="53"/>
      <c r="Q42" s="32"/>
      <c r="R42" s="63"/>
      <c r="S42" s="11"/>
      <c r="T42" s="53">
        <f t="shared" si="1"/>
        <v>0</v>
      </c>
      <c r="U42" s="304">
        <f>SUM(J23:J24)</f>
        <v>0</v>
      </c>
      <c r="V42" s="53">
        <f>+K24</f>
        <v>0</v>
      </c>
      <c r="W42" s="354">
        <f>(SUM(M23:M24)/2)</f>
        <v>0</v>
      </c>
    </row>
    <row r="43" spans="3:23" x14ac:dyDescent="0.2">
      <c r="C43" s="602" t="s">
        <v>116</v>
      </c>
      <c r="D43" s="603"/>
      <c r="E43" s="603"/>
      <c r="F43" s="604">
        <v>0</v>
      </c>
      <c r="G43" s="605"/>
      <c r="I43" s="94"/>
      <c r="J43" s="117"/>
      <c r="K43" s="61"/>
      <c r="L43" s="111"/>
      <c r="M43" s="346"/>
      <c r="N43" s="400"/>
      <c r="O43" s="32"/>
      <c r="P43" s="53"/>
      <c r="Q43" s="11"/>
      <c r="R43" s="63"/>
      <c r="S43" s="11"/>
      <c r="T43" s="53">
        <f>+S43-Q43</f>
        <v>0</v>
      </c>
      <c r="U43" s="304">
        <f>SUM(J25:J26)</f>
        <v>0</v>
      </c>
      <c r="V43" s="53">
        <f>+K26</f>
        <v>0</v>
      </c>
      <c r="W43" s="354">
        <f>(SUM(M25:M26)/2)</f>
        <v>0</v>
      </c>
    </row>
    <row r="44" spans="3:23" x14ac:dyDescent="0.2">
      <c r="C44" s="602" t="s">
        <v>40</v>
      </c>
      <c r="D44" s="603"/>
      <c r="E44" s="603"/>
      <c r="F44" s="604"/>
      <c r="G44" s="605"/>
      <c r="I44" s="94"/>
      <c r="J44" s="117"/>
      <c r="K44" s="61"/>
      <c r="L44" s="111"/>
      <c r="M44" s="346"/>
      <c r="O44" s="32"/>
      <c r="P44" s="53"/>
      <c r="Q44" s="32"/>
      <c r="R44" s="95"/>
      <c r="S44" s="11"/>
      <c r="T44" s="53">
        <f>+S44-Q44</f>
        <v>0</v>
      </c>
      <c r="U44" s="304">
        <f>SUM(J27:J28)</f>
        <v>0</v>
      </c>
      <c r="V44" s="53">
        <f>+K28</f>
        <v>0</v>
      </c>
      <c r="W44" s="354">
        <f>(SUM(M27:M28)/2)</f>
        <v>0</v>
      </c>
    </row>
    <row r="45" spans="3:23" ht="12.75" thickBot="1" x14ac:dyDescent="0.25">
      <c r="C45" s="602" t="s">
        <v>124</v>
      </c>
      <c r="D45" s="603"/>
      <c r="E45" s="603"/>
      <c r="F45" s="604">
        <v>0</v>
      </c>
      <c r="G45" s="605"/>
      <c r="I45" s="282"/>
      <c r="J45" s="285"/>
      <c r="K45" s="62"/>
      <c r="L45" s="283"/>
      <c r="M45" s="346"/>
      <c r="O45" s="32"/>
      <c r="P45" s="53"/>
      <c r="Q45" s="32"/>
      <c r="R45" s="95"/>
      <c r="S45" s="11"/>
      <c r="T45" s="53">
        <f>+S45-Q45</f>
        <v>0</v>
      </c>
      <c r="U45" s="304">
        <f>SUM(J29:J30)</f>
        <v>0</v>
      </c>
      <c r="V45" s="53">
        <f>+K30</f>
        <v>0</v>
      </c>
      <c r="W45" s="354">
        <f>(SUM(M29:M30)/2)</f>
        <v>0</v>
      </c>
    </row>
    <row r="46" spans="3:23" ht="13.5" thickBot="1" x14ac:dyDescent="0.25">
      <c r="C46" s="602" t="s">
        <v>224</v>
      </c>
      <c r="D46" s="603"/>
      <c r="E46" s="603"/>
      <c r="F46" s="606">
        <v>0</v>
      </c>
      <c r="G46" s="607"/>
      <c r="I46" s="597" t="s">
        <v>41</v>
      </c>
      <c r="J46" s="598"/>
      <c r="K46" s="632"/>
      <c r="L46" s="284">
        <f>SUM(L39:L45)</f>
        <v>0</v>
      </c>
      <c r="M46" s="347"/>
      <c r="O46" s="113"/>
      <c r="P46" s="264"/>
      <c r="Q46" s="113"/>
      <c r="R46" s="83"/>
      <c r="S46" s="81"/>
      <c r="T46" s="82">
        <f>+S46-Q46</f>
        <v>0</v>
      </c>
      <c r="U46" s="307">
        <f>SUM(J31:J32)</f>
        <v>0</v>
      </c>
      <c r="V46" s="55">
        <f>+K32</f>
        <v>0</v>
      </c>
      <c r="W46" s="355">
        <f>(SUM(M31:M32)/2)</f>
        <v>0</v>
      </c>
    </row>
    <row r="47" spans="3:23" ht="12.75" thickBot="1" x14ac:dyDescent="0.25">
      <c r="C47" s="593" t="s">
        <v>365</v>
      </c>
      <c r="D47" s="594"/>
      <c r="E47" s="594"/>
      <c r="F47" s="595"/>
      <c r="G47" s="596"/>
      <c r="R47" s="21"/>
      <c r="S47" s="21"/>
      <c r="T47" s="21"/>
      <c r="U47" s="139"/>
      <c r="V47" s="271"/>
    </row>
    <row r="48" spans="3:23" ht="13.5" thickBot="1" x14ac:dyDescent="0.25">
      <c r="C48" s="597" t="s">
        <v>42</v>
      </c>
      <c r="D48" s="598"/>
      <c r="E48" s="599"/>
      <c r="F48" s="600" t="e">
        <f>SUM(F38:G47)</f>
        <v>#N/A</v>
      </c>
      <c r="G48" s="601"/>
      <c r="R48" s="21"/>
      <c r="S48" s="21"/>
      <c r="T48" s="21"/>
      <c r="U48" s="139"/>
      <c r="V48" s="271"/>
    </row>
    <row r="49" spans="3:22" ht="12.75" thickBot="1" x14ac:dyDescent="0.25">
      <c r="P49" s="588" t="s">
        <v>48</v>
      </c>
      <c r="Q49" s="589"/>
      <c r="R49" s="590"/>
      <c r="S49" s="21"/>
      <c r="T49" s="21"/>
      <c r="U49" s="139"/>
      <c r="V49" s="271"/>
    </row>
    <row r="50" spans="3:22" x14ac:dyDescent="0.2">
      <c r="C50" s="246" t="s">
        <v>43</v>
      </c>
      <c r="D50" s="247"/>
      <c r="E50" s="247"/>
      <c r="F50" s="247"/>
      <c r="G50" s="247"/>
      <c r="H50" s="247"/>
      <c r="I50" s="247"/>
      <c r="J50" s="247"/>
      <c r="K50" s="247"/>
      <c r="L50" s="248"/>
      <c r="M50" s="251"/>
      <c r="P50" s="78">
        <v>1</v>
      </c>
      <c r="Q50" s="584" t="s">
        <v>49</v>
      </c>
      <c r="R50" s="585"/>
      <c r="S50" s="21"/>
      <c r="T50" s="21"/>
      <c r="U50" s="249"/>
    </row>
    <row r="51" spans="3:22" x14ac:dyDescent="0.2">
      <c r="C51" s="250"/>
      <c r="D51" s="251"/>
      <c r="E51" s="251"/>
      <c r="F51" s="251"/>
      <c r="G51" s="251"/>
      <c r="H51" s="251"/>
      <c r="I51" s="251"/>
      <c r="J51" s="251"/>
      <c r="K51" s="251"/>
      <c r="L51" s="252"/>
      <c r="M51" s="251"/>
      <c r="P51" s="32">
        <v>2</v>
      </c>
      <c r="Q51" s="586" t="s">
        <v>135</v>
      </c>
      <c r="R51" s="587"/>
      <c r="S51" s="21"/>
      <c r="T51" s="249"/>
    </row>
    <row r="52" spans="3:22" ht="12.75" thickBot="1" x14ac:dyDescent="0.25">
      <c r="C52" s="253"/>
      <c r="D52" s="254"/>
      <c r="E52" s="254"/>
      <c r="F52" s="254"/>
      <c r="G52" s="254"/>
      <c r="H52" s="254"/>
      <c r="I52" s="254"/>
      <c r="J52" s="254"/>
      <c r="K52" s="254"/>
      <c r="L52" s="255"/>
      <c r="M52" s="251"/>
      <c r="P52" s="32">
        <v>3</v>
      </c>
      <c r="Q52" s="586" t="s">
        <v>130</v>
      </c>
      <c r="R52" s="587"/>
      <c r="S52" s="21"/>
      <c r="T52" s="249"/>
    </row>
    <row r="53" spans="3:22" x14ac:dyDescent="0.2">
      <c r="P53" s="32">
        <v>4</v>
      </c>
      <c r="Q53" s="586" t="s">
        <v>228</v>
      </c>
      <c r="R53" s="587"/>
      <c r="S53" s="21"/>
      <c r="T53" s="249"/>
    </row>
    <row r="54" spans="3:22" ht="12.75" thickBot="1" x14ac:dyDescent="0.25">
      <c r="P54" s="32">
        <v>5</v>
      </c>
      <c r="Q54" s="586" t="s">
        <v>229</v>
      </c>
      <c r="R54" s="587"/>
      <c r="S54" s="21"/>
    </row>
    <row r="55" spans="3:22" ht="13.5" thickTop="1" thickBot="1" x14ac:dyDescent="0.25">
      <c r="D55" s="631" t="s">
        <v>44</v>
      </c>
      <c r="E55" s="631"/>
      <c r="F55" s="631"/>
      <c r="G55" s="631"/>
      <c r="H55" s="631"/>
      <c r="J55" s="631" t="s">
        <v>45</v>
      </c>
      <c r="K55" s="631"/>
      <c r="L55" s="631"/>
      <c r="M55" s="631"/>
      <c r="N55" s="631"/>
      <c r="P55" s="54">
        <v>6</v>
      </c>
      <c r="Q55" s="591" t="s">
        <v>230</v>
      </c>
      <c r="R55" s="592"/>
      <c r="S55" s="21"/>
      <c r="T55" s="21"/>
    </row>
    <row r="56" spans="3:22" x14ac:dyDescent="0.2">
      <c r="S56" s="21"/>
      <c r="T56" s="21"/>
    </row>
  </sheetData>
  <mergeCells count="54">
    <mergeCell ref="D55:H55"/>
    <mergeCell ref="J55:N55"/>
    <mergeCell ref="Q55:R55"/>
    <mergeCell ref="C48:E48"/>
    <mergeCell ref="F48:G48"/>
    <mergeCell ref="P49:R49"/>
    <mergeCell ref="Q53:R53"/>
    <mergeCell ref="Q54:R54"/>
    <mergeCell ref="Q51:R51"/>
    <mergeCell ref="Q52:R52"/>
    <mergeCell ref="Q50:R50"/>
    <mergeCell ref="I46:K46"/>
    <mergeCell ref="C42:E42"/>
    <mergeCell ref="F42:G42"/>
    <mergeCell ref="C43:E43"/>
    <mergeCell ref="F43:G43"/>
    <mergeCell ref="C44:E44"/>
    <mergeCell ref="F44:G44"/>
    <mergeCell ref="C47:E47"/>
    <mergeCell ref="F47:G47"/>
    <mergeCell ref="C39:E39"/>
    <mergeCell ref="F39:G39"/>
    <mergeCell ref="C40:E40"/>
    <mergeCell ref="F40:G40"/>
    <mergeCell ref="C41:E41"/>
    <mergeCell ref="F41:G41"/>
    <mergeCell ref="C45:E45"/>
    <mergeCell ref="F45:G45"/>
    <mergeCell ref="C46:E46"/>
    <mergeCell ref="F46:G46"/>
    <mergeCell ref="C37:G37"/>
    <mergeCell ref="I37:L37"/>
    <mergeCell ref="O37:P37"/>
    <mergeCell ref="Q37:S37"/>
    <mergeCell ref="C38:E38"/>
    <mergeCell ref="F38:G38"/>
    <mergeCell ref="D14:E14"/>
    <mergeCell ref="D15:E15"/>
    <mergeCell ref="D16:E16"/>
    <mergeCell ref="E34:E35"/>
    <mergeCell ref="F34:G34"/>
    <mergeCell ref="F35:G35"/>
    <mergeCell ref="D13:E13"/>
    <mergeCell ref="Q2:S2"/>
    <mergeCell ref="I3:O3"/>
    <mergeCell ref="Q3:S3"/>
    <mergeCell ref="I4:O4"/>
    <mergeCell ref="I5:O5"/>
    <mergeCell ref="Q5:S5"/>
    <mergeCell ref="I6:O6"/>
    <mergeCell ref="Q6:S6"/>
    <mergeCell ref="I9:O9"/>
    <mergeCell ref="L11:S11"/>
    <mergeCell ref="E12:F12"/>
  </mergeCells>
  <pageMargins left="0.19685039370078741" right="0.19685039370078741" top="0.35433070866141736" bottom="0.35433070866141736" header="0.31496062992125984" footer="0.31496062992125984"/>
  <pageSetup paperSize="9" scale="80" orientation="landscape" horizontalDpi="300" verticalDpi="30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Hoja7">
    <pageSetUpPr fitToPage="1"/>
  </sheetPr>
  <dimension ref="C1:W59"/>
  <sheetViews>
    <sheetView zoomScaleNormal="100" workbookViewId="0">
      <selection activeCell="I39" sqref="I39:L43"/>
    </sheetView>
  </sheetViews>
  <sheetFormatPr baseColWidth="10" defaultColWidth="9.140625" defaultRowHeight="12" x14ac:dyDescent="0.2"/>
  <cols>
    <col min="1" max="1" width="1.85546875" style="14" customWidth="1"/>
    <col min="2" max="2" width="5.28515625" style="14" customWidth="1"/>
    <col min="3" max="3" width="11.7109375" style="14" customWidth="1"/>
    <col min="4" max="4" width="11.42578125" style="14" customWidth="1"/>
    <col min="5" max="5" width="7.28515625" style="14" customWidth="1"/>
    <col min="6" max="6" width="8.85546875" style="14" customWidth="1"/>
    <col min="7" max="7" width="4" style="14" bestFit="1" customWidth="1"/>
    <col min="8" max="8" width="10.5703125" style="14" customWidth="1"/>
    <col min="9" max="9" width="10.28515625" style="14" customWidth="1"/>
    <col min="10" max="10" width="10" style="14" customWidth="1"/>
    <col min="11" max="11" width="9.5703125" style="14" customWidth="1"/>
    <col min="12" max="13" width="13" style="14" customWidth="1"/>
    <col min="14" max="14" width="9.7109375" style="14" customWidth="1"/>
    <col min="15" max="15" width="10.140625" style="14" customWidth="1"/>
    <col min="16" max="16" width="12.28515625" style="14" customWidth="1"/>
    <col min="17" max="17" width="10.140625" style="14" customWidth="1"/>
    <col min="18" max="18" width="10.85546875" style="14" hidden="1" customWidth="1"/>
    <col min="19" max="19" width="11.5703125" style="14" bestFit="1" customWidth="1"/>
    <col min="20" max="20" width="14" style="14" bestFit="1" customWidth="1"/>
    <col min="21" max="21" width="10.28515625" style="14" customWidth="1"/>
    <col min="22" max="22" width="7.28515625" style="14" customWidth="1"/>
    <col min="23" max="23" width="11" style="14" customWidth="1"/>
    <col min="24" max="24" width="9.140625" style="14" customWidth="1"/>
    <col min="25" max="259" width="9.140625" style="14"/>
    <col min="260" max="260" width="5.7109375" style="14" customWidth="1"/>
    <col min="261" max="261" width="13.140625" style="14" customWidth="1"/>
    <col min="262" max="262" width="12.28515625" style="14" customWidth="1"/>
    <col min="263" max="263" width="8.85546875" style="14" customWidth="1"/>
    <col min="264" max="264" width="10.85546875" style="14" customWidth="1"/>
    <col min="265" max="265" width="2.85546875" style="14" customWidth="1"/>
    <col min="266" max="266" width="12.140625" style="14" customWidth="1"/>
    <col min="267" max="267" width="10.140625" style="14" customWidth="1"/>
    <col min="268" max="268" width="11.7109375" style="14" customWidth="1"/>
    <col min="269" max="269" width="11.42578125" style="14" customWidth="1"/>
    <col min="270" max="270" width="12.7109375" style="14" customWidth="1"/>
    <col min="271" max="271" width="11.42578125" style="14" customWidth="1"/>
    <col min="272" max="272" width="10.7109375" style="14" customWidth="1"/>
    <col min="273" max="273" width="10.5703125" style="14" customWidth="1"/>
    <col min="274" max="274" width="11.28515625" style="14" customWidth="1"/>
    <col min="275" max="275" width="9.7109375" style="14" customWidth="1"/>
    <col min="276" max="276" width="12" style="14" customWidth="1"/>
    <col min="277" max="277" width="11.28515625" style="14" customWidth="1"/>
    <col min="278" max="515" width="9.140625" style="14"/>
    <col min="516" max="516" width="5.7109375" style="14" customWidth="1"/>
    <col min="517" max="517" width="13.140625" style="14" customWidth="1"/>
    <col min="518" max="518" width="12.28515625" style="14" customWidth="1"/>
    <col min="519" max="519" width="8.85546875" style="14" customWidth="1"/>
    <col min="520" max="520" width="10.85546875" style="14" customWidth="1"/>
    <col min="521" max="521" width="2.85546875" style="14" customWidth="1"/>
    <col min="522" max="522" width="12.140625" style="14" customWidth="1"/>
    <col min="523" max="523" width="10.140625" style="14" customWidth="1"/>
    <col min="524" max="524" width="11.7109375" style="14" customWidth="1"/>
    <col min="525" max="525" width="11.42578125" style="14" customWidth="1"/>
    <col min="526" max="526" width="12.7109375" style="14" customWidth="1"/>
    <col min="527" max="527" width="11.42578125" style="14" customWidth="1"/>
    <col min="528" max="528" width="10.7109375" style="14" customWidth="1"/>
    <col min="529" max="529" width="10.5703125" style="14" customWidth="1"/>
    <col min="530" max="530" width="11.28515625" style="14" customWidth="1"/>
    <col min="531" max="531" width="9.7109375" style="14" customWidth="1"/>
    <col min="532" max="532" width="12" style="14" customWidth="1"/>
    <col min="533" max="533" width="11.28515625" style="14" customWidth="1"/>
    <col min="534" max="771" width="9.140625" style="14"/>
    <col min="772" max="772" width="5.7109375" style="14" customWidth="1"/>
    <col min="773" max="773" width="13.140625" style="14" customWidth="1"/>
    <col min="774" max="774" width="12.28515625" style="14" customWidth="1"/>
    <col min="775" max="775" width="8.85546875" style="14" customWidth="1"/>
    <col min="776" max="776" width="10.85546875" style="14" customWidth="1"/>
    <col min="777" max="777" width="2.85546875" style="14" customWidth="1"/>
    <col min="778" max="778" width="12.140625" style="14" customWidth="1"/>
    <col min="779" max="779" width="10.140625" style="14" customWidth="1"/>
    <col min="780" max="780" width="11.7109375" style="14" customWidth="1"/>
    <col min="781" max="781" width="11.42578125" style="14" customWidth="1"/>
    <col min="782" max="782" width="12.7109375" style="14" customWidth="1"/>
    <col min="783" max="783" width="11.42578125" style="14" customWidth="1"/>
    <col min="784" max="784" width="10.7109375" style="14" customWidth="1"/>
    <col min="785" max="785" width="10.5703125" style="14" customWidth="1"/>
    <col min="786" max="786" width="11.28515625" style="14" customWidth="1"/>
    <col min="787" max="787" width="9.7109375" style="14" customWidth="1"/>
    <col min="788" max="788" width="12" style="14" customWidth="1"/>
    <col min="789" max="789" width="11.28515625" style="14" customWidth="1"/>
    <col min="790" max="1027" width="9.140625" style="14"/>
    <col min="1028" max="1028" width="5.7109375" style="14" customWidth="1"/>
    <col min="1029" max="1029" width="13.140625" style="14" customWidth="1"/>
    <col min="1030" max="1030" width="12.28515625" style="14" customWidth="1"/>
    <col min="1031" max="1031" width="8.85546875" style="14" customWidth="1"/>
    <col min="1032" max="1032" width="10.85546875" style="14" customWidth="1"/>
    <col min="1033" max="1033" width="2.85546875" style="14" customWidth="1"/>
    <col min="1034" max="1034" width="12.140625" style="14" customWidth="1"/>
    <col min="1035" max="1035" width="10.140625" style="14" customWidth="1"/>
    <col min="1036" max="1036" width="11.7109375" style="14" customWidth="1"/>
    <col min="1037" max="1037" width="11.42578125" style="14" customWidth="1"/>
    <col min="1038" max="1038" width="12.7109375" style="14" customWidth="1"/>
    <col min="1039" max="1039" width="11.42578125" style="14" customWidth="1"/>
    <col min="1040" max="1040" width="10.7109375" style="14" customWidth="1"/>
    <col min="1041" max="1041" width="10.5703125" style="14" customWidth="1"/>
    <col min="1042" max="1042" width="11.28515625" style="14" customWidth="1"/>
    <col min="1043" max="1043" width="9.7109375" style="14" customWidth="1"/>
    <col min="1044" max="1044" width="12" style="14" customWidth="1"/>
    <col min="1045" max="1045" width="11.28515625" style="14" customWidth="1"/>
    <col min="1046" max="1283" width="9.140625" style="14"/>
    <col min="1284" max="1284" width="5.7109375" style="14" customWidth="1"/>
    <col min="1285" max="1285" width="13.140625" style="14" customWidth="1"/>
    <col min="1286" max="1286" width="12.28515625" style="14" customWidth="1"/>
    <col min="1287" max="1287" width="8.85546875" style="14" customWidth="1"/>
    <col min="1288" max="1288" width="10.85546875" style="14" customWidth="1"/>
    <col min="1289" max="1289" width="2.85546875" style="14" customWidth="1"/>
    <col min="1290" max="1290" width="12.140625" style="14" customWidth="1"/>
    <col min="1291" max="1291" width="10.140625" style="14" customWidth="1"/>
    <col min="1292" max="1292" width="11.7109375" style="14" customWidth="1"/>
    <col min="1293" max="1293" width="11.42578125" style="14" customWidth="1"/>
    <col min="1294" max="1294" width="12.7109375" style="14" customWidth="1"/>
    <col min="1295" max="1295" width="11.42578125" style="14" customWidth="1"/>
    <col min="1296" max="1296" width="10.7109375" style="14" customWidth="1"/>
    <col min="1297" max="1297" width="10.5703125" style="14" customWidth="1"/>
    <col min="1298" max="1298" width="11.28515625" style="14" customWidth="1"/>
    <col min="1299" max="1299" width="9.7109375" style="14" customWidth="1"/>
    <col min="1300" max="1300" width="12" style="14" customWidth="1"/>
    <col min="1301" max="1301" width="11.28515625" style="14" customWidth="1"/>
    <col min="1302" max="1539" width="9.140625" style="14"/>
    <col min="1540" max="1540" width="5.7109375" style="14" customWidth="1"/>
    <col min="1541" max="1541" width="13.140625" style="14" customWidth="1"/>
    <col min="1542" max="1542" width="12.28515625" style="14" customWidth="1"/>
    <col min="1543" max="1543" width="8.85546875" style="14" customWidth="1"/>
    <col min="1544" max="1544" width="10.85546875" style="14" customWidth="1"/>
    <col min="1545" max="1545" width="2.85546875" style="14" customWidth="1"/>
    <col min="1546" max="1546" width="12.140625" style="14" customWidth="1"/>
    <col min="1547" max="1547" width="10.140625" style="14" customWidth="1"/>
    <col min="1548" max="1548" width="11.7109375" style="14" customWidth="1"/>
    <col min="1549" max="1549" width="11.42578125" style="14" customWidth="1"/>
    <col min="1550" max="1550" width="12.7109375" style="14" customWidth="1"/>
    <col min="1551" max="1551" width="11.42578125" style="14" customWidth="1"/>
    <col min="1552" max="1552" width="10.7109375" style="14" customWidth="1"/>
    <col min="1553" max="1553" width="10.5703125" style="14" customWidth="1"/>
    <col min="1554" max="1554" width="11.28515625" style="14" customWidth="1"/>
    <col min="1555" max="1555" width="9.7109375" style="14" customWidth="1"/>
    <col min="1556" max="1556" width="12" style="14" customWidth="1"/>
    <col min="1557" max="1557" width="11.28515625" style="14" customWidth="1"/>
    <col min="1558" max="1795" width="9.140625" style="14"/>
    <col min="1796" max="1796" width="5.7109375" style="14" customWidth="1"/>
    <col min="1797" max="1797" width="13.140625" style="14" customWidth="1"/>
    <col min="1798" max="1798" width="12.28515625" style="14" customWidth="1"/>
    <col min="1799" max="1799" width="8.85546875" style="14" customWidth="1"/>
    <col min="1800" max="1800" width="10.85546875" style="14" customWidth="1"/>
    <col min="1801" max="1801" width="2.85546875" style="14" customWidth="1"/>
    <col min="1802" max="1802" width="12.140625" style="14" customWidth="1"/>
    <col min="1803" max="1803" width="10.140625" style="14" customWidth="1"/>
    <col min="1804" max="1804" width="11.7109375" style="14" customWidth="1"/>
    <col min="1805" max="1805" width="11.42578125" style="14" customWidth="1"/>
    <col min="1806" max="1806" width="12.7109375" style="14" customWidth="1"/>
    <col min="1807" max="1807" width="11.42578125" style="14" customWidth="1"/>
    <col min="1808" max="1808" width="10.7109375" style="14" customWidth="1"/>
    <col min="1809" max="1809" width="10.5703125" style="14" customWidth="1"/>
    <col min="1810" max="1810" width="11.28515625" style="14" customWidth="1"/>
    <col min="1811" max="1811" width="9.7109375" style="14" customWidth="1"/>
    <col min="1812" max="1812" width="12" style="14" customWidth="1"/>
    <col min="1813" max="1813" width="11.28515625" style="14" customWidth="1"/>
    <col min="1814" max="2051" width="9.140625" style="14"/>
    <col min="2052" max="2052" width="5.7109375" style="14" customWidth="1"/>
    <col min="2053" max="2053" width="13.140625" style="14" customWidth="1"/>
    <col min="2054" max="2054" width="12.28515625" style="14" customWidth="1"/>
    <col min="2055" max="2055" width="8.85546875" style="14" customWidth="1"/>
    <col min="2056" max="2056" width="10.85546875" style="14" customWidth="1"/>
    <col min="2057" max="2057" width="2.85546875" style="14" customWidth="1"/>
    <col min="2058" max="2058" width="12.140625" style="14" customWidth="1"/>
    <col min="2059" max="2059" width="10.140625" style="14" customWidth="1"/>
    <col min="2060" max="2060" width="11.7109375" style="14" customWidth="1"/>
    <col min="2061" max="2061" width="11.42578125" style="14" customWidth="1"/>
    <col min="2062" max="2062" width="12.7109375" style="14" customWidth="1"/>
    <col min="2063" max="2063" width="11.42578125" style="14" customWidth="1"/>
    <col min="2064" max="2064" width="10.7109375" style="14" customWidth="1"/>
    <col min="2065" max="2065" width="10.5703125" style="14" customWidth="1"/>
    <col min="2066" max="2066" width="11.28515625" style="14" customWidth="1"/>
    <col min="2067" max="2067" width="9.7109375" style="14" customWidth="1"/>
    <col min="2068" max="2068" width="12" style="14" customWidth="1"/>
    <col min="2069" max="2069" width="11.28515625" style="14" customWidth="1"/>
    <col min="2070" max="2307" width="9.140625" style="14"/>
    <col min="2308" max="2308" width="5.7109375" style="14" customWidth="1"/>
    <col min="2309" max="2309" width="13.140625" style="14" customWidth="1"/>
    <col min="2310" max="2310" width="12.28515625" style="14" customWidth="1"/>
    <col min="2311" max="2311" width="8.85546875" style="14" customWidth="1"/>
    <col min="2312" max="2312" width="10.85546875" style="14" customWidth="1"/>
    <col min="2313" max="2313" width="2.85546875" style="14" customWidth="1"/>
    <col min="2314" max="2314" width="12.140625" style="14" customWidth="1"/>
    <col min="2315" max="2315" width="10.140625" style="14" customWidth="1"/>
    <col min="2316" max="2316" width="11.7109375" style="14" customWidth="1"/>
    <col min="2317" max="2317" width="11.42578125" style="14" customWidth="1"/>
    <col min="2318" max="2318" width="12.7109375" style="14" customWidth="1"/>
    <col min="2319" max="2319" width="11.42578125" style="14" customWidth="1"/>
    <col min="2320" max="2320" width="10.7109375" style="14" customWidth="1"/>
    <col min="2321" max="2321" width="10.5703125" style="14" customWidth="1"/>
    <col min="2322" max="2322" width="11.28515625" style="14" customWidth="1"/>
    <col min="2323" max="2323" width="9.7109375" style="14" customWidth="1"/>
    <col min="2324" max="2324" width="12" style="14" customWidth="1"/>
    <col min="2325" max="2325" width="11.28515625" style="14" customWidth="1"/>
    <col min="2326" max="2563" width="9.140625" style="14"/>
    <col min="2564" max="2564" width="5.7109375" style="14" customWidth="1"/>
    <col min="2565" max="2565" width="13.140625" style="14" customWidth="1"/>
    <col min="2566" max="2566" width="12.28515625" style="14" customWidth="1"/>
    <col min="2567" max="2567" width="8.85546875" style="14" customWidth="1"/>
    <col min="2568" max="2568" width="10.85546875" style="14" customWidth="1"/>
    <col min="2569" max="2569" width="2.85546875" style="14" customWidth="1"/>
    <col min="2570" max="2570" width="12.140625" style="14" customWidth="1"/>
    <col min="2571" max="2571" width="10.140625" style="14" customWidth="1"/>
    <col min="2572" max="2572" width="11.7109375" style="14" customWidth="1"/>
    <col min="2573" max="2573" width="11.42578125" style="14" customWidth="1"/>
    <col min="2574" max="2574" width="12.7109375" style="14" customWidth="1"/>
    <col min="2575" max="2575" width="11.42578125" style="14" customWidth="1"/>
    <col min="2576" max="2576" width="10.7109375" style="14" customWidth="1"/>
    <col min="2577" max="2577" width="10.5703125" style="14" customWidth="1"/>
    <col min="2578" max="2578" width="11.28515625" style="14" customWidth="1"/>
    <col min="2579" max="2579" width="9.7109375" style="14" customWidth="1"/>
    <col min="2580" max="2580" width="12" style="14" customWidth="1"/>
    <col min="2581" max="2581" width="11.28515625" style="14" customWidth="1"/>
    <col min="2582" max="2819" width="9.140625" style="14"/>
    <col min="2820" max="2820" width="5.7109375" style="14" customWidth="1"/>
    <col min="2821" max="2821" width="13.140625" style="14" customWidth="1"/>
    <col min="2822" max="2822" width="12.28515625" style="14" customWidth="1"/>
    <col min="2823" max="2823" width="8.85546875" style="14" customWidth="1"/>
    <col min="2824" max="2824" width="10.85546875" style="14" customWidth="1"/>
    <col min="2825" max="2825" width="2.85546875" style="14" customWidth="1"/>
    <col min="2826" max="2826" width="12.140625" style="14" customWidth="1"/>
    <col min="2827" max="2827" width="10.140625" style="14" customWidth="1"/>
    <col min="2828" max="2828" width="11.7109375" style="14" customWidth="1"/>
    <col min="2829" max="2829" width="11.42578125" style="14" customWidth="1"/>
    <col min="2830" max="2830" width="12.7109375" style="14" customWidth="1"/>
    <col min="2831" max="2831" width="11.42578125" style="14" customWidth="1"/>
    <col min="2832" max="2832" width="10.7109375" style="14" customWidth="1"/>
    <col min="2833" max="2833" width="10.5703125" style="14" customWidth="1"/>
    <col min="2834" max="2834" width="11.28515625" style="14" customWidth="1"/>
    <col min="2835" max="2835" width="9.7109375" style="14" customWidth="1"/>
    <col min="2836" max="2836" width="12" style="14" customWidth="1"/>
    <col min="2837" max="2837" width="11.28515625" style="14" customWidth="1"/>
    <col min="2838" max="3075" width="9.140625" style="14"/>
    <col min="3076" max="3076" width="5.7109375" style="14" customWidth="1"/>
    <col min="3077" max="3077" width="13.140625" style="14" customWidth="1"/>
    <col min="3078" max="3078" width="12.28515625" style="14" customWidth="1"/>
    <col min="3079" max="3079" width="8.85546875" style="14" customWidth="1"/>
    <col min="3080" max="3080" width="10.85546875" style="14" customWidth="1"/>
    <col min="3081" max="3081" width="2.85546875" style="14" customWidth="1"/>
    <col min="3082" max="3082" width="12.140625" style="14" customWidth="1"/>
    <col min="3083" max="3083" width="10.140625" style="14" customWidth="1"/>
    <col min="3084" max="3084" width="11.7109375" style="14" customWidth="1"/>
    <col min="3085" max="3085" width="11.42578125" style="14" customWidth="1"/>
    <col min="3086" max="3086" width="12.7109375" style="14" customWidth="1"/>
    <col min="3087" max="3087" width="11.42578125" style="14" customWidth="1"/>
    <col min="3088" max="3088" width="10.7109375" style="14" customWidth="1"/>
    <col min="3089" max="3089" width="10.5703125" style="14" customWidth="1"/>
    <col min="3090" max="3090" width="11.28515625" style="14" customWidth="1"/>
    <col min="3091" max="3091" width="9.7109375" style="14" customWidth="1"/>
    <col min="3092" max="3092" width="12" style="14" customWidth="1"/>
    <col min="3093" max="3093" width="11.28515625" style="14" customWidth="1"/>
    <col min="3094" max="3331" width="9.140625" style="14"/>
    <col min="3332" max="3332" width="5.7109375" style="14" customWidth="1"/>
    <col min="3333" max="3333" width="13.140625" style="14" customWidth="1"/>
    <col min="3334" max="3334" width="12.28515625" style="14" customWidth="1"/>
    <col min="3335" max="3335" width="8.85546875" style="14" customWidth="1"/>
    <col min="3336" max="3336" width="10.85546875" style="14" customWidth="1"/>
    <col min="3337" max="3337" width="2.85546875" style="14" customWidth="1"/>
    <col min="3338" max="3338" width="12.140625" style="14" customWidth="1"/>
    <col min="3339" max="3339" width="10.140625" style="14" customWidth="1"/>
    <col min="3340" max="3340" width="11.7109375" style="14" customWidth="1"/>
    <col min="3341" max="3341" width="11.42578125" style="14" customWidth="1"/>
    <col min="3342" max="3342" width="12.7109375" style="14" customWidth="1"/>
    <col min="3343" max="3343" width="11.42578125" style="14" customWidth="1"/>
    <col min="3344" max="3344" width="10.7109375" style="14" customWidth="1"/>
    <col min="3345" max="3345" width="10.5703125" style="14" customWidth="1"/>
    <col min="3346" max="3346" width="11.28515625" style="14" customWidth="1"/>
    <col min="3347" max="3347" width="9.7109375" style="14" customWidth="1"/>
    <col min="3348" max="3348" width="12" style="14" customWidth="1"/>
    <col min="3349" max="3349" width="11.28515625" style="14" customWidth="1"/>
    <col min="3350" max="3587" width="9.140625" style="14"/>
    <col min="3588" max="3588" width="5.7109375" style="14" customWidth="1"/>
    <col min="3589" max="3589" width="13.140625" style="14" customWidth="1"/>
    <col min="3590" max="3590" width="12.28515625" style="14" customWidth="1"/>
    <col min="3591" max="3591" width="8.85546875" style="14" customWidth="1"/>
    <col min="3592" max="3592" width="10.85546875" style="14" customWidth="1"/>
    <col min="3593" max="3593" width="2.85546875" style="14" customWidth="1"/>
    <col min="3594" max="3594" width="12.140625" style="14" customWidth="1"/>
    <col min="3595" max="3595" width="10.140625" style="14" customWidth="1"/>
    <col min="3596" max="3596" width="11.7109375" style="14" customWidth="1"/>
    <col min="3597" max="3597" width="11.42578125" style="14" customWidth="1"/>
    <col min="3598" max="3598" width="12.7109375" style="14" customWidth="1"/>
    <col min="3599" max="3599" width="11.42578125" style="14" customWidth="1"/>
    <col min="3600" max="3600" width="10.7109375" style="14" customWidth="1"/>
    <col min="3601" max="3601" width="10.5703125" style="14" customWidth="1"/>
    <col min="3602" max="3602" width="11.28515625" style="14" customWidth="1"/>
    <col min="3603" max="3603" width="9.7109375" style="14" customWidth="1"/>
    <col min="3604" max="3604" width="12" style="14" customWidth="1"/>
    <col min="3605" max="3605" width="11.28515625" style="14" customWidth="1"/>
    <col min="3606" max="3843" width="9.140625" style="14"/>
    <col min="3844" max="3844" width="5.7109375" style="14" customWidth="1"/>
    <col min="3845" max="3845" width="13.140625" style="14" customWidth="1"/>
    <col min="3846" max="3846" width="12.28515625" style="14" customWidth="1"/>
    <col min="3847" max="3847" width="8.85546875" style="14" customWidth="1"/>
    <col min="3848" max="3848" width="10.85546875" style="14" customWidth="1"/>
    <col min="3849" max="3849" width="2.85546875" style="14" customWidth="1"/>
    <col min="3850" max="3850" width="12.140625" style="14" customWidth="1"/>
    <col min="3851" max="3851" width="10.140625" style="14" customWidth="1"/>
    <col min="3852" max="3852" width="11.7109375" style="14" customWidth="1"/>
    <col min="3853" max="3853" width="11.42578125" style="14" customWidth="1"/>
    <col min="3854" max="3854" width="12.7109375" style="14" customWidth="1"/>
    <col min="3855" max="3855" width="11.42578125" style="14" customWidth="1"/>
    <col min="3856" max="3856" width="10.7109375" style="14" customWidth="1"/>
    <col min="3857" max="3857" width="10.5703125" style="14" customWidth="1"/>
    <col min="3858" max="3858" width="11.28515625" style="14" customWidth="1"/>
    <col min="3859" max="3859" width="9.7109375" style="14" customWidth="1"/>
    <col min="3860" max="3860" width="12" style="14" customWidth="1"/>
    <col min="3861" max="3861" width="11.28515625" style="14" customWidth="1"/>
    <col min="3862" max="4099" width="9.140625" style="14"/>
    <col min="4100" max="4100" width="5.7109375" style="14" customWidth="1"/>
    <col min="4101" max="4101" width="13.140625" style="14" customWidth="1"/>
    <col min="4102" max="4102" width="12.28515625" style="14" customWidth="1"/>
    <col min="4103" max="4103" width="8.85546875" style="14" customWidth="1"/>
    <col min="4104" max="4104" width="10.85546875" style="14" customWidth="1"/>
    <col min="4105" max="4105" width="2.85546875" style="14" customWidth="1"/>
    <col min="4106" max="4106" width="12.140625" style="14" customWidth="1"/>
    <col min="4107" max="4107" width="10.140625" style="14" customWidth="1"/>
    <col min="4108" max="4108" width="11.7109375" style="14" customWidth="1"/>
    <col min="4109" max="4109" width="11.42578125" style="14" customWidth="1"/>
    <col min="4110" max="4110" width="12.7109375" style="14" customWidth="1"/>
    <col min="4111" max="4111" width="11.42578125" style="14" customWidth="1"/>
    <col min="4112" max="4112" width="10.7109375" style="14" customWidth="1"/>
    <col min="4113" max="4113" width="10.5703125" style="14" customWidth="1"/>
    <col min="4114" max="4114" width="11.28515625" style="14" customWidth="1"/>
    <col min="4115" max="4115" width="9.7109375" style="14" customWidth="1"/>
    <col min="4116" max="4116" width="12" style="14" customWidth="1"/>
    <col min="4117" max="4117" width="11.28515625" style="14" customWidth="1"/>
    <col min="4118" max="4355" width="9.140625" style="14"/>
    <col min="4356" max="4356" width="5.7109375" style="14" customWidth="1"/>
    <col min="4357" max="4357" width="13.140625" style="14" customWidth="1"/>
    <col min="4358" max="4358" width="12.28515625" style="14" customWidth="1"/>
    <col min="4359" max="4359" width="8.85546875" style="14" customWidth="1"/>
    <col min="4360" max="4360" width="10.85546875" style="14" customWidth="1"/>
    <col min="4361" max="4361" width="2.85546875" style="14" customWidth="1"/>
    <col min="4362" max="4362" width="12.140625" style="14" customWidth="1"/>
    <col min="4363" max="4363" width="10.140625" style="14" customWidth="1"/>
    <col min="4364" max="4364" width="11.7109375" style="14" customWidth="1"/>
    <col min="4365" max="4365" width="11.42578125" style="14" customWidth="1"/>
    <col min="4366" max="4366" width="12.7109375" style="14" customWidth="1"/>
    <col min="4367" max="4367" width="11.42578125" style="14" customWidth="1"/>
    <col min="4368" max="4368" width="10.7109375" style="14" customWidth="1"/>
    <col min="4369" max="4369" width="10.5703125" style="14" customWidth="1"/>
    <col min="4370" max="4370" width="11.28515625" style="14" customWidth="1"/>
    <col min="4371" max="4371" width="9.7109375" style="14" customWidth="1"/>
    <col min="4372" max="4372" width="12" style="14" customWidth="1"/>
    <col min="4373" max="4373" width="11.28515625" style="14" customWidth="1"/>
    <col min="4374" max="4611" width="9.140625" style="14"/>
    <col min="4612" max="4612" width="5.7109375" style="14" customWidth="1"/>
    <col min="4613" max="4613" width="13.140625" style="14" customWidth="1"/>
    <col min="4614" max="4614" width="12.28515625" style="14" customWidth="1"/>
    <col min="4615" max="4615" width="8.85546875" style="14" customWidth="1"/>
    <col min="4616" max="4616" width="10.85546875" style="14" customWidth="1"/>
    <col min="4617" max="4617" width="2.85546875" style="14" customWidth="1"/>
    <col min="4618" max="4618" width="12.140625" style="14" customWidth="1"/>
    <col min="4619" max="4619" width="10.140625" style="14" customWidth="1"/>
    <col min="4620" max="4620" width="11.7109375" style="14" customWidth="1"/>
    <col min="4621" max="4621" width="11.42578125" style="14" customWidth="1"/>
    <col min="4622" max="4622" width="12.7109375" style="14" customWidth="1"/>
    <col min="4623" max="4623" width="11.42578125" style="14" customWidth="1"/>
    <col min="4624" max="4624" width="10.7109375" style="14" customWidth="1"/>
    <col min="4625" max="4625" width="10.5703125" style="14" customWidth="1"/>
    <col min="4626" max="4626" width="11.28515625" style="14" customWidth="1"/>
    <col min="4627" max="4627" width="9.7109375" style="14" customWidth="1"/>
    <col min="4628" max="4628" width="12" style="14" customWidth="1"/>
    <col min="4629" max="4629" width="11.28515625" style="14" customWidth="1"/>
    <col min="4630" max="4867" width="9.140625" style="14"/>
    <col min="4868" max="4868" width="5.7109375" style="14" customWidth="1"/>
    <col min="4869" max="4869" width="13.140625" style="14" customWidth="1"/>
    <col min="4870" max="4870" width="12.28515625" style="14" customWidth="1"/>
    <col min="4871" max="4871" width="8.85546875" style="14" customWidth="1"/>
    <col min="4872" max="4872" width="10.85546875" style="14" customWidth="1"/>
    <col min="4873" max="4873" width="2.85546875" style="14" customWidth="1"/>
    <col min="4874" max="4874" width="12.140625" style="14" customWidth="1"/>
    <col min="4875" max="4875" width="10.140625" style="14" customWidth="1"/>
    <col min="4876" max="4876" width="11.7109375" style="14" customWidth="1"/>
    <col min="4877" max="4877" width="11.42578125" style="14" customWidth="1"/>
    <col min="4878" max="4878" width="12.7109375" style="14" customWidth="1"/>
    <col min="4879" max="4879" width="11.42578125" style="14" customWidth="1"/>
    <col min="4880" max="4880" width="10.7109375" style="14" customWidth="1"/>
    <col min="4881" max="4881" width="10.5703125" style="14" customWidth="1"/>
    <col min="4882" max="4882" width="11.28515625" style="14" customWidth="1"/>
    <col min="4883" max="4883" width="9.7109375" style="14" customWidth="1"/>
    <col min="4884" max="4884" width="12" style="14" customWidth="1"/>
    <col min="4885" max="4885" width="11.28515625" style="14" customWidth="1"/>
    <col min="4886" max="5123" width="9.140625" style="14"/>
    <col min="5124" max="5124" width="5.7109375" style="14" customWidth="1"/>
    <col min="5125" max="5125" width="13.140625" style="14" customWidth="1"/>
    <col min="5126" max="5126" width="12.28515625" style="14" customWidth="1"/>
    <col min="5127" max="5127" width="8.85546875" style="14" customWidth="1"/>
    <col min="5128" max="5128" width="10.85546875" style="14" customWidth="1"/>
    <col min="5129" max="5129" width="2.85546875" style="14" customWidth="1"/>
    <col min="5130" max="5130" width="12.140625" style="14" customWidth="1"/>
    <col min="5131" max="5131" width="10.140625" style="14" customWidth="1"/>
    <col min="5132" max="5132" width="11.7109375" style="14" customWidth="1"/>
    <col min="5133" max="5133" width="11.42578125" style="14" customWidth="1"/>
    <col min="5134" max="5134" width="12.7109375" style="14" customWidth="1"/>
    <col min="5135" max="5135" width="11.42578125" style="14" customWidth="1"/>
    <col min="5136" max="5136" width="10.7109375" style="14" customWidth="1"/>
    <col min="5137" max="5137" width="10.5703125" style="14" customWidth="1"/>
    <col min="5138" max="5138" width="11.28515625" style="14" customWidth="1"/>
    <col min="5139" max="5139" width="9.7109375" style="14" customWidth="1"/>
    <col min="5140" max="5140" width="12" style="14" customWidth="1"/>
    <col min="5141" max="5141" width="11.28515625" style="14" customWidth="1"/>
    <col min="5142" max="5379" width="9.140625" style="14"/>
    <col min="5380" max="5380" width="5.7109375" style="14" customWidth="1"/>
    <col min="5381" max="5381" width="13.140625" style="14" customWidth="1"/>
    <col min="5382" max="5382" width="12.28515625" style="14" customWidth="1"/>
    <col min="5383" max="5383" width="8.85546875" style="14" customWidth="1"/>
    <col min="5384" max="5384" width="10.85546875" style="14" customWidth="1"/>
    <col min="5385" max="5385" width="2.85546875" style="14" customWidth="1"/>
    <col min="5386" max="5386" width="12.140625" style="14" customWidth="1"/>
    <col min="5387" max="5387" width="10.140625" style="14" customWidth="1"/>
    <col min="5388" max="5388" width="11.7109375" style="14" customWidth="1"/>
    <col min="5389" max="5389" width="11.42578125" style="14" customWidth="1"/>
    <col min="5390" max="5390" width="12.7109375" style="14" customWidth="1"/>
    <col min="5391" max="5391" width="11.42578125" style="14" customWidth="1"/>
    <col min="5392" max="5392" width="10.7109375" style="14" customWidth="1"/>
    <col min="5393" max="5393" width="10.5703125" style="14" customWidth="1"/>
    <col min="5394" max="5394" width="11.28515625" style="14" customWidth="1"/>
    <col min="5395" max="5395" width="9.7109375" style="14" customWidth="1"/>
    <col min="5396" max="5396" width="12" style="14" customWidth="1"/>
    <col min="5397" max="5397" width="11.28515625" style="14" customWidth="1"/>
    <col min="5398" max="5635" width="9.140625" style="14"/>
    <col min="5636" max="5636" width="5.7109375" style="14" customWidth="1"/>
    <col min="5637" max="5637" width="13.140625" style="14" customWidth="1"/>
    <col min="5638" max="5638" width="12.28515625" style="14" customWidth="1"/>
    <col min="5639" max="5639" width="8.85546875" style="14" customWidth="1"/>
    <col min="5640" max="5640" width="10.85546875" style="14" customWidth="1"/>
    <col min="5641" max="5641" width="2.85546875" style="14" customWidth="1"/>
    <col min="5642" max="5642" width="12.140625" style="14" customWidth="1"/>
    <col min="5643" max="5643" width="10.140625" style="14" customWidth="1"/>
    <col min="5644" max="5644" width="11.7109375" style="14" customWidth="1"/>
    <col min="5645" max="5645" width="11.42578125" style="14" customWidth="1"/>
    <col min="5646" max="5646" width="12.7109375" style="14" customWidth="1"/>
    <col min="5647" max="5647" width="11.42578125" style="14" customWidth="1"/>
    <col min="5648" max="5648" width="10.7109375" style="14" customWidth="1"/>
    <col min="5649" max="5649" width="10.5703125" style="14" customWidth="1"/>
    <col min="5650" max="5650" width="11.28515625" style="14" customWidth="1"/>
    <col min="5651" max="5651" width="9.7109375" style="14" customWidth="1"/>
    <col min="5652" max="5652" width="12" style="14" customWidth="1"/>
    <col min="5653" max="5653" width="11.28515625" style="14" customWidth="1"/>
    <col min="5654" max="5891" width="9.140625" style="14"/>
    <col min="5892" max="5892" width="5.7109375" style="14" customWidth="1"/>
    <col min="5893" max="5893" width="13.140625" style="14" customWidth="1"/>
    <col min="5894" max="5894" width="12.28515625" style="14" customWidth="1"/>
    <col min="5895" max="5895" width="8.85546875" style="14" customWidth="1"/>
    <col min="5896" max="5896" width="10.85546875" style="14" customWidth="1"/>
    <col min="5897" max="5897" width="2.85546875" style="14" customWidth="1"/>
    <col min="5898" max="5898" width="12.140625" style="14" customWidth="1"/>
    <col min="5899" max="5899" width="10.140625" style="14" customWidth="1"/>
    <col min="5900" max="5900" width="11.7109375" style="14" customWidth="1"/>
    <col min="5901" max="5901" width="11.42578125" style="14" customWidth="1"/>
    <col min="5902" max="5902" width="12.7109375" style="14" customWidth="1"/>
    <col min="5903" max="5903" width="11.42578125" style="14" customWidth="1"/>
    <col min="5904" max="5904" width="10.7109375" style="14" customWidth="1"/>
    <col min="5905" max="5905" width="10.5703125" style="14" customWidth="1"/>
    <col min="5906" max="5906" width="11.28515625" style="14" customWidth="1"/>
    <col min="5907" max="5907" width="9.7109375" style="14" customWidth="1"/>
    <col min="5908" max="5908" width="12" style="14" customWidth="1"/>
    <col min="5909" max="5909" width="11.28515625" style="14" customWidth="1"/>
    <col min="5910" max="6147" width="9.140625" style="14"/>
    <col min="6148" max="6148" width="5.7109375" style="14" customWidth="1"/>
    <col min="6149" max="6149" width="13.140625" style="14" customWidth="1"/>
    <col min="6150" max="6150" width="12.28515625" style="14" customWidth="1"/>
    <col min="6151" max="6151" width="8.85546875" style="14" customWidth="1"/>
    <col min="6152" max="6152" width="10.85546875" style="14" customWidth="1"/>
    <col min="6153" max="6153" width="2.85546875" style="14" customWidth="1"/>
    <col min="6154" max="6154" width="12.140625" style="14" customWidth="1"/>
    <col min="6155" max="6155" width="10.140625" style="14" customWidth="1"/>
    <col min="6156" max="6156" width="11.7109375" style="14" customWidth="1"/>
    <col min="6157" max="6157" width="11.42578125" style="14" customWidth="1"/>
    <col min="6158" max="6158" width="12.7109375" style="14" customWidth="1"/>
    <col min="6159" max="6159" width="11.42578125" style="14" customWidth="1"/>
    <col min="6160" max="6160" width="10.7109375" style="14" customWidth="1"/>
    <col min="6161" max="6161" width="10.5703125" style="14" customWidth="1"/>
    <col min="6162" max="6162" width="11.28515625" style="14" customWidth="1"/>
    <col min="6163" max="6163" width="9.7109375" style="14" customWidth="1"/>
    <col min="6164" max="6164" width="12" style="14" customWidth="1"/>
    <col min="6165" max="6165" width="11.28515625" style="14" customWidth="1"/>
    <col min="6166" max="6403" width="9.140625" style="14"/>
    <col min="6404" max="6404" width="5.7109375" style="14" customWidth="1"/>
    <col min="6405" max="6405" width="13.140625" style="14" customWidth="1"/>
    <col min="6406" max="6406" width="12.28515625" style="14" customWidth="1"/>
    <col min="6407" max="6407" width="8.85546875" style="14" customWidth="1"/>
    <col min="6408" max="6408" width="10.85546875" style="14" customWidth="1"/>
    <col min="6409" max="6409" width="2.85546875" style="14" customWidth="1"/>
    <col min="6410" max="6410" width="12.140625" style="14" customWidth="1"/>
    <col min="6411" max="6411" width="10.140625" style="14" customWidth="1"/>
    <col min="6412" max="6412" width="11.7109375" style="14" customWidth="1"/>
    <col min="6413" max="6413" width="11.42578125" style="14" customWidth="1"/>
    <col min="6414" max="6414" width="12.7109375" style="14" customWidth="1"/>
    <col min="6415" max="6415" width="11.42578125" style="14" customWidth="1"/>
    <col min="6416" max="6416" width="10.7109375" style="14" customWidth="1"/>
    <col min="6417" max="6417" width="10.5703125" style="14" customWidth="1"/>
    <col min="6418" max="6418" width="11.28515625" style="14" customWidth="1"/>
    <col min="6419" max="6419" width="9.7109375" style="14" customWidth="1"/>
    <col min="6420" max="6420" width="12" style="14" customWidth="1"/>
    <col min="6421" max="6421" width="11.28515625" style="14" customWidth="1"/>
    <col min="6422" max="6659" width="9.140625" style="14"/>
    <col min="6660" max="6660" width="5.7109375" style="14" customWidth="1"/>
    <col min="6661" max="6661" width="13.140625" style="14" customWidth="1"/>
    <col min="6662" max="6662" width="12.28515625" style="14" customWidth="1"/>
    <col min="6663" max="6663" width="8.85546875" style="14" customWidth="1"/>
    <col min="6664" max="6664" width="10.85546875" style="14" customWidth="1"/>
    <col min="6665" max="6665" width="2.85546875" style="14" customWidth="1"/>
    <col min="6666" max="6666" width="12.140625" style="14" customWidth="1"/>
    <col min="6667" max="6667" width="10.140625" style="14" customWidth="1"/>
    <col min="6668" max="6668" width="11.7109375" style="14" customWidth="1"/>
    <col min="6669" max="6669" width="11.42578125" style="14" customWidth="1"/>
    <col min="6670" max="6670" width="12.7109375" style="14" customWidth="1"/>
    <col min="6671" max="6671" width="11.42578125" style="14" customWidth="1"/>
    <col min="6672" max="6672" width="10.7109375" style="14" customWidth="1"/>
    <col min="6673" max="6673" width="10.5703125" style="14" customWidth="1"/>
    <col min="6674" max="6674" width="11.28515625" style="14" customWidth="1"/>
    <col min="6675" max="6675" width="9.7109375" style="14" customWidth="1"/>
    <col min="6676" max="6676" width="12" style="14" customWidth="1"/>
    <col min="6677" max="6677" width="11.28515625" style="14" customWidth="1"/>
    <col min="6678" max="6915" width="9.140625" style="14"/>
    <col min="6916" max="6916" width="5.7109375" style="14" customWidth="1"/>
    <col min="6917" max="6917" width="13.140625" style="14" customWidth="1"/>
    <col min="6918" max="6918" width="12.28515625" style="14" customWidth="1"/>
    <col min="6919" max="6919" width="8.85546875" style="14" customWidth="1"/>
    <col min="6920" max="6920" width="10.85546875" style="14" customWidth="1"/>
    <col min="6921" max="6921" width="2.85546875" style="14" customWidth="1"/>
    <col min="6922" max="6922" width="12.140625" style="14" customWidth="1"/>
    <col min="6923" max="6923" width="10.140625" style="14" customWidth="1"/>
    <col min="6924" max="6924" width="11.7109375" style="14" customWidth="1"/>
    <col min="6925" max="6925" width="11.42578125" style="14" customWidth="1"/>
    <col min="6926" max="6926" width="12.7109375" style="14" customWidth="1"/>
    <col min="6927" max="6927" width="11.42578125" style="14" customWidth="1"/>
    <col min="6928" max="6928" width="10.7109375" style="14" customWidth="1"/>
    <col min="6929" max="6929" width="10.5703125" style="14" customWidth="1"/>
    <col min="6930" max="6930" width="11.28515625" style="14" customWidth="1"/>
    <col min="6931" max="6931" width="9.7109375" style="14" customWidth="1"/>
    <col min="6932" max="6932" width="12" style="14" customWidth="1"/>
    <col min="6933" max="6933" width="11.28515625" style="14" customWidth="1"/>
    <col min="6934" max="7171" width="9.140625" style="14"/>
    <col min="7172" max="7172" width="5.7109375" style="14" customWidth="1"/>
    <col min="7173" max="7173" width="13.140625" style="14" customWidth="1"/>
    <col min="7174" max="7174" width="12.28515625" style="14" customWidth="1"/>
    <col min="7175" max="7175" width="8.85546875" style="14" customWidth="1"/>
    <col min="7176" max="7176" width="10.85546875" style="14" customWidth="1"/>
    <col min="7177" max="7177" width="2.85546875" style="14" customWidth="1"/>
    <col min="7178" max="7178" width="12.140625" style="14" customWidth="1"/>
    <col min="7179" max="7179" width="10.140625" style="14" customWidth="1"/>
    <col min="7180" max="7180" width="11.7109375" style="14" customWidth="1"/>
    <col min="7181" max="7181" width="11.42578125" style="14" customWidth="1"/>
    <col min="7182" max="7182" width="12.7109375" style="14" customWidth="1"/>
    <col min="7183" max="7183" width="11.42578125" style="14" customWidth="1"/>
    <col min="7184" max="7184" width="10.7109375" style="14" customWidth="1"/>
    <col min="7185" max="7185" width="10.5703125" style="14" customWidth="1"/>
    <col min="7186" max="7186" width="11.28515625" style="14" customWidth="1"/>
    <col min="7187" max="7187" width="9.7109375" style="14" customWidth="1"/>
    <col min="7188" max="7188" width="12" style="14" customWidth="1"/>
    <col min="7189" max="7189" width="11.28515625" style="14" customWidth="1"/>
    <col min="7190" max="7427" width="9.140625" style="14"/>
    <col min="7428" max="7428" width="5.7109375" style="14" customWidth="1"/>
    <col min="7429" max="7429" width="13.140625" style="14" customWidth="1"/>
    <col min="7430" max="7430" width="12.28515625" style="14" customWidth="1"/>
    <col min="7431" max="7431" width="8.85546875" style="14" customWidth="1"/>
    <col min="7432" max="7432" width="10.85546875" style="14" customWidth="1"/>
    <col min="7433" max="7433" width="2.85546875" style="14" customWidth="1"/>
    <col min="7434" max="7434" width="12.140625" style="14" customWidth="1"/>
    <col min="7435" max="7435" width="10.140625" style="14" customWidth="1"/>
    <col min="7436" max="7436" width="11.7109375" style="14" customWidth="1"/>
    <col min="7437" max="7437" width="11.42578125" style="14" customWidth="1"/>
    <col min="7438" max="7438" width="12.7109375" style="14" customWidth="1"/>
    <col min="7439" max="7439" width="11.42578125" style="14" customWidth="1"/>
    <col min="7440" max="7440" width="10.7109375" style="14" customWidth="1"/>
    <col min="7441" max="7441" width="10.5703125" style="14" customWidth="1"/>
    <col min="7442" max="7442" width="11.28515625" style="14" customWidth="1"/>
    <col min="7443" max="7443" width="9.7109375" style="14" customWidth="1"/>
    <col min="7444" max="7444" width="12" style="14" customWidth="1"/>
    <col min="7445" max="7445" width="11.28515625" style="14" customWidth="1"/>
    <col min="7446" max="7683" width="9.140625" style="14"/>
    <col min="7684" max="7684" width="5.7109375" style="14" customWidth="1"/>
    <col min="7685" max="7685" width="13.140625" style="14" customWidth="1"/>
    <col min="7686" max="7686" width="12.28515625" style="14" customWidth="1"/>
    <col min="7687" max="7687" width="8.85546875" style="14" customWidth="1"/>
    <col min="7688" max="7688" width="10.85546875" style="14" customWidth="1"/>
    <col min="7689" max="7689" width="2.85546875" style="14" customWidth="1"/>
    <col min="7690" max="7690" width="12.140625" style="14" customWidth="1"/>
    <col min="7691" max="7691" width="10.140625" style="14" customWidth="1"/>
    <col min="7692" max="7692" width="11.7109375" style="14" customWidth="1"/>
    <col min="7693" max="7693" width="11.42578125" style="14" customWidth="1"/>
    <col min="7694" max="7694" width="12.7109375" style="14" customWidth="1"/>
    <col min="7695" max="7695" width="11.42578125" style="14" customWidth="1"/>
    <col min="7696" max="7696" width="10.7109375" style="14" customWidth="1"/>
    <col min="7697" max="7697" width="10.5703125" style="14" customWidth="1"/>
    <col min="7698" max="7698" width="11.28515625" style="14" customWidth="1"/>
    <col min="7699" max="7699" width="9.7109375" style="14" customWidth="1"/>
    <col min="7700" max="7700" width="12" style="14" customWidth="1"/>
    <col min="7701" max="7701" width="11.28515625" style="14" customWidth="1"/>
    <col min="7702" max="7939" width="9.140625" style="14"/>
    <col min="7940" max="7940" width="5.7109375" style="14" customWidth="1"/>
    <col min="7941" max="7941" width="13.140625" style="14" customWidth="1"/>
    <col min="7942" max="7942" width="12.28515625" style="14" customWidth="1"/>
    <col min="7943" max="7943" width="8.85546875" style="14" customWidth="1"/>
    <col min="7944" max="7944" width="10.85546875" style="14" customWidth="1"/>
    <col min="7945" max="7945" width="2.85546875" style="14" customWidth="1"/>
    <col min="7946" max="7946" width="12.140625" style="14" customWidth="1"/>
    <col min="7947" max="7947" width="10.140625" style="14" customWidth="1"/>
    <col min="7948" max="7948" width="11.7109375" style="14" customWidth="1"/>
    <col min="7949" max="7949" width="11.42578125" style="14" customWidth="1"/>
    <col min="7950" max="7950" width="12.7109375" style="14" customWidth="1"/>
    <col min="7951" max="7951" width="11.42578125" style="14" customWidth="1"/>
    <col min="7952" max="7952" width="10.7109375" style="14" customWidth="1"/>
    <col min="7953" max="7953" width="10.5703125" style="14" customWidth="1"/>
    <col min="7954" max="7954" width="11.28515625" style="14" customWidth="1"/>
    <col min="7955" max="7955" width="9.7109375" style="14" customWidth="1"/>
    <col min="7956" max="7956" width="12" style="14" customWidth="1"/>
    <col min="7957" max="7957" width="11.28515625" style="14" customWidth="1"/>
    <col min="7958" max="8195" width="9.140625" style="14"/>
    <col min="8196" max="8196" width="5.7109375" style="14" customWidth="1"/>
    <col min="8197" max="8197" width="13.140625" style="14" customWidth="1"/>
    <col min="8198" max="8198" width="12.28515625" style="14" customWidth="1"/>
    <col min="8199" max="8199" width="8.85546875" style="14" customWidth="1"/>
    <col min="8200" max="8200" width="10.85546875" style="14" customWidth="1"/>
    <col min="8201" max="8201" width="2.85546875" style="14" customWidth="1"/>
    <col min="8202" max="8202" width="12.140625" style="14" customWidth="1"/>
    <col min="8203" max="8203" width="10.140625" style="14" customWidth="1"/>
    <col min="8204" max="8204" width="11.7109375" style="14" customWidth="1"/>
    <col min="8205" max="8205" width="11.42578125" style="14" customWidth="1"/>
    <col min="8206" max="8206" width="12.7109375" style="14" customWidth="1"/>
    <col min="8207" max="8207" width="11.42578125" style="14" customWidth="1"/>
    <col min="8208" max="8208" width="10.7109375" style="14" customWidth="1"/>
    <col min="8209" max="8209" width="10.5703125" style="14" customWidth="1"/>
    <col min="8210" max="8210" width="11.28515625" style="14" customWidth="1"/>
    <col min="8211" max="8211" width="9.7109375" style="14" customWidth="1"/>
    <col min="8212" max="8212" width="12" style="14" customWidth="1"/>
    <col min="8213" max="8213" width="11.28515625" style="14" customWidth="1"/>
    <col min="8214" max="8451" width="9.140625" style="14"/>
    <col min="8452" max="8452" width="5.7109375" style="14" customWidth="1"/>
    <col min="8453" max="8453" width="13.140625" style="14" customWidth="1"/>
    <col min="8454" max="8454" width="12.28515625" style="14" customWidth="1"/>
    <col min="8455" max="8455" width="8.85546875" style="14" customWidth="1"/>
    <col min="8456" max="8456" width="10.85546875" style="14" customWidth="1"/>
    <col min="8457" max="8457" width="2.85546875" style="14" customWidth="1"/>
    <col min="8458" max="8458" width="12.140625" style="14" customWidth="1"/>
    <col min="8459" max="8459" width="10.140625" style="14" customWidth="1"/>
    <col min="8460" max="8460" width="11.7109375" style="14" customWidth="1"/>
    <col min="8461" max="8461" width="11.42578125" style="14" customWidth="1"/>
    <col min="8462" max="8462" width="12.7109375" style="14" customWidth="1"/>
    <col min="8463" max="8463" width="11.42578125" style="14" customWidth="1"/>
    <col min="8464" max="8464" width="10.7109375" style="14" customWidth="1"/>
    <col min="8465" max="8465" width="10.5703125" style="14" customWidth="1"/>
    <col min="8466" max="8466" width="11.28515625" style="14" customWidth="1"/>
    <col min="8467" max="8467" width="9.7109375" style="14" customWidth="1"/>
    <col min="8468" max="8468" width="12" style="14" customWidth="1"/>
    <col min="8469" max="8469" width="11.28515625" style="14" customWidth="1"/>
    <col min="8470" max="8707" width="9.140625" style="14"/>
    <col min="8708" max="8708" width="5.7109375" style="14" customWidth="1"/>
    <col min="8709" max="8709" width="13.140625" style="14" customWidth="1"/>
    <col min="8710" max="8710" width="12.28515625" style="14" customWidth="1"/>
    <col min="8711" max="8711" width="8.85546875" style="14" customWidth="1"/>
    <col min="8712" max="8712" width="10.85546875" style="14" customWidth="1"/>
    <col min="8713" max="8713" width="2.85546875" style="14" customWidth="1"/>
    <col min="8714" max="8714" width="12.140625" style="14" customWidth="1"/>
    <col min="8715" max="8715" width="10.140625" style="14" customWidth="1"/>
    <col min="8716" max="8716" width="11.7109375" style="14" customWidth="1"/>
    <col min="8717" max="8717" width="11.42578125" style="14" customWidth="1"/>
    <col min="8718" max="8718" width="12.7109375" style="14" customWidth="1"/>
    <col min="8719" max="8719" width="11.42578125" style="14" customWidth="1"/>
    <col min="8720" max="8720" width="10.7109375" style="14" customWidth="1"/>
    <col min="8721" max="8721" width="10.5703125" style="14" customWidth="1"/>
    <col min="8722" max="8722" width="11.28515625" style="14" customWidth="1"/>
    <col min="8723" max="8723" width="9.7109375" style="14" customWidth="1"/>
    <col min="8724" max="8724" width="12" style="14" customWidth="1"/>
    <col min="8725" max="8725" width="11.28515625" style="14" customWidth="1"/>
    <col min="8726" max="8963" width="9.140625" style="14"/>
    <col min="8964" max="8964" width="5.7109375" style="14" customWidth="1"/>
    <col min="8965" max="8965" width="13.140625" style="14" customWidth="1"/>
    <col min="8966" max="8966" width="12.28515625" style="14" customWidth="1"/>
    <col min="8967" max="8967" width="8.85546875" style="14" customWidth="1"/>
    <col min="8968" max="8968" width="10.85546875" style="14" customWidth="1"/>
    <col min="8969" max="8969" width="2.85546875" style="14" customWidth="1"/>
    <col min="8970" max="8970" width="12.140625" style="14" customWidth="1"/>
    <col min="8971" max="8971" width="10.140625" style="14" customWidth="1"/>
    <col min="8972" max="8972" width="11.7109375" style="14" customWidth="1"/>
    <col min="8973" max="8973" width="11.42578125" style="14" customWidth="1"/>
    <col min="8974" max="8974" width="12.7109375" style="14" customWidth="1"/>
    <col min="8975" max="8975" width="11.42578125" style="14" customWidth="1"/>
    <col min="8976" max="8976" width="10.7109375" style="14" customWidth="1"/>
    <col min="8977" max="8977" width="10.5703125" style="14" customWidth="1"/>
    <col min="8978" max="8978" width="11.28515625" style="14" customWidth="1"/>
    <col min="8979" max="8979" width="9.7109375" style="14" customWidth="1"/>
    <col min="8980" max="8980" width="12" style="14" customWidth="1"/>
    <col min="8981" max="8981" width="11.28515625" style="14" customWidth="1"/>
    <col min="8982" max="9219" width="9.140625" style="14"/>
    <col min="9220" max="9220" width="5.7109375" style="14" customWidth="1"/>
    <col min="9221" max="9221" width="13.140625" style="14" customWidth="1"/>
    <col min="9222" max="9222" width="12.28515625" style="14" customWidth="1"/>
    <col min="9223" max="9223" width="8.85546875" style="14" customWidth="1"/>
    <col min="9224" max="9224" width="10.85546875" style="14" customWidth="1"/>
    <col min="9225" max="9225" width="2.85546875" style="14" customWidth="1"/>
    <col min="9226" max="9226" width="12.140625" style="14" customWidth="1"/>
    <col min="9227" max="9227" width="10.140625" style="14" customWidth="1"/>
    <col min="9228" max="9228" width="11.7109375" style="14" customWidth="1"/>
    <col min="9229" max="9229" width="11.42578125" style="14" customWidth="1"/>
    <col min="9230" max="9230" width="12.7109375" style="14" customWidth="1"/>
    <col min="9231" max="9231" width="11.42578125" style="14" customWidth="1"/>
    <col min="9232" max="9232" width="10.7109375" style="14" customWidth="1"/>
    <col min="9233" max="9233" width="10.5703125" style="14" customWidth="1"/>
    <col min="9234" max="9234" width="11.28515625" style="14" customWidth="1"/>
    <col min="9235" max="9235" width="9.7109375" style="14" customWidth="1"/>
    <col min="9236" max="9236" width="12" style="14" customWidth="1"/>
    <col min="9237" max="9237" width="11.28515625" style="14" customWidth="1"/>
    <col min="9238" max="9475" width="9.140625" style="14"/>
    <col min="9476" max="9476" width="5.7109375" style="14" customWidth="1"/>
    <col min="9477" max="9477" width="13.140625" style="14" customWidth="1"/>
    <col min="9478" max="9478" width="12.28515625" style="14" customWidth="1"/>
    <col min="9479" max="9479" width="8.85546875" style="14" customWidth="1"/>
    <col min="9480" max="9480" width="10.85546875" style="14" customWidth="1"/>
    <col min="9481" max="9481" width="2.85546875" style="14" customWidth="1"/>
    <col min="9482" max="9482" width="12.140625" style="14" customWidth="1"/>
    <col min="9483" max="9483" width="10.140625" style="14" customWidth="1"/>
    <col min="9484" max="9484" width="11.7109375" style="14" customWidth="1"/>
    <col min="9485" max="9485" width="11.42578125" style="14" customWidth="1"/>
    <col min="9486" max="9486" width="12.7109375" style="14" customWidth="1"/>
    <col min="9487" max="9487" width="11.42578125" style="14" customWidth="1"/>
    <col min="9488" max="9488" width="10.7109375" style="14" customWidth="1"/>
    <col min="9489" max="9489" width="10.5703125" style="14" customWidth="1"/>
    <col min="9490" max="9490" width="11.28515625" style="14" customWidth="1"/>
    <col min="9491" max="9491" width="9.7109375" style="14" customWidth="1"/>
    <col min="9492" max="9492" width="12" style="14" customWidth="1"/>
    <col min="9493" max="9493" width="11.28515625" style="14" customWidth="1"/>
    <col min="9494" max="9731" width="9.140625" style="14"/>
    <col min="9732" max="9732" width="5.7109375" style="14" customWidth="1"/>
    <col min="9733" max="9733" width="13.140625" style="14" customWidth="1"/>
    <col min="9734" max="9734" width="12.28515625" style="14" customWidth="1"/>
    <col min="9735" max="9735" width="8.85546875" style="14" customWidth="1"/>
    <col min="9736" max="9736" width="10.85546875" style="14" customWidth="1"/>
    <col min="9737" max="9737" width="2.85546875" style="14" customWidth="1"/>
    <col min="9738" max="9738" width="12.140625" style="14" customWidth="1"/>
    <col min="9739" max="9739" width="10.140625" style="14" customWidth="1"/>
    <col min="9740" max="9740" width="11.7109375" style="14" customWidth="1"/>
    <col min="9741" max="9741" width="11.42578125" style="14" customWidth="1"/>
    <col min="9742" max="9742" width="12.7109375" style="14" customWidth="1"/>
    <col min="9743" max="9743" width="11.42578125" style="14" customWidth="1"/>
    <col min="9744" max="9744" width="10.7109375" style="14" customWidth="1"/>
    <col min="9745" max="9745" width="10.5703125" style="14" customWidth="1"/>
    <col min="9746" max="9746" width="11.28515625" style="14" customWidth="1"/>
    <col min="9747" max="9747" width="9.7109375" style="14" customWidth="1"/>
    <col min="9748" max="9748" width="12" style="14" customWidth="1"/>
    <col min="9749" max="9749" width="11.28515625" style="14" customWidth="1"/>
    <col min="9750" max="9987" width="9.140625" style="14"/>
    <col min="9988" max="9988" width="5.7109375" style="14" customWidth="1"/>
    <col min="9989" max="9989" width="13.140625" style="14" customWidth="1"/>
    <col min="9990" max="9990" width="12.28515625" style="14" customWidth="1"/>
    <col min="9991" max="9991" width="8.85546875" style="14" customWidth="1"/>
    <col min="9992" max="9992" width="10.85546875" style="14" customWidth="1"/>
    <col min="9993" max="9993" width="2.85546875" style="14" customWidth="1"/>
    <col min="9994" max="9994" width="12.140625" style="14" customWidth="1"/>
    <col min="9995" max="9995" width="10.140625" style="14" customWidth="1"/>
    <col min="9996" max="9996" width="11.7109375" style="14" customWidth="1"/>
    <col min="9997" max="9997" width="11.42578125" style="14" customWidth="1"/>
    <col min="9998" max="9998" width="12.7109375" style="14" customWidth="1"/>
    <col min="9999" max="9999" width="11.42578125" style="14" customWidth="1"/>
    <col min="10000" max="10000" width="10.7109375" style="14" customWidth="1"/>
    <col min="10001" max="10001" width="10.5703125" style="14" customWidth="1"/>
    <col min="10002" max="10002" width="11.28515625" style="14" customWidth="1"/>
    <col min="10003" max="10003" width="9.7109375" style="14" customWidth="1"/>
    <col min="10004" max="10004" width="12" style="14" customWidth="1"/>
    <col min="10005" max="10005" width="11.28515625" style="14" customWidth="1"/>
    <col min="10006" max="10243" width="9.140625" style="14"/>
    <col min="10244" max="10244" width="5.7109375" style="14" customWidth="1"/>
    <col min="10245" max="10245" width="13.140625" style="14" customWidth="1"/>
    <col min="10246" max="10246" width="12.28515625" style="14" customWidth="1"/>
    <col min="10247" max="10247" width="8.85546875" style="14" customWidth="1"/>
    <col min="10248" max="10248" width="10.85546875" style="14" customWidth="1"/>
    <col min="10249" max="10249" width="2.85546875" style="14" customWidth="1"/>
    <col min="10250" max="10250" width="12.140625" style="14" customWidth="1"/>
    <col min="10251" max="10251" width="10.140625" style="14" customWidth="1"/>
    <col min="10252" max="10252" width="11.7109375" style="14" customWidth="1"/>
    <col min="10253" max="10253" width="11.42578125" style="14" customWidth="1"/>
    <col min="10254" max="10254" width="12.7109375" style="14" customWidth="1"/>
    <col min="10255" max="10255" width="11.42578125" style="14" customWidth="1"/>
    <col min="10256" max="10256" width="10.7109375" style="14" customWidth="1"/>
    <col min="10257" max="10257" width="10.5703125" style="14" customWidth="1"/>
    <col min="10258" max="10258" width="11.28515625" style="14" customWidth="1"/>
    <col min="10259" max="10259" width="9.7109375" style="14" customWidth="1"/>
    <col min="10260" max="10260" width="12" style="14" customWidth="1"/>
    <col min="10261" max="10261" width="11.28515625" style="14" customWidth="1"/>
    <col min="10262" max="10499" width="9.140625" style="14"/>
    <col min="10500" max="10500" width="5.7109375" style="14" customWidth="1"/>
    <col min="10501" max="10501" width="13.140625" style="14" customWidth="1"/>
    <col min="10502" max="10502" width="12.28515625" style="14" customWidth="1"/>
    <col min="10503" max="10503" width="8.85546875" style="14" customWidth="1"/>
    <col min="10504" max="10504" width="10.85546875" style="14" customWidth="1"/>
    <col min="10505" max="10505" width="2.85546875" style="14" customWidth="1"/>
    <col min="10506" max="10506" width="12.140625" style="14" customWidth="1"/>
    <col min="10507" max="10507" width="10.140625" style="14" customWidth="1"/>
    <col min="10508" max="10508" width="11.7109375" style="14" customWidth="1"/>
    <col min="10509" max="10509" width="11.42578125" style="14" customWidth="1"/>
    <col min="10510" max="10510" width="12.7109375" style="14" customWidth="1"/>
    <col min="10511" max="10511" width="11.42578125" style="14" customWidth="1"/>
    <col min="10512" max="10512" width="10.7109375" style="14" customWidth="1"/>
    <col min="10513" max="10513" width="10.5703125" style="14" customWidth="1"/>
    <col min="10514" max="10514" width="11.28515625" style="14" customWidth="1"/>
    <col min="10515" max="10515" width="9.7109375" style="14" customWidth="1"/>
    <col min="10516" max="10516" width="12" style="14" customWidth="1"/>
    <col min="10517" max="10517" width="11.28515625" style="14" customWidth="1"/>
    <col min="10518" max="10755" width="9.140625" style="14"/>
    <col min="10756" max="10756" width="5.7109375" style="14" customWidth="1"/>
    <col min="10757" max="10757" width="13.140625" style="14" customWidth="1"/>
    <col min="10758" max="10758" width="12.28515625" style="14" customWidth="1"/>
    <col min="10759" max="10759" width="8.85546875" style="14" customWidth="1"/>
    <col min="10760" max="10760" width="10.85546875" style="14" customWidth="1"/>
    <col min="10761" max="10761" width="2.85546875" style="14" customWidth="1"/>
    <col min="10762" max="10762" width="12.140625" style="14" customWidth="1"/>
    <col min="10763" max="10763" width="10.140625" style="14" customWidth="1"/>
    <col min="10764" max="10764" width="11.7109375" style="14" customWidth="1"/>
    <col min="10765" max="10765" width="11.42578125" style="14" customWidth="1"/>
    <col min="10766" max="10766" width="12.7109375" style="14" customWidth="1"/>
    <col min="10767" max="10767" width="11.42578125" style="14" customWidth="1"/>
    <col min="10768" max="10768" width="10.7109375" style="14" customWidth="1"/>
    <col min="10769" max="10769" width="10.5703125" style="14" customWidth="1"/>
    <col min="10770" max="10770" width="11.28515625" style="14" customWidth="1"/>
    <col min="10771" max="10771" width="9.7109375" style="14" customWidth="1"/>
    <col min="10772" max="10772" width="12" style="14" customWidth="1"/>
    <col min="10773" max="10773" width="11.28515625" style="14" customWidth="1"/>
    <col min="10774" max="11011" width="9.140625" style="14"/>
    <col min="11012" max="11012" width="5.7109375" style="14" customWidth="1"/>
    <col min="11013" max="11013" width="13.140625" style="14" customWidth="1"/>
    <col min="11014" max="11014" width="12.28515625" style="14" customWidth="1"/>
    <col min="11015" max="11015" width="8.85546875" style="14" customWidth="1"/>
    <col min="11016" max="11016" width="10.85546875" style="14" customWidth="1"/>
    <col min="11017" max="11017" width="2.85546875" style="14" customWidth="1"/>
    <col min="11018" max="11018" width="12.140625" style="14" customWidth="1"/>
    <col min="11019" max="11019" width="10.140625" style="14" customWidth="1"/>
    <col min="11020" max="11020" width="11.7109375" style="14" customWidth="1"/>
    <col min="11021" max="11021" width="11.42578125" style="14" customWidth="1"/>
    <col min="11022" max="11022" width="12.7109375" style="14" customWidth="1"/>
    <col min="11023" max="11023" width="11.42578125" style="14" customWidth="1"/>
    <col min="11024" max="11024" width="10.7109375" style="14" customWidth="1"/>
    <col min="11025" max="11025" width="10.5703125" style="14" customWidth="1"/>
    <col min="11026" max="11026" width="11.28515625" style="14" customWidth="1"/>
    <col min="11027" max="11027" width="9.7109375" style="14" customWidth="1"/>
    <col min="11028" max="11028" width="12" style="14" customWidth="1"/>
    <col min="11029" max="11029" width="11.28515625" style="14" customWidth="1"/>
    <col min="11030" max="11267" width="9.140625" style="14"/>
    <col min="11268" max="11268" width="5.7109375" style="14" customWidth="1"/>
    <col min="11269" max="11269" width="13.140625" style="14" customWidth="1"/>
    <col min="11270" max="11270" width="12.28515625" style="14" customWidth="1"/>
    <col min="11271" max="11271" width="8.85546875" style="14" customWidth="1"/>
    <col min="11272" max="11272" width="10.85546875" style="14" customWidth="1"/>
    <col min="11273" max="11273" width="2.85546875" style="14" customWidth="1"/>
    <col min="11274" max="11274" width="12.140625" style="14" customWidth="1"/>
    <col min="11275" max="11275" width="10.140625" style="14" customWidth="1"/>
    <col min="11276" max="11276" width="11.7109375" style="14" customWidth="1"/>
    <col min="11277" max="11277" width="11.42578125" style="14" customWidth="1"/>
    <col min="11278" max="11278" width="12.7109375" style="14" customWidth="1"/>
    <col min="11279" max="11279" width="11.42578125" style="14" customWidth="1"/>
    <col min="11280" max="11280" width="10.7109375" style="14" customWidth="1"/>
    <col min="11281" max="11281" width="10.5703125" style="14" customWidth="1"/>
    <col min="11282" max="11282" width="11.28515625" style="14" customWidth="1"/>
    <col min="11283" max="11283" width="9.7109375" style="14" customWidth="1"/>
    <col min="11284" max="11284" width="12" style="14" customWidth="1"/>
    <col min="11285" max="11285" width="11.28515625" style="14" customWidth="1"/>
    <col min="11286" max="11523" width="9.140625" style="14"/>
    <col min="11524" max="11524" width="5.7109375" style="14" customWidth="1"/>
    <col min="11525" max="11525" width="13.140625" style="14" customWidth="1"/>
    <col min="11526" max="11526" width="12.28515625" style="14" customWidth="1"/>
    <col min="11527" max="11527" width="8.85546875" style="14" customWidth="1"/>
    <col min="11528" max="11528" width="10.85546875" style="14" customWidth="1"/>
    <col min="11529" max="11529" width="2.85546875" style="14" customWidth="1"/>
    <col min="11530" max="11530" width="12.140625" style="14" customWidth="1"/>
    <col min="11531" max="11531" width="10.140625" style="14" customWidth="1"/>
    <col min="11532" max="11532" width="11.7109375" style="14" customWidth="1"/>
    <col min="11533" max="11533" width="11.42578125" style="14" customWidth="1"/>
    <col min="11534" max="11534" width="12.7109375" style="14" customWidth="1"/>
    <col min="11535" max="11535" width="11.42578125" style="14" customWidth="1"/>
    <col min="11536" max="11536" width="10.7109375" style="14" customWidth="1"/>
    <col min="11537" max="11537" width="10.5703125" style="14" customWidth="1"/>
    <col min="11538" max="11538" width="11.28515625" style="14" customWidth="1"/>
    <col min="11539" max="11539" width="9.7109375" style="14" customWidth="1"/>
    <col min="11540" max="11540" width="12" style="14" customWidth="1"/>
    <col min="11541" max="11541" width="11.28515625" style="14" customWidth="1"/>
    <col min="11542" max="11779" width="9.140625" style="14"/>
    <col min="11780" max="11780" width="5.7109375" style="14" customWidth="1"/>
    <col min="11781" max="11781" width="13.140625" style="14" customWidth="1"/>
    <col min="11782" max="11782" width="12.28515625" style="14" customWidth="1"/>
    <col min="11783" max="11783" width="8.85546875" style="14" customWidth="1"/>
    <col min="11784" max="11784" width="10.85546875" style="14" customWidth="1"/>
    <col min="11785" max="11785" width="2.85546875" style="14" customWidth="1"/>
    <col min="11786" max="11786" width="12.140625" style="14" customWidth="1"/>
    <col min="11787" max="11787" width="10.140625" style="14" customWidth="1"/>
    <col min="11788" max="11788" width="11.7109375" style="14" customWidth="1"/>
    <col min="11789" max="11789" width="11.42578125" style="14" customWidth="1"/>
    <col min="11790" max="11790" width="12.7109375" style="14" customWidth="1"/>
    <col min="11791" max="11791" width="11.42578125" style="14" customWidth="1"/>
    <col min="11792" max="11792" width="10.7109375" style="14" customWidth="1"/>
    <col min="11793" max="11793" width="10.5703125" style="14" customWidth="1"/>
    <col min="11794" max="11794" width="11.28515625" style="14" customWidth="1"/>
    <col min="11795" max="11795" width="9.7109375" style="14" customWidth="1"/>
    <col min="11796" max="11796" width="12" style="14" customWidth="1"/>
    <col min="11797" max="11797" width="11.28515625" style="14" customWidth="1"/>
    <col min="11798" max="12035" width="9.140625" style="14"/>
    <col min="12036" max="12036" width="5.7109375" style="14" customWidth="1"/>
    <col min="12037" max="12037" width="13.140625" style="14" customWidth="1"/>
    <col min="12038" max="12038" width="12.28515625" style="14" customWidth="1"/>
    <col min="12039" max="12039" width="8.85546875" style="14" customWidth="1"/>
    <col min="12040" max="12040" width="10.85546875" style="14" customWidth="1"/>
    <col min="12041" max="12041" width="2.85546875" style="14" customWidth="1"/>
    <col min="12042" max="12042" width="12.140625" style="14" customWidth="1"/>
    <col min="12043" max="12043" width="10.140625" style="14" customWidth="1"/>
    <col min="12044" max="12044" width="11.7109375" style="14" customWidth="1"/>
    <col min="12045" max="12045" width="11.42578125" style="14" customWidth="1"/>
    <col min="12046" max="12046" width="12.7109375" style="14" customWidth="1"/>
    <col min="12047" max="12047" width="11.42578125" style="14" customWidth="1"/>
    <col min="12048" max="12048" width="10.7109375" style="14" customWidth="1"/>
    <col min="12049" max="12049" width="10.5703125" style="14" customWidth="1"/>
    <col min="12050" max="12050" width="11.28515625" style="14" customWidth="1"/>
    <col min="12051" max="12051" width="9.7109375" style="14" customWidth="1"/>
    <col min="12052" max="12052" width="12" style="14" customWidth="1"/>
    <col min="12053" max="12053" width="11.28515625" style="14" customWidth="1"/>
    <col min="12054" max="12291" width="9.140625" style="14"/>
    <col min="12292" max="12292" width="5.7109375" style="14" customWidth="1"/>
    <col min="12293" max="12293" width="13.140625" style="14" customWidth="1"/>
    <col min="12294" max="12294" width="12.28515625" style="14" customWidth="1"/>
    <col min="12295" max="12295" width="8.85546875" style="14" customWidth="1"/>
    <col min="12296" max="12296" width="10.85546875" style="14" customWidth="1"/>
    <col min="12297" max="12297" width="2.85546875" style="14" customWidth="1"/>
    <col min="12298" max="12298" width="12.140625" style="14" customWidth="1"/>
    <col min="12299" max="12299" width="10.140625" style="14" customWidth="1"/>
    <col min="12300" max="12300" width="11.7109375" style="14" customWidth="1"/>
    <col min="12301" max="12301" width="11.42578125" style="14" customWidth="1"/>
    <col min="12302" max="12302" width="12.7109375" style="14" customWidth="1"/>
    <col min="12303" max="12303" width="11.42578125" style="14" customWidth="1"/>
    <col min="12304" max="12304" width="10.7109375" style="14" customWidth="1"/>
    <col min="12305" max="12305" width="10.5703125" style="14" customWidth="1"/>
    <col min="12306" max="12306" width="11.28515625" style="14" customWidth="1"/>
    <col min="12307" max="12307" width="9.7109375" style="14" customWidth="1"/>
    <col min="12308" max="12308" width="12" style="14" customWidth="1"/>
    <col min="12309" max="12309" width="11.28515625" style="14" customWidth="1"/>
    <col min="12310" max="12547" width="9.140625" style="14"/>
    <col min="12548" max="12548" width="5.7109375" style="14" customWidth="1"/>
    <col min="12549" max="12549" width="13.140625" style="14" customWidth="1"/>
    <col min="12550" max="12550" width="12.28515625" style="14" customWidth="1"/>
    <col min="12551" max="12551" width="8.85546875" style="14" customWidth="1"/>
    <col min="12552" max="12552" width="10.85546875" style="14" customWidth="1"/>
    <col min="12553" max="12553" width="2.85546875" style="14" customWidth="1"/>
    <col min="12554" max="12554" width="12.140625" style="14" customWidth="1"/>
    <col min="12555" max="12555" width="10.140625" style="14" customWidth="1"/>
    <col min="12556" max="12556" width="11.7109375" style="14" customWidth="1"/>
    <col min="12557" max="12557" width="11.42578125" style="14" customWidth="1"/>
    <col min="12558" max="12558" width="12.7109375" style="14" customWidth="1"/>
    <col min="12559" max="12559" width="11.42578125" style="14" customWidth="1"/>
    <col min="12560" max="12560" width="10.7109375" style="14" customWidth="1"/>
    <col min="12561" max="12561" width="10.5703125" style="14" customWidth="1"/>
    <col min="12562" max="12562" width="11.28515625" style="14" customWidth="1"/>
    <col min="12563" max="12563" width="9.7109375" style="14" customWidth="1"/>
    <col min="12564" max="12564" width="12" style="14" customWidth="1"/>
    <col min="12565" max="12565" width="11.28515625" style="14" customWidth="1"/>
    <col min="12566" max="12803" width="9.140625" style="14"/>
    <col min="12804" max="12804" width="5.7109375" style="14" customWidth="1"/>
    <col min="12805" max="12805" width="13.140625" style="14" customWidth="1"/>
    <col min="12806" max="12806" width="12.28515625" style="14" customWidth="1"/>
    <col min="12807" max="12807" width="8.85546875" style="14" customWidth="1"/>
    <col min="12808" max="12808" width="10.85546875" style="14" customWidth="1"/>
    <col min="12809" max="12809" width="2.85546875" style="14" customWidth="1"/>
    <col min="12810" max="12810" width="12.140625" style="14" customWidth="1"/>
    <col min="12811" max="12811" width="10.140625" style="14" customWidth="1"/>
    <col min="12812" max="12812" width="11.7109375" style="14" customWidth="1"/>
    <col min="12813" max="12813" width="11.42578125" style="14" customWidth="1"/>
    <col min="12814" max="12814" width="12.7109375" style="14" customWidth="1"/>
    <col min="12815" max="12815" width="11.42578125" style="14" customWidth="1"/>
    <col min="12816" max="12816" width="10.7109375" style="14" customWidth="1"/>
    <col min="12817" max="12817" width="10.5703125" style="14" customWidth="1"/>
    <col min="12818" max="12818" width="11.28515625" style="14" customWidth="1"/>
    <col min="12819" max="12819" width="9.7109375" style="14" customWidth="1"/>
    <col min="12820" max="12820" width="12" style="14" customWidth="1"/>
    <col min="12821" max="12821" width="11.28515625" style="14" customWidth="1"/>
    <col min="12822" max="13059" width="9.140625" style="14"/>
    <col min="13060" max="13060" width="5.7109375" style="14" customWidth="1"/>
    <col min="13061" max="13061" width="13.140625" style="14" customWidth="1"/>
    <col min="13062" max="13062" width="12.28515625" style="14" customWidth="1"/>
    <col min="13063" max="13063" width="8.85546875" style="14" customWidth="1"/>
    <col min="13064" max="13064" width="10.85546875" style="14" customWidth="1"/>
    <col min="13065" max="13065" width="2.85546875" style="14" customWidth="1"/>
    <col min="13066" max="13066" width="12.140625" style="14" customWidth="1"/>
    <col min="13067" max="13067" width="10.140625" style="14" customWidth="1"/>
    <col min="13068" max="13068" width="11.7109375" style="14" customWidth="1"/>
    <col min="13069" max="13069" width="11.42578125" style="14" customWidth="1"/>
    <col min="13070" max="13070" width="12.7109375" style="14" customWidth="1"/>
    <col min="13071" max="13071" width="11.42578125" style="14" customWidth="1"/>
    <col min="13072" max="13072" width="10.7109375" style="14" customWidth="1"/>
    <col min="13073" max="13073" width="10.5703125" style="14" customWidth="1"/>
    <col min="13074" max="13074" width="11.28515625" style="14" customWidth="1"/>
    <col min="13075" max="13075" width="9.7109375" style="14" customWidth="1"/>
    <col min="13076" max="13076" width="12" style="14" customWidth="1"/>
    <col min="13077" max="13077" width="11.28515625" style="14" customWidth="1"/>
    <col min="13078" max="13315" width="9.140625" style="14"/>
    <col min="13316" max="13316" width="5.7109375" style="14" customWidth="1"/>
    <col min="13317" max="13317" width="13.140625" style="14" customWidth="1"/>
    <col min="13318" max="13318" width="12.28515625" style="14" customWidth="1"/>
    <col min="13319" max="13319" width="8.85546875" style="14" customWidth="1"/>
    <col min="13320" max="13320" width="10.85546875" style="14" customWidth="1"/>
    <col min="13321" max="13321" width="2.85546875" style="14" customWidth="1"/>
    <col min="13322" max="13322" width="12.140625" style="14" customWidth="1"/>
    <col min="13323" max="13323" width="10.140625" style="14" customWidth="1"/>
    <col min="13324" max="13324" width="11.7109375" style="14" customWidth="1"/>
    <col min="13325" max="13325" width="11.42578125" style="14" customWidth="1"/>
    <col min="13326" max="13326" width="12.7109375" style="14" customWidth="1"/>
    <col min="13327" max="13327" width="11.42578125" style="14" customWidth="1"/>
    <col min="13328" max="13328" width="10.7109375" style="14" customWidth="1"/>
    <col min="13329" max="13329" width="10.5703125" style="14" customWidth="1"/>
    <col min="13330" max="13330" width="11.28515625" style="14" customWidth="1"/>
    <col min="13331" max="13331" width="9.7109375" style="14" customWidth="1"/>
    <col min="13332" max="13332" width="12" style="14" customWidth="1"/>
    <col min="13333" max="13333" width="11.28515625" style="14" customWidth="1"/>
    <col min="13334" max="13571" width="9.140625" style="14"/>
    <col min="13572" max="13572" width="5.7109375" style="14" customWidth="1"/>
    <col min="13573" max="13573" width="13.140625" style="14" customWidth="1"/>
    <col min="13574" max="13574" width="12.28515625" style="14" customWidth="1"/>
    <col min="13575" max="13575" width="8.85546875" style="14" customWidth="1"/>
    <col min="13576" max="13576" width="10.85546875" style="14" customWidth="1"/>
    <col min="13577" max="13577" width="2.85546875" style="14" customWidth="1"/>
    <col min="13578" max="13578" width="12.140625" style="14" customWidth="1"/>
    <col min="13579" max="13579" width="10.140625" style="14" customWidth="1"/>
    <col min="13580" max="13580" width="11.7109375" style="14" customWidth="1"/>
    <col min="13581" max="13581" width="11.42578125" style="14" customWidth="1"/>
    <col min="13582" max="13582" width="12.7109375" style="14" customWidth="1"/>
    <col min="13583" max="13583" width="11.42578125" style="14" customWidth="1"/>
    <col min="13584" max="13584" width="10.7109375" style="14" customWidth="1"/>
    <col min="13585" max="13585" width="10.5703125" style="14" customWidth="1"/>
    <col min="13586" max="13586" width="11.28515625" style="14" customWidth="1"/>
    <col min="13587" max="13587" width="9.7109375" style="14" customWidth="1"/>
    <col min="13588" max="13588" width="12" style="14" customWidth="1"/>
    <col min="13589" max="13589" width="11.28515625" style="14" customWidth="1"/>
    <col min="13590" max="13827" width="9.140625" style="14"/>
    <col min="13828" max="13828" width="5.7109375" style="14" customWidth="1"/>
    <col min="13829" max="13829" width="13.140625" style="14" customWidth="1"/>
    <col min="13830" max="13830" width="12.28515625" style="14" customWidth="1"/>
    <col min="13831" max="13831" width="8.85546875" style="14" customWidth="1"/>
    <col min="13832" max="13832" width="10.85546875" style="14" customWidth="1"/>
    <col min="13833" max="13833" width="2.85546875" style="14" customWidth="1"/>
    <col min="13834" max="13834" width="12.140625" style="14" customWidth="1"/>
    <col min="13835" max="13835" width="10.140625" style="14" customWidth="1"/>
    <col min="13836" max="13836" width="11.7109375" style="14" customWidth="1"/>
    <col min="13837" max="13837" width="11.42578125" style="14" customWidth="1"/>
    <col min="13838" max="13838" width="12.7109375" style="14" customWidth="1"/>
    <col min="13839" max="13839" width="11.42578125" style="14" customWidth="1"/>
    <col min="13840" max="13840" width="10.7109375" style="14" customWidth="1"/>
    <col min="13841" max="13841" width="10.5703125" style="14" customWidth="1"/>
    <col min="13842" max="13842" width="11.28515625" style="14" customWidth="1"/>
    <col min="13843" max="13843" width="9.7109375" style="14" customWidth="1"/>
    <col min="13844" max="13844" width="12" style="14" customWidth="1"/>
    <col min="13845" max="13845" width="11.28515625" style="14" customWidth="1"/>
    <col min="13846" max="14083" width="9.140625" style="14"/>
    <col min="14084" max="14084" width="5.7109375" style="14" customWidth="1"/>
    <col min="14085" max="14085" width="13.140625" style="14" customWidth="1"/>
    <col min="14086" max="14086" width="12.28515625" style="14" customWidth="1"/>
    <col min="14087" max="14087" width="8.85546875" style="14" customWidth="1"/>
    <col min="14088" max="14088" width="10.85546875" style="14" customWidth="1"/>
    <col min="14089" max="14089" width="2.85546875" style="14" customWidth="1"/>
    <col min="14090" max="14090" width="12.140625" style="14" customWidth="1"/>
    <col min="14091" max="14091" width="10.140625" style="14" customWidth="1"/>
    <col min="14092" max="14092" width="11.7109375" style="14" customWidth="1"/>
    <col min="14093" max="14093" width="11.42578125" style="14" customWidth="1"/>
    <col min="14094" max="14094" width="12.7109375" style="14" customWidth="1"/>
    <col min="14095" max="14095" width="11.42578125" style="14" customWidth="1"/>
    <col min="14096" max="14096" width="10.7109375" style="14" customWidth="1"/>
    <col min="14097" max="14097" width="10.5703125" style="14" customWidth="1"/>
    <col min="14098" max="14098" width="11.28515625" style="14" customWidth="1"/>
    <col min="14099" max="14099" width="9.7109375" style="14" customWidth="1"/>
    <col min="14100" max="14100" width="12" style="14" customWidth="1"/>
    <col min="14101" max="14101" width="11.28515625" style="14" customWidth="1"/>
    <col min="14102" max="14339" width="9.140625" style="14"/>
    <col min="14340" max="14340" width="5.7109375" style="14" customWidth="1"/>
    <col min="14341" max="14341" width="13.140625" style="14" customWidth="1"/>
    <col min="14342" max="14342" width="12.28515625" style="14" customWidth="1"/>
    <col min="14343" max="14343" width="8.85546875" style="14" customWidth="1"/>
    <col min="14344" max="14344" width="10.85546875" style="14" customWidth="1"/>
    <col min="14345" max="14345" width="2.85546875" style="14" customWidth="1"/>
    <col min="14346" max="14346" width="12.140625" style="14" customWidth="1"/>
    <col min="14347" max="14347" width="10.140625" style="14" customWidth="1"/>
    <col min="14348" max="14348" width="11.7109375" style="14" customWidth="1"/>
    <col min="14349" max="14349" width="11.42578125" style="14" customWidth="1"/>
    <col min="14350" max="14350" width="12.7109375" style="14" customWidth="1"/>
    <col min="14351" max="14351" width="11.42578125" style="14" customWidth="1"/>
    <col min="14352" max="14352" width="10.7109375" style="14" customWidth="1"/>
    <col min="14353" max="14353" width="10.5703125" style="14" customWidth="1"/>
    <col min="14354" max="14354" width="11.28515625" style="14" customWidth="1"/>
    <col min="14355" max="14355" width="9.7109375" style="14" customWidth="1"/>
    <col min="14356" max="14356" width="12" style="14" customWidth="1"/>
    <col min="14357" max="14357" width="11.28515625" style="14" customWidth="1"/>
    <col min="14358" max="14595" width="9.140625" style="14"/>
    <col min="14596" max="14596" width="5.7109375" style="14" customWidth="1"/>
    <col min="14597" max="14597" width="13.140625" style="14" customWidth="1"/>
    <col min="14598" max="14598" width="12.28515625" style="14" customWidth="1"/>
    <col min="14599" max="14599" width="8.85546875" style="14" customWidth="1"/>
    <col min="14600" max="14600" width="10.85546875" style="14" customWidth="1"/>
    <col min="14601" max="14601" width="2.85546875" style="14" customWidth="1"/>
    <col min="14602" max="14602" width="12.140625" style="14" customWidth="1"/>
    <col min="14603" max="14603" width="10.140625" style="14" customWidth="1"/>
    <col min="14604" max="14604" width="11.7109375" style="14" customWidth="1"/>
    <col min="14605" max="14605" width="11.42578125" style="14" customWidth="1"/>
    <col min="14606" max="14606" width="12.7109375" style="14" customWidth="1"/>
    <col min="14607" max="14607" width="11.42578125" style="14" customWidth="1"/>
    <col min="14608" max="14608" width="10.7109375" style="14" customWidth="1"/>
    <col min="14609" max="14609" width="10.5703125" style="14" customWidth="1"/>
    <col min="14610" max="14610" width="11.28515625" style="14" customWidth="1"/>
    <col min="14611" max="14611" width="9.7109375" style="14" customWidth="1"/>
    <col min="14612" max="14612" width="12" style="14" customWidth="1"/>
    <col min="14613" max="14613" width="11.28515625" style="14" customWidth="1"/>
    <col min="14614" max="14851" width="9.140625" style="14"/>
    <col min="14852" max="14852" width="5.7109375" style="14" customWidth="1"/>
    <col min="14853" max="14853" width="13.140625" style="14" customWidth="1"/>
    <col min="14854" max="14854" width="12.28515625" style="14" customWidth="1"/>
    <col min="14855" max="14855" width="8.85546875" style="14" customWidth="1"/>
    <col min="14856" max="14856" width="10.85546875" style="14" customWidth="1"/>
    <col min="14857" max="14857" width="2.85546875" style="14" customWidth="1"/>
    <col min="14858" max="14858" width="12.140625" style="14" customWidth="1"/>
    <col min="14859" max="14859" width="10.140625" style="14" customWidth="1"/>
    <col min="14860" max="14860" width="11.7109375" style="14" customWidth="1"/>
    <col min="14861" max="14861" width="11.42578125" style="14" customWidth="1"/>
    <col min="14862" max="14862" width="12.7109375" style="14" customWidth="1"/>
    <col min="14863" max="14863" width="11.42578125" style="14" customWidth="1"/>
    <col min="14864" max="14864" width="10.7109375" style="14" customWidth="1"/>
    <col min="14865" max="14865" width="10.5703125" style="14" customWidth="1"/>
    <col min="14866" max="14866" width="11.28515625" style="14" customWidth="1"/>
    <col min="14867" max="14867" width="9.7109375" style="14" customWidth="1"/>
    <col min="14868" max="14868" width="12" style="14" customWidth="1"/>
    <col min="14869" max="14869" width="11.28515625" style="14" customWidth="1"/>
    <col min="14870" max="15107" width="9.140625" style="14"/>
    <col min="15108" max="15108" width="5.7109375" style="14" customWidth="1"/>
    <col min="15109" max="15109" width="13.140625" style="14" customWidth="1"/>
    <col min="15110" max="15110" width="12.28515625" style="14" customWidth="1"/>
    <col min="15111" max="15111" width="8.85546875" style="14" customWidth="1"/>
    <col min="15112" max="15112" width="10.85546875" style="14" customWidth="1"/>
    <col min="15113" max="15113" width="2.85546875" style="14" customWidth="1"/>
    <col min="15114" max="15114" width="12.140625" style="14" customWidth="1"/>
    <col min="15115" max="15115" width="10.140625" style="14" customWidth="1"/>
    <col min="15116" max="15116" width="11.7109375" style="14" customWidth="1"/>
    <col min="15117" max="15117" width="11.42578125" style="14" customWidth="1"/>
    <col min="15118" max="15118" width="12.7109375" style="14" customWidth="1"/>
    <col min="15119" max="15119" width="11.42578125" style="14" customWidth="1"/>
    <col min="15120" max="15120" width="10.7109375" style="14" customWidth="1"/>
    <col min="15121" max="15121" width="10.5703125" style="14" customWidth="1"/>
    <col min="15122" max="15122" width="11.28515625" style="14" customWidth="1"/>
    <col min="15123" max="15123" width="9.7109375" style="14" customWidth="1"/>
    <col min="15124" max="15124" width="12" style="14" customWidth="1"/>
    <col min="15125" max="15125" width="11.28515625" style="14" customWidth="1"/>
    <col min="15126" max="15363" width="9.140625" style="14"/>
    <col min="15364" max="15364" width="5.7109375" style="14" customWidth="1"/>
    <col min="15365" max="15365" width="13.140625" style="14" customWidth="1"/>
    <col min="15366" max="15366" width="12.28515625" style="14" customWidth="1"/>
    <col min="15367" max="15367" width="8.85546875" style="14" customWidth="1"/>
    <col min="15368" max="15368" width="10.85546875" style="14" customWidth="1"/>
    <col min="15369" max="15369" width="2.85546875" style="14" customWidth="1"/>
    <col min="15370" max="15370" width="12.140625" style="14" customWidth="1"/>
    <col min="15371" max="15371" width="10.140625" style="14" customWidth="1"/>
    <col min="15372" max="15372" width="11.7109375" style="14" customWidth="1"/>
    <col min="15373" max="15373" width="11.42578125" style="14" customWidth="1"/>
    <col min="15374" max="15374" width="12.7109375" style="14" customWidth="1"/>
    <col min="15375" max="15375" width="11.42578125" style="14" customWidth="1"/>
    <col min="15376" max="15376" width="10.7109375" style="14" customWidth="1"/>
    <col min="15377" max="15377" width="10.5703125" style="14" customWidth="1"/>
    <col min="15378" max="15378" width="11.28515625" style="14" customWidth="1"/>
    <col min="15379" max="15379" width="9.7109375" style="14" customWidth="1"/>
    <col min="15380" max="15380" width="12" style="14" customWidth="1"/>
    <col min="15381" max="15381" width="11.28515625" style="14" customWidth="1"/>
    <col min="15382" max="15619" width="9.140625" style="14"/>
    <col min="15620" max="15620" width="5.7109375" style="14" customWidth="1"/>
    <col min="15621" max="15621" width="13.140625" style="14" customWidth="1"/>
    <col min="15622" max="15622" width="12.28515625" style="14" customWidth="1"/>
    <col min="15623" max="15623" width="8.85546875" style="14" customWidth="1"/>
    <col min="15624" max="15624" width="10.85546875" style="14" customWidth="1"/>
    <col min="15625" max="15625" width="2.85546875" style="14" customWidth="1"/>
    <col min="15626" max="15626" width="12.140625" style="14" customWidth="1"/>
    <col min="15627" max="15627" width="10.140625" style="14" customWidth="1"/>
    <col min="15628" max="15628" width="11.7109375" style="14" customWidth="1"/>
    <col min="15629" max="15629" width="11.42578125" style="14" customWidth="1"/>
    <col min="15630" max="15630" width="12.7109375" style="14" customWidth="1"/>
    <col min="15631" max="15631" width="11.42578125" style="14" customWidth="1"/>
    <col min="15632" max="15632" width="10.7109375" style="14" customWidth="1"/>
    <col min="15633" max="15633" width="10.5703125" style="14" customWidth="1"/>
    <col min="15634" max="15634" width="11.28515625" style="14" customWidth="1"/>
    <col min="15635" max="15635" width="9.7109375" style="14" customWidth="1"/>
    <col min="15636" max="15636" width="12" style="14" customWidth="1"/>
    <col min="15637" max="15637" width="11.28515625" style="14" customWidth="1"/>
    <col min="15638" max="15875" width="9.140625" style="14"/>
    <col min="15876" max="15876" width="5.7109375" style="14" customWidth="1"/>
    <col min="15877" max="15877" width="13.140625" style="14" customWidth="1"/>
    <col min="15878" max="15878" width="12.28515625" style="14" customWidth="1"/>
    <col min="15879" max="15879" width="8.85546875" style="14" customWidth="1"/>
    <col min="15880" max="15880" width="10.85546875" style="14" customWidth="1"/>
    <col min="15881" max="15881" width="2.85546875" style="14" customWidth="1"/>
    <col min="15882" max="15882" width="12.140625" style="14" customWidth="1"/>
    <col min="15883" max="15883" width="10.140625" style="14" customWidth="1"/>
    <col min="15884" max="15884" width="11.7109375" style="14" customWidth="1"/>
    <col min="15885" max="15885" width="11.42578125" style="14" customWidth="1"/>
    <col min="15886" max="15886" width="12.7109375" style="14" customWidth="1"/>
    <col min="15887" max="15887" width="11.42578125" style="14" customWidth="1"/>
    <col min="15888" max="15888" width="10.7109375" style="14" customWidth="1"/>
    <col min="15889" max="15889" width="10.5703125" style="14" customWidth="1"/>
    <col min="15890" max="15890" width="11.28515625" style="14" customWidth="1"/>
    <col min="15891" max="15891" width="9.7109375" style="14" customWidth="1"/>
    <col min="15892" max="15892" width="12" style="14" customWidth="1"/>
    <col min="15893" max="15893" width="11.28515625" style="14" customWidth="1"/>
    <col min="15894" max="16131" width="9.140625" style="14"/>
    <col min="16132" max="16132" width="5.7109375" style="14" customWidth="1"/>
    <col min="16133" max="16133" width="13.140625" style="14" customWidth="1"/>
    <col min="16134" max="16134" width="12.28515625" style="14" customWidth="1"/>
    <col min="16135" max="16135" width="8.85546875" style="14" customWidth="1"/>
    <col min="16136" max="16136" width="10.85546875" style="14" customWidth="1"/>
    <col min="16137" max="16137" width="2.85546875" style="14" customWidth="1"/>
    <col min="16138" max="16138" width="12.140625" style="14" customWidth="1"/>
    <col min="16139" max="16139" width="10.140625" style="14" customWidth="1"/>
    <col min="16140" max="16140" width="11.7109375" style="14" customWidth="1"/>
    <col min="16141" max="16141" width="11.42578125" style="14" customWidth="1"/>
    <col min="16142" max="16142" width="12.7109375" style="14" customWidth="1"/>
    <col min="16143" max="16143" width="11.42578125" style="14" customWidth="1"/>
    <col min="16144" max="16144" width="10.7109375" style="14" customWidth="1"/>
    <col min="16145" max="16145" width="10.5703125" style="14" customWidth="1"/>
    <col min="16146" max="16146" width="11.28515625" style="14" customWidth="1"/>
    <col min="16147" max="16147" width="9.7109375" style="14" customWidth="1"/>
    <col min="16148" max="16148" width="12" style="14" customWidth="1"/>
    <col min="16149" max="16149" width="11.28515625" style="14" customWidth="1"/>
    <col min="16150" max="16384" width="9.140625" style="14"/>
  </cols>
  <sheetData>
    <row r="1" spans="4:19" ht="24" customHeight="1" thickBot="1" x14ac:dyDescent="0.25"/>
    <row r="2" spans="4:19" ht="12" customHeight="1" thickBot="1" x14ac:dyDescent="0.25">
      <c r="Q2" s="633" t="s">
        <v>0</v>
      </c>
      <c r="R2" s="634"/>
      <c r="S2" s="635"/>
    </row>
    <row r="3" spans="4:19" ht="13.5" thickBot="1" x14ac:dyDescent="0.25">
      <c r="I3" s="636" t="s">
        <v>1</v>
      </c>
      <c r="J3" s="637"/>
      <c r="K3" s="637"/>
      <c r="L3" s="637"/>
      <c r="M3" s="637"/>
      <c r="N3" s="637"/>
      <c r="O3" s="638"/>
      <c r="Q3" s="611">
        <f>'REYES LARA DANTE'!Q3</f>
        <v>45</v>
      </c>
      <c r="R3" s="639"/>
      <c r="S3" s="612"/>
    </row>
    <row r="4" spans="4:19" ht="13.5" thickBot="1" x14ac:dyDescent="0.25">
      <c r="I4" s="640" t="s">
        <v>2</v>
      </c>
      <c r="J4" s="641"/>
      <c r="K4" s="641"/>
      <c r="L4" s="641"/>
      <c r="M4" s="641"/>
      <c r="N4" s="641"/>
      <c r="O4" s="642"/>
      <c r="Q4" s="18"/>
      <c r="R4" s="18"/>
      <c r="S4" s="18"/>
    </row>
    <row r="5" spans="4:19" ht="13.5" thickBot="1" x14ac:dyDescent="0.25">
      <c r="I5" s="643" t="s">
        <v>3</v>
      </c>
      <c r="J5" s="644"/>
      <c r="K5" s="644"/>
      <c r="L5" s="644"/>
      <c r="M5" s="644"/>
      <c r="N5" s="644"/>
      <c r="O5" s="645"/>
      <c r="Q5" s="611" t="s">
        <v>4</v>
      </c>
      <c r="R5" s="639"/>
      <c r="S5" s="612"/>
    </row>
    <row r="6" spans="4:19" ht="13.5" thickBot="1" x14ac:dyDescent="0.25">
      <c r="I6" s="650" t="s">
        <v>5</v>
      </c>
      <c r="J6" s="651"/>
      <c r="K6" s="651"/>
      <c r="L6" s="651"/>
      <c r="M6" s="651"/>
      <c r="N6" s="651"/>
      <c r="O6" s="652"/>
      <c r="Q6" s="653">
        <f>+'FLORES BOJORQUEZ BRYAN OVED'!Q6+1</f>
        <v>104</v>
      </c>
      <c r="R6" s="654"/>
      <c r="S6" s="655"/>
    </row>
    <row r="7" spans="4:19" ht="9" customHeight="1" x14ac:dyDescent="0.2"/>
    <row r="8" spans="4:19" ht="6.75" customHeight="1" thickBot="1" x14ac:dyDescent="0.25"/>
    <row r="9" spans="4:19" ht="13.5" thickBot="1" x14ac:dyDescent="0.25">
      <c r="I9" s="611" t="s">
        <v>6</v>
      </c>
      <c r="J9" s="639"/>
      <c r="K9" s="639"/>
      <c r="L9" s="639"/>
      <c r="M9" s="639"/>
      <c r="N9" s="639"/>
      <c r="O9" s="612"/>
    </row>
    <row r="10" spans="4:19" ht="11.25" customHeight="1" thickBot="1" x14ac:dyDescent="0.25"/>
    <row r="11" spans="4:19" ht="12.75" x14ac:dyDescent="0.2">
      <c r="D11" s="1" t="s">
        <v>7</v>
      </c>
      <c r="E11" s="656" t="s">
        <v>76</v>
      </c>
      <c r="F11" s="656"/>
      <c r="G11" s="656"/>
      <c r="H11" s="656"/>
      <c r="I11" s="2"/>
      <c r="J11" s="2"/>
      <c r="K11" s="3" t="s">
        <v>8</v>
      </c>
      <c r="L11" s="656" t="str">
        <f>'AGUILAR ESQUIVEL CARLOS'!L11</f>
        <v>SEMANA #45 PERIODO DEL 27 de oct AL 02 de nov DEL 2025</v>
      </c>
      <c r="M11" s="656"/>
      <c r="N11" s="656"/>
      <c r="O11" s="656"/>
      <c r="P11" s="656"/>
      <c r="Q11" s="656"/>
      <c r="R11" s="656"/>
      <c r="S11" s="659"/>
    </row>
    <row r="12" spans="4:19" ht="12.75" x14ac:dyDescent="0.2">
      <c r="D12" s="4" t="s">
        <v>9</v>
      </c>
      <c r="E12" s="624" t="s">
        <v>155</v>
      </c>
      <c r="F12" s="624"/>
      <c r="G12" s="5"/>
      <c r="H12" s="130"/>
      <c r="I12" s="130"/>
      <c r="J12" s="130"/>
      <c r="K12" s="130"/>
      <c r="L12" s="130"/>
      <c r="M12" s="130"/>
      <c r="N12" s="130"/>
      <c r="O12" s="130"/>
      <c r="P12" s="130"/>
      <c r="Q12" s="130"/>
      <c r="R12" s="130"/>
      <c r="S12" s="256"/>
    </row>
    <row r="13" spans="4:19" ht="9.75" customHeight="1" x14ac:dyDescent="0.2">
      <c r="D13" s="623"/>
      <c r="E13" s="624"/>
      <c r="F13" s="130"/>
      <c r="G13" s="130"/>
      <c r="H13" s="130"/>
      <c r="I13" s="130"/>
      <c r="J13" s="130"/>
      <c r="K13" s="130"/>
      <c r="L13" s="130"/>
      <c r="M13" s="130"/>
      <c r="N13" s="130"/>
      <c r="O13" s="130"/>
      <c r="P13" s="130"/>
      <c r="Q13" s="130"/>
      <c r="R13" s="130"/>
      <c r="S13" s="256"/>
    </row>
    <row r="14" spans="4:19" ht="12.75" x14ac:dyDescent="0.2">
      <c r="D14" s="625" t="s">
        <v>10</v>
      </c>
      <c r="E14" s="626"/>
      <c r="F14" s="130">
        <v>105625</v>
      </c>
      <c r="G14" s="130"/>
      <c r="H14" s="130"/>
      <c r="I14" s="6" t="s">
        <v>11</v>
      </c>
      <c r="J14" s="6"/>
      <c r="K14" s="130"/>
      <c r="L14" s="130"/>
      <c r="M14" s="130"/>
      <c r="N14" s="130"/>
      <c r="O14" s="6" t="s">
        <v>12</v>
      </c>
      <c r="P14" s="7"/>
      <c r="Q14" s="7"/>
      <c r="R14" s="7"/>
      <c r="S14" s="8"/>
    </row>
    <row r="15" spans="4:19" ht="12.75" x14ac:dyDescent="0.2">
      <c r="D15" s="625" t="s">
        <v>13</v>
      </c>
      <c r="E15" s="626"/>
      <c r="F15" s="130">
        <v>106338</v>
      </c>
      <c r="G15" s="130"/>
      <c r="H15" s="130"/>
      <c r="I15" s="6" t="s">
        <v>14</v>
      </c>
      <c r="J15" s="6"/>
      <c r="K15" s="130"/>
      <c r="L15" s="130"/>
      <c r="M15" s="130"/>
      <c r="N15" s="130"/>
      <c r="O15" s="6" t="s">
        <v>15</v>
      </c>
      <c r="P15" s="130"/>
      <c r="Q15" s="130"/>
      <c r="R15" s="130"/>
      <c r="S15" s="256"/>
    </row>
    <row r="16" spans="4:19" ht="13.5" thickBot="1" x14ac:dyDescent="0.25">
      <c r="D16" s="627" t="s">
        <v>16</v>
      </c>
      <c r="E16" s="628"/>
      <c r="F16" s="257">
        <f>SUM(J19:J32)</f>
        <v>2300</v>
      </c>
      <c r="G16" s="257"/>
      <c r="H16" s="257"/>
      <c r="I16" s="9" t="s">
        <v>17</v>
      </c>
      <c r="J16" s="257">
        <f>SUM(K19:K32)</f>
        <v>676.01</v>
      </c>
      <c r="K16" s="257"/>
      <c r="L16" s="257"/>
      <c r="M16" s="257"/>
      <c r="N16" s="257"/>
      <c r="O16" s="9" t="s">
        <v>18</v>
      </c>
      <c r="P16" s="10">
        <f>+F16/J16</f>
        <v>3.4023165337790862</v>
      </c>
      <c r="Q16" s="257"/>
      <c r="R16" s="257"/>
      <c r="S16" s="258"/>
    </row>
    <row r="17" spans="3:22" ht="7.5" customHeight="1" thickBot="1" x14ac:dyDescent="0.25"/>
    <row r="18" spans="3:22" ht="33" customHeight="1" thickBot="1" x14ac:dyDescent="0.25">
      <c r="C18" s="243" t="s">
        <v>19</v>
      </c>
      <c r="D18" s="33" t="s">
        <v>20</v>
      </c>
      <c r="E18" s="34" t="s">
        <v>21</v>
      </c>
      <c r="F18" s="34" t="s">
        <v>22</v>
      </c>
      <c r="G18" s="34" t="s">
        <v>23</v>
      </c>
      <c r="H18" s="34" t="s">
        <v>24</v>
      </c>
      <c r="I18" s="34" t="s">
        <v>25</v>
      </c>
      <c r="J18" s="34" t="s">
        <v>26</v>
      </c>
      <c r="K18" s="34" t="s">
        <v>27</v>
      </c>
      <c r="L18" s="34" t="s">
        <v>28</v>
      </c>
      <c r="M18" s="34" t="s">
        <v>285</v>
      </c>
      <c r="N18" s="34" t="s">
        <v>29</v>
      </c>
      <c r="O18" s="34" t="s">
        <v>30</v>
      </c>
      <c r="P18" s="33" t="s">
        <v>31</v>
      </c>
      <c r="Q18" s="34" t="s">
        <v>219</v>
      </c>
      <c r="R18" s="34" t="s">
        <v>184</v>
      </c>
      <c r="S18" s="34" t="s">
        <v>33</v>
      </c>
      <c r="T18" s="35" t="s">
        <v>220</v>
      </c>
    </row>
    <row r="19" spans="3:22" x14ac:dyDescent="0.2">
      <c r="C19" s="176">
        <v>46108</v>
      </c>
      <c r="D19" s="43" t="s">
        <v>398</v>
      </c>
      <c r="E19" s="42">
        <v>45958</v>
      </c>
      <c r="F19" s="42">
        <v>45959</v>
      </c>
      <c r="G19" s="43">
        <v>2</v>
      </c>
      <c r="H19" s="236" t="str">
        <f>IF(G19=1,KILOMETRAJE!C$4,IF(G19=2,KILOMETRAJE!C$5,IF(G19=3,KILOMETRAJE!C$6,IF(G19=4,KILOMETRAJE!C$7,IF(G19=5,KILOMETRAJE!C$8,IF(G19=6,KILOMETRAJE!C$9,IF(G19=7,KILOMETRAJE!C$10,IF(G19=8,KILOMETRAJE!C$11,IF(G19=9,KILOMETRAJE!C$12,IF(G19=10,KILOMETRAJE!C$13,IF(G19=11,KILOMETRAJE!C$14,IF(G19=12,KILOMETRAJE!C$15,IF(G19=13,KILOMETRAJE!C$16,IF(G19=14,KILOMETRAJE!C$17,IF(G19=15,KILOMETRAJE!C$18,IF(G19=16,KILOMETRAJE!C$19,IF(G19=17,KILOMETRAJE!C$20,IF(G19=18,KILOMETRAJE!C$21,IF(G19=19,KILOMETRAJE!C$22,IF(G19=20,KILOMETRAJE!C$23,IF(G19=21,KILOMETRAJE!C$24,IF(G19=22,KILOMETRAJE!C$25,IF(G19=23,KILOMETRAJE!C$26,IF(G19=24,KILOMETRAJE!C$27,IF(G19=25,KILOMETRAJE!C$28,IF(G19=26,KILOMETRAJE!C$29,IF(G19=27,KILOMETRAJE!C$30,IF(G19=28,KILOMETRAJE!C$31,IF(G19=29,KILOMETRAJE!C$32,IF(G19=30,KILOMETRAJE!C$33,IF(G19=31,KILOMETRAJE!C$34,IF(G19=32,KILOMETRAJE!C$35,IF(G19=33,KILOMETRAJE!C$36,IF(G19=34,KILOMETRAJE!C$37,IF(G19=35,KILOMETRAJE!C$38,IF(G19=36,KILOMETRAJE!C$39,IF(G19=37,KILOMETRAJE!C$40,IF(G19=38,KILOMETRAJE!C$41,IF(G19=39,KILOMETRAJE!C$42,IF(G19=40,KILOMETRAJE!C$43,IF(G19=41,KILOMETRAJE!C$44,IF(G19=42,KILOMETRAJE!C$45,IF(G19=43,KILOMETRAJE!C$46,IF(G19=44,KILOMETRAJE!C$47,IF(G19=45,KILOMETRAJE!C$48,IF(G19=46,KILOMETRAJE!C$49,IF(G19=47,KILOMETRAJE!C$50,IF(G19=48,KILOMETRAJE!C$51,IF(G19=49,KILOMETRAJE!C$52,IF(G19=50,KILOMETRAJE!C$53,IF(G19=51,KILOMETRAJE!C$54,IF(G19=52,KILOMETRAJE!C$55,IF(G19=53,KILOMETRAJE!C$56,IF(G19=54,KILOMETRAJE!C$57,IF(G19=55,KILOMETRAJE!C$58,IF(G19=56,KILOMETRAJE!C$59,IF(G19=57,KILOMETRAJE!C$60,IF(G19=58,KILOMETRAJE!C$61,IF(G19=59,KILOMETRAJE!C$62,IF(G19=60,KILOMETRAJE!C$63,IF(G19=61,KILOMETRAJE!C$64,IF(G19=62,KILOMETRAJE!C$65,IF(G19=63,KILOMETRAJE!C$66)))))))))))))))))))))))))))))))))))))))))))))))))))))))))))))))</f>
        <v>JRZ</v>
      </c>
      <c r="I19" s="236" t="str">
        <f>IF(G19=1,KILOMETRAJE!E$4,IF(G19=2,KILOMETRAJE!E$5,IF(G19=3,KILOMETRAJE!E$6,IF(G19=4,KILOMETRAJE!E$7,IF(G19=5,KILOMETRAJE!E$8,IF(G19=6,KILOMETRAJE!E$9,IF(G19=7,KILOMETRAJE!E$10,IF(G19=8,KILOMETRAJE!E$11,IF(G19=9,KILOMETRAJE!E$12,IF(G19=10,KILOMETRAJE!E$13,IF(G19=11,KILOMETRAJE!E$14,IF(G19=12,KILOMETRAJE!E$15,IF(G19=13,KILOMETRAJE!E$16,IF(G19=14,KILOMETRAJE!E$17,IF(G19=15,KILOMETRAJE!E$18,IF(G19=16,KILOMETRAJE!E$19,IF(G19=17,KILOMETRAJE!E$20,IF(G19=18,KILOMETRAJE!E$21,IF(G19=19,KILOMETRAJE!E$22,IF(G19=20,KILOMETRAJE!E$23,IF(G19=21,KILOMETRAJE!E$24,IF(G19=22,KILOMETRAJE!E$25,IF(G19=23,KILOMETRAJE!E$26,IF(G19=24,KILOMETRAJE!E$27,IF(G19=25,KILOMETRAJE!E$28,IF(G19=26,KILOMETRAJE!E$29,IF(G19=27,KILOMETRAJE!E$30,IF(G19=28,KILOMETRAJE!E$31,IF(G19=29,KILOMETRAJE!E$32,IF(G19=30,KILOMETRAJE!E$33,IF(G19=31,KILOMETRAJE!E$34,IF(G19=32,KILOMETRAJE!E$35,IF(G19=33,KILOMETRAJE!E$36,IF(G19=34,KILOMETRAJE!E$37,IF(G19=35,KILOMETRAJE!E$38,IF(G19=36,KILOMETRAJE!E$39,IF(G19=37,KILOMETRAJE!E$40,IF(G19=38,KILOMETRAJE!E$41,IF(G19=39,KILOMETRAJE!E$42,IF(G19=40,KILOMETRAJE!E$43,IF(G19=41,KILOMETRAJE!E$44,IF(G19=42,KILOMETRAJE!E$45,IF(G19=43,KILOMETRAJE!E$46,IF(G19=44,KILOMETRAJE!E$47,IF(G19=45,KILOMETRAJE!E$48,IF(G19=46,KILOMETRAJE!E$49,IF(G19=47,KILOMETRAJE!E$50,IF(G19=48,KILOMETRAJE!E$51,IF(G19=49,KILOMETRAJE!E$52,IF(G19=50,KILOMETRAJE!E$53,IF(G19=51,KILOMETRAJE!E$54,IF(G19=52,KILOMETRAJE!E$55,IF(G19=53,KILOMETRAJE!E$56,IF(G19=54,KILOMETRAJE!E$57,IF(G19=55,KILOMETRAJE!E$58,IF(G19=56,KILOMETRAJE!E$59,IF(G19=57,KILOMETRAJE!E$60,IF(G19=58,KILOMETRAJE!E$61,IF(G19=59,KILOMETRAJE!E$62,IF(G19=60,KILOMETRAJE!E$63,IF(G19=61,KILOMETRAJE!E$64,IF(G19=62,KILOMETRAJE!E$65,IF(G19=63,KILOMETRAJE!E$66)))))))))))))))))))))))))))))))))))))))))))))))))))))))))))))))</f>
        <v>CHIH.</v>
      </c>
      <c r="J19" s="237">
        <f>IF(G19=1,KILOMETRAJE!G$4,IF(G19=2,KILOMETRAJE!G$5,IF(G19=3,KILOMETRAJE!G$6,IF(G19=4,KILOMETRAJE!G$7,IF(G19=5,KILOMETRAJE!G$8,IF(G19=6,KILOMETRAJE!G$9,IF(G19=7,KILOMETRAJE!G$10,IF(G19=8,KILOMETRAJE!G$11,IF(G19=9,KILOMETRAJE!G$12,IF(G19=10,KILOMETRAJE!G$13,IF(G19=11,KILOMETRAJE!G$14,IF(G19=12,KILOMETRAJE!G$15,IF(G19=13,KILOMETRAJE!G$16,IF(G19=14,KILOMETRAJE!G$17,IF(G19=15,KILOMETRAJE!G$18,IF(G19=16,KILOMETRAJE!G$19,IF(G19=17,KILOMETRAJE!G$20,IF(G19=18,KILOMETRAJE!G$21,IF(G19=19,KILOMETRAJE!G$22,IF(G19=20,KILOMETRAJE!G$23,IF(G19=21,KILOMETRAJE!G$24,IF(G19=22,KILOMETRAJE!G$25,IF(G19=23,KILOMETRAJE!G$26,IF(G19=24,KILOMETRAJE!G$27,IF(G19=25,KILOMETRAJE!G$28,IF(G19=26,KILOMETRAJE!G$29,IF(G19=27,KILOMETRAJE!G$30,IF(G19=28,KILOMETRAJE!G$31,IF(G19=29,KILOMETRAJE!G$32,IF(G19=30,KILOMETRAJE!G$33,IF(G19=31,KILOMETRAJE!G$34,IF(G19=32,KILOMETRAJE!G$35,IF(G19=33,KILOMETRAJE!G$36,IF(G19=34,KILOMETRAJE!G$37,IF(G19=35,KILOMETRAJE!G$38,IF(G19=36,KILOMETRAJE!G$39,IF(G19=37,KILOMETRAJE!G$40,IF(G19=38,KILOMETRAJE!G$41,IF(G19=39,KILOMETRAJE!G$42,IF(G19=40,KILOMETRAJE!G$43,IF(G19=41,KILOMETRAJE!G$44,IF(G19=42,KILOMETRAJE!G$45,IF(G19=43,KILOMETRAJE!G$46,IF(G19=44,KILOMETRAJE!G$47,IF(G19=45,KILOMETRAJE!G$48,IF(G19=46,KILOMETRAJE!G$49,IF(G19=47,KILOMETRAJE!G$50,IF(G19=48,KILOMETRAJE!G$51,IF(G19=49,KILOMETRAJE!G$52,IF(G19=50,KILOMETRAJE!G$53,IF(G19=51,KILOMETRAJE!G$54,IF(G19=52,KILOMETRAJE!G$55,IF(G19=53,KILOMETRAJE!G$56,IF(G19=54,KILOMETRAJE!G$57,IF(G19=55,KILOMETRAJE!G$58,IF(G19=56,KILOMETRAJE!G$59,IF(G19=57,KILOMETRAJE!G$60,IF(G19=58,KILOMETRAJE!G$61,IF(G19=59,KILOMETRAJE!G$62,IF(G19=60,KILOMETRAJE!G$63,IF(G19=61,KILOMETRAJE!G$64,IF(G19=62,KILOMETRAJE!G$65,IF(G19=63,KILOMETRAJE!G$66)))))))))))))))))))))))))))))))))))))))))))))))))))))))))))))))</f>
        <v>375</v>
      </c>
      <c r="K19" s="24"/>
      <c r="L19" s="44"/>
      <c r="M19" s="348">
        <v>7981</v>
      </c>
      <c r="N19" s="24">
        <v>1</v>
      </c>
      <c r="O19" s="24" t="s">
        <v>400</v>
      </c>
      <c r="P19" s="24" t="s">
        <v>193</v>
      </c>
      <c r="Q19" s="45">
        <f>((((IF(N19=1,((J19)*0.29333)))+(IF(N19=2,((J19)*0.146666)))+(IF(N19=3,((J19)*0.146666)))))+(IF(N19=4,((J19-40)*0.29333)))+(IF(N19=5,((J19-50)*0.29333)))+(IF(N19=6,((J19-90)*0.29333))))</f>
        <v>109.99874999999999</v>
      </c>
      <c r="R19" s="191"/>
      <c r="S19" s="52"/>
      <c r="T19" s="46"/>
      <c r="U19" s="15" t="s">
        <v>376</v>
      </c>
      <c r="V19" s="15" t="s">
        <v>376</v>
      </c>
    </row>
    <row r="20" spans="3:22" ht="12.75" thickBot="1" x14ac:dyDescent="0.25">
      <c r="C20" s="101"/>
      <c r="D20" s="62" t="s">
        <v>399</v>
      </c>
      <c r="E20" s="25">
        <v>45959</v>
      </c>
      <c r="F20" s="25">
        <v>45959</v>
      </c>
      <c r="G20" s="62">
        <v>3</v>
      </c>
      <c r="H20" s="27" t="str">
        <f>IF(G20=1,KILOMETRAJE!C$4,IF(G20=2,KILOMETRAJE!C$5,IF(G20=3,KILOMETRAJE!C$6,IF(G20=4,KILOMETRAJE!C$7,IF(G20=5,KILOMETRAJE!C$8,IF(G20=6,KILOMETRAJE!C$9,IF(G20=7,KILOMETRAJE!C$10,IF(G20=8,KILOMETRAJE!C$11,IF(G20=9,KILOMETRAJE!C$12,IF(G20=10,KILOMETRAJE!C$13,IF(G20=11,KILOMETRAJE!C$14,IF(G20=12,KILOMETRAJE!C$15,IF(G20=13,KILOMETRAJE!C$16,IF(G20=14,KILOMETRAJE!C$17,IF(G20=15,KILOMETRAJE!C$18,IF(G20=16,KILOMETRAJE!C$19,IF(G20=17,KILOMETRAJE!C$20,IF(G20=18,KILOMETRAJE!C$21,IF(G20=19,KILOMETRAJE!C$22,IF(G20=20,KILOMETRAJE!C$23,IF(G20=21,KILOMETRAJE!C$24,IF(G20=22,KILOMETRAJE!C$25,IF(G20=23,KILOMETRAJE!C$26,IF(G20=24,KILOMETRAJE!C$27,IF(G20=25,KILOMETRAJE!C$28,IF(G20=26,KILOMETRAJE!C$29,IF(G20=27,KILOMETRAJE!C$30,IF(G20=28,KILOMETRAJE!C$31,IF(G20=29,KILOMETRAJE!C$32,IF(G20=30,KILOMETRAJE!C$33,IF(G20=31,KILOMETRAJE!C$34,IF(G20=32,KILOMETRAJE!C$35,IF(G20=33,KILOMETRAJE!C$36,IF(G20=34,KILOMETRAJE!C$37,IF(G20=35,KILOMETRAJE!C$38,IF(G20=36,KILOMETRAJE!C$39,IF(G20=37,KILOMETRAJE!C$40,IF(G20=38,KILOMETRAJE!C$41,IF(G20=39,KILOMETRAJE!C$42,IF(G20=40,KILOMETRAJE!C$43,IF(G20=41,KILOMETRAJE!C$44,IF(G20=42,KILOMETRAJE!C$45,IF(G20=43,KILOMETRAJE!C$46,IF(G20=44,KILOMETRAJE!C$47,IF(G20=45,KILOMETRAJE!C$48,IF(G20=46,KILOMETRAJE!C$49,IF(G20=47,KILOMETRAJE!C$50,IF(G20=48,KILOMETRAJE!C$51,IF(G20=49,KILOMETRAJE!C$52,IF(G20=50,KILOMETRAJE!C$53,IF(G20=51,KILOMETRAJE!C$54,IF(G20=52,KILOMETRAJE!C$55,IF(G20=53,KILOMETRAJE!C$56,IF(G20=54,KILOMETRAJE!C$57,IF(G20=55,KILOMETRAJE!C$58,IF(G20=56,KILOMETRAJE!C$59,IF(G20=57,KILOMETRAJE!C$60,IF(G20=58,KILOMETRAJE!C$61,IF(G20=59,KILOMETRAJE!C$62,IF(G20=60,KILOMETRAJE!C$63,IF(G20=61,KILOMETRAJE!C$64,IF(G20=62,KILOMETRAJE!C$65,IF(G20=63,KILOMETRAJE!C$66)))))))))))))))))))))))))))))))))))))))))))))))))))))))))))))))</f>
        <v xml:space="preserve">CHIH. </v>
      </c>
      <c r="I20" s="27" t="str">
        <f>IF(G20=1,KILOMETRAJE!E$4,IF(G20=2,KILOMETRAJE!E$5,IF(G20=3,KILOMETRAJE!E$6,IF(G20=4,KILOMETRAJE!E$7,IF(G20=5,KILOMETRAJE!E$8,IF(G20=6,KILOMETRAJE!E$9,IF(G20=7,KILOMETRAJE!E$10,IF(G20=8,KILOMETRAJE!E$11,IF(G20=9,KILOMETRAJE!E$12,IF(G20=10,KILOMETRAJE!E$13,IF(G20=11,KILOMETRAJE!E$14,IF(G20=12,KILOMETRAJE!E$15,IF(G20=13,KILOMETRAJE!E$16,IF(G20=14,KILOMETRAJE!E$17,IF(G20=15,KILOMETRAJE!E$18,IF(G20=16,KILOMETRAJE!E$19,IF(G20=17,KILOMETRAJE!E$20,IF(G20=18,KILOMETRAJE!E$21,IF(G20=19,KILOMETRAJE!E$22,IF(G20=20,KILOMETRAJE!E$23,IF(G20=21,KILOMETRAJE!E$24,IF(G20=22,KILOMETRAJE!E$25,IF(G20=23,KILOMETRAJE!E$26,IF(G20=24,KILOMETRAJE!E$27,IF(G20=25,KILOMETRAJE!E$28,IF(G20=26,KILOMETRAJE!E$29,IF(G20=27,KILOMETRAJE!E$30,IF(G20=28,KILOMETRAJE!E$31,IF(G20=29,KILOMETRAJE!E$32,IF(G20=30,KILOMETRAJE!E$33,IF(G20=31,KILOMETRAJE!E$34,IF(G20=32,KILOMETRAJE!E$35,IF(G20=33,KILOMETRAJE!E$36,IF(G20=34,KILOMETRAJE!E$37,IF(G20=35,KILOMETRAJE!E$38,IF(G20=36,KILOMETRAJE!E$39,IF(G20=37,KILOMETRAJE!E$40,IF(G20=38,KILOMETRAJE!E$41,IF(G20=39,KILOMETRAJE!E$42,IF(G20=40,KILOMETRAJE!E$43,IF(G20=41,KILOMETRAJE!E$44,IF(G20=42,KILOMETRAJE!E$45,IF(G20=43,KILOMETRAJE!E$46,IF(G20=44,KILOMETRAJE!E$47,IF(G20=45,KILOMETRAJE!E$48,IF(G20=46,KILOMETRAJE!E$49,IF(G20=47,KILOMETRAJE!E$50,IF(G20=48,KILOMETRAJE!E$51,IF(G20=49,KILOMETRAJE!E$52,IF(G20=50,KILOMETRAJE!E$53,IF(G20=51,KILOMETRAJE!E$54,IF(G20=52,KILOMETRAJE!E$55,IF(G20=53,KILOMETRAJE!E$56,IF(G20=54,KILOMETRAJE!E$57,IF(G20=55,KILOMETRAJE!E$58,IF(G20=56,KILOMETRAJE!E$59,IF(G20=57,KILOMETRAJE!E$60,IF(G20=58,KILOMETRAJE!E$61,IF(G20=59,KILOMETRAJE!E$62,IF(G20=60,KILOMETRAJE!E$63,IF(G20=61,KILOMETRAJE!E$64,IF(G20=62,KILOMETRAJE!E$65,IF(G20=63,KILOMETRAJE!E$66)))))))))))))))))))))))))))))))))))))))))))))))))))))))))))))))</f>
        <v>JRZ</v>
      </c>
      <c r="J20" s="31">
        <f>IF(G20=1,KILOMETRAJE!G$4,IF(G20=2,KILOMETRAJE!G$5,IF(G20=3,KILOMETRAJE!G$6,IF(G20=4,KILOMETRAJE!G$7,IF(G20=5,KILOMETRAJE!G$8,IF(G20=6,KILOMETRAJE!G$9,IF(G20=7,KILOMETRAJE!G$10,IF(G20=8,KILOMETRAJE!G$11,IF(G20=9,KILOMETRAJE!G$12,IF(G20=10,KILOMETRAJE!G$13,IF(G20=11,KILOMETRAJE!G$14,IF(G20=12,KILOMETRAJE!G$15,IF(G20=13,KILOMETRAJE!G$16,IF(G20=14,KILOMETRAJE!G$17,IF(G20=15,KILOMETRAJE!G$18,IF(G20=16,KILOMETRAJE!G$19,IF(G20=17,KILOMETRAJE!G$20,IF(G20=18,KILOMETRAJE!G$21,IF(G20=19,KILOMETRAJE!G$22,IF(G20=20,KILOMETRAJE!G$23,IF(G20=21,KILOMETRAJE!G$24,IF(G20=22,KILOMETRAJE!G$25,IF(G20=23,KILOMETRAJE!G$26,IF(G20=24,KILOMETRAJE!G$27,IF(G20=25,KILOMETRAJE!G$28,IF(G20=26,KILOMETRAJE!G$29,IF(G20=27,KILOMETRAJE!G$30,IF(G20=28,KILOMETRAJE!G$31,IF(G20=29,KILOMETRAJE!G$32,IF(G20=30,KILOMETRAJE!G$33,IF(G20=31,KILOMETRAJE!G$34,IF(G20=32,KILOMETRAJE!G$35,IF(G20=33,KILOMETRAJE!G$36,IF(G20=34,KILOMETRAJE!G$37,IF(G20=35,KILOMETRAJE!G$38,IF(G20=36,KILOMETRAJE!G$39,IF(G20=37,KILOMETRAJE!G$40,IF(G20=38,KILOMETRAJE!G$41,IF(G20=39,KILOMETRAJE!G$42,IF(G20=40,KILOMETRAJE!G$43,IF(G20=41,KILOMETRAJE!G$44,IF(G20=42,KILOMETRAJE!G$45,IF(G20=43,KILOMETRAJE!G$46,IF(G20=44,KILOMETRAJE!G$47,IF(G20=45,KILOMETRAJE!G$48,IF(G20=46,KILOMETRAJE!G$49,IF(G20=47,KILOMETRAJE!G$50,IF(G20=48,KILOMETRAJE!G$51,IF(G20=49,KILOMETRAJE!G$52,IF(G20=50,KILOMETRAJE!G$53,IF(G20=51,KILOMETRAJE!G$54,IF(G20=52,KILOMETRAJE!G$55,IF(G20=53,KILOMETRAJE!G$56,IF(G20=54,KILOMETRAJE!G$57,IF(G20=55,KILOMETRAJE!G$58,IF(G20=56,KILOMETRAJE!G$59,IF(G20=57,KILOMETRAJE!G$60,IF(G20=58,KILOMETRAJE!G$61,IF(G20=59,KILOMETRAJE!G$62,IF(G20=60,KILOMETRAJE!G$63,IF(G20=61,KILOMETRAJE!G$64,IF(G20=62,KILOMETRAJE!G$65,IF(G20=63,KILOMETRAJE!G$66)))))))))))))))))))))))))))))))))))))))))))))))))))))))))))))))</f>
        <v>375</v>
      </c>
      <c r="K20" s="27">
        <v>220</v>
      </c>
      <c r="L20" s="28">
        <f>SUM(J19:J20)/K20</f>
        <v>3.4090909090909092</v>
      </c>
      <c r="M20" s="349">
        <v>20000</v>
      </c>
      <c r="N20" s="27">
        <v>1</v>
      </c>
      <c r="O20" s="27" t="s">
        <v>401</v>
      </c>
      <c r="P20" s="27" t="s">
        <v>247</v>
      </c>
      <c r="Q20" s="29">
        <f>((((IF(N20=1,((J19:J20)*0.29333)))+(IF(N20=2,((J20)*0.146666)))+(IF(N20=3,((J20)*0.146666)))))+(IF(N20=4,((J20-40)*0.29333)))+(IF(N20=5,((J20-50)*0.29333)))+(IF(N20=6,((J20-90)*0.29333))))</f>
        <v>109.99874999999999</v>
      </c>
      <c r="R20" s="190">
        <f>+LOOKUP(P40,UNIDADES!B$3:B$59,UNIDADES!C$3:C$59)</f>
        <v>2.4509799999999999</v>
      </c>
      <c r="S20" s="19">
        <f>+((SUM(J19:J20))/R20)-K20</f>
        <v>86.000048960007859</v>
      </c>
      <c r="T20" s="30">
        <f>+S20*14.85</f>
        <v>1277.1007270561167</v>
      </c>
      <c r="U20" s="15">
        <v>59</v>
      </c>
      <c r="V20" s="15">
        <v>58</v>
      </c>
    </row>
    <row r="21" spans="3:22" x14ac:dyDescent="0.2">
      <c r="C21" s="238">
        <v>46146</v>
      </c>
      <c r="D21" s="36" t="s">
        <v>441</v>
      </c>
      <c r="E21" s="37">
        <v>45960</v>
      </c>
      <c r="F21" s="37">
        <v>45961</v>
      </c>
      <c r="G21" s="36">
        <v>2</v>
      </c>
      <c r="H21" s="236" t="str">
        <f>IF(G21=1,KILOMETRAJE!C$4,IF(G21=2,KILOMETRAJE!C$5,IF(G21=3,KILOMETRAJE!C$6,IF(G21=4,KILOMETRAJE!C$7,IF(G21=5,KILOMETRAJE!C$8,IF(G21=6,KILOMETRAJE!C$9,IF(G21=7,KILOMETRAJE!C$10,IF(G21=8,KILOMETRAJE!C$11,IF(G21=9,KILOMETRAJE!C$12,IF(G21=10,KILOMETRAJE!C$13,IF(G21=11,KILOMETRAJE!C$14,IF(G21=12,KILOMETRAJE!C$15,IF(G21=13,KILOMETRAJE!C$16,IF(G21=14,KILOMETRAJE!C$17,IF(G21=15,KILOMETRAJE!C$18,IF(G21=16,KILOMETRAJE!C$19,IF(G21=17,KILOMETRAJE!C$20,IF(G21=18,KILOMETRAJE!C$21,IF(G21=19,KILOMETRAJE!C$22,IF(G21=20,KILOMETRAJE!C$23,IF(G21=21,KILOMETRAJE!C$24,IF(G21=22,KILOMETRAJE!C$25,IF(G21=23,KILOMETRAJE!C$26,IF(G21=24,KILOMETRAJE!C$27,IF(G21=25,KILOMETRAJE!C$28,IF(G21=26,KILOMETRAJE!C$29,IF(G21=27,KILOMETRAJE!C$30,IF(G21=28,KILOMETRAJE!C$31,IF(G21=29,KILOMETRAJE!C$32,IF(G21=30,KILOMETRAJE!C$33,IF(G21=31,KILOMETRAJE!C$34,IF(G21=32,KILOMETRAJE!C$35,IF(G21=33,KILOMETRAJE!C$36,IF(G21=34,KILOMETRAJE!C$37,IF(G21=35,KILOMETRAJE!C$38,IF(G21=36,KILOMETRAJE!C$39,IF(G21=37,KILOMETRAJE!C$40,IF(G21=38,KILOMETRAJE!C$41,IF(G21=39,KILOMETRAJE!C$42,IF(G21=40,KILOMETRAJE!C$43,IF(G21=41,KILOMETRAJE!C$44,IF(G21=42,KILOMETRAJE!C$45,IF(G21=43,KILOMETRAJE!C$46,IF(G21=44,KILOMETRAJE!C$47,IF(G21=45,KILOMETRAJE!C$48,IF(G21=46,KILOMETRAJE!C$49,IF(G21=47,KILOMETRAJE!C$50,IF(G21=48,KILOMETRAJE!C$51,IF(G21=49,KILOMETRAJE!C$52,IF(G21=50,KILOMETRAJE!C$53,IF(G21=51,KILOMETRAJE!C$54,IF(G21=52,KILOMETRAJE!C$55,IF(G21=53,KILOMETRAJE!C$56,IF(G21=54,KILOMETRAJE!C$57,IF(G21=55,KILOMETRAJE!C$58,IF(G21=56,KILOMETRAJE!C$59,IF(G21=57,KILOMETRAJE!C$60,IF(G21=58,KILOMETRAJE!C$61,IF(G21=59,KILOMETRAJE!C$62,IF(G21=60,KILOMETRAJE!C$63,IF(G21=61,KILOMETRAJE!C$64,IF(G21=62,KILOMETRAJE!C$65,IF(G21=63,KILOMETRAJE!C$66)))))))))))))))))))))))))))))))))))))))))))))))))))))))))))))))</f>
        <v>JRZ</v>
      </c>
      <c r="I21" s="236" t="str">
        <f>IF(G21=1,KILOMETRAJE!E$4,IF(G21=2,KILOMETRAJE!E$5,IF(G21=3,KILOMETRAJE!E$6,IF(G21=4,KILOMETRAJE!E$7,IF(G21=5,KILOMETRAJE!E$8,IF(G21=6,KILOMETRAJE!E$9,IF(G21=7,KILOMETRAJE!E$10,IF(G21=8,KILOMETRAJE!E$11,IF(G21=9,KILOMETRAJE!E$12,IF(G21=10,KILOMETRAJE!E$13,IF(G21=11,KILOMETRAJE!E$14,IF(G21=12,KILOMETRAJE!E$15,IF(G21=13,KILOMETRAJE!E$16,IF(G21=14,KILOMETRAJE!E$17,IF(G21=15,KILOMETRAJE!E$18,IF(G21=16,KILOMETRAJE!E$19,IF(G21=17,KILOMETRAJE!E$20,IF(G21=18,KILOMETRAJE!E$21,IF(G21=19,KILOMETRAJE!E$22,IF(G21=20,KILOMETRAJE!E$23,IF(G21=21,KILOMETRAJE!E$24,IF(G21=22,KILOMETRAJE!E$25,IF(G21=23,KILOMETRAJE!E$26,IF(G21=24,KILOMETRAJE!E$27,IF(G21=25,KILOMETRAJE!E$28,IF(G21=26,KILOMETRAJE!E$29,IF(G21=27,KILOMETRAJE!E$30,IF(G21=28,KILOMETRAJE!E$31,IF(G21=29,KILOMETRAJE!E$32,IF(G21=30,KILOMETRAJE!E$33,IF(G21=31,KILOMETRAJE!E$34,IF(G21=32,KILOMETRAJE!E$35,IF(G21=33,KILOMETRAJE!E$36,IF(G21=34,KILOMETRAJE!E$37,IF(G21=35,KILOMETRAJE!E$38,IF(G21=36,KILOMETRAJE!E$39,IF(G21=37,KILOMETRAJE!E$40,IF(G21=38,KILOMETRAJE!E$41,IF(G21=39,KILOMETRAJE!E$42,IF(G21=40,KILOMETRAJE!E$43,IF(G21=41,KILOMETRAJE!E$44,IF(G21=42,KILOMETRAJE!E$45,IF(G21=43,KILOMETRAJE!E$46,IF(G21=44,KILOMETRAJE!E$47,IF(G21=45,KILOMETRAJE!E$48,IF(G21=46,KILOMETRAJE!E$49,IF(G21=47,KILOMETRAJE!E$50,IF(G21=48,KILOMETRAJE!E$51,IF(G21=49,KILOMETRAJE!E$52,IF(G21=50,KILOMETRAJE!E$53,IF(G21=51,KILOMETRAJE!E$54,IF(G21=52,KILOMETRAJE!E$55,IF(G21=53,KILOMETRAJE!E$56,IF(G21=54,KILOMETRAJE!E$57,IF(G21=55,KILOMETRAJE!E$58,IF(G21=56,KILOMETRAJE!E$59,IF(G21=57,KILOMETRAJE!E$60,IF(G21=58,KILOMETRAJE!E$61,IF(G21=59,KILOMETRAJE!E$62,IF(G21=60,KILOMETRAJE!E$63,IF(G21=61,KILOMETRAJE!E$64,IF(G21=62,KILOMETRAJE!E$65,IF(G21=63,KILOMETRAJE!E$66)))))))))))))))))))))))))))))))))))))))))))))))))))))))))))))))</f>
        <v>CHIH.</v>
      </c>
      <c r="J21" s="237">
        <f>IF(G21=1,KILOMETRAJE!G$4,IF(G21=2,KILOMETRAJE!G$5,IF(G21=3,KILOMETRAJE!G$6,IF(G21=4,KILOMETRAJE!G$7,IF(G21=5,KILOMETRAJE!G$8,IF(G21=6,KILOMETRAJE!G$9,IF(G21=7,KILOMETRAJE!G$10,IF(G21=8,KILOMETRAJE!G$11,IF(G21=9,KILOMETRAJE!G$12,IF(G21=10,KILOMETRAJE!G$13,IF(G21=11,KILOMETRAJE!G$14,IF(G21=12,KILOMETRAJE!G$15,IF(G21=13,KILOMETRAJE!G$16,IF(G21=14,KILOMETRAJE!G$17,IF(G21=15,KILOMETRAJE!G$18,IF(G21=16,KILOMETRAJE!G$19,IF(G21=17,KILOMETRAJE!G$20,IF(G21=18,KILOMETRAJE!G$21,IF(G21=19,KILOMETRAJE!G$22,IF(G21=20,KILOMETRAJE!G$23,IF(G21=21,KILOMETRAJE!G$24,IF(G21=22,KILOMETRAJE!G$25,IF(G21=23,KILOMETRAJE!G$26,IF(G21=24,KILOMETRAJE!G$27,IF(G21=25,KILOMETRAJE!G$28,IF(G21=26,KILOMETRAJE!G$29,IF(G21=27,KILOMETRAJE!G$30,IF(G21=28,KILOMETRAJE!G$31,IF(G21=29,KILOMETRAJE!G$32,IF(G21=30,KILOMETRAJE!G$33,IF(G21=31,KILOMETRAJE!G$34,IF(G21=32,KILOMETRAJE!G$35,IF(G21=33,KILOMETRAJE!G$36,IF(G21=34,KILOMETRAJE!G$37,IF(G21=35,KILOMETRAJE!G$38,IF(G21=36,KILOMETRAJE!G$39,IF(G21=37,KILOMETRAJE!G$40,IF(G21=38,KILOMETRAJE!G$41,IF(G21=39,KILOMETRAJE!G$42,IF(G21=40,KILOMETRAJE!G$43,IF(G21=41,KILOMETRAJE!G$44,IF(G21=42,KILOMETRAJE!G$45,IF(G21=43,KILOMETRAJE!G$46,IF(G21=44,KILOMETRAJE!G$47,IF(G21=45,KILOMETRAJE!G$48,IF(G21=46,KILOMETRAJE!G$49,IF(G21=47,KILOMETRAJE!G$50,IF(G21=48,KILOMETRAJE!G$51,IF(G21=49,KILOMETRAJE!G$52,IF(G21=50,KILOMETRAJE!G$53,IF(G21=51,KILOMETRAJE!G$54,IF(G21=52,KILOMETRAJE!G$55,IF(G21=53,KILOMETRAJE!G$56,IF(G21=54,KILOMETRAJE!G$57,IF(G21=55,KILOMETRAJE!G$58,IF(G21=56,KILOMETRAJE!G$59,IF(G21=57,KILOMETRAJE!G$60,IF(G21=58,KILOMETRAJE!G$61,IF(G21=59,KILOMETRAJE!G$62,IF(G21=60,KILOMETRAJE!G$63,IF(G21=61,KILOMETRAJE!G$64,IF(G21=62,KILOMETRAJE!G$65,IF(G21=63,KILOMETRAJE!G$66)))))))))))))))))))))))))))))))))))))))))))))))))))))))))))))))</f>
        <v>375</v>
      </c>
      <c r="K21" s="24"/>
      <c r="L21" s="44"/>
      <c r="M21" s="348">
        <v>19087</v>
      </c>
      <c r="N21" s="24">
        <v>1</v>
      </c>
      <c r="O21" s="24">
        <v>43669</v>
      </c>
      <c r="P21" s="24" t="s">
        <v>197</v>
      </c>
      <c r="Q21" s="45">
        <f>((((IF(N21=1,((J21)*0.29333)))+(IF(N21=2,((J21)*0.146666)))+(IF(N21=3,((J21)*0.146666)))))+(IF(N21=4,((J21-40)*0.29333)))+(IF(N21=5,((J21-50)*0.29333)))+(IF(N21=6,((J21-90)*0.29333))))</f>
        <v>109.99874999999999</v>
      </c>
      <c r="R21" s="191"/>
      <c r="S21" s="52"/>
      <c r="T21" s="46"/>
      <c r="U21" s="14">
        <v>4</v>
      </c>
      <c r="V21" s="14">
        <v>6</v>
      </c>
    </row>
    <row r="22" spans="3:22" ht="12.75" thickBot="1" x14ac:dyDescent="0.25">
      <c r="C22" s="340"/>
      <c r="D22" s="36" t="s">
        <v>442</v>
      </c>
      <c r="E22" s="25">
        <v>45961</v>
      </c>
      <c r="F22" s="25">
        <v>45962</v>
      </c>
      <c r="G22" s="62">
        <v>3</v>
      </c>
      <c r="H22" s="27" t="str">
        <f>IF(G22=1,KILOMETRAJE!C$4,IF(G22=2,KILOMETRAJE!C$5,IF(G22=3,KILOMETRAJE!C$6,IF(G22=4,KILOMETRAJE!C$7,IF(G22=5,KILOMETRAJE!C$8,IF(G22=6,KILOMETRAJE!C$9,IF(G22=7,KILOMETRAJE!C$10,IF(G22=8,KILOMETRAJE!C$11,IF(G22=9,KILOMETRAJE!C$12,IF(G22=10,KILOMETRAJE!C$13,IF(G22=11,KILOMETRAJE!C$14,IF(G22=12,KILOMETRAJE!C$15,IF(G22=13,KILOMETRAJE!C$16,IF(G22=14,KILOMETRAJE!C$17,IF(G22=15,KILOMETRAJE!C$18,IF(G22=16,KILOMETRAJE!C$19,IF(G22=17,KILOMETRAJE!C$20,IF(G22=18,KILOMETRAJE!C$21,IF(G22=19,KILOMETRAJE!C$22,IF(G22=20,KILOMETRAJE!C$23,IF(G22=21,KILOMETRAJE!C$24,IF(G22=22,KILOMETRAJE!C$25,IF(G22=23,KILOMETRAJE!C$26,IF(G22=24,KILOMETRAJE!C$27,IF(G22=25,KILOMETRAJE!C$28,IF(G22=26,KILOMETRAJE!C$29,IF(G22=27,KILOMETRAJE!C$30,IF(G22=28,KILOMETRAJE!C$31,IF(G22=29,KILOMETRAJE!C$32,IF(G22=30,KILOMETRAJE!C$33,IF(G22=31,KILOMETRAJE!C$34,IF(G22=32,KILOMETRAJE!C$35,IF(G22=33,KILOMETRAJE!C$36,IF(G22=34,KILOMETRAJE!C$37,IF(G22=35,KILOMETRAJE!C$38,IF(G22=36,KILOMETRAJE!C$39,IF(G22=37,KILOMETRAJE!C$40,IF(G22=38,KILOMETRAJE!C$41,IF(G22=39,KILOMETRAJE!C$42,IF(G22=40,KILOMETRAJE!C$43,IF(G22=41,KILOMETRAJE!C$44,IF(G22=42,KILOMETRAJE!C$45,IF(G22=43,KILOMETRAJE!C$46,IF(G22=44,KILOMETRAJE!C$47,IF(G22=45,KILOMETRAJE!C$48,IF(G22=46,KILOMETRAJE!C$49,IF(G22=47,KILOMETRAJE!C$50,IF(G22=48,KILOMETRAJE!C$51,IF(G22=49,KILOMETRAJE!C$52,IF(G22=50,KILOMETRAJE!C$53,IF(G22=51,KILOMETRAJE!C$54,IF(G22=52,KILOMETRAJE!C$55,IF(G22=53,KILOMETRAJE!C$56,IF(G22=54,KILOMETRAJE!C$57,IF(G22=55,KILOMETRAJE!C$58,IF(G22=56,KILOMETRAJE!C$59,IF(G22=57,KILOMETRAJE!C$60,IF(G22=58,KILOMETRAJE!C$61,IF(G22=59,KILOMETRAJE!C$62,IF(G22=60,KILOMETRAJE!C$63,IF(G22=61,KILOMETRAJE!C$64,IF(G22=62,KILOMETRAJE!C$65,IF(G22=63,KILOMETRAJE!C$66)))))))))))))))))))))))))))))))))))))))))))))))))))))))))))))))</f>
        <v xml:space="preserve">CHIH. </v>
      </c>
      <c r="I22" s="27" t="str">
        <f>IF(G22=1,KILOMETRAJE!E$4,IF(G22=2,KILOMETRAJE!E$5,IF(G22=3,KILOMETRAJE!E$6,IF(G22=4,KILOMETRAJE!E$7,IF(G22=5,KILOMETRAJE!E$8,IF(G22=6,KILOMETRAJE!E$9,IF(G22=7,KILOMETRAJE!E$10,IF(G22=8,KILOMETRAJE!E$11,IF(G22=9,KILOMETRAJE!E$12,IF(G22=10,KILOMETRAJE!E$13,IF(G22=11,KILOMETRAJE!E$14,IF(G22=12,KILOMETRAJE!E$15,IF(G22=13,KILOMETRAJE!E$16,IF(G22=14,KILOMETRAJE!E$17,IF(G22=15,KILOMETRAJE!E$18,IF(G22=16,KILOMETRAJE!E$19,IF(G22=17,KILOMETRAJE!E$20,IF(G22=18,KILOMETRAJE!E$21,IF(G22=19,KILOMETRAJE!E$22,IF(G22=20,KILOMETRAJE!E$23,IF(G22=21,KILOMETRAJE!E$24,IF(G22=22,KILOMETRAJE!E$25,IF(G22=23,KILOMETRAJE!E$26,IF(G22=24,KILOMETRAJE!E$27,IF(G22=25,KILOMETRAJE!E$28,IF(G22=26,KILOMETRAJE!E$29,IF(G22=27,KILOMETRAJE!E$30,IF(G22=28,KILOMETRAJE!E$31,IF(G22=29,KILOMETRAJE!E$32,IF(G22=30,KILOMETRAJE!E$33,IF(G22=31,KILOMETRAJE!E$34,IF(G22=32,KILOMETRAJE!E$35,IF(G22=33,KILOMETRAJE!E$36,IF(G22=34,KILOMETRAJE!E$37,IF(G22=35,KILOMETRAJE!E$38,IF(G22=36,KILOMETRAJE!E$39,IF(G22=37,KILOMETRAJE!E$40,IF(G22=38,KILOMETRAJE!E$41,IF(G22=39,KILOMETRAJE!E$42,IF(G22=40,KILOMETRAJE!E$43,IF(G22=41,KILOMETRAJE!E$44,IF(G22=42,KILOMETRAJE!E$45,IF(G22=43,KILOMETRAJE!E$46,IF(G22=44,KILOMETRAJE!E$47,IF(G22=45,KILOMETRAJE!E$48,IF(G22=46,KILOMETRAJE!E$49,IF(G22=47,KILOMETRAJE!E$50,IF(G22=48,KILOMETRAJE!E$51,IF(G22=49,KILOMETRAJE!E$52,IF(G22=50,KILOMETRAJE!E$53,IF(G22=51,KILOMETRAJE!E$54,IF(G22=52,KILOMETRAJE!E$55,IF(G22=53,KILOMETRAJE!E$56,IF(G22=54,KILOMETRAJE!E$57,IF(G22=55,KILOMETRAJE!E$58,IF(G22=56,KILOMETRAJE!E$59,IF(G22=57,KILOMETRAJE!E$60,IF(G22=58,KILOMETRAJE!E$61,IF(G22=59,KILOMETRAJE!E$62,IF(G22=60,KILOMETRAJE!E$63,IF(G22=61,KILOMETRAJE!E$64,IF(G22=62,KILOMETRAJE!E$65,IF(G22=63,KILOMETRAJE!E$66)))))))))))))))))))))))))))))))))))))))))))))))))))))))))))))))</f>
        <v>JRZ</v>
      </c>
      <c r="J22" s="31">
        <f>IF(G22=1,KILOMETRAJE!G$4,IF(G22=2,KILOMETRAJE!G$5,IF(G22=3,KILOMETRAJE!G$6,IF(G22=4,KILOMETRAJE!G$7,IF(G22=5,KILOMETRAJE!G$8,IF(G22=6,KILOMETRAJE!G$9,IF(G22=7,KILOMETRAJE!G$10,IF(G22=8,KILOMETRAJE!G$11,IF(G22=9,KILOMETRAJE!G$12,IF(G22=10,KILOMETRAJE!G$13,IF(G22=11,KILOMETRAJE!G$14,IF(G22=12,KILOMETRAJE!G$15,IF(G22=13,KILOMETRAJE!G$16,IF(G22=14,KILOMETRAJE!G$17,IF(G22=15,KILOMETRAJE!G$18,IF(G22=16,KILOMETRAJE!G$19,IF(G22=17,KILOMETRAJE!G$20,IF(G22=18,KILOMETRAJE!G$21,IF(G22=19,KILOMETRAJE!G$22,IF(G22=20,KILOMETRAJE!G$23,IF(G22=21,KILOMETRAJE!G$24,IF(G22=22,KILOMETRAJE!G$25,IF(G22=23,KILOMETRAJE!G$26,IF(G22=24,KILOMETRAJE!G$27,IF(G22=25,KILOMETRAJE!G$28,IF(G22=26,KILOMETRAJE!G$29,IF(G22=27,KILOMETRAJE!G$30,IF(G22=28,KILOMETRAJE!G$31,IF(G22=29,KILOMETRAJE!G$32,IF(G22=30,KILOMETRAJE!G$33,IF(G22=31,KILOMETRAJE!G$34,IF(G22=32,KILOMETRAJE!G$35,IF(G22=33,KILOMETRAJE!G$36,IF(G22=34,KILOMETRAJE!G$37,IF(G22=35,KILOMETRAJE!G$38,IF(G22=36,KILOMETRAJE!G$39,IF(G22=37,KILOMETRAJE!G$40,IF(G22=38,KILOMETRAJE!G$41,IF(G22=39,KILOMETRAJE!G$42,IF(G22=40,KILOMETRAJE!G$43,IF(G22=41,KILOMETRAJE!G$44,IF(G22=42,KILOMETRAJE!G$45,IF(G22=43,KILOMETRAJE!G$46,IF(G22=44,KILOMETRAJE!G$47,IF(G22=45,KILOMETRAJE!G$48,IF(G22=46,KILOMETRAJE!G$49,IF(G22=47,KILOMETRAJE!G$50,IF(G22=48,KILOMETRAJE!G$51,IF(G22=49,KILOMETRAJE!G$52,IF(G22=50,KILOMETRAJE!G$53,IF(G22=51,KILOMETRAJE!G$54,IF(G22=52,KILOMETRAJE!G$55,IF(G22=53,KILOMETRAJE!G$56,IF(G22=54,KILOMETRAJE!G$57,IF(G22=55,KILOMETRAJE!G$58,IF(G22=56,KILOMETRAJE!G$59,IF(G22=57,KILOMETRAJE!G$60,IF(G22=58,KILOMETRAJE!G$61,IF(G22=59,KILOMETRAJE!G$62,IF(G22=60,KILOMETRAJE!G$63,IF(G22=61,KILOMETRAJE!G$64,IF(G22=62,KILOMETRAJE!G$65,IF(G22=63,KILOMETRAJE!G$66)))))))))))))))))))))))))))))))))))))))))))))))))))))))))))))))</f>
        <v>375</v>
      </c>
      <c r="K22" s="27">
        <v>236.01</v>
      </c>
      <c r="L22" s="28">
        <f>SUM(J21:J22)/K22</f>
        <v>3.1778314478200076</v>
      </c>
      <c r="M22" s="349">
        <v>841</v>
      </c>
      <c r="N22" s="27">
        <v>1</v>
      </c>
      <c r="O22" s="27" t="s">
        <v>443</v>
      </c>
      <c r="P22" s="27" t="s">
        <v>198</v>
      </c>
      <c r="Q22" s="29">
        <f>((((IF(N22=1,((J21:J22)*0.29333)))+(IF(N22=2,((J22)*0.146666)))+(IF(N22=3,((J22)*0.146666)))))+(IF(N22=4,((J22-40)*0.29333)))+(IF(N22=5,((J22-50)*0.29333)))+(IF(N22=6,((J22-90)*0.29333))))</f>
        <v>109.99874999999999</v>
      </c>
      <c r="R22" s="190">
        <f>+LOOKUP(P41,UNIDADES!B$3:B$59,UNIDADES!C$3:C$59)</f>
        <v>2.4509799999999999</v>
      </c>
      <c r="S22" s="19">
        <f>+((SUM(J21:J22))/R22)-K22</f>
        <v>69.990048960007869</v>
      </c>
      <c r="T22" s="30">
        <f>+S22*14.85</f>
        <v>1039.3522270561168</v>
      </c>
      <c r="U22" s="244">
        <v>5</v>
      </c>
      <c r="V22" s="14">
        <v>6</v>
      </c>
    </row>
    <row r="23" spans="3:22" x14ac:dyDescent="0.2">
      <c r="C23" s="176">
        <v>46178</v>
      </c>
      <c r="D23" s="43" t="s">
        <v>444</v>
      </c>
      <c r="E23" s="42">
        <v>45961</v>
      </c>
      <c r="F23" s="42">
        <v>45962</v>
      </c>
      <c r="G23" s="43">
        <v>1</v>
      </c>
      <c r="H23" s="236" t="str">
        <f>IF(G23=1,KILOMETRAJE!C$4,IF(G23=2,KILOMETRAJE!C$5,IF(G23=3,KILOMETRAJE!C$6,IF(G23=4,KILOMETRAJE!C$7,IF(G23=5,KILOMETRAJE!C$8,IF(G23=6,KILOMETRAJE!C$9,IF(G23=7,KILOMETRAJE!C$10,IF(G23=8,KILOMETRAJE!C$11,IF(G23=9,KILOMETRAJE!C$12,IF(G23=10,KILOMETRAJE!C$13,IF(G23=11,KILOMETRAJE!C$14,IF(G23=12,KILOMETRAJE!C$15,IF(G23=13,KILOMETRAJE!C$16,IF(G23=14,KILOMETRAJE!C$17,IF(G23=15,KILOMETRAJE!C$18,IF(G23=16,KILOMETRAJE!C$19,IF(G23=17,KILOMETRAJE!C$20,IF(G23=18,KILOMETRAJE!C$21,IF(G23=19,KILOMETRAJE!C$22,IF(G23=20,KILOMETRAJE!C$23,IF(G23=21,KILOMETRAJE!C$24,IF(G23=22,KILOMETRAJE!C$25,IF(G23=23,KILOMETRAJE!C$26,IF(G23=24,KILOMETRAJE!C$27,IF(G23=25,KILOMETRAJE!C$28,IF(G23=26,KILOMETRAJE!C$29,IF(G23=27,KILOMETRAJE!C$30,IF(G23=28,KILOMETRAJE!C$31,IF(G23=29,KILOMETRAJE!C$32,IF(G23=30,KILOMETRAJE!C$33,IF(G23=31,KILOMETRAJE!C$34,IF(G23=32,KILOMETRAJE!C$35,IF(G23=33,KILOMETRAJE!C$36,IF(G23=34,KILOMETRAJE!C$37,IF(G23=35,KILOMETRAJE!C$38,IF(G23=36,KILOMETRAJE!C$39,IF(G23=37,KILOMETRAJE!C$40,IF(G23=38,KILOMETRAJE!C$41,IF(G23=39,KILOMETRAJE!C$42,IF(G23=40,KILOMETRAJE!C$43,IF(G23=41,KILOMETRAJE!C$44,IF(G23=42,KILOMETRAJE!C$45,IF(G23=43,KILOMETRAJE!C$46,IF(G23=44,KILOMETRAJE!C$47,IF(G23=45,KILOMETRAJE!C$48,IF(G23=46,KILOMETRAJE!C$49,IF(G23=47,KILOMETRAJE!C$50,IF(G23=48,KILOMETRAJE!C$51,IF(G23=49,KILOMETRAJE!C$52,IF(G23=50,KILOMETRAJE!C$53,IF(G23=51,KILOMETRAJE!C$54,IF(G23=52,KILOMETRAJE!C$55,IF(G23=53,KILOMETRAJE!C$56,IF(G23=54,KILOMETRAJE!C$57,IF(G23=55,KILOMETRAJE!C$58,IF(G23=56,KILOMETRAJE!C$59,IF(G23=57,KILOMETRAJE!C$60,IF(G23=58,KILOMETRAJE!C$61,IF(G23=59,KILOMETRAJE!C$62,IF(G23=60,KILOMETRAJE!C$63,IF(G23=61,KILOMETRAJE!C$64,IF(G23=62,KILOMETRAJE!C$65,IF(G23=63,KILOMETRAJE!C$66)))))))))))))))))))))))))))))))))))))))))))))))))))))))))))))))</f>
        <v>JRZ</v>
      </c>
      <c r="I23" s="236" t="str">
        <f>IF(G23=1,KILOMETRAJE!E$4,IF(G23=2,KILOMETRAJE!E$5,IF(G23=3,KILOMETRAJE!E$6,IF(G23=4,KILOMETRAJE!E$7,IF(G23=5,KILOMETRAJE!E$8,IF(G23=6,KILOMETRAJE!E$9,IF(G23=7,KILOMETRAJE!E$10,IF(G23=8,KILOMETRAJE!E$11,IF(G23=9,KILOMETRAJE!E$12,IF(G23=10,KILOMETRAJE!E$13,IF(G23=11,KILOMETRAJE!E$14,IF(G23=12,KILOMETRAJE!E$15,IF(G23=13,KILOMETRAJE!E$16,IF(G23=14,KILOMETRAJE!E$17,IF(G23=15,KILOMETRAJE!E$18,IF(G23=16,KILOMETRAJE!E$19,IF(G23=17,KILOMETRAJE!E$20,IF(G23=18,KILOMETRAJE!E$21,IF(G23=19,KILOMETRAJE!E$22,IF(G23=20,KILOMETRAJE!E$23,IF(G23=21,KILOMETRAJE!E$24,IF(G23=22,KILOMETRAJE!E$25,IF(G23=23,KILOMETRAJE!E$26,IF(G23=24,KILOMETRAJE!E$27,IF(G23=25,KILOMETRAJE!E$28,IF(G23=26,KILOMETRAJE!E$29,IF(G23=27,KILOMETRAJE!E$30,IF(G23=28,KILOMETRAJE!E$31,IF(G23=29,KILOMETRAJE!E$32,IF(G23=30,KILOMETRAJE!E$33,IF(G23=31,KILOMETRAJE!E$34,IF(G23=32,KILOMETRAJE!E$35,IF(G23=33,KILOMETRAJE!E$36,IF(G23=34,KILOMETRAJE!E$37,IF(G23=35,KILOMETRAJE!E$38,IF(G23=36,KILOMETRAJE!E$39,IF(G23=37,KILOMETRAJE!E$40,IF(G23=38,KILOMETRAJE!E$41,IF(G23=39,KILOMETRAJE!E$42,IF(G23=40,KILOMETRAJE!E$43,IF(G23=41,KILOMETRAJE!E$44,IF(G23=42,KILOMETRAJE!E$45,IF(G23=43,KILOMETRAJE!E$46,IF(G23=44,KILOMETRAJE!E$47,IF(G23=45,KILOMETRAJE!E$48,IF(G23=46,KILOMETRAJE!E$49,IF(G23=47,KILOMETRAJE!E$50,IF(G23=48,KILOMETRAJE!E$51,IF(G23=49,KILOMETRAJE!E$52,IF(G23=50,KILOMETRAJE!E$53,IF(G23=51,KILOMETRAJE!E$54,IF(G23=52,KILOMETRAJE!E$55,IF(G23=53,KILOMETRAJE!E$56,IF(G23=54,KILOMETRAJE!E$57,IF(G23=55,KILOMETRAJE!E$58,IF(G23=56,KILOMETRAJE!E$59,IF(G23=57,KILOMETRAJE!E$60,IF(G23=58,KILOMETRAJE!E$61,IF(G23=59,KILOMETRAJE!E$62,IF(G23=60,KILOMETRAJE!E$63,IF(G23=61,KILOMETRAJE!E$64,IF(G23=62,KILOMETRAJE!E$65,IF(G23=63,KILOMETRAJE!E$66)))))))))))))))))))))))))))))))))))))))))))))))))))))))))))))))</f>
        <v>CHIH.(HAW)</v>
      </c>
      <c r="J23" s="237">
        <f>IF(G23=1,KILOMETRAJE!G$4,IF(G23=2,KILOMETRAJE!G$5,IF(G23=3,KILOMETRAJE!G$6,IF(G23=4,KILOMETRAJE!G$7,IF(G23=5,KILOMETRAJE!G$8,IF(G23=6,KILOMETRAJE!G$9,IF(G23=7,KILOMETRAJE!G$10,IF(G23=8,KILOMETRAJE!G$11,IF(G23=9,KILOMETRAJE!G$12,IF(G23=10,KILOMETRAJE!G$13,IF(G23=11,KILOMETRAJE!G$14,IF(G23=12,KILOMETRAJE!G$15,IF(G23=13,KILOMETRAJE!G$16,IF(G23=14,KILOMETRAJE!G$17,IF(G23=15,KILOMETRAJE!G$18,IF(G23=16,KILOMETRAJE!G$19,IF(G23=17,KILOMETRAJE!G$20,IF(G23=18,KILOMETRAJE!G$21,IF(G23=19,KILOMETRAJE!G$22,IF(G23=20,KILOMETRAJE!G$23,IF(G23=21,KILOMETRAJE!G$24,IF(G23=22,KILOMETRAJE!G$25,IF(G23=23,KILOMETRAJE!G$26,IF(G23=24,KILOMETRAJE!G$27,IF(G23=25,KILOMETRAJE!G$28,IF(G23=26,KILOMETRAJE!G$29,IF(G23=27,KILOMETRAJE!G$30,IF(G23=28,KILOMETRAJE!G$31,IF(G23=29,KILOMETRAJE!G$32,IF(G23=30,KILOMETRAJE!G$33,IF(G23=31,KILOMETRAJE!G$34,IF(G23=32,KILOMETRAJE!G$35,IF(G23=33,KILOMETRAJE!G$36,IF(G23=34,KILOMETRAJE!G$37,IF(G23=35,KILOMETRAJE!G$38,IF(G23=36,KILOMETRAJE!G$39,IF(G23=37,KILOMETRAJE!G$40,IF(G23=38,KILOMETRAJE!G$41,IF(G23=39,KILOMETRAJE!G$42,IF(G23=40,KILOMETRAJE!G$43,IF(G23=41,KILOMETRAJE!G$44,IF(G23=42,KILOMETRAJE!G$45,IF(G23=43,KILOMETRAJE!G$46,IF(G23=44,KILOMETRAJE!G$47,IF(G23=45,KILOMETRAJE!G$48,IF(G23=46,KILOMETRAJE!G$49,IF(G23=47,KILOMETRAJE!G$50,IF(G23=48,KILOMETRAJE!G$51,IF(G23=49,KILOMETRAJE!G$52,IF(G23=50,KILOMETRAJE!G$53,IF(G23=51,KILOMETRAJE!G$54,IF(G23=52,KILOMETRAJE!G$55,IF(G23=53,KILOMETRAJE!G$56,IF(G23=54,KILOMETRAJE!G$57,IF(G23=55,KILOMETRAJE!G$58,IF(G23=56,KILOMETRAJE!G$59,IF(G23=57,KILOMETRAJE!G$60,IF(G23=58,KILOMETRAJE!G$61,IF(G23=59,KILOMETRAJE!G$62,IF(G23=60,KILOMETRAJE!G$63,IF(G23=61,KILOMETRAJE!G$64,IF(G23=62,KILOMETRAJE!G$65,IF(G23=63,KILOMETRAJE!G$66)))))))))))))))))))))))))))))))))))))))))))))))))))))))))))))))</f>
        <v>425</v>
      </c>
      <c r="K23" s="24"/>
      <c r="L23" s="44"/>
      <c r="M23" s="348">
        <v>0.7</v>
      </c>
      <c r="N23" s="24">
        <v>5</v>
      </c>
      <c r="O23" s="24" t="s">
        <v>446</v>
      </c>
      <c r="P23" s="24" t="s">
        <v>199</v>
      </c>
      <c r="Q23" s="40">
        <f>((((IF(N23=1,((J23)*0.29333)))+(IF(N23=2,((J23)*0.146666)))+(IF(N23=3,((J23)*0.146666)))))+(IF(N23=4,((J23-40)*0.29333)))+(IF(N23=5,((J23-50)*0.29333)))+(IF(N23=6,((J23-90)*0.29333))))</f>
        <v>109.99874999999999</v>
      </c>
      <c r="R23" s="192"/>
      <c r="S23" s="186"/>
      <c r="T23" s="41"/>
      <c r="U23" s="14">
        <v>4</v>
      </c>
      <c r="V23" s="14">
        <v>6</v>
      </c>
    </row>
    <row r="24" spans="3:22" ht="12.75" thickBot="1" x14ac:dyDescent="0.25">
      <c r="C24" s="101"/>
      <c r="D24" s="62" t="s">
        <v>445</v>
      </c>
      <c r="E24" s="25">
        <v>45964</v>
      </c>
      <c r="F24" s="25">
        <v>45965</v>
      </c>
      <c r="G24" s="62">
        <v>3</v>
      </c>
      <c r="H24" s="27" t="str">
        <f>IF(G24=1,KILOMETRAJE!C$4,IF(G24=2,KILOMETRAJE!C$5,IF(G24=3,KILOMETRAJE!C$6,IF(G24=4,KILOMETRAJE!C$7,IF(G24=5,KILOMETRAJE!C$8,IF(G24=6,KILOMETRAJE!C$9,IF(G24=7,KILOMETRAJE!C$10,IF(G24=8,KILOMETRAJE!C$11,IF(G24=9,KILOMETRAJE!C$12,IF(G24=10,KILOMETRAJE!C$13,IF(G24=11,KILOMETRAJE!C$14,IF(G24=12,KILOMETRAJE!C$15,IF(G24=13,KILOMETRAJE!C$16,IF(G24=14,KILOMETRAJE!C$17,IF(G24=15,KILOMETRAJE!C$18,IF(G24=16,KILOMETRAJE!C$19,IF(G24=17,KILOMETRAJE!C$20,IF(G24=18,KILOMETRAJE!C$21,IF(G24=19,KILOMETRAJE!C$22,IF(G24=20,KILOMETRAJE!C$23,IF(G24=21,KILOMETRAJE!C$24,IF(G24=22,KILOMETRAJE!C$25,IF(G24=23,KILOMETRAJE!C$26,IF(G24=24,KILOMETRAJE!C$27,IF(G24=25,KILOMETRAJE!C$28,IF(G24=26,KILOMETRAJE!C$29,IF(G24=27,KILOMETRAJE!C$30,IF(G24=28,KILOMETRAJE!C$31,IF(G24=29,KILOMETRAJE!C$32,IF(G24=30,KILOMETRAJE!C$33,IF(G24=31,KILOMETRAJE!C$34,IF(G24=32,KILOMETRAJE!C$35,IF(G24=33,KILOMETRAJE!C$36,IF(G24=34,KILOMETRAJE!C$37,IF(G24=35,KILOMETRAJE!C$38,IF(G24=36,KILOMETRAJE!C$39,IF(G24=37,KILOMETRAJE!C$40,IF(G24=38,KILOMETRAJE!C$41,IF(G24=39,KILOMETRAJE!C$42,IF(G24=40,KILOMETRAJE!C$43,IF(G24=41,KILOMETRAJE!C$44,IF(G24=42,KILOMETRAJE!C$45,IF(G24=43,KILOMETRAJE!C$46,IF(G24=44,KILOMETRAJE!C$47,IF(G24=45,KILOMETRAJE!C$48,IF(G24=46,KILOMETRAJE!C$49,IF(G24=47,KILOMETRAJE!C$50,IF(G24=48,KILOMETRAJE!C$51,IF(G24=49,KILOMETRAJE!C$52,IF(G24=50,KILOMETRAJE!C$53,IF(G24=51,KILOMETRAJE!C$54,IF(G24=52,KILOMETRAJE!C$55,IF(G24=53,KILOMETRAJE!C$56,IF(G24=54,KILOMETRAJE!C$57,IF(G24=55,KILOMETRAJE!C$58,IF(G24=56,KILOMETRAJE!C$59,IF(G24=57,KILOMETRAJE!C$60,IF(G24=58,KILOMETRAJE!C$61,IF(G24=59,KILOMETRAJE!C$62,IF(G24=60,KILOMETRAJE!C$63,IF(G24=61,KILOMETRAJE!C$64,IF(G24=62,KILOMETRAJE!C$65,IF(G24=63,KILOMETRAJE!C$66)))))))))))))))))))))))))))))))))))))))))))))))))))))))))))))))</f>
        <v xml:space="preserve">CHIH. </v>
      </c>
      <c r="I24" s="27" t="str">
        <f>IF(G24=1,KILOMETRAJE!E$4,IF(G24=2,KILOMETRAJE!E$5,IF(G24=3,KILOMETRAJE!E$6,IF(G24=4,KILOMETRAJE!E$7,IF(G24=5,KILOMETRAJE!E$8,IF(G24=6,KILOMETRAJE!E$9,IF(G24=7,KILOMETRAJE!E$10,IF(G24=8,KILOMETRAJE!E$11,IF(G24=9,KILOMETRAJE!E$12,IF(G24=10,KILOMETRAJE!E$13,IF(G24=11,KILOMETRAJE!E$14,IF(G24=12,KILOMETRAJE!E$15,IF(G24=13,KILOMETRAJE!E$16,IF(G24=14,KILOMETRAJE!E$17,IF(G24=15,KILOMETRAJE!E$18,IF(G24=16,KILOMETRAJE!E$19,IF(G24=17,KILOMETRAJE!E$20,IF(G24=18,KILOMETRAJE!E$21,IF(G24=19,KILOMETRAJE!E$22,IF(G24=20,KILOMETRAJE!E$23,IF(G24=21,KILOMETRAJE!E$24,IF(G24=22,KILOMETRAJE!E$25,IF(G24=23,KILOMETRAJE!E$26,IF(G24=24,KILOMETRAJE!E$27,IF(G24=25,KILOMETRAJE!E$28,IF(G24=26,KILOMETRAJE!E$29,IF(G24=27,KILOMETRAJE!E$30,IF(G24=28,KILOMETRAJE!E$31,IF(G24=29,KILOMETRAJE!E$32,IF(G24=30,KILOMETRAJE!E$33,IF(G24=31,KILOMETRAJE!E$34,IF(G24=32,KILOMETRAJE!E$35,IF(G24=33,KILOMETRAJE!E$36,IF(G24=34,KILOMETRAJE!E$37,IF(G24=35,KILOMETRAJE!E$38,IF(G24=36,KILOMETRAJE!E$39,IF(G24=37,KILOMETRAJE!E$40,IF(G24=38,KILOMETRAJE!E$41,IF(G24=39,KILOMETRAJE!E$42,IF(G24=40,KILOMETRAJE!E$43,IF(G24=41,KILOMETRAJE!E$44,IF(G24=42,KILOMETRAJE!E$45,IF(G24=43,KILOMETRAJE!E$46,IF(G24=44,KILOMETRAJE!E$47,IF(G24=45,KILOMETRAJE!E$48,IF(G24=46,KILOMETRAJE!E$49,IF(G24=47,KILOMETRAJE!E$50,IF(G24=48,KILOMETRAJE!E$51,IF(G24=49,KILOMETRAJE!E$52,IF(G24=50,KILOMETRAJE!E$53,IF(G24=51,KILOMETRAJE!E$54,IF(G24=52,KILOMETRAJE!E$55,IF(G24=53,KILOMETRAJE!E$56,IF(G24=54,KILOMETRAJE!E$57,IF(G24=55,KILOMETRAJE!E$58,IF(G24=56,KILOMETRAJE!E$59,IF(G24=57,KILOMETRAJE!E$60,IF(G24=58,KILOMETRAJE!E$61,IF(G24=59,KILOMETRAJE!E$62,IF(G24=60,KILOMETRAJE!E$63,IF(G24=61,KILOMETRAJE!E$64,IF(G24=62,KILOMETRAJE!E$65,IF(G24=63,KILOMETRAJE!E$66)))))))))))))))))))))))))))))))))))))))))))))))))))))))))))))))</f>
        <v>JRZ</v>
      </c>
      <c r="J24" s="31">
        <f>IF(G24=1,KILOMETRAJE!G$4,IF(G24=2,KILOMETRAJE!G$5,IF(G24=3,KILOMETRAJE!G$6,IF(G24=4,KILOMETRAJE!G$7,IF(G24=5,KILOMETRAJE!G$8,IF(G24=6,KILOMETRAJE!G$9,IF(G24=7,KILOMETRAJE!G$10,IF(G24=8,KILOMETRAJE!G$11,IF(G24=9,KILOMETRAJE!G$12,IF(G24=10,KILOMETRAJE!G$13,IF(G24=11,KILOMETRAJE!G$14,IF(G24=12,KILOMETRAJE!G$15,IF(G24=13,KILOMETRAJE!G$16,IF(G24=14,KILOMETRAJE!G$17,IF(G24=15,KILOMETRAJE!G$18,IF(G24=16,KILOMETRAJE!G$19,IF(G24=17,KILOMETRAJE!G$20,IF(G24=18,KILOMETRAJE!G$21,IF(G24=19,KILOMETRAJE!G$22,IF(G24=20,KILOMETRAJE!G$23,IF(G24=21,KILOMETRAJE!G$24,IF(G24=22,KILOMETRAJE!G$25,IF(G24=23,KILOMETRAJE!G$26,IF(G24=24,KILOMETRAJE!G$27,IF(G24=25,KILOMETRAJE!G$28,IF(G24=26,KILOMETRAJE!G$29,IF(G24=27,KILOMETRAJE!G$30,IF(G24=28,KILOMETRAJE!G$31,IF(G24=29,KILOMETRAJE!G$32,IF(G24=30,KILOMETRAJE!G$33,IF(G24=31,KILOMETRAJE!G$34,IF(G24=32,KILOMETRAJE!G$35,IF(G24=33,KILOMETRAJE!G$36,IF(G24=34,KILOMETRAJE!G$37,IF(G24=35,KILOMETRAJE!G$38,IF(G24=36,KILOMETRAJE!G$39,IF(G24=37,KILOMETRAJE!G$40,IF(G24=38,KILOMETRAJE!G$41,IF(G24=39,KILOMETRAJE!G$42,IF(G24=40,KILOMETRAJE!G$43,IF(G24=41,KILOMETRAJE!G$44,IF(G24=42,KILOMETRAJE!G$45,IF(G24=43,KILOMETRAJE!G$46,IF(G24=44,KILOMETRAJE!G$47,IF(G24=45,KILOMETRAJE!G$48,IF(G24=46,KILOMETRAJE!G$49,IF(G24=47,KILOMETRAJE!G$50,IF(G24=48,KILOMETRAJE!G$51,IF(G24=49,KILOMETRAJE!G$52,IF(G24=50,KILOMETRAJE!G$53,IF(G24=51,KILOMETRAJE!G$54,IF(G24=52,KILOMETRAJE!G$55,IF(G24=53,KILOMETRAJE!G$56,IF(G24=54,KILOMETRAJE!G$57,IF(G24=55,KILOMETRAJE!G$58,IF(G24=56,KILOMETRAJE!G$59,IF(G24=57,KILOMETRAJE!G$60,IF(G24=58,KILOMETRAJE!G$61,IF(G24=59,KILOMETRAJE!G$62,IF(G24=60,KILOMETRAJE!G$63,IF(G24=61,KILOMETRAJE!G$64,IF(G24=62,KILOMETRAJE!G$65,IF(G24=63,KILOMETRAJE!G$66)))))))))))))))))))))))))))))))))))))))))))))))))))))))))))))))</f>
        <v>375</v>
      </c>
      <c r="K24" s="27">
        <v>220</v>
      </c>
      <c r="L24" s="28">
        <f>SUM(J23:J24)/K24</f>
        <v>3.6363636363636362</v>
      </c>
      <c r="M24" s="349">
        <v>1063</v>
      </c>
      <c r="N24" s="27">
        <v>1</v>
      </c>
      <c r="O24" s="27" t="s">
        <v>383</v>
      </c>
      <c r="P24" s="319" t="s">
        <v>191</v>
      </c>
      <c r="Q24" s="29">
        <f>((((IF(N24=1,((J23:J24)*0.29333)))+(IF(N24=2,((J24)*0.146666)))+(IF(N24=3,((J24)*0.146666)))))+(IF(N24=4,((J24-40)*0.29333)))+(IF(N24=5,((J24-50)*0.29333)))+(IF(N24=6,((J24-90)*0.29333))))</f>
        <v>109.99874999999999</v>
      </c>
      <c r="R24" s="190">
        <f>+LOOKUP(P42,UNIDADES!B$3:B$59,UNIDADES!C$3:C$59)</f>
        <v>2.4509799999999999</v>
      </c>
      <c r="S24" s="19">
        <f>+((SUM(J23:J24))/R24)-K24</f>
        <v>106.40005222400839</v>
      </c>
      <c r="T24" s="30">
        <f>+S24*14.85</f>
        <v>1580.0407755265246</v>
      </c>
      <c r="U24" s="14">
        <v>5</v>
      </c>
      <c r="V24" s="14">
        <v>6</v>
      </c>
    </row>
    <row r="25" spans="3:22" hidden="1" x14ac:dyDescent="0.2">
      <c r="C25" s="238"/>
      <c r="D25" s="36"/>
      <c r="E25" s="37"/>
      <c r="F25" s="37"/>
      <c r="G25" s="36"/>
      <c r="H25" s="47"/>
      <c r="I25" s="38"/>
      <c r="J25" s="39"/>
      <c r="K25" s="38"/>
      <c r="L25" s="48"/>
      <c r="M25" s="348"/>
      <c r="N25" s="38"/>
      <c r="O25" s="38"/>
      <c r="P25" s="38"/>
      <c r="Q25" s="40"/>
      <c r="R25" s="192"/>
      <c r="S25" s="186"/>
      <c r="T25" s="41"/>
    </row>
    <row r="26" spans="3:22" ht="12" hidden="1" customHeight="1" thickBot="1" x14ac:dyDescent="0.25">
      <c r="C26" s="101"/>
      <c r="D26" s="62"/>
      <c r="E26" s="25"/>
      <c r="F26" s="25"/>
      <c r="G26" s="62"/>
      <c r="H26" s="26"/>
      <c r="I26" s="27"/>
      <c r="J26" s="31"/>
      <c r="K26" s="27"/>
      <c r="L26" s="28"/>
      <c r="M26" s="349"/>
      <c r="N26" s="27"/>
      <c r="O26" s="27"/>
      <c r="P26" s="27"/>
      <c r="Q26" s="29"/>
      <c r="R26" s="190"/>
      <c r="S26" s="19"/>
      <c r="T26" s="30"/>
    </row>
    <row r="27" spans="3:22" hidden="1" x14ac:dyDescent="0.2">
      <c r="C27" s="238"/>
      <c r="D27" s="36"/>
      <c r="E27" s="37"/>
      <c r="F27" s="37"/>
      <c r="G27" s="36"/>
      <c r="H27" s="47"/>
      <c r="I27" s="38"/>
      <c r="J27" s="39"/>
      <c r="K27" s="38"/>
      <c r="L27" s="48"/>
      <c r="M27" s="348"/>
      <c r="N27" s="38"/>
      <c r="O27" s="38"/>
      <c r="P27" s="38"/>
      <c r="Q27" s="40"/>
      <c r="R27" s="192"/>
      <c r="S27" s="186"/>
      <c r="T27" s="41"/>
    </row>
    <row r="28" spans="3:22" ht="12.75" hidden="1" thickBot="1" x14ac:dyDescent="0.25">
      <c r="C28" s="239"/>
      <c r="D28" s="68"/>
      <c r="E28" s="69"/>
      <c r="F28" s="69"/>
      <c r="G28" s="68"/>
      <c r="H28" s="362"/>
      <c r="I28" s="70"/>
      <c r="J28" s="71"/>
      <c r="K28" s="70"/>
      <c r="L28" s="72"/>
      <c r="M28" s="370"/>
      <c r="N28" s="70"/>
      <c r="O28" s="70"/>
      <c r="P28" s="70"/>
      <c r="Q28" s="67"/>
      <c r="R28" s="197"/>
      <c r="S28" s="194"/>
      <c r="T28" s="73"/>
    </row>
    <row r="29" spans="3:22" hidden="1" x14ac:dyDescent="0.2">
      <c r="C29" s="176"/>
      <c r="D29" s="43"/>
      <c r="E29" s="42"/>
      <c r="F29" s="42"/>
      <c r="G29" s="43"/>
      <c r="H29" s="65"/>
      <c r="I29" s="24"/>
      <c r="J29" s="51"/>
      <c r="K29" s="24"/>
      <c r="L29" s="44"/>
      <c r="M29" s="348"/>
      <c r="N29" s="24"/>
      <c r="O29" s="24"/>
      <c r="P29" s="24"/>
      <c r="Q29" s="45"/>
      <c r="R29" s="191"/>
      <c r="S29" s="52"/>
      <c r="T29" s="46"/>
    </row>
    <row r="30" spans="3:22" ht="12.75" hidden="1" thickBot="1" x14ac:dyDescent="0.25">
      <c r="C30" s="101"/>
      <c r="D30" s="62"/>
      <c r="E30" s="25"/>
      <c r="F30" s="25"/>
      <c r="G30" s="62"/>
      <c r="H30" s="26"/>
      <c r="I30" s="27"/>
      <c r="J30" s="31"/>
      <c r="K30" s="27"/>
      <c r="L30" s="28"/>
      <c r="M30" s="349"/>
      <c r="N30" s="27"/>
      <c r="O30" s="27"/>
      <c r="P30" s="27"/>
      <c r="Q30" s="29"/>
      <c r="R30" s="190"/>
      <c r="S30" s="19"/>
      <c r="T30" s="30"/>
    </row>
    <row r="31" spans="3:22" hidden="1" x14ac:dyDescent="0.2">
      <c r="C31" s="238"/>
      <c r="D31" s="36"/>
      <c r="E31" s="37"/>
      <c r="F31" s="37"/>
      <c r="G31" s="36"/>
      <c r="H31" s="47"/>
      <c r="I31" s="38"/>
      <c r="J31" s="39"/>
      <c r="K31" s="38"/>
      <c r="L31" s="48"/>
      <c r="M31" s="350"/>
      <c r="N31" s="38"/>
      <c r="O31" s="38"/>
      <c r="P31" s="38"/>
      <c r="Q31" s="40"/>
      <c r="R31" s="192"/>
      <c r="S31" s="186"/>
      <c r="T31" s="41"/>
    </row>
    <row r="32" spans="3:22" ht="12.75" hidden="1" thickBot="1" x14ac:dyDescent="0.25">
      <c r="C32" s="101"/>
      <c r="D32" s="62"/>
      <c r="E32" s="25"/>
      <c r="F32" s="25"/>
      <c r="G32" s="62"/>
      <c r="H32" s="26"/>
      <c r="I32" s="27"/>
      <c r="J32" s="31"/>
      <c r="K32" s="27"/>
      <c r="L32" s="28"/>
      <c r="M32" s="349"/>
      <c r="N32" s="27"/>
      <c r="O32" s="27"/>
      <c r="P32" s="27"/>
      <c r="Q32" s="29"/>
      <c r="R32" s="190"/>
      <c r="S32" s="19"/>
      <c r="T32" s="30"/>
    </row>
    <row r="33" spans="3:23" ht="12.75" thickBot="1" x14ac:dyDescent="0.25">
      <c r="I33" s="15"/>
      <c r="R33" s="193"/>
      <c r="S33" s="15"/>
    </row>
    <row r="34" spans="3:23" x14ac:dyDescent="0.2">
      <c r="E34" s="629" t="s">
        <v>34</v>
      </c>
      <c r="F34" s="646">
        <f>+'MELENDEZ SINALOA MANUEL ARAT'!F34:G34</f>
        <v>45957</v>
      </c>
      <c r="G34" s="647"/>
      <c r="H34" s="16">
        <f>+F34+1</f>
        <v>45958</v>
      </c>
      <c r="I34" s="16">
        <f>+H34+1</f>
        <v>45959</v>
      </c>
      <c r="J34" s="16">
        <f>+I34+1</f>
        <v>45960</v>
      </c>
      <c r="K34" s="16">
        <f>+J34+1</f>
        <v>45961</v>
      </c>
      <c r="L34" s="16">
        <f>+K34+2</f>
        <v>45963</v>
      </c>
      <c r="M34" s="17" t="s">
        <v>140</v>
      </c>
    </row>
    <row r="35" spans="3:23" ht="12.75" thickBot="1" x14ac:dyDescent="0.25">
      <c r="E35" s="630"/>
      <c r="F35" s="648"/>
      <c r="G35" s="649"/>
      <c r="H35" s="29"/>
      <c r="I35" s="29"/>
      <c r="J35" s="29"/>
      <c r="K35" s="29">
        <v>125</v>
      </c>
      <c r="L35" s="29"/>
      <c r="M35" s="30">
        <f>SUM(F35:L35)</f>
        <v>125</v>
      </c>
    </row>
    <row r="36" spans="3:23" ht="12.75" thickBot="1" x14ac:dyDescent="0.25">
      <c r="I36" s="15"/>
      <c r="U36" s="245"/>
      <c r="V36" s="245"/>
    </row>
    <row r="37" spans="3:23" ht="13.5" thickBot="1" x14ac:dyDescent="0.25">
      <c r="C37" s="608" t="s">
        <v>36</v>
      </c>
      <c r="D37" s="609"/>
      <c r="E37" s="609"/>
      <c r="F37" s="609"/>
      <c r="G37" s="610"/>
      <c r="I37" s="620" t="s">
        <v>37</v>
      </c>
      <c r="J37" s="621"/>
      <c r="K37" s="621"/>
      <c r="L37" s="622"/>
      <c r="M37" s="298"/>
      <c r="O37" s="611" t="s">
        <v>38</v>
      </c>
      <c r="P37" s="612"/>
      <c r="Q37" s="613">
        <f>+F50-L46</f>
        <v>4681.4862296387582</v>
      </c>
      <c r="R37" s="614"/>
      <c r="S37" s="615"/>
    </row>
    <row r="38" spans="3:23" ht="12.75" thickBot="1" x14ac:dyDescent="0.25">
      <c r="C38" s="616" t="s">
        <v>219</v>
      </c>
      <c r="D38" s="617"/>
      <c r="E38" s="617"/>
      <c r="F38" s="618">
        <f>SUM(Q18:Q33)</f>
        <v>659.99249999999995</v>
      </c>
      <c r="G38" s="619"/>
      <c r="I38" s="114" t="s">
        <v>125</v>
      </c>
      <c r="J38" s="68" t="s">
        <v>126</v>
      </c>
      <c r="K38" s="68" t="s">
        <v>70</v>
      </c>
      <c r="L38" s="115" t="s">
        <v>127</v>
      </c>
      <c r="M38" s="346"/>
    </row>
    <row r="39" spans="3:23" ht="13.5" customHeight="1" thickBot="1" x14ac:dyDescent="0.25">
      <c r="C39" s="602" t="s">
        <v>220</v>
      </c>
      <c r="D39" s="603"/>
      <c r="E39" s="603"/>
      <c r="F39" s="604">
        <f>SUM(T18:T33)</f>
        <v>3896.4937296387584</v>
      </c>
      <c r="G39" s="605"/>
      <c r="I39" s="426"/>
      <c r="J39" s="427"/>
      <c r="K39" s="329"/>
      <c r="L39" s="119"/>
      <c r="M39" s="346"/>
      <c r="O39" s="74" t="s">
        <v>70</v>
      </c>
      <c r="P39" s="75" t="s">
        <v>71</v>
      </c>
      <c r="Q39" s="76" t="s">
        <v>72</v>
      </c>
      <c r="R39" s="64"/>
      <c r="S39" s="77" t="s">
        <v>73</v>
      </c>
      <c r="T39" s="75" t="s">
        <v>74</v>
      </c>
      <c r="U39" s="74" t="s">
        <v>145</v>
      </c>
      <c r="V39" s="75" t="s">
        <v>146</v>
      </c>
      <c r="W39" s="75" t="s">
        <v>284</v>
      </c>
    </row>
    <row r="40" spans="3:23" x14ac:dyDescent="0.2">
      <c r="C40" s="602" t="s">
        <v>34</v>
      </c>
      <c r="D40" s="603"/>
      <c r="E40" s="603"/>
      <c r="F40" s="604">
        <f>+M35</f>
        <v>125</v>
      </c>
      <c r="G40" s="605"/>
      <c r="I40" s="327"/>
      <c r="J40" s="117"/>
      <c r="K40" s="61"/>
      <c r="L40" s="111"/>
      <c r="M40" s="346"/>
      <c r="O40" s="78">
        <v>46108</v>
      </c>
      <c r="P40" s="79" t="s">
        <v>162</v>
      </c>
      <c r="Q40" s="80">
        <v>240223</v>
      </c>
      <c r="R40" s="80"/>
      <c r="S40" s="63">
        <v>240937</v>
      </c>
      <c r="T40" s="79">
        <f t="shared" ref="T40" si="0">+S40-Q40</f>
        <v>714</v>
      </c>
      <c r="U40" s="137">
        <f>SUM(J19:J20)</f>
        <v>750</v>
      </c>
      <c r="V40" s="79">
        <f>+K20</f>
        <v>220</v>
      </c>
      <c r="W40" s="353">
        <f>(SUM(M19:M20)/2)</f>
        <v>13990.5</v>
      </c>
    </row>
    <row r="41" spans="3:23" x14ac:dyDescent="0.2">
      <c r="C41" s="602" t="s">
        <v>186</v>
      </c>
      <c r="D41" s="603"/>
      <c r="E41" s="603"/>
      <c r="F41" s="604"/>
      <c r="G41" s="605"/>
      <c r="I41" s="94"/>
      <c r="J41" s="117"/>
      <c r="K41" s="61"/>
      <c r="L41" s="111"/>
      <c r="M41" s="346"/>
      <c r="O41" s="32">
        <v>46146</v>
      </c>
      <c r="P41" s="53" t="s">
        <v>155</v>
      </c>
      <c r="Q41" s="63">
        <v>426062</v>
      </c>
      <c r="R41" s="63"/>
      <c r="S41" s="11">
        <v>426788</v>
      </c>
      <c r="T41" s="53">
        <f>+S41-Q41</f>
        <v>726</v>
      </c>
      <c r="U41" s="136">
        <f>SUM(J21:J22)</f>
        <v>750</v>
      </c>
      <c r="V41" s="53">
        <f>+K22</f>
        <v>236.01</v>
      </c>
      <c r="W41" s="354">
        <f>(SUM(M21:M22)/2)</f>
        <v>9964</v>
      </c>
    </row>
    <row r="42" spans="3:23" x14ac:dyDescent="0.2">
      <c r="C42" s="602" t="s">
        <v>39</v>
      </c>
      <c r="D42" s="603"/>
      <c r="E42" s="603"/>
      <c r="F42" s="604"/>
      <c r="G42" s="605"/>
      <c r="I42" s="94"/>
      <c r="J42" s="117"/>
      <c r="K42" s="61"/>
      <c r="L42" s="111"/>
      <c r="M42" s="346"/>
      <c r="O42" s="32">
        <v>46178</v>
      </c>
      <c r="P42" s="53" t="s">
        <v>155</v>
      </c>
      <c r="Q42" s="11">
        <v>426788</v>
      </c>
      <c r="R42" s="63"/>
      <c r="S42" s="63">
        <v>427563</v>
      </c>
      <c r="T42" s="53">
        <f>+S42-Q42</f>
        <v>775</v>
      </c>
      <c r="U42" s="136">
        <f>SUM(J23:J24)</f>
        <v>800</v>
      </c>
      <c r="V42" s="53">
        <f>+K24</f>
        <v>220</v>
      </c>
      <c r="W42" s="354">
        <f>(SUM(M23:M24)/2)</f>
        <v>531.85</v>
      </c>
    </row>
    <row r="43" spans="3:23" x14ac:dyDescent="0.2">
      <c r="C43" s="602" t="s">
        <v>116</v>
      </c>
      <c r="D43" s="603"/>
      <c r="E43" s="603"/>
      <c r="F43" s="604"/>
      <c r="G43" s="605"/>
      <c r="I43" s="94"/>
      <c r="J43" s="117"/>
      <c r="K43" s="61"/>
      <c r="L43" s="111"/>
      <c r="M43" s="346"/>
      <c r="O43" s="32"/>
      <c r="P43" s="53"/>
      <c r="Q43" s="63"/>
      <c r="R43" s="63"/>
      <c r="S43" s="11"/>
      <c r="T43" s="53">
        <f t="shared" ref="T43:T45" si="1">+S43-Q43</f>
        <v>0</v>
      </c>
      <c r="U43" s="136">
        <f>SUM(J25:J26)</f>
        <v>0</v>
      </c>
      <c r="V43" s="53">
        <f>+K26</f>
        <v>0</v>
      </c>
      <c r="W43" s="354">
        <f>(SUM(M25:M26)/2)</f>
        <v>0</v>
      </c>
    </row>
    <row r="44" spans="3:23" x14ac:dyDescent="0.2">
      <c r="C44" s="602" t="s">
        <v>40</v>
      </c>
      <c r="D44" s="603"/>
      <c r="E44" s="603"/>
      <c r="F44" s="604"/>
      <c r="G44" s="605"/>
      <c r="I44" s="94"/>
      <c r="J44" s="117"/>
      <c r="K44" s="61"/>
      <c r="L44" s="111"/>
      <c r="M44" s="346"/>
      <c r="O44" s="32"/>
      <c r="P44" s="53"/>
      <c r="Q44" s="63"/>
      <c r="R44" s="95"/>
      <c r="S44" s="11"/>
      <c r="T44" s="53">
        <f t="shared" si="1"/>
        <v>0</v>
      </c>
      <c r="U44" s="136">
        <f>SUM(J27:J28)</f>
        <v>0</v>
      </c>
      <c r="V44" s="53">
        <f>+K28</f>
        <v>0</v>
      </c>
      <c r="W44" s="354">
        <f>(SUM(M27:M28)/2)</f>
        <v>0</v>
      </c>
    </row>
    <row r="45" spans="3:23" ht="12.75" thickBot="1" x14ac:dyDescent="0.25">
      <c r="C45" s="602" t="s">
        <v>124</v>
      </c>
      <c r="D45" s="603"/>
      <c r="E45" s="603"/>
      <c r="F45" s="604">
        <v>0</v>
      </c>
      <c r="G45" s="605"/>
      <c r="I45" s="282"/>
      <c r="J45" s="285"/>
      <c r="K45" s="62"/>
      <c r="L45" s="283"/>
      <c r="M45" s="346"/>
      <c r="O45" s="32"/>
      <c r="P45" s="53"/>
      <c r="Q45" s="63"/>
      <c r="R45" s="95"/>
      <c r="S45" s="11"/>
      <c r="T45" s="53">
        <f t="shared" si="1"/>
        <v>0</v>
      </c>
      <c r="U45" s="136">
        <f>SUM(J29:J30)</f>
        <v>0</v>
      </c>
      <c r="V45" s="53">
        <f>+K30</f>
        <v>0</v>
      </c>
      <c r="W45" s="354">
        <f>(SUM(M29:M30)/2)</f>
        <v>0</v>
      </c>
    </row>
    <row r="46" spans="3:23" ht="13.5" customHeight="1" thickBot="1" x14ac:dyDescent="0.25">
      <c r="C46" s="602" t="s">
        <v>320</v>
      </c>
      <c r="D46" s="603"/>
      <c r="E46" s="603"/>
      <c r="F46" s="606"/>
      <c r="G46" s="607"/>
      <c r="I46" s="597" t="s">
        <v>41</v>
      </c>
      <c r="J46" s="598"/>
      <c r="K46" s="632"/>
      <c r="L46" s="284">
        <f>SUM(L39:L45)</f>
        <v>0</v>
      </c>
      <c r="M46" s="347"/>
      <c r="O46" s="113"/>
      <c r="P46" s="264"/>
      <c r="Q46" s="265"/>
      <c r="R46" s="83"/>
      <c r="S46" s="81"/>
      <c r="T46" s="82"/>
      <c r="U46" s="138">
        <f>SUM(J31:J32)</f>
        <v>0</v>
      </c>
      <c r="V46" s="55">
        <f>+K32</f>
        <v>0</v>
      </c>
      <c r="W46" s="355">
        <f>(SUM(M31:M32)/2)</f>
        <v>0</v>
      </c>
    </row>
    <row r="47" spans="3:23" ht="13.5" customHeight="1" x14ac:dyDescent="0.2">
      <c r="C47" s="602" t="s">
        <v>243</v>
      </c>
      <c r="D47" s="603"/>
      <c r="E47" s="603"/>
      <c r="F47" s="606"/>
      <c r="G47" s="607"/>
      <c r="R47" s="21"/>
      <c r="S47" s="21"/>
      <c r="T47" s="21"/>
      <c r="U47" s="139"/>
      <c r="V47" s="271"/>
    </row>
    <row r="48" spans="3:23" ht="13.5" customHeight="1" x14ac:dyDescent="0.2">
      <c r="C48" s="367" t="s">
        <v>308</v>
      </c>
      <c r="D48" s="368"/>
      <c r="E48" s="368"/>
      <c r="F48" s="660"/>
      <c r="G48" s="661"/>
      <c r="R48" s="21"/>
      <c r="S48" s="21"/>
      <c r="T48" s="21"/>
      <c r="U48" s="139"/>
      <c r="V48" s="271"/>
    </row>
    <row r="49" spans="3:22" ht="13.5" customHeight="1" thickBot="1" x14ac:dyDescent="0.25">
      <c r="C49" s="593" t="s">
        <v>346</v>
      </c>
      <c r="D49" s="594"/>
      <c r="E49" s="594"/>
      <c r="F49" s="595"/>
      <c r="G49" s="596"/>
      <c r="R49" s="21"/>
      <c r="S49" s="21"/>
      <c r="T49" s="21"/>
      <c r="U49" s="139"/>
      <c r="V49" s="271"/>
    </row>
    <row r="50" spans="3:22" ht="13.5" thickBot="1" x14ac:dyDescent="0.25">
      <c r="C50" s="597" t="s">
        <v>42</v>
      </c>
      <c r="D50" s="598"/>
      <c r="E50" s="599"/>
      <c r="F50" s="600">
        <f>SUM(F38:G49)</f>
        <v>4681.4862296387582</v>
      </c>
      <c r="G50" s="601"/>
      <c r="R50" s="21"/>
      <c r="S50" s="21"/>
      <c r="T50" s="21"/>
      <c r="U50" s="139"/>
      <c r="V50" s="271"/>
    </row>
    <row r="51" spans="3:22" ht="13.5" customHeight="1" thickBot="1" x14ac:dyDescent="0.25">
      <c r="P51" s="588" t="s">
        <v>48</v>
      </c>
      <c r="Q51" s="589"/>
      <c r="R51" s="590"/>
      <c r="S51" s="21"/>
      <c r="T51" s="21"/>
      <c r="U51" s="139"/>
      <c r="V51" s="271"/>
    </row>
    <row r="52" spans="3:22" ht="12.75" customHeight="1" x14ac:dyDescent="0.2">
      <c r="C52" s="246" t="s">
        <v>43</v>
      </c>
      <c r="D52" s="247"/>
      <c r="E52" s="247"/>
      <c r="F52" s="247"/>
      <c r="G52" s="247"/>
      <c r="H52" s="247"/>
      <c r="I52" s="247"/>
      <c r="J52" s="247"/>
      <c r="K52" s="247"/>
      <c r="L52" s="248"/>
      <c r="M52" s="251"/>
      <c r="P52" s="78">
        <v>1</v>
      </c>
      <c r="Q52" s="584" t="s">
        <v>49</v>
      </c>
      <c r="R52" s="585"/>
      <c r="S52" s="21"/>
      <c r="T52" s="21"/>
      <c r="U52" s="249"/>
    </row>
    <row r="53" spans="3:22" ht="12.75" customHeight="1" x14ac:dyDescent="0.2">
      <c r="C53" s="250"/>
      <c r="D53" s="251"/>
      <c r="E53" s="251"/>
      <c r="F53" s="251"/>
      <c r="G53" s="251"/>
      <c r="H53" s="251"/>
      <c r="I53" s="251"/>
      <c r="J53" s="251"/>
      <c r="K53" s="251"/>
      <c r="L53" s="252"/>
      <c r="M53" s="251"/>
      <c r="P53" s="32">
        <v>2</v>
      </c>
      <c r="Q53" s="586" t="s">
        <v>135</v>
      </c>
      <c r="R53" s="587"/>
      <c r="S53" s="21"/>
      <c r="T53" s="249"/>
    </row>
    <row r="54" spans="3:22" ht="12.75" thickBot="1" x14ac:dyDescent="0.25">
      <c r="C54" s="253"/>
      <c r="D54" s="254"/>
      <c r="E54" s="254"/>
      <c r="F54" s="254"/>
      <c r="G54" s="254"/>
      <c r="H54" s="254"/>
      <c r="I54" s="254"/>
      <c r="J54" s="254"/>
      <c r="K54" s="254"/>
      <c r="L54" s="255"/>
      <c r="M54" s="251"/>
      <c r="P54" s="32">
        <v>3</v>
      </c>
      <c r="Q54" s="586" t="s">
        <v>130</v>
      </c>
      <c r="R54" s="587"/>
      <c r="S54" s="21"/>
      <c r="T54" s="249"/>
    </row>
    <row r="55" spans="3:22" x14ac:dyDescent="0.2">
      <c r="P55" s="32">
        <v>4</v>
      </c>
      <c r="Q55" s="586" t="s">
        <v>228</v>
      </c>
      <c r="R55" s="587"/>
      <c r="S55" s="21"/>
      <c r="T55" s="249"/>
    </row>
    <row r="56" spans="3:22" ht="12.75" thickBot="1" x14ac:dyDescent="0.25">
      <c r="P56" s="32">
        <v>5</v>
      </c>
      <c r="Q56" s="586" t="s">
        <v>229</v>
      </c>
      <c r="R56" s="587"/>
      <c r="S56" s="21"/>
    </row>
    <row r="57" spans="3:22" ht="14.25" customHeight="1" thickTop="1" thickBot="1" x14ac:dyDescent="0.25">
      <c r="D57" s="631" t="s">
        <v>44</v>
      </c>
      <c r="E57" s="631"/>
      <c r="F57" s="631"/>
      <c r="G57" s="631"/>
      <c r="H57" s="631"/>
      <c r="J57" s="631" t="s">
        <v>45</v>
      </c>
      <c r="K57" s="631"/>
      <c r="L57" s="631"/>
      <c r="M57" s="631"/>
      <c r="N57" s="631"/>
      <c r="P57" s="54">
        <v>6</v>
      </c>
      <c r="Q57" s="591" t="s">
        <v>230</v>
      </c>
      <c r="R57" s="592"/>
      <c r="S57" s="21"/>
      <c r="T57" s="21"/>
    </row>
    <row r="58" spans="3:22" x14ac:dyDescent="0.2">
      <c r="S58" s="21"/>
      <c r="T58" s="21"/>
    </row>
    <row r="59" spans="3:22" ht="10.5" customHeight="1" x14ac:dyDescent="0.2"/>
  </sheetData>
  <mergeCells count="58">
    <mergeCell ref="C47:E47"/>
    <mergeCell ref="F47:G47"/>
    <mergeCell ref="C49:E49"/>
    <mergeCell ref="F49:G49"/>
    <mergeCell ref="C50:E50"/>
    <mergeCell ref="F50:G50"/>
    <mergeCell ref="F48:G48"/>
    <mergeCell ref="I46:K46"/>
    <mergeCell ref="C42:E42"/>
    <mergeCell ref="F42:G42"/>
    <mergeCell ref="F43:G43"/>
    <mergeCell ref="C43:E43"/>
    <mergeCell ref="C46:E46"/>
    <mergeCell ref="F46:G46"/>
    <mergeCell ref="F44:G44"/>
    <mergeCell ref="C45:E45"/>
    <mergeCell ref="F45:G45"/>
    <mergeCell ref="C44:E44"/>
    <mergeCell ref="C41:E41"/>
    <mergeCell ref="F41:G41"/>
    <mergeCell ref="O37:P37"/>
    <mergeCell ref="Q37:S37"/>
    <mergeCell ref="C38:E38"/>
    <mergeCell ref="F38:G38"/>
    <mergeCell ref="I37:L37"/>
    <mergeCell ref="C37:G37"/>
    <mergeCell ref="C39:E39"/>
    <mergeCell ref="F39:G39"/>
    <mergeCell ref="C40:E40"/>
    <mergeCell ref="F40:G40"/>
    <mergeCell ref="F34:G34"/>
    <mergeCell ref="F35:G35"/>
    <mergeCell ref="I6:O6"/>
    <mergeCell ref="Q6:S6"/>
    <mergeCell ref="I9:O9"/>
    <mergeCell ref="E11:H11"/>
    <mergeCell ref="L11:S11"/>
    <mergeCell ref="E12:F12"/>
    <mergeCell ref="D13:E13"/>
    <mergeCell ref="D14:E14"/>
    <mergeCell ref="D15:E15"/>
    <mergeCell ref="D16:E16"/>
    <mergeCell ref="E34:E35"/>
    <mergeCell ref="Q2:S2"/>
    <mergeCell ref="I3:O3"/>
    <mergeCell ref="Q3:S3"/>
    <mergeCell ref="I4:O4"/>
    <mergeCell ref="I5:O5"/>
    <mergeCell ref="Q5:S5"/>
    <mergeCell ref="D57:H57"/>
    <mergeCell ref="J57:N57"/>
    <mergeCell ref="Q56:R56"/>
    <mergeCell ref="Q57:R57"/>
    <mergeCell ref="P51:R51"/>
    <mergeCell ref="Q52:R52"/>
    <mergeCell ref="Q53:R53"/>
    <mergeCell ref="Q54:R54"/>
    <mergeCell ref="Q55:R55"/>
  </mergeCells>
  <pageMargins left="0.19685039370078741" right="0.19685039370078741" top="0.35433070866141736" bottom="0.35433070866141736" header="0.31496062992125984" footer="0.31496062992125984"/>
  <pageSetup paperSize="9" scale="79" orientation="landscape" horizontalDpi="300" verticalDpi="300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Hoja24">
    <pageSetUpPr fitToPage="1"/>
  </sheetPr>
  <dimension ref="B1:Z58"/>
  <sheetViews>
    <sheetView zoomScaleNormal="100" workbookViewId="0">
      <selection activeCell="Y34" sqref="Y34"/>
    </sheetView>
  </sheetViews>
  <sheetFormatPr baseColWidth="10" defaultColWidth="9.140625" defaultRowHeight="12" x14ac:dyDescent="0.2"/>
  <cols>
    <col min="1" max="1" width="1.5703125" style="14" customWidth="1"/>
    <col min="2" max="2" width="4.7109375" style="14" customWidth="1"/>
    <col min="3" max="3" width="11.85546875" style="14" customWidth="1"/>
    <col min="4" max="4" width="10.5703125" style="14" customWidth="1"/>
    <col min="5" max="5" width="7.85546875" style="14" customWidth="1"/>
    <col min="6" max="6" width="8.85546875" style="14" customWidth="1"/>
    <col min="7" max="7" width="2.85546875" style="14" customWidth="1"/>
    <col min="8" max="8" width="10" style="14" customWidth="1"/>
    <col min="9" max="9" width="10.5703125" style="14" customWidth="1"/>
    <col min="10" max="10" width="9.85546875" style="14" customWidth="1"/>
    <col min="11" max="11" width="10.42578125" style="14" customWidth="1"/>
    <col min="12" max="12" width="13" style="14" customWidth="1"/>
    <col min="13" max="13" width="10" style="14" customWidth="1"/>
    <col min="14" max="14" width="8.140625" style="14" customWidth="1"/>
    <col min="15" max="15" width="10.140625" style="14" customWidth="1"/>
    <col min="16" max="16" width="12.28515625" style="14" customWidth="1"/>
    <col min="17" max="17" width="11.140625" style="14" customWidth="1"/>
    <col min="18" max="18" width="10" style="14" hidden="1" customWidth="1"/>
    <col min="19" max="19" width="9.7109375" style="14" customWidth="1"/>
    <col min="20" max="20" width="9.85546875" style="14" customWidth="1"/>
    <col min="21" max="21" width="11" style="14" customWidth="1"/>
    <col min="22" max="22" width="9.5703125" style="14" customWidth="1"/>
    <col min="23" max="23" width="9" style="14" customWidth="1"/>
    <col min="24" max="24" width="9.140625" style="14" customWidth="1"/>
    <col min="25" max="259" width="9.140625" style="14"/>
    <col min="260" max="260" width="5.7109375" style="14" customWidth="1"/>
    <col min="261" max="261" width="13.140625" style="14" customWidth="1"/>
    <col min="262" max="262" width="12.28515625" style="14" customWidth="1"/>
    <col min="263" max="263" width="8.85546875" style="14" customWidth="1"/>
    <col min="264" max="264" width="10.85546875" style="14" customWidth="1"/>
    <col min="265" max="265" width="2.85546875" style="14" customWidth="1"/>
    <col min="266" max="266" width="12.140625" style="14" customWidth="1"/>
    <col min="267" max="267" width="10.140625" style="14" customWidth="1"/>
    <col min="268" max="268" width="11.7109375" style="14" customWidth="1"/>
    <col min="269" max="269" width="11.42578125" style="14" customWidth="1"/>
    <col min="270" max="270" width="12.7109375" style="14" customWidth="1"/>
    <col min="271" max="271" width="11.42578125" style="14" customWidth="1"/>
    <col min="272" max="272" width="10.7109375" style="14" customWidth="1"/>
    <col min="273" max="273" width="10.5703125" style="14" customWidth="1"/>
    <col min="274" max="274" width="11.28515625" style="14" customWidth="1"/>
    <col min="275" max="275" width="9.7109375" style="14" customWidth="1"/>
    <col min="276" max="276" width="12" style="14" customWidth="1"/>
    <col min="277" max="277" width="11.28515625" style="14" customWidth="1"/>
    <col min="278" max="515" width="9.140625" style="14"/>
    <col min="516" max="516" width="5.7109375" style="14" customWidth="1"/>
    <col min="517" max="517" width="13.140625" style="14" customWidth="1"/>
    <col min="518" max="518" width="12.28515625" style="14" customWidth="1"/>
    <col min="519" max="519" width="8.85546875" style="14" customWidth="1"/>
    <col min="520" max="520" width="10.85546875" style="14" customWidth="1"/>
    <col min="521" max="521" width="2.85546875" style="14" customWidth="1"/>
    <col min="522" max="522" width="12.140625" style="14" customWidth="1"/>
    <col min="523" max="523" width="10.140625" style="14" customWidth="1"/>
    <col min="524" max="524" width="11.7109375" style="14" customWidth="1"/>
    <col min="525" max="525" width="11.42578125" style="14" customWidth="1"/>
    <col min="526" max="526" width="12.7109375" style="14" customWidth="1"/>
    <col min="527" max="527" width="11.42578125" style="14" customWidth="1"/>
    <col min="528" max="528" width="10.7109375" style="14" customWidth="1"/>
    <col min="529" max="529" width="10.5703125" style="14" customWidth="1"/>
    <col min="530" max="530" width="11.28515625" style="14" customWidth="1"/>
    <col min="531" max="531" width="9.7109375" style="14" customWidth="1"/>
    <col min="532" max="532" width="12" style="14" customWidth="1"/>
    <col min="533" max="533" width="11.28515625" style="14" customWidth="1"/>
    <col min="534" max="771" width="9.140625" style="14"/>
    <col min="772" max="772" width="5.7109375" style="14" customWidth="1"/>
    <col min="773" max="773" width="13.140625" style="14" customWidth="1"/>
    <col min="774" max="774" width="12.28515625" style="14" customWidth="1"/>
    <col min="775" max="775" width="8.85546875" style="14" customWidth="1"/>
    <col min="776" max="776" width="10.85546875" style="14" customWidth="1"/>
    <col min="777" max="777" width="2.85546875" style="14" customWidth="1"/>
    <col min="778" max="778" width="12.140625" style="14" customWidth="1"/>
    <col min="779" max="779" width="10.140625" style="14" customWidth="1"/>
    <col min="780" max="780" width="11.7109375" style="14" customWidth="1"/>
    <col min="781" max="781" width="11.42578125" style="14" customWidth="1"/>
    <col min="782" max="782" width="12.7109375" style="14" customWidth="1"/>
    <col min="783" max="783" width="11.42578125" style="14" customWidth="1"/>
    <col min="784" max="784" width="10.7109375" style="14" customWidth="1"/>
    <col min="785" max="785" width="10.5703125" style="14" customWidth="1"/>
    <col min="786" max="786" width="11.28515625" style="14" customWidth="1"/>
    <col min="787" max="787" width="9.7109375" style="14" customWidth="1"/>
    <col min="788" max="788" width="12" style="14" customWidth="1"/>
    <col min="789" max="789" width="11.28515625" style="14" customWidth="1"/>
    <col min="790" max="1027" width="9.140625" style="14"/>
    <col min="1028" max="1028" width="5.7109375" style="14" customWidth="1"/>
    <col min="1029" max="1029" width="13.140625" style="14" customWidth="1"/>
    <col min="1030" max="1030" width="12.28515625" style="14" customWidth="1"/>
    <col min="1031" max="1031" width="8.85546875" style="14" customWidth="1"/>
    <col min="1032" max="1032" width="10.85546875" style="14" customWidth="1"/>
    <col min="1033" max="1033" width="2.85546875" style="14" customWidth="1"/>
    <col min="1034" max="1034" width="12.140625" style="14" customWidth="1"/>
    <col min="1035" max="1035" width="10.140625" style="14" customWidth="1"/>
    <col min="1036" max="1036" width="11.7109375" style="14" customWidth="1"/>
    <col min="1037" max="1037" width="11.42578125" style="14" customWidth="1"/>
    <col min="1038" max="1038" width="12.7109375" style="14" customWidth="1"/>
    <col min="1039" max="1039" width="11.42578125" style="14" customWidth="1"/>
    <col min="1040" max="1040" width="10.7109375" style="14" customWidth="1"/>
    <col min="1041" max="1041" width="10.5703125" style="14" customWidth="1"/>
    <col min="1042" max="1042" width="11.28515625" style="14" customWidth="1"/>
    <col min="1043" max="1043" width="9.7109375" style="14" customWidth="1"/>
    <col min="1044" max="1044" width="12" style="14" customWidth="1"/>
    <col min="1045" max="1045" width="11.28515625" style="14" customWidth="1"/>
    <col min="1046" max="1283" width="9.140625" style="14"/>
    <col min="1284" max="1284" width="5.7109375" style="14" customWidth="1"/>
    <col min="1285" max="1285" width="13.140625" style="14" customWidth="1"/>
    <col min="1286" max="1286" width="12.28515625" style="14" customWidth="1"/>
    <col min="1287" max="1287" width="8.85546875" style="14" customWidth="1"/>
    <col min="1288" max="1288" width="10.85546875" style="14" customWidth="1"/>
    <col min="1289" max="1289" width="2.85546875" style="14" customWidth="1"/>
    <col min="1290" max="1290" width="12.140625" style="14" customWidth="1"/>
    <col min="1291" max="1291" width="10.140625" style="14" customWidth="1"/>
    <col min="1292" max="1292" width="11.7109375" style="14" customWidth="1"/>
    <col min="1293" max="1293" width="11.42578125" style="14" customWidth="1"/>
    <col min="1294" max="1294" width="12.7109375" style="14" customWidth="1"/>
    <col min="1295" max="1295" width="11.42578125" style="14" customWidth="1"/>
    <col min="1296" max="1296" width="10.7109375" style="14" customWidth="1"/>
    <col min="1297" max="1297" width="10.5703125" style="14" customWidth="1"/>
    <col min="1298" max="1298" width="11.28515625" style="14" customWidth="1"/>
    <col min="1299" max="1299" width="9.7109375" style="14" customWidth="1"/>
    <col min="1300" max="1300" width="12" style="14" customWidth="1"/>
    <col min="1301" max="1301" width="11.28515625" style="14" customWidth="1"/>
    <col min="1302" max="1539" width="9.140625" style="14"/>
    <col min="1540" max="1540" width="5.7109375" style="14" customWidth="1"/>
    <col min="1541" max="1541" width="13.140625" style="14" customWidth="1"/>
    <col min="1542" max="1542" width="12.28515625" style="14" customWidth="1"/>
    <col min="1543" max="1543" width="8.85546875" style="14" customWidth="1"/>
    <col min="1544" max="1544" width="10.85546875" style="14" customWidth="1"/>
    <col min="1545" max="1545" width="2.85546875" style="14" customWidth="1"/>
    <col min="1546" max="1546" width="12.140625" style="14" customWidth="1"/>
    <col min="1547" max="1547" width="10.140625" style="14" customWidth="1"/>
    <col min="1548" max="1548" width="11.7109375" style="14" customWidth="1"/>
    <col min="1549" max="1549" width="11.42578125" style="14" customWidth="1"/>
    <col min="1550" max="1550" width="12.7109375" style="14" customWidth="1"/>
    <col min="1551" max="1551" width="11.42578125" style="14" customWidth="1"/>
    <col min="1552" max="1552" width="10.7109375" style="14" customWidth="1"/>
    <col min="1553" max="1553" width="10.5703125" style="14" customWidth="1"/>
    <col min="1554" max="1554" width="11.28515625" style="14" customWidth="1"/>
    <col min="1555" max="1555" width="9.7109375" style="14" customWidth="1"/>
    <col min="1556" max="1556" width="12" style="14" customWidth="1"/>
    <col min="1557" max="1557" width="11.28515625" style="14" customWidth="1"/>
    <col min="1558" max="1795" width="9.140625" style="14"/>
    <col min="1796" max="1796" width="5.7109375" style="14" customWidth="1"/>
    <col min="1797" max="1797" width="13.140625" style="14" customWidth="1"/>
    <col min="1798" max="1798" width="12.28515625" style="14" customWidth="1"/>
    <col min="1799" max="1799" width="8.85546875" style="14" customWidth="1"/>
    <col min="1800" max="1800" width="10.85546875" style="14" customWidth="1"/>
    <col min="1801" max="1801" width="2.85546875" style="14" customWidth="1"/>
    <col min="1802" max="1802" width="12.140625" style="14" customWidth="1"/>
    <col min="1803" max="1803" width="10.140625" style="14" customWidth="1"/>
    <col min="1804" max="1804" width="11.7109375" style="14" customWidth="1"/>
    <col min="1805" max="1805" width="11.42578125" style="14" customWidth="1"/>
    <col min="1806" max="1806" width="12.7109375" style="14" customWidth="1"/>
    <col min="1807" max="1807" width="11.42578125" style="14" customWidth="1"/>
    <col min="1808" max="1808" width="10.7109375" style="14" customWidth="1"/>
    <col min="1809" max="1809" width="10.5703125" style="14" customWidth="1"/>
    <col min="1810" max="1810" width="11.28515625" style="14" customWidth="1"/>
    <col min="1811" max="1811" width="9.7109375" style="14" customWidth="1"/>
    <col min="1812" max="1812" width="12" style="14" customWidth="1"/>
    <col min="1813" max="1813" width="11.28515625" style="14" customWidth="1"/>
    <col min="1814" max="2051" width="9.140625" style="14"/>
    <col min="2052" max="2052" width="5.7109375" style="14" customWidth="1"/>
    <col min="2053" max="2053" width="13.140625" style="14" customWidth="1"/>
    <col min="2054" max="2054" width="12.28515625" style="14" customWidth="1"/>
    <col min="2055" max="2055" width="8.85546875" style="14" customWidth="1"/>
    <col min="2056" max="2056" width="10.85546875" style="14" customWidth="1"/>
    <col min="2057" max="2057" width="2.85546875" style="14" customWidth="1"/>
    <col min="2058" max="2058" width="12.140625" style="14" customWidth="1"/>
    <col min="2059" max="2059" width="10.140625" style="14" customWidth="1"/>
    <col min="2060" max="2060" width="11.7109375" style="14" customWidth="1"/>
    <col min="2061" max="2061" width="11.42578125" style="14" customWidth="1"/>
    <col min="2062" max="2062" width="12.7109375" style="14" customWidth="1"/>
    <col min="2063" max="2063" width="11.42578125" style="14" customWidth="1"/>
    <col min="2064" max="2064" width="10.7109375" style="14" customWidth="1"/>
    <col min="2065" max="2065" width="10.5703125" style="14" customWidth="1"/>
    <col min="2066" max="2066" width="11.28515625" style="14" customWidth="1"/>
    <col min="2067" max="2067" width="9.7109375" style="14" customWidth="1"/>
    <col min="2068" max="2068" width="12" style="14" customWidth="1"/>
    <col min="2069" max="2069" width="11.28515625" style="14" customWidth="1"/>
    <col min="2070" max="2307" width="9.140625" style="14"/>
    <col min="2308" max="2308" width="5.7109375" style="14" customWidth="1"/>
    <col min="2309" max="2309" width="13.140625" style="14" customWidth="1"/>
    <col min="2310" max="2310" width="12.28515625" style="14" customWidth="1"/>
    <col min="2311" max="2311" width="8.85546875" style="14" customWidth="1"/>
    <col min="2312" max="2312" width="10.85546875" style="14" customWidth="1"/>
    <col min="2313" max="2313" width="2.85546875" style="14" customWidth="1"/>
    <col min="2314" max="2314" width="12.140625" style="14" customWidth="1"/>
    <col min="2315" max="2315" width="10.140625" style="14" customWidth="1"/>
    <col min="2316" max="2316" width="11.7109375" style="14" customWidth="1"/>
    <col min="2317" max="2317" width="11.42578125" style="14" customWidth="1"/>
    <col min="2318" max="2318" width="12.7109375" style="14" customWidth="1"/>
    <col min="2319" max="2319" width="11.42578125" style="14" customWidth="1"/>
    <col min="2320" max="2320" width="10.7109375" style="14" customWidth="1"/>
    <col min="2321" max="2321" width="10.5703125" style="14" customWidth="1"/>
    <col min="2322" max="2322" width="11.28515625" style="14" customWidth="1"/>
    <col min="2323" max="2323" width="9.7109375" style="14" customWidth="1"/>
    <col min="2324" max="2324" width="12" style="14" customWidth="1"/>
    <col min="2325" max="2325" width="11.28515625" style="14" customWidth="1"/>
    <col min="2326" max="2563" width="9.140625" style="14"/>
    <col min="2564" max="2564" width="5.7109375" style="14" customWidth="1"/>
    <col min="2565" max="2565" width="13.140625" style="14" customWidth="1"/>
    <col min="2566" max="2566" width="12.28515625" style="14" customWidth="1"/>
    <col min="2567" max="2567" width="8.85546875" style="14" customWidth="1"/>
    <col min="2568" max="2568" width="10.85546875" style="14" customWidth="1"/>
    <col min="2569" max="2569" width="2.85546875" style="14" customWidth="1"/>
    <col min="2570" max="2570" width="12.140625" style="14" customWidth="1"/>
    <col min="2571" max="2571" width="10.140625" style="14" customWidth="1"/>
    <col min="2572" max="2572" width="11.7109375" style="14" customWidth="1"/>
    <col min="2573" max="2573" width="11.42578125" style="14" customWidth="1"/>
    <col min="2574" max="2574" width="12.7109375" style="14" customWidth="1"/>
    <col min="2575" max="2575" width="11.42578125" style="14" customWidth="1"/>
    <col min="2576" max="2576" width="10.7109375" style="14" customWidth="1"/>
    <col min="2577" max="2577" width="10.5703125" style="14" customWidth="1"/>
    <col min="2578" max="2578" width="11.28515625" style="14" customWidth="1"/>
    <col min="2579" max="2579" width="9.7109375" style="14" customWidth="1"/>
    <col min="2580" max="2580" width="12" style="14" customWidth="1"/>
    <col min="2581" max="2581" width="11.28515625" style="14" customWidth="1"/>
    <col min="2582" max="2819" width="9.140625" style="14"/>
    <col min="2820" max="2820" width="5.7109375" style="14" customWidth="1"/>
    <col min="2821" max="2821" width="13.140625" style="14" customWidth="1"/>
    <col min="2822" max="2822" width="12.28515625" style="14" customWidth="1"/>
    <col min="2823" max="2823" width="8.85546875" style="14" customWidth="1"/>
    <col min="2824" max="2824" width="10.85546875" style="14" customWidth="1"/>
    <col min="2825" max="2825" width="2.85546875" style="14" customWidth="1"/>
    <col min="2826" max="2826" width="12.140625" style="14" customWidth="1"/>
    <col min="2827" max="2827" width="10.140625" style="14" customWidth="1"/>
    <col min="2828" max="2828" width="11.7109375" style="14" customWidth="1"/>
    <col min="2829" max="2829" width="11.42578125" style="14" customWidth="1"/>
    <col min="2830" max="2830" width="12.7109375" style="14" customWidth="1"/>
    <col min="2831" max="2831" width="11.42578125" style="14" customWidth="1"/>
    <col min="2832" max="2832" width="10.7109375" style="14" customWidth="1"/>
    <col min="2833" max="2833" width="10.5703125" style="14" customWidth="1"/>
    <col min="2834" max="2834" width="11.28515625" style="14" customWidth="1"/>
    <col min="2835" max="2835" width="9.7109375" style="14" customWidth="1"/>
    <col min="2836" max="2836" width="12" style="14" customWidth="1"/>
    <col min="2837" max="2837" width="11.28515625" style="14" customWidth="1"/>
    <col min="2838" max="3075" width="9.140625" style="14"/>
    <col min="3076" max="3076" width="5.7109375" style="14" customWidth="1"/>
    <col min="3077" max="3077" width="13.140625" style="14" customWidth="1"/>
    <col min="3078" max="3078" width="12.28515625" style="14" customWidth="1"/>
    <col min="3079" max="3079" width="8.85546875" style="14" customWidth="1"/>
    <col min="3080" max="3080" width="10.85546875" style="14" customWidth="1"/>
    <col min="3081" max="3081" width="2.85546875" style="14" customWidth="1"/>
    <col min="3082" max="3082" width="12.140625" style="14" customWidth="1"/>
    <col min="3083" max="3083" width="10.140625" style="14" customWidth="1"/>
    <col min="3084" max="3084" width="11.7109375" style="14" customWidth="1"/>
    <col min="3085" max="3085" width="11.42578125" style="14" customWidth="1"/>
    <col min="3086" max="3086" width="12.7109375" style="14" customWidth="1"/>
    <col min="3087" max="3087" width="11.42578125" style="14" customWidth="1"/>
    <col min="3088" max="3088" width="10.7109375" style="14" customWidth="1"/>
    <col min="3089" max="3089" width="10.5703125" style="14" customWidth="1"/>
    <col min="3090" max="3090" width="11.28515625" style="14" customWidth="1"/>
    <col min="3091" max="3091" width="9.7109375" style="14" customWidth="1"/>
    <col min="3092" max="3092" width="12" style="14" customWidth="1"/>
    <col min="3093" max="3093" width="11.28515625" style="14" customWidth="1"/>
    <col min="3094" max="3331" width="9.140625" style="14"/>
    <col min="3332" max="3332" width="5.7109375" style="14" customWidth="1"/>
    <col min="3333" max="3333" width="13.140625" style="14" customWidth="1"/>
    <col min="3334" max="3334" width="12.28515625" style="14" customWidth="1"/>
    <col min="3335" max="3335" width="8.85546875" style="14" customWidth="1"/>
    <col min="3336" max="3336" width="10.85546875" style="14" customWidth="1"/>
    <col min="3337" max="3337" width="2.85546875" style="14" customWidth="1"/>
    <col min="3338" max="3338" width="12.140625" style="14" customWidth="1"/>
    <col min="3339" max="3339" width="10.140625" style="14" customWidth="1"/>
    <col min="3340" max="3340" width="11.7109375" style="14" customWidth="1"/>
    <col min="3341" max="3341" width="11.42578125" style="14" customWidth="1"/>
    <col min="3342" max="3342" width="12.7109375" style="14" customWidth="1"/>
    <col min="3343" max="3343" width="11.42578125" style="14" customWidth="1"/>
    <col min="3344" max="3344" width="10.7109375" style="14" customWidth="1"/>
    <col min="3345" max="3345" width="10.5703125" style="14" customWidth="1"/>
    <col min="3346" max="3346" width="11.28515625" style="14" customWidth="1"/>
    <col min="3347" max="3347" width="9.7109375" style="14" customWidth="1"/>
    <col min="3348" max="3348" width="12" style="14" customWidth="1"/>
    <col min="3349" max="3349" width="11.28515625" style="14" customWidth="1"/>
    <col min="3350" max="3587" width="9.140625" style="14"/>
    <col min="3588" max="3588" width="5.7109375" style="14" customWidth="1"/>
    <col min="3589" max="3589" width="13.140625" style="14" customWidth="1"/>
    <col min="3590" max="3590" width="12.28515625" style="14" customWidth="1"/>
    <col min="3591" max="3591" width="8.85546875" style="14" customWidth="1"/>
    <col min="3592" max="3592" width="10.85546875" style="14" customWidth="1"/>
    <col min="3593" max="3593" width="2.85546875" style="14" customWidth="1"/>
    <col min="3594" max="3594" width="12.140625" style="14" customWidth="1"/>
    <col min="3595" max="3595" width="10.140625" style="14" customWidth="1"/>
    <col min="3596" max="3596" width="11.7109375" style="14" customWidth="1"/>
    <col min="3597" max="3597" width="11.42578125" style="14" customWidth="1"/>
    <col min="3598" max="3598" width="12.7109375" style="14" customWidth="1"/>
    <col min="3599" max="3599" width="11.42578125" style="14" customWidth="1"/>
    <col min="3600" max="3600" width="10.7109375" style="14" customWidth="1"/>
    <col min="3601" max="3601" width="10.5703125" style="14" customWidth="1"/>
    <col min="3602" max="3602" width="11.28515625" style="14" customWidth="1"/>
    <col min="3603" max="3603" width="9.7109375" style="14" customWidth="1"/>
    <col min="3604" max="3604" width="12" style="14" customWidth="1"/>
    <col min="3605" max="3605" width="11.28515625" style="14" customWidth="1"/>
    <col min="3606" max="3843" width="9.140625" style="14"/>
    <col min="3844" max="3844" width="5.7109375" style="14" customWidth="1"/>
    <col min="3845" max="3845" width="13.140625" style="14" customWidth="1"/>
    <col min="3846" max="3846" width="12.28515625" style="14" customWidth="1"/>
    <col min="3847" max="3847" width="8.85546875" style="14" customWidth="1"/>
    <col min="3848" max="3848" width="10.85546875" style="14" customWidth="1"/>
    <col min="3849" max="3849" width="2.85546875" style="14" customWidth="1"/>
    <col min="3850" max="3850" width="12.140625" style="14" customWidth="1"/>
    <col min="3851" max="3851" width="10.140625" style="14" customWidth="1"/>
    <col min="3852" max="3852" width="11.7109375" style="14" customWidth="1"/>
    <col min="3853" max="3853" width="11.42578125" style="14" customWidth="1"/>
    <col min="3854" max="3854" width="12.7109375" style="14" customWidth="1"/>
    <col min="3855" max="3855" width="11.42578125" style="14" customWidth="1"/>
    <col min="3856" max="3856" width="10.7109375" style="14" customWidth="1"/>
    <col min="3857" max="3857" width="10.5703125" style="14" customWidth="1"/>
    <col min="3858" max="3858" width="11.28515625" style="14" customWidth="1"/>
    <col min="3859" max="3859" width="9.7109375" style="14" customWidth="1"/>
    <col min="3860" max="3860" width="12" style="14" customWidth="1"/>
    <col min="3861" max="3861" width="11.28515625" style="14" customWidth="1"/>
    <col min="3862" max="4099" width="9.140625" style="14"/>
    <col min="4100" max="4100" width="5.7109375" style="14" customWidth="1"/>
    <col min="4101" max="4101" width="13.140625" style="14" customWidth="1"/>
    <col min="4102" max="4102" width="12.28515625" style="14" customWidth="1"/>
    <col min="4103" max="4103" width="8.85546875" style="14" customWidth="1"/>
    <col min="4104" max="4104" width="10.85546875" style="14" customWidth="1"/>
    <col min="4105" max="4105" width="2.85546875" style="14" customWidth="1"/>
    <col min="4106" max="4106" width="12.140625" style="14" customWidth="1"/>
    <col min="4107" max="4107" width="10.140625" style="14" customWidth="1"/>
    <col min="4108" max="4108" width="11.7109375" style="14" customWidth="1"/>
    <col min="4109" max="4109" width="11.42578125" style="14" customWidth="1"/>
    <col min="4110" max="4110" width="12.7109375" style="14" customWidth="1"/>
    <col min="4111" max="4111" width="11.42578125" style="14" customWidth="1"/>
    <col min="4112" max="4112" width="10.7109375" style="14" customWidth="1"/>
    <col min="4113" max="4113" width="10.5703125" style="14" customWidth="1"/>
    <col min="4114" max="4114" width="11.28515625" style="14" customWidth="1"/>
    <col min="4115" max="4115" width="9.7109375" style="14" customWidth="1"/>
    <col min="4116" max="4116" width="12" style="14" customWidth="1"/>
    <col min="4117" max="4117" width="11.28515625" style="14" customWidth="1"/>
    <col min="4118" max="4355" width="9.140625" style="14"/>
    <col min="4356" max="4356" width="5.7109375" style="14" customWidth="1"/>
    <col min="4357" max="4357" width="13.140625" style="14" customWidth="1"/>
    <col min="4358" max="4358" width="12.28515625" style="14" customWidth="1"/>
    <col min="4359" max="4359" width="8.85546875" style="14" customWidth="1"/>
    <col min="4360" max="4360" width="10.85546875" style="14" customWidth="1"/>
    <col min="4361" max="4361" width="2.85546875" style="14" customWidth="1"/>
    <col min="4362" max="4362" width="12.140625" style="14" customWidth="1"/>
    <col min="4363" max="4363" width="10.140625" style="14" customWidth="1"/>
    <col min="4364" max="4364" width="11.7109375" style="14" customWidth="1"/>
    <col min="4365" max="4365" width="11.42578125" style="14" customWidth="1"/>
    <col min="4366" max="4366" width="12.7109375" style="14" customWidth="1"/>
    <col min="4367" max="4367" width="11.42578125" style="14" customWidth="1"/>
    <col min="4368" max="4368" width="10.7109375" style="14" customWidth="1"/>
    <col min="4369" max="4369" width="10.5703125" style="14" customWidth="1"/>
    <col min="4370" max="4370" width="11.28515625" style="14" customWidth="1"/>
    <col min="4371" max="4371" width="9.7109375" style="14" customWidth="1"/>
    <col min="4372" max="4372" width="12" style="14" customWidth="1"/>
    <col min="4373" max="4373" width="11.28515625" style="14" customWidth="1"/>
    <col min="4374" max="4611" width="9.140625" style="14"/>
    <col min="4612" max="4612" width="5.7109375" style="14" customWidth="1"/>
    <col min="4613" max="4613" width="13.140625" style="14" customWidth="1"/>
    <col min="4614" max="4614" width="12.28515625" style="14" customWidth="1"/>
    <col min="4615" max="4615" width="8.85546875" style="14" customWidth="1"/>
    <col min="4616" max="4616" width="10.85546875" style="14" customWidth="1"/>
    <col min="4617" max="4617" width="2.85546875" style="14" customWidth="1"/>
    <col min="4618" max="4618" width="12.140625" style="14" customWidth="1"/>
    <col min="4619" max="4619" width="10.140625" style="14" customWidth="1"/>
    <col min="4620" max="4620" width="11.7109375" style="14" customWidth="1"/>
    <col min="4621" max="4621" width="11.42578125" style="14" customWidth="1"/>
    <col min="4622" max="4622" width="12.7109375" style="14" customWidth="1"/>
    <col min="4623" max="4623" width="11.42578125" style="14" customWidth="1"/>
    <col min="4624" max="4624" width="10.7109375" style="14" customWidth="1"/>
    <col min="4625" max="4625" width="10.5703125" style="14" customWidth="1"/>
    <col min="4626" max="4626" width="11.28515625" style="14" customWidth="1"/>
    <col min="4627" max="4627" width="9.7109375" style="14" customWidth="1"/>
    <col min="4628" max="4628" width="12" style="14" customWidth="1"/>
    <col min="4629" max="4629" width="11.28515625" style="14" customWidth="1"/>
    <col min="4630" max="4867" width="9.140625" style="14"/>
    <col min="4868" max="4868" width="5.7109375" style="14" customWidth="1"/>
    <col min="4869" max="4869" width="13.140625" style="14" customWidth="1"/>
    <col min="4870" max="4870" width="12.28515625" style="14" customWidth="1"/>
    <col min="4871" max="4871" width="8.85546875" style="14" customWidth="1"/>
    <col min="4872" max="4872" width="10.85546875" style="14" customWidth="1"/>
    <col min="4873" max="4873" width="2.85546875" style="14" customWidth="1"/>
    <col min="4874" max="4874" width="12.140625" style="14" customWidth="1"/>
    <col min="4875" max="4875" width="10.140625" style="14" customWidth="1"/>
    <col min="4876" max="4876" width="11.7109375" style="14" customWidth="1"/>
    <col min="4877" max="4877" width="11.42578125" style="14" customWidth="1"/>
    <col min="4878" max="4878" width="12.7109375" style="14" customWidth="1"/>
    <col min="4879" max="4879" width="11.42578125" style="14" customWidth="1"/>
    <col min="4880" max="4880" width="10.7109375" style="14" customWidth="1"/>
    <col min="4881" max="4881" width="10.5703125" style="14" customWidth="1"/>
    <col min="4882" max="4882" width="11.28515625" style="14" customWidth="1"/>
    <col min="4883" max="4883" width="9.7109375" style="14" customWidth="1"/>
    <col min="4884" max="4884" width="12" style="14" customWidth="1"/>
    <col min="4885" max="4885" width="11.28515625" style="14" customWidth="1"/>
    <col min="4886" max="5123" width="9.140625" style="14"/>
    <col min="5124" max="5124" width="5.7109375" style="14" customWidth="1"/>
    <col min="5125" max="5125" width="13.140625" style="14" customWidth="1"/>
    <col min="5126" max="5126" width="12.28515625" style="14" customWidth="1"/>
    <col min="5127" max="5127" width="8.85546875" style="14" customWidth="1"/>
    <col min="5128" max="5128" width="10.85546875" style="14" customWidth="1"/>
    <col min="5129" max="5129" width="2.85546875" style="14" customWidth="1"/>
    <col min="5130" max="5130" width="12.140625" style="14" customWidth="1"/>
    <col min="5131" max="5131" width="10.140625" style="14" customWidth="1"/>
    <col min="5132" max="5132" width="11.7109375" style="14" customWidth="1"/>
    <col min="5133" max="5133" width="11.42578125" style="14" customWidth="1"/>
    <col min="5134" max="5134" width="12.7109375" style="14" customWidth="1"/>
    <col min="5135" max="5135" width="11.42578125" style="14" customWidth="1"/>
    <col min="5136" max="5136" width="10.7109375" style="14" customWidth="1"/>
    <col min="5137" max="5137" width="10.5703125" style="14" customWidth="1"/>
    <col min="5138" max="5138" width="11.28515625" style="14" customWidth="1"/>
    <col min="5139" max="5139" width="9.7109375" style="14" customWidth="1"/>
    <col min="5140" max="5140" width="12" style="14" customWidth="1"/>
    <col min="5141" max="5141" width="11.28515625" style="14" customWidth="1"/>
    <col min="5142" max="5379" width="9.140625" style="14"/>
    <col min="5380" max="5380" width="5.7109375" style="14" customWidth="1"/>
    <col min="5381" max="5381" width="13.140625" style="14" customWidth="1"/>
    <col min="5382" max="5382" width="12.28515625" style="14" customWidth="1"/>
    <col min="5383" max="5383" width="8.85546875" style="14" customWidth="1"/>
    <col min="5384" max="5384" width="10.85546875" style="14" customWidth="1"/>
    <col min="5385" max="5385" width="2.85546875" style="14" customWidth="1"/>
    <col min="5386" max="5386" width="12.140625" style="14" customWidth="1"/>
    <col min="5387" max="5387" width="10.140625" style="14" customWidth="1"/>
    <col min="5388" max="5388" width="11.7109375" style="14" customWidth="1"/>
    <col min="5389" max="5389" width="11.42578125" style="14" customWidth="1"/>
    <col min="5390" max="5390" width="12.7109375" style="14" customWidth="1"/>
    <col min="5391" max="5391" width="11.42578125" style="14" customWidth="1"/>
    <col min="5392" max="5392" width="10.7109375" style="14" customWidth="1"/>
    <col min="5393" max="5393" width="10.5703125" style="14" customWidth="1"/>
    <col min="5394" max="5394" width="11.28515625" style="14" customWidth="1"/>
    <col min="5395" max="5395" width="9.7109375" style="14" customWidth="1"/>
    <col min="5396" max="5396" width="12" style="14" customWidth="1"/>
    <col min="5397" max="5397" width="11.28515625" style="14" customWidth="1"/>
    <col min="5398" max="5635" width="9.140625" style="14"/>
    <col min="5636" max="5636" width="5.7109375" style="14" customWidth="1"/>
    <col min="5637" max="5637" width="13.140625" style="14" customWidth="1"/>
    <col min="5638" max="5638" width="12.28515625" style="14" customWidth="1"/>
    <col min="5639" max="5639" width="8.85546875" style="14" customWidth="1"/>
    <col min="5640" max="5640" width="10.85546875" style="14" customWidth="1"/>
    <col min="5641" max="5641" width="2.85546875" style="14" customWidth="1"/>
    <col min="5642" max="5642" width="12.140625" style="14" customWidth="1"/>
    <col min="5643" max="5643" width="10.140625" style="14" customWidth="1"/>
    <col min="5644" max="5644" width="11.7109375" style="14" customWidth="1"/>
    <col min="5645" max="5645" width="11.42578125" style="14" customWidth="1"/>
    <col min="5646" max="5646" width="12.7109375" style="14" customWidth="1"/>
    <col min="5647" max="5647" width="11.42578125" style="14" customWidth="1"/>
    <col min="5648" max="5648" width="10.7109375" style="14" customWidth="1"/>
    <col min="5649" max="5649" width="10.5703125" style="14" customWidth="1"/>
    <col min="5650" max="5650" width="11.28515625" style="14" customWidth="1"/>
    <col min="5651" max="5651" width="9.7109375" style="14" customWidth="1"/>
    <col min="5652" max="5652" width="12" style="14" customWidth="1"/>
    <col min="5653" max="5653" width="11.28515625" style="14" customWidth="1"/>
    <col min="5654" max="5891" width="9.140625" style="14"/>
    <col min="5892" max="5892" width="5.7109375" style="14" customWidth="1"/>
    <col min="5893" max="5893" width="13.140625" style="14" customWidth="1"/>
    <col min="5894" max="5894" width="12.28515625" style="14" customWidth="1"/>
    <col min="5895" max="5895" width="8.85546875" style="14" customWidth="1"/>
    <col min="5896" max="5896" width="10.85546875" style="14" customWidth="1"/>
    <col min="5897" max="5897" width="2.85546875" style="14" customWidth="1"/>
    <col min="5898" max="5898" width="12.140625" style="14" customWidth="1"/>
    <col min="5899" max="5899" width="10.140625" style="14" customWidth="1"/>
    <col min="5900" max="5900" width="11.7109375" style="14" customWidth="1"/>
    <col min="5901" max="5901" width="11.42578125" style="14" customWidth="1"/>
    <col min="5902" max="5902" width="12.7109375" style="14" customWidth="1"/>
    <col min="5903" max="5903" width="11.42578125" style="14" customWidth="1"/>
    <col min="5904" max="5904" width="10.7109375" style="14" customWidth="1"/>
    <col min="5905" max="5905" width="10.5703125" style="14" customWidth="1"/>
    <col min="5906" max="5906" width="11.28515625" style="14" customWidth="1"/>
    <col min="5907" max="5907" width="9.7109375" style="14" customWidth="1"/>
    <col min="5908" max="5908" width="12" style="14" customWidth="1"/>
    <col min="5909" max="5909" width="11.28515625" style="14" customWidth="1"/>
    <col min="5910" max="6147" width="9.140625" style="14"/>
    <col min="6148" max="6148" width="5.7109375" style="14" customWidth="1"/>
    <col min="6149" max="6149" width="13.140625" style="14" customWidth="1"/>
    <col min="6150" max="6150" width="12.28515625" style="14" customWidth="1"/>
    <col min="6151" max="6151" width="8.85546875" style="14" customWidth="1"/>
    <col min="6152" max="6152" width="10.85546875" style="14" customWidth="1"/>
    <col min="6153" max="6153" width="2.85546875" style="14" customWidth="1"/>
    <col min="6154" max="6154" width="12.140625" style="14" customWidth="1"/>
    <col min="6155" max="6155" width="10.140625" style="14" customWidth="1"/>
    <col min="6156" max="6156" width="11.7109375" style="14" customWidth="1"/>
    <col min="6157" max="6157" width="11.42578125" style="14" customWidth="1"/>
    <col min="6158" max="6158" width="12.7109375" style="14" customWidth="1"/>
    <col min="6159" max="6159" width="11.42578125" style="14" customWidth="1"/>
    <col min="6160" max="6160" width="10.7109375" style="14" customWidth="1"/>
    <col min="6161" max="6161" width="10.5703125" style="14" customWidth="1"/>
    <col min="6162" max="6162" width="11.28515625" style="14" customWidth="1"/>
    <col min="6163" max="6163" width="9.7109375" style="14" customWidth="1"/>
    <col min="6164" max="6164" width="12" style="14" customWidth="1"/>
    <col min="6165" max="6165" width="11.28515625" style="14" customWidth="1"/>
    <col min="6166" max="6403" width="9.140625" style="14"/>
    <col min="6404" max="6404" width="5.7109375" style="14" customWidth="1"/>
    <col min="6405" max="6405" width="13.140625" style="14" customWidth="1"/>
    <col min="6406" max="6406" width="12.28515625" style="14" customWidth="1"/>
    <col min="6407" max="6407" width="8.85546875" style="14" customWidth="1"/>
    <col min="6408" max="6408" width="10.85546875" style="14" customWidth="1"/>
    <col min="6409" max="6409" width="2.85546875" style="14" customWidth="1"/>
    <col min="6410" max="6410" width="12.140625" style="14" customWidth="1"/>
    <col min="6411" max="6411" width="10.140625" style="14" customWidth="1"/>
    <col min="6412" max="6412" width="11.7109375" style="14" customWidth="1"/>
    <col min="6413" max="6413" width="11.42578125" style="14" customWidth="1"/>
    <col min="6414" max="6414" width="12.7109375" style="14" customWidth="1"/>
    <col min="6415" max="6415" width="11.42578125" style="14" customWidth="1"/>
    <col min="6416" max="6416" width="10.7109375" style="14" customWidth="1"/>
    <col min="6417" max="6417" width="10.5703125" style="14" customWidth="1"/>
    <col min="6418" max="6418" width="11.28515625" style="14" customWidth="1"/>
    <col min="6419" max="6419" width="9.7109375" style="14" customWidth="1"/>
    <col min="6420" max="6420" width="12" style="14" customWidth="1"/>
    <col min="6421" max="6421" width="11.28515625" style="14" customWidth="1"/>
    <col min="6422" max="6659" width="9.140625" style="14"/>
    <col min="6660" max="6660" width="5.7109375" style="14" customWidth="1"/>
    <col min="6661" max="6661" width="13.140625" style="14" customWidth="1"/>
    <col min="6662" max="6662" width="12.28515625" style="14" customWidth="1"/>
    <col min="6663" max="6663" width="8.85546875" style="14" customWidth="1"/>
    <col min="6664" max="6664" width="10.85546875" style="14" customWidth="1"/>
    <col min="6665" max="6665" width="2.85546875" style="14" customWidth="1"/>
    <col min="6666" max="6666" width="12.140625" style="14" customWidth="1"/>
    <col min="6667" max="6667" width="10.140625" style="14" customWidth="1"/>
    <col min="6668" max="6668" width="11.7109375" style="14" customWidth="1"/>
    <col min="6669" max="6669" width="11.42578125" style="14" customWidth="1"/>
    <col min="6670" max="6670" width="12.7109375" style="14" customWidth="1"/>
    <col min="6671" max="6671" width="11.42578125" style="14" customWidth="1"/>
    <col min="6672" max="6672" width="10.7109375" style="14" customWidth="1"/>
    <col min="6673" max="6673" width="10.5703125" style="14" customWidth="1"/>
    <col min="6674" max="6674" width="11.28515625" style="14" customWidth="1"/>
    <col min="6675" max="6675" width="9.7109375" style="14" customWidth="1"/>
    <col min="6676" max="6676" width="12" style="14" customWidth="1"/>
    <col min="6677" max="6677" width="11.28515625" style="14" customWidth="1"/>
    <col min="6678" max="6915" width="9.140625" style="14"/>
    <col min="6916" max="6916" width="5.7109375" style="14" customWidth="1"/>
    <col min="6917" max="6917" width="13.140625" style="14" customWidth="1"/>
    <col min="6918" max="6918" width="12.28515625" style="14" customWidth="1"/>
    <col min="6919" max="6919" width="8.85546875" style="14" customWidth="1"/>
    <col min="6920" max="6920" width="10.85546875" style="14" customWidth="1"/>
    <col min="6921" max="6921" width="2.85546875" style="14" customWidth="1"/>
    <col min="6922" max="6922" width="12.140625" style="14" customWidth="1"/>
    <col min="6923" max="6923" width="10.140625" style="14" customWidth="1"/>
    <col min="6924" max="6924" width="11.7109375" style="14" customWidth="1"/>
    <col min="6925" max="6925" width="11.42578125" style="14" customWidth="1"/>
    <col min="6926" max="6926" width="12.7109375" style="14" customWidth="1"/>
    <col min="6927" max="6927" width="11.42578125" style="14" customWidth="1"/>
    <col min="6928" max="6928" width="10.7109375" style="14" customWidth="1"/>
    <col min="6929" max="6929" width="10.5703125" style="14" customWidth="1"/>
    <col min="6930" max="6930" width="11.28515625" style="14" customWidth="1"/>
    <col min="6931" max="6931" width="9.7109375" style="14" customWidth="1"/>
    <col min="6932" max="6932" width="12" style="14" customWidth="1"/>
    <col min="6933" max="6933" width="11.28515625" style="14" customWidth="1"/>
    <col min="6934" max="7171" width="9.140625" style="14"/>
    <col min="7172" max="7172" width="5.7109375" style="14" customWidth="1"/>
    <col min="7173" max="7173" width="13.140625" style="14" customWidth="1"/>
    <col min="7174" max="7174" width="12.28515625" style="14" customWidth="1"/>
    <col min="7175" max="7175" width="8.85546875" style="14" customWidth="1"/>
    <col min="7176" max="7176" width="10.85546875" style="14" customWidth="1"/>
    <col min="7177" max="7177" width="2.85546875" style="14" customWidth="1"/>
    <col min="7178" max="7178" width="12.140625" style="14" customWidth="1"/>
    <col min="7179" max="7179" width="10.140625" style="14" customWidth="1"/>
    <col min="7180" max="7180" width="11.7109375" style="14" customWidth="1"/>
    <col min="7181" max="7181" width="11.42578125" style="14" customWidth="1"/>
    <col min="7182" max="7182" width="12.7109375" style="14" customWidth="1"/>
    <col min="7183" max="7183" width="11.42578125" style="14" customWidth="1"/>
    <col min="7184" max="7184" width="10.7109375" style="14" customWidth="1"/>
    <col min="7185" max="7185" width="10.5703125" style="14" customWidth="1"/>
    <col min="7186" max="7186" width="11.28515625" style="14" customWidth="1"/>
    <col min="7187" max="7187" width="9.7109375" style="14" customWidth="1"/>
    <col min="7188" max="7188" width="12" style="14" customWidth="1"/>
    <col min="7189" max="7189" width="11.28515625" style="14" customWidth="1"/>
    <col min="7190" max="7427" width="9.140625" style="14"/>
    <col min="7428" max="7428" width="5.7109375" style="14" customWidth="1"/>
    <col min="7429" max="7429" width="13.140625" style="14" customWidth="1"/>
    <col min="7430" max="7430" width="12.28515625" style="14" customWidth="1"/>
    <col min="7431" max="7431" width="8.85546875" style="14" customWidth="1"/>
    <col min="7432" max="7432" width="10.85546875" style="14" customWidth="1"/>
    <col min="7433" max="7433" width="2.85546875" style="14" customWidth="1"/>
    <col min="7434" max="7434" width="12.140625" style="14" customWidth="1"/>
    <col min="7435" max="7435" width="10.140625" style="14" customWidth="1"/>
    <col min="7436" max="7436" width="11.7109375" style="14" customWidth="1"/>
    <col min="7437" max="7437" width="11.42578125" style="14" customWidth="1"/>
    <col min="7438" max="7438" width="12.7109375" style="14" customWidth="1"/>
    <col min="7439" max="7439" width="11.42578125" style="14" customWidth="1"/>
    <col min="7440" max="7440" width="10.7109375" style="14" customWidth="1"/>
    <col min="7441" max="7441" width="10.5703125" style="14" customWidth="1"/>
    <col min="7442" max="7442" width="11.28515625" style="14" customWidth="1"/>
    <col min="7443" max="7443" width="9.7109375" style="14" customWidth="1"/>
    <col min="7444" max="7444" width="12" style="14" customWidth="1"/>
    <col min="7445" max="7445" width="11.28515625" style="14" customWidth="1"/>
    <col min="7446" max="7683" width="9.140625" style="14"/>
    <col min="7684" max="7684" width="5.7109375" style="14" customWidth="1"/>
    <col min="7685" max="7685" width="13.140625" style="14" customWidth="1"/>
    <col min="7686" max="7686" width="12.28515625" style="14" customWidth="1"/>
    <col min="7687" max="7687" width="8.85546875" style="14" customWidth="1"/>
    <col min="7688" max="7688" width="10.85546875" style="14" customWidth="1"/>
    <col min="7689" max="7689" width="2.85546875" style="14" customWidth="1"/>
    <col min="7690" max="7690" width="12.140625" style="14" customWidth="1"/>
    <col min="7691" max="7691" width="10.140625" style="14" customWidth="1"/>
    <col min="7692" max="7692" width="11.7109375" style="14" customWidth="1"/>
    <col min="7693" max="7693" width="11.42578125" style="14" customWidth="1"/>
    <col min="7694" max="7694" width="12.7109375" style="14" customWidth="1"/>
    <col min="7695" max="7695" width="11.42578125" style="14" customWidth="1"/>
    <col min="7696" max="7696" width="10.7109375" style="14" customWidth="1"/>
    <col min="7697" max="7697" width="10.5703125" style="14" customWidth="1"/>
    <col min="7698" max="7698" width="11.28515625" style="14" customWidth="1"/>
    <col min="7699" max="7699" width="9.7109375" style="14" customWidth="1"/>
    <col min="7700" max="7700" width="12" style="14" customWidth="1"/>
    <col min="7701" max="7701" width="11.28515625" style="14" customWidth="1"/>
    <col min="7702" max="7939" width="9.140625" style="14"/>
    <col min="7940" max="7940" width="5.7109375" style="14" customWidth="1"/>
    <col min="7941" max="7941" width="13.140625" style="14" customWidth="1"/>
    <col min="7942" max="7942" width="12.28515625" style="14" customWidth="1"/>
    <col min="7943" max="7943" width="8.85546875" style="14" customWidth="1"/>
    <col min="7944" max="7944" width="10.85546875" style="14" customWidth="1"/>
    <col min="7945" max="7945" width="2.85546875" style="14" customWidth="1"/>
    <col min="7946" max="7946" width="12.140625" style="14" customWidth="1"/>
    <col min="7947" max="7947" width="10.140625" style="14" customWidth="1"/>
    <col min="7948" max="7948" width="11.7109375" style="14" customWidth="1"/>
    <col min="7949" max="7949" width="11.42578125" style="14" customWidth="1"/>
    <col min="7950" max="7950" width="12.7109375" style="14" customWidth="1"/>
    <col min="7951" max="7951" width="11.42578125" style="14" customWidth="1"/>
    <col min="7952" max="7952" width="10.7109375" style="14" customWidth="1"/>
    <col min="7953" max="7953" width="10.5703125" style="14" customWidth="1"/>
    <col min="7954" max="7954" width="11.28515625" style="14" customWidth="1"/>
    <col min="7955" max="7955" width="9.7109375" style="14" customWidth="1"/>
    <col min="7956" max="7956" width="12" style="14" customWidth="1"/>
    <col min="7957" max="7957" width="11.28515625" style="14" customWidth="1"/>
    <col min="7958" max="8195" width="9.140625" style="14"/>
    <col min="8196" max="8196" width="5.7109375" style="14" customWidth="1"/>
    <col min="8197" max="8197" width="13.140625" style="14" customWidth="1"/>
    <col min="8198" max="8198" width="12.28515625" style="14" customWidth="1"/>
    <col min="8199" max="8199" width="8.85546875" style="14" customWidth="1"/>
    <col min="8200" max="8200" width="10.85546875" style="14" customWidth="1"/>
    <col min="8201" max="8201" width="2.85546875" style="14" customWidth="1"/>
    <col min="8202" max="8202" width="12.140625" style="14" customWidth="1"/>
    <col min="8203" max="8203" width="10.140625" style="14" customWidth="1"/>
    <col min="8204" max="8204" width="11.7109375" style="14" customWidth="1"/>
    <col min="8205" max="8205" width="11.42578125" style="14" customWidth="1"/>
    <col min="8206" max="8206" width="12.7109375" style="14" customWidth="1"/>
    <col min="8207" max="8207" width="11.42578125" style="14" customWidth="1"/>
    <col min="8208" max="8208" width="10.7109375" style="14" customWidth="1"/>
    <col min="8209" max="8209" width="10.5703125" style="14" customWidth="1"/>
    <col min="8210" max="8210" width="11.28515625" style="14" customWidth="1"/>
    <col min="8211" max="8211" width="9.7109375" style="14" customWidth="1"/>
    <col min="8212" max="8212" width="12" style="14" customWidth="1"/>
    <col min="8213" max="8213" width="11.28515625" style="14" customWidth="1"/>
    <col min="8214" max="8451" width="9.140625" style="14"/>
    <col min="8452" max="8452" width="5.7109375" style="14" customWidth="1"/>
    <col min="8453" max="8453" width="13.140625" style="14" customWidth="1"/>
    <col min="8454" max="8454" width="12.28515625" style="14" customWidth="1"/>
    <col min="8455" max="8455" width="8.85546875" style="14" customWidth="1"/>
    <col min="8456" max="8456" width="10.85546875" style="14" customWidth="1"/>
    <col min="8457" max="8457" width="2.85546875" style="14" customWidth="1"/>
    <col min="8458" max="8458" width="12.140625" style="14" customWidth="1"/>
    <col min="8459" max="8459" width="10.140625" style="14" customWidth="1"/>
    <col min="8460" max="8460" width="11.7109375" style="14" customWidth="1"/>
    <col min="8461" max="8461" width="11.42578125" style="14" customWidth="1"/>
    <col min="8462" max="8462" width="12.7109375" style="14" customWidth="1"/>
    <col min="8463" max="8463" width="11.42578125" style="14" customWidth="1"/>
    <col min="8464" max="8464" width="10.7109375" style="14" customWidth="1"/>
    <col min="8465" max="8465" width="10.5703125" style="14" customWidth="1"/>
    <col min="8466" max="8466" width="11.28515625" style="14" customWidth="1"/>
    <col min="8467" max="8467" width="9.7109375" style="14" customWidth="1"/>
    <col min="8468" max="8468" width="12" style="14" customWidth="1"/>
    <col min="8469" max="8469" width="11.28515625" style="14" customWidth="1"/>
    <col min="8470" max="8707" width="9.140625" style="14"/>
    <col min="8708" max="8708" width="5.7109375" style="14" customWidth="1"/>
    <col min="8709" max="8709" width="13.140625" style="14" customWidth="1"/>
    <col min="8710" max="8710" width="12.28515625" style="14" customWidth="1"/>
    <col min="8711" max="8711" width="8.85546875" style="14" customWidth="1"/>
    <col min="8712" max="8712" width="10.85546875" style="14" customWidth="1"/>
    <col min="8713" max="8713" width="2.85546875" style="14" customWidth="1"/>
    <col min="8714" max="8714" width="12.140625" style="14" customWidth="1"/>
    <col min="8715" max="8715" width="10.140625" style="14" customWidth="1"/>
    <col min="8716" max="8716" width="11.7109375" style="14" customWidth="1"/>
    <col min="8717" max="8717" width="11.42578125" style="14" customWidth="1"/>
    <col min="8718" max="8718" width="12.7109375" style="14" customWidth="1"/>
    <col min="8719" max="8719" width="11.42578125" style="14" customWidth="1"/>
    <col min="8720" max="8720" width="10.7109375" style="14" customWidth="1"/>
    <col min="8721" max="8721" width="10.5703125" style="14" customWidth="1"/>
    <col min="8722" max="8722" width="11.28515625" style="14" customWidth="1"/>
    <col min="8723" max="8723" width="9.7109375" style="14" customWidth="1"/>
    <col min="8724" max="8724" width="12" style="14" customWidth="1"/>
    <col min="8725" max="8725" width="11.28515625" style="14" customWidth="1"/>
    <col min="8726" max="8963" width="9.140625" style="14"/>
    <col min="8964" max="8964" width="5.7109375" style="14" customWidth="1"/>
    <col min="8965" max="8965" width="13.140625" style="14" customWidth="1"/>
    <col min="8966" max="8966" width="12.28515625" style="14" customWidth="1"/>
    <col min="8967" max="8967" width="8.85546875" style="14" customWidth="1"/>
    <col min="8968" max="8968" width="10.85546875" style="14" customWidth="1"/>
    <col min="8969" max="8969" width="2.85546875" style="14" customWidth="1"/>
    <col min="8970" max="8970" width="12.140625" style="14" customWidth="1"/>
    <col min="8971" max="8971" width="10.140625" style="14" customWidth="1"/>
    <col min="8972" max="8972" width="11.7109375" style="14" customWidth="1"/>
    <col min="8973" max="8973" width="11.42578125" style="14" customWidth="1"/>
    <col min="8974" max="8974" width="12.7109375" style="14" customWidth="1"/>
    <col min="8975" max="8975" width="11.42578125" style="14" customWidth="1"/>
    <col min="8976" max="8976" width="10.7109375" style="14" customWidth="1"/>
    <col min="8977" max="8977" width="10.5703125" style="14" customWidth="1"/>
    <col min="8978" max="8978" width="11.28515625" style="14" customWidth="1"/>
    <col min="8979" max="8979" width="9.7109375" style="14" customWidth="1"/>
    <col min="8980" max="8980" width="12" style="14" customWidth="1"/>
    <col min="8981" max="8981" width="11.28515625" style="14" customWidth="1"/>
    <col min="8982" max="9219" width="9.140625" style="14"/>
    <col min="9220" max="9220" width="5.7109375" style="14" customWidth="1"/>
    <col min="9221" max="9221" width="13.140625" style="14" customWidth="1"/>
    <col min="9222" max="9222" width="12.28515625" style="14" customWidth="1"/>
    <col min="9223" max="9223" width="8.85546875" style="14" customWidth="1"/>
    <col min="9224" max="9224" width="10.85546875" style="14" customWidth="1"/>
    <col min="9225" max="9225" width="2.85546875" style="14" customWidth="1"/>
    <col min="9226" max="9226" width="12.140625" style="14" customWidth="1"/>
    <col min="9227" max="9227" width="10.140625" style="14" customWidth="1"/>
    <col min="9228" max="9228" width="11.7109375" style="14" customWidth="1"/>
    <col min="9229" max="9229" width="11.42578125" style="14" customWidth="1"/>
    <col min="9230" max="9230" width="12.7109375" style="14" customWidth="1"/>
    <col min="9231" max="9231" width="11.42578125" style="14" customWidth="1"/>
    <col min="9232" max="9232" width="10.7109375" style="14" customWidth="1"/>
    <col min="9233" max="9233" width="10.5703125" style="14" customWidth="1"/>
    <col min="9234" max="9234" width="11.28515625" style="14" customWidth="1"/>
    <col min="9235" max="9235" width="9.7109375" style="14" customWidth="1"/>
    <col min="9236" max="9236" width="12" style="14" customWidth="1"/>
    <col min="9237" max="9237" width="11.28515625" style="14" customWidth="1"/>
    <col min="9238" max="9475" width="9.140625" style="14"/>
    <col min="9476" max="9476" width="5.7109375" style="14" customWidth="1"/>
    <col min="9477" max="9477" width="13.140625" style="14" customWidth="1"/>
    <col min="9478" max="9478" width="12.28515625" style="14" customWidth="1"/>
    <col min="9479" max="9479" width="8.85546875" style="14" customWidth="1"/>
    <col min="9480" max="9480" width="10.85546875" style="14" customWidth="1"/>
    <col min="9481" max="9481" width="2.85546875" style="14" customWidth="1"/>
    <col min="9482" max="9482" width="12.140625" style="14" customWidth="1"/>
    <col min="9483" max="9483" width="10.140625" style="14" customWidth="1"/>
    <col min="9484" max="9484" width="11.7109375" style="14" customWidth="1"/>
    <col min="9485" max="9485" width="11.42578125" style="14" customWidth="1"/>
    <col min="9486" max="9486" width="12.7109375" style="14" customWidth="1"/>
    <col min="9487" max="9487" width="11.42578125" style="14" customWidth="1"/>
    <col min="9488" max="9488" width="10.7109375" style="14" customWidth="1"/>
    <col min="9489" max="9489" width="10.5703125" style="14" customWidth="1"/>
    <col min="9490" max="9490" width="11.28515625" style="14" customWidth="1"/>
    <col min="9491" max="9491" width="9.7109375" style="14" customWidth="1"/>
    <col min="9492" max="9492" width="12" style="14" customWidth="1"/>
    <col min="9493" max="9493" width="11.28515625" style="14" customWidth="1"/>
    <col min="9494" max="9731" width="9.140625" style="14"/>
    <col min="9732" max="9732" width="5.7109375" style="14" customWidth="1"/>
    <col min="9733" max="9733" width="13.140625" style="14" customWidth="1"/>
    <col min="9734" max="9734" width="12.28515625" style="14" customWidth="1"/>
    <col min="9735" max="9735" width="8.85546875" style="14" customWidth="1"/>
    <col min="9736" max="9736" width="10.85546875" style="14" customWidth="1"/>
    <col min="9737" max="9737" width="2.85546875" style="14" customWidth="1"/>
    <col min="9738" max="9738" width="12.140625" style="14" customWidth="1"/>
    <col min="9739" max="9739" width="10.140625" style="14" customWidth="1"/>
    <col min="9740" max="9740" width="11.7109375" style="14" customWidth="1"/>
    <col min="9741" max="9741" width="11.42578125" style="14" customWidth="1"/>
    <col min="9742" max="9742" width="12.7109375" style="14" customWidth="1"/>
    <col min="9743" max="9743" width="11.42578125" style="14" customWidth="1"/>
    <col min="9744" max="9744" width="10.7109375" style="14" customWidth="1"/>
    <col min="9745" max="9745" width="10.5703125" style="14" customWidth="1"/>
    <col min="9746" max="9746" width="11.28515625" style="14" customWidth="1"/>
    <col min="9747" max="9747" width="9.7109375" style="14" customWidth="1"/>
    <col min="9748" max="9748" width="12" style="14" customWidth="1"/>
    <col min="9749" max="9749" width="11.28515625" style="14" customWidth="1"/>
    <col min="9750" max="9987" width="9.140625" style="14"/>
    <col min="9988" max="9988" width="5.7109375" style="14" customWidth="1"/>
    <col min="9989" max="9989" width="13.140625" style="14" customWidth="1"/>
    <col min="9990" max="9990" width="12.28515625" style="14" customWidth="1"/>
    <col min="9991" max="9991" width="8.85546875" style="14" customWidth="1"/>
    <col min="9992" max="9992" width="10.85546875" style="14" customWidth="1"/>
    <col min="9993" max="9993" width="2.85546875" style="14" customWidth="1"/>
    <col min="9994" max="9994" width="12.140625" style="14" customWidth="1"/>
    <col min="9995" max="9995" width="10.140625" style="14" customWidth="1"/>
    <col min="9996" max="9996" width="11.7109375" style="14" customWidth="1"/>
    <col min="9997" max="9997" width="11.42578125" style="14" customWidth="1"/>
    <col min="9998" max="9998" width="12.7109375" style="14" customWidth="1"/>
    <col min="9999" max="9999" width="11.42578125" style="14" customWidth="1"/>
    <col min="10000" max="10000" width="10.7109375" style="14" customWidth="1"/>
    <col min="10001" max="10001" width="10.5703125" style="14" customWidth="1"/>
    <col min="10002" max="10002" width="11.28515625" style="14" customWidth="1"/>
    <col min="10003" max="10003" width="9.7109375" style="14" customWidth="1"/>
    <col min="10004" max="10004" width="12" style="14" customWidth="1"/>
    <col min="10005" max="10005" width="11.28515625" style="14" customWidth="1"/>
    <col min="10006" max="10243" width="9.140625" style="14"/>
    <col min="10244" max="10244" width="5.7109375" style="14" customWidth="1"/>
    <col min="10245" max="10245" width="13.140625" style="14" customWidth="1"/>
    <col min="10246" max="10246" width="12.28515625" style="14" customWidth="1"/>
    <col min="10247" max="10247" width="8.85546875" style="14" customWidth="1"/>
    <col min="10248" max="10248" width="10.85546875" style="14" customWidth="1"/>
    <col min="10249" max="10249" width="2.85546875" style="14" customWidth="1"/>
    <col min="10250" max="10250" width="12.140625" style="14" customWidth="1"/>
    <col min="10251" max="10251" width="10.140625" style="14" customWidth="1"/>
    <col min="10252" max="10252" width="11.7109375" style="14" customWidth="1"/>
    <col min="10253" max="10253" width="11.42578125" style="14" customWidth="1"/>
    <col min="10254" max="10254" width="12.7109375" style="14" customWidth="1"/>
    <col min="10255" max="10255" width="11.42578125" style="14" customWidth="1"/>
    <col min="10256" max="10256" width="10.7109375" style="14" customWidth="1"/>
    <col min="10257" max="10257" width="10.5703125" style="14" customWidth="1"/>
    <col min="10258" max="10258" width="11.28515625" style="14" customWidth="1"/>
    <col min="10259" max="10259" width="9.7109375" style="14" customWidth="1"/>
    <col min="10260" max="10260" width="12" style="14" customWidth="1"/>
    <col min="10261" max="10261" width="11.28515625" style="14" customWidth="1"/>
    <col min="10262" max="10499" width="9.140625" style="14"/>
    <col min="10500" max="10500" width="5.7109375" style="14" customWidth="1"/>
    <col min="10501" max="10501" width="13.140625" style="14" customWidth="1"/>
    <col min="10502" max="10502" width="12.28515625" style="14" customWidth="1"/>
    <col min="10503" max="10503" width="8.85546875" style="14" customWidth="1"/>
    <col min="10504" max="10504" width="10.85546875" style="14" customWidth="1"/>
    <col min="10505" max="10505" width="2.85546875" style="14" customWidth="1"/>
    <col min="10506" max="10506" width="12.140625" style="14" customWidth="1"/>
    <col min="10507" max="10507" width="10.140625" style="14" customWidth="1"/>
    <col min="10508" max="10508" width="11.7109375" style="14" customWidth="1"/>
    <col min="10509" max="10509" width="11.42578125" style="14" customWidth="1"/>
    <col min="10510" max="10510" width="12.7109375" style="14" customWidth="1"/>
    <col min="10511" max="10511" width="11.42578125" style="14" customWidth="1"/>
    <col min="10512" max="10512" width="10.7109375" style="14" customWidth="1"/>
    <col min="10513" max="10513" width="10.5703125" style="14" customWidth="1"/>
    <col min="10514" max="10514" width="11.28515625" style="14" customWidth="1"/>
    <col min="10515" max="10515" width="9.7109375" style="14" customWidth="1"/>
    <col min="10516" max="10516" width="12" style="14" customWidth="1"/>
    <col min="10517" max="10517" width="11.28515625" style="14" customWidth="1"/>
    <col min="10518" max="10755" width="9.140625" style="14"/>
    <col min="10756" max="10756" width="5.7109375" style="14" customWidth="1"/>
    <col min="10757" max="10757" width="13.140625" style="14" customWidth="1"/>
    <col min="10758" max="10758" width="12.28515625" style="14" customWidth="1"/>
    <col min="10759" max="10759" width="8.85546875" style="14" customWidth="1"/>
    <col min="10760" max="10760" width="10.85546875" style="14" customWidth="1"/>
    <col min="10761" max="10761" width="2.85546875" style="14" customWidth="1"/>
    <col min="10762" max="10762" width="12.140625" style="14" customWidth="1"/>
    <col min="10763" max="10763" width="10.140625" style="14" customWidth="1"/>
    <col min="10764" max="10764" width="11.7109375" style="14" customWidth="1"/>
    <col min="10765" max="10765" width="11.42578125" style="14" customWidth="1"/>
    <col min="10766" max="10766" width="12.7109375" style="14" customWidth="1"/>
    <col min="10767" max="10767" width="11.42578125" style="14" customWidth="1"/>
    <col min="10768" max="10768" width="10.7109375" style="14" customWidth="1"/>
    <col min="10769" max="10769" width="10.5703125" style="14" customWidth="1"/>
    <col min="10770" max="10770" width="11.28515625" style="14" customWidth="1"/>
    <col min="10771" max="10771" width="9.7109375" style="14" customWidth="1"/>
    <col min="10772" max="10772" width="12" style="14" customWidth="1"/>
    <col min="10773" max="10773" width="11.28515625" style="14" customWidth="1"/>
    <col min="10774" max="11011" width="9.140625" style="14"/>
    <col min="11012" max="11012" width="5.7109375" style="14" customWidth="1"/>
    <col min="11013" max="11013" width="13.140625" style="14" customWidth="1"/>
    <col min="11014" max="11014" width="12.28515625" style="14" customWidth="1"/>
    <col min="11015" max="11015" width="8.85546875" style="14" customWidth="1"/>
    <col min="11016" max="11016" width="10.85546875" style="14" customWidth="1"/>
    <col min="11017" max="11017" width="2.85546875" style="14" customWidth="1"/>
    <col min="11018" max="11018" width="12.140625" style="14" customWidth="1"/>
    <col min="11019" max="11019" width="10.140625" style="14" customWidth="1"/>
    <col min="11020" max="11020" width="11.7109375" style="14" customWidth="1"/>
    <col min="11021" max="11021" width="11.42578125" style="14" customWidth="1"/>
    <col min="11022" max="11022" width="12.7109375" style="14" customWidth="1"/>
    <col min="11023" max="11023" width="11.42578125" style="14" customWidth="1"/>
    <col min="11024" max="11024" width="10.7109375" style="14" customWidth="1"/>
    <col min="11025" max="11025" width="10.5703125" style="14" customWidth="1"/>
    <col min="11026" max="11026" width="11.28515625" style="14" customWidth="1"/>
    <col min="11027" max="11027" width="9.7109375" style="14" customWidth="1"/>
    <col min="11028" max="11028" width="12" style="14" customWidth="1"/>
    <col min="11029" max="11029" width="11.28515625" style="14" customWidth="1"/>
    <col min="11030" max="11267" width="9.140625" style="14"/>
    <col min="11268" max="11268" width="5.7109375" style="14" customWidth="1"/>
    <col min="11269" max="11269" width="13.140625" style="14" customWidth="1"/>
    <col min="11270" max="11270" width="12.28515625" style="14" customWidth="1"/>
    <col min="11271" max="11271" width="8.85546875" style="14" customWidth="1"/>
    <col min="11272" max="11272" width="10.85546875" style="14" customWidth="1"/>
    <col min="11273" max="11273" width="2.85546875" style="14" customWidth="1"/>
    <col min="11274" max="11274" width="12.140625" style="14" customWidth="1"/>
    <col min="11275" max="11275" width="10.140625" style="14" customWidth="1"/>
    <col min="11276" max="11276" width="11.7109375" style="14" customWidth="1"/>
    <col min="11277" max="11277" width="11.42578125" style="14" customWidth="1"/>
    <col min="11278" max="11278" width="12.7109375" style="14" customWidth="1"/>
    <col min="11279" max="11279" width="11.42578125" style="14" customWidth="1"/>
    <col min="11280" max="11280" width="10.7109375" style="14" customWidth="1"/>
    <col min="11281" max="11281" width="10.5703125" style="14" customWidth="1"/>
    <col min="11282" max="11282" width="11.28515625" style="14" customWidth="1"/>
    <col min="11283" max="11283" width="9.7109375" style="14" customWidth="1"/>
    <col min="11284" max="11284" width="12" style="14" customWidth="1"/>
    <col min="11285" max="11285" width="11.28515625" style="14" customWidth="1"/>
    <col min="11286" max="11523" width="9.140625" style="14"/>
    <col min="11524" max="11524" width="5.7109375" style="14" customWidth="1"/>
    <col min="11525" max="11525" width="13.140625" style="14" customWidth="1"/>
    <col min="11526" max="11526" width="12.28515625" style="14" customWidth="1"/>
    <col min="11527" max="11527" width="8.85546875" style="14" customWidth="1"/>
    <col min="11528" max="11528" width="10.85546875" style="14" customWidth="1"/>
    <col min="11529" max="11529" width="2.85546875" style="14" customWidth="1"/>
    <col min="11530" max="11530" width="12.140625" style="14" customWidth="1"/>
    <col min="11531" max="11531" width="10.140625" style="14" customWidth="1"/>
    <col min="11532" max="11532" width="11.7109375" style="14" customWidth="1"/>
    <col min="11533" max="11533" width="11.42578125" style="14" customWidth="1"/>
    <col min="11534" max="11534" width="12.7109375" style="14" customWidth="1"/>
    <col min="11535" max="11535" width="11.42578125" style="14" customWidth="1"/>
    <col min="11536" max="11536" width="10.7109375" style="14" customWidth="1"/>
    <col min="11537" max="11537" width="10.5703125" style="14" customWidth="1"/>
    <col min="11538" max="11538" width="11.28515625" style="14" customWidth="1"/>
    <col min="11539" max="11539" width="9.7109375" style="14" customWidth="1"/>
    <col min="11540" max="11540" width="12" style="14" customWidth="1"/>
    <col min="11541" max="11541" width="11.28515625" style="14" customWidth="1"/>
    <col min="11542" max="11779" width="9.140625" style="14"/>
    <col min="11780" max="11780" width="5.7109375" style="14" customWidth="1"/>
    <col min="11781" max="11781" width="13.140625" style="14" customWidth="1"/>
    <col min="11782" max="11782" width="12.28515625" style="14" customWidth="1"/>
    <col min="11783" max="11783" width="8.85546875" style="14" customWidth="1"/>
    <col min="11784" max="11784" width="10.85546875" style="14" customWidth="1"/>
    <col min="11785" max="11785" width="2.85546875" style="14" customWidth="1"/>
    <col min="11786" max="11786" width="12.140625" style="14" customWidth="1"/>
    <col min="11787" max="11787" width="10.140625" style="14" customWidth="1"/>
    <col min="11788" max="11788" width="11.7109375" style="14" customWidth="1"/>
    <col min="11789" max="11789" width="11.42578125" style="14" customWidth="1"/>
    <col min="11790" max="11790" width="12.7109375" style="14" customWidth="1"/>
    <col min="11791" max="11791" width="11.42578125" style="14" customWidth="1"/>
    <col min="11792" max="11792" width="10.7109375" style="14" customWidth="1"/>
    <col min="11793" max="11793" width="10.5703125" style="14" customWidth="1"/>
    <col min="11794" max="11794" width="11.28515625" style="14" customWidth="1"/>
    <col min="11795" max="11795" width="9.7109375" style="14" customWidth="1"/>
    <col min="11796" max="11796" width="12" style="14" customWidth="1"/>
    <col min="11797" max="11797" width="11.28515625" style="14" customWidth="1"/>
    <col min="11798" max="12035" width="9.140625" style="14"/>
    <col min="12036" max="12036" width="5.7109375" style="14" customWidth="1"/>
    <col min="12037" max="12037" width="13.140625" style="14" customWidth="1"/>
    <col min="12038" max="12038" width="12.28515625" style="14" customWidth="1"/>
    <col min="12039" max="12039" width="8.85546875" style="14" customWidth="1"/>
    <col min="12040" max="12040" width="10.85546875" style="14" customWidth="1"/>
    <col min="12041" max="12041" width="2.85546875" style="14" customWidth="1"/>
    <col min="12042" max="12042" width="12.140625" style="14" customWidth="1"/>
    <col min="12043" max="12043" width="10.140625" style="14" customWidth="1"/>
    <col min="12044" max="12044" width="11.7109375" style="14" customWidth="1"/>
    <col min="12045" max="12045" width="11.42578125" style="14" customWidth="1"/>
    <col min="12046" max="12046" width="12.7109375" style="14" customWidth="1"/>
    <col min="12047" max="12047" width="11.42578125" style="14" customWidth="1"/>
    <col min="12048" max="12048" width="10.7109375" style="14" customWidth="1"/>
    <col min="12049" max="12049" width="10.5703125" style="14" customWidth="1"/>
    <col min="12050" max="12050" width="11.28515625" style="14" customWidth="1"/>
    <col min="12051" max="12051" width="9.7109375" style="14" customWidth="1"/>
    <col min="12052" max="12052" width="12" style="14" customWidth="1"/>
    <col min="12053" max="12053" width="11.28515625" style="14" customWidth="1"/>
    <col min="12054" max="12291" width="9.140625" style="14"/>
    <col min="12292" max="12292" width="5.7109375" style="14" customWidth="1"/>
    <col min="12293" max="12293" width="13.140625" style="14" customWidth="1"/>
    <col min="12294" max="12294" width="12.28515625" style="14" customWidth="1"/>
    <col min="12295" max="12295" width="8.85546875" style="14" customWidth="1"/>
    <col min="12296" max="12296" width="10.85546875" style="14" customWidth="1"/>
    <col min="12297" max="12297" width="2.85546875" style="14" customWidth="1"/>
    <col min="12298" max="12298" width="12.140625" style="14" customWidth="1"/>
    <col min="12299" max="12299" width="10.140625" style="14" customWidth="1"/>
    <col min="12300" max="12300" width="11.7109375" style="14" customWidth="1"/>
    <col min="12301" max="12301" width="11.42578125" style="14" customWidth="1"/>
    <col min="12302" max="12302" width="12.7109375" style="14" customWidth="1"/>
    <col min="12303" max="12303" width="11.42578125" style="14" customWidth="1"/>
    <col min="12304" max="12304" width="10.7109375" style="14" customWidth="1"/>
    <col min="12305" max="12305" width="10.5703125" style="14" customWidth="1"/>
    <col min="12306" max="12306" width="11.28515625" style="14" customWidth="1"/>
    <col min="12307" max="12307" width="9.7109375" style="14" customWidth="1"/>
    <col min="12308" max="12308" width="12" style="14" customWidth="1"/>
    <col min="12309" max="12309" width="11.28515625" style="14" customWidth="1"/>
    <col min="12310" max="12547" width="9.140625" style="14"/>
    <col min="12548" max="12548" width="5.7109375" style="14" customWidth="1"/>
    <col min="12549" max="12549" width="13.140625" style="14" customWidth="1"/>
    <col min="12550" max="12550" width="12.28515625" style="14" customWidth="1"/>
    <col min="12551" max="12551" width="8.85546875" style="14" customWidth="1"/>
    <col min="12552" max="12552" width="10.85546875" style="14" customWidth="1"/>
    <col min="12553" max="12553" width="2.85546875" style="14" customWidth="1"/>
    <col min="12554" max="12554" width="12.140625" style="14" customWidth="1"/>
    <col min="12555" max="12555" width="10.140625" style="14" customWidth="1"/>
    <col min="12556" max="12556" width="11.7109375" style="14" customWidth="1"/>
    <col min="12557" max="12557" width="11.42578125" style="14" customWidth="1"/>
    <col min="12558" max="12558" width="12.7109375" style="14" customWidth="1"/>
    <col min="12559" max="12559" width="11.42578125" style="14" customWidth="1"/>
    <col min="12560" max="12560" width="10.7109375" style="14" customWidth="1"/>
    <col min="12561" max="12561" width="10.5703125" style="14" customWidth="1"/>
    <col min="12562" max="12562" width="11.28515625" style="14" customWidth="1"/>
    <col min="12563" max="12563" width="9.7109375" style="14" customWidth="1"/>
    <col min="12564" max="12564" width="12" style="14" customWidth="1"/>
    <col min="12565" max="12565" width="11.28515625" style="14" customWidth="1"/>
    <col min="12566" max="12803" width="9.140625" style="14"/>
    <col min="12804" max="12804" width="5.7109375" style="14" customWidth="1"/>
    <col min="12805" max="12805" width="13.140625" style="14" customWidth="1"/>
    <col min="12806" max="12806" width="12.28515625" style="14" customWidth="1"/>
    <col min="12807" max="12807" width="8.85546875" style="14" customWidth="1"/>
    <col min="12808" max="12808" width="10.85546875" style="14" customWidth="1"/>
    <col min="12809" max="12809" width="2.85546875" style="14" customWidth="1"/>
    <col min="12810" max="12810" width="12.140625" style="14" customWidth="1"/>
    <col min="12811" max="12811" width="10.140625" style="14" customWidth="1"/>
    <col min="12812" max="12812" width="11.7109375" style="14" customWidth="1"/>
    <col min="12813" max="12813" width="11.42578125" style="14" customWidth="1"/>
    <col min="12814" max="12814" width="12.7109375" style="14" customWidth="1"/>
    <col min="12815" max="12815" width="11.42578125" style="14" customWidth="1"/>
    <col min="12816" max="12816" width="10.7109375" style="14" customWidth="1"/>
    <col min="12817" max="12817" width="10.5703125" style="14" customWidth="1"/>
    <col min="12818" max="12818" width="11.28515625" style="14" customWidth="1"/>
    <col min="12819" max="12819" width="9.7109375" style="14" customWidth="1"/>
    <col min="12820" max="12820" width="12" style="14" customWidth="1"/>
    <col min="12821" max="12821" width="11.28515625" style="14" customWidth="1"/>
    <col min="12822" max="13059" width="9.140625" style="14"/>
    <col min="13060" max="13060" width="5.7109375" style="14" customWidth="1"/>
    <col min="13061" max="13061" width="13.140625" style="14" customWidth="1"/>
    <col min="13062" max="13062" width="12.28515625" style="14" customWidth="1"/>
    <col min="13063" max="13063" width="8.85546875" style="14" customWidth="1"/>
    <col min="13064" max="13064" width="10.85546875" style="14" customWidth="1"/>
    <col min="13065" max="13065" width="2.85546875" style="14" customWidth="1"/>
    <col min="13066" max="13066" width="12.140625" style="14" customWidth="1"/>
    <col min="13067" max="13067" width="10.140625" style="14" customWidth="1"/>
    <col min="13068" max="13068" width="11.7109375" style="14" customWidth="1"/>
    <col min="13069" max="13069" width="11.42578125" style="14" customWidth="1"/>
    <col min="13070" max="13070" width="12.7109375" style="14" customWidth="1"/>
    <col min="13071" max="13071" width="11.42578125" style="14" customWidth="1"/>
    <col min="13072" max="13072" width="10.7109375" style="14" customWidth="1"/>
    <col min="13073" max="13073" width="10.5703125" style="14" customWidth="1"/>
    <col min="13074" max="13074" width="11.28515625" style="14" customWidth="1"/>
    <col min="13075" max="13075" width="9.7109375" style="14" customWidth="1"/>
    <col min="13076" max="13076" width="12" style="14" customWidth="1"/>
    <col min="13077" max="13077" width="11.28515625" style="14" customWidth="1"/>
    <col min="13078" max="13315" width="9.140625" style="14"/>
    <col min="13316" max="13316" width="5.7109375" style="14" customWidth="1"/>
    <col min="13317" max="13317" width="13.140625" style="14" customWidth="1"/>
    <col min="13318" max="13318" width="12.28515625" style="14" customWidth="1"/>
    <col min="13319" max="13319" width="8.85546875" style="14" customWidth="1"/>
    <col min="13320" max="13320" width="10.85546875" style="14" customWidth="1"/>
    <col min="13321" max="13321" width="2.85546875" style="14" customWidth="1"/>
    <col min="13322" max="13322" width="12.140625" style="14" customWidth="1"/>
    <col min="13323" max="13323" width="10.140625" style="14" customWidth="1"/>
    <col min="13324" max="13324" width="11.7109375" style="14" customWidth="1"/>
    <col min="13325" max="13325" width="11.42578125" style="14" customWidth="1"/>
    <col min="13326" max="13326" width="12.7109375" style="14" customWidth="1"/>
    <col min="13327" max="13327" width="11.42578125" style="14" customWidth="1"/>
    <col min="13328" max="13328" width="10.7109375" style="14" customWidth="1"/>
    <col min="13329" max="13329" width="10.5703125" style="14" customWidth="1"/>
    <col min="13330" max="13330" width="11.28515625" style="14" customWidth="1"/>
    <col min="13331" max="13331" width="9.7109375" style="14" customWidth="1"/>
    <col min="13332" max="13332" width="12" style="14" customWidth="1"/>
    <col min="13333" max="13333" width="11.28515625" style="14" customWidth="1"/>
    <col min="13334" max="13571" width="9.140625" style="14"/>
    <col min="13572" max="13572" width="5.7109375" style="14" customWidth="1"/>
    <col min="13573" max="13573" width="13.140625" style="14" customWidth="1"/>
    <col min="13574" max="13574" width="12.28515625" style="14" customWidth="1"/>
    <col min="13575" max="13575" width="8.85546875" style="14" customWidth="1"/>
    <col min="13576" max="13576" width="10.85546875" style="14" customWidth="1"/>
    <col min="13577" max="13577" width="2.85546875" style="14" customWidth="1"/>
    <col min="13578" max="13578" width="12.140625" style="14" customWidth="1"/>
    <col min="13579" max="13579" width="10.140625" style="14" customWidth="1"/>
    <col min="13580" max="13580" width="11.7109375" style="14" customWidth="1"/>
    <col min="13581" max="13581" width="11.42578125" style="14" customWidth="1"/>
    <col min="13582" max="13582" width="12.7109375" style="14" customWidth="1"/>
    <col min="13583" max="13583" width="11.42578125" style="14" customWidth="1"/>
    <col min="13584" max="13584" width="10.7109375" style="14" customWidth="1"/>
    <col min="13585" max="13585" width="10.5703125" style="14" customWidth="1"/>
    <col min="13586" max="13586" width="11.28515625" style="14" customWidth="1"/>
    <col min="13587" max="13587" width="9.7109375" style="14" customWidth="1"/>
    <col min="13588" max="13588" width="12" style="14" customWidth="1"/>
    <col min="13589" max="13589" width="11.28515625" style="14" customWidth="1"/>
    <col min="13590" max="13827" width="9.140625" style="14"/>
    <col min="13828" max="13828" width="5.7109375" style="14" customWidth="1"/>
    <col min="13829" max="13829" width="13.140625" style="14" customWidth="1"/>
    <col min="13830" max="13830" width="12.28515625" style="14" customWidth="1"/>
    <col min="13831" max="13831" width="8.85546875" style="14" customWidth="1"/>
    <col min="13832" max="13832" width="10.85546875" style="14" customWidth="1"/>
    <col min="13833" max="13833" width="2.85546875" style="14" customWidth="1"/>
    <col min="13834" max="13834" width="12.140625" style="14" customWidth="1"/>
    <col min="13835" max="13835" width="10.140625" style="14" customWidth="1"/>
    <col min="13836" max="13836" width="11.7109375" style="14" customWidth="1"/>
    <col min="13837" max="13837" width="11.42578125" style="14" customWidth="1"/>
    <col min="13838" max="13838" width="12.7109375" style="14" customWidth="1"/>
    <col min="13839" max="13839" width="11.42578125" style="14" customWidth="1"/>
    <col min="13840" max="13840" width="10.7109375" style="14" customWidth="1"/>
    <col min="13841" max="13841" width="10.5703125" style="14" customWidth="1"/>
    <col min="13842" max="13842" width="11.28515625" style="14" customWidth="1"/>
    <col min="13843" max="13843" width="9.7109375" style="14" customWidth="1"/>
    <col min="13844" max="13844" width="12" style="14" customWidth="1"/>
    <col min="13845" max="13845" width="11.28515625" style="14" customWidth="1"/>
    <col min="13846" max="14083" width="9.140625" style="14"/>
    <col min="14084" max="14084" width="5.7109375" style="14" customWidth="1"/>
    <col min="14085" max="14085" width="13.140625" style="14" customWidth="1"/>
    <col min="14086" max="14086" width="12.28515625" style="14" customWidth="1"/>
    <col min="14087" max="14087" width="8.85546875" style="14" customWidth="1"/>
    <col min="14088" max="14088" width="10.85546875" style="14" customWidth="1"/>
    <col min="14089" max="14089" width="2.85546875" style="14" customWidth="1"/>
    <col min="14090" max="14090" width="12.140625" style="14" customWidth="1"/>
    <col min="14091" max="14091" width="10.140625" style="14" customWidth="1"/>
    <col min="14092" max="14092" width="11.7109375" style="14" customWidth="1"/>
    <col min="14093" max="14093" width="11.42578125" style="14" customWidth="1"/>
    <col min="14094" max="14094" width="12.7109375" style="14" customWidth="1"/>
    <col min="14095" max="14095" width="11.42578125" style="14" customWidth="1"/>
    <col min="14096" max="14096" width="10.7109375" style="14" customWidth="1"/>
    <col min="14097" max="14097" width="10.5703125" style="14" customWidth="1"/>
    <col min="14098" max="14098" width="11.28515625" style="14" customWidth="1"/>
    <col min="14099" max="14099" width="9.7109375" style="14" customWidth="1"/>
    <col min="14100" max="14100" width="12" style="14" customWidth="1"/>
    <col min="14101" max="14101" width="11.28515625" style="14" customWidth="1"/>
    <col min="14102" max="14339" width="9.140625" style="14"/>
    <col min="14340" max="14340" width="5.7109375" style="14" customWidth="1"/>
    <col min="14341" max="14341" width="13.140625" style="14" customWidth="1"/>
    <col min="14342" max="14342" width="12.28515625" style="14" customWidth="1"/>
    <col min="14343" max="14343" width="8.85546875" style="14" customWidth="1"/>
    <col min="14344" max="14344" width="10.85546875" style="14" customWidth="1"/>
    <col min="14345" max="14345" width="2.85546875" style="14" customWidth="1"/>
    <col min="14346" max="14346" width="12.140625" style="14" customWidth="1"/>
    <col min="14347" max="14347" width="10.140625" style="14" customWidth="1"/>
    <col min="14348" max="14348" width="11.7109375" style="14" customWidth="1"/>
    <col min="14349" max="14349" width="11.42578125" style="14" customWidth="1"/>
    <col min="14350" max="14350" width="12.7109375" style="14" customWidth="1"/>
    <col min="14351" max="14351" width="11.42578125" style="14" customWidth="1"/>
    <col min="14352" max="14352" width="10.7109375" style="14" customWidth="1"/>
    <col min="14353" max="14353" width="10.5703125" style="14" customWidth="1"/>
    <col min="14354" max="14354" width="11.28515625" style="14" customWidth="1"/>
    <col min="14355" max="14355" width="9.7109375" style="14" customWidth="1"/>
    <col min="14356" max="14356" width="12" style="14" customWidth="1"/>
    <col min="14357" max="14357" width="11.28515625" style="14" customWidth="1"/>
    <col min="14358" max="14595" width="9.140625" style="14"/>
    <col min="14596" max="14596" width="5.7109375" style="14" customWidth="1"/>
    <col min="14597" max="14597" width="13.140625" style="14" customWidth="1"/>
    <col min="14598" max="14598" width="12.28515625" style="14" customWidth="1"/>
    <col min="14599" max="14599" width="8.85546875" style="14" customWidth="1"/>
    <col min="14600" max="14600" width="10.85546875" style="14" customWidth="1"/>
    <col min="14601" max="14601" width="2.85546875" style="14" customWidth="1"/>
    <col min="14602" max="14602" width="12.140625" style="14" customWidth="1"/>
    <col min="14603" max="14603" width="10.140625" style="14" customWidth="1"/>
    <col min="14604" max="14604" width="11.7109375" style="14" customWidth="1"/>
    <col min="14605" max="14605" width="11.42578125" style="14" customWidth="1"/>
    <col min="14606" max="14606" width="12.7109375" style="14" customWidth="1"/>
    <col min="14607" max="14607" width="11.42578125" style="14" customWidth="1"/>
    <col min="14608" max="14608" width="10.7109375" style="14" customWidth="1"/>
    <col min="14609" max="14609" width="10.5703125" style="14" customWidth="1"/>
    <col min="14610" max="14610" width="11.28515625" style="14" customWidth="1"/>
    <col min="14611" max="14611" width="9.7109375" style="14" customWidth="1"/>
    <col min="14612" max="14612" width="12" style="14" customWidth="1"/>
    <col min="14613" max="14613" width="11.28515625" style="14" customWidth="1"/>
    <col min="14614" max="14851" width="9.140625" style="14"/>
    <col min="14852" max="14852" width="5.7109375" style="14" customWidth="1"/>
    <col min="14853" max="14853" width="13.140625" style="14" customWidth="1"/>
    <col min="14854" max="14854" width="12.28515625" style="14" customWidth="1"/>
    <col min="14855" max="14855" width="8.85546875" style="14" customWidth="1"/>
    <col min="14856" max="14856" width="10.85546875" style="14" customWidth="1"/>
    <col min="14857" max="14857" width="2.85546875" style="14" customWidth="1"/>
    <col min="14858" max="14858" width="12.140625" style="14" customWidth="1"/>
    <col min="14859" max="14859" width="10.140625" style="14" customWidth="1"/>
    <col min="14860" max="14860" width="11.7109375" style="14" customWidth="1"/>
    <col min="14861" max="14861" width="11.42578125" style="14" customWidth="1"/>
    <col min="14862" max="14862" width="12.7109375" style="14" customWidth="1"/>
    <col min="14863" max="14863" width="11.42578125" style="14" customWidth="1"/>
    <col min="14864" max="14864" width="10.7109375" style="14" customWidth="1"/>
    <col min="14865" max="14865" width="10.5703125" style="14" customWidth="1"/>
    <col min="14866" max="14866" width="11.28515625" style="14" customWidth="1"/>
    <col min="14867" max="14867" width="9.7109375" style="14" customWidth="1"/>
    <col min="14868" max="14868" width="12" style="14" customWidth="1"/>
    <col min="14869" max="14869" width="11.28515625" style="14" customWidth="1"/>
    <col min="14870" max="15107" width="9.140625" style="14"/>
    <col min="15108" max="15108" width="5.7109375" style="14" customWidth="1"/>
    <col min="15109" max="15109" width="13.140625" style="14" customWidth="1"/>
    <col min="15110" max="15110" width="12.28515625" style="14" customWidth="1"/>
    <col min="15111" max="15111" width="8.85546875" style="14" customWidth="1"/>
    <col min="15112" max="15112" width="10.85546875" style="14" customWidth="1"/>
    <col min="15113" max="15113" width="2.85546875" style="14" customWidth="1"/>
    <col min="15114" max="15114" width="12.140625" style="14" customWidth="1"/>
    <col min="15115" max="15115" width="10.140625" style="14" customWidth="1"/>
    <col min="15116" max="15116" width="11.7109375" style="14" customWidth="1"/>
    <col min="15117" max="15117" width="11.42578125" style="14" customWidth="1"/>
    <col min="15118" max="15118" width="12.7109375" style="14" customWidth="1"/>
    <col min="15119" max="15119" width="11.42578125" style="14" customWidth="1"/>
    <col min="15120" max="15120" width="10.7109375" style="14" customWidth="1"/>
    <col min="15121" max="15121" width="10.5703125" style="14" customWidth="1"/>
    <col min="15122" max="15122" width="11.28515625" style="14" customWidth="1"/>
    <col min="15123" max="15123" width="9.7109375" style="14" customWidth="1"/>
    <col min="15124" max="15124" width="12" style="14" customWidth="1"/>
    <col min="15125" max="15125" width="11.28515625" style="14" customWidth="1"/>
    <col min="15126" max="15363" width="9.140625" style="14"/>
    <col min="15364" max="15364" width="5.7109375" style="14" customWidth="1"/>
    <col min="15365" max="15365" width="13.140625" style="14" customWidth="1"/>
    <col min="15366" max="15366" width="12.28515625" style="14" customWidth="1"/>
    <col min="15367" max="15367" width="8.85546875" style="14" customWidth="1"/>
    <col min="15368" max="15368" width="10.85546875" style="14" customWidth="1"/>
    <col min="15369" max="15369" width="2.85546875" style="14" customWidth="1"/>
    <col min="15370" max="15370" width="12.140625" style="14" customWidth="1"/>
    <col min="15371" max="15371" width="10.140625" style="14" customWidth="1"/>
    <col min="15372" max="15372" width="11.7109375" style="14" customWidth="1"/>
    <col min="15373" max="15373" width="11.42578125" style="14" customWidth="1"/>
    <col min="15374" max="15374" width="12.7109375" style="14" customWidth="1"/>
    <col min="15375" max="15375" width="11.42578125" style="14" customWidth="1"/>
    <col min="15376" max="15376" width="10.7109375" style="14" customWidth="1"/>
    <col min="15377" max="15377" width="10.5703125" style="14" customWidth="1"/>
    <col min="15378" max="15378" width="11.28515625" style="14" customWidth="1"/>
    <col min="15379" max="15379" width="9.7109375" style="14" customWidth="1"/>
    <col min="15380" max="15380" width="12" style="14" customWidth="1"/>
    <col min="15381" max="15381" width="11.28515625" style="14" customWidth="1"/>
    <col min="15382" max="15619" width="9.140625" style="14"/>
    <col min="15620" max="15620" width="5.7109375" style="14" customWidth="1"/>
    <col min="15621" max="15621" width="13.140625" style="14" customWidth="1"/>
    <col min="15622" max="15622" width="12.28515625" style="14" customWidth="1"/>
    <col min="15623" max="15623" width="8.85546875" style="14" customWidth="1"/>
    <col min="15624" max="15624" width="10.85546875" style="14" customWidth="1"/>
    <col min="15625" max="15625" width="2.85546875" style="14" customWidth="1"/>
    <col min="15626" max="15626" width="12.140625" style="14" customWidth="1"/>
    <col min="15627" max="15627" width="10.140625" style="14" customWidth="1"/>
    <col min="15628" max="15628" width="11.7109375" style="14" customWidth="1"/>
    <col min="15629" max="15629" width="11.42578125" style="14" customWidth="1"/>
    <col min="15630" max="15630" width="12.7109375" style="14" customWidth="1"/>
    <col min="15631" max="15631" width="11.42578125" style="14" customWidth="1"/>
    <col min="15632" max="15632" width="10.7109375" style="14" customWidth="1"/>
    <col min="15633" max="15633" width="10.5703125" style="14" customWidth="1"/>
    <col min="15634" max="15634" width="11.28515625" style="14" customWidth="1"/>
    <col min="15635" max="15635" width="9.7109375" style="14" customWidth="1"/>
    <col min="15636" max="15636" width="12" style="14" customWidth="1"/>
    <col min="15637" max="15637" width="11.28515625" style="14" customWidth="1"/>
    <col min="15638" max="15875" width="9.140625" style="14"/>
    <col min="15876" max="15876" width="5.7109375" style="14" customWidth="1"/>
    <col min="15877" max="15877" width="13.140625" style="14" customWidth="1"/>
    <col min="15878" max="15878" width="12.28515625" style="14" customWidth="1"/>
    <col min="15879" max="15879" width="8.85546875" style="14" customWidth="1"/>
    <col min="15880" max="15880" width="10.85546875" style="14" customWidth="1"/>
    <col min="15881" max="15881" width="2.85546875" style="14" customWidth="1"/>
    <col min="15882" max="15882" width="12.140625" style="14" customWidth="1"/>
    <col min="15883" max="15883" width="10.140625" style="14" customWidth="1"/>
    <col min="15884" max="15884" width="11.7109375" style="14" customWidth="1"/>
    <col min="15885" max="15885" width="11.42578125" style="14" customWidth="1"/>
    <col min="15886" max="15886" width="12.7109375" style="14" customWidth="1"/>
    <col min="15887" max="15887" width="11.42578125" style="14" customWidth="1"/>
    <col min="15888" max="15888" width="10.7109375" style="14" customWidth="1"/>
    <col min="15889" max="15889" width="10.5703125" style="14" customWidth="1"/>
    <col min="15890" max="15890" width="11.28515625" style="14" customWidth="1"/>
    <col min="15891" max="15891" width="9.7109375" style="14" customWidth="1"/>
    <col min="15892" max="15892" width="12" style="14" customWidth="1"/>
    <col min="15893" max="15893" width="11.28515625" style="14" customWidth="1"/>
    <col min="15894" max="16131" width="9.140625" style="14"/>
    <col min="16132" max="16132" width="5.7109375" style="14" customWidth="1"/>
    <col min="16133" max="16133" width="13.140625" style="14" customWidth="1"/>
    <col min="16134" max="16134" width="12.28515625" style="14" customWidth="1"/>
    <col min="16135" max="16135" width="8.85546875" style="14" customWidth="1"/>
    <col min="16136" max="16136" width="10.85546875" style="14" customWidth="1"/>
    <col min="16137" max="16137" width="2.85546875" style="14" customWidth="1"/>
    <col min="16138" max="16138" width="12.140625" style="14" customWidth="1"/>
    <col min="16139" max="16139" width="10.140625" style="14" customWidth="1"/>
    <col min="16140" max="16140" width="11.7109375" style="14" customWidth="1"/>
    <col min="16141" max="16141" width="11.42578125" style="14" customWidth="1"/>
    <col min="16142" max="16142" width="12.7109375" style="14" customWidth="1"/>
    <col min="16143" max="16143" width="11.42578125" style="14" customWidth="1"/>
    <col min="16144" max="16144" width="10.7109375" style="14" customWidth="1"/>
    <col min="16145" max="16145" width="10.5703125" style="14" customWidth="1"/>
    <col min="16146" max="16146" width="11.28515625" style="14" customWidth="1"/>
    <col min="16147" max="16147" width="9.7109375" style="14" customWidth="1"/>
    <col min="16148" max="16148" width="12" style="14" customWidth="1"/>
    <col min="16149" max="16149" width="11.28515625" style="14" customWidth="1"/>
    <col min="16150" max="16384" width="9.140625" style="14"/>
  </cols>
  <sheetData>
    <row r="1" spans="4:19" ht="12.75" thickBot="1" x14ac:dyDescent="0.25"/>
    <row r="2" spans="4:19" ht="12" customHeight="1" thickBot="1" x14ac:dyDescent="0.25">
      <c r="Q2" s="633" t="s">
        <v>0</v>
      </c>
      <c r="R2" s="634"/>
      <c r="S2" s="635"/>
    </row>
    <row r="3" spans="4:19" ht="13.5" thickBot="1" x14ac:dyDescent="0.25">
      <c r="I3" s="636" t="s">
        <v>1</v>
      </c>
      <c r="J3" s="637"/>
      <c r="K3" s="637"/>
      <c r="L3" s="637"/>
      <c r="M3" s="637"/>
      <c r="N3" s="637"/>
      <c r="O3" s="638"/>
      <c r="Q3" s="611">
        <f>'REYES LARA DANTE'!Q3</f>
        <v>45</v>
      </c>
      <c r="R3" s="639"/>
      <c r="S3" s="612"/>
    </row>
    <row r="4" spans="4:19" ht="13.5" thickBot="1" x14ac:dyDescent="0.25">
      <c r="I4" s="640" t="s">
        <v>2</v>
      </c>
      <c r="J4" s="641"/>
      <c r="K4" s="641"/>
      <c r="L4" s="641"/>
      <c r="M4" s="641"/>
      <c r="N4" s="641"/>
      <c r="O4" s="642"/>
      <c r="Q4" s="18"/>
      <c r="R4" s="18"/>
      <c r="S4" s="18"/>
    </row>
    <row r="5" spans="4:19" ht="13.5" thickBot="1" x14ac:dyDescent="0.25">
      <c r="I5" s="643" t="s">
        <v>3</v>
      </c>
      <c r="J5" s="644"/>
      <c r="K5" s="644"/>
      <c r="L5" s="644"/>
      <c r="M5" s="644"/>
      <c r="N5" s="644"/>
      <c r="O5" s="645"/>
      <c r="Q5" s="611" t="s">
        <v>4</v>
      </c>
      <c r="R5" s="639"/>
      <c r="S5" s="612"/>
    </row>
    <row r="6" spans="4:19" ht="13.5" thickBot="1" x14ac:dyDescent="0.25">
      <c r="I6" s="650" t="s">
        <v>5</v>
      </c>
      <c r="J6" s="651"/>
      <c r="K6" s="651"/>
      <c r="L6" s="651"/>
      <c r="M6" s="651"/>
      <c r="N6" s="651"/>
      <c r="O6" s="652"/>
      <c r="Q6" s="653">
        <f>+'BALDERRAMA ROBLES JORGE'!Q6+1</f>
        <v>105</v>
      </c>
      <c r="R6" s="654"/>
      <c r="S6" s="655"/>
    </row>
    <row r="7" spans="4:19" ht="9" customHeight="1" x14ac:dyDescent="0.2"/>
    <row r="8" spans="4:19" ht="6.75" customHeight="1" thickBot="1" x14ac:dyDescent="0.25"/>
    <row r="9" spans="4:19" ht="13.5" thickBot="1" x14ac:dyDescent="0.25">
      <c r="I9" s="611" t="s">
        <v>6</v>
      </c>
      <c r="J9" s="639"/>
      <c r="K9" s="639"/>
      <c r="L9" s="639"/>
      <c r="M9" s="639"/>
      <c r="N9" s="639"/>
      <c r="O9" s="612"/>
    </row>
    <row r="10" spans="4:19" ht="11.25" customHeight="1" thickBot="1" x14ac:dyDescent="0.25"/>
    <row r="11" spans="4:19" ht="12.75" x14ac:dyDescent="0.2">
      <c r="D11" s="1" t="s">
        <v>7</v>
      </c>
      <c r="E11" s="2" t="s">
        <v>232</v>
      </c>
      <c r="F11" s="2"/>
      <c r="G11" s="2"/>
      <c r="H11" s="2"/>
      <c r="I11" s="2"/>
      <c r="J11" s="2"/>
      <c r="K11" s="3" t="s">
        <v>8</v>
      </c>
      <c r="L11" s="656" t="str">
        <f>'AGUILAR ESQUIVEL CARLOS'!L11</f>
        <v>SEMANA #45 PERIODO DEL 27 de oct AL 02 de nov DEL 2025</v>
      </c>
      <c r="M11" s="656"/>
      <c r="N11" s="656"/>
      <c r="O11" s="656"/>
      <c r="P11" s="656"/>
      <c r="Q11" s="656"/>
      <c r="R11" s="656"/>
      <c r="S11" s="659"/>
    </row>
    <row r="12" spans="4:19" ht="12.75" x14ac:dyDescent="0.2">
      <c r="D12" s="4" t="s">
        <v>9</v>
      </c>
      <c r="E12" s="130" t="s">
        <v>324</v>
      </c>
      <c r="F12" s="130"/>
      <c r="G12" s="5"/>
      <c r="H12" s="130"/>
      <c r="I12" s="130"/>
      <c r="J12" s="130"/>
      <c r="K12" s="130"/>
      <c r="L12" s="130"/>
      <c r="M12" s="130"/>
      <c r="N12" s="130"/>
      <c r="O12" s="130"/>
      <c r="P12" s="130"/>
      <c r="Q12" s="130"/>
      <c r="R12" s="130"/>
      <c r="S12" s="256"/>
    </row>
    <row r="13" spans="4:19" ht="9.75" customHeight="1" x14ac:dyDescent="0.2">
      <c r="D13" s="623"/>
      <c r="E13" s="624"/>
      <c r="F13" s="130"/>
      <c r="G13" s="130"/>
      <c r="H13" s="130"/>
      <c r="I13" s="130"/>
      <c r="J13" s="130"/>
      <c r="K13" s="130"/>
      <c r="L13" s="130"/>
      <c r="M13" s="130"/>
      <c r="N13" s="130"/>
      <c r="O13" s="130"/>
      <c r="P13" s="130"/>
      <c r="Q13" s="130"/>
      <c r="R13" s="130"/>
      <c r="S13" s="256"/>
    </row>
    <row r="14" spans="4:19" ht="12.75" x14ac:dyDescent="0.2">
      <c r="D14" s="625" t="s">
        <v>10</v>
      </c>
      <c r="E14" s="626"/>
      <c r="F14" s="130">
        <v>329130</v>
      </c>
      <c r="G14" s="130"/>
      <c r="H14" s="130"/>
      <c r="I14" s="6" t="s">
        <v>11</v>
      </c>
      <c r="J14" s="6"/>
      <c r="K14" s="130"/>
      <c r="L14" s="130"/>
      <c r="M14" s="130"/>
      <c r="N14" s="130"/>
      <c r="O14" s="6" t="s">
        <v>12</v>
      </c>
      <c r="P14" s="7"/>
      <c r="Q14" s="7"/>
      <c r="R14" s="7"/>
      <c r="S14" s="8"/>
    </row>
    <row r="15" spans="4:19" ht="12.75" x14ac:dyDescent="0.2">
      <c r="D15" s="625" t="s">
        <v>13</v>
      </c>
      <c r="E15" s="626"/>
      <c r="F15" s="130">
        <v>329904</v>
      </c>
      <c r="G15" s="130"/>
      <c r="H15" s="130"/>
      <c r="I15" s="6" t="s">
        <v>14</v>
      </c>
      <c r="J15" s="6"/>
      <c r="K15" s="130"/>
      <c r="L15" s="130"/>
      <c r="M15" s="130"/>
      <c r="N15" s="130"/>
      <c r="O15" s="6" t="s">
        <v>15</v>
      </c>
      <c r="P15" s="130"/>
      <c r="Q15" s="130"/>
      <c r="R15" s="130"/>
      <c r="S15" s="256"/>
    </row>
    <row r="16" spans="4:19" ht="13.5" thickBot="1" x14ac:dyDescent="0.25">
      <c r="D16" s="627" t="s">
        <v>16</v>
      </c>
      <c r="E16" s="628"/>
      <c r="F16" s="257">
        <f>SUM(J19:J32)</f>
        <v>3120</v>
      </c>
      <c r="G16" s="257"/>
      <c r="H16" s="257"/>
      <c r="I16" s="9" t="s">
        <v>17</v>
      </c>
      <c r="J16" s="257">
        <f>SUM(K19:K32)</f>
        <v>919.99</v>
      </c>
      <c r="K16" s="257"/>
      <c r="L16" s="257"/>
      <c r="M16" s="257"/>
      <c r="N16" s="257"/>
      <c r="O16" s="9" t="s">
        <v>18</v>
      </c>
      <c r="P16" s="10">
        <f>+F16/J16</f>
        <v>3.391341210230546</v>
      </c>
      <c r="Q16" s="257"/>
      <c r="R16" s="257"/>
      <c r="S16" s="258"/>
    </row>
    <row r="17" spans="2:26" ht="7.5" customHeight="1" thickBot="1" x14ac:dyDescent="0.25"/>
    <row r="18" spans="2:26" ht="36.75" customHeight="1" thickBot="1" x14ac:dyDescent="0.25">
      <c r="C18" s="243" t="s">
        <v>19</v>
      </c>
      <c r="D18" s="33" t="s">
        <v>20</v>
      </c>
      <c r="E18" s="34" t="s">
        <v>21</v>
      </c>
      <c r="F18" s="34" t="s">
        <v>22</v>
      </c>
      <c r="G18" s="34" t="s">
        <v>23</v>
      </c>
      <c r="H18" s="34" t="s">
        <v>24</v>
      </c>
      <c r="I18" s="34" t="s">
        <v>25</v>
      </c>
      <c r="J18" s="34" t="s">
        <v>26</v>
      </c>
      <c r="K18" s="34" t="s">
        <v>27</v>
      </c>
      <c r="L18" s="34" t="s">
        <v>28</v>
      </c>
      <c r="M18" s="34" t="s">
        <v>285</v>
      </c>
      <c r="N18" s="34" t="s">
        <v>29</v>
      </c>
      <c r="O18" s="34" t="s">
        <v>30</v>
      </c>
      <c r="P18" s="33" t="s">
        <v>31</v>
      </c>
      <c r="Q18" s="34" t="s">
        <v>219</v>
      </c>
      <c r="R18" s="34" t="s">
        <v>184</v>
      </c>
      <c r="S18" s="34" t="s">
        <v>33</v>
      </c>
      <c r="T18" s="35" t="s">
        <v>220</v>
      </c>
      <c r="U18" s="448" t="s">
        <v>351</v>
      </c>
      <c r="V18" s="305" t="s">
        <v>354</v>
      </c>
    </row>
    <row r="19" spans="2:26" x14ac:dyDescent="0.2">
      <c r="B19" s="14" t="s">
        <v>416</v>
      </c>
      <c r="C19" s="176">
        <v>46495</v>
      </c>
      <c r="D19" s="43" t="s">
        <v>480</v>
      </c>
      <c r="E19" s="42">
        <v>45958</v>
      </c>
      <c r="F19" s="42">
        <v>45959</v>
      </c>
      <c r="G19" s="43">
        <v>4</v>
      </c>
      <c r="H19" s="236" t="str">
        <f>IF(G19=1,KILOMETRAJE!C$4,IF(G19=2,KILOMETRAJE!C$5,IF(G19=3,KILOMETRAJE!C$6,IF(G19=4,KILOMETRAJE!C$7,IF(G19=5,KILOMETRAJE!C$8,IF(G19=6,KILOMETRAJE!C$9,IF(G19=7,KILOMETRAJE!C$10,IF(G19=8,KILOMETRAJE!C$11,IF(G19=9,KILOMETRAJE!C$12,IF(G19=10,KILOMETRAJE!C$13,IF(G19=11,KILOMETRAJE!C$14,IF(G19=12,KILOMETRAJE!C$15,IF(G19=13,KILOMETRAJE!C$16,IF(G19=14,KILOMETRAJE!C$17,IF(G19=15,KILOMETRAJE!C$18,IF(G19=16,KILOMETRAJE!C$19,IF(G19=17,KILOMETRAJE!C$20,IF(G19=18,KILOMETRAJE!C$21,IF(G19=19,KILOMETRAJE!C$22,IF(G19=20,KILOMETRAJE!C$23,IF(G19=21,KILOMETRAJE!C$24,IF(G19=22,KILOMETRAJE!C$25,IF(G19=23,KILOMETRAJE!C$26,IF(G19=24,KILOMETRAJE!C$27,IF(G19=25,KILOMETRAJE!C$28,IF(G19=26,KILOMETRAJE!C$29,IF(G19=27,KILOMETRAJE!C$30,IF(G19=28,KILOMETRAJE!C$31,IF(G19=29,KILOMETRAJE!C$32,IF(G19=30,KILOMETRAJE!C$33,IF(G19=31,KILOMETRAJE!C$34,IF(G19=32,KILOMETRAJE!C$35,IF(G19=33,KILOMETRAJE!C$36,IF(G19=34,KILOMETRAJE!C$37,IF(G19=35,KILOMETRAJE!C$38,IF(G19=36,KILOMETRAJE!C$39,IF(G19=37,KILOMETRAJE!C$40,IF(G19=38,KILOMETRAJE!C$41,IF(G19=39,KILOMETRAJE!C$42,IF(G19=40,KILOMETRAJE!C$43,IF(G19=41,KILOMETRAJE!C$44,IF(G19=42,KILOMETRAJE!C$45,IF(G19=43,KILOMETRAJE!C$46,IF(G19=44,KILOMETRAJE!C$47,IF(G19=45,KILOMETRAJE!C$48,IF(G19=46,KILOMETRAJE!C$49,IF(G19=47,KILOMETRAJE!C$50,IF(G19=48,KILOMETRAJE!C$51,IF(G19=49,KILOMETRAJE!C$52,IF(G19=50,KILOMETRAJE!C$53,IF(G19=51,KILOMETRAJE!C$54,IF(G19=52,KILOMETRAJE!C$55,IF(G19=53,KILOMETRAJE!C$56,IF(G19=54,KILOMETRAJE!C$57,IF(G19=55,KILOMETRAJE!C$58,IF(G19=56,KILOMETRAJE!C$59,IF(G19=57,KILOMETRAJE!C$60,IF(G19=58,KILOMETRAJE!C$61,IF(G19=59,KILOMETRAJE!C$62,IF(G19=60,KILOMETRAJE!C$63,IF(G19=61,KILOMETRAJE!C$64,IF(G19=62,KILOMETRAJE!C$65,IF(G19=63,KILOMETRAJE!C$66)))))))))))))))))))))))))))))))))))))))))))))))))))))))))))))))</f>
        <v xml:space="preserve">ELP. </v>
      </c>
      <c r="I19" s="236" t="str">
        <f>IF(G19=1,KILOMETRAJE!E$4,IF(G19=2,KILOMETRAJE!E$5,IF(G19=3,KILOMETRAJE!E$6,IF(G19=4,KILOMETRAJE!E$7,IF(G19=5,KILOMETRAJE!E$8,IF(G19=6,KILOMETRAJE!E$9,IF(G19=7,KILOMETRAJE!E$10,IF(G19=8,KILOMETRAJE!E$11,IF(G19=9,KILOMETRAJE!E$12,IF(G19=10,KILOMETRAJE!E$13,IF(G19=11,KILOMETRAJE!E$14,IF(G19=12,KILOMETRAJE!E$15,IF(G19=13,KILOMETRAJE!E$16,IF(G19=14,KILOMETRAJE!E$17,IF(G19=15,KILOMETRAJE!E$18,IF(G19=16,KILOMETRAJE!E$19,IF(G19=17,KILOMETRAJE!E$20,IF(G19=18,KILOMETRAJE!E$21,IF(G19=19,KILOMETRAJE!E$22,IF(G19=20,KILOMETRAJE!E$23,IF(G19=21,KILOMETRAJE!E$24,IF(G19=22,KILOMETRAJE!E$25,IF(G19=23,KILOMETRAJE!E$26,IF(G19=24,KILOMETRAJE!E$27,IF(G19=25,KILOMETRAJE!E$28,IF(G19=26,KILOMETRAJE!E$29,IF(G19=27,KILOMETRAJE!E$30,IF(G19=28,KILOMETRAJE!E$31,IF(G19=29,KILOMETRAJE!E$32,IF(G19=30,KILOMETRAJE!E$33,IF(G19=31,KILOMETRAJE!E$34,IF(G19=32,KILOMETRAJE!E$35,IF(G19=33,KILOMETRAJE!E$36,IF(G19=34,KILOMETRAJE!E$37,IF(G19=35,KILOMETRAJE!E$38,IF(G19=36,KILOMETRAJE!E$39,IF(G19=37,KILOMETRAJE!E$40,IF(G19=38,KILOMETRAJE!E$41,IF(G19=39,KILOMETRAJE!E$42,IF(G19=40,KILOMETRAJE!E$43,IF(G19=41,KILOMETRAJE!E$44,IF(G19=42,KILOMETRAJE!E$45,IF(G19=43,KILOMETRAJE!E$46,IF(G19=44,KILOMETRAJE!E$47,IF(G19=45,KILOMETRAJE!E$48,IF(G19=46,KILOMETRAJE!E$49,IF(G19=47,KILOMETRAJE!E$50,IF(G19=48,KILOMETRAJE!E$51,IF(G19=49,KILOMETRAJE!E$52,IF(G19=50,KILOMETRAJE!E$53,IF(G19=51,KILOMETRAJE!E$54,IF(G19=52,KILOMETRAJE!E$55,IF(G19=53,KILOMETRAJE!E$56,IF(G19=54,KILOMETRAJE!E$57,IF(G19=55,KILOMETRAJE!E$58,IF(G19=56,KILOMETRAJE!E$59,IF(G19=57,KILOMETRAJE!E$60,IF(G19=58,KILOMETRAJE!E$61,IF(G19=59,KILOMETRAJE!E$62,IF(G19=60,KILOMETRAJE!E$63,IF(G19=61,KILOMETRAJE!E$64,IF(G19=62,KILOMETRAJE!E$65,IF(G19=63,KILOMETRAJE!E$66)))))))))))))))))))))))))))))))))))))))))))))))))))))))))))))))</f>
        <v>CHIH.</v>
      </c>
      <c r="J19" s="237">
        <f>IF(G19=1,KILOMETRAJE!G$4,IF(G19=2,KILOMETRAJE!G$5,IF(G19=3,KILOMETRAJE!G$6,IF(G19=4,KILOMETRAJE!G$7,IF(G19=5,KILOMETRAJE!G$8,IF(G19=6,KILOMETRAJE!G$9,IF(G19=7,KILOMETRAJE!G$10,IF(G19=8,KILOMETRAJE!G$11,IF(G19=9,KILOMETRAJE!G$12,IF(G19=10,KILOMETRAJE!G$13,IF(G19=11,KILOMETRAJE!G$14,IF(G19=12,KILOMETRAJE!G$15,IF(G19=13,KILOMETRAJE!G$16,IF(G19=14,KILOMETRAJE!G$17,IF(G19=15,KILOMETRAJE!G$18,IF(G19=16,KILOMETRAJE!G$19,IF(G19=17,KILOMETRAJE!G$20,IF(G19=18,KILOMETRAJE!G$21,IF(G19=19,KILOMETRAJE!G$22,IF(G19=20,KILOMETRAJE!G$23,IF(G19=21,KILOMETRAJE!G$24,IF(G19=22,KILOMETRAJE!G$25,IF(G19=23,KILOMETRAJE!G$26,IF(G19=24,KILOMETRAJE!G$27,IF(G19=25,KILOMETRAJE!G$28,IF(G19=26,KILOMETRAJE!G$29,IF(G19=27,KILOMETRAJE!G$30,IF(G19=28,KILOMETRAJE!G$31,IF(G19=29,KILOMETRAJE!G$32,IF(G19=30,KILOMETRAJE!G$33,IF(G19=31,KILOMETRAJE!G$34,IF(G19=32,KILOMETRAJE!G$35,IF(G19=33,KILOMETRAJE!G$36,IF(G19=34,KILOMETRAJE!G$37,IF(G19=35,KILOMETRAJE!G$38,IF(G19=36,KILOMETRAJE!G$39,IF(G19=37,KILOMETRAJE!G$40,IF(G19=38,KILOMETRAJE!G$41,IF(G19=39,KILOMETRAJE!G$42,IF(G19=40,KILOMETRAJE!G$43,IF(G19=41,KILOMETRAJE!G$44,IF(G19=42,KILOMETRAJE!G$45,IF(G19=43,KILOMETRAJE!G$46,IF(G19=44,KILOMETRAJE!G$47,IF(G19=45,KILOMETRAJE!G$48,IF(G19=46,KILOMETRAJE!G$49,IF(G19=47,KILOMETRAJE!G$50,IF(G19=48,KILOMETRAJE!G$51,IF(G19=49,KILOMETRAJE!G$52,IF(G19=50,KILOMETRAJE!G$53,IF(G19=51,KILOMETRAJE!G$54,IF(G19=52,KILOMETRAJE!G$55,IF(G19=53,KILOMETRAJE!G$56,IF(G19=54,KILOMETRAJE!G$57,IF(G19=55,KILOMETRAJE!G$58,IF(G19=56,KILOMETRAJE!G$59,IF(G19=57,KILOMETRAJE!G$60,IF(G19=58,KILOMETRAJE!G$61,IF(G19=59,KILOMETRAJE!G$62,IF(G19=60,KILOMETRAJE!G$63,IF(G19=61,KILOMETRAJE!G$64,IF(G19=62,KILOMETRAJE!G$65,IF(G19=63,KILOMETRAJE!G$66)))))))))))))))))))))))))))))))))))))))))))))))))))))))))))))))</f>
        <v>415</v>
      </c>
      <c r="K19" s="24"/>
      <c r="L19" s="44"/>
      <c r="M19" s="348">
        <v>5649</v>
      </c>
      <c r="N19" s="24">
        <v>4</v>
      </c>
      <c r="O19" s="24" t="s">
        <v>482</v>
      </c>
      <c r="P19" s="24" t="s">
        <v>199</v>
      </c>
      <c r="Q19" s="45">
        <f t="shared" ref="Q19" si="0">((((IF(N19=1,((J19)*0.29333)))+(IF(N19=2,((J19)*0.146666)))+(IF(N19=3,((J19)*0.146666)))))+(IF(N19=4,((J19-40)*0.29333)))+(IF(N19=5,((J19-50)*0.29333)))+(IF(N19=6,((J19-90)*0.29333))))</f>
        <v>109.99874999999999</v>
      </c>
      <c r="R19" s="191"/>
      <c r="S19" s="52"/>
      <c r="T19" s="455"/>
      <c r="U19" s="24">
        <v>9</v>
      </c>
      <c r="V19" s="79">
        <v>9</v>
      </c>
    </row>
    <row r="20" spans="2:26" ht="12.75" thickBot="1" x14ac:dyDescent="0.25">
      <c r="B20" s="14" t="s">
        <v>416</v>
      </c>
      <c r="C20" s="101"/>
      <c r="D20" s="62" t="s">
        <v>481</v>
      </c>
      <c r="E20" s="25">
        <v>45959</v>
      </c>
      <c r="F20" s="25">
        <v>45959</v>
      </c>
      <c r="G20" s="62">
        <v>3</v>
      </c>
      <c r="H20" s="27" t="str">
        <f>IF(G20=1,KILOMETRAJE!C$4,IF(G20=2,KILOMETRAJE!C$5,IF(G20=3,KILOMETRAJE!C$6,IF(G20=4,KILOMETRAJE!C$7,IF(G20=5,KILOMETRAJE!C$8,IF(G20=6,KILOMETRAJE!C$9,IF(G20=7,KILOMETRAJE!C$10,IF(G20=8,KILOMETRAJE!C$11,IF(G20=9,KILOMETRAJE!C$12,IF(G20=10,KILOMETRAJE!C$13,IF(G20=11,KILOMETRAJE!C$14,IF(G20=12,KILOMETRAJE!C$15,IF(G20=13,KILOMETRAJE!C$16,IF(G20=14,KILOMETRAJE!C$17,IF(G20=15,KILOMETRAJE!C$18,IF(G20=16,KILOMETRAJE!C$19,IF(G20=17,KILOMETRAJE!C$20,IF(G20=18,KILOMETRAJE!C$21,IF(G20=19,KILOMETRAJE!C$22,IF(G20=20,KILOMETRAJE!C$23,IF(G20=21,KILOMETRAJE!C$24,IF(G20=22,KILOMETRAJE!C$25,IF(G20=23,KILOMETRAJE!C$26,IF(G20=24,KILOMETRAJE!C$27,IF(G20=25,KILOMETRAJE!C$28,IF(G20=26,KILOMETRAJE!C$29,IF(G20=27,KILOMETRAJE!C$30,IF(G20=28,KILOMETRAJE!C$31,IF(G20=29,KILOMETRAJE!C$32,IF(G20=30,KILOMETRAJE!C$33,IF(G20=31,KILOMETRAJE!C$34,IF(G20=32,KILOMETRAJE!C$35,IF(G20=33,KILOMETRAJE!C$36,IF(G20=34,KILOMETRAJE!C$37,IF(G20=35,KILOMETRAJE!C$38,IF(G20=36,KILOMETRAJE!C$39,IF(G20=37,KILOMETRAJE!C$40,IF(G20=38,KILOMETRAJE!C$41,IF(G20=39,KILOMETRAJE!C$42,IF(G20=40,KILOMETRAJE!C$43,IF(G20=41,KILOMETRAJE!C$44,IF(G20=42,KILOMETRAJE!C$45,IF(G20=43,KILOMETRAJE!C$46,IF(G20=44,KILOMETRAJE!C$47,IF(G20=45,KILOMETRAJE!C$48,IF(G20=46,KILOMETRAJE!C$49,IF(G20=47,KILOMETRAJE!C$50,IF(G20=48,KILOMETRAJE!C$51,IF(G20=49,KILOMETRAJE!C$52,IF(G20=50,KILOMETRAJE!C$53,IF(G20=51,KILOMETRAJE!C$54,IF(G20=52,KILOMETRAJE!C$55,IF(G20=53,KILOMETRAJE!C$56,IF(G20=54,KILOMETRAJE!C$57,IF(G20=55,KILOMETRAJE!C$58,IF(G20=56,KILOMETRAJE!C$59,IF(G20=57,KILOMETRAJE!C$60,IF(G20=58,KILOMETRAJE!C$61,IF(G20=59,KILOMETRAJE!C$62,IF(G20=60,KILOMETRAJE!C$63,IF(G20=61,KILOMETRAJE!C$64,IF(G20=62,KILOMETRAJE!C$65,IF(G20=63,KILOMETRAJE!C$66)))))))))))))))))))))))))))))))))))))))))))))))))))))))))))))))</f>
        <v xml:space="preserve">CHIH. </v>
      </c>
      <c r="I20" s="27" t="str">
        <f>IF(G20=1,KILOMETRAJE!E$4,IF(G20=2,KILOMETRAJE!E$5,IF(G20=3,KILOMETRAJE!E$6,IF(G20=4,KILOMETRAJE!E$7,IF(G20=5,KILOMETRAJE!E$8,IF(G20=6,KILOMETRAJE!E$9,IF(G20=7,KILOMETRAJE!E$10,IF(G20=8,KILOMETRAJE!E$11,IF(G20=9,KILOMETRAJE!E$12,IF(G20=10,KILOMETRAJE!E$13,IF(G20=11,KILOMETRAJE!E$14,IF(G20=12,KILOMETRAJE!E$15,IF(G20=13,KILOMETRAJE!E$16,IF(G20=14,KILOMETRAJE!E$17,IF(G20=15,KILOMETRAJE!E$18,IF(G20=16,KILOMETRAJE!E$19,IF(G20=17,KILOMETRAJE!E$20,IF(G20=18,KILOMETRAJE!E$21,IF(G20=19,KILOMETRAJE!E$22,IF(G20=20,KILOMETRAJE!E$23,IF(G20=21,KILOMETRAJE!E$24,IF(G20=22,KILOMETRAJE!E$25,IF(G20=23,KILOMETRAJE!E$26,IF(G20=24,KILOMETRAJE!E$27,IF(G20=25,KILOMETRAJE!E$28,IF(G20=26,KILOMETRAJE!E$29,IF(G20=27,KILOMETRAJE!E$30,IF(G20=28,KILOMETRAJE!E$31,IF(G20=29,KILOMETRAJE!E$32,IF(G20=30,KILOMETRAJE!E$33,IF(G20=31,KILOMETRAJE!E$34,IF(G20=32,KILOMETRAJE!E$35,IF(G20=33,KILOMETRAJE!E$36,IF(G20=34,KILOMETRAJE!E$37,IF(G20=35,KILOMETRAJE!E$38,IF(G20=36,KILOMETRAJE!E$39,IF(G20=37,KILOMETRAJE!E$40,IF(G20=38,KILOMETRAJE!E$41,IF(G20=39,KILOMETRAJE!E$42,IF(G20=40,KILOMETRAJE!E$43,IF(G20=41,KILOMETRAJE!E$44,IF(G20=42,KILOMETRAJE!E$45,IF(G20=43,KILOMETRAJE!E$46,IF(G20=44,KILOMETRAJE!E$47,IF(G20=45,KILOMETRAJE!E$48,IF(G20=46,KILOMETRAJE!E$49,IF(G20=47,KILOMETRAJE!E$50,IF(G20=48,KILOMETRAJE!E$51,IF(G20=49,KILOMETRAJE!E$52,IF(G20=50,KILOMETRAJE!E$53,IF(G20=51,KILOMETRAJE!E$54,IF(G20=52,KILOMETRAJE!E$55,IF(G20=53,KILOMETRAJE!E$56,IF(G20=54,KILOMETRAJE!E$57,IF(G20=55,KILOMETRAJE!E$58,IF(G20=56,KILOMETRAJE!E$59,IF(G20=57,KILOMETRAJE!E$60,IF(G20=58,KILOMETRAJE!E$61,IF(G20=59,KILOMETRAJE!E$62,IF(G20=60,KILOMETRAJE!E$63,IF(G20=61,KILOMETRAJE!E$64,IF(G20=62,KILOMETRAJE!E$65,IF(G20=63,KILOMETRAJE!E$66)))))))))))))))))))))))))))))))))))))))))))))))))))))))))))))))</f>
        <v>JRZ</v>
      </c>
      <c r="J20" s="31">
        <f>IF(G20=1,KILOMETRAJE!G$4,IF(G20=2,KILOMETRAJE!G$5,IF(G20=3,KILOMETRAJE!G$6,IF(G20=4,KILOMETRAJE!G$7,IF(G20=5,KILOMETRAJE!G$8,IF(G20=6,KILOMETRAJE!G$9,IF(G20=7,KILOMETRAJE!G$10,IF(G20=8,KILOMETRAJE!G$11,IF(G20=9,KILOMETRAJE!G$12,IF(G20=10,KILOMETRAJE!G$13,IF(G20=11,KILOMETRAJE!G$14,IF(G20=12,KILOMETRAJE!G$15,IF(G20=13,KILOMETRAJE!G$16,IF(G20=14,KILOMETRAJE!G$17,IF(G20=15,KILOMETRAJE!G$18,IF(G20=16,KILOMETRAJE!G$19,IF(G20=17,KILOMETRAJE!G$20,IF(G20=18,KILOMETRAJE!G$21,IF(G20=19,KILOMETRAJE!G$22,IF(G20=20,KILOMETRAJE!G$23,IF(G20=21,KILOMETRAJE!G$24,IF(G20=22,KILOMETRAJE!G$25,IF(G20=23,KILOMETRAJE!G$26,IF(G20=24,KILOMETRAJE!G$27,IF(G20=25,KILOMETRAJE!G$28,IF(G20=26,KILOMETRAJE!G$29,IF(G20=27,KILOMETRAJE!G$30,IF(G20=28,KILOMETRAJE!G$31,IF(G20=29,KILOMETRAJE!G$32,IF(G20=30,KILOMETRAJE!G$33,IF(G20=31,KILOMETRAJE!G$34,IF(G20=32,KILOMETRAJE!G$35,IF(G20=33,KILOMETRAJE!G$36,IF(G20=34,KILOMETRAJE!G$37,IF(G20=35,KILOMETRAJE!G$38,IF(G20=36,KILOMETRAJE!G$39,IF(G20=37,KILOMETRAJE!G$40,IF(G20=38,KILOMETRAJE!G$41,IF(G20=39,KILOMETRAJE!G$42,IF(G20=40,KILOMETRAJE!G$43,IF(G20=41,KILOMETRAJE!G$44,IF(G20=42,KILOMETRAJE!G$45,IF(G20=43,KILOMETRAJE!G$46,IF(G20=44,KILOMETRAJE!G$47,IF(G20=45,KILOMETRAJE!G$48,IF(G20=46,KILOMETRAJE!G$49,IF(G20=47,KILOMETRAJE!G$50,IF(G20=48,KILOMETRAJE!G$51,IF(G20=49,KILOMETRAJE!G$52,IF(G20=50,KILOMETRAJE!G$53,IF(G20=51,KILOMETRAJE!G$54,IF(G20=52,KILOMETRAJE!G$55,IF(G20=53,KILOMETRAJE!G$56,IF(G20=54,KILOMETRAJE!G$57,IF(G20=55,KILOMETRAJE!G$58,IF(G20=56,KILOMETRAJE!G$59,IF(G20=57,KILOMETRAJE!G$60,IF(G20=58,KILOMETRAJE!G$61,IF(G20=59,KILOMETRAJE!G$62,IF(G20=60,KILOMETRAJE!G$63,IF(G20=61,KILOMETRAJE!G$64,IF(G20=62,KILOMETRAJE!G$65,IF(G20=63,KILOMETRAJE!G$66)))))))))))))))))))))))))))))))))))))))))))))))))))))))))))))))</f>
        <v>375</v>
      </c>
      <c r="K20" s="27">
        <v>239.99</v>
      </c>
      <c r="L20" s="112">
        <f>SUM(J19:J20)/K20</f>
        <v>3.2918038251593815</v>
      </c>
      <c r="M20" s="349">
        <v>2914</v>
      </c>
      <c r="N20" s="27">
        <v>1</v>
      </c>
      <c r="O20" s="27" t="s">
        <v>427</v>
      </c>
      <c r="P20" s="27" t="s">
        <v>198</v>
      </c>
      <c r="Q20" s="29">
        <f>((((IF(N20=1,((J20)*0.29333)))+(IF(N20=2,((J20)*0.146666)))+(IF(N20=3,((J20)*0.146666)))))+(IF(N20=4,((J20-40)*0.29333)))+(IF(N20=5,((J20-50)*0.29333)))+(IF(N20=6,((J20-90)*0.29333))))</f>
        <v>109.99874999999999</v>
      </c>
      <c r="R20" s="190">
        <f>+LOOKUP(P40,UNIDADES!B$3:B$59,UNIDADES!C$3:C$59)</f>
        <v>2.4509799999999999</v>
      </c>
      <c r="S20" s="19">
        <f>+((SUM(J19:J20)-40)/R20)-K20</f>
        <v>66.01004896000785</v>
      </c>
      <c r="T20" s="456">
        <f>+S20*14.85</f>
        <v>980.24922705611652</v>
      </c>
      <c r="U20" s="27">
        <v>11</v>
      </c>
      <c r="V20" s="55">
        <v>11</v>
      </c>
    </row>
    <row r="21" spans="2:26" x14ac:dyDescent="0.2">
      <c r="B21" s="14" t="s">
        <v>416</v>
      </c>
      <c r="C21" s="176">
        <v>46116</v>
      </c>
      <c r="D21" s="43" t="s">
        <v>483</v>
      </c>
      <c r="E21" s="42">
        <v>45959</v>
      </c>
      <c r="F21" s="42">
        <v>45960</v>
      </c>
      <c r="G21" s="43">
        <v>4</v>
      </c>
      <c r="H21" s="236" t="str">
        <f>IF(G21=1,KILOMETRAJE!C$4,IF(G21=2,KILOMETRAJE!C$5,IF(G21=3,KILOMETRAJE!C$6,IF(G21=4,KILOMETRAJE!C$7,IF(G21=5,KILOMETRAJE!C$8,IF(G21=6,KILOMETRAJE!C$9,IF(G21=7,KILOMETRAJE!C$10,IF(G21=8,KILOMETRAJE!C$11,IF(G21=9,KILOMETRAJE!C$12,IF(G21=10,KILOMETRAJE!C$13,IF(G21=11,KILOMETRAJE!C$14,IF(G21=12,KILOMETRAJE!C$15,IF(G21=13,KILOMETRAJE!C$16,IF(G21=14,KILOMETRAJE!C$17,IF(G21=15,KILOMETRAJE!C$18,IF(G21=16,KILOMETRAJE!C$19,IF(G21=17,KILOMETRAJE!C$20,IF(G21=18,KILOMETRAJE!C$21,IF(G21=19,KILOMETRAJE!C$22,IF(G21=20,KILOMETRAJE!C$23,IF(G21=21,KILOMETRAJE!C$24,IF(G21=22,KILOMETRAJE!C$25,IF(G21=23,KILOMETRAJE!C$26,IF(G21=24,KILOMETRAJE!C$27,IF(G21=25,KILOMETRAJE!C$28,IF(G21=26,KILOMETRAJE!C$29,IF(G21=27,KILOMETRAJE!C$30,IF(G21=28,KILOMETRAJE!C$31,IF(G21=29,KILOMETRAJE!C$32,IF(G21=30,KILOMETRAJE!C$33,IF(G21=31,KILOMETRAJE!C$34,IF(G21=32,KILOMETRAJE!C$35,IF(G21=33,KILOMETRAJE!C$36,IF(G21=34,KILOMETRAJE!C$37,IF(G21=35,KILOMETRAJE!C$38,IF(G21=36,KILOMETRAJE!C$39,IF(G21=37,KILOMETRAJE!C$40,IF(G21=38,KILOMETRAJE!C$41,IF(G21=39,KILOMETRAJE!C$42,IF(G21=40,KILOMETRAJE!C$43,IF(G21=41,KILOMETRAJE!C$44,IF(G21=42,KILOMETRAJE!C$45,IF(G21=43,KILOMETRAJE!C$46,IF(G21=44,KILOMETRAJE!C$47,IF(G21=45,KILOMETRAJE!C$48,IF(G21=46,KILOMETRAJE!C$49,IF(G21=47,KILOMETRAJE!C$50,IF(G21=48,KILOMETRAJE!C$51,IF(G21=49,KILOMETRAJE!C$52,IF(G21=50,KILOMETRAJE!C$53,IF(G21=51,KILOMETRAJE!C$54,IF(G21=52,KILOMETRAJE!C$55,IF(G21=53,KILOMETRAJE!C$56,IF(G21=54,KILOMETRAJE!C$57,IF(G21=55,KILOMETRAJE!C$58,IF(G21=56,KILOMETRAJE!C$59,IF(G21=57,KILOMETRAJE!C$60,IF(G21=58,KILOMETRAJE!C$61,IF(G21=59,KILOMETRAJE!C$62,IF(G21=60,KILOMETRAJE!C$63,IF(G21=61,KILOMETRAJE!C$64,IF(G21=62,KILOMETRAJE!C$65,IF(G21=63,KILOMETRAJE!C$66)))))))))))))))))))))))))))))))))))))))))))))))))))))))))))))))</f>
        <v xml:space="preserve">ELP. </v>
      </c>
      <c r="I21" s="236" t="str">
        <f>IF(G21=1,KILOMETRAJE!E$4,IF(G21=2,KILOMETRAJE!E$5,IF(G21=3,KILOMETRAJE!E$6,IF(G21=4,KILOMETRAJE!E$7,IF(G21=5,KILOMETRAJE!E$8,IF(G21=6,KILOMETRAJE!E$9,IF(G21=7,KILOMETRAJE!E$10,IF(G21=8,KILOMETRAJE!E$11,IF(G21=9,KILOMETRAJE!E$12,IF(G21=10,KILOMETRAJE!E$13,IF(G21=11,KILOMETRAJE!E$14,IF(G21=12,KILOMETRAJE!E$15,IF(G21=13,KILOMETRAJE!E$16,IF(G21=14,KILOMETRAJE!E$17,IF(G21=15,KILOMETRAJE!E$18,IF(G21=16,KILOMETRAJE!E$19,IF(G21=17,KILOMETRAJE!E$20,IF(G21=18,KILOMETRAJE!E$21,IF(G21=19,KILOMETRAJE!E$22,IF(G21=20,KILOMETRAJE!E$23,IF(G21=21,KILOMETRAJE!E$24,IF(G21=22,KILOMETRAJE!E$25,IF(G21=23,KILOMETRAJE!E$26,IF(G21=24,KILOMETRAJE!E$27,IF(G21=25,KILOMETRAJE!E$28,IF(G21=26,KILOMETRAJE!E$29,IF(G21=27,KILOMETRAJE!E$30,IF(G21=28,KILOMETRAJE!E$31,IF(G21=29,KILOMETRAJE!E$32,IF(G21=30,KILOMETRAJE!E$33,IF(G21=31,KILOMETRAJE!E$34,IF(G21=32,KILOMETRAJE!E$35,IF(G21=33,KILOMETRAJE!E$36,IF(G21=34,KILOMETRAJE!E$37,IF(G21=35,KILOMETRAJE!E$38,IF(G21=36,KILOMETRAJE!E$39,IF(G21=37,KILOMETRAJE!E$40,IF(G21=38,KILOMETRAJE!E$41,IF(G21=39,KILOMETRAJE!E$42,IF(G21=40,KILOMETRAJE!E$43,IF(G21=41,KILOMETRAJE!E$44,IF(G21=42,KILOMETRAJE!E$45,IF(G21=43,KILOMETRAJE!E$46,IF(G21=44,KILOMETRAJE!E$47,IF(G21=45,KILOMETRAJE!E$48,IF(G21=46,KILOMETRAJE!E$49,IF(G21=47,KILOMETRAJE!E$50,IF(G21=48,KILOMETRAJE!E$51,IF(G21=49,KILOMETRAJE!E$52,IF(G21=50,KILOMETRAJE!E$53,IF(G21=51,KILOMETRAJE!E$54,IF(G21=52,KILOMETRAJE!E$55,IF(G21=53,KILOMETRAJE!E$56,IF(G21=54,KILOMETRAJE!E$57,IF(G21=55,KILOMETRAJE!E$58,IF(G21=56,KILOMETRAJE!E$59,IF(G21=57,KILOMETRAJE!E$60,IF(G21=58,KILOMETRAJE!E$61,IF(G21=59,KILOMETRAJE!E$62,IF(G21=60,KILOMETRAJE!E$63,IF(G21=61,KILOMETRAJE!E$64,IF(G21=62,KILOMETRAJE!E$65,IF(G21=63,KILOMETRAJE!E$66)))))))))))))))))))))))))))))))))))))))))))))))))))))))))))))))</f>
        <v>CHIH.</v>
      </c>
      <c r="J21" s="237">
        <f>IF(G21=1,KILOMETRAJE!G$4,IF(G21=2,KILOMETRAJE!G$5,IF(G21=3,KILOMETRAJE!G$6,IF(G21=4,KILOMETRAJE!G$7,IF(G21=5,KILOMETRAJE!G$8,IF(G21=6,KILOMETRAJE!G$9,IF(G21=7,KILOMETRAJE!G$10,IF(G21=8,KILOMETRAJE!G$11,IF(G21=9,KILOMETRAJE!G$12,IF(G21=10,KILOMETRAJE!G$13,IF(G21=11,KILOMETRAJE!G$14,IF(G21=12,KILOMETRAJE!G$15,IF(G21=13,KILOMETRAJE!G$16,IF(G21=14,KILOMETRAJE!G$17,IF(G21=15,KILOMETRAJE!G$18,IF(G21=16,KILOMETRAJE!G$19,IF(G21=17,KILOMETRAJE!G$20,IF(G21=18,KILOMETRAJE!G$21,IF(G21=19,KILOMETRAJE!G$22,IF(G21=20,KILOMETRAJE!G$23,IF(G21=21,KILOMETRAJE!G$24,IF(G21=22,KILOMETRAJE!G$25,IF(G21=23,KILOMETRAJE!G$26,IF(G21=24,KILOMETRAJE!G$27,IF(G21=25,KILOMETRAJE!G$28,IF(G21=26,KILOMETRAJE!G$29,IF(G21=27,KILOMETRAJE!G$30,IF(G21=28,KILOMETRAJE!G$31,IF(G21=29,KILOMETRAJE!G$32,IF(G21=30,KILOMETRAJE!G$33,IF(G21=31,KILOMETRAJE!G$34,IF(G21=32,KILOMETRAJE!G$35,IF(G21=33,KILOMETRAJE!G$36,IF(G21=34,KILOMETRAJE!G$37,IF(G21=35,KILOMETRAJE!G$38,IF(G21=36,KILOMETRAJE!G$39,IF(G21=37,KILOMETRAJE!G$40,IF(G21=38,KILOMETRAJE!G$41,IF(G21=39,KILOMETRAJE!G$42,IF(G21=40,KILOMETRAJE!G$43,IF(G21=41,KILOMETRAJE!G$44,IF(G21=42,KILOMETRAJE!G$45,IF(G21=43,KILOMETRAJE!G$46,IF(G21=44,KILOMETRAJE!G$47,IF(G21=45,KILOMETRAJE!G$48,IF(G21=46,KILOMETRAJE!G$49,IF(G21=47,KILOMETRAJE!G$50,IF(G21=48,KILOMETRAJE!G$51,IF(G21=49,KILOMETRAJE!G$52,IF(G21=50,KILOMETRAJE!G$53,IF(G21=51,KILOMETRAJE!G$54,IF(G21=52,KILOMETRAJE!G$55,IF(G21=53,KILOMETRAJE!G$56,IF(G21=54,KILOMETRAJE!G$57,IF(G21=55,KILOMETRAJE!G$58,IF(G21=56,KILOMETRAJE!G$59,IF(G21=57,KILOMETRAJE!G$60,IF(G21=58,KILOMETRAJE!G$61,IF(G21=59,KILOMETRAJE!G$62,IF(G21=60,KILOMETRAJE!G$63,IF(G21=61,KILOMETRAJE!G$64,IF(G21=62,KILOMETRAJE!G$65,IF(G21=63,KILOMETRAJE!G$66)))))))))))))))))))))))))))))))))))))))))))))))))))))))))))))))</f>
        <v>415</v>
      </c>
      <c r="K21" s="24"/>
      <c r="L21" s="44"/>
      <c r="M21" s="348">
        <v>2416</v>
      </c>
      <c r="N21" s="24">
        <v>4</v>
      </c>
      <c r="O21" s="24">
        <v>1056</v>
      </c>
      <c r="P21" s="24" t="s">
        <v>203</v>
      </c>
      <c r="Q21" s="45">
        <f t="shared" ref="Q21" si="1">((((IF(N21=1,((J21)*0.29333)))+(IF(N21=2,((J21)*0.146666)))+(IF(N21=3,((J21)*0.146666)))))+(IF(N21=4,((J21-40)*0.29333)))+(IF(N21=5,((J21-50)*0.29333)))+(IF(N21=6,((J21-90)*0.29333))))</f>
        <v>109.99874999999999</v>
      </c>
      <c r="R21" s="191"/>
      <c r="S21" s="52"/>
      <c r="T21" s="455"/>
      <c r="U21" s="24">
        <v>9</v>
      </c>
      <c r="V21" s="79">
        <v>9</v>
      </c>
      <c r="Z21" s="278"/>
    </row>
    <row r="22" spans="2:26" ht="12.75" thickBot="1" x14ac:dyDescent="0.25">
      <c r="B22" s="14" t="s">
        <v>416</v>
      </c>
      <c r="C22" s="101"/>
      <c r="D22" s="62" t="s">
        <v>484</v>
      </c>
      <c r="E22" s="25">
        <v>45960</v>
      </c>
      <c r="F22" s="25">
        <v>45960</v>
      </c>
      <c r="G22" s="62">
        <v>3</v>
      </c>
      <c r="H22" s="27" t="str">
        <f>IF(G22=1,KILOMETRAJE!C$4,IF(G22=2,KILOMETRAJE!C$5,IF(G22=3,KILOMETRAJE!C$6,IF(G22=4,KILOMETRAJE!C$7,IF(G22=5,KILOMETRAJE!C$8,IF(G22=6,KILOMETRAJE!C$9,IF(G22=7,KILOMETRAJE!C$10,IF(G22=8,KILOMETRAJE!C$11,IF(G22=9,KILOMETRAJE!C$12,IF(G22=10,KILOMETRAJE!C$13,IF(G22=11,KILOMETRAJE!C$14,IF(G22=12,KILOMETRAJE!C$15,IF(G22=13,KILOMETRAJE!C$16,IF(G22=14,KILOMETRAJE!C$17,IF(G22=15,KILOMETRAJE!C$18,IF(G22=16,KILOMETRAJE!C$19,IF(G22=17,KILOMETRAJE!C$20,IF(G22=18,KILOMETRAJE!C$21,IF(G22=19,KILOMETRAJE!C$22,IF(G22=20,KILOMETRAJE!C$23,IF(G22=21,KILOMETRAJE!C$24,IF(G22=22,KILOMETRAJE!C$25,IF(G22=23,KILOMETRAJE!C$26,IF(G22=24,KILOMETRAJE!C$27,IF(G22=25,KILOMETRAJE!C$28,IF(G22=26,KILOMETRAJE!C$29,IF(G22=27,KILOMETRAJE!C$30,IF(G22=28,KILOMETRAJE!C$31,IF(G22=29,KILOMETRAJE!C$32,IF(G22=30,KILOMETRAJE!C$33,IF(G22=31,KILOMETRAJE!C$34,IF(G22=32,KILOMETRAJE!C$35,IF(G22=33,KILOMETRAJE!C$36,IF(G22=34,KILOMETRAJE!C$37,IF(G22=35,KILOMETRAJE!C$38,IF(G22=36,KILOMETRAJE!C$39,IF(G22=37,KILOMETRAJE!C$40,IF(G22=38,KILOMETRAJE!C$41,IF(G22=39,KILOMETRAJE!C$42,IF(G22=40,KILOMETRAJE!C$43,IF(G22=41,KILOMETRAJE!C$44,IF(G22=42,KILOMETRAJE!C$45,IF(G22=43,KILOMETRAJE!C$46,IF(G22=44,KILOMETRAJE!C$47,IF(G22=45,KILOMETRAJE!C$48,IF(G22=46,KILOMETRAJE!C$49,IF(G22=47,KILOMETRAJE!C$50,IF(G22=48,KILOMETRAJE!C$51,IF(G22=49,KILOMETRAJE!C$52,IF(G22=50,KILOMETRAJE!C$53,IF(G22=51,KILOMETRAJE!C$54,IF(G22=52,KILOMETRAJE!C$55,IF(G22=53,KILOMETRAJE!C$56,IF(G22=54,KILOMETRAJE!C$57,IF(G22=55,KILOMETRAJE!C$58,IF(G22=56,KILOMETRAJE!C$59,IF(G22=57,KILOMETRAJE!C$60,IF(G22=58,KILOMETRAJE!C$61,IF(G22=59,KILOMETRAJE!C$62,IF(G22=60,KILOMETRAJE!C$63,IF(G22=61,KILOMETRAJE!C$64,IF(G22=62,KILOMETRAJE!C$65,IF(G22=63,KILOMETRAJE!C$66)))))))))))))))))))))))))))))))))))))))))))))))))))))))))))))))</f>
        <v xml:space="preserve">CHIH. </v>
      </c>
      <c r="I22" s="27" t="str">
        <f>IF(G22=1,KILOMETRAJE!E$4,IF(G22=2,KILOMETRAJE!E$5,IF(G22=3,KILOMETRAJE!E$6,IF(G22=4,KILOMETRAJE!E$7,IF(G22=5,KILOMETRAJE!E$8,IF(G22=6,KILOMETRAJE!E$9,IF(G22=7,KILOMETRAJE!E$10,IF(G22=8,KILOMETRAJE!E$11,IF(G22=9,KILOMETRAJE!E$12,IF(G22=10,KILOMETRAJE!E$13,IF(G22=11,KILOMETRAJE!E$14,IF(G22=12,KILOMETRAJE!E$15,IF(G22=13,KILOMETRAJE!E$16,IF(G22=14,KILOMETRAJE!E$17,IF(G22=15,KILOMETRAJE!E$18,IF(G22=16,KILOMETRAJE!E$19,IF(G22=17,KILOMETRAJE!E$20,IF(G22=18,KILOMETRAJE!E$21,IF(G22=19,KILOMETRAJE!E$22,IF(G22=20,KILOMETRAJE!E$23,IF(G22=21,KILOMETRAJE!E$24,IF(G22=22,KILOMETRAJE!E$25,IF(G22=23,KILOMETRAJE!E$26,IF(G22=24,KILOMETRAJE!E$27,IF(G22=25,KILOMETRAJE!E$28,IF(G22=26,KILOMETRAJE!E$29,IF(G22=27,KILOMETRAJE!E$30,IF(G22=28,KILOMETRAJE!E$31,IF(G22=29,KILOMETRAJE!E$32,IF(G22=30,KILOMETRAJE!E$33,IF(G22=31,KILOMETRAJE!E$34,IF(G22=32,KILOMETRAJE!E$35,IF(G22=33,KILOMETRAJE!E$36,IF(G22=34,KILOMETRAJE!E$37,IF(G22=35,KILOMETRAJE!E$38,IF(G22=36,KILOMETRAJE!E$39,IF(G22=37,KILOMETRAJE!E$40,IF(G22=38,KILOMETRAJE!E$41,IF(G22=39,KILOMETRAJE!E$42,IF(G22=40,KILOMETRAJE!E$43,IF(G22=41,KILOMETRAJE!E$44,IF(G22=42,KILOMETRAJE!E$45,IF(G22=43,KILOMETRAJE!E$46,IF(G22=44,KILOMETRAJE!E$47,IF(G22=45,KILOMETRAJE!E$48,IF(G22=46,KILOMETRAJE!E$49,IF(G22=47,KILOMETRAJE!E$50,IF(G22=48,KILOMETRAJE!E$51,IF(G22=49,KILOMETRAJE!E$52,IF(G22=50,KILOMETRAJE!E$53,IF(G22=51,KILOMETRAJE!E$54,IF(G22=52,KILOMETRAJE!E$55,IF(G22=53,KILOMETRAJE!E$56,IF(G22=54,KILOMETRAJE!E$57,IF(G22=55,KILOMETRAJE!E$58,IF(G22=56,KILOMETRAJE!E$59,IF(G22=57,KILOMETRAJE!E$60,IF(G22=58,KILOMETRAJE!E$61,IF(G22=59,KILOMETRAJE!E$62,IF(G22=60,KILOMETRAJE!E$63,IF(G22=61,KILOMETRAJE!E$64,IF(G22=62,KILOMETRAJE!E$65,IF(G22=63,KILOMETRAJE!E$66)))))))))))))))))))))))))))))))))))))))))))))))))))))))))))))))</f>
        <v>JRZ</v>
      </c>
      <c r="J22" s="31">
        <f>IF(G22=1,KILOMETRAJE!G$4,IF(G22=2,KILOMETRAJE!G$5,IF(G22=3,KILOMETRAJE!G$6,IF(G22=4,KILOMETRAJE!G$7,IF(G22=5,KILOMETRAJE!G$8,IF(G22=6,KILOMETRAJE!G$9,IF(G22=7,KILOMETRAJE!G$10,IF(G22=8,KILOMETRAJE!G$11,IF(G22=9,KILOMETRAJE!G$12,IF(G22=10,KILOMETRAJE!G$13,IF(G22=11,KILOMETRAJE!G$14,IF(G22=12,KILOMETRAJE!G$15,IF(G22=13,KILOMETRAJE!G$16,IF(G22=14,KILOMETRAJE!G$17,IF(G22=15,KILOMETRAJE!G$18,IF(G22=16,KILOMETRAJE!G$19,IF(G22=17,KILOMETRAJE!G$20,IF(G22=18,KILOMETRAJE!G$21,IF(G22=19,KILOMETRAJE!G$22,IF(G22=20,KILOMETRAJE!G$23,IF(G22=21,KILOMETRAJE!G$24,IF(G22=22,KILOMETRAJE!G$25,IF(G22=23,KILOMETRAJE!G$26,IF(G22=24,KILOMETRAJE!G$27,IF(G22=25,KILOMETRAJE!G$28,IF(G22=26,KILOMETRAJE!G$29,IF(G22=27,KILOMETRAJE!G$30,IF(G22=28,KILOMETRAJE!G$31,IF(G22=29,KILOMETRAJE!G$32,IF(G22=30,KILOMETRAJE!G$33,IF(G22=31,KILOMETRAJE!G$34,IF(G22=32,KILOMETRAJE!G$35,IF(G22=33,KILOMETRAJE!G$36,IF(G22=34,KILOMETRAJE!G$37,IF(G22=35,KILOMETRAJE!G$38,IF(G22=36,KILOMETRAJE!G$39,IF(G22=37,KILOMETRAJE!G$40,IF(G22=38,KILOMETRAJE!G$41,IF(G22=39,KILOMETRAJE!G$42,IF(G22=40,KILOMETRAJE!G$43,IF(G22=41,KILOMETRAJE!G$44,IF(G22=42,KILOMETRAJE!G$45,IF(G22=43,KILOMETRAJE!G$46,IF(G22=44,KILOMETRAJE!G$47,IF(G22=45,KILOMETRAJE!G$48,IF(G22=46,KILOMETRAJE!G$49,IF(G22=47,KILOMETRAJE!G$50,IF(G22=48,KILOMETRAJE!G$51,IF(G22=49,KILOMETRAJE!G$52,IF(G22=50,KILOMETRAJE!G$53,IF(G22=51,KILOMETRAJE!G$54,IF(G22=52,KILOMETRAJE!G$55,IF(G22=53,KILOMETRAJE!G$56,IF(G22=54,KILOMETRAJE!G$57,IF(G22=55,KILOMETRAJE!G$58,IF(G22=56,KILOMETRAJE!G$59,IF(G22=57,KILOMETRAJE!G$60,IF(G22=58,KILOMETRAJE!G$61,IF(G22=59,KILOMETRAJE!G$62,IF(G22=60,KILOMETRAJE!G$63,IF(G22=61,KILOMETRAJE!G$64,IF(G22=62,KILOMETRAJE!G$65,IF(G22=63,KILOMETRAJE!G$66)))))))))))))))))))))))))))))))))))))))))))))))))))))))))))))))</f>
        <v>375</v>
      </c>
      <c r="K22" s="27">
        <v>206.01</v>
      </c>
      <c r="L22" s="112">
        <f>SUM(J21:J22)/K22</f>
        <v>3.8347653026552111</v>
      </c>
      <c r="M22" s="349">
        <v>1638</v>
      </c>
      <c r="N22" s="27">
        <v>1</v>
      </c>
      <c r="O22" s="27" t="s">
        <v>374</v>
      </c>
      <c r="P22" s="27" t="s">
        <v>198</v>
      </c>
      <c r="Q22" s="29">
        <f>((((IF(N22=1,((J22)*0.29333)))+(IF(N22=2,((J22)*0.146666)))+(IF(N22=3,((J22)*0.146666)))))+(IF(N22=4,((J22-40)*0.29333)))+(IF(N22=5,((J22-50)*0.29333)))+(IF(N22=6,((J22-90)*0.29333))))</f>
        <v>109.99874999999999</v>
      </c>
      <c r="R22" s="190">
        <f>+LOOKUP(P41,UNIDADES!B$3:B$59,UNIDADES!C$3:C$59)</f>
        <v>2.4509799999999999</v>
      </c>
      <c r="S22" s="19">
        <f>+((SUM(J21:J22)-40)/R22)-K22</f>
        <v>99.990048960007869</v>
      </c>
      <c r="T22" s="456">
        <f>+S22*14.85</f>
        <v>1484.8522270561168</v>
      </c>
      <c r="U22" s="27">
        <v>11</v>
      </c>
      <c r="V22" s="55">
        <v>11</v>
      </c>
    </row>
    <row r="23" spans="2:26" x14ac:dyDescent="0.2">
      <c r="B23" s="14" t="s">
        <v>416</v>
      </c>
      <c r="C23" s="238">
        <v>46139</v>
      </c>
      <c r="D23" s="38" t="s">
        <v>485</v>
      </c>
      <c r="E23" s="37">
        <v>45960</v>
      </c>
      <c r="F23" s="37">
        <v>45961</v>
      </c>
      <c r="G23" s="36">
        <v>4</v>
      </c>
      <c r="H23" s="259" t="str">
        <f>IF(G23=1,KILOMETRAJE!C$4,IF(G23=2,KILOMETRAJE!C$5,IF(G23=3,KILOMETRAJE!C$6,IF(G23=4,KILOMETRAJE!C$7,IF(G23=5,KILOMETRAJE!C$8,IF(G23=6,KILOMETRAJE!C$9,IF(G23=7,KILOMETRAJE!C$10,IF(G23=8,KILOMETRAJE!C$11,IF(G23=9,KILOMETRAJE!C$12,IF(G23=10,KILOMETRAJE!C$13,IF(G23=11,KILOMETRAJE!C$14,IF(G23=12,KILOMETRAJE!C$15,IF(G23=13,KILOMETRAJE!C$16,IF(G23=14,KILOMETRAJE!C$17,IF(G23=15,KILOMETRAJE!C$18,IF(G23=16,KILOMETRAJE!C$19,IF(G23=17,KILOMETRAJE!C$20,IF(G23=18,KILOMETRAJE!C$21,IF(G23=19,KILOMETRAJE!C$22,IF(G23=20,KILOMETRAJE!C$23,IF(G23=21,KILOMETRAJE!C$24,IF(G23=22,KILOMETRAJE!C$25,IF(G23=23,KILOMETRAJE!C$26,IF(G23=24,KILOMETRAJE!C$27,IF(G23=25,KILOMETRAJE!C$28,IF(G23=26,KILOMETRAJE!C$29,IF(G23=27,KILOMETRAJE!C$30,IF(G23=28,KILOMETRAJE!C$31,IF(G23=29,KILOMETRAJE!C$32,IF(G23=30,KILOMETRAJE!C$33,IF(G23=31,KILOMETRAJE!C$34,IF(G23=32,KILOMETRAJE!C$35,IF(G23=33,KILOMETRAJE!C$36,IF(G23=34,KILOMETRAJE!C$37,IF(G23=35,KILOMETRAJE!C$38,IF(G23=36,KILOMETRAJE!C$39,IF(G23=37,KILOMETRAJE!C$40,IF(G23=38,KILOMETRAJE!C$41,IF(G23=39,KILOMETRAJE!C$42,IF(G23=40,KILOMETRAJE!C$43,IF(G23=41,KILOMETRAJE!C$44,IF(G23=42,KILOMETRAJE!C$45,IF(G23=43,KILOMETRAJE!C$46,IF(G23=44,KILOMETRAJE!C$47,IF(G23=45,KILOMETRAJE!C$48,IF(G23=46,KILOMETRAJE!C$49,IF(G23=47,KILOMETRAJE!C$50,IF(G23=48,KILOMETRAJE!C$51,IF(G23=49,KILOMETRAJE!C$52,IF(G23=50,KILOMETRAJE!C$53,IF(G23=51,KILOMETRAJE!C$54,IF(G23=52,KILOMETRAJE!C$55,IF(G23=53,KILOMETRAJE!C$56,IF(G23=54,KILOMETRAJE!C$57,IF(G23=55,KILOMETRAJE!C$58,IF(G23=56,KILOMETRAJE!C$59,IF(G23=57,KILOMETRAJE!C$60,IF(G23=58,KILOMETRAJE!C$61,IF(G23=59,KILOMETRAJE!C$62,IF(G23=60,KILOMETRAJE!C$63,IF(G23=61,KILOMETRAJE!C$64,IF(G23=62,KILOMETRAJE!C$65,IF(G23=63,KILOMETRAJE!C$66)))))))))))))))))))))))))))))))))))))))))))))))))))))))))))))))</f>
        <v xml:space="preserve">ELP. </v>
      </c>
      <c r="I23" s="259" t="str">
        <f>IF(G23=1,KILOMETRAJE!E$4,IF(G23=2,KILOMETRAJE!E$5,IF(G23=3,KILOMETRAJE!E$6,IF(G23=4,KILOMETRAJE!E$7,IF(G23=5,KILOMETRAJE!E$8,IF(G23=6,KILOMETRAJE!E$9,IF(G23=7,KILOMETRAJE!E$10,IF(G23=8,KILOMETRAJE!E$11,IF(G23=9,KILOMETRAJE!E$12,IF(G23=10,KILOMETRAJE!E$13,IF(G23=11,KILOMETRAJE!E$14,IF(G23=12,KILOMETRAJE!E$15,IF(G23=13,KILOMETRAJE!E$16,IF(G23=14,KILOMETRAJE!E$17,IF(G23=15,KILOMETRAJE!E$18,IF(G23=16,KILOMETRAJE!E$19,IF(G23=17,KILOMETRAJE!E$20,IF(G23=18,KILOMETRAJE!E$21,IF(G23=19,KILOMETRAJE!E$22,IF(G23=20,KILOMETRAJE!E$23,IF(G23=21,KILOMETRAJE!E$24,IF(G23=22,KILOMETRAJE!E$25,IF(G23=23,KILOMETRAJE!E$26,IF(G23=24,KILOMETRAJE!E$27,IF(G23=25,KILOMETRAJE!E$28,IF(G23=26,KILOMETRAJE!E$29,IF(G23=27,KILOMETRAJE!E$30,IF(G23=28,KILOMETRAJE!E$31,IF(G23=29,KILOMETRAJE!E$32,IF(G23=30,KILOMETRAJE!E$33,IF(G23=31,KILOMETRAJE!E$34,IF(G23=32,KILOMETRAJE!E$35,IF(G23=33,KILOMETRAJE!E$36,IF(G23=34,KILOMETRAJE!E$37,IF(G23=35,KILOMETRAJE!E$38,IF(G23=36,KILOMETRAJE!E$39,IF(G23=37,KILOMETRAJE!E$40,IF(G23=38,KILOMETRAJE!E$41,IF(G23=39,KILOMETRAJE!E$42,IF(G23=40,KILOMETRAJE!E$43,IF(G23=41,KILOMETRAJE!E$44,IF(G23=42,KILOMETRAJE!E$45,IF(G23=43,KILOMETRAJE!E$46,IF(G23=44,KILOMETRAJE!E$47,IF(G23=45,KILOMETRAJE!E$48,IF(G23=46,KILOMETRAJE!E$49,IF(G23=47,KILOMETRAJE!E$50,IF(G23=48,KILOMETRAJE!E$51,IF(G23=49,KILOMETRAJE!E$52,IF(G23=50,KILOMETRAJE!E$53,IF(G23=51,KILOMETRAJE!E$54,IF(G23=52,KILOMETRAJE!E$55,IF(G23=53,KILOMETRAJE!E$56,IF(G23=54,KILOMETRAJE!E$57,IF(G23=55,KILOMETRAJE!E$58,IF(G23=56,KILOMETRAJE!E$59,IF(G23=57,KILOMETRAJE!E$60,IF(G23=58,KILOMETRAJE!E$61,IF(G23=59,KILOMETRAJE!E$62,IF(G23=60,KILOMETRAJE!E$63,IF(G23=61,KILOMETRAJE!E$64,IF(G23=62,KILOMETRAJE!E$65,IF(G23=63,KILOMETRAJE!E$66)))))))))))))))))))))))))))))))))))))))))))))))))))))))))))))))</f>
        <v>CHIH.</v>
      </c>
      <c r="J23" s="260">
        <f>IF(G23=1,KILOMETRAJE!G$4,IF(G23=2,KILOMETRAJE!G$5,IF(G23=3,KILOMETRAJE!G$6,IF(G23=4,KILOMETRAJE!G$7,IF(G23=5,KILOMETRAJE!G$8,IF(G23=6,KILOMETRAJE!G$9,IF(G23=7,KILOMETRAJE!G$10,IF(G23=8,KILOMETRAJE!G$11,IF(G23=9,KILOMETRAJE!G$12,IF(G23=10,KILOMETRAJE!G$13,IF(G23=11,KILOMETRAJE!G$14,IF(G23=12,KILOMETRAJE!G$15,IF(G23=13,KILOMETRAJE!G$16,IF(G23=14,KILOMETRAJE!G$17,IF(G23=15,KILOMETRAJE!G$18,IF(G23=16,KILOMETRAJE!G$19,IF(G23=17,KILOMETRAJE!G$20,IF(G23=18,KILOMETRAJE!G$21,IF(G23=19,KILOMETRAJE!G$22,IF(G23=20,KILOMETRAJE!G$23,IF(G23=21,KILOMETRAJE!G$24,IF(G23=22,KILOMETRAJE!G$25,IF(G23=23,KILOMETRAJE!G$26,IF(G23=24,KILOMETRAJE!G$27,IF(G23=25,KILOMETRAJE!G$28,IF(G23=26,KILOMETRAJE!G$29,IF(G23=27,KILOMETRAJE!G$30,IF(G23=28,KILOMETRAJE!G$31,IF(G23=29,KILOMETRAJE!G$32,IF(G23=30,KILOMETRAJE!G$33,IF(G23=31,KILOMETRAJE!G$34,IF(G23=32,KILOMETRAJE!G$35,IF(G23=33,KILOMETRAJE!G$36,IF(G23=34,KILOMETRAJE!G$37,IF(G23=35,KILOMETRAJE!G$38,IF(G23=36,KILOMETRAJE!G$39,IF(G23=37,KILOMETRAJE!G$40,IF(G23=38,KILOMETRAJE!G$41,IF(G23=39,KILOMETRAJE!G$42,IF(G23=40,KILOMETRAJE!G$43,IF(G23=41,KILOMETRAJE!G$44,IF(G23=42,KILOMETRAJE!G$45,IF(G23=43,KILOMETRAJE!G$46,IF(G23=44,KILOMETRAJE!G$47,IF(G23=45,KILOMETRAJE!G$48,IF(G23=46,KILOMETRAJE!G$49,IF(G23=47,KILOMETRAJE!G$50,IF(G23=48,KILOMETRAJE!G$51,IF(G23=49,KILOMETRAJE!G$52,IF(G23=50,KILOMETRAJE!G$53,IF(G23=51,KILOMETRAJE!G$54,IF(G23=52,KILOMETRAJE!G$55,IF(G23=53,KILOMETRAJE!G$56,IF(G23=54,KILOMETRAJE!G$57,IF(G23=55,KILOMETRAJE!G$58,IF(G23=56,KILOMETRAJE!G$59,IF(G23=57,KILOMETRAJE!G$60,IF(G23=58,KILOMETRAJE!G$61,IF(G23=59,KILOMETRAJE!G$62,IF(G23=60,KILOMETRAJE!G$63,IF(G23=61,KILOMETRAJE!G$64,IF(G23=62,KILOMETRAJE!G$65,IF(G23=63,KILOMETRAJE!G$66)))))))))))))))))))))))))))))))))))))))))))))))))))))))))))))))</f>
        <v>415</v>
      </c>
      <c r="K23" s="38"/>
      <c r="L23" s="48"/>
      <c r="M23" s="350">
        <v>967</v>
      </c>
      <c r="N23" s="38">
        <v>4</v>
      </c>
      <c r="O23" s="38" t="s">
        <v>487</v>
      </c>
      <c r="P23" s="38" t="s">
        <v>198</v>
      </c>
      <c r="Q23" s="40">
        <f t="shared" ref="Q23" si="2">((((IF(N23=1,((J23)*0.29333)))+(IF(N23=2,((J23)*0.146666)))+(IF(N23=3,((J23)*0.146666)))))+(IF(N23=4,((J23-40)*0.29333)))+(IF(N23=5,((J23-50)*0.29333)))+(IF(N23=6,((J23-90)*0.29333))))</f>
        <v>109.99874999999999</v>
      </c>
      <c r="R23" s="192"/>
      <c r="S23" s="186"/>
      <c r="T23" s="458"/>
      <c r="U23" s="38">
        <v>9</v>
      </c>
      <c r="V23" s="311">
        <v>10</v>
      </c>
    </row>
    <row r="24" spans="2:26" ht="12.75" thickBot="1" x14ac:dyDescent="0.25">
      <c r="B24" s="14" t="s">
        <v>416</v>
      </c>
      <c r="C24" s="101"/>
      <c r="D24" s="27" t="s">
        <v>486</v>
      </c>
      <c r="E24" s="25">
        <v>45961</v>
      </c>
      <c r="F24" s="25">
        <v>45961</v>
      </c>
      <c r="G24" s="62">
        <v>3</v>
      </c>
      <c r="H24" s="27" t="str">
        <f>IF(G24=1,KILOMETRAJE!C$4,IF(G24=2,KILOMETRAJE!C$5,IF(G24=3,KILOMETRAJE!C$6,IF(G24=4,KILOMETRAJE!C$7,IF(G24=5,KILOMETRAJE!C$8,IF(G24=6,KILOMETRAJE!C$9,IF(G24=7,KILOMETRAJE!C$10,IF(G24=8,KILOMETRAJE!C$11,IF(G24=9,KILOMETRAJE!C$12,IF(G24=10,KILOMETRAJE!C$13,IF(G24=11,KILOMETRAJE!C$14,IF(G24=12,KILOMETRAJE!C$15,IF(G24=13,KILOMETRAJE!C$16,IF(G24=14,KILOMETRAJE!C$17,IF(G24=15,KILOMETRAJE!C$18,IF(G24=16,KILOMETRAJE!C$19,IF(G24=17,KILOMETRAJE!C$20,IF(G24=18,KILOMETRAJE!C$21,IF(G24=19,KILOMETRAJE!C$22,IF(G24=20,KILOMETRAJE!C$23,IF(G24=21,KILOMETRAJE!C$24,IF(G24=22,KILOMETRAJE!C$25,IF(G24=23,KILOMETRAJE!C$26,IF(G24=24,KILOMETRAJE!C$27,IF(G24=25,KILOMETRAJE!C$28,IF(G24=26,KILOMETRAJE!C$29,IF(G24=27,KILOMETRAJE!C$30,IF(G24=28,KILOMETRAJE!C$31,IF(G24=29,KILOMETRAJE!C$32,IF(G24=30,KILOMETRAJE!C$33,IF(G24=31,KILOMETRAJE!C$34,IF(G24=32,KILOMETRAJE!C$35,IF(G24=33,KILOMETRAJE!C$36,IF(G24=34,KILOMETRAJE!C$37,IF(G24=35,KILOMETRAJE!C$38,IF(G24=36,KILOMETRAJE!C$39,IF(G24=37,KILOMETRAJE!C$40,IF(G24=38,KILOMETRAJE!C$41,IF(G24=39,KILOMETRAJE!C$42,IF(G24=40,KILOMETRAJE!C$43,IF(G24=41,KILOMETRAJE!C$44,IF(G24=42,KILOMETRAJE!C$45,IF(G24=43,KILOMETRAJE!C$46,IF(G24=44,KILOMETRAJE!C$47,IF(G24=45,KILOMETRAJE!C$48,IF(G24=46,KILOMETRAJE!C$49,IF(G24=47,KILOMETRAJE!C$50,IF(G24=48,KILOMETRAJE!C$51,IF(G24=49,KILOMETRAJE!C$52,IF(G24=50,KILOMETRAJE!C$53,IF(G24=51,KILOMETRAJE!C$54,IF(G24=52,KILOMETRAJE!C$55,IF(G24=53,KILOMETRAJE!C$56,IF(G24=54,KILOMETRAJE!C$57,IF(G24=55,KILOMETRAJE!C$58,IF(G24=56,KILOMETRAJE!C$59,IF(G24=57,KILOMETRAJE!C$60,IF(G24=58,KILOMETRAJE!C$61,IF(G24=59,KILOMETRAJE!C$62,IF(G24=60,KILOMETRAJE!C$63,IF(G24=61,KILOMETRAJE!C$64,IF(G24=62,KILOMETRAJE!C$65,IF(G24=63,KILOMETRAJE!C$66)))))))))))))))))))))))))))))))))))))))))))))))))))))))))))))))</f>
        <v xml:space="preserve">CHIH. </v>
      </c>
      <c r="I24" s="27" t="str">
        <f>IF(G24=1,KILOMETRAJE!E$4,IF(G24=2,KILOMETRAJE!E$5,IF(G24=3,KILOMETRAJE!E$6,IF(G24=4,KILOMETRAJE!E$7,IF(G24=5,KILOMETRAJE!E$8,IF(G24=6,KILOMETRAJE!E$9,IF(G24=7,KILOMETRAJE!E$10,IF(G24=8,KILOMETRAJE!E$11,IF(G24=9,KILOMETRAJE!E$12,IF(G24=10,KILOMETRAJE!E$13,IF(G24=11,KILOMETRAJE!E$14,IF(G24=12,KILOMETRAJE!E$15,IF(G24=13,KILOMETRAJE!E$16,IF(G24=14,KILOMETRAJE!E$17,IF(G24=15,KILOMETRAJE!E$18,IF(G24=16,KILOMETRAJE!E$19,IF(G24=17,KILOMETRAJE!E$20,IF(G24=18,KILOMETRAJE!E$21,IF(G24=19,KILOMETRAJE!E$22,IF(G24=20,KILOMETRAJE!E$23,IF(G24=21,KILOMETRAJE!E$24,IF(G24=22,KILOMETRAJE!E$25,IF(G24=23,KILOMETRAJE!E$26,IF(G24=24,KILOMETRAJE!E$27,IF(G24=25,KILOMETRAJE!E$28,IF(G24=26,KILOMETRAJE!E$29,IF(G24=27,KILOMETRAJE!E$30,IF(G24=28,KILOMETRAJE!E$31,IF(G24=29,KILOMETRAJE!E$32,IF(G24=30,KILOMETRAJE!E$33,IF(G24=31,KILOMETRAJE!E$34,IF(G24=32,KILOMETRAJE!E$35,IF(G24=33,KILOMETRAJE!E$36,IF(G24=34,KILOMETRAJE!E$37,IF(G24=35,KILOMETRAJE!E$38,IF(G24=36,KILOMETRAJE!E$39,IF(G24=37,KILOMETRAJE!E$40,IF(G24=38,KILOMETRAJE!E$41,IF(G24=39,KILOMETRAJE!E$42,IF(G24=40,KILOMETRAJE!E$43,IF(G24=41,KILOMETRAJE!E$44,IF(G24=42,KILOMETRAJE!E$45,IF(G24=43,KILOMETRAJE!E$46,IF(G24=44,KILOMETRAJE!E$47,IF(G24=45,KILOMETRAJE!E$48,IF(G24=46,KILOMETRAJE!E$49,IF(G24=47,KILOMETRAJE!E$50,IF(G24=48,KILOMETRAJE!E$51,IF(G24=49,KILOMETRAJE!E$52,IF(G24=50,KILOMETRAJE!E$53,IF(G24=51,KILOMETRAJE!E$54,IF(G24=52,KILOMETRAJE!E$55,IF(G24=53,KILOMETRAJE!E$56,IF(G24=54,KILOMETRAJE!E$57,IF(G24=55,KILOMETRAJE!E$58,IF(G24=56,KILOMETRAJE!E$59,IF(G24=57,KILOMETRAJE!E$60,IF(G24=58,KILOMETRAJE!E$61,IF(G24=59,KILOMETRAJE!E$62,IF(G24=60,KILOMETRAJE!E$63,IF(G24=61,KILOMETRAJE!E$64,IF(G24=62,KILOMETRAJE!E$65,IF(G24=63,KILOMETRAJE!E$66)))))))))))))))))))))))))))))))))))))))))))))))))))))))))))))))</f>
        <v>JRZ</v>
      </c>
      <c r="J24" s="31">
        <f>IF(G24=1,KILOMETRAJE!G$4,IF(G24=2,KILOMETRAJE!G$5,IF(G24=3,KILOMETRAJE!G$6,IF(G24=4,KILOMETRAJE!G$7,IF(G24=5,KILOMETRAJE!G$8,IF(G24=6,KILOMETRAJE!G$9,IF(G24=7,KILOMETRAJE!G$10,IF(G24=8,KILOMETRAJE!G$11,IF(G24=9,KILOMETRAJE!G$12,IF(G24=10,KILOMETRAJE!G$13,IF(G24=11,KILOMETRAJE!G$14,IF(G24=12,KILOMETRAJE!G$15,IF(G24=13,KILOMETRAJE!G$16,IF(G24=14,KILOMETRAJE!G$17,IF(G24=15,KILOMETRAJE!G$18,IF(G24=16,KILOMETRAJE!G$19,IF(G24=17,KILOMETRAJE!G$20,IF(G24=18,KILOMETRAJE!G$21,IF(G24=19,KILOMETRAJE!G$22,IF(G24=20,KILOMETRAJE!G$23,IF(G24=21,KILOMETRAJE!G$24,IF(G24=22,KILOMETRAJE!G$25,IF(G24=23,KILOMETRAJE!G$26,IF(G24=24,KILOMETRAJE!G$27,IF(G24=25,KILOMETRAJE!G$28,IF(G24=26,KILOMETRAJE!G$29,IF(G24=27,KILOMETRAJE!G$30,IF(G24=28,KILOMETRAJE!G$31,IF(G24=29,KILOMETRAJE!G$32,IF(G24=30,KILOMETRAJE!G$33,IF(G24=31,KILOMETRAJE!G$34,IF(G24=32,KILOMETRAJE!G$35,IF(G24=33,KILOMETRAJE!G$36,IF(G24=34,KILOMETRAJE!G$37,IF(G24=35,KILOMETRAJE!G$38,IF(G24=36,KILOMETRAJE!G$39,IF(G24=37,KILOMETRAJE!G$40,IF(G24=38,KILOMETRAJE!G$41,IF(G24=39,KILOMETRAJE!G$42,IF(G24=40,KILOMETRAJE!G$43,IF(G24=41,KILOMETRAJE!G$44,IF(G24=42,KILOMETRAJE!G$45,IF(G24=43,KILOMETRAJE!G$46,IF(G24=44,KILOMETRAJE!G$47,IF(G24=45,KILOMETRAJE!G$48,IF(G24=46,KILOMETRAJE!G$49,IF(G24=47,KILOMETRAJE!G$50,IF(G24=48,KILOMETRAJE!G$51,IF(G24=49,KILOMETRAJE!G$52,IF(G24=50,KILOMETRAJE!G$53,IF(G24=51,KILOMETRAJE!G$54,IF(G24=52,KILOMETRAJE!G$55,IF(G24=53,KILOMETRAJE!G$56,IF(G24=54,KILOMETRAJE!G$57,IF(G24=55,KILOMETRAJE!G$58,IF(G24=56,KILOMETRAJE!G$59,IF(G24=57,KILOMETRAJE!G$60,IF(G24=58,KILOMETRAJE!G$61,IF(G24=59,KILOMETRAJE!G$62,IF(G24=60,KILOMETRAJE!G$63,IF(G24=61,KILOMETRAJE!G$64,IF(G24=62,KILOMETRAJE!G$65,IF(G24=63,KILOMETRAJE!G$66)))))))))))))))))))))))))))))))))))))))))))))))))))))))))))))))</f>
        <v>375</v>
      </c>
      <c r="K24" s="27">
        <v>234</v>
      </c>
      <c r="L24" s="28">
        <f>SUM(J23:J24)/K24</f>
        <v>3.3760683760683761</v>
      </c>
      <c r="M24" s="349">
        <v>1005</v>
      </c>
      <c r="N24" s="27">
        <v>1</v>
      </c>
      <c r="O24" s="27">
        <v>1056</v>
      </c>
      <c r="P24" s="27" t="s">
        <v>203</v>
      </c>
      <c r="Q24" s="29">
        <f>((((IF(N24=1,((J24)*0.29333)))+(IF(N24=2,((J24)*0.146666)))+(IF(N24=3,((J24)*0.146666)))))+(IF(N24=4,((J24-40)*0.29333)))+(IF(N24=5,((J24-50)*0.29333)))+(IF(N24=6,((J24-90)*0.29333))))</f>
        <v>109.99874999999999</v>
      </c>
      <c r="R24" s="190">
        <f>+LOOKUP(P42,UNIDADES!B$3:B$59,UNIDADES!C$3:C$59)</f>
        <v>2.4509799999999999</v>
      </c>
      <c r="S24" s="19">
        <f>+((SUM(J23:J24)-40)/R24)-K24</f>
        <v>72.000048960007859</v>
      </c>
      <c r="T24" s="456">
        <f>+S24*14.85</f>
        <v>1069.2007270561166</v>
      </c>
      <c r="U24" s="27">
        <v>11</v>
      </c>
      <c r="V24" s="55">
        <v>12</v>
      </c>
    </row>
    <row r="25" spans="2:26" x14ac:dyDescent="0.2">
      <c r="C25" s="176">
        <v>46200</v>
      </c>
      <c r="D25" s="43" t="s">
        <v>488</v>
      </c>
      <c r="E25" s="42">
        <v>45964</v>
      </c>
      <c r="F25" s="42">
        <v>45965</v>
      </c>
      <c r="G25" s="43">
        <v>2</v>
      </c>
      <c r="H25" s="259" t="str">
        <f>IF(G25=1,KILOMETRAJE!C$4,IF(G25=2,KILOMETRAJE!C$5,IF(G25=3,KILOMETRAJE!C$6,IF(G25=4,KILOMETRAJE!C$7,IF(G25=5,KILOMETRAJE!C$8,IF(G25=6,KILOMETRAJE!C$9,IF(G25=7,KILOMETRAJE!C$10,IF(G25=8,KILOMETRAJE!C$11,IF(G25=9,KILOMETRAJE!C$12,IF(G25=10,KILOMETRAJE!C$13,IF(G25=11,KILOMETRAJE!C$14,IF(G25=12,KILOMETRAJE!C$15,IF(G25=13,KILOMETRAJE!C$16,IF(G25=14,KILOMETRAJE!C$17,IF(G25=15,KILOMETRAJE!C$18,IF(G25=16,KILOMETRAJE!C$19,IF(G25=17,KILOMETRAJE!C$20,IF(G25=18,KILOMETRAJE!C$21,IF(G25=19,KILOMETRAJE!C$22,IF(G25=20,KILOMETRAJE!C$23,IF(G25=21,KILOMETRAJE!C$24,IF(G25=22,KILOMETRAJE!C$25,IF(G25=23,KILOMETRAJE!C$26,IF(G25=24,KILOMETRAJE!C$27,IF(G25=25,KILOMETRAJE!C$28,IF(G25=26,KILOMETRAJE!C$29,IF(G25=27,KILOMETRAJE!C$30,IF(G25=28,KILOMETRAJE!C$31,IF(G25=29,KILOMETRAJE!C$32,IF(G25=30,KILOMETRAJE!C$33,IF(G25=31,KILOMETRAJE!C$34,IF(G25=32,KILOMETRAJE!C$35,IF(G25=33,KILOMETRAJE!C$36,IF(G25=34,KILOMETRAJE!C$37,IF(G25=35,KILOMETRAJE!C$38,IF(G25=36,KILOMETRAJE!C$39,IF(G25=37,KILOMETRAJE!C$40,IF(G25=38,KILOMETRAJE!C$41,IF(G25=39,KILOMETRAJE!C$42,IF(G25=40,KILOMETRAJE!C$43,IF(G25=41,KILOMETRAJE!C$44,IF(G25=42,KILOMETRAJE!C$45,IF(G25=43,KILOMETRAJE!C$46,IF(G25=44,KILOMETRAJE!C$47,IF(G25=45,KILOMETRAJE!C$48,IF(G25=46,KILOMETRAJE!C$49,IF(G25=47,KILOMETRAJE!C$50,IF(G25=48,KILOMETRAJE!C$51,IF(G25=49,KILOMETRAJE!C$52,IF(G25=50,KILOMETRAJE!C$53,IF(G25=51,KILOMETRAJE!C$54,IF(G25=52,KILOMETRAJE!C$55,IF(G25=53,KILOMETRAJE!C$56,IF(G25=54,KILOMETRAJE!C$57,IF(G25=55,KILOMETRAJE!C$58,IF(G25=56,KILOMETRAJE!C$59,IF(G25=57,KILOMETRAJE!C$60,IF(G25=58,KILOMETRAJE!C$61,IF(G25=59,KILOMETRAJE!C$62,IF(G25=60,KILOMETRAJE!C$63,IF(G25=61,KILOMETRAJE!C$64,IF(G25=62,KILOMETRAJE!C$65,IF(G25=63,KILOMETRAJE!C$66)))))))))))))))))))))))))))))))))))))))))))))))))))))))))))))))</f>
        <v>JRZ</v>
      </c>
      <c r="I25" s="259" t="str">
        <f>IF(G25=1,KILOMETRAJE!E$4,IF(G25=2,KILOMETRAJE!E$5,IF(G25=3,KILOMETRAJE!E$6,IF(G25=4,KILOMETRAJE!E$7,IF(G25=5,KILOMETRAJE!E$8,IF(G25=6,KILOMETRAJE!E$9,IF(G25=7,KILOMETRAJE!E$10,IF(G25=8,KILOMETRAJE!E$11,IF(G25=9,KILOMETRAJE!E$12,IF(G25=10,KILOMETRAJE!E$13,IF(G25=11,KILOMETRAJE!E$14,IF(G25=12,KILOMETRAJE!E$15,IF(G25=13,KILOMETRAJE!E$16,IF(G25=14,KILOMETRAJE!E$17,IF(G25=15,KILOMETRAJE!E$18,IF(G25=16,KILOMETRAJE!E$19,IF(G25=17,KILOMETRAJE!E$20,IF(G25=18,KILOMETRAJE!E$21,IF(G25=19,KILOMETRAJE!E$22,IF(G25=20,KILOMETRAJE!E$23,IF(G25=21,KILOMETRAJE!E$24,IF(G25=22,KILOMETRAJE!E$25,IF(G25=23,KILOMETRAJE!E$26,IF(G25=24,KILOMETRAJE!E$27,IF(G25=25,KILOMETRAJE!E$28,IF(G25=26,KILOMETRAJE!E$29,IF(G25=27,KILOMETRAJE!E$30,IF(G25=28,KILOMETRAJE!E$31,IF(G25=29,KILOMETRAJE!E$32,IF(G25=30,KILOMETRAJE!E$33,IF(G25=31,KILOMETRAJE!E$34,IF(G25=32,KILOMETRAJE!E$35,IF(G25=33,KILOMETRAJE!E$36,IF(G25=34,KILOMETRAJE!E$37,IF(G25=35,KILOMETRAJE!E$38,IF(G25=36,KILOMETRAJE!E$39,IF(G25=37,KILOMETRAJE!E$40,IF(G25=38,KILOMETRAJE!E$41,IF(G25=39,KILOMETRAJE!E$42,IF(G25=40,KILOMETRAJE!E$43,IF(G25=41,KILOMETRAJE!E$44,IF(G25=42,KILOMETRAJE!E$45,IF(G25=43,KILOMETRAJE!E$46,IF(G25=44,KILOMETRAJE!E$47,IF(G25=45,KILOMETRAJE!E$48,IF(G25=46,KILOMETRAJE!E$49,IF(G25=47,KILOMETRAJE!E$50,IF(G25=48,KILOMETRAJE!E$51,IF(G25=49,KILOMETRAJE!E$52,IF(G25=50,KILOMETRAJE!E$53,IF(G25=51,KILOMETRAJE!E$54,IF(G25=52,KILOMETRAJE!E$55,IF(G25=53,KILOMETRAJE!E$56,IF(G25=54,KILOMETRAJE!E$57,IF(G25=55,KILOMETRAJE!E$58,IF(G25=56,KILOMETRAJE!E$59,IF(G25=57,KILOMETRAJE!E$60,IF(G25=58,KILOMETRAJE!E$61,IF(G25=59,KILOMETRAJE!E$62,IF(G25=60,KILOMETRAJE!E$63,IF(G25=61,KILOMETRAJE!E$64,IF(G25=62,KILOMETRAJE!E$65,IF(G25=63,KILOMETRAJE!E$66)))))))))))))))))))))))))))))))))))))))))))))))))))))))))))))))</f>
        <v>CHIH.</v>
      </c>
      <c r="J25" s="260">
        <f>IF(G25=1,KILOMETRAJE!G$4,IF(G25=2,KILOMETRAJE!G$5,IF(G25=3,KILOMETRAJE!G$6,IF(G25=4,KILOMETRAJE!G$7,IF(G25=5,KILOMETRAJE!G$8,IF(G25=6,KILOMETRAJE!G$9,IF(G25=7,KILOMETRAJE!G$10,IF(G25=8,KILOMETRAJE!G$11,IF(G25=9,KILOMETRAJE!G$12,IF(G25=10,KILOMETRAJE!G$13,IF(G25=11,KILOMETRAJE!G$14,IF(G25=12,KILOMETRAJE!G$15,IF(G25=13,KILOMETRAJE!G$16,IF(G25=14,KILOMETRAJE!G$17,IF(G25=15,KILOMETRAJE!G$18,IF(G25=16,KILOMETRAJE!G$19,IF(G25=17,KILOMETRAJE!G$20,IF(G25=18,KILOMETRAJE!G$21,IF(G25=19,KILOMETRAJE!G$22,IF(G25=20,KILOMETRAJE!G$23,IF(G25=21,KILOMETRAJE!G$24,IF(G25=22,KILOMETRAJE!G$25,IF(G25=23,KILOMETRAJE!G$26,IF(G25=24,KILOMETRAJE!G$27,IF(G25=25,KILOMETRAJE!G$28,IF(G25=26,KILOMETRAJE!G$29,IF(G25=27,KILOMETRAJE!G$30,IF(G25=28,KILOMETRAJE!G$31,IF(G25=29,KILOMETRAJE!G$32,IF(G25=30,KILOMETRAJE!G$33,IF(G25=31,KILOMETRAJE!G$34,IF(G25=32,KILOMETRAJE!G$35,IF(G25=33,KILOMETRAJE!G$36,IF(G25=34,KILOMETRAJE!G$37,IF(G25=35,KILOMETRAJE!G$38,IF(G25=36,KILOMETRAJE!G$39,IF(G25=37,KILOMETRAJE!G$40,IF(G25=38,KILOMETRAJE!G$41,IF(G25=39,KILOMETRAJE!G$42,IF(G25=40,KILOMETRAJE!G$43,IF(G25=41,KILOMETRAJE!G$44,IF(G25=42,KILOMETRAJE!G$45,IF(G25=43,KILOMETRAJE!G$46,IF(G25=44,KILOMETRAJE!G$47,IF(G25=45,KILOMETRAJE!G$48,IF(G25=46,KILOMETRAJE!G$49,IF(G25=47,KILOMETRAJE!G$50,IF(G25=48,KILOMETRAJE!G$51,IF(G25=49,KILOMETRAJE!G$52,IF(G25=50,KILOMETRAJE!G$53,IF(G25=51,KILOMETRAJE!G$54,IF(G25=52,KILOMETRAJE!G$55,IF(G25=53,KILOMETRAJE!G$56,IF(G25=54,KILOMETRAJE!G$57,IF(G25=55,KILOMETRAJE!G$58,IF(G25=56,KILOMETRAJE!G$59,IF(G25=57,KILOMETRAJE!G$60,IF(G25=58,KILOMETRAJE!G$61,IF(G25=59,KILOMETRAJE!G$62,IF(G25=60,KILOMETRAJE!G$63,IF(G25=61,KILOMETRAJE!G$64,IF(G25=62,KILOMETRAJE!G$65,IF(G25=63,KILOMETRAJE!G$66)))))))))))))))))))))))))))))))))))))))))))))))))))))))))))))))</f>
        <v>375</v>
      </c>
      <c r="K25" s="38"/>
      <c r="L25" s="48"/>
      <c r="M25" s="350">
        <v>15599</v>
      </c>
      <c r="N25" s="38">
        <v>1</v>
      </c>
      <c r="O25" s="38" t="s">
        <v>490</v>
      </c>
      <c r="P25" s="38" t="s">
        <v>191</v>
      </c>
      <c r="Q25" s="40">
        <f t="shared" ref="Q25" si="3">((((IF(N25=1,((J25)*0.29333)))+(IF(N25=2,((J25)*0.146666)))+(IF(N25=3,((J25)*0.146666)))))+(IF(N25=4,((J25-40)*0.29333)))+(IF(N25=5,((J25-50)*0.29333)))+(IF(N25=6,((J25-90)*0.29333))))</f>
        <v>109.99874999999999</v>
      </c>
      <c r="R25" s="192"/>
      <c r="S25" s="186"/>
      <c r="T25" s="458"/>
      <c r="U25" s="38">
        <v>54</v>
      </c>
      <c r="V25" s="311">
        <v>54</v>
      </c>
    </row>
    <row r="26" spans="2:26" ht="12.75" thickBot="1" x14ac:dyDescent="0.25">
      <c r="C26" s="101"/>
      <c r="D26" s="62" t="s">
        <v>489</v>
      </c>
      <c r="E26" s="25">
        <v>45965</v>
      </c>
      <c r="F26" s="25">
        <v>45965</v>
      </c>
      <c r="G26" s="62">
        <v>3</v>
      </c>
      <c r="H26" s="27" t="str">
        <f>IF(G26=1,KILOMETRAJE!C$4,IF(G26=2,KILOMETRAJE!C$5,IF(G26=3,KILOMETRAJE!C$6,IF(G26=4,KILOMETRAJE!C$7,IF(G26=5,KILOMETRAJE!C$8,IF(G26=6,KILOMETRAJE!C$9,IF(G26=7,KILOMETRAJE!C$10,IF(G26=8,KILOMETRAJE!C$11,IF(G26=9,KILOMETRAJE!C$12,IF(G26=10,KILOMETRAJE!C$13,IF(G26=11,KILOMETRAJE!C$14,IF(G26=12,KILOMETRAJE!C$15,IF(G26=13,KILOMETRAJE!C$16,IF(G26=14,KILOMETRAJE!C$17,IF(G26=15,KILOMETRAJE!C$18,IF(G26=16,KILOMETRAJE!C$19,IF(G26=17,KILOMETRAJE!C$20,IF(G26=18,KILOMETRAJE!C$21,IF(G26=19,KILOMETRAJE!C$22,IF(G26=20,KILOMETRAJE!C$23,IF(G26=21,KILOMETRAJE!C$24,IF(G26=22,KILOMETRAJE!C$25,IF(G26=23,KILOMETRAJE!C$26,IF(G26=24,KILOMETRAJE!C$27,IF(G26=25,KILOMETRAJE!C$28,IF(G26=26,KILOMETRAJE!C$29,IF(G26=27,KILOMETRAJE!C$30,IF(G26=28,KILOMETRAJE!C$31,IF(G26=29,KILOMETRAJE!C$32,IF(G26=30,KILOMETRAJE!C$33,IF(G26=31,KILOMETRAJE!C$34,IF(G26=32,KILOMETRAJE!C$35,IF(G26=33,KILOMETRAJE!C$36,IF(G26=34,KILOMETRAJE!C$37,IF(G26=35,KILOMETRAJE!C$38,IF(G26=36,KILOMETRAJE!C$39,IF(G26=37,KILOMETRAJE!C$40,IF(G26=38,KILOMETRAJE!C$41,IF(G26=39,KILOMETRAJE!C$42,IF(G26=40,KILOMETRAJE!C$43,IF(G26=41,KILOMETRAJE!C$44,IF(G26=42,KILOMETRAJE!C$45,IF(G26=43,KILOMETRAJE!C$46,IF(G26=44,KILOMETRAJE!C$47,IF(G26=45,KILOMETRAJE!C$48,IF(G26=46,KILOMETRAJE!C$49,IF(G26=47,KILOMETRAJE!C$50,IF(G26=48,KILOMETRAJE!C$51,IF(G26=49,KILOMETRAJE!C$52,IF(G26=50,KILOMETRAJE!C$53,IF(G26=51,KILOMETRAJE!C$54,IF(G26=52,KILOMETRAJE!C$55,IF(G26=53,KILOMETRAJE!C$56,IF(G26=54,KILOMETRAJE!C$57,IF(G26=55,KILOMETRAJE!C$58,IF(G26=56,KILOMETRAJE!C$59,IF(G26=57,KILOMETRAJE!C$60,IF(G26=58,KILOMETRAJE!C$61,IF(G26=59,KILOMETRAJE!C$62,IF(G26=60,KILOMETRAJE!C$63,IF(G26=61,KILOMETRAJE!C$64,IF(G26=62,KILOMETRAJE!C$65,IF(G26=63,KILOMETRAJE!C$66)))))))))))))))))))))))))))))))))))))))))))))))))))))))))))))))</f>
        <v xml:space="preserve">CHIH. </v>
      </c>
      <c r="I26" s="27" t="str">
        <f>IF(G26=1,KILOMETRAJE!E$4,IF(G26=2,KILOMETRAJE!E$5,IF(G26=3,KILOMETRAJE!E$6,IF(G26=4,KILOMETRAJE!E$7,IF(G26=5,KILOMETRAJE!E$8,IF(G26=6,KILOMETRAJE!E$9,IF(G26=7,KILOMETRAJE!E$10,IF(G26=8,KILOMETRAJE!E$11,IF(G26=9,KILOMETRAJE!E$12,IF(G26=10,KILOMETRAJE!E$13,IF(G26=11,KILOMETRAJE!E$14,IF(G26=12,KILOMETRAJE!E$15,IF(G26=13,KILOMETRAJE!E$16,IF(G26=14,KILOMETRAJE!E$17,IF(G26=15,KILOMETRAJE!E$18,IF(G26=16,KILOMETRAJE!E$19,IF(G26=17,KILOMETRAJE!E$20,IF(G26=18,KILOMETRAJE!E$21,IF(G26=19,KILOMETRAJE!E$22,IF(G26=20,KILOMETRAJE!E$23,IF(G26=21,KILOMETRAJE!E$24,IF(G26=22,KILOMETRAJE!E$25,IF(G26=23,KILOMETRAJE!E$26,IF(G26=24,KILOMETRAJE!E$27,IF(G26=25,KILOMETRAJE!E$28,IF(G26=26,KILOMETRAJE!E$29,IF(G26=27,KILOMETRAJE!E$30,IF(G26=28,KILOMETRAJE!E$31,IF(G26=29,KILOMETRAJE!E$32,IF(G26=30,KILOMETRAJE!E$33,IF(G26=31,KILOMETRAJE!E$34,IF(G26=32,KILOMETRAJE!E$35,IF(G26=33,KILOMETRAJE!E$36,IF(G26=34,KILOMETRAJE!E$37,IF(G26=35,KILOMETRAJE!E$38,IF(G26=36,KILOMETRAJE!E$39,IF(G26=37,KILOMETRAJE!E$40,IF(G26=38,KILOMETRAJE!E$41,IF(G26=39,KILOMETRAJE!E$42,IF(G26=40,KILOMETRAJE!E$43,IF(G26=41,KILOMETRAJE!E$44,IF(G26=42,KILOMETRAJE!E$45,IF(G26=43,KILOMETRAJE!E$46,IF(G26=44,KILOMETRAJE!E$47,IF(G26=45,KILOMETRAJE!E$48,IF(G26=46,KILOMETRAJE!E$49,IF(G26=47,KILOMETRAJE!E$50,IF(G26=48,KILOMETRAJE!E$51,IF(G26=49,KILOMETRAJE!E$52,IF(G26=50,KILOMETRAJE!E$53,IF(G26=51,KILOMETRAJE!E$54,IF(G26=52,KILOMETRAJE!E$55,IF(G26=53,KILOMETRAJE!E$56,IF(G26=54,KILOMETRAJE!E$57,IF(G26=55,KILOMETRAJE!E$58,IF(G26=56,KILOMETRAJE!E$59,IF(G26=57,KILOMETRAJE!E$60,IF(G26=58,KILOMETRAJE!E$61,IF(G26=59,KILOMETRAJE!E$62,IF(G26=60,KILOMETRAJE!E$63,IF(G26=61,KILOMETRAJE!E$64,IF(G26=62,KILOMETRAJE!E$65,IF(G26=63,KILOMETRAJE!E$66)))))))))))))))))))))))))))))))))))))))))))))))))))))))))))))))</f>
        <v>JRZ</v>
      </c>
      <c r="J26" s="31">
        <f>IF(G26=1,KILOMETRAJE!G$4,IF(G26=2,KILOMETRAJE!G$5,IF(G26=3,KILOMETRAJE!G$6,IF(G26=4,KILOMETRAJE!G$7,IF(G26=5,KILOMETRAJE!G$8,IF(G26=6,KILOMETRAJE!G$9,IF(G26=7,KILOMETRAJE!G$10,IF(G26=8,KILOMETRAJE!G$11,IF(G26=9,KILOMETRAJE!G$12,IF(G26=10,KILOMETRAJE!G$13,IF(G26=11,KILOMETRAJE!G$14,IF(G26=12,KILOMETRAJE!G$15,IF(G26=13,KILOMETRAJE!G$16,IF(G26=14,KILOMETRAJE!G$17,IF(G26=15,KILOMETRAJE!G$18,IF(G26=16,KILOMETRAJE!G$19,IF(G26=17,KILOMETRAJE!G$20,IF(G26=18,KILOMETRAJE!G$21,IF(G26=19,KILOMETRAJE!G$22,IF(G26=20,KILOMETRAJE!G$23,IF(G26=21,KILOMETRAJE!G$24,IF(G26=22,KILOMETRAJE!G$25,IF(G26=23,KILOMETRAJE!G$26,IF(G26=24,KILOMETRAJE!G$27,IF(G26=25,KILOMETRAJE!G$28,IF(G26=26,KILOMETRAJE!G$29,IF(G26=27,KILOMETRAJE!G$30,IF(G26=28,KILOMETRAJE!G$31,IF(G26=29,KILOMETRAJE!G$32,IF(G26=30,KILOMETRAJE!G$33,IF(G26=31,KILOMETRAJE!G$34,IF(G26=32,KILOMETRAJE!G$35,IF(G26=33,KILOMETRAJE!G$36,IF(G26=34,KILOMETRAJE!G$37,IF(G26=35,KILOMETRAJE!G$38,IF(G26=36,KILOMETRAJE!G$39,IF(G26=37,KILOMETRAJE!G$40,IF(G26=38,KILOMETRAJE!G$41,IF(G26=39,KILOMETRAJE!G$42,IF(G26=40,KILOMETRAJE!G$43,IF(G26=41,KILOMETRAJE!G$44,IF(G26=42,KILOMETRAJE!G$45,IF(G26=43,KILOMETRAJE!G$46,IF(G26=44,KILOMETRAJE!G$47,IF(G26=45,KILOMETRAJE!G$48,IF(G26=46,KILOMETRAJE!G$49,IF(G26=47,KILOMETRAJE!G$50,IF(G26=48,KILOMETRAJE!G$51,IF(G26=49,KILOMETRAJE!G$52,IF(G26=50,KILOMETRAJE!G$53,IF(G26=51,KILOMETRAJE!G$54,IF(G26=52,KILOMETRAJE!G$55,IF(G26=53,KILOMETRAJE!G$56,IF(G26=54,KILOMETRAJE!G$57,IF(G26=55,KILOMETRAJE!G$58,IF(G26=56,KILOMETRAJE!G$59,IF(G26=57,KILOMETRAJE!G$60,IF(G26=58,KILOMETRAJE!G$61,IF(G26=59,KILOMETRAJE!G$62,IF(G26=60,KILOMETRAJE!G$63,IF(G26=61,KILOMETRAJE!G$64,IF(G26=62,KILOMETRAJE!G$65,IF(G26=63,KILOMETRAJE!G$66)))))))))))))))))))))))))))))))))))))))))))))))))))))))))))))))</f>
        <v>375</v>
      </c>
      <c r="K26" s="27">
        <v>239.99</v>
      </c>
      <c r="L26" s="28">
        <f>SUM(J25:J26)/K26</f>
        <v>3.1251302137589065</v>
      </c>
      <c r="M26" s="349">
        <v>1274</v>
      </c>
      <c r="N26" s="27">
        <v>1</v>
      </c>
      <c r="O26" s="27" t="s">
        <v>491</v>
      </c>
      <c r="P26" s="27" t="s">
        <v>247</v>
      </c>
      <c r="Q26" s="29">
        <f>((((IF(N26=1,((J26)*0.29333)))+(IF(N26=2,((J26)*0.146666)))+(IF(N26=3,((J26)*0.146666)))))+(IF(N26=4,((J26-40)*0.29333)))+(IF(N26=5,((J26-50)*0.29333)))+(IF(N26=6,((J26-90)*0.29333))))</f>
        <v>109.99874999999999</v>
      </c>
      <c r="R26" s="190">
        <f>+LOOKUP(P43,UNIDADES!B$3:B$59,UNIDADES!C$3:C$59)</f>
        <v>2.3734099999999998</v>
      </c>
      <c r="S26" s="19">
        <f>+((SUM(J25:J26))/R26)-K26</f>
        <v>76.011028056677958</v>
      </c>
      <c r="T26" s="456">
        <f>+S26*14.85</f>
        <v>1128.7637666416676</v>
      </c>
      <c r="U26" s="27">
        <v>11</v>
      </c>
      <c r="V26" s="55">
        <v>12</v>
      </c>
    </row>
    <row r="27" spans="2:26" hidden="1" x14ac:dyDescent="0.2">
      <c r="C27" s="176"/>
      <c r="D27" s="43"/>
      <c r="E27" s="42"/>
      <c r="F27" s="42"/>
      <c r="G27" s="43"/>
      <c r="H27" s="259"/>
      <c r="I27" s="259"/>
      <c r="J27" s="260"/>
      <c r="K27" s="38"/>
      <c r="L27" s="48"/>
      <c r="M27" s="350"/>
      <c r="N27" s="38"/>
      <c r="O27" s="38"/>
      <c r="P27" s="38"/>
      <c r="Q27" s="40"/>
      <c r="R27" s="192"/>
      <c r="S27" s="186"/>
      <c r="T27" s="458"/>
      <c r="U27" s="38"/>
      <c r="V27" s="311"/>
    </row>
    <row r="28" spans="2:26" ht="11.25" hidden="1" customHeight="1" thickBot="1" x14ac:dyDescent="0.25">
      <c r="C28" s="101"/>
      <c r="D28" s="62"/>
      <c r="E28" s="25"/>
      <c r="F28" s="25"/>
      <c r="G28" s="62"/>
      <c r="H28" s="27"/>
      <c r="I28" s="27"/>
      <c r="J28" s="31"/>
      <c r="K28" s="27"/>
      <c r="L28" s="28"/>
      <c r="M28" s="349"/>
      <c r="N28" s="27"/>
      <c r="O28" s="27"/>
      <c r="P28" s="27"/>
      <c r="Q28" s="29"/>
      <c r="R28" s="190"/>
      <c r="S28" s="19"/>
      <c r="T28" s="456"/>
      <c r="U28" s="27"/>
      <c r="V28" s="55"/>
    </row>
    <row r="29" spans="2:26" hidden="1" x14ac:dyDescent="0.2">
      <c r="C29" s="238"/>
      <c r="D29" s="36"/>
      <c r="E29" s="37"/>
      <c r="F29" s="37"/>
      <c r="G29" s="36"/>
      <c r="H29" s="47"/>
      <c r="I29" s="38"/>
      <c r="J29" s="39"/>
      <c r="K29" s="38"/>
      <c r="L29" s="48"/>
      <c r="M29" s="350"/>
      <c r="N29" s="38"/>
      <c r="O29" s="38"/>
      <c r="P29" s="38"/>
      <c r="Q29" s="40"/>
      <c r="R29" s="192"/>
      <c r="S29" s="186"/>
      <c r="T29" s="458"/>
      <c r="U29" s="491"/>
      <c r="V29" s="491"/>
    </row>
    <row r="30" spans="2:26" ht="12.75" hidden="1" thickBot="1" x14ac:dyDescent="0.25">
      <c r="C30" s="101"/>
      <c r="D30" s="62"/>
      <c r="E30" s="25"/>
      <c r="F30" s="25"/>
      <c r="G30" s="62"/>
      <c r="H30" s="26"/>
      <c r="I30" s="27"/>
      <c r="J30" s="31"/>
      <c r="K30" s="27"/>
      <c r="L30" s="28"/>
      <c r="M30" s="349"/>
      <c r="N30" s="27"/>
      <c r="O30" s="27"/>
      <c r="P30" s="27"/>
      <c r="Q30" s="29"/>
      <c r="R30" s="190"/>
      <c r="S30" s="19"/>
      <c r="T30" s="456"/>
      <c r="U30" s="468"/>
      <c r="V30" s="468"/>
    </row>
    <row r="31" spans="2:26" hidden="1" x14ac:dyDescent="0.2">
      <c r="C31" s="176"/>
      <c r="D31" s="43"/>
      <c r="E31" s="42"/>
      <c r="F31" s="42"/>
      <c r="G31" s="43"/>
      <c r="H31" s="65"/>
      <c r="I31" s="24"/>
      <c r="J31" s="51"/>
      <c r="K31" s="24"/>
      <c r="L31" s="44"/>
      <c r="M31" s="350"/>
      <c r="N31" s="24"/>
      <c r="O31" s="24"/>
      <c r="P31" s="24"/>
      <c r="Q31" s="45"/>
      <c r="R31" s="192"/>
      <c r="S31" s="52"/>
      <c r="T31" s="455"/>
      <c r="U31" s="468"/>
      <c r="V31" s="468"/>
    </row>
    <row r="32" spans="2:26" ht="12.75" hidden="1" thickBot="1" x14ac:dyDescent="0.25">
      <c r="C32" s="101"/>
      <c r="D32" s="62"/>
      <c r="E32" s="25"/>
      <c r="F32" s="25"/>
      <c r="G32" s="62"/>
      <c r="H32" s="26"/>
      <c r="I32" s="27"/>
      <c r="J32" s="31"/>
      <c r="K32" s="27"/>
      <c r="L32" s="28"/>
      <c r="M32" s="28"/>
      <c r="N32" s="27"/>
      <c r="O32" s="27"/>
      <c r="P32" s="27"/>
      <c r="Q32" s="29"/>
      <c r="R32" s="190"/>
      <c r="S32" s="19"/>
      <c r="T32" s="456"/>
      <c r="U32" s="468"/>
      <c r="V32" s="468"/>
    </row>
    <row r="33" spans="3:23" ht="12.75" thickBot="1" x14ac:dyDescent="0.25">
      <c r="I33" s="15"/>
      <c r="R33" s="193"/>
      <c r="S33" s="15"/>
    </row>
    <row r="34" spans="3:23" x14ac:dyDescent="0.2">
      <c r="E34" s="629" t="s">
        <v>34</v>
      </c>
      <c r="F34" s="646">
        <f>+'BALDERRAMA ROBLES JORGE'!F34:G34</f>
        <v>45957</v>
      </c>
      <c r="G34" s="647"/>
      <c r="H34" s="16">
        <f>+F34+1</f>
        <v>45958</v>
      </c>
      <c r="I34" s="16">
        <f>+H34+1</f>
        <v>45959</v>
      </c>
      <c r="J34" s="16">
        <f>+I34+1</f>
        <v>45960</v>
      </c>
      <c r="K34" s="16">
        <f>+J34+1</f>
        <v>45961</v>
      </c>
      <c r="L34" s="16">
        <f>+K34+2</f>
        <v>45963</v>
      </c>
      <c r="M34" s="17" t="s">
        <v>35</v>
      </c>
    </row>
    <row r="35" spans="3:23" ht="12.75" thickBot="1" x14ac:dyDescent="0.25">
      <c r="E35" s="630"/>
      <c r="F35" s="648"/>
      <c r="G35" s="649"/>
      <c r="H35" s="29">
        <v>1250</v>
      </c>
      <c r="I35" s="29">
        <v>1250</v>
      </c>
      <c r="J35" s="29">
        <v>1250</v>
      </c>
      <c r="K35" s="29">
        <v>500</v>
      </c>
      <c r="L35" s="29"/>
      <c r="M35" s="30">
        <f>SUM(F35:L35)</f>
        <v>4250</v>
      </c>
      <c r="P35" s="450"/>
      <c r="Q35" s="450"/>
      <c r="R35" s="450"/>
    </row>
    <row r="36" spans="3:23" ht="12.75" thickBot="1" x14ac:dyDescent="0.25">
      <c r="H36" s="14" t="s">
        <v>276</v>
      </c>
      <c r="I36" s="15"/>
    </row>
    <row r="37" spans="3:23" ht="13.5" thickBot="1" x14ac:dyDescent="0.25">
      <c r="C37" s="608" t="s">
        <v>36</v>
      </c>
      <c r="D37" s="609"/>
      <c r="E37" s="609"/>
      <c r="F37" s="609"/>
      <c r="G37" s="610"/>
      <c r="I37" s="620" t="s">
        <v>37</v>
      </c>
      <c r="J37" s="621"/>
      <c r="K37" s="621"/>
      <c r="L37" s="622"/>
      <c r="M37" s="298"/>
      <c r="O37" s="611" t="s">
        <v>38</v>
      </c>
      <c r="P37" s="612"/>
      <c r="Q37" s="613">
        <f>+F49-L46</f>
        <v>11293.055947810017</v>
      </c>
      <c r="R37" s="614"/>
      <c r="S37" s="615"/>
    </row>
    <row r="38" spans="3:23" ht="12.75" thickBot="1" x14ac:dyDescent="0.25">
      <c r="C38" s="616" t="s">
        <v>219</v>
      </c>
      <c r="D38" s="617"/>
      <c r="E38" s="617"/>
      <c r="F38" s="618">
        <f>SUM(Q18:Q33)</f>
        <v>879.9899999999999</v>
      </c>
      <c r="G38" s="619"/>
      <c r="I38" s="114" t="s">
        <v>125</v>
      </c>
      <c r="J38" s="68" t="s">
        <v>126</v>
      </c>
      <c r="K38" s="68" t="s">
        <v>70</v>
      </c>
      <c r="L38" s="115" t="s">
        <v>127</v>
      </c>
      <c r="M38" s="346"/>
    </row>
    <row r="39" spans="3:23" ht="13.5" customHeight="1" thickBot="1" x14ac:dyDescent="0.25">
      <c r="C39" s="602" t="s">
        <v>220</v>
      </c>
      <c r="D39" s="603"/>
      <c r="E39" s="603"/>
      <c r="F39" s="604">
        <f>SUM(T18:T33)</f>
        <v>4663.065947810017</v>
      </c>
      <c r="G39" s="605"/>
      <c r="I39" s="662"/>
      <c r="J39" s="663"/>
      <c r="K39" s="664"/>
      <c r="L39" s="409"/>
      <c r="M39" s="346"/>
      <c r="O39" s="74" t="s">
        <v>70</v>
      </c>
      <c r="P39" s="75" t="s">
        <v>71</v>
      </c>
      <c r="Q39" s="76" t="s">
        <v>72</v>
      </c>
      <c r="R39" s="76"/>
      <c r="S39" s="77" t="s">
        <v>73</v>
      </c>
      <c r="T39" s="75" t="s">
        <v>74</v>
      </c>
      <c r="U39" s="74" t="s">
        <v>145</v>
      </c>
      <c r="V39" s="75" t="s">
        <v>146</v>
      </c>
      <c r="W39" s="75" t="s">
        <v>284</v>
      </c>
    </row>
    <row r="40" spans="3:23" ht="12.75" thickBot="1" x14ac:dyDescent="0.25">
      <c r="C40" s="602" t="s">
        <v>34</v>
      </c>
      <c r="D40" s="603"/>
      <c r="E40" s="603"/>
      <c r="F40" s="604">
        <f>+M35</f>
        <v>4250</v>
      </c>
      <c r="G40" s="605"/>
      <c r="I40" s="94"/>
      <c r="J40" s="117"/>
      <c r="K40" s="415"/>
      <c r="L40" s="407"/>
      <c r="M40" s="346"/>
      <c r="O40" s="78">
        <v>46495</v>
      </c>
      <c r="P40" s="79" t="s">
        <v>318</v>
      </c>
      <c r="Q40" s="78">
        <v>88712</v>
      </c>
      <c r="R40" s="24"/>
      <c r="S40" s="24">
        <v>89477</v>
      </c>
      <c r="T40" s="79">
        <f t="shared" ref="T40:T45" si="4">+S40-Q40</f>
        <v>765</v>
      </c>
      <c r="U40" s="137">
        <f>SUM(J19:J20)</f>
        <v>790</v>
      </c>
      <c r="V40" s="24">
        <f>+K20</f>
        <v>239.99</v>
      </c>
      <c r="W40" s="353">
        <f>(SUM(M19:M20)/2)</f>
        <v>4281.5</v>
      </c>
    </row>
    <row r="41" spans="3:23" x14ac:dyDescent="0.2">
      <c r="C41" s="602" t="s">
        <v>186</v>
      </c>
      <c r="D41" s="603"/>
      <c r="E41" s="603"/>
      <c r="F41" s="604"/>
      <c r="G41" s="605"/>
      <c r="I41" s="94"/>
      <c r="J41" s="117"/>
      <c r="K41" s="415"/>
      <c r="L41" s="407"/>
      <c r="M41" s="346"/>
      <c r="O41" s="32">
        <v>46116</v>
      </c>
      <c r="P41" s="53" t="s">
        <v>318</v>
      </c>
      <c r="Q41" s="24">
        <v>89477</v>
      </c>
      <c r="R41" s="11"/>
      <c r="S41" s="32">
        <v>90238</v>
      </c>
      <c r="T41" s="53">
        <f t="shared" si="4"/>
        <v>761</v>
      </c>
      <c r="U41" s="309">
        <f>SUM(J21:J22)</f>
        <v>790</v>
      </c>
      <c r="V41" s="11">
        <f>+K22</f>
        <v>206.01</v>
      </c>
      <c r="W41" s="354">
        <f>(SUM(M21:M22)/2)</f>
        <v>2027</v>
      </c>
    </row>
    <row r="42" spans="3:23" x14ac:dyDescent="0.2">
      <c r="C42" s="602" t="s">
        <v>39</v>
      </c>
      <c r="D42" s="603"/>
      <c r="E42" s="603"/>
      <c r="F42" s="604"/>
      <c r="G42" s="605"/>
      <c r="I42" s="94"/>
      <c r="J42" s="117"/>
      <c r="K42" s="415"/>
      <c r="L42" s="407"/>
      <c r="M42" s="346"/>
      <c r="O42" s="32">
        <v>46139</v>
      </c>
      <c r="P42" s="53" t="s">
        <v>318</v>
      </c>
      <c r="Q42" s="32">
        <v>90238</v>
      </c>
      <c r="R42" s="11"/>
      <c r="S42" s="11">
        <v>91068</v>
      </c>
      <c r="T42" s="53">
        <f t="shared" si="4"/>
        <v>830</v>
      </c>
      <c r="U42" s="136">
        <f>SUM(J23:J24)</f>
        <v>790</v>
      </c>
      <c r="V42" s="11">
        <f>+K24</f>
        <v>234</v>
      </c>
      <c r="W42" s="354">
        <f>(SUM(M23:M24)/2)</f>
        <v>986</v>
      </c>
    </row>
    <row r="43" spans="3:23" x14ac:dyDescent="0.2">
      <c r="C43" s="602" t="s">
        <v>116</v>
      </c>
      <c r="D43" s="603"/>
      <c r="E43" s="603"/>
      <c r="F43" s="604">
        <v>1500</v>
      </c>
      <c r="G43" s="605"/>
      <c r="I43" s="94"/>
      <c r="J43" s="117"/>
      <c r="K43" s="415"/>
      <c r="L43" s="407"/>
      <c r="M43" s="346"/>
      <c r="O43" s="32">
        <v>46200</v>
      </c>
      <c r="P43" s="53" t="s">
        <v>55</v>
      </c>
      <c r="Q43" s="32">
        <v>2877</v>
      </c>
      <c r="R43" s="11"/>
      <c r="S43" s="11">
        <v>3598</v>
      </c>
      <c r="T43" s="53">
        <f t="shared" si="4"/>
        <v>721</v>
      </c>
      <c r="U43" s="136">
        <f>SUM(J25:J26)</f>
        <v>750</v>
      </c>
      <c r="V43" s="11">
        <f>+K26</f>
        <v>239.99</v>
      </c>
      <c r="W43" s="354">
        <f>(SUM(M25:M26)/2)</f>
        <v>8436.5</v>
      </c>
    </row>
    <row r="44" spans="3:23" x14ac:dyDescent="0.2">
      <c r="C44" s="602" t="s">
        <v>40</v>
      </c>
      <c r="D44" s="603"/>
      <c r="E44" s="603"/>
      <c r="F44" s="604"/>
      <c r="G44" s="605"/>
      <c r="I44" s="94"/>
      <c r="J44" s="117"/>
      <c r="K44" s="415"/>
      <c r="L44" s="407"/>
      <c r="M44" s="346"/>
      <c r="O44" s="32"/>
      <c r="P44" s="53"/>
      <c r="Q44" s="32"/>
      <c r="R44" s="61"/>
      <c r="S44" s="11"/>
      <c r="T44" s="53">
        <f t="shared" si="4"/>
        <v>0</v>
      </c>
      <c r="U44" s="136">
        <f>SUM(J27:J28)</f>
        <v>0</v>
      </c>
      <c r="V44" s="11">
        <f>+K28</f>
        <v>0</v>
      </c>
      <c r="W44" s="354">
        <f>(SUM(M27:M28)/2)</f>
        <v>0</v>
      </c>
    </row>
    <row r="45" spans="3:23" ht="12.75" thickBot="1" x14ac:dyDescent="0.25">
      <c r="C45" s="602" t="s">
        <v>186</v>
      </c>
      <c r="D45" s="603"/>
      <c r="E45" s="603"/>
      <c r="F45" s="604"/>
      <c r="G45" s="605"/>
      <c r="I45" s="282"/>
      <c r="J45" s="285"/>
      <c r="K45" s="417"/>
      <c r="L45" s="410"/>
      <c r="M45" s="346"/>
      <c r="O45" s="32"/>
      <c r="P45" s="53"/>
      <c r="Q45" s="32"/>
      <c r="R45" s="61"/>
      <c r="S45" s="11"/>
      <c r="T45" s="53">
        <f t="shared" si="4"/>
        <v>0</v>
      </c>
      <c r="U45" s="136">
        <f>SUM(J29:J30)</f>
        <v>0</v>
      </c>
      <c r="V45" s="11">
        <f>+K30</f>
        <v>0</v>
      </c>
      <c r="W45" s="354">
        <f>(SUM(M29:M30)/2)</f>
        <v>0</v>
      </c>
    </row>
    <row r="46" spans="3:23" ht="13.5" customHeight="1" thickBot="1" x14ac:dyDescent="0.25">
      <c r="C46" s="602" t="s">
        <v>224</v>
      </c>
      <c r="D46" s="603"/>
      <c r="E46" s="603"/>
      <c r="F46" s="606"/>
      <c r="G46" s="607"/>
      <c r="I46" s="597" t="s">
        <v>41</v>
      </c>
      <c r="J46" s="598"/>
      <c r="K46" s="632"/>
      <c r="L46" s="284">
        <f>SUM(L39:L45)</f>
        <v>0</v>
      </c>
      <c r="M46" s="347"/>
      <c r="O46" s="113"/>
      <c r="P46" s="264"/>
      <c r="Q46" s="113"/>
      <c r="R46" s="81"/>
      <c r="S46" s="81"/>
      <c r="T46" s="82"/>
      <c r="U46" s="138">
        <f>SUM(J31:J32)</f>
        <v>0</v>
      </c>
      <c r="V46" s="27">
        <f>+K32</f>
        <v>0</v>
      </c>
      <c r="W46" s="355">
        <f>(SUM(M31:M32)/2)</f>
        <v>0</v>
      </c>
    </row>
    <row r="47" spans="3:23" ht="13.5" customHeight="1" x14ac:dyDescent="0.2">
      <c r="C47" s="602" t="s">
        <v>130</v>
      </c>
      <c r="D47" s="603"/>
      <c r="E47" s="603"/>
      <c r="F47" s="606"/>
      <c r="G47" s="607"/>
      <c r="R47" s="21"/>
      <c r="S47" s="21"/>
      <c r="T47" s="21"/>
      <c r="U47" s="139"/>
      <c r="V47" s="271"/>
    </row>
    <row r="48" spans="3:23" ht="13.5" customHeight="1" thickBot="1" x14ac:dyDescent="0.25">
      <c r="C48" s="593" t="s">
        <v>315</v>
      </c>
      <c r="D48" s="594"/>
      <c r="E48" s="594"/>
      <c r="F48" s="595"/>
      <c r="G48" s="596"/>
      <c r="H48" s="120"/>
      <c r="R48" s="21"/>
      <c r="S48" s="21"/>
      <c r="T48" s="21"/>
      <c r="U48" s="139"/>
      <c r="V48" s="271"/>
    </row>
    <row r="49" spans="3:22" ht="13.5" thickBot="1" x14ac:dyDescent="0.25">
      <c r="C49" s="597" t="s">
        <v>42</v>
      </c>
      <c r="D49" s="598"/>
      <c r="E49" s="599"/>
      <c r="F49" s="600">
        <f>SUM(F38:G48)</f>
        <v>11293.055947810017</v>
      </c>
      <c r="G49" s="601"/>
      <c r="J49" s="450"/>
      <c r="K49" s="450"/>
      <c r="L49" s="450"/>
      <c r="M49" s="450"/>
      <c r="R49" s="21"/>
      <c r="S49" s="21"/>
      <c r="T49" s="21"/>
      <c r="U49" s="139"/>
      <c r="V49" s="271"/>
    </row>
    <row r="50" spans="3:22" ht="13.5" customHeight="1" thickBot="1" x14ac:dyDescent="0.25">
      <c r="P50" s="588" t="s">
        <v>48</v>
      </c>
      <c r="Q50" s="589"/>
      <c r="R50" s="590"/>
      <c r="S50" s="21"/>
      <c r="T50" s="21"/>
      <c r="U50" s="139"/>
      <c r="V50" s="271"/>
    </row>
    <row r="51" spans="3:22" ht="12.75" customHeight="1" x14ac:dyDescent="0.2">
      <c r="C51" s="246" t="s">
        <v>43</v>
      </c>
      <c r="D51" s="247"/>
      <c r="E51" s="247"/>
      <c r="F51" s="247"/>
      <c r="G51" s="247"/>
      <c r="H51" s="247"/>
      <c r="I51" s="247"/>
      <c r="J51" s="247"/>
      <c r="K51" s="247"/>
      <c r="L51" s="248"/>
      <c r="M51" s="251"/>
      <c r="P51" s="78">
        <v>1</v>
      </c>
      <c r="Q51" s="584" t="s">
        <v>49</v>
      </c>
      <c r="R51" s="585"/>
      <c r="S51" s="21"/>
      <c r="T51" s="21"/>
      <c r="U51" s="249"/>
    </row>
    <row r="52" spans="3:22" ht="12.75" customHeight="1" x14ac:dyDescent="0.2">
      <c r="C52" s="250"/>
      <c r="D52" s="251"/>
      <c r="E52" s="251"/>
      <c r="F52" s="251"/>
      <c r="G52" s="251"/>
      <c r="H52" s="251"/>
      <c r="I52" s="251"/>
      <c r="J52" s="251"/>
      <c r="K52" s="251"/>
      <c r="L52" s="252"/>
      <c r="M52" s="251"/>
      <c r="P52" s="32">
        <v>2</v>
      </c>
      <c r="Q52" s="586" t="s">
        <v>135</v>
      </c>
      <c r="R52" s="587"/>
      <c r="S52" s="21"/>
      <c r="T52" s="249"/>
    </row>
    <row r="53" spans="3:22" ht="12.75" thickBot="1" x14ac:dyDescent="0.25">
      <c r="C53" s="253"/>
      <c r="D53" s="254"/>
      <c r="E53" s="254"/>
      <c r="F53" s="254"/>
      <c r="G53" s="254"/>
      <c r="H53" s="254"/>
      <c r="I53" s="254"/>
      <c r="J53" s="254"/>
      <c r="K53" s="254"/>
      <c r="L53" s="255"/>
      <c r="M53" s="251"/>
      <c r="P53" s="32">
        <v>3</v>
      </c>
      <c r="Q53" s="586" t="s">
        <v>130</v>
      </c>
      <c r="R53" s="587"/>
      <c r="S53" s="21"/>
      <c r="T53" s="249"/>
    </row>
    <row r="54" spans="3:22" x14ac:dyDescent="0.2">
      <c r="P54" s="32">
        <v>4</v>
      </c>
      <c r="Q54" s="586" t="s">
        <v>228</v>
      </c>
      <c r="R54" s="587"/>
      <c r="S54" s="21"/>
      <c r="T54" s="249"/>
    </row>
    <row r="55" spans="3:22" ht="12.75" thickBot="1" x14ac:dyDescent="0.25">
      <c r="P55" s="32">
        <v>5</v>
      </c>
      <c r="Q55" s="586" t="s">
        <v>229</v>
      </c>
      <c r="R55" s="587"/>
      <c r="S55" s="21"/>
    </row>
    <row r="56" spans="3:22" ht="14.25" customHeight="1" thickTop="1" thickBot="1" x14ac:dyDescent="0.25">
      <c r="D56" s="631" t="s">
        <v>44</v>
      </c>
      <c r="E56" s="631"/>
      <c r="F56" s="631"/>
      <c r="G56" s="631"/>
      <c r="H56" s="631"/>
      <c r="J56" s="631" t="s">
        <v>45</v>
      </c>
      <c r="K56" s="631"/>
      <c r="L56" s="631"/>
      <c r="M56" s="631"/>
      <c r="N56" s="631"/>
      <c r="P56" s="54">
        <v>6</v>
      </c>
      <c r="Q56" s="591" t="s">
        <v>230</v>
      </c>
      <c r="R56" s="592"/>
      <c r="S56" s="21"/>
      <c r="T56" s="21"/>
    </row>
    <row r="57" spans="3:22" x14ac:dyDescent="0.2">
      <c r="S57" s="21"/>
      <c r="T57" s="21"/>
    </row>
    <row r="58" spans="3:22" x14ac:dyDescent="0.2">
      <c r="P58" s="21"/>
      <c r="Q58" s="21"/>
      <c r="R58" s="21"/>
      <c r="S58" s="21"/>
      <c r="T58" s="21"/>
    </row>
  </sheetData>
  <mergeCells count="56">
    <mergeCell ref="D56:H56"/>
    <mergeCell ref="J56:N56"/>
    <mergeCell ref="I46:K46"/>
    <mergeCell ref="C48:E48"/>
    <mergeCell ref="F48:G48"/>
    <mergeCell ref="C49:E49"/>
    <mergeCell ref="F49:G49"/>
    <mergeCell ref="C46:E46"/>
    <mergeCell ref="F46:G46"/>
    <mergeCell ref="C47:E47"/>
    <mergeCell ref="F47:G47"/>
    <mergeCell ref="F45:G45"/>
    <mergeCell ref="C42:E42"/>
    <mergeCell ref="F42:G42"/>
    <mergeCell ref="F43:G43"/>
    <mergeCell ref="C45:E45"/>
    <mergeCell ref="F44:G44"/>
    <mergeCell ref="C44:E44"/>
    <mergeCell ref="C43:E43"/>
    <mergeCell ref="I39:K39"/>
    <mergeCell ref="F40:G40"/>
    <mergeCell ref="C37:G37"/>
    <mergeCell ref="O37:P37"/>
    <mergeCell ref="Q37:S37"/>
    <mergeCell ref="C38:E38"/>
    <mergeCell ref="F38:G38"/>
    <mergeCell ref="I37:L37"/>
    <mergeCell ref="C41:E41"/>
    <mergeCell ref="F41:G41"/>
    <mergeCell ref="D13:E13"/>
    <mergeCell ref="D14:E14"/>
    <mergeCell ref="D15:E15"/>
    <mergeCell ref="D16:E16"/>
    <mergeCell ref="E34:E35"/>
    <mergeCell ref="F34:G34"/>
    <mergeCell ref="F35:G35"/>
    <mergeCell ref="C39:E39"/>
    <mergeCell ref="F39:G39"/>
    <mergeCell ref="C40:E40"/>
    <mergeCell ref="I6:O6"/>
    <mergeCell ref="Q6:S6"/>
    <mergeCell ref="I9:O9"/>
    <mergeCell ref="L11:S11"/>
    <mergeCell ref="I3:O3"/>
    <mergeCell ref="Q3:S3"/>
    <mergeCell ref="I4:O4"/>
    <mergeCell ref="I5:O5"/>
    <mergeCell ref="Q5:S5"/>
    <mergeCell ref="Q53:R53"/>
    <mergeCell ref="Q54:R54"/>
    <mergeCell ref="Q55:R55"/>
    <mergeCell ref="Q56:R56"/>
    <mergeCell ref="Q2:S2"/>
    <mergeCell ref="Q51:R51"/>
    <mergeCell ref="Q52:R52"/>
    <mergeCell ref="P50:R50"/>
  </mergeCells>
  <pageMargins left="0.19685039370078741" right="0.19685039370078741" top="0.35433070866141736" bottom="0.35433070866141736" header="0.31496062992125984" footer="0.31496062992125984"/>
  <pageSetup paperSize="9" scale="80" orientation="landscape" horizontalDpi="300" verticalDpi="300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Hoja8">
    <pageSetUpPr fitToPage="1"/>
  </sheetPr>
  <dimension ref="B1:AB56"/>
  <sheetViews>
    <sheetView topLeftCell="A11" zoomScaleNormal="100" workbookViewId="0">
      <selection activeCell="T23" sqref="T23"/>
    </sheetView>
  </sheetViews>
  <sheetFormatPr baseColWidth="10" defaultColWidth="9.140625" defaultRowHeight="12" x14ac:dyDescent="0.2"/>
  <cols>
    <col min="1" max="1" width="2.5703125" style="14" customWidth="1"/>
    <col min="2" max="2" width="5" style="14" bestFit="1" customWidth="1"/>
    <col min="3" max="3" width="12.140625" style="14" customWidth="1"/>
    <col min="4" max="4" width="14.140625" style="14" customWidth="1"/>
    <col min="5" max="5" width="11.140625" style="14" customWidth="1"/>
    <col min="6" max="6" width="10.5703125" style="14" customWidth="1"/>
    <col min="7" max="7" width="4" style="14" bestFit="1" customWidth="1"/>
    <col min="8" max="8" width="12.140625" style="14" bestFit="1" customWidth="1"/>
    <col min="9" max="9" width="12" style="14" customWidth="1"/>
    <col min="10" max="10" width="11.85546875" style="14" bestFit="1" customWidth="1"/>
    <col min="11" max="11" width="13" style="14" customWidth="1"/>
    <col min="12" max="13" width="13.42578125" style="14" customWidth="1"/>
    <col min="14" max="14" width="7.42578125" style="14" customWidth="1"/>
    <col min="15" max="15" width="12" style="14" customWidth="1"/>
    <col min="16" max="16" width="11.85546875" style="14" customWidth="1"/>
    <col min="17" max="17" width="12.5703125" style="14" customWidth="1"/>
    <col min="18" max="18" width="13.28515625" style="14" hidden="1" customWidth="1"/>
    <col min="19" max="19" width="11.85546875" style="14" customWidth="1"/>
    <col min="20" max="20" width="12" style="14" customWidth="1"/>
    <col min="21" max="21" width="11.5703125" style="14" customWidth="1"/>
    <col min="22" max="22" width="8.7109375" style="14" customWidth="1"/>
    <col min="23" max="23" width="11.5703125" style="14" customWidth="1"/>
    <col min="24" max="24" width="9.140625" style="14" customWidth="1"/>
    <col min="25" max="27" width="9.140625" style="14"/>
    <col min="28" max="28" width="13" style="14" customWidth="1"/>
    <col min="29" max="259" width="9.140625" style="14"/>
    <col min="260" max="260" width="5.7109375" style="14" customWidth="1"/>
    <col min="261" max="261" width="13.140625" style="14" customWidth="1"/>
    <col min="262" max="262" width="12.28515625" style="14" customWidth="1"/>
    <col min="263" max="263" width="8.85546875" style="14" customWidth="1"/>
    <col min="264" max="264" width="10.85546875" style="14" customWidth="1"/>
    <col min="265" max="265" width="2.85546875" style="14" customWidth="1"/>
    <col min="266" max="266" width="12.140625" style="14" customWidth="1"/>
    <col min="267" max="267" width="10.140625" style="14" customWidth="1"/>
    <col min="268" max="268" width="11.7109375" style="14" customWidth="1"/>
    <col min="269" max="269" width="11.42578125" style="14" customWidth="1"/>
    <col min="270" max="270" width="12.7109375" style="14" customWidth="1"/>
    <col min="271" max="271" width="11.42578125" style="14" customWidth="1"/>
    <col min="272" max="272" width="10.7109375" style="14" customWidth="1"/>
    <col min="273" max="273" width="10.5703125" style="14" customWidth="1"/>
    <col min="274" max="274" width="11.28515625" style="14" customWidth="1"/>
    <col min="275" max="275" width="9.7109375" style="14" customWidth="1"/>
    <col min="276" max="276" width="12" style="14" customWidth="1"/>
    <col min="277" max="277" width="11.28515625" style="14" customWidth="1"/>
    <col min="278" max="515" width="9.140625" style="14"/>
    <col min="516" max="516" width="5.7109375" style="14" customWidth="1"/>
    <col min="517" max="517" width="13.140625" style="14" customWidth="1"/>
    <col min="518" max="518" width="12.28515625" style="14" customWidth="1"/>
    <col min="519" max="519" width="8.85546875" style="14" customWidth="1"/>
    <col min="520" max="520" width="10.85546875" style="14" customWidth="1"/>
    <col min="521" max="521" width="2.85546875" style="14" customWidth="1"/>
    <col min="522" max="522" width="12.140625" style="14" customWidth="1"/>
    <col min="523" max="523" width="10.140625" style="14" customWidth="1"/>
    <col min="524" max="524" width="11.7109375" style="14" customWidth="1"/>
    <col min="525" max="525" width="11.42578125" style="14" customWidth="1"/>
    <col min="526" max="526" width="12.7109375" style="14" customWidth="1"/>
    <col min="527" max="527" width="11.42578125" style="14" customWidth="1"/>
    <col min="528" max="528" width="10.7109375" style="14" customWidth="1"/>
    <col min="529" max="529" width="10.5703125" style="14" customWidth="1"/>
    <col min="530" max="530" width="11.28515625" style="14" customWidth="1"/>
    <col min="531" max="531" width="9.7109375" style="14" customWidth="1"/>
    <col min="532" max="532" width="12" style="14" customWidth="1"/>
    <col min="533" max="533" width="11.28515625" style="14" customWidth="1"/>
    <col min="534" max="771" width="9.140625" style="14"/>
    <col min="772" max="772" width="5.7109375" style="14" customWidth="1"/>
    <col min="773" max="773" width="13.140625" style="14" customWidth="1"/>
    <col min="774" max="774" width="12.28515625" style="14" customWidth="1"/>
    <col min="775" max="775" width="8.85546875" style="14" customWidth="1"/>
    <col min="776" max="776" width="10.85546875" style="14" customWidth="1"/>
    <col min="777" max="777" width="2.85546875" style="14" customWidth="1"/>
    <col min="778" max="778" width="12.140625" style="14" customWidth="1"/>
    <col min="779" max="779" width="10.140625" style="14" customWidth="1"/>
    <col min="780" max="780" width="11.7109375" style="14" customWidth="1"/>
    <col min="781" max="781" width="11.42578125" style="14" customWidth="1"/>
    <col min="782" max="782" width="12.7109375" style="14" customWidth="1"/>
    <col min="783" max="783" width="11.42578125" style="14" customWidth="1"/>
    <col min="784" max="784" width="10.7109375" style="14" customWidth="1"/>
    <col min="785" max="785" width="10.5703125" style="14" customWidth="1"/>
    <col min="786" max="786" width="11.28515625" style="14" customWidth="1"/>
    <col min="787" max="787" width="9.7109375" style="14" customWidth="1"/>
    <col min="788" max="788" width="12" style="14" customWidth="1"/>
    <col min="789" max="789" width="11.28515625" style="14" customWidth="1"/>
    <col min="790" max="1027" width="9.140625" style="14"/>
    <col min="1028" max="1028" width="5.7109375" style="14" customWidth="1"/>
    <col min="1029" max="1029" width="13.140625" style="14" customWidth="1"/>
    <col min="1030" max="1030" width="12.28515625" style="14" customWidth="1"/>
    <col min="1031" max="1031" width="8.85546875" style="14" customWidth="1"/>
    <col min="1032" max="1032" width="10.85546875" style="14" customWidth="1"/>
    <col min="1033" max="1033" width="2.85546875" style="14" customWidth="1"/>
    <col min="1034" max="1034" width="12.140625" style="14" customWidth="1"/>
    <col min="1035" max="1035" width="10.140625" style="14" customWidth="1"/>
    <col min="1036" max="1036" width="11.7109375" style="14" customWidth="1"/>
    <col min="1037" max="1037" width="11.42578125" style="14" customWidth="1"/>
    <col min="1038" max="1038" width="12.7109375" style="14" customWidth="1"/>
    <col min="1039" max="1039" width="11.42578125" style="14" customWidth="1"/>
    <col min="1040" max="1040" width="10.7109375" style="14" customWidth="1"/>
    <col min="1041" max="1041" width="10.5703125" style="14" customWidth="1"/>
    <col min="1042" max="1042" width="11.28515625" style="14" customWidth="1"/>
    <col min="1043" max="1043" width="9.7109375" style="14" customWidth="1"/>
    <col min="1044" max="1044" width="12" style="14" customWidth="1"/>
    <col min="1045" max="1045" width="11.28515625" style="14" customWidth="1"/>
    <col min="1046" max="1283" width="9.140625" style="14"/>
    <col min="1284" max="1284" width="5.7109375" style="14" customWidth="1"/>
    <col min="1285" max="1285" width="13.140625" style="14" customWidth="1"/>
    <col min="1286" max="1286" width="12.28515625" style="14" customWidth="1"/>
    <col min="1287" max="1287" width="8.85546875" style="14" customWidth="1"/>
    <col min="1288" max="1288" width="10.85546875" style="14" customWidth="1"/>
    <col min="1289" max="1289" width="2.85546875" style="14" customWidth="1"/>
    <col min="1290" max="1290" width="12.140625" style="14" customWidth="1"/>
    <col min="1291" max="1291" width="10.140625" style="14" customWidth="1"/>
    <col min="1292" max="1292" width="11.7109375" style="14" customWidth="1"/>
    <col min="1293" max="1293" width="11.42578125" style="14" customWidth="1"/>
    <col min="1294" max="1294" width="12.7109375" style="14" customWidth="1"/>
    <col min="1295" max="1295" width="11.42578125" style="14" customWidth="1"/>
    <col min="1296" max="1296" width="10.7109375" style="14" customWidth="1"/>
    <col min="1297" max="1297" width="10.5703125" style="14" customWidth="1"/>
    <col min="1298" max="1298" width="11.28515625" style="14" customWidth="1"/>
    <col min="1299" max="1299" width="9.7109375" style="14" customWidth="1"/>
    <col min="1300" max="1300" width="12" style="14" customWidth="1"/>
    <col min="1301" max="1301" width="11.28515625" style="14" customWidth="1"/>
    <col min="1302" max="1539" width="9.140625" style="14"/>
    <col min="1540" max="1540" width="5.7109375" style="14" customWidth="1"/>
    <col min="1541" max="1541" width="13.140625" style="14" customWidth="1"/>
    <col min="1542" max="1542" width="12.28515625" style="14" customWidth="1"/>
    <col min="1543" max="1543" width="8.85546875" style="14" customWidth="1"/>
    <col min="1544" max="1544" width="10.85546875" style="14" customWidth="1"/>
    <col min="1545" max="1545" width="2.85546875" style="14" customWidth="1"/>
    <col min="1546" max="1546" width="12.140625" style="14" customWidth="1"/>
    <col min="1547" max="1547" width="10.140625" style="14" customWidth="1"/>
    <col min="1548" max="1548" width="11.7109375" style="14" customWidth="1"/>
    <col min="1549" max="1549" width="11.42578125" style="14" customWidth="1"/>
    <col min="1550" max="1550" width="12.7109375" style="14" customWidth="1"/>
    <col min="1551" max="1551" width="11.42578125" style="14" customWidth="1"/>
    <col min="1552" max="1552" width="10.7109375" style="14" customWidth="1"/>
    <col min="1553" max="1553" width="10.5703125" style="14" customWidth="1"/>
    <col min="1554" max="1554" width="11.28515625" style="14" customWidth="1"/>
    <col min="1555" max="1555" width="9.7109375" style="14" customWidth="1"/>
    <col min="1556" max="1556" width="12" style="14" customWidth="1"/>
    <col min="1557" max="1557" width="11.28515625" style="14" customWidth="1"/>
    <col min="1558" max="1795" width="9.140625" style="14"/>
    <col min="1796" max="1796" width="5.7109375" style="14" customWidth="1"/>
    <col min="1797" max="1797" width="13.140625" style="14" customWidth="1"/>
    <col min="1798" max="1798" width="12.28515625" style="14" customWidth="1"/>
    <col min="1799" max="1799" width="8.85546875" style="14" customWidth="1"/>
    <col min="1800" max="1800" width="10.85546875" style="14" customWidth="1"/>
    <col min="1801" max="1801" width="2.85546875" style="14" customWidth="1"/>
    <col min="1802" max="1802" width="12.140625" style="14" customWidth="1"/>
    <col min="1803" max="1803" width="10.140625" style="14" customWidth="1"/>
    <col min="1804" max="1804" width="11.7109375" style="14" customWidth="1"/>
    <col min="1805" max="1805" width="11.42578125" style="14" customWidth="1"/>
    <col min="1806" max="1806" width="12.7109375" style="14" customWidth="1"/>
    <col min="1807" max="1807" width="11.42578125" style="14" customWidth="1"/>
    <col min="1808" max="1808" width="10.7109375" style="14" customWidth="1"/>
    <col min="1809" max="1809" width="10.5703125" style="14" customWidth="1"/>
    <col min="1810" max="1810" width="11.28515625" style="14" customWidth="1"/>
    <col min="1811" max="1811" width="9.7109375" style="14" customWidth="1"/>
    <col min="1812" max="1812" width="12" style="14" customWidth="1"/>
    <col min="1813" max="1813" width="11.28515625" style="14" customWidth="1"/>
    <col min="1814" max="2051" width="9.140625" style="14"/>
    <col min="2052" max="2052" width="5.7109375" style="14" customWidth="1"/>
    <col min="2053" max="2053" width="13.140625" style="14" customWidth="1"/>
    <col min="2054" max="2054" width="12.28515625" style="14" customWidth="1"/>
    <col min="2055" max="2055" width="8.85546875" style="14" customWidth="1"/>
    <col min="2056" max="2056" width="10.85546875" style="14" customWidth="1"/>
    <col min="2057" max="2057" width="2.85546875" style="14" customWidth="1"/>
    <col min="2058" max="2058" width="12.140625" style="14" customWidth="1"/>
    <col min="2059" max="2059" width="10.140625" style="14" customWidth="1"/>
    <col min="2060" max="2060" width="11.7109375" style="14" customWidth="1"/>
    <col min="2061" max="2061" width="11.42578125" style="14" customWidth="1"/>
    <col min="2062" max="2062" width="12.7109375" style="14" customWidth="1"/>
    <col min="2063" max="2063" width="11.42578125" style="14" customWidth="1"/>
    <col min="2064" max="2064" width="10.7109375" style="14" customWidth="1"/>
    <col min="2065" max="2065" width="10.5703125" style="14" customWidth="1"/>
    <col min="2066" max="2066" width="11.28515625" style="14" customWidth="1"/>
    <col min="2067" max="2067" width="9.7109375" style="14" customWidth="1"/>
    <col min="2068" max="2068" width="12" style="14" customWidth="1"/>
    <col min="2069" max="2069" width="11.28515625" style="14" customWidth="1"/>
    <col min="2070" max="2307" width="9.140625" style="14"/>
    <col min="2308" max="2308" width="5.7109375" style="14" customWidth="1"/>
    <col min="2309" max="2309" width="13.140625" style="14" customWidth="1"/>
    <col min="2310" max="2310" width="12.28515625" style="14" customWidth="1"/>
    <col min="2311" max="2311" width="8.85546875" style="14" customWidth="1"/>
    <col min="2312" max="2312" width="10.85546875" style="14" customWidth="1"/>
    <col min="2313" max="2313" width="2.85546875" style="14" customWidth="1"/>
    <col min="2314" max="2314" width="12.140625" style="14" customWidth="1"/>
    <col min="2315" max="2315" width="10.140625" style="14" customWidth="1"/>
    <col min="2316" max="2316" width="11.7109375" style="14" customWidth="1"/>
    <col min="2317" max="2317" width="11.42578125" style="14" customWidth="1"/>
    <col min="2318" max="2318" width="12.7109375" style="14" customWidth="1"/>
    <col min="2319" max="2319" width="11.42578125" style="14" customWidth="1"/>
    <col min="2320" max="2320" width="10.7109375" style="14" customWidth="1"/>
    <col min="2321" max="2321" width="10.5703125" style="14" customWidth="1"/>
    <col min="2322" max="2322" width="11.28515625" style="14" customWidth="1"/>
    <col min="2323" max="2323" width="9.7109375" style="14" customWidth="1"/>
    <col min="2324" max="2324" width="12" style="14" customWidth="1"/>
    <col min="2325" max="2325" width="11.28515625" style="14" customWidth="1"/>
    <col min="2326" max="2563" width="9.140625" style="14"/>
    <col min="2564" max="2564" width="5.7109375" style="14" customWidth="1"/>
    <col min="2565" max="2565" width="13.140625" style="14" customWidth="1"/>
    <col min="2566" max="2566" width="12.28515625" style="14" customWidth="1"/>
    <col min="2567" max="2567" width="8.85546875" style="14" customWidth="1"/>
    <col min="2568" max="2568" width="10.85546875" style="14" customWidth="1"/>
    <col min="2569" max="2569" width="2.85546875" style="14" customWidth="1"/>
    <col min="2570" max="2570" width="12.140625" style="14" customWidth="1"/>
    <col min="2571" max="2571" width="10.140625" style="14" customWidth="1"/>
    <col min="2572" max="2572" width="11.7109375" style="14" customWidth="1"/>
    <col min="2573" max="2573" width="11.42578125" style="14" customWidth="1"/>
    <col min="2574" max="2574" width="12.7109375" style="14" customWidth="1"/>
    <col min="2575" max="2575" width="11.42578125" style="14" customWidth="1"/>
    <col min="2576" max="2576" width="10.7109375" style="14" customWidth="1"/>
    <col min="2577" max="2577" width="10.5703125" style="14" customWidth="1"/>
    <col min="2578" max="2578" width="11.28515625" style="14" customWidth="1"/>
    <col min="2579" max="2579" width="9.7109375" style="14" customWidth="1"/>
    <col min="2580" max="2580" width="12" style="14" customWidth="1"/>
    <col min="2581" max="2581" width="11.28515625" style="14" customWidth="1"/>
    <col min="2582" max="2819" width="9.140625" style="14"/>
    <col min="2820" max="2820" width="5.7109375" style="14" customWidth="1"/>
    <col min="2821" max="2821" width="13.140625" style="14" customWidth="1"/>
    <col min="2822" max="2822" width="12.28515625" style="14" customWidth="1"/>
    <col min="2823" max="2823" width="8.85546875" style="14" customWidth="1"/>
    <col min="2824" max="2824" width="10.85546875" style="14" customWidth="1"/>
    <col min="2825" max="2825" width="2.85546875" style="14" customWidth="1"/>
    <col min="2826" max="2826" width="12.140625" style="14" customWidth="1"/>
    <col min="2827" max="2827" width="10.140625" style="14" customWidth="1"/>
    <col min="2828" max="2828" width="11.7109375" style="14" customWidth="1"/>
    <col min="2829" max="2829" width="11.42578125" style="14" customWidth="1"/>
    <col min="2830" max="2830" width="12.7109375" style="14" customWidth="1"/>
    <col min="2831" max="2831" width="11.42578125" style="14" customWidth="1"/>
    <col min="2832" max="2832" width="10.7109375" style="14" customWidth="1"/>
    <col min="2833" max="2833" width="10.5703125" style="14" customWidth="1"/>
    <col min="2834" max="2834" width="11.28515625" style="14" customWidth="1"/>
    <col min="2835" max="2835" width="9.7109375" style="14" customWidth="1"/>
    <col min="2836" max="2836" width="12" style="14" customWidth="1"/>
    <col min="2837" max="2837" width="11.28515625" style="14" customWidth="1"/>
    <col min="2838" max="3075" width="9.140625" style="14"/>
    <col min="3076" max="3076" width="5.7109375" style="14" customWidth="1"/>
    <col min="3077" max="3077" width="13.140625" style="14" customWidth="1"/>
    <col min="3078" max="3078" width="12.28515625" style="14" customWidth="1"/>
    <col min="3079" max="3079" width="8.85546875" style="14" customWidth="1"/>
    <col min="3080" max="3080" width="10.85546875" style="14" customWidth="1"/>
    <col min="3081" max="3081" width="2.85546875" style="14" customWidth="1"/>
    <col min="3082" max="3082" width="12.140625" style="14" customWidth="1"/>
    <col min="3083" max="3083" width="10.140625" style="14" customWidth="1"/>
    <col min="3084" max="3084" width="11.7109375" style="14" customWidth="1"/>
    <col min="3085" max="3085" width="11.42578125" style="14" customWidth="1"/>
    <col min="3086" max="3086" width="12.7109375" style="14" customWidth="1"/>
    <col min="3087" max="3087" width="11.42578125" style="14" customWidth="1"/>
    <col min="3088" max="3088" width="10.7109375" style="14" customWidth="1"/>
    <col min="3089" max="3089" width="10.5703125" style="14" customWidth="1"/>
    <col min="3090" max="3090" width="11.28515625" style="14" customWidth="1"/>
    <col min="3091" max="3091" width="9.7109375" style="14" customWidth="1"/>
    <col min="3092" max="3092" width="12" style="14" customWidth="1"/>
    <col min="3093" max="3093" width="11.28515625" style="14" customWidth="1"/>
    <col min="3094" max="3331" width="9.140625" style="14"/>
    <col min="3332" max="3332" width="5.7109375" style="14" customWidth="1"/>
    <col min="3333" max="3333" width="13.140625" style="14" customWidth="1"/>
    <col min="3334" max="3334" width="12.28515625" style="14" customWidth="1"/>
    <col min="3335" max="3335" width="8.85546875" style="14" customWidth="1"/>
    <col min="3336" max="3336" width="10.85546875" style="14" customWidth="1"/>
    <col min="3337" max="3337" width="2.85546875" style="14" customWidth="1"/>
    <col min="3338" max="3338" width="12.140625" style="14" customWidth="1"/>
    <col min="3339" max="3339" width="10.140625" style="14" customWidth="1"/>
    <col min="3340" max="3340" width="11.7109375" style="14" customWidth="1"/>
    <col min="3341" max="3341" width="11.42578125" style="14" customWidth="1"/>
    <col min="3342" max="3342" width="12.7109375" style="14" customWidth="1"/>
    <col min="3343" max="3343" width="11.42578125" style="14" customWidth="1"/>
    <col min="3344" max="3344" width="10.7109375" style="14" customWidth="1"/>
    <col min="3345" max="3345" width="10.5703125" style="14" customWidth="1"/>
    <col min="3346" max="3346" width="11.28515625" style="14" customWidth="1"/>
    <col min="3347" max="3347" width="9.7109375" style="14" customWidth="1"/>
    <col min="3348" max="3348" width="12" style="14" customWidth="1"/>
    <col min="3349" max="3349" width="11.28515625" style="14" customWidth="1"/>
    <col min="3350" max="3587" width="9.140625" style="14"/>
    <col min="3588" max="3588" width="5.7109375" style="14" customWidth="1"/>
    <col min="3589" max="3589" width="13.140625" style="14" customWidth="1"/>
    <col min="3590" max="3590" width="12.28515625" style="14" customWidth="1"/>
    <col min="3591" max="3591" width="8.85546875" style="14" customWidth="1"/>
    <col min="3592" max="3592" width="10.85546875" style="14" customWidth="1"/>
    <col min="3593" max="3593" width="2.85546875" style="14" customWidth="1"/>
    <col min="3594" max="3594" width="12.140625" style="14" customWidth="1"/>
    <col min="3595" max="3595" width="10.140625" style="14" customWidth="1"/>
    <col min="3596" max="3596" width="11.7109375" style="14" customWidth="1"/>
    <col min="3597" max="3597" width="11.42578125" style="14" customWidth="1"/>
    <col min="3598" max="3598" width="12.7109375" style="14" customWidth="1"/>
    <col min="3599" max="3599" width="11.42578125" style="14" customWidth="1"/>
    <col min="3600" max="3600" width="10.7109375" style="14" customWidth="1"/>
    <col min="3601" max="3601" width="10.5703125" style="14" customWidth="1"/>
    <col min="3602" max="3602" width="11.28515625" style="14" customWidth="1"/>
    <col min="3603" max="3603" width="9.7109375" style="14" customWidth="1"/>
    <col min="3604" max="3604" width="12" style="14" customWidth="1"/>
    <col min="3605" max="3605" width="11.28515625" style="14" customWidth="1"/>
    <col min="3606" max="3843" width="9.140625" style="14"/>
    <col min="3844" max="3844" width="5.7109375" style="14" customWidth="1"/>
    <col min="3845" max="3845" width="13.140625" style="14" customWidth="1"/>
    <col min="3846" max="3846" width="12.28515625" style="14" customWidth="1"/>
    <col min="3847" max="3847" width="8.85546875" style="14" customWidth="1"/>
    <col min="3848" max="3848" width="10.85546875" style="14" customWidth="1"/>
    <col min="3849" max="3849" width="2.85546875" style="14" customWidth="1"/>
    <col min="3850" max="3850" width="12.140625" style="14" customWidth="1"/>
    <col min="3851" max="3851" width="10.140625" style="14" customWidth="1"/>
    <col min="3852" max="3852" width="11.7109375" style="14" customWidth="1"/>
    <col min="3853" max="3853" width="11.42578125" style="14" customWidth="1"/>
    <col min="3854" max="3854" width="12.7109375" style="14" customWidth="1"/>
    <col min="3855" max="3855" width="11.42578125" style="14" customWidth="1"/>
    <col min="3856" max="3856" width="10.7109375" style="14" customWidth="1"/>
    <col min="3857" max="3857" width="10.5703125" style="14" customWidth="1"/>
    <col min="3858" max="3858" width="11.28515625" style="14" customWidth="1"/>
    <col min="3859" max="3859" width="9.7109375" style="14" customWidth="1"/>
    <col min="3860" max="3860" width="12" style="14" customWidth="1"/>
    <col min="3861" max="3861" width="11.28515625" style="14" customWidth="1"/>
    <col min="3862" max="4099" width="9.140625" style="14"/>
    <col min="4100" max="4100" width="5.7109375" style="14" customWidth="1"/>
    <col min="4101" max="4101" width="13.140625" style="14" customWidth="1"/>
    <col min="4102" max="4102" width="12.28515625" style="14" customWidth="1"/>
    <col min="4103" max="4103" width="8.85546875" style="14" customWidth="1"/>
    <col min="4104" max="4104" width="10.85546875" style="14" customWidth="1"/>
    <col min="4105" max="4105" width="2.85546875" style="14" customWidth="1"/>
    <col min="4106" max="4106" width="12.140625" style="14" customWidth="1"/>
    <col min="4107" max="4107" width="10.140625" style="14" customWidth="1"/>
    <col min="4108" max="4108" width="11.7109375" style="14" customWidth="1"/>
    <col min="4109" max="4109" width="11.42578125" style="14" customWidth="1"/>
    <col min="4110" max="4110" width="12.7109375" style="14" customWidth="1"/>
    <col min="4111" max="4111" width="11.42578125" style="14" customWidth="1"/>
    <col min="4112" max="4112" width="10.7109375" style="14" customWidth="1"/>
    <col min="4113" max="4113" width="10.5703125" style="14" customWidth="1"/>
    <col min="4114" max="4114" width="11.28515625" style="14" customWidth="1"/>
    <col min="4115" max="4115" width="9.7109375" style="14" customWidth="1"/>
    <col min="4116" max="4116" width="12" style="14" customWidth="1"/>
    <col min="4117" max="4117" width="11.28515625" style="14" customWidth="1"/>
    <col min="4118" max="4355" width="9.140625" style="14"/>
    <col min="4356" max="4356" width="5.7109375" style="14" customWidth="1"/>
    <col min="4357" max="4357" width="13.140625" style="14" customWidth="1"/>
    <col min="4358" max="4358" width="12.28515625" style="14" customWidth="1"/>
    <col min="4359" max="4359" width="8.85546875" style="14" customWidth="1"/>
    <col min="4360" max="4360" width="10.85546875" style="14" customWidth="1"/>
    <col min="4361" max="4361" width="2.85546875" style="14" customWidth="1"/>
    <col min="4362" max="4362" width="12.140625" style="14" customWidth="1"/>
    <col min="4363" max="4363" width="10.140625" style="14" customWidth="1"/>
    <col min="4364" max="4364" width="11.7109375" style="14" customWidth="1"/>
    <col min="4365" max="4365" width="11.42578125" style="14" customWidth="1"/>
    <col min="4366" max="4366" width="12.7109375" style="14" customWidth="1"/>
    <col min="4367" max="4367" width="11.42578125" style="14" customWidth="1"/>
    <col min="4368" max="4368" width="10.7109375" style="14" customWidth="1"/>
    <col min="4369" max="4369" width="10.5703125" style="14" customWidth="1"/>
    <col min="4370" max="4370" width="11.28515625" style="14" customWidth="1"/>
    <col min="4371" max="4371" width="9.7109375" style="14" customWidth="1"/>
    <col min="4372" max="4372" width="12" style="14" customWidth="1"/>
    <col min="4373" max="4373" width="11.28515625" style="14" customWidth="1"/>
    <col min="4374" max="4611" width="9.140625" style="14"/>
    <col min="4612" max="4612" width="5.7109375" style="14" customWidth="1"/>
    <col min="4613" max="4613" width="13.140625" style="14" customWidth="1"/>
    <col min="4614" max="4614" width="12.28515625" style="14" customWidth="1"/>
    <col min="4615" max="4615" width="8.85546875" style="14" customWidth="1"/>
    <col min="4616" max="4616" width="10.85546875" style="14" customWidth="1"/>
    <col min="4617" max="4617" width="2.85546875" style="14" customWidth="1"/>
    <col min="4618" max="4618" width="12.140625" style="14" customWidth="1"/>
    <col min="4619" max="4619" width="10.140625" style="14" customWidth="1"/>
    <col min="4620" max="4620" width="11.7109375" style="14" customWidth="1"/>
    <col min="4621" max="4621" width="11.42578125" style="14" customWidth="1"/>
    <col min="4622" max="4622" width="12.7109375" style="14" customWidth="1"/>
    <col min="4623" max="4623" width="11.42578125" style="14" customWidth="1"/>
    <col min="4624" max="4624" width="10.7109375" style="14" customWidth="1"/>
    <col min="4625" max="4625" width="10.5703125" style="14" customWidth="1"/>
    <col min="4626" max="4626" width="11.28515625" style="14" customWidth="1"/>
    <col min="4627" max="4627" width="9.7109375" style="14" customWidth="1"/>
    <col min="4628" max="4628" width="12" style="14" customWidth="1"/>
    <col min="4629" max="4629" width="11.28515625" style="14" customWidth="1"/>
    <col min="4630" max="4867" width="9.140625" style="14"/>
    <col min="4868" max="4868" width="5.7109375" style="14" customWidth="1"/>
    <col min="4869" max="4869" width="13.140625" style="14" customWidth="1"/>
    <col min="4870" max="4870" width="12.28515625" style="14" customWidth="1"/>
    <col min="4871" max="4871" width="8.85546875" style="14" customWidth="1"/>
    <col min="4872" max="4872" width="10.85546875" style="14" customWidth="1"/>
    <col min="4873" max="4873" width="2.85546875" style="14" customWidth="1"/>
    <col min="4874" max="4874" width="12.140625" style="14" customWidth="1"/>
    <col min="4875" max="4875" width="10.140625" style="14" customWidth="1"/>
    <col min="4876" max="4876" width="11.7109375" style="14" customWidth="1"/>
    <col min="4877" max="4877" width="11.42578125" style="14" customWidth="1"/>
    <col min="4878" max="4878" width="12.7109375" style="14" customWidth="1"/>
    <col min="4879" max="4879" width="11.42578125" style="14" customWidth="1"/>
    <col min="4880" max="4880" width="10.7109375" style="14" customWidth="1"/>
    <col min="4881" max="4881" width="10.5703125" style="14" customWidth="1"/>
    <col min="4882" max="4882" width="11.28515625" style="14" customWidth="1"/>
    <col min="4883" max="4883" width="9.7109375" style="14" customWidth="1"/>
    <col min="4884" max="4884" width="12" style="14" customWidth="1"/>
    <col min="4885" max="4885" width="11.28515625" style="14" customWidth="1"/>
    <col min="4886" max="5123" width="9.140625" style="14"/>
    <col min="5124" max="5124" width="5.7109375" style="14" customWidth="1"/>
    <col min="5125" max="5125" width="13.140625" style="14" customWidth="1"/>
    <col min="5126" max="5126" width="12.28515625" style="14" customWidth="1"/>
    <col min="5127" max="5127" width="8.85546875" style="14" customWidth="1"/>
    <col min="5128" max="5128" width="10.85546875" style="14" customWidth="1"/>
    <col min="5129" max="5129" width="2.85546875" style="14" customWidth="1"/>
    <col min="5130" max="5130" width="12.140625" style="14" customWidth="1"/>
    <col min="5131" max="5131" width="10.140625" style="14" customWidth="1"/>
    <col min="5132" max="5132" width="11.7109375" style="14" customWidth="1"/>
    <col min="5133" max="5133" width="11.42578125" style="14" customWidth="1"/>
    <col min="5134" max="5134" width="12.7109375" style="14" customWidth="1"/>
    <col min="5135" max="5135" width="11.42578125" style="14" customWidth="1"/>
    <col min="5136" max="5136" width="10.7109375" style="14" customWidth="1"/>
    <col min="5137" max="5137" width="10.5703125" style="14" customWidth="1"/>
    <col min="5138" max="5138" width="11.28515625" style="14" customWidth="1"/>
    <col min="5139" max="5139" width="9.7109375" style="14" customWidth="1"/>
    <col min="5140" max="5140" width="12" style="14" customWidth="1"/>
    <col min="5141" max="5141" width="11.28515625" style="14" customWidth="1"/>
    <col min="5142" max="5379" width="9.140625" style="14"/>
    <col min="5380" max="5380" width="5.7109375" style="14" customWidth="1"/>
    <col min="5381" max="5381" width="13.140625" style="14" customWidth="1"/>
    <col min="5382" max="5382" width="12.28515625" style="14" customWidth="1"/>
    <col min="5383" max="5383" width="8.85546875" style="14" customWidth="1"/>
    <col min="5384" max="5384" width="10.85546875" style="14" customWidth="1"/>
    <col min="5385" max="5385" width="2.85546875" style="14" customWidth="1"/>
    <col min="5386" max="5386" width="12.140625" style="14" customWidth="1"/>
    <col min="5387" max="5387" width="10.140625" style="14" customWidth="1"/>
    <col min="5388" max="5388" width="11.7109375" style="14" customWidth="1"/>
    <col min="5389" max="5389" width="11.42578125" style="14" customWidth="1"/>
    <col min="5390" max="5390" width="12.7109375" style="14" customWidth="1"/>
    <col min="5391" max="5391" width="11.42578125" style="14" customWidth="1"/>
    <col min="5392" max="5392" width="10.7109375" style="14" customWidth="1"/>
    <col min="5393" max="5393" width="10.5703125" style="14" customWidth="1"/>
    <col min="5394" max="5394" width="11.28515625" style="14" customWidth="1"/>
    <col min="5395" max="5395" width="9.7109375" style="14" customWidth="1"/>
    <col min="5396" max="5396" width="12" style="14" customWidth="1"/>
    <col min="5397" max="5397" width="11.28515625" style="14" customWidth="1"/>
    <col min="5398" max="5635" width="9.140625" style="14"/>
    <col min="5636" max="5636" width="5.7109375" style="14" customWidth="1"/>
    <col min="5637" max="5637" width="13.140625" style="14" customWidth="1"/>
    <col min="5638" max="5638" width="12.28515625" style="14" customWidth="1"/>
    <col min="5639" max="5639" width="8.85546875" style="14" customWidth="1"/>
    <col min="5640" max="5640" width="10.85546875" style="14" customWidth="1"/>
    <col min="5641" max="5641" width="2.85546875" style="14" customWidth="1"/>
    <col min="5642" max="5642" width="12.140625" style="14" customWidth="1"/>
    <col min="5643" max="5643" width="10.140625" style="14" customWidth="1"/>
    <col min="5644" max="5644" width="11.7109375" style="14" customWidth="1"/>
    <col min="5645" max="5645" width="11.42578125" style="14" customWidth="1"/>
    <col min="5646" max="5646" width="12.7109375" style="14" customWidth="1"/>
    <col min="5647" max="5647" width="11.42578125" style="14" customWidth="1"/>
    <col min="5648" max="5648" width="10.7109375" style="14" customWidth="1"/>
    <col min="5649" max="5649" width="10.5703125" style="14" customWidth="1"/>
    <col min="5650" max="5650" width="11.28515625" style="14" customWidth="1"/>
    <col min="5651" max="5651" width="9.7109375" style="14" customWidth="1"/>
    <col min="5652" max="5652" width="12" style="14" customWidth="1"/>
    <col min="5653" max="5653" width="11.28515625" style="14" customWidth="1"/>
    <col min="5654" max="5891" width="9.140625" style="14"/>
    <col min="5892" max="5892" width="5.7109375" style="14" customWidth="1"/>
    <col min="5893" max="5893" width="13.140625" style="14" customWidth="1"/>
    <col min="5894" max="5894" width="12.28515625" style="14" customWidth="1"/>
    <col min="5895" max="5895" width="8.85546875" style="14" customWidth="1"/>
    <col min="5896" max="5896" width="10.85546875" style="14" customWidth="1"/>
    <col min="5897" max="5897" width="2.85546875" style="14" customWidth="1"/>
    <col min="5898" max="5898" width="12.140625" style="14" customWidth="1"/>
    <col min="5899" max="5899" width="10.140625" style="14" customWidth="1"/>
    <col min="5900" max="5900" width="11.7109375" style="14" customWidth="1"/>
    <col min="5901" max="5901" width="11.42578125" style="14" customWidth="1"/>
    <col min="5902" max="5902" width="12.7109375" style="14" customWidth="1"/>
    <col min="5903" max="5903" width="11.42578125" style="14" customWidth="1"/>
    <col min="5904" max="5904" width="10.7109375" style="14" customWidth="1"/>
    <col min="5905" max="5905" width="10.5703125" style="14" customWidth="1"/>
    <col min="5906" max="5906" width="11.28515625" style="14" customWidth="1"/>
    <col min="5907" max="5907" width="9.7109375" style="14" customWidth="1"/>
    <col min="5908" max="5908" width="12" style="14" customWidth="1"/>
    <col min="5909" max="5909" width="11.28515625" style="14" customWidth="1"/>
    <col min="5910" max="6147" width="9.140625" style="14"/>
    <col min="6148" max="6148" width="5.7109375" style="14" customWidth="1"/>
    <col min="6149" max="6149" width="13.140625" style="14" customWidth="1"/>
    <col min="6150" max="6150" width="12.28515625" style="14" customWidth="1"/>
    <col min="6151" max="6151" width="8.85546875" style="14" customWidth="1"/>
    <col min="6152" max="6152" width="10.85546875" style="14" customWidth="1"/>
    <col min="6153" max="6153" width="2.85546875" style="14" customWidth="1"/>
    <col min="6154" max="6154" width="12.140625" style="14" customWidth="1"/>
    <col min="6155" max="6155" width="10.140625" style="14" customWidth="1"/>
    <col min="6156" max="6156" width="11.7109375" style="14" customWidth="1"/>
    <col min="6157" max="6157" width="11.42578125" style="14" customWidth="1"/>
    <col min="6158" max="6158" width="12.7109375" style="14" customWidth="1"/>
    <col min="6159" max="6159" width="11.42578125" style="14" customWidth="1"/>
    <col min="6160" max="6160" width="10.7109375" style="14" customWidth="1"/>
    <col min="6161" max="6161" width="10.5703125" style="14" customWidth="1"/>
    <col min="6162" max="6162" width="11.28515625" style="14" customWidth="1"/>
    <col min="6163" max="6163" width="9.7109375" style="14" customWidth="1"/>
    <col min="6164" max="6164" width="12" style="14" customWidth="1"/>
    <col min="6165" max="6165" width="11.28515625" style="14" customWidth="1"/>
    <col min="6166" max="6403" width="9.140625" style="14"/>
    <col min="6404" max="6404" width="5.7109375" style="14" customWidth="1"/>
    <col min="6405" max="6405" width="13.140625" style="14" customWidth="1"/>
    <col min="6406" max="6406" width="12.28515625" style="14" customWidth="1"/>
    <col min="6407" max="6407" width="8.85546875" style="14" customWidth="1"/>
    <col min="6408" max="6408" width="10.85546875" style="14" customWidth="1"/>
    <col min="6409" max="6409" width="2.85546875" style="14" customWidth="1"/>
    <col min="6410" max="6410" width="12.140625" style="14" customWidth="1"/>
    <col min="6411" max="6411" width="10.140625" style="14" customWidth="1"/>
    <col min="6412" max="6412" width="11.7109375" style="14" customWidth="1"/>
    <col min="6413" max="6413" width="11.42578125" style="14" customWidth="1"/>
    <col min="6414" max="6414" width="12.7109375" style="14" customWidth="1"/>
    <col min="6415" max="6415" width="11.42578125" style="14" customWidth="1"/>
    <col min="6416" max="6416" width="10.7109375" style="14" customWidth="1"/>
    <col min="6417" max="6417" width="10.5703125" style="14" customWidth="1"/>
    <col min="6418" max="6418" width="11.28515625" style="14" customWidth="1"/>
    <col min="6419" max="6419" width="9.7109375" style="14" customWidth="1"/>
    <col min="6420" max="6420" width="12" style="14" customWidth="1"/>
    <col min="6421" max="6421" width="11.28515625" style="14" customWidth="1"/>
    <col min="6422" max="6659" width="9.140625" style="14"/>
    <col min="6660" max="6660" width="5.7109375" style="14" customWidth="1"/>
    <col min="6661" max="6661" width="13.140625" style="14" customWidth="1"/>
    <col min="6662" max="6662" width="12.28515625" style="14" customWidth="1"/>
    <col min="6663" max="6663" width="8.85546875" style="14" customWidth="1"/>
    <col min="6664" max="6664" width="10.85546875" style="14" customWidth="1"/>
    <col min="6665" max="6665" width="2.85546875" style="14" customWidth="1"/>
    <col min="6666" max="6666" width="12.140625" style="14" customWidth="1"/>
    <col min="6667" max="6667" width="10.140625" style="14" customWidth="1"/>
    <col min="6668" max="6668" width="11.7109375" style="14" customWidth="1"/>
    <col min="6669" max="6669" width="11.42578125" style="14" customWidth="1"/>
    <col min="6670" max="6670" width="12.7109375" style="14" customWidth="1"/>
    <col min="6671" max="6671" width="11.42578125" style="14" customWidth="1"/>
    <col min="6672" max="6672" width="10.7109375" style="14" customWidth="1"/>
    <col min="6673" max="6673" width="10.5703125" style="14" customWidth="1"/>
    <col min="6674" max="6674" width="11.28515625" style="14" customWidth="1"/>
    <col min="6675" max="6675" width="9.7109375" style="14" customWidth="1"/>
    <col min="6676" max="6676" width="12" style="14" customWidth="1"/>
    <col min="6677" max="6677" width="11.28515625" style="14" customWidth="1"/>
    <col min="6678" max="6915" width="9.140625" style="14"/>
    <col min="6916" max="6916" width="5.7109375" style="14" customWidth="1"/>
    <col min="6917" max="6917" width="13.140625" style="14" customWidth="1"/>
    <col min="6918" max="6918" width="12.28515625" style="14" customWidth="1"/>
    <col min="6919" max="6919" width="8.85546875" style="14" customWidth="1"/>
    <col min="6920" max="6920" width="10.85546875" style="14" customWidth="1"/>
    <col min="6921" max="6921" width="2.85546875" style="14" customWidth="1"/>
    <col min="6922" max="6922" width="12.140625" style="14" customWidth="1"/>
    <col min="6923" max="6923" width="10.140625" style="14" customWidth="1"/>
    <col min="6924" max="6924" width="11.7109375" style="14" customWidth="1"/>
    <col min="6925" max="6925" width="11.42578125" style="14" customWidth="1"/>
    <col min="6926" max="6926" width="12.7109375" style="14" customWidth="1"/>
    <col min="6927" max="6927" width="11.42578125" style="14" customWidth="1"/>
    <col min="6928" max="6928" width="10.7109375" style="14" customWidth="1"/>
    <col min="6929" max="6929" width="10.5703125" style="14" customWidth="1"/>
    <col min="6930" max="6930" width="11.28515625" style="14" customWidth="1"/>
    <col min="6931" max="6931" width="9.7109375" style="14" customWidth="1"/>
    <col min="6932" max="6932" width="12" style="14" customWidth="1"/>
    <col min="6933" max="6933" width="11.28515625" style="14" customWidth="1"/>
    <col min="6934" max="7171" width="9.140625" style="14"/>
    <col min="7172" max="7172" width="5.7109375" style="14" customWidth="1"/>
    <col min="7173" max="7173" width="13.140625" style="14" customWidth="1"/>
    <col min="7174" max="7174" width="12.28515625" style="14" customWidth="1"/>
    <col min="7175" max="7175" width="8.85546875" style="14" customWidth="1"/>
    <col min="7176" max="7176" width="10.85546875" style="14" customWidth="1"/>
    <col min="7177" max="7177" width="2.85546875" style="14" customWidth="1"/>
    <col min="7178" max="7178" width="12.140625" style="14" customWidth="1"/>
    <col min="7179" max="7179" width="10.140625" style="14" customWidth="1"/>
    <col min="7180" max="7180" width="11.7109375" style="14" customWidth="1"/>
    <col min="7181" max="7181" width="11.42578125" style="14" customWidth="1"/>
    <col min="7182" max="7182" width="12.7109375" style="14" customWidth="1"/>
    <col min="7183" max="7183" width="11.42578125" style="14" customWidth="1"/>
    <col min="7184" max="7184" width="10.7109375" style="14" customWidth="1"/>
    <col min="7185" max="7185" width="10.5703125" style="14" customWidth="1"/>
    <col min="7186" max="7186" width="11.28515625" style="14" customWidth="1"/>
    <col min="7187" max="7187" width="9.7109375" style="14" customWidth="1"/>
    <col min="7188" max="7188" width="12" style="14" customWidth="1"/>
    <col min="7189" max="7189" width="11.28515625" style="14" customWidth="1"/>
    <col min="7190" max="7427" width="9.140625" style="14"/>
    <col min="7428" max="7428" width="5.7109375" style="14" customWidth="1"/>
    <col min="7429" max="7429" width="13.140625" style="14" customWidth="1"/>
    <col min="7430" max="7430" width="12.28515625" style="14" customWidth="1"/>
    <col min="7431" max="7431" width="8.85546875" style="14" customWidth="1"/>
    <col min="7432" max="7432" width="10.85546875" style="14" customWidth="1"/>
    <col min="7433" max="7433" width="2.85546875" style="14" customWidth="1"/>
    <col min="7434" max="7434" width="12.140625" style="14" customWidth="1"/>
    <col min="7435" max="7435" width="10.140625" style="14" customWidth="1"/>
    <col min="7436" max="7436" width="11.7109375" style="14" customWidth="1"/>
    <col min="7437" max="7437" width="11.42578125" style="14" customWidth="1"/>
    <col min="7438" max="7438" width="12.7109375" style="14" customWidth="1"/>
    <col min="7439" max="7439" width="11.42578125" style="14" customWidth="1"/>
    <col min="7440" max="7440" width="10.7109375" style="14" customWidth="1"/>
    <col min="7441" max="7441" width="10.5703125" style="14" customWidth="1"/>
    <col min="7442" max="7442" width="11.28515625" style="14" customWidth="1"/>
    <col min="7443" max="7443" width="9.7109375" style="14" customWidth="1"/>
    <col min="7444" max="7444" width="12" style="14" customWidth="1"/>
    <col min="7445" max="7445" width="11.28515625" style="14" customWidth="1"/>
    <col min="7446" max="7683" width="9.140625" style="14"/>
    <col min="7684" max="7684" width="5.7109375" style="14" customWidth="1"/>
    <col min="7685" max="7685" width="13.140625" style="14" customWidth="1"/>
    <col min="7686" max="7686" width="12.28515625" style="14" customWidth="1"/>
    <col min="7687" max="7687" width="8.85546875" style="14" customWidth="1"/>
    <col min="7688" max="7688" width="10.85546875" style="14" customWidth="1"/>
    <col min="7689" max="7689" width="2.85546875" style="14" customWidth="1"/>
    <col min="7690" max="7690" width="12.140625" style="14" customWidth="1"/>
    <col min="7691" max="7691" width="10.140625" style="14" customWidth="1"/>
    <col min="7692" max="7692" width="11.7109375" style="14" customWidth="1"/>
    <col min="7693" max="7693" width="11.42578125" style="14" customWidth="1"/>
    <col min="7694" max="7694" width="12.7109375" style="14" customWidth="1"/>
    <col min="7695" max="7695" width="11.42578125" style="14" customWidth="1"/>
    <col min="7696" max="7696" width="10.7109375" style="14" customWidth="1"/>
    <col min="7697" max="7697" width="10.5703125" style="14" customWidth="1"/>
    <col min="7698" max="7698" width="11.28515625" style="14" customWidth="1"/>
    <col min="7699" max="7699" width="9.7109375" style="14" customWidth="1"/>
    <col min="7700" max="7700" width="12" style="14" customWidth="1"/>
    <col min="7701" max="7701" width="11.28515625" style="14" customWidth="1"/>
    <col min="7702" max="7939" width="9.140625" style="14"/>
    <col min="7940" max="7940" width="5.7109375" style="14" customWidth="1"/>
    <col min="7941" max="7941" width="13.140625" style="14" customWidth="1"/>
    <col min="7942" max="7942" width="12.28515625" style="14" customWidth="1"/>
    <col min="7943" max="7943" width="8.85546875" style="14" customWidth="1"/>
    <col min="7944" max="7944" width="10.85546875" style="14" customWidth="1"/>
    <col min="7945" max="7945" width="2.85546875" style="14" customWidth="1"/>
    <col min="7946" max="7946" width="12.140625" style="14" customWidth="1"/>
    <col min="7947" max="7947" width="10.140625" style="14" customWidth="1"/>
    <col min="7948" max="7948" width="11.7109375" style="14" customWidth="1"/>
    <col min="7949" max="7949" width="11.42578125" style="14" customWidth="1"/>
    <col min="7950" max="7950" width="12.7109375" style="14" customWidth="1"/>
    <col min="7951" max="7951" width="11.42578125" style="14" customWidth="1"/>
    <col min="7952" max="7952" width="10.7109375" style="14" customWidth="1"/>
    <col min="7953" max="7953" width="10.5703125" style="14" customWidth="1"/>
    <col min="7954" max="7954" width="11.28515625" style="14" customWidth="1"/>
    <col min="7955" max="7955" width="9.7109375" style="14" customWidth="1"/>
    <col min="7956" max="7956" width="12" style="14" customWidth="1"/>
    <col min="7957" max="7957" width="11.28515625" style="14" customWidth="1"/>
    <col min="7958" max="8195" width="9.140625" style="14"/>
    <col min="8196" max="8196" width="5.7109375" style="14" customWidth="1"/>
    <col min="8197" max="8197" width="13.140625" style="14" customWidth="1"/>
    <col min="8198" max="8198" width="12.28515625" style="14" customWidth="1"/>
    <col min="8199" max="8199" width="8.85546875" style="14" customWidth="1"/>
    <col min="8200" max="8200" width="10.85546875" style="14" customWidth="1"/>
    <col min="8201" max="8201" width="2.85546875" style="14" customWidth="1"/>
    <col min="8202" max="8202" width="12.140625" style="14" customWidth="1"/>
    <col min="8203" max="8203" width="10.140625" style="14" customWidth="1"/>
    <col min="8204" max="8204" width="11.7109375" style="14" customWidth="1"/>
    <col min="8205" max="8205" width="11.42578125" style="14" customWidth="1"/>
    <col min="8206" max="8206" width="12.7109375" style="14" customWidth="1"/>
    <col min="8207" max="8207" width="11.42578125" style="14" customWidth="1"/>
    <col min="8208" max="8208" width="10.7109375" style="14" customWidth="1"/>
    <col min="8209" max="8209" width="10.5703125" style="14" customWidth="1"/>
    <col min="8210" max="8210" width="11.28515625" style="14" customWidth="1"/>
    <col min="8211" max="8211" width="9.7109375" style="14" customWidth="1"/>
    <col min="8212" max="8212" width="12" style="14" customWidth="1"/>
    <col min="8213" max="8213" width="11.28515625" style="14" customWidth="1"/>
    <col min="8214" max="8451" width="9.140625" style="14"/>
    <col min="8452" max="8452" width="5.7109375" style="14" customWidth="1"/>
    <col min="8453" max="8453" width="13.140625" style="14" customWidth="1"/>
    <col min="8454" max="8454" width="12.28515625" style="14" customWidth="1"/>
    <col min="8455" max="8455" width="8.85546875" style="14" customWidth="1"/>
    <col min="8456" max="8456" width="10.85546875" style="14" customWidth="1"/>
    <col min="8457" max="8457" width="2.85546875" style="14" customWidth="1"/>
    <col min="8458" max="8458" width="12.140625" style="14" customWidth="1"/>
    <col min="8459" max="8459" width="10.140625" style="14" customWidth="1"/>
    <col min="8460" max="8460" width="11.7109375" style="14" customWidth="1"/>
    <col min="8461" max="8461" width="11.42578125" style="14" customWidth="1"/>
    <col min="8462" max="8462" width="12.7109375" style="14" customWidth="1"/>
    <col min="8463" max="8463" width="11.42578125" style="14" customWidth="1"/>
    <col min="8464" max="8464" width="10.7109375" style="14" customWidth="1"/>
    <col min="8465" max="8465" width="10.5703125" style="14" customWidth="1"/>
    <col min="8466" max="8466" width="11.28515625" style="14" customWidth="1"/>
    <col min="8467" max="8467" width="9.7109375" style="14" customWidth="1"/>
    <col min="8468" max="8468" width="12" style="14" customWidth="1"/>
    <col min="8469" max="8469" width="11.28515625" style="14" customWidth="1"/>
    <col min="8470" max="8707" width="9.140625" style="14"/>
    <col min="8708" max="8708" width="5.7109375" style="14" customWidth="1"/>
    <col min="8709" max="8709" width="13.140625" style="14" customWidth="1"/>
    <col min="8710" max="8710" width="12.28515625" style="14" customWidth="1"/>
    <col min="8711" max="8711" width="8.85546875" style="14" customWidth="1"/>
    <col min="8712" max="8712" width="10.85546875" style="14" customWidth="1"/>
    <col min="8713" max="8713" width="2.85546875" style="14" customWidth="1"/>
    <col min="8714" max="8714" width="12.140625" style="14" customWidth="1"/>
    <col min="8715" max="8715" width="10.140625" style="14" customWidth="1"/>
    <col min="8716" max="8716" width="11.7109375" style="14" customWidth="1"/>
    <col min="8717" max="8717" width="11.42578125" style="14" customWidth="1"/>
    <col min="8718" max="8718" width="12.7109375" style="14" customWidth="1"/>
    <col min="8719" max="8719" width="11.42578125" style="14" customWidth="1"/>
    <col min="8720" max="8720" width="10.7109375" style="14" customWidth="1"/>
    <col min="8721" max="8721" width="10.5703125" style="14" customWidth="1"/>
    <col min="8722" max="8722" width="11.28515625" style="14" customWidth="1"/>
    <col min="8723" max="8723" width="9.7109375" style="14" customWidth="1"/>
    <col min="8724" max="8724" width="12" style="14" customWidth="1"/>
    <col min="8725" max="8725" width="11.28515625" style="14" customWidth="1"/>
    <col min="8726" max="8963" width="9.140625" style="14"/>
    <col min="8964" max="8964" width="5.7109375" style="14" customWidth="1"/>
    <col min="8965" max="8965" width="13.140625" style="14" customWidth="1"/>
    <col min="8966" max="8966" width="12.28515625" style="14" customWidth="1"/>
    <col min="8967" max="8967" width="8.85546875" style="14" customWidth="1"/>
    <col min="8968" max="8968" width="10.85546875" style="14" customWidth="1"/>
    <col min="8969" max="8969" width="2.85546875" style="14" customWidth="1"/>
    <col min="8970" max="8970" width="12.140625" style="14" customWidth="1"/>
    <col min="8971" max="8971" width="10.140625" style="14" customWidth="1"/>
    <col min="8972" max="8972" width="11.7109375" style="14" customWidth="1"/>
    <col min="8973" max="8973" width="11.42578125" style="14" customWidth="1"/>
    <col min="8974" max="8974" width="12.7109375" style="14" customWidth="1"/>
    <col min="8975" max="8975" width="11.42578125" style="14" customWidth="1"/>
    <col min="8976" max="8976" width="10.7109375" style="14" customWidth="1"/>
    <col min="8977" max="8977" width="10.5703125" style="14" customWidth="1"/>
    <col min="8978" max="8978" width="11.28515625" style="14" customWidth="1"/>
    <col min="8979" max="8979" width="9.7109375" style="14" customWidth="1"/>
    <col min="8980" max="8980" width="12" style="14" customWidth="1"/>
    <col min="8981" max="8981" width="11.28515625" style="14" customWidth="1"/>
    <col min="8982" max="9219" width="9.140625" style="14"/>
    <col min="9220" max="9220" width="5.7109375" style="14" customWidth="1"/>
    <col min="9221" max="9221" width="13.140625" style="14" customWidth="1"/>
    <col min="9222" max="9222" width="12.28515625" style="14" customWidth="1"/>
    <col min="9223" max="9223" width="8.85546875" style="14" customWidth="1"/>
    <col min="9224" max="9224" width="10.85546875" style="14" customWidth="1"/>
    <col min="9225" max="9225" width="2.85546875" style="14" customWidth="1"/>
    <col min="9226" max="9226" width="12.140625" style="14" customWidth="1"/>
    <col min="9227" max="9227" width="10.140625" style="14" customWidth="1"/>
    <col min="9228" max="9228" width="11.7109375" style="14" customWidth="1"/>
    <col min="9229" max="9229" width="11.42578125" style="14" customWidth="1"/>
    <col min="9230" max="9230" width="12.7109375" style="14" customWidth="1"/>
    <col min="9231" max="9231" width="11.42578125" style="14" customWidth="1"/>
    <col min="9232" max="9232" width="10.7109375" style="14" customWidth="1"/>
    <col min="9233" max="9233" width="10.5703125" style="14" customWidth="1"/>
    <col min="9234" max="9234" width="11.28515625" style="14" customWidth="1"/>
    <col min="9235" max="9235" width="9.7109375" style="14" customWidth="1"/>
    <col min="9236" max="9236" width="12" style="14" customWidth="1"/>
    <col min="9237" max="9237" width="11.28515625" style="14" customWidth="1"/>
    <col min="9238" max="9475" width="9.140625" style="14"/>
    <col min="9476" max="9476" width="5.7109375" style="14" customWidth="1"/>
    <col min="9477" max="9477" width="13.140625" style="14" customWidth="1"/>
    <col min="9478" max="9478" width="12.28515625" style="14" customWidth="1"/>
    <col min="9479" max="9479" width="8.85546875" style="14" customWidth="1"/>
    <col min="9480" max="9480" width="10.85546875" style="14" customWidth="1"/>
    <col min="9481" max="9481" width="2.85546875" style="14" customWidth="1"/>
    <col min="9482" max="9482" width="12.140625" style="14" customWidth="1"/>
    <col min="9483" max="9483" width="10.140625" style="14" customWidth="1"/>
    <col min="9484" max="9484" width="11.7109375" style="14" customWidth="1"/>
    <col min="9485" max="9485" width="11.42578125" style="14" customWidth="1"/>
    <col min="9486" max="9486" width="12.7109375" style="14" customWidth="1"/>
    <col min="9487" max="9487" width="11.42578125" style="14" customWidth="1"/>
    <col min="9488" max="9488" width="10.7109375" style="14" customWidth="1"/>
    <col min="9489" max="9489" width="10.5703125" style="14" customWidth="1"/>
    <col min="9490" max="9490" width="11.28515625" style="14" customWidth="1"/>
    <col min="9491" max="9491" width="9.7109375" style="14" customWidth="1"/>
    <col min="9492" max="9492" width="12" style="14" customWidth="1"/>
    <col min="9493" max="9493" width="11.28515625" style="14" customWidth="1"/>
    <col min="9494" max="9731" width="9.140625" style="14"/>
    <col min="9732" max="9732" width="5.7109375" style="14" customWidth="1"/>
    <col min="9733" max="9733" width="13.140625" style="14" customWidth="1"/>
    <col min="9734" max="9734" width="12.28515625" style="14" customWidth="1"/>
    <col min="9735" max="9735" width="8.85546875" style="14" customWidth="1"/>
    <col min="9736" max="9736" width="10.85546875" style="14" customWidth="1"/>
    <col min="9737" max="9737" width="2.85546875" style="14" customWidth="1"/>
    <col min="9738" max="9738" width="12.140625" style="14" customWidth="1"/>
    <col min="9739" max="9739" width="10.140625" style="14" customWidth="1"/>
    <col min="9740" max="9740" width="11.7109375" style="14" customWidth="1"/>
    <col min="9741" max="9741" width="11.42578125" style="14" customWidth="1"/>
    <col min="9742" max="9742" width="12.7109375" style="14" customWidth="1"/>
    <col min="9743" max="9743" width="11.42578125" style="14" customWidth="1"/>
    <col min="9744" max="9744" width="10.7109375" style="14" customWidth="1"/>
    <col min="9745" max="9745" width="10.5703125" style="14" customWidth="1"/>
    <col min="9746" max="9746" width="11.28515625" style="14" customWidth="1"/>
    <col min="9747" max="9747" width="9.7109375" style="14" customWidth="1"/>
    <col min="9748" max="9748" width="12" style="14" customWidth="1"/>
    <col min="9749" max="9749" width="11.28515625" style="14" customWidth="1"/>
    <col min="9750" max="9987" width="9.140625" style="14"/>
    <col min="9988" max="9988" width="5.7109375" style="14" customWidth="1"/>
    <col min="9989" max="9989" width="13.140625" style="14" customWidth="1"/>
    <col min="9990" max="9990" width="12.28515625" style="14" customWidth="1"/>
    <col min="9991" max="9991" width="8.85546875" style="14" customWidth="1"/>
    <col min="9992" max="9992" width="10.85546875" style="14" customWidth="1"/>
    <col min="9993" max="9993" width="2.85546875" style="14" customWidth="1"/>
    <col min="9994" max="9994" width="12.140625" style="14" customWidth="1"/>
    <col min="9995" max="9995" width="10.140625" style="14" customWidth="1"/>
    <col min="9996" max="9996" width="11.7109375" style="14" customWidth="1"/>
    <col min="9997" max="9997" width="11.42578125" style="14" customWidth="1"/>
    <col min="9998" max="9998" width="12.7109375" style="14" customWidth="1"/>
    <col min="9999" max="9999" width="11.42578125" style="14" customWidth="1"/>
    <col min="10000" max="10000" width="10.7109375" style="14" customWidth="1"/>
    <col min="10001" max="10001" width="10.5703125" style="14" customWidth="1"/>
    <col min="10002" max="10002" width="11.28515625" style="14" customWidth="1"/>
    <col min="10003" max="10003" width="9.7109375" style="14" customWidth="1"/>
    <col min="10004" max="10004" width="12" style="14" customWidth="1"/>
    <col min="10005" max="10005" width="11.28515625" style="14" customWidth="1"/>
    <col min="10006" max="10243" width="9.140625" style="14"/>
    <col min="10244" max="10244" width="5.7109375" style="14" customWidth="1"/>
    <col min="10245" max="10245" width="13.140625" style="14" customWidth="1"/>
    <col min="10246" max="10246" width="12.28515625" style="14" customWidth="1"/>
    <col min="10247" max="10247" width="8.85546875" style="14" customWidth="1"/>
    <col min="10248" max="10248" width="10.85546875" style="14" customWidth="1"/>
    <col min="10249" max="10249" width="2.85546875" style="14" customWidth="1"/>
    <col min="10250" max="10250" width="12.140625" style="14" customWidth="1"/>
    <col min="10251" max="10251" width="10.140625" style="14" customWidth="1"/>
    <col min="10252" max="10252" width="11.7109375" style="14" customWidth="1"/>
    <col min="10253" max="10253" width="11.42578125" style="14" customWidth="1"/>
    <col min="10254" max="10254" width="12.7109375" style="14" customWidth="1"/>
    <col min="10255" max="10255" width="11.42578125" style="14" customWidth="1"/>
    <col min="10256" max="10256" width="10.7109375" style="14" customWidth="1"/>
    <col min="10257" max="10257" width="10.5703125" style="14" customWidth="1"/>
    <col min="10258" max="10258" width="11.28515625" style="14" customWidth="1"/>
    <col min="10259" max="10259" width="9.7109375" style="14" customWidth="1"/>
    <col min="10260" max="10260" width="12" style="14" customWidth="1"/>
    <col min="10261" max="10261" width="11.28515625" style="14" customWidth="1"/>
    <col min="10262" max="10499" width="9.140625" style="14"/>
    <col min="10500" max="10500" width="5.7109375" style="14" customWidth="1"/>
    <col min="10501" max="10501" width="13.140625" style="14" customWidth="1"/>
    <col min="10502" max="10502" width="12.28515625" style="14" customWidth="1"/>
    <col min="10503" max="10503" width="8.85546875" style="14" customWidth="1"/>
    <col min="10504" max="10504" width="10.85546875" style="14" customWidth="1"/>
    <col min="10505" max="10505" width="2.85546875" style="14" customWidth="1"/>
    <col min="10506" max="10506" width="12.140625" style="14" customWidth="1"/>
    <col min="10507" max="10507" width="10.140625" style="14" customWidth="1"/>
    <col min="10508" max="10508" width="11.7109375" style="14" customWidth="1"/>
    <col min="10509" max="10509" width="11.42578125" style="14" customWidth="1"/>
    <col min="10510" max="10510" width="12.7109375" style="14" customWidth="1"/>
    <col min="10511" max="10511" width="11.42578125" style="14" customWidth="1"/>
    <col min="10512" max="10512" width="10.7109375" style="14" customWidth="1"/>
    <col min="10513" max="10513" width="10.5703125" style="14" customWidth="1"/>
    <col min="10514" max="10514" width="11.28515625" style="14" customWidth="1"/>
    <col min="10515" max="10515" width="9.7109375" style="14" customWidth="1"/>
    <col min="10516" max="10516" width="12" style="14" customWidth="1"/>
    <col min="10517" max="10517" width="11.28515625" style="14" customWidth="1"/>
    <col min="10518" max="10755" width="9.140625" style="14"/>
    <col min="10756" max="10756" width="5.7109375" style="14" customWidth="1"/>
    <col min="10757" max="10757" width="13.140625" style="14" customWidth="1"/>
    <col min="10758" max="10758" width="12.28515625" style="14" customWidth="1"/>
    <col min="10759" max="10759" width="8.85546875" style="14" customWidth="1"/>
    <col min="10760" max="10760" width="10.85546875" style="14" customWidth="1"/>
    <col min="10761" max="10761" width="2.85546875" style="14" customWidth="1"/>
    <col min="10762" max="10762" width="12.140625" style="14" customWidth="1"/>
    <col min="10763" max="10763" width="10.140625" style="14" customWidth="1"/>
    <col min="10764" max="10764" width="11.7109375" style="14" customWidth="1"/>
    <col min="10765" max="10765" width="11.42578125" style="14" customWidth="1"/>
    <col min="10766" max="10766" width="12.7109375" style="14" customWidth="1"/>
    <col min="10767" max="10767" width="11.42578125" style="14" customWidth="1"/>
    <col min="10768" max="10768" width="10.7109375" style="14" customWidth="1"/>
    <col min="10769" max="10769" width="10.5703125" style="14" customWidth="1"/>
    <col min="10770" max="10770" width="11.28515625" style="14" customWidth="1"/>
    <col min="10771" max="10771" width="9.7109375" style="14" customWidth="1"/>
    <col min="10772" max="10772" width="12" style="14" customWidth="1"/>
    <col min="10773" max="10773" width="11.28515625" style="14" customWidth="1"/>
    <col min="10774" max="11011" width="9.140625" style="14"/>
    <col min="11012" max="11012" width="5.7109375" style="14" customWidth="1"/>
    <col min="11013" max="11013" width="13.140625" style="14" customWidth="1"/>
    <col min="11014" max="11014" width="12.28515625" style="14" customWidth="1"/>
    <col min="11015" max="11015" width="8.85546875" style="14" customWidth="1"/>
    <col min="11016" max="11016" width="10.85546875" style="14" customWidth="1"/>
    <col min="11017" max="11017" width="2.85546875" style="14" customWidth="1"/>
    <col min="11018" max="11018" width="12.140625" style="14" customWidth="1"/>
    <col min="11019" max="11019" width="10.140625" style="14" customWidth="1"/>
    <col min="11020" max="11020" width="11.7109375" style="14" customWidth="1"/>
    <col min="11021" max="11021" width="11.42578125" style="14" customWidth="1"/>
    <col min="11022" max="11022" width="12.7109375" style="14" customWidth="1"/>
    <col min="11023" max="11023" width="11.42578125" style="14" customWidth="1"/>
    <col min="11024" max="11024" width="10.7109375" style="14" customWidth="1"/>
    <col min="11025" max="11025" width="10.5703125" style="14" customWidth="1"/>
    <col min="11026" max="11026" width="11.28515625" style="14" customWidth="1"/>
    <col min="11027" max="11027" width="9.7109375" style="14" customWidth="1"/>
    <col min="11028" max="11028" width="12" style="14" customWidth="1"/>
    <col min="11029" max="11029" width="11.28515625" style="14" customWidth="1"/>
    <col min="11030" max="11267" width="9.140625" style="14"/>
    <col min="11268" max="11268" width="5.7109375" style="14" customWidth="1"/>
    <col min="11269" max="11269" width="13.140625" style="14" customWidth="1"/>
    <col min="11270" max="11270" width="12.28515625" style="14" customWidth="1"/>
    <col min="11271" max="11271" width="8.85546875" style="14" customWidth="1"/>
    <col min="11272" max="11272" width="10.85546875" style="14" customWidth="1"/>
    <col min="11273" max="11273" width="2.85546875" style="14" customWidth="1"/>
    <col min="11274" max="11274" width="12.140625" style="14" customWidth="1"/>
    <col min="11275" max="11275" width="10.140625" style="14" customWidth="1"/>
    <col min="11276" max="11276" width="11.7109375" style="14" customWidth="1"/>
    <col min="11277" max="11277" width="11.42578125" style="14" customWidth="1"/>
    <col min="11278" max="11278" width="12.7109375" style="14" customWidth="1"/>
    <col min="11279" max="11279" width="11.42578125" style="14" customWidth="1"/>
    <col min="11280" max="11280" width="10.7109375" style="14" customWidth="1"/>
    <col min="11281" max="11281" width="10.5703125" style="14" customWidth="1"/>
    <col min="11282" max="11282" width="11.28515625" style="14" customWidth="1"/>
    <col min="11283" max="11283" width="9.7109375" style="14" customWidth="1"/>
    <col min="11284" max="11284" width="12" style="14" customWidth="1"/>
    <col min="11285" max="11285" width="11.28515625" style="14" customWidth="1"/>
    <col min="11286" max="11523" width="9.140625" style="14"/>
    <col min="11524" max="11524" width="5.7109375" style="14" customWidth="1"/>
    <col min="11525" max="11525" width="13.140625" style="14" customWidth="1"/>
    <col min="11526" max="11526" width="12.28515625" style="14" customWidth="1"/>
    <col min="11527" max="11527" width="8.85546875" style="14" customWidth="1"/>
    <col min="11528" max="11528" width="10.85546875" style="14" customWidth="1"/>
    <col min="11529" max="11529" width="2.85546875" style="14" customWidth="1"/>
    <col min="11530" max="11530" width="12.140625" style="14" customWidth="1"/>
    <col min="11531" max="11531" width="10.140625" style="14" customWidth="1"/>
    <col min="11532" max="11532" width="11.7109375" style="14" customWidth="1"/>
    <col min="11533" max="11533" width="11.42578125" style="14" customWidth="1"/>
    <col min="11534" max="11534" width="12.7109375" style="14" customWidth="1"/>
    <col min="11535" max="11535" width="11.42578125" style="14" customWidth="1"/>
    <col min="11536" max="11536" width="10.7109375" style="14" customWidth="1"/>
    <col min="11537" max="11537" width="10.5703125" style="14" customWidth="1"/>
    <col min="11538" max="11538" width="11.28515625" style="14" customWidth="1"/>
    <col min="11539" max="11539" width="9.7109375" style="14" customWidth="1"/>
    <col min="11540" max="11540" width="12" style="14" customWidth="1"/>
    <col min="11541" max="11541" width="11.28515625" style="14" customWidth="1"/>
    <col min="11542" max="11779" width="9.140625" style="14"/>
    <col min="11780" max="11780" width="5.7109375" style="14" customWidth="1"/>
    <col min="11781" max="11781" width="13.140625" style="14" customWidth="1"/>
    <col min="11782" max="11782" width="12.28515625" style="14" customWidth="1"/>
    <col min="11783" max="11783" width="8.85546875" style="14" customWidth="1"/>
    <col min="11784" max="11784" width="10.85546875" style="14" customWidth="1"/>
    <col min="11785" max="11785" width="2.85546875" style="14" customWidth="1"/>
    <col min="11786" max="11786" width="12.140625" style="14" customWidth="1"/>
    <col min="11787" max="11787" width="10.140625" style="14" customWidth="1"/>
    <col min="11788" max="11788" width="11.7109375" style="14" customWidth="1"/>
    <col min="11789" max="11789" width="11.42578125" style="14" customWidth="1"/>
    <col min="11790" max="11790" width="12.7109375" style="14" customWidth="1"/>
    <col min="11791" max="11791" width="11.42578125" style="14" customWidth="1"/>
    <col min="11792" max="11792" width="10.7109375" style="14" customWidth="1"/>
    <col min="11793" max="11793" width="10.5703125" style="14" customWidth="1"/>
    <col min="11794" max="11794" width="11.28515625" style="14" customWidth="1"/>
    <col min="11795" max="11795" width="9.7109375" style="14" customWidth="1"/>
    <col min="11796" max="11796" width="12" style="14" customWidth="1"/>
    <col min="11797" max="11797" width="11.28515625" style="14" customWidth="1"/>
    <col min="11798" max="12035" width="9.140625" style="14"/>
    <col min="12036" max="12036" width="5.7109375" style="14" customWidth="1"/>
    <col min="12037" max="12037" width="13.140625" style="14" customWidth="1"/>
    <col min="12038" max="12038" width="12.28515625" style="14" customWidth="1"/>
    <col min="12039" max="12039" width="8.85546875" style="14" customWidth="1"/>
    <col min="12040" max="12040" width="10.85546875" style="14" customWidth="1"/>
    <col min="12041" max="12041" width="2.85546875" style="14" customWidth="1"/>
    <col min="12042" max="12042" width="12.140625" style="14" customWidth="1"/>
    <col min="12043" max="12043" width="10.140625" style="14" customWidth="1"/>
    <col min="12044" max="12044" width="11.7109375" style="14" customWidth="1"/>
    <col min="12045" max="12045" width="11.42578125" style="14" customWidth="1"/>
    <col min="12046" max="12046" width="12.7109375" style="14" customWidth="1"/>
    <col min="12047" max="12047" width="11.42578125" style="14" customWidth="1"/>
    <col min="12048" max="12048" width="10.7109375" style="14" customWidth="1"/>
    <col min="12049" max="12049" width="10.5703125" style="14" customWidth="1"/>
    <col min="12050" max="12050" width="11.28515625" style="14" customWidth="1"/>
    <col min="12051" max="12051" width="9.7109375" style="14" customWidth="1"/>
    <col min="12052" max="12052" width="12" style="14" customWidth="1"/>
    <col min="12053" max="12053" width="11.28515625" style="14" customWidth="1"/>
    <col min="12054" max="12291" width="9.140625" style="14"/>
    <col min="12292" max="12292" width="5.7109375" style="14" customWidth="1"/>
    <col min="12293" max="12293" width="13.140625" style="14" customWidth="1"/>
    <col min="12294" max="12294" width="12.28515625" style="14" customWidth="1"/>
    <col min="12295" max="12295" width="8.85546875" style="14" customWidth="1"/>
    <col min="12296" max="12296" width="10.85546875" style="14" customWidth="1"/>
    <col min="12297" max="12297" width="2.85546875" style="14" customWidth="1"/>
    <col min="12298" max="12298" width="12.140625" style="14" customWidth="1"/>
    <col min="12299" max="12299" width="10.140625" style="14" customWidth="1"/>
    <col min="12300" max="12300" width="11.7109375" style="14" customWidth="1"/>
    <col min="12301" max="12301" width="11.42578125" style="14" customWidth="1"/>
    <col min="12302" max="12302" width="12.7109375" style="14" customWidth="1"/>
    <col min="12303" max="12303" width="11.42578125" style="14" customWidth="1"/>
    <col min="12304" max="12304" width="10.7109375" style="14" customWidth="1"/>
    <col min="12305" max="12305" width="10.5703125" style="14" customWidth="1"/>
    <col min="12306" max="12306" width="11.28515625" style="14" customWidth="1"/>
    <col min="12307" max="12307" width="9.7109375" style="14" customWidth="1"/>
    <col min="12308" max="12308" width="12" style="14" customWidth="1"/>
    <col min="12309" max="12309" width="11.28515625" style="14" customWidth="1"/>
    <col min="12310" max="12547" width="9.140625" style="14"/>
    <col min="12548" max="12548" width="5.7109375" style="14" customWidth="1"/>
    <col min="12549" max="12549" width="13.140625" style="14" customWidth="1"/>
    <col min="12550" max="12550" width="12.28515625" style="14" customWidth="1"/>
    <col min="12551" max="12551" width="8.85546875" style="14" customWidth="1"/>
    <col min="12552" max="12552" width="10.85546875" style="14" customWidth="1"/>
    <col min="12553" max="12553" width="2.85546875" style="14" customWidth="1"/>
    <col min="12554" max="12554" width="12.140625" style="14" customWidth="1"/>
    <col min="12555" max="12555" width="10.140625" style="14" customWidth="1"/>
    <col min="12556" max="12556" width="11.7109375" style="14" customWidth="1"/>
    <col min="12557" max="12557" width="11.42578125" style="14" customWidth="1"/>
    <col min="12558" max="12558" width="12.7109375" style="14" customWidth="1"/>
    <col min="12559" max="12559" width="11.42578125" style="14" customWidth="1"/>
    <col min="12560" max="12560" width="10.7109375" style="14" customWidth="1"/>
    <col min="12561" max="12561" width="10.5703125" style="14" customWidth="1"/>
    <col min="12562" max="12562" width="11.28515625" style="14" customWidth="1"/>
    <col min="12563" max="12563" width="9.7109375" style="14" customWidth="1"/>
    <col min="12564" max="12564" width="12" style="14" customWidth="1"/>
    <col min="12565" max="12565" width="11.28515625" style="14" customWidth="1"/>
    <col min="12566" max="12803" width="9.140625" style="14"/>
    <col min="12804" max="12804" width="5.7109375" style="14" customWidth="1"/>
    <col min="12805" max="12805" width="13.140625" style="14" customWidth="1"/>
    <col min="12806" max="12806" width="12.28515625" style="14" customWidth="1"/>
    <col min="12807" max="12807" width="8.85546875" style="14" customWidth="1"/>
    <col min="12808" max="12808" width="10.85546875" style="14" customWidth="1"/>
    <col min="12809" max="12809" width="2.85546875" style="14" customWidth="1"/>
    <col min="12810" max="12810" width="12.140625" style="14" customWidth="1"/>
    <col min="12811" max="12811" width="10.140625" style="14" customWidth="1"/>
    <col min="12812" max="12812" width="11.7109375" style="14" customWidth="1"/>
    <col min="12813" max="12813" width="11.42578125" style="14" customWidth="1"/>
    <col min="12814" max="12814" width="12.7109375" style="14" customWidth="1"/>
    <col min="12815" max="12815" width="11.42578125" style="14" customWidth="1"/>
    <col min="12816" max="12816" width="10.7109375" style="14" customWidth="1"/>
    <col min="12817" max="12817" width="10.5703125" style="14" customWidth="1"/>
    <col min="12818" max="12818" width="11.28515625" style="14" customWidth="1"/>
    <col min="12819" max="12819" width="9.7109375" style="14" customWidth="1"/>
    <col min="12820" max="12820" width="12" style="14" customWidth="1"/>
    <col min="12821" max="12821" width="11.28515625" style="14" customWidth="1"/>
    <col min="12822" max="13059" width="9.140625" style="14"/>
    <col min="13060" max="13060" width="5.7109375" style="14" customWidth="1"/>
    <col min="13061" max="13061" width="13.140625" style="14" customWidth="1"/>
    <col min="13062" max="13062" width="12.28515625" style="14" customWidth="1"/>
    <col min="13063" max="13063" width="8.85546875" style="14" customWidth="1"/>
    <col min="13064" max="13064" width="10.85546875" style="14" customWidth="1"/>
    <col min="13065" max="13065" width="2.85546875" style="14" customWidth="1"/>
    <col min="13066" max="13066" width="12.140625" style="14" customWidth="1"/>
    <col min="13067" max="13067" width="10.140625" style="14" customWidth="1"/>
    <col min="13068" max="13068" width="11.7109375" style="14" customWidth="1"/>
    <col min="13069" max="13069" width="11.42578125" style="14" customWidth="1"/>
    <col min="13070" max="13070" width="12.7109375" style="14" customWidth="1"/>
    <col min="13071" max="13071" width="11.42578125" style="14" customWidth="1"/>
    <col min="13072" max="13072" width="10.7109375" style="14" customWidth="1"/>
    <col min="13073" max="13073" width="10.5703125" style="14" customWidth="1"/>
    <col min="13074" max="13074" width="11.28515625" style="14" customWidth="1"/>
    <col min="13075" max="13075" width="9.7109375" style="14" customWidth="1"/>
    <col min="13076" max="13076" width="12" style="14" customWidth="1"/>
    <col min="13077" max="13077" width="11.28515625" style="14" customWidth="1"/>
    <col min="13078" max="13315" width="9.140625" style="14"/>
    <col min="13316" max="13316" width="5.7109375" style="14" customWidth="1"/>
    <col min="13317" max="13317" width="13.140625" style="14" customWidth="1"/>
    <col min="13318" max="13318" width="12.28515625" style="14" customWidth="1"/>
    <col min="13319" max="13319" width="8.85546875" style="14" customWidth="1"/>
    <col min="13320" max="13320" width="10.85546875" style="14" customWidth="1"/>
    <col min="13321" max="13321" width="2.85546875" style="14" customWidth="1"/>
    <col min="13322" max="13322" width="12.140625" style="14" customWidth="1"/>
    <col min="13323" max="13323" width="10.140625" style="14" customWidth="1"/>
    <col min="13324" max="13324" width="11.7109375" style="14" customWidth="1"/>
    <col min="13325" max="13325" width="11.42578125" style="14" customWidth="1"/>
    <col min="13326" max="13326" width="12.7109375" style="14" customWidth="1"/>
    <col min="13327" max="13327" width="11.42578125" style="14" customWidth="1"/>
    <col min="13328" max="13328" width="10.7109375" style="14" customWidth="1"/>
    <col min="13329" max="13329" width="10.5703125" style="14" customWidth="1"/>
    <col min="13330" max="13330" width="11.28515625" style="14" customWidth="1"/>
    <col min="13331" max="13331" width="9.7109375" style="14" customWidth="1"/>
    <col min="13332" max="13332" width="12" style="14" customWidth="1"/>
    <col min="13333" max="13333" width="11.28515625" style="14" customWidth="1"/>
    <col min="13334" max="13571" width="9.140625" style="14"/>
    <col min="13572" max="13572" width="5.7109375" style="14" customWidth="1"/>
    <col min="13573" max="13573" width="13.140625" style="14" customWidth="1"/>
    <col min="13574" max="13574" width="12.28515625" style="14" customWidth="1"/>
    <col min="13575" max="13575" width="8.85546875" style="14" customWidth="1"/>
    <col min="13576" max="13576" width="10.85546875" style="14" customWidth="1"/>
    <col min="13577" max="13577" width="2.85546875" style="14" customWidth="1"/>
    <col min="13578" max="13578" width="12.140625" style="14" customWidth="1"/>
    <col min="13579" max="13579" width="10.140625" style="14" customWidth="1"/>
    <col min="13580" max="13580" width="11.7109375" style="14" customWidth="1"/>
    <col min="13581" max="13581" width="11.42578125" style="14" customWidth="1"/>
    <col min="13582" max="13582" width="12.7109375" style="14" customWidth="1"/>
    <col min="13583" max="13583" width="11.42578125" style="14" customWidth="1"/>
    <col min="13584" max="13584" width="10.7109375" style="14" customWidth="1"/>
    <col min="13585" max="13585" width="10.5703125" style="14" customWidth="1"/>
    <col min="13586" max="13586" width="11.28515625" style="14" customWidth="1"/>
    <col min="13587" max="13587" width="9.7109375" style="14" customWidth="1"/>
    <col min="13588" max="13588" width="12" style="14" customWidth="1"/>
    <col min="13589" max="13589" width="11.28515625" style="14" customWidth="1"/>
    <col min="13590" max="13827" width="9.140625" style="14"/>
    <col min="13828" max="13828" width="5.7109375" style="14" customWidth="1"/>
    <col min="13829" max="13829" width="13.140625" style="14" customWidth="1"/>
    <col min="13830" max="13830" width="12.28515625" style="14" customWidth="1"/>
    <col min="13831" max="13831" width="8.85546875" style="14" customWidth="1"/>
    <col min="13832" max="13832" width="10.85546875" style="14" customWidth="1"/>
    <col min="13833" max="13833" width="2.85546875" style="14" customWidth="1"/>
    <col min="13834" max="13834" width="12.140625" style="14" customWidth="1"/>
    <col min="13835" max="13835" width="10.140625" style="14" customWidth="1"/>
    <col min="13836" max="13836" width="11.7109375" style="14" customWidth="1"/>
    <col min="13837" max="13837" width="11.42578125" style="14" customWidth="1"/>
    <col min="13838" max="13838" width="12.7109375" style="14" customWidth="1"/>
    <col min="13839" max="13839" width="11.42578125" style="14" customWidth="1"/>
    <col min="13840" max="13840" width="10.7109375" style="14" customWidth="1"/>
    <col min="13841" max="13841" width="10.5703125" style="14" customWidth="1"/>
    <col min="13842" max="13842" width="11.28515625" style="14" customWidth="1"/>
    <col min="13843" max="13843" width="9.7109375" style="14" customWidth="1"/>
    <col min="13844" max="13844" width="12" style="14" customWidth="1"/>
    <col min="13845" max="13845" width="11.28515625" style="14" customWidth="1"/>
    <col min="13846" max="14083" width="9.140625" style="14"/>
    <col min="14084" max="14084" width="5.7109375" style="14" customWidth="1"/>
    <col min="14085" max="14085" width="13.140625" style="14" customWidth="1"/>
    <col min="14086" max="14086" width="12.28515625" style="14" customWidth="1"/>
    <col min="14087" max="14087" width="8.85546875" style="14" customWidth="1"/>
    <col min="14088" max="14088" width="10.85546875" style="14" customWidth="1"/>
    <col min="14089" max="14089" width="2.85546875" style="14" customWidth="1"/>
    <col min="14090" max="14090" width="12.140625" style="14" customWidth="1"/>
    <col min="14091" max="14091" width="10.140625" style="14" customWidth="1"/>
    <col min="14092" max="14092" width="11.7109375" style="14" customWidth="1"/>
    <col min="14093" max="14093" width="11.42578125" style="14" customWidth="1"/>
    <col min="14094" max="14094" width="12.7109375" style="14" customWidth="1"/>
    <col min="14095" max="14095" width="11.42578125" style="14" customWidth="1"/>
    <col min="14096" max="14096" width="10.7109375" style="14" customWidth="1"/>
    <col min="14097" max="14097" width="10.5703125" style="14" customWidth="1"/>
    <col min="14098" max="14098" width="11.28515625" style="14" customWidth="1"/>
    <col min="14099" max="14099" width="9.7109375" style="14" customWidth="1"/>
    <col min="14100" max="14100" width="12" style="14" customWidth="1"/>
    <col min="14101" max="14101" width="11.28515625" style="14" customWidth="1"/>
    <col min="14102" max="14339" width="9.140625" style="14"/>
    <col min="14340" max="14340" width="5.7109375" style="14" customWidth="1"/>
    <col min="14341" max="14341" width="13.140625" style="14" customWidth="1"/>
    <col min="14342" max="14342" width="12.28515625" style="14" customWidth="1"/>
    <col min="14343" max="14343" width="8.85546875" style="14" customWidth="1"/>
    <col min="14344" max="14344" width="10.85546875" style="14" customWidth="1"/>
    <col min="14345" max="14345" width="2.85546875" style="14" customWidth="1"/>
    <col min="14346" max="14346" width="12.140625" style="14" customWidth="1"/>
    <col min="14347" max="14347" width="10.140625" style="14" customWidth="1"/>
    <col min="14348" max="14348" width="11.7109375" style="14" customWidth="1"/>
    <col min="14349" max="14349" width="11.42578125" style="14" customWidth="1"/>
    <col min="14350" max="14350" width="12.7109375" style="14" customWidth="1"/>
    <col min="14351" max="14351" width="11.42578125" style="14" customWidth="1"/>
    <col min="14352" max="14352" width="10.7109375" style="14" customWidth="1"/>
    <col min="14353" max="14353" width="10.5703125" style="14" customWidth="1"/>
    <col min="14354" max="14354" width="11.28515625" style="14" customWidth="1"/>
    <col min="14355" max="14355" width="9.7109375" style="14" customWidth="1"/>
    <col min="14356" max="14356" width="12" style="14" customWidth="1"/>
    <col min="14357" max="14357" width="11.28515625" style="14" customWidth="1"/>
    <col min="14358" max="14595" width="9.140625" style="14"/>
    <col min="14596" max="14596" width="5.7109375" style="14" customWidth="1"/>
    <col min="14597" max="14597" width="13.140625" style="14" customWidth="1"/>
    <col min="14598" max="14598" width="12.28515625" style="14" customWidth="1"/>
    <col min="14599" max="14599" width="8.85546875" style="14" customWidth="1"/>
    <col min="14600" max="14600" width="10.85546875" style="14" customWidth="1"/>
    <col min="14601" max="14601" width="2.85546875" style="14" customWidth="1"/>
    <col min="14602" max="14602" width="12.140625" style="14" customWidth="1"/>
    <col min="14603" max="14603" width="10.140625" style="14" customWidth="1"/>
    <col min="14604" max="14604" width="11.7109375" style="14" customWidth="1"/>
    <col min="14605" max="14605" width="11.42578125" style="14" customWidth="1"/>
    <col min="14606" max="14606" width="12.7109375" style="14" customWidth="1"/>
    <col min="14607" max="14607" width="11.42578125" style="14" customWidth="1"/>
    <col min="14608" max="14608" width="10.7109375" style="14" customWidth="1"/>
    <col min="14609" max="14609" width="10.5703125" style="14" customWidth="1"/>
    <col min="14610" max="14610" width="11.28515625" style="14" customWidth="1"/>
    <col min="14611" max="14611" width="9.7109375" style="14" customWidth="1"/>
    <col min="14612" max="14612" width="12" style="14" customWidth="1"/>
    <col min="14613" max="14613" width="11.28515625" style="14" customWidth="1"/>
    <col min="14614" max="14851" width="9.140625" style="14"/>
    <col min="14852" max="14852" width="5.7109375" style="14" customWidth="1"/>
    <col min="14853" max="14853" width="13.140625" style="14" customWidth="1"/>
    <col min="14854" max="14854" width="12.28515625" style="14" customWidth="1"/>
    <col min="14855" max="14855" width="8.85546875" style="14" customWidth="1"/>
    <col min="14856" max="14856" width="10.85546875" style="14" customWidth="1"/>
    <col min="14857" max="14857" width="2.85546875" style="14" customWidth="1"/>
    <col min="14858" max="14858" width="12.140625" style="14" customWidth="1"/>
    <col min="14859" max="14859" width="10.140625" style="14" customWidth="1"/>
    <col min="14860" max="14860" width="11.7109375" style="14" customWidth="1"/>
    <col min="14861" max="14861" width="11.42578125" style="14" customWidth="1"/>
    <col min="14862" max="14862" width="12.7109375" style="14" customWidth="1"/>
    <col min="14863" max="14863" width="11.42578125" style="14" customWidth="1"/>
    <col min="14864" max="14864" width="10.7109375" style="14" customWidth="1"/>
    <col min="14865" max="14865" width="10.5703125" style="14" customWidth="1"/>
    <col min="14866" max="14866" width="11.28515625" style="14" customWidth="1"/>
    <col min="14867" max="14867" width="9.7109375" style="14" customWidth="1"/>
    <col min="14868" max="14868" width="12" style="14" customWidth="1"/>
    <col min="14869" max="14869" width="11.28515625" style="14" customWidth="1"/>
    <col min="14870" max="15107" width="9.140625" style="14"/>
    <col min="15108" max="15108" width="5.7109375" style="14" customWidth="1"/>
    <col min="15109" max="15109" width="13.140625" style="14" customWidth="1"/>
    <col min="15110" max="15110" width="12.28515625" style="14" customWidth="1"/>
    <col min="15111" max="15111" width="8.85546875" style="14" customWidth="1"/>
    <col min="15112" max="15112" width="10.85546875" style="14" customWidth="1"/>
    <col min="15113" max="15113" width="2.85546875" style="14" customWidth="1"/>
    <col min="15114" max="15114" width="12.140625" style="14" customWidth="1"/>
    <col min="15115" max="15115" width="10.140625" style="14" customWidth="1"/>
    <col min="15116" max="15116" width="11.7109375" style="14" customWidth="1"/>
    <col min="15117" max="15117" width="11.42578125" style="14" customWidth="1"/>
    <col min="15118" max="15118" width="12.7109375" style="14" customWidth="1"/>
    <col min="15119" max="15119" width="11.42578125" style="14" customWidth="1"/>
    <col min="15120" max="15120" width="10.7109375" style="14" customWidth="1"/>
    <col min="15121" max="15121" width="10.5703125" style="14" customWidth="1"/>
    <col min="15122" max="15122" width="11.28515625" style="14" customWidth="1"/>
    <col min="15123" max="15123" width="9.7109375" style="14" customWidth="1"/>
    <col min="15124" max="15124" width="12" style="14" customWidth="1"/>
    <col min="15125" max="15125" width="11.28515625" style="14" customWidth="1"/>
    <col min="15126" max="15363" width="9.140625" style="14"/>
    <col min="15364" max="15364" width="5.7109375" style="14" customWidth="1"/>
    <col min="15365" max="15365" width="13.140625" style="14" customWidth="1"/>
    <col min="15366" max="15366" width="12.28515625" style="14" customWidth="1"/>
    <col min="15367" max="15367" width="8.85546875" style="14" customWidth="1"/>
    <col min="15368" max="15368" width="10.85546875" style="14" customWidth="1"/>
    <col min="15369" max="15369" width="2.85546875" style="14" customWidth="1"/>
    <col min="15370" max="15370" width="12.140625" style="14" customWidth="1"/>
    <col min="15371" max="15371" width="10.140625" style="14" customWidth="1"/>
    <col min="15372" max="15372" width="11.7109375" style="14" customWidth="1"/>
    <col min="15373" max="15373" width="11.42578125" style="14" customWidth="1"/>
    <col min="15374" max="15374" width="12.7109375" style="14" customWidth="1"/>
    <col min="15375" max="15375" width="11.42578125" style="14" customWidth="1"/>
    <col min="15376" max="15376" width="10.7109375" style="14" customWidth="1"/>
    <col min="15377" max="15377" width="10.5703125" style="14" customWidth="1"/>
    <col min="15378" max="15378" width="11.28515625" style="14" customWidth="1"/>
    <col min="15379" max="15379" width="9.7109375" style="14" customWidth="1"/>
    <col min="15380" max="15380" width="12" style="14" customWidth="1"/>
    <col min="15381" max="15381" width="11.28515625" style="14" customWidth="1"/>
    <col min="15382" max="15619" width="9.140625" style="14"/>
    <col min="15620" max="15620" width="5.7109375" style="14" customWidth="1"/>
    <col min="15621" max="15621" width="13.140625" style="14" customWidth="1"/>
    <col min="15622" max="15622" width="12.28515625" style="14" customWidth="1"/>
    <col min="15623" max="15623" width="8.85546875" style="14" customWidth="1"/>
    <col min="15624" max="15624" width="10.85546875" style="14" customWidth="1"/>
    <col min="15625" max="15625" width="2.85546875" style="14" customWidth="1"/>
    <col min="15626" max="15626" width="12.140625" style="14" customWidth="1"/>
    <col min="15627" max="15627" width="10.140625" style="14" customWidth="1"/>
    <col min="15628" max="15628" width="11.7109375" style="14" customWidth="1"/>
    <col min="15629" max="15629" width="11.42578125" style="14" customWidth="1"/>
    <col min="15630" max="15630" width="12.7109375" style="14" customWidth="1"/>
    <col min="15631" max="15631" width="11.42578125" style="14" customWidth="1"/>
    <col min="15632" max="15632" width="10.7109375" style="14" customWidth="1"/>
    <col min="15633" max="15633" width="10.5703125" style="14" customWidth="1"/>
    <col min="15634" max="15634" width="11.28515625" style="14" customWidth="1"/>
    <col min="15635" max="15635" width="9.7109375" style="14" customWidth="1"/>
    <col min="15636" max="15636" width="12" style="14" customWidth="1"/>
    <col min="15637" max="15637" width="11.28515625" style="14" customWidth="1"/>
    <col min="15638" max="15875" width="9.140625" style="14"/>
    <col min="15876" max="15876" width="5.7109375" style="14" customWidth="1"/>
    <col min="15877" max="15877" width="13.140625" style="14" customWidth="1"/>
    <col min="15878" max="15878" width="12.28515625" style="14" customWidth="1"/>
    <col min="15879" max="15879" width="8.85546875" style="14" customWidth="1"/>
    <col min="15880" max="15880" width="10.85546875" style="14" customWidth="1"/>
    <col min="15881" max="15881" width="2.85546875" style="14" customWidth="1"/>
    <col min="15882" max="15882" width="12.140625" style="14" customWidth="1"/>
    <col min="15883" max="15883" width="10.140625" style="14" customWidth="1"/>
    <col min="15884" max="15884" width="11.7109375" style="14" customWidth="1"/>
    <col min="15885" max="15885" width="11.42578125" style="14" customWidth="1"/>
    <col min="15886" max="15886" width="12.7109375" style="14" customWidth="1"/>
    <col min="15887" max="15887" width="11.42578125" style="14" customWidth="1"/>
    <col min="15888" max="15888" width="10.7109375" style="14" customWidth="1"/>
    <col min="15889" max="15889" width="10.5703125" style="14" customWidth="1"/>
    <col min="15890" max="15890" width="11.28515625" style="14" customWidth="1"/>
    <col min="15891" max="15891" width="9.7109375" style="14" customWidth="1"/>
    <col min="15892" max="15892" width="12" style="14" customWidth="1"/>
    <col min="15893" max="15893" width="11.28515625" style="14" customWidth="1"/>
    <col min="15894" max="16131" width="9.140625" style="14"/>
    <col min="16132" max="16132" width="5.7109375" style="14" customWidth="1"/>
    <col min="16133" max="16133" width="13.140625" style="14" customWidth="1"/>
    <col min="16134" max="16134" width="12.28515625" style="14" customWidth="1"/>
    <col min="16135" max="16135" width="8.85546875" style="14" customWidth="1"/>
    <col min="16136" max="16136" width="10.85546875" style="14" customWidth="1"/>
    <col min="16137" max="16137" width="2.85546875" style="14" customWidth="1"/>
    <col min="16138" max="16138" width="12.140625" style="14" customWidth="1"/>
    <col min="16139" max="16139" width="10.140625" style="14" customWidth="1"/>
    <col min="16140" max="16140" width="11.7109375" style="14" customWidth="1"/>
    <col min="16141" max="16141" width="11.42578125" style="14" customWidth="1"/>
    <col min="16142" max="16142" width="12.7109375" style="14" customWidth="1"/>
    <col min="16143" max="16143" width="11.42578125" style="14" customWidth="1"/>
    <col min="16144" max="16144" width="10.7109375" style="14" customWidth="1"/>
    <col min="16145" max="16145" width="10.5703125" style="14" customWidth="1"/>
    <col min="16146" max="16146" width="11.28515625" style="14" customWidth="1"/>
    <col min="16147" max="16147" width="9.7109375" style="14" customWidth="1"/>
    <col min="16148" max="16148" width="12" style="14" customWidth="1"/>
    <col min="16149" max="16149" width="11.28515625" style="14" customWidth="1"/>
    <col min="16150" max="16384" width="9.140625" style="14"/>
  </cols>
  <sheetData>
    <row r="1" spans="4:23" ht="12.75" thickBot="1" x14ac:dyDescent="0.25"/>
    <row r="2" spans="4:23" ht="12" customHeight="1" thickBot="1" x14ac:dyDescent="0.25">
      <c r="Q2" s="633" t="s">
        <v>0</v>
      </c>
      <c r="R2" s="634"/>
      <c r="S2" s="635"/>
    </row>
    <row r="3" spans="4:23" ht="13.5" thickBot="1" x14ac:dyDescent="0.25">
      <c r="I3" s="636" t="s">
        <v>1</v>
      </c>
      <c r="J3" s="637"/>
      <c r="K3" s="637"/>
      <c r="L3" s="637"/>
      <c r="M3" s="637"/>
      <c r="N3" s="637"/>
      <c r="O3" s="638"/>
      <c r="Q3" s="611">
        <f>+'BALDERRAMA ROBLES JORGE'!Q3</f>
        <v>45</v>
      </c>
      <c r="R3" s="639"/>
      <c r="S3" s="612"/>
    </row>
    <row r="4" spans="4:23" ht="13.5" thickBot="1" x14ac:dyDescent="0.25">
      <c r="I4" s="640" t="s">
        <v>2</v>
      </c>
      <c r="J4" s="641"/>
      <c r="K4" s="641"/>
      <c r="L4" s="641"/>
      <c r="M4" s="641"/>
      <c r="N4" s="641"/>
      <c r="O4" s="642"/>
      <c r="Q4" s="18"/>
      <c r="R4" s="18"/>
      <c r="S4" s="18"/>
    </row>
    <row r="5" spans="4:23" ht="13.5" thickBot="1" x14ac:dyDescent="0.25">
      <c r="I5" s="643" t="s">
        <v>3</v>
      </c>
      <c r="J5" s="644"/>
      <c r="K5" s="644"/>
      <c r="L5" s="644"/>
      <c r="M5" s="644"/>
      <c r="N5" s="644"/>
      <c r="O5" s="645"/>
      <c r="Q5" s="611" t="s">
        <v>4</v>
      </c>
      <c r="R5" s="639"/>
      <c r="S5" s="612"/>
    </row>
    <row r="6" spans="4:23" ht="13.5" thickBot="1" x14ac:dyDescent="0.25">
      <c r="I6" s="650" t="s">
        <v>5</v>
      </c>
      <c r="J6" s="651"/>
      <c r="K6" s="651"/>
      <c r="L6" s="651"/>
      <c r="M6" s="651"/>
      <c r="N6" s="651"/>
      <c r="O6" s="652"/>
      <c r="Q6" s="653">
        <f>+'BALLEZA RAMIREZ JESUS JOSE'!Q6+1</f>
        <v>106</v>
      </c>
      <c r="R6" s="654"/>
      <c r="S6" s="655"/>
      <c r="U6" s="14" t="s">
        <v>289</v>
      </c>
    </row>
    <row r="7" spans="4:23" ht="9" customHeight="1" x14ac:dyDescent="0.2"/>
    <row r="8" spans="4:23" ht="6.75" customHeight="1" thickBot="1" x14ac:dyDescent="0.25"/>
    <row r="9" spans="4:23" ht="13.5" thickBot="1" x14ac:dyDescent="0.25">
      <c r="I9" s="611" t="s">
        <v>6</v>
      </c>
      <c r="J9" s="639"/>
      <c r="K9" s="639"/>
      <c r="L9" s="639"/>
      <c r="M9" s="639"/>
      <c r="N9" s="639"/>
      <c r="O9" s="612"/>
    </row>
    <row r="10" spans="4:23" ht="11.25" customHeight="1" thickBot="1" x14ac:dyDescent="0.25"/>
    <row r="11" spans="4:23" ht="12.75" x14ac:dyDescent="0.2">
      <c r="D11" s="1" t="s">
        <v>7</v>
      </c>
      <c r="E11" s="2" t="s">
        <v>93</v>
      </c>
      <c r="F11" s="2"/>
      <c r="G11" s="2"/>
      <c r="H11" s="2"/>
      <c r="I11" s="2"/>
      <c r="J11" s="2"/>
      <c r="K11" s="3" t="s">
        <v>8</v>
      </c>
      <c r="L11" s="656" t="str">
        <f>+'BALDERRAMA ROBLES JORGE'!L11</f>
        <v>SEMANA #45 PERIODO DEL 27 de oct AL 02 de nov DEL 2025</v>
      </c>
      <c r="M11" s="656"/>
      <c r="N11" s="656"/>
      <c r="O11" s="656"/>
      <c r="P11" s="656"/>
      <c r="Q11" s="656"/>
      <c r="R11" s="656"/>
      <c r="S11" s="659"/>
    </row>
    <row r="12" spans="4:23" ht="12.75" x14ac:dyDescent="0.2">
      <c r="D12" s="4" t="s">
        <v>9</v>
      </c>
      <c r="E12" s="624" t="s">
        <v>328</v>
      </c>
      <c r="F12" s="624"/>
      <c r="G12" s="5"/>
      <c r="H12" s="130"/>
      <c r="I12" s="130"/>
      <c r="J12" s="130"/>
      <c r="K12" s="130"/>
      <c r="L12" s="130"/>
      <c r="M12" s="130"/>
      <c r="N12" s="130"/>
      <c r="O12" s="130"/>
      <c r="P12" s="130"/>
      <c r="Q12" s="130"/>
      <c r="R12" s="130"/>
      <c r="S12" s="256"/>
    </row>
    <row r="13" spans="4:23" ht="9.75" customHeight="1" x14ac:dyDescent="0.2">
      <c r="D13" s="623"/>
      <c r="E13" s="624"/>
      <c r="F13" s="130"/>
      <c r="G13" s="130"/>
      <c r="H13" s="130"/>
      <c r="I13" s="130"/>
      <c r="J13" s="130"/>
      <c r="K13" s="130"/>
      <c r="L13" s="130"/>
      <c r="M13" s="130"/>
      <c r="N13" s="130"/>
      <c r="O13" s="130"/>
      <c r="P13" s="130"/>
      <c r="Q13" s="130"/>
      <c r="R13" s="130"/>
      <c r="S13" s="256"/>
    </row>
    <row r="14" spans="4:23" ht="12.75" x14ac:dyDescent="0.2">
      <c r="D14" s="625" t="s">
        <v>10</v>
      </c>
      <c r="E14" s="626"/>
      <c r="F14" s="130">
        <v>71591</v>
      </c>
      <c r="G14" s="130"/>
      <c r="H14" s="130"/>
      <c r="I14" s="6" t="s">
        <v>11</v>
      </c>
      <c r="J14" s="6"/>
      <c r="K14" s="130"/>
      <c r="L14" s="130"/>
      <c r="M14" s="130"/>
      <c r="N14" s="130"/>
      <c r="O14" s="6" t="s">
        <v>12</v>
      </c>
      <c r="P14" s="7"/>
      <c r="Q14" s="7"/>
      <c r="R14" s="7"/>
      <c r="S14" s="8"/>
    </row>
    <row r="15" spans="4:23" ht="12.75" x14ac:dyDescent="0.2">
      <c r="D15" s="625" t="s">
        <v>13</v>
      </c>
      <c r="E15" s="626"/>
      <c r="F15" s="130">
        <v>73120</v>
      </c>
      <c r="G15" s="130"/>
      <c r="H15" s="130"/>
      <c r="I15" s="6" t="s">
        <v>14</v>
      </c>
      <c r="J15" s="6"/>
      <c r="K15" s="130"/>
      <c r="L15" s="130"/>
      <c r="M15" s="130"/>
      <c r="N15" s="130"/>
      <c r="O15" s="6" t="s">
        <v>15</v>
      </c>
      <c r="P15" s="130"/>
      <c r="Q15" s="130"/>
      <c r="R15" s="130"/>
      <c r="S15" s="256"/>
    </row>
    <row r="16" spans="4:23" ht="13.5" thickBot="1" x14ac:dyDescent="0.25">
      <c r="D16" s="627" t="s">
        <v>16</v>
      </c>
      <c r="E16" s="628"/>
      <c r="F16" s="257">
        <f>SUM(J19:J31)</f>
        <v>3357</v>
      </c>
      <c r="G16" s="257"/>
      <c r="H16" s="257"/>
      <c r="I16" s="9" t="s">
        <v>17</v>
      </c>
      <c r="J16" s="257">
        <f>SUM(K19:K31)</f>
        <v>1050.44</v>
      </c>
      <c r="K16" s="257"/>
      <c r="L16" s="257"/>
      <c r="M16" s="257"/>
      <c r="N16" s="257"/>
      <c r="O16" s="9" t="s">
        <v>18</v>
      </c>
      <c r="P16" s="10">
        <f>+F16/J16</f>
        <v>3.1958036632268381</v>
      </c>
      <c r="Q16" s="257"/>
      <c r="R16" s="257"/>
      <c r="S16" s="258"/>
      <c r="W16" s="14" t="s">
        <v>181</v>
      </c>
    </row>
    <row r="17" spans="2:23" ht="7.5" customHeight="1" thickBot="1" x14ac:dyDescent="0.25"/>
    <row r="18" spans="2:23" ht="33" customHeight="1" thickBot="1" x14ac:dyDescent="0.25">
      <c r="C18" s="243" t="s">
        <v>19</v>
      </c>
      <c r="D18" s="33" t="s">
        <v>20</v>
      </c>
      <c r="E18" s="34" t="s">
        <v>21</v>
      </c>
      <c r="F18" s="34" t="s">
        <v>22</v>
      </c>
      <c r="G18" s="34" t="s">
        <v>23</v>
      </c>
      <c r="H18" s="34" t="s">
        <v>24</v>
      </c>
      <c r="I18" s="34" t="s">
        <v>25</v>
      </c>
      <c r="J18" s="34" t="s">
        <v>26</v>
      </c>
      <c r="K18" s="34" t="s">
        <v>27</v>
      </c>
      <c r="L18" s="34" t="s">
        <v>28</v>
      </c>
      <c r="M18" s="34" t="s">
        <v>285</v>
      </c>
      <c r="N18" s="34" t="s">
        <v>29</v>
      </c>
      <c r="O18" s="34" t="s">
        <v>30</v>
      </c>
      <c r="P18" s="33" t="s">
        <v>31</v>
      </c>
      <c r="Q18" s="34" t="s">
        <v>219</v>
      </c>
      <c r="R18" s="34" t="s">
        <v>184</v>
      </c>
      <c r="S18" s="34" t="s">
        <v>33</v>
      </c>
      <c r="T18" s="35" t="s">
        <v>220</v>
      </c>
      <c r="U18" s="448" t="s">
        <v>351</v>
      </c>
      <c r="V18" s="305" t="s">
        <v>355</v>
      </c>
    </row>
    <row r="19" spans="2:23" x14ac:dyDescent="0.2">
      <c r="B19" s="14" t="s">
        <v>416</v>
      </c>
      <c r="C19" s="176">
        <v>46197</v>
      </c>
      <c r="D19" s="43" t="s">
        <v>626</v>
      </c>
      <c r="E19" s="42">
        <v>45964</v>
      </c>
      <c r="F19" s="42">
        <v>45964</v>
      </c>
      <c r="G19" s="43">
        <v>4</v>
      </c>
      <c r="H19" s="236" t="str">
        <f>IF(G19=1,[2]KILOMETRAJE!C$4,IF(G19=2,[2]KILOMETRAJE!C$5,IF(G19=3,[2]KILOMETRAJE!C$6,IF(G19=4,[2]KILOMETRAJE!C$7,IF(G19=5,[2]KILOMETRAJE!C$8,IF(G19=6,[2]KILOMETRAJE!C$9,IF(G19=7,[2]KILOMETRAJE!C$10,IF(G19=8,[2]KILOMETRAJE!C$11,IF(G19=9,[2]KILOMETRAJE!C$12,IF(G19=10,[2]KILOMETRAJE!C$13,IF(G19=11,[2]KILOMETRAJE!C$14,IF(G19=12,[2]KILOMETRAJE!C$15,IF(G19=13,[2]KILOMETRAJE!C$16,IF(G19=14,[2]KILOMETRAJE!C$17,IF(G19=15,[2]KILOMETRAJE!C$18,IF(G19=16,[2]KILOMETRAJE!C$19,IF(G19=17,[2]KILOMETRAJE!C$20,IF(G19=18,[2]KILOMETRAJE!C$21,IF(G19=19,[2]KILOMETRAJE!C$22,IF(G19=20,[2]KILOMETRAJE!C$23,IF(G19=21,[2]KILOMETRAJE!C$24,IF(G19=22,[2]KILOMETRAJE!C$25,IF(G19=23,[2]KILOMETRAJE!C$26,IF(G19=24,[2]KILOMETRAJE!C$27,IF(G19=25,[2]KILOMETRAJE!C$28,IF(G19=26,[2]KILOMETRAJE!C$29,IF(G19=27,[2]KILOMETRAJE!C$30,IF(G19=28,[2]KILOMETRAJE!C$31,IF(G19=29,[2]KILOMETRAJE!C$32,IF(G19=30,[2]KILOMETRAJE!C$33,IF(G19=31,[2]KILOMETRAJE!C$34,IF(G19=32,[2]KILOMETRAJE!C$35,IF(G19=33,[2]KILOMETRAJE!C$36,IF(G19=34,[2]KILOMETRAJE!C$37,IF(G19=35,[2]KILOMETRAJE!C$38,IF(G19=36,[2]KILOMETRAJE!C$39,IF(G19=37,[2]KILOMETRAJE!C$40,IF(G19=38,[2]KILOMETRAJE!C$41,IF(G19=39,[2]KILOMETRAJE!C$42,IF(G19=40,[2]KILOMETRAJE!C$43,IF(G19=41,[2]KILOMETRAJE!C$44,IF(G19=42,[2]KILOMETRAJE!C$45,IF(G19=43,[2]KILOMETRAJE!C$46,IF(G19=44,[2]KILOMETRAJE!C$47,IF(G19=45,[2]KILOMETRAJE!C$48,IF(G19=46,[2]KILOMETRAJE!C$49,IF(G19=47,[2]KILOMETRAJE!C$50,IF(G19=48,[2]KILOMETRAJE!C$51,IF(G19=49,[2]KILOMETRAJE!C$52,IF(G19=50,[2]KILOMETRAJE!C$53,IF(G19=51,[2]KILOMETRAJE!C$54,IF(G19=52,[2]KILOMETRAJE!C$55,IF(G19=53,[2]KILOMETRAJE!C$56,IF(G19=54,[2]KILOMETRAJE!C$57,IF(G19=55,[2]KILOMETRAJE!C$58,IF(G19=56,[2]KILOMETRAJE!C$59,IF(G19=57,[2]KILOMETRAJE!C$60,IF(G19=58,[2]KILOMETRAJE!C$61,IF(G19=59,[2]KILOMETRAJE!C$62,IF(G19=60,[2]KILOMETRAJE!C$63,IF(G19=61,[2]KILOMETRAJE!C$64,IF(G19=62,[2]KILOMETRAJE!C$65,IF(G19=63,[2]KILOMETRAJE!C$66)))))))))))))))))))))))))))))))))))))))))))))))))))))))))))))))</f>
        <v xml:space="preserve">ELP. </v>
      </c>
      <c r="I19" s="236" t="str">
        <f>IF(G19=1,[2]KILOMETRAJE!E$4,IF(G19=2,[2]KILOMETRAJE!E$5,IF(G19=3,[2]KILOMETRAJE!E$6,IF(G19=4,[2]KILOMETRAJE!E$7,IF(G19=5,[2]KILOMETRAJE!E$8,IF(G19=6,[2]KILOMETRAJE!E$9,IF(G19=7,[2]KILOMETRAJE!E$10,IF(G19=8,[2]KILOMETRAJE!E$11,IF(G19=9,[2]KILOMETRAJE!E$12,IF(G19=10,[2]KILOMETRAJE!E$13,IF(G19=11,[2]KILOMETRAJE!E$14,IF(G19=12,[2]KILOMETRAJE!E$15,IF(G19=13,[2]KILOMETRAJE!E$16,IF(G19=14,[2]KILOMETRAJE!E$17,IF(G19=15,[2]KILOMETRAJE!E$18,IF(G19=16,[2]KILOMETRAJE!E$19,IF(G19=17,[2]KILOMETRAJE!E$20,IF(G19=18,[2]KILOMETRAJE!E$21,IF(G19=19,[2]KILOMETRAJE!E$22,IF(G19=20,[2]KILOMETRAJE!E$23,IF(G19=21,[2]KILOMETRAJE!E$24,IF(G19=22,[2]KILOMETRAJE!E$25,IF(G19=23,[2]KILOMETRAJE!E$26,IF(G19=24,[2]KILOMETRAJE!E$27,IF(G19=25,[2]KILOMETRAJE!E$28,IF(G19=26,[2]KILOMETRAJE!E$29,IF(G19=27,[2]KILOMETRAJE!E$30,IF(G19=28,[2]KILOMETRAJE!E$31,IF(G19=29,[2]KILOMETRAJE!E$32,IF(G19=30,[2]KILOMETRAJE!E$33,IF(G19=31,[2]KILOMETRAJE!E$34,IF(G19=32,[2]KILOMETRAJE!E$35,IF(G19=33,[2]KILOMETRAJE!E$36,IF(G19=34,[2]KILOMETRAJE!E$37,IF(G19=35,[2]KILOMETRAJE!E$38,IF(G19=36,[2]KILOMETRAJE!E$39,IF(G19=37,[2]KILOMETRAJE!E$40,IF(G19=38,[2]KILOMETRAJE!E$41,IF(G19=39,[2]KILOMETRAJE!E$42,IF(G19=40,[2]KILOMETRAJE!E$43,IF(G19=41,[2]KILOMETRAJE!E$44,IF(G19=42,[2]KILOMETRAJE!E$45,IF(G19=43,[2]KILOMETRAJE!E$46,IF(G19=44,[2]KILOMETRAJE!E$47,IF(G19=45,[2]KILOMETRAJE!E$48,IF(G19=46,[2]KILOMETRAJE!E$49,IF(G19=47,[2]KILOMETRAJE!E$50,IF(G19=48,[2]KILOMETRAJE!E$51,IF(G19=49,[2]KILOMETRAJE!E$52,IF(G19=50,[2]KILOMETRAJE!E$53,IF(G19=51,[2]KILOMETRAJE!E$54,IF(G19=52,[2]KILOMETRAJE!E$55,IF(G19=53,[2]KILOMETRAJE!E$56,IF(G19=54,[2]KILOMETRAJE!E$57,IF(G19=55,[2]KILOMETRAJE!E$58,IF(G19=56,[2]KILOMETRAJE!E$59,IF(G19=57,[2]KILOMETRAJE!E$60,IF(G19=58,[2]KILOMETRAJE!E$61,IF(G19=59,[2]KILOMETRAJE!E$62,IF(G19=60,[2]KILOMETRAJE!E$63,IF(G19=61,[2]KILOMETRAJE!E$64,IF(G19=62,[2]KILOMETRAJE!E$65,IF(G19=63,[2]KILOMETRAJE!E$66)))))))))))))))))))))))))))))))))))))))))))))))))))))))))))))))</f>
        <v>CHIH.</v>
      </c>
      <c r="J19" s="237">
        <f>IF(G19=1,[2]KILOMETRAJE!G$4,IF(G19=2,[2]KILOMETRAJE!G$5,IF(G19=3,[2]KILOMETRAJE!G$6,IF(G19=4,[2]KILOMETRAJE!G$7,IF(G19=5,[2]KILOMETRAJE!G$8,IF(G19=6,[2]KILOMETRAJE!G$9,IF(G19=7,[2]KILOMETRAJE!G$10,IF(G19=8,[2]KILOMETRAJE!G$11,IF(G19=9,[2]KILOMETRAJE!G$12,IF(G19=10,[2]KILOMETRAJE!G$13,IF(G19=11,[2]KILOMETRAJE!G$14,IF(G19=12,[2]KILOMETRAJE!G$15,IF(G19=13,[2]KILOMETRAJE!G$16,IF(G19=14,[2]KILOMETRAJE!G$17,IF(G19=15,[2]KILOMETRAJE!G$18,IF(G19=16,[2]KILOMETRAJE!G$19,IF(G19=17,[2]KILOMETRAJE!G$20,IF(G19=18,[2]KILOMETRAJE!G$21,IF(G19=19,[2]KILOMETRAJE!G$22,IF(G19=20,[2]KILOMETRAJE!G$23,IF(G19=21,[2]KILOMETRAJE!G$24,IF(G19=22,[2]KILOMETRAJE!G$25,IF(G19=23,[2]KILOMETRAJE!G$26,IF(G19=24,[2]KILOMETRAJE!G$27,IF(G19=25,[2]KILOMETRAJE!G$28,IF(G19=26,[2]KILOMETRAJE!G$29,IF(G19=27,[2]KILOMETRAJE!G$30,IF(G19=28,[2]KILOMETRAJE!G$31,IF(G19=29,[2]KILOMETRAJE!G$32,IF(G19=30,[2]KILOMETRAJE!G$33,IF(G19=31,[2]KILOMETRAJE!G$34,IF(G19=32,[2]KILOMETRAJE!G$35,IF(G19=33,[2]KILOMETRAJE!G$36,IF(G19=34,[2]KILOMETRAJE!G$37,IF(G19=35,[2]KILOMETRAJE!G$38,IF(G19=36,[2]KILOMETRAJE!G$39,IF(G19=37,[2]KILOMETRAJE!G$40,IF(G19=38,[2]KILOMETRAJE!G$41,IF(G19=39,[2]KILOMETRAJE!G$42,IF(G19=40,[2]KILOMETRAJE!G$43,IF(G19=41,[2]KILOMETRAJE!G$44,IF(G19=42,[2]KILOMETRAJE!G$45,IF(G19=43,[2]KILOMETRAJE!G$46,IF(G19=44,[2]KILOMETRAJE!G$47,IF(G19=45,[2]KILOMETRAJE!G$48,IF(G19=46,[2]KILOMETRAJE!G$49,IF(G19=47,[2]KILOMETRAJE!G$50,IF(G19=48,[2]KILOMETRAJE!G$51,IF(G19=49,[2]KILOMETRAJE!G$52,IF(G19=50,[2]KILOMETRAJE!G$53,IF(G19=51,[2]KILOMETRAJE!G$54,IF(G19=52,[2]KILOMETRAJE!G$55,IF(G19=53,[2]KILOMETRAJE!G$56,IF(G19=54,[2]KILOMETRAJE!G$57,IF(G19=55,[2]KILOMETRAJE!G$58,IF(G19=56,[2]KILOMETRAJE!G$59,IF(G19=57,[2]KILOMETRAJE!G$60,IF(G19=58,[2]KILOMETRAJE!G$61,IF(G19=59,[2]KILOMETRAJE!G$62,IF(G19=60,[2]KILOMETRAJE!G$63,IF(G19=61,[2]KILOMETRAJE!G$64,IF(G19=62,[2]KILOMETRAJE!G$65,IF(G19=63,[2]KILOMETRAJE!G$66)))))))))))))))))))))))))))))))))))))))))))))))))))))))))))))))</f>
        <v>415</v>
      </c>
      <c r="K19" s="24"/>
      <c r="L19" s="44"/>
      <c r="M19" s="348">
        <v>8652</v>
      </c>
      <c r="N19" s="24">
        <v>4</v>
      </c>
      <c r="O19" s="24" t="s">
        <v>595</v>
      </c>
      <c r="P19" s="24" t="s">
        <v>201</v>
      </c>
      <c r="Q19" s="45">
        <f t="shared" ref="Q19:Q20" si="0">((((IF(N19=1,((J19)*0.29333)))+(IF(N19=2,((J19)*0.146666)))+(IF(N19=3,((J19)*0.146666)))))+(IF(N19=4,((J19-40)*0.29333)))+(IF(N19=5,((J19-50)*0.29333)))+(IF(N19=6,((J19-90)*0.29333))))</f>
        <v>109.99874999999999</v>
      </c>
      <c r="R19" s="191"/>
      <c r="S19" s="52"/>
      <c r="T19" s="455"/>
      <c r="U19" s="61">
        <v>56</v>
      </c>
      <c r="V19" s="61">
        <v>59</v>
      </c>
    </row>
    <row r="20" spans="2:23" ht="12.75" thickBot="1" x14ac:dyDescent="0.25">
      <c r="C20" s="239"/>
      <c r="D20" s="68" t="s">
        <v>627</v>
      </c>
      <c r="E20" s="69">
        <v>45965</v>
      </c>
      <c r="F20" s="69">
        <v>45965</v>
      </c>
      <c r="G20" s="68">
        <v>3</v>
      </c>
      <c r="H20" s="70" t="str">
        <f>IF(G20=1,[2]KILOMETRAJE!C$4,IF(G20=2,[2]KILOMETRAJE!C$5,IF(G20=3,[2]KILOMETRAJE!C$6,IF(G20=4,[2]KILOMETRAJE!C$7,IF(G20=5,[2]KILOMETRAJE!C$8,IF(G20=6,[2]KILOMETRAJE!C$9,IF(G20=7,[2]KILOMETRAJE!C$10,IF(G20=8,[2]KILOMETRAJE!C$11,IF(G20=9,[2]KILOMETRAJE!C$12,IF(G20=10,[2]KILOMETRAJE!C$13,IF(G20=11,[2]KILOMETRAJE!C$14,IF(G20=12,[2]KILOMETRAJE!C$15,IF(G20=13,[2]KILOMETRAJE!C$16,IF(G20=14,[2]KILOMETRAJE!C$17,IF(G20=15,[2]KILOMETRAJE!C$18,IF(G20=16,[2]KILOMETRAJE!C$19,IF(G20=17,[2]KILOMETRAJE!C$20,IF(G20=18,[2]KILOMETRAJE!C$21,IF(G20=19,[2]KILOMETRAJE!C$22,IF(G20=20,[2]KILOMETRAJE!C$23,IF(G20=21,[2]KILOMETRAJE!C$24,IF(G20=22,[2]KILOMETRAJE!C$25,IF(G20=23,[2]KILOMETRAJE!C$26,IF(G20=24,[2]KILOMETRAJE!C$27,IF(G20=25,[2]KILOMETRAJE!C$28,IF(G20=26,[2]KILOMETRAJE!C$29,IF(G20=27,[2]KILOMETRAJE!C$30,IF(G20=28,[2]KILOMETRAJE!C$31,IF(G20=29,[2]KILOMETRAJE!C$32,IF(G20=30,[2]KILOMETRAJE!C$33,IF(G20=31,[2]KILOMETRAJE!C$34,IF(G20=32,[2]KILOMETRAJE!C$35,IF(G20=33,[2]KILOMETRAJE!C$36,IF(G20=34,[2]KILOMETRAJE!C$37,IF(G20=35,[2]KILOMETRAJE!C$38,IF(G20=36,[2]KILOMETRAJE!C$39,IF(G20=37,[2]KILOMETRAJE!C$40,IF(G20=38,[2]KILOMETRAJE!C$41,IF(G20=39,[2]KILOMETRAJE!C$42,IF(G20=40,[2]KILOMETRAJE!C$43,IF(G20=41,[2]KILOMETRAJE!C$44,IF(G20=42,[2]KILOMETRAJE!C$45,IF(G20=43,[2]KILOMETRAJE!C$46,IF(G20=44,[2]KILOMETRAJE!C$47,IF(G20=45,[2]KILOMETRAJE!C$48,IF(G20=46,[2]KILOMETRAJE!C$49,IF(G20=47,[2]KILOMETRAJE!C$50,IF(G20=48,[2]KILOMETRAJE!C$51,IF(G20=49,[2]KILOMETRAJE!C$52,IF(G20=50,[2]KILOMETRAJE!C$53,IF(G20=51,[2]KILOMETRAJE!C$54,IF(G20=52,[2]KILOMETRAJE!C$55,IF(G20=53,[2]KILOMETRAJE!C$56,IF(G20=54,[2]KILOMETRAJE!C$57,IF(G20=55,[2]KILOMETRAJE!C$58,IF(G20=56,[2]KILOMETRAJE!C$59,IF(G20=57,[2]KILOMETRAJE!C$60,IF(G20=58,[2]KILOMETRAJE!C$61,IF(G20=59,[2]KILOMETRAJE!C$62,IF(G20=60,[2]KILOMETRAJE!C$63,IF(G20=61,[2]KILOMETRAJE!C$64,IF(G20=62,[2]KILOMETRAJE!C$65,IF(G20=63,[2]KILOMETRAJE!C$66)))))))))))))))))))))))))))))))))))))))))))))))))))))))))))))))</f>
        <v xml:space="preserve">CHIH. </v>
      </c>
      <c r="I20" s="70" t="str">
        <f>IF(G20=1,[2]KILOMETRAJE!E$4,IF(G20=2,[2]KILOMETRAJE!E$5,IF(G20=3,[2]KILOMETRAJE!E$6,IF(G20=4,[2]KILOMETRAJE!E$7,IF(G20=5,[2]KILOMETRAJE!E$8,IF(G20=6,[2]KILOMETRAJE!E$9,IF(G20=7,[2]KILOMETRAJE!E$10,IF(G20=8,[2]KILOMETRAJE!E$11,IF(G20=9,[2]KILOMETRAJE!E$12,IF(G20=10,[2]KILOMETRAJE!E$13,IF(G20=11,[2]KILOMETRAJE!E$14,IF(G20=12,[2]KILOMETRAJE!E$15,IF(G20=13,[2]KILOMETRAJE!E$16,IF(G20=14,[2]KILOMETRAJE!E$17,IF(G20=15,[2]KILOMETRAJE!E$18,IF(G20=16,[2]KILOMETRAJE!E$19,IF(G20=17,[2]KILOMETRAJE!E$20,IF(G20=18,[2]KILOMETRAJE!E$21,IF(G20=19,[2]KILOMETRAJE!E$22,IF(G20=20,[2]KILOMETRAJE!E$23,IF(G20=21,[2]KILOMETRAJE!E$24,IF(G20=22,[2]KILOMETRAJE!E$25,IF(G20=23,[2]KILOMETRAJE!E$26,IF(G20=24,[2]KILOMETRAJE!E$27,IF(G20=25,[2]KILOMETRAJE!E$28,IF(G20=26,[2]KILOMETRAJE!E$29,IF(G20=27,[2]KILOMETRAJE!E$30,IF(G20=28,[2]KILOMETRAJE!E$31,IF(G20=29,[2]KILOMETRAJE!E$32,IF(G20=30,[2]KILOMETRAJE!E$33,IF(G20=31,[2]KILOMETRAJE!E$34,IF(G20=32,[2]KILOMETRAJE!E$35,IF(G20=33,[2]KILOMETRAJE!E$36,IF(G20=34,[2]KILOMETRAJE!E$37,IF(G20=35,[2]KILOMETRAJE!E$38,IF(G20=36,[2]KILOMETRAJE!E$39,IF(G20=37,[2]KILOMETRAJE!E$40,IF(G20=38,[2]KILOMETRAJE!E$41,IF(G20=39,[2]KILOMETRAJE!E$42,IF(G20=40,[2]KILOMETRAJE!E$43,IF(G20=41,[2]KILOMETRAJE!E$44,IF(G20=42,[2]KILOMETRAJE!E$45,IF(G20=43,[2]KILOMETRAJE!E$46,IF(G20=44,[2]KILOMETRAJE!E$47,IF(G20=45,[2]KILOMETRAJE!E$48,IF(G20=46,[2]KILOMETRAJE!E$49,IF(G20=47,[2]KILOMETRAJE!E$50,IF(G20=48,[2]KILOMETRAJE!E$51,IF(G20=49,[2]KILOMETRAJE!E$52,IF(G20=50,[2]KILOMETRAJE!E$53,IF(G20=51,[2]KILOMETRAJE!E$54,IF(G20=52,[2]KILOMETRAJE!E$55,IF(G20=53,[2]KILOMETRAJE!E$56,IF(G20=54,[2]KILOMETRAJE!E$57,IF(G20=55,[2]KILOMETRAJE!E$58,IF(G20=56,[2]KILOMETRAJE!E$59,IF(G20=57,[2]KILOMETRAJE!E$60,IF(G20=58,[2]KILOMETRAJE!E$61,IF(G20=59,[2]KILOMETRAJE!E$62,IF(G20=60,[2]KILOMETRAJE!E$63,IF(G20=61,[2]KILOMETRAJE!E$64,IF(G20=62,[2]KILOMETRAJE!E$65,IF(G20=63,[2]KILOMETRAJE!E$66)))))))))))))))))))))))))))))))))))))))))))))))))))))))))))))))</f>
        <v>JRZ</v>
      </c>
      <c r="J20" s="71">
        <f>IF(G20=1,[2]KILOMETRAJE!G$4,IF(G20=2,[2]KILOMETRAJE!G$5,IF(G20=3,[2]KILOMETRAJE!G$6,IF(G20=4,[2]KILOMETRAJE!G$7,IF(G20=5,[2]KILOMETRAJE!G$8,IF(G20=6,[2]KILOMETRAJE!G$9,IF(G20=7,[2]KILOMETRAJE!G$10,IF(G20=8,[2]KILOMETRAJE!G$11,IF(G20=9,[2]KILOMETRAJE!G$12,IF(G20=10,[2]KILOMETRAJE!G$13,IF(G20=11,[2]KILOMETRAJE!G$14,IF(G20=12,[2]KILOMETRAJE!G$15,IF(G20=13,[2]KILOMETRAJE!G$16,IF(G20=14,[2]KILOMETRAJE!G$17,IF(G20=15,[2]KILOMETRAJE!G$18,IF(G20=16,[2]KILOMETRAJE!G$19,IF(G20=17,[2]KILOMETRAJE!G$20,IF(G20=18,[2]KILOMETRAJE!G$21,IF(G20=19,[2]KILOMETRAJE!G$22,IF(G20=20,[2]KILOMETRAJE!G$23,IF(G20=21,[2]KILOMETRAJE!G$24,IF(G20=22,[2]KILOMETRAJE!G$25,IF(G20=23,[2]KILOMETRAJE!G$26,IF(G20=24,[2]KILOMETRAJE!G$27,IF(G20=25,[2]KILOMETRAJE!G$28,IF(G20=26,[2]KILOMETRAJE!G$29,IF(G20=27,[2]KILOMETRAJE!G$30,IF(G20=28,[2]KILOMETRAJE!G$31,IF(G20=29,[2]KILOMETRAJE!G$32,IF(G20=30,[2]KILOMETRAJE!G$33,IF(G20=31,[2]KILOMETRAJE!G$34,IF(G20=32,[2]KILOMETRAJE!G$35,IF(G20=33,[2]KILOMETRAJE!G$36,IF(G20=34,[2]KILOMETRAJE!G$37,IF(G20=35,[2]KILOMETRAJE!G$38,IF(G20=36,[2]KILOMETRAJE!G$39,IF(G20=37,[2]KILOMETRAJE!G$40,IF(G20=38,[2]KILOMETRAJE!G$41,IF(G20=39,[2]KILOMETRAJE!G$42,IF(G20=40,[2]KILOMETRAJE!G$43,IF(G20=41,[2]KILOMETRAJE!G$44,IF(G20=42,[2]KILOMETRAJE!G$45,IF(G20=43,[2]KILOMETRAJE!G$46,IF(G20=44,[2]KILOMETRAJE!G$47,IF(G20=45,[2]KILOMETRAJE!G$48,IF(G20=46,[2]KILOMETRAJE!G$49,IF(G20=47,[2]KILOMETRAJE!G$50,IF(G20=48,[2]KILOMETRAJE!G$51,IF(G20=49,[2]KILOMETRAJE!G$52,IF(G20=50,[2]KILOMETRAJE!G$53,IF(G20=51,[2]KILOMETRAJE!G$54,IF(G20=52,[2]KILOMETRAJE!G$55,IF(G20=53,[2]KILOMETRAJE!G$56,IF(G20=54,[2]KILOMETRAJE!G$57,IF(G20=55,[2]KILOMETRAJE!G$58,IF(G20=56,[2]KILOMETRAJE!G$59,IF(G20=57,[2]KILOMETRAJE!G$60,IF(G20=58,[2]KILOMETRAJE!G$61,IF(G20=59,[2]KILOMETRAJE!G$62,IF(G20=60,[2]KILOMETRAJE!G$63,IF(G20=61,[2]KILOMETRAJE!G$64,IF(G20=62,[2]KILOMETRAJE!G$65,IF(G20=63,[2]KILOMETRAJE!G$66)))))))))))))))))))))))))))))))))))))))))))))))))))))))))))))))</f>
        <v>375</v>
      </c>
      <c r="K20" s="70">
        <v>226.53</v>
      </c>
      <c r="L20" s="299">
        <f>SUM(J19:J20)/K20</f>
        <v>3.4873968127841786</v>
      </c>
      <c r="M20" s="370">
        <v>1565</v>
      </c>
      <c r="N20" s="70">
        <v>1</v>
      </c>
      <c r="O20" s="70" t="s">
        <v>528</v>
      </c>
      <c r="P20" s="70" t="s">
        <v>198</v>
      </c>
      <c r="Q20" s="67">
        <f t="shared" si="0"/>
        <v>109.99874999999999</v>
      </c>
      <c r="R20" s="197">
        <f>+LOOKUP(P39,UNIDADES!B$3:B$59,UNIDADES!C$3:C$59)</f>
        <v>2.4509799999999999</v>
      </c>
      <c r="S20" s="194">
        <f>+((SUM(J19:J20)-40)/R20)-K20</f>
        <v>79.470048960007858</v>
      </c>
      <c r="T20" s="461">
        <f>+S20*14.85</f>
        <v>1180.1302270561166</v>
      </c>
      <c r="U20" s="68">
        <v>57</v>
      </c>
      <c r="V20" s="68">
        <v>59</v>
      </c>
    </row>
    <row r="21" spans="2:23" ht="13.5" customHeight="1" x14ac:dyDescent="0.2">
      <c r="B21" s="14" t="s">
        <v>416</v>
      </c>
      <c r="C21" s="176">
        <v>46123</v>
      </c>
      <c r="D21" s="43" t="s">
        <v>621</v>
      </c>
      <c r="E21" s="42">
        <v>45959</v>
      </c>
      <c r="F21" s="42">
        <v>45960</v>
      </c>
      <c r="G21" s="43">
        <v>4</v>
      </c>
      <c r="H21" s="236" t="str">
        <f>IF(G21=1,[2]KILOMETRAJE!C$4,IF(G21=2,[2]KILOMETRAJE!C$5,IF(G21=3,[2]KILOMETRAJE!C$6,IF(G21=4,[2]KILOMETRAJE!C$7,IF(G21=5,[2]KILOMETRAJE!C$8,IF(G21=6,[2]KILOMETRAJE!C$9,IF(G21=7,[2]KILOMETRAJE!C$10,IF(G21=8,[2]KILOMETRAJE!C$11,IF(G21=9,[2]KILOMETRAJE!C$12,IF(G21=10,[2]KILOMETRAJE!C$13,IF(G21=11,[2]KILOMETRAJE!C$14,IF(G21=12,[2]KILOMETRAJE!C$15,IF(G21=13,[2]KILOMETRAJE!C$16,IF(G21=14,[2]KILOMETRAJE!C$17,IF(G21=15,[2]KILOMETRAJE!C$18,IF(G21=16,[2]KILOMETRAJE!C$19,IF(G21=17,[2]KILOMETRAJE!C$20,IF(G21=18,[2]KILOMETRAJE!C$21,IF(G21=19,[2]KILOMETRAJE!C$22,IF(G21=20,[2]KILOMETRAJE!C$23,IF(G21=21,[2]KILOMETRAJE!C$24,IF(G21=22,[2]KILOMETRAJE!C$25,IF(G21=23,[2]KILOMETRAJE!C$26,IF(G21=24,[2]KILOMETRAJE!C$27,IF(G21=25,[2]KILOMETRAJE!C$28,IF(G21=26,[2]KILOMETRAJE!C$29,IF(G21=27,[2]KILOMETRAJE!C$30,IF(G21=28,[2]KILOMETRAJE!C$31,IF(G21=29,[2]KILOMETRAJE!C$32,IF(G21=30,[2]KILOMETRAJE!C$33,IF(G21=31,[2]KILOMETRAJE!C$34,IF(G21=32,[2]KILOMETRAJE!C$35,IF(G21=33,[2]KILOMETRAJE!C$36,IF(G21=34,[2]KILOMETRAJE!C$37,IF(G21=35,[2]KILOMETRAJE!C$38,IF(G21=36,[2]KILOMETRAJE!C$39,IF(G21=37,[2]KILOMETRAJE!C$40,IF(G21=38,[2]KILOMETRAJE!C$41,IF(G21=39,[2]KILOMETRAJE!C$42,IF(G21=40,[2]KILOMETRAJE!C$43,IF(G21=41,[2]KILOMETRAJE!C$44,IF(G21=42,[2]KILOMETRAJE!C$45,IF(G21=43,[2]KILOMETRAJE!C$46,IF(G21=44,[2]KILOMETRAJE!C$47,IF(G21=45,[2]KILOMETRAJE!C$48,IF(G21=46,[2]KILOMETRAJE!C$49,IF(G21=47,[2]KILOMETRAJE!C$50,IF(G21=48,[2]KILOMETRAJE!C$51,IF(G21=49,[2]KILOMETRAJE!C$52,IF(G21=50,[2]KILOMETRAJE!C$53,IF(G21=51,[2]KILOMETRAJE!C$54,IF(G21=52,[2]KILOMETRAJE!C$55,IF(G21=53,[2]KILOMETRAJE!C$56,IF(G21=54,[2]KILOMETRAJE!C$57,IF(G21=55,[2]KILOMETRAJE!C$58,IF(G21=56,[2]KILOMETRAJE!C$59,IF(G21=57,[2]KILOMETRAJE!C$60,IF(G21=58,[2]KILOMETRAJE!C$61,IF(G21=59,[2]KILOMETRAJE!C$62,IF(G21=60,[2]KILOMETRAJE!C$63,IF(G21=61,[2]KILOMETRAJE!C$64,IF(G21=62,[2]KILOMETRAJE!C$65,IF(G21=63,[2]KILOMETRAJE!C$66)))))))))))))))))))))))))))))))))))))))))))))))))))))))))))))))</f>
        <v xml:space="preserve">ELP. </v>
      </c>
      <c r="I21" s="236" t="str">
        <f>IF(G21=1,[2]KILOMETRAJE!E$4,IF(G21=2,[2]KILOMETRAJE!E$5,IF(G21=3,[2]KILOMETRAJE!E$6,IF(G21=4,[2]KILOMETRAJE!E$7,IF(G21=5,[2]KILOMETRAJE!E$8,IF(G21=6,[2]KILOMETRAJE!E$9,IF(G21=7,[2]KILOMETRAJE!E$10,IF(G21=8,[2]KILOMETRAJE!E$11,IF(G21=9,[2]KILOMETRAJE!E$12,IF(G21=10,[2]KILOMETRAJE!E$13,IF(G21=11,[2]KILOMETRAJE!E$14,IF(G21=12,[2]KILOMETRAJE!E$15,IF(G21=13,[2]KILOMETRAJE!E$16,IF(G21=14,[2]KILOMETRAJE!E$17,IF(G21=15,[2]KILOMETRAJE!E$18,IF(G21=16,[2]KILOMETRAJE!E$19,IF(G21=17,[2]KILOMETRAJE!E$20,IF(G21=18,[2]KILOMETRAJE!E$21,IF(G21=19,[2]KILOMETRAJE!E$22,IF(G21=20,[2]KILOMETRAJE!E$23,IF(G21=21,[2]KILOMETRAJE!E$24,IF(G21=22,[2]KILOMETRAJE!E$25,IF(G21=23,[2]KILOMETRAJE!E$26,IF(G21=24,[2]KILOMETRAJE!E$27,IF(G21=25,[2]KILOMETRAJE!E$28,IF(G21=26,[2]KILOMETRAJE!E$29,IF(G21=27,[2]KILOMETRAJE!E$30,IF(G21=28,[2]KILOMETRAJE!E$31,IF(G21=29,[2]KILOMETRAJE!E$32,IF(G21=30,[2]KILOMETRAJE!E$33,IF(G21=31,[2]KILOMETRAJE!E$34,IF(G21=32,[2]KILOMETRAJE!E$35,IF(G21=33,[2]KILOMETRAJE!E$36,IF(G21=34,[2]KILOMETRAJE!E$37,IF(G21=35,[2]KILOMETRAJE!E$38,IF(G21=36,[2]KILOMETRAJE!E$39,IF(G21=37,[2]KILOMETRAJE!E$40,IF(G21=38,[2]KILOMETRAJE!E$41,IF(G21=39,[2]KILOMETRAJE!E$42,IF(G21=40,[2]KILOMETRAJE!E$43,IF(G21=41,[2]KILOMETRAJE!E$44,IF(G21=42,[2]KILOMETRAJE!E$45,IF(G21=43,[2]KILOMETRAJE!E$46,IF(G21=44,[2]KILOMETRAJE!E$47,IF(G21=45,[2]KILOMETRAJE!E$48,IF(G21=46,[2]KILOMETRAJE!E$49,IF(G21=47,[2]KILOMETRAJE!E$50,IF(G21=48,[2]KILOMETRAJE!E$51,IF(G21=49,[2]KILOMETRAJE!E$52,IF(G21=50,[2]KILOMETRAJE!E$53,IF(G21=51,[2]KILOMETRAJE!E$54,IF(G21=52,[2]KILOMETRAJE!E$55,IF(G21=53,[2]KILOMETRAJE!E$56,IF(G21=54,[2]KILOMETRAJE!E$57,IF(G21=55,[2]KILOMETRAJE!E$58,IF(G21=56,[2]KILOMETRAJE!E$59,IF(G21=57,[2]KILOMETRAJE!E$60,IF(G21=58,[2]KILOMETRAJE!E$61,IF(G21=59,[2]KILOMETRAJE!E$62,IF(G21=60,[2]KILOMETRAJE!E$63,IF(G21=61,[2]KILOMETRAJE!E$64,IF(G21=62,[2]KILOMETRAJE!E$65,IF(G21=63,[2]KILOMETRAJE!E$66)))))))))))))))))))))))))))))))))))))))))))))))))))))))))))))))</f>
        <v>CHIH.</v>
      </c>
      <c r="J21" s="237">
        <f>IF(G21=1,[2]KILOMETRAJE!G$4,IF(G21=2,[2]KILOMETRAJE!G$5,IF(G21=3,[2]KILOMETRAJE!G$6,IF(G21=4,[2]KILOMETRAJE!G$7,IF(G21=5,[2]KILOMETRAJE!G$8,IF(G21=6,[2]KILOMETRAJE!G$9,IF(G21=7,[2]KILOMETRAJE!G$10,IF(G21=8,[2]KILOMETRAJE!G$11,IF(G21=9,[2]KILOMETRAJE!G$12,IF(G21=10,[2]KILOMETRAJE!G$13,IF(G21=11,[2]KILOMETRAJE!G$14,IF(G21=12,[2]KILOMETRAJE!G$15,IF(G21=13,[2]KILOMETRAJE!G$16,IF(G21=14,[2]KILOMETRAJE!G$17,IF(G21=15,[2]KILOMETRAJE!G$18,IF(G21=16,[2]KILOMETRAJE!G$19,IF(G21=17,[2]KILOMETRAJE!G$20,IF(G21=18,[2]KILOMETRAJE!G$21,IF(G21=19,[2]KILOMETRAJE!G$22,IF(G21=20,[2]KILOMETRAJE!G$23,IF(G21=21,[2]KILOMETRAJE!G$24,IF(G21=22,[2]KILOMETRAJE!G$25,IF(G21=23,[2]KILOMETRAJE!G$26,IF(G21=24,[2]KILOMETRAJE!G$27,IF(G21=25,[2]KILOMETRAJE!G$28,IF(G21=26,[2]KILOMETRAJE!G$29,IF(G21=27,[2]KILOMETRAJE!G$30,IF(G21=28,[2]KILOMETRAJE!G$31,IF(G21=29,[2]KILOMETRAJE!G$32,IF(G21=30,[2]KILOMETRAJE!G$33,IF(G21=31,[2]KILOMETRAJE!G$34,IF(G21=32,[2]KILOMETRAJE!G$35,IF(G21=33,[2]KILOMETRAJE!G$36,IF(G21=34,[2]KILOMETRAJE!G$37,IF(G21=35,[2]KILOMETRAJE!G$38,IF(G21=36,[2]KILOMETRAJE!G$39,IF(G21=37,[2]KILOMETRAJE!G$40,IF(G21=38,[2]KILOMETRAJE!G$41,IF(G21=39,[2]KILOMETRAJE!G$42,IF(G21=40,[2]KILOMETRAJE!G$43,IF(G21=41,[2]KILOMETRAJE!G$44,IF(G21=42,[2]KILOMETRAJE!G$45,IF(G21=43,[2]KILOMETRAJE!G$46,IF(G21=44,[2]KILOMETRAJE!G$47,IF(G21=45,[2]KILOMETRAJE!G$48,IF(G21=46,[2]KILOMETRAJE!G$49,IF(G21=47,[2]KILOMETRAJE!G$50,IF(G21=48,[2]KILOMETRAJE!G$51,IF(G21=49,[2]KILOMETRAJE!G$52,IF(G21=50,[2]KILOMETRAJE!G$53,IF(G21=51,[2]KILOMETRAJE!G$54,IF(G21=52,[2]KILOMETRAJE!G$55,IF(G21=53,[2]KILOMETRAJE!G$56,IF(G21=54,[2]KILOMETRAJE!G$57,IF(G21=55,[2]KILOMETRAJE!G$58,IF(G21=56,[2]KILOMETRAJE!G$59,IF(G21=57,[2]KILOMETRAJE!G$60,IF(G21=58,[2]KILOMETRAJE!G$61,IF(G21=59,[2]KILOMETRAJE!G$62,IF(G21=60,[2]KILOMETRAJE!G$63,IF(G21=61,[2]KILOMETRAJE!G$64,IF(G21=62,[2]KILOMETRAJE!G$65,IF(G21=63,[2]KILOMETRAJE!G$66)))))))))))))))))))))))))))))))))))))))))))))))))))))))))))))))</f>
        <v>415</v>
      </c>
      <c r="K21" s="24"/>
      <c r="L21" s="44"/>
      <c r="M21" s="348">
        <v>865</v>
      </c>
      <c r="N21" s="24">
        <v>4</v>
      </c>
      <c r="O21" s="24" t="s">
        <v>440</v>
      </c>
      <c r="P21" s="24" t="s">
        <v>198</v>
      </c>
      <c r="Q21" s="45">
        <f t="shared" ref="Q21" si="1">((((IF(N21=1,((J21)*0.29333)))+(IF(N21=2,((J21)*0.146666)))+(IF(N21=3,((J21)*0.146666)))))+(IF(N21=4,((J21-40)*0.29333)))+(IF(N21=5,((J21-50)*0.29333)))+(IF(N21=6,((J21-90)*0.29333))))</f>
        <v>109.99874999999999</v>
      </c>
      <c r="R21" s="191"/>
      <c r="S21" s="52"/>
      <c r="T21" s="45"/>
      <c r="U21" s="43"/>
      <c r="V21" s="17"/>
      <c r="W21" s="244"/>
    </row>
    <row r="22" spans="2:23" x14ac:dyDescent="0.2">
      <c r="C22" s="380"/>
      <c r="D22" s="61" t="s">
        <v>622</v>
      </c>
      <c r="E22" s="12">
        <v>45960</v>
      </c>
      <c r="F22" s="12">
        <v>45961</v>
      </c>
      <c r="G22" s="61">
        <v>35</v>
      </c>
      <c r="H22" s="11" t="str">
        <f>IF(G22=1,[2]KILOMETRAJE!C$4,IF(G22=2,[2]KILOMETRAJE!C$5,IF(G22=3,[2]KILOMETRAJE!C$6,IF(G22=4,[2]KILOMETRAJE!C$7,IF(G22=5,[2]KILOMETRAJE!C$8,IF(G22=6,[2]KILOMETRAJE!C$9,IF(G22=7,[2]KILOMETRAJE!C$10,IF(G22=8,[2]KILOMETRAJE!C$11,IF(G22=9,[2]KILOMETRAJE!C$12,IF(G22=10,[2]KILOMETRAJE!C$13,IF(G22=11,[2]KILOMETRAJE!C$14,IF(G22=12,[2]KILOMETRAJE!C$15,IF(G22=13,[2]KILOMETRAJE!C$16,IF(G22=14,[2]KILOMETRAJE!C$17,IF(G22=15,[2]KILOMETRAJE!C$18,IF(G22=16,[2]KILOMETRAJE!C$19,IF(G22=17,[2]KILOMETRAJE!C$20,IF(G22=18,[2]KILOMETRAJE!C$21,IF(G22=19,[2]KILOMETRAJE!C$22,IF(G22=20,[2]KILOMETRAJE!C$23,IF(G22=21,[2]KILOMETRAJE!C$24,IF(G22=22,[2]KILOMETRAJE!C$25,IF(G22=23,[2]KILOMETRAJE!C$26,IF(G22=24,[2]KILOMETRAJE!C$27,IF(G22=25,[2]KILOMETRAJE!C$28,IF(G22=26,[2]KILOMETRAJE!C$29,IF(G22=27,[2]KILOMETRAJE!C$30,IF(G22=28,[2]KILOMETRAJE!C$31,IF(G22=29,[2]KILOMETRAJE!C$32,IF(G22=30,[2]KILOMETRAJE!C$33,IF(G22=31,[2]KILOMETRAJE!C$34,IF(G22=32,[2]KILOMETRAJE!C$35,IF(G22=33,[2]KILOMETRAJE!C$36,IF(G22=34,[2]KILOMETRAJE!C$37,IF(G22=35,[2]KILOMETRAJE!C$38,IF(G22=36,[2]KILOMETRAJE!C$39,IF(G22=37,[2]KILOMETRAJE!C$40,IF(G22=38,[2]KILOMETRAJE!C$41,IF(G22=39,[2]KILOMETRAJE!C$42,IF(G22=40,[2]KILOMETRAJE!C$43,IF(G22=41,[2]KILOMETRAJE!C$44,IF(G22=42,[2]KILOMETRAJE!C$45,IF(G22=43,[2]KILOMETRAJE!C$46,IF(G22=44,[2]KILOMETRAJE!C$47,IF(G22=45,[2]KILOMETRAJE!C$48,IF(G22=46,[2]KILOMETRAJE!C$49,IF(G22=47,[2]KILOMETRAJE!C$50,IF(G22=48,[2]KILOMETRAJE!C$51,IF(G22=49,[2]KILOMETRAJE!C$52,IF(G22=50,[2]KILOMETRAJE!C$53,IF(G22=51,[2]KILOMETRAJE!C$54,IF(G22=52,[2]KILOMETRAJE!C$55,IF(G22=53,[2]KILOMETRAJE!C$56,IF(G22=54,[2]KILOMETRAJE!C$57,IF(G22=55,[2]KILOMETRAJE!C$58,IF(G22=56,[2]KILOMETRAJE!C$59,IF(G22=57,[2]KILOMETRAJE!C$60,IF(G22=58,[2]KILOMETRAJE!C$61,IF(G22=59,[2]KILOMETRAJE!C$62,IF(G22=60,[2]KILOMETRAJE!C$63,IF(G22=61,[2]KILOMETRAJE!C$64,IF(G22=62,[2]KILOMETRAJE!C$65,IF(G22=63,[2]KILOMETRAJE!C$66)))))))))))))))))))))))))))))))))))))))))))))))))))))))))))))))</f>
        <v>CHIH.</v>
      </c>
      <c r="I22" s="11" t="str">
        <f>IF(G22=1,[2]KILOMETRAJE!E$4,IF(G22=2,[2]KILOMETRAJE!E$5,IF(G22=3,[2]KILOMETRAJE!E$6,IF(G22=4,[2]KILOMETRAJE!E$7,IF(G22=5,[2]KILOMETRAJE!E$8,IF(G22=6,[2]KILOMETRAJE!E$9,IF(G22=7,[2]KILOMETRAJE!E$10,IF(G22=8,[2]KILOMETRAJE!E$11,IF(G22=9,[2]KILOMETRAJE!E$12,IF(G22=10,[2]KILOMETRAJE!E$13,IF(G22=11,[2]KILOMETRAJE!E$14,IF(G22=12,[2]KILOMETRAJE!E$15,IF(G22=13,[2]KILOMETRAJE!E$16,IF(G22=14,[2]KILOMETRAJE!E$17,IF(G22=15,[2]KILOMETRAJE!E$18,IF(G22=16,[2]KILOMETRAJE!E$19,IF(G22=17,[2]KILOMETRAJE!E$20,IF(G22=18,[2]KILOMETRAJE!E$21,IF(G22=19,[2]KILOMETRAJE!E$22,IF(G22=20,[2]KILOMETRAJE!E$23,IF(G22=21,[2]KILOMETRAJE!E$24,IF(G22=22,[2]KILOMETRAJE!E$25,IF(G22=23,[2]KILOMETRAJE!E$26,IF(G22=24,[2]KILOMETRAJE!E$27,IF(G22=25,[2]KILOMETRAJE!E$28,IF(G22=26,[2]KILOMETRAJE!E$29,IF(G22=27,[2]KILOMETRAJE!E$30,IF(G22=28,[2]KILOMETRAJE!E$31,IF(G22=29,[2]KILOMETRAJE!E$32,IF(G22=30,[2]KILOMETRAJE!E$33,IF(G22=31,[2]KILOMETRAJE!E$34,IF(G22=32,[2]KILOMETRAJE!E$35,IF(G22=33,[2]KILOMETRAJE!E$36,IF(G22=34,[2]KILOMETRAJE!E$37,IF(G22=35,[2]KILOMETRAJE!E$38,IF(G22=36,[2]KILOMETRAJE!E$39,IF(G22=37,[2]KILOMETRAJE!E$40,IF(G22=38,[2]KILOMETRAJE!E$41,IF(G22=39,[2]KILOMETRAJE!E$42,IF(G22=40,[2]KILOMETRAJE!E$43,IF(G22=41,[2]KILOMETRAJE!E$44,IF(G22=42,[2]KILOMETRAJE!E$45,IF(G22=43,[2]KILOMETRAJE!E$46,IF(G22=44,[2]KILOMETRAJE!E$47,IF(G22=45,[2]KILOMETRAJE!E$48,IF(G22=46,[2]KILOMETRAJE!E$49,IF(G22=47,[2]KILOMETRAJE!E$50,IF(G22=48,[2]KILOMETRAJE!E$51,IF(G22=49,[2]KILOMETRAJE!E$52,IF(G22=50,[2]KILOMETRAJE!E$53,IF(G22=51,[2]KILOMETRAJE!E$54,IF(G22=52,[2]KILOMETRAJE!E$55,IF(G22=53,[2]KILOMETRAJE!E$56,IF(G22=54,[2]KILOMETRAJE!E$57,IF(G22=55,[2]KILOMETRAJE!E$58,IF(G22=56,[2]KILOMETRAJE!E$59,IF(G22=57,[2]KILOMETRAJE!E$60,IF(G22=58,[2]KILOMETRAJE!E$61,IF(G22=59,[2]KILOMETRAJE!E$62,IF(G22=60,[2]KILOMETRAJE!E$63,IF(G22=61,[2]KILOMETRAJE!E$64,IF(G22=62,[2]KILOMETRAJE!E$65,IF(G22=63,[2]KILOMETRAJE!E$66)))))))))))))))))))))))))))))))))))))))))))))))))))))))))))))))</f>
        <v>OBRG</v>
      </c>
      <c r="J22" s="22">
        <f>IF(G22=1,[2]KILOMETRAJE!G$4,IF(G22=2,[2]KILOMETRAJE!G$5,IF(G22=3,[2]KILOMETRAJE!G$6,IF(G22=4,[2]KILOMETRAJE!G$7,IF(G22=5,[2]KILOMETRAJE!G$8,IF(G22=6,[2]KILOMETRAJE!G$9,IF(G22=7,[2]KILOMETRAJE!G$10,IF(G22=8,[2]KILOMETRAJE!G$11,IF(G22=9,[2]KILOMETRAJE!G$12,IF(G22=10,[2]KILOMETRAJE!G$13,IF(G22=11,[2]KILOMETRAJE!G$14,IF(G22=12,[2]KILOMETRAJE!G$15,IF(G22=13,[2]KILOMETRAJE!G$16,IF(G22=14,[2]KILOMETRAJE!G$17,IF(G22=15,[2]KILOMETRAJE!G$18,IF(G22=16,[2]KILOMETRAJE!G$19,IF(G22=17,[2]KILOMETRAJE!G$20,IF(G22=18,[2]KILOMETRAJE!G$21,IF(G22=19,[2]KILOMETRAJE!G$22,IF(G22=20,[2]KILOMETRAJE!G$23,IF(G22=21,[2]KILOMETRAJE!G$24,IF(G22=22,[2]KILOMETRAJE!G$25,IF(G22=23,[2]KILOMETRAJE!G$26,IF(G22=24,[2]KILOMETRAJE!G$27,IF(G22=25,[2]KILOMETRAJE!G$28,IF(G22=26,[2]KILOMETRAJE!G$29,IF(G22=27,[2]KILOMETRAJE!G$30,IF(G22=28,[2]KILOMETRAJE!G$31,IF(G22=29,[2]KILOMETRAJE!G$32,IF(G22=30,[2]KILOMETRAJE!G$33,IF(G22=31,[2]KILOMETRAJE!G$34,IF(G22=32,[2]KILOMETRAJE!G$35,IF(G22=33,[2]KILOMETRAJE!G$36,IF(G22=34,[2]KILOMETRAJE!G$37,IF(G22=35,[2]KILOMETRAJE!G$38,IF(G22=36,[2]KILOMETRAJE!G$39,IF(G22=37,[2]KILOMETRAJE!G$40,IF(G22=38,[2]KILOMETRAJE!G$41,IF(G22=39,[2]KILOMETRAJE!G$42,IF(G22=40,[2]KILOMETRAJE!G$43,IF(G22=41,[2]KILOMETRAJE!G$44,IF(G22=42,[2]KILOMETRAJE!G$45,IF(G22=43,[2]KILOMETRAJE!G$46,IF(G22=44,[2]KILOMETRAJE!G$47,IF(G22=45,[2]KILOMETRAJE!G$48,IF(G22=46,[2]KILOMETRAJE!G$49,IF(G22=47,[2]KILOMETRAJE!G$50,IF(G22=48,[2]KILOMETRAJE!G$51,IF(G22=49,[2]KILOMETRAJE!G$52,IF(G22=50,[2]KILOMETRAJE!G$53,IF(G22=51,[2]KILOMETRAJE!G$54,IF(G22=52,[2]KILOMETRAJE!G$55,IF(G22=53,[2]KILOMETRAJE!G$56,IF(G22=54,[2]KILOMETRAJE!G$57,IF(G22=55,[2]KILOMETRAJE!G$58,IF(G22=56,[2]KILOMETRAJE!G$59,IF(G22=57,[2]KILOMETRAJE!G$60,IF(G22=58,[2]KILOMETRAJE!G$61,IF(G22=59,[2]KILOMETRAJE!G$62,IF(G22=60,[2]KILOMETRAJE!G$63,IF(G22=61,[2]KILOMETRAJE!G$64,IF(G22=62,[2]KILOMETRAJE!G$65,IF(G22=63,[2]KILOMETRAJE!G$66)))))))))))))))))))))))))))))))))))))))))))))))))))))))))))))))</f>
        <v>1131</v>
      </c>
      <c r="K22" s="11"/>
      <c r="L22" s="369"/>
      <c r="M22" s="371">
        <v>18200</v>
      </c>
      <c r="N22" s="11">
        <v>1</v>
      </c>
      <c r="O22" s="11" t="s">
        <v>624</v>
      </c>
      <c r="P22" s="11" t="s">
        <v>200</v>
      </c>
      <c r="Q22" s="13">
        <f>+J22*0.3</f>
        <v>339.3</v>
      </c>
      <c r="R22" s="339"/>
      <c r="S22" s="195"/>
      <c r="T22" s="13"/>
      <c r="U22" s="61"/>
      <c r="V22" s="415"/>
    </row>
    <row r="23" spans="2:23" ht="13.5" thickBot="1" x14ac:dyDescent="0.25">
      <c r="C23" s="101"/>
      <c r="D23" s="62" t="s">
        <v>623</v>
      </c>
      <c r="E23" s="25">
        <v>45961</v>
      </c>
      <c r="F23" s="25">
        <v>45962</v>
      </c>
      <c r="G23" s="554">
        <v>16</v>
      </c>
      <c r="H23" s="27" t="str">
        <f>IF(G23=1,[2]KILOMETRAJE!C$4,IF(G23=2,[2]KILOMETRAJE!C$5,IF(G23=3,[2]KILOMETRAJE!C$6,IF(G23=4,[2]KILOMETRAJE!C$7,IF(G23=5,[2]KILOMETRAJE!C$8,IF(G23=6,[2]KILOMETRAJE!C$9,IF(G23=7,[2]KILOMETRAJE!C$10,IF(G23=8,[2]KILOMETRAJE!C$11,IF(G23=9,[2]KILOMETRAJE!C$12,IF(G23=10,[2]KILOMETRAJE!C$13,IF(G23=11,[2]KILOMETRAJE!C$14,IF(G23=12,[2]KILOMETRAJE!C$15,IF(G23=13,[2]KILOMETRAJE!C$16,IF(G23=14,[2]KILOMETRAJE!C$17,IF(G23=15,[2]KILOMETRAJE!C$18,IF(G23=16,[2]KILOMETRAJE!C$19,IF(G23=17,[2]KILOMETRAJE!C$20,IF(G23=18,[2]KILOMETRAJE!C$21,IF(G23=19,[2]KILOMETRAJE!C$22,IF(G23=20,[2]KILOMETRAJE!C$23,IF(G23=21,[2]KILOMETRAJE!C$24,IF(G23=22,[2]KILOMETRAJE!C$25,IF(G23=23,[2]KILOMETRAJE!C$26,IF(G23=24,[2]KILOMETRAJE!C$27,IF(G23=25,[2]KILOMETRAJE!C$28,IF(G23=26,[2]KILOMETRAJE!C$29,IF(G23=27,[2]KILOMETRAJE!C$30,IF(G23=28,[2]KILOMETRAJE!C$31,IF(G23=29,[2]KILOMETRAJE!C$32,IF(G23=30,[2]KILOMETRAJE!C$33,IF(G23=31,[2]KILOMETRAJE!C$34,IF(G23=32,[2]KILOMETRAJE!C$35,IF(G23=33,[2]KILOMETRAJE!C$36,IF(G23=34,[2]KILOMETRAJE!C$37,IF(G23=35,[2]KILOMETRAJE!C$38,IF(G23=36,[2]KILOMETRAJE!C$39,IF(G23=37,[2]KILOMETRAJE!C$40,IF(G23=38,[2]KILOMETRAJE!C$41,IF(G23=39,[2]KILOMETRAJE!C$42,IF(G23=40,[2]KILOMETRAJE!C$43,IF(G23=41,[2]KILOMETRAJE!C$44,IF(G23=42,[2]KILOMETRAJE!C$45,IF(G23=43,[2]KILOMETRAJE!C$46,IF(G23=44,[2]KILOMETRAJE!C$47,IF(G23=45,[2]KILOMETRAJE!C$48,IF(G23=46,[2]KILOMETRAJE!C$49,IF(G23=47,[2]KILOMETRAJE!C$50,IF(G23=48,[2]KILOMETRAJE!C$51,IF(G23=49,[2]KILOMETRAJE!C$52,IF(G23=50,[2]KILOMETRAJE!C$53,IF(G23=51,[2]KILOMETRAJE!C$54,IF(G23=52,[2]KILOMETRAJE!C$55,IF(G23=53,[2]KILOMETRAJE!C$56,IF(G23=54,[2]KILOMETRAJE!C$57,IF(G23=55,[2]KILOMETRAJE!C$58,IF(G23=56,[2]KILOMETRAJE!C$59,IF(G23=57,[2]KILOMETRAJE!C$60,IF(G23=58,[2]KILOMETRAJE!C$61,IF(G23=59,[2]KILOMETRAJE!C$62,IF(G23=60,[2]KILOMETRAJE!C$63,IF(G23=61,[2]KILOMETRAJE!C$64,IF(G23=62,[2]KILOMETRAJE!C$65,IF(G23=63,[2]KILOMETRAJE!C$66)))))))))))))))))))))))))))))))))))))))))))))))))))))))))))))))</f>
        <v>OBRG</v>
      </c>
      <c r="I23" s="27" t="str">
        <f>IF(G23=1,[2]KILOMETRAJE!E$4,IF(G23=2,[2]KILOMETRAJE!E$5,IF(G23=3,[2]KILOMETRAJE!E$6,IF(G23=4,[2]KILOMETRAJE!E$7,IF(G23=5,[2]KILOMETRAJE!E$8,IF(G23=6,[2]KILOMETRAJE!E$9,IF(G23=7,[2]KILOMETRAJE!E$10,IF(G23=8,[2]KILOMETRAJE!E$11,IF(G23=9,[2]KILOMETRAJE!E$12,IF(G23=10,[2]KILOMETRAJE!E$13,IF(G23=11,[2]KILOMETRAJE!E$14,IF(G23=12,[2]KILOMETRAJE!E$15,IF(G23=13,[2]KILOMETRAJE!E$16,IF(G23=14,[2]KILOMETRAJE!E$17,IF(G23=15,[2]KILOMETRAJE!E$18,IF(G23=16,[2]KILOMETRAJE!E$19,IF(G23=17,[2]KILOMETRAJE!E$20,IF(G23=18,[2]KILOMETRAJE!E$21,IF(G23=19,[2]KILOMETRAJE!E$22,IF(G23=20,[2]KILOMETRAJE!E$23,IF(G23=21,[2]KILOMETRAJE!E$24,IF(G23=22,[2]KILOMETRAJE!E$25,IF(G23=23,[2]KILOMETRAJE!E$26,IF(G23=24,[2]KILOMETRAJE!E$27,IF(G23=25,[2]KILOMETRAJE!E$28,IF(G23=26,[2]KILOMETRAJE!E$29,IF(G23=27,[2]KILOMETRAJE!E$30,IF(G23=28,[2]KILOMETRAJE!E$31,IF(G23=29,[2]KILOMETRAJE!E$32,IF(G23=30,[2]KILOMETRAJE!E$33,IF(G23=31,[2]KILOMETRAJE!E$34,IF(G23=32,[2]KILOMETRAJE!E$35,IF(G23=33,[2]KILOMETRAJE!E$36,IF(G23=34,[2]KILOMETRAJE!E$37,IF(G23=35,[2]KILOMETRAJE!E$38,IF(G23=36,[2]KILOMETRAJE!E$39,IF(G23=37,[2]KILOMETRAJE!E$40,IF(G23=38,[2]KILOMETRAJE!E$41,IF(G23=39,[2]KILOMETRAJE!E$42,IF(G23=40,[2]KILOMETRAJE!E$43,IF(G23=41,[2]KILOMETRAJE!E$44,IF(G23=42,[2]KILOMETRAJE!E$45,IF(G23=43,[2]KILOMETRAJE!E$46,IF(G23=44,[2]KILOMETRAJE!E$47,IF(G23=45,[2]KILOMETRAJE!E$48,IF(G23=46,[2]KILOMETRAJE!E$49,IF(G23=47,[2]KILOMETRAJE!E$50,IF(G23=48,[2]KILOMETRAJE!E$51,IF(G23=49,[2]KILOMETRAJE!E$52,IF(G23=50,[2]KILOMETRAJE!E$53,IF(G23=51,[2]KILOMETRAJE!E$54,IF(G23=52,[2]KILOMETRAJE!E$55,IF(G23=53,[2]KILOMETRAJE!E$56,IF(G23=54,[2]KILOMETRAJE!E$57,IF(G23=55,[2]KILOMETRAJE!E$58,IF(G23=56,[2]KILOMETRAJE!E$59,IF(G23=57,[2]KILOMETRAJE!E$60,IF(G23=58,[2]KILOMETRAJE!E$61,IF(G23=59,[2]KILOMETRAJE!E$62,IF(G23=60,[2]KILOMETRAJE!E$63,IF(G23=61,[2]KILOMETRAJE!E$64,IF(G23=62,[2]KILOMETRAJE!E$65,IF(G23=63,[2]KILOMETRAJE!E$66)))))))))))))))))))))))))))))))))))))))))))))))))))))))))))))))</f>
        <v>JRZ</v>
      </c>
      <c r="J23" s="31">
        <f>IF(G23=1,[2]KILOMETRAJE!G$4,IF(G23=2,[2]KILOMETRAJE!G$5,IF(G23=3,[2]KILOMETRAJE!G$6,IF(G23=4,[2]KILOMETRAJE!G$7,IF(G23=5,[2]KILOMETRAJE!G$8,IF(G23=6,[2]KILOMETRAJE!G$9,IF(G23=7,[2]KILOMETRAJE!G$10,IF(G23=8,[2]KILOMETRAJE!G$11,IF(G23=9,[2]KILOMETRAJE!G$12,IF(G23=10,[2]KILOMETRAJE!G$13,IF(G23=11,[2]KILOMETRAJE!G$14,IF(G23=12,[2]KILOMETRAJE!G$15,IF(G23=13,[2]KILOMETRAJE!G$16,IF(G23=14,[2]KILOMETRAJE!G$17,IF(G23=15,[2]KILOMETRAJE!G$18,IF(G23=16,[2]KILOMETRAJE!G$19,IF(G23=17,[2]KILOMETRAJE!G$20,IF(G23=18,[2]KILOMETRAJE!G$21,IF(G23=19,[2]KILOMETRAJE!G$22,IF(G23=20,[2]KILOMETRAJE!G$23,IF(G23=21,[2]KILOMETRAJE!G$24,IF(G23=22,[2]KILOMETRAJE!G$25,IF(G23=23,[2]KILOMETRAJE!G$26,IF(G23=24,[2]KILOMETRAJE!G$27,IF(G23=25,[2]KILOMETRAJE!G$28,IF(G23=26,[2]KILOMETRAJE!G$29,IF(G23=27,[2]KILOMETRAJE!G$30,IF(G23=28,[2]KILOMETRAJE!G$31,IF(G23=29,[2]KILOMETRAJE!G$32,IF(G23=30,[2]KILOMETRAJE!G$33,IF(G23=31,[2]KILOMETRAJE!G$34,IF(G23=32,[2]KILOMETRAJE!G$35,IF(G23=33,[2]KILOMETRAJE!G$36,IF(G23=34,[2]KILOMETRAJE!G$37,IF(G23=35,[2]KILOMETRAJE!G$38,IF(G23=36,[2]KILOMETRAJE!G$39,IF(G23=37,[2]KILOMETRAJE!G$40,IF(G23=38,[2]KILOMETRAJE!G$41,IF(G23=39,[2]KILOMETRAJE!G$42,IF(G23=40,[2]KILOMETRAJE!G$43,IF(G23=41,[2]KILOMETRAJE!G$44,IF(G23=42,[2]KILOMETRAJE!G$45,IF(G23=43,[2]KILOMETRAJE!G$46,IF(G23=44,[2]KILOMETRAJE!G$47,IF(G23=45,[2]KILOMETRAJE!G$48,IF(G23=46,[2]KILOMETRAJE!G$49,IF(G23=47,[2]KILOMETRAJE!G$50,IF(G23=48,[2]KILOMETRAJE!G$51,IF(G23=49,[2]KILOMETRAJE!G$52,IF(G23=50,[2]KILOMETRAJE!G$53,IF(G23=51,[2]KILOMETRAJE!G$54,IF(G23=52,[2]KILOMETRAJE!G$55,IF(G23=53,[2]KILOMETRAJE!G$56,IF(G23=54,[2]KILOMETRAJE!G$57,IF(G23=55,[2]KILOMETRAJE!G$58,IF(G23=56,[2]KILOMETRAJE!G$59,IF(G23=57,[2]KILOMETRAJE!G$60,IF(G23=58,[2]KILOMETRAJE!G$61,IF(G23=59,[2]KILOMETRAJE!G$62,IF(G23=60,[2]KILOMETRAJE!G$63,IF(G23=61,[2]KILOMETRAJE!G$64,IF(G23=62,[2]KILOMETRAJE!G$65,IF(G23=63,[2]KILOMETRAJE!G$66)))))))))))))))))))))))))))))))))))))))))))))))))))))))))))))))</f>
        <v>1021</v>
      </c>
      <c r="K23" s="27">
        <v>823.91</v>
      </c>
      <c r="L23" s="112">
        <f>SUM(J21:J23)/K23</f>
        <v>3.1156315616997001</v>
      </c>
      <c r="M23" s="349">
        <v>15465</v>
      </c>
      <c r="N23" s="27">
        <v>1</v>
      </c>
      <c r="O23" s="27" t="s">
        <v>625</v>
      </c>
      <c r="P23" s="27" t="s">
        <v>200</v>
      </c>
      <c r="Q23" s="29">
        <f>+J23*0.3</f>
        <v>306.3</v>
      </c>
      <c r="R23" s="190">
        <f>+LOOKUP(P40,UNIDADES!B$3:B$59,UNIDADES!C$3:C$59)</f>
        <v>2.4509799999999999</v>
      </c>
      <c r="S23" s="19">
        <f>+((SUM(J21:J23)-40)/R23)-K23</f>
        <v>207.10616496258638</v>
      </c>
      <c r="T23" s="29">
        <f>+S23*17.66</f>
        <v>3657.4948732392754</v>
      </c>
      <c r="U23" s="27">
        <v>57</v>
      </c>
      <c r="V23" s="55">
        <v>59</v>
      </c>
      <c r="W23" s="244"/>
    </row>
    <row r="24" spans="2:23" ht="13.5" hidden="1" customHeight="1" x14ac:dyDescent="0.2">
      <c r="C24" s="238"/>
      <c r="D24" s="36"/>
      <c r="E24" s="37"/>
      <c r="F24" s="37"/>
      <c r="G24" s="36"/>
      <c r="H24" s="259"/>
      <c r="I24" s="259"/>
      <c r="J24" s="260"/>
      <c r="K24" s="38"/>
      <c r="L24" s="48"/>
      <c r="M24" s="350"/>
      <c r="N24" s="38"/>
      <c r="O24" s="38"/>
      <c r="P24" s="38"/>
      <c r="Q24" s="40"/>
      <c r="R24" s="192"/>
      <c r="S24" s="186"/>
      <c r="T24" s="40"/>
      <c r="U24" s="38"/>
      <c r="V24" s="311"/>
    </row>
    <row r="25" spans="2:23" ht="12.75" hidden="1" thickBot="1" x14ac:dyDescent="0.25">
      <c r="C25" s="101"/>
      <c r="D25" s="62"/>
      <c r="E25" s="25"/>
      <c r="F25" s="25"/>
      <c r="G25" s="62"/>
      <c r="H25" s="27"/>
      <c r="I25" s="27"/>
      <c r="J25" s="31"/>
      <c r="K25" s="27"/>
      <c r="L25" s="112"/>
      <c r="M25" s="349"/>
      <c r="N25" s="27"/>
      <c r="O25" s="27"/>
      <c r="P25" s="27"/>
      <c r="Q25" s="29"/>
      <c r="R25" s="190"/>
      <c r="S25" s="19"/>
      <c r="T25" s="29"/>
      <c r="U25" s="27"/>
      <c r="V25" s="55"/>
    </row>
    <row r="26" spans="2:23" ht="12.75" hidden="1" thickBot="1" x14ac:dyDescent="0.25">
      <c r="C26" s="240"/>
      <c r="D26" s="57"/>
      <c r="E26" s="58"/>
      <c r="F26" s="58"/>
      <c r="G26" s="57"/>
      <c r="H26" s="496"/>
      <c r="I26" s="496"/>
      <c r="J26" s="497"/>
      <c r="K26" s="319"/>
      <c r="L26" s="335"/>
      <c r="M26" s="385"/>
      <c r="N26" s="319"/>
      <c r="O26" s="319"/>
      <c r="P26" s="319"/>
      <c r="Q26" s="336"/>
      <c r="R26" s="337"/>
      <c r="S26" s="338"/>
      <c r="T26" s="336"/>
      <c r="U26" s="57"/>
      <c r="V26" s="553"/>
    </row>
    <row r="27" spans="2:23" hidden="1" x14ac:dyDescent="0.2">
      <c r="C27" s="372"/>
      <c r="D27" s="36"/>
      <c r="E27" s="37"/>
      <c r="F27" s="37"/>
      <c r="G27" s="36"/>
      <c r="H27" s="259"/>
      <c r="I27" s="259"/>
      <c r="J27" s="260"/>
      <c r="K27" s="38"/>
      <c r="L27" s="48"/>
      <c r="M27" s="350"/>
      <c r="N27" s="38"/>
      <c r="O27" s="38"/>
      <c r="P27" s="38"/>
      <c r="Q27" s="40"/>
      <c r="R27" s="192"/>
      <c r="S27" s="186"/>
      <c r="T27" s="40"/>
      <c r="U27" s="36"/>
      <c r="V27" s="36"/>
    </row>
    <row r="28" spans="2:23" hidden="1" x14ac:dyDescent="0.2">
      <c r="C28" s="344"/>
      <c r="D28" s="61"/>
      <c r="E28" s="12"/>
      <c r="F28" s="12"/>
      <c r="G28" s="61"/>
      <c r="H28" s="424"/>
      <c r="I28" s="424"/>
      <c r="J28" s="425"/>
      <c r="K28" s="11"/>
      <c r="L28" s="23"/>
      <c r="M28" s="371"/>
      <c r="N28" s="11"/>
      <c r="O28" s="11"/>
      <c r="P28" s="11"/>
      <c r="Q28" s="13"/>
      <c r="R28" s="339"/>
      <c r="S28" s="195"/>
      <c r="T28" s="13"/>
      <c r="U28" s="61"/>
      <c r="V28" s="61"/>
    </row>
    <row r="29" spans="2:23" hidden="1" x14ac:dyDescent="0.2">
      <c r="C29" s="344"/>
      <c r="D29" s="61"/>
      <c r="E29" s="12"/>
      <c r="F29" s="12"/>
      <c r="G29" s="61"/>
      <c r="H29" s="11"/>
      <c r="I29" s="11"/>
      <c r="J29" s="22"/>
      <c r="K29" s="11"/>
      <c r="L29" s="369"/>
      <c r="M29" s="371"/>
      <c r="N29" s="11"/>
      <c r="O29" s="11"/>
      <c r="P29" s="11"/>
      <c r="Q29" s="13"/>
      <c r="R29" s="339"/>
      <c r="S29" s="195"/>
      <c r="T29" s="13"/>
      <c r="U29" s="61"/>
      <c r="V29" s="61"/>
    </row>
    <row r="30" spans="2:23" hidden="1" x14ac:dyDescent="0.2">
      <c r="C30" s="344"/>
      <c r="D30" s="61"/>
      <c r="E30" s="12"/>
      <c r="F30" s="12"/>
      <c r="G30" s="61"/>
      <c r="H30" s="11"/>
      <c r="I30" s="11"/>
      <c r="J30" s="22"/>
      <c r="K30" s="11"/>
      <c r="L30" s="23"/>
      <c r="M30" s="371"/>
      <c r="N30" s="11"/>
      <c r="O30" s="11"/>
      <c r="P30" s="11"/>
      <c r="Q30" s="13"/>
      <c r="R30" s="339"/>
      <c r="S30" s="195"/>
      <c r="T30" s="13"/>
      <c r="U30" s="61"/>
      <c r="V30" s="61"/>
    </row>
    <row r="31" spans="2:23" hidden="1" x14ac:dyDescent="0.2">
      <c r="C31" s="344"/>
      <c r="D31" s="61"/>
      <c r="E31" s="12"/>
      <c r="F31" s="12"/>
      <c r="G31" s="61"/>
      <c r="H31" s="11"/>
      <c r="I31" s="11"/>
      <c r="J31" s="22"/>
      <c r="K31" s="11"/>
      <c r="L31" s="23"/>
      <c r="M31" s="371"/>
      <c r="N31" s="11"/>
      <c r="O31" s="11"/>
      <c r="P31" s="11"/>
      <c r="Q31" s="13"/>
      <c r="R31" s="339"/>
      <c r="S31" s="195"/>
      <c r="T31" s="13"/>
      <c r="U31" s="61"/>
      <c r="V31" s="61"/>
    </row>
    <row r="32" spans="2:23" ht="12.75" thickBot="1" x14ac:dyDescent="0.25">
      <c r="I32" s="297"/>
      <c r="R32" s="193"/>
      <c r="S32" s="15"/>
    </row>
    <row r="33" spans="2:28" ht="15.75" customHeight="1" x14ac:dyDescent="0.2">
      <c r="E33" s="629" t="s">
        <v>34</v>
      </c>
      <c r="F33" s="646">
        <f>+'AGUILAR ESQUIVEL CARLOS'!F34</f>
        <v>45957</v>
      </c>
      <c r="G33" s="647"/>
      <c r="H33" s="16">
        <f>+F33+1</f>
        <v>45958</v>
      </c>
      <c r="I33" s="16">
        <f>+H33+1</f>
        <v>45959</v>
      </c>
      <c r="J33" s="16">
        <f>+I33+1</f>
        <v>45960</v>
      </c>
      <c r="K33" s="16">
        <f>+J33+1</f>
        <v>45961</v>
      </c>
      <c r="L33" s="16">
        <f>+K33+2</f>
        <v>45963</v>
      </c>
      <c r="M33" s="17" t="s">
        <v>35</v>
      </c>
      <c r="AB33"/>
    </row>
    <row r="34" spans="2:28" ht="12.75" thickBot="1" x14ac:dyDescent="0.25">
      <c r="E34" s="630"/>
      <c r="F34" s="648"/>
      <c r="G34" s="649"/>
      <c r="H34" s="29"/>
      <c r="I34" s="29">
        <v>1000</v>
      </c>
      <c r="J34" s="29"/>
      <c r="K34" s="29"/>
      <c r="L34" s="29">
        <v>1000</v>
      </c>
      <c r="M34" s="30">
        <f>SUM(F34:L34)</f>
        <v>2000</v>
      </c>
    </row>
    <row r="35" spans="2:28" ht="12.75" thickBot="1" x14ac:dyDescent="0.25">
      <c r="I35" s="15"/>
    </row>
    <row r="36" spans="2:28" ht="13.5" thickBot="1" x14ac:dyDescent="0.25">
      <c r="C36" s="608" t="s">
        <v>36</v>
      </c>
      <c r="D36" s="609"/>
      <c r="E36" s="609"/>
      <c r="F36" s="609"/>
      <c r="G36" s="610"/>
      <c r="I36" s="620" t="s">
        <v>37</v>
      </c>
      <c r="J36" s="621"/>
      <c r="K36" s="621"/>
      <c r="L36" s="622"/>
      <c r="M36" s="298"/>
      <c r="O36" s="611" t="s">
        <v>38</v>
      </c>
      <c r="P36" s="612"/>
      <c r="Q36" s="613">
        <f>+F48-L45</f>
        <v>10113.221350295393</v>
      </c>
      <c r="R36" s="614"/>
      <c r="S36" s="615"/>
      <c r="W36" s="245"/>
      <c r="X36" s="245"/>
    </row>
    <row r="37" spans="2:28" ht="12.75" thickBot="1" x14ac:dyDescent="0.25">
      <c r="C37" s="616" t="s">
        <v>219</v>
      </c>
      <c r="D37" s="617"/>
      <c r="E37" s="617"/>
      <c r="F37" s="618">
        <f>SUM(Q18:Q32)</f>
        <v>975.59625000000005</v>
      </c>
      <c r="G37" s="619"/>
      <c r="I37" s="114" t="s">
        <v>125</v>
      </c>
      <c r="J37" s="68" t="s">
        <v>126</v>
      </c>
      <c r="K37" s="68" t="s">
        <v>70</v>
      </c>
      <c r="L37" s="115" t="s">
        <v>127</v>
      </c>
      <c r="M37" s="346"/>
    </row>
    <row r="38" spans="2:28" ht="13.5" customHeight="1" thickBot="1" x14ac:dyDescent="0.25">
      <c r="C38" s="602" t="s">
        <v>220</v>
      </c>
      <c r="D38" s="603"/>
      <c r="E38" s="603"/>
      <c r="F38" s="604">
        <f>SUM(T18:T32)</f>
        <v>4837.6251002953923</v>
      </c>
      <c r="G38" s="605"/>
      <c r="I38" s="328"/>
      <c r="J38" s="427"/>
      <c r="K38" s="548"/>
      <c r="L38" s="409"/>
      <c r="M38" s="346"/>
      <c r="O38" s="74" t="s">
        <v>70</v>
      </c>
      <c r="P38" s="75" t="s">
        <v>71</v>
      </c>
      <c r="Q38" s="76" t="s">
        <v>72</v>
      </c>
      <c r="R38" s="76"/>
      <c r="S38" s="77" t="s">
        <v>73</v>
      </c>
      <c r="T38" s="75" t="s">
        <v>74</v>
      </c>
      <c r="U38" s="74" t="s">
        <v>145</v>
      </c>
      <c r="V38" s="75" t="s">
        <v>146</v>
      </c>
      <c r="W38" s="75" t="s">
        <v>284</v>
      </c>
    </row>
    <row r="39" spans="2:28" x14ac:dyDescent="0.2">
      <c r="C39" s="602" t="s">
        <v>34</v>
      </c>
      <c r="D39" s="603"/>
      <c r="E39" s="603"/>
      <c r="F39" s="604">
        <f>+M34</f>
        <v>2000</v>
      </c>
      <c r="G39" s="605"/>
      <c r="I39" s="380"/>
      <c r="J39" s="117"/>
      <c r="K39" s="415"/>
      <c r="L39" s="407"/>
      <c r="M39" s="346"/>
      <c r="O39" s="78">
        <v>46197</v>
      </c>
      <c r="P39" s="79" t="s">
        <v>154</v>
      </c>
      <c r="Q39" s="11">
        <v>181063</v>
      </c>
      <c r="R39" s="24"/>
      <c r="S39" s="24">
        <v>181870</v>
      </c>
      <c r="T39" s="79">
        <f>+S39-Q39</f>
        <v>807</v>
      </c>
      <c r="U39" s="137">
        <f>SUM(J19:J20)</f>
        <v>790</v>
      </c>
      <c r="V39" s="79">
        <f>+K20</f>
        <v>226.53</v>
      </c>
      <c r="W39" s="353">
        <f>(SUM(M19:M20)/2)</f>
        <v>5108.5</v>
      </c>
    </row>
    <row r="40" spans="2:28" x14ac:dyDescent="0.2">
      <c r="C40" s="602" t="s">
        <v>186</v>
      </c>
      <c r="D40" s="603"/>
      <c r="E40" s="603"/>
      <c r="F40" s="604"/>
      <c r="G40" s="605"/>
      <c r="I40" s="380"/>
      <c r="J40" s="117"/>
      <c r="K40" s="415"/>
      <c r="L40" s="407"/>
      <c r="M40" s="346"/>
      <c r="O40" s="32">
        <v>46123</v>
      </c>
      <c r="P40" s="53" t="s">
        <v>154</v>
      </c>
      <c r="Q40" s="32">
        <v>1178436</v>
      </c>
      <c r="R40" s="11"/>
      <c r="S40" s="11">
        <v>1181063</v>
      </c>
      <c r="T40" s="53">
        <f>+S40-Q40</f>
        <v>2627</v>
      </c>
      <c r="U40" s="136">
        <f>SUM(J21:J23)</f>
        <v>2567</v>
      </c>
      <c r="V40" s="53">
        <f>+K23</f>
        <v>823.91</v>
      </c>
      <c r="W40" s="354">
        <f>(SUM(M21:M23)/2)</f>
        <v>17265</v>
      </c>
    </row>
    <row r="41" spans="2:28" x14ac:dyDescent="0.2">
      <c r="C41" s="602" t="s">
        <v>39</v>
      </c>
      <c r="D41" s="603"/>
      <c r="E41" s="603"/>
      <c r="F41" s="604"/>
      <c r="G41" s="605"/>
      <c r="I41" s="380"/>
      <c r="J41" s="117"/>
      <c r="K41" s="415"/>
      <c r="L41" s="407"/>
      <c r="M41" s="346"/>
      <c r="O41" s="32"/>
      <c r="P41" s="53"/>
      <c r="Q41" s="32"/>
      <c r="R41" s="11"/>
      <c r="S41" s="11"/>
      <c r="T41" s="53">
        <f t="shared" ref="T41:T45" si="2">+S41-Q41</f>
        <v>0</v>
      </c>
      <c r="U41" s="136">
        <f>SUM(J24:J25)</f>
        <v>0</v>
      </c>
      <c r="V41" s="53">
        <f>+K25</f>
        <v>0</v>
      </c>
      <c r="W41" s="354">
        <f>(SUM(M24:M25)/2)</f>
        <v>0</v>
      </c>
    </row>
    <row r="42" spans="2:28" x14ac:dyDescent="0.2">
      <c r="C42" s="602" t="s">
        <v>116</v>
      </c>
      <c r="D42" s="603"/>
      <c r="E42" s="603"/>
      <c r="F42" s="604">
        <v>500</v>
      </c>
      <c r="G42" s="605"/>
      <c r="I42" s="380"/>
      <c r="J42" s="117"/>
      <c r="K42" s="415"/>
      <c r="L42" s="407"/>
      <c r="M42" s="346"/>
      <c r="O42" s="32"/>
      <c r="P42" s="53"/>
      <c r="Q42" s="11"/>
      <c r="R42" s="11"/>
      <c r="S42" s="11"/>
      <c r="T42" s="53">
        <f t="shared" si="2"/>
        <v>0</v>
      </c>
      <c r="U42" s="136">
        <f>SUM(J26:J27)</f>
        <v>0</v>
      </c>
      <c r="V42" s="53">
        <f>+K26</f>
        <v>0</v>
      </c>
      <c r="W42" s="354">
        <f>(SUM(M26:M27)/2)</f>
        <v>0</v>
      </c>
    </row>
    <row r="43" spans="2:28" x14ac:dyDescent="0.2">
      <c r="C43" s="602" t="s">
        <v>40</v>
      </c>
      <c r="D43" s="603"/>
      <c r="E43" s="603"/>
      <c r="F43" s="604"/>
      <c r="G43" s="605"/>
      <c r="I43" s="380"/>
      <c r="J43" s="117"/>
      <c r="K43" s="415"/>
      <c r="L43" s="407"/>
      <c r="M43" s="346"/>
      <c r="O43" s="32"/>
      <c r="P43" s="53"/>
      <c r="Q43" s="32"/>
      <c r="R43" s="95"/>
      <c r="S43" s="11"/>
      <c r="T43" s="53">
        <f t="shared" si="2"/>
        <v>0</v>
      </c>
      <c r="U43" s="136">
        <f>SUM(J27:J28)</f>
        <v>0</v>
      </c>
      <c r="V43" s="53">
        <f>+K28</f>
        <v>0</v>
      </c>
      <c r="W43" s="354">
        <f>(SUM(M27:M28)/2)</f>
        <v>0</v>
      </c>
    </row>
    <row r="44" spans="2:28" ht="12.75" thickBot="1" x14ac:dyDescent="0.25">
      <c r="C44" s="602" t="s">
        <v>307</v>
      </c>
      <c r="D44" s="603"/>
      <c r="E44" s="603"/>
      <c r="F44" s="604"/>
      <c r="G44" s="605"/>
      <c r="I44" s="282"/>
      <c r="J44" s="285"/>
      <c r="K44" s="417"/>
      <c r="L44" s="410"/>
      <c r="M44" s="346"/>
      <c r="O44" s="32"/>
      <c r="P44" s="53"/>
      <c r="Q44" s="32"/>
      <c r="R44" s="95"/>
      <c r="S44" s="11"/>
      <c r="T44" s="53">
        <f t="shared" si="2"/>
        <v>0</v>
      </c>
      <c r="U44" s="136">
        <f>SUM(J29:J30)</f>
        <v>0</v>
      </c>
      <c r="V44" s="53">
        <f>+K31</f>
        <v>0</v>
      </c>
      <c r="W44" s="354">
        <f>(SUM(M29:M30)/2)</f>
        <v>0</v>
      </c>
    </row>
    <row r="45" spans="2:28" ht="13.5" customHeight="1" thickBot="1" x14ac:dyDescent="0.25">
      <c r="B45" s="341"/>
      <c r="C45" s="602" t="s">
        <v>367</v>
      </c>
      <c r="D45" s="603"/>
      <c r="E45" s="603"/>
      <c r="F45" s="606"/>
      <c r="G45" s="607"/>
      <c r="I45" s="597" t="s">
        <v>41</v>
      </c>
      <c r="J45" s="598"/>
      <c r="K45" s="632"/>
      <c r="L45" s="284">
        <f>SUM(L38:L44)</f>
        <v>0</v>
      </c>
      <c r="M45" s="347"/>
      <c r="O45" s="113"/>
      <c r="P45" s="264"/>
      <c r="Q45" s="113"/>
      <c r="R45" s="83"/>
      <c r="S45" s="81"/>
      <c r="T45" s="82">
        <f t="shared" si="2"/>
        <v>0</v>
      </c>
      <c r="U45" s="138">
        <f>SUM(J30:J31)</f>
        <v>0</v>
      </c>
      <c r="V45" s="55">
        <f>+K31</f>
        <v>0</v>
      </c>
      <c r="W45" s="355">
        <f>(SUM(M30:M31)/2)</f>
        <v>0</v>
      </c>
    </row>
    <row r="46" spans="2:28" ht="13.5" customHeight="1" x14ac:dyDescent="0.2">
      <c r="C46" s="602" t="s">
        <v>243</v>
      </c>
      <c r="D46" s="603"/>
      <c r="E46" s="603"/>
      <c r="F46" s="606">
        <v>500</v>
      </c>
      <c r="G46" s="607"/>
      <c r="R46" s="21"/>
      <c r="S46" s="21"/>
      <c r="T46" s="21"/>
      <c r="U46" s="139"/>
      <c r="V46" s="271"/>
    </row>
    <row r="47" spans="2:28" ht="13.5" customHeight="1" thickBot="1" x14ac:dyDescent="0.25">
      <c r="C47" s="593" t="s">
        <v>308</v>
      </c>
      <c r="D47" s="594"/>
      <c r="E47" s="594"/>
      <c r="F47" s="595">
        <v>1300</v>
      </c>
      <c r="G47" s="596"/>
      <c r="Q47" s="450"/>
      <c r="R47" s="511"/>
      <c r="S47" s="511"/>
      <c r="T47" s="21"/>
      <c r="U47" s="139"/>
      <c r="V47" s="271"/>
    </row>
    <row r="48" spans="2:28" ht="13.5" thickBot="1" x14ac:dyDescent="0.25">
      <c r="C48" s="597" t="s">
        <v>42</v>
      </c>
      <c r="D48" s="598"/>
      <c r="E48" s="599"/>
      <c r="F48" s="600">
        <f>SUM(F37:G47)</f>
        <v>10113.221350295393</v>
      </c>
      <c r="G48" s="601"/>
      <c r="R48" s="21"/>
      <c r="S48" s="21"/>
      <c r="T48" s="21"/>
      <c r="U48" s="139"/>
      <c r="V48" s="271"/>
    </row>
    <row r="49" spans="3:22" ht="13.5" customHeight="1" thickBot="1" x14ac:dyDescent="0.25">
      <c r="P49" s="588" t="s">
        <v>48</v>
      </c>
      <c r="Q49" s="589"/>
      <c r="R49" s="590"/>
      <c r="S49" s="21"/>
      <c r="T49" s="21"/>
      <c r="U49" s="139"/>
      <c r="V49" s="271"/>
    </row>
    <row r="50" spans="3:22" ht="12.75" customHeight="1" x14ac:dyDescent="0.2">
      <c r="C50" s="246" t="s">
        <v>43</v>
      </c>
      <c r="D50" s="247"/>
      <c r="E50" s="247"/>
      <c r="F50" s="247"/>
      <c r="G50" s="247"/>
      <c r="H50" s="247"/>
      <c r="I50" s="247"/>
      <c r="J50" s="247"/>
      <c r="K50" s="247"/>
      <c r="L50" s="248"/>
      <c r="M50" s="251"/>
      <c r="P50" s="78">
        <v>1</v>
      </c>
      <c r="Q50" s="584" t="s">
        <v>49</v>
      </c>
      <c r="R50" s="585"/>
      <c r="S50" s="21"/>
      <c r="T50" s="21"/>
      <c r="U50" s="249"/>
    </row>
    <row r="51" spans="3:22" ht="12.75" customHeight="1" x14ac:dyDescent="0.2">
      <c r="C51" s="250"/>
      <c r="D51" s="251"/>
      <c r="E51" s="251"/>
      <c r="F51" s="251"/>
      <c r="G51" s="251"/>
      <c r="H51" s="251"/>
      <c r="I51" s="251"/>
      <c r="J51" s="251"/>
      <c r="K51" s="251"/>
      <c r="L51" s="252"/>
      <c r="M51" s="251"/>
      <c r="P51" s="32">
        <v>2</v>
      </c>
      <c r="Q51" s="586" t="s">
        <v>135</v>
      </c>
      <c r="R51" s="587"/>
      <c r="S51" s="21"/>
      <c r="T51" s="249"/>
    </row>
    <row r="52" spans="3:22" ht="12.75" thickBot="1" x14ac:dyDescent="0.25">
      <c r="C52" s="253"/>
      <c r="D52" s="254"/>
      <c r="E52" s="254"/>
      <c r="F52" s="254"/>
      <c r="G52" s="254"/>
      <c r="H52" s="254"/>
      <c r="I52" s="254"/>
      <c r="J52" s="254"/>
      <c r="K52" s="254"/>
      <c r="L52" s="255"/>
      <c r="M52" s="251"/>
      <c r="P52" s="32">
        <v>3</v>
      </c>
      <c r="Q52" s="586" t="s">
        <v>130</v>
      </c>
      <c r="R52" s="587"/>
      <c r="S52" s="21"/>
      <c r="T52" s="249"/>
    </row>
    <row r="53" spans="3:22" x14ac:dyDescent="0.2">
      <c r="P53" s="32">
        <v>4</v>
      </c>
      <c r="Q53" s="586" t="s">
        <v>228</v>
      </c>
      <c r="R53" s="587"/>
      <c r="S53" s="21"/>
      <c r="T53" s="249"/>
    </row>
    <row r="54" spans="3:22" ht="12.75" thickBot="1" x14ac:dyDescent="0.25">
      <c r="P54" s="32">
        <v>5</v>
      </c>
      <c r="Q54" s="586" t="s">
        <v>229</v>
      </c>
      <c r="R54" s="587"/>
      <c r="S54" s="21"/>
    </row>
    <row r="55" spans="3:22" ht="14.25" customHeight="1" thickTop="1" thickBot="1" x14ac:dyDescent="0.25">
      <c r="D55" s="631" t="s">
        <v>44</v>
      </c>
      <c r="E55" s="631"/>
      <c r="F55" s="631"/>
      <c r="G55" s="631"/>
      <c r="H55" s="631"/>
      <c r="J55" s="631" t="s">
        <v>45</v>
      </c>
      <c r="K55" s="631"/>
      <c r="L55" s="631"/>
      <c r="M55" s="631"/>
      <c r="N55" s="631"/>
      <c r="P55" s="54">
        <v>6</v>
      </c>
      <c r="Q55" s="591" t="s">
        <v>230</v>
      </c>
      <c r="R55" s="592"/>
      <c r="S55" s="21"/>
      <c r="T55" s="21"/>
    </row>
    <row r="56" spans="3:22" x14ac:dyDescent="0.2">
      <c r="S56" s="21"/>
      <c r="T56" s="21"/>
    </row>
  </sheetData>
  <mergeCells count="56">
    <mergeCell ref="O36:P36"/>
    <mergeCell ref="Q36:S36"/>
    <mergeCell ref="I36:L36"/>
    <mergeCell ref="Q54:R54"/>
    <mergeCell ref="P49:R49"/>
    <mergeCell ref="Q50:R50"/>
    <mergeCell ref="Q51:R51"/>
    <mergeCell ref="Q52:R52"/>
    <mergeCell ref="Q53:R53"/>
    <mergeCell ref="Q2:S2"/>
    <mergeCell ref="I3:O3"/>
    <mergeCell ref="Q3:S3"/>
    <mergeCell ref="I4:O4"/>
    <mergeCell ref="I5:O5"/>
    <mergeCell ref="Q5:S5"/>
    <mergeCell ref="D13:E13"/>
    <mergeCell ref="D14:E14"/>
    <mergeCell ref="D15:E15"/>
    <mergeCell ref="D16:E16"/>
    <mergeCell ref="E33:E34"/>
    <mergeCell ref="I6:O6"/>
    <mergeCell ref="Q6:S6"/>
    <mergeCell ref="I9:O9"/>
    <mergeCell ref="L11:S11"/>
    <mergeCell ref="E12:F12"/>
    <mergeCell ref="C38:E38"/>
    <mergeCell ref="F38:G38"/>
    <mergeCell ref="F33:G33"/>
    <mergeCell ref="F34:G34"/>
    <mergeCell ref="C39:E39"/>
    <mergeCell ref="F39:G39"/>
    <mergeCell ref="C36:G36"/>
    <mergeCell ref="C37:E37"/>
    <mergeCell ref="F37:G37"/>
    <mergeCell ref="F42:G42"/>
    <mergeCell ref="C40:E40"/>
    <mergeCell ref="F40:G40"/>
    <mergeCell ref="C41:E41"/>
    <mergeCell ref="F41:G41"/>
    <mergeCell ref="C42:E42"/>
    <mergeCell ref="Q55:R55"/>
    <mergeCell ref="F43:G43"/>
    <mergeCell ref="C44:E44"/>
    <mergeCell ref="F44:G44"/>
    <mergeCell ref="C43:E43"/>
    <mergeCell ref="C45:E45"/>
    <mergeCell ref="F45:G45"/>
    <mergeCell ref="D55:H55"/>
    <mergeCell ref="J55:N55"/>
    <mergeCell ref="I45:K45"/>
    <mergeCell ref="F46:G46"/>
    <mergeCell ref="C47:E47"/>
    <mergeCell ref="F47:G47"/>
    <mergeCell ref="C48:E48"/>
    <mergeCell ref="F48:G48"/>
    <mergeCell ref="C46:E46"/>
  </mergeCells>
  <phoneticPr fontId="27" type="noConversion"/>
  <pageMargins left="0" right="0" top="0.15748031496062992" bottom="0.15748031496062992" header="0.31496062992125984" footer="0.31496062992125984"/>
  <pageSetup paperSize="9" scale="72" orientation="landscape" horizontalDpi="300" verticalDpi="300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Hoja13">
    <pageSetUpPr fitToPage="1"/>
  </sheetPr>
  <dimension ref="C1:W58"/>
  <sheetViews>
    <sheetView topLeftCell="A6" zoomScaleNormal="100" workbookViewId="0">
      <selection activeCell="F42" sqref="F42:G42"/>
    </sheetView>
  </sheetViews>
  <sheetFormatPr baseColWidth="10" defaultColWidth="9.140625" defaultRowHeight="12" x14ac:dyDescent="0.2"/>
  <cols>
    <col min="1" max="1" width="2.28515625" style="14" customWidth="1"/>
    <col min="2" max="2" width="2.5703125" style="14" customWidth="1"/>
    <col min="3" max="3" width="11.85546875" style="14" customWidth="1"/>
    <col min="4" max="4" width="12" style="14" bestFit="1" customWidth="1"/>
    <col min="5" max="5" width="7.85546875" style="14" customWidth="1"/>
    <col min="6" max="6" width="8.85546875" style="14" customWidth="1"/>
    <col min="7" max="7" width="3" style="14" bestFit="1" customWidth="1"/>
    <col min="8" max="8" width="12.140625" style="14" customWidth="1"/>
    <col min="9" max="9" width="12.28515625" style="14" customWidth="1"/>
    <col min="10" max="10" width="11.140625" style="14" customWidth="1"/>
    <col min="11" max="11" width="11.85546875" style="14" customWidth="1"/>
    <col min="12" max="12" width="13.5703125" style="14" customWidth="1"/>
    <col min="13" max="13" width="12.140625" style="14" bestFit="1" customWidth="1"/>
    <col min="14" max="15" width="10.28515625" style="14" customWidth="1"/>
    <col min="16" max="16" width="11.85546875" style="14" customWidth="1"/>
    <col min="17" max="17" width="12.140625" style="14" bestFit="1" customWidth="1"/>
    <col min="18" max="18" width="10" style="14" customWidth="1"/>
    <col min="19" max="19" width="11" style="14" bestFit="1" customWidth="1"/>
    <col min="20" max="20" width="11.5703125" style="14" bestFit="1" customWidth="1"/>
    <col min="21" max="21" width="9.85546875" style="14" customWidth="1"/>
    <col min="22" max="22" width="8.85546875" style="14" customWidth="1"/>
    <col min="23" max="23" width="13.7109375" style="14" customWidth="1"/>
    <col min="24" max="24" width="9.140625" style="14" customWidth="1"/>
    <col min="25" max="259" width="9.140625" style="14"/>
    <col min="260" max="260" width="5.7109375" style="14" customWidth="1"/>
    <col min="261" max="261" width="13.140625" style="14" customWidth="1"/>
    <col min="262" max="262" width="12.28515625" style="14" customWidth="1"/>
    <col min="263" max="263" width="8.85546875" style="14" customWidth="1"/>
    <col min="264" max="264" width="10.85546875" style="14" customWidth="1"/>
    <col min="265" max="265" width="2.85546875" style="14" customWidth="1"/>
    <col min="266" max="266" width="12.140625" style="14" customWidth="1"/>
    <col min="267" max="267" width="10.140625" style="14" customWidth="1"/>
    <col min="268" max="268" width="11.7109375" style="14" customWidth="1"/>
    <col min="269" max="269" width="11.42578125" style="14" customWidth="1"/>
    <col min="270" max="270" width="12.7109375" style="14" customWidth="1"/>
    <col min="271" max="271" width="11.42578125" style="14" customWidth="1"/>
    <col min="272" max="272" width="10.7109375" style="14" customWidth="1"/>
    <col min="273" max="273" width="10.5703125" style="14" customWidth="1"/>
    <col min="274" max="274" width="11.28515625" style="14" customWidth="1"/>
    <col min="275" max="275" width="9.7109375" style="14" customWidth="1"/>
    <col min="276" max="276" width="12" style="14" customWidth="1"/>
    <col min="277" max="277" width="11.28515625" style="14" customWidth="1"/>
    <col min="278" max="515" width="9.140625" style="14"/>
    <col min="516" max="516" width="5.7109375" style="14" customWidth="1"/>
    <col min="517" max="517" width="13.140625" style="14" customWidth="1"/>
    <col min="518" max="518" width="12.28515625" style="14" customWidth="1"/>
    <col min="519" max="519" width="8.85546875" style="14" customWidth="1"/>
    <col min="520" max="520" width="10.85546875" style="14" customWidth="1"/>
    <col min="521" max="521" width="2.85546875" style="14" customWidth="1"/>
    <col min="522" max="522" width="12.140625" style="14" customWidth="1"/>
    <col min="523" max="523" width="10.140625" style="14" customWidth="1"/>
    <col min="524" max="524" width="11.7109375" style="14" customWidth="1"/>
    <col min="525" max="525" width="11.42578125" style="14" customWidth="1"/>
    <col min="526" max="526" width="12.7109375" style="14" customWidth="1"/>
    <col min="527" max="527" width="11.42578125" style="14" customWidth="1"/>
    <col min="528" max="528" width="10.7109375" style="14" customWidth="1"/>
    <col min="529" max="529" width="10.5703125" style="14" customWidth="1"/>
    <col min="530" max="530" width="11.28515625" style="14" customWidth="1"/>
    <col min="531" max="531" width="9.7109375" style="14" customWidth="1"/>
    <col min="532" max="532" width="12" style="14" customWidth="1"/>
    <col min="533" max="533" width="11.28515625" style="14" customWidth="1"/>
    <col min="534" max="771" width="9.140625" style="14"/>
    <col min="772" max="772" width="5.7109375" style="14" customWidth="1"/>
    <col min="773" max="773" width="13.140625" style="14" customWidth="1"/>
    <col min="774" max="774" width="12.28515625" style="14" customWidth="1"/>
    <col min="775" max="775" width="8.85546875" style="14" customWidth="1"/>
    <col min="776" max="776" width="10.85546875" style="14" customWidth="1"/>
    <col min="777" max="777" width="2.85546875" style="14" customWidth="1"/>
    <col min="778" max="778" width="12.140625" style="14" customWidth="1"/>
    <col min="779" max="779" width="10.140625" style="14" customWidth="1"/>
    <col min="780" max="780" width="11.7109375" style="14" customWidth="1"/>
    <col min="781" max="781" width="11.42578125" style="14" customWidth="1"/>
    <col min="782" max="782" width="12.7109375" style="14" customWidth="1"/>
    <col min="783" max="783" width="11.42578125" style="14" customWidth="1"/>
    <col min="784" max="784" width="10.7109375" style="14" customWidth="1"/>
    <col min="785" max="785" width="10.5703125" style="14" customWidth="1"/>
    <col min="786" max="786" width="11.28515625" style="14" customWidth="1"/>
    <col min="787" max="787" width="9.7109375" style="14" customWidth="1"/>
    <col min="788" max="788" width="12" style="14" customWidth="1"/>
    <col min="789" max="789" width="11.28515625" style="14" customWidth="1"/>
    <col min="790" max="1027" width="9.140625" style="14"/>
    <col min="1028" max="1028" width="5.7109375" style="14" customWidth="1"/>
    <col min="1029" max="1029" width="13.140625" style="14" customWidth="1"/>
    <col min="1030" max="1030" width="12.28515625" style="14" customWidth="1"/>
    <col min="1031" max="1031" width="8.85546875" style="14" customWidth="1"/>
    <col min="1032" max="1032" width="10.85546875" style="14" customWidth="1"/>
    <col min="1033" max="1033" width="2.85546875" style="14" customWidth="1"/>
    <col min="1034" max="1034" width="12.140625" style="14" customWidth="1"/>
    <col min="1035" max="1035" width="10.140625" style="14" customWidth="1"/>
    <col min="1036" max="1036" width="11.7109375" style="14" customWidth="1"/>
    <col min="1037" max="1037" width="11.42578125" style="14" customWidth="1"/>
    <col min="1038" max="1038" width="12.7109375" style="14" customWidth="1"/>
    <col min="1039" max="1039" width="11.42578125" style="14" customWidth="1"/>
    <col min="1040" max="1040" width="10.7109375" style="14" customWidth="1"/>
    <col min="1041" max="1041" width="10.5703125" style="14" customWidth="1"/>
    <col min="1042" max="1042" width="11.28515625" style="14" customWidth="1"/>
    <col min="1043" max="1043" width="9.7109375" style="14" customWidth="1"/>
    <col min="1044" max="1044" width="12" style="14" customWidth="1"/>
    <col min="1045" max="1045" width="11.28515625" style="14" customWidth="1"/>
    <col min="1046" max="1283" width="9.140625" style="14"/>
    <col min="1284" max="1284" width="5.7109375" style="14" customWidth="1"/>
    <col min="1285" max="1285" width="13.140625" style="14" customWidth="1"/>
    <col min="1286" max="1286" width="12.28515625" style="14" customWidth="1"/>
    <col min="1287" max="1287" width="8.85546875" style="14" customWidth="1"/>
    <col min="1288" max="1288" width="10.85546875" style="14" customWidth="1"/>
    <col min="1289" max="1289" width="2.85546875" style="14" customWidth="1"/>
    <col min="1290" max="1290" width="12.140625" style="14" customWidth="1"/>
    <col min="1291" max="1291" width="10.140625" style="14" customWidth="1"/>
    <col min="1292" max="1292" width="11.7109375" style="14" customWidth="1"/>
    <col min="1293" max="1293" width="11.42578125" style="14" customWidth="1"/>
    <col min="1294" max="1294" width="12.7109375" style="14" customWidth="1"/>
    <col min="1295" max="1295" width="11.42578125" style="14" customWidth="1"/>
    <col min="1296" max="1296" width="10.7109375" style="14" customWidth="1"/>
    <col min="1297" max="1297" width="10.5703125" style="14" customWidth="1"/>
    <col min="1298" max="1298" width="11.28515625" style="14" customWidth="1"/>
    <col min="1299" max="1299" width="9.7109375" style="14" customWidth="1"/>
    <col min="1300" max="1300" width="12" style="14" customWidth="1"/>
    <col min="1301" max="1301" width="11.28515625" style="14" customWidth="1"/>
    <col min="1302" max="1539" width="9.140625" style="14"/>
    <col min="1540" max="1540" width="5.7109375" style="14" customWidth="1"/>
    <col min="1541" max="1541" width="13.140625" style="14" customWidth="1"/>
    <col min="1542" max="1542" width="12.28515625" style="14" customWidth="1"/>
    <col min="1543" max="1543" width="8.85546875" style="14" customWidth="1"/>
    <col min="1544" max="1544" width="10.85546875" style="14" customWidth="1"/>
    <col min="1545" max="1545" width="2.85546875" style="14" customWidth="1"/>
    <col min="1546" max="1546" width="12.140625" style="14" customWidth="1"/>
    <col min="1547" max="1547" width="10.140625" style="14" customWidth="1"/>
    <col min="1548" max="1548" width="11.7109375" style="14" customWidth="1"/>
    <col min="1549" max="1549" width="11.42578125" style="14" customWidth="1"/>
    <col min="1550" max="1550" width="12.7109375" style="14" customWidth="1"/>
    <col min="1551" max="1551" width="11.42578125" style="14" customWidth="1"/>
    <col min="1552" max="1552" width="10.7109375" style="14" customWidth="1"/>
    <col min="1553" max="1553" width="10.5703125" style="14" customWidth="1"/>
    <col min="1554" max="1554" width="11.28515625" style="14" customWidth="1"/>
    <col min="1555" max="1555" width="9.7109375" style="14" customWidth="1"/>
    <col min="1556" max="1556" width="12" style="14" customWidth="1"/>
    <col min="1557" max="1557" width="11.28515625" style="14" customWidth="1"/>
    <col min="1558" max="1795" width="9.140625" style="14"/>
    <col min="1796" max="1796" width="5.7109375" style="14" customWidth="1"/>
    <col min="1797" max="1797" width="13.140625" style="14" customWidth="1"/>
    <col min="1798" max="1798" width="12.28515625" style="14" customWidth="1"/>
    <col min="1799" max="1799" width="8.85546875" style="14" customWidth="1"/>
    <col min="1800" max="1800" width="10.85546875" style="14" customWidth="1"/>
    <col min="1801" max="1801" width="2.85546875" style="14" customWidth="1"/>
    <col min="1802" max="1802" width="12.140625" style="14" customWidth="1"/>
    <col min="1803" max="1803" width="10.140625" style="14" customWidth="1"/>
    <col min="1804" max="1804" width="11.7109375" style="14" customWidth="1"/>
    <col min="1805" max="1805" width="11.42578125" style="14" customWidth="1"/>
    <col min="1806" max="1806" width="12.7109375" style="14" customWidth="1"/>
    <col min="1807" max="1807" width="11.42578125" style="14" customWidth="1"/>
    <col min="1808" max="1808" width="10.7109375" style="14" customWidth="1"/>
    <col min="1809" max="1809" width="10.5703125" style="14" customWidth="1"/>
    <col min="1810" max="1810" width="11.28515625" style="14" customWidth="1"/>
    <col min="1811" max="1811" width="9.7109375" style="14" customWidth="1"/>
    <col min="1812" max="1812" width="12" style="14" customWidth="1"/>
    <col min="1813" max="1813" width="11.28515625" style="14" customWidth="1"/>
    <col min="1814" max="2051" width="9.140625" style="14"/>
    <col min="2052" max="2052" width="5.7109375" style="14" customWidth="1"/>
    <col min="2053" max="2053" width="13.140625" style="14" customWidth="1"/>
    <col min="2054" max="2054" width="12.28515625" style="14" customWidth="1"/>
    <col min="2055" max="2055" width="8.85546875" style="14" customWidth="1"/>
    <col min="2056" max="2056" width="10.85546875" style="14" customWidth="1"/>
    <col min="2057" max="2057" width="2.85546875" style="14" customWidth="1"/>
    <col min="2058" max="2058" width="12.140625" style="14" customWidth="1"/>
    <col min="2059" max="2059" width="10.140625" style="14" customWidth="1"/>
    <col min="2060" max="2060" width="11.7109375" style="14" customWidth="1"/>
    <col min="2061" max="2061" width="11.42578125" style="14" customWidth="1"/>
    <col min="2062" max="2062" width="12.7109375" style="14" customWidth="1"/>
    <col min="2063" max="2063" width="11.42578125" style="14" customWidth="1"/>
    <col min="2064" max="2064" width="10.7109375" style="14" customWidth="1"/>
    <col min="2065" max="2065" width="10.5703125" style="14" customWidth="1"/>
    <col min="2066" max="2066" width="11.28515625" style="14" customWidth="1"/>
    <col min="2067" max="2067" width="9.7109375" style="14" customWidth="1"/>
    <col min="2068" max="2068" width="12" style="14" customWidth="1"/>
    <col min="2069" max="2069" width="11.28515625" style="14" customWidth="1"/>
    <col min="2070" max="2307" width="9.140625" style="14"/>
    <col min="2308" max="2308" width="5.7109375" style="14" customWidth="1"/>
    <col min="2309" max="2309" width="13.140625" style="14" customWidth="1"/>
    <col min="2310" max="2310" width="12.28515625" style="14" customWidth="1"/>
    <col min="2311" max="2311" width="8.85546875" style="14" customWidth="1"/>
    <col min="2312" max="2312" width="10.85546875" style="14" customWidth="1"/>
    <col min="2313" max="2313" width="2.85546875" style="14" customWidth="1"/>
    <col min="2314" max="2314" width="12.140625" style="14" customWidth="1"/>
    <col min="2315" max="2315" width="10.140625" style="14" customWidth="1"/>
    <col min="2316" max="2316" width="11.7109375" style="14" customWidth="1"/>
    <col min="2317" max="2317" width="11.42578125" style="14" customWidth="1"/>
    <col min="2318" max="2318" width="12.7109375" style="14" customWidth="1"/>
    <col min="2319" max="2319" width="11.42578125" style="14" customWidth="1"/>
    <col min="2320" max="2320" width="10.7109375" style="14" customWidth="1"/>
    <col min="2321" max="2321" width="10.5703125" style="14" customWidth="1"/>
    <col min="2322" max="2322" width="11.28515625" style="14" customWidth="1"/>
    <col min="2323" max="2323" width="9.7109375" style="14" customWidth="1"/>
    <col min="2324" max="2324" width="12" style="14" customWidth="1"/>
    <col min="2325" max="2325" width="11.28515625" style="14" customWidth="1"/>
    <col min="2326" max="2563" width="9.140625" style="14"/>
    <col min="2564" max="2564" width="5.7109375" style="14" customWidth="1"/>
    <col min="2565" max="2565" width="13.140625" style="14" customWidth="1"/>
    <col min="2566" max="2566" width="12.28515625" style="14" customWidth="1"/>
    <col min="2567" max="2567" width="8.85546875" style="14" customWidth="1"/>
    <col min="2568" max="2568" width="10.85546875" style="14" customWidth="1"/>
    <col min="2569" max="2569" width="2.85546875" style="14" customWidth="1"/>
    <col min="2570" max="2570" width="12.140625" style="14" customWidth="1"/>
    <col min="2571" max="2571" width="10.140625" style="14" customWidth="1"/>
    <col min="2572" max="2572" width="11.7109375" style="14" customWidth="1"/>
    <col min="2573" max="2573" width="11.42578125" style="14" customWidth="1"/>
    <col min="2574" max="2574" width="12.7109375" style="14" customWidth="1"/>
    <col min="2575" max="2575" width="11.42578125" style="14" customWidth="1"/>
    <col min="2576" max="2576" width="10.7109375" style="14" customWidth="1"/>
    <col min="2577" max="2577" width="10.5703125" style="14" customWidth="1"/>
    <col min="2578" max="2578" width="11.28515625" style="14" customWidth="1"/>
    <col min="2579" max="2579" width="9.7109375" style="14" customWidth="1"/>
    <col min="2580" max="2580" width="12" style="14" customWidth="1"/>
    <col min="2581" max="2581" width="11.28515625" style="14" customWidth="1"/>
    <col min="2582" max="2819" width="9.140625" style="14"/>
    <col min="2820" max="2820" width="5.7109375" style="14" customWidth="1"/>
    <col min="2821" max="2821" width="13.140625" style="14" customWidth="1"/>
    <col min="2822" max="2822" width="12.28515625" style="14" customWidth="1"/>
    <col min="2823" max="2823" width="8.85546875" style="14" customWidth="1"/>
    <col min="2824" max="2824" width="10.85546875" style="14" customWidth="1"/>
    <col min="2825" max="2825" width="2.85546875" style="14" customWidth="1"/>
    <col min="2826" max="2826" width="12.140625" style="14" customWidth="1"/>
    <col min="2827" max="2827" width="10.140625" style="14" customWidth="1"/>
    <col min="2828" max="2828" width="11.7109375" style="14" customWidth="1"/>
    <col min="2829" max="2829" width="11.42578125" style="14" customWidth="1"/>
    <col min="2830" max="2830" width="12.7109375" style="14" customWidth="1"/>
    <col min="2831" max="2831" width="11.42578125" style="14" customWidth="1"/>
    <col min="2832" max="2832" width="10.7109375" style="14" customWidth="1"/>
    <col min="2833" max="2833" width="10.5703125" style="14" customWidth="1"/>
    <col min="2834" max="2834" width="11.28515625" style="14" customWidth="1"/>
    <col min="2835" max="2835" width="9.7109375" style="14" customWidth="1"/>
    <col min="2836" max="2836" width="12" style="14" customWidth="1"/>
    <col min="2837" max="2837" width="11.28515625" style="14" customWidth="1"/>
    <col min="2838" max="3075" width="9.140625" style="14"/>
    <col min="3076" max="3076" width="5.7109375" style="14" customWidth="1"/>
    <col min="3077" max="3077" width="13.140625" style="14" customWidth="1"/>
    <col min="3078" max="3078" width="12.28515625" style="14" customWidth="1"/>
    <col min="3079" max="3079" width="8.85546875" style="14" customWidth="1"/>
    <col min="3080" max="3080" width="10.85546875" style="14" customWidth="1"/>
    <col min="3081" max="3081" width="2.85546875" style="14" customWidth="1"/>
    <col min="3082" max="3082" width="12.140625" style="14" customWidth="1"/>
    <col min="3083" max="3083" width="10.140625" style="14" customWidth="1"/>
    <col min="3084" max="3084" width="11.7109375" style="14" customWidth="1"/>
    <col min="3085" max="3085" width="11.42578125" style="14" customWidth="1"/>
    <col min="3086" max="3086" width="12.7109375" style="14" customWidth="1"/>
    <col min="3087" max="3087" width="11.42578125" style="14" customWidth="1"/>
    <col min="3088" max="3088" width="10.7109375" style="14" customWidth="1"/>
    <col min="3089" max="3089" width="10.5703125" style="14" customWidth="1"/>
    <col min="3090" max="3090" width="11.28515625" style="14" customWidth="1"/>
    <col min="3091" max="3091" width="9.7109375" style="14" customWidth="1"/>
    <col min="3092" max="3092" width="12" style="14" customWidth="1"/>
    <col min="3093" max="3093" width="11.28515625" style="14" customWidth="1"/>
    <col min="3094" max="3331" width="9.140625" style="14"/>
    <col min="3332" max="3332" width="5.7109375" style="14" customWidth="1"/>
    <col min="3333" max="3333" width="13.140625" style="14" customWidth="1"/>
    <col min="3334" max="3334" width="12.28515625" style="14" customWidth="1"/>
    <col min="3335" max="3335" width="8.85546875" style="14" customWidth="1"/>
    <col min="3336" max="3336" width="10.85546875" style="14" customWidth="1"/>
    <col min="3337" max="3337" width="2.85546875" style="14" customWidth="1"/>
    <col min="3338" max="3338" width="12.140625" style="14" customWidth="1"/>
    <col min="3339" max="3339" width="10.140625" style="14" customWidth="1"/>
    <col min="3340" max="3340" width="11.7109375" style="14" customWidth="1"/>
    <col min="3341" max="3341" width="11.42578125" style="14" customWidth="1"/>
    <col min="3342" max="3342" width="12.7109375" style="14" customWidth="1"/>
    <col min="3343" max="3343" width="11.42578125" style="14" customWidth="1"/>
    <col min="3344" max="3344" width="10.7109375" style="14" customWidth="1"/>
    <col min="3345" max="3345" width="10.5703125" style="14" customWidth="1"/>
    <col min="3346" max="3346" width="11.28515625" style="14" customWidth="1"/>
    <col min="3347" max="3347" width="9.7109375" style="14" customWidth="1"/>
    <col min="3348" max="3348" width="12" style="14" customWidth="1"/>
    <col min="3349" max="3349" width="11.28515625" style="14" customWidth="1"/>
    <col min="3350" max="3587" width="9.140625" style="14"/>
    <col min="3588" max="3588" width="5.7109375" style="14" customWidth="1"/>
    <col min="3589" max="3589" width="13.140625" style="14" customWidth="1"/>
    <col min="3590" max="3590" width="12.28515625" style="14" customWidth="1"/>
    <col min="3591" max="3591" width="8.85546875" style="14" customWidth="1"/>
    <col min="3592" max="3592" width="10.85546875" style="14" customWidth="1"/>
    <col min="3593" max="3593" width="2.85546875" style="14" customWidth="1"/>
    <col min="3594" max="3594" width="12.140625" style="14" customWidth="1"/>
    <col min="3595" max="3595" width="10.140625" style="14" customWidth="1"/>
    <col min="3596" max="3596" width="11.7109375" style="14" customWidth="1"/>
    <col min="3597" max="3597" width="11.42578125" style="14" customWidth="1"/>
    <col min="3598" max="3598" width="12.7109375" style="14" customWidth="1"/>
    <col min="3599" max="3599" width="11.42578125" style="14" customWidth="1"/>
    <col min="3600" max="3600" width="10.7109375" style="14" customWidth="1"/>
    <col min="3601" max="3601" width="10.5703125" style="14" customWidth="1"/>
    <col min="3602" max="3602" width="11.28515625" style="14" customWidth="1"/>
    <col min="3603" max="3603" width="9.7109375" style="14" customWidth="1"/>
    <col min="3604" max="3604" width="12" style="14" customWidth="1"/>
    <col min="3605" max="3605" width="11.28515625" style="14" customWidth="1"/>
    <col min="3606" max="3843" width="9.140625" style="14"/>
    <col min="3844" max="3844" width="5.7109375" style="14" customWidth="1"/>
    <col min="3845" max="3845" width="13.140625" style="14" customWidth="1"/>
    <col min="3846" max="3846" width="12.28515625" style="14" customWidth="1"/>
    <col min="3847" max="3847" width="8.85546875" style="14" customWidth="1"/>
    <col min="3848" max="3848" width="10.85546875" style="14" customWidth="1"/>
    <col min="3849" max="3849" width="2.85546875" style="14" customWidth="1"/>
    <col min="3850" max="3850" width="12.140625" style="14" customWidth="1"/>
    <col min="3851" max="3851" width="10.140625" style="14" customWidth="1"/>
    <col min="3852" max="3852" width="11.7109375" style="14" customWidth="1"/>
    <col min="3853" max="3853" width="11.42578125" style="14" customWidth="1"/>
    <col min="3854" max="3854" width="12.7109375" style="14" customWidth="1"/>
    <col min="3855" max="3855" width="11.42578125" style="14" customWidth="1"/>
    <col min="3856" max="3856" width="10.7109375" style="14" customWidth="1"/>
    <col min="3857" max="3857" width="10.5703125" style="14" customWidth="1"/>
    <col min="3858" max="3858" width="11.28515625" style="14" customWidth="1"/>
    <col min="3859" max="3859" width="9.7109375" style="14" customWidth="1"/>
    <col min="3860" max="3860" width="12" style="14" customWidth="1"/>
    <col min="3861" max="3861" width="11.28515625" style="14" customWidth="1"/>
    <col min="3862" max="4099" width="9.140625" style="14"/>
    <col min="4100" max="4100" width="5.7109375" style="14" customWidth="1"/>
    <col min="4101" max="4101" width="13.140625" style="14" customWidth="1"/>
    <col min="4102" max="4102" width="12.28515625" style="14" customWidth="1"/>
    <col min="4103" max="4103" width="8.85546875" style="14" customWidth="1"/>
    <col min="4104" max="4104" width="10.85546875" style="14" customWidth="1"/>
    <col min="4105" max="4105" width="2.85546875" style="14" customWidth="1"/>
    <col min="4106" max="4106" width="12.140625" style="14" customWidth="1"/>
    <col min="4107" max="4107" width="10.140625" style="14" customWidth="1"/>
    <col min="4108" max="4108" width="11.7109375" style="14" customWidth="1"/>
    <col min="4109" max="4109" width="11.42578125" style="14" customWidth="1"/>
    <col min="4110" max="4110" width="12.7109375" style="14" customWidth="1"/>
    <col min="4111" max="4111" width="11.42578125" style="14" customWidth="1"/>
    <col min="4112" max="4112" width="10.7109375" style="14" customWidth="1"/>
    <col min="4113" max="4113" width="10.5703125" style="14" customWidth="1"/>
    <col min="4114" max="4114" width="11.28515625" style="14" customWidth="1"/>
    <col min="4115" max="4115" width="9.7109375" style="14" customWidth="1"/>
    <col min="4116" max="4116" width="12" style="14" customWidth="1"/>
    <col min="4117" max="4117" width="11.28515625" style="14" customWidth="1"/>
    <col min="4118" max="4355" width="9.140625" style="14"/>
    <col min="4356" max="4356" width="5.7109375" style="14" customWidth="1"/>
    <col min="4357" max="4357" width="13.140625" style="14" customWidth="1"/>
    <col min="4358" max="4358" width="12.28515625" style="14" customWidth="1"/>
    <col min="4359" max="4359" width="8.85546875" style="14" customWidth="1"/>
    <col min="4360" max="4360" width="10.85546875" style="14" customWidth="1"/>
    <col min="4361" max="4361" width="2.85546875" style="14" customWidth="1"/>
    <col min="4362" max="4362" width="12.140625" style="14" customWidth="1"/>
    <col min="4363" max="4363" width="10.140625" style="14" customWidth="1"/>
    <col min="4364" max="4364" width="11.7109375" style="14" customWidth="1"/>
    <col min="4365" max="4365" width="11.42578125" style="14" customWidth="1"/>
    <col min="4366" max="4366" width="12.7109375" style="14" customWidth="1"/>
    <col min="4367" max="4367" width="11.42578125" style="14" customWidth="1"/>
    <col min="4368" max="4368" width="10.7109375" style="14" customWidth="1"/>
    <col min="4369" max="4369" width="10.5703125" style="14" customWidth="1"/>
    <col min="4370" max="4370" width="11.28515625" style="14" customWidth="1"/>
    <col min="4371" max="4371" width="9.7109375" style="14" customWidth="1"/>
    <col min="4372" max="4372" width="12" style="14" customWidth="1"/>
    <col min="4373" max="4373" width="11.28515625" style="14" customWidth="1"/>
    <col min="4374" max="4611" width="9.140625" style="14"/>
    <col min="4612" max="4612" width="5.7109375" style="14" customWidth="1"/>
    <col min="4613" max="4613" width="13.140625" style="14" customWidth="1"/>
    <col min="4614" max="4614" width="12.28515625" style="14" customWidth="1"/>
    <col min="4615" max="4615" width="8.85546875" style="14" customWidth="1"/>
    <col min="4616" max="4616" width="10.85546875" style="14" customWidth="1"/>
    <col min="4617" max="4617" width="2.85546875" style="14" customWidth="1"/>
    <col min="4618" max="4618" width="12.140625" style="14" customWidth="1"/>
    <col min="4619" max="4619" width="10.140625" style="14" customWidth="1"/>
    <col min="4620" max="4620" width="11.7109375" style="14" customWidth="1"/>
    <col min="4621" max="4621" width="11.42578125" style="14" customWidth="1"/>
    <col min="4622" max="4622" width="12.7109375" style="14" customWidth="1"/>
    <col min="4623" max="4623" width="11.42578125" style="14" customWidth="1"/>
    <col min="4624" max="4624" width="10.7109375" style="14" customWidth="1"/>
    <col min="4625" max="4625" width="10.5703125" style="14" customWidth="1"/>
    <col min="4626" max="4626" width="11.28515625" style="14" customWidth="1"/>
    <col min="4627" max="4627" width="9.7109375" style="14" customWidth="1"/>
    <col min="4628" max="4628" width="12" style="14" customWidth="1"/>
    <col min="4629" max="4629" width="11.28515625" style="14" customWidth="1"/>
    <col min="4630" max="4867" width="9.140625" style="14"/>
    <col min="4868" max="4868" width="5.7109375" style="14" customWidth="1"/>
    <col min="4869" max="4869" width="13.140625" style="14" customWidth="1"/>
    <col min="4870" max="4870" width="12.28515625" style="14" customWidth="1"/>
    <col min="4871" max="4871" width="8.85546875" style="14" customWidth="1"/>
    <col min="4872" max="4872" width="10.85546875" style="14" customWidth="1"/>
    <col min="4873" max="4873" width="2.85546875" style="14" customWidth="1"/>
    <col min="4874" max="4874" width="12.140625" style="14" customWidth="1"/>
    <col min="4875" max="4875" width="10.140625" style="14" customWidth="1"/>
    <col min="4876" max="4876" width="11.7109375" style="14" customWidth="1"/>
    <col min="4877" max="4877" width="11.42578125" style="14" customWidth="1"/>
    <col min="4878" max="4878" width="12.7109375" style="14" customWidth="1"/>
    <col min="4879" max="4879" width="11.42578125" style="14" customWidth="1"/>
    <col min="4880" max="4880" width="10.7109375" style="14" customWidth="1"/>
    <col min="4881" max="4881" width="10.5703125" style="14" customWidth="1"/>
    <col min="4882" max="4882" width="11.28515625" style="14" customWidth="1"/>
    <col min="4883" max="4883" width="9.7109375" style="14" customWidth="1"/>
    <col min="4884" max="4884" width="12" style="14" customWidth="1"/>
    <col min="4885" max="4885" width="11.28515625" style="14" customWidth="1"/>
    <col min="4886" max="5123" width="9.140625" style="14"/>
    <col min="5124" max="5124" width="5.7109375" style="14" customWidth="1"/>
    <col min="5125" max="5125" width="13.140625" style="14" customWidth="1"/>
    <col min="5126" max="5126" width="12.28515625" style="14" customWidth="1"/>
    <col min="5127" max="5127" width="8.85546875" style="14" customWidth="1"/>
    <col min="5128" max="5128" width="10.85546875" style="14" customWidth="1"/>
    <col min="5129" max="5129" width="2.85546875" style="14" customWidth="1"/>
    <col min="5130" max="5130" width="12.140625" style="14" customWidth="1"/>
    <col min="5131" max="5131" width="10.140625" style="14" customWidth="1"/>
    <col min="5132" max="5132" width="11.7109375" style="14" customWidth="1"/>
    <col min="5133" max="5133" width="11.42578125" style="14" customWidth="1"/>
    <col min="5134" max="5134" width="12.7109375" style="14" customWidth="1"/>
    <col min="5135" max="5135" width="11.42578125" style="14" customWidth="1"/>
    <col min="5136" max="5136" width="10.7109375" style="14" customWidth="1"/>
    <col min="5137" max="5137" width="10.5703125" style="14" customWidth="1"/>
    <col min="5138" max="5138" width="11.28515625" style="14" customWidth="1"/>
    <col min="5139" max="5139" width="9.7109375" style="14" customWidth="1"/>
    <col min="5140" max="5140" width="12" style="14" customWidth="1"/>
    <col min="5141" max="5141" width="11.28515625" style="14" customWidth="1"/>
    <col min="5142" max="5379" width="9.140625" style="14"/>
    <col min="5380" max="5380" width="5.7109375" style="14" customWidth="1"/>
    <col min="5381" max="5381" width="13.140625" style="14" customWidth="1"/>
    <col min="5382" max="5382" width="12.28515625" style="14" customWidth="1"/>
    <col min="5383" max="5383" width="8.85546875" style="14" customWidth="1"/>
    <col min="5384" max="5384" width="10.85546875" style="14" customWidth="1"/>
    <col min="5385" max="5385" width="2.85546875" style="14" customWidth="1"/>
    <col min="5386" max="5386" width="12.140625" style="14" customWidth="1"/>
    <col min="5387" max="5387" width="10.140625" style="14" customWidth="1"/>
    <col min="5388" max="5388" width="11.7109375" style="14" customWidth="1"/>
    <col min="5389" max="5389" width="11.42578125" style="14" customWidth="1"/>
    <col min="5390" max="5390" width="12.7109375" style="14" customWidth="1"/>
    <col min="5391" max="5391" width="11.42578125" style="14" customWidth="1"/>
    <col min="5392" max="5392" width="10.7109375" style="14" customWidth="1"/>
    <col min="5393" max="5393" width="10.5703125" style="14" customWidth="1"/>
    <col min="5394" max="5394" width="11.28515625" style="14" customWidth="1"/>
    <col min="5395" max="5395" width="9.7109375" style="14" customWidth="1"/>
    <col min="5396" max="5396" width="12" style="14" customWidth="1"/>
    <col min="5397" max="5397" width="11.28515625" style="14" customWidth="1"/>
    <col min="5398" max="5635" width="9.140625" style="14"/>
    <col min="5636" max="5636" width="5.7109375" style="14" customWidth="1"/>
    <col min="5637" max="5637" width="13.140625" style="14" customWidth="1"/>
    <col min="5638" max="5638" width="12.28515625" style="14" customWidth="1"/>
    <col min="5639" max="5639" width="8.85546875" style="14" customWidth="1"/>
    <col min="5640" max="5640" width="10.85546875" style="14" customWidth="1"/>
    <col min="5641" max="5641" width="2.85546875" style="14" customWidth="1"/>
    <col min="5642" max="5642" width="12.140625" style="14" customWidth="1"/>
    <col min="5643" max="5643" width="10.140625" style="14" customWidth="1"/>
    <col min="5644" max="5644" width="11.7109375" style="14" customWidth="1"/>
    <col min="5645" max="5645" width="11.42578125" style="14" customWidth="1"/>
    <col min="5646" max="5646" width="12.7109375" style="14" customWidth="1"/>
    <col min="5647" max="5647" width="11.42578125" style="14" customWidth="1"/>
    <col min="5648" max="5648" width="10.7109375" style="14" customWidth="1"/>
    <col min="5649" max="5649" width="10.5703125" style="14" customWidth="1"/>
    <col min="5650" max="5650" width="11.28515625" style="14" customWidth="1"/>
    <col min="5651" max="5651" width="9.7109375" style="14" customWidth="1"/>
    <col min="5652" max="5652" width="12" style="14" customWidth="1"/>
    <col min="5653" max="5653" width="11.28515625" style="14" customWidth="1"/>
    <col min="5654" max="5891" width="9.140625" style="14"/>
    <col min="5892" max="5892" width="5.7109375" style="14" customWidth="1"/>
    <col min="5893" max="5893" width="13.140625" style="14" customWidth="1"/>
    <col min="5894" max="5894" width="12.28515625" style="14" customWidth="1"/>
    <col min="5895" max="5895" width="8.85546875" style="14" customWidth="1"/>
    <col min="5896" max="5896" width="10.85546875" style="14" customWidth="1"/>
    <col min="5897" max="5897" width="2.85546875" style="14" customWidth="1"/>
    <col min="5898" max="5898" width="12.140625" style="14" customWidth="1"/>
    <col min="5899" max="5899" width="10.140625" style="14" customWidth="1"/>
    <col min="5900" max="5900" width="11.7109375" style="14" customWidth="1"/>
    <col min="5901" max="5901" width="11.42578125" style="14" customWidth="1"/>
    <col min="5902" max="5902" width="12.7109375" style="14" customWidth="1"/>
    <col min="5903" max="5903" width="11.42578125" style="14" customWidth="1"/>
    <col min="5904" max="5904" width="10.7109375" style="14" customWidth="1"/>
    <col min="5905" max="5905" width="10.5703125" style="14" customWidth="1"/>
    <col min="5906" max="5906" width="11.28515625" style="14" customWidth="1"/>
    <col min="5907" max="5907" width="9.7109375" style="14" customWidth="1"/>
    <col min="5908" max="5908" width="12" style="14" customWidth="1"/>
    <col min="5909" max="5909" width="11.28515625" style="14" customWidth="1"/>
    <col min="5910" max="6147" width="9.140625" style="14"/>
    <col min="6148" max="6148" width="5.7109375" style="14" customWidth="1"/>
    <col min="6149" max="6149" width="13.140625" style="14" customWidth="1"/>
    <col min="6150" max="6150" width="12.28515625" style="14" customWidth="1"/>
    <col min="6151" max="6151" width="8.85546875" style="14" customWidth="1"/>
    <col min="6152" max="6152" width="10.85546875" style="14" customWidth="1"/>
    <col min="6153" max="6153" width="2.85546875" style="14" customWidth="1"/>
    <col min="6154" max="6154" width="12.140625" style="14" customWidth="1"/>
    <col min="6155" max="6155" width="10.140625" style="14" customWidth="1"/>
    <col min="6156" max="6156" width="11.7109375" style="14" customWidth="1"/>
    <col min="6157" max="6157" width="11.42578125" style="14" customWidth="1"/>
    <col min="6158" max="6158" width="12.7109375" style="14" customWidth="1"/>
    <col min="6159" max="6159" width="11.42578125" style="14" customWidth="1"/>
    <col min="6160" max="6160" width="10.7109375" style="14" customWidth="1"/>
    <col min="6161" max="6161" width="10.5703125" style="14" customWidth="1"/>
    <col min="6162" max="6162" width="11.28515625" style="14" customWidth="1"/>
    <col min="6163" max="6163" width="9.7109375" style="14" customWidth="1"/>
    <col min="6164" max="6164" width="12" style="14" customWidth="1"/>
    <col min="6165" max="6165" width="11.28515625" style="14" customWidth="1"/>
    <col min="6166" max="6403" width="9.140625" style="14"/>
    <col min="6404" max="6404" width="5.7109375" style="14" customWidth="1"/>
    <col min="6405" max="6405" width="13.140625" style="14" customWidth="1"/>
    <col min="6406" max="6406" width="12.28515625" style="14" customWidth="1"/>
    <col min="6407" max="6407" width="8.85546875" style="14" customWidth="1"/>
    <col min="6408" max="6408" width="10.85546875" style="14" customWidth="1"/>
    <col min="6409" max="6409" width="2.85546875" style="14" customWidth="1"/>
    <col min="6410" max="6410" width="12.140625" style="14" customWidth="1"/>
    <col min="6411" max="6411" width="10.140625" style="14" customWidth="1"/>
    <col min="6412" max="6412" width="11.7109375" style="14" customWidth="1"/>
    <col min="6413" max="6413" width="11.42578125" style="14" customWidth="1"/>
    <col min="6414" max="6414" width="12.7109375" style="14" customWidth="1"/>
    <col min="6415" max="6415" width="11.42578125" style="14" customWidth="1"/>
    <col min="6416" max="6416" width="10.7109375" style="14" customWidth="1"/>
    <col min="6417" max="6417" width="10.5703125" style="14" customWidth="1"/>
    <col min="6418" max="6418" width="11.28515625" style="14" customWidth="1"/>
    <col min="6419" max="6419" width="9.7109375" style="14" customWidth="1"/>
    <col min="6420" max="6420" width="12" style="14" customWidth="1"/>
    <col min="6421" max="6421" width="11.28515625" style="14" customWidth="1"/>
    <col min="6422" max="6659" width="9.140625" style="14"/>
    <col min="6660" max="6660" width="5.7109375" style="14" customWidth="1"/>
    <col min="6661" max="6661" width="13.140625" style="14" customWidth="1"/>
    <col min="6662" max="6662" width="12.28515625" style="14" customWidth="1"/>
    <col min="6663" max="6663" width="8.85546875" style="14" customWidth="1"/>
    <col min="6664" max="6664" width="10.85546875" style="14" customWidth="1"/>
    <col min="6665" max="6665" width="2.85546875" style="14" customWidth="1"/>
    <col min="6666" max="6666" width="12.140625" style="14" customWidth="1"/>
    <col min="6667" max="6667" width="10.140625" style="14" customWidth="1"/>
    <col min="6668" max="6668" width="11.7109375" style="14" customWidth="1"/>
    <col min="6669" max="6669" width="11.42578125" style="14" customWidth="1"/>
    <col min="6670" max="6670" width="12.7109375" style="14" customWidth="1"/>
    <col min="6671" max="6671" width="11.42578125" style="14" customWidth="1"/>
    <col min="6672" max="6672" width="10.7109375" style="14" customWidth="1"/>
    <col min="6673" max="6673" width="10.5703125" style="14" customWidth="1"/>
    <col min="6674" max="6674" width="11.28515625" style="14" customWidth="1"/>
    <col min="6675" max="6675" width="9.7109375" style="14" customWidth="1"/>
    <col min="6676" max="6676" width="12" style="14" customWidth="1"/>
    <col min="6677" max="6677" width="11.28515625" style="14" customWidth="1"/>
    <col min="6678" max="6915" width="9.140625" style="14"/>
    <col min="6916" max="6916" width="5.7109375" style="14" customWidth="1"/>
    <col min="6917" max="6917" width="13.140625" style="14" customWidth="1"/>
    <col min="6918" max="6918" width="12.28515625" style="14" customWidth="1"/>
    <col min="6919" max="6919" width="8.85546875" style="14" customWidth="1"/>
    <col min="6920" max="6920" width="10.85546875" style="14" customWidth="1"/>
    <col min="6921" max="6921" width="2.85546875" style="14" customWidth="1"/>
    <col min="6922" max="6922" width="12.140625" style="14" customWidth="1"/>
    <col min="6923" max="6923" width="10.140625" style="14" customWidth="1"/>
    <col min="6924" max="6924" width="11.7109375" style="14" customWidth="1"/>
    <col min="6925" max="6925" width="11.42578125" style="14" customWidth="1"/>
    <col min="6926" max="6926" width="12.7109375" style="14" customWidth="1"/>
    <col min="6927" max="6927" width="11.42578125" style="14" customWidth="1"/>
    <col min="6928" max="6928" width="10.7109375" style="14" customWidth="1"/>
    <col min="6929" max="6929" width="10.5703125" style="14" customWidth="1"/>
    <col min="6930" max="6930" width="11.28515625" style="14" customWidth="1"/>
    <col min="6931" max="6931" width="9.7109375" style="14" customWidth="1"/>
    <col min="6932" max="6932" width="12" style="14" customWidth="1"/>
    <col min="6933" max="6933" width="11.28515625" style="14" customWidth="1"/>
    <col min="6934" max="7171" width="9.140625" style="14"/>
    <col min="7172" max="7172" width="5.7109375" style="14" customWidth="1"/>
    <col min="7173" max="7173" width="13.140625" style="14" customWidth="1"/>
    <col min="7174" max="7174" width="12.28515625" style="14" customWidth="1"/>
    <col min="7175" max="7175" width="8.85546875" style="14" customWidth="1"/>
    <col min="7176" max="7176" width="10.85546875" style="14" customWidth="1"/>
    <col min="7177" max="7177" width="2.85546875" style="14" customWidth="1"/>
    <col min="7178" max="7178" width="12.140625" style="14" customWidth="1"/>
    <col min="7179" max="7179" width="10.140625" style="14" customWidth="1"/>
    <col min="7180" max="7180" width="11.7109375" style="14" customWidth="1"/>
    <col min="7181" max="7181" width="11.42578125" style="14" customWidth="1"/>
    <col min="7182" max="7182" width="12.7109375" style="14" customWidth="1"/>
    <col min="7183" max="7183" width="11.42578125" style="14" customWidth="1"/>
    <col min="7184" max="7184" width="10.7109375" style="14" customWidth="1"/>
    <col min="7185" max="7185" width="10.5703125" style="14" customWidth="1"/>
    <col min="7186" max="7186" width="11.28515625" style="14" customWidth="1"/>
    <col min="7187" max="7187" width="9.7109375" style="14" customWidth="1"/>
    <col min="7188" max="7188" width="12" style="14" customWidth="1"/>
    <col min="7189" max="7189" width="11.28515625" style="14" customWidth="1"/>
    <col min="7190" max="7427" width="9.140625" style="14"/>
    <col min="7428" max="7428" width="5.7109375" style="14" customWidth="1"/>
    <col min="7429" max="7429" width="13.140625" style="14" customWidth="1"/>
    <col min="7430" max="7430" width="12.28515625" style="14" customWidth="1"/>
    <col min="7431" max="7431" width="8.85546875" style="14" customWidth="1"/>
    <col min="7432" max="7432" width="10.85546875" style="14" customWidth="1"/>
    <col min="7433" max="7433" width="2.85546875" style="14" customWidth="1"/>
    <col min="7434" max="7434" width="12.140625" style="14" customWidth="1"/>
    <col min="7435" max="7435" width="10.140625" style="14" customWidth="1"/>
    <col min="7436" max="7436" width="11.7109375" style="14" customWidth="1"/>
    <col min="7437" max="7437" width="11.42578125" style="14" customWidth="1"/>
    <col min="7438" max="7438" width="12.7109375" style="14" customWidth="1"/>
    <col min="7439" max="7439" width="11.42578125" style="14" customWidth="1"/>
    <col min="7440" max="7440" width="10.7109375" style="14" customWidth="1"/>
    <col min="7441" max="7441" width="10.5703125" style="14" customWidth="1"/>
    <col min="7442" max="7442" width="11.28515625" style="14" customWidth="1"/>
    <col min="7443" max="7443" width="9.7109375" style="14" customWidth="1"/>
    <col min="7444" max="7444" width="12" style="14" customWidth="1"/>
    <col min="7445" max="7445" width="11.28515625" style="14" customWidth="1"/>
    <col min="7446" max="7683" width="9.140625" style="14"/>
    <col min="7684" max="7684" width="5.7109375" style="14" customWidth="1"/>
    <col min="7685" max="7685" width="13.140625" style="14" customWidth="1"/>
    <col min="7686" max="7686" width="12.28515625" style="14" customWidth="1"/>
    <col min="7687" max="7687" width="8.85546875" style="14" customWidth="1"/>
    <col min="7688" max="7688" width="10.85546875" style="14" customWidth="1"/>
    <col min="7689" max="7689" width="2.85546875" style="14" customWidth="1"/>
    <col min="7690" max="7690" width="12.140625" style="14" customWidth="1"/>
    <col min="7691" max="7691" width="10.140625" style="14" customWidth="1"/>
    <col min="7692" max="7692" width="11.7109375" style="14" customWidth="1"/>
    <col min="7693" max="7693" width="11.42578125" style="14" customWidth="1"/>
    <col min="7694" max="7694" width="12.7109375" style="14" customWidth="1"/>
    <col min="7695" max="7695" width="11.42578125" style="14" customWidth="1"/>
    <col min="7696" max="7696" width="10.7109375" style="14" customWidth="1"/>
    <col min="7697" max="7697" width="10.5703125" style="14" customWidth="1"/>
    <col min="7698" max="7698" width="11.28515625" style="14" customWidth="1"/>
    <col min="7699" max="7699" width="9.7109375" style="14" customWidth="1"/>
    <col min="7700" max="7700" width="12" style="14" customWidth="1"/>
    <col min="7701" max="7701" width="11.28515625" style="14" customWidth="1"/>
    <col min="7702" max="7939" width="9.140625" style="14"/>
    <col min="7940" max="7940" width="5.7109375" style="14" customWidth="1"/>
    <col min="7941" max="7941" width="13.140625" style="14" customWidth="1"/>
    <col min="7942" max="7942" width="12.28515625" style="14" customWidth="1"/>
    <col min="7943" max="7943" width="8.85546875" style="14" customWidth="1"/>
    <col min="7944" max="7944" width="10.85546875" style="14" customWidth="1"/>
    <col min="7945" max="7945" width="2.85546875" style="14" customWidth="1"/>
    <col min="7946" max="7946" width="12.140625" style="14" customWidth="1"/>
    <col min="7947" max="7947" width="10.140625" style="14" customWidth="1"/>
    <col min="7948" max="7948" width="11.7109375" style="14" customWidth="1"/>
    <col min="7949" max="7949" width="11.42578125" style="14" customWidth="1"/>
    <col min="7950" max="7950" width="12.7109375" style="14" customWidth="1"/>
    <col min="7951" max="7951" width="11.42578125" style="14" customWidth="1"/>
    <col min="7952" max="7952" width="10.7109375" style="14" customWidth="1"/>
    <col min="7953" max="7953" width="10.5703125" style="14" customWidth="1"/>
    <col min="7954" max="7954" width="11.28515625" style="14" customWidth="1"/>
    <col min="7955" max="7955" width="9.7109375" style="14" customWidth="1"/>
    <col min="7956" max="7956" width="12" style="14" customWidth="1"/>
    <col min="7957" max="7957" width="11.28515625" style="14" customWidth="1"/>
    <col min="7958" max="8195" width="9.140625" style="14"/>
    <col min="8196" max="8196" width="5.7109375" style="14" customWidth="1"/>
    <col min="8197" max="8197" width="13.140625" style="14" customWidth="1"/>
    <col min="8198" max="8198" width="12.28515625" style="14" customWidth="1"/>
    <col min="8199" max="8199" width="8.85546875" style="14" customWidth="1"/>
    <col min="8200" max="8200" width="10.85546875" style="14" customWidth="1"/>
    <col min="8201" max="8201" width="2.85546875" style="14" customWidth="1"/>
    <col min="8202" max="8202" width="12.140625" style="14" customWidth="1"/>
    <col min="8203" max="8203" width="10.140625" style="14" customWidth="1"/>
    <col min="8204" max="8204" width="11.7109375" style="14" customWidth="1"/>
    <col min="8205" max="8205" width="11.42578125" style="14" customWidth="1"/>
    <col min="8206" max="8206" width="12.7109375" style="14" customWidth="1"/>
    <col min="8207" max="8207" width="11.42578125" style="14" customWidth="1"/>
    <col min="8208" max="8208" width="10.7109375" style="14" customWidth="1"/>
    <col min="8209" max="8209" width="10.5703125" style="14" customWidth="1"/>
    <col min="8210" max="8210" width="11.28515625" style="14" customWidth="1"/>
    <col min="8211" max="8211" width="9.7109375" style="14" customWidth="1"/>
    <col min="8212" max="8212" width="12" style="14" customWidth="1"/>
    <col min="8213" max="8213" width="11.28515625" style="14" customWidth="1"/>
    <col min="8214" max="8451" width="9.140625" style="14"/>
    <col min="8452" max="8452" width="5.7109375" style="14" customWidth="1"/>
    <col min="8453" max="8453" width="13.140625" style="14" customWidth="1"/>
    <col min="8454" max="8454" width="12.28515625" style="14" customWidth="1"/>
    <col min="8455" max="8455" width="8.85546875" style="14" customWidth="1"/>
    <col min="8456" max="8456" width="10.85546875" style="14" customWidth="1"/>
    <col min="8457" max="8457" width="2.85546875" style="14" customWidth="1"/>
    <col min="8458" max="8458" width="12.140625" style="14" customWidth="1"/>
    <col min="8459" max="8459" width="10.140625" style="14" customWidth="1"/>
    <col min="8460" max="8460" width="11.7109375" style="14" customWidth="1"/>
    <col min="8461" max="8461" width="11.42578125" style="14" customWidth="1"/>
    <col min="8462" max="8462" width="12.7109375" style="14" customWidth="1"/>
    <col min="8463" max="8463" width="11.42578125" style="14" customWidth="1"/>
    <col min="8464" max="8464" width="10.7109375" style="14" customWidth="1"/>
    <col min="8465" max="8465" width="10.5703125" style="14" customWidth="1"/>
    <col min="8466" max="8466" width="11.28515625" style="14" customWidth="1"/>
    <col min="8467" max="8467" width="9.7109375" style="14" customWidth="1"/>
    <col min="8468" max="8468" width="12" style="14" customWidth="1"/>
    <col min="8469" max="8469" width="11.28515625" style="14" customWidth="1"/>
    <col min="8470" max="8707" width="9.140625" style="14"/>
    <col min="8708" max="8708" width="5.7109375" style="14" customWidth="1"/>
    <col min="8709" max="8709" width="13.140625" style="14" customWidth="1"/>
    <col min="8710" max="8710" width="12.28515625" style="14" customWidth="1"/>
    <col min="8711" max="8711" width="8.85546875" style="14" customWidth="1"/>
    <col min="8712" max="8712" width="10.85546875" style="14" customWidth="1"/>
    <col min="8713" max="8713" width="2.85546875" style="14" customWidth="1"/>
    <col min="8714" max="8714" width="12.140625" style="14" customWidth="1"/>
    <col min="8715" max="8715" width="10.140625" style="14" customWidth="1"/>
    <col min="8716" max="8716" width="11.7109375" style="14" customWidth="1"/>
    <col min="8717" max="8717" width="11.42578125" style="14" customWidth="1"/>
    <col min="8718" max="8718" width="12.7109375" style="14" customWidth="1"/>
    <col min="8719" max="8719" width="11.42578125" style="14" customWidth="1"/>
    <col min="8720" max="8720" width="10.7109375" style="14" customWidth="1"/>
    <col min="8721" max="8721" width="10.5703125" style="14" customWidth="1"/>
    <col min="8722" max="8722" width="11.28515625" style="14" customWidth="1"/>
    <col min="8723" max="8723" width="9.7109375" style="14" customWidth="1"/>
    <col min="8724" max="8724" width="12" style="14" customWidth="1"/>
    <col min="8725" max="8725" width="11.28515625" style="14" customWidth="1"/>
    <col min="8726" max="8963" width="9.140625" style="14"/>
    <col min="8964" max="8964" width="5.7109375" style="14" customWidth="1"/>
    <col min="8965" max="8965" width="13.140625" style="14" customWidth="1"/>
    <col min="8966" max="8966" width="12.28515625" style="14" customWidth="1"/>
    <col min="8967" max="8967" width="8.85546875" style="14" customWidth="1"/>
    <col min="8968" max="8968" width="10.85546875" style="14" customWidth="1"/>
    <col min="8969" max="8969" width="2.85546875" style="14" customWidth="1"/>
    <col min="8970" max="8970" width="12.140625" style="14" customWidth="1"/>
    <col min="8971" max="8971" width="10.140625" style="14" customWidth="1"/>
    <col min="8972" max="8972" width="11.7109375" style="14" customWidth="1"/>
    <col min="8973" max="8973" width="11.42578125" style="14" customWidth="1"/>
    <col min="8974" max="8974" width="12.7109375" style="14" customWidth="1"/>
    <col min="8975" max="8975" width="11.42578125" style="14" customWidth="1"/>
    <col min="8976" max="8976" width="10.7109375" style="14" customWidth="1"/>
    <col min="8977" max="8977" width="10.5703125" style="14" customWidth="1"/>
    <col min="8978" max="8978" width="11.28515625" style="14" customWidth="1"/>
    <col min="8979" max="8979" width="9.7109375" style="14" customWidth="1"/>
    <col min="8980" max="8980" width="12" style="14" customWidth="1"/>
    <col min="8981" max="8981" width="11.28515625" style="14" customWidth="1"/>
    <col min="8982" max="9219" width="9.140625" style="14"/>
    <col min="9220" max="9220" width="5.7109375" style="14" customWidth="1"/>
    <col min="9221" max="9221" width="13.140625" style="14" customWidth="1"/>
    <col min="9222" max="9222" width="12.28515625" style="14" customWidth="1"/>
    <col min="9223" max="9223" width="8.85546875" style="14" customWidth="1"/>
    <col min="9224" max="9224" width="10.85546875" style="14" customWidth="1"/>
    <col min="9225" max="9225" width="2.85546875" style="14" customWidth="1"/>
    <col min="9226" max="9226" width="12.140625" style="14" customWidth="1"/>
    <col min="9227" max="9227" width="10.140625" style="14" customWidth="1"/>
    <col min="9228" max="9228" width="11.7109375" style="14" customWidth="1"/>
    <col min="9229" max="9229" width="11.42578125" style="14" customWidth="1"/>
    <col min="9230" max="9230" width="12.7109375" style="14" customWidth="1"/>
    <col min="9231" max="9231" width="11.42578125" style="14" customWidth="1"/>
    <col min="9232" max="9232" width="10.7109375" style="14" customWidth="1"/>
    <col min="9233" max="9233" width="10.5703125" style="14" customWidth="1"/>
    <col min="9234" max="9234" width="11.28515625" style="14" customWidth="1"/>
    <col min="9235" max="9235" width="9.7109375" style="14" customWidth="1"/>
    <col min="9236" max="9236" width="12" style="14" customWidth="1"/>
    <col min="9237" max="9237" width="11.28515625" style="14" customWidth="1"/>
    <col min="9238" max="9475" width="9.140625" style="14"/>
    <col min="9476" max="9476" width="5.7109375" style="14" customWidth="1"/>
    <col min="9477" max="9477" width="13.140625" style="14" customWidth="1"/>
    <col min="9478" max="9478" width="12.28515625" style="14" customWidth="1"/>
    <col min="9479" max="9479" width="8.85546875" style="14" customWidth="1"/>
    <col min="9480" max="9480" width="10.85546875" style="14" customWidth="1"/>
    <col min="9481" max="9481" width="2.85546875" style="14" customWidth="1"/>
    <col min="9482" max="9482" width="12.140625" style="14" customWidth="1"/>
    <col min="9483" max="9483" width="10.140625" style="14" customWidth="1"/>
    <col min="9484" max="9484" width="11.7109375" style="14" customWidth="1"/>
    <col min="9485" max="9485" width="11.42578125" style="14" customWidth="1"/>
    <col min="9486" max="9486" width="12.7109375" style="14" customWidth="1"/>
    <col min="9487" max="9487" width="11.42578125" style="14" customWidth="1"/>
    <col min="9488" max="9488" width="10.7109375" style="14" customWidth="1"/>
    <col min="9489" max="9489" width="10.5703125" style="14" customWidth="1"/>
    <col min="9490" max="9490" width="11.28515625" style="14" customWidth="1"/>
    <col min="9491" max="9491" width="9.7109375" style="14" customWidth="1"/>
    <col min="9492" max="9492" width="12" style="14" customWidth="1"/>
    <col min="9493" max="9493" width="11.28515625" style="14" customWidth="1"/>
    <col min="9494" max="9731" width="9.140625" style="14"/>
    <col min="9732" max="9732" width="5.7109375" style="14" customWidth="1"/>
    <col min="9733" max="9733" width="13.140625" style="14" customWidth="1"/>
    <col min="9734" max="9734" width="12.28515625" style="14" customWidth="1"/>
    <col min="9735" max="9735" width="8.85546875" style="14" customWidth="1"/>
    <col min="9736" max="9736" width="10.85546875" style="14" customWidth="1"/>
    <col min="9737" max="9737" width="2.85546875" style="14" customWidth="1"/>
    <col min="9738" max="9738" width="12.140625" style="14" customWidth="1"/>
    <col min="9739" max="9739" width="10.140625" style="14" customWidth="1"/>
    <col min="9740" max="9740" width="11.7109375" style="14" customWidth="1"/>
    <col min="9741" max="9741" width="11.42578125" style="14" customWidth="1"/>
    <col min="9742" max="9742" width="12.7109375" style="14" customWidth="1"/>
    <col min="9743" max="9743" width="11.42578125" style="14" customWidth="1"/>
    <col min="9744" max="9744" width="10.7109375" style="14" customWidth="1"/>
    <col min="9745" max="9745" width="10.5703125" style="14" customWidth="1"/>
    <col min="9746" max="9746" width="11.28515625" style="14" customWidth="1"/>
    <col min="9747" max="9747" width="9.7109375" style="14" customWidth="1"/>
    <col min="9748" max="9748" width="12" style="14" customWidth="1"/>
    <col min="9749" max="9749" width="11.28515625" style="14" customWidth="1"/>
    <col min="9750" max="9987" width="9.140625" style="14"/>
    <col min="9988" max="9988" width="5.7109375" style="14" customWidth="1"/>
    <col min="9989" max="9989" width="13.140625" style="14" customWidth="1"/>
    <col min="9990" max="9990" width="12.28515625" style="14" customWidth="1"/>
    <col min="9991" max="9991" width="8.85546875" style="14" customWidth="1"/>
    <col min="9992" max="9992" width="10.85546875" style="14" customWidth="1"/>
    <col min="9993" max="9993" width="2.85546875" style="14" customWidth="1"/>
    <col min="9994" max="9994" width="12.140625" style="14" customWidth="1"/>
    <col min="9995" max="9995" width="10.140625" style="14" customWidth="1"/>
    <col min="9996" max="9996" width="11.7109375" style="14" customWidth="1"/>
    <col min="9997" max="9997" width="11.42578125" style="14" customWidth="1"/>
    <col min="9998" max="9998" width="12.7109375" style="14" customWidth="1"/>
    <col min="9999" max="9999" width="11.42578125" style="14" customWidth="1"/>
    <col min="10000" max="10000" width="10.7109375" style="14" customWidth="1"/>
    <col min="10001" max="10001" width="10.5703125" style="14" customWidth="1"/>
    <col min="10002" max="10002" width="11.28515625" style="14" customWidth="1"/>
    <col min="10003" max="10003" width="9.7109375" style="14" customWidth="1"/>
    <col min="10004" max="10004" width="12" style="14" customWidth="1"/>
    <col min="10005" max="10005" width="11.28515625" style="14" customWidth="1"/>
    <col min="10006" max="10243" width="9.140625" style="14"/>
    <col min="10244" max="10244" width="5.7109375" style="14" customWidth="1"/>
    <col min="10245" max="10245" width="13.140625" style="14" customWidth="1"/>
    <col min="10246" max="10246" width="12.28515625" style="14" customWidth="1"/>
    <col min="10247" max="10247" width="8.85546875" style="14" customWidth="1"/>
    <col min="10248" max="10248" width="10.85546875" style="14" customWidth="1"/>
    <col min="10249" max="10249" width="2.85546875" style="14" customWidth="1"/>
    <col min="10250" max="10250" width="12.140625" style="14" customWidth="1"/>
    <col min="10251" max="10251" width="10.140625" style="14" customWidth="1"/>
    <col min="10252" max="10252" width="11.7109375" style="14" customWidth="1"/>
    <col min="10253" max="10253" width="11.42578125" style="14" customWidth="1"/>
    <col min="10254" max="10254" width="12.7109375" style="14" customWidth="1"/>
    <col min="10255" max="10255" width="11.42578125" style="14" customWidth="1"/>
    <col min="10256" max="10256" width="10.7109375" style="14" customWidth="1"/>
    <col min="10257" max="10257" width="10.5703125" style="14" customWidth="1"/>
    <col min="10258" max="10258" width="11.28515625" style="14" customWidth="1"/>
    <col min="10259" max="10259" width="9.7109375" style="14" customWidth="1"/>
    <col min="10260" max="10260" width="12" style="14" customWidth="1"/>
    <col min="10261" max="10261" width="11.28515625" style="14" customWidth="1"/>
    <col min="10262" max="10499" width="9.140625" style="14"/>
    <col min="10500" max="10500" width="5.7109375" style="14" customWidth="1"/>
    <col min="10501" max="10501" width="13.140625" style="14" customWidth="1"/>
    <col min="10502" max="10502" width="12.28515625" style="14" customWidth="1"/>
    <col min="10503" max="10503" width="8.85546875" style="14" customWidth="1"/>
    <col min="10504" max="10504" width="10.85546875" style="14" customWidth="1"/>
    <col min="10505" max="10505" width="2.85546875" style="14" customWidth="1"/>
    <col min="10506" max="10506" width="12.140625" style="14" customWidth="1"/>
    <col min="10507" max="10507" width="10.140625" style="14" customWidth="1"/>
    <col min="10508" max="10508" width="11.7109375" style="14" customWidth="1"/>
    <col min="10509" max="10509" width="11.42578125" style="14" customWidth="1"/>
    <col min="10510" max="10510" width="12.7109375" style="14" customWidth="1"/>
    <col min="10511" max="10511" width="11.42578125" style="14" customWidth="1"/>
    <col min="10512" max="10512" width="10.7109375" style="14" customWidth="1"/>
    <col min="10513" max="10513" width="10.5703125" style="14" customWidth="1"/>
    <col min="10514" max="10514" width="11.28515625" style="14" customWidth="1"/>
    <col min="10515" max="10515" width="9.7109375" style="14" customWidth="1"/>
    <col min="10516" max="10516" width="12" style="14" customWidth="1"/>
    <col min="10517" max="10517" width="11.28515625" style="14" customWidth="1"/>
    <col min="10518" max="10755" width="9.140625" style="14"/>
    <col min="10756" max="10756" width="5.7109375" style="14" customWidth="1"/>
    <col min="10757" max="10757" width="13.140625" style="14" customWidth="1"/>
    <col min="10758" max="10758" width="12.28515625" style="14" customWidth="1"/>
    <col min="10759" max="10759" width="8.85546875" style="14" customWidth="1"/>
    <col min="10760" max="10760" width="10.85546875" style="14" customWidth="1"/>
    <col min="10761" max="10761" width="2.85546875" style="14" customWidth="1"/>
    <col min="10762" max="10762" width="12.140625" style="14" customWidth="1"/>
    <col min="10763" max="10763" width="10.140625" style="14" customWidth="1"/>
    <col min="10764" max="10764" width="11.7109375" style="14" customWidth="1"/>
    <col min="10765" max="10765" width="11.42578125" style="14" customWidth="1"/>
    <col min="10766" max="10766" width="12.7109375" style="14" customWidth="1"/>
    <col min="10767" max="10767" width="11.42578125" style="14" customWidth="1"/>
    <col min="10768" max="10768" width="10.7109375" style="14" customWidth="1"/>
    <col min="10769" max="10769" width="10.5703125" style="14" customWidth="1"/>
    <col min="10770" max="10770" width="11.28515625" style="14" customWidth="1"/>
    <col min="10771" max="10771" width="9.7109375" style="14" customWidth="1"/>
    <col min="10772" max="10772" width="12" style="14" customWidth="1"/>
    <col min="10773" max="10773" width="11.28515625" style="14" customWidth="1"/>
    <col min="10774" max="11011" width="9.140625" style="14"/>
    <col min="11012" max="11012" width="5.7109375" style="14" customWidth="1"/>
    <col min="11013" max="11013" width="13.140625" style="14" customWidth="1"/>
    <col min="11014" max="11014" width="12.28515625" style="14" customWidth="1"/>
    <col min="11015" max="11015" width="8.85546875" style="14" customWidth="1"/>
    <col min="11016" max="11016" width="10.85546875" style="14" customWidth="1"/>
    <col min="11017" max="11017" width="2.85546875" style="14" customWidth="1"/>
    <col min="11018" max="11018" width="12.140625" style="14" customWidth="1"/>
    <col min="11019" max="11019" width="10.140625" style="14" customWidth="1"/>
    <col min="11020" max="11020" width="11.7109375" style="14" customWidth="1"/>
    <col min="11021" max="11021" width="11.42578125" style="14" customWidth="1"/>
    <col min="11022" max="11022" width="12.7109375" style="14" customWidth="1"/>
    <col min="11023" max="11023" width="11.42578125" style="14" customWidth="1"/>
    <col min="11024" max="11024" width="10.7109375" style="14" customWidth="1"/>
    <col min="11025" max="11025" width="10.5703125" style="14" customWidth="1"/>
    <col min="11026" max="11026" width="11.28515625" style="14" customWidth="1"/>
    <col min="11027" max="11027" width="9.7109375" style="14" customWidth="1"/>
    <col min="11028" max="11028" width="12" style="14" customWidth="1"/>
    <col min="11029" max="11029" width="11.28515625" style="14" customWidth="1"/>
    <col min="11030" max="11267" width="9.140625" style="14"/>
    <col min="11268" max="11268" width="5.7109375" style="14" customWidth="1"/>
    <col min="11269" max="11269" width="13.140625" style="14" customWidth="1"/>
    <col min="11270" max="11270" width="12.28515625" style="14" customWidth="1"/>
    <col min="11271" max="11271" width="8.85546875" style="14" customWidth="1"/>
    <col min="11272" max="11272" width="10.85546875" style="14" customWidth="1"/>
    <col min="11273" max="11273" width="2.85546875" style="14" customWidth="1"/>
    <col min="11274" max="11274" width="12.140625" style="14" customWidth="1"/>
    <col min="11275" max="11275" width="10.140625" style="14" customWidth="1"/>
    <col min="11276" max="11276" width="11.7109375" style="14" customWidth="1"/>
    <col min="11277" max="11277" width="11.42578125" style="14" customWidth="1"/>
    <col min="11278" max="11278" width="12.7109375" style="14" customWidth="1"/>
    <col min="11279" max="11279" width="11.42578125" style="14" customWidth="1"/>
    <col min="11280" max="11280" width="10.7109375" style="14" customWidth="1"/>
    <col min="11281" max="11281" width="10.5703125" style="14" customWidth="1"/>
    <col min="11282" max="11282" width="11.28515625" style="14" customWidth="1"/>
    <col min="11283" max="11283" width="9.7109375" style="14" customWidth="1"/>
    <col min="11284" max="11284" width="12" style="14" customWidth="1"/>
    <col min="11285" max="11285" width="11.28515625" style="14" customWidth="1"/>
    <col min="11286" max="11523" width="9.140625" style="14"/>
    <col min="11524" max="11524" width="5.7109375" style="14" customWidth="1"/>
    <col min="11525" max="11525" width="13.140625" style="14" customWidth="1"/>
    <col min="11526" max="11526" width="12.28515625" style="14" customWidth="1"/>
    <col min="11527" max="11527" width="8.85546875" style="14" customWidth="1"/>
    <col min="11528" max="11528" width="10.85546875" style="14" customWidth="1"/>
    <col min="11529" max="11529" width="2.85546875" style="14" customWidth="1"/>
    <col min="11530" max="11530" width="12.140625" style="14" customWidth="1"/>
    <col min="11531" max="11531" width="10.140625" style="14" customWidth="1"/>
    <col min="11532" max="11532" width="11.7109375" style="14" customWidth="1"/>
    <col min="11533" max="11533" width="11.42578125" style="14" customWidth="1"/>
    <col min="11534" max="11534" width="12.7109375" style="14" customWidth="1"/>
    <col min="11535" max="11535" width="11.42578125" style="14" customWidth="1"/>
    <col min="11536" max="11536" width="10.7109375" style="14" customWidth="1"/>
    <col min="11537" max="11537" width="10.5703125" style="14" customWidth="1"/>
    <col min="11538" max="11538" width="11.28515625" style="14" customWidth="1"/>
    <col min="11539" max="11539" width="9.7109375" style="14" customWidth="1"/>
    <col min="11540" max="11540" width="12" style="14" customWidth="1"/>
    <col min="11541" max="11541" width="11.28515625" style="14" customWidth="1"/>
    <col min="11542" max="11779" width="9.140625" style="14"/>
    <col min="11780" max="11780" width="5.7109375" style="14" customWidth="1"/>
    <col min="11781" max="11781" width="13.140625" style="14" customWidth="1"/>
    <col min="11782" max="11782" width="12.28515625" style="14" customWidth="1"/>
    <col min="11783" max="11783" width="8.85546875" style="14" customWidth="1"/>
    <col min="11784" max="11784" width="10.85546875" style="14" customWidth="1"/>
    <col min="11785" max="11785" width="2.85546875" style="14" customWidth="1"/>
    <col min="11786" max="11786" width="12.140625" style="14" customWidth="1"/>
    <col min="11787" max="11787" width="10.140625" style="14" customWidth="1"/>
    <col min="11788" max="11788" width="11.7109375" style="14" customWidth="1"/>
    <col min="11789" max="11789" width="11.42578125" style="14" customWidth="1"/>
    <col min="11790" max="11790" width="12.7109375" style="14" customWidth="1"/>
    <col min="11791" max="11791" width="11.42578125" style="14" customWidth="1"/>
    <col min="11792" max="11792" width="10.7109375" style="14" customWidth="1"/>
    <col min="11793" max="11793" width="10.5703125" style="14" customWidth="1"/>
    <col min="11794" max="11794" width="11.28515625" style="14" customWidth="1"/>
    <col min="11795" max="11795" width="9.7109375" style="14" customWidth="1"/>
    <col min="11796" max="11796" width="12" style="14" customWidth="1"/>
    <col min="11797" max="11797" width="11.28515625" style="14" customWidth="1"/>
    <col min="11798" max="12035" width="9.140625" style="14"/>
    <col min="12036" max="12036" width="5.7109375" style="14" customWidth="1"/>
    <col min="12037" max="12037" width="13.140625" style="14" customWidth="1"/>
    <col min="12038" max="12038" width="12.28515625" style="14" customWidth="1"/>
    <col min="12039" max="12039" width="8.85546875" style="14" customWidth="1"/>
    <col min="12040" max="12040" width="10.85546875" style="14" customWidth="1"/>
    <col min="12041" max="12041" width="2.85546875" style="14" customWidth="1"/>
    <col min="12042" max="12042" width="12.140625" style="14" customWidth="1"/>
    <col min="12043" max="12043" width="10.140625" style="14" customWidth="1"/>
    <col min="12044" max="12044" width="11.7109375" style="14" customWidth="1"/>
    <col min="12045" max="12045" width="11.42578125" style="14" customWidth="1"/>
    <col min="12046" max="12046" width="12.7109375" style="14" customWidth="1"/>
    <col min="12047" max="12047" width="11.42578125" style="14" customWidth="1"/>
    <col min="12048" max="12048" width="10.7109375" style="14" customWidth="1"/>
    <col min="12049" max="12049" width="10.5703125" style="14" customWidth="1"/>
    <col min="12050" max="12050" width="11.28515625" style="14" customWidth="1"/>
    <col min="12051" max="12051" width="9.7109375" style="14" customWidth="1"/>
    <col min="12052" max="12052" width="12" style="14" customWidth="1"/>
    <col min="12053" max="12053" width="11.28515625" style="14" customWidth="1"/>
    <col min="12054" max="12291" width="9.140625" style="14"/>
    <col min="12292" max="12292" width="5.7109375" style="14" customWidth="1"/>
    <col min="12293" max="12293" width="13.140625" style="14" customWidth="1"/>
    <col min="12294" max="12294" width="12.28515625" style="14" customWidth="1"/>
    <col min="12295" max="12295" width="8.85546875" style="14" customWidth="1"/>
    <col min="12296" max="12296" width="10.85546875" style="14" customWidth="1"/>
    <col min="12297" max="12297" width="2.85546875" style="14" customWidth="1"/>
    <col min="12298" max="12298" width="12.140625" style="14" customWidth="1"/>
    <col min="12299" max="12299" width="10.140625" style="14" customWidth="1"/>
    <col min="12300" max="12300" width="11.7109375" style="14" customWidth="1"/>
    <col min="12301" max="12301" width="11.42578125" style="14" customWidth="1"/>
    <col min="12302" max="12302" width="12.7109375" style="14" customWidth="1"/>
    <col min="12303" max="12303" width="11.42578125" style="14" customWidth="1"/>
    <col min="12304" max="12304" width="10.7109375" style="14" customWidth="1"/>
    <col min="12305" max="12305" width="10.5703125" style="14" customWidth="1"/>
    <col min="12306" max="12306" width="11.28515625" style="14" customWidth="1"/>
    <col min="12307" max="12307" width="9.7109375" style="14" customWidth="1"/>
    <col min="12308" max="12308" width="12" style="14" customWidth="1"/>
    <col min="12309" max="12309" width="11.28515625" style="14" customWidth="1"/>
    <col min="12310" max="12547" width="9.140625" style="14"/>
    <col min="12548" max="12548" width="5.7109375" style="14" customWidth="1"/>
    <col min="12549" max="12549" width="13.140625" style="14" customWidth="1"/>
    <col min="12550" max="12550" width="12.28515625" style="14" customWidth="1"/>
    <col min="12551" max="12551" width="8.85546875" style="14" customWidth="1"/>
    <col min="12552" max="12552" width="10.85546875" style="14" customWidth="1"/>
    <col min="12553" max="12553" width="2.85546875" style="14" customWidth="1"/>
    <col min="12554" max="12554" width="12.140625" style="14" customWidth="1"/>
    <col min="12555" max="12555" width="10.140625" style="14" customWidth="1"/>
    <col min="12556" max="12556" width="11.7109375" style="14" customWidth="1"/>
    <col min="12557" max="12557" width="11.42578125" style="14" customWidth="1"/>
    <col min="12558" max="12558" width="12.7109375" style="14" customWidth="1"/>
    <col min="12559" max="12559" width="11.42578125" style="14" customWidth="1"/>
    <col min="12560" max="12560" width="10.7109375" style="14" customWidth="1"/>
    <col min="12561" max="12561" width="10.5703125" style="14" customWidth="1"/>
    <col min="12562" max="12562" width="11.28515625" style="14" customWidth="1"/>
    <col min="12563" max="12563" width="9.7109375" style="14" customWidth="1"/>
    <col min="12564" max="12564" width="12" style="14" customWidth="1"/>
    <col min="12565" max="12565" width="11.28515625" style="14" customWidth="1"/>
    <col min="12566" max="12803" width="9.140625" style="14"/>
    <col min="12804" max="12804" width="5.7109375" style="14" customWidth="1"/>
    <col min="12805" max="12805" width="13.140625" style="14" customWidth="1"/>
    <col min="12806" max="12806" width="12.28515625" style="14" customWidth="1"/>
    <col min="12807" max="12807" width="8.85546875" style="14" customWidth="1"/>
    <col min="12808" max="12808" width="10.85546875" style="14" customWidth="1"/>
    <col min="12809" max="12809" width="2.85546875" style="14" customWidth="1"/>
    <col min="12810" max="12810" width="12.140625" style="14" customWidth="1"/>
    <col min="12811" max="12811" width="10.140625" style="14" customWidth="1"/>
    <col min="12812" max="12812" width="11.7109375" style="14" customWidth="1"/>
    <col min="12813" max="12813" width="11.42578125" style="14" customWidth="1"/>
    <col min="12814" max="12814" width="12.7109375" style="14" customWidth="1"/>
    <col min="12815" max="12815" width="11.42578125" style="14" customWidth="1"/>
    <col min="12816" max="12816" width="10.7109375" style="14" customWidth="1"/>
    <col min="12817" max="12817" width="10.5703125" style="14" customWidth="1"/>
    <col min="12818" max="12818" width="11.28515625" style="14" customWidth="1"/>
    <col min="12819" max="12819" width="9.7109375" style="14" customWidth="1"/>
    <col min="12820" max="12820" width="12" style="14" customWidth="1"/>
    <col min="12821" max="12821" width="11.28515625" style="14" customWidth="1"/>
    <col min="12822" max="13059" width="9.140625" style="14"/>
    <col min="13060" max="13060" width="5.7109375" style="14" customWidth="1"/>
    <col min="13061" max="13061" width="13.140625" style="14" customWidth="1"/>
    <col min="13062" max="13062" width="12.28515625" style="14" customWidth="1"/>
    <col min="13063" max="13063" width="8.85546875" style="14" customWidth="1"/>
    <col min="13064" max="13064" width="10.85546875" style="14" customWidth="1"/>
    <col min="13065" max="13065" width="2.85546875" style="14" customWidth="1"/>
    <col min="13066" max="13066" width="12.140625" style="14" customWidth="1"/>
    <col min="13067" max="13067" width="10.140625" style="14" customWidth="1"/>
    <col min="13068" max="13068" width="11.7109375" style="14" customWidth="1"/>
    <col min="13069" max="13069" width="11.42578125" style="14" customWidth="1"/>
    <col min="13070" max="13070" width="12.7109375" style="14" customWidth="1"/>
    <col min="13071" max="13071" width="11.42578125" style="14" customWidth="1"/>
    <col min="13072" max="13072" width="10.7109375" style="14" customWidth="1"/>
    <col min="13073" max="13073" width="10.5703125" style="14" customWidth="1"/>
    <col min="13074" max="13074" width="11.28515625" style="14" customWidth="1"/>
    <col min="13075" max="13075" width="9.7109375" style="14" customWidth="1"/>
    <col min="13076" max="13076" width="12" style="14" customWidth="1"/>
    <col min="13077" max="13077" width="11.28515625" style="14" customWidth="1"/>
    <col min="13078" max="13315" width="9.140625" style="14"/>
    <col min="13316" max="13316" width="5.7109375" style="14" customWidth="1"/>
    <col min="13317" max="13317" width="13.140625" style="14" customWidth="1"/>
    <col min="13318" max="13318" width="12.28515625" style="14" customWidth="1"/>
    <col min="13319" max="13319" width="8.85546875" style="14" customWidth="1"/>
    <col min="13320" max="13320" width="10.85546875" style="14" customWidth="1"/>
    <col min="13321" max="13321" width="2.85546875" style="14" customWidth="1"/>
    <col min="13322" max="13322" width="12.140625" style="14" customWidth="1"/>
    <col min="13323" max="13323" width="10.140625" style="14" customWidth="1"/>
    <col min="13324" max="13324" width="11.7109375" style="14" customWidth="1"/>
    <col min="13325" max="13325" width="11.42578125" style="14" customWidth="1"/>
    <col min="13326" max="13326" width="12.7109375" style="14" customWidth="1"/>
    <col min="13327" max="13327" width="11.42578125" style="14" customWidth="1"/>
    <col min="13328" max="13328" width="10.7109375" style="14" customWidth="1"/>
    <col min="13329" max="13329" width="10.5703125" style="14" customWidth="1"/>
    <col min="13330" max="13330" width="11.28515625" style="14" customWidth="1"/>
    <col min="13331" max="13331" width="9.7109375" style="14" customWidth="1"/>
    <col min="13332" max="13332" width="12" style="14" customWidth="1"/>
    <col min="13333" max="13333" width="11.28515625" style="14" customWidth="1"/>
    <col min="13334" max="13571" width="9.140625" style="14"/>
    <col min="13572" max="13572" width="5.7109375" style="14" customWidth="1"/>
    <col min="13573" max="13573" width="13.140625" style="14" customWidth="1"/>
    <col min="13574" max="13574" width="12.28515625" style="14" customWidth="1"/>
    <col min="13575" max="13575" width="8.85546875" style="14" customWidth="1"/>
    <col min="13576" max="13576" width="10.85546875" style="14" customWidth="1"/>
    <col min="13577" max="13577" width="2.85546875" style="14" customWidth="1"/>
    <col min="13578" max="13578" width="12.140625" style="14" customWidth="1"/>
    <col min="13579" max="13579" width="10.140625" style="14" customWidth="1"/>
    <col min="13580" max="13580" width="11.7109375" style="14" customWidth="1"/>
    <col min="13581" max="13581" width="11.42578125" style="14" customWidth="1"/>
    <col min="13582" max="13582" width="12.7109375" style="14" customWidth="1"/>
    <col min="13583" max="13583" width="11.42578125" style="14" customWidth="1"/>
    <col min="13584" max="13584" width="10.7109375" style="14" customWidth="1"/>
    <col min="13585" max="13585" width="10.5703125" style="14" customWidth="1"/>
    <col min="13586" max="13586" width="11.28515625" style="14" customWidth="1"/>
    <col min="13587" max="13587" width="9.7109375" style="14" customWidth="1"/>
    <col min="13588" max="13588" width="12" style="14" customWidth="1"/>
    <col min="13589" max="13589" width="11.28515625" style="14" customWidth="1"/>
    <col min="13590" max="13827" width="9.140625" style="14"/>
    <col min="13828" max="13828" width="5.7109375" style="14" customWidth="1"/>
    <col min="13829" max="13829" width="13.140625" style="14" customWidth="1"/>
    <col min="13830" max="13830" width="12.28515625" style="14" customWidth="1"/>
    <col min="13831" max="13831" width="8.85546875" style="14" customWidth="1"/>
    <col min="13832" max="13832" width="10.85546875" style="14" customWidth="1"/>
    <col min="13833" max="13833" width="2.85546875" style="14" customWidth="1"/>
    <col min="13834" max="13834" width="12.140625" style="14" customWidth="1"/>
    <col min="13835" max="13835" width="10.140625" style="14" customWidth="1"/>
    <col min="13836" max="13836" width="11.7109375" style="14" customWidth="1"/>
    <col min="13837" max="13837" width="11.42578125" style="14" customWidth="1"/>
    <col min="13838" max="13838" width="12.7109375" style="14" customWidth="1"/>
    <col min="13839" max="13839" width="11.42578125" style="14" customWidth="1"/>
    <col min="13840" max="13840" width="10.7109375" style="14" customWidth="1"/>
    <col min="13841" max="13841" width="10.5703125" style="14" customWidth="1"/>
    <col min="13842" max="13842" width="11.28515625" style="14" customWidth="1"/>
    <col min="13843" max="13843" width="9.7109375" style="14" customWidth="1"/>
    <col min="13844" max="13844" width="12" style="14" customWidth="1"/>
    <col min="13845" max="13845" width="11.28515625" style="14" customWidth="1"/>
    <col min="13846" max="14083" width="9.140625" style="14"/>
    <col min="14084" max="14084" width="5.7109375" style="14" customWidth="1"/>
    <col min="14085" max="14085" width="13.140625" style="14" customWidth="1"/>
    <col min="14086" max="14086" width="12.28515625" style="14" customWidth="1"/>
    <col min="14087" max="14087" width="8.85546875" style="14" customWidth="1"/>
    <col min="14088" max="14088" width="10.85546875" style="14" customWidth="1"/>
    <col min="14089" max="14089" width="2.85546875" style="14" customWidth="1"/>
    <col min="14090" max="14090" width="12.140625" style="14" customWidth="1"/>
    <col min="14091" max="14091" width="10.140625" style="14" customWidth="1"/>
    <col min="14092" max="14092" width="11.7109375" style="14" customWidth="1"/>
    <col min="14093" max="14093" width="11.42578125" style="14" customWidth="1"/>
    <col min="14094" max="14094" width="12.7109375" style="14" customWidth="1"/>
    <col min="14095" max="14095" width="11.42578125" style="14" customWidth="1"/>
    <col min="14096" max="14096" width="10.7109375" style="14" customWidth="1"/>
    <col min="14097" max="14097" width="10.5703125" style="14" customWidth="1"/>
    <col min="14098" max="14098" width="11.28515625" style="14" customWidth="1"/>
    <col min="14099" max="14099" width="9.7109375" style="14" customWidth="1"/>
    <col min="14100" max="14100" width="12" style="14" customWidth="1"/>
    <col min="14101" max="14101" width="11.28515625" style="14" customWidth="1"/>
    <col min="14102" max="14339" width="9.140625" style="14"/>
    <col min="14340" max="14340" width="5.7109375" style="14" customWidth="1"/>
    <col min="14341" max="14341" width="13.140625" style="14" customWidth="1"/>
    <col min="14342" max="14342" width="12.28515625" style="14" customWidth="1"/>
    <col min="14343" max="14343" width="8.85546875" style="14" customWidth="1"/>
    <col min="14344" max="14344" width="10.85546875" style="14" customWidth="1"/>
    <col min="14345" max="14345" width="2.85546875" style="14" customWidth="1"/>
    <col min="14346" max="14346" width="12.140625" style="14" customWidth="1"/>
    <col min="14347" max="14347" width="10.140625" style="14" customWidth="1"/>
    <col min="14348" max="14348" width="11.7109375" style="14" customWidth="1"/>
    <col min="14349" max="14349" width="11.42578125" style="14" customWidth="1"/>
    <col min="14350" max="14350" width="12.7109375" style="14" customWidth="1"/>
    <col min="14351" max="14351" width="11.42578125" style="14" customWidth="1"/>
    <col min="14352" max="14352" width="10.7109375" style="14" customWidth="1"/>
    <col min="14353" max="14353" width="10.5703125" style="14" customWidth="1"/>
    <col min="14354" max="14354" width="11.28515625" style="14" customWidth="1"/>
    <col min="14355" max="14355" width="9.7109375" style="14" customWidth="1"/>
    <col min="14356" max="14356" width="12" style="14" customWidth="1"/>
    <col min="14357" max="14357" width="11.28515625" style="14" customWidth="1"/>
    <col min="14358" max="14595" width="9.140625" style="14"/>
    <col min="14596" max="14596" width="5.7109375" style="14" customWidth="1"/>
    <col min="14597" max="14597" width="13.140625" style="14" customWidth="1"/>
    <col min="14598" max="14598" width="12.28515625" style="14" customWidth="1"/>
    <col min="14599" max="14599" width="8.85546875" style="14" customWidth="1"/>
    <col min="14600" max="14600" width="10.85546875" style="14" customWidth="1"/>
    <col min="14601" max="14601" width="2.85546875" style="14" customWidth="1"/>
    <col min="14602" max="14602" width="12.140625" style="14" customWidth="1"/>
    <col min="14603" max="14603" width="10.140625" style="14" customWidth="1"/>
    <col min="14604" max="14604" width="11.7109375" style="14" customWidth="1"/>
    <col min="14605" max="14605" width="11.42578125" style="14" customWidth="1"/>
    <col min="14606" max="14606" width="12.7109375" style="14" customWidth="1"/>
    <col min="14607" max="14607" width="11.42578125" style="14" customWidth="1"/>
    <col min="14608" max="14608" width="10.7109375" style="14" customWidth="1"/>
    <col min="14609" max="14609" width="10.5703125" style="14" customWidth="1"/>
    <col min="14610" max="14610" width="11.28515625" style="14" customWidth="1"/>
    <col min="14611" max="14611" width="9.7109375" style="14" customWidth="1"/>
    <col min="14612" max="14612" width="12" style="14" customWidth="1"/>
    <col min="14613" max="14613" width="11.28515625" style="14" customWidth="1"/>
    <col min="14614" max="14851" width="9.140625" style="14"/>
    <col min="14852" max="14852" width="5.7109375" style="14" customWidth="1"/>
    <col min="14853" max="14853" width="13.140625" style="14" customWidth="1"/>
    <col min="14854" max="14854" width="12.28515625" style="14" customWidth="1"/>
    <col min="14855" max="14855" width="8.85546875" style="14" customWidth="1"/>
    <col min="14856" max="14856" width="10.85546875" style="14" customWidth="1"/>
    <col min="14857" max="14857" width="2.85546875" style="14" customWidth="1"/>
    <col min="14858" max="14858" width="12.140625" style="14" customWidth="1"/>
    <col min="14859" max="14859" width="10.140625" style="14" customWidth="1"/>
    <col min="14860" max="14860" width="11.7109375" style="14" customWidth="1"/>
    <col min="14861" max="14861" width="11.42578125" style="14" customWidth="1"/>
    <col min="14862" max="14862" width="12.7109375" style="14" customWidth="1"/>
    <col min="14863" max="14863" width="11.42578125" style="14" customWidth="1"/>
    <col min="14864" max="14864" width="10.7109375" style="14" customWidth="1"/>
    <col min="14865" max="14865" width="10.5703125" style="14" customWidth="1"/>
    <col min="14866" max="14866" width="11.28515625" style="14" customWidth="1"/>
    <col min="14867" max="14867" width="9.7109375" style="14" customWidth="1"/>
    <col min="14868" max="14868" width="12" style="14" customWidth="1"/>
    <col min="14869" max="14869" width="11.28515625" style="14" customWidth="1"/>
    <col min="14870" max="15107" width="9.140625" style="14"/>
    <col min="15108" max="15108" width="5.7109375" style="14" customWidth="1"/>
    <col min="15109" max="15109" width="13.140625" style="14" customWidth="1"/>
    <col min="15110" max="15110" width="12.28515625" style="14" customWidth="1"/>
    <col min="15111" max="15111" width="8.85546875" style="14" customWidth="1"/>
    <col min="15112" max="15112" width="10.85546875" style="14" customWidth="1"/>
    <col min="15113" max="15113" width="2.85546875" style="14" customWidth="1"/>
    <col min="15114" max="15114" width="12.140625" style="14" customWidth="1"/>
    <col min="15115" max="15115" width="10.140625" style="14" customWidth="1"/>
    <col min="15116" max="15116" width="11.7109375" style="14" customWidth="1"/>
    <col min="15117" max="15117" width="11.42578125" style="14" customWidth="1"/>
    <col min="15118" max="15118" width="12.7109375" style="14" customWidth="1"/>
    <col min="15119" max="15119" width="11.42578125" style="14" customWidth="1"/>
    <col min="15120" max="15120" width="10.7109375" style="14" customWidth="1"/>
    <col min="15121" max="15121" width="10.5703125" style="14" customWidth="1"/>
    <col min="15122" max="15122" width="11.28515625" style="14" customWidth="1"/>
    <col min="15123" max="15123" width="9.7109375" style="14" customWidth="1"/>
    <col min="15124" max="15124" width="12" style="14" customWidth="1"/>
    <col min="15125" max="15125" width="11.28515625" style="14" customWidth="1"/>
    <col min="15126" max="15363" width="9.140625" style="14"/>
    <col min="15364" max="15364" width="5.7109375" style="14" customWidth="1"/>
    <col min="15365" max="15365" width="13.140625" style="14" customWidth="1"/>
    <col min="15366" max="15366" width="12.28515625" style="14" customWidth="1"/>
    <col min="15367" max="15367" width="8.85546875" style="14" customWidth="1"/>
    <col min="15368" max="15368" width="10.85546875" style="14" customWidth="1"/>
    <col min="15369" max="15369" width="2.85546875" style="14" customWidth="1"/>
    <col min="15370" max="15370" width="12.140625" style="14" customWidth="1"/>
    <col min="15371" max="15371" width="10.140625" style="14" customWidth="1"/>
    <col min="15372" max="15372" width="11.7109375" style="14" customWidth="1"/>
    <col min="15373" max="15373" width="11.42578125" style="14" customWidth="1"/>
    <col min="15374" max="15374" width="12.7109375" style="14" customWidth="1"/>
    <col min="15375" max="15375" width="11.42578125" style="14" customWidth="1"/>
    <col min="15376" max="15376" width="10.7109375" style="14" customWidth="1"/>
    <col min="15377" max="15377" width="10.5703125" style="14" customWidth="1"/>
    <col min="15378" max="15378" width="11.28515625" style="14" customWidth="1"/>
    <col min="15379" max="15379" width="9.7109375" style="14" customWidth="1"/>
    <col min="15380" max="15380" width="12" style="14" customWidth="1"/>
    <col min="15381" max="15381" width="11.28515625" style="14" customWidth="1"/>
    <col min="15382" max="15619" width="9.140625" style="14"/>
    <col min="15620" max="15620" width="5.7109375" style="14" customWidth="1"/>
    <col min="15621" max="15621" width="13.140625" style="14" customWidth="1"/>
    <col min="15622" max="15622" width="12.28515625" style="14" customWidth="1"/>
    <col min="15623" max="15623" width="8.85546875" style="14" customWidth="1"/>
    <col min="15624" max="15624" width="10.85546875" style="14" customWidth="1"/>
    <col min="15625" max="15625" width="2.85546875" style="14" customWidth="1"/>
    <col min="15626" max="15626" width="12.140625" style="14" customWidth="1"/>
    <col min="15627" max="15627" width="10.140625" style="14" customWidth="1"/>
    <col min="15628" max="15628" width="11.7109375" style="14" customWidth="1"/>
    <col min="15629" max="15629" width="11.42578125" style="14" customWidth="1"/>
    <col min="15630" max="15630" width="12.7109375" style="14" customWidth="1"/>
    <col min="15631" max="15631" width="11.42578125" style="14" customWidth="1"/>
    <col min="15632" max="15632" width="10.7109375" style="14" customWidth="1"/>
    <col min="15633" max="15633" width="10.5703125" style="14" customWidth="1"/>
    <col min="15634" max="15634" width="11.28515625" style="14" customWidth="1"/>
    <col min="15635" max="15635" width="9.7109375" style="14" customWidth="1"/>
    <col min="15636" max="15636" width="12" style="14" customWidth="1"/>
    <col min="15637" max="15637" width="11.28515625" style="14" customWidth="1"/>
    <col min="15638" max="15875" width="9.140625" style="14"/>
    <col min="15876" max="15876" width="5.7109375" style="14" customWidth="1"/>
    <col min="15877" max="15877" width="13.140625" style="14" customWidth="1"/>
    <col min="15878" max="15878" width="12.28515625" style="14" customWidth="1"/>
    <col min="15879" max="15879" width="8.85546875" style="14" customWidth="1"/>
    <col min="15880" max="15880" width="10.85546875" style="14" customWidth="1"/>
    <col min="15881" max="15881" width="2.85546875" style="14" customWidth="1"/>
    <col min="15882" max="15882" width="12.140625" style="14" customWidth="1"/>
    <col min="15883" max="15883" width="10.140625" style="14" customWidth="1"/>
    <col min="15884" max="15884" width="11.7109375" style="14" customWidth="1"/>
    <col min="15885" max="15885" width="11.42578125" style="14" customWidth="1"/>
    <col min="15886" max="15886" width="12.7109375" style="14" customWidth="1"/>
    <col min="15887" max="15887" width="11.42578125" style="14" customWidth="1"/>
    <col min="15888" max="15888" width="10.7109375" style="14" customWidth="1"/>
    <col min="15889" max="15889" width="10.5703125" style="14" customWidth="1"/>
    <col min="15890" max="15890" width="11.28515625" style="14" customWidth="1"/>
    <col min="15891" max="15891" width="9.7109375" style="14" customWidth="1"/>
    <col min="15892" max="15892" width="12" style="14" customWidth="1"/>
    <col min="15893" max="15893" width="11.28515625" style="14" customWidth="1"/>
    <col min="15894" max="16131" width="9.140625" style="14"/>
    <col min="16132" max="16132" width="5.7109375" style="14" customWidth="1"/>
    <col min="16133" max="16133" width="13.140625" style="14" customWidth="1"/>
    <col min="16134" max="16134" width="12.28515625" style="14" customWidth="1"/>
    <col min="16135" max="16135" width="8.85546875" style="14" customWidth="1"/>
    <col min="16136" max="16136" width="10.85546875" style="14" customWidth="1"/>
    <col min="16137" max="16137" width="2.85546875" style="14" customWidth="1"/>
    <col min="16138" max="16138" width="12.140625" style="14" customWidth="1"/>
    <col min="16139" max="16139" width="10.140625" style="14" customWidth="1"/>
    <col min="16140" max="16140" width="11.7109375" style="14" customWidth="1"/>
    <col min="16141" max="16141" width="11.42578125" style="14" customWidth="1"/>
    <col min="16142" max="16142" width="12.7109375" style="14" customWidth="1"/>
    <col min="16143" max="16143" width="11.42578125" style="14" customWidth="1"/>
    <col min="16144" max="16144" width="10.7109375" style="14" customWidth="1"/>
    <col min="16145" max="16145" width="10.5703125" style="14" customWidth="1"/>
    <col min="16146" max="16146" width="11.28515625" style="14" customWidth="1"/>
    <col min="16147" max="16147" width="9.7109375" style="14" customWidth="1"/>
    <col min="16148" max="16148" width="12" style="14" customWidth="1"/>
    <col min="16149" max="16149" width="11.28515625" style="14" customWidth="1"/>
    <col min="16150" max="16384" width="9.140625" style="14"/>
  </cols>
  <sheetData>
    <row r="1" spans="4:19" ht="12.75" thickBot="1" x14ac:dyDescent="0.25"/>
    <row r="2" spans="4:19" ht="12" customHeight="1" thickBot="1" x14ac:dyDescent="0.25">
      <c r="Q2" s="633" t="s">
        <v>0</v>
      </c>
      <c r="R2" s="634"/>
      <c r="S2" s="635"/>
    </row>
    <row r="3" spans="4:19" ht="13.5" thickBot="1" x14ac:dyDescent="0.25">
      <c r="I3" s="636" t="s">
        <v>1</v>
      </c>
      <c r="J3" s="637"/>
      <c r="K3" s="637"/>
      <c r="L3" s="637"/>
      <c r="M3" s="637"/>
      <c r="N3" s="637"/>
      <c r="O3" s="638"/>
      <c r="Q3" s="611">
        <f>'AGUILERA CONTRERAS LUIS GERARDO'!Q3</f>
        <v>45</v>
      </c>
      <c r="R3" s="639"/>
      <c r="S3" s="612"/>
    </row>
    <row r="4" spans="4:19" ht="13.5" thickBot="1" x14ac:dyDescent="0.25">
      <c r="I4" s="640" t="s">
        <v>2</v>
      </c>
      <c r="J4" s="641"/>
      <c r="K4" s="641"/>
      <c r="L4" s="641"/>
      <c r="M4" s="641"/>
      <c r="N4" s="641"/>
      <c r="O4" s="642"/>
      <c r="Q4" s="18"/>
      <c r="R4" s="18"/>
      <c r="S4" s="18"/>
    </row>
    <row r="5" spans="4:19" ht="13.5" thickBot="1" x14ac:dyDescent="0.25">
      <c r="I5" s="643" t="s">
        <v>3</v>
      </c>
      <c r="J5" s="644"/>
      <c r="K5" s="644"/>
      <c r="L5" s="644"/>
      <c r="M5" s="644"/>
      <c r="N5" s="644"/>
      <c r="O5" s="645"/>
      <c r="Q5" s="611" t="s">
        <v>4</v>
      </c>
      <c r="R5" s="639"/>
      <c r="S5" s="612"/>
    </row>
    <row r="6" spans="4:19" ht="13.5" thickBot="1" x14ac:dyDescent="0.25">
      <c r="I6" s="650" t="s">
        <v>5</v>
      </c>
      <c r="J6" s="651"/>
      <c r="K6" s="651"/>
      <c r="L6" s="651"/>
      <c r="M6" s="651"/>
      <c r="N6" s="651"/>
      <c r="O6" s="652"/>
      <c r="Q6" s="653">
        <f>+'RAMIREZ BAUTISTA ADRIAN'!Q6+1</f>
        <v>122</v>
      </c>
      <c r="R6" s="654"/>
      <c r="S6" s="655"/>
    </row>
    <row r="7" spans="4:19" ht="9" customHeight="1" x14ac:dyDescent="0.2"/>
    <row r="8" spans="4:19" ht="6.75" customHeight="1" thickBot="1" x14ac:dyDescent="0.25"/>
    <row r="9" spans="4:19" ht="13.5" thickBot="1" x14ac:dyDescent="0.25">
      <c r="I9" s="611" t="s">
        <v>6</v>
      </c>
      <c r="J9" s="639"/>
      <c r="K9" s="639"/>
      <c r="L9" s="639"/>
      <c r="M9" s="639"/>
      <c r="N9" s="639"/>
      <c r="O9" s="612"/>
    </row>
    <row r="10" spans="4:19" ht="11.25" customHeight="1" thickBot="1" x14ac:dyDescent="0.25"/>
    <row r="11" spans="4:19" ht="12.75" x14ac:dyDescent="0.2">
      <c r="D11" s="1" t="s">
        <v>7</v>
      </c>
      <c r="E11" s="2" t="s">
        <v>296</v>
      </c>
      <c r="F11" s="2"/>
      <c r="G11" s="2"/>
      <c r="H11" s="2"/>
      <c r="I11" s="2"/>
      <c r="J11" s="2"/>
      <c r="K11" s="3" t="s">
        <v>8</v>
      </c>
      <c r="L11" s="656" t="str">
        <f>'REYES LARA DANTE'!L11</f>
        <v>SEMANA #45 PERIODO DEL 27 de oct AL 02 de nov DEL 2025</v>
      </c>
      <c r="M11" s="656"/>
      <c r="N11" s="656"/>
      <c r="O11" s="656"/>
      <c r="P11" s="656"/>
      <c r="Q11" s="656"/>
      <c r="R11" s="656"/>
      <c r="S11" s="659"/>
    </row>
    <row r="12" spans="4:19" ht="12.75" x14ac:dyDescent="0.2">
      <c r="D12" s="4" t="s">
        <v>9</v>
      </c>
      <c r="E12" s="624" t="s">
        <v>58</v>
      </c>
      <c r="F12" s="624"/>
      <c r="G12" s="5"/>
      <c r="H12" s="130"/>
      <c r="I12" s="130"/>
      <c r="J12" s="130"/>
      <c r="K12" s="130"/>
      <c r="L12" s="130"/>
      <c r="M12" s="130"/>
      <c r="N12" s="130"/>
      <c r="O12" s="130"/>
      <c r="P12" s="130"/>
      <c r="Q12" s="130"/>
      <c r="R12" s="130"/>
      <c r="S12" s="256"/>
    </row>
    <row r="13" spans="4:19" ht="9.75" customHeight="1" x14ac:dyDescent="0.2">
      <c r="D13" s="623"/>
      <c r="E13" s="624"/>
      <c r="F13" s="130"/>
      <c r="G13" s="130"/>
      <c r="H13" s="130"/>
      <c r="I13" s="130"/>
      <c r="J13" s="130"/>
      <c r="K13" s="130"/>
      <c r="L13" s="130"/>
      <c r="M13" s="130"/>
      <c r="N13" s="130"/>
      <c r="O13" s="130"/>
      <c r="P13" s="130"/>
      <c r="Q13" s="130"/>
      <c r="R13" s="130"/>
      <c r="S13" s="256"/>
    </row>
    <row r="14" spans="4:19" ht="12.75" x14ac:dyDescent="0.2">
      <c r="D14" s="625" t="s">
        <v>10</v>
      </c>
      <c r="E14" s="626"/>
      <c r="F14" s="130">
        <v>105625</v>
      </c>
      <c r="G14" s="130"/>
      <c r="H14" s="130"/>
      <c r="I14" s="6" t="s">
        <v>11</v>
      </c>
      <c r="J14" s="6"/>
      <c r="K14" s="130"/>
      <c r="L14" s="130"/>
      <c r="M14" s="130"/>
      <c r="N14" s="130"/>
      <c r="O14" s="6" t="s">
        <v>12</v>
      </c>
      <c r="P14" s="7"/>
      <c r="Q14" s="7"/>
      <c r="R14" s="7"/>
      <c r="S14" s="8"/>
    </row>
    <row r="15" spans="4:19" ht="12.75" x14ac:dyDescent="0.2">
      <c r="D15" s="625" t="s">
        <v>13</v>
      </c>
      <c r="E15" s="626"/>
      <c r="F15" s="130">
        <v>106338</v>
      </c>
      <c r="G15" s="130"/>
      <c r="H15" s="130"/>
      <c r="I15" s="6" t="s">
        <v>14</v>
      </c>
      <c r="J15" s="6"/>
      <c r="K15" s="130"/>
      <c r="L15" s="130"/>
      <c r="M15" s="130"/>
      <c r="N15" s="130"/>
      <c r="O15" s="6" t="s">
        <v>15</v>
      </c>
      <c r="P15" s="130"/>
      <c r="Q15" s="130"/>
      <c r="R15" s="130"/>
      <c r="S15" s="256"/>
    </row>
    <row r="16" spans="4:19" ht="13.5" thickBot="1" x14ac:dyDescent="0.25">
      <c r="D16" s="627" t="s">
        <v>16</v>
      </c>
      <c r="E16" s="628"/>
      <c r="F16" s="257">
        <f>SUM(J19:J33)</f>
        <v>0</v>
      </c>
      <c r="G16" s="257"/>
      <c r="H16" s="257"/>
      <c r="I16" s="9" t="s">
        <v>17</v>
      </c>
      <c r="J16" s="257">
        <f>SUM(K19:K33)</f>
        <v>0</v>
      </c>
      <c r="K16" s="257"/>
      <c r="L16" s="257"/>
      <c r="M16" s="257"/>
      <c r="N16" s="257"/>
      <c r="O16" s="9" t="s">
        <v>18</v>
      </c>
      <c r="P16" s="10" t="e">
        <f>+F16/J16</f>
        <v>#DIV/0!</v>
      </c>
      <c r="Q16" s="257"/>
      <c r="R16" s="257"/>
      <c r="S16" s="258"/>
    </row>
    <row r="17" spans="3:22" ht="7.5" customHeight="1" thickBot="1" x14ac:dyDescent="0.25"/>
    <row r="18" spans="3:22" ht="33" customHeight="1" thickBot="1" x14ac:dyDescent="0.25">
      <c r="C18" s="243" t="s">
        <v>19</v>
      </c>
      <c r="D18" s="33" t="s">
        <v>20</v>
      </c>
      <c r="E18" s="34" t="s">
        <v>21</v>
      </c>
      <c r="F18" s="34" t="s">
        <v>22</v>
      </c>
      <c r="G18" s="34" t="s">
        <v>23</v>
      </c>
      <c r="H18" s="34" t="s">
        <v>24</v>
      </c>
      <c r="I18" s="34" t="s">
        <v>25</v>
      </c>
      <c r="J18" s="34" t="s">
        <v>26</v>
      </c>
      <c r="K18" s="34" t="s">
        <v>27</v>
      </c>
      <c r="L18" s="34" t="s">
        <v>28</v>
      </c>
      <c r="M18" s="34" t="s">
        <v>285</v>
      </c>
      <c r="N18" s="34" t="s">
        <v>29</v>
      </c>
      <c r="O18" s="34" t="s">
        <v>30</v>
      </c>
      <c r="P18" s="33" t="s">
        <v>31</v>
      </c>
      <c r="Q18" s="34" t="s">
        <v>219</v>
      </c>
      <c r="R18" s="34" t="s">
        <v>184</v>
      </c>
      <c r="S18" s="34" t="s">
        <v>33</v>
      </c>
      <c r="T18" s="35" t="s">
        <v>220</v>
      </c>
      <c r="U18" s="448" t="s">
        <v>351</v>
      </c>
      <c r="V18" s="305" t="s">
        <v>355</v>
      </c>
    </row>
    <row r="19" spans="3:22" x14ac:dyDescent="0.2">
      <c r="C19" s="176"/>
      <c r="D19" s="43"/>
      <c r="E19" s="42"/>
      <c r="F19" s="42"/>
      <c r="G19" s="43"/>
      <c r="H19" s="24" t="b">
        <f>IF(G19=1,[2]KILOMETRAJE!C$4,IF(G19=2,[2]KILOMETRAJE!C$5,IF(G19=3,[2]KILOMETRAJE!C$6,IF(G19=4,[2]KILOMETRAJE!C$7,IF(G19=5,[2]KILOMETRAJE!C$8,IF(G19=6,[2]KILOMETRAJE!C$9,IF(G19=7,[2]KILOMETRAJE!C$10,IF(G19=8,[2]KILOMETRAJE!C$11,IF(G19=9,[2]KILOMETRAJE!C$12,IF(G19=10,[2]KILOMETRAJE!C$13,IF(G19=11,[2]KILOMETRAJE!C$14,IF(G19=12,[2]KILOMETRAJE!C$15,IF(G19=13,[2]KILOMETRAJE!C$16,IF(G19=14,[2]KILOMETRAJE!C$17,IF(G19=15,[2]KILOMETRAJE!C$18,IF(G19=16,[2]KILOMETRAJE!C$19,IF(G19=17,[2]KILOMETRAJE!C$20,IF(G19=18,[2]KILOMETRAJE!C$21,IF(G19=19,[2]KILOMETRAJE!C$22,IF(G19=20,[2]KILOMETRAJE!C$23,IF(G19=21,[2]KILOMETRAJE!C$24,IF(G19=22,[2]KILOMETRAJE!C$25,IF(G19=23,[2]KILOMETRAJE!C$26,IF(G19=24,[2]KILOMETRAJE!C$27,IF(G19=25,[2]KILOMETRAJE!C$28,IF(G19=26,[2]KILOMETRAJE!C$29,IF(G19=27,[2]KILOMETRAJE!C$30,IF(G19=28,[2]KILOMETRAJE!C$31,IF(G19=29,[2]KILOMETRAJE!C$32,IF(G19=30,[2]KILOMETRAJE!C$33,IF(G19=31,[2]KILOMETRAJE!C$34,IF(G19=32,[2]KILOMETRAJE!C$35,IF(G19=33,[2]KILOMETRAJE!C$36,IF(G19=34,[2]KILOMETRAJE!C$37,IF(G19=35,[2]KILOMETRAJE!C$38,IF(G19=36,[2]KILOMETRAJE!C$39,IF(G19=37,[2]KILOMETRAJE!C$40,IF(G19=38,[2]KILOMETRAJE!C$41,IF(G19=39,[2]KILOMETRAJE!C$42,IF(G19=40,[2]KILOMETRAJE!C$43,IF(G19=41,[2]KILOMETRAJE!C$44,IF(G19=42,[2]KILOMETRAJE!C$45,IF(G19=43,[2]KILOMETRAJE!C$46,IF(G19=44,[2]KILOMETRAJE!C$47,IF(G19=45,[2]KILOMETRAJE!C$48,IF(G19=46,[2]KILOMETRAJE!C$49,IF(G19=47,[2]KILOMETRAJE!C$50,IF(G19=48,[2]KILOMETRAJE!C$51,IF(G19=49,[2]KILOMETRAJE!C$52,IF(G19=50,[2]KILOMETRAJE!C$53,IF(G19=51,[2]KILOMETRAJE!C$54,IF(G19=52,[2]KILOMETRAJE!C$55,IF(G19=53,[2]KILOMETRAJE!C$56,IF(G19=54,[2]KILOMETRAJE!C$57,IF(G19=55,[2]KILOMETRAJE!C$58,IF(G19=56,[2]KILOMETRAJE!C$59,IF(G19=57,[2]KILOMETRAJE!C$60,IF(G19=58,[2]KILOMETRAJE!C$61,IF(G19=59,[2]KILOMETRAJE!C$62,IF(G19=60,[2]KILOMETRAJE!C$63,IF(G19=61,[2]KILOMETRAJE!C$64,IF(G19=62,[2]KILOMETRAJE!C$65,IF(G19=63,[2]KILOMETRAJE!C$66)))))))))))))))))))))))))))))))))))))))))))))))))))))))))))))))</f>
        <v>0</v>
      </c>
      <c r="I19" s="24" t="b">
        <f>IF(G19=1,[2]KILOMETRAJE!E$4,IF(G19=2,[2]KILOMETRAJE!E$5,IF(G19=3,[2]KILOMETRAJE!E$6,IF(G19=4,[2]KILOMETRAJE!E$7,IF(G19=5,[2]KILOMETRAJE!E$8,IF(G19=6,[2]KILOMETRAJE!E$9,IF(G19=7,[2]KILOMETRAJE!E$10,IF(G19=8,[2]KILOMETRAJE!E$11,IF(G19=9,[2]KILOMETRAJE!E$12,IF(G19=10,[2]KILOMETRAJE!E$13,IF(G19=11,[2]KILOMETRAJE!E$14,IF(G19=12,[2]KILOMETRAJE!E$15,IF(G19=13,[2]KILOMETRAJE!E$16,IF(G19=14,[2]KILOMETRAJE!E$17,IF(G19=15,[2]KILOMETRAJE!E$18,IF(G19=16,[2]KILOMETRAJE!E$19,IF(G19=17,[2]KILOMETRAJE!E$20,IF(G19=18,[2]KILOMETRAJE!E$21,IF(G19=19,[2]KILOMETRAJE!E$22,IF(G19=20,[2]KILOMETRAJE!E$23,IF(G19=21,[2]KILOMETRAJE!E$24,IF(G19=22,[2]KILOMETRAJE!E$25,IF(G19=23,[2]KILOMETRAJE!E$26,IF(G19=24,[2]KILOMETRAJE!E$27,IF(G19=25,[2]KILOMETRAJE!E$28,IF(G19=26,[2]KILOMETRAJE!E$29,IF(G19=27,[2]KILOMETRAJE!E$30,IF(G19=28,[2]KILOMETRAJE!E$31,IF(G19=29,[2]KILOMETRAJE!E$32,IF(G19=30,[2]KILOMETRAJE!E$33,IF(G19=31,[2]KILOMETRAJE!E$34,IF(G19=32,[2]KILOMETRAJE!E$35,IF(G19=33,[2]KILOMETRAJE!E$36,IF(G19=34,[2]KILOMETRAJE!E$37,IF(G19=35,[2]KILOMETRAJE!E$38,IF(G19=36,[2]KILOMETRAJE!E$39,IF(G19=37,[2]KILOMETRAJE!E$40,IF(G19=38,[2]KILOMETRAJE!E$41,IF(G19=39,[2]KILOMETRAJE!E$42,IF(G19=40,[2]KILOMETRAJE!E$43,IF(G19=41,[2]KILOMETRAJE!E$44,IF(G19=42,[2]KILOMETRAJE!E$45,IF(G19=43,[2]KILOMETRAJE!E$46,IF(G19=44,[2]KILOMETRAJE!E$47,IF(G19=45,[2]KILOMETRAJE!E$48,IF(G19=46,[2]KILOMETRAJE!E$49,IF(G19=47,[2]KILOMETRAJE!E$50,IF(G19=48,[2]KILOMETRAJE!E$51,IF(G19=49,[2]KILOMETRAJE!E$52,IF(G19=50,[2]KILOMETRAJE!E$53,IF(G19=51,[2]KILOMETRAJE!E$54,IF(G19=52,[2]KILOMETRAJE!E$55,IF(G19=53,[2]KILOMETRAJE!E$56,IF(G19=54,[2]KILOMETRAJE!E$57,IF(G19=55,[2]KILOMETRAJE!E$58,IF(G19=56,[2]KILOMETRAJE!E$59,IF(G19=57,[2]KILOMETRAJE!E$60,IF(G19=58,[2]KILOMETRAJE!E$61,IF(G19=59,[2]KILOMETRAJE!E$62,IF(G19=60,[2]KILOMETRAJE!E$63,IF(G19=61,[2]KILOMETRAJE!E$64,IF(G19=62,[2]KILOMETRAJE!E$65,IF(G19=63,[2]KILOMETRAJE!E$66)))))))))))))))))))))))))))))))))))))))))))))))))))))))))))))))</f>
        <v>0</v>
      </c>
      <c r="J19" s="51" t="b">
        <f>IF(G19=1,[2]KILOMETRAJE!G$4,IF(G19=2,[2]KILOMETRAJE!G$5,IF(G19=3,[2]KILOMETRAJE!G$6,IF(G19=4,[2]KILOMETRAJE!G$7,IF(G19=5,[2]KILOMETRAJE!G$8,IF(G19=6,[2]KILOMETRAJE!G$9,IF(G19=7,[2]KILOMETRAJE!G$10,IF(G19=8,[2]KILOMETRAJE!G$11,IF(G19=9,[2]KILOMETRAJE!G$12,IF(G19=10,[2]KILOMETRAJE!G$13,IF(G19=11,[2]KILOMETRAJE!G$14,IF(G19=12,[2]KILOMETRAJE!G$15,IF(G19=13,[2]KILOMETRAJE!G$16,IF(G19=14,[2]KILOMETRAJE!G$17,IF(G19=15,[2]KILOMETRAJE!G$18,IF(G19=16,[2]KILOMETRAJE!G$19,IF(G19=17,[2]KILOMETRAJE!G$20,IF(G19=18,[2]KILOMETRAJE!G$21,IF(G19=19,[2]KILOMETRAJE!G$22,IF(G19=20,[2]KILOMETRAJE!G$23,IF(G19=21,[2]KILOMETRAJE!G$24,IF(G19=22,[2]KILOMETRAJE!G$25,IF(G19=23,[2]KILOMETRAJE!G$26,IF(G19=24,[2]KILOMETRAJE!G$27,IF(G19=25,[2]KILOMETRAJE!G$28,IF(G19=26,[2]KILOMETRAJE!G$29,IF(G19=27,[2]KILOMETRAJE!G$30,IF(G19=28,[2]KILOMETRAJE!G$31,IF(G19=29,[2]KILOMETRAJE!G$32,IF(G19=30,[2]KILOMETRAJE!G$33,IF(G19=31,[2]KILOMETRAJE!G$34,IF(G19=32,[2]KILOMETRAJE!G$35,IF(G19=33,[2]KILOMETRAJE!G$36,IF(G19=34,[2]KILOMETRAJE!G$37,IF(G19=35,[2]KILOMETRAJE!G$38,IF(G19=36,[2]KILOMETRAJE!G$39,IF(G19=37,[2]KILOMETRAJE!G$40,IF(G19=38,[2]KILOMETRAJE!G$41,IF(G19=39,[2]KILOMETRAJE!G$42,IF(G19=40,[2]KILOMETRAJE!G$43,IF(G19=41,[2]KILOMETRAJE!G$44,IF(G19=42,[2]KILOMETRAJE!G$45,IF(G19=43,[2]KILOMETRAJE!G$46,IF(G19=44,[2]KILOMETRAJE!G$47,IF(G19=45,[2]KILOMETRAJE!G$48,IF(G19=46,[2]KILOMETRAJE!G$49,IF(G19=47,[2]KILOMETRAJE!G$50,IF(G19=48,[2]KILOMETRAJE!G$51,IF(G19=49,[2]KILOMETRAJE!G$52,IF(G19=50,[2]KILOMETRAJE!G$53,IF(G19=51,[2]KILOMETRAJE!G$54,IF(G19=52,[2]KILOMETRAJE!G$55,IF(G19=53,[2]KILOMETRAJE!G$56,IF(G19=54,[2]KILOMETRAJE!G$57,IF(G19=55,[2]KILOMETRAJE!G$58,IF(G19=56,[2]KILOMETRAJE!G$59,IF(G19=57,[2]KILOMETRAJE!G$60,IF(G19=58,[2]KILOMETRAJE!G$61,IF(G19=59,[2]KILOMETRAJE!G$62,IF(G19=60,[2]KILOMETRAJE!G$63,IF(G19=61,[2]KILOMETRAJE!G$64,IF(G19=62,[2]KILOMETRAJE!G$65,IF(G19=63,[2]KILOMETRAJE!G$66)))))))))))))))))))))))))))))))))))))))))))))))))))))))))))))))</f>
        <v>0</v>
      </c>
      <c r="K19" s="24"/>
      <c r="L19" s="44"/>
      <c r="M19" s="348"/>
      <c r="N19" s="24"/>
      <c r="O19" s="24"/>
      <c r="P19" s="24"/>
      <c r="Q19" s="45">
        <f t="shared" ref="Q19:Q20" si="0">((((IF(N19=1,((J19)*0.29333)))+(IF(N19=2,((J19)*0.146666)))+(IF(N19=3,((J19)*0.146666)))))+(IF(N19=4,((J19-40)*0.29333)))+(IF(N19=5,((J19-50)*0.29333)))+(IF(N19=6,((J19-90)*0.29333))))</f>
        <v>0</v>
      </c>
      <c r="R19" s="191"/>
      <c r="S19" s="52"/>
      <c r="T19" s="455"/>
      <c r="U19" s="24"/>
      <c r="V19" s="79"/>
    </row>
    <row r="20" spans="3:22" ht="12" customHeight="1" thickBot="1" x14ac:dyDescent="0.25">
      <c r="C20" s="101"/>
      <c r="D20" s="62"/>
      <c r="E20" s="25"/>
      <c r="F20" s="25"/>
      <c r="G20" s="62"/>
      <c r="H20" s="27" t="b">
        <f>IF(G20=1,[2]KILOMETRAJE!C$4,IF(G20=2,[2]KILOMETRAJE!C$5,IF(G20=3,[2]KILOMETRAJE!C$6,IF(G20=4,[2]KILOMETRAJE!C$7,IF(G20=5,[2]KILOMETRAJE!C$8,IF(G20=6,[2]KILOMETRAJE!C$9,IF(G20=7,[2]KILOMETRAJE!C$10,IF(G20=8,[2]KILOMETRAJE!C$11,IF(G20=9,[2]KILOMETRAJE!C$12,IF(G20=10,[2]KILOMETRAJE!C$13,IF(G20=11,[2]KILOMETRAJE!C$14,IF(G20=12,[2]KILOMETRAJE!C$15,IF(G20=13,[2]KILOMETRAJE!C$16,IF(G20=14,[2]KILOMETRAJE!C$17,IF(G20=15,[2]KILOMETRAJE!C$18,IF(G20=16,[2]KILOMETRAJE!C$19,IF(G20=17,[2]KILOMETRAJE!C$20,IF(G20=18,[2]KILOMETRAJE!C$21,IF(G20=19,[2]KILOMETRAJE!C$22,IF(G20=20,[2]KILOMETRAJE!C$23,IF(G20=21,[2]KILOMETRAJE!C$24,IF(G20=22,[2]KILOMETRAJE!C$25,IF(G20=23,[2]KILOMETRAJE!C$26,IF(G20=24,[2]KILOMETRAJE!C$27,IF(G20=25,[2]KILOMETRAJE!C$28,IF(G20=26,[2]KILOMETRAJE!C$29,IF(G20=27,[2]KILOMETRAJE!C$30,IF(G20=28,[2]KILOMETRAJE!C$31,IF(G20=29,[2]KILOMETRAJE!C$32,IF(G20=30,[2]KILOMETRAJE!C$33,IF(G20=31,[2]KILOMETRAJE!C$34,IF(G20=32,[2]KILOMETRAJE!C$35,IF(G20=33,[2]KILOMETRAJE!C$36,IF(G20=34,[2]KILOMETRAJE!C$37,IF(G20=35,[2]KILOMETRAJE!C$38,IF(G20=36,[2]KILOMETRAJE!C$39,IF(G20=37,[2]KILOMETRAJE!C$40,IF(G20=38,[2]KILOMETRAJE!C$41,IF(G20=39,[2]KILOMETRAJE!C$42,IF(G20=40,[2]KILOMETRAJE!C$43,IF(G20=41,[2]KILOMETRAJE!C$44,IF(G20=42,[2]KILOMETRAJE!C$45,IF(G20=43,[2]KILOMETRAJE!C$46,IF(G20=44,[2]KILOMETRAJE!C$47,IF(G20=45,[2]KILOMETRAJE!C$48,IF(G20=46,[2]KILOMETRAJE!C$49,IF(G20=47,[2]KILOMETRAJE!C$50,IF(G20=48,[2]KILOMETRAJE!C$51,IF(G20=49,[2]KILOMETRAJE!C$52,IF(G20=50,[2]KILOMETRAJE!C$53,IF(G20=51,[2]KILOMETRAJE!C$54,IF(G20=52,[2]KILOMETRAJE!C$55,IF(G20=53,[2]KILOMETRAJE!C$56,IF(G20=54,[2]KILOMETRAJE!C$57,IF(G20=55,[2]KILOMETRAJE!C$58,IF(G20=56,[2]KILOMETRAJE!C$59,IF(G20=57,[2]KILOMETRAJE!C$60,IF(G20=58,[2]KILOMETRAJE!C$61,IF(G20=59,[2]KILOMETRAJE!C$62,IF(G20=60,[2]KILOMETRAJE!C$63,IF(G20=61,[2]KILOMETRAJE!C$64,IF(G20=62,[2]KILOMETRAJE!C$65,IF(G20=63,[2]KILOMETRAJE!C$66)))))))))))))))))))))))))))))))))))))))))))))))))))))))))))))))</f>
        <v>0</v>
      </c>
      <c r="I20" s="27" t="b">
        <f>IF(G20=1,[2]KILOMETRAJE!E$4,IF(G20=2,[2]KILOMETRAJE!E$5,IF(G20=3,[2]KILOMETRAJE!E$6,IF(G20=4,[2]KILOMETRAJE!E$7,IF(G20=5,[2]KILOMETRAJE!E$8,IF(G20=6,[2]KILOMETRAJE!E$9,IF(G20=7,[2]KILOMETRAJE!E$10,IF(G20=8,[2]KILOMETRAJE!E$11,IF(G20=9,[2]KILOMETRAJE!E$12,IF(G20=10,[2]KILOMETRAJE!E$13,IF(G20=11,[2]KILOMETRAJE!E$14,IF(G20=12,[2]KILOMETRAJE!E$15,IF(G20=13,[2]KILOMETRAJE!E$16,IF(G20=14,[2]KILOMETRAJE!E$17,IF(G20=15,[2]KILOMETRAJE!E$18,IF(G20=16,[2]KILOMETRAJE!E$19,IF(G20=17,[2]KILOMETRAJE!E$20,IF(G20=18,[2]KILOMETRAJE!E$21,IF(G20=19,[2]KILOMETRAJE!E$22,IF(G20=20,[2]KILOMETRAJE!E$23,IF(G20=21,[2]KILOMETRAJE!E$24,IF(G20=22,[2]KILOMETRAJE!E$25,IF(G20=23,[2]KILOMETRAJE!E$26,IF(G20=24,[2]KILOMETRAJE!E$27,IF(G20=25,[2]KILOMETRAJE!E$28,IF(G20=26,[2]KILOMETRAJE!E$29,IF(G20=27,[2]KILOMETRAJE!E$30,IF(G20=28,[2]KILOMETRAJE!E$31,IF(G20=29,[2]KILOMETRAJE!E$32,IF(G20=30,[2]KILOMETRAJE!E$33,IF(G20=31,[2]KILOMETRAJE!E$34,IF(G20=32,[2]KILOMETRAJE!E$35,IF(G20=33,[2]KILOMETRAJE!E$36,IF(G20=34,[2]KILOMETRAJE!E$37,IF(G20=35,[2]KILOMETRAJE!E$38,IF(G20=36,[2]KILOMETRAJE!E$39,IF(G20=37,[2]KILOMETRAJE!E$40,IF(G20=38,[2]KILOMETRAJE!E$41,IF(G20=39,[2]KILOMETRAJE!E$42,IF(G20=40,[2]KILOMETRAJE!E$43,IF(G20=41,[2]KILOMETRAJE!E$44,IF(G20=42,[2]KILOMETRAJE!E$45,IF(G20=43,[2]KILOMETRAJE!E$46,IF(G20=44,[2]KILOMETRAJE!E$47,IF(G20=45,[2]KILOMETRAJE!E$48,IF(G20=46,[2]KILOMETRAJE!E$49,IF(G20=47,[2]KILOMETRAJE!E$50,IF(G20=48,[2]KILOMETRAJE!E$51,IF(G20=49,[2]KILOMETRAJE!E$52,IF(G20=50,[2]KILOMETRAJE!E$53,IF(G20=51,[2]KILOMETRAJE!E$54,IF(G20=52,[2]KILOMETRAJE!E$55,IF(G20=53,[2]KILOMETRAJE!E$56,IF(G20=54,[2]KILOMETRAJE!E$57,IF(G20=55,[2]KILOMETRAJE!E$58,IF(G20=56,[2]KILOMETRAJE!E$59,IF(G20=57,[2]KILOMETRAJE!E$60,IF(G20=58,[2]KILOMETRAJE!E$61,IF(G20=59,[2]KILOMETRAJE!E$62,IF(G20=60,[2]KILOMETRAJE!E$63,IF(G20=61,[2]KILOMETRAJE!E$64,IF(G20=62,[2]KILOMETRAJE!E$65,IF(G20=63,[2]KILOMETRAJE!E$66)))))))))))))))))))))))))))))))))))))))))))))))))))))))))))))))</f>
        <v>0</v>
      </c>
      <c r="J20" s="31" t="b">
        <f>IF(G20=1,[2]KILOMETRAJE!G$4,IF(G20=2,[2]KILOMETRAJE!G$5,IF(G20=3,[2]KILOMETRAJE!G$6,IF(G20=4,[2]KILOMETRAJE!G$7,IF(G20=5,[2]KILOMETRAJE!G$8,IF(G20=6,[2]KILOMETRAJE!G$9,IF(G20=7,[2]KILOMETRAJE!G$10,IF(G20=8,[2]KILOMETRAJE!G$11,IF(G20=9,[2]KILOMETRAJE!G$12,IF(G20=10,[2]KILOMETRAJE!G$13,IF(G20=11,[2]KILOMETRAJE!G$14,IF(G20=12,[2]KILOMETRAJE!G$15,IF(G20=13,[2]KILOMETRAJE!G$16,IF(G20=14,[2]KILOMETRAJE!G$17,IF(G20=15,[2]KILOMETRAJE!G$18,IF(G20=16,[2]KILOMETRAJE!G$19,IF(G20=17,[2]KILOMETRAJE!G$20,IF(G20=18,[2]KILOMETRAJE!G$21,IF(G20=19,[2]KILOMETRAJE!G$22,IF(G20=20,[2]KILOMETRAJE!G$23,IF(G20=21,[2]KILOMETRAJE!G$24,IF(G20=22,[2]KILOMETRAJE!G$25,IF(G20=23,[2]KILOMETRAJE!G$26,IF(G20=24,[2]KILOMETRAJE!G$27,IF(G20=25,[2]KILOMETRAJE!G$28,IF(G20=26,[2]KILOMETRAJE!G$29,IF(G20=27,[2]KILOMETRAJE!G$30,IF(G20=28,[2]KILOMETRAJE!G$31,IF(G20=29,[2]KILOMETRAJE!G$32,IF(G20=30,[2]KILOMETRAJE!G$33,IF(G20=31,[2]KILOMETRAJE!G$34,IF(G20=32,[2]KILOMETRAJE!G$35,IF(G20=33,[2]KILOMETRAJE!G$36,IF(G20=34,[2]KILOMETRAJE!G$37,IF(G20=35,[2]KILOMETRAJE!G$38,IF(G20=36,[2]KILOMETRAJE!G$39,IF(G20=37,[2]KILOMETRAJE!G$40,IF(G20=38,[2]KILOMETRAJE!G$41,IF(G20=39,[2]KILOMETRAJE!G$42,IF(G20=40,[2]KILOMETRAJE!G$43,IF(G20=41,[2]KILOMETRAJE!G$44,IF(G20=42,[2]KILOMETRAJE!G$45,IF(G20=43,[2]KILOMETRAJE!G$46,IF(G20=44,[2]KILOMETRAJE!G$47,IF(G20=45,[2]KILOMETRAJE!G$48,IF(G20=46,[2]KILOMETRAJE!G$49,IF(G20=47,[2]KILOMETRAJE!G$50,IF(G20=48,[2]KILOMETRAJE!G$51,IF(G20=49,[2]KILOMETRAJE!G$52,IF(G20=50,[2]KILOMETRAJE!G$53,IF(G20=51,[2]KILOMETRAJE!G$54,IF(G20=52,[2]KILOMETRAJE!G$55,IF(G20=53,[2]KILOMETRAJE!G$56,IF(G20=54,[2]KILOMETRAJE!G$57,IF(G20=55,[2]KILOMETRAJE!G$58,IF(G20=56,[2]KILOMETRAJE!G$59,IF(G20=57,[2]KILOMETRAJE!G$60,IF(G20=58,[2]KILOMETRAJE!G$61,IF(G20=59,[2]KILOMETRAJE!G$62,IF(G20=60,[2]KILOMETRAJE!G$63,IF(G20=61,[2]KILOMETRAJE!G$64,IF(G20=62,[2]KILOMETRAJE!G$65,IF(G20=63,[2]KILOMETRAJE!G$66)))))))))))))))))))))))))))))))))))))))))))))))))))))))))))))))</f>
        <v>0</v>
      </c>
      <c r="K20" s="27"/>
      <c r="L20" s="28" t="e">
        <f>SUM(J19:J20)/K20</f>
        <v>#DIV/0!</v>
      </c>
      <c r="M20" s="349"/>
      <c r="N20" s="27"/>
      <c r="O20" s="27"/>
      <c r="P20" s="27"/>
      <c r="Q20" s="29">
        <f t="shared" si="0"/>
        <v>0</v>
      </c>
      <c r="R20" s="190" t="e">
        <f>+LOOKUP(P41,UNIDADES!B$3:B$59,UNIDADES!C$3:C$59)</f>
        <v>#N/A</v>
      </c>
      <c r="S20" s="19" t="e">
        <f>+((SUM(J19:J20))/R20)-K20</f>
        <v>#N/A</v>
      </c>
      <c r="T20" s="456" t="e">
        <f>+S20*14.85</f>
        <v>#N/A</v>
      </c>
      <c r="U20" s="27"/>
      <c r="V20" s="55"/>
    </row>
    <row r="21" spans="3:22" x14ac:dyDescent="0.2">
      <c r="C21" s="176"/>
      <c r="D21" s="43"/>
      <c r="E21" s="42"/>
      <c r="F21" s="42"/>
      <c r="G21" s="43"/>
      <c r="H21" s="65"/>
      <c r="I21" s="24"/>
      <c r="J21" s="51"/>
      <c r="K21" s="24"/>
      <c r="L21" s="44"/>
      <c r="M21" s="348"/>
      <c r="N21" s="24"/>
      <c r="O21" s="33"/>
      <c r="P21" s="24"/>
      <c r="Q21" s="45"/>
      <c r="R21" s="191"/>
      <c r="S21" s="52"/>
      <c r="T21" s="455"/>
      <c r="U21" s="24"/>
      <c r="V21" s="79"/>
    </row>
    <row r="22" spans="3:22" ht="13.5" customHeight="1" thickBot="1" x14ac:dyDescent="0.25">
      <c r="C22" s="240"/>
      <c r="D22" s="57"/>
      <c r="E22" s="58"/>
      <c r="F22" s="58"/>
      <c r="G22" s="57"/>
      <c r="H22" s="482"/>
      <c r="I22" s="319"/>
      <c r="J22" s="334"/>
      <c r="K22" s="319"/>
      <c r="L22" s="335"/>
      <c r="M22" s="349"/>
      <c r="N22" s="319"/>
      <c r="O22" s="27"/>
      <c r="P22" s="319"/>
      <c r="Q22" s="336"/>
      <c r="R22" s="337"/>
      <c r="S22" s="338"/>
      <c r="T22" s="470"/>
      <c r="U22" s="27"/>
      <c r="V22" s="55"/>
    </row>
    <row r="23" spans="3:22" x14ac:dyDescent="0.2">
      <c r="C23" s="176"/>
      <c r="D23" s="43"/>
      <c r="E23" s="42"/>
      <c r="F23" s="42"/>
      <c r="G23" s="43"/>
      <c r="H23" s="65"/>
      <c r="I23" s="24"/>
      <c r="J23" s="51"/>
      <c r="K23" s="24"/>
      <c r="L23" s="44"/>
      <c r="M23" s="348"/>
      <c r="N23" s="24"/>
      <c r="O23" s="33"/>
      <c r="P23" s="24"/>
      <c r="Q23" s="45"/>
      <c r="R23" s="191"/>
      <c r="S23" s="52"/>
      <c r="T23" s="455"/>
      <c r="U23" s="24"/>
      <c r="V23" s="79"/>
    </row>
    <row r="24" spans="3:22" ht="12.75" thickBot="1" x14ac:dyDescent="0.25">
      <c r="C24" s="101"/>
      <c r="D24" s="62"/>
      <c r="E24" s="25"/>
      <c r="F24" s="25"/>
      <c r="G24" s="62"/>
      <c r="H24" s="482"/>
      <c r="I24" s="319"/>
      <c r="J24" s="334"/>
      <c r="K24" s="319"/>
      <c r="L24" s="335"/>
      <c r="M24" s="349"/>
      <c r="N24" s="319"/>
      <c r="O24" s="27"/>
      <c r="P24" s="319"/>
      <c r="Q24" s="336"/>
      <c r="R24" s="337"/>
      <c r="S24" s="338"/>
      <c r="T24" s="470"/>
      <c r="U24" s="27"/>
      <c r="V24" s="55"/>
    </row>
    <row r="25" spans="3:22" x14ac:dyDescent="0.2">
      <c r="C25" s="238"/>
      <c r="D25" s="36"/>
      <c r="E25" s="37"/>
      <c r="F25" s="37"/>
      <c r="G25" s="36"/>
      <c r="H25" s="38"/>
      <c r="I25" s="38"/>
      <c r="J25" s="39"/>
      <c r="K25" s="38"/>
      <c r="L25" s="48"/>
      <c r="M25" s="350"/>
      <c r="N25" s="38"/>
      <c r="O25" s="38"/>
      <c r="P25" s="38"/>
      <c r="Q25" s="40"/>
      <c r="R25" s="192"/>
      <c r="S25" s="186"/>
      <c r="T25" s="458"/>
      <c r="U25" s="38"/>
      <c r="V25" s="38"/>
    </row>
    <row r="26" spans="3:22" ht="12" customHeight="1" thickBot="1" x14ac:dyDescent="0.25">
      <c r="C26" s="101"/>
      <c r="D26" s="62"/>
      <c r="E26" s="25"/>
      <c r="F26" s="25"/>
      <c r="G26" s="62"/>
      <c r="H26" s="27"/>
      <c r="I26" s="27"/>
      <c r="J26" s="31"/>
      <c r="K26" s="27"/>
      <c r="L26" s="28"/>
      <c r="M26" s="349"/>
      <c r="N26" s="27"/>
      <c r="O26" s="27"/>
      <c r="P26" s="27"/>
      <c r="Q26" s="29"/>
      <c r="R26" s="190"/>
      <c r="S26" s="19"/>
      <c r="T26" s="456"/>
      <c r="U26" s="11"/>
      <c r="V26" s="11"/>
    </row>
    <row r="27" spans="3:22" ht="12" customHeight="1" x14ac:dyDescent="0.2">
      <c r="C27" s="261"/>
      <c r="D27" s="96"/>
      <c r="E27" s="97"/>
      <c r="F27" s="97"/>
      <c r="G27" s="96"/>
      <c r="H27" s="98"/>
      <c r="I27" s="98"/>
      <c r="J27" s="99"/>
      <c r="K27" s="98"/>
      <c r="L27" s="100"/>
      <c r="M27" s="377"/>
      <c r="N27" s="98"/>
      <c r="O27" s="98"/>
      <c r="P27" s="98"/>
      <c r="Q27" s="93"/>
      <c r="R27" s="233"/>
      <c r="S27" s="196"/>
      <c r="T27" s="469"/>
      <c r="U27" s="11"/>
      <c r="V27" s="11"/>
    </row>
    <row r="28" spans="3:22" x14ac:dyDescent="0.2">
      <c r="C28" s="344"/>
      <c r="D28" s="61"/>
      <c r="E28" s="12"/>
      <c r="F28" s="12"/>
      <c r="G28" s="61"/>
      <c r="H28" s="11"/>
      <c r="I28" s="11"/>
      <c r="J28" s="22"/>
      <c r="K28" s="11"/>
      <c r="L28" s="23"/>
      <c r="M28" s="371"/>
      <c r="N28" s="11"/>
      <c r="O28" s="11"/>
      <c r="P28" s="11"/>
      <c r="Q28" s="13"/>
      <c r="R28" s="339"/>
      <c r="S28" s="195"/>
      <c r="T28" s="457"/>
      <c r="U28" s="11"/>
      <c r="V28" s="11"/>
    </row>
    <row r="29" spans="3:22" x14ac:dyDescent="0.2">
      <c r="C29" s="380"/>
      <c r="D29" s="61"/>
      <c r="E29" s="12"/>
      <c r="F29" s="12"/>
      <c r="G29" s="61"/>
      <c r="H29" s="11"/>
      <c r="I29" s="11"/>
      <c r="J29" s="22"/>
      <c r="K29" s="11"/>
      <c r="L29" s="23"/>
      <c r="M29" s="371"/>
      <c r="N29" s="11"/>
      <c r="O29" s="11"/>
      <c r="P29" s="11"/>
      <c r="Q29" s="13"/>
      <c r="R29" s="339"/>
      <c r="S29" s="195"/>
      <c r="T29" s="457"/>
      <c r="U29" s="11"/>
      <c r="V29" s="11"/>
    </row>
    <row r="30" spans="3:22" x14ac:dyDescent="0.2">
      <c r="C30" s="380"/>
      <c r="D30" s="61"/>
      <c r="E30" s="12"/>
      <c r="F30" s="12"/>
      <c r="G30" s="61"/>
      <c r="H30" s="11"/>
      <c r="I30" s="11"/>
      <c r="J30" s="22"/>
      <c r="K30" s="11"/>
      <c r="L30" s="23"/>
      <c r="M30" s="371"/>
      <c r="N30" s="11"/>
      <c r="O30" s="11"/>
      <c r="P30" s="11"/>
      <c r="Q30" s="13"/>
      <c r="R30" s="339"/>
      <c r="S30" s="195"/>
      <c r="T30" s="457"/>
      <c r="U30" s="11"/>
      <c r="V30" s="11"/>
    </row>
    <row r="31" spans="3:22" x14ac:dyDescent="0.2">
      <c r="C31" s="380"/>
      <c r="D31" s="61"/>
      <c r="E31" s="12"/>
      <c r="F31" s="12"/>
      <c r="G31" s="61"/>
      <c r="H31" s="11"/>
      <c r="I31" s="11"/>
      <c r="J31" s="22"/>
      <c r="K31" s="11"/>
      <c r="L31" s="23"/>
      <c r="M31" s="371"/>
      <c r="N31" s="11"/>
      <c r="O31" s="11"/>
      <c r="P31" s="11"/>
      <c r="Q31" s="13"/>
      <c r="R31" s="339"/>
      <c r="S31" s="195"/>
      <c r="T31" s="457"/>
      <c r="U31" s="11"/>
      <c r="V31" s="11"/>
    </row>
    <row r="32" spans="3:22" x14ac:dyDescent="0.2">
      <c r="C32" s="380"/>
      <c r="D32" s="61"/>
      <c r="E32" s="12"/>
      <c r="F32" s="12"/>
      <c r="G32" s="61"/>
      <c r="H32" s="11"/>
      <c r="I32" s="11"/>
      <c r="J32" s="22"/>
      <c r="K32" s="11"/>
      <c r="L32" s="23"/>
      <c r="M32" s="371"/>
      <c r="N32" s="11"/>
      <c r="O32" s="11"/>
      <c r="P32" s="11"/>
      <c r="Q32" s="13"/>
      <c r="R32" s="339"/>
      <c r="S32" s="195"/>
      <c r="T32" s="457"/>
      <c r="U32" s="11"/>
      <c r="V32" s="11"/>
    </row>
    <row r="33" spans="3:23" ht="12.75" thickBot="1" x14ac:dyDescent="0.25">
      <c r="C33" s="240"/>
      <c r="D33" s="57"/>
      <c r="E33" s="58"/>
      <c r="F33" s="58"/>
      <c r="G33" s="57"/>
      <c r="H33" s="319"/>
      <c r="I33" s="319"/>
      <c r="J33" s="334"/>
      <c r="K33" s="319"/>
      <c r="L33" s="335"/>
      <c r="M33" s="385"/>
      <c r="N33" s="319"/>
      <c r="O33" s="319"/>
      <c r="P33" s="319"/>
      <c r="Q33" s="336"/>
      <c r="R33" s="337"/>
      <c r="S33" s="338"/>
      <c r="T33" s="470"/>
      <c r="U33" s="477"/>
      <c r="V33" s="477"/>
    </row>
    <row r="34" spans="3:23" ht="12.75" thickBot="1" x14ac:dyDescent="0.25">
      <c r="I34" s="15"/>
      <c r="R34" s="193"/>
      <c r="S34" s="15"/>
    </row>
    <row r="35" spans="3:23" x14ac:dyDescent="0.2">
      <c r="E35" s="629" t="s">
        <v>34</v>
      </c>
      <c r="F35" s="646">
        <f>+'AGUILAR ESQUIVEL CARLOS'!F34</f>
        <v>45957</v>
      </c>
      <c r="G35" s="647"/>
      <c r="H35" s="16">
        <f>+F35+1</f>
        <v>45958</v>
      </c>
      <c r="I35" s="16">
        <f>+H35+1</f>
        <v>45959</v>
      </c>
      <c r="J35" s="16">
        <f>+I35+1</f>
        <v>45960</v>
      </c>
      <c r="K35" s="16">
        <f>+J35+1</f>
        <v>45961</v>
      </c>
      <c r="L35" s="16">
        <f>+K35+2</f>
        <v>45963</v>
      </c>
      <c r="M35" s="17" t="s">
        <v>35</v>
      </c>
    </row>
    <row r="36" spans="3:23" ht="12.75" thickBot="1" x14ac:dyDescent="0.25">
      <c r="E36" s="630"/>
      <c r="F36" s="648"/>
      <c r="G36" s="649"/>
      <c r="H36" s="29"/>
      <c r="I36" s="29"/>
      <c r="J36" s="29"/>
      <c r="K36" s="29"/>
      <c r="L36" s="29"/>
      <c r="M36" s="30">
        <f>SUM(F36:L36)</f>
        <v>0</v>
      </c>
    </row>
    <row r="37" spans="3:23" ht="12.75" thickBot="1" x14ac:dyDescent="0.25">
      <c r="I37" s="15"/>
    </row>
    <row r="38" spans="3:23" ht="13.5" thickBot="1" x14ac:dyDescent="0.25">
      <c r="C38" s="608" t="s">
        <v>36</v>
      </c>
      <c r="D38" s="609"/>
      <c r="E38" s="609"/>
      <c r="F38" s="609"/>
      <c r="G38" s="610"/>
      <c r="I38" s="620" t="s">
        <v>37</v>
      </c>
      <c r="J38" s="621"/>
      <c r="K38" s="621"/>
      <c r="L38" s="622"/>
      <c r="M38" s="298"/>
      <c r="O38" s="611" t="s">
        <v>38</v>
      </c>
      <c r="P38" s="612"/>
      <c r="Q38" s="293" t="e">
        <f>+F50-L47</f>
        <v>#N/A</v>
      </c>
      <c r="R38" s="294"/>
      <c r="S38" s="295"/>
    </row>
    <row r="39" spans="3:23" ht="12.75" thickBot="1" x14ac:dyDescent="0.25">
      <c r="C39" s="616" t="s">
        <v>219</v>
      </c>
      <c r="D39" s="617"/>
      <c r="E39" s="617"/>
      <c r="F39" s="618">
        <f>SUM(Q18:Q34)</f>
        <v>0</v>
      </c>
      <c r="G39" s="619"/>
      <c r="I39" s="114" t="s">
        <v>125</v>
      </c>
      <c r="J39" s="68" t="s">
        <v>126</v>
      </c>
      <c r="K39" s="68" t="s">
        <v>70</v>
      </c>
      <c r="L39" s="115" t="s">
        <v>127</v>
      </c>
      <c r="M39" s="346"/>
    </row>
    <row r="40" spans="3:23" ht="13.5" customHeight="1" thickBot="1" x14ac:dyDescent="0.25">
      <c r="C40" s="602" t="s">
        <v>220</v>
      </c>
      <c r="D40" s="603"/>
      <c r="E40" s="603"/>
      <c r="F40" s="604" t="e">
        <f>SUM(T18:T34)</f>
        <v>#N/A</v>
      </c>
      <c r="G40" s="605"/>
      <c r="I40" s="328"/>
      <c r="J40" s="329"/>
      <c r="K40" s="43"/>
      <c r="L40" s="119"/>
      <c r="M40" s="346"/>
      <c r="O40" s="74" t="s">
        <v>70</v>
      </c>
      <c r="P40" s="75" t="s">
        <v>71</v>
      </c>
      <c r="Q40" s="76" t="s">
        <v>72</v>
      </c>
      <c r="R40" s="64"/>
      <c r="S40" s="77" t="s">
        <v>73</v>
      </c>
      <c r="T40" s="75" t="s">
        <v>74</v>
      </c>
      <c r="U40" s="74" t="s">
        <v>145</v>
      </c>
      <c r="V40" s="75" t="s">
        <v>146</v>
      </c>
      <c r="W40" s="75" t="s">
        <v>284</v>
      </c>
    </row>
    <row r="41" spans="3:23" x14ac:dyDescent="0.2">
      <c r="C41" s="602" t="s">
        <v>34</v>
      </c>
      <c r="D41" s="603"/>
      <c r="E41" s="603"/>
      <c r="F41" s="604">
        <f>+M36</f>
        <v>0</v>
      </c>
      <c r="G41" s="605"/>
      <c r="I41" s="94"/>
      <c r="J41" s="117"/>
      <c r="K41" s="61"/>
      <c r="L41" s="111"/>
      <c r="M41" s="346"/>
      <c r="O41" s="78"/>
      <c r="P41" s="79"/>
      <c r="Q41" s="80"/>
      <c r="R41" s="80"/>
      <c r="S41" s="63"/>
      <c r="T41" s="53">
        <f>+S41-Q41</f>
        <v>0</v>
      </c>
      <c r="U41" s="137">
        <f>SUM(J19:J20)</f>
        <v>0</v>
      </c>
      <c r="V41" s="79">
        <f>+K20</f>
        <v>0</v>
      </c>
      <c r="W41" s="353">
        <f>(SUM(M19:M20)/2)</f>
        <v>0</v>
      </c>
    </row>
    <row r="42" spans="3:23" x14ac:dyDescent="0.2">
      <c r="C42" s="602" t="s">
        <v>186</v>
      </c>
      <c r="D42" s="603"/>
      <c r="E42" s="603"/>
      <c r="F42" s="604"/>
      <c r="G42" s="605"/>
      <c r="I42" s="94"/>
      <c r="J42" s="117"/>
      <c r="K42" s="61"/>
      <c r="L42" s="111"/>
      <c r="M42" s="346"/>
      <c r="O42" s="32"/>
      <c r="P42" s="53"/>
      <c r="Q42" s="63"/>
      <c r="R42" s="63"/>
      <c r="S42" s="11"/>
      <c r="T42" s="53">
        <f>+S42-Q42</f>
        <v>0</v>
      </c>
      <c r="U42" s="136">
        <f>SUM(J21:J22)</f>
        <v>0</v>
      </c>
      <c r="V42" s="53">
        <f>+K22</f>
        <v>0</v>
      </c>
      <c r="W42" s="354">
        <f>(SUM(M21:M22)/2)</f>
        <v>0</v>
      </c>
    </row>
    <row r="43" spans="3:23" x14ac:dyDescent="0.2">
      <c r="C43" s="602" t="s">
        <v>39</v>
      </c>
      <c r="D43" s="603"/>
      <c r="E43" s="603"/>
      <c r="F43" s="604"/>
      <c r="G43" s="605"/>
      <c r="I43" s="94"/>
      <c r="J43" s="117"/>
      <c r="K43" s="61"/>
      <c r="L43" s="111"/>
      <c r="M43" s="346"/>
      <c r="O43" s="32"/>
      <c r="P43" s="53"/>
      <c r="Q43" s="11"/>
      <c r="R43" s="63"/>
      <c r="S43" s="11"/>
      <c r="T43" s="53">
        <f>+S43-Q43</f>
        <v>0</v>
      </c>
      <c r="U43" s="136">
        <f>SUM(J23:J24)</f>
        <v>0</v>
      </c>
      <c r="V43" s="53">
        <f>+K24</f>
        <v>0</v>
      </c>
      <c r="W43" s="354">
        <f>(SUM(M23:M24)/2)</f>
        <v>0</v>
      </c>
    </row>
    <row r="44" spans="3:23" x14ac:dyDescent="0.2">
      <c r="C44" s="602" t="s">
        <v>116</v>
      </c>
      <c r="D44" s="603"/>
      <c r="E44" s="603"/>
      <c r="F44" s="604">
        <v>0</v>
      </c>
      <c r="G44" s="605"/>
      <c r="I44" s="94"/>
      <c r="J44" s="117"/>
      <c r="K44" s="61"/>
      <c r="L44" s="111"/>
      <c r="M44" s="346"/>
      <c r="O44" s="32"/>
      <c r="P44" s="53"/>
      <c r="Q44" s="11"/>
      <c r="R44" s="63"/>
      <c r="S44" s="63"/>
      <c r="T44" s="53">
        <f t="shared" ref="T44:T46" si="1">+S44-Q44</f>
        <v>0</v>
      </c>
      <c r="U44" s="136">
        <f>SUM(J25:J26)</f>
        <v>0</v>
      </c>
      <c r="V44" s="53">
        <f>+K26</f>
        <v>0</v>
      </c>
      <c r="W44" s="354">
        <f>(SUM(M25:M30)/2)</f>
        <v>0</v>
      </c>
    </row>
    <row r="45" spans="3:23" x14ac:dyDescent="0.2">
      <c r="C45" s="602" t="s">
        <v>40</v>
      </c>
      <c r="D45" s="603"/>
      <c r="E45" s="603"/>
      <c r="F45" s="604"/>
      <c r="G45" s="605"/>
      <c r="I45" s="94"/>
      <c r="J45" s="117"/>
      <c r="K45" s="61"/>
      <c r="L45" s="111"/>
      <c r="M45" s="346"/>
      <c r="O45" s="32"/>
      <c r="P45" s="53"/>
      <c r="Q45" s="63"/>
      <c r="R45" s="95"/>
      <c r="S45" s="11"/>
      <c r="T45" s="53">
        <f t="shared" si="1"/>
        <v>0</v>
      </c>
      <c r="U45" s="136">
        <f>SUM(J27:J29)</f>
        <v>0</v>
      </c>
      <c r="V45" s="53">
        <f>+K29</f>
        <v>0</v>
      </c>
      <c r="W45" s="354">
        <f>(SUM(M27:M29)/2)</f>
        <v>0</v>
      </c>
    </row>
    <row r="46" spans="3:23" ht="12.75" thickBot="1" x14ac:dyDescent="0.25">
      <c r="C46" s="602" t="s">
        <v>124</v>
      </c>
      <c r="D46" s="603"/>
      <c r="E46" s="603"/>
      <c r="F46" s="604">
        <v>0</v>
      </c>
      <c r="G46" s="605"/>
      <c r="I46" s="282"/>
      <c r="J46" s="285"/>
      <c r="K46" s="62"/>
      <c r="L46" s="283"/>
      <c r="M46" s="346"/>
      <c r="O46" s="32"/>
      <c r="P46" s="53"/>
      <c r="Q46" s="63"/>
      <c r="R46" s="95"/>
      <c r="S46" s="11"/>
      <c r="T46" s="53">
        <f t="shared" si="1"/>
        <v>0</v>
      </c>
      <c r="U46" s="136">
        <f>SUM(J30:J31)</f>
        <v>0</v>
      </c>
      <c r="V46" s="53">
        <f>+K31</f>
        <v>0</v>
      </c>
      <c r="W46" s="354">
        <f>(SUM(M30:M31)/2)</f>
        <v>0</v>
      </c>
    </row>
    <row r="47" spans="3:23" ht="13.5" customHeight="1" thickBot="1" x14ac:dyDescent="0.25">
      <c r="C47" s="602" t="s">
        <v>224</v>
      </c>
      <c r="D47" s="603"/>
      <c r="E47" s="603"/>
      <c r="F47" s="606">
        <v>0</v>
      </c>
      <c r="G47" s="607"/>
      <c r="I47" s="597" t="s">
        <v>41</v>
      </c>
      <c r="J47" s="598"/>
      <c r="K47" s="632"/>
      <c r="L47" s="284">
        <f>SUM(L40:L46)</f>
        <v>0</v>
      </c>
      <c r="M47" s="347"/>
      <c r="O47" s="113"/>
      <c r="P47" s="264"/>
      <c r="Q47" s="265"/>
      <c r="R47" s="83"/>
      <c r="S47" s="81"/>
      <c r="T47" s="82"/>
      <c r="U47" s="138">
        <f>SUM(J32:J33)</f>
        <v>0</v>
      </c>
      <c r="V47" s="55">
        <f>+K33</f>
        <v>0</v>
      </c>
      <c r="W47" s="355">
        <f>(SUM(M32:M33)/2)</f>
        <v>0</v>
      </c>
    </row>
    <row r="48" spans="3:23" ht="13.5" customHeight="1" x14ac:dyDescent="0.2">
      <c r="C48" s="602" t="s">
        <v>110</v>
      </c>
      <c r="D48" s="603"/>
      <c r="E48" s="603"/>
      <c r="F48" s="606"/>
      <c r="G48" s="607"/>
      <c r="R48" s="21"/>
      <c r="S48" s="21"/>
      <c r="T48" s="21"/>
      <c r="U48" s="139"/>
      <c r="V48" s="271"/>
    </row>
    <row r="49" spans="3:22" ht="13.5" customHeight="1" thickBot="1" x14ac:dyDescent="0.25">
      <c r="C49" s="593" t="s">
        <v>315</v>
      </c>
      <c r="D49" s="594"/>
      <c r="E49" s="594"/>
      <c r="F49" s="595"/>
      <c r="G49" s="596"/>
      <c r="R49" s="21"/>
      <c r="S49" s="21"/>
      <c r="T49" s="21"/>
      <c r="U49" s="139"/>
      <c r="V49" s="271"/>
    </row>
    <row r="50" spans="3:22" ht="13.5" thickBot="1" x14ac:dyDescent="0.25">
      <c r="C50" s="597" t="s">
        <v>42</v>
      </c>
      <c r="D50" s="598"/>
      <c r="E50" s="599"/>
      <c r="F50" s="600" t="e">
        <f>SUM(F39:G49)</f>
        <v>#N/A</v>
      </c>
      <c r="G50" s="601"/>
      <c r="R50" s="21"/>
      <c r="S50" s="21"/>
      <c r="T50" s="21"/>
      <c r="U50" s="139"/>
      <c r="V50" s="271"/>
    </row>
    <row r="51" spans="3:22" ht="13.5" customHeight="1" thickBot="1" x14ac:dyDescent="0.25">
      <c r="P51" s="588" t="s">
        <v>48</v>
      </c>
      <c r="Q51" s="589"/>
      <c r="R51" s="590"/>
      <c r="S51" s="21"/>
      <c r="T51" s="21"/>
      <c r="U51" s="139"/>
      <c r="V51" s="271"/>
    </row>
    <row r="52" spans="3:22" ht="12.75" customHeight="1" x14ac:dyDescent="0.2">
      <c r="C52" s="246" t="s">
        <v>43</v>
      </c>
      <c r="D52" s="247"/>
      <c r="E52" s="247"/>
      <c r="F52" s="247"/>
      <c r="G52" s="247"/>
      <c r="H52" s="247"/>
      <c r="I52" s="247"/>
      <c r="J52" s="247"/>
      <c r="K52" s="247"/>
      <c r="L52" s="248"/>
      <c r="M52" s="251"/>
      <c r="P52" s="78">
        <v>1</v>
      </c>
      <c r="Q52" s="584" t="s">
        <v>49</v>
      </c>
      <c r="R52" s="585"/>
      <c r="S52" s="21"/>
      <c r="T52" s="21"/>
      <c r="U52" s="249"/>
    </row>
    <row r="53" spans="3:22" ht="12.75" customHeight="1" x14ac:dyDescent="0.2">
      <c r="C53" s="250"/>
      <c r="D53" s="251"/>
      <c r="E53" s="251"/>
      <c r="F53" s="251"/>
      <c r="G53" s="251"/>
      <c r="H53" s="251"/>
      <c r="I53" s="251"/>
      <c r="J53" s="251"/>
      <c r="K53" s="251"/>
      <c r="L53" s="252"/>
      <c r="M53" s="251"/>
      <c r="P53" s="32">
        <v>2</v>
      </c>
      <c r="Q53" s="586" t="s">
        <v>135</v>
      </c>
      <c r="R53" s="587"/>
      <c r="S53" s="21"/>
      <c r="T53" s="249"/>
    </row>
    <row r="54" spans="3:22" ht="12.75" thickBot="1" x14ac:dyDescent="0.25">
      <c r="C54" s="253"/>
      <c r="D54" s="254"/>
      <c r="E54" s="254"/>
      <c r="F54" s="254"/>
      <c r="G54" s="254"/>
      <c r="H54" s="254"/>
      <c r="I54" s="254"/>
      <c r="J54" s="254"/>
      <c r="K54" s="254"/>
      <c r="L54" s="255"/>
      <c r="M54" s="251"/>
      <c r="P54" s="32">
        <v>3</v>
      </c>
      <c r="Q54" s="586" t="s">
        <v>130</v>
      </c>
      <c r="R54" s="587"/>
      <c r="S54" s="21"/>
      <c r="T54" s="249"/>
    </row>
    <row r="55" spans="3:22" x14ac:dyDescent="0.2">
      <c r="P55" s="32">
        <v>4</v>
      </c>
      <c r="Q55" s="586" t="s">
        <v>228</v>
      </c>
      <c r="R55" s="587"/>
      <c r="S55" s="21"/>
      <c r="T55" s="249"/>
    </row>
    <row r="56" spans="3:22" ht="12.75" thickBot="1" x14ac:dyDescent="0.25">
      <c r="P56" s="32">
        <v>5</v>
      </c>
      <c r="Q56" s="586" t="s">
        <v>229</v>
      </c>
      <c r="R56" s="587"/>
      <c r="S56" s="21"/>
    </row>
    <row r="57" spans="3:22" ht="14.25" customHeight="1" thickTop="1" thickBot="1" x14ac:dyDescent="0.25">
      <c r="D57" s="631" t="s">
        <v>44</v>
      </c>
      <c r="E57" s="631"/>
      <c r="F57" s="631"/>
      <c r="G57" s="631"/>
      <c r="H57" s="631"/>
      <c r="J57" s="631" t="s">
        <v>45</v>
      </c>
      <c r="K57" s="631"/>
      <c r="L57" s="631"/>
      <c r="M57" s="631"/>
      <c r="N57" s="631"/>
      <c r="P57" s="54">
        <v>6</v>
      </c>
      <c r="Q57" s="591" t="s">
        <v>230</v>
      </c>
      <c r="R57" s="592"/>
      <c r="S57" s="21"/>
      <c r="T57" s="21"/>
    </row>
    <row r="58" spans="3:22" x14ac:dyDescent="0.2">
      <c r="S58" s="21"/>
      <c r="T58" s="21"/>
    </row>
  </sheetData>
  <mergeCells count="55">
    <mergeCell ref="D57:H57"/>
    <mergeCell ref="J57:N57"/>
    <mergeCell ref="I47:K47"/>
    <mergeCell ref="F48:G48"/>
    <mergeCell ref="C49:E49"/>
    <mergeCell ref="F49:G49"/>
    <mergeCell ref="C50:E50"/>
    <mergeCell ref="F50:G50"/>
    <mergeCell ref="C48:E48"/>
    <mergeCell ref="C46:E46"/>
    <mergeCell ref="F46:G46"/>
    <mergeCell ref="C45:E45"/>
    <mergeCell ref="C47:E47"/>
    <mergeCell ref="F47:G47"/>
    <mergeCell ref="F44:G44"/>
    <mergeCell ref="C44:E44"/>
    <mergeCell ref="C41:E41"/>
    <mergeCell ref="F41:G41"/>
    <mergeCell ref="F45:G45"/>
    <mergeCell ref="C42:E42"/>
    <mergeCell ref="F42:G42"/>
    <mergeCell ref="C39:E39"/>
    <mergeCell ref="F39:G39"/>
    <mergeCell ref="C43:E43"/>
    <mergeCell ref="F43:G43"/>
    <mergeCell ref="C40:E40"/>
    <mergeCell ref="F40:G40"/>
    <mergeCell ref="I9:O9"/>
    <mergeCell ref="L11:S11"/>
    <mergeCell ref="E12:F12"/>
    <mergeCell ref="I38:L38"/>
    <mergeCell ref="D13:E13"/>
    <mergeCell ref="D14:E14"/>
    <mergeCell ref="D15:E15"/>
    <mergeCell ref="D16:E16"/>
    <mergeCell ref="E35:E36"/>
    <mergeCell ref="F35:G35"/>
    <mergeCell ref="F36:G36"/>
    <mergeCell ref="C38:G38"/>
    <mergeCell ref="Q57:R57"/>
    <mergeCell ref="Q2:S2"/>
    <mergeCell ref="I3:O3"/>
    <mergeCell ref="Q3:S3"/>
    <mergeCell ref="I4:O4"/>
    <mergeCell ref="I5:O5"/>
    <mergeCell ref="Q5:S5"/>
    <mergeCell ref="O38:P38"/>
    <mergeCell ref="P51:R51"/>
    <mergeCell ref="Q52:R52"/>
    <mergeCell ref="Q53:R53"/>
    <mergeCell ref="Q54:R54"/>
    <mergeCell ref="Q55:R55"/>
    <mergeCell ref="Q56:R56"/>
    <mergeCell ref="I6:O6"/>
    <mergeCell ref="Q6:S6"/>
  </mergeCells>
  <phoneticPr fontId="20" type="noConversion"/>
  <pageMargins left="0" right="0" top="0.35433070866141736" bottom="0.35433070866141736" header="0.31496062992125984" footer="0.31496062992125984"/>
  <pageSetup paperSize="9" scale="78" orientation="landscape" horizontalDpi="300" verticalDpi="300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Hoja9">
    <pageSetUpPr fitToPage="1"/>
  </sheetPr>
  <dimension ref="C1:W57"/>
  <sheetViews>
    <sheetView topLeftCell="A4" zoomScaleNormal="100" workbookViewId="0">
      <selection activeCell="M43" sqref="M43"/>
    </sheetView>
  </sheetViews>
  <sheetFormatPr baseColWidth="10" defaultColWidth="9.140625" defaultRowHeight="12" x14ac:dyDescent="0.2"/>
  <cols>
    <col min="1" max="1" width="1.5703125" style="14" customWidth="1"/>
    <col min="2" max="2" width="2.85546875" style="14" customWidth="1"/>
    <col min="3" max="3" width="11.85546875" style="14" customWidth="1"/>
    <col min="4" max="4" width="10.85546875" style="14" customWidth="1"/>
    <col min="5" max="5" width="7.42578125" style="14" customWidth="1"/>
    <col min="6" max="6" width="9.140625" style="14" bestFit="1" customWidth="1"/>
    <col min="7" max="7" width="3" style="14" bestFit="1" customWidth="1"/>
    <col min="8" max="8" width="11.42578125" style="14" customWidth="1"/>
    <col min="9" max="9" width="10.28515625" style="14" customWidth="1"/>
    <col min="10" max="10" width="10" style="14" bestFit="1" customWidth="1"/>
    <col min="11" max="11" width="9.5703125" style="14" customWidth="1"/>
    <col min="12" max="13" width="13.7109375" style="14" customWidth="1"/>
    <col min="14" max="14" width="10" style="14" bestFit="1" customWidth="1"/>
    <col min="15" max="15" width="10.28515625" style="14" customWidth="1"/>
    <col min="16" max="23" width="11.7109375" style="14" customWidth="1"/>
    <col min="24" max="24" width="11.28515625" style="14" customWidth="1"/>
    <col min="25" max="259" width="9.140625" style="14"/>
    <col min="260" max="260" width="5.7109375" style="14" customWidth="1"/>
    <col min="261" max="261" width="13.140625" style="14" customWidth="1"/>
    <col min="262" max="262" width="12.28515625" style="14" customWidth="1"/>
    <col min="263" max="263" width="8.85546875" style="14" customWidth="1"/>
    <col min="264" max="264" width="10.85546875" style="14" customWidth="1"/>
    <col min="265" max="265" width="2.85546875" style="14" customWidth="1"/>
    <col min="266" max="266" width="12.140625" style="14" customWidth="1"/>
    <col min="267" max="267" width="10.140625" style="14" customWidth="1"/>
    <col min="268" max="268" width="11.7109375" style="14" customWidth="1"/>
    <col min="269" max="269" width="11.42578125" style="14" customWidth="1"/>
    <col min="270" max="270" width="12.7109375" style="14" customWidth="1"/>
    <col min="271" max="271" width="11.42578125" style="14" customWidth="1"/>
    <col min="272" max="272" width="10.7109375" style="14" customWidth="1"/>
    <col min="273" max="273" width="10.5703125" style="14" customWidth="1"/>
    <col min="274" max="274" width="11.28515625" style="14" customWidth="1"/>
    <col min="275" max="275" width="9.7109375" style="14" customWidth="1"/>
    <col min="276" max="276" width="12" style="14" customWidth="1"/>
    <col min="277" max="277" width="11.28515625" style="14" customWidth="1"/>
    <col min="278" max="515" width="9.140625" style="14"/>
    <col min="516" max="516" width="5.7109375" style="14" customWidth="1"/>
    <col min="517" max="517" width="13.140625" style="14" customWidth="1"/>
    <col min="518" max="518" width="12.28515625" style="14" customWidth="1"/>
    <col min="519" max="519" width="8.85546875" style="14" customWidth="1"/>
    <col min="520" max="520" width="10.85546875" style="14" customWidth="1"/>
    <col min="521" max="521" width="2.85546875" style="14" customWidth="1"/>
    <col min="522" max="522" width="12.140625" style="14" customWidth="1"/>
    <col min="523" max="523" width="10.140625" style="14" customWidth="1"/>
    <col min="524" max="524" width="11.7109375" style="14" customWidth="1"/>
    <col min="525" max="525" width="11.42578125" style="14" customWidth="1"/>
    <col min="526" max="526" width="12.7109375" style="14" customWidth="1"/>
    <col min="527" max="527" width="11.42578125" style="14" customWidth="1"/>
    <col min="528" max="528" width="10.7109375" style="14" customWidth="1"/>
    <col min="529" max="529" width="10.5703125" style="14" customWidth="1"/>
    <col min="530" max="530" width="11.28515625" style="14" customWidth="1"/>
    <col min="531" max="531" width="9.7109375" style="14" customWidth="1"/>
    <col min="532" max="532" width="12" style="14" customWidth="1"/>
    <col min="533" max="533" width="11.28515625" style="14" customWidth="1"/>
    <col min="534" max="771" width="9.140625" style="14"/>
    <col min="772" max="772" width="5.7109375" style="14" customWidth="1"/>
    <col min="773" max="773" width="13.140625" style="14" customWidth="1"/>
    <col min="774" max="774" width="12.28515625" style="14" customWidth="1"/>
    <col min="775" max="775" width="8.85546875" style="14" customWidth="1"/>
    <col min="776" max="776" width="10.85546875" style="14" customWidth="1"/>
    <col min="777" max="777" width="2.85546875" style="14" customWidth="1"/>
    <col min="778" max="778" width="12.140625" style="14" customWidth="1"/>
    <col min="779" max="779" width="10.140625" style="14" customWidth="1"/>
    <col min="780" max="780" width="11.7109375" style="14" customWidth="1"/>
    <col min="781" max="781" width="11.42578125" style="14" customWidth="1"/>
    <col min="782" max="782" width="12.7109375" style="14" customWidth="1"/>
    <col min="783" max="783" width="11.42578125" style="14" customWidth="1"/>
    <col min="784" max="784" width="10.7109375" style="14" customWidth="1"/>
    <col min="785" max="785" width="10.5703125" style="14" customWidth="1"/>
    <col min="786" max="786" width="11.28515625" style="14" customWidth="1"/>
    <col min="787" max="787" width="9.7109375" style="14" customWidth="1"/>
    <col min="788" max="788" width="12" style="14" customWidth="1"/>
    <col min="789" max="789" width="11.28515625" style="14" customWidth="1"/>
    <col min="790" max="1027" width="9.140625" style="14"/>
    <col min="1028" max="1028" width="5.7109375" style="14" customWidth="1"/>
    <col min="1029" max="1029" width="13.140625" style="14" customWidth="1"/>
    <col min="1030" max="1030" width="12.28515625" style="14" customWidth="1"/>
    <col min="1031" max="1031" width="8.85546875" style="14" customWidth="1"/>
    <col min="1032" max="1032" width="10.85546875" style="14" customWidth="1"/>
    <col min="1033" max="1033" width="2.85546875" style="14" customWidth="1"/>
    <col min="1034" max="1034" width="12.140625" style="14" customWidth="1"/>
    <col min="1035" max="1035" width="10.140625" style="14" customWidth="1"/>
    <col min="1036" max="1036" width="11.7109375" style="14" customWidth="1"/>
    <col min="1037" max="1037" width="11.42578125" style="14" customWidth="1"/>
    <col min="1038" max="1038" width="12.7109375" style="14" customWidth="1"/>
    <col min="1039" max="1039" width="11.42578125" style="14" customWidth="1"/>
    <col min="1040" max="1040" width="10.7109375" style="14" customWidth="1"/>
    <col min="1041" max="1041" width="10.5703125" style="14" customWidth="1"/>
    <col min="1042" max="1042" width="11.28515625" style="14" customWidth="1"/>
    <col min="1043" max="1043" width="9.7109375" style="14" customWidth="1"/>
    <col min="1044" max="1044" width="12" style="14" customWidth="1"/>
    <col min="1045" max="1045" width="11.28515625" style="14" customWidth="1"/>
    <col min="1046" max="1283" width="9.140625" style="14"/>
    <col min="1284" max="1284" width="5.7109375" style="14" customWidth="1"/>
    <col min="1285" max="1285" width="13.140625" style="14" customWidth="1"/>
    <col min="1286" max="1286" width="12.28515625" style="14" customWidth="1"/>
    <col min="1287" max="1287" width="8.85546875" style="14" customWidth="1"/>
    <col min="1288" max="1288" width="10.85546875" style="14" customWidth="1"/>
    <col min="1289" max="1289" width="2.85546875" style="14" customWidth="1"/>
    <col min="1290" max="1290" width="12.140625" style="14" customWidth="1"/>
    <col min="1291" max="1291" width="10.140625" style="14" customWidth="1"/>
    <col min="1292" max="1292" width="11.7109375" style="14" customWidth="1"/>
    <col min="1293" max="1293" width="11.42578125" style="14" customWidth="1"/>
    <col min="1294" max="1294" width="12.7109375" style="14" customWidth="1"/>
    <col min="1295" max="1295" width="11.42578125" style="14" customWidth="1"/>
    <col min="1296" max="1296" width="10.7109375" style="14" customWidth="1"/>
    <col min="1297" max="1297" width="10.5703125" style="14" customWidth="1"/>
    <col min="1298" max="1298" width="11.28515625" style="14" customWidth="1"/>
    <col min="1299" max="1299" width="9.7109375" style="14" customWidth="1"/>
    <col min="1300" max="1300" width="12" style="14" customWidth="1"/>
    <col min="1301" max="1301" width="11.28515625" style="14" customWidth="1"/>
    <col min="1302" max="1539" width="9.140625" style="14"/>
    <col min="1540" max="1540" width="5.7109375" style="14" customWidth="1"/>
    <col min="1541" max="1541" width="13.140625" style="14" customWidth="1"/>
    <col min="1542" max="1542" width="12.28515625" style="14" customWidth="1"/>
    <col min="1543" max="1543" width="8.85546875" style="14" customWidth="1"/>
    <col min="1544" max="1544" width="10.85546875" style="14" customWidth="1"/>
    <col min="1545" max="1545" width="2.85546875" style="14" customWidth="1"/>
    <col min="1546" max="1546" width="12.140625" style="14" customWidth="1"/>
    <col min="1547" max="1547" width="10.140625" style="14" customWidth="1"/>
    <col min="1548" max="1548" width="11.7109375" style="14" customWidth="1"/>
    <col min="1549" max="1549" width="11.42578125" style="14" customWidth="1"/>
    <col min="1550" max="1550" width="12.7109375" style="14" customWidth="1"/>
    <col min="1551" max="1551" width="11.42578125" style="14" customWidth="1"/>
    <col min="1552" max="1552" width="10.7109375" style="14" customWidth="1"/>
    <col min="1553" max="1553" width="10.5703125" style="14" customWidth="1"/>
    <col min="1554" max="1554" width="11.28515625" style="14" customWidth="1"/>
    <col min="1555" max="1555" width="9.7109375" style="14" customWidth="1"/>
    <col min="1556" max="1556" width="12" style="14" customWidth="1"/>
    <col min="1557" max="1557" width="11.28515625" style="14" customWidth="1"/>
    <col min="1558" max="1795" width="9.140625" style="14"/>
    <col min="1796" max="1796" width="5.7109375" style="14" customWidth="1"/>
    <col min="1797" max="1797" width="13.140625" style="14" customWidth="1"/>
    <col min="1798" max="1798" width="12.28515625" style="14" customWidth="1"/>
    <col min="1799" max="1799" width="8.85546875" style="14" customWidth="1"/>
    <col min="1800" max="1800" width="10.85546875" style="14" customWidth="1"/>
    <col min="1801" max="1801" width="2.85546875" style="14" customWidth="1"/>
    <col min="1802" max="1802" width="12.140625" style="14" customWidth="1"/>
    <col min="1803" max="1803" width="10.140625" style="14" customWidth="1"/>
    <col min="1804" max="1804" width="11.7109375" style="14" customWidth="1"/>
    <col min="1805" max="1805" width="11.42578125" style="14" customWidth="1"/>
    <col min="1806" max="1806" width="12.7109375" style="14" customWidth="1"/>
    <col min="1807" max="1807" width="11.42578125" style="14" customWidth="1"/>
    <col min="1808" max="1808" width="10.7109375" style="14" customWidth="1"/>
    <col min="1809" max="1809" width="10.5703125" style="14" customWidth="1"/>
    <col min="1810" max="1810" width="11.28515625" style="14" customWidth="1"/>
    <col min="1811" max="1811" width="9.7109375" style="14" customWidth="1"/>
    <col min="1812" max="1812" width="12" style="14" customWidth="1"/>
    <col min="1813" max="1813" width="11.28515625" style="14" customWidth="1"/>
    <col min="1814" max="2051" width="9.140625" style="14"/>
    <col min="2052" max="2052" width="5.7109375" style="14" customWidth="1"/>
    <col min="2053" max="2053" width="13.140625" style="14" customWidth="1"/>
    <col min="2054" max="2054" width="12.28515625" style="14" customWidth="1"/>
    <col min="2055" max="2055" width="8.85546875" style="14" customWidth="1"/>
    <col min="2056" max="2056" width="10.85546875" style="14" customWidth="1"/>
    <col min="2057" max="2057" width="2.85546875" style="14" customWidth="1"/>
    <col min="2058" max="2058" width="12.140625" style="14" customWidth="1"/>
    <col min="2059" max="2059" width="10.140625" style="14" customWidth="1"/>
    <col min="2060" max="2060" width="11.7109375" style="14" customWidth="1"/>
    <col min="2061" max="2061" width="11.42578125" style="14" customWidth="1"/>
    <col min="2062" max="2062" width="12.7109375" style="14" customWidth="1"/>
    <col min="2063" max="2063" width="11.42578125" style="14" customWidth="1"/>
    <col min="2064" max="2064" width="10.7109375" style="14" customWidth="1"/>
    <col min="2065" max="2065" width="10.5703125" style="14" customWidth="1"/>
    <col min="2066" max="2066" width="11.28515625" style="14" customWidth="1"/>
    <col min="2067" max="2067" width="9.7109375" style="14" customWidth="1"/>
    <col min="2068" max="2068" width="12" style="14" customWidth="1"/>
    <col min="2069" max="2069" width="11.28515625" style="14" customWidth="1"/>
    <col min="2070" max="2307" width="9.140625" style="14"/>
    <col min="2308" max="2308" width="5.7109375" style="14" customWidth="1"/>
    <col min="2309" max="2309" width="13.140625" style="14" customWidth="1"/>
    <col min="2310" max="2310" width="12.28515625" style="14" customWidth="1"/>
    <col min="2311" max="2311" width="8.85546875" style="14" customWidth="1"/>
    <col min="2312" max="2312" width="10.85546875" style="14" customWidth="1"/>
    <col min="2313" max="2313" width="2.85546875" style="14" customWidth="1"/>
    <col min="2314" max="2314" width="12.140625" style="14" customWidth="1"/>
    <col min="2315" max="2315" width="10.140625" style="14" customWidth="1"/>
    <col min="2316" max="2316" width="11.7109375" style="14" customWidth="1"/>
    <col min="2317" max="2317" width="11.42578125" style="14" customWidth="1"/>
    <col min="2318" max="2318" width="12.7109375" style="14" customWidth="1"/>
    <col min="2319" max="2319" width="11.42578125" style="14" customWidth="1"/>
    <col min="2320" max="2320" width="10.7109375" style="14" customWidth="1"/>
    <col min="2321" max="2321" width="10.5703125" style="14" customWidth="1"/>
    <col min="2322" max="2322" width="11.28515625" style="14" customWidth="1"/>
    <col min="2323" max="2323" width="9.7109375" style="14" customWidth="1"/>
    <col min="2324" max="2324" width="12" style="14" customWidth="1"/>
    <col min="2325" max="2325" width="11.28515625" style="14" customWidth="1"/>
    <col min="2326" max="2563" width="9.140625" style="14"/>
    <col min="2564" max="2564" width="5.7109375" style="14" customWidth="1"/>
    <col min="2565" max="2565" width="13.140625" style="14" customWidth="1"/>
    <col min="2566" max="2566" width="12.28515625" style="14" customWidth="1"/>
    <col min="2567" max="2567" width="8.85546875" style="14" customWidth="1"/>
    <col min="2568" max="2568" width="10.85546875" style="14" customWidth="1"/>
    <col min="2569" max="2569" width="2.85546875" style="14" customWidth="1"/>
    <col min="2570" max="2570" width="12.140625" style="14" customWidth="1"/>
    <col min="2571" max="2571" width="10.140625" style="14" customWidth="1"/>
    <col min="2572" max="2572" width="11.7109375" style="14" customWidth="1"/>
    <col min="2573" max="2573" width="11.42578125" style="14" customWidth="1"/>
    <col min="2574" max="2574" width="12.7109375" style="14" customWidth="1"/>
    <col min="2575" max="2575" width="11.42578125" style="14" customWidth="1"/>
    <col min="2576" max="2576" width="10.7109375" style="14" customWidth="1"/>
    <col min="2577" max="2577" width="10.5703125" style="14" customWidth="1"/>
    <col min="2578" max="2578" width="11.28515625" style="14" customWidth="1"/>
    <col min="2579" max="2579" width="9.7109375" style="14" customWidth="1"/>
    <col min="2580" max="2580" width="12" style="14" customWidth="1"/>
    <col min="2581" max="2581" width="11.28515625" style="14" customWidth="1"/>
    <col min="2582" max="2819" width="9.140625" style="14"/>
    <col min="2820" max="2820" width="5.7109375" style="14" customWidth="1"/>
    <col min="2821" max="2821" width="13.140625" style="14" customWidth="1"/>
    <col min="2822" max="2822" width="12.28515625" style="14" customWidth="1"/>
    <col min="2823" max="2823" width="8.85546875" style="14" customWidth="1"/>
    <col min="2824" max="2824" width="10.85546875" style="14" customWidth="1"/>
    <col min="2825" max="2825" width="2.85546875" style="14" customWidth="1"/>
    <col min="2826" max="2826" width="12.140625" style="14" customWidth="1"/>
    <col min="2827" max="2827" width="10.140625" style="14" customWidth="1"/>
    <col min="2828" max="2828" width="11.7109375" style="14" customWidth="1"/>
    <col min="2829" max="2829" width="11.42578125" style="14" customWidth="1"/>
    <col min="2830" max="2830" width="12.7109375" style="14" customWidth="1"/>
    <col min="2831" max="2831" width="11.42578125" style="14" customWidth="1"/>
    <col min="2832" max="2832" width="10.7109375" style="14" customWidth="1"/>
    <col min="2833" max="2833" width="10.5703125" style="14" customWidth="1"/>
    <col min="2834" max="2834" width="11.28515625" style="14" customWidth="1"/>
    <col min="2835" max="2835" width="9.7109375" style="14" customWidth="1"/>
    <col min="2836" max="2836" width="12" style="14" customWidth="1"/>
    <col min="2837" max="2837" width="11.28515625" style="14" customWidth="1"/>
    <col min="2838" max="3075" width="9.140625" style="14"/>
    <col min="3076" max="3076" width="5.7109375" style="14" customWidth="1"/>
    <col min="3077" max="3077" width="13.140625" style="14" customWidth="1"/>
    <col min="3078" max="3078" width="12.28515625" style="14" customWidth="1"/>
    <col min="3079" max="3079" width="8.85546875" style="14" customWidth="1"/>
    <col min="3080" max="3080" width="10.85546875" style="14" customWidth="1"/>
    <col min="3081" max="3081" width="2.85546875" style="14" customWidth="1"/>
    <col min="3082" max="3082" width="12.140625" style="14" customWidth="1"/>
    <col min="3083" max="3083" width="10.140625" style="14" customWidth="1"/>
    <col min="3084" max="3084" width="11.7109375" style="14" customWidth="1"/>
    <col min="3085" max="3085" width="11.42578125" style="14" customWidth="1"/>
    <col min="3086" max="3086" width="12.7109375" style="14" customWidth="1"/>
    <col min="3087" max="3087" width="11.42578125" style="14" customWidth="1"/>
    <col min="3088" max="3088" width="10.7109375" style="14" customWidth="1"/>
    <col min="3089" max="3089" width="10.5703125" style="14" customWidth="1"/>
    <col min="3090" max="3090" width="11.28515625" style="14" customWidth="1"/>
    <col min="3091" max="3091" width="9.7109375" style="14" customWidth="1"/>
    <col min="3092" max="3092" width="12" style="14" customWidth="1"/>
    <col min="3093" max="3093" width="11.28515625" style="14" customWidth="1"/>
    <col min="3094" max="3331" width="9.140625" style="14"/>
    <col min="3332" max="3332" width="5.7109375" style="14" customWidth="1"/>
    <col min="3333" max="3333" width="13.140625" style="14" customWidth="1"/>
    <col min="3334" max="3334" width="12.28515625" style="14" customWidth="1"/>
    <col min="3335" max="3335" width="8.85546875" style="14" customWidth="1"/>
    <col min="3336" max="3336" width="10.85546875" style="14" customWidth="1"/>
    <col min="3337" max="3337" width="2.85546875" style="14" customWidth="1"/>
    <col min="3338" max="3338" width="12.140625" style="14" customWidth="1"/>
    <col min="3339" max="3339" width="10.140625" style="14" customWidth="1"/>
    <col min="3340" max="3340" width="11.7109375" style="14" customWidth="1"/>
    <col min="3341" max="3341" width="11.42578125" style="14" customWidth="1"/>
    <col min="3342" max="3342" width="12.7109375" style="14" customWidth="1"/>
    <col min="3343" max="3343" width="11.42578125" style="14" customWidth="1"/>
    <col min="3344" max="3344" width="10.7109375" style="14" customWidth="1"/>
    <col min="3345" max="3345" width="10.5703125" style="14" customWidth="1"/>
    <col min="3346" max="3346" width="11.28515625" style="14" customWidth="1"/>
    <col min="3347" max="3347" width="9.7109375" style="14" customWidth="1"/>
    <col min="3348" max="3348" width="12" style="14" customWidth="1"/>
    <col min="3349" max="3349" width="11.28515625" style="14" customWidth="1"/>
    <col min="3350" max="3587" width="9.140625" style="14"/>
    <col min="3588" max="3588" width="5.7109375" style="14" customWidth="1"/>
    <col min="3589" max="3589" width="13.140625" style="14" customWidth="1"/>
    <col min="3590" max="3590" width="12.28515625" style="14" customWidth="1"/>
    <col min="3591" max="3591" width="8.85546875" style="14" customWidth="1"/>
    <col min="3592" max="3592" width="10.85546875" style="14" customWidth="1"/>
    <col min="3593" max="3593" width="2.85546875" style="14" customWidth="1"/>
    <col min="3594" max="3594" width="12.140625" style="14" customWidth="1"/>
    <col min="3595" max="3595" width="10.140625" style="14" customWidth="1"/>
    <col min="3596" max="3596" width="11.7109375" style="14" customWidth="1"/>
    <col min="3597" max="3597" width="11.42578125" style="14" customWidth="1"/>
    <col min="3598" max="3598" width="12.7109375" style="14" customWidth="1"/>
    <col min="3599" max="3599" width="11.42578125" style="14" customWidth="1"/>
    <col min="3600" max="3600" width="10.7109375" style="14" customWidth="1"/>
    <col min="3601" max="3601" width="10.5703125" style="14" customWidth="1"/>
    <col min="3602" max="3602" width="11.28515625" style="14" customWidth="1"/>
    <col min="3603" max="3603" width="9.7109375" style="14" customWidth="1"/>
    <col min="3604" max="3604" width="12" style="14" customWidth="1"/>
    <col min="3605" max="3605" width="11.28515625" style="14" customWidth="1"/>
    <col min="3606" max="3843" width="9.140625" style="14"/>
    <col min="3844" max="3844" width="5.7109375" style="14" customWidth="1"/>
    <col min="3845" max="3845" width="13.140625" style="14" customWidth="1"/>
    <col min="3846" max="3846" width="12.28515625" style="14" customWidth="1"/>
    <col min="3847" max="3847" width="8.85546875" style="14" customWidth="1"/>
    <col min="3848" max="3848" width="10.85546875" style="14" customWidth="1"/>
    <col min="3849" max="3849" width="2.85546875" style="14" customWidth="1"/>
    <col min="3850" max="3850" width="12.140625" style="14" customWidth="1"/>
    <col min="3851" max="3851" width="10.140625" style="14" customWidth="1"/>
    <col min="3852" max="3852" width="11.7109375" style="14" customWidth="1"/>
    <col min="3853" max="3853" width="11.42578125" style="14" customWidth="1"/>
    <col min="3854" max="3854" width="12.7109375" style="14" customWidth="1"/>
    <col min="3855" max="3855" width="11.42578125" style="14" customWidth="1"/>
    <col min="3856" max="3856" width="10.7109375" style="14" customWidth="1"/>
    <col min="3857" max="3857" width="10.5703125" style="14" customWidth="1"/>
    <col min="3858" max="3858" width="11.28515625" style="14" customWidth="1"/>
    <col min="3859" max="3859" width="9.7109375" style="14" customWidth="1"/>
    <col min="3860" max="3860" width="12" style="14" customWidth="1"/>
    <col min="3861" max="3861" width="11.28515625" style="14" customWidth="1"/>
    <col min="3862" max="4099" width="9.140625" style="14"/>
    <col min="4100" max="4100" width="5.7109375" style="14" customWidth="1"/>
    <col min="4101" max="4101" width="13.140625" style="14" customWidth="1"/>
    <col min="4102" max="4102" width="12.28515625" style="14" customWidth="1"/>
    <col min="4103" max="4103" width="8.85546875" style="14" customWidth="1"/>
    <col min="4104" max="4104" width="10.85546875" style="14" customWidth="1"/>
    <col min="4105" max="4105" width="2.85546875" style="14" customWidth="1"/>
    <col min="4106" max="4106" width="12.140625" style="14" customWidth="1"/>
    <col min="4107" max="4107" width="10.140625" style="14" customWidth="1"/>
    <col min="4108" max="4108" width="11.7109375" style="14" customWidth="1"/>
    <col min="4109" max="4109" width="11.42578125" style="14" customWidth="1"/>
    <col min="4110" max="4110" width="12.7109375" style="14" customWidth="1"/>
    <col min="4111" max="4111" width="11.42578125" style="14" customWidth="1"/>
    <col min="4112" max="4112" width="10.7109375" style="14" customWidth="1"/>
    <col min="4113" max="4113" width="10.5703125" style="14" customWidth="1"/>
    <col min="4114" max="4114" width="11.28515625" style="14" customWidth="1"/>
    <col min="4115" max="4115" width="9.7109375" style="14" customWidth="1"/>
    <col min="4116" max="4116" width="12" style="14" customWidth="1"/>
    <col min="4117" max="4117" width="11.28515625" style="14" customWidth="1"/>
    <col min="4118" max="4355" width="9.140625" style="14"/>
    <col min="4356" max="4356" width="5.7109375" style="14" customWidth="1"/>
    <col min="4357" max="4357" width="13.140625" style="14" customWidth="1"/>
    <col min="4358" max="4358" width="12.28515625" style="14" customWidth="1"/>
    <col min="4359" max="4359" width="8.85546875" style="14" customWidth="1"/>
    <col min="4360" max="4360" width="10.85546875" style="14" customWidth="1"/>
    <col min="4361" max="4361" width="2.85546875" style="14" customWidth="1"/>
    <col min="4362" max="4362" width="12.140625" style="14" customWidth="1"/>
    <col min="4363" max="4363" width="10.140625" style="14" customWidth="1"/>
    <col min="4364" max="4364" width="11.7109375" style="14" customWidth="1"/>
    <col min="4365" max="4365" width="11.42578125" style="14" customWidth="1"/>
    <col min="4366" max="4366" width="12.7109375" style="14" customWidth="1"/>
    <col min="4367" max="4367" width="11.42578125" style="14" customWidth="1"/>
    <col min="4368" max="4368" width="10.7109375" style="14" customWidth="1"/>
    <col min="4369" max="4369" width="10.5703125" style="14" customWidth="1"/>
    <col min="4370" max="4370" width="11.28515625" style="14" customWidth="1"/>
    <col min="4371" max="4371" width="9.7109375" style="14" customWidth="1"/>
    <col min="4372" max="4372" width="12" style="14" customWidth="1"/>
    <col min="4373" max="4373" width="11.28515625" style="14" customWidth="1"/>
    <col min="4374" max="4611" width="9.140625" style="14"/>
    <col min="4612" max="4612" width="5.7109375" style="14" customWidth="1"/>
    <col min="4613" max="4613" width="13.140625" style="14" customWidth="1"/>
    <col min="4614" max="4614" width="12.28515625" style="14" customWidth="1"/>
    <col min="4615" max="4615" width="8.85546875" style="14" customWidth="1"/>
    <col min="4616" max="4616" width="10.85546875" style="14" customWidth="1"/>
    <col min="4617" max="4617" width="2.85546875" style="14" customWidth="1"/>
    <col min="4618" max="4618" width="12.140625" style="14" customWidth="1"/>
    <col min="4619" max="4619" width="10.140625" style="14" customWidth="1"/>
    <col min="4620" max="4620" width="11.7109375" style="14" customWidth="1"/>
    <col min="4621" max="4621" width="11.42578125" style="14" customWidth="1"/>
    <col min="4622" max="4622" width="12.7109375" style="14" customWidth="1"/>
    <col min="4623" max="4623" width="11.42578125" style="14" customWidth="1"/>
    <col min="4624" max="4624" width="10.7109375" style="14" customWidth="1"/>
    <col min="4625" max="4625" width="10.5703125" style="14" customWidth="1"/>
    <col min="4626" max="4626" width="11.28515625" style="14" customWidth="1"/>
    <col min="4627" max="4627" width="9.7109375" style="14" customWidth="1"/>
    <col min="4628" max="4628" width="12" style="14" customWidth="1"/>
    <col min="4629" max="4629" width="11.28515625" style="14" customWidth="1"/>
    <col min="4630" max="4867" width="9.140625" style="14"/>
    <col min="4868" max="4868" width="5.7109375" style="14" customWidth="1"/>
    <col min="4869" max="4869" width="13.140625" style="14" customWidth="1"/>
    <col min="4870" max="4870" width="12.28515625" style="14" customWidth="1"/>
    <col min="4871" max="4871" width="8.85546875" style="14" customWidth="1"/>
    <col min="4872" max="4872" width="10.85546875" style="14" customWidth="1"/>
    <col min="4873" max="4873" width="2.85546875" style="14" customWidth="1"/>
    <col min="4874" max="4874" width="12.140625" style="14" customWidth="1"/>
    <col min="4875" max="4875" width="10.140625" style="14" customWidth="1"/>
    <col min="4876" max="4876" width="11.7109375" style="14" customWidth="1"/>
    <col min="4877" max="4877" width="11.42578125" style="14" customWidth="1"/>
    <col min="4878" max="4878" width="12.7109375" style="14" customWidth="1"/>
    <col min="4879" max="4879" width="11.42578125" style="14" customWidth="1"/>
    <col min="4880" max="4880" width="10.7109375" style="14" customWidth="1"/>
    <col min="4881" max="4881" width="10.5703125" style="14" customWidth="1"/>
    <col min="4882" max="4882" width="11.28515625" style="14" customWidth="1"/>
    <col min="4883" max="4883" width="9.7109375" style="14" customWidth="1"/>
    <col min="4884" max="4884" width="12" style="14" customWidth="1"/>
    <col min="4885" max="4885" width="11.28515625" style="14" customWidth="1"/>
    <col min="4886" max="5123" width="9.140625" style="14"/>
    <col min="5124" max="5124" width="5.7109375" style="14" customWidth="1"/>
    <col min="5125" max="5125" width="13.140625" style="14" customWidth="1"/>
    <col min="5126" max="5126" width="12.28515625" style="14" customWidth="1"/>
    <col min="5127" max="5127" width="8.85546875" style="14" customWidth="1"/>
    <col min="5128" max="5128" width="10.85546875" style="14" customWidth="1"/>
    <col min="5129" max="5129" width="2.85546875" style="14" customWidth="1"/>
    <col min="5130" max="5130" width="12.140625" style="14" customWidth="1"/>
    <col min="5131" max="5131" width="10.140625" style="14" customWidth="1"/>
    <col min="5132" max="5132" width="11.7109375" style="14" customWidth="1"/>
    <col min="5133" max="5133" width="11.42578125" style="14" customWidth="1"/>
    <col min="5134" max="5134" width="12.7109375" style="14" customWidth="1"/>
    <col min="5135" max="5135" width="11.42578125" style="14" customWidth="1"/>
    <col min="5136" max="5136" width="10.7109375" style="14" customWidth="1"/>
    <col min="5137" max="5137" width="10.5703125" style="14" customWidth="1"/>
    <col min="5138" max="5138" width="11.28515625" style="14" customWidth="1"/>
    <col min="5139" max="5139" width="9.7109375" style="14" customWidth="1"/>
    <col min="5140" max="5140" width="12" style="14" customWidth="1"/>
    <col min="5141" max="5141" width="11.28515625" style="14" customWidth="1"/>
    <col min="5142" max="5379" width="9.140625" style="14"/>
    <col min="5380" max="5380" width="5.7109375" style="14" customWidth="1"/>
    <col min="5381" max="5381" width="13.140625" style="14" customWidth="1"/>
    <col min="5382" max="5382" width="12.28515625" style="14" customWidth="1"/>
    <col min="5383" max="5383" width="8.85546875" style="14" customWidth="1"/>
    <col min="5384" max="5384" width="10.85546875" style="14" customWidth="1"/>
    <col min="5385" max="5385" width="2.85546875" style="14" customWidth="1"/>
    <col min="5386" max="5386" width="12.140625" style="14" customWidth="1"/>
    <col min="5387" max="5387" width="10.140625" style="14" customWidth="1"/>
    <col min="5388" max="5388" width="11.7109375" style="14" customWidth="1"/>
    <col min="5389" max="5389" width="11.42578125" style="14" customWidth="1"/>
    <col min="5390" max="5390" width="12.7109375" style="14" customWidth="1"/>
    <col min="5391" max="5391" width="11.42578125" style="14" customWidth="1"/>
    <col min="5392" max="5392" width="10.7109375" style="14" customWidth="1"/>
    <col min="5393" max="5393" width="10.5703125" style="14" customWidth="1"/>
    <col min="5394" max="5394" width="11.28515625" style="14" customWidth="1"/>
    <col min="5395" max="5395" width="9.7109375" style="14" customWidth="1"/>
    <col min="5396" max="5396" width="12" style="14" customWidth="1"/>
    <col min="5397" max="5397" width="11.28515625" style="14" customWidth="1"/>
    <col min="5398" max="5635" width="9.140625" style="14"/>
    <col min="5636" max="5636" width="5.7109375" style="14" customWidth="1"/>
    <col min="5637" max="5637" width="13.140625" style="14" customWidth="1"/>
    <col min="5638" max="5638" width="12.28515625" style="14" customWidth="1"/>
    <col min="5639" max="5639" width="8.85546875" style="14" customWidth="1"/>
    <col min="5640" max="5640" width="10.85546875" style="14" customWidth="1"/>
    <col min="5641" max="5641" width="2.85546875" style="14" customWidth="1"/>
    <col min="5642" max="5642" width="12.140625" style="14" customWidth="1"/>
    <col min="5643" max="5643" width="10.140625" style="14" customWidth="1"/>
    <col min="5644" max="5644" width="11.7109375" style="14" customWidth="1"/>
    <col min="5645" max="5645" width="11.42578125" style="14" customWidth="1"/>
    <col min="5646" max="5646" width="12.7109375" style="14" customWidth="1"/>
    <col min="5647" max="5647" width="11.42578125" style="14" customWidth="1"/>
    <col min="5648" max="5648" width="10.7109375" style="14" customWidth="1"/>
    <col min="5649" max="5649" width="10.5703125" style="14" customWidth="1"/>
    <col min="5650" max="5650" width="11.28515625" style="14" customWidth="1"/>
    <col min="5651" max="5651" width="9.7109375" style="14" customWidth="1"/>
    <col min="5652" max="5652" width="12" style="14" customWidth="1"/>
    <col min="5653" max="5653" width="11.28515625" style="14" customWidth="1"/>
    <col min="5654" max="5891" width="9.140625" style="14"/>
    <col min="5892" max="5892" width="5.7109375" style="14" customWidth="1"/>
    <col min="5893" max="5893" width="13.140625" style="14" customWidth="1"/>
    <col min="5894" max="5894" width="12.28515625" style="14" customWidth="1"/>
    <col min="5895" max="5895" width="8.85546875" style="14" customWidth="1"/>
    <col min="5896" max="5896" width="10.85546875" style="14" customWidth="1"/>
    <col min="5897" max="5897" width="2.85546875" style="14" customWidth="1"/>
    <col min="5898" max="5898" width="12.140625" style="14" customWidth="1"/>
    <col min="5899" max="5899" width="10.140625" style="14" customWidth="1"/>
    <col min="5900" max="5900" width="11.7109375" style="14" customWidth="1"/>
    <col min="5901" max="5901" width="11.42578125" style="14" customWidth="1"/>
    <col min="5902" max="5902" width="12.7109375" style="14" customWidth="1"/>
    <col min="5903" max="5903" width="11.42578125" style="14" customWidth="1"/>
    <col min="5904" max="5904" width="10.7109375" style="14" customWidth="1"/>
    <col min="5905" max="5905" width="10.5703125" style="14" customWidth="1"/>
    <col min="5906" max="5906" width="11.28515625" style="14" customWidth="1"/>
    <col min="5907" max="5907" width="9.7109375" style="14" customWidth="1"/>
    <col min="5908" max="5908" width="12" style="14" customWidth="1"/>
    <col min="5909" max="5909" width="11.28515625" style="14" customWidth="1"/>
    <col min="5910" max="6147" width="9.140625" style="14"/>
    <col min="6148" max="6148" width="5.7109375" style="14" customWidth="1"/>
    <col min="6149" max="6149" width="13.140625" style="14" customWidth="1"/>
    <col min="6150" max="6150" width="12.28515625" style="14" customWidth="1"/>
    <col min="6151" max="6151" width="8.85546875" style="14" customWidth="1"/>
    <col min="6152" max="6152" width="10.85546875" style="14" customWidth="1"/>
    <col min="6153" max="6153" width="2.85546875" style="14" customWidth="1"/>
    <col min="6154" max="6154" width="12.140625" style="14" customWidth="1"/>
    <col min="6155" max="6155" width="10.140625" style="14" customWidth="1"/>
    <col min="6156" max="6156" width="11.7109375" style="14" customWidth="1"/>
    <col min="6157" max="6157" width="11.42578125" style="14" customWidth="1"/>
    <col min="6158" max="6158" width="12.7109375" style="14" customWidth="1"/>
    <col min="6159" max="6159" width="11.42578125" style="14" customWidth="1"/>
    <col min="6160" max="6160" width="10.7109375" style="14" customWidth="1"/>
    <col min="6161" max="6161" width="10.5703125" style="14" customWidth="1"/>
    <col min="6162" max="6162" width="11.28515625" style="14" customWidth="1"/>
    <col min="6163" max="6163" width="9.7109375" style="14" customWidth="1"/>
    <col min="6164" max="6164" width="12" style="14" customWidth="1"/>
    <col min="6165" max="6165" width="11.28515625" style="14" customWidth="1"/>
    <col min="6166" max="6403" width="9.140625" style="14"/>
    <col min="6404" max="6404" width="5.7109375" style="14" customWidth="1"/>
    <col min="6405" max="6405" width="13.140625" style="14" customWidth="1"/>
    <col min="6406" max="6406" width="12.28515625" style="14" customWidth="1"/>
    <col min="6407" max="6407" width="8.85546875" style="14" customWidth="1"/>
    <col min="6408" max="6408" width="10.85546875" style="14" customWidth="1"/>
    <col min="6409" max="6409" width="2.85546875" style="14" customWidth="1"/>
    <col min="6410" max="6410" width="12.140625" style="14" customWidth="1"/>
    <col min="6411" max="6411" width="10.140625" style="14" customWidth="1"/>
    <col min="6412" max="6412" width="11.7109375" style="14" customWidth="1"/>
    <col min="6413" max="6413" width="11.42578125" style="14" customWidth="1"/>
    <col min="6414" max="6414" width="12.7109375" style="14" customWidth="1"/>
    <col min="6415" max="6415" width="11.42578125" style="14" customWidth="1"/>
    <col min="6416" max="6416" width="10.7109375" style="14" customWidth="1"/>
    <col min="6417" max="6417" width="10.5703125" style="14" customWidth="1"/>
    <col min="6418" max="6418" width="11.28515625" style="14" customWidth="1"/>
    <col min="6419" max="6419" width="9.7109375" style="14" customWidth="1"/>
    <col min="6420" max="6420" width="12" style="14" customWidth="1"/>
    <col min="6421" max="6421" width="11.28515625" style="14" customWidth="1"/>
    <col min="6422" max="6659" width="9.140625" style="14"/>
    <col min="6660" max="6660" width="5.7109375" style="14" customWidth="1"/>
    <col min="6661" max="6661" width="13.140625" style="14" customWidth="1"/>
    <col min="6662" max="6662" width="12.28515625" style="14" customWidth="1"/>
    <col min="6663" max="6663" width="8.85546875" style="14" customWidth="1"/>
    <col min="6664" max="6664" width="10.85546875" style="14" customWidth="1"/>
    <col min="6665" max="6665" width="2.85546875" style="14" customWidth="1"/>
    <col min="6666" max="6666" width="12.140625" style="14" customWidth="1"/>
    <col min="6667" max="6667" width="10.140625" style="14" customWidth="1"/>
    <col min="6668" max="6668" width="11.7109375" style="14" customWidth="1"/>
    <col min="6669" max="6669" width="11.42578125" style="14" customWidth="1"/>
    <col min="6670" max="6670" width="12.7109375" style="14" customWidth="1"/>
    <col min="6671" max="6671" width="11.42578125" style="14" customWidth="1"/>
    <col min="6672" max="6672" width="10.7109375" style="14" customWidth="1"/>
    <col min="6673" max="6673" width="10.5703125" style="14" customWidth="1"/>
    <col min="6674" max="6674" width="11.28515625" style="14" customWidth="1"/>
    <col min="6675" max="6675" width="9.7109375" style="14" customWidth="1"/>
    <col min="6676" max="6676" width="12" style="14" customWidth="1"/>
    <col min="6677" max="6677" width="11.28515625" style="14" customWidth="1"/>
    <col min="6678" max="6915" width="9.140625" style="14"/>
    <col min="6916" max="6916" width="5.7109375" style="14" customWidth="1"/>
    <col min="6917" max="6917" width="13.140625" style="14" customWidth="1"/>
    <col min="6918" max="6918" width="12.28515625" style="14" customWidth="1"/>
    <col min="6919" max="6919" width="8.85546875" style="14" customWidth="1"/>
    <col min="6920" max="6920" width="10.85546875" style="14" customWidth="1"/>
    <col min="6921" max="6921" width="2.85546875" style="14" customWidth="1"/>
    <col min="6922" max="6922" width="12.140625" style="14" customWidth="1"/>
    <col min="6923" max="6923" width="10.140625" style="14" customWidth="1"/>
    <col min="6924" max="6924" width="11.7109375" style="14" customWidth="1"/>
    <col min="6925" max="6925" width="11.42578125" style="14" customWidth="1"/>
    <col min="6926" max="6926" width="12.7109375" style="14" customWidth="1"/>
    <col min="6927" max="6927" width="11.42578125" style="14" customWidth="1"/>
    <col min="6928" max="6928" width="10.7109375" style="14" customWidth="1"/>
    <col min="6929" max="6929" width="10.5703125" style="14" customWidth="1"/>
    <col min="6930" max="6930" width="11.28515625" style="14" customWidth="1"/>
    <col min="6931" max="6931" width="9.7109375" style="14" customWidth="1"/>
    <col min="6932" max="6932" width="12" style="14" customWidth="1"/>
    <col min="6933" max="6933" width="11.28515625" style="14" customWidth="1"/>
    <col min="6934" max="7171" width="9.140625" style="14"/>
    <col min="7172" max="7172" width="5.7109375" style="14" customWidth="1"/>
    <col min="7173" max="7173" width="13.140625" style="14" customWidth="1"/>
    <col min="7174" max="7174" width="12.28515625" style="14" customWidth="1"/>
    <col min="7175" max="7175" width="8.85546875" style="14" customWidth="1"/>
    <col min="7176" max="7176" width="10.85546875" style="14" customWidth="1"/>
    <col min="7177" max="7177" width="2.85546875" style="14" customWidth="1"/>
    <col min="7178" max="7178" width="12.140625" style="14" customWidth="1"/>
    <col min="7179" max="7179" width="10.140625" style="14" customWidth="1"/>
    <col min="7180" max="7180" width="11.7109375" style="14" customWidth="1"/>
    <col min="7181" max="7181" width="11.42578125" style="14" customWidth="1"/>
    <col min="7182" max="7182" width="12.7109375" style="14" customWidth="1"/>
    <col min="7183" max="7183" width="11.42578125" style="14" customWidth="1"/>
    <col min="7184" max="7184" width="10.7109375" style="14" customWidth="1"/>
    <col min="7185" max="7185" width="10.5703125" style="14" customWidth="1"/>
    <col min="7186" max="7186" width="11.28515625" style="14" customWidth="1"/>
    <col min="7187" max="7187" width="9.7109375" style="14" customWidth="1"/>
    <col min="7188" max="7188" width="12" style="14" customWidth="1"/>
    <col min="7189" max="7189" width="11.28515625" style="14" customWidth="1"/>
    <col min="7190" max="7427" width="9.140625" style="14"/>
    <col min="7428" max="7428" width="5.7109375" style="14" customWidth="1"/>
    <col min="7429" max="7429" width="13.140625" style="14" customWidth="1"/>
    <col min="7430" max="7430" width="12.28515625" style="14" customWidth="1"/>
    <col min="7431" max="7431" width="8.85546875" style="14" customWidth="1"/>
    <col min="7432" max="7432" width="10.85546875" style="14" customWidth="1"/>
    <col min="7433" max="7433" width="2.85546875" style="14" customWidth="1"/>
    <col min="7434" max="7434" width="12.140625" style="14" customWidth="1"/>
    <col min="7435" max="7435" width="10.140625" style="14" customWidth="1"/>
    <col min="7436" max="7436" width="11.7109375" style="14" customWidth="1"/>
    <col min="7437" max="7437" width="11.42578125" style="14" customWidth="1"/>
    <col min="7438" max="7438" width="12.7109375" style="14" customWidth="1"/>
    <col min="7439" max="7439" width="11.42578125" style="14" customWidth="1"/>
    <col min="7440" max="7440" width="10.7109375" style="14" customWidth="1"/>
    <col min="7441" max="7441" width="10.5703125" style="14" customWidth="1"/>
    <col min="7442" max="7442" width="11.28515625" style="14" customWidth="1"/>
    <col min="7443" max="7443" width="9.7109375" style="14" customWidth="1"/>
    <col min="7444" max="7444" width="12" style="14" customWidth="1"/>
    <col min="7445" max="7445" width="11.28515625" style="14" customWidth="1"/>
    <col min="7446" max="7683" width="9.140625" style="14"/>
    <col min="7684" max="7684" width="5.7109375" style="14" customWidth="1"/>
    <col min="7685" max="7685" width="13.140625" style="14" customWidth="1"/>
    <col min="7686" max="7686" width="12.28515625" style="14" customWidth="1"/>
    <col min="7687" max="7687" width="8.85546875" style="14" customWidth="1"/>
    <col min="7688" max="7688" width="10.85546875" style="14" customWidth="1"/>
    <col min="7689" max="7689" width="2.85546875" style="14" customWidth="1"/>
    <col min="7690" max="7690" width="12.140625" style="14" customWidth="1"/>
    <col min="7691" max="7691" width="10.140625" style="14" customWidth="1"/>
    <col min="7692" max="7692" width="11.7109375" style="14" customWidth="1"/>
    <col min="7693" max="7693" width="11.42578125" style="14" customWidth="1"/>
    <col min="7694" max="7694" width="12.7109375" style="14" customWidth="1"/>
    <col min="7695" max="7695" width="11.42578125" style="14" customWidth="1"/>
    <col min="7696" max="7696" width="10.7109375" style="14" customWidth="1"/>
    <col min="7697" max="7697" width="10.5703125" style="14" customWidth="1"/>
    <col min="7698" max="7698" width="11.28515625" style="14" customWidth="1"/>
    <col min="7699" max="7699" width="9.7109375" style="14" customWidth="1"/>
    <col min="7700" max="7700" width="12" style="14" customWidth="1"/>
    <col min="7701" max="7701" width="11.28515625" style="14" customWidth="1"/>
    <col min="7702" max="7939" width="9.140625" style="14"/>
    <col min="7940" max="7940" width="5.7109375" style="14" customWidth="1"/>
    <col min="7941" max="7941" width="13.140625" style="14" customWidth="1"/>
    <col min="7942" max="7942" width="12.28515625" style="14" customWidth="1"/>
    <col min="7943" max="7943" width="8.85546875" style="14" customWidth="1"/>
    <col min="7944" max="7944" width="10.85546875" style="14" customWidth="1"/>
    <col min="7945" max="7945" width="2.85546875" style="14" customWidth="1"/>
    <col min="7946" max="7946" width="12.140625" style="14" customWidth="1"/>
    <col min="7947" max="7947" width="10.140625" style="14" customWidth="1"/>
    <col min="7948" max="7948" width="11.7109375" style="14" customWidth="1"/>
    <col min="7949" max="7949" width="11.42578125" style="14" customWidth="1"/>
    <col min="7950" max="7950" width="12.7109375" style="14" customWidth="1"/>
    <col min="7951" max="7951" width="11.42578125" style="14" customWidth="1"/>
    <col min="7952" max="7952" width="10.7109375" style="14" customWidth="1"/>
    <col min="7953" max="7953" width="10.5703125" style="14" customWidth="1"/>
    <col min="7954" max="7954" width="11.28515625" style="14" customWidth="1"/>
    <col min="7955" max="7955" width="9.7109375" style="14" customWidth="1"/>
    <col min="7956" max="7956" width="12" style="14" customWidth="1"/>
    <col min="7957" max="7957" width="11.28515625" style="14" customWidth="1"/>
    <col min="7958" max="8195" width="9.140625" style="14"/>
    <col min="8196" max="8196" width="5.7109375" style="14" customWidth="1"/>
    <col min="8197" max="8197" width="13.140625" style="14" customWidth="1"/>
    <col min="8198" max="8198" width="12.28515625" style="14" customWidth="1"/>
    <col min="8199" max="8199" width="8.85546875" style="14" customWidth="1"/>
    <col min="8200" max="8200" width="10.85546875" style="14" customWidth="1"/>
    <col min="8201" max="8201" width="2.85546875" style="14" customWidth="1"/>
    <col min="8202" max="8202" width="12.140625" style="14" customWidth="1"/>
    <col min="8203" max="8203" width="10.140625" style="14" customWidth="1"/>
    <col min="8204" max="8204" width="11.7109375" style="14" customWidth="1"/>
    <col min="8205" max="8205" width="11.42578125" style="14" customWidth="1"/>
    <col min="8206" max="8206" width="12.7109375" style="14" customWidth="1"/>
    <col min="8207" max="8207" width="11.42578125" style="14" customWidth="1"/>
    <col min="8208" max="8208" width="10.7109375" style="14" customWidth="1"/>
    <col min="8209" max="8209" width="10.5703125" style="14" customWidth="1"/>
    <col min="8210" max="8210" width="11.28515625" style="14" customWidth="1"/>
    <col min="8211" max="8211" width="9.7109375" style="14" customWidth="1"/>
    <col min="8212" max="8212" width="12" style="14" customWidth="1"/>
    <col min="8213" max="8213" width="11.28515625" style="14" customWidth="1"/>
    <col min="8214" max="8451" width="9.140625" style="14"/>
    <col min="8452" max="8452" width="5.7109375" style="14" customWidth="1"/>
    <col min="8453" max="8453" width="13.140625" style="14" customWidth="1"/>
    <col min="8454" max="8454" width="12.28515625" style="14" customWidth="1"/>
    <col min="8455" max="8455" width="8.85546875" style="14" customWidth="1"/>
    <col min="8456" max="8456" width="10.85546875" style="14" customWidth="1"/>
    <col min="8457" max="8457" width="2.85546875" style="14" customWidth="1"/>
    <col min="8458" max="8458" width="12.140625" style="14" customWidth="1"/>
    <col min="8459" max="8459" width="10.140625" style="14" customWidth="1"/>
    <col min="8460" max="8460" width="11.7109375" style="14" customWidth="1"/>
    <col min="8461" max="8461" width="11.42578125" style="14" customWidth="1"/>
    <col min="8462" max="8462" width="12.7109375" style="14" customWidth="1"/>
    <col min="8463" max="8463" width="11.42578125" style="14" customWidth="1"/>
    <col min="8464" max="8464" width="10.7109375" style="14" customWidth="1"/>
    <col min="8465" max="8465" width="10.5703125" style="14" customWidth="1"/>
    <col min="8466" max="8466" width="11.28515625" style="14" customWidth="1"/>
    <col min="8467" max="8467" width="9.7109375" style="14" customWidth="1"/>
    <col min="8468" max="8468" width="12" style="14" customWidth="1"/>
    <col min="8469" max="8469" width="11.28515625" style="14" customWidth="1"/>
    <col min="8470" max="8707" width="9.140625" style="14"/>
    <col min="8708" max="8708" width="5.7109375" style="14" customWidth="1"/>
    <col min="8709" max="8709" width="13.140625" style="14" customWidth="1"/>
    <col min="8710" max="8710" width="12.28515625" style="14" customWidth="1"/>
    <col min="8711" max="8711" width="8.85546875" style="14" customWidth="1"/>
    <col min="8712" max="8712" width="10.85546875" style="14" customWidth="1"/>
    <col min="8713" max="8713" width="2.85546875" style="14" customWidth="1"/>
    <col min="8714" max="8714" width="12.140625" style="14" customWidth="1"/>
    <col min="8715" max="8715" width="10.140625" style="14" customWidth="1"/>
    <col min="8716" max="8716" width="11.7109375" style="14" customWidth="1"/>
    <col min="8717" max="8717" width="11.42578125" style="14" customWidth="1"/>
    <col min="8718" max="8718" width="12.7109375" style="14" customWidth="1"/>
    <col min="8719" max="8719" width="11.42578125" style="14" customWidth="1"/>
    <col min="8720" max="8720" width="10.7109375" style="14" customWidth="1"/>
    <col min="8721" max="8721" width="10.5703125" style="14" customWidth="1"/>
    <col min="8722" max="8722" width="11.28515625" style="14" customWidth="1"/>
    <col min="8723" max="8723" width="9.7109375" style="14" customWidth="1"/>
    <col min="8724" max="8724" width="12" style="14" customWidth="1"/>
    <col min="8725" max="8725" width="11.28515625" style="14" customWidth="1"/>
    <col min="8726" max="8963" width="9.140625" style="14"/>
    <col min="8964" max="8964" width="5.7109375" style="14" customWidth="1"/>
    <col min="8965" max="8965" width="13.140625" style="14" customWidth="1"/>
    <col min="8966" max="8966" width="12.28515625" style="14" customWidth="1"/>
    <col min="8967" max="8967" width="8.85546875" style="14" customWidth="1"/>
    <col min="8968" max="8968" width="10.85546875" style="14" customWidth="1"/>
    <col min="8969" max="8969" width="2.85546875" style="14" customWidth="1"/>
    <col min="8970" max="8970" width="12.140625" style="14" customWidth="1"/>
    <col min="8971" max="8971" width="10.140625" style="14" customWidth="1"/>
    <col min="8972" max="8972" width="11.7109375" style="14" customWidth="1"/>
    <col min="8973" max="8973" width="11.42578125" style="14" customWidth="1"/>
    <col min="8974" max="8974" width="12.7109375" style="14" customWidth="1"/>
    <col min="8975" max="8975" width="11.42578125" style="14" customWidth="1"/>
    <col min="8976" max="8976" width="10.7109375" style="14" customWidth="1"/>
    <col min="8977" max="8977" width="10.5703125" style="14" customWidth="1"/>
    <col min="8978" max="8978" width="11.28515625" style="14" customWidth="1"/>
    <col min="8979" max="8979" width="9.7109375" style="14" customWidth="1"/>
    <col min="8980" max="8980" width="12" style="14" customWidth="1"/>
    <col min="8981" max="8981" width="11.28515625" style="14" customWidth="1"/>
    <col min="8982" max="9219" width="9.140625" style="14"/>
    <col min="9220" max="9220" width="5.7109375" style="14" customWidth="1"/>
    <col min="9221" max="9221" width="13.140625" style="14" customWidth="1"/>
    <col min="9222" max="9222" width="12.28515625" style="14" customWidth="1"/>
    <col min="9223" max="9223" width="8.85546875" style="14" customWidth="1"/>
    <col min="9224" max="9224" width="10.85546875" style="14" customWidth="1"/>
    <col min="9225" max="9225" width="2.85546875" style="14" customWidth="1"/>
    <col min="9226" max="9226" width="12.140625" style="14" customWidth="1"/>
    <col min="9227" max="9227" width="10.140625" style="14" customWidth="1"/>
    <col min="9228" max="9228" width="11.7109375" style="14" customWidth="1"/>
    <col min="9229" max="9229" width="11.42578125" style="14" customWidth="1"/>
    <col min="9230" max="9230" width="12.7109375" style="14" customWidth="1"/>
    <col min="9231" max="9231" width="11.42578125" style="14" customWidth="1"/>
    <col min="9232" max="9232" width="10.7109375" style="14" customWidth="1"/>
    <col min="9233" max="9233" width="10.5703125" style="14" customWidth="1"/>
    <col min="9234" max="9234" width="11.28515625" style="14" customWidth="1"/>
    <col min="9235" max="9235" width="9.7109375" style="14" customWidth="1"/>
    <col min="9236" max="9236" width="12" style="14" customWidth="1"/>
    <col min="9237" max="9237" width="11.28515625" style="14" customWidth="1"/>
    <col min="9238" max="9475" width="9.140625" style="14"/>
    <col min="9476" max="9476" width="5.7109375" style="14" customWidth="1"/>
    <col min="9477" max="9477" width="13.140625" style="14" customWidth="1"/>
    <col min="9478" max="9478" width="12.28515625" style="14" customWidth="1"/>
    <col min="9479" max="9479" width="8.85546875" style="14" customWidth="1"/>
    <col min="9480" max="9480" width="10.85546875" style="14" customWidth="1"/>
    <col min="9481" max="9481" width="2.85546875" style="14" customWidth="1"/>
    <col min="9482" max="9482" width="12.140625" style="14" customWidth="1"/>
    <col min="9483" max="9483" width="10.140625" style="14" customWidth="1"/>
    <col min="9484" max="9484" width="11.7109375" style="14" customWidth="1"/>
    <col min="9485" max="9485" width="11.42578125" style="14" customWidth="1"/>
    <col min="9486" max="9486" width="12.7109375" style="14" customWidth="1"/>
    <col min="9487" max="9487" width="11.42578125" style="14" customWidth="1"/>
    <col min="9488" max="9488" width="10.7109375" style="14" customWidth="1"/>
    <col min="9489" max="9489" width="10.5703125" style="14" customWidth="1"/>
    <col min="9490" max="9490" width="11.28515625" style="14" customWidth="1"/>
    <col min="9491" max="9491" width="9.7109375" style="14" customWidth="1"/>
    <col min="9492" max="9492" width="12" style="14" customWidth="1"/>
    <col min="9493" max="9493" width="11.28515625" style="14" customWidth="1"/>
    <col min="9494" max="9731" width="9.140625" style="14"/>
    <col min="9732" max="9732" width="5.7109375" style="14" customWidth="1"/>
    <col min="9733" max="9733" width="13.140625" style="14" customWidth="1"/>
    <col min="9734" max="9734" width="12.28515625" style="14" customWidth="1"/>
    <col min="9735" max="9735" width="8.85546875" style="14" customWidth="1"/>
    <col min="9736" max="9736" width="10.85546875" style="14" customWidth="1"/>
    <col min="9737" max="9737" width="2.85546875" style="14" customWidth="1"/>
    <col min="9738" max="9738" width="12.140625" style="14" customWidth="1"/>
    <col min="9739" max="9739" width="10.140625" style="14" customWidth="1"/>
    <col min="9740" max="9740" width="11.7109375" style="14" customWidth="1"/>
    <col min="9741" max="9741" width="11.42578125" style="14" customWidth="1"/>
    <col min="9742" max="9742" width="12.7109375" style="14" customWidth="1"/>
    <col min="9743" max="9743" width="11.42578125" style="14" customWidth="1"/>
    <col min="9744" max="9744" width="10.7109375" style="14" customWidth="1"/>
    <col min="9745" max="9745" width="10.5703125" style="14" customWidth="1"/>
    <col min="9746" max="9746" width="11.28515625" style="14" customWidth="1"/>
    <col min="9747" max="9747" width="9.7109375" style="14" customWidth="1"/>
    <col min="9748" max="9748" width="12" style="14" customWidth="1"/>
    <col min="9749" max="9749" width="11.28515625" style="14" customWidth="1"/>
    <col min="9750" max="9987" width="9.140625" style="14"/>
    <col min="9988" max="9988" width="5.7109375" style="14" customWidth="1"/>
    <col min="9989" max="9989" width="13.140625" style="14" customWidth="1"/>
    <col min="9990" max="9990" width="12.28515625" style="14" customWidth="1"/>
    <col min="9991" max="9991" width="8.85546875" style="14" customWidth="1"/>
    <col min="9992" max="9992" width="10.85546875" style="14" customWidth="1"/>
    <col min="9993" max="9993" width="2.85546875" style="14" customWidth="1"/>
    <col min="9994" max="9994" width="12.140625" style="14" customWidth="1"/>
    <col min="9995" max="9995" width="10.140625" style="14" customWidth="1"/>
    <col min="9996" max="9996" width="11.7109375" style="14" customWidth="1"/>
    <col min="9997" max="9997" width="11.42578125" style="14" customWidth="1"/>
    <col min="9998" max="9998" width="12.7109375" style="14" customWidth="1"/>
    <col min="9999" max="9999" width="11.42578125" style="14" customWidth="1"/>
    <col min="10000" max="10000" width="10.7109375" style="14" customWidth="1"/>
    <col min="10001" max="10001" width="10.5703125" style="14" customWidth="1"/>
    <col min="10002" max="10002" width="11.28515625" style="14" customWidth="1"/>
    <col min="10003" max="10003" width="9.7109375" style="14" customWidth="1"/>
    <col min="10004" max="10004" width="12" style="14" customWidth="1"/>
    <col min="10005" max="10005" width="11.28515625" style="14" customWidth="1"/>
    <col min="10006" max="10243" width="9.140625" style="14"/>
    <col min="10244" max="10244" width="5.7109375" style="14" customWidth="1"/>
    <col min="10245" max="10245" width="13.140625" style="14" customWidth="1"/>
    <col min="10246" max="10246" width="12.28515625" style="14" customWidth="1"/>
    <col min="10247" max="10247" width="8.85546875" style="14" customWidth="1"/>
    <col min="10248" max="10248" width="10.85546875" style="14" customWidth="1"/>
    <col min="10249" max="10249" width="2.85546875" style="14" customWidth="1"/>
    <col min="10250" max="10250" width="12.140625" style="14" customWidth="1"/>
    <col min="10251" max="10251" width="10.140625" style="14" customWidth="1"/>
    <col min="10252" max="10252" width="11.7109375" style="14" customWidth="1"/>
    <col min="10253" max="10253" width="11.42578125" style="14" customWidth="1"/>
    <col min="10254" max="10254" width="12.7109375" style="14" customWidth="1"/>
    <col min="10255" max="10255" width="11.42578125" style="14" customWidth="1"/>
    <col min="10256" max="10256" width="10.7109375" style="14" customWidth="1"/>
    <col min="10257" max="10257" width="10.5703125" style="14" customWidth="1"/>
    <col min="10258" max="10258" width="11.28515625" style="14" customWidth="1"/>
    <col min="10259" max="10259" width="9.7109375" style="14" customWidth="1"/>
    <col min="10260" max="10260" width="12" style="14" customWidth="1"/>
    <col min="10261" max="10261" width="11.28515625" style="14" customWidth="1"/>
    <col min="10262" max="10499" width="9.140625" style="14"/>
    <col min="10500" max="10500" width="5.7109375" style="14" customWidth="1"/>
    <col min="10501" max="10501" width="13.140625" style="14" customWidth="1"/>
    <col min="10502" max="10502" width="12.28515625" style="14" customWidth="1"/>
    <col min="10503" max="10503" width="8.85546875" style="14" customWidth="1"/>
    <col min="10504" max="10504" width="10.85546875" style="14" customWidth="1"/>
    <col min="10505" max="10505" width="2.85546875" style="14" customWidth="1"/>
    <col min="10506" max="10506" width="12.140625" style="14" customWidth="1"/>
    <col min="10507" max="10507" width="10.140625" style="14" customWidth="1"/>
    <col min="10508" max="10508" width="11.7109375" style="14" customWidth="1"/>
    <col min="10509" max="10509" width="11.42578125" style="14" customWidth="1"/>
    <col min="10510" max="10510" width="12.7109375" style="14" customWidth="1"/>
    <col min="10511" max="10511" width="11.42578125" style="14" customWidth="1"/>
    <col min="10512" max="10512" width="10.7109375" style="14" customWidth="1"/>
    <col min="10513" max="10513" width="10.5703125" style="14" customWidth="1"/>
    <col min="10514" max="10514" width="11.28515625" style="14" customWidth="1"/>
    <col min="10515" max="10515" width="9.7109375" style="14" customWidth="1"/>
    <col min="10516" max="10516" width="12" style="14" customWidth="1"/>
    <col min="10517" max="10517" width="11.28515625" style="14" customWidth="1"/>
    <col min="10518" max="10755" width="9.140625" style="14"/>
    <col min="10756" max="10756" width="5.7109375" style="14" customWidth="1"/>
    <col min="10757" max="10757" width="13.140625" style="14" customWidth="1"/>
    <col min="10758" max="10758" width="12.28515625" style="14" customWidth="1"/>
    <col min="10759" max="10759" width="8.85546875" style="14" customWidth="1"/>
    <col min="10760" max="10760" width="10.85546875" style="14" customWidth="1"/>
    <col min="10761" max="10761" width="2.85546875" style="14" customWidth="1"/>
    <col min="10762" max="10762" width="12.140625" style="14" customWidth="1"/>
    <col min="10763" max="10763" width="10.140625" style="14" customWidth="1"/>
    <col min="10764" max="10764" width="11.7109375" style="14" customWidth="1"/>
    <col min="10765" max="10765" width="11.42578125" style="14" customWidth="1"/>
    <col min="10766" max="10766" width="12.7109375" style="14" customWidth="1"/>
    <col min="10767" max="10767" width="11.42578125" style="14" customWidth="1"/>
    <col min="10768" max="10768" width="10.7109375" style="14" customWidth="1"/>
    <col min="10769" max="10769" width="10.5703125" style="14" customWidth="1"/>
    <col min="10770" max="10770" width="11.28515625" style="14" customWidth="1"/>
    <col min="10771" max="10771" width="9.7109375" style="14" customWidth="1"/>
    <col min="10772" max="10772" width="12" style="14" customWidth="1"/>
    <col min="10773" max="10773" width="11.28515625" style="14" customWidth="1"/>
    <col min="10774" max="11011" width="9.140625" style="14"/>
    <col min="11012" max="11012" width="5.7109375" style="14" customWidth="1"/>
    <col min="11013" max="11013" width="13.140625" style="14" customWidth="1"/>
    <col min="11014" max="11014" width="12.28515625" style="14" customWidth="1"/>
    <col min="11015" max="11015" width="8.85546875" style="14" customWidth="1"/>
    <col min="11016" max="11016" width="10.85546875" style="14" customWidth="1"/>
    <col min="11017" max="11017" width="2.85546875" style="14" customWidth="1"/>
    <col min="11018" max="11018" width="12.140625" style="14" customWidth="1"/>
    <col min="11019" max="11019" width="10.140625" style="14" customWidth="1"/>
    <col min="11020" max="11020" width="11.7109375" style="14" customWidth="1"/>
    <col min="11021" max="11021" width="11.42578125" style="14" customWidth="1"/>
    <col min="11022" max="11022" width="12.7109375" style="14" customWidth="1"/>
    <col min="11023" max="11023" width="11.42578125" style="14" customWidth="1"/>
    <col min="11024" max="11024" width="10.7109375" style="14" customWidth="1"/>
    <col min="11025" max="11025" width="10.5703125" style="14" customWidth="1"/>
    <col min="11026" max="11026" width="11.28515625" style="14" customWidth="1"/>
    <col min="11027" max="11027" width="9.7109375" style="14" customWidth="1"/>
    <col min="11028" max="11028" width="12" style="14" customWidth="1"/>
    <col min="11029" max="11029" width="11.28515625" style="14" customWidth="1"/>
    <col min="11030" max="11267" width="9.140625" style="14"/>
    <col min="11268" max="11268" width="5.7109375" style="14" customWidth="1"/>
    <col min="11269" max="11269" width="13.140625" style="14" customWidth="1"/>
    <col min="11270" max="11270" width="12.28515625" style="14" customWidth="1"/>
    <col min="11271" max="11271" width="8.85546875" style="14" customWidth="1"/>
    <col min="11272" max="11272" width="10.85546875" style="14" customWidth="1"/>
    <col min="11273" max="11273" width="2.85546875" style="14" customWidth="1"/>
    <col min="11274" max="11274" width="12.140625" style="14" customWidth="1"/>
    <col min="11275" max="11275" width="10.140625" style="14" customWidth="1"/>
    <col min="11276" max="11276" width="11.7109375" style="14" customWidth="1"/>
    <col min="11277" max="11277" width="11.42578125" style="14" customWidth="1"/>
    <col min="11278" max="11278" width="12.7109375" style="14" customWidth="1"/>
    <col min="11279" max="11279" width="11.42578125" style="14" customWidth="1"/>
    <col min="11280" max="11280" width="10.7109375" style="14" customWidth="1"/>
    <col min="11281" max="11281" width="10.5703125" style="14" customWidth="1"/>
    <col min="11282" max="11282" width="11.28515625" style="14" customWidth="1"/>
    <col min="11283" max="11283" width="9.7109375" style="14" customWidth="1"/>
    <col min="11284" max="11284" width="12" style="14" customWidth="1"/>
    <col min="11285" max="11285" width="11.28515625" style="14" customWidth="1"/>
    <col min="11286" max="11523" width="9.140625" style="14"/>
    <col min="11524" max="11524" width="5.7109375" style="14" customWidth="1"/>
    <col min="11525" max="11525" width="13.140625" style="14" customWidth="1"/>
    <col min="11526" max="11526" width="12.28515625" style="14" customWidth="1"/>
    <col min="11527" max="11527" width="8.85546875" style="14" customWidth="1"/>
    <col min="11528" max="11528" width="10.85546875" style="14" customWidth="1"/>
    <col min="11529" max="11529" width="2.85546875" style="14" customWidth="1"/>
    <col min="11530" max="11530" width="12.140625" style="14" customWidth="1"/>
    <col min="11531" max="11531" width="10.140625" style="14" customWidth="1"/>
    <col min="11532" max="11532" width="11.7109375" style="14" customWidth="1"/>
    <col min="11533" max="11533" width="11.42578125" style="14" customWidth="1"/>
    <col min="11534" max="11534" width="12.7109375" style="14" customWidth="1"/>
    <col min="11535" max="11535" width="11.42578125" style="14" customWidth="1"/>
    <col min="11536" max="11536" width="10.7109375" style="14" customWidth="1"/>
    <col min="11537" max="11537" width="10.5703125" style="14" customWidth="1"/>
    <col min="11538" max="11538" width="11.28515625" style="14" customWidth="1"/>
    <col min="11539" max="11539" width="9.7109375" style="14" customWidth="1"/>
    <col min="11540" max="11540" width="12" style="14" customWidth="1"/>
    <col min="11541" max="11541" width="11.28515625" style="14" customWidth="1"/>
    <col min="11542" max="11779" width="9.140625" style="14"/>
    <col min="11780" max="11780" width="5.7109375" style="14" customWidth="1"/>
    <col min="11781" max="11781" width="13.140625" style="14" customWidth="1"/>
    <col min="11782" max="11782" width="12.28515625" style="14" customWidth="1"/>
    <col min="11783" max="11783" width="8.85546875" style="14" customWidth="1"/>
    <col min="11784" max="11784" width="10.85546875" style="14" customWidth="1"/>
    <col min="11785" max="11785" width="2.85546875" style="14" customWidth="1"/>
    <col min="11786" max="11786" width="12.140625" style="14" customWidth="1"/>
    <col min="11787" max="11787" width="10.140625" style="14" customWidth="1"/>
    <col min="11788" max="11788" width="11.7109375" style="14" customWidth="1"/>
    <col min="11789" max="11789" width="11.42578125" style="14" customWidth="1"/>
    <col min="11790" max="11790" width="12.7109375" style="14" customWidth="1"/>
    <col min="11791" max="11791" width="11.42578125" style="14" customWidth="1"/>
    <col min="11792" max="11792" width="10.7109375" style="14" customWidth="1"/>
    <col min="11793" max="11793" width="10.5703125" style="14" customWidth="1"/>
    <col min="11794" max="11794" width="11.28515625" style="14" customWidth="1"/>
    <col min="11795" max="11795" width="9.7109375" style="14" customWidth="1"/>
    <col min="11796" max="11796" width="12" style="14" customWidth="1"/>
    <col min="11797" max="11797" width="11.28515625" style="14" customWidth="1"/>
    <col min="11798" max="12035" width="9.140625" style="14"/>
    <col min="12036" max="12036" width="5.7109375" style="14" customWidth="1"/>
    <col min="12037" max="12037" width="13.140625" style="14" customWidth="1"/>
    <col min="12038" max="12038" width="12.28515625" style="14" customWidth="1"/>
    <col min="12039" max="12039" width="8.85546875" style="14" customWidth="1"/>
    <col min="12040" max="12040" width="10.85546875" style="14" customWidth="1"/>
    <col min="12041" max="12041" width="2.85546875" style="14" customWidth="1"/>
    <col min="12042" max="12042" width="12.140625" style="14" customWidth="1"/>
    <col min="12043" max="12043" width="10.140625" style="14" customWidth="1"/>
    <col min="12044" max="12044" width="11.7109375" style="14" customWidth="1"/>
    <col min="12045" max="12045" width="11.42578125" style="14" customWidth="1"/>
    <col min="12046" max="12046" width="12.7109375" style="14" customWidth="1"/>
    <col min="12047" max="12047" width="11.42578125" style="14" customWidth="1"/>
    <col min="12048" max="12048" width="10.7109375" style="14" customWidth="1"/>
    <col min="12049" max="12049" width="10.5703125" style="14" customWidth="1"/>
    <col min="12050" max="12050" width="11.28515625" style="14" customWidth="1"/>
    <col min="12051" max="12051" width="9.7109375" style="14" customWidth="1"/>
    <col min="12052" max="12052" width="12" style="14" customWidth="1"/>
    <col min="12053" max="12053" width="11.28515625" style="14" customWidth="1"/>
    <col min="12054" max="12291" width="9.140625" style="14"/>
    <col min="12292" max="12292" width="5.7109375" style="14" customWidth="1"/>
    <col min="12293" max="12293" width="13.140625" style="14" customWidth="1"/>
    <col min="12294" max="12294" width="12.28515625" style="14" customWidth="1"/>
    <col min="12295" max="12295" width="8.85546875" style="14" customWidth="1"/>
    <col min="12296" max="12296" width="10.85546875" style="14" customWidth="1"/>
    <col min="12297" max="12297" width="2.85546875" style="14" customWidth="1"/>
    <col min="12298" max="12298" width="12.140625" style="14" customWidth="1"/>
    <col min="12299" max="12299" width="10.140625" style="14" customWidth="1"/>
    <col min="12300" max="12300" width="11.7109375" style="14" customWidth="1"/>
    <col min="12301" max="12301" width="11.42578125" style="14" customWidth="1"/>
    <col min="12302" max="12302" width="12.7109375" style="14" customWidth="1"/>
    <col min="12303" max="12303" width="11.42578125" style="14" customWidth="1"/>
    <col min="12304" max="12304" width="10.7109375" style="14" customWidth="1"/>
    <col min="12305" max="12305" width="10.5703125" style="14" customWidth="1"/>
    <col min="12306" max="12306" width="11.28515625" style="14" customWidth="1"/>
    <col min="12307" max="12307" width="9.7109375" style="14" customWidth="1"/>
    <col min="12308" max="12308" width="12" style="14" customWidth="1"/>
    <col min="12309" max="12309" width="11.28515625" style="14" customWidth="1"/>
    <col min="12310" max="12547" width="9.140625" style="14"/>
    <col min="12548" max="12548" width="5.7109375" style="14" customWidth="1"/>
    <col min="12549" max="12549" width="13.140625" style="14" customWidth="1"/>
    <col min="12550" max="12550" width="12.28515625" style="14" customWidth="1"/>
    <col min="12551" max="12551" width="8.85546875" style="14" customWidth="1"/>
    <col min="12552" max="12552" width="10.85546875" style="14" customWidth="1"/>
    <col min="12553" max="12553" width="2.85546875" style="14" customWidth="1"/>
    <col min="12554" max="12554" width="12.140625" style="14" customWidth="1"/>
    <col min="12555" max="12555" width="10.140625" style="14" customWidth="1"/>
    <col min="12556" max="12556" width="11.7109375" style="14" customWidth="1"/>
    <col min="12557" max="12557" width="11.42578125" style="14" customWidth="1"/>
    <col min="12558" max="12558" width="12.7109375" style="14" customWidth="1"/>
    <col min="12559" max="12559" width="11.42578125" style="14" customWidth="1"/>
    <col min="12560" max="12560" width="10.7109375" style="14" customWidth="1"/>
    <col min="12561" max="12561" width="10.5703125" style="14" customWidth="1"/>
    <col min="12562" max="12562" width="11.28515625" style="14" customWidth="1"/>
    <col min="12563" max="12563" width="9.7109375" style="14" customWidth="1"/>
    <col min="12564" max="12564" width="12" style="14" customWidth="1"/>
    <col min="12565" max="12565" width="11.28515625" style="14" customWidth="1"/>
    <col min="12566" max="12803" width="9.140625" style="14"/>
    <col min="12804" max="12804" width="5.7109375" style="14" customWidth="1"/>
    <col min="12805" max="12805" width="13.140625" style="14" customWidth="1"/>
    <col min="12806" max="12806" width="12.28515625" style="14" customWidth="1"/>
    <col min="12807" max="12807" width="8.85546875" style="14" customWidth="1"/>
    <col min="12808" max="12808" width="10.85546875" style="14" customWidth="1"/>
    <col min="12809" max="12809" width="2.85546875" style="14" customWidth="1"/>
    <col min="12810" max="12810" width="12.140625" style="14" customWidth="1"/>
    <col min="12811" max="12811" width="10.140625" style="14" customWidth="1"/>
    <col min="12812" max="12812" width="11.7109375" style="14" customWidth="1"/>
    <col min="12813" max="12813" width="11.42578125" style="14" customWidth="1"/>
    <col min="12814" max="12814" width="12.7109375" style="14" customWidth="1"/>
    <col min="12815" max="12815" width="11.42578125" style="14" customWidth="1"/>
    <col min="12816" max="12816" width="10.7109375" style="14" customWidth="1"/>
    <col min="12817" max="12817" width="10.5703125" style="14" customWidth="1"/>
    <col min="12818" max="12818" width="11.28515625" style="14" customWidth="1"/>
    <col min="12819" max="12819" width="9.7109375" style="14" customWidth="1"/>
    <col min="12820" max="12820" width="12" style="14" customWidth="1"/>
    <col min="12821" max="12821" width="11.28515625" style="14" customWidth="1"/>
    <col min="12822" max="13059" width="9.140625" style="14"/>
    <col min="13060" max="13060" width="5.7109375" style="14" customWidth="1"/>
    <col min="13061" max="13061" width="13.140625" style="14" customWidth="1"/>
    <col min="13062" max="13062" width="12.28515625" style="14" customWidth="1"/>
    <col min="13063" max="13063" width="8.85546875" style="14" customWidth="1"/>
    <col min="13064" max="13064" width="10.85546875" style="14" customWidth="1"/>
    <col min="13065" max="13065" width="2.85546875" style="14" customWidth="1"/>
    <col min="13066" max="13066" width="12.140625" style="14" customWidth="1"/>
    <col min="13067" max="13067" width="10.140625" style="14" customWidth="1"/>
    <col min="13068" max="13068" width="11.7109375" style="14" customWidth="1"/>
    <col min="13069" max="13069" width="11.42578125" style="14" customWidth="1"/>
    <col min="13070" max="13070" width="12.7109375" style="14" customWidth="1"/>
    <col min="13071" max="13071" width="11.42578125" style="14" customWidth="1"/>
    <col min="13072" max="13072" width="10.7109375" style="14" customWidth="1"/>
    <col min="13073" max="13073" width="10.5703125" style="14" customWidth="1"/>
    <col min="13074" max="13074" width="11.28515625" style="14" customWidth="1"/>
    <col min="13075" max="13075" width="9.7109375" style="14" customWidth="1"/>
    <col min="13076" max="13076" width="12" style="14" customWidth="1"/>
    <col min="13077" max="13077" width="11.28515625" style="14" customWidth="1"/>
    <col min="13078" max="13315" width="9.140625" style="14"/>
    <col min="13316" max="13316" width="5.7109375" style="14" customWidth="1"/>
    <col min="13317" max="13317" width="13.140625" style="14" customWidth="1"/>
    <col min="13318" max="13318" width="12.28515625" style="14" customWidth="1"/>
    <col min="13319" max="13319" width="8.85546875" style="14" customWidth="1"/>
    <col min="13320" max="13320" width="10.85546875" style="14" customWidth="1"/>
    <col min="13321" max="13321" width="2.85546875" style="14" customWidth="1"/>
    <col min="13322" max="13322" width="12.140625" style="14" customWidth="1"/>
    <col min="13323" max="13323" width="10.140625" style="14" customWidth="1"/>
    <col min="13324" max="13324" width="11.7109375" style="14" customWidth="1"/>
    <col min="13325" max="13325" width="11.42578125" style="14" customWidth="1"/>
    <col min="13326" max="13326" width="12.7109375" style="14" customWidth="1"/>
    <col min="13327" max="13327" width="11.42578125" style="14" customWidth="1"/>
    <col min="13328" max="13328" width="10.7109375" style="14" customWidth="1"/>
    <col min="13329" max="13329" width="10.5703125" style="14" customWidth="1"/>
    <col min="13330" max="13330" width="11.28515625" style="14" customWidth="1"/>
    <col min="13331" max="13331" width="9.7109375" style="14" customWidth="1"/>
    <col min="13332" max="13332" width="12" style="14" customWidth="1"/>
    <col min="13333" max="13333" width="11.28515625" style="14" customWidth="1"/>
    <col min="13334" max="13571" width="9.140625" style="14"/>
    <col min="13572" max="13572" width="5.7109375" style="14" customWidth="1"/>
    <col min="13573" max="13573" width="13.140625" style="14" customWidth="1"/>
    <col min="13574" max="13574" width="12.28515625" style="14" customWidth="1"/>
    <col min="13575" max="13575" width="8.85546875" style="14" customWidth="1"/>
    <col min="13576" max="13576" width="10.85546875" style="14" customWidth="1"/>
    <col min="13577" max="13577" width="2.85546875" style="14" customWidth="1"/>
    <col min="13578" max="13578" width="12.140625" style="14" customWidth="1"/>
    <col min="13579" max="13579" width="10.140625" style="14" customWidth="1"/>
    <col min="13580" max="13580" width="11.7109375" style="14" customWidth="1"/>
    <col min="13581" max="13581" width="11.42578125" style="14" customWidth="1"/>
    <col min="13582" max="13582" width="12.7109375" style="14" customWidth="1"/>
    <col min="13583" max="13583" width="11.42578125" style="14" customWidth="1"/>
    <col min="13584" max="13584" width="10.7109375" style="14" customWidth="1"/>
    <col min="13585" max="13585" width="10.5703125" style="14" customWidth="1"/>
    <col min="13586" max="13586" width="11.28515625" style="14" customWidth="1"/>
    <col min="13587" max="13587" width="9.7109375" style="14" customWidth="1"/>
    <col min="13588" max="13588" width="12" style="14" customWidth="1"/>
    <col min="13589" max="13589" width="11.28515625" style="14" customWidth="1"/>
    <col min="13590" max="13827" width="9.140625" style="14"/>
    <col min="13828" max="13828" width="5.7109375" style="14" customWidth="1"/>
    <col min="13829" max="13829" width="13.140625" style="14" customWidth="1"/>
    <col min="13830" max="13830" width="12.28515625" style="14" customWidth="1"/>
    <col min="13831" max="13831" width="8.85546875" style="14" customWidth="1"/>
    <col min="13832" max="13832" width="10.85546875" style="14" customWidth="1"/>
    <col min="13833" max="13833" width="2.85546875" style="14" customWidth="1"/>
    <col min="13834" max="13834" width="12.140625" style="14" customWidth="1"/>
    <col min="13835" max="13835" width="10.140625" style="14" customWidth="1"/>
    <col min="13836" max="13836" width="11.7109375" style="14" customWidth="1"/>
    <col min="13837" max="13837" width="11.42578125" style="14" customWidth="1"/>
    <col min="13838" max="13838" width="12.7109375" style="14" customWidth="1"/>
    <col min="13839" max="13839" width="11.42578125" style="14" customWidth="1"/>
    <col min="13840" max="13840" width="10.7109375" style="14" customWidth="1"/>
    <col min="13841" max="13841" width="10.5703125" style="14" customWidth="1"/>
    <col min="13842" max="13842" width="11.28515625" style="14" customWidth="1"/>
    <col min="13843" max="13843" width="9.7109375" style="14" customWidth="1"/>
    <col min="13844" max="13844" width="12" style="14" customWidth="1"/>
    <col min="13845" max="13845" width="11.28515625" style="14" customWidth="1"/>
    <col min="13846" max="14083" width="9.140625" style="14"/>
    <col min="14084" max="14084" width="5.7109375" style="14" customWidth="1"/>
    <col min="14085" max="14085" width="13.140625" style="14" customWidth="1"/>
    <col min="14086" max="14086" width="12.28515625" style="14" customWidth="1"/>
    <col min="14087" max="14087" width="8.85546875" style="14" customWidth="1"/>
    <col min="14088" max="14088" width="10.85546875" style="14" customWidth="1"/>
    <col min="14089" max="14089" width="2.85546875" style="14" customWidth="1"/>
    <col min="14090" max="14090" width="12.140625" style="14" customWidth="1"/>
    <col min="14091" max="14091" width="10.140625" style="14" customWidth="1"/>
    <col min="14092" max="14092" width="11.7109375" style="14" customWidth="1"/>
    <col min="14093" max="14093" width="11.42578125" style="14" customWidth="1"/>
    <col min="14094" max="14094" width="12.7109375" style="14" customWidth="1"/>
    <col min="14095" max="14095" width="11.42578125" style="14" customWidth="1"/>
    <col min="14096" max="14096" width="10.7109375" style="14" customWidth="1"/>
    <col min="14097" max="14097" width="10.5703125" style="14" customWidth="1"/>
    <col min="14098" max="14098" width="11.28515625" style="14" customWidth="1"/>
    <col min="14099" max="14099" width="9.7109375" style="14" customWidth="1"/>
    <col min="14100" max="14100" width="12" style="14" customWidth="1"/>
    <col min="14101" max="14101" width="11.28515625" style="14" customWidth="1"/>
    <col min="14102" max="14339" width="9.140625" style="14"/>
    <col min="14340" max="14340" width="5.7109375" style="14" customWidth="1"/>
    <col min="14341" max="14341" width="13.140625" style="14" customWidth="1"/>
    <col min="14342" max="14342" width="12.28515625" style="14" customWidth="1"/>
    <col min="14343" max="14343" width="8.85546875" style="14" customWidth="1"/>
    <col min="14344" max="14344" width="10.85546875" style="14" customWidth="1"/>
    <col min="14345" max="14345" width="2.85546875" style="14" customWidth="1"/>
    <col min="14346" max="14346" width="12.140625" style="14" customWidth="1"/>
    <col min="14347" max="14347" width="10.140625" style="14" customWidth="1"/>
    <col min="14348" max="14348" width="11.7109375" style="14" customWidth="1"/>
    <col min="14349" max="14349" width="11.42578125" style="14" customWidth="1"/>
    <col min="14350" max="14350" width="12.7109375" style="14" customWidth="1"/>
    <col min="14351" max="14351" width="11.42578125" style="14" customWidth="1"/>
    <col min="14352" max="14352" width="10.7109375" style="14" customWidth="1"/>
    <col min="14353" max="14353" width="10.5703125" style="14" customWidth="1"/>
    <col min="14354" max="14354" width="11.28515625" style="14" customWidth="1"/>
    <col min="14355" max="14355" width="9.7109375" style="14" customWidth="1"/>
    <col min="14356" max="14356" width="12" style="14" customWidth="1"/>
    <col min="14357" max="14357" width="11.28515625" style="14" customWidth="1"/>
    <col min="14358" max="14595" width="9.140625" style="14"/>
    <col min="14596" max="14596" width="5.7109375" style="14" customWidth="1"/>
    <col min="14597" max="14597" width="13.140625" style="14" customWidth="1"/>
    <col min="14598" max="14598" width="12.28515625" style="14" customWidth="1"/>
    <col min="14599" max="14599" width="8.85546875" style="14" customWidth="1"/>
    <col min="14600" max="14600" width="10.85546875" style="14" customWidth="1"/>
    <col min="14601" max="14601" width="2.85546875" style="14" customWidth="1"/>
    <col min="14602" max="14602" width="12.140625" style="14" customWidth="1"/>
    <col min="14603" max="14603" width="10.140625" style="14" customWidth="1"/>
    <col min="14604" max="14604" width="11.7109375" style="14" customWidth="1"/>
    <col min="14605" max="14605" width="11.42578125" style="14" customWidth="1"/>
    <col min="14606" max="14606" width="12.7109375" style="14" customWidth="1"/>
    <col min="14607" max="14607" width="11.42578125" style="14" customWidth="1"/>
    <col min="14608" max="14608" width="10.7109375" style="14" customWidth="1"/>
    <col min="14609" max="14609" width="10.5703125" style="14" customWidth="1"/>
    <col min="14610" max="14610" width="11.28515625" style="14" customWidth="1"/>
    <col min="14611" max="14611" width="9.7109375" style="14" customWidth="1"/>
    <col min="14612" max="14612" width="12" style="14" customWidth="1"/>
    <col min="14613" max="14613" width="11.28515625" style="14" customWidth="1"/>
    <col min="14614" max="14851" width="9.140625" style="14"/>
    <col min="14852" max="14852" width="5.7109375" style="14" customWidth="1"/>
    <col min="14853" max="14853" width="13.140625" style="14" customWidth="1"/>
    <col min="14854" max="14854" width="12.28515625" style="14" customWidth="1"/>
    <col min="14855" max="14855" width="8.85546875" style="14" customWidth="1"/>
    <col min="14856" max="14856" width="10.85546875" style="14" customWidth="1"/>
    <col min="14857" max="14857" width="2.85546875" style="14" customWidth="1"/>
    <col min="14858" max="14858" width="12.140625" style="14" customWidth="1"/>
    <col min="14859" max="14859" width="10.140625" style="14" customWidth="1"/>
    <col min="14860" max="14860" width="11.7109375" style="14" customWidth="1"/>
    <col min="14861" max="14861" width="11.42578125" style="14" customWidth="1"/>
    <col min="14862" max="14862" width="12.7109375" style="14" customWidth="1"/>
    <col min="14863" max="14863" width="11.42578125" style="14" customWidth="1"/>
    <col min="14864" max="14864" width="10.7109375" style="14" customWidth="1"/>
    <col min="14865" max="14865" width="10.5703125" style="14" customWidth="1"/>
    <col min="14866" max="14866" width="11.28515625" style="14" customWidth="1"/>
    <col min="14867" max="14867" width="9.7109375" style="14" customWidth="1"/>
    <col min="14868" max="14868" width="12" style="14" customWidth="1"/>
    <col min="14869" max="14869" width="11.28515625" style="14" customWidth="1"/>
    <col min="14870" max="15107" width="9.140625" style="14"/>
    <col min="15108" max="15108" width="5.7109375" style="14" customWidth="1"/>
    <col min="15109" max="15109" width="13.140625" style="14" customWidth="1"/>
    <col min="15110" max="15110" width="12.28515625" style="14" customWidth="1"/>
    <col min="15111" max="15111" width="8.85546875" style="14" customWidth="1"/>
    <col min="15112" max="15112" width="10.85546875" style="14" customWidth="1"/>
    <col min="15113" max="15113" width="2.85546875" style="14" customWidth="1"/>
    <col min="15114" max="15114" width="12.140625" style="14" customWidth="1"/>
    <col min="15115" max="15115" width="10.140625" style="14" customWidth="1"/>
    <col min="15116" max="15116" width="11.7109375" style="14" customWidth="1"/>
    <col min="15117" max="15117" width="11.42578125" style="14" customWidth="1"/>
    <col min="15118" max="15118" width="12.7109375" style="14" customWidth="1"/>
    <col min="15119" max="15119" width="11.42578125" style="14" customWidth="1"/>
    <col min="15120" max="15120" width="10.7109375" style="14" customWidth="1"/>
    <col min="15121" max="15121" width="10.5703125" style="14" customWidth="1"/>
    <col min="15122" max="15122" width="11.28515625" style="14" customWidth="1"/>
    <col min="15123" max="15123" width="9.7109375" style="14" customWidth="1"/>
    <col min="15124" max="15124" width="12" style="14" customWidth="1"/>
    <col min="15125" max="15125" width="11.28515625" style="14" customWidth="1"/>
    <col min="15126" max="15363" width="9.140625" style="14"/>
    <col min="15364" max="15364" width="5.7109375" style="14" customWidth="1"/>
    <col min="15365" max="15365" width="13.140625" style="14" customWidth="1"/>
    <col min="15366" max="15366" width="12.28515625" style="14" customWidth="1"/>
    <col min="15367" max="15367" width="8.85546875" style="14" customWidth="1"/>
    <col min="15368" max="15368" width="10.85546875" style="14" customWidth="1"/>
    <col min="15369" max="15369" width="2.85546875" style="14" customWidth="1"/>
    <col min="15370" max="15370" width="12.140625" style="14" customWidth="1"/>
    <col min="15371" max="15371" width="10.140625" style="14" customWidth="1"/>
    <col min="15372" max="15372" width="11.7109375" style="14" customWidth="1"/>
    <col min="15373" max="15373" width="11.42578125" style="14" customWidth="1"/>
    <col min="15374" max="15374" width="12.7109375" style="14" customWidth="1"/>
    <col min="15375" max="15375" width="11.42578125" style="14" customWidth="1"/>
    <col min="15376" max="15376" width="10.7109375" style="14" customWidth="1"/>
    <col min="15377" max="15377" width="10.5703125" style="14" customWidth="1"/>
    <col min="15378" max="15378" width="11.28515625" style="14" customWidth="1"/>
    <col min="15379" max="15379" width="9.7109375" style="14" customWidth="1"/>
    <col min="15380" max="15380" width="12" style="14" customWidth="1"/>
    <col min="15381" max="15381" width="11.28515625" style="14" customWidth="1"/>
    <col min="15382" max="15619" width="9.140625" style="14"/>
    <col min="15620" max="15620" width="5.7109375" style="14" customWidth="1"/>
    <col min="15621" max="15621" width="13.140625" style="14" customWidth="1"/>
    <col min="15622" max="15622" width="12.28515625" style="14" customWidth="1"/>
    <col min="15623" max="15623" width="8.85546875" style="14" customWidth="1"/>
    <col min="15624" max="15624" width="10.85546875" style="14" customWidth="1"/>
    <col min="15625" max="15625" width="2.85546875" style="14" customWidth="1"/>
    <col min="15626" max="15626" width="12.140625" style="14" customWidth="1"/>
    <col min="15627" max="15627" width="10.140625" style="14" customWidth="1"/>
    <col min="15628" max="15628" width="11.7109375" style="14" customWidth="1"/>
    <col min="15629" max="15629" width="11.42578125" style="14" customWidth="1"/>
    <col min="15630" max="15630" width="12.7109375" style="14" customWidth="1"/>
    <col min="15631" max="15631" width="11.42578125" style="14" customWidth="1"/>
    <col min="15632" max="15632" width="10.7109375" style="14" customWidth="1"/>
    <col min="15633" max="15633" width="10.5703125" style="14" customWidth="1"/>
    <col min="15634" max="15634" width="11.28515625" style="14" customWidth="1"/>
    <col min="15635" max="15635" width="9.7109375" style="14" customWidth="1"/>
    <col min="15636" max="15636" width="12" style="14" customWidth="1"/>
    <col min="15637" max="15637" width="11.28515625" style="14" customWidth="1"/>
    <col min="15638" max="15875" width="9.140625" style="14"/>
    <col min="15876" max="15876" width="5.7109375" style="14" customWidth="1"/>
    <col min="15877" max="15877" width="13.140625" style="14" customWidth="1"/>
    <col min="15878" max="15878" width="12.28515625" style="14" customWidth="1"/>
    <col min="15879" max="15879" width="8.85546875" style="14" customWidth="1"/>
    <col min="15880" max="15880" width="10.85546875" style="14" customWidth="1"/>
    <col min="15881" max="15881" width="2.85546875" style="14" customWidth="1"/>
    <col min="15882" max="15882" width="12.140625" style="14" customWidth="1"/>
    <col min="15883" max="15883" width="10.140625" style="14" customWidth="1"/>
    <col min="15884" max="15884" width="11.7109375" style="14" customWidth="1"/>
    <col min="15885" max="15885" width="11.42578125" style="14" customWidth="1"/>
    <col min="15886" max="15886" width="12.7109375" style="14" customWidth="1"/>
    <col min="15887" max="15887" width="11.42578125" style="14" customWidth="1"/>
    <col min="15888" max="15888" width="10.7109375" style="14" customWidth="1"/>
    <col min="15889" max="15889" width="10.5703125" style="14" customWidth="1"/>
    <col min="15890" max="15890" width="11.28515625" style="14" customWidth="1"/>
    <col min="15891" max="15891" width="9.7109375" style="14" customWidth="1"/>
    <col min="15892" max="15892" width="12" style="14" customWidth="1"/>
    <col min="15893" max="15893" width="11.28515625" style="14" customWidth="1"/>
    <col min="15894" max="16131" width="9.140625" style="14"/>
    <col min="16132" max="16132" width="5.7109375" style="14" customWidth="1"/>
    <col min="16133" max="16133" width="13.140625" style="14" customWidth="1"/>
    <col min="16134" max="16134" width="12.28515625" style="14" customWidth="1"/>
    <col min="16135" max="16135" width="8.85546875" style="14" customWidth="1"/>
    <col min="16136" max="16136" width="10.85546875" style="14" customWidth="1"/>
    <col min="16137" max="16137" width="2.85546875" style="14" customWidth="1"/>
    <col min="16138" max="16138" width="12.140625" style="14" customWidth="1"/>
    <col min="16139" max="16139" width="10.140625" style="14" customWidth="1"/>
    <col min="16140" max="16140" width="11.7109375" style="14" customWidth="1"/>
    <col min="16141" max="16141" width="11.42578125" style="14" customWidth="1"/>
    <col min="16142" max="16142" width="12.7109375" style="14" customWidth="1"/>
    <col min="16143" max="16143" width="11.42578125" style="14" customWidth="1"/>
    <col min="16144" max="16144" width="10.7109375" style="14" customWidth="1"/>
    <col min="16145" max="16145" width="10.5703125" style="14" customWidth="1"/>
    <col min="16146" max="16146" width="11.28515625" style="14" customWidth="1"/>
    <col min="16147" max="16147" width="9.7109375" style="14" customWidth="1"/>
    <col min="16148" max="16148" width="12" style="14" customWidth="1"/>
    <col min="16149" max="16149" width="11.28515625" style="14" customWidth="1"/>
    <col min="16150" max="16384" width="9.140625" style="14"/>
  </cols>
  <sheetData>
    <row r="1" spans="4:19" ht="12.75" thickBot="1" x14ac:dyDescent="0.25"/>
    <row r="2" spans="4:19" ht="12" customHeight="1" thickBot="1" x14ac:dyDescent="0.25">
      <c r="Q2" s="633" t="s">
        <v>0</v>
      </c>
      <c r="R2" s="634"/>
      <c r="S2" s="635"/>
    </row>
    <row r="3" spans="4:19" ht="13.5" thickBot="1" x14ac:dyDescent="0.25">
      <c r="I3" s="636" t="s">
        <v>1</v>
      </c>
      <c r="J3" s="637"/>
      <c r="K3" s="637"/>
      <c r="L3" s="637"/>
      <c r="M3" s="637"/>
      <c r="N3" s="637"/>
      <c r="O3" s="638"/>
      <c r="Q3" s="611">
        <f>'AGUILAR ESQUIVEL CARLOS'!Q3</f>
        <v>45</v>
      </c>
      <c r="R3" s="639"/>
      <c r="S3" s="612"/>
    </row>
    <row r="4" spans="4:19" ht="13.5" thickBot="1" x14ac:dyDescent="0.25">
      <c r="I4" s="640" t="s">
        <v>2</v>
      </c>
      <c r="J4" s="641"/>
      <c r="K4" s="641"/>
      <c r="L4" s="641"/>
      <c r="M4" s="641"/>
      <c r="N4" s="641"/>
      <c r="O4" s="642"/>
      <c r="Q4" s="18"/>
      <c r="R4" s="18"/>
      <c r="S4" s="18"/>
    </row>
    <row r="5" spans="4:19" ht="13.5" thickBot="1" x14ac:dyDescent="0.25">
      <c r="I5" s="643" t="s">
        <v>3</v>
      </c>
      <c r="J5" s="644"/>
      <c r="K5" s="644"/>
      <c r="L5" s="644"/>
      <c r="M5" s="644"/>
      <c r="N5" s="644"/>
      <c r="O5" s="645"/>
      <c r="Q5" s="611" t="s">
        <v>4</v>
      </c>
      <c r="R5" s="639"/>
      <c r="S5" s="612"/>
    </row>
    <row r="6" spans="4:19" ht="13.5" thickBot="1" x14ac:dyDescent="0.25">
      <c r="I6" s="650" t="s">
        <v>5</v>
      </c>
      <c r="J6" s="651"/>
      <c r="K6" s="651"/>
      <c r="L6" s="651"/>
      <c r="M6" s="651"/>
      <c r="N6" s="651"/>
      <c r="O6" s="652"/>
      <c r="Q6" s="653">
        <f>+'ONTIVEROS LIRA JUAN'!Q6+1</f>
        <v>108</v>
      </c>
      <c r="R6" s="654"/>
      <c r="S6" s="655"/>
    </row>
    <row r="7" spans="4:19" ht="9" customHeight="1" x14ac:dyDescent="0.2"/>
    <row r="8" spans="4:19" ht="6.75" customHeight="1" thickBot="1" x14ac:dyDescent="0.25"/>
    <row r="9" spans="4:19" ht="13.5" thickBot="1" x14ac:dyDescent="0.25">
      <c r="I9" s="611" t="s">
        <v>6</v>
      </c>
      <c r="J9" s="639"/>
      <c r="K9" s="639"/>
      <c r="L9" s="639"/>
      <c r="M9" s="639"/>
      <c r="N9" s="639"/>
      <c r="O9" s="612"/>
    </row>
    <row r="10" spans="4:19" ht="11.25" customHeight="1" thickBot="1" x14ac:dyDescent="0.25"/>
    <row r="11" spans="4:19" ht="12.75" x14ac:dyDescent="0.2">
      <c r="D11" s="1" t="s">
        <v>7</v>
      </c>
      <c r="E11" s="2" t="s">
        <v>225</v>
      </c>
      <c r="F11" s="2"/>
      <c r="G11" s="2"/>
      <c r="H11" s="2"/>
      <c r="I11" s="2"/>
      <c r="J11" s="2"/>
      <c r="K11" s="3" t="s">
        <v>8</v>
      </c>
      <c r="L11" s="656" t="str">
        <f>'REYES LARA DANTE'!L11</f>
        <v>SEMANA #45 PERIODO DEL 27 de oct AL 02 de nov DEL 2025</v>
      </c>
      <c r="M11" s="656"/>
      <c r="N11" s="656"/>
      <c r="O11" s="656"/>
      <c r="P11" s="656"/>
      <c r="Q11" s="656"/>
      <c r="R11" s="656"/>
      <c r="S11" s="659"/>
    </row>
    <row r="12" spans="4:19" ht="12.75" x14ac:dyDescent="0.2">
      <c r="D12" s="4" t="s">
        <v>9</v>
      </c>
      <c r="E12" s="624" t="s">
        <v>113</v>
      </c>
      <c r="F12" s="624"/>
      <c r="G12" s="5"/>
      <c r="H12" s="130"/>
      <c r="I12" s="130"/>
      <c r="J12" s="130"/>
      <c r="K12" s="130"/>
      <c r="L12" s="130"/>
      <c r="M12" s="130"/>
      <c r="N12" s="130"/>
      <c r="O12" s="130"/>
      <c r="P12" s="130"/>
      <c r="Q12" s="130"/>
      <c r="R12" s="130"/>
      <c r="S12" s="256"/>
    </row>
    <row r="13" spans="4:19" ht="9.75" customHeight="1" x14ac:dyDescent="0.2">
      <c r="D13" s="623"/>
      <c r="E13" s="624"/>
      <c r="F13" s="130"/>
      <c r="G13" s="130"/>
      <c r="H13" s="130"/>
      <c r="I13" s="130"/>
      <c r="J13" s="130"/>
      <c r="K13" s="130"/>
      <c r="L13" s="130"/>
      <c r="M13" s="130"/>
      <c r="N13" s="130"/>
      <c r="O13" s="130"/>
      <c r="P13" s="130"/>
      <c r="Q13" s="130"/>
      <c r="R13" s="130"/>
      <c r="S13" s="256"/>
    </row>
    <row r="14" spans="4:19" ht="12.75" x14ac:dyDescent="0.2">
      <c r="D14" s="625" t="s">
        <v>10</v>
      </c>
      <c r="E14" s="626"/>
      <c r="F14" s="130">
        <v>152597</v>
      </c>
      <c r="G14" s="130"/>
      <c r="H14" s="130"/>
      <c r="I14" s="6" t="s">
        <v>11</v>
      </c>
      <c r="J14" s="6"/>
      <c r="K14" s="130"/>
      <c r="L14" s="130"/>
      <c r="M14" s="130"/>
      <c r="N14" s="130"/>
      <c r="O14" s="6" t="s">
        <v>12</v>
      </c>
      <c r="P14" s="7"/>
      <c r="Q14" s="7"/>
      <c r="R14" s="7"/>
      <c r="S14" s="8"/>
    </row>
    <row r="15" spans="4:19" ht="12.75" x14ac:dyDescent="0.2">
      <c r="D15" s="625" t="s">
        <v>13</v>
      </c>
      <c r="E15" s="626"/>
      <c r="F15" s="130">
        <v>153341</v>
      </c>
      <c r="G15" s="130"/>
      <c r="H15" s="130"/>
      <c r="I15" s="6" t="s">
        <v>14</v>
      </c>
      <c r="J15" s="6"/>
      <c r="K15" s="130"/>
      <c r="L15" s="130"/>
      <c r="M15" s="130"/>
      <c r="N15" s="130"/>
      <c r="O15" s="6" t="s">
        <v>15</v>
      </c>
      <c r="P15" s="130"/>
      <c r="Q15" s="130"/>
      <c r="R15" s="130"/>
      <c r="S15" s="256"/>
    </row>
    <row r="16" spans="4:19" ht="13.5" thickBot="1" x14ac:dyDescent="0.25">
      <c r="D16" s="627" t="s">
        <v>16</v>
      </c>
      <c r="E16" s="628"/>
      <c r="F16" s="257">
        <f>SUM(J19:J29)</f>
        <v>0</v>
      </c>
      <c r="G16" s="257"/>
      <c r="H16" s="257"/>
      <c r="I16" s="9" t="s">
        <v>17</v>
      </c>
      <c r="J16" s="257">
        <f>SUM(K19:K29)</f>
        <v>0</v>
      </c>
      <c r="K16" s="257"/>
      <c r="L16" s="257"/>
      <c r="M16" s="257"/>
      <c r="N16" s="257"/>
      <c r="O16" s="9" t="s">
        <v>18</v>
      </c>
      <c r="P16" s="10" t="e">
        <f>+F16/J16</f>
        <v>#DIV/0!</v>
      </c>
      <c r="Q16" s="257"/>
      <c r="R16" s="257"/>
      <c r="S16" s="258"/>
    </row>
    <row r="17" spans="3:23" ht="7.5" customHeight="1" thickBot="1" x14ac:dyDescent="0.25"/>
    <row r="18" spans="3:23" ht="33" customHeight="1" thickBot="1" x14ac:dyDescent="0.25">
      <c r="C18" s="243" t="s">
        <v>19</v>
      </c>
      <c r="D18" s="33" t="s">
        <v>20</v>
      </c>
      <c r="E18" s="34" t="s">
        <v>21</v>
      </c>
      <c r="F18" s="34" t="s">
        <v>22</v>
      </c>
      <c r="G18" s="34" t="s">
        <v>23</v>
      </c>
      <c r="H18" s="34" t="s">
        <v>24</v>
      </c>
      <c r="I18" s="34" t="s">
        <v>25</v>
      </c>
      <c r="J18" s="34" t="s">
        <v>26</v>
      </c>
      <c r="K18" s="34" t="s">
        <v>27</v>
      </c>
      <c r="L18" s="34" t="s">
        <v>28</v>
      </c>
      <c r="M18" s="34" t="s">
        <v>285</v>
      </c>
      <c r="N18" s="34" t="s">
        <v>29</v>
      </c>
      <c r="O18" s="34" t="s">
        <v>30</v>
      </c>
      <c r="P18" s="33" t="s">
        <v>31</v>
      </c>
      <c r="Q18" s="34" t="s">
        <v>219</v>
      </c>
      <c r="R18" s="34" t="s">
        <v>184</v>
      </c>
      <c r="S18" s="34" t="s">
        <v>33</v>
      </c>
      <c r="T18" s="35" t="s">
        <v>220</v>
      </c>
    </row>
    <row r="19" spans="3:23" x14ac:dyDescent="0.2">
      <c r="C19" s="324"/>
      <c r="D19" s="43"/>
      <c r="E19" s="42"/>
      <c r="F19" s="42"/>
      <c r="G19" s="43"/>
      <c r="H19" s="236" t="b">
        <f>IF(G19=1,KILOMETRAJE!C$4,IF(G19=2,KILOMETRAJE!C$5,IF(G19=3,KILOMETRAJE!C$6,IF(G19=4,KILOMETRAJE!C$7,IF(G19=5,KILOMETRAJE!C$8,IF(G19=6,KILOMETRAJE!C$9,IF(G19=7,KILOMETRAJE!C$10,IF(G19=8,KILOMETRAJE!C$11,IF(G19=9,KILOMETRAJE!C$12,IF(G19=10,KILOMETRAJE!C$13,IF(G19=11,KILOMETRAJE!C$14,IF(G19=12,KILOMETRAJE!C$15,IF(G19=13,KILOMETRAJE!C$16,IF(G19=14,KILOMETRAJE!C$17,IF(G19=15,KILOMETRAJE!C$18,IF(G19=16,KILOMETRAJE!C$19,IF(G19=17,KILOMETRAJE!C$20,IF(G19=18,KILOMETRAJE!C$21,IF(G19=19,KILOMETRAJE!C$22,IF(G19=20,KILOMETRAJE!C$23,IF(G19=21,KILOMETRAJE!C$24,IF(G19=22,KILOMETRAJE!C$25,IF(G19=23,KILOMETRAJE!C$26,IF(G19=24,KILOMETRAJE!C$27,IF(G19=25,KILOMETRAJE!C$28,IF(G19=26,KILOMETRAJE!C$29,IF(G19=27,KILOMETRAJE!C$30,IF(G19=28,KILOMETRAJE!C$31,IF(G19=29,KILOMETRAJE!C$32,IF(G19=30,KILOMETRAJE!C$33,IF(G19=31,KILOMETRAJE!C$34,IF(G19=32,KILOMETRAJE!C$35,IF(G19=33,KILOMETRAJE!C$36,IF(G19=34,KILOMETRAJE!C$37,IF(G19=35,KILOMETRAJE!C$38,IF(G19=36,KILOMETRAJE!C$39,IF(G19=37,KILOMETRAJE!C$40,IF(G19=38,KILOMETRAJE!C$41,IF(G19=39,KILOMETRAJE!C$42,IF(G19=40,KILOMETRAJE!C$43,IF(G19=41,KILOMETRAJE!C$44,IF(G19=42,KILOMETRAJE!C$45,IF(G19=43,KILOMETRAJE!C$46,IF(G19=44,KILOMETRAJE!C$47,IF(G19=45,KILOMETRAJE!C$48,IF(G19=46,KILOMETRAJE!C$49,IF(G19=47,KILOMETRAJE!C$50,IF(G19=48,KILOMETRAJE!C$51,IF(G19=49,KILOMETRAJE!C$52,IF(G19=50,KILOMETRAJE!C$53,IF(G19=51,KILOMETRAJE!C$54,IF(G19=52,KILOMETRAJE!C$55,IF(G19=53,KILOMETRAJE!C$56,IF(G19=54,KILOMETRAJE!C$57,IF(G19=55,KILOMETRAJE!C$58,IF(G19=56,KILOMETRAJE!C$59,IF(G19=57,KILOMETRAJE!C$60,IF(G19=58,KILOMETRAJE!C$61,IF(G19=59,KILOMETRAJE!C$62,IF(G19=60,KILOMETRAJE!C$63,IF(G19=61,KILOMETRAJE!C$64,IF(G19=62,KILOMETRAJE!C$65,IF(G19=63,KILOMETRAJE!C$66)))))))))))))))))))))))))))))))))))))))))))))))))))))))))))))))</f>
        <v>0</v>
      </c>
      <c r="I19" s="236" t="b">
        <f>IF(G19=1,KILOMETRAJE!E$4,IF(G19=2,KILOMETRAJE!E$5,IF(G19=3,KILOMETRAJE!E$6,IF(G19=4,KILOMETRAJE!E$7,IF(G19=5,KILOMETRAJE!E$8,IF(G19=6,KILOMETRAJE!E$9,IF(G19=7,KILOMETRAJE!E$10,IF(G19=8,KILOMETRAJE!E$11,IF(G19=9,KILOMETRAJE!E$12,IF(G19=10,KILOMETRAJE!E$13,IF(G19=11,KILOMETRAJE!E$14,IF(G19=12,KILOMETRAJE!E$15,IF(G19=13,KILOMETRAJE!E$16,IF(G19=14,KILOMETRAJE!E$17,IF(G19=15,KILOMETRAJE!E$18,IF(G19=16,KILOMETRAJE!E$19,IF(G19=17,KILOMETRAJE!E$20,IF(G19=18,KILOMETRAJE!E$21,IF(G19=19,KILOMETRAJE!E$22,IF(G19=20,KILOMETRAJE!E$23,IF(G19=21,KILOMETRAJE!E$24,IF(G19=22,KILOMETRAJE!E$25,IF(G19=23,KILOMETRAJE!E$26,IF(G19=24,KILOMETRAJE!E$27,IF(G19=25,KILOMETRAJE!E$28,IF(G19=26,KILOMETRAJE!E$29,IF(G19=27,KILOMETRAJE!E$30,IF(G19=28,KILOMETRAJE!E$31,IF(G19=29,KILOMETRAJE!E$32,IF(G19=30,KILOMETRAJE!E$33,IF(G19=31,KILOMETRAJE!E$34,IF(G19=32,KILOMETRAJE!E$35,IF(G19=33,KILOMETRAJE!E$36,IF(G19=34,KILOMETRAJE!E$37,IF(G19=35,KILOMETRAJE!E$38,IF(G19=36,KILOMETRAJE!E$39,IF(G19=37,KILOMETRAJE!E$40,IF(G19=38,KILOMETRAJE!E$41,IF(G19=39,KILOMETRAJE!E$42,IF(G19=40,KILOMETRAJE!E$43,IF(G19=41,KILOMETRAJE!E$44,IF(G19=42,KILOMETRAJE!E$45,IF(G19=43,KILOMETRAJE!E$46,IF(G19=44,KILOMETRAJE!E$47,IF(G19=45,KILOMETRAJE!E$48,IF(G19=46,KILOMETRAJE!E$49,IF(G19=47,KILOMETRAJE!E$50,IF(G19=48,KILOMETRAJE!E$51,IF(G19=49,KILOMETRAJE!E$52,IF(G19=50,KILOMETRAJE!E$53,IF(G19=51,KILOMETRAJE!E$54,IF(G19=52,KILOMETRAJE!E$55,IF(G19=53,KILOMETRAJE!E$56,IF(G19=54,KILOMETRAJE!E$57,IF(G19=55,KILOMETRAJE!E$58,IF(G19=56,KILOMETRAJE!E$59,IF(G19=57,KILOMETRAJE!E$60,IF(G19=58,KILOMETRAJE!E$61,IF(G19=59,KILOMETRAJE!E$62,IF(G19=60,KILOMETRAJE!E$63,IF(G19=61,KILOMETRAJE!E$64,IF(G19=62,KILOMETRAJE!E$65,IF(G19=63,KILOMETRAJE!E$66)))))))))))))))))))))))))))))))))))))))))))))))))))))))))))))))</f>
        <v>0</v>
      </c>
      <c r="J19" s="237" t="b">
        <f>IF(G19=1,KILOMETRAJE!G$4,IF(G19=2,KILOMETRAJE!G$5,IF(G19=3,KILOMETRAJE!G$6,IF(G19=4,KILOMETRAJE!G$7,IF(G19=5,KILOMETRAJE!G$8,IF(G19=6,KILOMETRAJE!G$9,IF(G19=7,KILOMETRAJE!G$10,IF(G19=8,KILOMETRAJE!G$11,IF(G19=9,KILOMETRAJE!G$12,IF(G19=10,KILOMETRAJE!G$13,IF(G19=11,KILOMETRAJE!G$14,IF(G19=12,KILOMETRAJE!G$15,IF(G19=13,KILOMETRAJE!G$16,IF(G19=14,KILOMETRAJE!G$17,IF(G19=15,KILOMETRAJE!G$18,IF(G19=16,KILOMETRAJE!G$19,IF(G19=17,KILOMETRAJE!G$20,IF(G19=18,KILOMETRAJE!G$21,IF(G19=19,KILOMETRAJE!G$22,IF(G19=20,KILOMETRAJE!G$23,IF(G19=21,KILOMETRAJE!G$24,IF(G19=22,KILOMETRAJE!G$25,IF(G19=23,KILOMETRAJE!G$26,IF(G19=24,KILOMETRAJE!G$27,IF(G19=25,KILOMETRAJE!G$28,IF(G19=26,KILOMETRAJE!G$29,IF(G19=27,KILOMETRAJE!G$30,IF(G19=28,KILOMETRAJE!G$31,IF(G19=29,KILOMETRAJE!G$32,IF(G19=30,KILOMETRAJE!G$33,IF(G19=31,KILOMETRAJE!G$34,IF(G19=32,KILOMETRAJE!G$35,IF(G19=33,KILOMETRAJE!G$36,IF(G19=34,KILOMETRAJE!G$37,IF(G19=35,KILOMETRAJE!G$38,IF(G19=36,KILOMETRAJE!G$39,IF(G19=37,KILOMETRAJE!G$40,IF(G19=38,KILOMETRAJE!G$41,IF(G19=39,KILOMETRAJE!G$42,IF(G19=40,KILOMETRAJE!G$43,IF(G19=41,KILOMETRAJE!G$44,IF(G19=42,KILOMETRAJE!G$45,IF(G19=43,KILOMETRAJE!G$46,IF(G19=44,KILOMETRAJE!G$47,IF(G19=45,KILOMETRAJE!G$48,IF(G19=46,KILOMETRAJE!G$49,IF(G19=47,KILOMETRAJE!G$50,IF(G19=48,KILOMETRAJE!G$51,IF(G19=49,KILOMETRAJE!G$52,IF(G19=50,KILOMETRAJE!G$53,IF(G19=51,KILOMETRAJE!G$54,IF(G19=52,KILOMETRAJE!G$55,IF(G19=53,KILOMETRAJE!G$56,IF(G19=54,KILOMETRAJE!G$57,IF(G19=55,KILOMETRAJE!G$58,IF(G19=56,KILOMETRAJE!G$59,IF(G19=57,KILOMETRAJE!G$60,IF(G19=58,KILOMETRAJE!G$61,IF(G19=59,KILOMETRAJE!G$62,IF(G19=60,KILOMETRAJE!G$63,IF(G19=61,KILOMETRAJE!G$64,IF(G19=62,KILOMETRAJE!G$65,IF(G19=63,KILOMETRAJE!G$66)))))))))))))))))))))))))))))))))))))))))))))))))))))))))))))))</f>
        <v>0</v>
      </c>
      <c r="K19" s="24"/>
      <c r="L19" s="44"/>
      <c r="M19" s="348"/>
      <c r="N19" s="24"/>
      <c r="O19" s="43"/>
      <c r="P19" s="24"/>
      <c r="Q19" s="45">
        <f t="shared" ref="Q19:Q20" si="0">((((IF(N19=1,((J19)*0.29333)))+(IF(N19=2,((J19)*0.146666)))+(IF(N19=3,((J19)*0.146666)))))+(IF(N19=4,((J19-40)*0.29333)))+(IF(N19=5,((J19-50)*0.29333)))+(IF(N19=6,((J19-90)*0.29333))))</f>
        <v>0</v>
      </c>
      <c r="R19" s="191"/>
      <c r="S19" s="52"/>
      <c r="T19" s="46"/>
    </row>
    <row r="20" spans="3:23" ht="12.75" thickBot="1" x14ac:dyDescent="0.25">
      <c r="C20" s="101"/>
      <c r="D20" s="25"/>
      <c r="E20" s="25"/>
      <c r="F20" s="25"/>
      <c r="G20" s="62"/>
      <c r="H20" s="27" t="b">
        <f>IF(G20=1,KILOMETRAJE!C$4,IF(G20=2,KILOMETRAJE!C$5,IF(G20=3,KILOMETRAJE!C$6,IF(G20=4,KILOMETRAJE!C$7,IF(G20=5,KILOMETRAJE!C$8,IF(G20=6,KILOMETRAJE!C$9,IF(G20=7,KILOMETRAJE!C$10,IF(G20=8,KILOMETRAJE!C$11,IF(G20=9,KILOMETRAJE!C$12,IF(G20=10,KILOMETRAJE!C$13,IF(G20=11,KILOMETRAJE!C$14,IF(G20=12,KILOMETRAJE!C$15,IF(G20=13,KILOMETRAJE!C$16,IF(G20=14,KILOMETRAJE!C$17,IF(G20=15,KILOMETRAJE!C$18,IF(G20=16,KILOMETRAJE!C$19,IF(G20=17,KILOMETRAJE!C$20,IF(G20=18,KILOMETRAJE!C$21,IF(G20=19,KILOMETRAJE!C$22,IF(G20=20,KILOMETRAJE!C$23,IF(G20=21,KILOMETRAJE!C$24,IF(G20=22,KILOMETRAJE!C$25,IF(G20=23,KILOMETRAJE!C$26,IF(G20=24,KILOMETRAJE!C$27,IF(G20=25,KILOMETRAJE!C$28,IF(G20=26,KILOMETRAJE!C$29,IF(G20=27,KILOMETRAJE!C$30,IF(G20=28,KILOMETRAJE!C$31,IF(G20=29,KILOMETRAJE!C$32,IF(G20=30,KILOMETRAJE!C$33,IF(G20=31,KILOMETRAJE!C$34,IF(G20=32,KILOMETRAJE!C$35,IF(G20=33,KILOMETRAJE!C$36,IF(G20=34,KILOMETRAJE!C$37,IF(G20=35,KILOMETRAJE!C$38,IF(G20=36,KILOMETRAJE!C$39,IF(G20=37,KILOMETRAJE!C$40,IF(G20=38,KILOMETRAJE!C$41,IF(G20=39,KILOMETRAJE!C$42,IF(G20=40,KILOMETRAJE!C$43,IF(G20=41,KILOMETRAJE!C$44,IF(G20=42,KILOMETRAJE!C$45,IF(G20=43,KILOMETRAJE!C$46,IF(G20=44,KILOMETRAJE!C$47,IF(G20=45,KILOMETRAJE!C$48,IF(G20=46,KILOMETRAJE!C$49,IF(G20=47,KILOMETRAJE!C$50,IF(G20=48,KILOMETRAJE!C$51,IF(G20=49,KILOMETRAJE!C$52,IF(G20=50,KILOMETRAJE!C$53,IF(G20=51,KILOMETRAJE!C$54,IF(G20=52,KILOMETRAJE!C$55,IF(G20=53,KILOMETRAJE!C$56,IF(G20=54,KILOMETRAJE!C$57,IF(G20=55,KILOMETRAJE!C$58,IF(G20=56,KILOMETRAJE!C$59,IF(G20=57,KILOMETRAJE!C$60,IF(G20=58,KILOMETRAJE!C$61,IF(G20=59,KILOMETRAJE!C$62,IF(G20=60,KILOMETRAJE!C$63,IF(G20=61,KILOMETRAJE!C$64,IF(G20=62,KILOMETRAJE!C$65,IF(G20=63,KILOMETRAJE!C$66)))))))))))))))))))))))))))))))))))))))))))))))))))))))))))))))</f>
        <v>0</v>
      </c>
      <c r="I20" s="27" t="b">
        <f>IF(G20=1,KILOMETRAJE!E$4,IF(G20=2,KILOMETRAJE!E$5,IF(G20=3,KILOMETRAJE!E$6,IF(G20=4,KILOMETRAJE!E$7,IF(G20=5,KILOMETRAJE!E$8,IF(G20=6,KILOMETRAJE!E$9,IF(G20=7,KILOMETRAJE!E$10,IF(G20=8,KILOMETRAJE!E$11,IF(G20=9,KILOMETRAJE!E$12,IF(G20=10,KILOMETRAJE!E$13,IF(G20=11,KILOMETRAJE!E$14,IF(G20=12,KILOMETRAJE!E$15,IF(G20=13,KILOMETRAJE!E$16,IF(G20=14,KILOMETRAJE!E$17,IF(G20=15,KILOMETRAJE!E$18,IF(G20=16,KILOMETRAJE!E$19,IF(G20=17,KILOMETRAJE!E$20,IF(G20=18,KILOMETRAJE!E$21,IF(G20=19,KILOMETRAJE!E$22,IF(G20=20,KILOMETRAJE!E$23,IF(G20=21,KILOMETRAJE!E$24,IF(G20=22,KILOMETRAJE!E$25,IF(G20=23,KILOMETRAJE!E$26,IF(G20=24,KILOMETRAJE!E$27,IF(G20=25,KILOMETRAJE!E$28,IF(G20=26,KILOMETRAJE!E$29,IF(G20=27,KILOMETRAJE!E$30,IF(G20=28,KILOMETRAJE!E$31,IF(G20=29,KILOMETRAJE!E$32,IF(G20=30,KILOMETRAJE!E$33,IF(G20=31,KILOMETRAJE!E$34,IF(G20=32,KILOMETRAJE!E$35,IF(G20=33,KILOMETRAJE!E$36,IF(G20=34,KILOMETRAJE!E$37,IF(G20=35,KILOMETRAJE!E$38,IF(G20=36,KILOMETRAJE!E$39,IF(G20=37,KILOMETRAJE!E$40,IF(G20=38,KILOMETRAJE!E$41,IF(G20=39,KILOMETRAJE!E$42,IF(G20=40,KILOMETRAJE!E$43,IF(G20=41,KILOMETRAJE!E$44,IF(G20=42,KILOMETRAJE!E$45,IF(G20=43,KILOMETRAJE!E$46,IF(G20=44,KILOMETRAJE!E$47,IF(G20=45,KILOMETRAJE!E$48,IF(G20=46,KILOMETRAJE!E$49,IF(G20=47,KILOMETRAJE!E$50,IF(G20=48,KILOMETRAJE!E$51,IF(G20=49,KILOMETRAJE!E$52,IF(G20=50,KILOMETRAJE!E$53,IF(G20=51,KILOMETRAJE!E$54,IF(G20=52,KILOMETRAJE!E$55,IF(G20=53,KILOMETRAJE!E$56,IF(G20=54,KILOMETRAJE!E$57,IF(G20=55,KILOMETRAJE!E$58,IF(G20=56,KILOMETRAJE!E$59,IF(G20=57,KILOMETRAJE!E$60,IF(G20=58,KILOMETRAJE!E$61,IF(G20=59,KILOMETRAJE!E$62,IF(G20=60,KILOMETRAJE!E$63,IF(G20=61,KILOMETRAJE!E$64,IF(G20=62,KILOMETRAJE!E$65,IF(G20=63,KILOMETRAJE!E$66)))))))))))))))))))))))))))))))))))))))))))))))))))))))))))))))</f>
        <v>0</v>
      </c>
      <c r="J20" s="31" t="b">
        <f>IF(G20=1,KILOMETRAJE!G$4,IF(G20=2,KILOMETRAJE!G$5,IF(G20=3,KILOMETRAJE!G$6,IF(G20=4,KILOMETRAJE!G$7,IF(G20=5,KILOMETRAJE!G$8,IF(G20=6,KILOMETRAJE!G$9,IF(G20=7,KILOMETRAJE!G$10,IF(G20=8,KILOMETRAJE!G$11,IF(G20=9,KILOMETRAJE!G$12,IF(G20=10,KILOMETRAJE!G$13,IF(G20=11,KILOMETRAJE!G$14,IF(G20=12,KILOMETRAJE!G$15,IF(G20=13,KILOMETRAJE!G$16,IF(G20=14,KILOMETRAJE!G$17,IF(G20=15,KILOMETRAJE!G$18,IF(G20=16,KILOMETRAJE!G$19,IF(G20=17,KILOMETRAJE!G$20,IF(G20=18,KILOMETRAJE!G$21,IF(G20=19,KILOMETRAJE!G$22,IF(G20=20,KILOMETRAJE!G$23,IF(G20=21,KILOMETRAJE!G$24,IF(G20=22,KILOMETRAJE!G$25,IF(G20=23,KILOMETRAJE!G$26,IF(G20=24,KILOMETRAJE!G$27,IF(G20=25,KILOMETRAJE!G$28,IF(G20=26,KILOMETRAJE!G$29,IF(G20=27,KILOMETRAJE!G$30,IF(G20=28,KILOMETRAJE!G$31,IF(G20=29,KILOMETRAJE!G$32,IF(G20=30,KILOMETRAJE!G$33,IF(G20=31,KILOMETRAJE!G$34,IF(G20=32,KILOMETRAJE!G$35,IF(G20=33,KILOMETRAJE!G$36,IF(G20=34,KILOMETRAJE!G$37,IF(G20=35,KILOMETRAJE!G$38,IF(G20=36,KILOMETRAJE!G$39,IF(G20=37,KILOMETRAJE!G$40,IF(G20=38,KILOMETRAJE!G$41,IF(G20=39,KILOMETRAJE!G$42,IF(G20=40,KILOMETRAJE!G$43,IF(G20=41,KILOMETRAJE!G$44,IF(G20=42,KILOMETRAJE!G$45,IF(G20=43,KILOMETRAJE!G$46,IF(G20=44,KILOMETRAJE!G$47,IF(G20=45,KILOMETRAJE!G$48,IF(G20=46,KILOMETRAJE!G$49,IF(G20=47,KILOMETRAJE!G$50,IF(G20=48,KILOMETRAJE!G$51,IF(G20=49,KILOMETRAJE!G$52,IF(G20=50,KILOMETRAJE!G$53,IF(G20=51,KILOMETRAJE!G$54,IF(G20=52,KILOMETRAJE!G$55,IF(G20=53,KILOMETRAJE!G$56,IF(G20=54,KILOMETRAJE!G$57,IF(G20=55,KILOMETRAJE!G$58,IF(G20=56,KILOMETRAJE!G$59,IF(G20=57,KILOMETRAJE!G$60,IF(G20=58,KILOMETRAJE!G$61,IF(G20=59,KILOMETRAJE!G$62,IF(G20=60,KILOMETRAJE!G$63,IF(G20=61,KILOMETRAJE!G$64,IF(G20=62,KILOMETRAJE!G$65,IF(G20=63,KILOMETRAJE!G$66)))))))))))))))))))))))))))))))))))))))))))))))))))))))))))))))</f>
        <v>0</v>
      </c>
      <c r="K20" s="27"/>
      <c r="L20" s="28" t="e">
        <f>SUM(J19:J20)/K20</f>
        <v>#DIV/0!</v>
      </c>
      <c r="M20" s="349"/>
      <c r="N20" s="27"/>
      <c r="O20" s="62"/>
      <c r="P20" s="27"/>
      <c r="Q20" s="29">
        <f t="shared" si="0"/>
        <v>0</v>
      </c>
      <c r="R20" s="190" t="e">
        <f>+LOOKUP(P40,UNIDADES!B$3:B$59,UNIDADES!C$3:C$59)</f>
        <v>#N/A</v>
      </c>
      <c r="S20" s="19" t="e">
        <f>+((SUM(J19:J20))/R20)-K20</f>
        <v>#N/A</v>
      </c>
      <c r="T20" s="30" t="e">
        <f>+S20*14.85</f>
        <v>#N/A</v>
      </c>
      <c r="U20" s="244"/>
      <c r="W20" s="244"/>
    </row>
    <row r="21" spans="3:23" x14ac:dyDescent="0.2">
      <c r="C21" s="176"/>
      <c r="D21" s="43"/>
      <c r="E21" s="42"/>
      <c r="F21" s="42"/>
      <c r="G21" s="43"/>
      <c r="H21" s="236"/>
      <c r="I21" s="236"/>
      <c r="J21" s="237"/>
      <c r="K21" s="24"/>
      <c r="L21" s="44"/>
      <c r="M21" s="348"/>
      <c r="N21" s="24"/>
      <c r="O21" s="43"/>
      <c r="P21" s="24"/>
      <c r="Q21" s="45"/>
      <c r="R21" s="191"/>
      <c r="S21" s="52"/>
      <c r="T21" s="46"/>
    </row>
    <row r="22" spans="3:23" ht="12.75" thickBot="1" x14ac:dyDescent="0.25">
      <c r="C22" s="101"/>
      <c r="D22" s="62"/>
      <c r="E22" s="25"/>
      <c r="F22" s="25"/>
      <c r="G22" s="62"/>
      <c r="H22" s="27"/>
      <c r="I22" s="27"/>
      <c r="J22" s="31"/>
      <c r="K22" s="27"/>
      <c r="L22" s="28"/>
      <c r="M22" s="349"/>
      <c r="N22" s="27"/>
      <c r="O22" s="62"/>
      <c r="P22" s="27"/>
      <c r="Q22" s="29"/>
      <c r="R22" s="190"/>
      <c r="S22" s="19"/>
      <c r="T22" s="30"/>
    </row>
    <row r="23" spans="3:23" hidden="1" x14ac:dyDescent="0.2">
      <c r="C23" s="176"/>
      <c r="D23" s="43"/>
      <c r="E23" s="42"/>
      <c r="F23" s="42"/>
      <c r="G23" s="43"/>
      <c r="H23" s="236"/>
      <c r="I23" s="236"/>
      <c r="J23" s="237"/>
      <c r="K23" s="24"/>
      <c r="L23" s="44"/>
      <c r="M23" s="348"/>
      <c r="N23" s="24"/>
      <c r="O23" s="43"/>
      <c r="P23" s="24"/>
      <c r="Q23" s="45"/>
      <c r="R23" s="191"/>
      <c r="S23" s="52"/>
      <c r="T23" s="46"/>
      <c r="V23" s="244"/>
    </row>
    <row r="24" spans="3:23" ht="12.75" hidden="1" thickBot="1" x14ac:dyDescent="0.25">
      <c r="C24" s="101"/>
      <c r="D24" s="62"/>
      <c r="E24" s="25"/>
      <c r="F24" s="25"/>
      <c r="G24" s="62"/>
      <c r="H24" s="27"/>
      <c r="I24" s="27"/>
      <c r="J24" s="31"/>
      <c r="K24" s="27"/>
      <c r="L24" s="28"/>
      <c r="M24" s="349"/>
      <c r="N24" s="27"/>
      <c r="O24" s="62"/>
      <c r="P24" s="27"/>
      <c r="Q24" s="29"/>
      <c r="R24" s="190"/>
      <c r="S24" s="19"/>
      <c r="T24" s="30"/>
    </row>
    <row r="25" spans="3:23" hidden="1" x14ac:dyDescent="0.2">
      <c r="C25" s="176"/>
      <c r="D25" s="43"/>
      <c r="E25" s="42"/>
      <c r="F25" s="42"/>
      <c r="G25" s="43"/>
      <c r="H25" s="236"/>
      <c r="I25" s="236"/>
      <c r="J25" s="237"/>
      <c r="K25" s="24"/>
      <c r="L25" s="44"/>
      <c r="M25" s="348"/>
      <c r="N25" s="24"/>
      <c r="O25" s="43"/>
      <c r="P25" s="24"/>
      <c r="Q25" s="45"/>
      <c r="R25" s="191"/>
      <c r="S25" s="52"/>
      <c r="T25" s="46"/>
    </row>
    <row r="26" spans="3:23" ht="11.25" hidden="1" customHeight="1" thickBot="1" x14ac:dyDescent="0.25">
      <c r="C26" s="101"/>
      <c r="D26" s="62"/>
      <c r="E26" s="25"/>
      <c r="F26" s="25"/>
      <c r="G26" s="62"/>
      <c r="H26" s="27"/>
      <c r="I26" s="27"/>
      <c r="J26" s="31"/>
      <c r="K26" s="27"/>
      <c r="L26" s="28"/>
      <c r="M26" s="349"/>
      <c r="N26" s="27"/>
      <c r="O26" s="62"/>
      <c r="P26" s="27"/>
      <c r="Q26" s="29"/>
      <c r="R26" s="190"/>
      <c r="S26" s="19"/>
      <c r="T26" s="30"/>
    </row>
    <row r="27" spans="3:23" hidden="1" x14ac:dyDescent="0.2">
      <c r="C27" s="176"/>
      <c r="D27" s="43"/>
      <c r="E27" s="42"/>
      <c r="F27" s="42"/>
      <c r="G27" s="43"/>
      <c r="H27" s="24"/>
      <c r="I27" s="24"/>
      <c r="J27" s="51"/>
      <c r="K27" s="24"/>
      <c r="L27" s="44"/>
      <c r="M27" s="348"/>
      <c r="N27" s="24"/>
      <c r="O27" s="24"/>
      <c r="P27" s="24"/>
      <c r="Q27" s="45"/>
      <c r="R27" s="191"/>
      <c r="S27" s="52"/>
      <c r="T27" s="46"/>
    </row>
    <row r="28" spans="3:23" ht="12.75" hidden="1" thickBot="1" x14ac:dyDescent="0.25">
      <c r="C28" s="101"/>
      <c r="D28" s="62"/>
      <c r="E28" s="25"/>
      <c r="F28" s="25"/>
      <c r="G28" s="62"/>
      <c r="H28" s="27"/>
      <c r="I28" s="27"/>
      <c r="J28" s="31"/>
      <c r="K28" s="27"/>
      <c r="L28" s="28"/>
      <c r="M28" s="370"/>
      <c r="N28" s="27"/>
      <c r="O28" s="27"/>
      <c r="P28" s="27"/>
      <c r="Q28" s="29"/>
      <c r="R28" s="190"/>
      <c r="S28" s="19"/>
      <c r="T28" s="30"/>
    </row>
    <row r="29" spans="3:23" hidden="1" x14ac:dyDescent="0.2">
      <c r="C29" s="238"/>
      <c r="D29" s="36"/>
      <c r="E29" s="37"/>
      <c r="F29" s="37"/>
      <c r="G29" s="36"/>
      <c r="H29" s="38"/>
      <c r="I29" s="38"/>
      <c r="J29" s="39"/>
      <c r="K29" s="38"/>
      <c r="L29" s="48"/>
      <c r="M29" s="348"/>
      <c r="N29" s="38"/>
      <c r="O29" s="38"/>
      <c r="P29" s="38"/>
      <c r="Q29" s="40"/>
      <c r="R29" s="192"/>
      <c r="S29" s="186"/>
      <c r="T29" s="41"/>
    </row>
    <row r="30" spans="3:23" ht="12.75" hidden="1" thickBot="1" x14ac:dyDescent="0.25">
      <c r="C30" s="101"/>
      <c r="D30" s="62"/>
      <c r="E30" s="25"/>
      <c r="F30" s="25"/>
      <c r="G30" s="62"/>
      <c r="H30" s="27"/>
      <c r="I30" s="27"/>
      <c r="J30" s="31"/>
      <c r="K30" s="27"/>
      <c r="L30" s="28"/>
      <c r="M30" s="349"/>
      <c r="N30" s="27"/>
      <c r="O30" s="27"/>
      <c r="P30" s="27"/>
      <c r="Q30" s="29"/>
      <c r="R30" s="190"/>
      <c r="S30" s="19"/>
      <c r="T30" s="30"/>
    </row>
    <row r="31" spans="3:23" hidden="1" x14ac:dyDescent="0.2">
      <c r="C31" s="176"/>
      <c r="D31" s="43"/>
      <c r="E31" s="42"/>
      <c r="F31" s="42"/>
      <c r="G31" s="43"/>
      <c r="H31" s="24"/>
      <c r="I31" s="24"/>
      <c r="J31" s="51"/>
      <c r="K31" s="24"/>
      <c r="L31" s="44"/>
      <c r="M31" s="350"/>
      <c r="N31" s="24"/>
      <c r="O31" s="24"/>
      <c r="P31" s="24"/>
      <c r="Q31" s="45"/>
      <c r="R31" s="192"/>
      <c r="S31" s="52"/>
      <c r="T31" s="46"/>
    </row>
    <row r="32" spans="3:23" ht="12.75" hidden="1" thickBot="1" x14ac:dyDescent="0.25">
      <c r="C32" s="101"/>
      <c r="D32" s="62"/>
      <c r="E32" s="25"/>
      <c r="F32" s="25"/>
      <c r="G32" s="62"/>
      <c r="H32" s="27"/>
      <c r="I32" s="27"/>
      <c r="J32" s="31"/>
      <c r="K32" s="27"/>
      <c r="L32" s="28"/>
      <c r="M32" s="349"/>
      <c r="N32" s="27"/>
      <c r="O32" s="27"/>
      <c r="P32" s="27"/>
      <c r="Q32" s="29"/>
      <c r="R32" s="190"/>
      <c r="S32" s="19"/>
      <c r="T32" s="30"/>
    </row>
    <row r="33" spans="3:23" ht="12.75" thickBot="1" x14ac:dyDescent="0.25">
      <c r="I33" s="15"/>
      <c r="R33" s="193"/>
      <c r="S33" s="15"/>
    </row>
    <row r="34" spans="3:23" x14ac:dyDescent="0.2">
      <c r="E34" s="629" t="s">
        <v>34</v>
      </c>
      <c r="F34" s="646">
        <f>+'AGUILAR ESQUIVEL CARLOS'!F34</f>
        <v>45957</v>
      </c>
      <c r="G34" s="647"/>
      <c r="H34" s="16">
        <f>+F34+1</f>
        <v>45958</v>
      </c>
      <c r="I34" s="16">
        <f>+H34+1</f>
        <v>45959</v>
      </c>
      <c r="J34" s="16">
        <f>+I34+1</f>
        <v>45960</v>
      </c>
      <c r="K34" s="16">
        <f>+J34+1</f>
        <v>45961</v>
      </c>
      <c r="L34" s="16">
        <f>+K34+2</f>
        <v>45963</v>
      </c>
      <c r="M34" s="17" t="s">
        <v>35</v>
      </c>
    </row>
    <row r="35" spans="3:23" ht="12.75" thickBot="1" x14ac:dyDescent="0.25">
      <c r="E35" s="630"/>
      <c r="F35" s="648"/>
      <c r="G35" s="649"/>
      <c r="H35" s="29"/>
      <c r="I35" s="29"/>
      <c r="J35" s="29"/>
      <c r="K35" s="29"/>
      <c r="L35" s="29"/>
      <c r="M35" s="30">
        <f>SUM(F35:L35)</f>
        <v>0</v>
      </c>
    </row>
    <row r="36" spans="3:23" ht="12.75" thickBot="1" x14ac:dyDescent="0.25">
      <c r="I36" s="15"/>
    </row>
    <row r="37" spans="3:23" ht="13.5" thickBot="1" x14ac:dyDescent="0.25">
      <c r="C37" s="608" t="s">
        <v>36</v>
      </c>
      <c r="D37" s="609"/>
      <c r="E37" s="609"/>
      <c r="F37" s="609"/>
      <c r="G37" s="610"/>
      <c r="I37" s="620" t="s">
        <v>37</v>
      </c>
      <c r="J37" s="621"/>
      <c r="K37" s="621"/>
      <c r="L37" s="622"/>
      <c r="M37" s="298"/>
      <c r="O37" s="611" t="s">
        <v>38</v>
      </c>
      <c r="P37" s="612"/>
      <c r="Q37" s="613" t="e">
        <f>+F49-L46</f>
        <v>#N/A</v>
      </c>
      <c r="R37" s="614"/>
      <c r="S37" s="615"/>
    </row>
    <row r="38" spans="3:23" ht="12.75" thickBot="1" x14ac:dyDescent="0.25">
      <c r="C38" s="616" t="s">
        <v>219</v>
      </c>
      <c r="D38" s="617"/>
      <c r="E38" s="617"/>
      <c r="F38" s="618">
        <f>SUM(Q18:Q33)</f>
        <v>0</v>
      </c>
      <c r="G38" s="619"/>
      <c r="I38" s="114" t="s">
        <v>125</v>
      </c>
      <c r="J38" s="68" t="s">
        <v>126</v>
      </c>
      <c r="K38" s="68" t="s">
        <v>70</v>
      </c>
      <c r="L38" s="115" t="s">
        <v>127</v>
      </c>
      <c r="M38" s="346"/>
    </row>
    <row r="39" spans="3:23" ht="13.5" customHeight="1" thickBot="1" x14ac:dyDescent="0.25">
      <c r="C39" s="602" t="s">
        <v>220</v>
      </c>
      <c r="D39" s="603"/>
      <c r="E39" s="603"/>
      <c r="F39" s="604" t="e">
        <f>SUM(T18:T33)</f>
        <v>#N/A</v>
      </c>
      <c r="G39" s="605"/>
      <c r="I39" s="176"/>
      <c r="J39" s="412"/>
      <c r="K39" s="17"/>
      <c r="L39" s="409"/>
      <c r="M39" s="346"/>
      <c r="O39" s="74" t="s">
        <v>70</v>
      </c>
      <c r="P39" s="75" t="s">
        <v>71</v>
      </c>
      <c r="Q39" s="76" t="s">
        <v>72</v>
      </c>
      <c r="R39" s="64"/>
      <c r="S39" s="77" t="s">
        <v>73</v>
      </c>
      <c r="T39" s="75" t="s">
        <v>74</v>
      </c>
      <c r="U39" s="74" t="s">
        <v>145</v>
      </c>
      <c r="V39" s="75" t="s">
        <v>146</v>
      </c>
      <c r="W39" s="75" t="s">
        <v>284</v>
      </c>
    </row>
    <row r="40" spans="3:23" x14ac:dyDescent="0.2">
      <c r="C40" s="602" t="s">
        <v>34</v>
      </c>
      <c r="D40" s="603"/>
      <c r="E40" s="603"/>
      <c r="F40" s="604">
        <f>+M35</f>
        <v>0</v>
      </c>
      <c r="G40" s="605"/>
      <c r="I40" s="94"/>
      <c r="J40" s="117"/>
      <c r="K40" s="415"/>
      <c r="L40" s="407"/>
      <c r="M40" s="346"/>
      <c r="O40" s="78"/>
      <c r="P40" s="79"/>
      <c r="Q40" s="80"/>
      <c r="R40" s="80"/>
      <c r="S40" s="24"/>
      <c r="T40" s="79">
        <f>+S40-Q40</f>
        <v>0</v>
      </c>
      <c r="U40" s="137">
        <f>SUM(J19:J20)</f>
        <v>0</v>
      </c>
      <c r="V40" s="79">
        <f>+K20</f>
        <v>0</v>
      </c>
      <c r="W40" s="353">
        <f>(SUM(M19:M20)/2)</f>
        <v>0</v>
      </c>
    </row>
    <row r="41" spans="3:23" x14ac:dyDescent="0.2">
      <c r="C41" s="602" t="s">
        <v>186</v>
      </c>
      <c r="D41" s="603"/>
      <c r="E41" s="603"/>
      <c r="F41" s="604">
        <v>0</v>
      </c>
      <c r="G41" s="605"/>
      <c r="I41" s="94"/>
      <c r="J41" s="117"/>
      <c r="K41" s="415"/>
      <c r="L41" s="407"/>
      <c r="M41" s="346"/>
      <c r="O41" s="32"/>
      <c r="P41" s="53"/>
      <c r="Q41" s="63"/>
      <c r="R41" s="63"/>
      <c r="S41" s="11"/>
      <c r="T41" s="53">
        <f t="shared" ref="T41:T43" si="1">+S41-Q41</f>
        <v>0</v>
      </c>
      <c r="U41" s="136">
        <f>SUM(J21:J22)</f>
        <v>0</v>
      </c>
      <c r="V41" s="53">
        <f>+K22</f>
        <v>0</v>
      </c>
      <c r="W41" s="354">
        <f>(SUM(M21:M22)/2)</f>
        <v>0</v>
      </c>
    </row>
    <row r="42" spans="3:23" x14ac:dyDescent="0.2">
      <c r="C42" s="602" t="s">
        <v>39</v>
      </c>
      <c r="D42" s="603"/>
      <c r="E42" s="603"/>
      <c r="F42" s="604"/>
      <c r="G42" s="605"/>
      <c r="I42" s="94"/>
      <c r="J42" s="117"/>
      <c r="K42" s="415"/>
      <c r="L42" s="407"/>
      <c r="M42" s="346"/>
      <c r="O42" s="32"/>
      <c r="P42" s="53"/>
      <c r="Q42" s="276"/>
      <c r="R42" s="63"/>
      <c r="S42" s="11"/>
      <c r="T42" s="53">
        <f t="shared" si="1"/>
        <v>0</v>
      </c>
      <c r="U42" s="136">
        <f>SUM(J23:J24)</f>
        <v>0</v>
      </c>
      <c r="V42" s="53">
        <f>+K24</f>
        <v>0</v>
      </c>
      <c r="W42" s="354">
        <f>(SUM(M23:M24)/2)</f>
        <v>0</v>
      </c>
    </row>
    <row r="43" spans="3:23" x14ac:dyDescent="0.2">
      <c r="C43" s="602" t="s">
        <v>116</v>
      </c>
      <c r="D43" s="603"/>
      <c r="E43" s="603"/>
      <c r="F43" s="604"/>
      <c r="G43" s="605"/>
      <c r="I43" s="94"/>
      <c r="J43" s="117"/>
      <c r="K43" s="415"/>
      <c r="L43" s="407"/>
      <c r="M43" s="346"/>
      <c r="O43" s="32"/>
      <c r="P43" s="53"/>
      <c r="Q43" s="63"/>
      <c r="R43" s="63"/>
      <c r="S43" s="11"/>
      <c r="T43" s="53">
        <f t="shared" si="1"/>
        <v>0</v>
      </c>
      <c r="U43" s="136">
        <f>SUM(J25:J26)</f>
        <v>0</v>
      </c>
      <c r="V43" s="53">
        <f>+K26</f>
        <v>0</v>
      </c>
      <c r="W43" s="354">
        <f>(SUM(M25:M26)/2)</f>
        <v>0</v>
      </c>
    </row>
    <row r="44" spans="3:23" x14ac:dyDescent="0.2">
      <c r="C44" s="602" t="s">
        <v>40</v>
      </c>
      <c r="D44" s="603"/>
      <c r="E44" s="603"/>
      <c r="F44" s="604"/>
      <c r="G44" s="605"/>
      <c r="I44" s="94"/>
      <c r="J44" s="117"/>
      <c r="K44" s="415"/>
      <c r="L44" s="407"/>
      <c r="M44" s="346"/>
      <c r="O44" s="32"/>
      <c r="P44" s="53"/>
      <c r="Q44" s="63"/>
      <c r="R44" s="95"/>
      <c r="S44" s="11"/>
      <c r="T44" s="53">
        <f t="shared" ref="T44:T45" si="2">+S44-Q44</f>
        <v>0</v>
      </c>
      <c r="U44" s="136">
        <f>SUM(J27:J28)</f>
        <v>0</v>
      </c>
      <c r="V44" s="53">
        <f>+K28</f>
        <v>0</v>
      </c>
      <c r="W44" s="354">
        <f>(SUM(M27:M28)/2)</f>
        <v>0</v>
      </c>
    </row>
    <row r="45" spans="3:23" ht="12.75" thickBot="1" x14ac:dyDescent="0.25">
      <c r="C45" s="602" t="s">
        <v>124</v>
      </c>
      <c r="D45" s="603"/>
      <c r="E45" s="603"/>
      <c r="F45" s="604">
        <v>0</v>
      </c>
      <c r="G45" s="605"/>
      <c r="I45" s="282"/>
      <c r="J45" s="285"/>
      <c r="K45" s="417"/>
      <c r="L45" s="410"/>
      <c r="M45" s="346"/>
      <c r="O45" s="32"/>
      <c r="P45" s="53"/>
      <c r="Q45" s="63"/>
      <c r="R45" s="95"/>
      <c r="S45" s="11"/>
      <c r="T45" s="53">
        <f t="shared" si="2"/>
        <v>0</v>
      </c>
      <c r="U45" s="136">
        <f>SUM(J29:J30)</f>
        <v>0</v>
      </c>
      <c r="V45" s="53">
        <f>+K30</f>
        <v>0</v>
      </c>
      <c r="W45" s="354">
        <f>(SUM(M29:M30)/2)</f>
        <v>0</v>
      </c>
    </row>
    <row r="46" spans="3:23" ht="13.5" customHeight="1" thickBot="1" x14ac:dyDescent="0.25">
      <c r="C46" s="602" t="s">
        <v>224</v>
      </c>
      <c r="D46" s="603"/>
      <c r="E46" s="603"/>
      <c r="F46" s="606">
        <v>0</v>
      </c>
      <c r="G46" s="607"/>
      <c r="I46" s="597" t="s">
        <v>41</v>
      </c>
      <c r="J46" s="598"/>
      <c r="K46" s="632"/>
      <c r="L46" s="284">
        <f>SUM(L39:L45)</f>
        <v>0</v>
      </c>
      <c r="M46" s="347"/>
      <c r="O46" s="113"/>
      <c r="P46" s="264"/>
      <c r="Q46" s="265"/>
      <c r="R46" s="83"/>
      <c r="S46" s="81"/>
      <c r="T46" s="82"/>
      <c r="U46" s="138">
        <f>SUM(J31:J32)</f>
        <v>0</v>
      </c>
      <c r="V46" s="55">
        <f>+K32</f>
        <v>0</v>
      </c>
      <c r="W46" s="355">
        <f>(SUM(M31:M32)/2)</f>
        <v>0</v>
      </c>
    </row>
    <row r="47" spans="3:23" ht="13.5" customHeight="1" x14ac:dyDescent="0.2">
      <c r="C47" s="602" t="s">
        <v>110</v>
      </c>
      <c r="D47" s="603"/>
      <c r="E47" s="603"/>
      <c r="F47" s="606">
        <v>0</v>
      </c>
      <c r="G47" s="607"/>
      <c r="R47" s="21"/>
      <c r="S47" s="21"/>
      <c r="T47" s="21"/>
      <c r="U47" s="139"/>
      <c r="V47" s="271"/>
    </row>
    <row r="48" spans="3:23" ht="13.5" customHeight="1" thickBot="1" x14ac:dyDescent="0.25">
      <c r="C48" s="593" t="s">
        <v>315</v>
      </c>
      <c r="D48" s="594"/>
      <c r="E48" s="594"/>
      <c r="F48" s="595"/>
      <c r="G48" s="596"/>
      <c r="R48" s="21"/>
      <c r="S48" s="21"/>
      <c r="T48" s="21"/>
      <c r="U48" s="139"/>
      <c r="V48" s="271"/>
    </row>
    <row r="49" spans="3:22" ht="13.5" thickBot="1" x14ac:dyDescent="0.25">
      <c r="C49" s="597" t="s">
        <v>42</v>
      </c>
      <c r="D49" s="598"/>
      <c r="E49" s="599"/>
      <c r="F49" s="600" t="e">
        <f>SUM(F38:G48)</f>
        <v>#N/A</v>
      </c>
      <c r="G49" s="601"/>
      <c r="R49" s="21"/>
      <c r="S49" s="21"/>
      <c r="T49" s="21"/>
      <c r="U49" s="139"/>
      <c r="V49" s="271"/>
    </row>
    <row r="50" spans="3:22" ht="13.5" customHeight="1" thickBot="1" x14ac:dyDescent="0.25">
      <c r="P50" s="588" t="s">
        <v>48</v>
      </c>
      <c r="Q50" s="589"/>
      <c r="R50" s="590"/>
      <c r="S50" s="21"/>
      <c r="T50" s="21"/>
      <c r="U50" s="139"/>
      <c r="V50" s="271"/>
    </row>
    <row r="51" spans="3:22" ht="12.75" customHeight="1" x14ac:dyDescent="0.2">
      <c r="C51" s="246" t="s">
        <v>43</v>
      </c>
      <c r="D51" s="247"/>
      <c r="E51" s="247"/>
      <c r="F51" s="247"/>
      <c r="G51" s="247"/>
      <c r="H51" s="247"/>
      <c r="I51" s="247"/>
      <c r="J51" s="247"/>
      <c r="K51" s="247"/>
      <c r="L51" s="248"/>
      <c r="M51" s="251"/>
      <c r="P51" s="78">
        <v>1</v>
      </c>
      <c r="Q51" s="584" t="s">
        <v>49</v>
      </c>
      <c r="R51" s="585"/>
      <c r="S51" s="21"/>
      <c r="T51" s="21"/>
      <c r="U51" s="249"/>
    </row>
    <row r="52" spans="3:22" ht="12.75" customHeight="1" x14ac:dyDescent="0.2">
      <c r="C52" s="250"/>
      <c r="D52" s="251"/>
      <c r="E52" s="251"/>
      <c r="F52" s="251"/>
      <c r="G52" s="251"/>
      <c r="H52" s="251"/>
      <c r="I52" s="251"/>
      <c r="J52" s="251"/>
      <c r="K52" s="251"/>
      <c r="L52" s="252"/>
      <c r="M52" s="251"/>
      <c r="P52" s="32">
        <v>2</v>
      </c>
      <c r="Q52" s="586" t="s">
        <v>135</v>
      </c>
      <c r="R52" s="587"/>
      <c r="S52" s="21"/>
      <c r="T52" s="249"/>
    </row>
    <row r="53" spans="3:22" ht="12.75" thickBot="1" x14ac:dyDescent="0.25">
      <c r="C53" s="253"/>
      <c r="D53" s="254"/>
      <c r="E53" s="254"/>
      <c r="F53" s="254"/>
      <c r="G53" s="254"/>
      <c r="H53" s="254"/>
      <c r="I53" s="254"/>
      <c r="J53" s="254"/>
      <c r="K53" s="254"/>
      <c r="L53" s="255"/>
      <c r="M53" s="251"/>
      <c r="P53" s="32">
        <v>3</v>
      </c>
      <c r="Q53" s="586" t="s">
        <v>130</v>
      </c>
      <c r="R53" s="587"/>
      <c r="S53" s="21"/>
      <c r="T53" s="249"/>
    </row>
    <row r="54" spans="3:22" x14ac:dyDescent="0.2">
      <c r="P54" s="32">
        <v>4</v>
      </c>
      <c r="Q54" s="586" t="s">
        <v>228</v>
      </c>
      <c r="R54" s="587"/>
      <c r="S54" s="21"/>
      <c r="T54" s="249"/>
    </row>
    <row r="55" spans="3:22" ht="12.75" thickBot="1" x14ac:dyDescent="0.25">
      <c r="P55" s="32">
        <v>5</v>
      </c>
      <c r="Q55" s="586" t="s">
        <v>229</v>
      </c>
      <c r="R55" s="587"/>
      <c r="S55" s="21"/>
    </row>
    <row r="56" spans="3:22" ht="14.25" customHeight="1" thickTop="1" thickBot="1" x14ac:dyDescent="0.25">
      <c r="D56" s="631" t="s">
        <v>44</v>
      </c>
      <c r="E56" s="631"/>
      <c r="F56" s="631"/>
      <c r="G56" s="631"/>
      <c r="H56" s="631"/>
      <c r="J56" s="631" t="s">
        <v>45</v>
      </c>
      <c r="K56" s="631"/>
      <c r="L56" s="631"/>
      <c r="M56" s="631"/>
      <c r="N56" s="631"/>
      <c r="P56" s="54">
        <v>6</v>
      </c>
      <c r="Q56" s="591" t="s">
        <v>230</v>
      </c>
      <c r="R56" s="592"/>
      <c r="S56" s="21"/>
      <c r="T56" s="21"/>
    </row>
    <row r="57" spans="3:22" x14ac:dyDescent="0.2">
      <c r="S57" s="21"/>
      <c r="T57" s="21"/>
    </row>
  </sheetData>
  <mergeCells count="56">
    <mergeCell ref="P50:R50"/>
    <mergeCell ref="Q51:R51"/>
    <mergeCell ref="D56:H56"/>
    <mergeCell ref="J56:N56"/>
    <mergeCell ref="I46:K46"/>
    <mergeCell ref="C48:E48"/>
    <mergeCell ref="F48:G48"/>
    <mergeCell ref="C49:E49"/>
    <mergeCell ref="F49:G49"/>
    <mergeCell ref="Q52:R52"/>
    <mergeCell ref="Q53:R53"/>
    <mergeCell ref="Q54:R54"/>
    <mergeCell ref="Q55:R55"/>
    <mergeCell ref="Q56:R56"/>
    <mergeCell ref="C45:E45"/>
    <mergeCell ref="F45:G45"/>
    <mergeCell ref="C46:E46"/>
    <mergeCell ref="F46:G46"/>
    <mergeCell ref="C47:E47"/>
    <mergeCell ref="F47:G47"/>
    <mergeCell ref="F44:G44"/>
    <mergeCell ref="C44:E44"/>
    <mergeCell ref="C43:E43"/>
    <mergeCell ref="C37:G37"/>
    <mergeCell ref="O37:P37"/>
    <mergeCell ref="C42:E42"/>
    <mergeCell ref="F42:G42"/>
    <mergeCell ref="F43:G43"/>
    <mergeCell ref="C39:E39"/>
    <mergeCell ref="F39:G39"/>
    <mergeCell ref="C40:E40"/>
    <mergeCell ref="F40:G40"/>
    <mergeCell ref="C41:E41"/>
    <mergeCell ref="F41:G41"/>
    <mergeCell ref="Q37:S37"/>
    <mergeCell ref="C38:E38"/>
    <mergeCell ref="F38:G38"/>
    <mergeCell ref="I37:L37"/>
    <mergeCell ref="D14:E14"/>
    <mergeCell ref="D15:E15"/>
    <mergeCell ref="D16:E16"/>
    <mergeCell ref="E34:E35"/>
    <mergeCell ref="F34:G34"/>
    <mergeCell ref="F35:G35"/>
    <mergeCell ref="D13:E13"/>
    <mergeCell ref="Q2:S2"/>
    <mergeCell ref="I3:O3"/>
    <mergeCell ref="Q3:S3"/>
    <mergeCell ref="I4:O4"/>
    <mergeCell ref="I5:O5"/>
    <mergeCell ref="Q5:S5"/>
    <mergeCell ref="I6:O6"/>
    <mergeCell ref="Q6:S6"/>
    <mergeCell ref="I9:O9"/>
    <mergeCell ref="L11:S11"/>
    <mergeCell ref="E12:F12"/>
  </mergeCells>
  <phoneticPr fontId="20" type="noConversion"/>
  <pageMargins left="0.19685039370078741" right="0.19685039370078741" top="0.35433070866141736" bottom="0.35433070866141736" header="0.31496062992125984" footer="0.31496062992125984"/>
  <pageSetup paperSize="9" scale="80" orientation="landscape" horizontalDpi="300" verticalDpi="300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Hoja6">
    <pageSetUpPr fitToPage="1"/>
  </sheetPr>
  <dimension ref="C1:X57"/>
  <sheetViews>
    <sheetView topLeftCell="A18" zoomScaleNormal="100" workbookViewId="0">
      <selection activeCell="F48" sqref="F48:G48"/>
    </sheetView>
  </sheetViews>
  <sheetFormatPr baseColWidth="10" defaultColWidth="9.140625" defaultRowHeight="12" x14ac:dyDescent="0.2"/>
  <cols>
    <col min="1" max="1" width="2.5703125" style="14" customWidth="1"/>
    <col min="2" max="2" width="6.28515625" style="14" customWidth="1"/>
    <col min="3" max="3" width="11.85546875" style="14" customWidth="1"/>
    <col min="4" max="4" width="11.42578125" style="14" customWidth="1"/>
    <col min="5" max="5" width="7.85546875" style="14" customWidth="1"/>
    <col min="6" max="6" width="8.85546875" style="14" customWidth="1"/>
    <col min="7" max="7" width="3" style="14" bestFit="1" customWidth="1"/>
    <col min="8" max="8" width="10.42578125" style="14" customWidth="1"/>
    <col min="9" max="9" width="13.140625" style="14" customWidth="1"/>
    <col min="10" max="10" width="11" style="14" customWidth="1"/>
    <col min="11" max="11" width="10.42578125" style="14" customWidth="1"/>
    <col min="12" max="12" width="12.85546875" style="14" customWidth="1"/>
    <col min="13" max="13" width="11.28515625" style="14" bestFit="1" customWidth="1"/>
    <col min="14" max="14" width="9.28515625" style="14" customWidth="1"/>
    <col min="15" max="15" width="10.140625" style="14" customWidth="1"/>
    <col min="16" max="16" width="11.85546875" style="14" customWidth="1"/>
    <col min="17" max="17" width="11.140625" style="14" customWidth="1"/>
    <col min="18" max="18" width="10" style="14" hidden="1" customWidth="1"/>
    <col min="19" max="19" width="9.85546875" style="14" customWidth="1"/>
    <col min="20" max="20" width="11.5703125" style="14" bestFit="1" customWidth="1"/>
    <col min="21" max="21" width="10.28515625" style="14" customWidth="1"/>
    <col min="22" max="22" width="9.28515625" style="14" customWidth="1"/>
    <col min="23" max="23" width="9.140625" style="14" customWidth="1"/>
    <col min="24" max="24" width="10" style="14" customWidth="1"/>
    <col min="25" max="259" width="9.140625" style="14"/>
    <col min="260" max="260" width="5.7109375" style="14" customWidth="1"/>
    <col min="261" max="261" width="13.140625" style="14" customWidth="1"/>
    <col min="262" max="262" width="12.28515625" style="14" customWidth="1"/>
    <col min="263" max="263" width="8.85546875" style="14" customWidth="1"/>
    <col min="264" max="264" width="10.85546875" style="14" customWidth="1"/>
    <col min="265" max="265" width="2.85546875" style="14" customWidth="1"/>
    <col min="266" max="266" width="12.140625" style="14" customWidth="1"/>
    <col min="267" max="267" width="10.140625" style="14" customWidth="1"/>
    <col min="268" max="268" width="11.7109375" style="14" customWidth="1"/>
    <col min="269" max="269" width="11.42578125" style="14" customWidth="1"/>
    <col min="270" max="270" width="12.7109375" style="14" customWidth="1"/>
    <col min="271" max="271" width="11.42578125" style="14" customWidth="1"/>
    <col min="272" max="272" width="10.7109375" style="14" customWidth="1"/>
    <col min="273" max="273" width="10.5703125" style="14" customWidth="1"/>
    <col min="274" max="274" width="11.28515625" style="14" customWidth="1"/>
    <col min="275" max="275" width="9.7109375" style="14" customWidth="1"/>
    <col min="276" max="276" width="12" style="14" customWidth="1"/>
    <col min="277" max="277" width="11.28515625" style="14" customWidth="1"/>
    <col min="278" max="515" width="9.140625" style="14"/>
    <col min="516" max="516" width="5.7109375" style="14" customWidth="1"/>
    <col min="517" max="517" width="13.140625" style="14" customWidth="1"/>
    <col min="518" max="518" width="12.28515625" style="14" customWidth="1"/>
    <col min="519" max="519" width="8.85546875" style="14" customWidth="1"/>
    <col min="520" max="520" width="10.85546875" style="14" customWidth="1"/>
    <col min="521" max="521" width="2.85546875" style="14" customWidth="1"/>
    <col min="522" max="522" width="12.140625" style="14" customWidth="1"/>
    <col min="523" max="523" width="10.140625" style="14" customWidth="1"/>
    <col min="524" max="524" width="11.7109375" style="14" customWidth="1"/>
    <col min="525" max="525" width="11.42578125" style="14" customWidth="1"/>
    <col min="526" max="526" width="12.7109375" style="14" customWidth="1"/>
    <col min="527" max="527" width="11.42578125" style="14" customWidth="1"/>
    <col min="528" max="528" width="10.7109375" style="14" customWidth="1"/>
    <col min="529" max="529" width="10.5703125" style="14" customWidth="1"/>
    <col min="530" max="530" width="11.28515625" style="14" customWidth="1"/>
    <col min="531" max="531" width="9.7109375" style="14" customWidth="1"/>
    <col min="532" max="532" width="12" style="14" customWidth="1"/>
    <col min="533" max="533" width="11.28515625" style="14" customWidth="1"/>
    <col min="534" max="771" width="9.140625" style="14"/>
    <col min="772" max="772" width="5.7109375" style="14" customWidth="1"/>
    <col min="773" max="773" width="13.140625" style="14" customWidth="1"/>
    <col min="774" max="774" width="12.28515625" style="14" customWidth="1"/>
    <col min="775" max="775" width="8.85546875" style="14" customWidth="1"/>
    <col min="776" max="776" width="10.85546875" style="14" customWidth="1"/>
    <col min="777" max="777" width="2.85546875" style="14" customWidth="1"/>
    <col min="778" max="778" width="12.140625" style="14" customWidth="1"/>
    <col min="779" max="779" width="10.140625" style="14" customWidth="1"/>
    <col min="780" max="780" width="11.7109375" style="14" customWidth="1"/>
    <col min="781" max="781" width="11.42578125" style="14" customWidth="1"/>
    <col min="782" max="782" width="12.7109375" style="14" customWidth="1"/>
    <col min="783" max="783" width="11.42578125" style="14" customWidth="1"/>
    <col min="784" max="784" width="10.7109375" style="14" customWidth="1"/>
    <col min="785" max="785" width="10.5703125" style="14" customWidth="1"/>
    <col min="786" max="786" width="11.28515625" style="14" customWidth="1"/>
    <col min="787" max="787" width="9.7109375" style="14" customWidth="1"/>
    <col min="788" max="788" width="12" style="14" customWidth="1"/>
    <col min="789" max="789" width="11.28515625" style="14" customWidth="1"/>
    <col min="790" max="1027" width="9.140625" style="14"/>
    <col min="1028" max="1028" width="5.7109375" style="14" customWidth="1"/>
    <col min="1029" max="1029" width="13.140625" style="14" customWidth="1"/>
    <col min="1030" max="1030" width="12.28515625" style="14" customWidth="1"/>
    <col min="1031" max="1031" width="8.85546875" style="14" customWidth="1"/>
    <col min="1032" max="1032" width="10.85546875" style="14" customWidth="1"/>
    <col min="1033" max="1033" width="2.85546875" style="14" customWidth="1"/>
    <col min="1034" max="1034" width="12.140625" style="14" customWidth="1"/>
    <col min="1035" max="1035" width="10.140625" style="14" customWidth="1"/>
    <col min="1036" max="1036" width="11.7109375" style="14" customWidth="1"/>
    <col min="1037" max="1037" width="11.42578125" style="14" customWidth="1"/>
    <col min="1038" max="1038" width="12.7109375" style="14" customWidth="1"/>
    <col min="1039" max="1039" width="11.42578125" style="14" customWidth="1"/>
    <col min="1040" max="1040" width="10.7109375" style="14" customWidth="1"/>
    <col min="1041" max="1041" width="10.5703125" style="14" customWidth="1"/>
    <col min="1042" max="1042" width="11.28515625" style="14" customWidth="1"/>
    <col min="1043" max="1043" width="9.7109375" style="14" customWidth="1"/>
    <col min="1044" max="1044" width="12" style="14" customWidth="1"/>
    <col min="1045" max="1045" width="11.28515625" style="14" customWidth="1"/>
    <col min="1046" max="1283" width="9.140625" style="14"/>
    <col min="1284" max="1284" width="5.7109375" style="14" customWidth="1"/>
    <col min="1285" max="1285" width="13.140625" style="14" customWidth="1"/>
    <col min="1286" max="1286" width="12.28515625" style="14" customWidth="1"/>
    <col min="1287" max="1287" width="8.85546875" style="14" customWidth="1"/>
    <col min="1288" max="1288" width="10.85546875" style="14" customWidth="1"/>
    <col min="1289" max="1289" width="2.85546875" style="14" customWidth="1"/>
    <col min="1290" max="1290" width="12.140625" style="14" customWidth="1"/>
    <col min="1291" max="1291" width="10.140625" style="14" customWidth="1"/>
    <col min="1292" max="1292" width="11.7109375" style="14" customWidth="1"/>
    <col min="1293" max="1293" width="11.42578125" style="14" customWidth="1"/>
    <col min="1294" max="1294" width="12.7109375" style="14" customWidth="1"/>
    <col min="1295" max="1295" width="11.42578125" style="14" customWidth="1"/>
    <col min="1296" max="1296" width="10.7109375" style="14" customWidth="1"/>
    <col min="1297" max="1297" width="10.5703125" style="14" customWidth="1"/>
    <col min="1298" max="1298" width="11.28515625" style="14" customWidth="1"/>
    <col min="1299" max="1299" width="9.7109375" style="14" customWidth="1"/>
    <col min="1300" max="1300" width="12" style="14" customWidth="1"/>
    <col min="1301" max="1301" width="11.28515625" style="14" customWidth="1"/>
    <col min="1302" max="1539" width="9.140625" style="14"/>
    <col min="1540" max="1540" width="5.7109375" style="14" customWidth="1"/>
    <col min="1541" max="1541" width="13.140625" style="14" customWidth="1"/>
    <col min="1542" max="1542" width="12.28515625" style="14" customWidth="1"/>
    <col min="1543" max="1543" width="8.85546875" style="14" customWidth="1"/>
    <col min="1544" max="1544" width="10.85546875" style="14" customWidth="1"/>
    <col min="1545" max="1545" width="2.85546875" style="14" customWidth="1"/>
    <col min="1546" max="1546" width="12.140625" style="14" customWidth="1"/>
    <col min="1547" max="1547" width="10.140625" style="14" customWidth="1"/>
    <col min="1548" max="1548" width="11.7109375" style="14" customWidth="1"/>
    <col min="1549" max="1549" width="11.42578125" style="14" customWidth="1"/>
    <col min="1550" max="1550" width="12.7109375" style="14" customWidth="1"/>
    <col min="1551" max="1551" width="11.42578125" style="14" customWidth="1"/>
    <col min="1552" max="1552" width="10.7109375" style="14" customWidth="1"/>
    <col min="1553" max="1553" width="10.5703125" style="14" customWidth="1"/>
    <col min="1554" max="1554" width="11.28515625" style="14" customWidth="1"/>
    <col min="1555" max="1555" width="9.7109375" style="14" customWidth="1"/>
    <col min="1556" max="1556" width="12" style="14" customWidth="1"/>
    <col min="1557" max="1557" width="11.28515625" style="14" customWidth="1"/>
    <col min="1558" max="1795" width="9.140625" style="14"/>
    <col min="1796" max="1796" width="5.7109375" style="14" customWidth="1"/>
    <col min="1797" max="1797" width="13.140625" style="14" customWidth="1"/>
    <col min="1798" max="1798" width="12.28515625" style="14" customWidth="1"/>
    <col min="1799" max="1799" width="8.85546875" style="14" customWidth="1"/>
    <col min="1800" max="1800" width="10.85546875" style="14" customWidth="1"/>
    <col min="1801" max="1801" width="2.85546875" style="14" customWidth="1"/>
    <col min="1802" max="1802" width="12.140625" style="14" customWidth="1"/>
    <col min="1803" max="1803" width="10.140625" style="14" customWidth="1"/>
    <col min="1804" max="1804" width="11.7109375" style="14" customWidth="1"/>
    <col min="1805" max="1805" width="11.42578125" style="14" customWidth="1"/>
    <col min="1806" max="1806" width="12.7109375" style="14" customWidth="1"/>
    <col min="1807" max="1807" width="11.42578125" style="14" customWidth="1"/>
    <col min="1808" max="1808" width="10.7109375" style="14" customWidth="1"/>
    <col min="1809" max="1809" width="10.5703125" style="14" customWidth="1"/>
    <col min="1810" max="1810" width="11.28515625" style="14" customWidth="1"/>
    <col min="1811" max="1811" width="9.7109375" style="14" customWidth="1"/>
    <col min="1812" max="1812" width="12" style="14" customWidth="1"/>
    <col min="1813" max="1813" width="11.28515625" style="14" customWidth="1"/>
    <col min="1814" max="2051" width="9.140625" style="14"/>
    <col min="2052" max="2052" width="5.7109375" style="14" customWidth="1"/>
    <col min="2053" max="2053" width="13.140625" style="14" customWidth="1"/>
    <col min="2054" max="2054" width="12.28515625" style="14" customWidth="1"/>
    <col min="2055" max="2055" width="8.85546875" style="14" customWidth="1"/>
    <col min="2056" max="2056" width="10.85546875" style="14" customWidth="1"/>
    <col min="2057" max="2057" width="2.85546875" style="14" customWidth="1"/>
    <col min="2058" max="2058" width="12.140625" style="14" customWidth="1"/>
    <col min="2059" max="2059" width="10.140625" style="14" customWidth="1"/>
    <col min="2060" max="2060" width="11.7109375" style="14" customWidth="1"/>
    <col min="2061" max="2061" width="11.42578125" style="14" customWidth="1"/>
    <col min="2062" max="2062" width="12.7109375" style="14" customWidth="1"/>
    <col min="2063" max="2063" width="11.42578125" style="14" customWidth="1"/>
    <col min="2064" max="2064" width="10.7109375" style="14" customWidth="1"/>
    <col min="2065" max="2065" width="10.5703125" style="14" customWidth="1"/>
    <col min="2066" max="2066" width="11.28515625" style="14" customWidth="1"/>
    <col min="2067" max="2067" width="9.7109375" style="14" customWidth="1"/>
    <col min="2068" max="2068" width="12" style="14" customWidth="1"/>
    <col min="2069" max="2069" width="11.28515625" style="14" customWidth="1"/>
    <col min="2070" max="2307" width="9.140625" style="14"/>
    <col min="2308" max="2308" width="5.7109375" style="14" customWidth="1"/>
    <col min="2309" max="2309" width="13.140625" style="14" customWidth="1"/>
    <col min="2310" max="2310" width="12.28515625" style="14" customWidth="1"/>
    <col min="2311" max="2311" width="8.85546875" style="14" customWidth="1"/>
    <col min="2312" max="2312" width="10.85546875" style="14" customWidth="1"/>
    <col min="2313" max="2313" width="2.85546875" style="14" customWidth="1"/>
    <col min="2314" max="2314" width="12.140625" style="14" customWidth="1"/>
    <col min="2315" max="2315" width="10.140625" style="14" customWidth="1"/>
    <col min="2316" max="2316" width="11.7109375" style="14" customWidth="1"/>
    <col min="2317" max="2317" width="11.42578125" style="14" customWidth="1"/>
    <col min="2318" max="2318" width="12.7109375" style="14" customWidth="1"/>
    <col min="2319" max="2319" width="11.42578125" style="14" customWidth="1"/>
    <col min="2320" max="2320" width="10.7109375" style="14" customWidth="1"/>
    <col min="2321" max="2321" width="10.5703125" style="14" customWidth="1"/>
    <col min="2322" max="2322" width="11.28515625" style="14" customWidth="1"/>
    <col min="2323" max="2323" width="9.7109375" style="14" customWidth="1"/>
    <col min="2324" max="2324" width="12" style="14" customWidth="1"/>
    <col min="2325" max="2325" width="11.28515625" style="14" customWidth="1"/>
    <col min="2326" max="2563" width="9.140625" style="14"/>
    <col min="2564" max="2564" width="5.7109375" style="14" customWidth="1"/>
    <col min="2565" max="2565" width="13.140625" style="14" customWidth="1"/>
    <col min="2566" max="2566" width="12.28515625" style="14" customWidth="1"/>
    <col min="2567" max="2567" width="8.85546875" style="14" customWidth="1"/>
    <col min="2568" max="2568" width="10.85546875" style="14" customWidth="1"/>
    <col min="2569" max="2569" width="2.85546875" style="14" customWidth="1"/>
    <col min="2570" max="2570" width="12.140625" style="14" customWidth="1"/>
    <col min="2571" max="2571" width="10.140625" style="14" customWidth="1"/>
    <col min="2572" max="2572" width="11.7109375" style="14" customWidth="1"/>
    <col min="2573" max="2573" width="11.42578125" style="14" customWidth="1"/>
    <col min="2574" max="2574" width="12.7109375" style="14" customWidth="1"/>
    <col min="2575" max="2575" width="11.42578125" style="14" customWidth="1"/>
    <col min="2576" max="2576" width="10.7109375" style="14" customWidth="1"/>
    <col min="2577" max="2577" width="10.5703125" style="14" customWidth="1"/>
    <col min="2578" max="2578" width="11.28515625" style="14" customWidth="1"/>
    <col min="2579" max="2579" width="9.7109375" style="14" customWidth="1"/>
    <col min="2580" max="2580" width="12" style="14" customWidth="1"/>
    <col min="2581" max="2581" width="11.28515625" style="14" customWidth="1"/>
    <col min="2582" max="2819" width="9.140625" style="14"/>
    <col min="2820" max="2820" width="5.7109375" style="14" customWidth="1"/>
    <col min="2821" max="2821" width="13.140625" style="14" customWidth="1"/>
    <col min="2822" max="2822" width="12.28515625" style="14" customWidth="1"/>
    <col min="2823" max="2823" width="8.85546875" style="14" customWidth="1"/>
    <col min="2824" max="2824" width="10.85546875" style="14" customWidth="1"/>
    <col min="2825" max="2825" width="2.85546875" style="14" customWidth="1"/>
    <col min="2826" max="2826" width="12.140625" style="14" customWidth="1"/>
    <col min="2827" max="2827" width="10.140625" style="14" customWidth="1"/>
    <col min="2828" max="2828" width="11.7109375" style="14" customWidth="1"/>
    <col min="2829" max="2829" width="11.42578125" style="14" customWidth="1"/>
    <col min="2830" max="2830" width="12.7109375" style="14" customWidth="1"/>
    <col min="2831" max="2831" width="11.42578125" style="14" customWidth="1"/>
    <col min="2832" max="2832" width="10.7109375" style="14" customWidth="1"/>
    <col min="2833" max="2833" width="10.5703125" style="14" customWidth="1"/>
    <col min="2834" max="2834" width="11.28515625" style="14" customWidth="1"/>
    <col min="2835" max="2835" width="9.7109375" style="14" customWidth="1"/>
    <col min="2836" max="2836" width="12" style="14" customWidth="1"/>
    <col min="2837" max="2837" width="11.28515625" style="14" customWidth="1"/>
    <col min="2838" max="3075" width="9.140625" style="14"/>
    <col min="3076" max="3076" width="5.7109375" style="14" customWidth="1"/>
    <col min="3077" max="3077" width="13.140625" style="14" customWidth="1"/>
    <col min="3078" max="3078" width="12.28515625" style="14" customWidth="1"/>
    <col min="3079" max="3079" width="8.85546875" style="14" customWidth="1"/>
    <col min="3080" max="3080" width="10.85546875" style="14" customWidth="1"/>
    <col min="3081" max="3081" width="2.85546875" style="14" customWidth="1"/>
    <col min="3082" max="3082" width="12.140625" style="14" customWidth="1"/>
    <col min="3083" max="3083" width="10.140625" style="14" customWidth="1"/>
    <col min="3084" max="3084" width="11.7109375" style="14" customWidth="1"/>
    <col min="3085" max="3085" width="11.42578125" style="14" customWidth="1"/>
    <col min="3086" max="3086" width="12.7109375" style="14" customWidth="1"/>
    <col min="3087" max="3087" width="11.42578125" style="14" customWidth="1"/>
    <col min="3088" max="3088" width="10.7109375" style="14" customWidth="1"/>
    <col min="3089" max="3089" width="10.5703125" style="14" customWidth="1"/>
    <col min="3090" max="3090" width="11.28515625" style="14" customWidth="1"/>
    <col min="3091" max="3091" width="9.7109375" style="14" customWidth="1"/>
    <col min="3092" max="3092" width="12" style="14" customWidth="1"/>
    <col min="3093" max="3093" width="11.28515625" style="14" customWidth="1"/>
    <col min="3094" max="3331" width="9.140625" style="14"/>
    <col min="3332" max="3332" width="5.7109375" style="14" customWidth="1"/>
    <col min="3333" max="3333" width="13.140625" style="14" customWidth="1"/>
    <col min="3334" max="3334" width="12.28515625" style="14" customWidth="1"/>
    <col min="3335" max="3335" width="8.85546875" style="14" customWidth="1"/>
    <col min="3336" max="3336" width="10.85546875" style="14" customWidth="1"/>
    <col min="3337" max="3337" width="2.85546875" style="14" customWidth="1"/>
    <col min="3338" max="3338" width="12.140625" style="14" customWidth="1"/>
    <col min="3339" max="3339" width="10.140625" style="14" customWidth="1"/>
    <col min="3340" max="3340" width="11.7109375" style="14" customWidth="1"/>
    <col min="3341" max="3341" width="11.42578125" style="14" customWidth="1"/>
    <col min="3342" max="3342" width="12.7109375" style="14" customWidth="1"/>
    <col min="3343" max="3343" width="11.42578125" style="14" customWidth="1"/>
    <col min="3344" max="3344" width="10.7109375" style="14" customWidth="1"/>
    <col min="3345" max="3345" width="10.5703125" style="14" customWidth="1"/>
    <col min="3346" max="3346" width="11.28515625" style="14" customWidth="1"/>
    <col min="3347" max="3347" width="9.7109375" style="14" customWidth="1"/>
    <col min="3348" max="3348" width="12" style="14" customWidth="1"/>
    <col min="3349" max="3349" width="11.28515625" style="14" customWidth="1"/>
    <col min="3350" max="3587" width="9.140625" style="14"/>
    <col min="3588" max="3588" width="5.7109375" style="14" customWidth="1"/>
    <col min="3589" max="3589" width="13.140625" style="14" customWidth="1"/>
    <col min="3590" max="3590" width="12.28515625" style="14" customWidth="1"/>
    <col min="3591" max="3591" width="8.85546875" style="14" customWidth="1"/>
    <col min="3592" max="3592" width="10.85546875" style="14" customWidth="1"/>
    <col min="3593" max="3593" width="2.85546875" style="14" customWidth="1"/>
    <col min="3594" max="3594" width="12.140625" style="14" customWidth="1"/>
    <col min="3595" max="3595" width="10.140625" style="14" customWidth="1"/>
    <col min="3596" max="3596" width="11.7109375" style="14" customWidth="1"/>
    <col min="3597" max="3597" width="11.42578125" style="14" customWidth="1"/>
    <col min="3598" max="3598" width="12.7109375" style="14" customWidth="1"/>
    <col min="3599" max="3599" width="11.42578125" style="14" customWidth="1"/>
    <col min="3600" max="3600" width="10.7109375" style="14" customWidth="1"/>
    <col min="3601" max="3601" width="10.5703125" style="14" customWidth="1"/>
    <col min="3602" max="3602" width="11.28515625" style="14" customWidth="1"/>
    <col min="3603" max="3603" width="9.7109375" style="14" customWidth="1"/>
    <col min="3604" max="3604" width="12" style="14" customWidth="1"/>
    <col min="3605" max="3605" width="11.28515625" style="14" customWidth="1"/>
    <col min="3606" max="3843" width="9.140625" style="14"/>
    <col min="3844" max="3844" width="5.7109375" style="14" customWidth="1"/>
    <col min="3845" max="3845" width="13.140625" style="14" customWidth="1"/>
    <col min="3846" max="3846" width="12.28515625" style="14" customWidth="1"/>
    <col min="3847" max="3847" width="8.85546875" style="14" customWidth="1"/>
    <col min="3848" max="3848" width="10.85546875" style="14" customWidth="1"/>
    <col min="3849" max="3849" width="2.85546875" style="14" customWidth="1"/>
    <col min="3850" max="3850" width="12.140625" style="14" customWidth="1"/>
    <col min="3851" max="3851" width="10.140625" style="14" customWidth="1"/>
    <col min="3852" max="3852" width="11.7109375" style="14" customWidth="1"/>
    <col min="3853" max="3853" width="11.42578125" style="14" customWidth="1"/>
    <col min="3854" max="3854" width="12.7109375" style="14" customWidth="1"/>
    <col min="3855" max="3855" width="11.42578125" style="14" customWidth="1"/>
    <col min="3856" max="3856" width="10.7109375" style="14" customWidth="1"/>
    <col min="3857" max="3857" width="10.5703125" style="14" customWidth="1"/>
    <col min="3858" max="3858" width="11.28515625" style="14" customWidth="1"/>
    <col min="3859" max="3859" width="9.7109375" style="14" customWidth="1"/>
    <col min="3860" max="3860" width="12" style="14" customWidth="1"/>
    <col min="3861" max="3861" width="11.28515625" style="14" customWidth="1"/>
    <col min="3862" max="4099" width="9.140625" style="14"/>
    <col min="4100" max="4100" width="5.7109375" style="14" customWidth="1"/>
    <col min="4101" max="4101" width="13.140625" style="14" customWidth="1"/>
    <col min="4102" max="4102" width="12.28515625" style="14" customWidth="1"/>
    <col min="4103" max="4103" width="8.85546875" style="14" customWidth="1"/>
    <col min="4104" max="4104" width="10.85546875" style="14" customWidth="1"/>
    <col min="4105" max="4105" width="2.85546875" style="14" customWidth="1"/>
    <col min="4106" max="4106" width="12.140625" style="14" customWidth="1"/>
    <col min="4107" max="4107" width="10.140625" style="14" customWidth="1"/>
    <col min="4108" max="4108" width="11.7109375" style="14" customWidth="1"/>
    <col min="4109" max="4109" width="11.42578125" style="14" customWidth="1"/>
    <col min="4110" max="4110" width="12.7109375" style="14" customWidth="1"/>
    <col min="4111" max="4111" width="11.42578125" style="14" customWidth="1"/>
    <col min="4112" max="4112" width="10.7109375" style="14" customWidth="1"/>
    <col min="4113" max="4113" width="10.5703125" style="14" customWidth="1"/>
    <col min="4114" max="4114" width="11.28515625" style="14" customWidth="1"/>
    <col min="4115" max="4115" width="9.7109375" style="14" customWidth="1"/>
    <col min="4116" max="4116" width="12" style="14" customWidth="1"/>
    <col min="4117" max="4117" width="11.28515625" style="14" customWidth="1"/>
    <col min="4118" max="4355" width="9.140625" style="14"/>
    <col min="4356" max="4356" width="5.7109375" style="14" customWidth="1"/>
    <col min="4357" max="4357" width="13.140625" style="14" customWidth="1"/>
    <col min="4358" max="4358" width="12.28515625" style="14" customWidth="1"/>
    <col min="4359" max="4359" width="8.85546875" style="14" customWidth="1"/>
    <col min="4360" max="4360" width="10.85546875" style="14" customWidth="1"/>
    <col min="4361" max="4361" width="2.85546875" style="14" customWidth="1"/>
    <col min="4362" max="4362" width="12.140625" style="14" customWidth="1"/>
    <col min="4363" max="4363" width="10.140625" style="14" customWidth="1"/>
    <col min="4364" max="4364" width="11.7109375" style="14" customWidth="1"/>
    <col min="4365" max="4365" width="11.42578125" style="14" customWidth="1"/>
    <col min="4366" max="4366" width="12.7109375" style="14" customWidth="1"/>
    <col min="4367" max="4367" width="11.42578125" style="14" customWidth="1"/>
    <col min="4368" max="4368" width="10.7109375" style="14" customWidth="1"/>
    <col min="4369" max="4369" width="10.5703125" style="14" customWidth="1"/>
    <col min="4370" max="4370" width="11.28515625" style="14" customWidth="1"/>
    <col min="4371" max="4371" width="9.7109375" style="14" customWidth="1"/>
    <col min="4372" max="4372" width="12" style="14" customWidth="1"/>
    <col min="4373" max="4373" width="11.28515625" style="14" customWidth="1"/>
    <col min="4374" max="4611" width="9.140625" style="14"/>
    <col min="4612" max="4612" width="5.7109375" style="14" customWidth="1"/>
    <col min="4613" max="4613" width="13.140625" style="14" customWidth="1"/>
    <col min="4614" max="4614" width="12.28515625" style="14" customWidth="1"/>
    <col min="4615" max="4615" width="8.85546875" style="14" customWidth="1"/>
    <col min="4616" max="4616" width="10.85546875" style="14" customWidth="1"/>
    <col min="4617" max="4617" width="2.85546875" style="14" customWidth="1"/>
    <col min="4618" max="4618" width="12.140625" style="14" customWidth="1"/>
    <col min="4619" max="4619" width="10.140625" style="14" customWidth="1"/>
    <col min="4620" max="4620" width="11.7109375" style="14" customWidth="1"/>
    <col min="4621" max="4621" width="11.42578125" style="14" customWidth="1"/>
    <col min="4622" max="4622" width="12.7109375" style="14" customWidth="1"/>
    <col min="4623" max="4623" width="11.42578125" style="14" customWidth="1"/>
    <col min="4624" max="4624" width="10.7109375" style="14" customWidth="1"/>
    <col min="4625" max="4625" width="10.5703125" style="14" customWidth="1"/>
    <col min="4626" max="4626" width="11.28515625" style="14" customWidth="1"/>
    <col min="4627" max="4627" width="9.7109375" style="14" customWidth="1"/>
    <col min="4628" max="4628" width="12" style="14" customWidth="1"/>
    <col min="4629" max="4629" width="11.28515625" style="14" customWidth="1"/>
    <col min="4630" max="4867" width="9.140625" style="14"/>
    <col min="4868" max="4868" width="5.7109375" style="14" customWidth="1"/>
    <col min="4869" max="4869" width="13.140625" style="14" customWidth="1"/>
    <col min="4870" max="4870" width="12.28515625" style="14" customWidth="1"/>
    <col min="4871" max="4871" width="8.85546875" style="14" customWidth="1"/>
    <col min="4872" max="4872" width="10.85546875" style="14" customWidth="1"/>
    <col min="4873" max="4873" width="2.85546875" style="14" customWidth="1"/>
    <col min="4874" max="4874" width="12.140625" style="14" customWidth="1"/>
    <col min="4875" max="4875" width="10.140625" style="14" customWidth="1"/>
    <col min="4876" max="4876" width="11.7109375" style="14" customWidth="1"/>
    <col min="4877" max="4877" width="11.42578125" style="14" customWidth="1"/>
    <col min="4878" max="4878" width="12.7109375" style="14" customWidth="1"/>
    <col min="4879" max="4879" width="11.42578125" style="14" customWidth="1"/>
    <col min="4880" max="4880" width="10.7109375" style="14" customWidth="1"/>
    <col min="4881" max="4881" width="10.5703125" style="14" customWidth="1"/>
    <col min="4882" max="4882" width="11.28515625" style="14" customWidth="1"/>
    <col min="4883" max="4883" width="9.7109375" style="14" customWidth="1"/>
    <col min="4884" max="4884" width="12" style="14" customWidth="1"/>
    <col min="4885" max="4885" width="11.28515625" style="14" customWidth="1"/>
    <col min="4886" max="5123" width="9.140625" style="14"/>
    <col min="5124" max="5124" width="5.7109375" style="14" customWidth="1"/>
    <col min="5125" max="5125" width="13.140625" style="14" customWidth="1"/>
    <col min="5126" max="5126" width="12.28515625" style="14" customWidth="1"/>
    <col min="5127" max="5127" width="8.85546875" style="14" customWidth="1"/>
    <col min="5128" max="5128" width="10.85546875" style="14" customWidth="1"/>
    <col min="5129" max="5129" width="2.85546875" style="14" customWidth="1"/>
    <col min="5130" max="5130" width="12.140625" style="14" customWidth="1"/>
    <col min="5131" max="5131" width="10.140625" style="14" customWidth="1"/>
    <col min="5132" max="5132" width="11.7109375" style="14" customWidth="1"/>
    <col min="5133" max="5133" width="11.42578125" style="14" customWidth="1"/>
    <col min="5134" max="5134" width="12.7109375" style="14" customWidth="1"/>
    <col min="5135" max="5135" width="11.42578125" style="14" customWidth="1"/>
    <col min="5136" max="5136" width="10.7109375" style="14" customWidth="1"/>
    <col min="5137" max="5137" width="10.5703125" style="14" customWidth="1"/>
    <col min="5138" max="5138" width="11.28515625" style="14" customWidth="1"/>
    <col min="5139" max="5139" width="9.7109375" style="14" customWidth="1"/>
    <col min="5140" max="5140" width="12" style="14" customWidth="1"/>
    <col min="5141" max="5141" width="11.28515625" style="14" customWidth="1"/>
    <col min="5142" max="5379" width="9.140625" style="14"/>
    <col min="5380" max="5380" width="5.7109375" style="14" customWidth="1"/>
    <col min="5381" max="5381" width="13.140625" style="14" customWidth="1"/>
    <col min="5382" max="5382" width="12.28515625" style="14" customWidth="1"/>
    <col min="5383" max="5383" width="8.85546875" style="14" customWidth="1"/>
    <col min="5384" max="5384" width="10.85546875" style="14" customWidth="1"/>
    <col min="5385" max="5385" width="2.85546875" style="14" customWidth="1"/>
    <col min="5386" max="5386" width="12.140625" style="14" customWidth="1"/>
    <col min="5387" max="5387" width="10.140625" style="14" customWidth="1"/>
    <col min="5388" max="5388" width="11.7109375" style="14" customWidth="1"/>
    <col min="5389" max="5389" width="11.42578125" style="14" customWidth="1"/>
    <col min="5390" max="5390" width="12.7109375" style="14" customWidth="1"/>
    <col min="5391" max="5391" width="11.42578125" style="14" customWidth="1"/>
    <col min="5392" max="5392" width="10.7109375" style="14" customWidth="1"/>
    <col min="5393" max="5393" width="10.5703125" style="14" customWidth="1"/>
    <col min="5394" max="5394" width="11.28515625" style="14" customWidth="1"/>
    <col min="5395" max="5395" width="9.7109375" style="14" customWidth="1"/>
    <col min="5396" max="5396" width="12" style="14" customWidth="1"/>
    <col min="5397" max="5397" width="11.28515625" style="14" customWidth="1"/>
    <col min="5398" max="5635" width="9.140625" style="14"/>
    <col min="5636" max="5636" width="5.7109375" style="14" customWidth="1"/>
    <col min="5637" max="5637" width="13.140625" style="14" customWidth="1"/>
    <col min="5638" max="5638" width="12.28515625" style="14" customWidth="1"/>
    <col min="5639" max="5639" width="8.85546875" style="14" customWidth="1"/>
    <col min="5640" max="5640" width="10.85546875" style="14" customWidth="1"/>
    <col min="5641" max="5641" width="2.85546875" style="14" customWidth="1"/>
    <col min="5642" max="5642" width="12.140625" style="14" customWidth="1"/>
    <col min="5643" max="5643" width="10.140625" style="14" customWidth="1"/>
    <col min="5644" max="5644" width="11.7109375" style="14" customWidth="1"/>
    <col min="5645" max="5645" width="11.42578125" style="14" customWidth="1"/>
    <col min="5646" max="5646" width="12.7109375" style="14" customWidth="1"/>
    <col min="5647" max="5647" width="11.42578125" style="14" customWidth="1"/>
    <col min="5648" max="5648" width="10.7109375" style="14" customWidth="1"/>
    <col min="5649" max="5649" width="10.5703125" style="14" customWidth="1"/>
    <col min="5650" max="5650" width="11.28515625" style="14" customWidth="1"/>
    <col min="5651" max="5651" width="9.7109375" style="14" customWidth="1"/>
    <col min="5652" max="5652" width="12" style="14" customWidth="1"/>
    <col min="5653" max="5653" width="11.28515625" style="14" customWidth="1"/>
    <col min="5654" max="5891" width="9.140625" style="14"/>
    <col min="5892" max="5892" width="5.7109375" style="14" customWidth="1"/>
    <col min="5893" max="5893" width="13.140625" style="14" customWidth="1"/>
    <col min="5894" max="5894" width="12.28515625" style="14" customWidth="1"/>
    <col min="5895" max="5895" width="8.85546875" style="14" customWidth="1"/>
    <col min="5896" max="5896" width="10.85546875" style="14" customWidth="1"/>
    <col min="5897" max="5897" width="2.85546875" style="14" customWidth="1"/>
    <col min="5898" max="5898" width="12.140625" style="14" customWidth="1"/>
    <col min="5899" max="5899" width="10.140625" style="14" customWidth="1"/>
    <col min="5900" max="5900" width="11.7109375" style="14" customWidth="1"/>
    <col min="5901" max="5901" width="11.42578125" style="14" customWidth="1"/>
    <col min="5902" max="5902" width="12.7109375" style="14" customWidth="1"/>
    <col min="5903" max="5903" width="11.42578125" style="14" customWidth="1"/>
    <col min="5904" max="5904" width="10.7109375" style="14" customWidth="1"/>
    <col min="5905" max="5905" width="10.5703125" style="14" customWidth="1"/>
    <col min="5906" max="5906" width="11.28515625" style="14" customWidth="1"/>
    <col min="5907" max="5907" width="9.7109375" style="14" customWidth="1"/>
    <col min="5908" max="5908" width="12" style="14" customWidth="1"/>
    <col min="5909" max="5909" width="11.28515625" style="14" customWidth="1"/>
    <col min="5910" max="6147" width="9.140625" style="14"/>
    <col min="6148" max="6148" width="5.7109375" style="14" customWidth="1"/>
    <col min="6149" max="6149" width="13.140625" style="14" customWidth="1"/>
    <col min="6150" max="6150" width="12.28515625" style="14" customWidth="1"/>
    <col min="6151" max="6151" width="8.85546875" style="14" customWidth="1"/>
    <col min="6152" max="6152" width="10.85546875" style="14" customWidth="1"/>
    <col min="6153" max="6153" width="2.85546875" style="14" customWidth="1"/>
    <col min="6154" max="6154" width="12.140625" style="14" customWidth="1"/>
    <col min="6155" max="6155" width="10.140625" style="14" customWidth="1"/>
    <col min="6156" max="6156" width="11.7109375" style="14" customWidth="1"/>
    <col min="6157" max="6157" width="11.42578125" style="14" customWidth="1"/>
    <col min="6158" max="6158" width="12.7109375" style="14" customWidth="1"/>
    <col min="6159" max="6159" width="11.42578125" style="14" customWidth="1"/>
    <col min="6160" max="6160" width="10.7109375" style="14" customWidth="1"/>
    <col min="6161" max="6161" width="10.5703125" style="14" customWidth="1"/>
    <col min="6162" max="6162" width="11.28515625" style="14" customWidth="1"/>
    <col min="6163" max="6163" width="9.7109375" style="14" customWidth="1"/>
    <col min="6164" max="6164" width="12" style="14" customWidth="1"/>
    <col min="6165" max="6165" width="11.28515625" style="14" customWidth="1"/>
    <col min="6166" max="6403" width="9.140625" style="14"/>
    <col min="6404" max="6404" width="5.7109375" style="14" customWidth="1"/>
    <col min="6405" max="6405" width="13.140625" style="14" customWidth="1"/>
    <col min="6406" max="6406" width="12.28515625" style="14" customWidth="1"/>
    <col min="6407" max="6407" width="8.85546875" style="14" customWidth="1"/>
    <col min="6408" max="6408" width="10.85546875" style="14" customWidth="1"/>
    <col min="6409" max="6409" width="2.85546875" style="14" customWidth="1"/>
    <col min="6410" max="6410" width="12.140625" style="14" customWidth="1"/>
    <col min="6411" max="6411" width="10.140625" style="14" customWidth="1"/>
    <col min="6412" max="6412" width="11.7109375" style="14" customWidth="1"/>
    <col min="6413" max="6413" width="11.42578125" style="14" customWidth="1"/>
    <col min="6414" max="6414" width="12.7109375" style="14" customWidth="1"/>
    <col min="6415" max="6415" width="11.42578125" style="14" customWidth="1"/>
    <col min="6416" max="6416" width="10.7109375" style="14" customWidth="1"/>
    <col min="6417" max="6417" width="10.5703125" style="14" customWidth="1"/>
    <col min="6418" max="6418" width="11.28515625" style="14" customWidth="1"/>
    <col min="6419" max="6419" width="9.7109375" style="14" customWidth="1"/>
    <col min="6420" max="6420" width="12" style="14" customWidth="1"/>
    <col min="6421" max="6421" width="11.28515625" style="14" customWidth="1"/>
    <col min="6422" max="6659" width="9.140625" style="14"/>
    <col min="6660" max="6660" width="5.7109375" style="14" customWidth="1"/>
    <col min="6661" max="6661" width="13.140625" style="14" customWidth="1"/>
    <col min="6662" max="6662" width="12.28515625" style="14" customWidth="1"/>
    <col min="6663" max="6663" width="8.85546875" style="14" customWidth="1"/>
    <col min="6664" max="6664" width="10.85546875" style="14" customWidth="1"/>
    <col min="6665" max="6665" width="2.85546875" style="14" customWidth="1"/>
    <col min="6666" max="6666" width="12.140625" style="14" customWidth="1"/>
    <col min="6667" max="6667" width="10.140625" style="14" customWidth="1"/>
    <col min="6668" max="6668" width="11.7109375" style="14" customWidth="1"/>
    <col min="6669" max="6669" width="11.42578125" style="14" customWidth="1"/>
    <col min="6670" max="6670" width="12.7109375" style="14" customWidth="1"/>
    <col min="6671" max="6671" width="11.42578125" style="14" customWidth="1"/>
    <col min="6672" max="6672" width="10.7109375" style="14" customWidth="1"/>
    <col min="6673" max="6673" width="10.5703125" style="14" customWidth="1"/>
    <col min="6674" max="6674" width="11.28515625" style="14" customWidth="1"/>
    <col min="6675" max="6675" width="9.7109375" style="14" customWidth="1"/>
    <col min="6676" max="6676" width="12" style="14" customWidth="1"/>
    <col min="6677" max="6677" width="11.28515625" style="14" customWidth="1"/>
    <col min="6678" max="6915" width="9.140625" style="14"/>
    <col min="6916" max="6916" width="5.7109375" style="14" customWidth="1"/>
    <col min="6917" max="6917" width="13.140625" style="14" customWidth="1"/>
    <col min="6918" max="6918" width="12.28515625" style="14" customWidth="1"/>
    <col min="6919" max="6919" width="8.85546875" style="14" customWidth="1"/>
    <col min="6920" max="6920" width="10.85546875" style="14" customWidth="1"/>
    <col min="6921" max="6921" width="2.85546875" style="14" customWidth="1"/>
    <col min="6922" max="6922" width="12.140625" style="14" customWidth="1"/>
    <col min="6923" max="6923" width="10.140625" style="14" customWidth="1"/>
    <col min="6924" max="6924" width="11.7109375" style="14" customWidth="1"/>
    <col min="6925" max="6925" width="11.42578125" style="14" customWidth="1"/>
    <col min="6926" max="6926" width="12.7109375" style="14" customWidth="1"/>
    <col min="6927" max="6927" width="11.42578125" style="14" customWidth="1"/>
    <col min="6928" max="6928" width="10.7109375" style="14" customWidth="1"/>
    <col min="6929" max="6929" width="10.5703125" style="14" customWidth="1"/>
    <col min="6930" max="6930" width="11.28515625" style="14" customWidth="1"/>
    <col min="6931" max="6931" width="9.7109375" style="14" customWidth="1"/>
    <col min="6932" max="6932" width="12" style="14" customWidth="1"/>
    <col min="6933" max="6933" width="11.28515625" style="14" customWidth="1"/>
    <col min="6934" max="7171" width="9.140625" style="14"/>
    <col min="7172" max="7172" width="5.7109375" style="14" customWidth="1"/>
    <col min="7173" max="7173" width="13.140625" style="14" customWidth="1"/>
    <col min="7174" max="7174" width="12.28515625" style="14" customWidth="1"/>
    <col min="7175" max="7175" width="8.85546875" style="14" customWidth="1"/>
    <col min="7176" max="7176" width="10.85546875" style="14" customWidth="1"/>
    <col min="7177" max="7177" width="2.85546875" style="14" customWidth="1"/>
    <col min="7178" max="7178" width="12.140625" style="14" customWidth="1"/>
    <col min="7179" max="7179" width="10.140625" style="14" customWidth="1"/>
    <col min="7180" max="7180" width="11.7109375" style="14" customWidth="1"/>
    <col min="7181" max="7181" width="11.42578125" style="14" customWidth="1"/>
    <col min="7182" max="7182" width="12.7109375" style="14" customWidth="1"/>
    <col min="7183" max="7183" width="11.42578125" style="14" customWidth="1"/>
    <col min="7184" max="7184" width="10.7109375" style="14" customWidth="1"/>
    <col min="7185" max="7185" width="10.5703125" style="14" customWidth="1"/>
    <col min="7186" max="7186" width="11.28515625" style="14" customWidth="1"/>
    <col min="7187" max="7187" width="9.7109375" style="14" customWidth="1"/>
    <col min="7188" max="7188" width="12" style="14" customWidth="1"/>
    <col min="7189" max="7189" width="11.28515625" style="14" customWidth="1"/>
    <col min="7190" max="7427" width="9.140625" style="14"/>
    <col min="7428" max="7428" width="5.7109375" style="14" customWidth="1"/>
    <col min="7429" max="7429" width="13.140625" style="14" customWidth="1"/>
    <col min="7430" max="7430" width="12.28515625" style="14" customWidth="1"/>
    <col min="7431" max="7431" width="8.85546875" style="14" customWidth="1"/>
    <col min="7432" max="7432" width="10.85546875" style="14" customWidth="1"/>
    <col min="7433" max="7433" width="2.85546875" style="14" customWidth="1"/>
    <col min="7434" max="7434" width="12.140625" style="14" customWidth="1"/>
    <col min="7435" max="7435" width="10.140625" style="14" customWidth="1"/>
    <col min="7436" max="7436" width="11.7109375" style="14" customWidth="1"/>
    <col min="7437" max="7437" width="11.42578125" style="14" customWidth="1"/>
    <col min="7438" max="7438" width="12.7109375" style="14" customWidth="1"/>
    <col min="7439" max="7439" width="11.42578125" style="14" customWidth="1"/>
    <col min="7440" max="7440" width="10.7109375" style="14" customWidth="1"/>
    <col min="7441" max="7441" width="10.5703125" style="14" customWidth="1"/>
    <col min="7442" max="7442" width="11.28515625" style="14" customWidth="1"/>
    <col min="7443" max="7443" width="9.7109375" style="14" customWidth="1"/>
    <col min="7444" max="7444" width="12" style="14" customWidth="1"/>
    <col min="7445" max="7445" width="11.28515625" style="14" customWidth="1"/>
    <col min="7446" max="7683" width="9.140625" style="14"/>
    <col min="7684" max="7684" width="5.7109375" style="14" customWidth="1"/>
    <col min="7685" max="7685" width="13.140625" style="14" customWidth="1"/>
    <col min="7686" max="7686" width="12.28515625" style="14" customWidth="1"/>
    <col min="7687" max="7687" width="8.85546875" style="14" customWidth="1"/>
    <col min="7688" max="7688" width="10.85546875" style="14" customWidth="1"/>
    <col min="7689" max="7689" width="2.85546875" style="14" customWidth="1"/>
    <col min="7690" max="7690" width="12.140625" style="14" customWidth="1"/>
    <col min="7691" max="7691" width="10.140625" style="14" customWidth="1"/>
    <col min="7692" max="7692" width="11.7109375" style="14" customWidth="1"/>
    <col min="7693" max="7693" width="11.42578125" style="14" customWidth="1"/>
    <col min="7694" max="7694" width="12.7109375" style="14" customWidth="1"/>
    <col min="7695" max="7695" width="11.42578125" style="14" customWidth="1"/>
    <col min="7696" max="7696" width="10.7109375" style="14" customWidth="1"/>
    <col min="7697" max="7697" width="10.5703125" style="14" customWidth="1"/>
    <col min="7698" max="7698" width="11.28515625" style="14" customWidth="1"/>
    <col min="7699" max="7699" width="9.7109375" style="14" customWidth="1"/>
    <col min="7700" max="7700" width="12" style="14" customWidth="1"/>
    <col min="7701" max="7701" width="11.28515625" style="14" customWidth="1"/>
    <col min="7702" max="7939" width="9.140625" style="14"/>
    <col min="7940" max="7940" width="5.7109375" style="14" customWidth="1"/>
    <col min="7941" max="7941" width="13.140625" style="14" customWidth="1"/>
    <col min="7942" max="7942" width="12.28515625" style="14" customWidth="1"/>
    <col min="7943" max="7943" width="8.85546875" style="14" customWidth="1"/>
    <col min="7944" max="7944" width="10.85546875" style="14" customWidth="1"/>
    <col min="7945" max="7945" width="2.85546875" style="14" customWidth="1"/>
    <col min="7946" max="7946" width="12.140625" style="14" customWidth="1"/>
    <col min="7947" max="7947" width="10.140625" style="14" customWidth="1"/>
    <col min="7948" max="7948" width="11.7109375" style="14" customWidth="1"/>
    <col min="7949" max="7949" width="11.42578125" style="14" customWidth="1"/>
    <col min="7950" max="7950" width="12.7109375" style="14" customWidth="1"/>
    <col min="7951" max="7951" width="11.42578125" style="14" customWidth="1"/>
    <col min="7952" max="7952" width="10.7109375" style="14" customWidth="1"/>
    <col min="7953" max="7953" width="10.5703125" style="14" customWidth="1"/>
    <col min="7954" max="7954" width="11.28515625" style="14" customWidth="1"/>
    <col min="7955" max="7955" width="9.7109375" style="14" customWidth="1"/>
    <col min="7956" max="7956" width="12" style="14" customWidth="1"/>
    <col min="7957" max="7957" width="11.28515625" style="14" customWidth="1"/>
    <col min="7958" max="8195" width="9.140625" style="14"/>
    <col min="8196" max="8196" width="5.7109375" style="14" customWidth="1"/>
    <col min="8197" max="8197" width="13.140625" style="14" customWidth="1"/>
    <col min="8198" max="8198" width="12.28515625" style="14" customWidth="1"/>
    <col min="8199" max="8199" width="8.85546875" style="14" customWidth="1"/>
    <col min="8200" max="8200" width="10.85546875" style="14" customWidth="1"/>
    <col min="8201" max="8201" width="2.85546875" style="14" customWidth="1"/>
    <col min="8202" max="8202" width="12.140625" style="14" customWidth="1"/>
    <col min="8203" max="8203" width="10.140625" style="14" customWidth="1"/>
    <col min="8204" max="8204" width="11.7109375" style="14" customWidth="1"/>
    <col min="8205" max="8205" width="11.42578125" style="14" customWidth="1"/>
    <col min="8206" max="8206" width="12.7109375" style="14" customWidth="1"/>
    <col min="8207" max="8207" width="11.42578125" style="14" customWidth="1"/>
    <col min="8208" max="8208" width="10.7109375" style="14" customWidth="1"/>
    <col min="8209" max="8209" width="10.5703125" style="14" customWidth="1"/>
    <col min="8210" max="8210" width="11.28515625" style="14" customWidth="1"/>
    <col min="8211" max="8211" width="9.7109375" style="14" customWidth="1"/>
    <col min="8212" max="8212" width="12" style="14" customWidth="1"/>
    <col min="8213" max="8213" width="11.28515625" style="14" customWidth="1"/>
    <col min="8214" max="8451" width="9.140625" style="14"/>
    <col min="8452" max="8452" width="5.7109375" style="14" customWidth="1"/>
    <col min="8453" max="8453" width="13.140625" style="14" customWidth="1"/>
    <col min="8454" max="8454" width="12.28515625" style="14" customWidth="1"/>
    <col min="8455" max="8455" width="8.85546875" style="14" customWidth="1"/>
    <col min="8456" max="8456" width="10.85546875" style="14" customWidth="1"/>
    <col min="8457" max="8457" width="2.85546875" style="14" customWidth="1"/>
    <col min="8458" max="8458" width="12.140625" style="14" customWidth="1"/>
    <col min="8459" max="8459" width="10.140625" style="14" customWidth="1"/>
    <col min="8460" max="8460" width="11.7109375" style="14" customWidth="1"/>
    <col min="8461" max="8461" width="11.42578125" style="14" customWidth="1"/>
    <col min="8462" max="8462" width="12.7109375" style="14" customWidth="1"/>
    <col min="8463" max="8463" width="11.42578125" style="14" customWidth="1"/>
    <col min="8464" max="8464" width="10.7109375" style="14" customWidth="1"/>
    <col min="8465" max="8465" width="10.5703125" style="14" customWidth="1"/>
    <col min="8466" max="8466" width="11.28515625" style="14" customWidth="1"/>
    <col min="8467" max="8467" width="9.7109375" style="14" customWidth="1"/>
    <col min="8468" max="8468" width="12" style="14" customWidth="1"/>
    <col min="8469" max="8469" width="11.28515625" style="14" customWidth="1"/>
    <col min="8470" max="8707" width="9.140625" style="14"/>
    <col min="8708" max="8708" width="5.7109375" style="14" customWidth="1"/>
    <col min="8709" max="8709" width="13.140625" style="14" customWidth="1"/>
    <col min="8710" max="8710" width="12.28515625" style="14" customWidth="1"/>
    <col min="8711" max="8711" width="8.85546875" style="14" customWidth="1"/>
    <col min="8712" max="8712" width="10.85546875" style="14" customWidth="1"/>
    <col min="8713" max="8713" width="2.85546875" style="14" customWidth="1"/>
    <col min="8714" max="8714" width="12.140625" style="14" customWidth="1"/>
    <col min="8715" max="8715" width="10.140625" style="14" customWidth="1"/>
    <col min="8716" max="8716" width="11.7109375" style="14" customWidth="1"/>
    <col min="8717" max="8717" width="11.42578125" style="14" customWidth="1"/>
    <col min="8718" max="8718" width="12.7109375" style="14" customWidth="1"/>
    <col min="8719" max="8719" width="11.42578125" style="14" customWidth="1"/>
    <col min="8720" max="8720" width="10.7109375" style="14" customWidth="1"/>
    <col min="8721" max="8721" width="10.5703125" style="14" customWidth="1"/>
    <col min="8722" max="8722" width="11.28515625" style="14" customWidth="1"/>
    <col min="8723" max="8723" width="9.7109375" style="14" customWidth="1"/>
    <col min="8724" max="8724" width="12" style="14" customWidth="1"/>
    <col min="8725" max="8725" width="11.28515625" style="14" customWidth="1"/>
    <col min="8726" max="8963" width="9.140625" style="14"/>
    <col min="8964" max="8964" width="5.7109375" style="14" customWidth="1"/>
    <col min="8965" max="8965" width="13.140625" style="14" customWidth="1"/>
    <col min="8966" max="8966" width="12.28515625" style="14" customWidth="1"/>
    <col min="8967" max="8967" width="8.85546875" style="14" customWidth="1"/>
    <col min="8968" max="8968" width="10.85546875" style="14" customWidth="1"/>
    <col min="8969" max="8969" width="2.85546875" style="14" customWidth="1"/>
    <col min="8970" max="8970" width="12.140625" style="14" customWidth="1"/>
    <col min="8971" max="8971" width="10.140625" style="14" customWidth="1"/>
    <col min="8972" max="8972" width="11.7109375" style="14" customWidth="1"/>
    <col min="8973" max="8973" width="11.42578125" style="14" customWidth="1"/>
    <col min="8974" max="8974" width="12.7109375" style="14" customWidth="1"/>
    <col min="8975" max="8975" width="11.42578125" style="14" customWidth="1"/>
    <col min="8976" max="8976" width="10.7109375" style="14" customWidth="1"/>
    <col min="8977" max="8977" width="10.5703125" style="14" customWidth="1"/>
    <col min="8978" max="8978" width="11.28515625" style="14" customWidth="1"/>
    <col min="8979" max="8979" width="9.7109375" style="14" customWidth="1"/>
    <col min="8980" max="8980" width="12" style="14" customWidth="1"/>
    <col min="8981" max="8981" width="11.28515625" style="14" customWidth="1"/>
    <col min="8982" max="9219" width="9.140625" style="14"/>
    <col min="9220" max="9220" width="5.7109375" style="14" customWidth="1"/>
    <col min="9221" max="9221" width="13.140625" style="14" customWidth="1"/>
    <col min="9222" max="9222" width="12.28515625" style="14" customWidth="1"/>
    <col min="9223" max="9223" width="8.85546875" style="14" customWidth="1"/>
    <col min="9224" max="9224" width="10.85546875" style="14" customWidth="1"/>
    <col min="9225" max="9225" width="2.85546875" style="14" customWidth="1"/>
    <col min="9226" max="9226" width="12.140625" style="14" customWidth="1"/>
    <col min="9227" max="9227" width="10.140625" style="14" customWidth="1"/>
    <col min="9228" max="9228" width="11.7109375" style="14" customWidth="1"/>
    <col min="9229" max="9229" width="11.42578125" style="14" customWidth="1"/>
    <col min="9230" max="9230" width="12.7109375" style="14" customWidth="1"/>
    <col min="9231" max="9231" width="11.42578125" style="14" customWidth="1"/>
    <col min="9232" max="9232" width="10.7109375" style="14" customWidth="1"/>
    <col min="9233" max="9233" width="10.5703125" style="14" customWidth="1"/>
    <col min="9234" max="9234" width="11.28515625" style="14" customWidth="1"/>
    <col min="9235" max="9235" width="9.7109375" style="14" customWidth="1"/>
    <col min="9236" max="9236" width="12" style="14" customWidth="1"/>
    <col min="9237" max="9237" width="11.28515625" style="14" customWidth="1"/>
    <col min="9238" max="9475" width="9.140625" style="14"/>
    <col min="9476" max="9476" width="5.7109375" style="14" customWidth="1"/>
    <col min="9477" max="9477" width="13.140625" style="14" customWidth="1"/>
    <col min="9478" max="9478" width="12.28515625" style="14" customWidth="1"/>
    <col min="9479" max="9479" width="8.85546875" style="14" customWidth="1"/>
    <col min="9480" max="9480" width="10.85546875" style="14" customWidth="1"/>
    <col min="9481" max="9481" width="2.85546875" style="14" customWidth="1"/>
    <col min="9482" max="9482" width="12.140625" style="14" customWidth="1"/>
    <col min="9483" max="9483" width="10.140625" style="14" customWidth="1"/>
    <col min="9484" max="9484" width="11.7109375" style="14" customWidth="1"/>
    <col min="9485" max="9485" width="11.42578125" style="14" customWidth="1"/>
    <col min="9486" max="9486" width="12.7109375" style="14" customWidth="1"/>
    <col min="9487" max="9487" width="11.42578125" style="14" customWidth="1"/>
    <col min="9488" max="9488" width="10.7109375" style="14" customWidth="1"/>
    <col min="9489" max="9489" width="10.5703125" style="14" customWidth="1"/>
    <col min="9490" max="9490" width="11.28515625" style="14" customWidth="1"/>
    <col min="9491" max="9491" width="9.7109375" style="14" customWidth="1"/>
    <col min="9492" max="9492" width="12" style="14" customWidth="1"/>
    <col min="9493" max="9493" width="11.28515625" style="14" customWidth="1"/>
    <col min="9494" max="9731" width="9.140625" style="14"/>
    <col min="9732" max="9732" width="5.7109375" style="14" customWidth="1"/>
    <col min="9733" max="9733" width="13.140625" style="14" customWidth="1"/>
    <col min="9734" max="9734" width="12.28515625" style="14" customWidth="1"/>
    <col min="9735" max="9735" width="8.85546875" style="14" customWidth="1"/>
    <col min="9736" max="9736" width="10.85546875" style="14" customWidth="1"/>
    <col min="9737" max="9737" width="2.85546875" style="14" customWidth="1"/>
    <col min="9738" max="9738" width="12.140625" style="14" customWidth="1"/>
    <col min="9739" max="9739" width="10.140625" style="14" customWidth="1"/>
    <col min="9740" max="9740" width="11.7109375" style="14" customWidth="1"/>
    <col min="9741" max="9741" width="11.42578125" style="14" customWidth="1"/>
    <col min="9742" max="9742" width="12.7109375" style="14" customWidth="1"/>
    <col min="9743" max="9743" width="11.42578125" style="14" customWidth="1"/>
    <col min="9744" max="9744" width="10.7109375" style="14" customWidth="1"/>
    <col min="9745" max="9745" width="10.5703125" style="14" customWidth="1"/>
    <col min="9746" max="9746" width="11.28515625" style="14" customWidth="1"/>
    <col min="9747" max="9747" width="9.7109375" style="14" customWidth="1"/>
    <col min="9748" max="9748" width="12" style="14" customWidth="1"/>
    <col min="9749" max="9749" width="11.28515625" style="14" customWidth="1"/>
    <col min="9750" max="9987" width="9.140625" style="14"/>
    <col min="9988" max="9988" width="5.7109375" style="14" customWidth="1"/>
    <col min="9989" max="9989" width="13.140625" style="14" customWidth="1"/>
    <col min="9990" max="9990" width="12.28515625" style="14" customWidth="1"/>
    <col min="9991" max="9991" width="8.85546875" style="14" customWidth="1"/>
    <col min="9992" max="9992" width="10.85546875" style="14" customWidth="1"/>
    <col min="9993" max="9993" width="2.85546875" style="14" customWidth="1"/>
    <col min="9994" max="9994" width="12.140625" style="14" customWidth="1"/>
    <col min="9995" max="9995" width="10.140625" style="14" customWidth="1"/>
    <col min="9996" max="9996" width="11.7109375" style="14" customWidth="1"/>
    <col min="9997" max="9997" width="11.42578125" style="14" customWidth="1"/>
    <col min="9998" max="9998" width="12.7109375" style="14" customWidth="1"/>
    <col min="9999" max="9999" width="11.42578125" style="14" customWidth="1"/>
    <col min="10000" max="10000" width="10.7109375" style="14" customWidth="1"/>
    <col min="10001" max="10001" width="10.5703125" style="14" customWidth="1"/>
    <col min="10002" max="10002" width="11.28515625" style="14" customWidth="1"/>
    <col min="10003" max="10003" width="9.7109375" style="14" customWidth="1"/>
    <col min="10004" max="10004" width="12" style="14" customWidth="1"/>
    <col min="10005" max="10005" width="11.28515625" style="14" customWidth="1"/>
    <col min="10006" max="10243" width="9.140625" style="14"/>
    <col min="10244" max="10244" width="5.7109375" style="14" customWidth="1"/>
    <col min="10245" max="10245" width="13.140625" style="14" customWidth="1"/>
    <col min="10246" max="10246" width="12.28515625" style="14" customWidth="1"/>
    <col min="10247" max="10247" width="8.85546875" style="14" customWidth="1"/>
    <col min="10248" max="10248" width="10.85546875" style="14" customWidth="1"/>
    <col min="10249" max="10249" width="2.85546875" style="14" customWidth="1"/>
    <col min="10250" max="10250" width="12.140625" style="14" customWidth="1"/>
    <col min="10251" max="10251" width="10.140625" style="14" customWidth="1"/>
    <col min="10252" max="10252" width="11.7109375" style="14" customWidth="1"/>
    <col min="10253" max="10253" width="11.42578125" style="14" customWidth="1"/>
    <col min="10254" max="10254" width="12.7109375" style="14" customWidth="1"/>
    <col min="10255" max="10255" width="11.42578125" style="14" customWidth="1"/>
    <col min="10256" max="10256" width="10.7109375" style="14" customWidth="1"/>
    <col min="10257" max="10257" width="10.5703125" style="14" customWidth="1"/>
    <col min="10258" max="10258" width="11.28515625" style="14" customWidth="1"/>
    <col min="10259" max="10259" width="9.7109375" style="14" customWidth="1"/>
    <col min="10260" max="10260" width="12" style="14" customWidth="1"/>
    <col min="10261" max="10261" width="11.28515625" style="14" customWidth="1"/>
    <col min="10262" max="10499" width="9.140625" style="14"/>
    <col min="10500" max="10500" width="5.7109375" style="14" customWidth="1"/>
    <col min="10501" max="10501" width="13.140625" style="14" customWidth="1"/>
    <col min="10502" max="10502" width="12.28515625" style="14" customWidth="1"/>
    <col min="10503" max="10503" width="8.85546875" style="14" customWidth="1"/>
    <col min="10504" max="10504" width="10.85546875" style="14" customWidth="1"/>
    <col min="10505" max="10505" width="2.85546875" style="14" customWidth="1"/>
    <col min="10506" max="10506" width="12.140625" style="14" customWidth="1"/>
    <col min="10507" max="10507" width="10.140625" style="14" customWidth="1"/>
    <col min="10508" max="10508" width="11.7109375" style="14" customWidth="1"/>
    <col min="10509" max="10509" width="11.42578125" style="14" customWidth="1"/>
    <col min="10510" max="10510" width="12.7109375" style="14" customWidth="1"/>
    <col min="10511" max="10511" width="11.42578125" style="14" customWidth="1"/>
    <col min="10512" max="10512" width="10.7109375" style="14" customWidth="1"/>
    <col min="10513" max="10513" width="10.5703125" style="14" customWidth="1"/>
    <col min="10514" max="10514" width="11.28515625" style="14" customWidth="1"/>
    <col min="10515" max="10515" width="9.7109375" style="14" customWidth="1"/>
    <col min="10516" max="10516" width="12" style="14" customWidth="1"/>
    <col min="10517" max="10517" width="11.28515625" style="14" customWidth="1"/>
    <col min="10518" max="10755" width="9.140625" style="14"/>
    <col min="10756" max="10756" width="5.7109375" style="14" customWidth="1"/>
    <col min="10757" max="10757" width="13.140625" style="14" customWidth="1"/>
    <col min="10758" max="10758" width="12.28515625" style="14" customWidth="1"/>
    <col min="10759" max="10759" width="8.85546875" style="14" customWidth="1"/>
    <col min="10760" max="10760" width="10.85546875" style="14" customWidth="1"/>
    <col min="10761" max="10761" width="2.85546875" style="14" customWidth="1"/>
    <col min="10762" max="10762" width="12.140625" style="14" customWidth="1"/>
    <col min="10763" max="10763" width="10.140625" style="14" customWidth="1"/>
    <col min="10764" max="10764" width="11.7109375" style="14" customWidth="1"/>
    <col min="10765" max="10765" width="11.42578125" style="14" customWidth="1"/>
    <col min="10766" max="10766" width="12.7109375" style="14" customWidth="1"/>
    <col min="10767" max="10767" width="11.42578125" style="14" customWidth="1"/>
    <col min="10768" max="10768" width="10.7109375" style="14" customWidth="1"/>
    <col min="10769" max="10769" width="10.5703125" style="14" customWidth="1"/>
    <col min="10770" max="10770" width="11.28515625" style="14" customWidth="1"/>
    <col min="10771" max="10771" width="9.7109375" style="14" customWidth="1"/>
    <col min="10772" max="10772" width="12" style="14" customWidth="1"/>
    <col min="10773" max="10773" width="11.28515625" style="14" customWidth="1"/>
    <col min="10774" max="11011" width="9.140625" style="14"/>
    <col min="11012" max="11012" width="5.7109375" style="14" customWidth="1"/>
    <col min="11013" max="11013" width="13.140625" style="14" customWidth="1"/>
    <col min="11014" max="11014" width="12.28515625" style="14" customWidth="1"/>
    <col min="11015" max="11015" width="8.85546875" style="14" customWidth="1"/>
    <col min="11016" max="11016" width="10.85546875" style="14" customWidth="1"/>
    <col min="11017" max="11017" width="2.85546875" style="14" customWidth="1"/>
    <col min="11018" max="11018" width="12.140625" style="14" customWidth="1"/>
    <col min="11019" max="11019" width="10.140625" style="14" customWidth="1"/>
    <col min="11020" max="11020" width="11.7109375" style="14" customWidth="1"/>
    <col min="11021" max="11021" width="11.42578125" style="14" customWidth="1"/>
    <col min="11022" max="11022" width="12.7109375" style="14" customWidth="1"/>
    <col min="11023" max="11023" width="11.42578125" style="14" customWidth="1"/>
    <col min="11024" max="11024" width="10.7109375" style="14" customWidth="1"/>
    <col min="11025" max="11025" width="10.5703125" style="14" customWidth="1"/>
    <col min="11026" max="11026" width="11.28515625" style="14" customWidth="1"/>
    <col min="11027" max="11027" width="9.7109375" style="14" customWidth="1"/>
    <col min="11028" max="11028" width="12" style="14" customWidth="1"/>
    <col min="11029" max="11029" width="11.28515625" style="14" customWidth="1"/>
    <col min="11030" max="11267" width="9.140625" style="14"/>
    <col min="11268" max="11268" width="5.7109375" style="14" customWidth="1"/>
    <col min="11269" max="11269" width="13.140625" style="14" customWidth="1"/>
    <col min="11270" max="11270" width="12.28515625" style="14" customWidth="1"/>
    <col min="11271" max="11271" width="8.85546875" style="14" customWidth="1"/>
    <col min="11272" max="11272" width="10.85546875" style="14" customWidth="1"/>
    <col min="11273" max="11273" width="2.85546875" style="14" customWidth="1"/>
    <col min="11274" max="11274" width="12.140625" style="14" customWidth="1"/>
    <col min="11275" max="11275" width="10.140625" style="14" customWidth="1"/>
    <col min="11276" max="11276" width="11.7109375" style="14" customWidth="1"/>
    <col min="11277" max="11277" width="11.42578125" style="14" customWidth="1"/>
    <col min="11278" max="11278" width="12.7109375" style="14" customWidth="1"/>
    <col min="11279" max="11279" width="11.42578125" style="14" customWidth="1"/>
    <col min="11280" max="11280" width="10.7109375" style="14" customWidth="1"/>
    <col min="11281" max="11281" width="10.5703125" style="14" customWidth="1"/>
    <col min="11282" max="11282" width="11.28515625" style="14" customWidth="1"/>
    <col min="11283" max="11283" width="9.7109375" style="14" customWidth="1"/>
    <col min="11284" max="11284" width="12" style="14" customWidth="1"/>
    <col min="11285" max="11285" width="11.28515625" style="14" customWidth="1"/>
    <col min="11286" max="11523" width="9.140625" style="14"/>
    <col min="11524" max="11524" width="5.7109375" style="14" customWidth="1"/>
    <col min="11525" max="11525" width="13.140625" style="14" customWidth="1"/>
    <col min="11526" max="11526" width="12.28515625" style="14" customWidth="1"/>
    <col min="11527" max="11527" width="8.85546875" style="14" customWidth="1"/>
    <col min="11528" max="11528" width="10.85546875" style="14" customWidth="1"/>
    <col min="11529" max="11529" width="2.85546875" style="14" customWidth="1"/>
    <col min="11530" max="11530" width="12.140625" style="14" customWidth="1"/>
    <col min="11531" max="11531" width="10.140625" style="14" customWidth="1"/>
    <col min="11532" max="11532" width="11.7109375" style="14" customWidth="1"/>
    <col min="11533" max="11533" width="11.42578125" style="14" customWidth="1"/>
    <col min="11534" max="11534" width="12.7109375" style="14" customWidth="1"/>
    <col min="11535" max="11535" width="11.42578125" style="14" customWidth="1"/>
    <col min="11536" max="11536" width="10.7109375" style="14" customWidth="1"/>
    <col min="11537" max="11537" width="10.5703125" style="14" customWidth="1"/>
    <col min="11538" max="11538" width="11.28515625" style="14" customWidth="1"/>
    <col min="11539" max="11539" width="9.7109375" style="14" customWidth="1"/>
    <col min="11540" max="11540" width="12" style="14" customWidth="1"/>
    <col min="11541" max="11541" width="11.28515625" style="14" customWidth="1"/>
    <col min="11542" max="11779" width="9.140625" style="14"/>
    <col min="11780" max="11780" width="5.7109375" style="14" customWidth="1"/>
    <col min="11781" max="11781" width="13.140625" style="14" customWidth="1"/>
    <col min="11782" max="11782" width="12.28515625" style="14" customWidth="1"/>
    <col min="11783" max="11783" width="8.85546875" style="14" customWidth="1"/>
    <col min="11784" max="11784" width="10.85546875" style="14" customWidth="1"/>
    <col min="11785" max="11785" width="2.85546875" style="14" customWidth="1"/>
    <col min="11786" max="11786" width="12.140625" style="14" customWidth="1"/>
    <col min="11787" max="11787" width="10.140625" style="14" customWidth="1"/>
    <col min="11788" max="11788" width="11.7109375" style="14" customWidth="1"/>
    <col min="11789" max="11789" width="11.42578125" style="14" customWidth="1"/>
    <col min="11790" max="11790" width="12.7109375" style="14" customWidth="1"/>
    <col min="11791" max="11791" width="11.42578125" style="14" customWidth="1"/>
    <col min="11792" max="11792" width="10.7109375" style="14" customWidth="1"/>
    <col min="11793" max="11793" width="10.5703125" style="14" customWidth="1"/>
    <col min="11794" max="11794" width="11.28515625" style="14" customWidth="1"/>
    <col min="11795" max="11795" width="9.7109375" style="14" customWidth="1"/>
    <col min="11796" max="11796" width="12" style="14" customWidth="1"/>
    <col min="11797" max="11797" width="11.28515625" style="14" customWidth="1"/>
    <col min="11798" max="12035" width="9.140625" style="14"/>
    <col min="12036" max="12036" width="5.7109375" style="14" customWidth="1"/>
    <col min="12037" max="12037" width="13.140625" style="14" customWidth="1"/>
    <col min="12038" max="12038" width="12.28515625" style="14" customWidth="1"/>
    <col min="12039" max="12039" width="8.85546875" style="14" customWidth="1"/>
    <col min="12040" max="12040" width="10.85546875" style="14" customWidth="1"/>
    <col min="12041" max="12041" width="2.85546875" style="14" customWidth="1"/>
    <col min="12042" max="12042" width="12.140625" style="14" customWidth="1"/>
    <col min="12043" max="12043" width="10.140625" style="14" customWidth="1"/>
    <col min="12044" max="12044" width="11.7109375" style="14" customWidth="1"/>
    <col min="12045" max="12045" width="11.42578125" style="14" customWidth="1"/>
    <col min="12046" max="12046" width="12.7109375" style="14" customWidth="1"/>
    <col min="12047" max="12047" width="11.42578125" style="14" customWidth="1"/>
    <col min="12048" max="12048" width="10.7109375" style="14" customWidth="1"/>
    <col min="12049" max="12049" width="10.5703125" style="14" customWidth="1"/>
    <col min="12050" max="12050" width="11.28515625" style="14" customWidth="1"/>
    <col min="12051" max="12051" width="9.7109375" style="14" customWidth="1"/>
    <col min="12052" max="12052" width="12" style="14" customWidth="1"/>
    <col min="12053" max="12053" width="11.28515625" style="14" customWidth="1"/>
    <col min="12054" max="12291" width="9.140625" style="14"/>
    <col min="12292" max="12292" width="5.7109375" style="14" customWidth="1"/>
    <col min="12293" max="12293" width="13.140625" style="14" customWidth="1"/>
    <col min="12294" max="12294" width="12.28515625" style="14" customWidth="1"/>
    <col min="12295" max="12295" width="8.85546875" style="14" customWidth="1"/>
    <col min="12296" max="12296" width="10.85546875" style="14" customWidth="1"/>
    <col min="12297" max="12297" width="2.85546875" style="14" customWidth="1"/>
    <col min="12298" max="12298" width="12.140625" style="14" customWidth="1"/>
    <col min="12299" max="12299" width="10.140625" style="14" customWidth="1"/>
    <col min="12300" max="12300" width="11.7109375" style="14" customWidth="1"/>
    <col min="12301" max="12301" width="11.42578125" style="14" customWidth="1"/>
    <col min="12302" max="12302" width="12.7109375" style="14" customWidth="1"/>
    <col min="12303" max="12303" width="11.42578125" style="14" customWidth="1"/>
    <col min="12304" max="12304" width="10.7109375" style="14" customWidth="1"/>
    <col min="12305" max="12305" width="10.5703125" style="14" customWidth="1"/>
    <col min="12306" max="12306" width="11.28515625" style="14" customWidth="1"/>
    <col min="12307" max="12307" width="9.7109375" style="14" customWidth="1"/>
    <col min="12308" max="12308" width="12" style="14" customWidth="1"/>
    <col min="12309" max="12309" width="11.28515625" style="14" customWidth="1"/>
    <col min="12310" max="12547" width="9.140625" style="14"/>
    <col min="12548" max="12548" width="5.7109375" style="14" customWidth="1"/>
    <col min="12549" max="12549" width="13.140625" style="14" customWidth="1"/>
    <col min="12550" max="12550" width="12.28515625" style="14" customWidth="1"/>
    <col min="12551" max="12551" width="8.85546875" style="14" customWidth="1"/>
    <col min="12552" max="12552" width="10.85546875" style="14" customWidth="1"/>
    <col min="12553" max="12553" width="2.85546875" style="14" customWidth="1"/>
    <col min="12554" max="12554" width="12.140625" style="14" customWidth="1"/>
    <col min="12555" max="12555" width="10.140625" style="14" customWidth="1"/>
    <col min="12556" max="12556" width="11.7109375" style="14" customWidth="1"/>
    <col min="12557" max="12557" width="11.42578125" style="14" customWidth="1"/>
    <col min="12558" max="12558" width="12.7109375" style="14" customWidth="1"/>
    <col min="12559" max="12559" width="11.42578125" style="14" customWidth="1"/>
    <col min="12560" max="12560" width="10.7109375" style="14" customWidth="1"/>
    <col min="12561" max="12561" width="10.5703125" style="14" customWidth="1"/>
    <col min="12562" max="12562" width="11.28515625" style="14" customWidth="1"/>
    <col min="12563" max="12563" width="9.7109375" style="14" customWidth="1"/>
    <col min="12564" max="12564" width="12" style="14" customWidth="1"/>
    <col min="12565" max="12565" width="11.28515625" style="14" customWidth="1"/>
    <col min="12566" max="12803" width="9.140625" style="14"/>
    <col min="12804" max="12804" width="5.7109375" style="14" customWidth="1"/>
    <col min="12805" max="12805" width="13.140625" style="14" customWidth="1"/>
    <col min="12806" max="12806" width="12.28515625" style="14" customWidth="1"/>
    <col min="12807" max="12807" width="8.85546875" style="14" customWidth="1"/>
    <col min="12808" max="12808" width="10.85546875" style="14" customWidth="1"/>
    <col min="12809" max="12809" width="2.85546875" style="14" customWidth="1"/>
    <col min="12810" max="12810" width="12.140625" style="14" customWidth="1"/>
    <col min="12811" max="12811" width="10.140625" style="14" customWidth="1"/>
    <col min="12812" max="12812" width="11.7109375" style="14" customWidth="1"/>
    <col min="12813" max="12813" width="11.42578125" style="14" customWidth="1"/>
    <col min="12814" max="12814" width="12.7109375" style="14" customWidth="1"/>
    <col min="12815" max="12815" width="11.42578125" style="14" customWidth="1"/>
    <col min="12816" max="12816" width="10.7109375" style="14" customWidth="1"/>
    <col min="12817" max="12817" width="10.5703125" style="14" customWidth="1"/>
    <col min="12818" max="12818" width="11.28515625" style="14" customWidth="1"/>
    <col min="12819" max="12819" width="9.7109375" style="14" customWidth="1"/>
    <col min="12820" max="12820" width="12" style="14" customWidth="1"/>
    <col min="12821" max="12821" width="11.28515625" style="14" customWidth="1"/>
    <col min="12822" max="13059" width="9.140625" style="14"/>
    <col min="13060" max="13060" width="5.7109375" style="14" customWidth="1"/>
    <col min="13061" max="13061" width="13.140625" style="14" customWidth="1"/>
    <col min="13062" max="13062" width="12.28515625" style="14" customWidth="1"/>
    <col min="13063" max="13063" width="8.85546875" style="14" customWidth="1"/>
    <col min="13064" max="13064" width="10.85546875" style="14" customWidth="1"/>
    <col min="13065" max="13065" width="2.85546875" style="14" customWidth="1"/>
    <col min="13066" max="13066" width="12.140625" style="14" customWidth="1"/>
    <col min="13067" max="13067" width="10.140625" style="14" customWidth="1"/>
    <col min="13068" max="13068" width="11.7109375" style="14" customWidth="1"/>
    <col min="13069" max="13069" width="11.42578125" style="14" customWidth="1"/>
    <col min="13070" max="13070" width="12.7109375" style="14" customWidth="1"/>
    <col min="13071" max="13071" width="11.42578125" style="14" customWidth="1"/>
    <col min="13072" max="13072" width="10.7109375" style="14" customWidth="1"/>
    <col min="13073" max="13073" width="10.5703125" style="14" customWidth="1"/>
    <col min="13074" max="13074" width="11.28515625" style="14" customWidth="1"/>
    <col min="13075" max="13075" width="9.7109375" style="14" customWidth="1"/>
    <col min="13076" max="13076" width="12" style="14" customWidth="1"/>
    <col min="13077" max="13077" width="11.28515625" style="14" customWidth="1"/>
    <col min="13078" max="13315" width="9.140625" style="14"/>
    <col min="13316" max="13316" width="5.7109375" style="14" customWidth="1"/>
    <col min="13317" max="13317" width="13.140625" style="14" customWidth="1"/>
    <col min="13318" max="13318" width="12.28515625" style="14" customWidth="1"/>
    <col min="13319" max="13319" width="8.85546875" style="14" customWidth="1"/>
    <col min="13320" max="13320" width="10.85546875" style="14" customWidth="1"/>
    <col min="13321" max="13321" width="2.85546875" style="14" customWidth="1"/>
    <col min="13322" max="13322" width="12.140625" style="14" customWidth="1"/>
    <col min="13323" max="13323" width="10.140625" style="14" customWidth="1"/>
    <col min="13324" max="13324" width="11.7109375" style="14" customWidth="1"/>
    <col min="13325" max="13325" width="11.42578125" style="14" customWidth="1"/>
    <col min="13326" max="13326" width="12.7109375" style="14" customWidth="1"/>
    <col min="13327" max="13327" width="11.42578125" style="14" customWidth="1"/>
    <col min="13328" max="13328" width="10.7109375" style="14" customWidth="1"/>
    <col min="13329" max="13329" width="10.5703125" style="14" customWidth="1"/>
    <col min="13330" max="13330" width="11.28515625" style="14" customWidth="1"/>
    <col min="13331" max="13331" width="9.7109375" style="14" customWidth="1"/>
    <col min="13332" max="13332" width="12" style="14" customWidth="1"/>
    <col min="13333" max="13333" width="11.28515625" style="14" customWidth="1"/>
    <col min="13334" max="13571" width="9.140625" style="14"/>
    <col min="13572" max="13572" width="5.7109375" style="14" customWidth="1"/>
    <col min="13573" max="13573" width="13.140625" style="14" customWidth="1"/>
    <col min="13574" max="13574" width="12.28515625" style="14" customWidth="1"/>
    <col min="13575" max="13575" width="8.85546875" style="14" customWidth="1"/>
    <col min="13576" max="13576" width="10.85546875" style="14" customWidth="1"/>
    <col min="13577" max="13577" width="2.85546875" style="14" customWidth="1"/>
    <col min="13578" max="13578" width="12.140625" style="14" customWidth="1"/>
    <col min="13579" max="13579" width="10.140625" style="14" customWidth="1"/>
    <col min="13580" max="13580" width="11.7109375" style="14" customWidth="1"/>
    <col min="13581" max="13581" width="11.42578125" style="14" customWidth="1"/>
    <col min="13582" max="13582" width="12.7109375" style="14" customWidth="1"/>
    <col min="13583" max="13583" width="11.42578125" style="14" customWidth="1"/>
    <col min="13584" max="13584" width="10.7109375" style="14" customWidth="1"/>
    <col min="13585" max="13585" width="10.5703125" style="14" customWidth="1"/>
    <col min="13586" max="13586" width="11.28515625" style="14" customWidth="1"/>
    <col min="13587" max="13587" width="9.7109375" style="14" customWidth="1"/>
    <col min="13588" max="13588" width="12" style="14" customWidth="1"/>
    <col min="13589" max="13589" width="11.28515625" style="14" customWidth="1"/>
    <col min="13590" max="13827" width="9.140625" style="14"/>
    <col min="13828" max="13828" width="5.7109375" style="14" customWidth="1"/>
    <col min="13829" max="13829" width="13.140625" style="14" customWidth="1"/>
    <col min="13830" max="13830" width="12.28515625" style="14" customWidth="1"/>
    <col min="13831" max="13831" width="8.85546875" style="14" customWidth="1"/>
    <col min="13832" max="13832" width="10.85546875" style="14" customWidth="1"/>
    <col min="13833" max="13833" width="2.85546875" style="14" customWidth="1"/>
    <col min="13834" max="13834" width="12.140625" style="14" customWidth="1"/>
    <col min="13835" max="13835" width="10.140625" style="14" customWidth="1"/>
    <col min="13836" max="13836" width="11.7109375" style="14" customWidth="1"/>
    <col min="13837" max="13837" width="11.42578125" style="14" customWidth="1"/>
    <col min="13838" max="13838" width="12.7109375" style="14" customWidth="1"/>
    <col min="13839" max="13839" width="11.42578125" style="14" customWidth="1"/>
    <col min="13840" max="13840" width="10.7109375" style="14" customWidth="1"/>
    <col min="13841" max="13841" width="10.5703125" style="14" customWidth="1"/>
    <col min="13842" max="13842" width="11.28515625" style="14" customWidth="1"/>
    <col min="13843" max="13843" width="9.7109375" style="14" customWidth="1"/>
    <col min="13844" max="13844" width="12" style="14" customWidth="1"/>
    <col min="13845" max="13845" width="11.28515625" style="14" customWidth="1"/>
    <col min="13846" max="14083" width="9.140625" style="14"/>
    <col min="14084" max="14084" width="5.7109375" style="14" customWidth="1"/>
    <col min="14085" max="14085" width="13.140625" style="14" customWidth="1"/>
    <col min="14086" max="14086" width="12.28515625" style="14" customWidth="1"/>
    <col min="14087" max="14087" width="8.85546875" style="14" customWidth="1"/>
    <col min="14088" max="14088" width="10.85546875" style="14" customWidth="1"/>
    <col min="14089" max="14089" width="2.85546875" style="14" customWidth="1"/>
    <col min="14090" max="14090" width="12.140625" style="14" customWidth="1"/>
    <col min="14091" max="14091" width="10.140625" style="14" customWidth="1"/>
    <col min="14092" max="14092" width="11.7109375" style="14" customWidth="1"/>
    <col min="14093" max="14093" width="11.42578125" style="14" customWidth="1"/>
    <col min="14094" max="14094" width="12.7109375" style="14" customWidth="1"/>
    <col min="14095" max="14095" width="11.42578125" style="14" customWidth="1"/>
    <col min="14096" max="14096" width="10.7109375" style="14" customWidth="1"/>
    <col min="14097" max="14097" width="10.5703125" style="14" customWidth="1"/>
    <col min="14098" max="14098" width="11.28515625" style="14" customWidth="1"/>
    <col min="14099" max="14099" width="9.7109375" style="14" customWidth="1"/>
    <col min="14100" max="14100" width="12" style="14" customWidth="1"/>
    <col min="14101" max="14101" width="11.28515625" style="14" customWidth="1"/>
    <col min="14102" max="14339" width="9.140625" style="14"/>
    <col min="14340" max="14340" width="5.7109375" style="14" customWidth="1"/>
    <col min="14341" max="14341" width="13.140625" style="14" customWidth="1"/>
    <col min="14342" max="14342" width="12.28515625" style="14" customWidth="1"/>
    <col min="14343" max="14343" width="8.85546875" style="14" customWidth="1"/>
    <col min="14344" max="14344" width="10.85546875" style="14" customWidth="1"/>
    <col min="14345" max="14345" width="2.85546875" style="14" customWidth="1"/>
    <col min="14346" max="14346" width="12.140625" style="14" customWidth="1"/>
    <col min="14347" max="14347" width="10.140625" style="14" customWidth="1"/>
    <col min="14348" max="14348" width="11.7109375" style="14" customWidth="1"/>
    <col min="14349" max="14349" width="11.42578125" style="14" customWidth="1"/>
    <col min="14350" max="14350" width="12.7109375" style="14" customWidth="1"/>
    <col min="14351" max="14351" width="11.42578125" style="14" customWidth="1"/>
    <col min="14352" max="14352" width="10.7109375" style="14" customWidth="1"/>
    <col min="14353" max="14353" width="10.5703125" style="14" customWidth="1"/>
    <col min="14354" max="14354" width="11.28515625" style="14" customWidth="1"/>
    <col min="14355" max="14355" width="9.7109375" style="14" customWidth="1"/>
    <col min="14356" max="14356" width="12" style="14" customWidth="1"/>
    <col min="14357" max="14357" width="11.28515625" style="14" customWidth="1"/>
    <col min="14358" max="14595" width="9.140625" style="14"/>
    <col min="14596" max="14596" width="5.7109375" style="14" customWidth="1"/>
    <col min="14597" max="14597" width="13.140625" style="14" customWidth="1"/>
    <col min="14598" max="14598" width="12.28515625" style="14" customWidth="1"/>
    <col min="14599" max="14599" width="8.85546875" style="14" customWidth="1"/>
    <col min="14600" max="14600" width="10.85546875" style="14" customWidth="1"/>
    <col min="14601" max="14601" width="2.85546875" style="14" customWidth="1"/>
    <col min="14602" max="14602" width="12.140625" style="14" customWidth="1"/>
    <col min="14603" max="14603" width="10.140625" style="14" customWidth="1"/>
    <col min="14604" max="14604" width="11.7109375" style="14" customWidth="1"/>
    <col min="14605" max="14605" width="11.42578125" style="14" customWidth="1"/>
    <col min="14606" max="14606" width="12.7109375" style="14" customWidth="1"/>
    <col min="14607" max="14607" width="11.42578125" style="14" customWidth="1"/>
    <col min="14608" max="14608" width="10.7109375" style="14" customWidth="1"/>
    <col min="14609" max="14609" width="10.5703125" style="14" customWidth="1"/>
    <col min="14610" max="14610" width="11.28515625" style="14" customWidth="1"/>
    <col min="14611" max="14611" width="9.7109375" style="14" customWidth="1"/>
    <col min="14612" max="14612" width="12" style="14" customWidth="1"/>
    <col min="14613" max="14613" width="11.28515625" style="14" customWidth="1"/>
    <col min="14614" max="14851" width="9.140625" style="14"/>
    <col min="14852" max="14852" width="5.7109375" style="14" customWidth="1"/>
    <col min="14853" max="14853" width="13.140625" style="14" customWidth="1"/>
    <col min="14854" max="14854" width="12.28515625" style="14" customWidth="1"/>
    <col min="14855" max="14855" width="8.85546875" style="14" customWidth="1"/>
    <col min="14856" max="14856" width="10.85546875" style="14" customWidth="1"/>
    <col min="14857" max="14857" width="2.85546875" style="14" customWidth="1"/>
    <col min="14858" max="14858" width="12.140625" style="14" customWidth="1"/>
    <col min="14859" max="14859" width="10.140625" style="14" customWidth="1"/>
    <col min="14860" max="14860" width="11.7109375" style="14" customWidth="1"/>
    <col min="14861" max="14861" width="11.42578125" style="14" customWidth="1"/>
    <col min="14862" max="14862" width="12.7109375" style="14" customWidth="1"/>
    <col min="14863" max="14863" width="11.42578125" style="14" customWidth="1"/>
    <col min="14864" max="14864" width="10.7109375" style="14" customWidth="1"/>
    <col min="14865" max="14865" width="10.5703125" style="14" customWidth="1"/>
    <col min="14866" max="14866" width="11.28515625" style="14" customWidth="1"/>
    <col min="14867" max="14867" width="9.7109375" style="14" customWidth="1"/>
    <col min="14868" max="14868" width="12" style="14" customWidth="1"/>
    <col min="14869" max="14869" width="11.28515625" style="14" customWidth="1"/>
    <col min="14870" max="15107" width="9.140625" style="14"/>
    <col min="15108" max="15108" width="5.7109375" style="14" customWidth="1"/>
    <col min="15109" max="15109" width="13.140625" style="14" customWidth="1"/>
    <col min="15110" max="15110" width="12.28515625" style="14" customWidth="1"/>
    <col min="15111" max="15111" width="8.85546875" style="14" customWidth="1"/>
    <col min="15112" max="15112" width="10.85546875" style="14" customWidth="1"/>
    <col min="15113" max="15113" width="2.85546875" style="14" customWidth="1"/>
    <col min="15114" max="15114" width="12.140625" style="14" customWidth="1"/>
    <col min="15115" max="15115" width="10.140625" style="14" customWidth="1"/>
    <col min="15116" max="15116" width="11.7109375" style="14" customWidth="1"/>
    <col min="15117" max="15117" width="11.42578125" style="14" customWidth="1"/>
    <col min="15118" max="15118" width="12.7109375" style="14" customWidth="1"/>
    <col min="15119" max="15119" width="11.42578125" style="14" customWidth="1"/>
    <col min="15120" max="15120" width="10.7109375" style="14" customWidth="1"/>
    <col min="15121" max="15121" width="10.5703125" style="14" customWidth="1"/>
    <col min="15122" max="15122" width="11.28515625" style="14" customWidth="1"/>
    <col min="15123" max="15123" width="9.7109375" style="14" customWidth="1"/>
    <col min="15124" max="15124" width="12" style="14" customWidth="1"/>
    <col min="15125" max="15125" width="11.28515625" style="14" customWidth="1"/>
    <col min="15126" max="15363" width="9.140625" style="14"/>
    <col min="15364" max="15364" width="5.7109375" style="14" customWidth="1"/>
    <col min="15365" max="15365" width="13.140625" style="14" customWidth="1"/>
    <col min="15366" max="15366" width="12.28515625" style="14" customWidth="1"/>
    <col min="15367" max="15367" width="8.85546875" style="14" customWidth="1"/>
    <col min="15368" max="15368" width="10.85546875" style="14" customWidth="1"/>
    <col min="15369" max="15369" width="2.85546875" style="14" customWidth="1"/>
    <col min="15370" max="15370" width="12.140625" style="14" customWidth="1"/>
    <col min="15371" max="15371" width="10.140625" style="14" customWidth="1"/>
    <col min="15372" max="15372" width="11.7109375" style="14" customWidth="1"/>
    <col min="15373" max="15373" width="11.42578125" style="14" customWidth="1"/>
    <col min="15374" max="15374" width="12.7109375" style="14" customWidth="1"/>
    <col min="15375" max="15375" width="11.42578125" style="14" customWidth="1"/>
    <col min="15376" max="15376" width="10.7109375" style="14" customWidth="1"/>
    <col min="15377" max="15377" width="10.5703125" style="14" customWidth="1"/>
    <col min="15378" max="15378" width="11.28515625" style="14" customWidth="1"/>
    <col min="15379" max="15379" width="9.7109375" style="14" customWidth="1"/>
    <col min="15380" max="15380" width="12" style="14" customWidth="1"/>
    <col min="15381" max="15381" width="11.28515625" style="14" customWidth="1"/>
    <col min="15382" max="15619" width="9.140625" style="14"/>
    <col min="15620" max="15620" width="5.7109375" style="14" customWidth="1"/>
    <col min="15621" max="15621" width="13.140625" style="14" customWidth="1"/>
    <col min="15622" max="15622" width="12.28515625" style="14" customWidth="1"/>
    <col min="15623" max="15623" width="8.85546875" style="14" customWidth="1"/>
    <col min="15624" max="15624" width="10.85546875" style="14" customWidth="1"/>
    <col min="15625" max="15625" width="2.85546875" style="14" customWidth="1"/>
    <col min="15626" max="15626" width="12.140625" style="14" customWidth="1"/>
    <col min="15627" max="15627" width="10.140625" style="14" customWidth="1"/>
    <col min="15628" max="15628" width="11.7109375" style="14" customWidth="1"/>
    <col min="15629" max="15629" width="11.42578125" style="14" customWidth="1"/>
    <col min="15630" max="15630" width="12.7109375" style="14" customWidth="1"/>
    <col min="15631" max="15631" width="11.42578125" style="14" customWidth="1"/>
    <col min="15632" max="15632" width="10.7109375" style="14" customWidth="1"/>
    <col min="15633" max="15633" width="10.5703125" style="14" customWidth="1"/>
    <col min="15634" max="15634" width="11.28515625" style="14" customWidth="1"/>
    <col min="15635" max="15635" width="9.7109375" style="14" customWidth="1"/>
    <col min="15636" max="15636" width="12" style="14" customWidth="1"/>
    <col min="15637" max="15637" width="11.28515625" style="14" customWidth="1"/>
    <col min="15638" max="15875" width="9.140625" style="14"/>
    <col min="15876" max="15876" width="5.7109375" style="14" customWidth="1"/>
    <col min="15877" max="15877" width="13.140625" style="14" customWidth="1"/>
    <col min="15878" max="15878" width="12.28515625" style="14" customWidth="1"/>
    <col min="15879" max="15879" width="8.85546875" style="14" customWidth="1"/>
    <col min="15880" max="15880" width="10.85546875" style="14" customWidth="1"/>
    <col min="15881" max="15881" width="2.85546875" style="14" customWidth="1"/>
    <col min="15882" max="15882" width="12.140625" style="14" customWidth="1"/>
    <col min="15883" max="15883" width="10.140625" style="14" customWidth="1"/>
    <col min="15884" max="15884" width="11.7109375" style="14" customWidth="1"/>
    <col min="15885" max="15885" width="11.42578125" style="14" customWidth="1"/>
    <col min="15886" max="15886" width="12.7109375" style="14" customWidth="1"/>
    <col min="15887" max="15887" width="11.42578125" style="14" customWidth="1"/>
    <col min="15888" max="15888" width="10.7109375" style="14" customWidth="1"/>
    <col min="15889" max="15889" width="10.5703125" style="14" customWidth="1"/>
    <col min="15890" max="15890" width="11.28515625" style="14" customWidth="1"/>
    <col min="15891" max="15891" width="9.7109375" style="14" customWidth="1"/>
    <col min="15892" max="15892" width="12" style="14" customWidth="1"/>
    <col min="15893" max="15893" width="11.28515625" style="14" customWidth="1"/>
    <col min="15894" max="16131" width="9.140625" style="14"/>
    <col min="16132" max="16132" width="5.7109375" style="14" customWidth="1"/>
    <col min="16133" max="16133" width="13.140625" style="14" customWidth="1"/>
    <col min="16134" max="16134" width="12.28515625" style="14" customWidth="1"/>
    <col min="16135" max="16135" width="8.85546875" style="14" customWidth="1"/>
    <col min="16136" max="16136" width="10.85546875" style="14" customWidth="1"/>
    <col min="16137" max="16137" width="2.85546875" style="14" customWidth="1"/>
    <col min="16138" max="16138" width="12.140625" style="14" customWidth="1"/>
    <col min="16139" max="16139" width="10.140625" style="14" customWidth="1"/>
    <col min="16140" max="16140" width="11.7109375" style="14" customWidth="1"/>
    <col min="16141" max="16141" width="11.42578125" style="14" customWidth="1"/>
    <col min="16142" max="16142" width="12.7109375" style="14" customWidth="1"/>
    <col min="16143" max="16143" width="11.42578125" style="14" customWidth="1"/>
    <col min="16144" max="16144" width="10.7109375" style="14" customWidth="1"/>
    <col min="16145" max="16145" width="10.5703125" style="14" customWidth="1"/>
    <col min="16146" max="16146" width="11.28515625" style="14" customWidth="1"/>
    <col min="16147" max="16147" width="9.7109375" style="14" customWidth="1"/>
    <col min="16148" max="16148" width="12" style="14" customWidth="1"/>
    <col min="16149" max="16149" width="11.28515625" style="14" customWidth="1"/>
    <col min="16150" max="16384" width="9.140625" style="14"/>
  </cols>
  <sheetData>
    <row r="1" spans="4:19" ht="12.75" thickBot="1" x14ac:dyDescent="0.25"/>
    <row r="2" spans="4:19" ht="12" customHeight="1" thickBot="1" x14ac:dyDescent="0.25">
      <c r="Q2" s="633" t="s">
        <v>0</v>
      </c>
      <c r="R2" s="634"/>
      <c r="S2" s="635"/>
    </row>
    <row r="3" spans="4:19" ht="13.5" thickBot="1" x14ac:dyDescent="0.25">
      <c r="I3" s="636" t="s">
        <v>1</v>
      </c>
      <c r="J3" s="637"/>
      <c r="K3" s="637"/>
      <c r="L3" s="637"/>
      <c r="M3" s="637"/>
      <c r="N3" s="637"/>
      <c r="O3" s="638"/>
      <c r="Q3" s="611">
        <f>'AGUILAR ESQUIVEL CARLOS'!Q3</f>
        <v>45</v>
      </c>
      <c r="R3" s="639"/>
      <c r="S3" s="612"/>
    </row>
    <row r="4" spans="4:19" ht="13.5" thickBot="1" x14ac:dyDescent="0.25">
      <c r="I4" s="640" t="s">
        <v>2</v>
      </c>
      <c r="J4" s="641"/>
      <c r="K4" s="641"/>
      <c r="L4" s="641"/>
      <c r="M4" s="641"/>
      <c r="N4" s="641"/>
      <c r="O4" s="642"/>
      <c r="Q4" s="18"/>
      <c r="R4" s="18"/>
      <c r="S4" s="18"/>
    </row>
    <row r="5" spans="4:19" ht="13.5" thickBot="1" x14ac:dyDescent="0.25">
      <c r="I5" s="643" t="s">
        <v>3</v>
      </c>
      <c r="J5" s="644"/>
      <c r="K5" s="644"/>
      <c r="L5" s="644"/>
      <c r="M5" s="644"/>
      <c r="N5" s="644"/>
      <c r="O5" s="645"/>
      <c r="Q5" s="611" t="s">
        <v>4</v>
      </c>
      <c r="R5" s="639"/>
      <c r="S5" s="612"/>
    </row>
    <row r="6" spans="4:19" ht="13.5" thickBot="1" x14ac:dyDescent="0.25">
      <c r="I6" s="650" t="s">
        <v>5</v>
      </c>
      <c r="J6" s="651"/>
      <c r="K6" s="651"/>
      <c r="L6" s="651"/>
      <c r="M6" s="651"/>
      <c r="N6" s="651"/>
      <c r="O6" s="652"/>
      <c r="Q6" s="653">
        <f>+'REYES LARA DANTE'!Q6+1</f>
        <v>103</v>
      </c>
      <c r="R6" s="654"/>
      <c r="S6" s="655"/>
    </row>
    <row r="7" spans="4:19" ht="9" customHeight="1" x14ac:dyDescent="0.2"/>
    <row r="8" spans="4:19" ht="6.75" customHeight="1" thickBot="1" x14ac:dyDescent="0.25"/>
    <row r="9" spans="4:19" ht="13.5" thickBot="1" x14ac:dyDescent="0.25">
      <c r="I9" s="611" t="s">
        <v>6</v>
      </c>
      <c r="J9" s="639"/>
      <c r="K9" s="639"/>
      <c r="L9" s="639"/>
      <c r="M9" s="639"/>
      <c r="N9" s="639"/>
      <c r="O9" s="612"/>
    </row>
    <row r="10" spans="4:19" ht="11.25" customHeight="1" thickBot="1" x14ac:dyDescent="0.25"/>
    <row r="11" spans="4:19" ht="12.75" x14ac:dyDescent="0.2">
      <c r="D11" s="1" t="s">
        <v>7</v>
      </c>
      <c r="E11" s="2" t="s">
        <v>369</v>
      </c>
      <c r="F11" s="2"/>
      <c r="G11" s="2"/>
      <c r="H11" s="2"/>
      <c r="I11" s="2"/>
      <c r="J11" s="2"/>
      <c r="K11" s="3" t="s">
        <v>8</v>
      </c>
      <c r="L11" s="656" t="str">
        <f>'REYES LARA DANTE'!L11</f>
        <v>SEMANA #45 PERIODO DEL 27 de oct AL 02 de nov DEL 2025</v>
      </c>
      <c r="M11" s="656"/>
      <c r="N11" s="656"/>
      <c r="O11" s="656"/>
      <c r="P11" s="656"/>
      <c r="Q11" s="656"/>
      <c r="R11" s="656"/>
      <c r="S11" s="659"/>
    </row>
    <row r="12" spans="4:19" ht="12.75" x14ac:dyDescent="0.2">
      <c r="D12" s="4" t="s">
        <v>9</v>
      </c>
      <c r="E12" s="624" t="s">
        <v>359</v>
      </c>
      <c r="F12" s="624"/>
      <c r="G12" s="5"/>
      <c r="H12" s="130"/>
      <c r="I12" s="130"/>
      <c r="J12" s="130"/>
      <c r="K12" s="130"/>
      <c r="L12" s="130"/>
      <c r="M12" s="130"/>
      <c r="N12" s="130"/>
      <c r="O12" s="130"/>
      <c r="P12" s="130"/>
      <c r="Q12" s="130"/>
      <c r="R12" s="130"/>
      <c r="S12" s="130"/>
    </row>
    <row r="13" spans="4:19" ht="9.75" customHeight="1" x14ac:dyDescent="0.2">
      <c r="D13" s="623"/>
      <c r="E13" s="624"/>
      <c r="F13" s="130"/>
      <c r="G13" s="130"/>
      <c r="H13" s="130"/>
      <c r="I13" s="130"/>
      <c r="J13" s="130"/>
      <c r="K13" s="130"/>
      <c r="L13" s="130"/>
      <c r="M13" s="130"/>
      <c r="N13" s="130"/>
      <c r="O13" s="130"/>
      <c r="P13" s="130"/>
      <c r="Q13" s="130"/>
      <c r="R13" s="130"/>
      <c r="S13" s="130"/>
    </row>
    <row r="14" spans="4:19" ht="12.75" x14ac:dyDescent="0.2">
      <c r="D14" s="625" t="s">
        <v>10</v>
      </c>
      <c r="E14" s="626"/>
      <c r="F14" s="130">
        <v>145742</v>
      </c>
      <c r="G14" s="130"/>
      <c r="H14" s="130"/>
      <c r="I14" s="6" t="s">
        <v>11</v>
      </c>
      <c r="J14" s="6"/>
      <c r="K14" s="130"/>
      <c r="L14" s="130"/>
      <c r="M14" s="130"/>
      <c r="N14" s="130"/>
      <c r="O14" s="6" t="s">
        <v>12</v>
      </c>
      <c r="P14" s="7"/>
      <c r="Q14" s="7"/>
      <c r="R14" s="7"/>
      <c r="S14" s="557"/>
    </row>
    <row r="15" spans="4:19" ht="12.75" x14ac:dyDescent="0.2">
      <c r="D15" s="625" t="s">
        <v>13</v>
      </c>
      <c r="E15" s="626"/>
      <c r="F15" s="130">
        <v>146480</v>
      </c>
      <c r="G15" s="130"/>
      <c r="H15" s="130"/>
      <c r="I15" s="6" t="s">
        <v>14</v>
      </c>
      <c r="J15" s="6"/>
      <c r="K15" s="130"/>
      <c r="L15" s="130"/>
      <c r="M15" s="130"/>
      <c r="N15" s="130"/>
      <c r="O15" s="6" t="s">
        <v>15</v>
      </c>
      <c r="P15" s="130"/>
      <c r="Q15" s="130"/>
      <c r="R15" s="130"/>
      <c r="S15" s="130"/>
    </row>
    <row r="16" spans="4:19" ht="13.5" thickBot="1" x14ac:dyDescent="0.25">
      <c r="D16" s="627" t="s">
        <v>16</v>
      </c>
      <c r="E16" s="628"/>
      <c r="F16" s="257">
        <f>SUM(J19:J32)</f>
        <v>2300</v>
      </c>
      <c r="G16" s="257"/>
      <c r="H16" s="257"/>
      <c r="I16" s="9" t="s">
        <v>17</v>
      </c>
      <c r="J16" s="257">
        <f>SUM(K19:K32)</f>
        <v>715.68999999999994</v>
      </c>
      <c r="K16" s="257"/>
      <c r="L16" s="257"/>
      <c r="M16" s="257"/>
      <c r="N16" s="257"/>
      <c r="O16" s="9" t="s">
        <v>18</v>
      </c>
      <c r="P16" s="10">
        <f>+F16/J16</f>
        <v>3.2136819013818836</v>
      </c>
      <c r="Q16" s="257"/>
      <c r="R16" s="257"/>
      <c r="S16" s="257"/>
    </row>
    <row r="17" spans="3:24" ht="7.5" customHeight="1" thickBot="1" x14ac:dyDescent="0.25"/>
    <row r="18" spans="3:24" ht="33" customHeight="1" thickBot="1" x14ac:dyDescent="0.25">
      <c r="C18" s="243" t="s">
        <v>19</v>
      </c>
      <c r="D18" s="33" t="s">
        <v>20</v>
      </c>
      <c r="E18" s="34" t="s">
        <v>21</v>
      </c>
      <c r="F18" s="34" t="s">
        <v>22</v>
      </c>
      <c r="G18" s="34" t="s">
        <v>23</v>
      </c>
      <c r="H18" s="34" t="s">
        <v>24</v>
      </c>
      <c r="I18" s="34" t="s">
        <v>25</v>
      </c>
      <c r="J18" s="34" t="s">
        <v>26</v>
      </c>
      <c r="K18" s="34" t="s">
        <v>27</v>
      </c>
      <c r="L18" s="34" t="s">
        <v>28</v>
      </c>
      <c r="M18" s="34" t="s">
        <v>285</v>
      </c>
      <c r="N18" s="34" t="s">
        <v>29</v>
      </c>
      <c r="O18" s="34" t="s">
        <v>30</v>
      </c>
      <c r="P18" s="33" t="s">
        <v>31</v>
      </c>
      <c r="Q18" s="34" t="s">
        <v>219</v>
      </c>
      <c r="R18" s="34" t="s">
        <v>184</v>
      </c>
      <c r="S18" s="454" t="s">
        <v>33</v>
      </c>
      <c r="T18" s="570" t="s">
        <v>220</v>
      </c>
      <c r="U18" s="449" t="s">
        <v>351</v>
      </c>
      <c r="V18" s="305" t="s">
        <v>354</v>
      </c>
    </row>
    <row r="19" spans="3:24" x14ac:dyDescent="0.2">
      <c r="C19" s="176">
        <v>46106</v>
      </c>
      <c r="D19" s="227" t="s">
        <v>385</v>
      </c>
      <c r="E19" s="42">
        <v>45958</v>
      </c>
      <c r="F19" s="42">
        <v>45959</v>
      </c>
      <c r="G19" s="43">
        <v>1</v>
      </c>
      <c r="H19" s="236" t="str">
        <f>IF(G19=1,KILOMETRAJE!C$4,IF(G19=2,KILOMETRAJE!C$5,IF(G19=3,KILOMETRAJE!C$6,IF(G19=4,KILOMETRAJE!C$7,IF(G19=5,KILOMETRAJE!C$8,IF(G19=6,KILOMETRAJE!C$9,IF(G19=7,KILOMETRAJE!C$10,IF(G19=8,KILOMETRAJE!C$11,IF(G19=9,KILOMETRAJE!C$12,IF(G19=10,KILOMETRAJE!C$13,IF(G19=11,KILOMETRAJE!C$14,IF(G19=12,KILOMETRAJE!C$15,IF(G19=13,KILOMETRAJE!C$16,IF(G19=14,KILOMETRAJE!C$17,IF(G19=15,KILOMETRAJE!C$18,IF(G19=16,KILOMETRAJE!C$19,IF(G19=17,KILOMETRAJE!C$20,IF(G19=18,KILOMETRAJE!C$21,IF(G19=19,KILOMETRAJE!C$22,IF(G19=20,KILOMETRAJE!C$23,IF(G19=21,KILOMETRAJE!C$24,IF(G19=22,KILOMETRAJE!C$25,IF(G19=23,KILOMETRAJE!C$26,IF(G19=24,KILOMETRAJE!C$27,IF(G19=25,KILOMETRAJE!C$28,IF(G19=26,KILOMETRAJE!C$29,IF(G19=27,KILOMETRAJE!C$30,IF(G19=28,KILOMETRAJE!C$31,IF(G19=29,KILOMETRAJE!C$32,IF(G19=30,KILOMETRAJE!C$33,IF(G19=31,KILOMETRAJE!C$34,IF(G19=32,KILOMETRAJE!C$35,IF(G19=33,KILOMETRAJE!C$36,IF(G19=34,KILOMETRAJE!C$37,IF(G19=35,KILOMETRAJE!C$38,IF(G19=36,KILOMETRAJE!C$39,IF(G19=37,KILOMETRAJE!C$40,IF(G19=38,KILOMETRAJE!C$41,IF(G19=39,KILOMETRAJE!C$42,IF(G19=40,KILOMETRAJE!C$43,IF(G19=41,KILOMETRAJE!C$44,IF(G19=42,KILOMETRAJE!C$45,IF(G19=43,KILOMETRAJE!C$46,IF(G19=44,KILOMETRAJE!C$47,IF(G19=45,KILOMETRAJE!C$48,IF(G19=46,KILOMETRAJE!C$49,IF(G19=47,KILOMETRAJE!C$50,IF(G19=48,KILOMETRAJE!C$51,IF(G19=49,KILOMETRAJE!C$52,IF(G19=50,KILOMETRAJE!C$53,IF(G19=51,KILOMETRAJE!C$54,IF(G19=52,KILOMETRAJE!C$55,IF(G19=53,KILOMETRAJE!C$56,IF(G19=54,KILOMETRAJE!C$57,IF(G19=55,KILOMETRAJE!C$58,IF(G19=56,KILOMETRAJE!C$59,IF(G19=57,KILOMETRAJE!C$60,IF(G19=58,KILOMETRAJE!C$61,IF(G19=59,KILOMETRAJE!C$62,IF(G19=60,KILOMETRAJE!C$63,IF(G19=61,KILOMETRAJE!C$64,IF(G19=62,KILOMETRAJE!C$65,IF(G19=63,KILOMETRAJE!C$66)))))))))))))))))))))))))))))))))))))))))))))))))))))))))))))))</f>
        <v>JRZ</v>
      </c>
      <c r="I19" s="236" t="str">
        <f>IF(G19=1,KILOMETRAJE!E$4,IF(G19=2,KILOMETRAJE!E$5,IF(G19=3,KILOMETRAJE!E$6,IF(G19=4,KILOMETRAJE!E$7,IF(G19=5,KILOMETRAJE!E$8,IF(G19=6,KILOMETRAJE!E$9,IF(G19=7,KILOMETRAJE!E$10,IF(G19=8,KILOMETRAJE!E$11,IF(G19=9,KILOMETRAJE!E$12,IF(G19=10,KILOMETRAJE!E$13,IF(G19=11,KILOMETRAJE!E$14,IF(G19=12,KILOMETRAJE!E$15,IF(G19=13,KILOMETRAJE!E$16,IF(G19=14,KILOMETRAJE!E$17,IF(G19=15,KILOMETRAJE!E$18,IF(G19=16,KILOMETRAJE!E$19,IF(G19=17,KILOMETRAJE!E$20,IF(G19=18,KILOMETRAJE!E$21,IF(G19=19,KILOMETRAJE!E$22,IF(G19=20,KILOMETRAJE!E$23,IF(G19=21,KILOMETRAJE!E$24,IF(G19=22,KILOMETRAJE!E$25,IF(G19=23,KILOMETRAJE!E$26,IF(G19=24,KILOMETRAJE!E$27,IF(G19=25,KILOMETRAJE!E$28,IF(G19=26,KILOMETRAJE!E$29,IF(G19=27,KILOMETRAJE!E$30,IF(G19=28,KILOMETRAJE!E$31,IF(G19=29,KILOMETRAJE!E$32,IF(G19=30,KILOMETRAJE!E$33,IF(G19=31,KILOMETRAJE!E$34,IF(G19=32,KILOMETRAJE!E$35,IF(G19=33,KILOMETRAJE!E$36,IF(G19=34,KILOMETRAJE!E$37,IF(G19=35,KILOMETRAJE!E$38,IF(G19=36,KILOMETRAJE!E$39,IF(G19=37,KILOMETRAJE!E$40,IF(G19=38,KILOMETRAJE!E$41,IF(G19=39,KILOMETRAJE!E$42,IF(G19=40,KILOMETRAJE!E$43,IF(G19=41,KILOMETRAJE!E$44,IF(G19=42,KILOMETRAJE!E$45,IF(G19=43,KILOMETRAJE!E$46,IF(G19=44,KILOMETRAJE!E$47,IF(G19=45,KILOMETRAJE!E$48,IF(G19=46,KILOMETRAJE!E$49,IF(G19=47,KILOMETRAJE!E$50,IF(G19=48,KILOMETRAJE!E$51,IF(G19=49,KILOMETRAJE!E$52,IF(G19=50,KILOMETRAJE!E$53,IF(G19=51,KILOMETRAJE!E$54,IF(G19=52,KILOMETRAJE!E$55,IF(G19=53,KILOMETRAJE!E$56,IF(G19=54,KILOMETRAJE!E$57,IF(G19=55,KILOMETRAJE!E$58,IF(G19=56,KILOMETRAJE!E$59,IF(G19=57,KILOMETRAJE!E$60,IF(G19=58,KILOMETRAJE!E$61,IF(G19=59,KILOMETRAJE!E$62,IF(G19=60,KILOMETRAJE!E$63,IF(G19=61,KILOMETRAJE!E$64,IF(G19=62,KILOMETRAJE!E$65,IF(G19=63,KILOMETRAJE!E$66)))))))))))))))))))))))))))))))))))))))))))))))))))))))))))))))</f>
        <v>CHIH.(HAW)</v>
      </c>
      <c r="J19" s="237">
        <f>IF(G19=1,KILOMETRAJE!G$4,IF(G19=2,KILOMETRAJE!G$5,IF(G19=3,KILOMETRAJE!G$6,IF(G19=4,KILOMETRAJE!G$7,IF(G19=5,KILOMETRAJE!G$8,IF(G19=6,KILOMETRAJE!G$9,IF(G19=7,KILOMETRAJE!G$10,IF(G19=8,KILOMETRAJE!G$11,IF(G19=9,KILOMETRAJE!G$12,IF(G19=10,KILOMETRAJE!G$13,IF(G19=11,KILOMETRAJE!G$14,IF(G19=12,KILOMETRAJE!G$15,IF(G19=13,KILOMETRAJE!G$16,IF(G19=14,KILOMETRAJE!G$17,IF(G19=15,KILOMETRAJE!G$18,IF(G19=16,KILOMETRAJE!G$19,IF(G19=17,KILOMETRAJE!G$20,IF(G19=18,KILOMETRAJE!G$21,IF(G19=19,KILOMETRAJE!G$22,IF(G19=20,KILOMETRAJE!G$23,IF(G19=21,KILOMETRAJE!G$24,IF(G19=22,KILOMETRAJE!G$25,IF(G19=23,KILOMETRAJE!G$26,IF(G19=24,KILOMETRAJE!G$27,IF(G19=25,KILOMETRAJE!G$28,IF(G19=26,KILOMETRAJE!G$29,IF(G19=27,KILOMETRAJE!G$30,IF(G19=28,KILOMETRAJE!G$31,IF(G19=29,KILOMETRAJE!G$32,IF(G19=30,KILOMETRAJE!G$33,IF(G19=31,KILOMETRAJE!G$34,IF(G19=32,KILOMETRAJE!G$35,IF(G19=33,KILOMETRAJE!G$36,IF(G19=34,KILOMETRAJE!G$37,IF(G19=35,KILOMETRAJE!G$38,IF(G19=36,KILOMETRAJE!G$39,IF(G19=37,KILOMETRAJE!G$40,IF(G19=38,KILOMETRAJE!G$41,IF(G19=39,KILOMETRAJE!G$42,IF(G19=40,KILOMETRAJE!G$43,IF(G19=41,KILOMETRAJE!G$44,IF(G19=42,KILOMETRAJE!G$45,IF(G19=43,KILOMETRAJE!G$46,IF(G19=44,KILOMETRAJE!G$47,IF(G19=45,KILOMETRAJE!G$48,IF(G19=46,KILOMETRAJE!G$49,IF(G19=47,KILOMETRAJE!G$50,IF(G19=48,KILOMETRAJE!G$51,IF(G19=49,KILOMETRAJE!G$52,IF(G19=50,KILOMETRAJE!G$53,IF(G19=51,KILOMETRAJE!G$54,IF(G19=52,KILOMETRAJE!G$55,IF(G19=53,KILOMETRAJE!G$56,IF(G19=54,KILOMETRAJE!G$57,IF(G19=55,KILOMETRAJE!G$58,IF(G19=56,KILOMETRAJE!G$59,IF(G19=57,KILOMETRAJE!G$60,IF(G19=58,KILOMETRAJE!G$61,IF(G19=59,KILOMETRAJE!G$62,IF(G19=60,KILOMETRAJE!G$63,IF(G19=61,KILOMETRAJE!G$64,IF(G19=62,KILOMETRAJE!G$65,IF(G19=63,KILOMETRAJE!G$66)))))))))))))))))))))))))))))))))))))))))))))))))))))))))))))))</f>
        <v>425</v>
      </c>
      <c r="K19" s="24"/>
      <c r="L19" s="44"/>
      <c r="M19" s="348">
        <v>3057</v>
      </c>
      <c r="N19" s="24">
        <v>5</v>
      </c>
      <c r="O19" s="24" t="s">
        <v>387</v>
      </c>
      <c r="P19" s="24" t="s">
        <v>199</v>
      </c>
      <c r="Q19" s="45">
        <f>((((IF(N19=1,((J19)*0.29333)))+(IF(N19=2,((J19)*0.146666)))+(IF(N19=3,((J19)*0.146666)))))+(IF(N19=4,((J19-40)*0.29333)))+(IF(N19=5,((J19-50)*0.29333)))+(IF(N19=6,((J19-90)*0.29333))))</f>
        <v>109.99874999999999</v>
      </c>
      <c r="R19" s="191"/>
      <c r="S19" s="558"/>
      <c r="T19" s="571"/>
      <c r="U19" s="95" t="s">
        <v>376</v>
      </c>
      <c r="V19" s="61" t="s">
        <v>376</v>
      </c>
    </row>
    <row r="20" spans="3:24" ht="13.5" customHeight="1" thickBot="1" x14ac:dyDescent="0.25">
      <c r="C20" s="239"/>
      <c r="D20" s="68" t="s">
        <v>386</v>
      </c>
      <c r="E20" s="69">
        <v>45959</v>
      </c>
      <c r="F20" s="69">
        <v>45959</v>
      </c>
      <c r="G20" s="68">
        <v>3</v>
      </c>
      <c r="H20" s="70" t="str">
        <f>IF(G20=1,KILOMETRAJE!C$4,IF(G20=2,KILOMETRAJE!C$5,IF(G20=3,KILOMETRAJE!C$6,IF(G20=4,KILOMETRAJE!C$7,IF(G20=5,KILOMETRAJE!C$8,IF(G20=6,KILOMETRAJE!C$9,IF(G20=7,KILOMETRAJE!C$10,IF(G20=8,KILOMETRAJE!C$11,IF(G20=9,KILOMETRAJE!C$12,IF(G20=10,KILOMETRAJE!C$13,IF(G20=11,KILOMETRAJE!C$14,IF(G20=12,KILOMETRAJE!C$15,IF(G20=13,KILOMETRAJE!C$16,IF(G20=14,KILOMETRAJE!C$17,IF(G20=15,KILOMETRAJE!C$18,IF(G20=16,KILOMETRAJE!C$19,IF(G20=17,KILOMETRAJE!C$20,IF(G20=18,KILOMETRAJE!C$21,IF(G20=19,KILOMETRAJE!C$22,IF(G20=20,KILOMETRAJE!C$23,IF(G20=21,KILOMETRAJE!C$24,IF(G20=22,KILOMETRAJE!C$25,IF(G20=23,KILOMETRAJE!C$26,IF(G20=24,KILOMETRAJE!C$27,IF(G20=25,KILOMETRAJE!C$28,IF(G20=26,KILOMETRAJE!C$29,IF(G20=27,KILOMETRAJE!C$30,IF(G20=28,KILOMETRAJE!C$31,IF(G20=29,KILOMETRAJE!C$32,IF(G20=30,KILOMETRAJE!C$33,IF(G20=31,KILOMETRAJE!C$34,IF(G20=32,KILOMETRAJE!C$35,IF(G20=33,KILOMETRAJE!C$36,IF(G20=34,KILOMETRAJE!C$37,IF(G20=35,KILOMETRAJE!C$38,IF(G20=36,KILOMETRAJE!C$39,IF(G20=37,KILOMETRAJE!C$40,IF(G20=38,KILOMETRAJE!C$41,IF(G20=39,KILOMETRAJE!C$42,IF(G20=40,KILOMETRAJE!C$43,IF(G20=41,KILOMETRAJE!C$44,IF(G20=42,KILOMETRAJE!C$45,IF(G20=43,KILOMETRAJE!C$46,IF(G20=44,KILOMETRAJE!C$47,IF(G20=45,KILOMETRAJE!C$48,IF(G20=46,KILOMETRAJE!C$49,IF(G20=47,KILOMETRAJE!C$50,IF(G20=48,KILOMETRAJE!C$51,IF(G20=49,KILOMETRAJE!C$52,IF(G20=50,KILOMETRAJE!C$53,IF(G20=51,KILOMETRAJE!C$54,IF(G20=52,KILOMETRAJE!C$55,IF(G20=53,KILOMETRAJE!C$56,IF(G20=54,KILOMETRAJE!C$57,IF(G20=55,KILOMETRAJE!C$58,IF(G20=56,KILOMETRAJE!C$59,IF(G20=57,KILOMETRAJE!C$60,IF(G20=58,KILOMETRAJE!C$61,IF(G20=59,KILOMETRAJE!C$62,IF(G20=60,KILOMETRAJE!C$63,IF(G20=61,KILOMETRAJE!C$64,IF(G20=62,KILOMETRAJE!C$65,IF(G20=63,KILOMETRAJE!C$66)))))))))))))))))))))))))))))))))))))))))))))))))))))))))))))))</f>
        <v xml:space="preserve">CHIH. </v>
      </c>
      <c r="I20" s="70" t="str">
        <f>IF(G20=1,KILOMETRAJE!E$4,IF(G20=2,KILOMETRAJE!E$5,IF(G20=3,KILOMETRAJE!E$6,IF(G20=4,KILOMETRAJE!E$7,IF(G20=5,KILOMETRAJE!E$8,IF(G20=6,KILOMETRAJE!E$9,IF(G20=7,KILOMETRAJE!E$10,IF(G20=8,KILOMETRAJE!E$11,IF(G20=9,KILOMETRAJE!E$12,IF(G20=10,KILOMETRAJE!E$13,IF(G20=11,KILOMETRAJE!E$14,IF(G20=12,KILOMETRAJE!E$15,IF(G20=13,KILOMETRAJE!E$16,IF(G20=14,KILOMETRAJE!E$17,IF(G20=15,KILOMETRAJE!E$18,IF(G20=16,KILOMETRAJE!E$19,IF(G20=17,KILOMETRAJE!E$20,IF(G20=18,KILOMETRAJE!E$21,IF(G20=19,KILOMETRAJE!E$22,IF(G20=20,KILOMETRAJE!E$23,IF(G20=21,KILOMETRAJE!E$24,IF(G20=22,KILOMETRAJE!E$25,IF(G20=23,KILOMETRAJE!E$26,IF(G20=24,KILOMETRAJE!E$27,IF(G20=25,KILOMETRAJE!E$28,IF(G20=26,KILOMETRAJE!E$29,IF(G20=27,KILOMETRAJE!E$30,IF(G20=28,KILOMETRAJE!E$31,IF(G20=29,KILOMETRAJE!E$32,IF(G20=30,KILOMETRAJE!E$33,IF(G20=31,KILOMETRAJE!E$34,IF(G20=32,KILOMETRAJE!E$35,IF(G20=33,KILOMETRAJE!E$36,IF(G20=34,KILOMETRAJE!E$37,IF(G20=35,KILOMETRAJE!E$38,IF(G20=36,KILOMETRAJE!E$39,IF(G20=37,KILOMETRAJE!E$40,IF(G20=38,KILOMETRAJE!E$41,IF(G20=39,KILOMETRAJE!E$42,IF(G20=40,KILOMETRAJE!E$43,IF(G20=41,KILOMETRAJE!E$44,IF(G20=42,KILOMETRAJE!E$45,IF(G20=43,KILOMETRAJE!E$46,IF(G20=44,KILOMETRAJE!E$47,IF(G20=45,KILOMETRAJE!E$48,IF(G20=46,KILOMETRAJE!E$49,IF(G20=47,KILOMETRAJE!E$50,IF(G20=48,KILOMETRAJE!E$51,IF(G20=49,KILOMETRAJE!E$52,IF(G20=50,KILOMETRAJE!E$53,IF(G20=51,KILOMETRAJE!E$54,IF(G20=52,KILOMETRAJE!E$55,IF(G20=53,KILOMETRAJE!E$56,IF(G20=54,KILOMETRAJE!E$57,IF(G20=55,KILOMETRAJE!E$58,IF(G20=56,KILOMETRAJE!E$59,IF(G20=57,KILOMETRAJE!E$60,IF(G20=58,KILOMETRAJE!E$61,IF(G20=59,KILOMETRAJE!E$62,IF(G20=60,KILOMETRAJE!E$63,IF(G20=61,KILOMETRAJE!E$64,IF(G20=62,KILOMETRAJE!E$65,IF(G20=63,KILOMETRAJE!E$66)))))))))))))))))))))))))))))))))))))))))))))))))))))))))))))))</f>
        <v>JRZ</v>
      </c>
      <c r="J20" s="71">
        <f>IF(G20=1,KILOMETRAJE!G$4,IF(G20=2,KILOMETRAJE!G$5,IF(G20=3,KILOMETRAJE!G$6,IF(G20=4,KILOMETRAJE!G$7,IF(G20=5,KILOMETRAJE!G$8,IF(G20=6,KILOMETRAJE!G$9,IF(G20=7,KILOMETRAJE!G$10,IF(G20=8,KILOMETRAJE!G$11,IF(G20=9,KILOMETRAJE!G$12,IF(G20=10,KILOMETRAJE!G$13,IF(G20=11,KILOMETRAJE!G$14,IF(G20=12,KILOMETRAJE!G$15,IF(G20=13,KILOMETRAJE!G$16,IF(G20=14,KILOMETRAJE!G$17,IF(G20=15,KILOMETRAJE!G$18,IF(G20=16,KILOMETRAJE!G$19,IF(G20=17,KILOMETRAJE!G$20,IF(G20=18,KILOMETRAJE!G$21,IF(G20=19,KILOMETRAJE!G$22,IF(G20=20,KILOMETRAJE!G$23,IF(G20=21,KILOMETRAJE!G$24,IF(G20=22,KILOMETRAJE!G$25,IF(G20=23,KILOMETRAJE!G$26,IF(G20=24,KILOMETRAJE!G$27,IF(G20=25,KILOMETRAJE!G$28,IF(G20=26,KILOMETRAJE!G$29,IF(G20=27,KILOMETRAJE!G$30,IF(G20=28,KILOMETRAJE!G$31,IF(G20=29,KILOMETRAJE!G$32,IF(G20=30,KILOMETRAJE!G$33,IF(G20=31,KILOMETRAJE!G$34,IF(G20=32,KILOMETRAJE!G$35,IF(G20=33,KILOMETRAJE!G$36,IF(G20=34,KILOMETRAJE!G$37,IF(G20=35,KILOMETRAJE!G$38,IF(G20=36,KILOMETRAJE!G$39,IF(G20=37,KILOMETRAJE!G$40,IF(G20=38,KILOMETRAJE!G$41,IF(G20=39,KILOMETRAJE!G$42,IF(G20=40,KILOMETRAJE!G$43,IF(G20=41,KILOMETRAJE!G$44,IF(G20=42,KILOMETRAJE!G$45,IF(G20=43,KILOMETRAJE!G$46,IF(G20=44,KILOMETRAJE!G$47,IF(G20=45,KILOMETRAJE!G$48,IF(G20=46,KILOMETRAJE!G$49,IF(G20=47,KILOMETRAJE!G$50,IF(G20=48,KILOMETRAJE!G$51,IF(G20=49,KILOMETRAJE!G$52,IF(G20=50,KILOMETRAJE!G$53,IF(G20=51,KILOMETRAJE!G$54,IF(G20=52,KILOMETRAJE!G$55,IF(G20=53,KILOMETRAJE!G$56,IF(G20=54,KILOMETRAJE!G$57,IF(G20=55,KILOMETRAJE!G$58,IF(G20=56,KILOMETRAJE!G$59,IF(G20=57,KILOMETRAJE!G$60,IF(G20=58,KILOMETRAJE!G$61,IF(G20=59,KILOMETRAJE!G$62,IF(G20=60,KILOMETRAJE!G$63,IF(G20=61,KILOMETRAJE!G$64,IF(G20=62,KILOMETRAJE!G$65,IF(G20=63,KILOMETRAJE!G$66)))))))))))))))))))))))))))))))))))))))))))))))))))))))))))))))</f>
        <v>375</v>
      </c>
      <c r="K20" s="70">
        <v>236.09</v>
      </c>
      <c r="L20" s="72">
        <f>SUM(J19:J20)/K20</f>
        <v>3.3885382693040791</v>
      </c>
      <c r="M20" s="370">
        <v>5867</v>
      </c>
      <c r="N20" s="70">
        <v>1</v>
      </c>
      <c r="O20" s="70" t="s">
        <v>388</v>
      </c>
      <c r="P20" s="70" t="s">
        <v>191</v>
      </c>
      <c r="Q20" s="67">
        <f>((((IF(N20=1,((J19:J20)*0.29333)))+(IF(N20=2,((J20)*0.146666)))+(IF(N20=3,((J20)*0.146666)))))+(IF(N20=4,((J20-40)*0.29333)))+(IF(N20=5,((J20-50)*0.29333)))+(IF(N20=6,((J20-90)*0.29333))))</f>
        <v>109.99874999999999</v>
      </c>
      <c r="R20" s="197">
        <f>+LOOKUP(P40,UNIDADES!B$3:B$59,UNIDADES!C$3:C$59)</f>
        <v>2.3734099999999998</v>
      </c>
      <c r="S20" s="559">
        <f>+((SUM(J19:J20))/R20)-K20</f>
        <v>100.9777632604565</v>
      </c>
      <c r="T20" s="572">
        <f>+S20*14.85</f>
        <v>1499.519784417779</v>
      </c>
      <c r="U20" s="565">
        <v>56</v>
      </c>
      <c r="V20" s="68">
        <v>56</v>
      </c>
      <c r="W20" s="244"/>
      <c r="X20" s="244"/>
    </row>
    <row r="21" spans="3:24" x14ac:dyDescent="0.2">
      <c r="C21" s="176">
        <v>46146</v>
      </c>
      <c r="D21" s="227" t="s">
        <v>389</v>
      </c>
      <c r="E21" s="42">
        <v>45960</v>
      </c>
      <c r="F21" s="42">
        <v>45960</v>
      </c>
      <c r="G21" s="43">
        <v>2</v>
      </c>
      <c r="H21" s="236" t="str">
        <f>IF(G21=1,KILOMETRAJE!C$4,IF(G21=2,KILOMETRAJE!C$5,IF(G21=3,KILOMETRAJE!C$6,IF(G21=4,KILOMETRAJE!C$7,IF(G21=5,KILOMETRAJE!C$8,IF(G21=6,KILOMETRAJE!C$9,IF(G21=7,KILOMETRAJE!C$10,IF(G21=8,KILOMETRAJE!C$11,IF(G21=9,KILOMETRAJE!C$12,IF(G21=10,KILOMETRAJE!C$13,IF(G21=11,KILOMETRAJE!C$14,IF(G21=12,KILOMETRAJE!C$15,IF(G21=13,KILOMETRAJE!C$16,IF(G21=14,KILOMETRAJE!C$17,IF(G21=15,KILOMETRAJE!C$18,IF(G21=16,KILOMETRAJE!C$19,IF(G21=17,KILOMETRAJE!C$20,IF(G21=18,KILOMETRAJE!C$21,IF(G21=19,KILOMETRAJE!C$22,IF(G21=20,KILOMETRAJE!C$23,IF(G21=21,KILOMETRAJE!C$24,IF(G21=22,KILOMETRAJE!C$25,IF(G21=23,KILOMETRAJE!C$26,IF(G21=24,KILOMETRAJE!C$27,IF(G21=25,KILOMETRAJE!C$28,IF(G21=26,KILOMETRAJE!C$29,IF(G21=27,KILOMETRAJE!C$30,IF(G21=28,KILOMETRAJE!C$31,IF(G21=29,KILOMETRAJE!C$32,IF(G21=30,KILOMETRAJE!C$33,IF(G21=31,KILOMETRAJE!C$34,IF(G21=32,KILOMETRAJE!C$35,IF(G21=33,KILOMETRAJE!C$36,IF(G21=34,KILOMETRAJE!C$37,IF(G21=35,KILOMETRAJE!C$38,IF(G21=36,KILOMETRAJE!C$39,IF(G21=37,KILOMETRAJE!C$40,IF(G21=38,KILOMETRAJE!C$41,IF(G21=39,KILOMETRAJE!C$42,IF(G21=40,KILOMETRAJE!C$43,IF(G21=41,KILOMETRAJE!C$44,IF(G21=42,KILOMETRAJE!C$45,IF(G21=43,KILOMETRAJE!C$46,IF(G21=44,KILOMETRAJE!C$47,IF(G21=45,KILOMETRAJE!C$48,IF(G21=46,KILOMETRAJE!C$49,IF(G21=47,KILOMETRAJE!C$50,IF(G21=48,KILOMETRAJE!C$51,IF(G21=49,KILOMETRAJE!C$52,IF(G21=50,KILOMETRAJE!C$53,IF(G21=51,KILOMETRAJE!C$54,IF(G21=52,KILOMETRAJE!C$55,IF(G21=53,KILOMETRAJE!C$56,IF(G21=54,KILOMETRAJE!C$57,IF(G21=55,KILOMETRAJE!C$58,IF(G21=56,KILOMETRAJE!C$59,IF(G21=57,KILOMETRAJE!C$60,IF(G21=58,KILOMETRAJE!C$61,IF(G21=59,KILOMETRAJE!C$62,IF(G21=60,KILOMETRAJE!C$63,IF(G21=61,KILOMETRAJE!C$64,IF(G21=62,KILOMETRAJE!C$65,IF(G21=63,KILOMETRAJE!C$66)))))))))))))))))))))))))))))))))))))))))))))))))))))))))))))))</f>
        <v>JRZ</v>
      </c>
      <c r="I21" s="236" t="str">
        <f>IF(G21=1,KILOMETRAJE!E$4,IF(G21=2,KILOMETRAJE!E$5,IF(G21=3,KILOMETRAJE!E$6,IF(G21=4,KILOMETRAJE!E$7,IF(G21=5,KILOMETRAJE!E$8,IF(G21=6,KILOMETRAJE!E$9,IF(G21=7,KILOMETRAJE!E$10,IF(G21=8,KILOMETRAJE!E$11,IF(G21=9,KILOMETRAJE!E$12,IF(G21=10,KILOMETRAJE!E$13,IF(G21=11,KILOMETRAJE!E$14,IF(G21=12,KILOMETRAJE!E$15,IF(G21=13,KILOMETRAJE!E$16,IF(G21=14,KILOMETRAJE!E$17,IF(G21=15,KILOMETRAJE!E$18,IF(G21=16,KILOMETRAJE!E$19,IF(G21=17,KILOMETRAJE!E$20,IF(G21=18,KILOMETRAJE!E$21,IF(G21=19,KILOMETRAJE!E$22,IF(G21=20,KILOMETRAJE!E$23,IF(G21=21,KILOMETRAJE!E$24,IF(G21=22,KILOMETRAJE!E$25,IF(G21=23,KILOMETRAJE!E$26,IF(G21=24,KILOMETRAJE!E$27,IF(G21=25,KILOMETRAJE!E$28,IF(G21=26,KILOMETRAJE!E$29,IF(G21=27,KILOMETRAJE!E$30,IF(G21=28,KILOMETRAJE!E$31,IF(G21=29,KILOMETRAJE!E$32,IF(G21=30,KILOMETRAJE!E$33,IF(G21=31,KILOMETRAJE!E$34,IF(G21=32,KILOMETRAJE!E$35,IF(G21=33,KILOMETRAJE!E$36,IF(G21=34,KILOMETRAJE!E$37,IF(G21=35,KILOMETRAJE!E$38,IF(G21=36,KILOMETRAJE!E$39,IF(G21=37,KILOMETRAJE!E$40,IF(G21=38,KILOMETRAJE!E$41,IF(G21=39,KILOMETRAJE!E$42,IF(G21=40,KILOMETRAJE!E$43,IF(G21=41,KILOMETRAJE!E$44,IF(G21=42,KILOMETRAJE!E$45,IF(G21=43,KILOMETRAJE!E$46,IF(G21=44,KILOMETRAJE!E$47,IF(G21=45,KILOMETRAJE!E$48,IF(G21=46,KILOMETRAJE!E$49,IF(G21=47,KILOMETRAJE!E$50,IF(G21=48,KILOMETRAJE!E$51,IF(G21=49,KILOMETRAJE!E$52,IF(G21=50,KILOMETRAJE!E$53,IF(G21=51,KILOMETRAJE!E$54,IF(G21=52,KILOMETRAJE!E$55,IF(G21=53,KILOMETRAJE!E$56,IF(G21=54,KILOMETRAJE!E$57,IF(G21=55,KILOMETRAJE!E$58,IF(G21=56,KILOMETRAJE!E$59,IF(G21=57,KILOMETRAJE!E$60,IF(G21=58,KILOMETRAJE!E$61,IF(G21=59,KILOMETRAJE!E$62,IF(G21=60,KILOMETRAJE!E$63,IF(G21=61,KILOMETRAJE!E$64,IF(G21=62,KILOMETRAJE!E$65,IF(G21=63,KILOMETRAJE!E$66)))))))))))))))))))))))))))))))))))))))))))))))))))))))))))))))</f>
        <v>CHIH.</v>
      </c>
      <c r="J21" s="237">
        <f>IF(G21=1,KILOMETRAJE!G$4,IF(G21=2,KILOMETRAJE!G$5,IF(G21=3,KILOMETRAJE!G$6,IF(G21=4,KILOMETRAJE!G$7,IF(G21=5,KILOMETRAJE!G$8,IF(G21=6,KILOMETRAJE!G$9,IF(G21=7,KILOMETRAJE!G$10,IF(G21=8,KILOMETRAJE!G$11,IF(G21=9,KILOMETRAJE!G$12,IF(G21=10,KILOMETRAJE!G$13,IF(G21=11,KILOMETRAJE!G$14,IF(G21=12,KILOMETRAJE!G$15,IF(G21=13,KILOMETRAJE!G$16,IF(G21=14,KILOMETRAJE!G$17,IF(G21=15,KILOMETRAJE!G$18,IF(G21=16,KILOMETRAJE!G$19,IF(G21=17,KILOMETRAJE!G$20,IF(G21=18,KILOMETRAJE!G$21,IF(G21=19,KILOMETRAJE!G$22,IF(G21=20,KILOMETRAJE!G$23,IF(G21=21,KILOMETRAJE!G$24,IF(G21=22,KILOMETRAJE!G$25,IF(G21=23,KILOMETRAJE!G$26,IF(G21=24,KILOMETRAJE!G$27,IF(G21=25,KILOMETRAJE!G$28,IF(G21=26,KILOMETRAJE!G$29,IF(G21=27,KILOMETRAJE!G$30,IF(G21=28,KILOMETRAJE!G$31,IF(G21=29,KILOMETRAJE!G$32,IF(G21=30,KILOMETRAJE!G$33,IF(G21=31,KILOMETRAJE!G$34,IF(G21=32,KILOMETRAJE!G$35,IF(G21=33,KILOMETRAJE!G$36,IF(G21=34,KILOMETRAJE!G$37,IF(G21=35,KILOMETRAJE!G$38,IF(G21=36,KILOMETRAJE!G$39,IF(G21=37,KILOMETRAJE!G$40,IF(G21=38,KILOMETRAJE!G$41,IF(G21=39,KILOMETRAJE!G$42,IF(G21=40,KILOMETRAJE!G$43,IF(G21=41,KILOMETRAJE!G$44,IF(G21=42,KILOMETRAJE!G$45,IF(G21=43,KILOMETRAJE!G$46,IF(G21=44,KILOMETRAJE!G$47,IF(G21=45,KILOMETRAJE!G$48,IF(G21=46,KILOMETRAJE!G$49,IF(G21=47,KILOMETRAJE!G$50,IF(G21=48,KILOMETRAJE!G$51,IF(G21=49,KILOMETRAJE!G$52,IF(G21=50,KILOMETRAJE!G$53,IF(G21=51,KILOMETRAJE!G$54,IF(G21=52,KILOMETRAJE!G$55,IF(G21=53,KILOMETRAJE!G$56,IF(G21=54,KILOMETRAJE!G$57,IF(G21=55,KILOMETRAJE!G$58,IF(G21=56,KILOMETRAJE!G$59,IF(G21=57,KILOMETRAJE!G$60,IF(G21=58,KILOMETRAJE!G$61,IF(G21=59,KILOMETRAJE!G$62,IF(G21=60,KILOMETRAJE!G$63,IF(G21=61,KILOMETRAJE!G$64,IF(G21=62,KILOMETRAJE!G$65,IF(G21=63,KILOMETRAJE!G$66)))))))))))))))))))))))))))))))))))))))))))))))))))))))))))))))</f>
        <v>375</v>
      </c>
      <c r="K21" s="24"/>
      <c r="L21" s="44"/>
      <c r="M21" s="348">
        <v>1324</v>
      </c>
      <c r="N21" s="24">
        <v>1</v>
      </c>
      <c r="O21" s="24" t="s">
        <v>391</v>
      </c>
      <c r="P21" s="24" t="s">
        <v>247</v>
      </c>
      <c r="Q21" s="45">
        <f>((((IF(N21=1,((J21)*0.29333)))+(IF(N21=2,((J21)*0.146666)))+(IF(N21=3,((J21)*0.146666)))))+(IF(N21=4,((J21-40)*0.29333)))+(IF(N21=5,((J21-50)*0.29333)))+(IF(N21=6,((J21-90)*0.29333))))</f>
        <v>109.99874999999999</v>
      </c>
      <c r="R21" s="191"/>
      <c r="S21" s="558"/>
      <c r="T21" s="569"/>
      <c r="U21" s="80" t="s">
        <v>376</v>
      </c>
      <c r="V21" s="79" t="s">
        <v>376</v>
      </c>
      <c r="X21" s="245"/>
    </row>
    <row r="22" spans="3:24" ht="13.5" customHeight="1" thickBot="1" x14ac:dyDescent="0.25">
      <c r="C22" s="239"/>
      <c r="D22" s="68" t="s">
        <v>390</v>
      </c>
      <c r="E22" s="69">
        <v>45961</v>
      </c>
      <c r="F22" s="69">
        <v>45961</v>
      </c>
      <c r="G22" s="68">
        <v>3</v>
      </c>
      <c r="H22" s="70" t="str">
        <f>IF(G22=1,KILOMETRAJE!C$4,IF(G22=2,KILOMETRAJE!C$5,IF(G22=3,KILOMETRAJE!C$6,IF(G22=4,KILOMETRAJE!C$7,IF(G22=5,KILOMETRAJE!C$8,IF(G22=6,KILOMETRAJE!C$9,IF(G22=7,KILOMETRAJE!C$10,IF(G22=8,KILOMETRAJE!C$11,IF(G22=9,KILOMETRAJE!C$12,IF(G22=10,KILOMETRAJE!C$13,IF(G22=11,KILOMETRAJE!C$14,IF(G22=12,KILOMETRAJE!C$15,IF(G22=13,KILOMETRAJE!C$16,IF(G22=14,KILOMETRAJE!C$17,IF(G22=15,KILOMETRAJE!C$18,IF(G22=16,KILOMETRAJE!C$19,IF(G22=17,KILOMETRAJE!C$20,IF(G22=18,KILOMETRAJE!C$21,IF(G22=19,KILOMETRAJE!C$22,IF(G22=20,KILOMETRAJE!C$23,IF(G22=21,KILOMETRAJE!C$24,IF(G22=22,KILOMETRAJE!C$25,IF(G22=23,KILOMETRAJE!C$26,IF(G22=24,KILOMETRAJE!C$27,IF(G22=25,KILOMETRAJE!C$28,IF(G22=26,KILOMETRAJE!C$29,IF(G22=27,KILOMETRAJE!C$30,IF(G22=28,KILOMETRAJE!C$31,IF(G22=29,KILOMETRAJE!C$32,IF(G22=30,KILOMETRAJE!C$33,IF(G22=31,KILOMETRAJE!C$34,IF(G22=32,KILOMETRAJE!C$35,IF(G22=33,KILOMETRAJE!C$36,IF(G22=34,KILOMETRAJE!C$37,IF(G22=35,KILOMETRAJE!C$38,IF(G22=36,KILOMETRAJE!C$39,IF(G22=37,KILOMETRAJE!C$40,IF(G22=38,KILOMETRAJE!C$41,IF(G22=39,KILOMETRAJE!C$42,IF(G22=40,KILOMETRAJE!C$43,IF(G22=41,KILOMETRAJE!C$44,IF(G22=42,KILOMETRAJE!C$45,IF(G22=43,KILOMETRAJE!C$46,IF(G22=44,KILOMETRAJE!C$47,IF(G22=45,KILOMETRAJE!C$48,IF(G22=46,KILOMETRAJE!C$49,IF(G22=47,KILOMETRAJE!C$50,IF(G22=48,KILOMETRAJE!C$51,IF(G22=49,KILOMETRAJE!C$52,IF(G22=50,KILOMETRAJE!C$53,IF(G22=51,KILOMETRAJE!C$54,IF(G22=52,KILOMETRAJE!C$55,IF(G22=53,KILOMETRAJE!C$56,IF(G22=54,KILOMETRAJE!C$57,IF(G22=55,KILOMETRAJE!C$58,IF(G22=56,KILOMETRAJE!C$59,IF(G22=57,KILOMETRAJE!C$60,IF(G22=58,KILOMETRAJE!C$61,IF(G22=59,KILOMETRAJE!C$62,IF(G22=60,KILOMETRAJE!C$63,IF(G22=61,KILOMETRAJE!C$64,IF(G22=62,KILOMETRAJE!C$65,IF(G22=63,KILOMETRAJE!C$66)))))))))))))))))))))))))))))))))))))))))))))))))))))))))))))))</f>
        <v xml:space="preserve">CHIH. </v>
      </c>
      <c r="I22" s="70" t="str">
        <f>IF(G22=1,KILOMETRAJE!E$4,IF(G22=2,KILOMETRAJE!E$5,IF(G22=3,KILOMETRAJE!E$6,IF(G22=4,KILOMETRAJE!E$7,IF(G22=5,KILOMETRAJE!E$8,IF(G22=6,KILOMETRAJE!E$9,IF(G22=7,KILOMETRAJE!E$10,IF(G22=8,KILOMETRAJE!E$11,IF(G22=9,KILOMETRAJE!E$12,IF(G22=10,KILOMETRAJE!E$13,IF(G22=11,KILOMETRAJE!E$14,IF(G22=12,KILOMETRAJE!E$15,IF(G22=13,KILOMETRAJE!E$16,IF(G22=14,KILOMETRAJE!E$17,IF(G22=15,KILOMETRAJE!E$18,IF(G22=16,KILOMETRAJE!E$19,IF(G22=17,KILOMETRAJE!E$20,IF(G22=18,KILOMETRAJE!E$21,IF(G22=19,KILOMETRAJE!E$22,IF(G22=20,KILOMETRAJE!E$23,IF(G22=21,KILOMETRAJE!E$24,IF(G22=22,KILOMETRAJE!E$25,IF(G22=23,KILOMETRAJE!E$26,IF(G22=24,KILOMETRAJE!E$27,IF(G22=25,KILOMETRAJE!E$28,IF(G22=26,KILOMETRAJE!E$29,IF(G22=27,KILOMETRAJE!E$30,IF(G22=28,KILOMETRAJE!E$31,IF(G22=29,KILOMETRAJE!E$32,IF(G22=30,KILOMETRAJE!E$33,IF(G22=31,KILOMETRAJE!E$34,IF(G22=32,KILOMETRAJE!E$35,IF(G22=33,KILOMETRAJE!E$36,IF(G22=34,KILOMETRAJE!E$37,IF(G22=35,KILOMETRAJE!E$38,IF(G22=36,KILOMETRAJE!E$39,IF(G22=37,KILOMETRAJE!E$40,IF(G22=38,KILOMETRAJE!E$41,IF(G22=39,KILOMETRAJE!E$42,IF(G22=40,KILOMETRAJE!E$43,IF(G22=41,KILOMETRAJE!E$44,IF(G22=42,KILOMETRAJE!E$45,IF(G22=43,KILOMETRAJE!E$46,IF(G22=44,KILOMETRAJE!E$47,IF(G22=45,KILOMETRAJE!E$48,IF(G22=46,KILOMETRAJE!E$49,IF(G22=47,KILOMETRAJE!E$50,IF(G22=48,KILOMETRAJE!E$51,IF(G22=49,KILOMETRAJE!E$52,IF(G22=50,KILOMETRAJE!E$53,IF(G22=51,KILOMETRAJE!E$54,IF(G22=52,KILOMETRAJE!E$55,IF(G22=53,KILOMETRAJE!E$56,IF(G22=54,KILOMETRAJE!E$57,IF(G22=55,KILOMETRAJE!E$58,IF(G22=56,KILOMETRAJE!E$59,IF(G22=57,KILOMETRAJE!E$60,IF(G22=58,KILOMETRAJE!E$61,IF(G22=59,KILOMETRAJE!E$62,IF(G22=60,KILOMETRAJE!E$63,IF(G22=61,KILOMETRAJE!E$64,IF(G22=62,KILOMETRAJE!E$65,IF(G22=63,KILOMETRAJE!E$66)))))))))))))))))))))))))))))))))))))))))))))))))))))))))))))))</f>
        <v>JRZ</v>
      </c>
      <c r="J22" s="71">
        <f>IF(G22=1,KILOMETRAJE!G$4,IF(G22=2,KILOMETRAJE!G$5,IF(G22=3,KILOMETRAJE!G$6,IF(G22=4,KILOMETRAJE!G$7,IF(G22=5,KILOMETRAJE!G$8,IF(G22=6,KILOMETRAJE!G$9,IF(G22=7,KILOMETRAJE!G$10,IF(G22=8,KILOMETRAJE!G$11,IF(G22=9,KILOMETRAJE!G$12,IF(G22=10,KILOMETRAJE!G$13,IF(G22=11,KILOMETRAJE!G$14,IF(G22=12,KILOMETRAJE!G$15,IF(G22=13,KILOMETRAJE!G$16,IF(G22=14,KILOMETRAJE!G$17,IF(G22=15,KILOMETRAJE!G$18,IF(G22=16,KILOMETRAJE!G$19,IF(G22=17,KILOMETRAJE!G$20,IF(G22=18,KILOMETRAJE!G$21,IF(G22=19,KILOMETRAJE!G$22,IF(G22=20,KILOMETRAJE!G$23,IF(G22=21,KILOMETRAJE!G$24,IF(G22=22,KILOMETRAJE!G$25,IF(G22=23,KILOMETRAJE!G$26,IF(G22=24,KILOMETRAJE!G$27,IF(G22=25,KILOMETRAJE!G$28,IF(G22=26,KILOMETRAJE!G$29,IF(G22=27,KILOMETRAJE!G$30,IF(G22=28,KILOMETRAJE!G$31,IF(G22=29,KILOMETRAJE!G$32,IF(G22=30,KILOMETRAJE!G$33,IF(G22=31,KILOMETRAJE!G$34,IF(G22=32,KILOMETRAJE!G$35,IF(G22=33,KILOMETRAJE!G$36,IF(G22=34,KILOMETRAJE!G$37,IF(G22=35,KILOMETRAJE!G$38,IF(G22=36,KILOMETRAJE!G$39,IF(G22=37,KILOMETRAJE!G$40,IF(G22=38,KILOMETRAJE!G$41,IF(G22=39,KILOMETRAJE!G$42,IF(G22=40,KILOMETRAJE!G$43,IF(G22=41,KILOMETRAJE!G$44,IF(G22=42,KILOMETRAJE!G$45,IF(G22=43,KILOMETRAJE!G$46,IF(G22=44,KILOMETRAJE!G$47,IF(G22=45,KILOMETRAJE!G$48,IF(G22=46,KILOMETRAJE!G$49,IF(G22=47,KILOMETRAJE!G$50,IF(G22=48,KILOMETRAJE!G$51,IF(G22=49,KILOMETRAJE!G$52,IF(G22=50,KILOMETRAJE!G$53,IF(G22=51,KILOMETRAJE!G$54,IF(G22=52,KILOMETRAJE!G$55,IF(G22=53,KILOMETRAJE!G$56,IF(G22=54,KILOMETRAJE!G$57,IF(G22=55,KILOMETRAJE!G$58,IF(G22=56,KILOMETRAJE!G$59,IF(G22=57,KILOMETRAJE!G$60,IF(G22=58,KILOMETRAJE!G$61,IF(G22=59,KILOMETRAJE!G$62,IF(G22=60,KILOMETRAJE!G$63,IF(G22=61,KILOMETRAJE!G$64,IF(G22=62,KILOMETRAJE!G$65,IF(G22=63,KILOMETRAJE!G$66)))))))))))))))))))))))))))))))))))))))))))))))))))))))))))))))</f>
        <v>375</v>
      </c>
      <c r="K22" s="70">
        <v>265.32</v>
      </c>
      <c r="L22" s="72">
        <f>SUM(J21:J22)/K22</f>
        <v>2.8267752148349166</v>
      </c>
      <c r="M22" s="370">
        <v>2728</v>
      </c>
      <c r="N22" s="70">
        <v>1</v>
      </c>
      <c r="O22" s="70" t="s">
        <v>392</v>
      </c>
      <c r="P22" s="70" t="s">
        <v>247</v>
      </c>
      <c r="Q22" s="67">
        <f>((((IF(N22=1,((J21:J22)*0.29333)))+(IF(N22=2,((J22)*0.146666)))+(IF(N22=3,((J22)*0.146666)))))+(IF(N22=4,((J22-40)*0.29333)))+(IF(N22=5,((J22-50)*0.29333)))+(IF(N22=6,((J22-90)*0.29333))))</f>
        <v>109.99874999999999</v>
      </c>
      <c r="R22" s="197">
        <f>+LOOKUP(P41,UNIDADES!B$3:B$59,UNIDADES!C$3:C$59)</f>
        <v>2.3734099999999998</v>
      </c>
      <c r="S22" s="559">
        <f>+((SUM(J21:J22))/R22)-K22</f>
        <v>50.681028056677974</v>
      </c>
      <c r="T22" s="569">
        <f>+S22*14.85</f>
        <v>752.61326664166791</v>
      </c>
      <c r="U22" s="566">
        <v>53</v>
      </c>
      <c r="V22" s="484">
        <v>57</v>
      </c>
      <c r="X22" s="244"/>
    </row>
    <row r="23" spans="3:24" x14ac:dyDescent="0.2">
      <c r="C23" s="176">
        <v>46170</v>
      </c>
      <c r="D23" s="227" t="s">
        <v>393</v>
      </c>
      <c r="E23" s="42">
        <v>45961</v>
      </c>
      <c r="F23" s="42">
        <v>45962</v>
      </c>
      <c r="G23" s="43">
        <v>2</v>
      </c>
      <c r="H23" s="236" t="str">
        <f>IF(G23=1,KILOMETRAJE!C$4,IF(G23=2,KILOMETRAJE!C$5,IF(G23=3,KILOMETRAJE!C$6,IF(G23=4,KILOMETRAJE!C$7,IF(G23=5,KILOMETRAJE!C$8,IF(G23=6,KILOMETRAJE!C$9,IF(G23=7,KILOMETRAJE!C$10,IF(G23=8,KILOMETRAJE!C$11,IF(G23=9,KILOMETRAJE!C$12,IF(G23=10,KILOMETRAJE!C$13,IF(G23=11,KILOMETRAJE!C$14,IF(G23=12,KILOMETRAJE!C$15,IF(G23=13,KILOMETRAJE!C$16,IF(G23=14,KILOMETRAJE!C$17,IF(G23=15,KILOMETRAJE!C$18,IF(G23=16,KILOMETRAJE!C$19,IF(G23=17,KILOMETRAJE!C$20,IF(G23=18,KILOMETRAJE!C$21,IF(G23=19,KILOMETRAJE!C$22,IF(G23=20,KILOMETRAJE!C$23,IF(G23=21,KILOMETRAJE!C$24,IF(G23=22,KILOMETRAJE!C$25,IF(G23=23,KILOMETRAJE!C$26,IF(G23=24,KILOMETRAJE!C$27,IF(G23=25,KILOMETRAJE!C$28,IF(G23=26,KILOMETRAJE!C$29,IF(G23=27,KILOMETRAJE!C$30,IF(G23=28,KILOMETRAJE!C$31,IF(G23=29,KILOMETRAJE!C$32,IF(G23=30,KILOMETRAJE!C$33,IF(G23=31,KILOMETRAJE!C$34,IF(G23=32,KILOMETRAJE!C$35,IF(G23=33,KILOMETRAJE!C$36,IF(G23=34,KILOMETRAJE!C$37,IF(G23=35,KILOMETRAJE!C$38,IF(G23=36,KILOMETRAJE!C$39,IF(G23=37,KILOMETRAJE!C$40,IF(G23=38,KILOMETRAJE!C$41,IF(G23=39,KILOMETRAJE!C$42,IF(G23=40,KILOMETRAJE!C$43,IF(G23=41,KILOMETRAJE!C$44,IF(G23=42,KILOMETRAJE!C$45,IF(G23=43,KILOMETRAJE!C$46,IF(G23=44,KILOMETRAJE!C$47,IF(G23=45,KILOMETRAJE!C$48,IF(G23=46,KILOMETRAJE!C$49,IF(G23=47,KILOMETRAJE!C$50,IF(G23=48,KILOMETRAJE!C$51,IF(G23=49,KILOMETRAJE!C$52,IF(G23=50,KILOMETRAJE!C$53,IF(G23=51,KILOMETRAJE!C$54,IF(G23=52,KILOMETRAJE!C$55,IF(G23=53,KILOMETRAJE!C$56,IF(G23=54,KILOMETRAJE!C$57,IF(G23=55,KILOMETRAJE!C$58,IF(G23=56,KILOMETRAJE!C$59,IF(G23=57,KILOMETRAJE!C$60,IF(G23=58,KILOMETRAJE!C$61,IF(G23=59,KILOMETRAJE!C$62,IF(G23=60,KILOMETRAJE!C$63,IF(G23=61,KILOMETRAJE!C$64,IF(G23=62,KILOMETRAJE!C$65,IF(G23=63,KILOMETRAJE!C$66)))))))))))))))))))))))))))))))))))))))))))))))))))))))))))))))</f>
        <v>JRZ</v>
      </c>
      <c r="I23" s="236" t="str">
        <f>IF(G23=1,KILOMETRAJE!E$4,IF(G23=2,KILOMETRAJE!E$5,IF(G23=3,KILOMETRAJE!E$6,IF(G23=4,KILOMETRAJE!E$7,IF(G23=5,KILOMETRAJE!E$8,IF(G23=6,KILOMETRAJE!E$9,IF(G23=7,KILOMETRAJE!E$10,IF(G23=8,KILOMETRAJE!E$11,IF(G23=9,KILOMETRAJE!E$12,IF(G23=10,KILOMETRAJE!E$13,IF(G23=11,KILOMETRAJE!E$14,IF(G23=12,KILOMETRAJE!E$15,IF(G23=13,KILOMETRAJE!E$16,IF(G23=14,KILOMETRAJE!E$17,IF(G23=15,KILOMETRAJE!E$18,IF(G23=16,KILOMETRAJE!E$19,IF(G23=17,KILOMETRAJE!E$20,IF(G23=18,KILOMETRAJE!E$21,IF(G23=19,KILOMETRAJE!E$22,IF(G23=20,KILOMETRAJE!E$23,IF(G23=21,KILOMETRAJE!E$24,IF(G23=22,KILOMETRAJE!E$25,IF(G23=23,KILOMETRAJE!E$26,IF(G23=24,KILOMETRAJE!E$27,IF(G23=25,KILOMETRAJE!E$28,IF(G23=26,KILOMETRAJE!E$29,IF(G23=27,KILOMETRAJE!E$30,IF(G23=28,KILOMETRAJE!E$31,IF(G23=29,KILOMETRAJE!E$32,IF(G23=30,KILOMETRAJE!E$33,IF(G23=31,KILOMETRAJE!E$34,IF(G23=32,KILOMETRAJE!E$35,IF(G23=33,KILOMETRAJE!E$36,IF(G23=34,KILOMETRAJE!E$37,IF(G23=35,KILOMETRAJE!E$38,IF(G23=36,KILOMETRAJE!E$39,IF(G23=37,KILOMETRAJE!E$40,IF(G23=38,KILOMETRAJE!E$41,IF(G23=39,KILOMETRAJE!E$42,IF(G23=40,KILOMETRAJE!E$43,IF(G23=41,KILOMETRAJE!E$44,IF(G23=42,KILOMETRAJE!E$45,IF(G23=43,KILOMETRAJE!E$46,IF(G23=44,KILOMETRAJE!E$47,IF(G23=45,KILOMETRAJE!E$48,IF(G23=46,KILOMETRAJE!E$49,IF(G23=47,KILOMETRAJE!E$50,IF(G23=48,KILOMETRAJE!E$51,IF(G23=49,KILOMETRAJE!E$52,IF(G23=50,KILOMETRAJE!E$53,IF(G23=51,KILOMETRAJE!E$54,IF(G23=52,KILOMETRAJE!E$55,IF(G23=53,KILOMETRAJE!E$56,IF(G23=54,KILOMETRAJE!E$57,IF(G23=55,KILOMETRAJE!E$58,IF(G23=56,KILOMETRAJE!E$59,IF(G23=57,KILOMETRAJE!E$60,IF(G23=58,KILOMETRAJE!E$61,IF(G23=59,KILOMETRAJE!E$62,IF(G23=60,KILOMETRAJE!E$63,IF(G23=61,KILOMETRAJE!E$64,IF(G23=62,KILOMETRAJE!E$65,IF(G23=63,KILOMETRAJE!E$66)))))))))))))))))))))))))))))))))))))))))))))))))))))))))))))))</f>
        <v>CHIH.</v>
      </c>
      <c r="J23" s="237">
        <f>IF(G23=1,KILOMETRAJE!G$4,IF(G23=2,KILOMETRAJE!G$5,IF(G23=3,KILOMETRAJE!G$6,IF(G23=4,KILOMETRAJE!G$7,IF(G23=5,KILOMETRAJE!G$8,IF(G23=6,KILOMETRAJE!G$9,IF(G23=7,KILOMETRAJE!G$10,IF(G23=8,KILOMETRAJE!G$11,IF(G23=9,KILOMETRAJE!G$12,IF(G23=10,KILOMETRAJE!G$13,IF(G23=11,KILOMETRAJE!G$14,IF(G23=12,KILOMETRAJE!G$15,IF(G23=13,KILOMETRAJE!G$16,IF(G23=14,KILOMETRAJE!G$17,IF(G23=15,KILOMETRAJE!G$18,IF(G23=16,KILOMETRAJE!G$19,IF(G23=17,KILOMETRAJE!G$20,IF(G23=18,KILOMETRAJE!G$21,IF(G23=19,KILOMETRAJE!G$22,IF(G23=20,KILOMETRAJE!G$23,IF(G23=21,KILOMETRAJE!G$24,IF(G23=22,KILOMETRAJE!G$25,IF(G23=23,KILOMETRAJE!G$26,IF(G23=24,KILOMETRAJE!G$27,IF(G23=25,KILOMETRAJE!G$28,IF(G23=26,KILOMETRAJE!G$29,IF(G23=27,KILOMETRAJE!G$30,IF(G23=28,KILOMETRAJE!G$31,IF(G23=29,KILOMETRAJE!G$32,IF(G23=30,KILOMETRAJE!G$33,IF(G23=31,KILOMETRAJE!G$34,IF(G23=32,KILOMETRAJE!G$35,IF(G23=33,KILOMETRAJE!G$36,IF(G23=34,KILOMETRAJE!G$37,IF(G23=35,KILOMETRAJE!G$38,IF(G23=36,KILOMETRAJE!G$39,IF(G23=37,KILOMETRAJE!G$40,IF(G23=38,KILOMETRAJE!G$41,IF(G23=39,KILOMETRAJE!G$42,IF(G23=40,KILOMETRAJE!G$43,IF(G23=41,KILOMETRAJE!G$44,IF(G23=42,KILOMETRAJE!G$45,IF(G23=43,KILOMETRAJE!G$46,IF(G23=44,KILOMETRAJE!G$47,IF(G23=45,KILOMETRAJE!G$48,IF(G23=46,KILOMETRAJE!G$49,IF(G23=47,KILOMETRAJE!G$50,IF(G23=48,KILOMETRAJE!G$51,IF(G23=49,KILOMETRAJE!G$52,IF(G23=50,KILOMETRAJE!G$53,IF(G23=51,KILOMETRAJE!G$54,IF(G23=52,KILOMETRAJE!G$55,IF(G23=53,KILOMETRAJE!G$56,IF(G23=54,KILOMETRAJE!G$57,IF(G23=55,KILOMETRAJE!G$58,IF(G23=56,KILOMETRAJE!G$59,IF(G23=57,KILOMETRAJE!G$60,IF(G23=58,KILOMETRAJE!G$61,IF(G23=59,KILOMETRAJE!G$62,IF(G23=60,KILOMETRAJE!G$63,IF(G23=61,KILOMETRAJE!G$64,IF(G23=62,KILOMETRAJE!G$65,IF(G23=63,KILOMETRAJE!G$66)))))))))))))))))))))))))))))))))))))))))))))))))))))))))))))))</f>
        <v>375</v>
      </c>
      <c r="K23" s="24"/>
      <c r="L23" s="44"/>
      <c r="M23" s="348">
        <v>824</v>
      </c>
      <c r="N23" s="24">
        <v>1</v>
      </c>
      <c r="O23" s="24" t="s">
        <v>395</v>
      </c>
      <c r="P23" s="24" t="s">
        <v>247</v>
      </c>
      <c r="Q23" s="45">
        <f>((((IF(N23=1,((J23)*0.29333)))+(IF(N23=2,((J23)*0.146666)))+(IF(N23=3,((J23)*0.146666)))))+(IF(N23=4,((J23-40)*0.29333)))+(IF(N23=5,((J23-50)*0.29333)))+(IF(N23=6,((J23-90)*0.29333))))</f>
        <v>109.99874999999999</v>
      </c>
      <c r="R23" s="191"/>
      <c r="S23" s="558"/>
      <c r="T23" s="569"/>
      <c r="U23" s="556" t="s">
        <v>376</v>
      </c>
      <c r="V23" s="17" t="s">
        <v>376</v>
      </c>
    </row>
    <row r="24" spans="3:24" ht="13.5" customHeight="1" thickBot="1" x14ac:dyDescent="0.25">
      <c r="C24" s="101"/>
      <c r="D24" s="62" t="s">
        <v>394</v>
      </c>
      <c r="E24" s="25">
        <v>45962</v>
      </c>
      <c r="F24" s="25">
        <v>45962</v>
      </c>
      <c r="G24" s="62">
        <v>3</v>
      </c>
      <c r="H24" s="27" t="str">
        <f>IF(G24=1,KILOMETRAJE!C$4,IF(G24=2,KILOMETRAJE!C$5,IF(G24=3,KILOMETRAJE!C$6,IF(G24=4,KILOMETRAJE!C$7,IF(G24=5,KILOMETRAJE!C$8,IF(G24=6,KILOMETRAJE!C$9,IF(G24=7,KILOMETRAJE!C$10,IF(G24=8,KILOMETRAJE!C$11,IF(G24=9,KILOMETRAJE!C$12,IF(G24=10,KILOMETRAJE!C$13,IF(G24=11,KILOMETRAJE!C$14,IF(G24=12,KILOMETRAJE!C$15,IF(G24=13,KILOMETRAJE!C$16,IF(G24=14,KILOMETRAJE!C$17,IF(G24=15,KILOMETRAJE!C$18,IF(G24=16,KILOMETRAJE!C$19,IF(G24=17,KILOMETRAJE!C$20,IF(G24=18,KILOMETRAJE!C$21,IF(G24=19,KILOMETRAJE!C$22,IF(G24=20,KILOMETRAJE!C$23,IF(G24=21,KILOMETRAJE!C$24,IF(G24=22,KILOMETRAJE!C$25,IF(G24=23,KILOMETRAJE!C$26,IF(G24=24,KILOMETRAJE!C$27,IF(G24=25,KILOMETRAJE!C$28,IF(G24=26,KILOMETRAJE!C$29,IF(G24=27,KILOMETRAJE!C$30,IF(G24=28,KILOMETRAJE!C$31,IF(G24=29,KILOMETRAJE!C$32,IF(G24=30,KILOMETRAJE!C$33,IF(G24=31,KILOMETRAJE!C$34,IF(G24=32,KILOMETRAJE!C$35,IF(G24=33,KILOMETRAJE!C$36,IF(G24=34,KILOMETRAJE!C$37,IF(G24=35,KILOMETRAJE!C$38,IF(G24=36,KILOMETRAJE!C$39,IF(G24=37,KILOMETRAJE!C$40,IF(G24=38,KILOMETRAJE!C$41,IF(G24=39,KILOMETRAJE!C$42,IF(G24=40,KILOMETRAJE!C$43,IF(G24=41,KILOMETRAJE!C$44,IF(G24=42,KILOMETRAJE!C$45,IF(G24=43,KILOMETRAJE!C$46,IF(G24=44,KILOMETRAJE!C$47,IF(G24=45,KILOMETRAJE!C$48,IF(G24=46,KILOMETRAJE!C$49,IF(G24=47,KILOMETRAJE!C$50,IF(G24=48,KILOMETRAJE!C$51,IF(G24=49,KILOMETRAJE!C$52,IF(G24=50,KILOMETRAJE!C$53,IF(G24=51,KILOMETRAJE!C$54,IF(G24=52,KILOMETRAJE!C$55,IF(G24=53,KILOMETRAJE!C$56,IF(G24=54,KILOMETRAJE!C$57,IF(G24=55,KILOMETRAJE!C$58,IF(G24=56,KILOMETRAJE!C$59,IF(G24=57,KILOMETRAJE!C$60,IF(G24=58,KILOMETRAJE!C$61,IF(G24=59,KILOMETRAJE!C$62,IF(G24=60,KILOMETRAJE!C$63,IF(G24=61,KILOMETRAJE!C$64,IF(G24=62,KILOMETRAJE!C$65,IF(G24=63,KILOMETRAJE!C$66)))))))))))))))))))))))))))))))))))))))))))))))))))))))))))))))</f>
        <v xml:space="preserve">CHIH. </v>
      </c>
      <c r="I24" s="27" t="str">
        <f>IF(G24=1,KILOMETRAJE!E$4,IF(G24=2,KILOMETRAJE!E$5,IF(G24=3,KILOMETRAJE!E$6,IF(G24=4,KILOMETRAJE!E$7,IF(G24=5,KILOMETRAJE!E$8,IF(G24=6,KILOMETRAJE!E$9,IF(G24=7,KILOMETRAJE!E$10,IF(G24=8,KILOMETRAJE!E$11,IF(G24=9,KILOMETRAJE!E$12,IF(G24=10,KILOMETRAJE!E$13,IF(G24=11,KILOMETRAJE!E$14,IF(G24=12,KILOMETRAJE!E$15,IF(G24=13,KILOMETRAJE!E$16,IF(G24=14,KILOMETRAJE!E$17,IF(G24=15,KILOMETRAJE!E$18,IF(G24=16,KILOMETRAJE!E$19,IF(G24=17,KILOMETRAJE!E$20,IF(G24=18,KILOMETRAJE!E$21,IF(G24=19,KILOMETRAJE!E$22,IF(G24=20,KILOMETRAJE!E$23,IF(G24=21,KILOMETRAJE!E$24,IF(G24=22,KILOMETRAJE!E$25,IF(G24=23,KILOMETRAJE!E$26,IF(G24=24,KILOMETRAJE!E$27,IF(G24=25,KILOMETRAJE!E$28,IF(G24=26,KILOMETRAJE!E$29,IF(G24=27,KILOMETRAJE!E$30,IF(G24=28,KILOMETRAJE!E$31,IF(G24=29,KILOMETRAJE!E$32,IF(G24=30,KILOMETRAJE!E$33,IF(G24=31,KILOMETRAJE!E$34,IF(G24=32,KILOMETRAJE!E$35,IF(G24=33,KILOMETRAJE!E$36,IF(G24=34,KILOMETRAJE!E$37,IF(G24=35,KILOMETRAJE!E$38,IF(G24=36,KILOMETRAJE!E$39,IF(G24=37,KILOMETRAJE!E$40,IF(G24=38,KILOMETRAJE!E$41,IF(G24=39,KILOMETRAJE!E$42,IF(G24=40,KILOMETRAJE!E$43,IF(G24=41,KILOMETRAJE!E$44,IF(G24=42,KILOMETRAJE!E$45,IF(G24=43,KILOMETRAJE!E$46,IF(G24=44,KILOMETRAJE!E$47,IF(G24=45,KILOMETRAJE!E$48,IF(G24=46,KILOMETRAJE!E$49,IF(G24=47,KILOMETRAJE!E$50,IF(G24=48,KILOMETRAJE!E$51,IF(G24=49,KILOMETRAJE!E$52,IF(G24=50,KILOMETRAJE!E$53,IF(G24=51,KILOMETRAJE!E$54,IF(G24=52,KILOMETRAJE!E$55,IF(G24=53,KILOMETRAJE!E$56,IF(G24=54,KILOMETRAJE!E$57,IF(G24=55,KILOMETRAJE!E$58,IF(G24=56,KILOMETRAJE!E$59,IF(G24=57,KILOMETRAJE!E$60,IF(G24=58,KILOMETRAJE!E$61,IF(G24=59,KILOMETRAJE!E$62,IF(G24=60,KILOMETRAJE!E$63,IF(G24=61,KILOMETRAJE!E$64,IF(G24=62,KILOMETRAJE!E$65,IF(G24=63,KILOMETRAJE!E$66)))))))))))))))))))))))))))))))))))))))))))))))))))))))))))))))</f>
        <v>JRZ</v>
      </c>
      <c r="J24" s="31">
        <f>IF(G24=1,KILOMETRAJE!G$4,IF(G24=2,KILOMETRAJE!G$5,IF(G24=3,KILOMETRAJE!G$6,IF(G24=4,KILOMETRAJE!G$7,IF(G24=5,KILOMETRAJE!G$8,IF(G24=6,KILOMETRAJE!G$9,IF(G24=7,KILOMETRAJE!G$10,IF(G24=8,KILOMETRAJE!G$11,IF(G24=9,KILOMETRAJE!G$12,IF(G24=10,KILOMETRAJE!G$13,IF(G24=11,KILOMETRAJE!G$14,IF(G24=12,KILOMETRAJE!G$15,IF(G24=13,KILOMETRAJE!G$16,IF(G24=14,KILOMETRAJE!G$17,IF(G24=15,KILOMETRAJE!G$18,IF(G24=16,KILOMETRAJE!G$19,IF(G24=17,KILOMETRAJE!G$20,IF(G24=18,KILOMETRAJE!G$21,IF(G24=19,KILOMETRAJE!G$22,IF(G24=20,KILOMETRAJE!G$23,IF(G24=21,KILOMETRAJE!G$24,IF(G24=22,KILOMETRAJE!G$25,IF(G24=23,KILOMETRAJE!G$26,IF(G24=24,KILOMETRAJE!G$27,IF(G24=25,KILOMETRAJE!G$28,IF(G24=26,KILOMETRAJE!G$29,IF(G24=27,KILOMETRAJE!G$30,IF(G24=28,KILOMETRAJE!G$31,IF(G24=29,KILOMETRAJE!G$32,IF(G24=30,KILOMETRAJE!G$33,IF(G24=31,KILOMETRAJE!G$34,IF(G24=32,KILOMETRAJE!G$35,IF(G24=33,KILOMETRAJE!G$36,IF(G24=34,KILOMETRAJE!G$37,IF(G24=35,KILOMETRAJE!G$38,IF(G24=36,KILOMETRAJE!G$39,IF(G24=37,KILOMETRAJE!G$40,IF(G24=38,KILOMETRAJE!G$41,IF(G24=39,KILOMETRAJE!G$42,IF(G24=40,KILOMETRAJE!G$43,IF(G24=41,KILOMETRAJE!G$44,IF(G24=42,KILOMETRAJE!G$45,IF(G24=43,KILOMETRAJE!G$46,IF(G24=44,KILOMETRAJE!G$47,IF(G24=45,KILOMETRAJE!G$48,IF(G24=46,KILOMETRAJE!G$49,IF(G24=47,KILOMETRAJE!G$50,IF(G24=48,KILOMETRAJE!G$51,IF(G24=49,KILOMETRAJE!G$52,IF(G24=50,KILOMETRAJE!G$53,IF(G24=51,KILOMETRAJE!G$54,IF(G24=52,KILOMETRAJE!G$55,IF(G24=53,KILOMETRAJE!G$56,IF(G24=54,KILOMETRAJE!G$57,IF(G24=55,KILOMETRAJE!G$58,IF(G24=56,KILOMETRAJE!G$59,IF(G24=57,KILOMETRAJE!G$60,IF(G24=58,KILOMETRAJE!G$61,IF(G24=59,KILOMETRAJE!G$62,IF(G24=60,KILOMETRAJE!G$63,IF(G24=61,KILOMETRAJE!G$64,IF(G24=62,KILOMETRAJE!G$65,IF(G24=63,KILOMETRAJE!G$66)))))))))))))))))))))))))))))))))))))))))))))))))))))))))))))))</f>
        <v>375</v>
      </c>
      <c r="K24" s="27">
        <v>214.28</v>
      </c>
      <c r="L24" s="28">
        <f>SUM(J23:J24)/K24</f>
        <v>3.5000933358222888</v>
      </c>
      <c r="M24" s="349">
        <v>5291</v>
      </c>
      <c r="N24" s="27">
        <v>1</v>
      </c>
      <c r="O24" s="27" t="s">
        <v>396</v>
      </c>
      <c r="P24" s="27" t="s">
        <v>195</v>
      </c>
      <c r="Q24" s="29">
        <f>((((IF(N24=1,((J23:J24)*0.29333)))+(IF(N24=2,((J24)*0.146666)))+(IF(N24=3,((J24)*0.146666)))))+(IF(N24=4,((J24-40)*0.29333)))+(IF(N24=5,((J24-50)*0.29333)))+(IF(N24=6,((J24-90)*0.29333))))</f>
        <v>109.99874999999999</v>
      </c>
      <c r="R24" s="190">
        <f>+LOOKUP(P42,UNIDADES!B$3:B$59,UNIDADES!C$3:C$59)</f>
        <v>2.3734099999999998</v>
      </c>
      <c r="S24" s="560">
        <f>+((SUM(J23:J24))/R24)-K24</f>
        <v>101.72102805667797</v>
      </c>
      <c r="T24" s="569">
        <f>+S24*14.85</f>
        <v>1510.5572666416679</v>
      </c>
      <c r="U24" s="567">
        <v>57</v>
      </c>
      <c r="V24" s="417">
        <v>57</v>
      </c>
    </row>
    <row r="25" spans="3:24" hidden="1" x14ac:dyDescent="0.2">
      <c r="C25" s="176"/>
      <c r="D25" s="43"/>
      <c r="E25" s="42"/>
      <c r="F25" s="42"/>
      <c r="G25" s="43"/>
      <c r="H25" s="236"/>
      <c r="I25" s="236"/>
      <c r="J25" s="237"/>
      <c r="K25" s="24"/>
      <c r="L25" s="44"/>
      <c r="M25" s="348"/>
      <c r="N25" s="24"/>
      <c r="O25" s="24"/>
      <c r="P25" s="24"/>
      <c r="Q25" s="45"/>
      <c r="R25" s="191"/>
      <c r="S25" s="558"/>
      <c r="T25" s="569"/>
      <c r="U25" s="556"/>
      <c r="V25" s="17"/>
    </row>
    <row r="26" spans="3:24" ht="13.5" hidden="1" customHeight="1" thickBot="1" x14ac:dyDescent="0.25">
      <c r="C26" s="101"/>
      <c r="D26" s="62"/>
      <c r="E26" s="25"/>
      <c r="F26" s="25"/>
      <c r="G26" s="62"/>
      <c r="H26" s="27"/>
      <c r="I26" s="27"/>
      <c r="J26" s="31"/>
      <c r="K26" s="27"/>
      <c r="L26" s="28"/>
      <c r="M26" s="349"/>
      <c r="N26" s="27"/>
      <c r="O26" s="27"/>
      <c r="P26" s="27"/>
      <c r="Q26" s="29"/>
      <c r="R26" s="190"/>
      <c r="S26" s="560"/>
      <c r="T26" s="569"/>
      <c r="U26" s="567"/>
      <c r="V26" s="417"/>
    </row>
    <row r="27" spans="3:24" hidden="1" x14ac:dyDescent="0.2">
      <c r="C27" s="176"/>
      <c r="D27" s="43"/>
      <c r="E27" s="42"/>
      <c r="F27" s="42"/>
      <c r="G27" s="43"/>
      <c r="H27" s="65"/>
      <c r="I27" s="24"/>
      <c r="J27" s="51"/>
      <c r="K27" s="24"/>
      <c r="L27" s="44"/>
      <c r="M27" s="348"/>
      <c r="N27" s="24"/>
      <c r="O27" s="24"/>
      <c r="P27" s="24"/>
      <c r="Q27" s="45"/>
      <c r="R27" s="191"/>
      <c r="S27" s="558"/>
      <c r="T27" s="569"/>
      <c r="U27" s="556"/>
      <c r="V27" s="17"/>
    </row>
    <row r="28" spans="3:24" ht="13.5" hidden="1" customHeight="1" thickBot="1" x14ac:dyDescent="0.25">
      <c r="C28" s="101"/>
      <c r="D28" s="62"/>
      <c r="E28" s="25"/>
      <c r="F28" s="25"/>
      <c r="G28" s="62"/>
      <c r="H28" s="26"/>
      <c r="I28" s="27"/>
      <c r="J28" s="31"/>
      <c r="K28" s="27"/>
      <c r="L28" s="28"/>
      <c r="M28" s="349"/>
      <c r="N28" s="27"/>
      <c r="O28" s="27"/>
      <c r="P28" s="27"/>
      <c r="Q28" s="29"/>
      <c r="R28" s="190"/>
      <c r="S28" s="560"/>
      <c r="T28" s="569"/>
      <c r="U28" s="567"/>
      <c r="V28" s="417"/>
    </row>
    <row r="29" spans="3:24" hidden="1" x14ac:dyDescent="0.2">
      <c r="C29" s="238"/>
      <c r="D29" s="36"/>
      <c r="E29" s="37"/>
      <c r="F29" s="37"/>
      <c r="G29" s="36"/>
      <c r="H29" s="47"/>
      <c r="I29" s="38"/>
      <c r="J29" s="39"/>
      <c r="K29" s="38"/>
      <c r="L29" s="48"/>
      <c r="M29" s="350"/>
      <c r="N29" s="38"/>
      <c r="O29" s="38"/>
      <c r="P29" s="38"/>
      <c r="Q29" s="40"/>
      <c r="R29" s="192"/>
      <c r="S29" s="561"/>
      <c r="T29" s="569"/>
      <c r="U29" s="568"/>
      <c r="V29" s="36"/>
    </row>
    <row r="30" spans="3:24" ht="13.5" hidden="1" customHeight="1" thickBot="1" x14ac:dyDescent="0.25">
      <c r="C30" s="101"/>
      <c r="D30" s="62"/>
      <c r="E30" s="25"/>
      <c r="F30" s="25"/>
      <c r="G30" s="62"/>
      <c r="H30" s="26"/>
      <c r="I30" s="27"/>
      <c r="J30" s="31"/>
      <c r="K30" s="27"/>
      <c r="L30" s="28"/>
      <c r="M30" s="349"/>
      <c r="N30" s="27"/>
      <c r="O30" s="27"/>
      <c r="P30" s="27"/>
      <c r="Q30" s="29"/>
      <c r="R30" s="190"/>
      <c r="S30" s="560"/>
      <c r="T30" s="569"/>
      <c r="U30" s="95"/>
      <c r="V30" s="61"/>
    </row>
    <row r="31" spans="3:24" hidden="1" x14ac:dyDescent="0.2">
      <c r="C31" s="238"/>
      <c r="D31" s="36"/>
      <c r="E31" s="37"/>
      <c r="F31" s="37"/>
      <c r="G31" s="36"/>
      <c r="H31" s="47"/>
      <c r="I31" s="38"/>
      <c r="J31" s="39"/>
      <c r="K31" s="38"/>
      <c r="L31" s="48"/>
      <c r="M31" s="350"/>
      <c r="N31" s="38"/>
      <c r="O31" s="38"/>
      <c r="P31" s="38"/>
      <c r="Q31" s="40"/>
      <c r="R31" s="192"/>
      <c r="S31" s="561"/>
      <c r="T31" s="569"/>
      <c r="U31" s="95"/>
      <c r="V31" s="61"/>
    </row>
    <row r="32" spans="3:24" ht="13.5" hidden="1" customHeight="1" thickBot="1" x14ac:dyDescent="0.25">
      <c r="C32" s="101"/>
      <c r="D32" s="62"/>
      <c r="E32" s="25"/>
      <c r="F32" s="25"/>
      <c r="G32" s="62"/>
      <c r="H32" s="26"/>
      <c r="I32" s="27"/>
      <c r="J32" s="31"/>
      <c r="K32" s="27"/>
      <c r="L32" s="28"/>
      <c r="M32" s="349"/>
      <c r="N32" s="27"/>
      <c r="O32" s="27"/>
      <c r="P32" s="27"/>
      <c r="Q32" s="29"/>
      <c r="R32" s="190"/>
      <c r="S32" s="560"/>
      <c r="T32" s="569"/>
      <c r="U32" s="95"/>
      <c r="V32" s="61"/>
    </row>
    <row r="33" spans="3:23" ht="12.75" thickBot="1" x14ac:dyDescent="0.25">
      <c r="I33" s="15"/>
      <c r="R33" s="193"/>
      <c r="S33" s="15"/>
    </row>
    <row r="34" spans="3:23" x14ac:dyDescent="0.2">
      <c r="E34" s="629" t="s">
        <v>34</v>
      </c>
      <c r="F34" s="646">
        <f>+'AGUILAR ESQUIVEL CARLOS'!F34</f>
        <v>45957</v>
      </c>
      <c r="G34" s="647"/>
      <c r="H34" s="16">
        <f>+F34+1</f>
        <v>45958</v>
      </c>
      <c r="I34" s="16">
        <f>+H34+1</f>
        <v>45959</v>
      </c>
      <c r="J34" s="16">
        <f>+I34+1</f>
        <v>45960</v>
      </c>
      <c r="K34" s="16">
        <f>+J34+1</f>
        <v>45961</v>
      </c>
      <c r="L34" s="16">
        <f>+K34+2</f>
        <v>45963</v>
      </c>
      <c r="M34" s="17" t="s">
        <v>35</v>
      </c>
    </row>
    <row r="35" spans="3:23" ht="12.75" thickBot="1" x14ac:dyDescent="0.25">
      <c r="E35" s="630"/>
      <c r="F35" s="648"/>
      <c r="G35" s="649"/>
      <c r="H35" s="29"/>
      <c r="I35" s="29"/>
      <c r="J35" s="29"/>
      <c r="K35" s="29"/>
      <c r="L35" s="29"/>
      <c r="M35" s="30">
        <f>SUM(F35:L35)</f>
        <v>0</v>
      </c>
    </row>
    <row r="36" spans="3:23" ht="12.75" thickBot="1" x14ac:dyDescent="0.25">
      <c r="H36" s="14" t="s">
        <v>245</v>
      </c>
      <c r="I36" s="15"/>
    </row>
    <row r="37" spans="3:23" ht="13.5" thickBot="1" x14ac:dyDescent="0.25">
      <c r="C37" s="608" t="s">
        <v>36</v>
      </c>
      <c r="D37" s="609"/>
      <c r="E37" s="609"/>
      <c r="F37" s="609"/>
      <c r="G37" s="610"/>
      <c r="H37" s="14" t="s">
        <v>246</v>
      </c>
      <c r="I37" s="620" t="s">
        <v>37</v>
      </c>
      <c r="J37" s="621"/>
      <c r="K37" s="621"/>
      <c r="L37" s="622"/>
      <c r="M37" s="298"/>
      <c r="O37" s="611" t="s">
        <v>38</v>
      </c>
      <c r="P37" s="612"/>
      <c r="Q37" s="613">
        <f>+F49-L46</f>
        <v>4122.6828177011148</v>
      </c>
      <c r="R37" s="614"/>
      <c r="S37" s="615"/>
    </row>
    <row r="38" spans="3:23" ht="12.75" thickBot="1" x14ac:dyDescent="0.25">
      <c r="C38" s="616" t="s">
        <v>219</v>
      </c>
      <c r="D38" s="617"/>
      <c r="E38" s="617"/>
      <c r="F38" s="618">
        <f>SUM(Q19:Q32)</f>
        <v>659.99249999999995</v>
      </c>
      <c r="G38" s="619"/>
      <c r="I38" s="114" t="s">
        <v>125</v>
      </c>
      <c r="J38" s="68" t="s">
        <v>126</v>
      </c>
      <c r="K38" s="68" t="s">
        <v>70</v>
      </c>
      <c r="L38" s="115" t="s">
        <v>127</v>
      </c>
      <c r="M38" s="346"/>
    </row>
    <row r="39" spans="3:23" ht="13.5" customHeight="1" thickBot="1" x14ac:dyDescent="0.25">
      <c r="C39" s="602" t="s">
        <v>220</v>
      </c>
      <c r="D39" s="603"/>
      <c r="E39" s="603"/>
      <c r="F39" s="604">
        <f>SUM(T19:T32)</f>
        <v>3762.690317701115</v>
      </c>
      <c r="G39" s="605"/>
      <c r="I39" s="662"/>
      <c r="J39" s="663"/>
      <c r="K39" s="665"/>
      <c r="L39" s="119">
        <v>300</v>
      </c>
      <c r="M39" s="346"/>
      <c r="O39" s="74" t="s">
        <v>70</v>
      </c>
      <c r="P39" s="75" t="s">
        <v>71</v>
      </c>
      <c r="Q39" s="76" t="s">
        <v>72</v>
      </c>
      <c r="R39" s="64"/>
      <c r="S39" s="562" t="s">
        <v>73</v>
      </c>
      <c r="T39" s="573" t="s">
        <v>74</v>
      </c>
      <c r="U39" s="76" t="s">
        <v>145</v>
      </c>
      <c r="V39" s="75" t="s">
        <v>146</v>
      </c>
      <c r="W39" s="326" t="s">
        <v>284</v>
      </c>
    </row>
    <row r="40" spans="3:23" x14ac:dyDescent="0.2">
      <c r="C40" s="602" t="s">
        <v>34</v>
      </c>
      <c r="D40" s="603"/>
      <c r="E40" s="603"/>
      <c r="F40" s="604">
        <f>+M35</f>
        <v>0</v>
      </c>
      <c r="G40" s="605"/>
      <c r="I40" s="94" t="s">
        <v>181</v>
      </c>
      <c r="J40" s="117"/>
      <c r="K40" s="61"/>
      <c r="L40" s="111"/>
      <c r="M40" s="346"/>
      <c r="O40" s="448">
        <v>46106</v>
      </c>
      <c r="P40" s="305" t="s">
        <v>129</v>
      </c>
      <c r="Q40" s="448">
        <v>2127</v>
      </c>
      <c r="R40" s="449"/>
      <c r="S40" s="563">
        <v>2876</v>
      </c>
      <c r="T40" s="574">
        <f>+S40-Q40</f>
        <v>749</v>
      </c>
      <c r="U40" s="306">
        <f>SUM(J19:J20)</f>
        <v>800</v>
      </c>
      <c r="V40" s="79">
        <f>+K20</f>
        <v>236.09</v>
      </c>
      <c r="W40" s="353">
        <f>(SUM(M19:M20)/2)</f>
        <v>4462</v>
      </c>
    </row>
    <row r="41" spans="3:23" x14ac:dyDescent="0.2">
      <c r="C41" s="602" t="s">
        <v>186</v>
      </c>
      <c r="D41" s="603"/>
      <c r="E41" s="603"/>
      <c r="F41" s="604">
        <v>0</v>
      </c>
      <c r="G41" s="605"/>
      <c r="I41" s="310"/>
      <c r="J41" s="117"/>
      <c r="K41" s="61"/>
      <c r="L41" s="111"/>
      <c r="M41" s="346"/>
      <c r="O41" s="32">
        <v>46149</v>
      </c>
      <c r="P41" s="53" t="s">
        <v>129</v>
      </c>
      <c r="Q41" s="32">
        <v>205310</v>
      </c>
      <c r="R41" s="11"/>
      <c r="S41" s="345">
        <v>206061</v>
      </c>
      <c r="T41" s="574">
        <f>+S41-Q41</f>
        <v>751</v>
      </c>
      <c r="U41" s="304">
        <f>SUM(J21:J22)</f>
        <v>750</v>
      </c>
      <c r="V41" s="53">
        <f>+K22</f>
        <v>265.32</v>
      </c>
      <c r="W41" s="354">
        <f>(SUM(M21:M22)/2)</f>
        <v>2026</v>
      </c>
    </row>
    <row r="42" spans="3:23" x14ac:dyDescent="0.2">
      <c r="C42" s="602" t="s">
        <v>39</v>
      </c>
      <c r="D42" s="603"/>
      <c r="E42" s="603"/>
      <c r="F42" s="604"/>
      <c r="G42" s="605"/>
      <c r="I42" s="94"/>
      <c r="J42" s="117"/>
      <c r="K42" s="61"/>
      <c r="L42" s="111"/>
      <c r="M42" s="346"/>
      <c r="O42" s="32">
        <v>46170</v>
      </c>
      <c r="P42" s="53" t="s">
        <v>129</v>
      </c>
      <c r="Q42" s="32">
        <v>208061</v>
      </c>
      <c r="R42" s="11"/>
      <c r="S42" s="345">
        <v>208810</v>
      </c>
      <c r="T42" s="574">
        <f t="shared" ref="T42" si="0">+S42-Q42</f>
        <v>749</v>
      </c>
      <c r="U42" s="304">
        <f>SUM(J23:J24)</f>
        <v>750</v>
      </c>
      <c r="V42" s="53">
        <f>+K24</f>
        <v>214.28</v>
      </c>
      <c r="W42" s="354">
        <f>(SUM(M23:M24)/2)</f>
        <v>3057.5</v>
      </c>
    </row>
    <row r="43" spans="3:23" x14ac:dyDescent="0.2">
      <c r="C43" s="602" t="s">
        <v>116</v>
      </c>
      <c r="D43" s="603"/>
      <c r="E43" s="603"/>
      <c r="F43" s="604"/>
      <c r="G43" s="605"/>
      <c r="I43" s="94"/>
      <c r="J43" s="117"/>
      <c r="K43" s="61"/>
      <c r="L43" s="111"/>
      <c r="M43" s="346"/>
      <c r="O43" s="32"/>
      <c r="P43" s="53"/>
      <c r="Q43" s="53"/>
      <c r="R43" s="11"/>
      <c r="S43" s="345"/>
      <c r="T43" s="574">
        <f t="shared" ref="T43:T45" si="1">+S43-Q43</f>
        <v>0</v>
      </c>
      <c r="U43" s="304">
        <f>SUM(J25:J26)</f>
        <v>0</v>
      </c>
      <c r="V43" s="53">
        <f>+K26</f>
        <v>0</v>
      </c>
      <c r="W43" s="354">
        <f>(SUM(M25:M26)/2)</f>
        <v>0</v>
      </c>
    </row>
    <row r="44" spans="3:23" x14ac:dyDescent="0.2">
      <c r="C44" s="602" t="s">
        <v>40</v>
      </c>
      <c r="D44" s="603"/>
      <c r="E44" s="603"/>
      <c r="F44" s="604"/>
      <c r="G44" s="605"/>
      <c r="I44" s="94"/>
      <c r="J44" s="117"/>
      <c r="K44" s="61"/>
      <c r="L44" s="111"/>
      <c r="M44" s="346"/>
      <c r="O44" s="32"/>
      <c r="P44" s="53"/>
      <c r="Q44" s="32"/>
      <c r="R44" s="95"/>
      <c r="S44" s="345"/>
      <c r="T44" s="574">
        <f t="shared" si="1"/>
        <v>0</v>
      </c>
      <c r="U44" s="304">
        <f>SUM(J27:J28)</f>
        <v>0</v>
      </c>
      <c r="V44" s="53">
        <f>+K28</f>
        <v>0</v>
      </c>
      <c r="W44" s="354">
        <f>(SUM(M27:M28)/2)</f>
        <v>0</v>
      </c>
    </row>
    <row r="45" spans="3:23" ht="12.75" thickBot="1" x14ac:dyDescent="0.25">
      <c r="C45" s="602" t="s">
        <v>124</v>
      </c>
      <c r="D45" s="603"/>
      <c r="E45" s="603"/>
      <c r="F45" s="604"/>
      <c r="G45" s="605"/>
      <c r="I45" s="282"/>
      <c r="J45" s="285"/>
      <c r="K45" s="62"/>
      <c r="L45" s="283"/>
      <c r="M45" s="346"/>
      <c r="O45" s="32"/>
      <c r="P45" s="53"/>
      <c r="Q45" s="32"/>
      <c r="R45" s="95"/>
      <c r="S45" s="345"/>
      <c r="T45" s="574">
        <f t="shared" si="1"/>
        <v>0</v>
      </c>
      <c r="U45" s="304">
        <f>SUM(J29:J30)</f>
        <v>0</v>
      </c>
      <c r="V45" s="53">
        <f>+K30</f>
        <v>0</v>
      </c>
      <c r="W45" s="354">
        <f>(SUM(M29:M30)/2)</f>
        <v>0</v>
      </c>
    </row>
    <row r="46" spans="3:23" ht="13.5" customHeight="1" thickBot="1" x14ac:dyDescent="0.25">
      <c r="C46" s="602" t="s">
        <v>224</v>
      </c>
      <c r="D46" s="603"/>
      <c r="E46" s="603"/>
      <c r="F46" s="606">
        <v>0</v>
      </c>
      <c r="G46" s="607"/>
      <c r="I46" s="597" t="s">
        <v>41</v>
      </c>
      <c r="J46" s="598"/>
      <c r="K46" s="632"/>
      <c r="L46" s="284">
        <f>SUM(L39:L45)</f>
        <v>300</v>
      </c>
      <c r="M46" s="347"/>
      <c r="O46" s="113"/>
      <c r="P46" s="264"/>
      <c r="Q46" s="113"/>
      <c r="R46" s="83"/>
      <c r="S46" s="564"/>
      <c r="T46" s="575"/>
      <c r="U46" s="307">
        <f>SUM(J31:J32)</f>
        <v>0</v>
      </c>
      <c r="V46" s="55">
        <f>+K32</f>
        <v>0</v>
      </c>
      <c r="W46" s="355">
        <f>(SUM(M31:M32)/2)</f>
        <v>0</v>
      </c>
    </row>
    <row r="47" spans="3:23" ht="13.5" customHeight="1" x14ac:dyDescent="0.2">
      <c r="C47" s="602" t="s">
        <v>110</v>
      </c>
      <c r="D47" s="603"/>
      <c r="E47" s="603"/>
      <c r="F47" s="606">
        <v>0</v>
      </c>
      <c r="G47" s="607"/>
      <c r="R47" s="21"/>
      <c r="S47" s="21"/>
      <c r="T47" s="21"/>
      <c r="U47" s="139"/>
      <c r="V47" s="271"/>
    </row>
    <row r="48" spans="3:23" ht="13.5" customHeight="1" thickBot="1" x14ac:dyDescent="0.25">
      <c r="C48" s="593" t="s">
        <v>397</v>
      </c>
      <c r="D48" s="594"/>
      <c r="E48" s="594"/>
      <c r="F48" s="595"/>
      <c r="G48" s="596"/>
      <c r="R48" s="21"/>
      <c r="S48" s="21"/>
      <c r="T48" s="21"/>
      <c r="U48" s="139"/>
      <c r="V48" s="271"/>
    </row>
    <row r="49" spans="3:22" ht="13.5" thickBot="1" x14ac:dyDescent="0.25">
      <c r="C49" s="597" t="s">
        <v>42</v>
      </c>
      <c r="D49" s="598"/>
      <c r="E49" s="599"/>
      <c r="F49" s="600">
        <f>SUM(F38:G48)</f>
        <v>4422.6828177011148</v>
      </c>
      <c r="G49" s="601"/>
      <c r="R49" s="21"/>
      <c r="S49" s="21"/>
      <c r="T49" s="21"/>
      <c r="U49" s="139"/>
      <c r="V49" s="271"/>
    </row>
    <row r="50" spans="3:22" ht="13.5" customHeight="1" thickBot="1" x14ac:dyDescent="0.25">
      <c r="P50" s="588" t="s">
        <v>48</v>
      </c>
      <c r="Q50" s="589"/>
      <c r="R50" s="590"/>
      <c r="S50" s="21"/>
      <c r="T50" s="21"/>
      <c r="U50" s="139"/>
      <c r="V50" s="271"/>
    </row>
    <row r="51" spans="3:22" ht="12.75" customHeight="1" x14ac:dyDescent="0.2">
      <c r="C51" s="246" t="s">
        <v>43</v>
      </c>
      <c r="D51" s="247"/>
      <c r="E51" s="247"/>
      <c r="F51" s="247"/>
      <c r="G51" s="247"/>
      <c r="H51" s="247"/>
      <c r="I51" s="247"/>
      <c r="J51" s="247"/>
      <c r="K51" s="247"/>
      <c r="L51" s="248"/>
      <c r="P51" s="78">
        <v>1</v>
      </c>
      <c r="Q51" s="584" t="s">
        <v>49</v>
      </c>
      <c r="R51" s="585"/>
      <c r="S51" s="21"/>
      <c r="T51" s="21"/>
      <c r="U51" s="249"/>
    </row>
    <row r="52" spans="3:22" ht="12.75" customHeight="1" x14ac:dyDescent="0.2">
      <c r="C52" s="250"/>
      <c r="D52" s="251"/>
      <c r="E52" s="251"/>
      <c r="F52" s="251"/>
      <c r="G52" s="251"/>
      <c r="H52" s="251"/>
      <c r="I52" s="251"/>
      <c r="J52" s="251"/>
      <c r="K52" s="251"/>
      <c r="L52" s="252"/>
      <c r="P52" s="32">
        <v>2</v>
      </c>
      <c r="Q52" s="586" t="s">
        <v>135</v>
      </c>
      <c r="R52" s="587"/>
      <c r="S52" s="21"/>
      <c r="T52" s="249"/>
    </row>
    <row r="53" spans="3:22" ht="12.75" thickBot="1" x14ac:dyDescent="0.25">
      <c r="C53" s="253"/>
      <c r="D53" s="254"/>
      <c r="E53" s="254"/>
      <c r="F53" s="254"/>
      <c r="G53" s="254"/>
      <c r="H53" s="254"/>
      <c r="I53" s="254"/>
      <c r="J53" s="254"/>
      <c r="K53" s="254"/>
      <c r="L53" s="255"/>
      <c r="M53" s="251"/>
      <c r="P53" s="32">
        <v>3</v>
      </c>
      <c r="Q53" s="586" t="s">
        <v>130</v>
      </c>
      <c r="R53" s="587"/>
      <c r="S53" s="21"/>
      <c r="T53" s="249"/>
    </row>
    <row r="54" spans="3:22" x14ac:dyDescent="0.2">
      <c r="P54" s="32">
        <v>4</v>
      </c>
      <c r="Q54" s="586" t="s">
        <v>228</v>
      </c>
      <c r="R54" s="587"/>
      <c r="S54" s="21"/>
      <c r="T54" s="249"/>
    </row>
    <row r="55" spans="3:22" ht="12.75" thickBot="1" x14ac:dyDescent="0.25">
      <c r="P55" s="32">
        <v>5</v>
      </c>
      <c r="Q55" s="586" t="s">
        <v>229</v>
      </c>
      <c r="R55" s="587"/>
      <c r="S55" s="21"/>
    </row>
    <row r="56" spans="3:22" ht="14.25" customHeight="1" thickTop="1" thickBot="1" x14ac:dyDescent="0.25">
      <c r="D56" s="631" t="s">
        <v>44</v>
      </c>
      <c r="E56" s="631"/>
      <c r="F56" s="631"/>
      <c r="G56" s="631"/>
      <c r="H56" s="631"/>
      <c r="J56" s="631" t="s">
        <v>45</v>
      </c>
      <c r="K56" s="631"/>
      <c r="L56" s="631"/>
      <c r="M56" s="631"/>
      <c r="N56" s="631"/>
      <c r="P56" s="54">
        <v>6</v>
      </c>
      <c r="Q56" s="591" t="s">
        <v>230</v>
      </c>
      <c r="R56" s="592"/>
      <c r="S56" s="21"/>
      <c r="T56" s="21"/>
    </row>
    <row r="57" spans="3:22" x14ac:dyDescent="0.2">
      <c r="S57" s="21"/>
      <c r="T57" s="21"/>
    </row>
  </sheetData>
  <mergeCells count="57">
    <mergeCell ref="C39:E39"/>
    <mergeCell ref="F39:G39"/>
    <mergeCell ref="D56:H56"/>
    <mergeCell ref="J56:N56"/>
    <mergeCell ref="I46:K46"/>
    <mergeCell ref="C47:E47"/>
    <mergeCell ref="F47:G47"/>
    <mergeCell ref="C48:E48"/>
    <mergeCell ref="F48:G48"/>
    <mergeCell ref="C49:E49"/>
    <mergeCell ref="F49:G49"/>
    <mergeCell ref="C46:E46"/>
    <mergeCell ref="F46:G46"/>
    <mergeCell ref="F34:G34"/>
    <mergeCell ref="F35:G35"/>
    <mergeCell ref="E34:E35"/>
    <mergeCell ref="C38:E38"/>
    <mergeCell ref="F38:G38"/>
    <mergeCell ref="E12:F12"/>
    <mergeCell ref="D13:E13"/>
    <mergeCell ref="D14:E14"/>
    <mergeCell ref="D15:E15"/>
    <mergeCell ref="D16:E16"/>
    <mergeCell ref="I6:O6"/>
    <mergeCell ref="Q6:S6"/>
    <mergeCell ref="C45:E45"/>
    <mergeCell ref="C43:E43"/>
    <mergeCell ref="F45:G45"/>
    <mergeCell ref="F43:G43"/>
    <mergeCell ref="C41:E41"/>
    <mergeCell ref="F41:G41"/>
    <mergeCell ref="C42:E42"/>
    <mergeCell ref="F42:G42"/>
    <mergeCell ref="C44:E44"/>
    <mergeCell ref="F44:G44"/>
    <mergeCell ref="C40:E40"/>
    <mergeCell ref="F40:G40"/>
    <mergeCell ref="C37:G37"/>
    <mergeCell ref="I37:L37"/>
    <mergeCell ref="Q2:S2"/>
    <mergeCell ref="I3:O3"/>
    <mergeCell ref="Q3:S3"/>
    <mergeCell ref="I4:O4"/>
    <mergeCell ref="I5:O5"/>
    <mergeCell ref="Q5:S5"/>
    <mergeCell ref="I9:O9"/>
    <mergeCell ref="Q54:R54"/>
    <mergeCell ref="I39:K39"/>
    <mergeCell ref="Q55:R55"/>
    <mergeCell ref="Q56:R56"/>
    <mergeCell ref="O37:P37"/>
    <mergeCell ref="Q37:S37"/>
    <mergeCell ref="P50:R50"/>
    <mergeCell ref="Q51:R51"/>
    <mergeCell ref="Q52:R52"/>
    <mergeCell ref="Q53:R53"/>
    <mergeCell ref="L11:S11"/>
  </mergeCells>
  <pageMargins left="0.19685039370078741" right="0" top="0.35433070866141736" bottom="0.35433070866141736" header="0.31496062992125984" footer="0.31496062992125984"/>
  <pageSetup paperSize="9" scale="47" fitToHeight="0" orientation="landscape" horizontalDpi="300" verticalDpi="300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Hoja11">
    <pageSetUpPr fitToPage="1"/>
  </sheetPr>
  <dimension ref="C1:W57"/>
  <sheetViews>
    <sheetView zoomScaleNormal="100" workbookViewId="0">
      <selection activeCell="M45" sqref="M45"/>
    </sheetView>
  </sheetViews>
  <sheetFormatPr baseColWidth="10" defaultColWidth="4.42578125" defaultRowHeight="12" x14ac:dyDescent="0.2"/>
  <cols>
    <col min="1" max="1" width="2" style="14" customWidth="1"/>
    <col min="2" max="2" width="4.28515625" style="14" customWidth="1"/>
    <col min="3" max="3" width="13.28515625" style="14" customWidth="1"/>
    <col min="4" max="4" width="12" style="14" bestFit="1" customWidth="1"/>
    <col min="5" max="5" width="7.85546875" style="14" bestFit="1" customWidth="1"/>
    <col min="6" max="6" width="9.140625" style="14" bestFit="1" customWidth="1"/>
    <col min="7" max="7" width="4" style="14" bestFit="1" customWidth="1"/>
    <col min="8" max="8" width="13.28515625" style="14" customWidth="1"/>
    <col min="9" max="9" width="12.85546875" style="14" customWidth="1"/>
    <col min="10" max="10" width="9.85546875" style="14" bestFit="1" customWidth="1"/>
    <col min="11" max="11" width="9.85546875" style="14" customWidth="1"/>
    <col min="12" max="12" width="13.5703125" style="14" customWidth="1"/>
    <col min="13" max="13" width="12.5703125" style="14" customWidth="1"/>
    <col min="14" max="14" width="8.140625" style="14" customWidth="1"/>
    <col min="15" max="15" width="10.42578125" style="14" customWidth="1"/>
    <col min="16" max="16" width="14.42578125" style="14" customWidth="1"/>
    <col min="17" max="17" width="12.140625" style="14" customWidth="1"/>
    <col min="18" max="18" width="10" style="14" hidden="1" customWidth="1"/>
    <col min="19" max="19" width="11" style="14" bestFit="1" customWidth="1"/>
    <col min="20" max="20" width="11.5703125" style="14" bestFit="1" customWidth="1"/>
    <col min="21" max="22" width="11" style="14" customWidth="1"/>
    <col min="23" max="23" width="10.7109375" style="14" customWidth="1"/>
    <col min="24" max="24" width="4.42578125" style="14" customWidth="1"/>
    <col min="25" max="16384" width="4.42578125" style="14"/>
  </cols>
  <sheetData>
    <row r="1" spans="4:19" ht="12.75" thickBot="1" x14ac:dyDescent="0.25"/>
    <row r="2" spans="4:19" ht="12" customHeight="1" thickBot="1" x14ac:dyDescent="0.25">
      <c r="Q2" s="633" t="s">
        <v>0</v>
      </c>
      <c r="R2" s="634"/>
      <c r="S2" s="635"/>
    </row>
    <row r="3" spans="4:19" ht="13.5" thickBot="1" x14ac:dyDescent="0.25">
      <c r="I3" s="636" t="s">
        <v>1</v>
      </c>
      <c r="J3" s="637"/>
      <c r="K3" s="637"/>
      <c r="L3" s="637"/>
      <c r="M3" s="637"/>
      <c r="N3" s="637"/>
      <c r="O3" s="638"/>
      <c r="Q3" s="611">
        <f>'AGUILAR ESQUIVEL CARLOS'!Q3</f>
        <v>45</v>
      </c>
      <c r="R3" s="639"/>
      <c r="S3" s="612"/>
    </row>
    <row r="4" spans="4:19" ht="13.5" thickBot="1" x14ac:dyDescent="0.25">
      <c r="I4" s="640" t="s">
        <v>2</v>
      </c>
      <c r="J4" s="641"/>
      <c r="K4" s="641"/>
      <c r="L4" s="641"/>
      <c r="M4" s="641"/>
      <c r="N4" s="641"/>
      <c r="O4" s="642"/>
      <c r="Q4" s="18"/>
      <c r="R4" s="18"/>
      <c r="S4" s="18"/>
    </row>
    <row r="5" spans="4:19" ht="13.5" thickBot="1" x14ac:dyDescent="0.25">
      <c r="I5" s="643" t="s">
        <v>3</v>
      </c>
      <c r="J5" s="644"/>
      <c r="K5" s="644"/>
      <c r="L5" s="644"/>
      <c r="M5" s="644"/>
      <c r="N5" s="644"/>
      <c r="O5" s="645"/>
      <c r="Q5" s="611" t="s">
        <v>4</v>
      </c>
      <c r="R5" s="639"/>
      <c r="S5" s="612"/>
    </row>
    <row r="6" spans="4:19" ht="13.5" thickBot="1" x14ac:dyDescent="0.25">
      <c r="I6" s="650" t="s">
        <v>5</v>
      </c>
      <c r="J6" s="651"/>
      <c r="K6" s="651"/>
      <c r="L6" s="651"/>
      <c r="M6" s="651"/>
      <c r="N6" s="651"/>
      <c r="O6" s="652"/>
      <c r="Q6" s="653">
        <f>+'RUIZ SAUCEDO DANIEL ALEJANDRO'!Q6+1</f>
        <v>111</v>
      </c>
      <c r="R6" s="654"/>
      <c r="S6" s="655"/>
    </row>
    <row r="7" spans="4:19" ht="9" customHeight="1" x14ac:dyDescent="0.2"/>
    <row r="8" spans="4:19" ht="6.75" customHeight="1" thickBot="1" x14ac:dyDescent="0.25"/>
    <row r="9" spans="4:19" ht="13.5" thickBot="1" x14ac:dyDescent="0.25">
      <c r="I9" s="611" t="s">
        <v>6</v>
      </c>
      <c r="J9" s="639"/>
      <c r="K9" s="639"/>
      <c r="L9" s="639"/>
      <c r="M9" s="639"/>
      <c r="N9" s="639"/>
      <c r="O9" s="612"/>
    </row>
    <row r="10" spans="4:19" ht="11.25" customHeight="1" thickBot="1" x14ac:dyDescent="0.25"/>
    <row r="11" spans="4:19" ht="12.75" x14ac:dyDescent="0.2">
      <c r="D11" s="1" t="s">
        <v>7</v>
      </c>
      <c r="E11" s="656" t="s">
        <v>235</v>
      </c>
      <c r="F11" s="656"/>
      <c r="G11" s="656"/>
      <c r="H11" s="656"/>
      <c r="I11" s="2"/>
      <c r="J11" s="2"/>
      <c r="K11" s="3" t="s">
        <v>8</v>
      </c>
      <c r="L11" s="656" t="str">
        <f>'REYES LARA DANTE'!L11</f>
        <v>SEMANA #45 PERIODO DEL 27 de oct AL 02 de nov DEL 2025</v>
      </c>
      <c r="M11" s="656"/>
      <c r="N11" s="656"/>
      <c r="O11" s="656"/>
      <c r="P11" s="656"/>
      <c r="Q11" s="656"/>
      <c r="R11" s="656"/>
      <c r="S11" s="659"/>
    </row>
    <row r="12" spans="4:19" ht="12.75" x14ac:dyDescent="0.2">
      <c r="D12" s="4" t="s">
        <v>9</v>
      </c>
      <c r="E12" s="624" t="s">
        <v>155</v>
      </c>
      <c r="F12" s="624"/>
      <c r="G12" s="5"/>
      <c r="H12" s="130"/>
      <c r="I12" s="130"/>
      <c r="J12" s="130"/>
      <c r="K12" s="130"/>
      <c r="L12" s="130"/>
      <c r="M12" s="130"/>
      <c r="N12" s="130"/>
      <c r="O12" s="130"/>
      <c r="P12" s="130"/>
      <c r="Q12" s="130"/>
      <c r="R12" s="130"/>
      <c r="S12" s="256"/>
    </row>
    <row r="13" spans="4:19" ht="9.75" customHeight="1" x14ac:dyDescent="0.2">
      <c r="D13" s="623"/>
      <c r="E13" s="624"/>
      <c r="F13" s="130"/>
      <c r="G13" s="130"/>
      <c r="H13" s="130"/>
      <c r="I13" s="130"/>
      <c r="J13" s="130"/>
      <c r="K13" s="130"/>
      <c r="L13" s="130"/>
      <c r="M13" s="130"/>
      <c r="N13" s="130"/>
      <c r="O13" s="130"/>
      <c r="P13" s="130"/>
      <c r="Q13" s="130"/>
      <c r="R13" s="130"/>
      <c r="S13" s="256"/>
    </row>
    <row r="14" spans="4:19" ht="12.75" x14ac:dyDescent="0.2">
      <c r="D14" s="625" t="s">
        <v>10</v>
      </c>
      <c r="E14" s="626"/>
      <c r="F14" s="130">
        <v>2943090</v>
      </c>
      <c r="G14" s="130"/>
      <c r="H14" s="130"/>
      <c r="I14" s="6" t="s">
        <v>11</v>
      </c>
      <c r="J14" s="6"/>
      <c r="K14" s="130"/>
      <c r="L14" s="397"/>
      <c r="M14" s="130"/>
      <c r="N14" s="130"/>
      <c r="O14" s="6" t="s">
        <v>12</v>
      </c>
      <c r="P14" s="7"/>
      <c r="Q14" s="7"/>
      <c r="R14" s="7"/>
      <c r="S14" s="8"/>
    </row>
    <row r="15" spans="4:19" ht="12.75" x14ac:dyDescent="0.2">
      <c r="D15" s="625" t="s">
        <v>13</v>
      </c>
      <c r="E15" s="626"/>
      <c r="F15" s="130">
        <v>2943849</v>
      </c>
      <c r="G15" s="130"/>
      <c r="H15" s="130"/>
      <c r="I15" s="6" t="s">
        <v>14</v>
      </c>
      <c r="J15" s="6"/>
      <c r="K15" s="130"/>
      <c r="L15" s="130"/>
      <c r="M15" s="130"/>
      <c r="N15" s="130"/>
      <c r="O15" s="6" t="s">
        <v>15</v>
      </c>
      <c r="P15" s="130"/>
      <c r="Q15" s="130"/>
      <c r="R15" s="130"/>
      <c r="S15" s="256"/>
    </row>
    <row r="16" spans="4:19" ht="13.5" thickBot="1" x14ac:dyDescent="0.25">
      <c r="D16" s="627" t="s">
        <v>16</v>
      </c>
      <c r="E16" s="628"/>
      <c r="F16" s="257">
        <f>SUM(J19:J28)</f>
        <v>2084</v>
      </c>
      <c r="G16" s="257"/>
      <c r="H16" s="257"/>
      <c r="I16" s="9" t="s">
        <v>17</v>
      </c>
      <c r="J16" s="257">
        <f>SUM(K19:K28)</f>
        <v>571.99</v>
      </c>
      <c r="K16" s="257"/>
      <c r="L16" s="257"/>
      <c r="M16" s="257"/>
      <c r="N16" s="257"/>
      <c r="O16" s="9" t="s">
        <v>18</v>
      </c>
      <c r="P16" s="10">
        <f>+F16/J16</f>
        <v>3.6434203395164251</v>
      </c>
      <c r="Q16" s="257"/>
      <c r="R16" s="257"/>
      <c r="S16" s="258"/>
    </row>
    <row r="17" spans="3:22" ht="7.5" customHeight="1" thickBot="1" x14ac:dyDescent="0.25"/>
    <row r="18" spans="3:22" ht="33" customHeight="1" thickBot="1" x14ac:dyDescent="0.25">
      <c r="C18" s="243" t="s">
        <v>19</v>
      </c>
      <c r="D18" s="33" t="s">
        <v>20</v>
      </c>
      <c r="E18" s="34" t="s">
        <v>21</v>
      </c>
      <c r="F18" s="34" t="s">
        <v>22</v>
      </c>
      <c r="G18" s="34" t="s">
        <v>23</v>
      </c>
      <c r="H18" s="34" t="s">
        <v>24</v>
      </c>
      <c r="I18" s="34" t="s">
        <v>25</v>
      </c>
      <c r="J18" s="34" t="s">
        <v>26</v>
      </c>
      <c r="K18" s="34" t="s">
        <v>27</v>
      </c>
      <c r="L18" s="34" t="s">
        <v>28</v>
      </c>
      <c r="M18" s="34" t="s">
        <v>285</v>
      </c>
      <c r="N18" s="34" t="s">
        <v>29</v>
      </c>
      <c r="O18" s="34" t="s">
        <v>30</v>
      </c>
      <c r="P18" s="33" t="s">
        <v>31</v>
      </c>
      <c r="Q18" s="34" t="s">
        <v>219</v>
      </c>
      <c r="R18" s="34" t="s">
        <v>184</v>
      </c>
      <c r="S18" s="34" t="s">
        <v>33</v>
      </c>
      <c r="T18" s="35" t="s">
        <v>220</v>
      </c>
      <c r="U18" s="448" t="s">
        <v>351</v>
      </c>
      <c r="V18" s="305" t="s">
        <v>354</v>
      </c>
    </row>
    <row r="19" spans="3:22" ht="14.25" customHeight="1" x14ac:dyDescent="0.2">
      <c r="C19" s="176">
        <v>46407</v>
      </c>
      <c r="D19" s="43" t="s">
        <v>402</v>
      </c>
      <c r="E19" s="42">
        <v>45951</v>
      </c>
      <c r="F19" s="42">
        <v>45952</v>
      </c>
      <c r="G19" s="43">
        <v>2</v>
      </c>
      <c r="H19" s="24" t="str">
        <f>IF(G19=1,KILOMETRAJE!C$4,IF(G19=2,KILOMETRAJE!C$5,IF(G19=3,KILOMETRAJE!C$6,IF(G19=4,KILOMETRAJE!C$7,IF(G19=5,KILOMETRAJE!C$8,IF(G19=6,KILOMETRAJE!C$9,IF(G19=7,KILOMETRAJE!C$10,IF(G19=8,KILOMETRAJE!C$11,IF(G19=9,KILOMETRAJE!C$12,IF(G19=10,KILOMETRAJE!C$13,IF(G19=11,KILOMETRAJE!C$14,IF(G19=12,KILOMETRAJE!C$15,IF(G19=13,KILOMETRAJE!C$16,IF(G19=14,KILOMETRAJE!C$17,IF(G19=15,KILOMETRAJE!C$18,IF(G19=16,KILOMETRAJE!C$19,IF(G19=17,KILOMETRAJE!C$20,IF(G19=18,KILOMETRAJE!C$21,IF(G19=19,KILOMETRAJE!C$22,IF(G19=20,KILOMETRAJE!C$23,IF(G19=21,KILOMETRAJE!C$24,IF(G19=22,KILOMETRAJE!C$25,IF(G19=23,KILOMETRAJE!C$26,IF(G19=24,KILOMETRAJE!C$27,IF(G19=25,KILOMETRAJE!C$28,IF(G19=26,KILOMETRAJE!C$29,IF(G19=27,KILOMETRAJE!C$30,IF(G19=28,KILOMETRAJE!C$31,IF(G19=29,KILOMETRAJE!C$32,IF(G19=30,KILOMETRAJE!C$33,IF(G19=31,KILOMETRAJE!C$34,IF(G19=32,KILOMETRAJE!C$35,IF(G19=33,KILOMETRAJE!C$36,IF(G19=34,KILOMETRAJE!C$37,IF(G19=35,KILOMETRAJE!C$38,IF(G19=36,KILOMETRAJE!C$39,IF(G19=37,KILOMETRAJE!C$40,IF(G19=38,KILOMETRAJE!C$41,IF(G19=39,KILOMETRAJE!C$42,IF(G19=40,KILOMETRAJE!C$43,IF(G19=41,KILOMETRAJE!C$44,IF(G19=42,KILOMETRAJE!C$45,IF(G19=43,KILOMETRAJE!C$46,IF(G19=44,KILOMETRAJE!C$47,IF(G19=45,KILOMETRAJE!C$48,IF(G19=46,KILOMETRAJE!C$49,IF(G19=47,KILOMETRAJE!C$50,IF(G19=48,KILOMETRAJE!C$51,IF(G19=49,KILOMETRAJE!C$52,IF(G19=50,KILOMETRAJE!C$53,IF(G19=51,KILOMETRAJE!C$54,IF(G19=52,KILOMETRAJE!C$55,IF(G19=53,KILOMETRAJE!C$56,IF(G19=54,KILOMETRAJE!C$57,IF(G19=55,KILOMETRAJE!C$58,IF(G19=56,KILOMETRAJE!C$59,IF(G19=57,KILOMETRAJE!C$60,IF(G19=58,KILOMETRAJE!C$61,IF(G19=59,KILOMETRAJE!C$62,IF(G19=60,KILOMETRAJE!C$63,IF(G19=61,KILOMETRAJE!C$64,IF(G19=62,KILOMETRAJE!C$65,IF(G19=63,KILOMETRAJE!C$66)))))))))))))))))))))))))))))))))))))))))))))))))))))))))))))))</f>
        <v>JRZ</v>
      </c>
      <c r="I19" s="24" t="str">
        <f>IF(G19=1,KILOMETRAJE!E$4,IF(G19=2,KILOMETRAJE!E$5,IF(G19=3,KILOMETRAJE!E$6,IF(G19=4,KILOMETRAJE!E$7,IF(G19=5,KILOMETRAJE!E$8,IF(G19=6,KILOMETRAJE!E$9,IF(G19=7,KILOMETRAJE!E$10,IF(G19=8,KILOMETRAJE!E$11,IF(G19=9,KILOMETRAJE!E$12,IF(G19=10,KILOMETRAJE!E$13,IF(G19=11,KILOMETRAJE!E$14,IF(G19=12,KILOMETRAJE!E$15,IF(G19=13,KILOMETRAJE!E$16,IF(G19=14,KILOMETRAJE!E$17,IF(G19=15,KILOMETRAJE!E$18,IF(G19=16,KILOMETRAJE!E$19,IF(G19=17,KILOMETRAJE!E$20,IF(G19=18,KILOMETRAJE!E$21,IF(G19=19,KILOMETRAJE!E$22,IF(G19=20,KILOMETRAJE!E$23,IF(G19=21,KILOMETRAJE!E$24,IF(G19=22,KILOMETRAJE!E$25,IF(G19=23,KILOMETRAJE!E$26,IF(G19=24,KILOMETRAJE!E$27,IF(G19=25,KILOMETRAJE!E$28,IF(G19=26,KILOMETRAJE!E$29,IF(G19=27,KILOMETRAJE!E$30,IF(G19=28,KILOMETRAJE!E$31,IF(G19=29,KILOMETRAJE!E$32,IF(G19=30,KILOMETRAJE!E$33,IF(G19=31,KILOMETRAJE!E$34,IF(G19=32,KILOMETRAJE!E$35,IF(G19=33,KILOMETRAJE!E$36,IF(G19=34,KILOMETRAJE!E$37,IF(G19=35,KILOMETRAJE!E$38,IF(G19=36,KILOMETRAJE!E$39,IF(G19=37,KILOMETRAJE!E$40,IF(G19=38,KILOMETRAJE!E$41,IF(G19=39,KILOMETRAJE!E$42,IF(G19=40,KILOMETRAJE!E$43,IF(G19=41,KILOMETRAJE!E$44,IF(G19=42,KILOMETRAJE!E$45,IF(G19=43,KILOMETRAJE!E$46,IF(G19=44,KILOMETRAJE!E$47,IF(G19=45,KILOMETRAJE!E$48,IF(G19=46,KILOMETRAJE!E$49,IF(G19=47,KILOMETRAJE!E$50,IF(G19=48,KILOMETRAJE!E$51,IF(G19=49,KILOMETRAJE!E$52,IF(G19=50,KILOMETRAJE!E$53,IF(G19=51,KILOMETRAJE!E$54,IF(G19=52,KILOMETRAJE!E$55,IF(G19=53,KILOMETRAJE!E$56,IF(G19=54,KILOMETRAJE!E$57,IF(G19=55,KILOMETRAJE!E$58,IF(G19=56,KILOMETRAJE!E$59,IF(G19=57,KILOMETRAJE!E$60,IF(G19=58,KILOMETRAJE!E$61,IF(G19=59,KILOMETRAJE!E$62,IF(G19=60,KILOMETRAJE!E$63,IF(G19=61,KILOMETRAJE!E$64,IF(G19=62,KILOMETRAJE!E$65,IF(G19=63,KILOMETRAJE!E$66)))))))))))))))))))))))))))))))))))))))))))))))))))))))))))))))</f>
        <v>CHIH.</v>
      </c>
      <c r="J19" s="51">
        <f>IF(G19=1,KILOMETRAJE!G$4,IF(G19=2,KILOMETRAJE!G$5,IF(G19=3,KILOMETRAJE!G$6,IF(G19=4,KILOMETRAJE!G$7,IF(G19=5,KILOMETRAJE!G$8,IF(G19=6,KILOMETRAJE!G$9,IF(G19=7,KILOMETRAJE!G$10,IF(G19=8,KILOMETRAJE!G$11,IF(G19=9,KILOMETRAJE!G$12,IF(G19=10,KILOMETRAJE!G$13,IF(G19=11,KILOMETRAJE!G$14,IF(G19=12,KILOMETRAJE!G$15,IF(G19=13,KILOMETRAJE!G$16,IF(G19=14,KILOMETRAJE!G$17,IF(G19=15,KILOMETRAJE!G$18,IF(G19=16,KILOMETRAJE!G$19,IF(G19=17,KILOMETRAJE!G$20,IF(G19=18,KILOMETRAJE!G$21,IF(G19=19,KILOMETRAJE!G$22,IF(G19=20,KILOMETRAJE!G$23,IF(G19=21,KILOMETRAJE!G$24,IF(G19=22,KILOMETRAJE!G$25,IF(G19=23,KILOMETRAJE!G$26,IF(G19=24,KILOMETRAJE!G$27,IF(G19=25,KILOMETRAJE!G$28,IF(G19=26,KILOMETRAJE!G$29,IF(G19=27,KILOMETRAJE!G$30,IF(G19=28,KILOMETRAJE!G$31,IF(G19=29,KILOMETRAJE!G$32,IF(G19=30,KILOMETRAJE!G$33,IF(G19=31,KILOMETRAJE!G$34,IF(G19=32,KILOMETRAJE!G$35,IF(G19=33,KILOMETRAJE!G$36,IF(G19=34,KILOMETRAJE!G$37,IF(G19=35,KILOMETRAJE!G$38,IF(G19=36,KILOMETRAJE!G$39,IF(G19=37,KILOMETRAJE!G$40,IF(G19=38,KILOMETRAJE!G$41,IF(G19=39,KILOMETRAJE!G$42,IF(G19=40,KILOMETRAJE!G$43,IF(G19=41,KILOMETRAJE!G$44,IF(G19=42,KILOMETRAJE!G$45,IF(G19=43,KILOMETRAJE!G$46,IF(G19=44,KILOMETRAJE!G$47,IF(G19=45,KILOMETRAJE!G$48,IF(G19=46,KILOMETRAJE!G$49,IF(G19=47,KILOMETRAJE!G$50,IF(G19=48,KILOMETRAJE!G$51,IF(G19=49,KILOMETRAJE!G$52,IF(G19=50,KILOMETRAJE!G$53,IF(G19=51,KILOMETRAJE!G$54,IF(G19=52,KILOMETRAJE!G$55,IF(G19=53,KILOMETRAJE!G$56,IF(G19=54,KILOMETRAJE!G$57,IF(G19=55,KILOMETRAJE!G$58,IF(G19=56,KILOMETRAJE!G$59,IF(G19=57,KILOMETRAJE!G$60,IF(G19=58,KILOMETRAJE!G$61,IF(G19=59,KILOMETRAJE!G$62,IF(G19=60,KILOMETRAJE!G$63,IF(G19=61,KILOMETRAJE!G$64,IF(G19=62,KILOMETRAJE!G$65,IF(G19=63,KILOMETRAJE!G$66)))))))))))))))))))))))))))))))))))))))))))))))))))))))))))))))</f>
        <v>375</v>
      </c>
      <c r="K19" s="24"/>
      <c r="L19" s="44"/>
      <c r="M19" s="348"/>
      <c r="N19" s="24">
        <v>2</v>
      </c>
      <c r="O19" s="24" t="s">
        <v>404</v>
      </c>
      <c r="P19" s="24" t="s">
        <v>202</v>
      </c>
      <c r="Q19" s="45">
        <f>((((IF(N19=1,((J19)*0.29333)))+(IF(N19=2,((J19)*0.146666)))+(IF(N19=3,((J19)*0.146666)))))+(IF(N19=4,((J19-40)*0.29333)))+(IF(N19=5,((J19-50)*0.29333)))+(IF(N19=6,((J19-90)*0.29333))))</f>
        <v>54.999749999999999</v>
      </c>
      <c r="R19" s="191"/>
      <c r="S19" s="52"/>
      <c r="T19" s="45"/>
      <c r="U19" s="24" t="s">
        <v>376</v>
      </c>
      <c r="V19" s="79" t="s">
        <v>376</v>
      </c>
    </row>
    <row r="20" spans="3:22" ht="12.75" thickBot="1" x14ac:dyDescent="0.25">
      <c r="C20" s="239"/>
      <c r="D20" s="68" t="s">
        <v>403</v>
      </c>
      <c r="E20" s="69">
        <v>45959</v>
      </c>
      <c r="F20" s="69">
        <v>45960</v>
      </c>
      <c r="G20" s="68">
        <v>3</v>
      </c>
      <c r="H20" s="70" t="str">
        <f>IF(G20=1,KILOMETRAJE!C$4,IF(G20=2,KILOMETRAJE!C$5,IF(G20=3,KILOMETRAJE!C$6,IF(G20=4,KILOMETRAJE!C$7,IF(G20=5,KILOMETRAJE!C$8,IF(G20=6,KILOMETRAJE!C$9,IF(G20=7,KILOMETRAJE!C$10,IF(G20=8,KILOMETRAJE!C$11,IF(G20=9,KILOMETRAJE!C$12,IF(G20=10,KILOMETRAJE!C$13,IF(G20=11,KILOMETRAJE!C$14,IF(G20=12,KILOMETRAJE!C$15,IF(G20=13,KILOMETRAJE!C$16,IF(G20=14,KILOMETRAJE!C$17,IF(G20=15,KILOMETRAJE!C$18,IF(G20=16,KILOMETRAJE!C$19,IF(G20=17,KILOMETRAJE!C$20,IF(G20=18,KILOMETRAJE!C$21,IF(G20=19,KILOMETRAJE!C$22,IF(G20=20,KILOMETRAJE!C$23,IF(G20=21,KILOMETRAJE!C$24,IF(G20=22,KILOMETRAJE!C$25,IF(G20=23,KILOMETRAJE!C$26,IF(G20=24,KILOMETRAJE!C$27,IF(G20=25,KILOMETRAJE!C$28,IF(G20=26,KILOMETRAJE!C$29,IF(G20=27,KILOMETRAJE!C$30,IF(G20=28,KILOMETRAJE!C$31,IF(G20=29,KILOMETRAJE!C$32,IF(G20=30,KILOMETRAJE!C$33,IF(G20=31,KILOMETRAJE!C$34,IF(G20=32,KILOMETRAJE!C$35,IF(G20=33,KILOMETRAJE!C$36,IF(G20=34,KILOMETRAJE!C$37,IF(G20=35,KILOMETRAJE!C$38,IF(G20=36,KILOMETRAJE!C$39,IF(G20=37,KILOMETRAJE!C$40,IF(G20=38,KILOMETRAJE!C$41,IF(G20=39,KILOMETRAJE!C$42,IF(G20=40,KILOMETRAJE!C$43,IF(G20=41,KILOMETRAJE!C$44,IF(G20=42,KILOMETRAJE!C$45,IF(G20=43,KILOMETRAJE!C$46,IF(G20=44,KILOMETRAJE!C$47,IF(G20=45,KILOMETRAJE!C$48,IF(G20=46,KILOMETRAJE!C$49,IF(G20=47,KILOMETRAJE!C$50,IF(G20=48,KILOMETRAJE!C$51,IF(G20=49,KILOMETRAJE!C$52,IF(G20=50,KILOMETRAJE!C$53,IF(G20=51,KILOMETRAJE!C$54,IF(G20=52,KILOMETRAJE!C$55,IF(G20=53,KILOMETRAJE!C$56,IF(G20=54,KILOMETRAJE!C$57,IF(G20=55,KILOMETRAJE!C$58,IF(G20=56,KILOMETRAJE!C$59,IF(G20=57,KILOMETRAJE!C$60,IF(G20=58,KILOMETRAJE!C$61,IF(G20=59,KILOMETRAJE!C$62,IF(G20=60,KILOMETRAJE!C$63,IF(G20=61,KILOMETRAJE!C$64,IF(G20=62,KILOMETRAJE!C$65,IF(G20=63,KILOMETRAJE!C$66)))))))))))))))))))))))))))))))))))))))))))))))))))))))))))))))</f>
        <v xml:space="preserve">CHIH. </v>
      </c>
      <c r="I20" s="70" t="str">
        <f>IF(G20=1,KILOMETRAJE!E$4,IF(G20=2,KILOMETRAJE!E$5,IF(G20=3,KILOMETRAJE!E$6,IF(G20=4,KILOMETRAJE!E$7,IF(G20=5,KILOMETRAJE!E$8,IF(G20=6,KILOMETRAJE!E$9,IF(G20=7,KILOMETRAJE!E$10,IF(G20=8,KILOMETRAJE!E$11,IF(G20=9,KILOMETRAJE!E$12,IF(G20=10,KILOMETRAJE!E$13,IF(G20=11,KILOMETRAJE!E$14,IF(G20=12,KILOMETRAJE!E$15,IF(G20=13,KILOMETRAJE!E$16,IF(G20=14,KILOMETRAJE!E$17,IF(G20=15,KILOMETRAJE!E$18,IF(G20=16,KILOMETRAJE!E$19,IF(G20=17,KILOMETRAJE!E$20,IF(G20=18,KILOMETRAJE!E$21,IF(G20=19,KILOMETRAJE!E$22,IF(G20=20,KILOMETRAJE!E$23,IF(G20=21,KILOMETRAJE!E$24,IF(G20=22,KILOMETRAJE!E$25,IF(G20=23,KILOMETRAJE!E$26,IF(G20=24,KILOMETRAJE!E$27,IF(G20=25,KILOMETRAJE!E$28,IF(G20=26,KILOMETRAJE!E$29,IF(G20=27,KILOMETRAJE!E$30,IF(G20=28,KILOMETRAJE!E$31,IF(G20=29,KILOMETRAJE!E$32,IF(G20=30,KILOMETRAJE!E$33,IF(G20=31,KILOMETRAJE!E$34,IF(G20=32,KILOMETRAJE!E$35,IF(G20=33,KILOMETRAJE!E$36,IF(G20=34,KILOMETRAJE!E$37,IF(G20=35,KILOMETRAJE!E$38,IF(G20=36,KILOMETRAJE!E$39,IF(G20=37,KILOMETRAJE!E$40,IF(G20=38,KILOMETRAJE!E$41,IF(G20=39,KILOMETRAJE!E$42,IF(G20=40,KILOMETRAJE!E$43,IF(G20=41,KILOMETRAJE!E$44,IF(G20=42,KILOMETRAJE!E$45,IF(G20=43,KILOMETRAJE!E$46,IF(G20=44,KILOMETRAJE!E$47,IF(G20=45,KILOMETRAJE!E$48,IF(G20=46,KILOMETRAJE!E$49,IF(G20=47,KILOMETRAJE!E$50,IF(G20=48,KILOMETRAJE!E$51,IF(G20=49,KILOMETRAJE!E$52,IF(G20=50,KILOMETRAJE!E$53,IF(G20=51,KILOMETRAJE!E$54,IF(G20=52,KILOMETRAJE!E$55,IF(G20=53,KILOMETRAJE!E$56,IF(G20=54,KILOMETRAJE!E$57,IF(G20=55,KILOMETRAJE!E$58,IF(G20=56,KILOMETRAJE!E$59,IF(G20=57,KILOMETRAJE!E$60,IF(G20=58,KILOMETRAJE!E$61,IF(G20=59,KILOMETRAJE!E$62,IF(G20=60,KILOMETRAJE!E$63,IF(G20=61,KILOMETRAJE!E$64,IF(G20=62,KILOMETRAJE!E$65,IF(G20=63,KILOMETRAJE!E$66)))))))))))))))))))))))))))))))))))))))))))))))))))))))))))))))</f>
        <v>JRZ</v>
      </c>
      <c r="J20" s="71">
        <f>IF(G20=1,KILOMETRAJE!G$4,IF(G20=2,KILOMETRAJE!G$5,IF(G20=3,KILOMETRAJE!G$6,IF(G20=4,KILOMETRAJE!G$7,IF(G20=5,KILOMETRAJE!G$8,IF(G20=6,KILOMETRAJE!G$9,IF(G20=7,KILOMETRAJE!G$10,IF(G20=8,KILOMETRAJE!G$11,IF(G20=9,KILOMETRAJE!G$12,IF(G20=10,KILOMETRAJE!G$13,IF(G20=11,KILOMETRAJE!G$14,IF(G20=12,KILOMETRAJE!G$15,IF(G20=13,KILOMETRAJE!G$16,IF(G20=14,KILOMETRAJE!G$17,IF(G20=15,KILOMETRAJE!G$18,IF(G20=16,KILOMETRAJE!G$19,IF(G20=17,KILOMETRAJE!G$20,IF(G20=18,KILOMETRAJE!G$21,IF(G20=19,KILOMETRAJE!G$22,IF(G20=20,KILOMETRAJE!G$23,IF(G20=21,KILOMETRAJE!G$24,IF(G20=22,KILOMETRAJE!G$25,IF(G20=23,KILOMETRAJE!G$26,IF(G20=24,KILOMETRAJE!G$27,IF(G20=25,KILOMETRAJE!G$28,IF(G20=26,KILOMETRAJE!G$29,IF(G20=27,KILOMETRAJE!G$30,IF(G20=28,KILOMETRAJE!G$31,IF(G20=29,KILOMETRAJE!G$32,IF(G20=30,KILOMETRAJE!G$33,IF(G20=31,KILOMETRAJE!G$34,IF(G20=32,KILOMETRAJE!G$35,IF(G20=33,KILOMETRAJE!G$36,IF(G20=34,KILOMETRAJE!G$37,IF(G20=35,KILOMETRAJE!G$38,IF(G20=36,KILOMETRAJE!G$39,IF(G20=37,KILOMETRAJE!G$40,IF(G20=38,KILOMETRAJE!G$41,IF(G20=39,KILOMETRAJE!G$42,IF(G20=40,KILOMETRAJE!G$43,IF(G20=41,KILOMETRAJE!G$44,IF(G20=42,KILOMETRAJE!G$45,IF(G20=43,KILOMETRAJE!G$46,IF(G20=44,KILOMETRAJE!G$47,IF(G20=45,KILOMETRAJE!G$48,IF(G20=46,KILOMETRAJE!G$49,IF(G20=47,KILOMETRAJE!G$50,IF(G20=48,KILOMETRAJE!G$51,IF(G20=49,KILOMETRAJE!G$52,IF(G20=50,KILOMETRAJE!G$53,IF(G20=51,KILOMETRAJE!G$54,IF(G20=52,KILOMETRAJE!G$55,IF(G20=53,KILOMETRAJE!G$56,IF(G20=54,KILOMETRAJE!G$57,IF(G20=55,KILOMETRAJE!G$58,IF(G20=56,KILOMETRAJE!G$59,IF(G20=57,KILOMETRAJE!G$60,IF(G20=58,KILOMETRAJE!G$61,IF(G20=59,KILOMETRAJE!G$62,IF(G20=60,KILOMETRAJE!G$63,IF(G20=61,KILOMETRAJE!G$64,IF(G20=62,KILOMETRAJE!G$65,IF(G20=63,KILOMETRAJE!G$66)))))))))))))))))))))))))))))))))))))))))))))))))))))))))))))))</f>
        <v>375</v>
      </c>
      <c r="K20" s="70">
        <v>226</v>
      </c>
      <c r="L20" s="72">
        <f>SUM(J19:J20)/K20</f>
        <v>3.3185840707964602</v>
      </c>
      <c r="M20" s="370">
        <v>4354</v>
      </c>
      <c r="N20" s="70">
        <v>1</v>
      </c>
      <c r="O20" s="70">
        <v>53506</v>
      </c>
      <c r="P20" s="70" t="s">
        <v>194</v>
      </c>
      <c r="Q20" s="67">
        <f>((((IF(N20=1,((J19:J20)*0.29333)))+(IF(N20=2,((J20)*0.146666)))+(IF(N20=3,((J20)*0.146666)))))+(IF(N20=4,((J20-40)*0.29333)))+(IF(N20=5,((J20-50)*0.29333)))+(IF(N20=6,((J20-90)*0.29333))))</f>
        <v>109.99874999999999</v>
      </c>
      <c r="R20" s="197">
        <f>+LOOKUP(P40,UNIDADES!B$3:B$59,UNIDADES!C$3:C$59)</f>
        <v>2.4509799999999999</v>
      </c>
      <c r="S20" s="194">
        <f>+((SUM(J19:J20))/R20)-K20</f>
        <v>80.000048960007859</v>
      </c>
      <c r="T20" s="67">
        <f>+S20*14.85</f>
        <v>1188.0007270561166</v>
      </c>
      <c r="U20" s="70">
        <v>54</v>
      </c>
      <c r="V20" s="484">
        <v>54</v>
      </c>
    </row>
    <row r="21" spans="3:22" x14ac:dyDescent="0.2">
      <c r="C21" s="176">
        <v>46152</v>
      </c>
      <c r="D21" s="43" t="s">
        <v>406</v>
      </c>
      <c r="E21" s="42">
        <v>45960</v>
      </c>
      <c r="F21" s="42">
        <v>45961</v>
      </c>
      <c r="G21" s="43">
        <v>2</v>
      </c>
      <c r="H21" s="24" t="str">
        <f>IF(G21=1,KILOMETRAJE!C$4,IF(G21=2,KILOMETRAJE!C$5,IF(G21=3,KILOMETRAJE!C$6,IF(G21=4,KILOMETRAJE!C$7,IF(G21=5,KILOMETRAJE!C$8,IF(G21=6,KILOMETRAJE!C$9,IF(G21=7,KILOMETRAJE!C$10,IF(G21=8,KILOMETRAJE!C$11,IF(G21=9,KILOMETRAJE!C$12,IF(G21=10,KILOMETRAJE!C$13,IF(G21=11,KILOMETRAJE!C$14,IF(G21=12,KILOMETRAJE!C$15,IF(G21=13,KILOMETRAJE!C$16,IF(G21=14,KILOMETRAJE!C$17,IF(G21=15,KILOMETRAJE!C$18,IF(G21=16,KILOMETRAJE!C$19,IF(G21=17,KILOMETRAJE!C$20,IF(G21=18,KILOMETRAJE!C$21,IF(G21=19,KILOMETRAJE!C$22,IF(G21=20,KILOMETRAJE!C$23,IF(G21=21,KILOMETRAJE!C$24,IF(G21=22,KILOMETRAJE!C$25,IF(G21=23,KILOMETRAJE!C$26,IF(G21=24,KILOMETRAJE!C$27,IF(G21=25,KILOMETRAJE!C$28,IF(G21=26,KILOMETRAJE!C$29,IF(G21=27,KILOMETRAJE!C$30,IF(G21=28,KILOMETRAJE!C$31,IF(G21=29,KILOMETRAJE!C$32,IF(G21=30,KILOMETRAJE!C$33,IF(G21=31,KILOMETRAJE!C$34,IF(G21=32,KILOMETRAJE!C$35,IF(G21=33,KILOMETRAJE!C$36,IF(G21=34,KILOMETRAJE!C$37,IF(G21=35,KILOMETRAJE!C$38,IF(G21=36,KILOMETRAJE!C$39,IF(G21=37,KILOMETRAJE!C$40,IF(G21=38,KILOMETRAJE!C$41,IF(G21=39,KILOMETRAJE!C$42,IF(G21=40,KILOMETRAJE!C$43,IF(G21=41,KILOMETRAJE!C$44,IF(G21=42,KILOMETRAJE!C$45,IF(G21=43,KILOMETRAJE!C$46,IF(G21=44,KILOMETRAJE!C$47,IF(G21=45,KILOMETRAJE!C$48,IF(G21=46,KILOMETRAJE!C$49,IF(G21=47,KILOMETRAJE!C$50,IF(G21=48,KILOMETRAJE!C$51,IF(G21=49,KILOMETRAJE!C$52,IF(G21=50,KILOMETRAJE!C$53,IF(G21=51,KILOMETRAJE!C$54,IF(G21=52,KILOMETRAJE!C$55,IF(G21=53,KILOMETRAJE!C$56,IF(G21=54,KILOMETRAJE!C$57,IF(G21=55,KILOMETRAJE!C$58,IF(G21=56,KILOMETRAJE!C$59,IF(G21=57,KILOMETRAJE!C$60,IF(G21=58,KILOMETRAJE!C$61,IF(G21=59,KILOMETRAJE!C$62,IF(G21=60,KILOMETRAJE!C$63,IF(G21=61,KILOMETRAJE!C$64,IF(G21=62,KILOMETRAJE!C$65,IF(G21=63,KILOMETRAJE!C$66)))))))))))))))))))))))))))))))))))))))))))))))))))))))))))))))</f>
        <v>JRZ</v>
      </c>
      <c r="I21" s="24" t="str">
        <f>IF(G21=1,KILOMETRAJE!E$4,IF(G21=2,KILOMETRAJE!E$5,IF(G21=3,KILOMETRAJE!E$6,IF(G21=4,KILOMETRAJE!E$7,IF(G21=5,KILOMETRAJE!E$8,IF(G21=6,KILOMETRAJE!E$9,IF(G21=7,KILOMETRAJE!E$10,IF(G21=8,KILOMETRAJE!E$11,IF(G21=9,KILOMETRAJE!E$12,IF(G21=10,KILOMETRAJE!E$13,IF(G21=11,KILOMETRAJE!E$14,IF(G21=12,KILOMETRAJE!E$15,IF(G21=13,KILOMETRAJE!E$16,IF(G21=14,KILOMETRAJE!E$17,IF(G21=15,KILOMETRAJE!E$18,IF(G21=16,KILOMETRAJE!E$19,IF(G21=17,KILOMETRAJE!E$20,IF(G21=18,KILOMETRAJE!E$21,IF(G21=19,KILOMETRAJE!E$22,IF(G21=20,KILOMETRAJE!E$23,IF(G21=21,KILOMETRAJE!E$24,IF(G21=22,KILOMETRAJE!E$25,IF(G21=23,KILOMETRAJE!E$26,IF(G21=24,KILOMETRAJE!E$27,IF(G21=25,KILOMETRAJE!E$28,IF(G21=26,KILOMETRAJE!E$29,IF(G21=27,KILOMETRAJE!E$30,IF(G21=28,KILOMETRAJE!E$31,IF(G21=29,KILOMETRAJE!E$32,IF(G21=30,KILOMETRAJE!E$33,IF(G21=31,KILOMETRAJE!E$34,IF(G21=32,KILOMETRAJE!E$35,IF(G21=33,KILOMETRAJE!E$36,IF(G21=34,KILOMETRAJE!E$37,IF(G21=35,KILOMETRAJE!E$38,IF(G21=36,KILOMETRAJE!E$39,IF(G21=37,KILOMETRAJE!E$40,IF(G21=38,KILOMETRAJE!E$41,IF(G21=39,KILOMETRAJE!E$42,IF(G21=40,KILOMETRAJE!E$43,IF(G21=41,KILOMETRAJE!E$44,IF(G21=42,KILOMETRAJE!E$45,IF(G21=43,KILOMETRAJE!E$46,IF(G21=44,KILOMETRAJE!E$47,IF(G21=45,KILOMETRAJE!E$48,IF(G21=46,KILOMETRAJE!E$49,IF(G21=47,KILOMETRAJE!E$50,IF(G21=48,KILOMETRAJE!E$51,IF(G21=49,KILOMETRAJE!E$52,IF(G21=50,KILOMETRAJE!E$53,IF(G21=51,KILOMETRAJE!E$54,IF(G21=52,KILOMETRAJE!E$55,IF(G21=53,KILOMETRAJE!E$56,IF(G21=54,KILOMETRAJE!E$57,IF(G21=55,KILOMETRAJE!E$58,IF(G21=56,KILOMETRAJE!E$59,IF(G21=57,KILOMETRAJE!E$60,IF(G21=58,KILOMETRAJE!E$61,IF(G21=59,KILOMETRAJE!E$62,IF(G21=60,KILOMETRAJE!E$63,IF(G21=61,KILOMETRAJE!E$64,IF(G21=62,KILOMETRAJE!E$65,IF(G21=63,KILOMETRAJE!E$66)))))))))))))))))))))))))))))))))))))))))))))))))))))))))))))))</f>
        <v>CHIH.</v>
      </c>
      <c r="J21" s="51">
        <v>292</v>
      </c>
      <c r="K21" s="24"/>
      <c r="L21" s="44"/>
      <c r="M21" s="348">
        <v>5275</v>
      </c>
      <c r="N21" s="24">
        <v>1</v>
      </c>
      <c r="O21" s="24" t="s">
        <v>410</v>
      </c>
      <c r="P21" s="24" t="s">
        <v>198</v>
      </c>
      <c r="Q21" s="45">
        <f t="shared" ref="Q21:Q23" si="0">((((IF(N21=1,((J21)*0.29333)))+(IF(N21=2,((J21)*0.146666)))+(IF(N21=3,((J21)*0.146666)))))+(IF(N21=4,((J21-40)*0.29333)))+(IF(N21=5,((J21-50)*0.29333)))+(IF(N21=6,((J21-90)*0.29333))))</f>
        <v>85.652359999999987</v>
      </c>
      <c r="R21" s="191"/>
      <c r="S21" s="52"/>
      <c r="T21" s="45"/>
      <c r="U21" s="24" t="s">
        <v>376</v>
      </c>
      <c r="V21" s="79" t="s">
        <v>376</v>
      </c>
    </row>
    <row r="22" spans="3:22" ht="12" customHeight="1" x14ac:dyDescent="0.2">
      <c r="C22" s="380"/>
      <c r="D22" s="61" t="s">
        <v>407</v>
      </c>
      <c r="E22" s="12">
        <v>45961</v>
      </c>
      <c r="F22" s="12">
        <v>45962</v>
      </c>
      <c r="G22" s="61">
        <v>3</v>
      </c>
      <c r="H22" s="11" t="str">
        <f>IF(G22=1,KILOMETRAJE!C$4,IF(G22=2,KILOMETRAJE!C$5,IF(G22=3,KILOMETRAJE!C$6,IF(G22=4,KILOMETRAJE!C$7,IF(G22=5,KILOMETRAJE!C$8,IF(G22=6,KILOMETRAJE!C$9,IF(G22=7,KILOMETRAJE!C$10,IF(G22=8,KILOMETRAJE!C$11,IF(G22=9,KILOMETRAJE!C$12,IF(G22=10,KILOMETRAJE!C$13,IF(G22=11,KILOMETRAJE!C$14,IF(G22=12,KILOMETRAJE!C$15,IF(G22=13,KILOMETRAJE!C$16,IF(G22=14,KILOMETRAJE!C$17,IF(G22=15,KILOMETRAJE!C$18,IF(G22=16,KILOMETRAJE!C$19,IF(G22=17,KILOMETRAJE!C$20,IF(G22=18,KILOMETRAJE!C$21,IF(G22=19,KILOMETRAJE!C$22,IF(G22=20,KILOMETRAJE!C$23,IF(G22=21,KILOMETRAJE!C$24,IF(G22=22,KILOMETRAJE!C$25,IF(G22=23,KILOMETRAJE!C$26,IF(G22=24,KILOMETRAJE!C$27,IF(G22=25,KILOMETRAJE!C$28,IF(G22=26,KILOMETRAJE!C$29,IF(G22=27,KILOMETRAJE!C$30,IF(G22=28,KILOMETRAJE!C$31,IF(G22=29,KILOMETRAJE!C$32,IF(G22=30,KILOMETRAJE!C$33,IF(G22=31,KILOMETRAJE!C$34,IF(G22=32,KILOMETRAJE!C$35,IF(G22=33,KILOMETRAJE!C$36,IF(G22=34,KILOMETRAJE!C$37,IF(G22=35,KILOMETRAJE!C$38,IF(G22=36,KILOMETRAJE!C$39,IF(G22=37,KILOMETRAJE!C$40,IF(G22=38,KILOMETRAJE!C$41,IF(G22=39,KILOMETRAJE!C$42,IF(G22=40,KILOMETRAJE!C$43,IF(G22=41,KILOMETRAJE!C$44,IF(G22=42,KILOMETRAJE!C$45,IF(G22=43,KILOMETRAJE!C$46,IF(G22=44,KILOMETRAJE!C$47,IF(G22=45,KILOMETRAJE!C$48,IF(G22=46,KILOMETRAJE!C$49,IF(G22=47,KILOMETRAJE!C$50,IF(G22=48,KILOMETRAJE!C$51,IF(G22=49,KILOMETRAJE!C$52,IF(G22=50,KILOMETRAJE!C$53,IF(G22=51,KILOMETRAJE!C$54,IF(G22=52,KILOMETRAJE!C$55,IF(G22=53,KILOMETRAJE!C$56,IF(G22=54,KILOMETRAJE!C$57,IF(G22=55,KILOMETRAJE!C$58,IF(G22=56,KILOMETRAJE!C$59,IF(G22=57,KILOMETRAJE!C$60,IF(G22=58,KILOMETRAJE!C$61,IF(G22=59,KILOMETRAJE!C$62,IF(G22=60,KILOMETRAJE!C$63,IF(G22=61,KILOMETRAJE!C$64,IF(G22=62,KILOMETRAJE!C$65,IF(G22=63,KILOMETRAJE!C$66)))))))))))))))))))))))))))))))))))))))))))))))))))))))))))))))</f>
        <v xml:space="preserve">CHIH. </v>
      </c>
      <c r="I22" s="11" t="str">
        <f>IF(G22=1,KILOMETRAJE!E$4,IF(G22=2,KILOMETRAJE!E$5,IF(G22=3,KILOMETRAJE!E$6,IF(G22=4,KILOMETRAJE!E$7,IF(G22=5,KILOMETRAJE!E$8,IF(G22=6,KILOMETRAJE!E$9,IF(G22=7,KILOMETRAJE!E$10,IF(G22=8,KILOMETRAJE!E$11,IF(G22=9,KILOMETRAJE!E$12,IF(G22=10,KILOMETRAJE!E$13,IF(G22=11,KILOMETRAJE!E$14,IF(G22=12,KILOMETRAJE!E$15,IF(G22=13,KILOMETRAJE!E$16,IF(G22=14,KILOMETRAJE!E$17,IF(G22=15,KILOMETRAJE!E$18,IF(G22=16,KILOMETRAJE!E$19,IF(G22=17,KILOMETRAJE!E$20,IF(G22=18,KILOMETRAJE!E$21,IF(G22=19,KILOMETRAJE!E$22,IF(G22=20,KILOMETRAJE!E$23,IF(G22=21,KILOMETRAJE!E$24,IF(G22=22,KILOMETRAJE!E$25,IF(G22=23,KILOMETRAJE!E$26,IF(G22=24,KILOMETRAJE!E$27,IF(G22=25,KILOMETRAJE!E$28,IF(G22=26,KILOMETRAJE!E$29,IF(G22=27,KILOMETRAJE!E$30,IF(G22=28,KILOMETRAJE!E$31,IF(G22=29,KILOMETRAJE!E$32,IF(G22=30,KILOMETRAJE!E$33,IF(G22=31,KILOMETRAJE!E$34,IF(G22=32,KILOMETRAJE!E$35,IF(G22=33,KILOMETRAJE!E$36,IF(G22=34,KILOMETRAJE!E$37,IF(G22=35,KILOMETRAJE!E$38,IF(G22=36,KILOMETRAJE!E$39,IF(G22=37,KILOMETRAJE!E$40,IF(G22=38,KILOMETRAJE!E$41,IF(G22=39,KILOMETRAJE!E$42,IF(G22=40,KILOMETRAJE!E$43,IF(G22=41,KILOMETRAJE!E$44,IF(G22=42,KILOMETRAJE!E$45,IF(G22=43,KILOMETRAJE!E$46,IF(G22=44,KILOMETRAJE!E$47,IF(G22=45,KILOMETRAJE!E$48,IF(G22=46,KILOMETRAJE!E$49,IF(G22=47,KILOMETRAJE!E$50,IF(G22=48,KILOMETRAJE!E$51,IF(G22=49,KILOMETRAJE!E$52,IF(G22=50,KILOMETRAJE!E$53,IF(G22=51,KILOMETRAJE!E$54,IF(G22=52,KILOMETRAJE!E$55,IF(G22=53,KILOMETRAJE!E$56,IF(G22=54,KILOMETRAJE!E$57,IF(G22=55,KILOMETRAJE!E$58,IF(G22=56,KILOMETRAJE!E$59,IF(G22=57,KILOMETRAJE!E$60,IF(G22=58,KILOMETRAJE!E$61,IF(G22=59,KILOMETRAJE!E$62,IF(G22=60,KILOMETRAJE!E$63,IF(G22=61,KILOMETRAJE!E$64,IF(G22=62,KILOMETRAJE!E$65,IF(G22=63,KILOMETRAJE!E$66)))))))))))))))))))))))))))))))))))))))))))))))))))))))))))))))</f>
        <v>JRZ</v>
      </c>
      <c r="J22" s="22">
        <v>292</v>
      </c>
      <c r="K22" s="11"/>
      <c r="L22" s="23"/>
      <c r="M22" s="371">
        <v>10296</v>
      </c>
      <c r="N22" s="11">
        <v>1</v>
      </c>
      <c r="O22" s="11" t="s">
        <v>411</v>
      </c>
      <c r="P22" s="11" t="s">
        <v>201</v>
      </c>
      <c r="Q22" s="13">
        <f t="shared" si="0"/>
        <v>85.652359999999987</v>
      </c>
      <c r="R22" s="339"/>
      <c r="S22" s="195"/>
      <c r="T22" s="13"/>
      <c r="U22" s="11" t="s">
        <v>376</v>
      </c>
      <c r="V22" s="53" t="s">
        <v>376</v>
      </c>
    </row>
    <row r="23" spans="3:22" x14ac:dyDescent="0.2">
      <c r="C23" s="380"/>
      <c r="D23" s="61" t="s">
        <v>408</v>
      </c>
      <c r="E23" s="12">
        <v>45962</v>
      </c>
      <c r="F23" s="12">
        <v>45962</v>
      </c>
      <c r="G23" s="61">
        <v>2</v>
      </c>
      <c r="H23" s="11" t="str">
        <f>IF(G23=1,KILOMETRAJE!C$4,IF(G23=2,KILOMETRAJE!C$5,IF(G23=3,KILOMETRAJE!C$6,IF(G23=4,KILOMETRAJE!C$7,IF(G23=5,KILOMETRAJE!C$8,IF(G23=6,KILOMETRAJE!C$9,IF(G23=7,KILOMETRAJE!C$10,IF(G23=8,KILOMETRAJE!C$11,IF(G23=9,KILOMETRAJE!C$12,IF(G23=10,KILOMETRAJE!C$13,IF(G23=11,KILOMETRAJE!C$14,IF(G23=12,KILOMETRAJE!C$15,IF(G23=13,KILOMETRAJE!C$16,IF(G23=14,KILOMETRAJE!C$17,IF(G23=15,KILOMETRAJE!C$18,IF(G23=16,KILOMETRAJE!C$19,IF(G23=17,KILOMETRAJE!C$20,IF(G23=18,KILOMETRAJE!C$21,IF(G23=19,KILOMETRAJE!C$22,IF(G23=20,KILOMETRAJE!C$23,IF(G23=21,KILOMETRAJE!C$24,IF(G23=22,KILOMETRAJE!C$25,IF(G23=23,KILOMETRAJE!C$26,IF(G23=24,KILOMETRAJE!C$27,IF(G23=25,KILOMETRAJE!C$28,IF(G23=26,KILOMETRAJE!C$29,IF(G23=27,KILOMETRAJE!C$30,IF(G23=28,KILOMETRAJE!C$31,IF(G23=29,KILOMETRAJE!C$32,IF(G23=30,KILOMETRAJE!C$33,IF(G23=31,KILOMETRAJE!C$34,IF(G23=32,KILOMETRAJE!C$35,IF(G23=33,KILOMETRAJE!C$36,IF(G23=34,KILOMETRAJE!C$37,IF(G23=35,KILOMETRAJE!C$38,IF(G23=36,KILOMETRAJE!C$39,IF(G23=37,KILOMETRAJE!C$40,IF(G23=38,KILOMETRAJE!C$41,IF(G23=39,KILOMETRAJE!C$42,IF(G23=40,KILOMETRAJE!C$43,IF(G23=41,KILOMETRAJE!C$44,IF(G23=42,KILOMETRAJE!C$45,IF(G23=43,KILOMETRAJE!C$46,IF(G23=44,KILOMETRAJE!C$47,IF(G23=45,KILOMETRAJE!C$48,IF(G23=46,KILOMETRAJE!C$49,IF(G23=47,KILOMETRAJE!C$50,IF(G23=48,KILOMETRAJE!C$51,IF(G23=49,KILOMETRAJE!C$52,IF(G23=50,KILOMETRAJE!C$53,IF(G23=51,KILOMETRAJE!C$54,IF(G23=52,KILOMETRAJE!C$55,IF(G23=53,KILOMETRAJE!C$56,IF(G23=54,KILOMETRAJE!C$57,IF(G23=55,KILOMETRAJE!C$58,IF(G23=56,KILOMETRAJE!C$59,IF(G23=57,KILOMETRAJE!C$60,IF(G23=58,KILOMETRAJE!C$61,IF(G23=59,KILOMETRAJE!C$62,IF(G23=60,KILOMETRAJE!C$63,IF(G23=61,KILOMETRAJE!C$64,IF(G23=62,KILOMETRAJE!C$65,IF(G23=63,KILOMETRAJE!C$66)))))))))))))))))))))))))))))))))))))))))))))))))))))))))))))))</f>
        <v>JRZ</v>
      </c>
      <c r="I23" s="11" t="str">
        <f>IF(G23=1,KILOMETRAJE!E$4,IF(G23=2,KILOMETRAJE!E$5,IF(G23=3,KILOMETRAJE!E$6,IF(G23=4,KILOMETRAJE!E$7,IF(G23=5,KILOMETRAJE!E$8,IF(G23=6,KILOMETRAJE!E$9,IF(G23=7,KILOMETRAJE!E$10,IF(G23=8,KILOMETRAJE!E$11,IF(G23=9,KILOMETRAJE!E$12,IF(G23=10,KILOMETRAJE!E$13,IF(G23=11,KILOMETRAJE!E$14,IF(G23=12,KILOMETRAJE!E$15,IF(G23=13,KILOMETRAJE!E$16,IF(G23=14,KILOMETRAJE!E$17,IF(G23=15,KILOMETRAJE!E$18,IF(G23=16,KILOMETRAJE!E$19,IF(G23=17,KILOMETRAJE!E$20,IF(G23=18,KILOMETRAJE!E$21,IF(G23=19,KILOMETRAJE!E$22,IF(G23=20,KILOMETRAJE!E$23,IF(G23=21,KILOMETRAJE!E$24,IF(G23=22,KILOMETRAJE!E$25,IF(G23=23,KILOMETRAJE!E$26,IF(G23=24,KILOMETRAJE!E$27,IF(G23=25,KILOMETRAJE!E$28,IF(G23=26,KILOMETRAJE!E$29,IF(G23=27,KILOMETRAJE!E$30,IF(G23=28,KILOMETRAJE!E$31,IF(G23=29,KILOMETRAJE!E$32,IF(G23=30,KILOMETRAJE!E$33,IF(G23=31,KILOMETRAJE!E$34,IF(G23=32,KILOMETRAJE!E$35,IF(G23=33,KILOMETRAJE!E$36,IF(G23=34,KILOMETRAJE!E$37,IF(G23=35,KILOMETRAJE!E$38,IF(G23=36,KILOMETRAJE!E$39,IF(G23=37,KILOMETRAJE!E$40,IF(G23=38,KILOMETRAJE!E$41,IF(G23=39,KILOMETRAJE!E$42,IF(G23=40,KILOMETRAJE!E$43,IF(G23=41,KILOMETRAJE!E$44,IF(G23=42,KILOMETRAJE!E$45,IF(G23=43,KILOMETRAJE!E$46,IF(G23=44,KILOMETRAJE!E$47,IF(G23=45,KILOMETRAJE!E$48,IF(G23=46,KILOMETRAJE!E$49,IF(G23=47,KILOMETRAJE!E$50,IF(G23=48,KILOMETRAJE!E$51,IF(G23=49,KILOMETRAJE!E$52,IF(G23=50,KILOMETRAJE!E$53,IF(G23=51,KILOMETRAJE!E$54,IF(G23=52,KILOMETRAJE!E$55,IF(G23=53,KILOMETRAJE!E$56,IF(G23=54,KILOMETRAJE!E$57,IF(G23=55,KILOMETRAJE!E$58,IF(G23=56,KILOMETRAJE!E$59,IF(G23=57,KILOMETRAJE!E$60,IF(G23=58,KILOMETRAJE!E$61,IF(G23=59,KILOMETRAJE!E$62,IF(G23=60,KILOMETRAJE!E$63,IF(G23=61,KILOMETRAJE!E$64,IF(G23=62,KILOMETRAJE!E$65,IF(G23=63,KILOMETRAJE!E$66)))))))))))))))))))))))))))))))))))))))))))))))))))))))))))))))</f>
        <v>CHIH.</v>
      </c>
      <c r="J23" s="22">
        <f>IF(G23=1,KILOMETRAJE!G$4,IF(G23=2,KILOMETRAJE!G$5,IF(G23=3,KILOMETRAJE!G$6,IF(G23=4,KILOMETRAJE!G$7,IF(G23=5,KILOMETRAJE!G$8,IF(G23=6,KILOMETRAJE!G$9,IF(G23=7,KILOMETRAJE!G$10,IF(G23=8,KILOMETRAJE!G$11,IF(G23=9,KILOMETRAJE!G$12,IF(G23=10,KILOMETRAJE!G$13,IF(G23=11,KILOMETRAJE!G$14,IF(G23=12,KILOMETRAJE!G$15,IF(G23=13,KILOMETRAJE!G$16,IF(G23=14,KILOMETRAJE!G$17,IF(G23=15,KILOMETRAJE!G$18,IF(G23=16,KILOMETRAJE!G$19,IF(G23=17,KILOMETRAJE!G$20,IF(G23=18,KILOMETRAJE!G$21,IF(G23=19,KILOMETRAJE!G$22,IF(G23=20,KILOMETRAJE!G$23,IF(G23=21,KILOMETRAJE!G$24,IF(G23=22,KILOMETRAJE!G$25,IF(G23=23,KILOMETRAJE!G$26,IF(G23=24,KILOMETRAJE!G$27,IF(G23=25,KILOMETRAJE!G$28,IF(G23=26,KILOMETRAJE!G$29,IF(G23=27,KILOMETRAJE!G$30,IF(G23=28,KILOMETRAJE!G$31,IF(G23=29,KILOMETRAJE!G$32,IF(G23=30,KILOMETRAJE!G$33,IF(G23=31,KILOMETRAJE!G$34,IF(G23=32,KILOMETRAJE!G$35,IF(G23=33,KILOMETRAJE!G$36,IF(G23=34,KILOMETRAJE!G$37,IF(G23=35,KILOMETRAJE!G$38,IF(G23=36,KILOMETRAJE!G$39,IF(G23=37,KILOMETRAJE!G$40,IF(G23=38,KILOMETRAJE!G$41,IF(G23=39,KILOMETRAJE!G$42,IF(G23=40,KILOMETRAJE!G$43,IF(G23=41,KILOMETRAJE!G$44,IF(G23=42,KILOMETRAJE!G$45,IF(G23=43,KILOMETRAJE!G$46,IF(G23=44,KILOMETRAJE!G$47,IF(G23=45,KILOMETRAJE!G$48,IF(G23=46,KILOMETRAJE!G$49,IF(G23=47,KILOMETRAJE!G$50,IF(G23=48,KILOMETRAJE!G$51,IF(G23=49,KILOMETRAJE!G$52,IF(G23=50,KILOMETRAJE!G$53,IF(G23=51,KILOMETRAJE!G$54,IF(G23=52,KILOMETRAJE!G$55,IF(G23=53,KILOMETRAJE!G$56,IF(G23=54,KILOMETRAJE!G$57,IF(G23=55,KILOMETRAJE!G$58,IF(G23=56,KILOMETRAJE!G$59,IF(G23=57,KILOMETRAJE!G$60,IF(G23=58,KILOMETRAJE!G$61,IF(G23=59,KILOMETRAJE!G$62,IF(G23=60,KILOMETRAJE!G$63,IF(G23=61,KILOMETRAJE!G$64,IF(G23=62,KILOMETRAJE!G$65,IF(G23=63,KILOMETRAJE!G$66)))))))))))))))))))))))))))))))))))))))))))))))))))))))))))))))</f>
        <v>375</v>
      </c>
      <c r="K23" s="11"/>
      <c r="L23" s="23"/>
      <c r="M23" s="371">
        <v>5600</v>
      </c>
      <c r="N23" s="11">
        <v>1</v>
      </c>
      <c r="O23" s="11" t="s">
        <v>412</v>
      </c>
      <c r="P23" s="11" t="s">
        <v>191</v>
      </c>
      <c r="Q23" s="13">
        <f t="shared" si="0"/>
        <v>109.99874999999999</v>
      </c>
      <c r="R23" s="339"/>
      <c r="S23" s="195"/>
      <c r="T23" s="13"/>
      <c r="U23" s="11" t="s">
        <v>376</v>
      </c>
      <c r="V23" s="53" t="s">
        <v>376</v>
      </c>
    </row>
    <row r="24" spans="3:22" ht="12.75" thickBot="1" x14ac:dyDescent="0.25">
      <c r="C24" s="101"/>
      <c r="D24" s="62" t="s">
        <v>409</v>
      </c>
      <c r="E24" s="25">
        <v>45964</v>
      </c>
      <c r="F24" s="25">
        <v>45965</v>
      </c>
      <c r="G24" s="62">
        <v>3</v>
      </c>
      <c r="H24" s="27" t="str">
        <f>IF(G24=1,KILOMETRAJE!C$4,IF(G24=2,KILOMETRAJE!C$5,IF(G24=3,KILOMETRAJE!C$6,IF(G24=4,KILOMETRAJE!C$7,IF(G24=5,KILOMETRAJE!C$8,IF(G24=6,KILOMETRAJE!C$9,IF(G24=7,KILOMETRAJE!C$10,IF(G24=8,KILOMETRAJE!C$11,IF(G24=9,KILOMETRAJE!C$12,IF(G24=10,KILOMETRAJE!C$13,IF(G24=11,KILOMETRAJE!C$14,IF(G24=12,KILOMETRAJE!C$15,IF(G24=13,KILOMETRAJE!C$16,IF(G24=14,KILOMETRAJE!C$17,IF(G24=15,KILOMETRAJE!C$18,IF(G24=16,KILOMETRAJE!C$19,IF(G24=17,KILOMETRAJE!C$20,IF(G24=18,KILOMETRAJE!C$21,IF(G24=19,KILOMETRAJE!C$22,IF(G24=20,KILOMETRAJE!C$23,IF(G24=21,KILOMETRAJE!C$24,IF(G24=22,KILOMETRAJE!C$25,IF(G24=23,KILOMETRAJE!C$26,IF(G24=24,KILOMETRAJE!C$27,IF(G24=25,KILOMETRAJE!C$28,IF(G24=26,KILOMETRAJE!C$29,IF(G24=27,KILOMETRAJE!C$30,IF(G24=28,KILOMETRAJE!C$31,IF(G24=29,KILOMETRAJE!C$32,IF(G24=30,KILOMETRAJE!C$33,IF(G24=31,KILOMETRAJE!C$34,IF(G24=32,KILOMETRAJE!C$35,IF(G24=33,KILOMETRAJE!C$36,IF(G24=34,KILOMETRAJE!C$37,IF(G24=35,KILOMETRAJE!C$38,IF(G24=36,KILOMETRAJE!C$39,IF(G24=37,KILOMETRAJE!C$40,IF(G24=38,KILOMETRAJE!C$41,IF(G24=39,KILOMETRAJE!C$42,IF(G24=40,KILOMETRAJE!C$43,IF(G24=41,KILOMETRAJE!C$44,IF(G24=42,KILOMETRAJE!C$45,IF(G24=43,KILOMETRAJE!C$46,IF(G24=44,KILOMETRAJE!C$47,IF(G24=45,KILOMETRAJE!C$48,IF(G24=46,KILOMETRAJE!C$49,IF(G24=47,KILOMETRAJE!C$50,IF(G24=48,KILOMETRAJE!C$51,IF(G24=49,KILOMETRAJE!C$52,IF(G24=50,KILOMETRAJE!C$53,IF(G24=51,KILOMETRAJE!C$54,IF(G24=52,KILOMETRAJE!C$55,IF(G24=53,KILOMETRAJE!C$56,IF(G24=54,KILOMETRAJE!C$57,IF(G24=55,KILOMETRAJE!C$58,IF(G24=56,KILOMETRAJE!C$59,IF(G24=57,KILOMETRAJE!C$60,IF(G24=58,KILOMETRAJE!C$61,IF(G24=59,KILOMETRAJE!C$62,IF(G24=60,KILOMETRAJE!C$63,IF(G24=61,KILOMETRAJE!C$64,IF(G24=62,KILOMETRAJE!C$65,IF(G24=63,KILOMETRAJE!C$66)))))))))))))))))))))))))))))))))))))))))))))))))))))))))))))))</f>
        <v xml:space="preserve">CHIH. </v>
      </c>
      <c r="I24" s="27" t="str">
        <f>IF(G24=1,KILOMETRAJE!E$4,IF(G24=2,KILOMETRAJE!E$5,IF(G24=3,KILOMETRAJE!E$6,IF(G24=4,KILOMETRAJE!E$7,IF(G24=5,KILOMETRAJE!E$8,IF(G24=6,KILOMETRAJE!E$9,IF(G24=7,KILOMETRAJE!E$10,IF(G24=8,KILOMETRAJE!E$11,IF(G24=9,KILOMETRAJE!E$12,IF(G24=10,KILOMETRAJE!E$13,IF(G24=11,KILOMETRAJE!E$14,IF(G24=12,KILOMETRAJE!E$15,IF(G24=13,KILOMETRAJE!E$16,IF(G24=14,KILOMETRAJE!E$17,IF(G24=15,KILOMETRAJE!E$18,IF(G24=16,KILOMETRAJE!E$19,IF(G24=17,KILOMETRAJE!E$20,IF(G24=18,KILOMETRAJE!E$21,IF(G24=19,KILOMETRAJE!E$22,IF(G24=20,KILOMETRAJE!E$23,IF(G24=21,KILOMETRAJE!E$24,IF(G24=22,KILOMETRAJE!E$25,IF(G24=23,KILOMETRAJE!E$26,IF(G24=24,KILOMETRAJE!E$27,IF(G24=25,KILOMETRAJE!E$28,IF(G24=26,KILOMETRAJE!E$29,IF(G24=27,KILOMETRAJE!E$30,IF(G24=28,KILOMETRAJE!E$31,IF(G24=29,KILOMETRAJE!E$32,IF(G24=30,KILOMETRAJE!E$33,IF(G24=31,KILOMETRAJE!E$34,IF(G24=32,KILOMETRAJE!E$35,IF(G24=33,KILOMETRAJE!E$36,IF(G24=34,KILOMETRAJE!E$37,IF(G24=35,KILOMETRAJE!E$38,IF(G24=36,KILOMETRAJE!E$39,IF(G24=37,KILOMETRAJE!E$40,IF(G24=38,KILOMETRAJE!E$41,IF(G24=39,KILOMETRAJE!E$42,IF(G24=40,KILOMETRAJE!E$43,IF(G24=41,KILOMETRAJE!E$44,IF(G24=42,KILOMETRAJE!E$45,IF(G24=43,KILOMETRAJE!E$46,IF(G24=44,KILOMETRAJE!E$47,IF(G24=45,KILOMETRAJE!E$48,IF(G24=46,KILOMETRAJE!E$49,IF(G24=47,KILOMETRAJE!E$50,IF(G24=48,KILOMETRAJE!E$51,IF(G24=49,KILOMETRAJE!E$52,IF(G24=50,KILOMETRAJE!E$53,IF(G24=51,KILOMETRAJE!E$54,IF(G24=52,KILOMETRAJE!E$55,IF(G24=53,KILOMETRAJE!E$56,IF(G24=54,KILOMETRAJE!E$57,IF(G24=55,KILOMETRAJE!E$58,IF(G24=56,KILOMETRAJE!E$59,IF(G24=57,KILOMETRAJE!E$60,IF(G24=58,KILOMETRAJE!E$61,IF(G24=59,KILOMETRAJE!E$62,IF(G24=60,KILOMETRAJE!E$63,IF(G24=61,KILOMETRAJE!E$64,IF(G24=62,KILOMETRAJE!E$65,IF(G24=63,KILOMETRAJE!E$66)))))))))))))))))))))))))))))))))))))))))))))))))))))))))))))))</f>
        <v>JRZ</v>
      </c>
      <c r="J24" s="31">
        <f>IF(G24=1,KILOMETRAJE!G$4,IF(G24=2,KILOMETRAJE!G$5,IF(G24=3,KILOMETRAJE!G$6,IF(G24=4,KILOMETRAJE!G$7,IF(G24=5,KILOMETRAJE!G$8,IF(G24=6,KILOMETRAJE!G$9,IF(G24=7,KILOMETRAJE!G$10,IF(G24=8,KILOMETRAJE!G$11,IF(G24=9,KILOMETRAJE!G$12,IF(G24=10,KILOMETRAJE!G$13,IF(G24=11,KILOMETRAJE!G$14,IF(G24=12,KILOMETRAJE!G$15,IF(G24=13,KILOMETRAJE!G$16,IF(G24=14,KILOMETRAJE!G$17,IF(G24=15,KILOMETRAJE!G$18,IF(G24=16,KILOMETRAJE!G$19,IF(G24=17,KILOMETRAJE!G$20,IF(G24=18,KILOMETRAJE!G$21,IF(G24=19,KILOMETRAJE!G$22,IF(G24=20,KILOMETRAJE!G$23,IF(G24=21,KILOMETRAJE!G$24,IF(G24=22,KILOMETRAJE!G$25,IF(G24=23,KILOMETRAJE!G$26,IF(G24=24,KILOMETRAJE!G$27,IF(G24=25,KILOMETRAJE!G$28,IF(G24=26,KILOMETRAJE!G$29,IF(G24=27,KILOMETRAJE!G$30,IF(G24=28,KILOMETRAJE!G$31,IF(G24=29,KILOMETRAJE!G$32,IF(G24=30,KILOMETRAJE!G$33,IF(G24=31,KILOMETRAJE!G$34,IF(G24=32,KILOMETRAJE!G$35,IF(G24=33,KILOMETRAJE!G$36,IF(G24=34,KILOMETRAJE!G$37,IF(G24=35,KILOMETRAJE!G$38,IF(G24=36,KILOMETRAJE!G$39,IF(G24=37,KILOMETRAJE!G$40,IF(G24=38,KILOMETRAJE!G$41,IF(G24=39,KILOMETRAJE!G$42,IF(G24=40,KILOMETRAJE!G$43,IF(G24=41,KILOMETRAJE!G$44,IF(G24=42,KILOMETRAJE!G$45,IF(G24=43,KILOMETRAJE!G$46,IF(G24=44,KILOMETRAJE!G$47,IF(G24=45,KILOMETRAJE!G$48,IF(G24=46,KILOMETRAJE!G$49,IF(G24=47,KILOMETRAJE!G$50,IF(G24=48,KILOMETRAJE!G$51,IF(G24=49,KILOMETRAJE!G$52,IF(G24=50,KILOMETRAJE!G$53,IF(G24=51,KILOMETRAJE!G$54,IF(G24=52,KILOMETRAJE!G$55,IF(G24=53,KILOMETRAJE!G$56,IF(G24=54,KILOMETRAJE!G$57,IF(G24=55,KILOMETRAJE!G$58,IF(G24=56,KILOMETRAJE!G$59,IF(G24=57,KILOMETRAJE!G$60,IF(G24=58,KILOMETRAJE!G$61,IF(G24=59,KILOMETRAJE!G$62,IF(G24=60,KILOMETRAJE!G$63,IF(G24=61,KILOMETRAJE!G$64,IF(G24=62,KILOMETRAJE!G$65,IF(G24=63,KILOMETRAJE!G$66)))))))))))))))))))))))))))))))))))))))))))))))))))))))))))))))</f>
        <v>375</v>
      </c>
      <c r="K24" s="27">
        <v>345.99</v>
      </c>
      <c r="L24" s="28">
        <f>SUM(J21:J24)/K24</f>
        <v>3.8556027630856384</v>
      </c>
      <c r="M24" s="349">
        <v>6411</v>
      </c>
      <c r="N24" s="27">
        <v>1</v>
      </c>
      <c r="O24" s="27" t="s">
        <v>413</v>
      </c>
      <c r="P24" s="27" t="s">
        <v>191</v>
      </c>
      <c r="Q24" s="29">
        <f>((((IF(N24=1,((J23:J24)*0.29333)))+(IF(N24=2,((J24)*0.146666)))+(IF(N24=3,((J24)*0.146666)))))+(IF(N24=4,((J24-40)*0.29333)))+(IF(N24=5,((J24-50)*0.29333)))+(IF(N24=6,((J24-90)*0.29333))))</f>
        <v>109.99874999999999</v>
      </c>
      <c r="R24" s="190">
        <f>+LOOKUP(P41,UNIDADES!B$3:B$59,UNIDADES!C$3:C$59)</f>
        <v>2.3734099999999998</v>
      </c>
      <c r="S24" s="19">
        <f>+((SUM(J21:J24))/R24)-K24</f>
        <v>216.07049523681121</v>
      </c>
      <c r="T24" s="29">
        <f>+S24*14.85</f>
        <v>3208.6468542666466</v>
      </c>
      <c r="U24" s="27">
        <v>1</v>
      </c>
      <c r="V24" s="55">
        <v>2</v>
      </c>
    </row>
    <row r="25" spans="3:22" ht="13.5" hidden="1" customHeight="1" thickBot="1" x14ac:dyDescent="0.25">
      <c r="C25" s="261"/>
      <c r="D25" s="96"/>
      <c r="E25" s="97"/>
      <c r="F25" s="97"/>
      <c r="G25" s="96"/>
      <c r="H25" s="98"/>
      <c r="I25" s="98"/>
      <c r="J25" s="99"/>
      <c r="K25" s="98"/>
      <c r="L25" s="100"/>
      <c r="M25" s="377"/>
      <c r="N25" s="98"/>
      <c r="O25" s="98"/>
      <c r="P25" s="98"/>
      <c r="Q25" s="93"/>
      <c r="R25" s="233"/>
      <c r="S25" s="196"/>
      <c r="T25" s="93"/>
      <c r="U25" s="98"/>
      <c r="V25" s="321"/>
    </row>
    <row r="26" spans="3:22" ht="16.5" hidden="1" customHeight="1" x14ac:dyDescent="0.2">
      <c r="C26" s="176"/>
      <c r="D26" s="43"/>
      <c r="E26" s="42"/>
      <c r="F26" s="42"/>
      <c r="G26" s="43"/>
      <c r="H26" s="24"/>
      <c r="I26" s="24"/>
      <c r="J26" s="51"/>
      <c r="K26" s="24"/>
      <c r="L26" s="44"/>
      <c r="M26" s="348"/>
      <c r="N26" s="24"/>
      <c r="O26" s="24"/>
      <c r="P26" s="24"/>
      <c r="Q26" s="45"/>
      <c r="R26" s="191"/>
      <c r="S26" s="52"/>
      <c r="T26" s="45"/>
      <c r="U26" s="24"/>
      <c r="V26" s="79"/>
    </row>
    <row r="27" spans="3:22" ht="12.75" hidden="1" thickBot="1" x14ac:dyDescent="0.25">
      <c r="C27" s="101"/>
      <c r="D27" s="62"/>
      <c r="E27" s="25"/>
      <c r="F27" s="25"/>
      <c r="G27" s="270"/>
      <c r="H27" s="27"/>
      <c r="I27" s="27"/>
      <c r="J27" s="31"/>
      <c r="K27" s="27"/>
      <c r="L27" s="112"/>
      <c r="M27" s="349"/>
      <c r="N27" s="27"/>
      <c r="O27" s="27"/>
      <c r="P27" s="27"/>
      <c r="Q27" s="29"/>
      <c r="R27" s="190"/>
      <c r="S27" s="19"/>
      <c r="T27" s="29"/>
      <c r="U27" s="27"/>
      <c r="V27" s="55"/>
    </row>
    <row r="28" spans="3:22" ht="12.75" hidden="1" thickBot="1" x14ac:dyDescent="0.25">
      <c r="C28" s="240"/>
      <c r="D28" s="57"/>
      <c r="E28" s="58"/>
      <c r="F28" s="58"/>
      <c r="G28" s="57"/>
      <c r="H28" s="482"/>
      <c r="I28" s="319"/>
      <c r="J28" s="334"/>
      <c r="K28" s="319"/>
      <c r="L28" s="335"/>
      <c r="M28" s="385"/>
      <c r="N28" s="319"/>
      <c r="O28" s="319"/>
      <c r="P28" s="319"/>
      <c r="Q28" s="336"/>
      <c r="R28" s="337"/>
      <c r="S28" s="338"/>
      <c r="T28" s="552"/>
      <c r="U28" s="38"/>
      <c r="V28" s="38"/>
    </row>
    <row r="29" spans="3:22" hidden="1" x14ac:dyDescent="0.2">
      <c r="C29" s="176"/>
      <c r="D29" s="43"/>
      <c r="E29" s="42"/>
      <c r="F29" s="42"/>
      <c r="G29" s="43"/>
      <c r="H29" s="24"/>
      <c r="I29" s="24"/>
      <c r="J29" s="51"/>
      <c r="K29" s="24"/>
      <c r="L29" s="44"/>
      <c r="M29" s="348"/>
      <c r="N29" s="24"/>
      <c r="O29" s="24"/>
      <c r="P29" s="24"/>
      <c r="Q29" s="45"/>
      <c r="R29" s="191"/>
      <c r="S29" s="52"/>
      <c r="T29" s="46"/>
      <c r="U29" s="11"/>
      <c r="V29" s="11"/>
    </row>
    <row r="30" spans="3:22" ht="12.75" hidden="1" thickBot="1" x14ac:dyDescent="0.25">
      <c r="C30" s="101"/>
      <c r="D30" s="62"/>
      <c r="E30" s="25"/>
      <c r="F30" s="25"/>
      <c r="G30" s="62"/>
      <c r="H30" s="27"/>
      <c r="I30" s="27"/>
      <c r="J30" s="31"/>
      <c r="K30" s="27"/>
      <c r="L30" s="28"/>
      <c r="M30" s="349"/>
      <c r="N30" s="27"/>
      <c r="O30" s="27"/>
      <c r="P30" s="27"/>
      <c r="Q30" s="29"/>
      <c r="R30" s="190"/>
      <c r="S30" s="19"/>
      <c r="T30" s="30"/>
      <c r="U30" s="11"/>
      <c r="V30" s="11"/>
    </row>
    <row r="31" spans="3:22" hidden="1" x14ac:dyDescent="0.2">
      <c r="C31" s="176"/>
      <c r="D31" s="43"/>
      <c r="E31" s="42"/>
      <c r="F31" s="42"/>
      <c r="G31" s="43"/>
      <c r="H31" s="24"/>
      <c r="I31" s="24"/>
      <c r="J31" s="51"/>
      <c r="K31" s="24"/>
      <c r="L31" s="44"/>
      <c r="M31" s="348"/>
      <c r="N31" s="24"/>
      <c r="O31" s="24"/>
      <c r="P31" s="24"/>
      <c r="Q31" s="45"/>
      <c r="R31" s="192"/>
      <c r="S31" s="52"/>
      <c r="T31" s="455"/>
      <c r="U31" s="11"/>
      <c r="V31" s="11"/>
    </row>
    <row r="32" spans="3:22" ht="12.75" hidden="1" thickBot="1" x14ac:dyDescent="0.25">
      <c r="C32" s="101"/>
      <c r="D32" s="62"/>
      <c r="E32" s="25"/>
      <c r="F32" s="25"/>
      <c r="G32" s="62"/>
      <c r="H32" s="27"/>
      <c r="I32" s="27"/>
      <c r="J32" s="31"/>
      <c r="K32" s="27"/>
      <c r="L32" s="28"/>
      <c r="M32" s="349"/>
      <c r="N32" s="27"/>
      <c r="O32" s="27"/>
      <c r="P32" s="27"/>
      <c r="Q32" s="29"/>
      <c r="R32" s="190"/>
      <c r="S32" s="19"/>
      <c r="T32" s="456"/>
      <c r="U32" s="11"/>
      <c r="V32" s="11"/>
    </row>
    <row r="33" spans="3:23" ht="12.75" thickBot="1" x14ac:dyDescent="0.25">
      <c r="I33" s="15"/>
      <c r="R33" s="193"/>
      <c r="S33" s="15"/>
    </row>
    <row r="34" spans="3:23" x14ac:dyDescent="0.2">
      <c r="E34" s="629" t="s">
        <v>34</v>
      </c>
      <c r="F34" s="646">
        <f>+'AGUILAR ESQUIVEL CARLOS'!F34</f>
        <v>45957</v>
      </c>
      <c r="G34" s="647"/>
      <c r="H34" s="16">
        <f>+F34+1</f>
        <v>45958</v>
      </c>
      <c r="I34" s="16">
        <f>+H34+1</f>
        <v>45959</v>
      </c>
      <c r="J34" s="16">
        <f>+I34+1</f>
        <v>45960</v>
      </c>
      <c r="K34" s="16">
        <f>+J34+1</f>
        <v>45961</v>
      </c>
      <c r="L34" s="16">
        <f>+K34+2</f>
        <v>45963</v>
      </c>
      <c r="M34" s="17" t="s">
        <v>35</v>
      </c>
      <c r="Q34" s="450"/>
      <c r="R34" s="450"/>
      <c r="S34" s="450"/>
      <c r="T34" s="450"/>
      <c r="U34" s="450"/>
    </row>
    <row r="35" spans="3:23" ht="12.75" thickBot="1" x14ac:dyDescent="0.25">
      <c r="E35" s="630"/>
      <c r="F35" s="648"/>
      <c r="G35" s="649"/>
      <c r="H35" s="29"/>
      <c r="I35" s="29"/>
      <c r="J35" s="29"/>
      <c r="K35" s="29"/>
      <c r="L35" s="29"/>
      <c r="M35" s="30">
        <f>SUM(F35:L35)</f>
        <v>0</v>
      </c>
      <c r="R35" s="450"/>
      <c r="S35" s="450"/>
      <c r="T35" s="450"/>
    </row>
    <row r="36" spans="3:23" ht="12.75" thickBot="1" x14ac:dyDescent="0.25">
      <c r="I36" s="15"/>
    </row>
    <row r="37" spans="3:23" ht="13.5" thickBot="1" x14ac:dyDescent="0.25">
      <c r="C37" s="608" t="s">
        <v>36</v>
      </c>
      <c r="D37" s="609"/>
      <c r="E37" s="609"/>
      <c r="F37" s="609"/>
      <c r="G37" s="610"/>
      <c r="I37" s="620" t="s">
        <v>37</v>
      </c>
      <c r="J37" s="621"/>
      <c r="K37" s="621"/>
      <c r="L37" s="622"/>
      <c r="M37" s="298"/>
      <c r="O37" s="611" t="s">
        <v>38</v>
      </c>
      <c r="P37" s="612"/>
      <c r="Q37" s="613">
        <f>+F49-L46</f>
        <v>5002.9483013227637</v>
      </c>
      <c r="R37" s="614"/>
      <c r="S37" s="615"/>
    </row>
    <row r="38" spans="3:23" ht="12.75" thickBot="1" x14ac:dyDescent="0.25">
      <c r="C38" s="616" t="s">
        <v>219</v>
      </c>
      <c r="D38" s="617"/>
      <c r="E38" s="617"/>
      <c r="F38" s="618">
        <f>SUM(Q18:Q33)</f>
        <v>556.30071999999996</v>
      </c>
      <c r="G38" s="619"/>
      <c r="I38" s="114" t="s">
        <v>125</v>
      </c>
      <c r="J38" s="68" t="s">
        <v>126</v>
      </c>
      <c r="K38" s="68" t="s">
        <v>70</v>
      </c>
      <c r="L38" s="115" t="s">
        <v>127</v>
      </c>
      <c r="M38" s="346"/>
    </row>
    <row r="39" spans="3:23" ht="13.5" customHeight="1" thickBot="1" x14ac:dyDescent="0.25">
      <c r="C39" s="602" t="s">
        <v>220</v>
      </c>
      <c r="D39" s="603"/>
      <c r="E39" s="603"/>
      <c r="F39" s="604">
        <f>SUM(T18:T33)</f>
        <v>4396.6475813227635</v>
      </c>
      <c r="G39" s="605"/>
      <c r="I39" s="176"/>
      <c r="J39" s="329"/>
      <c r="K39" s="17"/>
      <c r="L39" s="409"/>
      <c r="M39" s="346"/>
      <c r="O39" s="74" t="s">
        <v>70</v>
      </c>
      <c r="P39" s="75" t="s">
        <v>71</v>
      </c>
      <c r="Q39" s="76" t="s">
        <v>72</v>
      </c>
      <c r="R39" s="64"/>
      <c r="S39" s="77" t="s">
        <v>73</v>
      </c>
      <c r="T39" s="75" t="s">
        <v>74</v>
      </c>
      <c r="U39" s="74" t="s">
        <v>145</v>
      </c>
      <c r="V39" s="75" t="s">
        <v>146</v>
      </c>
      <c r="W39" s="75" t="s">
        <v>284</v>
      </c>
    </row>
    <row r="40" spans="3:23" x14ac:dyDescent="0.2">
      <c r="C40" s="602" t="s">
        <v>34</v>
      </c>
      <c r="D40" s="603"/>
      <c r="E40" s="603"/>
      <c r="F40" s="604">
        <f>+M35</f>
        <v>0</v>
      </c>
      <c r="G40" s="605"/>
      <c r="I40" s="94"/>
      <c r="J40" s="117"/>
      <c r="K40" s="415"/>
      <c r="L40" s="407"/>
      <c r="M40" s="346"/>
      <c r="O40" s="78">
        <v>46108</v>
      </c>
      <c r="P40" s="79" t="s">
        <v>162</v>
      </c>
      <c r="Q40" s="78">
        <v>240223</v>
      </c>
      <c r="R40" s="80"/>
      <c r="S40" s="33">
        <v>240937</v>
      </c>
      <c r="T40" s="305">
        <f t="shared" ref="T40:T44" si="1">+S40-Q40</f>
        <v>714</v>
      </c>
      <c r="U40" s="306">
        <f>SUM(J19:J20)</f>
        <v>750</v>
      </c>
      <c r="V40" s="79">
        <f>+K20</f>
        <v>226</v>
      </c>
      <c r="W40" s="353">
        <f>(SUM(M19:M20)/2)</f>
        <v>2177</v>
      </c>
    </row>
    <row r="41" spans="3:23" x14ac:dyDescent="0.2">
      <c r="C41" s="602" t="s">
        <v>186</v>
      </c>
      <c r="D41" s="603"/>
      <c r="E41" s="603"/>
      <c r="F41" s="604"/>
      <c r="G41" s="605"/>
      <c r="I41" s="94"/>
      <c r="J41" s="117"/>
      <c r="K41" s="415"/>
      <c r="L41" s="407"/>
      <c r="M41" s="346"/>
      <c r="O41" s="32">
        <v>46152</v>
      </c>
      <c r="P41" s="53" t="s">
        <v>131</v>
      </c>
      <c r="Q41" s="63">
        <v>83538</v>
      </c>
      <c r="R41" s="63"/>
      <c r="S41" s="11">
        <f>+Q41+700</f>
        <v>84238</v>
      </c>
      <c r="T41" s="53">
        <f t="shared" ref="T41" si="2">+S41-Q41</f>
        <v>700</v>
      </c>
      <c r="U41" s="136">
        <f>SUM(J21:J24)</f>
        <v>1334</v>
      </c>
      <c r="V41" s="53">
        <f>+K23</f>
        <v>0</v>
      </c>
      <c r="W41" s="354">
        <f>(SUM(M22:M32)/2)</f>
        <v>11153.5</v>
      </c>
    </row>
    <row r="42" spans="3:23" x14ac:dyDescent="0.2">
      <c r="C42" s="602" t="s">
        <v>39</v>
      </c>
      <c r="D42" s="603"/>
      <c r="E42" s="603"/>
      <c r="F42" s="604"/>
      <c r="G42" s="605"/>
      <c r="I42" s="94"/>
      <c r="J42" s="117"/>
      <c r="K42" s="415"/>
      <c r="L42" s="407"/>
      <c r="M42" s="346"/>
      <c r="O42" s="32"/>
      <c r="P42" s="53"/>
      <c r="Q42" s="63"/>
      <c r="R42" s="63"/>
      <c r="S42" s="11"/>
      <c r="T42" s="53">
        <f t="shared" si="1"/>
        <v>0</v>
      </c>
      <c r="U42" s="136">
        <v>0</v>
      </c>
      <c r="V42" s="53">
        <f>+K25</f>
        <v>0</v>
      </c>
      <c r="W42" s="354">
        <v>0</v>
      </c>
    </row>
    <row r="43" spans="3:23" x14ac:dyDescent="0.2">
      <c r="C43" s="602" t="s">
        <v>116</v>
      </c>
      <c r="D43" s="603"/>
      <c r="E43" s="603"/>
      <c r="F43" s="604"/>
      <c r="G43" s="605"/>
      <c r="I43" s="94"/>
      <c r="J43" s="117"/>
      <c r="K43" s="415"/>
      <c r="L43" s="407"/>
      <c r="M43" s="346"/>
      <c r="O43" s="32"/>
      <c r="P43" s="53"/>
      <c r="Q43" s="63"/>
      <c r="R43" s="63"/>
      <c r="S43" s="11"/>
      <c r="T43" s="53">
        <f t="shared" si="1"/>
        <v>0</v>
      </c>
      <c r="U43" s="136">
        <f>SUM(J26:J27)</f>
        <v>0</v>
      </c>
      <c r="V43" s="53">
        <f>+K27</f>
        <v>0</v>
      </c>
      <c r="W43" s="354">
        <f>(SUM(M26:M27)/2)</f>
        <v>0</v>
      </c>
    </row>
    <row r="44" spans="3:23" x14ac:dyDescent="0.2">
      <c r="C44" s="602" t="s">
        <v>40</v>
      </c>
      <c r="D44" s="603"/>
      <c r="E44" s="603"/>
      <c r="F44" s="604"/>
      <c r="G44" s="605"/>
      <c r="I44" s="94"/>
      <c r="J44" s="117"/>
      <c r="K44" s="415"/>
      <c r="L44" s="407"/>
      <c r="M44" s="346"/>
      <c r="O44" s="32"/>
      <c r="P44" s="53"/>
      <c r="Q44" s="63"/>
      <c r="R44" s="95"/>
      <c r="S44" s="11"/>
      <c r="T44" s="53">
        <f t="shared" si="1"/>
        <v>0</v>
      </c>
      <c r="U44" s="136">
        <f>SUM(J28:J29)</f>
        <v>0</v>
      </c>
      <c r="V44" s="53">
        <f>+K28</f>
        <v>0</v>
      </c>
      <c r="W44" s="354">
        <f>(SUM(M28:M29)/2)</f>
        <v>0</v>
      </c>
    </row>
    <row r="45" spans="3:23" ht="12.75" thickBot="1" x14ac:dyDescent="0.25">
      <c r="C45" s="602" t="s">
        <v>124</v>
      </c>
      <c r="D45" s="603"/>
      <c r="E45" s="603"/>
      <c r="F45" s="604"/>
      <c r="G45" s="605"/>
      <c r="I45" s="282"/>
      <c r="J45" s="285"/>
      <c r="K45" s="417"/>
      <c r="L45" s="410"/>
      <c r="M45" s="346"/>
      <c r="O45" s="32"/>
      <c r="P45" s="53"/>
      <c r="Q45" s="63"/>
      <c r="R45" s="95"/>
      <c r="S45" s="11"/>
      <c r="T45" s="53">
        <f>+S45-Q45</f>
        <v>0</v>
      </c>
      <c r="U45" s="136">
        <f>SUM(J29:J30)</f>
        <v>0</v>
      </c>
      <c r="V45" s="53">
        <f>+K30</f>
        <v>0</v>
      </c>
      <c r="W45" s="354">
        <f>(SUM(M29:M30)/2)</f>
        <v>0</v>
      </c>
    </row>
    <row r="46" spans="3:23" ht="13.5" customHeight="1" thickBot="1" x14ac:dyDescent="0.25">
      <c r="C46" s="602" t="s">
        <v>224</v>
      </c>
      <c r="D46" s="603"/>
      <c r="E46" s="603"/>
      <c r="F46" s="606"/>
      <c r="G46" s="607"/>
      <c r="I46" s="597" t="s">
        <v>41</v>
      </c>
      <c r="J46" s="598"/>
      <c r="K46" s="632"/>
      <c r="L46" s="284">
        <f>SUM(L39:L45)</f>
        <v>0</v>
      </c>
      <c r="M46" s="347"/>
      <c r="O46" s="113"/>
      <c r="P46" s="264"/>
      <c r="Q46" s="265"/>
      <c r="R46" s="83"/>
      <c r="S46" s="81"/>
      <c r="T46" s="82">
        <f>+S46-Q46</f>
        <v>0</v>
      </c>
      <c r="U46" s="138">
        <f>SUM(J31:J32)</f>
        <v>0</v>
      </c>
      <c r="V46" s="55">
        <f>+K32</f>
        <v>0</v>
      </c>
      <c r="W46" s="355">
        <f>(SUM(M31:M32)/2)</f>
        <v>0</v>
      </c>
    </row>
    <row r="47" spans="3:23" ht="13.5" customHeight="1" x14ac:dyDescent="0.2">
      <c r="C47" s="602" t="s">
        <v>283</v>
      </c>
      <c r="D47" s="603"/>
      <c r="E47" s="603"/>
      <c r="F47" s="606"/>
      <c r="G47" s="607"/>
      <c r="R47" s="21"/>
      <c r="S47" s="21"/>
      <c r="T47" s="21"/>
      <c r="U47" s="139"/>
      <c r="V47" s="271"/>
    </row>
    <row r="48" spans="3:23" ht="13.5" customHeight="1" thickBot="1" x14ac:dyDescent="0.25">
      <c r="C48" s="593" t="s">
        <v>405</v>
      </c>
      <c r="D48" s="594"/>
      <c r="E48" s="594"/>
      <c r="F48" s="595">
        <v>50</v>
      </c>
      <c r="G48" s="596"/>
      <c r="R48" s="21"/>
      <c r="S48" s="21"/>
      <c r="T48" s="21"/>
      <c r="U48" s="139"/>
      <c r="V48" s="271"/>
    </row>
    <row r="49" spans="3:22" ht="13.5" thickBot="1" x14ac:dyDescent="0.25">
      <c r="C49" s="597" t="s">
        <v>42</v>
      </c>
      <c r="D49" s="598"/>
      <c r="E49" s="599"/>
      <c r="F49" s="600">
        <f>SUM(F38:G48)</f>
        <v>5002.9483013227637</v>
      </c>
      <c r="G49" s="601"/>
      <c r="R49" s="21"/>
      <c r="S49" s="21"/>
      <c r="T49" s="21"/>
      <c r="U49" s="139"/>
      <c r="V49" s="271"/>
    </row>
    <row r="50" spans="3:22" ht="13.5" customHeight="1" thickBot="1" x14ac:dyDescent="0.25">
      <c r="P50" s="588" t="s">
        <v>48</v>
      </c>
      <c r="Q50" s="589"/>
      <c r="R50" s="590"/>
      <c r="S50" s="21"/>
      <c r="T50" s="21"/>
      <c r="U50" s="139"/>
      <c r="V50" s="271"/>
    </row>
    <row r="51" spans="3:22" ht="12.75" customHeight="1" x14ac:dyDescent="0.2">
      <c r="C51" s="246" t="s">
        <v>43</v>
      </c>
      <c r="D51" s="247"/>
      <c r="E51" s="247"/>
      <c r="F51" s="247"/>
      <c r="G51" s="247"/>
      <c r="H51" s="247"/>
      <c r="I51" s="247"/>
      <c r="J51" s="247"/>
      <c r="K51" s="247"/>
      <c r="L51" s="248"/>
      <c r="M51" s="251"/>
      <c r="P51" s="78">
        <v>1</v>
      </c>
      <c r="Q51" s="584" t="s">
        <v>49</v>
      </c>
      <c r="R51" s="585"/>
      <c r="S51" s="21"/>
      <c r="T51" s="21"/>
      <c r="U51" s="249"/>
    </row>
    <row r="52" spans="3:22" ht="12.75" customHeight="1" x14ac:dyDescent="0.2">
      <c r="C52" s="250"/>
      <c r="D52" s="251"/>
      <c r="E52" s="251"/>
      <c r="F52" s="251"/>
      <c r="G52" s="251"/>
      <c r="H52" s="251"/>
      <c r="I52" s="251"/>
      <c r="J52" s="251"/>
      <c r="K52" s="251"/>
      <c r="L52" s="252"/>
      <c r="M52" s="251"/>
      <c r="P52" s="32">
        <v>2</v>
      </c>
      <c r="Q52" s="586" t="s">
        <v>135</v>
      </c>
      <c r="R52" s="587"/>
      <c r="S52" s="21"/>
      <c r="T52" s="249"/>
    </row>
    <row r="53" spans="3:22" ht="12.75" thickBot="1" x14ac:dyDescent="0.25">
      <c r="C53" s="253"/>
      <c r="D53" s="254"/>
      <c r="E53" s="254"/>
      <c r="F53" s="254"/>
      <c r="G53" s="254"/>
      <c r="H53" s="254"/>
      <c r="I53" s="254"/>
      <c r="J53" s="254"/>
      <c r="K53" s="254"/>
      <c r="L53" s="255"/>
      <c r="M53" s="251"/>
      <c r="P53" s="32">
        <v>3</v>
      </c>
      <c r="Q53" s="586" t="s">
        <v>130</v>
      </c>
      <c r="R53" s="587"/>
      <c r="S53" s="21"/>
      <c r="T53" s="249"/>
    </row>
    <row r="54" spans="3:22" x14ac:dyDescent="0.2">
      <c r="P54" s="32">
        <v>4</v>
      </c>
      <c r="Q54" s="586" t="s">
        <v>228</v>
      </c>
      <c r="R54" s="587"/>
      <c r="S54" s="21"/>
      <c r="T54" s="249"/>
    </row>
    <row r="55" spans="3:22" ht="12.75" thickBot="1" x14ac:dyDescent="0.25">
      <c r="P55" s="32">
        <v>5</v>
      </c>
      <c r="Q55" s="586" t="s">
        <v>229</v>
      </c>
      <c r="R55" s="587"/>
      <c r="S55" s="21"/>
    </row>
    <row r="56" spans="3:22" ht="14.25" customHeight="1" thickTop="1" thickBot="1" x14ac:dyDescent="0.25">
      <c r="D56" s="631" t="s">
        <v>44</v>
      </c>
      <c r="E56" s="631"/>
      <c r="F56" s="631"/>
      <c r="G56" s="631"/>
      <c r="H56" s="631"/>
      <c r="J56" s="631" t="s">
        <v>45</v>
      </c>
      <c r="K56" s="631"/>
      <c r="L56" s="631"/>
      <c r="M56" s="631"/>
      <c r="N56" s="631"/>
      <c r="P56" s="54">
        <v>6</v>
      </c>
      <c r="Q56" s="591" t="s">
        <v>230</v>
      </c>
      <c r="R56" s="592"/>
      <c r="S56" s="21"/>
      <c r="T56" s="21"/>
    </row>
    <row r="57" spans="3:22" x14ac:dyDescent="0.2">
      <c r="S57" s="21"/>
      <c r="T57" s="21"/>
    </row>
  </sheetData>
  <mergeCells count="57">
    <mergeCell ref="C45:E45"/>
    <mergeCell ref="F45:G45"/>
    <mergeCell ref="C49:E49"/>
    <mergeCell ref="F49:G49"/>
    <mergeCell ref="C46:E46"/>
    <mergeCell ref="F46:G46"/>
    <mergeCell ref="C47:E47"/>
    <mergeCell ref="F47:G47"/>
    <mergeCell ref="C40:E40"/>
    <mergeCell ref="F40:G40"/>
    <mergeCell ref="C37:G37"/>
    <mergeCell ref="D56:H56"/>
    <mergeCell ref="J56:N56"/>
    <mergeCell ref="C41:E41"/>
    <mergeCell ref="F41:G41"/>
    <mergeCell ref="F43:G43"/>
    <mergeCell ref="F44:G44"/>
    <mergeCell ref="F42:G42"/>
    <mergeCell ref="C42:E42"/>
    <mergeCell ref="C44:E44"/>
    <mergeCell ref="C43:E43"/>
    <mergeCell ref="I46:K46"/>
    <mergeCell ref="C48:E48"/>
    <mergeCell ref="F48:G48"/>
    <mergeCell ref="C38:E38"/>
    <mergeCell ref="F38:G38"/>
    <mergeCell ref="I37:L37"/>
    <mergeCell ref="C39:E39"/>
    <mergeCell ref="F39:G39"/>
    <mergeCell ref="F34:G34"/>
    <mergeCell ref="F35:G35"/>
    <mergeCell ref="I6:O6"/>
    <mergeCell ref="Q6:S6"/>
    <mergeCell ref="I9:O9"/>
    <mergeCell ref="L11:S11"/>
    <mergeCell ref="E12:F12"/>
    <mergeCell ref="D13:E13"/>
    <mergeCell ref="D14:E14"/>
    <mergeCell ref="D15:E15"/>
    <mergeCell ref="D16:E16"/>
    <mergeCell ref="E34:E35"/>
    <mergeCell ref="E11:H11"/>
    <mergeCell ref="Q55:R55"/>
    <mergeCell ref="Q56:R56"/>
    <mergeCell ref="Q2:S2"/>
    <mergeCell ref="I3:O3"/>
    <mergeCell ref="Q3:S3"/>
    <mergeCell ref="I4:O4"/>
    <mergeCell ref="I5:O5"/>
    <mergeCell ref="Q5:S5"/>
    <mergeCell ref="O37:P37"/>
    <mergeCell ref="Q37:S37"/>
    <mergeCell ref="P50:R50"/>
    <mergeCell ref="Q51:R51"/>
    <mergeCell ref="Q52:R52"/>
    <mergeCell ref="Q53:R53"/>
    <mergeCell ref="Q54:R54"/>
  </mergeCells>
  <phoneticPr fontId="20" type="noConversion"/>
  <pageMargins left="0.19685039370078741" right="0.19685039370078741" top="0.35433070866141736" bottom="0.35433070866141736" header="0.31496062992125984" footer="0.31496062992125984"/>
  <pageSetup paperSize="9" scale="76" fitToHeight="0" orientation="landscape" horizontalDpi="300" verticalDpi="300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Hoja12">
    <pageSetUpPr fitToPage="1"/>
  </sheetPr>
  <dimension ref="B1:X57"/>
  <sheetViews>
    <sheetView zoomScaleNormal="100" workbookViewId="0">
      <selection activeCell="I39" sqref="I39:L44"/>
    </sheetView>
  </sheetViews>
  <sheetFormatPr baseColWidth="10" defaultColWidth="9.140625" defaultRowHeight="12" x14ac:dyDescent="0.2"/>
  <cols>
    <col min="1" max="1" width="2.5703125" style="14" customWidth="1"/>
    <col min="2" max="2" width="3.28515625" style="14" customWidth="1"/>
    <col min="3" max="3" width="11.85546875" style="14" customWidth="1"/>
    <col min="4" max="4" width="10.42578125" style="14" customWidth="1"/>
    <col min="5" max="5" width="7.85546875" style="14" customWidth="1"/>
    <col min="6" max="6" width="8.85546875" style="14" customWidth="1"/>
    <col min="7" max="7" width="3" style="14" bestFit="1" customWidth="1"/>
    <col min="8" max="8" width="16" style="14" bestFit="1" customWidth="1"/>
    <col min="9" max="9" width="14.7109375" style="14" customWidth="1"/>
    <col min="10" max="10" width="12.140625" style="14" customWidth="1"/>
    <col min="11" max="11" width="12.7109375" style="14" customWidth="1"/>
    <col min="12" max="12" width="13.7109375" style="14" customWidth="1"/>
    <col min="13" max="13" width="11.42578125" style="14" customWidth="1"/>
    <col min="14" max="14" width="12.85546875" style="14" customWidth="1"/>
    <col min="15" max="15" width="12.5703125" style="14" customWidth="1"/>
    <col min="16" max="16" width="12.5703125" style="14" bestFit="1" customWidth="1"/>
    <col min="17" max="17" width="9.85546875" style="14" customWidth="1"/>
    <col min="18" max="18" width="10" style="14" hidden="1" customWidth="1"/>
    <col min="19" max="19" width="10.28515625" style="14" customWidth="1"/>
    <col min="20" max="21" width="11.7109375" style="14" customWidth="1"/>
    <col min="22" max="22" width="9.7109375" style="14" customWidth="1"/>
    <col min="23" max="23" width="10.42578125" style="14" customWidth="1"/>
    <col min="24" max="24" width="9.140625" style="14" customWidth="1"/>
    <col min="25" max="259" width="9.140625" style="14"/>
    <col min="260" max="260" width="5.7109375" style="14" customWidth="1"/>
    <col min="261" max="261" width="13.140625" style="14" customWidth="1"/>
    <col min="262" max="262" width="12.28515625" style="14" customWidth="1"/>
    <col min="263" max="263" width="8.85546875" style="14" customWidth="1"/>
    <col min="264" max="264" width="10.85546875" style="14" customWidth="1"/>
    <col min="265" max="265" width="2.85546875" style="14" customWidth="1"/>
    <col min="266" max="266" width="12.140625" style="14" customWidth="1"/>
    <col min="267" max="267" width="10.140625" style="14" customWidth="1"/>
    <col min="268" max="268" width="11.7109375" style="14" customWidth="1"/>
    <col min="269" max="269" width="11.42578125" style="14" customWidth="1"/>
    <col min="270" max="270" width="12.7109375" style="14" customWidth="1"/>
    <col min="271" max="271" width="11.42578125" style="14" customWidth="1"/>
    <col min="272" max="272" width="10.7109375" style="14" customWidth="1"/>
    <col min="273" max="273" width="10.5703125" style="14" customWidth="1"/>
    <col min="274" max="274" width="11.28515625" style="14" customWidth="1"/>
    <col min="275" max="275" width="9.7109375" style="14" customWidth="1"/>
    <col min="276" max="276" width="12" style="14" customWidth="1"/>
    <col min="277" max="277" width="11.28515625" style="14" customWidth="1"/>
    <col min="278" max="515" width="9.140625" style="14"/>
    <col min="516" max="516" width="5.7109375" style="14" customWidth="1"/>
    <col min="517" max="517" width="13.140625" style="14" customWidth="1"/>
    <col min="518" max="518" width="12.28515625" style="14" customWidth="1"/>
    <col min="519" max="519" width="8.85546875" style="14" customWidth="1"/>
    <col min="520" max="520" width="10.85546875" style="14" customWidth="1"/>
    <col min="521" max="521" width="2.85546875" style="14" customWidth="1"/>
    <col min="522" max="522" width="12.140625" style="14" customWidth="1"/>
    <col min="523" max="523" width="10.140625" style="14" customWidth="1"/>
    <col min="524" max="524" width="11.7109375" style="14" customWidth="1"/>
    <col min="525" max="525" width="11.42578125" style="14" customWidth="1"/>
    <col min="526" max="526" width="12.7109375" style="14" customWidth="1"/>
    <col min="527" max="527" width="11.42578125" style="14" customWidth="1"/>
    <col min="528" max="528" width="10.7109375" style="14" customWidth="1"/>
    <col min="529" max="529" width="10.5703125" style="14" customWidth="1"/>
    <col min="530" max="530" width="11.28515625" style="14" customWidth="1"/>
    <col min="531" max="531" width="9.7109375" style="14" customWidth="1"/>
    <col min="532" max="532" width="12" style="14" customWidth="1"/>
    <col min="533" max="533" width="11.28515625" style="14" customWidth="1"/>
    <col min="534" max="771" width="9.140625" style="14"/>
    <col min="772" max="772" width="5.7109375" style="14" customWidth="1"/>
    <col min="773" max="773" width="13.140625" style="14" customWidth="1"/>
    <col min="774" max="774" width="12.28515625" style="14" customWidth="1"/>
    <col min="775" max="775" width="8.85546875" style="14" customWidth="1"/>
    <col min="776" max="776" width="10.85546875" style="14" customWidth="1"/>
    <col min="777" max="777" width="2.85546875" style="14" customWidth="1"/>
    <col min="778" max="778" width="12.140625" style="14" customWidth="1"/>
    <col min="779" max="779" width="10.140625" style="14" customWidth="1"/>
    <col min="780" max="780" width="11.7109375" style="14" customWidth="1"/>
    <col min="781" max="781" width="11.42578125" style="14" customWidth="1"/>
    <col min="782" max="782" width="12.7109375" style="14" customWidth="1"/>
    <col min="783" max="783" width="11.42578125" style="14" customWidth="1"/>
    <col min="784" max="784" width="10.7109375" style="14" customWidth="1"/>
    <col min="785" max="785" width="10.5703125" style="14" customWidth="1"/>
    <col min="786" max="786" width="11.28515625" style="14" customWidth="1"/>
    <col min="787" max="787" width="9.7109375" style="14" customWidth="1"/>
    <col min="788" max="788" width="12" style="14" customWidth="1"/>
    <col min="789" max="789" width="11.28515625" style="14" customWidth="1"/>
    <col min="790" max="1027" width="9.140625" style="14"/>
    <col min="1028" max="1028" width="5.7109375" style="14" customWidth="1"/>
    <col min="1029" max="1029" width="13.140625" style="14" customWidth="1"/>
    <col min="1030" max="1030" width="12.28515625" style="14" customWidth="1"/>
    <col min="1031" max="1031" width="8.85546875" style="14" customWidth="1"/>
    <col min="1032" max="1032" width="10.85546875" style="14" customWidth="1"/>
    <col min="1033" max="1033" width="2.85546875" style="14" customWidth="1"/>
    <col min="1034" max="1034" width="12.140625" style="14" customWidth="1"/>
    <col min="1035" max="1035" width="10.140625" style="14" customWidth="1"/>
    <col min="1036" max="1036" width="11.7109375" style="14" customWidth="1"/>
    <col min="1037" max="1037" width="11.42578125" style="14" customWidth="1"/>
    <col min="1038" max="1038" width="12.7109375" style="14" customWidth="1"/>
    <col min="1039" max="1039" width="11.42578125" style="14" customWidth="1"/>
    <col min="1040" max="1040" width="10.7109375" style="14" customWidth="1"/>
    <col min="1041" max="1041" width="10.5703125" style="14" customWidth="1"/>
    <col min="1042" max="1042" width="11.28515625" style="14" customWidth="1"/>
    <col min="1043" max="1043" width="9.7109375" style="14" customWidth="1"/>
    <col min="1044" max="1044" width="12" style="14" customWidth="1"/>
    <col min="1045" max="1045" width="11.28515625" style="14" customWidth="1"/>
    <col min="1046" max="1283" width="9.140625" style="14"/>
    <col min="1284" max="1284" width="5.7109375" style="14" customWidth="1"/>
    <col min="1285" max="1285" width="13.140625" style="14" customWidth="1"/>
    <col min="1286" max="1286" width="12.28515625" style="14" customWidth="1"/>
    <col min="1287" max="1287" width="8.85546875" style="14" customWidth="1"/>
    <col min="1288" max="1288" width="10.85546875" style="14" customWidth="1"/>
    <col min="1289" max="1289" width="2.85546875" style="14" customWidth="1"/>
    <col min="1290" max="1290" width="12.140625" style="14" customWidth="1"/>
    <col min="1291" max="1291" width="10.140625" style="14" customWidth="1"/>
    <col min="1292" max="1292" width="11.7109375" style="14" customWidth="1"/>
    <col min="1293" max="1293" width="11.42578125" style="14" customWidth="1"/>
    <col min="1294" max="1294" width="12.7109375" style="14" customWidth="1"/>
    <col min="1295" max="1295" width="11.42578125" style="14" customWidth="1"/>
    <col min="1296" max="1296" width="10.7109375" style="14" customWidth="1"/>
    <col min="1297" max="1297" width="10.5703125" style="14" customWidth="1"/>
    <col min="1298" max="1298" width="11.28515625" style="14" customWidth="1"/>
    <col min="1299" max="1299" width="9.7109375" style="14" customWidth="1"/>
    <col min="1300" max="1300" width="12" style="14" customWidth="1"/>
    <col min="1301" max="1301" width="11.28515625" style="14" customWidth="1"/>
    <col min="1302" max="1539" width="9.140625" style="14"/>
    <col min="1540" max="1540" width="5.7109375" style="14" customWidth="1"/>
    <col min="1541" max="1541" width="13.140625" style="14" customWidth="1"/>
    <col min="1542" max="1542" width="12.28515625" style="14" customWidth="1"/>
    <col min="1543" max="1543" width="8.85546875" style="14" customWidth="1"/>
    <col min="1544" max="1544" width="10.85546875" style="14" customWidth="1"/>
    <col min="1545" max="1545" width="2.85546875" style="14" customWidth="1"/>
    <col min="1546" max="1546" width="12.140625" style="14" customWidth="1"/>
    <col min="1547" max="1547" width="10.140625" style="14" customWidth="1"/>
    <col min="1548" max="1548" width="11.7109375" style="14" customWidth="1"/>
    <col min="1549" max="1549" width="11.42578125" style="14" customWidth="1"/>
    <col min="1550" max="1550" width="12.7109375" style="14" customWidth="1"/>
    <col min="1551" max="1551" width="11.42578125" style="14" customWidth="1"/>
    <col min="1552" max="1552" width="10.7109375" style="14" customWidth="1"/>
    <col min="1553" max="1553" width="10.5703125" style="14" customWidth="1"/>
    <col min="1554" max="1554" width="11.28515625" style="14" customWidth="1"/>
    <col min="1555" max="1555" width="9.7109375" style="14" customWidth="1"/>
    <col min="1556" max="1556" width="12" style="14" customWidth="1"/>
    <col min="1557" max="1557" width="11.28515625" style="14" customWidth="1"/>
    <col min="1558" max="1795" width="9.140625" style="14"/>
    <col min="1796" max="1796" width="5.7109375" style="14" customWidth="1"/>
    <col min="1797" max="1797" width="13.140625" style="14" customWidth="1"/>
    <col min="1798" max="1798" width="12.28515625" style="14" customWidth="1"/>
    <col min="1799" max="1799" width="8.85546875" style="14" customWidth="1"/>
    <col min="1800" max="1800" width="10.85546875" style="14" customWidth="1"/>
    <col min="1801" max="1801" width="2.85546875" style="14" customWidth="1"/>
    <col min="1802" max="1802" width="12.140625" style="14" customWidth="1"/>
    <col min="1803" max="1803" width="10.140625" style="14" customWidth="1"/>
    <col min="1804" max="1804" width="11.7109375" style="14" customWidth="1"/>
    <col min="1805" max="1805" width="11.42578125" style="14" customWidth="1"/>
    <col min="1806" max="1806" width="12.7109375" style="14" customWidth="1"/>
    <col min="1807" max="1807" width="11.42578125" style="14" customWidth="1"/>
    <col min="1808" max="1808" width="10.7109375" style="14" customWidth="1"/>
    <col min="1809" max="1809" width="10.5703125" style="14" customWidth="1"/>
    <col min="1810" max="1810" width="11.28515625" style="14" customWidth="1"/>
    <col min="1811" max="1811" width="9.7109375" style="14" customWidth="1"/>
    <col min="1812" max="1812" width="12" style="14" customWidth="1"/>
    <col min="1813" max="1813" width="11.28515625" style="14" customWidth="1"/>
    <col min="1814" max="2051" width="9.140625" style="14"/>
    <col min="2052" max="2052" width="5.7109375" style="14" customWidth="1"/>
    <col min="2053" max="2053" width="13.140625" style="14" customWidth="1"/>
    <col min="2054" max="2054" width="12.28515625" style="14" customWidth="1"/>
    <col min="2055" max="2055" width="8.85546875" style="14" customWidth="1"/>
    <col min="2056" max="2056" width="10.85546875" style="14" customWidth="1"/>
    <col min="2057" max="2057" width="2.85546875" style="14" customWidth="1"/>
    <col min="2058" max="2058" width="12.140625" style="14" customWidth="1"/>
    <col min="2059" max="2059" width="10.140625" style="14" customWidth="1"/>
    <col min="2060" max="2060" width="11.7109375" style="14" customWidth="1"/>
    <col min="2061" max="2061" width="11.42578125" style="14" customWidth="1"/>
    <col min="2062" max="2062" width="12.7109375" style="14" customWidth="1"/>
    <col min="2063" max="2063" width="11.42578125" style="14" customWidth="1"/>
    <col min="2064" max="2064" width="10.7109375" style="14" customWidth="1"/>
    <col min="2065" max="2065" width="10.5703125" style="14" customWidth="1"/>
    <col min="2066" max="2066" width="11.28515625" style="14" customWidth="1"/>
    <col min="2067" max="2067" width="9.7109375" style="14" customWidth="1"/>
    <col min="2068" max="2068" width="12" style="14" customWidth="1"/>
    <col min="2069" max="2069" width="11.28515625" style="14" customWidth="1"/>
    <col min="2070" max="2307" width="9.140625" style="14"/>
    <col min="2308" max="2308" width="5.7109375" style="14" customWidth="1"/>
    <col min="2309" max="2309" width="13.140625" style="14" customWidth="1"/>
    <col min="2310" max="2310" width="12.28515625" style="14" customWidth="1"/>
    <col min="2311" max="2311" width="8.85546875" style="14" customWidth="1"/>
    <col min="2312" max="2312" width="10.85546875" style="14" customWidth="1"/>
    <col min="2313" max="2313" width="2.85546875" style="14" customWidth="1"/>
    <col min="2314" max="2314" width="12.140625" style="14" customWidth="1"/>
    <col min="2315" max="2315" width="10.140625" style="14" customWidth="1"/>
    <col min="2316" max="2316" width="11.7109375" style="14" customWidth="1"/>
    <col min="2317" max="2317" width="11.42578125" style="14" customWidth="1"/>
    <col min="2318" max="2318" width="12.7109375" style="14" customWidth="1"/>
    <col min="2319" max="2319" width="11.42578125" style="14" customWidth="1"/>
    <col min="2320" max="2320" width="10.7109375" style="14" customWidth="1"/>
    <col min="2321" max="2321" width="10.5703125" style="14" customWidth="1"/>
    <col min="2322" max="2322" width="11.28515625" style="14" customWidth="1"/>
    <col min="2323" max="2323" width="9.7109375" style="14" customWidth="1"/>
    <col min="2324" max="2324" width="12" style="14" customWidth="1"/>
    <col min="2325" max="2325" width="11.28515625" style="14" customWidth="1"/>
    <col min="2326" max="2563" width="9.140625" style="14"/>
    <col min="2564" max="2564" width="5.7109375" style="14" customWidth="1"/>
    <col min="2565" max="2565" width="13.140625" style="14" customWidth="1"/>
    <col min="2566" max="2566" width="12.28515625" style="14" customWidth="1"/>
    <col min="2567" max="2567" width="8.85546875" style="14" customWidth="1"/>
    <col min="2568" max="2568" width="10.85546875" style="14" customWidth="1"/>
    <col min="2569" max="2569" width="2.85546875" style="14" customWidth="1"/>
    <col min="2570" max="2570" width="12.140625" style="14" customWidth="1"/>
    <col min="2571" max="2571" width="10.140625" style="14" customWidth="1"/>
    <col min="2572" max="2572" width="11.7109375" style="14" customWidth="1"/>
    <col min="2573" max="2573" width="11.42578125" style="14" customWidth="1"/>
    <col min="2574" max="2574" width="12.7109375" style="14" customWidth="1"/>
    <col min="2575" max="2575" width="11.42578125" style="14" customWidth="1"/>
    <col min="2576" max="2576" width="10.7109375" style="14" customWidth="1"/>
    <col min="2577" max="2577" width="10.5703125" style="14" customWidth="1"/>
    <col min="2578" max="2578" width="11.28515625" style="14" customWidth="1"/>
    <col min="2579" max="2579" width="9.7109375" style="14" customWidth="1"/>
    <col min="2580" max="2580" width="12" style="14" customWidth="1"/>
    <col min="2581" max="2581" width="11.28515625" style="14" customWidth="1"/>
    <col min="2582" max="2819" width="9.140625" style="14"/>
    <col min="2820" max="2820" width="5.7109375" style="14" customWidth="1"/>
    <col min="2821" max="2821" width="13.140625" style="14" customWidth="1"/>
    <col min="2822" max="2822" width="12.28515625" style="14" customWidth="1"/>
    <col min="2823" max="2823" width="8.85546875" style="14" customWidth="1"/>
    <col min="2824" max="2824" width="10.85546875" style="14" customWidth="1"/>
    <col min="2825" max="2825" width="2.85546875" style="14" customWidth="1"/>
    <col min="2826" max="2826" width="12.140625" style="14" customWidth="1"/>
    <col min="2827" max="2827" width="10.140625" style="14" customWidth="1"/>
    <col min="2828" max="2828" width="11.7109375" style="14" customWidth="1"/>
    <col min="2829" max="2829" width="11.42578125" style="14" customWidth="1"/>
    <col min="2830" max="2830" width="12.7109375" style="14" customWidth="1"/>
    <col min="2831" max="2831" width="11.42578125" style="14" customWidth="1"/>
    <col min="2832" max="2832" width="10.7109375" style="14" customWidth="1"/>
    <col min="2833" max="2833" width="10.5703125" style="14" customWidth="1"/>
    <col min="2834" max="2834" width="11.28515625" style="14" customWidth="1"/>
    <col min="2835" max="2835" width="9.7109375" style="14" customWidth="1"/>
    <col min="2836" max="2836" width="12" style="14" customWidth="1"/>
    <col min="2837" max="2837" width="11.28515625" style="14" customWidth="1"/>
    <col min="2838" max="3075" width="9.140625" style="14"/>
    <col min="3076" max="3076" width="5.7109375" style="14" customWidth="1"/>
    <col min="3077" max="3077" width="13.140625" style="14" customWidth="1"/>
    <col min="3078" max="3078" width="12.28515625" style="14" customWidth="1"/>
    <col min="3079" max="3079" width="8.85546875" style="14" customWidth="1"/>
    <col min="3080" max="3080" width="10.85546875" style="14" customWidth="1"/>
    <col min="3081" max="3081" width="2.85546875" style="14" customWidth="1"/>
    <col min="3082" max="3082" width="12.140625" style="14" customWidth="1"/>
    <col min="3083" max="3083" width="10.140625" style="14" customWidth="1"/>
    <col min="3084" max="3084" width="11.7109375" style="14" customWidth="1"/>
    <col min="3085" max="3085" width="11.42578125" style="14" customWidth="1"/>
    <col min="3086" max="3086" width="12.7109375" style="14" customWidth="1"/>
    <col min="3087" max="3087" width="11.42578125" style="14" customWidth="1"/>
    <col min="3088" max="3088" width="10.7109375" style="14" customWidth="1"/>
    <col min="3089" max="3089" width="10.5703125" style="14" customWidth="1"/>
    <col min="3090" max="3090" width="11.28515625" style="14" customWidth="1"/>
    <col min="3091" max="3091" width="9.7109375" style="14" customWidth="1"/>
    <col min="3092" max="3092" width="12" style="14" customWidth="1"/>
    <col min="3093" max="3093" width="11.28515625" style="14" customWidth="1"/>
    <col min="3094" max="3331" width="9.140625" style="14"/>
    <col min="3332" max="3332" width="5.7109375" style="14" customWidth="1"/>
    <col min="3333" max="3333" width="13.140625" style="14" customWidth="1"/>
    <col min="3334" max="3334" width="12.28515625" style="14" customWidth="1"/>
    <col min="3335" max="3335" width="8.85546875" style="14" customWidth="1"/>
    <col min="3336" max="3336" width="10.85546875" style="14" customWidth="1"/>
    <col min="3337" max="3337" width="2.85546875" style="14" customWidth="1"/>
    <col min="3338" max="3338" width="12.140625" style="14" customWidth="1"/>
    <col min="3339" max="3339" width="10.140625" style="14" customWidth="1"/>
    <col min="3340" max="3340" width="11.7109375" style="14" customWidth="1"/>
    <col min="3341" max="3341" width="11.42578125" style="14" customWidth="1"/>
    <col min="3342" max="3342" width="12.7109375" style="14" customWidth="1"/>
    <col min="3343" max="3343" width="11.42578125" style="14" customWidth="1"/>
    <col min="3344" max="3344" width="10.7109375" style="14" customWidth="1"/>
    <col min="3345" max="3345" width="10.5703125" style="14" customWidth="1"/>
    <col min="3346" max="3346" width="11.28515625" style="14" customWidth="1"/>
    <col min="3347" max="3347" width="9.7109375" style="14" customWidth="1"/>
    <col min="3348" max="3348" width="12" style="14" customWidth="1"/>
    <col min="3349" max="3349" width="11.28515625" style="14" customWidth="1"/>
    <col min="3350" max="3587" width="9.140625" style="14"/>
    <col min="3588" max="3588" width="5.7109375" style="14" customWidth="1"/>
    <col min="3589" max="3589" width="13.140625" style="14" customWidth="1"/>
    <col min="3590" max="3590" width="12.28515625" style="14" customWidth="1"/>
    <col min="3591" max="3591" width="8.85546875" style="14" customWidth="1"/>
    <col min="3592" max="3592" width="10.85546875" style="14" customWidth="1"/>
    <col min="3593" max="3593" width="2.85546875" style="14" customWidth="1"/>
    <col min="3594" max="3594" width="12.140625" style="14" customWidth="1"/>
    <col min="3595" max="3595" width="10.140625" style="14" customWidth="1"/>
    <col min="3596" max="3596" width="11.7109375" style="14" customWidth="1"/>
    <col min="3597" max="3597" width="11.42578125" style="14" customWidth="1"/>
    <col min="3598" max="3598" width="12.7109375" style="14" customWidth="1"/>
    <col min="3599" max="3599" width="11.42578125" style="14" customWidth="1"/>
    <col min="3600" max="3600" width="10.7109375" style="14" customWidth="1"/>
    <col min="3601" max="3601" width="10.5703125" style="14" customWidth="1"/>
    <col min="3602" max="3602" width="11.28515625" style="14" customWidth="1"/>
    <col min="3603" max="3603" width="9.7109375" style="14" customWidth="1"/>
    <col min="3604" max="3604" width="12" style="14" customWidth="1"/>
    <col min="3605" max="3605" width="11.28515625" style="14" customWidth="1"/>
    <col min="3606" max="3843" width="9.140625" style="14"/>
    <col min="3844" max="3844" width="5.7109375" style="14" customWidth="1"/>
    <col min="3845" max="3845" width="13.140625" style="14" customWidth="1"/>
    <col min="3846" max="3846" width="12.28515625" style="14" customWidth="1"/>
    <col min="3847" max="3847" width="8.85546875" style="14" customWidth="1"/>
    <col min="3848" max="3848" width="10.85546875" style="14" customWidth="1"/>
    <col min="3849" max="3849" width="2.85546875" style="14" customWidth="1"/>
    <col min="3850" max="3850" width="12.140625" style="14" customWidth="1"/>
    <col min="3851" max="3851" width="10.140625" style="14" customWidth="1"/>
    <col min="3852" max="3852" width="11.7109375" style="14" customWidth="1"/>
    <col min="3853" max="3853" width="11.42578125" style="14" customWidth="1"/>
    <col min="3854" max="3854" width="12.7109375" style="14" customWidth="1"/>
    <col min="3855" max="3855" width="11.42578125" style="14" customWidth="1"/>
    <col min="3856" max="3856" width="10.7109375" style="14" customWidth="1"/>
    <col min="3857" max="3857" width="10.5703125" style="14" customWidth="1"/>
    <col min="3858" max="3858" width="11.28515625" style="14" customWidth="1"/>
    <col min="3859" max="3859" width="9.7109375" style="14" customWidth="1"/>
    <col min="3860" max="3860" width="12" style="14" customWidth="1"/>
    <col min="3861" max="3861" width="11.28515625" style="14" customWidth="1"/>
    <col min="3862" max="4099" width="9.140625" style="14"/>
    <col min="4100" max="4100" width="5.7109375" style="14" customWidth="1"/>
    <col min="4101" max="4101" width="13.140625" style="14" customWidth="1"/>
    <col min="4102" max="4102" width="12.28515625" style="14" customWidth="1"/>
    <col min="4103" max="4103" width="8.85546875" style="14" customWidth="1"/>
    <col min="4104" max="4104" width="10.85546875" style="14" customWidth="1"/>
    <col min="4105" max="4105" width="2.85546875" style="14" customWidth="1"/>
    <col min="4106" max="4106" width="12.140625" style="14" customWidth="1"/>
    <col min="4107" max="4107" width="10.140625" style="14" customWidth="1"/>
    <col min="4108" max="4108" width="11.7109375" style="14" customWidth="1"/>
    <col min="4109" max="4109" width="11.42578125" style="14" customWidth="1"/>
    <col min="4110" max="4110" width="12.7109375" style="14" customWidth="1"/>
    <col min="4111" max="4111" width="11.42578125" style="14" customWidth="1"/>
    <col min="4112" max="4112" width="10.7109375" style="14" customWidth="1"/>
    <col min="4113" max="4113" width="10.5703125" style="14" customWidth="1"/>
    <col min="4114" max="4114" width="11.28515625" style="14" customWidth="1"/>
    <col min="4115" max="4115" width="9.7109375" style="14" customWidth="1"/>
    <col min="4116" max="4116" width="12" style="14" customWidth="1"/>
    <col min="4117" max="4117" width="11.28515625" style="14" customWidth="1"/>
    <col min="4118" max="4355" width="9.140625" style="14"/>
    <col min="4356" max="4356" width="5.7109375" style="14" customWidth="1"/>
    <col min="4357" max="4357" width="13.140625" style="14" customWidth="1"/>
    <col min="4358" max="4358" width="12.28515625" style="14" customWidth="1"/>
    <col min="4359" max="4359" width="8.85546875" style="14" customWidth="1"/>
    <col min="4360" max="4360" width="10.85546875" style="14" customWidth="1"/>
    <col min="4361" max="4361" width="2.85546875" style="14" customWidth="1"/>
    <col min="4362" max="4362" width="12.140625" style="14" customWidth="1"/>
    <col min="4363" max="4363" width="10.140625" style="14" customWidth="1"/>
    <col min="4364" max="4364" width="11.7109375" style="14" customWidth="1"/>
    <col min="4365" max="4365" width="11.42578125" style="14" customWidth="1"/>
    <col min="4366" max="4366" width="12.7109375" style="14" customWidth="1"/>
    <col min="4367" max="4367" width="11.42578125" style="14" customWidth="1"/>
    <col min="4368" max="4368" width="10.7109375" style="14" customWidth="1"/>
    <col min="4369" max="4369" width="10.5703125" style="14" customWidth="1"/>
    <col min="4370" max="4370" width="11.28515625" style="14" customWidth="1"/>
    <col min="4371" max="4371" width="9.7109375" style="14" customWidth="1"/>
    <col min="4372" max="4372" width="12" style="14" customWidth="1"/>
    <col min="4373" max="4373" width="11.28515625" style="14" customWidth="1"/>
    <col min="4374" max="4611" width="9.140625" style="14"/>
    <col min="4612" max="4612" width="5.7109375" style="14" customWidth="1"/>
    <col min="4613" max="4613" width="13.140625" style="14" customWidth="1"/>
    <col min="4614" max="4614" width="12.28515625" style="14" customWidth="1"/>
    <col min="4615" max="4615" width="8.85546875" style="14" customWidth="1"/>
    <col min="4616" max="4616" width="10.85546875" style="14" customWidth="1"/>
    <col min="4617" max="4617" width="2.85546875" style="14" customWidth="1"/>
    <col min="4618" max="4618" width="12.140625" style="14" customWidth="1"/>
    <col min="4619" max="4619" width="10.140625" style="14" customWidth="1"/>
    <col min="4620" max="4620" width="11.7109375" style="14" customWidth="1"/>
    <col min="4621" max="4621" width="11.42578125" style="14" customWidth="1"/>
    <col min="4622" max="4622" width="12.7109375" style="14" customWidth="1"/>
    <col min="4623" max="4623" width="11.42578125" style="14" customWidth="1"/>
    <col min="4624" max="4624" width="10.7109375" style="14" customWidth="1"/>
    <col min="4625" max="4625" width="10.5703125" style="14" customWidth="1"/>
    <col min="4626" max="4626" width="11.28515625" style="14" customWidth="1"/>
    <col min="4627" max="4627" width="9.7109375" style="14" customWidth="1"/>
    <col min="4628" max="4628" width="12" style="14" customWidth="1"/>
    <col min="4629" max="4629" width="11.28515625" style="14" customWidth="1"/>
    <col min="4630" max="4867" width="9.140625" style="14"/>
    <col min="4868" max="4868" width="5.7109375" style="14" customWidth="1"/>
    <col min="4869" max="4869" width="13.140625" style="14" customWidth="1"/>
    <col min="4870" max="4870" width="12.28515625" style="14" customWidth="1"/>
    <col min="4871" max="4871" width="8.85546875" style="14" customWidth="1"/>
    <col min="4872" max="4872" width="10.85546875" style="14" customWidth="1"/>
    <col min="4873" max="4873" width="2.85546875" style="14" customWidth="1"/>
    <col min="4874" max="4874" width="12.140625" style="14" customWidth="1"/>
    <col min="4875" max="4875" width="10.140625" style="14" customWidth="1"/>
    <col min="4876" max="4876" width="11.7109375" style="14" customWidth="1"/>
    <col min="4877" max="4877" width="11.42578125" style="14" customWidth="1"/>
    <col min="4878" max="4878" width="12.7109375" style="14" customWidth="1"/>
    <col min="4879" max="4879" width="11.42578125" style="14" customWidth="1"/>
    <col min="4880" max="4880" width="10.7109375" style="14" customWidth="1"/>
    <col min="4881" max="4881" width="10.5703125" style="14" customWidth="1"/>
    <col min="4882" max="4882" width="11.28515625" style="14" customWidth="1"/>
    <col min="4883" max="4883" width="9.7109375" style="14" customWidth="1"/>
    <col min="4884" max="4884" width="12" style="14" customWidth="1"/>
    <col min="4885" max="4885" width="11.28515625" style="14" customWidth="1"/>
    <col min="4886" max="5123" width="9.140625" style="14"/>
    <col min="5124" max="5124" width="5.7109375" style="14" customWidth="1"/>
    <col min="5125" max="5125" width="13.140625" style="14" customWidth="1"/>
    <col min="5126" max="5126" width="12.28515625" style="14" customWidth="1"/>
    <col min="5127" max="5127" width="8.85546875" style="14" customWidth="1"/>
    <col min="5128" max="5128" width="10.85546875" style="14" customWidth="1"/>
    <col min="5129" max="5129" width="2.85546875" style="14" customWidth="1"/>
    <col min="5130" max="5130" width="12.140625" style="14" customWidth="1"/>
    <col min="5131" max="5131" width="10.140625" style="14" customWidth="1"/>
    <col min="5132" max="5132" width="11.7109375" style="14" customWidth="1"/>
    <col min="5133" max="5133" width="11.42578125" style="14" customWidth="1"/>
    <col min="5134" max="5134" width="12.7109375" style="14" customWidth="1"/>
    <col min="5135" max="5135" width="11.42578125" style="14" customWidth="1"/>
    <col min="5136" max="5136" width="10.7109375" style="14" customWidth="1"/>
    <col min="5137" max="5137" width="10.5703125" style="14" customWidth="1"/>
    <col min="5138" max="5138" width="11.28515625" style="14" customWidth="1"/>
    <col min="5139" max="5139" width="9.7109375" style="14" customWidth="1"/>
    <col min="5140" max="5140" width="12" style="14" customWidth="1"/>
    <col min="5141" max="5141" width="11.28515625" style="14" customWidth="1"/>
    <col min="5142" max="5379" width="9.140625" style="14"/>
    <col min="5380" max="5380" width="5.7109375" style="14" customWidth="1"/>
    <col min="5381" max="5381" width="13.140625" style="14" customWidth="1"/>
    <col min="5382" max="5382" width="12.28515625" style="14" customWidth="1"/>
    <col min="5383" max="5383" width="8.85546875" style="14" customWidth="1"/>
    <col min="5384" max="5384" width="10.85546875" style="14" customWidth="1"/>
    <col min="5385" max="5385" width="2.85546875" style="14" customWidth="1"/>
    <col min="5386" max="5386" width="12.140625" style="14" customWidth="1"/>
    <col min="5387" max="5387" width="10.140625" style="14" customWidth="1"/>
    <col min="5388" max="5388" width="11.7109375" style="14" customWidth="1"/>
    <col min="5389" max="5389" width="11.42578125" style="14" customWidth="1"/>
    <col min="5390" max="5390" width="12.7109375" style="14" customWidth="1"/>
    <col min="5391" max="5391" width="11.42578125" style="14" customWidth="1"/>
    <col min="5392" max="5392" width="10.7109375" style="14" customWidth="1"/>
    <col min="5393" max="5393" width="10.5703125" style="14" customWidth="1"/>
    <col min="5394" max="5394" width="11.28515625" style="14" customWidth="1"/>
    <col min="5395" max="5395" width="9.7109375" style="14" customWidth="1"/>
    <col min="5396" max="5396" width="12" style="14" customWidth="1"/>
    <col min="5397" max="5397" width="11.28515625" style="14" customWidth="1"/>
    <col min="5398" max="5635" width="9.140625" style="14"/>
    <col min="5636" max="5636" width="5.7109375" style="14" customWidth="1"/>
    <col min="5637" max="5637" width="13.140625" style="14" customWidth="1"/>
    <col min="5638" max="5638" width="12.28515625" style="14" customWidth="1"/>
    <col min="5639" max="5639" width="8.85546875" style="14" customWidth="1"/>
    <col min="5640" max="5640" width="10.85546875" style="14" customWidth="1"/>
    <col min="5641" max="5641" width="2.85546875" style="14" customWidth="1"/>
    <col min="5642" max="5642" width="12.140625" style="14" customWidth="1"/>
    <col min="5643" max="5643" width="10.140625" style="14" customWidth="1"/>
    <col min="5644" max="5644" width="11.7109375" style="14" customWidth="1"/>
    <col min="5645" max="5645" width="11.42578125" style="14" customWidth="1"/>
    <col min="5646" max="5646" width="12.7109375" style="14" customWidth="1"/>
    <col min="5647" max="5647" width="11.42578125" style="14" customWidth="1"/>
    <col min="5648" max="5648" width="10.7109375" style="14" customWidth="1"/>
    <col min="5649" max="5649" width="10.5703125" style="14" customWidth="1"/>
    <col min="5650" max="5650" width="11.28515625" style="14" customWidth="1"/>
    <col min="5651" max="5651" width="9.7109375" style="14" customWidth="1"/>
    <col min="5652" max="5652" width="12" style="14" customWidth="1"/>
    <col min="5653" max="5653" width="11.28515625" style="14" customWidth="1"/>
    <col min="5654" max="5891" width="9.140625" style="14"/>
    <col min="5892" max="5892" width="5.7109375" style="14" customWidth="1"/>
    <col min="5893" max="5893" width="13.140625" style="14" customWidth="1"/>
    <col min="5894" max="5894" width="12.28515625" style="14" customWidth="1"/>
    <col min="5895" max="5895" width="8.85546875" style="14" customWidth="1"/>
    <col min="5896" max="5896" width="10.85546875" style="14" customWidth="1"/>
    <col min="5897" max="5897" width="2.85546875" style="14" customWidth="1"/>
    <col min="5898" max="5898" width="12.140625" style="14" customWidth="1"/>
    <col min="5899" max="5899" width="10.140625" style="14" customWidth="1"/>
    <col min="5900" max="5900" width="11.7109375" style="14" customWidth="1"/>
    <col min="5901" max="5901" width="11.42578125" style="14" customWidth="1"/>
    <col min="5902" max="5902" width="12.7109375" style="14" customWidth="1"/>
    <col min="5903" max="5903" width="11.42578125" style="14" customWidth="1"/>
    <col min="5904" max="5904" width="10.7109375" style="14" customWidth="1"/>
    <col min="5905" max="5905" width="10.5703125" style="14" customWidth="1"/>
    <col min="5906" max="5906" width="11.28515625" style="14" customWidth="1"/>
    <col min="5907" max="5907" width="9.7109375" style="14" customWidth="1"/>
    <col min="5908" max="5908" width="12" style="14" customWidth="1"/>
    <col min="5909" max="5909" width="11.28515625" style="14" customWidth="1"/>
    <col min="5910" max="6147" width="9.140625" style="14"/>
    <col min="6148" max="6148" width="5.7109375" style="14" customWidth="1"/>
    <col min="6149" max="6149" width="13.140625" style="14" customWidth="1"/>
    <col min="6150" max="6150" width="12.28515625" style="14" customWidth="1"/>
    <col min="6151" max="6151" width="8.85546875" style="14" customWidth="1"/>
    <col min="6152" max="6152" width="10.85546875" style="14" customWidth="1"/>
    <col min="6153" max="6153" width="2.85546875" style="14" customWidth="1"/>
    <col min="6154" max="6154" width="12.140625" style="14" customWidth="1"/>
    <col min="6155" max="6155" width="10.140625" style="14" customWidth="1"/>
    <col min="6156" max="6156" width="11.7109375" style="14" customWidth="1"/>
    <col min="6157" max="6157" width="11.42578125" style="14" customWidth="1"/>
    <col min="6158" max="6158" width="12.7109375" style="14" customWidth="1"/>
    <col min="6159" max="6159" width="11.42578125" style="14" customWidth="1"/>
    <col min="6160" max="6160" width="10.7109375" style="14" customWidth="1"/>
    <col min="6161" max="6161" width="10.5703125" style="14" customWidth="1"/>
    <col min="6162" max="6162" width="11.28515625" style="14" customWidth="1"/>
    <col min="6163" max="6163" width="9.7109375" style="14" customWidth="1"/>
    <col min="6164" max="6164" width="12" style="14" customWidth="1"/>
    <col min="6165" max="6165" width="11.28515625" style="14" customWidth="1"/>
    <col min="6166" max="6403" width="9.140625" style="14"/>
    <col min="6404" max="6404" width="5.7109375" style="14" customWidth="1"/>
    <col min="6405" max="6405" width="13.140625" style="14" customWidth="1"/>
    <col min="6406" max="6406" width="12.28515625" style="14" customWidth="1"/>
    <col min="6407" max="6407" width="8.85546875" style="14" customWidth="1"/>
    <col min="6408" max="6408" width="10.85546875" style="14" customWidth="1"/>
    <col min="6409" max="6409" width="2.85546875" style="14" customWidth="1"/>
    <col min="6410" max="6410" width="12.140625" style="14" customWidth="1"/>
    <col min="6411" max="6411" width="10.140625" style="14" customWidth="1"/>
    <col min="6412" max="6412" width="11.7109375" style="14" customWidth="1"/>
    <col min="6413" max="6413" width="11.42578125" style="14" customWidth="1"/>
    <col min="6414" max="6414" width="12.7109375" style="14" customWidth="1"/>
    <col min="6415" max="6415" width="11.42578125" style="14" customWidth="1"/>
    <col min="6416" max="6416" width="10.7109375" style="14" customWidth="1"/>
    <col min="6417" max="6417" width="10.5703125" style="14" customWidth="1"/>
    <col min="6418" max="6418" width="11.28515625" style="14" customWidth="1"/>
    <col min="6419" max="6419" width="9.7109375" style="14" customWidth="1"/>
    <col min="6420" max="6420" width="12" style="14" customWidth="1"/>
    <col min="6421" max="6421" width="11.28515625" style="14" customWidth="1"/>
    <col min="6422" max="6659" width="9.140625" style="14"/>
    <col min="6660" max="6660" width="5.7109375" style="14" customWidth="1"/>
    <col min="6661" max="6661" width="13.140625" style="14" customWidth="1"/>
    <col min="6662" max="6662" width="12.28515625" style="14" customWidth="1"/>
    <col min="6663" max="6663" width="8.85546875" style="14" customWidth="1"/>
    <col min="6664" max="6664" width="10.85546875" style="14" customWidth="1"/>
    <col min="6665" max="6665" width="2.85546875" style="14" customWidth="1"/>
    <col min="6666" max="6666" width="12.140625" style="14" customWidth="1"/>
    <col min="6667" max="6667" width="10.140625" style="14" customWidth="1"/>
    <col min="6668" max="6668" width="11.7109375" style="14" customWidth="1"/>
    <col min="6669" max="6669" width="11.42578125" style="14" customWidth="1"/>
    <col min="6670" max="6670" width="12.7109375" style="14" customWidth="1"/>
    <col min="6671" max="6671" width="11.42578125" style="14" customWidth="1"/>
    <col min="6672" max="6672" width="10.7109375" style="14" customWidth="1"/>
    <col min="6673" max="6673" width="10.5703125" style="14" customWidth="1"/>
    <col min="6674" max="6674" width="11.28515625" style="14" customWidth="1"/>
    <col min="6675" max="6675" width="9.7109375" style="14" customWidth="1"/>
    <col min="6676" max="6676" width="12" style="14" customWidth="1"/>
    <col min="6677" max="6677" width="11.28515625" style="14" customWidth="1"/>
    <col min="6678" max="6915" width="9.140625" style="14"/>
    <col min="6916" max="6916" width="5.7109375" style="14" customWidth="1"/>
    <col min="6917" max="6917" width="13.140625" style="14" customWidth="1"/>
    <col min="6918" max="6918" width="12.28515625" style="14" customWidth="1"/>
    <col min="6919" max="6919" width="8.85546875" style="14" customWidth="1"/>
    <col min="6920" max="6920" width="10.85546875" style="14" customWidth="1"/>
    <col min="6921" max="6921" width="2.85546875" style="14" customWidth="1"/>
    <col min="6922" max="6922" width="12.140625" style="14" customWidth="1"/>
    <col min="6923" max="6923" width="10.140625" style="14" customWidth="1"/>
    <col min="6924" max="6924" width="11.7109375" style="14" customWidth="1"/>
    <col min="6925" max="6925" width="11.42578125" style="14" customWidth="1"/>
    <col min="6926" max="6926" width="12.7109375" style="14" customWidth="1"/>
    <col min="6927" max="6927" width="11.42578125" style="14" customWidth="1"/>
    <col min="6928" max="6928" width="10.7109375" style="14" customWidth="1"/>
    <col min="6929" max="6929" width="10.5703125" style="14" customWidth="1"/>
    <col min="6930" max="6930" width="11.28515625" style="14" customWidth="1"/>
    <col min="6931" max="6931" width="9.7109375" style="14" customWidth="1"/>
    <col min="6932" max="6932" width="12" style="14" customWidth="1"/>
    <col min="6933" max="6933" width="11.28515625" style="14" customWidth="1"/>
    <col min="6934" max="7171" width="9.140625" style="14"/>
    <col min="7172" max="7172" width="5.7109375" style="14" customWidth="1"/>
    <col min="7173" max="7173" width="13.140625" style="14" customWidth="1"/>
    <col min="7174" max="7174" width="12.28515625" style="14" customWidth="1"/>
    <col min="7175" max="7175" width="8.85546875" style="14" customWidth="1"/>
    <col min="7176" max="7176" width="10.85546875" style="14" customWidth="1"/>
    <col min="7177" max="7177" width="2.85546875" style="14" customWidth="1"/>
    <col min="7178" max="7178" width="12.140625" style="14" customWidth="1"/>
    <col min="7179" max="7179" width="10.140625" style="14" customWidth="1"/>
    <col min="7180" max="7180" width="11.7109375" style="14" customWidth="1"/>
    <col min="7181" max="7181" width="11.42578125" style="14" customWidth="1"/>
    <col min="7182" max="7182" width="12.7109375" style="14" customWidth="1"/>
    <col min="7183" max="7183" width="11.42578125" style="14" customWidth="1"/>
    <col min="7184" max="7184" width="10.7109375" style="14" customWidth="1"/>
    <col min="7185" max="7185" width="10.5703125" style="14" customWidth="1"/>
    <col min="7186" max="7186" width="11.28515625" style="14" customWidth="1"/>
    <col min="7187" max="7187" width="9.7109375" style="14" customWidth="1"/>
    <col min="7188" max="7188" width="12" style="14" customWidth="1"/>
    <col min="7189" max="7189" width="11.28515625" style="14" customWidth="1"/>
    <col min="7190" max="7427" width="9.140625" style="14"/>
    <col min="7428" max="7428" width="5.7109375" style="14" customWidth="1"/>
    <col min="7429" max="7429" width="13.140625" style="14" customWidth="1"/>
    <col min="7430" max="7430" width="12.28515625" style="14" customWidth="1"/>
    <col min="7431" max="7431" width="8.85546875" style="14" customWidth="1"/>
    <col min="7432" max="7432" width="10.85546875" style="14" customWidth="1"/>
    <col min="7433" max="7433" width="2.85546875" style="14" customWidth="1"/>
    <col min="7434" max="7434" width="12.140625" style="14" customWidth="1"/>
    <col min="7435" max="7435" width="10.140625" style="14" customWidth="1"/>
    <col min="7436" max="7436" width="11.7109375" style="14" customWidth="1"/>
    <col min="7437" max="7437" width="11.42578125" style="14" customWidth="1"/>
    <col min="7438" max="7438" width="12.7109375" style="14" customWidth="1"/>
    <col min="7439" max="7439" width="11.42578125" style="14" customWidth="1"/>
    <col min="7440" max="7440" width="10.7109375" style="14" customWidth="1"/>
    <col min="7441" max="7441" width="10.5703125" style="14" customWidth="1"/>
    <col min="7442" max="7442" width="11.28515625" style="14" customWidth="1"/>
    <col min="7443" max="7443" width="9.7109375" style="14" customWidth="1"/>
    <col min="7444" max="7444" width="12" style="14" customWidth="1"/>
    <col min="7445" max="7445" width="11.28515625" style="14" customWidth="1"/>
    <col min="7446" max="7683" width="9.140625" style="14"/>
    <col min="7684" max="7684" width="5.7109375" style="14" customWidth="1"/>
    <col min="7685" max="7685" width="13.140625" style="14" customWidth="1"/>
    <col min="7686" max="7686" width="12.28515625" style="14" customWidth="1"/>
    <col min="7687" max="7687" width="8.85546875" style="14" customWidth="1"/>
    <col min="7688" max="7688" width="10.85546875" style="14" customWidth="1"/>
    <col min="7689" max="7689" width="2.85546875" style="14" customWidth="1"/>
    <col min="7690" max="7690" width="12.140625" style="14" customWidth="1"/>
    <col min="7691" max="7691" width="10.140625" style="14" customWidth="1"/>
    <col min="7692" max="7692" width="11.7109375" style="14" customWidth="1"/>
    <col min="7693" max="7693" width="11.42578125" style="14" customWidth="1"/>
    <col min="7694" max="7694" width="12.7109375" style="14" customWidth="1"/>
    <col min="7695" max="7695" width="11.42578125" style="14" customWidth="1"/>
    <col min="7696" max="7696" width="10.7109375" style="14" customWidth="1"/>
    <col min="7697" max="7697" width="10.5703125" style="14" customWidth="1"/>
    <col min="7698" max="7698" width="11.28515625" style="14" customWidth="1"/>
    <col min="7699" max="7699" width="9.7109375" style="14" customWidth="1"/>
    <col min="7700" max="7700" width="12" style="14" customWidth="1"/>
    <col min="7701" max="7701" width="11.28515625" style="14" customWidth="1"/>
    <col min="7702" max="7939" width="9.140625" style="14"/>
    <col min="7940" max="7940" width="5.7109375" style="14" customWidth="1"/>
    <col min="7941" max="7941" width="13.140625" style="14" customWidth="1"/>
    <col min="7942" max="7942" width="12.28515625" style="14" customWidth="1"/>
    <col min="7943" max="7943" width="8.85546875" style="14" customWidth="1"/>
    <col min="7944" max="7944" width="10.85546875" style="14" customWidth="1"/>
    <col min="7945" max="7945" width="2.85546875" style="14" customWidth="1"/>
    <col min="7946" max="7946" width="12.140625" style="14" customWidth="1"/>
    <col min="7947" max="7947" width="10.140625" style="14" customWidth="1"/>
    <col min="7948" max="7948" width="11.7109375" style="14" customWidth="1"/>
    <col min="7949" max="7949" width="11.42578125" style="14" customWidth="1"/>
    <col min="7950" max="7950" width="12.7109375" style="14" customWidth="1"/>
    <col min="7951" max="7951" width="11.42578125" style="14" customWidth="1"/>
    <col min="7952" max="7952" width="10.7109375" style="14" customWidth="1"/>
    <col min="7953" max="7953" width="10.5703125" style="14" customWidth="1"/>
    <col min="7954" max="7954" width="11.28515625" style="14" customWidth="1"/>
    <col min="7955" max="7955" width="9.7109375" style="14" customWidth="1"/>
    <col min="7956" max="7956" width="12" style="14" customWidth="1"/>
    <col min="7957" max="7957" width="11.28515625" style="14" customWidth="1"/>
    <col min="7958" max="8195" width="9.140625" style="14"/>
    <col min="8196" max="8196" width="5.7109375" style="14" customWidth="1"/>
    <col min="8197" max="8197" width="13.140625" style="14" customWidth="1"/>
    <col min="8198" max="8198" width="12.28515625" style="14" customWidth="1"/>
    <col min="8199" max="8199" width="8.85546875" style="14" customWidth="1"/>
    <col min="8200" max="8200" width="10.85546875" style="14" customWidth="1"/>
    <col min="8201" max="8201" width="2.85546875" style="14" customWidth="1"/>
    <col min="8202" max="8202" width="12.140625" style="14" customWidth="1"/>
    <col min="8203" max="8203" width="10.140625" style="14" customWidth="1"/>
    <col min="8204" max="8204" width="11.7109375" style="14" customWidth="1"/>
    <col min="8205" max="8205" width="11.42578125" style="14" customWidth="1"/>
    <col min="8206" max="8206" width="12.7109375" style="14" customWidth="1"/>
    <col min="8207" max="8207" width="11.42578125" style="14" customWidth="1"/>
    <col min="8208" max="8208" width="10.7109375" style="14" customWidth="1"/>
    <col min="8209" max="8209" width="10.5703125" style="14" customWidth="1"/>
    <col min="8210" max="8210" width="11.28515625" style="14" customWidth="1"/>
    <col min="8211" max="8211" width="9.7109375" style="14" customWidth="1"/>
    <col min="8212" max="8212" width="12" style="14" customWidth="1"/>
    <col min="8213" max="8213" width="11.28515625" style="14" customWidth="1"/>
    <col min="8214" max="8451" width="9.140625" style="14"/>
    <col min="8452" max="8452" width="5.7109375" style="14" customWidth="1"/>
    <col min="8453" max="8453" width="13.140625" style="14" customWidth="1"/>
    <col min="8454" max="8454" width="12.28515625" style="14" customWidth="1"/>
    <col min="8455" max="8455" width="8.85546875" style="14" customWidth="1"/>
    <col min="8456" max="8456" width="10.85546875" style="14" customWidth="1"/>
    <col min="8457" max="8457" width="2.85546875" style="14" customWidth="1"/>
    <col min="8458" max="8458" width="12.140625" style="14" customWidth="1"/>
    <col min="8459" max="8459" width="10.140625" style="14" customWidth="1"/>
    <col min="8460" max="8460" width="11.7109375" style="14" customWidth="1"/>
    <col min="8461" max="8461" width="11.42578125" style="14" customWidth="1"/>
    <col min="8462" max="8462" width="12.7109375" style="14" customWidth="1"/>
    <col min="8463" max="8463" width="11.42578125" style="14" customWidth="1"/>
    <col min="8464" max="8464" width="10.7109375" style="14" customWidth="1"/>
    <col min="8465" max="8465" width="10.5703125" style="14" customWidth="1"/>
    <col min="8466" max="8466" width="11.28515625" style="14" customWidth="1"/>
    <col min="8467" max="8467" width="9.7109375" style="14" customWidth="1"/>
    <col min="8468" max="8468" width="12" style="14" customWidth="1"/>
    <col min="8469" max="8469" width="11.28515625" style="14" customWidth="1"/>
    <col min="8470" max="8707" width="9.140625" style="14"/>
    <col min="8708" max="8708" width="5.7109375" style="14" customWidth="1"/>
    <col min="8709" max="8709" width="13.140625" style="14" customWidth="1"/>
    <col min="8710" max="8710" width="12.28515625" style="14" customWidth="1"/>
    <col min="8711" max="8711" width="8.85546875" style="14" customWidth="1"/>
    <col min="8712" max="8712" width="10.85546875" style="14" customWidth="1"/>
    <col min="8713" max="8713" width="2.85546875" style="14" customWidth="1"/>
    <col min="8714" max="8714" width="12.140625" style="14" customWidth="1"/>
    <col min="8715" max="8715" width="10.140625" style="14" customWidth="1"/>
    <col min="8716" max="8716" width="11.7109375" style="14" customWidth="1"/>
    <col min="8717" max="8717" width="11.42578125" style="14" customWidth="1"/>
    <col min="8718" max="8718" width="12.7109375" style="14" customWidth="1"/>
    <col min="8719" max="8719" width="11.42578125" style="14" customWidth="1"/>
    <col min="8720" max="8720" width="10.7109375" style="14" customWidth="1"/>
    <col min="8721" max="8721" width="10.5703125" style="14" customWidth="1"/>
    <col min="8722" max="8722" width="11.28515625" style="14" customWidth="1"/>
    <col min="8723" max="8723" width="9.7109375" style="14" customWidth="1"/>
    <col min="8724" max="8724" width="12" style="14" customWidth="1"/>
    <col min="8725" max="8725" width="11.28515625" style="14" customWidth="1"/>
    <col min="8726" max="8963" width="9.140625" style="14"/>
    <col min="8964" max="8964" width="5.7109375" style="14" customWidth="1"/>
    <col min="8965" max="8965" width="13.140625" style="14" customWidth="1"/>
    <col min="8966" max="8966" width="12.28515625" style="14" customWidth="1"/>
    <col min="8967" max="8967" width="8.85546875" style="14" customWidth="1"/>
    <col min="8968" max="8968" width="10.85546875" style="14" customWidth="1"/>
    <col min="8969" max="8969" width="2.85546875" style="14" customWidth="1"/>
    <col min="8970" max="8970" width="12.140625" style="14" customWidth="1"/>
    <col min="8971" max="8971" width="10.140625" style="14" customWidth="1"/>
    <col min="8972" max="8972" width="11.7109375" style="14" customWidth="1"/>
    <col min="8973" max="8973" width="11.42578125" style="14" customWidth="1"/>
    <col min="8974" max="8974" width="12.7109375" style="14" customWidth="1"/>
    <col min="8975" max="8975" width="11.42578125" style="14" customWidth="1"/>
    <col min="8976" max="8976" width="10.7109375" style="14" customWidth="1"/>
    <col min="8977" max="8977" width="10.5703125" style="14" customWidth="1"/>
    <col min="8978" max="8978" width="11.28515625" style="14" customWidth="1"/>
    <col min="8979" max="8979" width="9.7109375" style="14" customWidth="1"/>
    <col min="8980" max="8980" width="12" style="14" customWidth="1"/>
    <col min="8981" max="8981" width="11.28515625" style="14" customWidth="1"/>
    <col min="8982" max="9219" width="9.140625" style="14"/>
    <col min="9220" max="9220" width="5.7109375" style="14" customWidth="1"/>
    <col min="9221" max="9221" width="13.140625" style="14" customWidth="1"/>
    <col min="9222" max="9222" width="12.28515625" style="14" customWidth="1"/>
    <col min="9223" max="9223" width="8.85546875" style="14" customWidth="1"/>
    <col min="9224" max="9224" width="10.85546875" style="14" customWidth="1"/>
    <col min="9225" max="9225" width="2.85546875" style="14" customWidth="1"/>
    <col min="9226" max="9226" width="12.140625" style="14" customWidth="1"/>
    <col min="9227" max="9227" width="10.140625" style="14" customWidth="1"/>
    <col min="9228" max="9228" width="11.7109375" style="14" customWidth="1"/>
    <col min="9229" max="9229" width="11.42578125" style="14" customWidth="1"/>
    <col min="9230" max="9230" width="12.7109375" style="14" customWidth="1"/>
    <col min="9231" max="9231" width="11.42578125" style="14" customWidth="1"/>
    <col min="9232" max="9232" width="10.7109375" style="14" customWidth="1"/>
    <col min="9233" max="9233" width="10.5703125" style="14" customWidth="1"/>
    <col min="9234" max="9234" width="11.28515625" style="14" customWidth="1"/>
    <col min="9235" max="9235" width="9.7109375" style="14" customWidth="1"/>
    <col min="9236" max="9236" width="12" style="14" customWidth="1"/>
    <col min="9237" max="9237" width="11.28515625" style="14" customWidth="1"/>
    <col min="9238" max="9475" width="9.140625" style="14"/>
    <col min="9476" max="9476" width="5.7109375" style="14" customWidth="1"/>
    <col min="9477" max="9477" width="13.140625" style="14" customWidth="1"/>
    <col min="9478" max="9478" width="12.28515625" style="14" customWidth="1"/>
    <col min="9479" max="9479" width="8.85546875" style="14" customWidth="1"/>
    <col min="9480" max="9480" width="10.85546875" style="14" customWidth="1"/>
    <col min="9481" max="9481" width="2.85546875" style="14" customWidth="1"/>
    <col min="9482" max="9482" width="12.140625" style="14" customWidth="1"/>
    <col min="9483" max="9483" width="10.140625" style="14" customWidth="1"/>
    <col min="9484" max="9484" width="11.7109375" style="14" customWidth="1"/>
    <col min="9485" max="9485" width="11.42578125" style="14" customWidth="1"/>
    <col min="9486" max="9486" width="12.7109375" style="14" customWidth="1"/>
    <col min="9487" max="9487" width="11.42578125" style="14" customWidth="1"/>
    <col min="9488" max="9488" width="10.7109375" style="14" customWidth="1"/>
    <col min="9489" max="9489" width="10.5703125" style="14" customWidth="1"/>
    <col min="9490" max="9490" width="11.28515625" style="14" customWidth="1"/>
    <col min="9491" max="9491" width="9.7109375" style="14" customWidth="1"/>
    <col min="9492" max="9492" width="12" style="14" customWidth="1"/>
    <col min="9493" max="9493" width="11.28515625" style="14" customWidth="1"/>
    <col min="9494" max="9731" width="9.140625" style="14"/>
    <col min="9732" max="9732" width="5.7109375" style="14" customWidth="1"/>
    <col min="9733" max="9733" width="13.140625" style="14" customWidth="1"/>
    <col min="9734" max="9734" width="12.28515625" style="14" customWidth="1"/>
    <col min="9735" max="9735" width="8.85546875" style="14" customWidth="1"/>
    <col min="9736" max="9736" width="10.85546875" style="14" customWidth="1"/>
    <col min="9737" max="9737" width="2.85546875" style="14" customWidth="1"/>
    <col min="9738" max="9738" width="12.140625" style="14" customWidth="1"/>
    <col min="9739" max="9739" width="10.140625" style="14" customWidth="1"/>
    <col min="9740" max="9740" width="11.7109375" style="14" customWidth="1"/>
    <col min="9741" max="9741" width="11.42578125" style="14" customWidth="1"/>
    <col min="9742" max="9742" width="12.7109375" style="14" customWidth="1"/>
    <col min="9743" max="9743" width="11.42578125" style="14" customWidth="1"/>
    <col min="9744" max="9744" width="10.7109375" style="14" customWidth="1"/>
    <col min="9745" max="9745" width="10.5703125" style="14" customWidth="1"/>
    <col min="9746" max="9746" width="11.28515625" style="14" customWidth="1"/>
    <col min="9747" max="9747" width="9.7109375" style="14" customWidth="1"/>
    <col min="9748" max="9748" width="12" style="14" customWidth="1"/>
    <col min="9749" max="9749" width="11.28515625" style="14" customWidth="1"/>
    <col min="9750" max="9987" width="9.140625" style="14"/>
    <col min="9988" max="9988" width="5.7109375" style="14" customWidth="1"/>
    <col min="9989" max="9989" width="13.140625" style="14" customWidth="1"/>
    <col min="9990" max="9990" width="12.28515625" style="14" customWidth="1"/>
    <col min="9991" max="9991" width="8.85546875" style="14" customWidth="1"/>
    <col min="9992" max="9992" width="10.85546875" style="14" customWidth="1"/>
    <col min="9993" max="9993" width="2.85546875" style="14" customWidth="1"/>
    <col min="9994" max="9994" width="12.140625" style="14" customWidth="1"/>
    <col min="9995" max="9995" width="10.140625" style="14" customWidth="1"/>
    <col min="9996" max="9996" width="11.7109375" style="14" customWidth="1"/>
    <col min="9997" max="9997" width="11.42578125" style="14" customWidth="1"/>
    <col min="9998" max="9998" width="12.7109375" style="14" customWidth="1"/>
    <col min="9999" max="9999" width="11.42578125" style="14" customWidth="1"/>
    <col min="10000" max="10000" width="10.7109375" style="14" customWidth="1"/>
    <col min="10001" max="10001" width="10.5703125" style="14" customWidth="1"/>
    <col min="10002" max="10002" width="11.28515625" style="14" customWidth="1"/>
    <col min="10003" max="10003" width="9.7109375" style="14" customWidth="1"/>
    <col min="10004" max="10004" width="12" style="14" customWidth="1"/>
    <col min="10005" max="10005" width="11.28515625" style="14" customWidth="1"/>
    <col min="10006" max="10243" width="9.140625" style="14"/>
    <col min="10244" max="10244" width="5.7109375" style="14" customWidth="1"/>
    <col min="10245" max="10245" width="13.140625" style="14" customWidth="1"/>
    <col min="10246" max="10246" width="12.28515625" style="14" customWidth="1"/>
    <col min="10247" max="10247" width="8.85546875" style="14" customWidth="1"/>
    <col min="10248" max="10248" width="10.85546875" style="14" customWidth="1"/>
    <col min="10249" max="10249" width="2.85546875" style="14" customWidth="1"/>
    <col min="10250" max="10250" width="12.140625" style="14" customWidth="1"/>
    <col min="10251" max="10251" width="10.140625" style="14" customWidth="1"/>
    <col min="10252" max="10252" width="11.7109375" style="14" customWidth="1"/>
    <col min="10253" max="10253" width="11.42578125" style="14" customWidth="1"/>
    <col min="10254" max="10254" width="12.7109375" style="14" customWidth="1"/>
    <col min="10255" max="10255" width="11.42578125" style="14" customWidth="1"/>
    <col min="10256" max="10256" width="10.7109375" style="14" customWidth="1"/>
    <col min="10257" max="10257" width="10.5703125" style="14" customWidth="1"/>
    <col min="10258" max="10258" width="11.28515625" style="14" customWidth="1"/>
    <col min="10259" max="10259" width="9.7109375" style="14" customWidth="1"/>
    <col min="10260" max="10260" width="12" style="14" customWidth="1"/>
    <col min="10261" max="10261" width="11.28515625" style="14" customWidth="1"/>
    <col min="10262" max="10499" width="9.140625" style="14"/>
    <col min="10500" max="10500" width="5.7109375" style="14" customWidth="1"/>
    <col min="10501" max="10501" width="13.140625" style="14" customWidth="1"/>
    <col min="10502" max="10502" width="12.28515625" style="14" customWidth="1"/>
    <col min="10503" max="10503" width="8.85546875" style="14" customWidth="1"/>
    <col min="10504" max="10504" width="10.85546875" style="14" customWidth="1"/>
    <col min="10505" max="10505" width="2.85546875" style="14" customWidth="1"/>
    <col min="10506" max="10506" width="12.140625" style="14" customWidth="1"/>
    <col min="10507" max="10507" width="10.140625" style="14" customWidth="1"/>
    <col min="10508" max="10508" width="11.7109375" style="14" customWidth="1"/>
    <col min="10509" max="10509" width="11.42578125" style="14" customWidth="1"/>
    <col min="10510" max="10510" width="12.7109375" style="14" customWidth="1"/>
    <col min="10511" max="10511" width="11.42578125" style="14" customWidth="1"/>
    <col min="10512" max="10512" width="10.7109375" style="14" customWidth="1"/>
    <col min="10513" max="10513" width="10.5703125" style="14" customWidth="1"/>
    <col min="10514" max="10514" width="11.28515625" style="14" customWidth="1"/>
    <col min="10515" max="10515" width="9.7109375" style="14" customWidth="1"/>
    <col min="10516" max="10516" width="12" style="14" customWidth="1"/>
    <col min="10517" max="10517" width="11.28515625" style="14" customWidth="1"/>
    <col min="10518" max="10755" width="9.140625" style="14"/>
    <col min="10756" max="10756" width="5.7109375" style="14" customWidth="1"/>
    <col min="10757" max="10757" width="13.140625" style="14" customWidth="1"/>
    <col min="10758" max="10758" width="12.28515625" style="14" customWidth="1"/>
    <col min="10759" max="10759" width="8.85546875" style="14" customWidth="1"/>
    <col min="10760" max="10760" width="10.85546875" style="14" customWidth="1"/>
    <col min="10761" max="10761" width="2.85546875" style="14" customWidth="1"/>
    <col min="10762" max="10762" width="12.140625" style="14" customWidth="1"/>
    <col min="10763" max="10763" width="10.140625" style="14" customWidth="1"/>
    <col min="10764" max="10764" width="11.7109375" style="14" customWidth="1"/>
    <col min="10765" max="10765" width="11.42578125" style="14" customWidth="1"/>
    <col min="10766" max="10766" width="12.7109375" style="14" customWidth="1"/>
    <col min="10767" max="10767" width="11.42578125" style="14" customWidth="1"/>
    <col min="10768" max="10768" width="10.7109375" style="14" customWidth="1"/>
    <col min="10769" max="10769" width="10.5703125" style="14" customWidth="1"/>
    <col min="10770" max="10770" width="11.28515625" style="14" customWidth="1"/>
    <col min="10771" max="10771" width="9.7109375" style="14" customWidth="1"/>
    <col min="10772" max="10772" width="12" style="14" customWidth="1"/>
    <col min="10773" max="10773" width="11.28515625" style="14" customWidth="1"/>
    <col min="10774" max="11011" width="9.140625" style="14"/>
    <col min="11012" max="11012" width="5.7109375" style="14" customWidth="1"/>
    <col min="11013" max="11013" width="13.140625" style="14" customWidth="1"/>
    <col min="11014" max="11014" width="12.28515625" style="14" customWidth="1"/>
    <col min="11015" max="11015" width="8.85546875" style="14" customWidth="1"/>
    <col min="11016" max="11016" width="10.85546875" style="14" customWidth="1"/>
    <col min="11017" max="11017" width="2.85546875" style="14" customWidth="1"/>
    <col min="11018" max="11018" width="12.140625" style="14" customWidth="1"/>
    <col min="11019" max="11019" width="10.140625" style="14" customWidth="1"/>
    <col min="11020" max="11020" width="11.7109375" style="14" customWidth="1"/>
    <col min="11021" max="11021" width="11.42578125" style="14" customWidth="1"/>
    <col min="11022" max="11022" width="12.7109375" style="14" customWidth="1"/>
    <col min="11023" max="11023" width="11.42578125" style="14" customWidth="1"/>
    <col min="11024" max="11024" width="10.7109375" style="14" customWidth="1"/>
    <col min="11025" max="11025" width="10.5703125" style="14" customWidth="1"/>
    <col min="11026" max="11026" width="11.28515625" style="14" customWidth="1"/>
    <col min="11027" max="11027" width="9.7109375" style="14" customWidth="1"/>
    <col min="11028" max="11028" width="12" style="14" customWidth="1"/>
    <col min="11029" max="11029" width="11.28515625" style="14" customWidth="1"/>
    <col min="11030" max="11267" width="9.140625" style="14"/>
    <col min="11268" max="11268" width="5.7109375" style="14" customWidth="1"/>
    <col min="11269" max="11269" width="13.140625" style="14" customWidth="1"/>
    <col min="11270" max="11270" width="12.28515625" style="14" customWidth="1"/>
    <col min="11271" max="11271" width="8.85546875" style="14" customWidth="1"/>
    <col min="11272" max="11272" width="10.85546875" style="14" customWidth="1"/>
    <col min="11273" max="11273" width="2.85546875" style="14" customWidth="1"/>
    <col min="11274" max="11274" width="12.140625" style="14" customWidth="1"/>
    <col min="11275" max="11275" width="10.140625" style="14" customWidth="1"/>
    <col min="11276" max="11276" width="11.7109375" style="14" customWidth="1"/>
    <col min="11277" max="11277" width="11.42578125" style="14" customWidth="1"/>
    <col min="11278" max="11278" width="12.7109375" style="14" customWidth="1"/>
    <col min="11279" max="11279" width="11.42578125" style="14" customWidth="1"/>
    <col min="11280" max="11280" width="10.7109375" style="14" customWidth="1"/>
    <col min="11281" max="11281" width="10.5703125" style="14" customWidth="1"/>
    <col min="11282" max="11282" width="11.28515625" style="14" customWidth="1"/>
    <col min="11283" max="11283" width="9.7109375" style="14" customWidth="1"/>
    <col min="11284" max="11284" width="12" style="14" customWidth="1"/>
    <col min="11285" max="11285" width="11.28515625" style="14" customWidth="1"/>
    <col min="11286" max="11523" width="9.140625" style="14"/>
    <col min="11524" max="11524" width="5.7109375" style="14" customWidth="1"/>
    <col min="11525" max="11525" width="13.140625" style="14" customWidth="1"/>
    <col min="11526" max="11526" width="12.28515625" style="14" customWidth="1"/>
    <col min="11527" max="11527" width="8.85546875" style="14" customWidth="1"/>
    <col min="11528" max="11528" width="10.85546875" style="14" customWidth="1"/>
    <col min="11529" max="11529" width="2.85546875" style="14" customWidth="1"/>
    <col min="11530" max="11530" width="12.140625" style="14" customWidth="1"/>
    <col min="11531" max="11531" width="10.140625" style="14" customWidth="1"/>
    <col min="11532" max="11532" width="11.7109375" style="14" customWidth="1"/>
    <col min="11533" max="11533" width="11.42578125" style="14" customWidth="1"/>
    <col min="11534" max="11534" width="12.7109375" style="14" customWidth="1"/>
    <col min="11535" max="11535" width="11.42578125" style="14" customWidth="1"/>
    <col min="11536" max="11536" width="10.7109375" style="14" customWidth="1"/>
    <col min="11537" max="11537" width="10.5703125" style="14" customWidth="1"/>
    <col min="11538" max="11538" width="11.28515625" style="14" customWidth="1"/>
    <col min="11539" max="11539" width="9.7109375" style="14" customWidth="1"/>
    <col min="11540" max="11540" width="12" style="14" customWidth="1"/>
    <col min="11541" max="11541" width="11.28515625" style="14" customWidth="1"/>
    <col min="11542" max="11779" width="9.140625" style="14"/>
    <col min="11780" max="11780" width="5.7109375" style="14" customWidth="1"/>
    <col min="11781" max="11781" width="13.140625" style="14" customWidth="1"/>
    <col min="11782" max="11782" width="12.28515625" style="14" customWidth="1"/>
    <col min="11783" max="11783" width="8.85546875" style="14" customWidth="1"/>
    <col min="11784" max="11784" width="10.85546875" style="14" customWidth="1"/>
    <col min="11785" max="11785" width="2.85546875" style="14" customWidth="1"/>
    <col min="11786" max="11786" width="12.140625" style="14" customWidth="1"/>
    <col min="11787" max="11787" width="10.140625" style="14" customWidth="1"/>
    <col min="11788" max="11788" width="11.7109375" style="14" customWidth="1"/>
    <col min="11789" max="11789" width="11.42578125" style="14" customWidth="1"/>
    <col min="11790" max="11790" width="12.7109375" style="14" customWidth="1"/>
    <col min="11791" max="11791" width="11.42578125" style="14" customWidth="1"/>
    <col min="11792" max="11792" width="10.7109375" style="14" customWidth="1"/>
    <col min="11793" max="11793" width="10.5703125" style="14" customWidth="1"/>
    <col min="11794" max="11794" width="11.28515625" style="14" customWidth="1"/>
    <col min="11795" max="11795" width="9.7109375" style="14" customWidth="1"/>
    <col min="11796" max="11796" width="12" style="14" customWidth="1"/>
    <col min="11797" max="11797" width="11.28515625" style="14" customWidth="1"/>
    <col min="11798" max="12035" width="9.140625" style="14"/>
    <col min="12036" max="12036" width="5.7109375" style="14" customWidth="1"/>
    <col min="12037" max="12037" width="13.140625" style="14" customWidth="1"/>
    <col min="12038" max="12038" width="12.28515625" style="14" customWidth="1"/>
    <col min="12039" max="12039" width="8.85546875" style="14" customWidth="1"/>
    <col min="12040" max="12040" width="10.85546875" style="14" customWidth="1"/>
    <col min="12041" max="12041" width="2.85546875" style="14" customWidth="1"/>
    <col min="12042" max="12042" width="12.140625" style="14" customWidth="1"/>
    <col min="12043" max="12043" width="10.140625" style="14" customWidth="1"/>
    <col min="12044" max="12044" width="11.7109375" style="14" customWidth="1"/>
    <col min="12045" max="12045" width="11.42578125" style="14" customWidth="1"/>
    <col min="12046" max="12046" width="12.7109375" style="14" customWidth="1"/>
    <col min="12047" max="12047" width="11.42578125" style="14" customWidth="1"/>
    <col min="12048" max="12048" width="10.7109375" style="14" customWidth="1"/>
    <col min="12049" max="12049" width="10.5703125" style="14" customWidth="1"/>
    <col min="12050" max="12050" width="11.28515625" style="14" customWidth="1"/>
    <col min="12051" max="12051" width="9.7109375" style="14" customWidth="1"/>
    <col min="12052" max="12052" width="12" style="14" customWidth="1"/>
    <col min="12053" max="12053" width="11.28515625" style="14" customWidth="1"/>
    <col min="12054" max="12291" width="9.140625" style="14"/>
    <col min="12292" max="12292" width="5.7109375" style="14" customWidth="1"/>
    <col min="12293" max="12293" width="13.140625" style="14" customWidth="1"/>
    <col min="12294" max="12294" width="12.28515625" style="14" customWidth="1"/>
    <col min="12295" max="12295" width="8.85546875" style="14" customWidth="1"/>
    <col min="12296" max="12296" width="10.85546875" style="14" customWidth="1"/>
    <col min="12297" max="12297" width="2.85546875" style="14" customWidth="1"/>
    <col min="12298" max="12298" width="12.140625" style="14" customWidth="1"/>
    <col min="12299" max="12299" width="10.140625" style="14" customWidth="1"/>
    <col min="12300" max="12300" width="11.7109375" style="14" customWidth="1"/>
    <col min="12301" max="12301" width="11.42578125" style="14" customWidth="1"/>
    <col min="12302" max="12302" width="12.7109375" style="14" customWidth="1"/>
    <col min="12303" max="12303" width="11.42578125" style="14" customWidth="1"/>
    <col min="12304" max="12304" width="10.7109375" style="14" customWidth="1"/>
    <col min="12305" max="12305" width="10.5703125" style="14" customWidth="1"/>
    <col min="12306" max="12306" width="11.28515625" style="14" customWidth="1"/>
    <col min="12307" max="12307" width="9.7109375" style="14" customWidth="1"/>
    <col min="12308" max="12308" width="12" style="14" customWidth="1"/>
    <col min="12309" max="12309" width="11.28515625" style="14" customWidth="1"/>
    <col min="12310" max="12547" width="9.140625" style="14"/>
    <col min="12548" max="12548" width="5.7109375" style="14" customWidth="1"/>
    <col min="12549" max="12549" width="13.140625" style="14" customWidth="1"/>
    <col min="12550" max="12550" width="12.28515625" style="14" customWidth="1"/>
    <col min="12551" max="12551" width="8.85546875" style="14" customWidth="1"/>
    <col min="12552" max="12552" width="10.85546875" style="14" customWidth="1"/>
    <col min="12553" max="12553" width="2.85546875" style="14" customWidth="1"/>
    <col min="12554" max="12554" width="12.140625" style="14" customWidth="1"/>
    <col min="12555" max="12555" width="10.140625" style="14" customWidth="1"/>
    <col min="12556" max="12556" width="11.7109375" style="14" customWidth="1"/>
    <col min="12557" max="12557" width="11.42578125" style="14" customWidth="1"/>
    <col min="12558" max="12558" width="12.7109375" style="14" customWidth="1"/>
    <col min="12559" max="12559" width="11.42578125" style="14" customWidth="1"/>
    <col min="12560" max="12560" width="10.7109375" style="14" customWidth="1"/>
    <col min="12561" max="12561" width="10.5703125" style="14" customWidth="1"/>
    <col min="12562" max="12562" width="11.28515625" style="14" customWidth="1"/>
    <col min="12563" max="12563" width="9.7109375" style="14" customWidth="1"/>
    <col min="12564" max="12564" width="12" style="14" customWidth="1"/>
    <col min="12565" max="12565" width="11.28515625" style="14" customWidth="1"/>
    <col min="12566" max="12803" width="9.140625" style="14"/>
    <col min="12804" max="12804" width="5.7109375" style="14" customWidth="1"/>
    <col min="12805" max="12805" width="13.140625" style="14" customWidth="1"/>
    <col min="12806" max="12806" width="12.28515625" style="14" customWidth="1"/>
    <col min="12807" max="12807" width="8.85546875" style="14" customWidth="1"/>
    <col min="12808" max="12808" width="10.85546875" style="14" customWidth="1"/>
    <col min="12809" max="12809" width="2.85546875" style="14" customWidth="1"/>
    <col min="12810" max="12810" width="12.140625" style="14" customWidth="1"/>
    <col min="12811" max="12811" width="10.140625" style="14" customWidth="1"/>
    <col min="12812" max="12812" width="11.7109375" style="14" customWidth="1"/>
    <col min="12813" max="12813" width="11.42578125" style="14" customWidth="1"/>
    <col min="12814" max="12814" width="12.7109375" style="14" customWidth="1"/>
    <col min="12815" max="12815" width="11.42578125" style="14" customWidth="1"/>
    <col min="12816" max="12816" width="10.7109375" style="14" customWidth="1"/>
    <col min="12817" max="12817" width="10.5703125" style="14" customWidth="1"/>
    <col min="12818" max="12818" width="11.28515625" style="14" customWidth="1"/>
    <col min="12819" max="12819" width="9.7109375" style="14" customWidth="1"/>
    <col min="12820" max="12820" width="12" style="14" customWidth="1"/>
    <col min="12821" max="12821" width="11.28515625" style="14" customWidth="1"/>
    <col min="12822" max="13059" width="9.140625" style="14"/>
    <col min="13060" max="13060" width="5.7109375" style="14" customWidth="1"/>
    <col min="13061" max="13061" width="13.140625" style="14" customWidth="1"/>
    <col min="13062" max="13062" width="12.28515625" style="14" customWidth="1"/>
    <col min="13063" max="13063" width="8.85546875" style="14" customWidth="1"/>
    <col min="13064" max="13064" width="10.85546875" style="14" customWidth="1"/>
    <col min="13065" max="13065" width="2.85546875" style="14" customWidth="1"/>
    <col min="13066" max="13066" width="12.140625" style="14" customWidth="1"/>
    <col min="13067" max="13067" width="10.140625" style="14" customWidth="1"/>
    <col min="13068" max="13068" width="11.7109375" style="14" customWidth="1"/>
    <col min="13069" max="13069" width="11.42578125" style="14" customWidth="1"/>
    <col min="13070" max="13070" width="12.7109375" style="14" customWidth="1"/>
    <col min="13071" max="13071" width="11.42578125" style="14" customWidth="1"/>
    <col min="13072" max="13072" width="10.7109375" style="14" customWidth="1"/>
    <col min="13073" max="13073" width="10.5703125" style="14" customWidth="1"/>
    <col min="13074" max="13074" width="11.28515625" style="14" customWidth="1"/>
    <col min="13075" max="13075" width="9.7109375" style="14" customWidth="1"/>
    <col min="13076" max="13076" width="12" style="14" customWidth="1"/>
    <col min="13077" max="13077" width="11.28515625" style="14" customWidth="1"/>
    <col min="13078" max="13315" width="9.140625" style="14"/>
    <col min="13316" max="13316" width="5.7109375" style="14" customWidth="1"/>
    <col min="13317" max="13317" width="13.140625" style="14" customWidth="1"/>
    <col min="13318" max="13318" width="12.28515625" style="14" customWidth="1"/>
    <col min="13319" max="13319" width="8.85546875" style="14" customWidth="1"/>
    <col min="13320" max="13320" width="10.85546875" style="14" customWidth="1"/>
    <col min="13321" max="13321" width="2.85546875" style="14" customWidth="1"/>
    <col min="13322" max="13322" width="12.140625" style="14" customWidth="1"/>
    <col min="13323" max="13323" width="10.140625" style="14" customWidth="1"/>
    <col min="13324" max="13324" width="11.7109375" style="14" customWidth="1"/>
    <col min="13325" max="13325" width="11.42578125" style="14" customWidth="1"/>
    <col min="13326" max="13326" width="12.7109375" style="14" customWidth="1"/>
    <col min="13327" max="13327" width="11.42578125" style="14" customWidth="1"/>
    <col min="13328" max="13328" width="10.7109375" style="14" customWidth="1"/>
    <col min="13329" max="13329" width="10.5703125" style="14" customWidth="1"/>
    <col min="13330" max="13330" width="11.28515625" style="14" customWidth="1"/>
    <col min="13331" max="13331" width="9.7109375" style="14" customWidth="1"/>
    <col min="13332" max="13332" width="12" style="14" customWidth="1"/>
    <col min="13333" max="13333" width="11.28515625" style="14" customWidth="1"/>
    <col min="13334" max="13571" width="9.140625" style="14"/>
    <col min="13572" max="13572" width="5.7109375" style="14" customWidth="1"/>
    <col min="13573" max="13573" width="13.140625" style="14" customWidth="1"/>
    <col min="13574" max="13574" width="12.28515625" style="14" customWidth="1"/>
    <col min="13575" max="13575" width="8.85546875" style="14" customWidth="1"/>
    <col min="13576" max="13576" width="10.85546875" style="14" customWidth="1"/>
    <col min="13577" max="13577" width="2.85546875" style="14" customWidth="1"/>
    <col min="13578" max="13578" width="12.140625" style="14" customWidth="1"/>
    <col min="13579" max="13579" width="10.140625" style="14" customWidth="1"/>
    <col min="13580" max="13580" width="11.7109375" style="14" customWidth="1"/>
    <col min="13581" max="13581" width="11.42578125" style="14" customWidth="1"/>
    <col min="13582" max="13582" width="12.7109375" style="14" customWidth="1"/>
    <col min="13583" max="13583" width="11.42578125" style="14" customWidth="1"/>
    <col min="13584" max="13584" width="10.7109375" style="14" customWidth="1"/>
    <col min="13585" max="13585" width="10.5703125" style="14" customWidth="1"/>
    <col min="13586" max="13586" width="11.28515625" style="14" customWidth="1"/>
    <col min="13587" max="13587" width="9.7109375" style="14" customWidth="1"/>
    <col min="13588" max="13588" width="12" style="14" customWidth="1"/>
    <col min="13589" max="13589" width="11.28515625" style="14" customWidth="1"/>
    <col min="13590" max="13827" width="9.140625" style="14"/>
    <col min="13828" max="13828" width="5.7109375" style="14" customWidth="1"/>
    <col min="13829" max="13829" width="13.140625" style="14" customWidth="1"/>
    <col min="13830" max="13830" width="12.28515625" style="14" customWidth="1"/>
    <col min="13831" max="13831" width="8.85546875" style="14" customWidth="1"/>
    <col min="13832" max="13832" width="10.85546875" style="14" customWidth="1"/>
    <col min="13833" max="13833" width="2.85546875" style="14" customWidth="1"/>
    <col min="13834" max="13834" width="12.140625" style="14" customWidth="1"/>
    <col min="13835" max="13835" width="10.140625" style="14" customWidth="1"/>
    <col min="13836" max="13836" width="11.7109375" style="14" customWidth="1"/>
    <col min="13837" max="13837" width="11.42578125" style="14" customWidth="1"/>
    <col min="13838" max="13838" width="12.7109375" style="14" customWidth="1"/>
    <col min="13839" max="13839" width="11.42578125" style="14" customWidth="1"/>
    <col min="13840" max="13840" width="10.7109375" style="14" customWidth="1"/>
    <col min="13841" max="13841" width="10.5703125" style="14" customWidth="1"/>
    <col min="13842" max="13842" width="11.28515625" style="14" customWidth="1"/>
    <col min="13843" max="13843" width="9.7109375" style="14" customWidth="1"/>
    <col min="13844" max="13844" width="12" style="14" customWidth="1"/>
    <col min="13845" max="13845" width="11.28515625" style="14" customWidth="1"/>
    <col min="13846" max="14083" width="9.140625" style="14"/>
    <col min="14084" max="14084" width="5.7109375" style="14" customWidth="1"/>
    <col min="14085" max="14085" width="13.140625" style="14" customWidth="1"/>
    <col min="14086" max="14086" width="12.28515625" style="14" customWidth="1"/>
    <col min="14087" max="14087" width="8.85546875" style="14" customWidth="1"/>
    <col min="14088" max="14088" width="10.85546875" style="14" customWidth="1"/>
    <col min="14089" max="14089" width="2.85546875" style="14" customWidth="1"/>
    <col min="14090" max="14090" width="12.140625" style="14" customWidth="1"/>
    <col min="14091" max="14091" width="10.140625" style="14" customWidth="1"/>
    <col min="14092" max="14092" width="11.7109375" style="14" customWidth="1"/>
    <col min="14093" max="14093" width="11.42578125" style="14" customWidth="1"/>
    <col min="14094" max="14094" width="12.7109375" style="14" customWidth="1"/>
    <col min="14095" max="14095" width="11.42578125" style="14" customWidth="1"/>
    <col min="14096" max="14096" width="10.7109375" style="14" customWidth="1"/>
    <col min="14097" max="14097" width="10.5703125" style="14" customWidth="1"/>
    <col min="14098" max="14098" width="11.28515625" style="14" customWidth="1"/>
    <col min="14099" max="14099" width="9.7109375" style="14" customWidth="1"/>
    <col min="14100" max="14100" width="12" style="14" customWidth="1"/>
    <col min="14101" max="14101" width="11.28515625" style="14" customWidth="1"/>
    <col min="14102" max="14339" width="9.140625" style="14"/>
    <col min="14340" max="14340" width="5.7109375" style="14" customWidth="1"/>
    <col min="14341" max="14341" width="13.140625" style="14" customWidth="1"/>
    <col min="14342" max="14342" width="12.28515625" style="14" customWidth="1"/>
    <col min="14343" max="14343" width="8.85546875" style="14" customWidth="1"/>
    <col min="14344" max="14344" width="10.85546875" style="14" customWidth="1"/>
    <col min="14345" max="14345" width="2.85546875" style="14" customWidth="1"/>
    <col min="14346" max="14346" width="12.140625" style="14" customWidth="1"/>
    <col min="14347" max="14347" width="10.140625" style="14" customWidth="1"/>
    <col min="14348" max="14348" width="11.7109375" style="14" customWidth="1"/>
    <col min="14349" max="14349" width="11.42578125" style="14" customWidth="1"/>
    <col min="14350" max="14350" width="12.7109375" style="14" customWidth="1"/>
    <col min="14351" max="14351" width="11.42578125" style="14" customWidth="1"/>
    <col min="14352" max="14352" width="10.7109375" style="14" customWidth="1"/>
    <col min="14353" max="14353" width="10.5703125" style="14" customWidth="1"/>
    <col min="14354" max="14354" width="11.28515625" style="14" customWidth="1"/>
    <col min="14355" max="14355" width="9.7109375" style="14" customWidth="1"/>
    <col min="14356" max="14356" width="12" style="14" customWidth="1"/>
    <col min="14357" max="14357" width="11.28515625" style="14" customWidth="1"/>
    <col min="14358" max="14595" width="9.140625" style="14"/>
    <col min="14596" max="14596" width="5.7109375" style="14" customWidth="1"/>
    <col min="14597" max="14597" width="13.140625" style="14" customWidth="1"/>
    <col min="14598" max="14598" width="12.28515625" style="14" customWidth="1"/>
    <col min="14599" max="14599" width="8.85546875" style="14" customWidth="1"/>
    <col min="14600" max="14600" width="10.85546875" style="14" customWidth="1"/>
    <col min="14601" max="14601" width="2.85546875" style="14" customWidth="1"/>
    <col min="14602" max="14602" width="12.140625" style="14" customWidth="1"/>
    <col min="14603" max="14603" width="10.140625" style="14" customWidth="1"/>
    <col min="14604" max="14604" width="11.7109375" style="14" customWidth="1"/>
    <col min="14605" max="14605" width="11.42578125" style="14" customWidth="1"/>
    <col min="14606" max="14606" width="12.7109375" style="14" customWidth="1"/>
    <col min="14607" max="14607" width="11.42578125" style="14" customWidth="1"/>
    <col min="14608" max="14608" width="10.7109375" style="14" customWidth="1"/>
    <col min="14609" max="14609" width="10.5703125" style="14" customWidth="1"/>
    <col min="14610" max="14610" width="11.28515625" style="14" customWidth="1"/>
    <col min="14611" max="14611" width="9.7109375" style="14" customWidth="1"/>
    <col min="14612" max="14612" width="12" style="14" customWidth="1"/>
    <col min="14613" max="14613" width="11.28515625" style="14" customWidth="1"/>
    <col min="14614" max="14851" width="9.140625" style="14"/>
    <col min="14852" max="14852" width="5.7109375" style="14" customWidth="1"/>
    <col min="14853" max="14853" width="13.140625" style="14" customWidth="1"/>
    <col min="14854" max="14854" width="12.28515625" style="14" customWidth="1"/>
    <col min="14855" max="14855" width="8.85546875" style="14" customWidth="1"/>
    <col min="14856" max="14856" width="10.85546875" style="14" customWidth="1"/>
    <col min="14857" max="14857" width="2.85546875" style="14" customWidth="1"/>
    <col min="14858" max="14858" width="12.140625" style="14" customWidth="1"/>
    <col min="14859" max="14859" width="10.140625" style="14" customWidth="1"/>
    <col min="14860" max="14860" width="11.7109375" style="14" customWidth="1"/>
    <col min="14861" max="14861" width="11.42578125" style="14" customWidth="1"/>
    <col min="14862" max="14862" width="12.7109375" style="14" customWidth="1"/>
    <col min="14863" max="14863" width="11.42578125" style="14" customWidth="1"/>
    <col min="14864" max="14864" width="10.7109375" style="14" customWidth="1"/>
    <col min="14865" max="14865" width="10.5703125" style="14" customWidth="1"/>
    <col min="14866" max="14866" width="11.28515625" style="14" customWidth="1"/>
    <col min="14867" max="14867" width="9.7109375" style="14" customWidth="1"/>
    <col min="14868" max="14868" width="12" style="14" customWidth="1"/>
    <col min="14869" max="14869" width="11.28515625" style="14" customWidth="1"/>
    <col min="14870" max="15107" width="9.140625" style="14"/>
    <col min="15108" max="15108" width="5.7109375" style="14" customWidth="1"/>
    <col min="15109" max="15109" width="13.140625" style="14" customWidth="1"/>
    <col min="15110" max="15110" width="12.28515625" style="14" customWidth="1"/>
    <col min="15111" max="15111" width="8.85546875" style="14" customWidth="1"/>
    <col min="15112" max="15112" width="10.85546875" style="14" customWidth="1"/>
    <col min="15113" max="15113" width="2.85546875" style="14" customWidth="1"/>
    <col min="15114" max="15114" width="12.140625" style="14" customWidth="1"/>
    <col min="15115" max="15115" width="10.140625" style="14" customWidth="1"/>
    <col min="15116" max="15116" width="11.7109375" style="14" customWidth="1"/>
    <col min="15117" max="15117" width="11.42578125" style="14" customWidth="1"/>
    <col min="15118" max="15118" width="12.7109375" style="14" customWidth="1"/>
    <col min="15119" max="15119" width="11.42578125" style="14" customWidth="1"/>
    <col min="15120" max="15120" width="10.7109375" style="14" customWidth="1"/>
    <col min="15121" max="15121" width="10.5703125" style="14" customWidth="1"/>
    <col min="15122" max="15122" width="11.28515625" style="14" customWidth="1"/>
    <col min="15123" max="15123" width="9.7109375" style="14" customWidth="1"/>
    <col min="15124" max="15124" width="12" style="14" customWidth="1"/>
    <col min="15125" max="15125" width="11.28515625" style="14" customWidth="1"/>
    <col min="15126" max="15363" width="9.140625" style="14"/>
    <col min="15364" max="15364" width="5.7109375" style="14" customWidth="1"/>
    <col min="15365" max="15365" width="13.140625" style="14" customWidth="1"/>
    <col min="15366" max="15366" width="12.28515625" style="14" customWidth="1"/>
    <col min="15367" max="15367" width="8.85546875" style="14" customWidth="1"/>
    <col min="15368" max="15368" width="10.85546875" style="14" customWidth="1"/>
    <col min="15369" max="15369" width="2.85546875" style="14" customWidth="1"/>
    <col min="15370" max="15370" width="12.140625" style="14" customWidth="1"/>
    <col min="15371" max="15371" width="10.140625" style="14" customWidth="1"/>
    <col min="15372" max="15372" width="11.7109375" style="14" customWidth="1"/>
    <col min="15373" max="15373" width="11.42578125" style="14" customWidth="1"/>
    <col min="15374" max="15374" width="12.7109375" style="14" customWidth="1"/>
    <col min="15375" max="15375" width="11.42578125" style="14" customWidth="1"/>
    <col min="15376" max="15376" width="10.7109375" style="14" customWidth="1"/>
    <col min="15377" max="15377" width="10.5703125" style="14" customWidth="1"/>
    <col min="15378" max="15378" width="11.28515625" style="14" customWidth="1"/>
    <col min="15379" max="15379" width="9.7109375" style="14" customWidth="1"/>
    <col min="15380" max="15380" width="12" style="14" customWidth="1"/>
    <col min="15381" max="15381" width="11.28515625" style="14" customWidth="1"/>
    <col min="15382" max="15619" width="9.140625" style="14"/>
    <col min="15620" max="15620" width="5.7109375" style="14" customWidth="1"/>
    <col min="15621" max="15621" width="13.140625" style="14" customWidth="1"/>
    <col min="15622" max="15622" width="12.28515625" style="14" customWidth="1"/>
    <col min="15623" max="15623" width="8.85546875" style="14" customWidth="1"/>
    <col min="15624" max="15624" width="10.85546875" style="14" customWidth="1"/>
    <col min="15625" max="15625" width="2.85546875" style="14" customWidth="1"/>
    <col min="15626" max="15626" width="12.140625" style="14" customWidth="1"/>
    <col min="15627" max="15627" width="10.140625" style="14" customWidth="1"/>
    <col min="15628" max="15628" width="11.7109375" style="14" customWidth="1"/>
    <col min="15629" max="15629" width="11.42578125" style="14" customWidth="1"/>
    <col min="15630" max="15630" width="12.7109375" style="14" customWidth="1"/>
    <col min="15631" max="15631" width="11.42578125" style="14" customWidth="1"/>
    <col min="15632" max="15632" width="10.7109375" style="14" customWidth="1"/>
    <col min="15633" max="15633" width="10.5703125" style="14" customWidth="1"/>
    <col min="15634" max="15634" width="11.28515625" style="14" customWidth="1"/>
    <col min="15635" max="15635" width="9.7109375" style="14" customWidth="1"/>
    <col min="15636" max="15636" width="12" style="14" customWidth="1"/>
    <col min="15637" max="15637" width="11.28515625" style="14" customWidth="1"/>
    <col min="15638" max="15875" width="9.140625" style="14"/>
    <col min="15876" max="15876" width="5.7109375" style="14" customWidth="1"/>
    <col min="15877" max="15877" width="13.140625" style="14" customWidth="1"/>
    <col min="15878" max="15878" width="12.28515625" style="14" customWidth="1"/>
    <col min="15879" max="15879" width="8.85546875" style="14" customWidth="1"/>
    <col min="15880" max="15880" width="10.85546875" style="14" customWidth="1"/>
    <col min="15881" max="15881" width="2.85546875" style="14" customWidth="1"/>
    <col min="15882" max="15882" width="12.140625" style="14" customWidth="1"/>
    <col min="15883" max="15883" width="10.140625" style="14" customWidth="1"/>
    <col min="15884" max="15884" width="11.7109375" style="14" customWidth="1"/>
    <col min="15885" max="15885" width="11.42578125" style="14" customWidth="1"/>
    <col min="15886" max="15886" width="12.7109375" style="14" customWidth="1"/>
    <col min="15887" max="15887" width="11.42578125" style="14" customWidth="1"/>
    <col min="15888" max="15888" width="10.7109375" style="14" customWidth="1"/>
    <col min="15889" max="15889" width="10.5703125" style="14" customWidth="1"/>
    <col min="15890" max="15890" width="11.28515625" style="14" customWidth="1"/>
    <col min="15891" max="15891" width="9.7109375" style="14" customWidth="1"/>
    <col min="15892" max="15892" width="12" style="14" customWidth="1"/>
    <col min="15893" max="15893" width="11.28515625" style="14" customWidth="1"/>
    <col min="15894" max="16131" width="9.140625" style="14"/>
    <col min="16132" max="16132" width="5.7109375" style="14" customWidth="1"/>
    <col min="16133" max="16133" width="13.140625" style="14" customWidth="1"/>
    <col min="16134" max="16134" width="12.28515625" style="14" customWidth="1"/>
    <col min="16135" max="16135" width="8.85546875" style="14" customWidth="1"/>
    <col min="16136" max="16136" width="10.85546875" style="14" customWidth="1"/>
    <col min="16137" max="16137" width="2.85546875" style="14" customWidth="1"/>
    <col min="16138" max="16138" width="12.140625" style="14" customWidth="1"/>
    <col min="16139" max="16139" width="10.140625" style="14" customWidth="1"/>
    <col min="16140" max="16140" width="11.7109375" style="14" customWidth="1"/>
    <col min="16141" max="16141" width="11.42578125" style="14" customWidth="1"/>
    <col min="16142" max="16142" width="12.7109375" style="14" customWidth="1"/>
    <col min="16143" max="16143" width="11.42578125" style="14" customWidth="1"/>
    <col min="16144" max="16144" width="10.7109375" style="14" customWidth="1"/>
    <col min="16145" max="16145" width="10.5703125" style="14" customWidth="1"/>
    <col min="16146" max="16146" width="11.28515625" style="14" customWidth="1"/>
    <col min="16147" max="16147" width="9.7109375" style="14" customWidth="1"/>
    <col min="16148" max="16148" width="12" style="14" customWidth="1"/>
    <col min="16149" max="16149" width="11.28515625" style="14" customWidth="1"/>
    <col min="16150" max="16384" width="9.140625" style="14"/>
  </cols>
  <sheetData>
    <row r="1" spans="4:24" ht="12.75" thickBot="1" x14ac:dyDescent="0.25"/>
    <row r="2" spans="4:24" ht="13.5" thickBot="1" x14ac:dyDescent="0.25">
      <c r="Q2" s="633" t="s">
        <v>0</v>
      </c>
      <c r="R2" s="634"/>
      <c r="S2" s="635"/>
    </row>
    <row r="3" spans="4:24" ht="13.5" thickBot="1" x14ac:dyDescent="0.25">
      <c r="I3" s="636" t="s">
        <v>1</v>
      </c>
      <c r="J3" s="637"/>
      <c r="K3" s="637"/>
      <c r="L3" s="637"/>
      <c r="M3" s="637"/>
      <c r="N3" s="637"/>
      <c r="O3" s="638"/>
      <c r="Q3" s="611">
        <f>'AGUILERA CONTRERAS LUIS GERARDO'!Q3</f>
        <v>45</v>
      </c>
      <c r="R3" s="639"/>
      <c r="S3" s="612"/>
    </row>
    <row r="4" spans="4:24" ht="13.5" thickBot="1" x14ac:dyDescent="0.25">
      <c r="I4" s="640" t="s">
        <v>2</v>
      </c>
      <c r="J4" s="641"/>
      <c r="K4" s="641"/>
      <c r="L4" s="641"/>
      <c r="M4" s="641"/>
      <c r="N4" s="641"/>
      <c r="O4" s="642"/>
      <c r="Q4" s="18"/>
      <c r="R4" s="18"/>
      <c r="S4" s="18"/>
    </row>
    <row r="5" spans="4:24" ht="13.5" thickBot="1" x14ac:dyDescent="0.25">
      <c r="I5" s="643" t="s">
        <v>3</v>
      </c>
      <c r="J5" s="644"/>
      <c r="K5" s="644"/>
      <c r="L5" s="644"/>
      <c r="M5" s="644"/>
      <c r="N5" s="644"/>
      <c r="O5" s="645"/>
      <c r="Q5" s="611" t="s">
        <v>4</v>
      </c>
      <c r="R5" s="639"/>
      <c r="S5" s="612"/>
    </row>
    <row r="6" spans="4:24" ht="13.5" thickBot="1" x14ac:dyDescent="0.25">
      <c r="I6" s="650" t="s">
        <v>5</v>
      </c>
      <c r="J6" s="651"/>
      <c r="K6" s="651"/>
      <c r="L6" s="651"/>
      <c r="M6" s="651"/>
      <c r="N6" s="651"/>
      <c r="O6" s="652"/>
      <c r="Q6" s="653">
        <f>+'ANCHONDO ROMERO CESAR ALEJANDRO'!Q6+1</f>
        <v>113</v>
      </c>
      <c r="R6" s="654"/>
      <c r="S6" s="655"/>
    </row>
    <row r="8" spans="4:24" ht="12.75" thickBot="1" x14ac:dyDescent="0.25"/>
    <row r="9" spans="4:24" ht="13.5" thickBot="1" x14ac:dyDescent="0.25">
      <c r="I9" s="611" t="s">
        <v>6</v>
      </c>
      <c r="J9" s="639"/>
      <c r="K9" s="639"/>
      <c r="L9" s="639"/>
      <c r="M9" s="639"/>
      <c r="N9" s="639"/>
      <c r="O9" s="612"/>
    </row>
    <row r="10" spans="4:24" ht="12.75" thickBot="1" x14ac:dyDescent="0.25"/>
    <row r="11" spans="4:24" ht="12.75" x14ac:dyDescent="0.2">
      <c r="D11" s="1" t="s">
        <v>7</v>
      </c>
      <c r="E11" s="2" t="s">
        <v>95</v>
      </c>
      <c r="F11" s="2"/>
      <c r="G11" s="2"/>
      <c r="H11" s="2"/>
      <c r="I11" s="2"/>
      <c r="J11" s="2"/>
      <c r="K11" s="3" t="s">
        <v>8</v>
      </c>
      <c r="L11" s="656" t="str">
        <f>'REYES LARA DANTE'!L11</f>
        <v>SEMANA #45 PERIODO DEL 27 de oct AL 02 de nov DEL 2025</v>
      </c>
      <c r="M11" s="656"/>
      <c r="N11" s="656"/>
      <c r="O11" s="656"/>
      <c r="P11" s="656"/>
      <c r="Q11" s="656"/>
      <c r="R11" s="656"/>
      <c r="S11" s="659"/>
    </row>
    <row r="12" spans="4:24" ht="12.75" x14ac:dyDescent="0.2">
      <c r="D12" s="4" t="s">
        <v>9</v>
      </c>
      <c r="E12" s="130" t="s">
        <v>337</v>
      </c>
      <c r="F12" s="130"/>
      <c r="G12" s="130"/>
      <c r="H12" s="130"/>
      <c r="I12" s="130"/>
      <c r="J12" s="130"/>
      <c r="K12" s="130"/>
      <c r="L12" s="130"/>
      <c r="M12" s="130"/>
      <c r="N12" s="130"/>
      <c r="O12" s="130"/>
      <c r="P12" s="130"/>
      <c r="Q12" s="130"/>
      <c r="R12" s="130"/>
      <c r="S12" s="256"/>
    </row>
    <row r="13" spans="4:24" ht="12.75" x14ac:dyDescent="0.2">
      <c r="D13" s="623"/>
      <c r="E13" s="624"/>
      <c r="F13" s="130"/>
      <c r="G13" s="130"/>
      <c r="H13" s="130"/>
      <c r="I13" s="130"/>
      <c r="J13" s="130"/>
      <c r="K13" s="130"/>
      <c r="L13" s="130"/>
      <c r="M13" s="130"/>
      <c r="N13" s="130"/>
      <c r="O13" s="130"/>
      <c r="P13" s="130"/>
      <c r="Q13" s="130"/>
      <c r="R13" s="130"/>
      <c r="S13" s="256"/>
    </row>
    <row r="14" spans="4:24" ht="12.75" x14ac:dyDescent="0.2">
      <c r="D14" s="625" t="s">
        <v>10</v>
      </c>
      <c r="E14" s="626"/>
      <c r="F14" s="130">
        <v>105625</v>
      </c>
      <c r="G14" s="130"/>
      <c r="H14" s="130"/>
      <c r="I14" s="6" t="s">
        <v>11</v>
      </c>
      <c r="J14" s="6"/>
      <c r="K14" s="130"/>
      <c r="L14" s="130"/>
      <c r="M14" s="130"/>
      <c r="N14" s="130"/>
      <c r="O14" s="6" t="s">
        <v>12</v>
      </c>
      <c r="P14" s="7"/>
      <c r="Q14" s="7"/>
      <c r="R14" s="7"/>
      <c r="S14" s="8"/>
    </row>
    <row r="15" spans="4:24" ht="12.75" x14ac:dyDescent="0.2">
      <c r="D15" s="625" t="s">
        <v>13</v>
      </c>
      <c r="E15" s="626"/>
      <c r="F15" s="130">
        <v>106338</v>
      </c>
      <c r="G15" s="130"/>
      <c r="H15" s="130"/>
      <c r="I15" s="6" t="s">
        <v>14</v>
      </c>
      <c r="J15" s="6"/>
      <c r="K15" s="130"/>
      <c r="L15" s="130"/>
      <c r="M15" s="130"/>
      <c r="N15" s="130"/>
      <c r="O15" s="6" t="s">
        <v>15</v>
      </c>
      <c r="P15" s="130"/>
      <c r="Q15" s="130"/>
      <c r="R15" s="130"/>
      <c r="S15" s="256"/>
      <c r="X15" s="14" t="s">
        <v>181</v>
      </c>
    </row>
    <row r="16" spans="4:24" ht="13.5" thickBot="1" x14ac:dyDescent="0.25">
      <c r="D16" s="627" t="s">
        <v>16</v>
      </c>
      <c r="E16" s="628"/>
      <c r="F16" s="257">
        <f>SUM(J19:J32)</f>
        <v>3050</v>
      </c>
      <c r="G16" s="257"/>
      <c r="H16" s="257"/>
      <c r="I16" s="9" t="s">
        <v>17</v>
      </c>
      <c r="J16" s="257">
        <f>SUM(K19:K32)</f>
        <v>861.31999999999994</v>
      </c>
      <c r="K16" s="257"/>
      <c r="L16" s="257"/>
      <c r="M16" s="257"/>
      <c r="N16" s="257"/>
      <c r="O16" s="9" t="s">
        <v>18</v>
      </c>
      <c r="P16" s="10">
        <f>+F16/J16</f>
        <v>3.5410764872521248</v>
      </c>
      <c r="Q16" s="257"/>
      <c r="R16" s="257"/>
      <c r="S16" s="258"/>
    </row>
    <row r="17" spans="2:24" ht="12.75" thickBot="1" x14ac:dyDescent="0.25"/>
    <row r="18" spans="2:24" ht="24.75" thickBot="1" x14ac:dyDescent="0.25">
      <c r="C18" s="513" t="s">
        <v>19</v>
      </c>
      <c r="D18" s="514" t="s">
        <v>20</v>
      </c>
      <c r="E18" s="515" t="s">
        <v>21</v>
      </c>
      <c r="F18" s="515" t="s">
        <v>22</v>
      </c>
      <c r="G18" s="515" t="s">
        <v>23</v>
      </c>
      <c r="H18" s="515" t="s">
        <v>24</v>
      </c>
      <c r="I18" s="515" t="s">
        <v>25</v>
      </c>
      <c r="J18" s="515" t="s">
        <v>26</v>
      </c>
      <c r="K18" s="515" t="s">
        <v>27</v>
      </c>
      <c r="L18" s="515" t="s">
        <v>28</v>
      </c>
      <c r="M18" s="515" t="s">
        <v>285</v>
      </c>
      <c r="N18" s="515" t="s">
        <v>29</v>
      </c>
      <c r="O18" s="515" t="s">
        <v>30</v>
      </c>
      <c r="P18" s="514" t="s">
        <v>31</v>
      </c>
      <c r="Q18" s="515" t="s">
        <v>219</v>
      </c>
      <c r="R18" s="515" t="s">
        <v>184</v>
      </c>
      <c r="S18" s="515" t="s">
        <v>33</v>
      </c>
      <c r="T18" s="516" t="s">
        <v>220</v>
      </c>
      <c r="U18" s="518" t="s">
        <v>351</v>
      </c>
      <c r="V18" s="519" t="s">
        <v>354</v>
      </c>
    </row>
    <row r="19" spans="2:24" x14ac:dyDescent="0.2">
      <c r="B19" s="14" t="s">
        <v>416</v>
      </c>
      <c r="C19" s="261">
        <v>46106</v>
      </c>
      <c r="D19" s="96" t="s">
        <v>529</v>
      </c>
      <c r="E19" s="97">
        <v>45958</v>
      </c>
      <c r="F19" s="97">
        <v>45959</v>
      </c>
      <c r="G19" s="96">
        <v>2</v>
      </c>
      <c r="H19" s="259" t="str">
        <f>IF(G19=1,KILOMETRAJE!C$4,IF(G19=2,KILOMETRAJE!C$5,IF(G19=3,KILOMETRAJE!C$6,IF(G19=4,KILOMETRAJE!C$7,IF(G19=5,KILOMETRAJE!C$8,IF(G19=6,KILOMETRAJE!C$9,IF(G19=7,KILOMETRAJE!C$10,IF(G19=8,KILOMETRAJE!C$11,IF(G19=9,KILOMETRAJE!C$12,IF(G19=10,KILOMETRAJE!C$13,IF(G19=11,KILOMETRAJE!C$14,IF(G19=12,KILOMETRAJE!C$15,IF(G19=13,KILOMETRAJE!C$16,IF(G19=14,KILOMETRAJE!C$17,IF(G19=15,KILOMETRAJE!C$18,IF(G19=16,KILOMETRAJE!C$19,IF(G19=17,KILOMETRAJE!C$20,IF(G19=18,KILOMETRAJE!C$21,IF(G19=19,KILOMETRAJE!C$22,IF(G19=20,KILOMETRAJE!C$23,IF(G19=21,KILOMETRAJE!C$24,IF(G19=22,KILOMETRAJE!C$25,IF(G19=23,KILOMETRAJE!C$26,IF(G19=24,KILOMETRAJE!C$27,IF(G19=25,KILOMETRAJE!C$28,IF(G19=26,KILOMETRAJE!C$29,IF(G19=27,KILOMETRAJE!C$30,IF(G19=28,KILOMETRAJE!C$31,IF(G19=29,KILOMETRAJE!C$32,IF(G19=30,KILOMETRAJE!C$33,IF(G19=31,KILOMETRAJE!C$34,IF(G19=32,KILOMETRAJE!C$35,IF(G19=33,KILOMETRAJE!C$36,IF(G19=34,KILOMETRAJE!C$37,IF(G19=35,KILOMETRAJE!C$38,IF(G19=36,KILOMETRAJE!C$39,IF(G19=37,KILOMETRAJE!C$40,IF(G19=38,KILOMETRAJE!C$41,IF(G19=39,KILOMETRAJE!C$42,IF(G19=40,KILOMETRAJE!C$43,IF(G19=41,KILOMETRAJE!C$44,IF(G19=42,KILOMETRAJE!C$45,IF(G19=43,KILOMETRAJE!C$46,IF(G19=44,KILOMETRAJE!C$47,IF(G19=45,KILOMETRAJE!C$48,IF(G19=46,KILOMETRAJE!C$49,IF(G19=47,KILOMETRAJE!C$50,IF(G19=48,KILOMETRAJE!C$51,IF(G19=49,KILOMETRAJE!C$52,IF(G19=50,KILOMETRAJE!C$53,IF(G19=51,KILOMETRAJE!C$54,IF(G19=52,KILOMETRAJE!C$55,IF(G19=53,KILOMETRAJE!C$56,IF(G19=54,KILOMETRAJE!C$57,IF(G19=55,KILOMETRAJE!C$58,IF(G19=56,KILOMETRAJE!C$59,IF(G19=57,KILOMETRAJE!C$60,IF(G19=58,KILOMETRAJE!C$61,IF(G19=59,KILOMETRAJE!C$62,IF(G19=60,KILOMETRAJE!C$63,IF(G19=61,KILOMETRAJE!C$64,IF(G19=62,KILOMETRAJE!C$65,IF(G19=63,KILOMETRAJE!C$66)))))))))))))))))))))))))))))))))))))))))))))))))))))))))))))))</f>
        <v>JRZ</v>
      </c>
      <c r="I19" s="262" t="str">
        <f>IF(G19=1,KILOMETRAJE!E$4,IF(G19=2,KILOMETRAJE!E$5,IF(G19=3,KILOMETRAJE!E$6,IF(G19=4,KILOMETRAJE!E$7,IF(G19=5,KILOMETRAJE!E$8,IF(G19=6,KILOMETRAJE!E$9,IF(G19=7,KILOMETRAJE!E$10,IF(G19=8,KILOMETRAJE!E$11,IF(G19=9,KILOMETRAJE!E$12,IF(G19=10,KILOMETRAJE!E$13,IF(G19=11,KILOMETRAJE!E$14,IF(G19=12,KILOMETRAJE!E$15,IF(G19=13,KILOMETRAJE!E$16,IF(G19=14,KILOMETRAJE!E$17,IF(G19=15,KILOMETRAJE!E$18,IF(G19=16,KILOMETRAJE!E$19,IF(G19=17,KILOMETRAJE!E$20,IF(G19=18,KILOMETRAJE!E$21,IF(G19=19,KILOMETRAJE!E$22,IF(G19=20,KILOMETRAJE!E$23,IF(G19=21,KILOMETRAJE!E$24,IF(G19=22,KILOMETRAJE!E$25,IF(G19=23,KILOMETRAJE!E$26,IF(G19=24,KILOMETRAJE!E$27,IF(G19=25,KILOMETRAJE!E$28,IF(G19=26,KILOMETRAJE!E$29,IF(G19=27,KILOMETRAJE!E$30,IF(G19=28,KILOMETRAJE!E$31,IF(G19=29,KILOMETRAJE!E$32,IF(G19=30,KILOMETRAJE!E$33,IF(G19=31,KILOMETRAJE!E$34,IF(G19=32,KILOMETRAJE!E$35,IF(G19=33,KILOMETRAJE!E$36,IF(G19=34,KILOMETRAJE!E$37,IF(G19=35,KILOMETRAJE!E$38,IF(G19=36,KILOMETRAJE!E$39,IF(G19=37,KILOMETRAJE!E$40,IF(G19=38,KILOMETRAJE!E$41,IF(G19=39,KILOMETRAJE!E$42,IF(G19=40,KILOMETRAJE!E$43,IF(G19=41,KILOMETRAJE!E$44,IF(G19=42,KILOMETRAJE!E$45,IF(G19=43,KILOMETRAJE!E$46,IF(G19=44,KILOMETRAJE!E$47,IF(G19=45,KILOMETRAJE!E$48,IF(G19=46,KILOMETRAJE!E$49,IF(G19=47,KILOMETRAJE!E$50,IF(G19=48,KILOMETRAJE!E$51,IF(G19=49,KILOMETRAJE!E$52,IF(G19=50,KILOMETRAJE!E$53,IF(G19=51,KILOMETRAJE!E$54,IF(G19=52,KILOMETRAJE!E$55,IF(G19=53,KILOMETRAJE!E$56,IF(G19=54,KILOMETRAJE!E$57,IF(G19=55,KILOMETRAJE!E$58,IF(G19=56,KILOMETRAJE!E$59,IF(G19=57,KILOMETRAJE!E$60,IF(G19=58,KILOMETRAJE!E$61,IF(G19=59,KILOMETRAJE!E$62,IF(G19=60,KILOMETRAJE!E$63,IF(G19=61,KILOMETRAJE!E$64,IF(G19=62,KILOMETRAJE!E$65,IF(G19=63,KILOMETRAJE!E$66)))))))))))))))))))))))))))))))))))))))))))))))))))))))))))))))</f>
        <v>CHIH.</v>
      </c>
      <c r="J19" s="263">
        <f>IF(G19=1,KILOMETRAJE!G$4,IF(G19=2,KILOMETRAJE!G$5,IF(G19=3,KILOMETRAJE!G$6,IF(G19=4,KILOMETRAJE!G$7,IF(G19=5,KILOMETRAJE!G$8,IF(G19=6,KILOMETRAJE!G$9,IF(G19=7,KILOMETRAJE!G$10,IF(G19=8,KILOMETRAJE!G$11,IF(G19=9,KILOMETRAJE!G$12,IF(G19=10,KILOMETRAJE!G$13,IF(G19=11,KILOMETRAJE!G$14,IF(G19=12,KILOMETRAJE!G$15,IF(G19=13,KILOMETRAJE!G$16,IF(G19=14,KILOMETRAJE!G$17,IF(G19=15,KILOMETRAJE!G$18,IF(G19=16,KILOMETRAJE!G$19,IF(G19=17,KILOMETRAJE!G$20,IF(G19=18,KILOMETRAJE!G$21,IF(G19=19,KILOMETRAJE!G$22,IF(G19=20,KILOMETRAJE!G$23,IF(G19=21,KILOMETRAJE!G$24,IF(G19=22,KILOMETRAJE!G$25,IF(G19=23,KILOMETRAJE!G$26,IF(G19=24,KILOMETRAJE!G$27,IF(G19=25,KILOMETRAJE!G$28,IF(G19=26,KILOMETRAJE!G$29,IF(G19=27,KILOMETRAJE!G$30,IF(G19=28,KILOMETRAJE!G$31,IF(G19=29,KILOMETRAJE!G$32,IF(G19=30,KILOMETRAJE!G$33,IF(G19=31,KILOMETRAJE!G$34,IF(G19=32,KILOMETRAJE!G$35,IF(G19=33,KILOMETRAJE!G$36,IF(G19=34,KILOMETRAJE!G$37,IF(G19=35,KILOMETRAJE!G$38,IF(G19=36,KILOMETRAJE!G$39,IF(G19=37,KILOMETRAJE!G$40,IF(G19=38,KILOMETRAJE!G$41,IF(G19=39,KILOMETRAJE!G$42,IF(G19=40,KILOMETRAJE!G$43,IF(G19=41,KILOMETRAJE!G$44,IF(G19=42,KILOMETRAJE!G$45,IF(G19=43,KILOMETRAJE!G$46,IF(G19=44,KILOMETRAJE!G$47,IF(G19=45,KILOMETRAJE!G$48,IF(G19=46,KILOMETRAJE!G$49,IF(G19=47,KILOMETRAJE!G$50,IF(G19=48,KILOMETRAJE!G$51,IF(G19=49,KILOMETRAJE!G$52,IF(G19=50,KILOMETRAJE!G$53,IF(G19=51,KILOMETRAJE!G$54,IF(G19=52,KILOMETRAJE!G$55,IF(G19=53,KILOMETRAJE!G$56,IF(G19=54,KILOMETRAJE!G$57,IF(G19=55,KILOMETRAJE!G$58,IF(G19=56,KILOMETRAJE!G$59,IF(G19=57,KILOMETRAJE!G$60,IF(G19=58,KILOMETRAJE!G$61,IF(G19=59,KILOMETRAJE!G$62,IF(G19=60,KILOMETRAJE!G$63,IF(G19=61,KILOMETRAJE!G$64,IF(G19=62,KILOMETRAJE!G$65,IF(G19=63,KILOMETRAJE!G$66)))))))))))))))))))))))))))))))))))))))))))))))))))))))))))))))</f>
        <v>375</v>
      </c>
      <c r="K19" s="98"/>
      <c r="L19" s="100"/>
      <c r="M19" s="377">
        <v>293</v>
      </c>
      <c r="N19" s="98">
        <v>1</v>
      </c>
      <c r="O19" s="98" t="s">
        <v>537</v>
      </c>
      <c r="P19" s="98" t="s">
        <v>201</v>
      </c>
      <c r="Q19" s="93">
        <f t="shared" ref="Q19:Q20" si="0">((((IF(N19=1,((J19)*0.29333)))+(IF(N19=2,((J19)*0.146666)))+(IF(N19=3,((J19)*0.146666)))))+(IF(N19=4,((J19-40)*0.29333)))+(IF(N19=5,((J19-50)*0.29333)))+(IF(N19=6,((J19-90)*0.29333))))</f>
        <v>109.99874999999999</v>
      </c>
      <c r="R19" s="233"/>
      <c r="S19" s="196"/>
      <c r="T19" s="469"/>
      <c r="U19" s="36"/>
      <c r="V19" s="479"/>
    </row>
    <row r="20" spans="2:24" ht="12.75" thickBot="1" x14ac:dyDescent="0.25">
      <c r="C20" s="101"/>
      <c r="D20" s="62" t="s">
        <v>530</v>
      </c>
      <c r="E20" s="25">
        <v>45959</v>
      </c>
      <c r="F20" s="25">
        <v>45959</v>
      </c>
      <c r="G20" s="62">
        <v>3</v>
      </c>
      <c r="H20" s="27" t="str">
        <f>IF(G20=1,KILOMETRAJE!C$4,IF(G20=2,KILOMETRAJE!C$5,IF(G20=3,KILOMETRAJE!C$6,IF(G20=4,KILOMETRAJE!C$7,IF(G20=5,KILOMETRAJE!C$8,IF(G20=6,KILOMETRAJE!C$9,IF(G20=7,KILOMETRAJE!C$10,IF(G20=8,KILOMETRAJE!C$11,IF(G20=9,KILOMETRAJE!C$12,IF(G20=10,KILOMETRAJE!C$13,IF(G20=11,KILOMETRAJE!C$14,IF(G20=12,KILOMETRAJE!C$15,IF(G20=13,KILOMETRAJE!C$16,IF(G20=14,KILOMETRAJE!C$17,IF(G20=15,KILOMETRAJE!C$18,IF(G20=16,KILOMETRAJE!C$19,IF(G20=17,KILOMETRAJE!C$20,IF(G20=18,KILOMETRAJE!C$21,IF(G20=19,KILOMETRAJE!C$22,IF(G20=20,KILOMETRAJE!C$23,IF(G20=21,KILOMETRAJE!C$24,IF(G20=22,KILOMETRAJE!C$25,IF(G20=23,KILOMETRAJE!C$26,IF(G20=24,KILOMETRAJE!C$27,IF(G20=25,KILOMETRAJE!C$28,IF(G20=26,KILOMETRAJE!C$29,IF(G20=27,KILOMETRAJE!C$30,IF(G20=28,KILOMETRAJE!C$31,IF(G20=29,KILOMETRAJE!C$32,IF(G20=30,KILOMETRAJE!C$33,IF(G20=31,KILOMETRAJE!C$34,IF(G20=32,KILOMETRAJE!C$35,IF(G20=33,KILOMETRAJE!C$36,IF(G20=34,KILOMETRAJE!C$37,IF(G20=35,KILOMETRAJE!C$38,IF(G20=36,KILOMETRAJE!C$39,IF(G20=37,KILOMETRAJE!C$40,IF(G20=38,KILOMETRAJE!C$41,IF(G20=39,KILOMETRAJE!C$42,IF(G20=40,KILOMETRAJE!C$43,IF(G20=41,KILOMETRAJE!C$44,IF(G20=42,KILOMETRAJE!C$45,IF(G20=43,KILOMETRAJE!C$46,IF(G20=44,KILOMETRAJE!C$47,IF(G20=45,KILOMETRAJE!C$48,IF(G20=46,KILOMETRAJE!C$49,IF(G20=47,KILOMETRAJE!C$50,IF(G20=48,KILOMETRAJE!C$51,IF(G20=49,KILOMETRAJE!C$52,IF(G20=50,KILOMETRAJE!C$53,IF(G20=51,KILOMETRAJE!C$54,IF(G20=52,KILOMETRAJE!C$55,IF(G20=53,KILOMETRAJE!C$56,IF(G20=54,KILOMETRAJE!C$57,IF(G20=55,KILOMETRAJE!C$58,IF(G20=56,KILOMETRAJE!C$59,IF(G20=57,KILOMETRAJE!C$60,IF(G20=58,KILOMETRAJE!C$61,IF(G20=59,KILOMETRAJE!C$62,IF(G20=60,KILOMETRAJE!C$63,IF(G20=61,KILOMETRAJE!C$64,IF(G20=62,KILOMETRAJE!C$65,IF(G20=63,KILOMETRAJE!C$66)))))))))))))))))))))))))))))))))))))))))))))))))))))))))))))))</f>
        <v xml:space="preserve">CHIH. </v>
      </c>
      <c r="I20" s="27" t="str">
        <f>IF(G20=1,KILOMETRAJE!E$4,IF(G20=2,KILOMETRAJE!E$5,IF(G20=3,KILOMETRAJE!E$6,IF(G20=4,KILOMETRAJE!E$7,IF(G20=5,KILOMETRAJE!E$8,IF(G20=6,KILOMETRAJE!E$9,IF(G20=7,KILOMETRAJE!E$10,IF(G20=8,KILOMETRAJE!E$11,IF(G20=9,KILOMETRAJE!E$12,IF(G20=10,KILOMETRAJE!E$13,IF(G20=11,KILOMETRAJE!E$14,IF(G20=12,KILOMETRAJE!E$15,IF(G20=13,KILOMETRAJE!E$16,IF(G20=14,KILOMETRAJE!E$17,IF(G20=15,KILOMETRAJE!E$18,IF(G20=16,KILOMETRAJE!E$19,IF(G20=17,KILOMETRAJE!E$20,IF(G20=18,KILOMETRAJE!E$21,IF(G20=19,KILOMETRAJE!E$22,IF(G20=20,KILOMETRAJE!E$23,IF(G20=21,KILOMETRAJE!E$24,IF(G20=22,KILOMETRAJE!E$25,IF(G20=23,KILOMETRAJE!E$26,IF(G20=24,KILOMETRAJE!E$27,IF(G20=25,KILOMETRAJE!E$28,IF(G20=26,KILOMETRAJE!E$29,IF(G20=27,KILOMETRAJE!E$30,IF(G20=28,KILOMETRAJE!E$31,IF(G20=29,KILOMETRAJE!E$32,IF(G20=30,KILOMETRAJE!E$33,IF(G20=31,KILOMETRAJE!E$34,IF(G20=32,KILOMETRAJE!E$35,IF(G20=33,KILOMETRAJE!E$36,IF(G20=34,KILOMETRAJE!E$37,IF(G20=35,KILOMETRAJE!E$38,IF(G20=36,KILOMETRAJE!E$39,IF(G20=37,KILOMETRAJE!E$40,IF(G20=38,KILOMETRAJE!E$41,IF(G20=39,KILOMETRAJE!E$42,IF(G20=40,KILOMETRAJE!E$43,IF(G20=41,KILOMETRAJE!E$44,IF(G20=42,KILOMETRAJE!E$45,IF(G20=43,KILOMETRAJE!E$46,IF(G20=44,KILOMETRAJE!E$47,IF(G20=45,KILOMETRAJE!E$48,IF(G20=46,KILOMETRAJE!E$49,IF(G20=47,KILOMETRAJE!E$50,IF(G20=48,KILOMETRAJE!E$51,IF(G20=49,KILOMETRAJE!E$52,IF(G20=50,KILOMETRAJE!E$53,IF(G20=51,KILOMETRAJE!E$54,IF(G20=52,KILOMETRAJE!E$55,IF(G20=53,KILOMETRAJE!E$56,IF(G20=54,KILOMETRAJE!E$57,IF(G20=55,KILOMETRAJE!E$58,IF(G20=56,KILOMETRAJE!E$59,IF(G20=57,KILOMETRAJE!E$60,IF(G20=58,KILOMETRAJE!E$61,IF(G20=59,KILOMETRAJE!E$62,IF(G20=60,KILOMETRAJE!E$63,IF(G20=61,KILOMETRAJE!E$64,IF(G20=62,KILOMETRAJE!E$65,IF(G20=63,KILOMETRAJE!E$66)))))))))))))))))))))))))))))))))))))))))))))))))))))))))))))))</f>
        <v>JRZ</v>
      </c>
      <c r="J20" s="31">
        <f>IF(G20=1,KILOMETRAJE!G$4,IF(G20=2,KILOMETRAJE!G$5,IF(G20=3,KILOMETRAJE!G$6,IF(G20=4,KILOMETRAJE!G$7,IF(G20=5,KILOMETRAJE!G$8,IF(G20=6,KILOMETRAJE!G$9,IF(G20=7,KILOMETRAJE!G$10,IF(G20=8,KILOMETRAJE!G$11,IF(G20=9,KILOMETRAJE!G$12,IF(G20=10,KILOMETRAJE!G$13,IF(G20=11,KILOMETRAJE!G$14,IF(G20=12,KILOMETRAJE!G$15,IF(G20=13,KILOMETRAJE!G$16,IF(G20=14,KILOMETRAJE!G$17,IF(G20=15,KILOMETRAJE!G$18,IF(G20=16,KILOMETRAJE!G$19,IF(G20=17,KILOMETRAJE!G$20,IF(G20=18,KILOMETRAJE!G$21,IF(G20=19,KILOMETRAJE!G$22,IF(G20=20,KILOMETRAJE!G$23,IF(G20=21,KILOMETRAJE!G$24,IF(G20=22,KILOMETRAJE!G$25,IF(G20=23,KILOMETRAJE!G$26,IF(G20=24,KILOMETRAJE!G$27,IF(G20=25,KILOMETRAJE!G$28,IF(G20=26,KILOMETRAJE!G$29,IF(G20=27,KILOMETRAJE!G$30,IF(G20=28,KILOMETRAJE!G$31,IF(G20=29,KILOMETRAJE!G$32,IF(G20=30,KILOMETRAJE!G$33,IF(G20=31,KILOMETRAJE!G$34,IF(G20=32,KILOMETRAJE!G$35,IF(G20=33,KILOMETRAJE!G$36,IF(G20=34,KILOMETRAJE!G$37,IF(G20=35,KILOMETRAJE!G$38,IF(G20=36,KILOMETRAJE!G$39,IF(G20=37,KILOMETRAJE!G$40,IF(G20=38,KILOMETRAJE!G$41,IF(G20=39,KILOMETRAJE!G$42,IF(G20=40,KILOMETRAJE!G$43,IF(G20=41,KILOMETRAJE!G$44,IF(G20=42,KILOMETRAJE!G$45,IF(G20=43,KILOMETRAJE!G$46,IF(G20=44,KILOMETRAJE!G$47,IF(G20=45,KILOMETRAJE!G$48,IF(G20=46,KILOMETRAJE!G$49,IF(G20=47,KILOMETRAJE!G$50,IF(G20=48,KILOMETRAJE!G$51,IF(G20=49,KILOMETRAJE!G$52,IF(G20=50,KILOMETRAJE!G$53,IF(G20=51,KILOMETRAJE!G$54,IF(G20=52,KILOMETRAJE!G$55,IF(G20=53,KILOMETRAJE!G$56,IF(G20=54,KILOMETRAJE!G$57,IF(G20=55,KILOMETRAJE!G$58,IF(G20=56,KILOMETRAJE!G$59,IF(G20=57,KILOMETRAJE!G$60,IF(G20=58,KILOMETRAJE!G$61,IF(G20=59,KILOMETRAJE!G$62,IF(G20=60,KILOMETRAJE!G$63,IF(G20=61,KILOMETRAJE!G$64,IF(G20=62,KILOMETRAJE!G$65,IF(G20=63,KILOMETRAJE!G$66)))))))))))))))))))))))))))))))))))))))))))))))))))))))))))))))</f>
        <v>375</v>
      </c>
      <c r="K20" s="27">
        <v>226</v>
      </c>
      <c r="L20" s="28">
        <f>SUM(J19:J20)/K20</f>
        <v>3.3185840707964602</v>
      </c>
      <c r="M20" s="349">
        <v>4160</v>
      </c>
      <c r="N20" s="27">
        <v>1</v>
      </c>
      <c r="O20" s="27" t="s">
        <v>538</v>
      </c>
      <c r="P20" s="27" t="s">
        <v>247</v>
      </c>
      <c r="Q20" s="29">
        <f t="shared" si="0"/>
        <v>109.99874999999999</v>
      </c>
      <c r="R20" s="190">
        <f>+LOOKUP(P40,UNIDADES!B$3:B$59,UNIDADES!C$3:C$59)</f>
        <v>2.3734099999999998</v>
      </c>
      <c r="S20" s="19">
        <f>+((SUM(J19:J20))/R20)-K20</f>
        <v>90.001028056677967</v>
      </c>
      <c r="T20" s="456">
        <f>+S20*14.85</f>
        <v>1336.5152666416677</v>
      </c>
      <c r="U20" s="62"/>
      <c r="V20" s="417"/>
      <c r="W20" s="244"/>
      <c r="X20" s="244"/>
    </row>
    <row r="21" spans="2:24" ht="12.75" thickBot="1" x14ac:dyDescent="0.25">
      <c r="C21" s="176">
        <v>46142</v>
      </c>
      <c r="D21" s="43" t="s">
        <v>531</v>
      </c>
      <c r="E21" s="42">
        <v>45959</v>
      </c>
      <c r="F21" s="42">
        <v>45960</v>
      </c>
      <c r="G21" s="43">
        <v>2</v>
      </c>
      <c r="H21" s="259" t="str">
        <f>IF(G21=1,KILOMETRAJE!C$4,IF(G21=2,KILOMETRAJE!C$5,IF(G21=3,KILOMETRAJE!C$6,IF(G21=4,KILOMETRAJE!C$7,IF(G21=5,KILOMETRAJE!C$8,IF(G21=6,KILOMETRAJE!C$9,IF(G21=7,KILOMETRAJE!C$10,IF(G21=8,KILOMETRAJE!C$11,IF(G21=9,KILOMETRAJE!C$12,IF(G21=10,KILOMETRAJE!C$13,IF(G21=11,KILOMETRAJE!C$14,IF(G21=12,KILOMETRAJE!C$15,IF(G21=13,KILOMETRAJE!C$16,IF(G21=14,KILOMETRAJE!C$17,IF(G21=15,KILOMETRAJE!C$18,IF(G21=16,KILOMETRAJE!C$19,IF(G21=17,KILOMETRAJE!C$20,IF(G21=18,KILOMETRAJE!C$21,IF(G21=19,KILOMETRAJE!C$22,IF(G21=20,KILOMETRAJE!C$23,IF(G21=21,KILOMETRAJE!C$24,IF(G21=22,KILOMETRAJE!C$25,IF(G21=23,KILOMETRAJE!C$26,IF(G21=24,KILOMETRAJE!C$27,IF(G21=25,KILOMETRAJE!C$28,IF(G21=26,KILOMETRAJE!C$29,IF(G21=27,KILOMETRAJE!C$30,IF(G21=28,KILOMETRAJE!C$31,IF(G21=29,KILOMETRAJE!C$32,IF(G21=30,KILOMETRAJE!C$33,IF(G21=31,KILOMETRAJE!C$34,IF(G21=32,KILOMETRAJE!C$35,IF(G21=33,KILOMETRAJE!C$36,IF(G21=34,KILOMETRAJE!C$37,IF(G21=35,KILOMETRAJE!C$38,IF(G21=36,KILOMETRAJE!C$39,IF(G21=37,KILOMETRAJE!C$40,IF(G21=38,KILOMETRAJE!C$41,IF(G21=39,KILOMETRAJE!C$42,IF(G21=40,KILOMETRAJE!C$43,IF(G21=41,KILOMETRAJE!C$44,IF(G21=42,KILOMETRAJE!C$45,IF(G21=43,KILOMETRAJE!C$46,IF(G21=44,KILOMETRAJE!C$47,IF(G21=45,KILOMETRAJE!C$48,IF(G21=46,KILOMETRAJE!C$49,IF(G21=47,KILOMETRAJE!C$50,IF(G21=48,KILOMETRAJE!C$51,IF(G21=49,KILOMETRAJE!C$52,IF(G21=50,KILOMETRAJE!C$53,IF(G21=51,KILOMETRAJE!C$54,IF(G21=52,KILOMETRAJE!C$55,IF(G21=53,KILOMETRAJE!C$56,IF(G21=54,KILOMETRAJE!C$57,IF(G21=55,KILOMETRAJE!C$58,IF(G21=56,KILOMETRAJE!C$59,IF(G21=57,KILOMETRAJE!C$60,IF(G21=58,KILOMETRAJE!C$61,IF(G21=59,KILOMETRAJE!C$62,IF(G21=60,KILOMETRAJE!C$63,IF(G21=61,KILOMETRAJE!C$64,IF(G21=62,KILOMETRAJE!C$65,IF(G21=63,KILOMETRAJE!C$66)))))))))))))))))))))))))))))))))))))))))))))))))))))))))))))))</f>
        <v>JRZ</v>
      </c>
      <c r="I21" s="262" t="str">
        <f>IF(G21=1,KILOMETRAJE!E$4,IF(G21=2,KILOMETRAJE!E$5,IF(G21=3,KILOMETRAJE!E$6,IF(G21=4,KILOMETRAJE!E$7,IF(G21=5,KILOMETRAJE!E$8,IF(G21=6,KILOMETRAJE!E$9,IF(G21=7,KILOMETRAJE!E$10,IF(G21=8,KILOMETRAJE!E$11,IF(G21=9,KILOMETRAJE!E$12,IF(G21=10,KILOMETRAJE!E$13,IF(G21=11,KILOMETRAJE!E$14,IF(G21=12,KILOMETRAJE!E$15,IF(G21=13,KILOMETRAJE!E$16,IF(G21=14,KILOMETRAJE!E$17,IF(G21=15,KILOMETRAJE!E$18,IF(G21=16,KILOMETRAJE!E$19,IF(G21=17,KILOMETRAJE!E$20,IF(G21=18,KILOMETRAJE!E$21,IF(G21=19,KILOMETRAJE!E$22,IF(G21=20,KILOMETRAJE!E$23,IF(G21=21,KILOMETRAJE!E$24,IF(G21=22,KILOMETRAJE!E$25,IF(G21=23,KILOMETRAJE!E$26,IF(G21=24,KILOMETRAJE!E$27,IF(G21=25,KILOMETRAJE!E$28,IF(G21=26,KILOMETRAJE!E$29,IF(G21=27,KILOMETRAJE!E$30,IF(G21=28,KILOMETRAJE!E$31,IF(G21=29,KILOMETRAJE!E$32,IF(G21=30,KILOMETRAJE!E$33,IF(G21=31,KILOMETRAJE!E$34,IF(G21=32,KILOMETRAJE!E$35,IF(G21=33,KILOMETRAJE!E$36,IF(G21=34,KILOMETRAJE!E$37,IF(G21=35,KILOMETRAJE!E$38,IF(G21=36,KILOMETRAJE!E$39,IF(G21=37,KILOMETRAJE!E$40,IF(G21=38,KILOMETRAJE!E$41,IF(G21=39,KILOMETRAJE!E$42,IF(G21=40,KILOMETRAJE!E$43,IF(G21=41,KILOMETRAJE!E$44,IF(G21=42,KILOMETRAJE!E$45,IF(G21=43,KILOMETRAJE!E$46,IF(G21=44,KILOMETRAJE!E$47,IF(G21=45,KILOMETRAJE!E$48,IF(G21=46,KILOMETRAJE!E$49,IF(G21=47,KILOMETRAJE!E$50,IF(G21=48,KILOMETRAJE!E$51,IF(G21=49,KILOMETRAJE!E$52,IF(G21=50,KILOMETRAJE!E$53,IF(G21=51,KILOMETRAJE!E$54,IF(G21=52,KILOMETRAJE!E$55,IF(G21=53,KILOMETRAJE!E$56,IF(G21=54,KILOMETRAJE!E$57,IF(G21=55,KILOMETRAJE!E$58,IF(G21=56,KILOMETRAJE!E$59,IF(G21=57,KILOMETRAJE!E$60,IF(G21=58,KILOMETRAJE!E$61,IF(G21=59,KILOMETRAJE!E$62,IF(G21=60,KILOMETRAJE!E$63,IF(G21=61,KILOMETRAJE!E$64,IF(G21=62,KILOMETRAJE!E$65,IF(G21=63,KILOMETRAJE!E$66)))))))))))))))))))))))))))))))))))))))))))))))))))))))))))))))</f>
        <v>CHIH.</v>
      </c>
      <c r="J21" s="263">
        <f>IF(G21=1,KILOMETRAJE!G$4,IF(G21=2,KILOMETRAJE!G$5,IF(G21=3,KILOMETRAJE!G$6,IF(G21=4,KILOMETRAJE!G$7,IF(G21=5,KILOMETRAJE!G$8,IF(G21=6,KILOMETRAJE!G$9,IF(G21=7,KILOMETRAJE!G$10,IF(G21=8,KILOMETRAJE!G$11,IF(G21=9,KILOMETRAJE!G$12,IF(G21=10,KILOMETRAJE!G$13,IF(G21=11,KILOMETRAJE!G$14,IF(G21=12,KILOMETRAJE!G$15,IF(G21=13,KILOMETRAJE!G$16,IF(G21=14,KILOMETRAJE!G$17,IF(G21=15,KILOMETRAJE!G$18,IF(G21=16,KILOMETRAJE!G$19,IF(G21=17,KILOMETRAJE!G$20,IF(G21=18,KILOMETRAJE!G$21,IF(G21=19,KILOMETRAJE!G$22,IF(G21=20,KILOMETRAJE!G$23,IF(G21=21,KILOMETRAJE!G$24,IF(G21=22,KILOMETRAJE!G$25,IF(G21=23,KILOMETRAJE!G$26,IF(G21=24,KILOMETRAJE!G$27,IF(G21=25,KILOMETRAJE!G$28,IF(G21=26,KILOMETRAJE!G$29,IF(G21=27,KILOMETRAJE!G$30,IF(G21=28,KILOMETRAJE!G$31,IF(G21=29,KILOMETRAJE!G$32,IF(G21=30,KILOMETRAJE!G$33,IF(G21=31,KILOMETRAJE!G$34,IF(G21=32,KILOMETRAJE!G$35,IF(G21=33,KILOMETRAJE!G$36,IF(G21=34,KILOMETRAJE!G$37,IF(G21=35,KILOMETRAJE!G$38,IF(G21=36,KILOMETRAJE!G$39,IF(G21=37,KILOMETRAJE!G$40,IF(G21=38,KILOMETRAJE!G$41,IF(G21=39,KILOMETRAJE!G$42,IF(G21=40,KILOMETRAJE!G$43,IF(G21=41,KILOMETRAJE!G$44,IF(G21=42,KILOMETRAJE!G$45,IF(G21=43,KILOMETRAJE!G$46,IF(G21=44,KILOMETRAJE!G$47,IF(G21=45,KILOMETRAJE!G$48,IF(G21=46,KILOMETRAJE!G$49,IF(G21=47,KILOMETRAJE!G$50,IF(G21=48,KILOMETRAJE!G$51,IF(G21=49,KILOMETRAJE!G$52,IF(G21=50,KILOMETRAJE!G$53,IF(G21=51,KILOMETRAJE!G$54,IF(G21=52,KILOMETRAJE!G$55,IF(G21=53,KILOMETRAJE!G$56,IF(G21=54,KILOMETRAJE!G$57,IF(G21=55,KILOMETRAJE!G$58,IF(G21=56,KILOMETRAJE!G$59,IF(G21=57,KILOMETRAJE!G$60,IF(G21=58,KILOMETRAJE!G$61,IF(G21=59,KILOMETRAJE!G$62,IF(G21=60,KILOMETRAJE!G$63,IF(G21=61,KILOMETRAJE!G$64,IF(G21=62,KILOMETRAJE!G$65,IF(G21=63,KILOMETRAJE!G$66)))))))))))))))))))))))))))))))))))))))))))))))))))))))))))))))</f>
        <v>375</v>
      </c>
      <c r="K21" s="98"/>
      <c r="L21" s="100"/>
      <c r="M21" s="377">
        <v>2586</v>
      </c>
      <c r="N21" s="98">
        <v>1</v>
      </c>
      <c r="O21" s="98" t="s">
        <v>539</v>
      </c>
      <c r="P21" s="27" t="s">
        <v>198</v>
      </c>
      <c r="Q21" s="93">
        <f t="shared" ref="Q21:Q26" si="1">((((IF(N21=1,((J21)*0.29333)))+(IF(N21=2,((J21)*0.146666)))+(IF(N21=3,((J21)*0.146666)))))+(IF(N21=4,((J21-40)*0.29333)))+(IF(N21=5,((J21-50)*0.29333)))+(IF(N21=6,((J21-90)*0.29333))))</f>
        <v>109.99874999999999</v>
      </c>
      <c r="R21" s="233"/>
      <c r="S21" s="196"/>
      <c r="T21" s="469"/>
      <c r="U21" s="24"/>
      <c r="V21" s="475"/>
      <c r="X21" s="245"/>
    </row>
    <row r="22" spans="2:24" ht="12.75" thickBot="1" x14ac:dyDescent="0.25">
      <c r="C22" s="101"/>
      <c r="D22" s="62" t="s">
        <v>532</v>
      </c>
      <c r="E22" s="25">
        <v>45960</v>
      </c>
      <c r="F22" s="25">
        <v>45960</v>
      </c>
      <c r="G22" s="62">
        <v>3</v>
      </c>
      <c r="H22" s="27" t="str">
        <f>IF(G22=1,KILOMETRAJE!C$4,IF(G22=2,KILOMETRAJE!C$5,IF(G22=3,KILOMETRAJE!C$6,IF(G22=4,KILOMETRAJE!C$7,IF(G22=5,KILOMETRAJE!C$8,IF(G22=6,KILOMETRAJE!C$9,IF(G22=7,KILOMETRAJE!C$10,IF(G22=8,KILOMETRAJE!C$11,IF(G22=9,KILOMETRAJE!C$12,IF(G22=10,KILOMETRAJE!C$13,IF(G22=11,KILOMETRAJE!C$14,IF(G22=12,KILOMETRAJE!C$15,IF(G22=13,KILOMETRAJE!C$16,IF(G22=14,KILOMETRAJE!C$17,IF(G22=15,KILOMETRAJE!C$18,IF(G22=16,KILOMETRAJE!C$19,IF(G22=17,KILOMETRAJE!C$20,IF(G22=18,KILOMETRAJE!C$21,IF(G22=19,KILOMETRAJE!C$22,IF(G22=20,KILOMETRAJE!C$23,IF(G22=21,KILOMETRAJE!C$24,IF(G22=22,KILOMETRAJE!C$25,IF(G22=23,KILOMETRAJE!C$26,IF(G22=24,KILOMETRAJE!C$27,IF(G22=25,KILOMETRAJE!C$28,IF(G22=26,KILOMETRAJE!C$29,IF(G22=27,KILOMETRAJE!C$30,IF(G22=28,KILOMETRAJE!C$31,IF(G22=29,KILOMETRAJE!C$32,IF(G22=30,KILOMETRAJE!C$33,IF(G22=31,KILOMETRAJE!C$34,IF(G22=32,KILOMETRAJE!C$35,IF(G22=33,KILOMETRAJE!C$36,IF(G22=34,KILOMETRAJE!C$37,IF(G22=35,KILOMETRAJE!C$38,IF(G22=36,KILOMETRAJE!C$39,IF(G22=37,KILOMETRAJE!C$40,IF(G22=38,KILOMETRAJE!C$41,IF(G22=39,KILOMETRAJE!C$42,IF(G22=40,KILOMETRAJE!C$43,IF(G22=41,KILOMETRAJE!C$44,IF(G22=42,KILOMETRAJE!C$45,IF(G22=43,KILOMETRAJE!C$46,IF(G22=44,KILOMETRAJE!C$47,IF(G22=45,KILOMETRAJE!C$48,IF(G22=46,KILOMETRAJE!C$49,IF(G22=47,KILOMETRAJE!C$50,IF(G22=48,KILOMETRAJE!C$51,IF(G22=49,KILOMETRAJE!C$52,IF(G22=50,KILOMETRAJE!C$53,IF(G22=51,KILOMETRAJE!C$54,IF(G22=52,KILOMETRAJE!C$55,IF(G22=53,KILOMETRAJE!C$56,IF(G22=54,KILOMETRAJE!C$57,IF(G22=55,KILOMETRAJE!C$58,IF(G22=56,KILOMETRAJE!C$59,IF(G22=57,KILOMETRAJE!C$60,IF(G22=58,KILOMETRAJE!C$61,IF(G22=59,KILOMETRAJE!C$62,IF(G22=60,KILOMETRAJE!C$63,IF(G22=61,KILOMETRAJE!C$64,IF(G22=62,KILOMETRAJE!C$65,IF(G22=63,KILOMETRAJE!C$66)))))))))))))))))))))))))))))))))))))))))))))))))))))))))))))))</f>
        <v xml:space="preserve">CHIH. </v>
      </c>
      <c r="I22" s="27" t="str">
        <f>IF(G22=1,KILOMETRAJE!E$4,IF(G22=2,KILOMETRAJE!E$5,IF(G22=3,KILOMETRAJE!E$6,IF(G22=4,KILOMETRAJE!E$7,IF(G22=5,KILOMETRAJE!E$8,IF(G22=6,KILOMETRAJE!E$9,IF(G22=7,KILOMETRAJE!E$10,IF(G22=8,KILOMETRAJE!E$11,IF(G22=9,KILOMETRAJE!E$12,IF(G22=10,KILOMETRAJE!E$13,IF(G22=11,KILOMETRAJE!E$14,IF(G22=12,KILOMETRAJE!E$15,IF(G22=13,KILOMETRAJE!E$16,IF(G22=14,KILOMETRAJE!E$17,IF(G22=15,KILOMETRAJE!E$18,IF(G22=16,KILOMETRAJE!E$19,IF(G22=17,KILOMETRAJE!E$20,IF(G22=18,KILOMETRAJE!E$21,IF(G22=19,KILOMETRAJE!E$22,IF(G22=20,KILOMETRAJE!E$23,IF(G22=21,KILOMETRAJE!E$24,IF(G22=22,KILOMETRAJE!E$25,IF(G22=23,KILOMETRAJE!E$26,IF(G22=24,KILOMETRAJE!E$27,IF(G22=25,KILOMETRAJE!E$28,IF(G22=26,KILOMETRAJE!E$29,IF(G22=27,KILOMETRAJE!E$30,IF(G22=28,KILOMETRAJE!E$31,IF(G22=29,KILOMETRAJE!E$32,IF(G22=30,KILOMETRAJE!E$33,IF(G22=31,KILOMETRAJE!E$34,IF(G22=32,KILOMETRAJE!E$35,IF(G22=33,KILOMETRAJE!E$36,IF(G22=34,KILOMETRAJE!E$37,IF(G22=35,KILOMETRAJE!E$38,IF(G22=36,KILOMETRAJE!E$39,IF(G22=37,KILOMETRAJE!E$40,IF(G22=38,KILOMETRAJE!E$41,IF(G22=39,KILOMETRAJE!E$42,IF(G22=40,KILOMETRAJE!E$43,IF(G22=41,KILOMETRAJE!E$44,IF(G22=42,KILOMETRAJE!E$45,IF(G22=43,KILOMETRAJE!E$46,IF(G22=44,KILOMETRAJE!E$47,IF(G22=45,KILOMETRAJE!E$48,IF(G22=46,KILOMETRAJE!E$49,IF(G22=47,KILOMETRAJE!E$50,IF(G22=48,KILOMETRAJE!E$51,IF(G22=49,KILOMETRAJE!E$52,IF(G22=50,KILOMETRAJE!E$53,IF(G22=51,KILOMETRAJE!E$54,IF(G22=52,KILOMETRAJE!E$55,IF(G22=53,KILOMETRAJE!E$56,IF(G22=54,KILOMETRAJE!E$57,IF(G22=55,KILOMETRAJE!E$58,IF(G22=56,KILOMETRAJE!E$59,IF(G22=57,KILOMETRAJE!E$60,IF(G22=58,KILOMETRAJE!E$61,IF(G22=59,KILOMETRAJE!E$62,IF(G22=60,KILOMETRAJE!E$63,IF(G22=61,KILOMETRAJE!E$64,IF(G22=62,KILOMETRAJE!E$65,IF(G22=63,KILOMETRAJE!E$66)))))))))))))))))))))))))))))))))))))))))))))))))))))))))))))))</f>
        <v>JRZ</v>
      </c>
      <c r="J22" s="31">
        <f>IF(G22=1,KILOMETRAJE!G$4,IF(G22=2,KILOMETRAJE!G$5,IF(G22=3,KILOMETRAJE!G$6,IF(G22=4,KILOMETRAJE!G$7,IF(G22=5,KILOMETRAJE!G$8,IF(G22=6,KILOMETRAJE!G$9,IF(G22=7,KILOMETRAJE!G$10,IF(G22=8,KILOMETRAJE!G$11,IF(G22=9,KILOMETRAJE!G$12,IF(G22=10,KILOMETRAJE!G$13,IF(G22=11,KILOMETRAJE!G$14,IF(G22=12,KILOMETRAJE!G$15,IF(G22=13,KILOMETRAJE!G$16,IF(G22=14,KILOMETRAJE!G$17,IF(G22=15,KILOMETRAJE!G$18,IF(G22=16,KILOMETRAJE!G$19,IF(G22=17,KILOMETRAJE!G$20,IF(G22=18,KILOMETRAJE!G$21,IF(G22=19,KILOMETRAJE!G$22,IF(G22=20,KILOMETRAJE!G$23,IF(G22=21,KILOMETRAJE!G$24,IF(G22=22,KILOMETRAJE!G$25,IF(G22=23,KILOMETRAJE!G$26,IF(G22=24,KILOMETRAJE!G$27,IF(G22=25,KILOMETRAJE!G$28,IF(G22=26,KILOMETRAJE!G$29,IF(G22=27,KILOMETRAJE!G$30,IF(G22=28,KILOMETRAJE!G$31,IF(G22=29,KILOMETRAJE!G$32,IF(G22=30,KILOMETRAJE!G$33,IF(G22=31,KILOMETRAJE!G$34,IF(G22=32,KILOMETRAJE!G$35,IF(G22=33,KILOMETRAJE!G$36,IF(G22=34,KILOMETRAJE!G$37,IF(G22=35,KILOMETRAJE!G$38,IF(G22=36,KILOMETRAJE!G$39,IF(G22=37,KILOMETRAJE!G$40,IF(G22=38,KILOMETRAJE!G$41,IF(G22=39,KILOMETRAJE!G$42,IF(G22=40,KILOMETRAJE!G$43,IF(G22=41,KILOMETRAJE!G$44,IF(G22=42,KILOMETRAJE!G$45,IF(G22=43,KILOMETRAJE!G$46,IF(G22=44,KILOMETRAJE!G$47,IF(G22=45,KILOMETRAJE!G$48,IF(G22=46,KILOMETRAJE!G$49,IF(G22=47,KILOMETRAJE!G$50,IF(G22=48,KILOMETRAJE!G$51,IF(G22=49,KILOMETRAJE!G$52,IF(G22=50,KILOMETRAJE!G$53,IF(G22=51,KILOMETRAJE!G$54,IF(G22=52,KILOMETRAJE!G$55,IF(G22=53,KILOMETRAJE!G$56,IF(G22=54,KILOMETRAJE!G$57,IF(G22=55,KILOMETRAJE!G$58,IF(G22=56,KILOMETRAJE!G$59,IF(G22=57,KILOMETRAJE!G$60,IF(G22=58,KILOMETRAJE!G$61,IF(G22=59,KILOMETRAJE!G$62,IF(G22=60,KILOMETRAJE!G$63,IF(G22=61,KILOMETRAJE!G$64,IF(G22=62,KILOMETRAJE!G$65,IF(G22=63,KILOMETRAJE!G$66)))))))))))))))))))))))))))))))))))))))))))))))))))))))))))))))</f>
        <v>375</v>
      </c>
      <c r="K22" s="27">
        <v>216.17</v>
      </c>
      <c r="L22" s="28">
        <f>SUM(J21:J22)/K22</f>
        <v>3.4694916038303187</v>
      </c>
      <c r="M22" s="349">
        <v>410</v>
      </c>
      <c r="N22" s="27">
        <v>1</v>
      </c>
      <c r="O22" s="27" t="s">
        <v>417</v>
      </c>
      <c r="P22" s="27" t="s">
        <v>194</v>
      </c>
      <c r="Q22" s="29">
        <f t="shared" si="1"/>
        <v>109.99874999999999</v>
      </c>
      <c r="R22" s="190">
        <f>+LOOKUP(P42,UNIDADES!B$3:B$59,UNIDADES!C$3:C$59)</f>
        <v>2.3734099999999998</v>
      </c>
      <c r="S22" s="19">
        <f>+((SUM(J21:J22))/R22)-K22</f>
        <v>99.83102805667798</v>
      </c>
      <c r="T22" s="456">
        <f>+S22*14.85</f>
        <v>1482.490766641668</v>
      </c>
      <c r="U22" s="27"/>
      <c r="V22" s="476"/>
    </row>
    <row r="23" spans="2:24" x14ac:dyDescent="0.2">
      <c r="C23" s="238">
        <v>46159</v>
      </c>
      <c r="D23" s="36" t="s">
        <v>533</v>
      </c>
      <c r="E23" s="37">
        <v>45960</v>
      </c>
      <c r="F23" s="37">
        <v>45961</v>
      </c>
      <c r="G23" s="36">
        <v>2</v>
      </c>
      <c r="H23" s="259" t="str">
        <f>IF(G23=1,KILOMETRAJE!C$4,IF(G23=2,KILOMETRAJE!C$5,IF(G23=3,KILOMETRAJE!C$6,IF(G23=4,KILOMETRAJE!C$7,IF(G23=5,KILOMETRAJE!C$8,IF(G23=6,KILOMETRAJE!C$9,IF(G23=7,KILOMETRAJE!C$10,IF(G23=8,KILOMETRAJE!C$11,IF(G23=9,KILOMETRAJE!C$12,IF(G23=10,KILOMETRAJE!C$13,IF(G23=11,KILOMETRAJE!C$14,IF(G23=12,KILOMETRAJE!C$15,IF(G23=13,KILOMETRAJE!C$16,IF(G23=14,KILOMETRAJE!C$17,IF(G23=15,KILOMETRAJE!C$18,IF(G23=16,KILOMETRAJE!C$19,IF(G23=17,KILOMETRAJE!C$20,IF(G23=18,KILOMETRAJE!C$21,IF(G23=19,KILOMETRAJE!C$22,IF(G23=20,KILOMETRAJE!C$23,IF(G23=21,KILOMETRAJE!C$24,IF(G23=22,KILOMETRAJE!C$25,IF(G23=23,KILOMETRAJE!C$26,IF(G23=24,KILOMETRAJE!C$27,IF(G23=25,KILOMETRAJE!C$28,IF(G23=26,KILOMETRAJE!C$29,IF(G23=27,KILOMETRAJE!C$30,IF(G23=28,KILOMETRAJE!C$31,IF(G23=29,KILOMETRAJE!C$32,IF(G23=30,KILOMETRAJE!C$33,IF(G23=31,KILOMETRAJE!C$34,IF(G23=32,KILOMETRAJE!C$35,IF(G23=33,KILOMETRAJE!C$36,IF(G23=34,KILOMETRAJE!C$37,IF(G23=35,KILOMETRAJE!C$38,IF(G23=36,KILOMETRAJE!C$39,IF(G23=37,KILOMETRAJE!C$40,IF(G23=38,KILOMETRAJE!C$41,IF(G23=39,KILOMETRAJE!C$42,IF(G23=40,KILOMETRAJE!C$43,IF(G23=41,KILOMETRAJE!C$44,IF(G23=42,KILOMETRAJE!C$45,IF(G23=43,KILOMETRAJE!C$46,IF(G23=44,KILOMETRAJE!C$47,IF(G23=45,KILOMETRAJE!C$48,IF(G23=46,KILOMETRAJE!C$49,IF(G23=47,KILOMETRAJE!C$50,IF(G23=48,KILOMETRAJE!C$51,IF(G23=49,KILOMETRAJE!C$52,IF(G23=50,KILOMETRAJE!C$53,IF(G23=51,KILOMETRAJE!C$54,IF(G23=52,KILOMETRAJE!C$55,IF(G23=53,KILOMETRAJE!C$56,IF(G23=54,KILOMETRAJE!C$57,IF(G23=55,KILOMETRAJE!C$58,IF(G23=56,KILOMETRAJE!C$59,IF(G23=57,KILOMETRAJE!C$60,IF(G23=58,KILOMETRAJE!C$61,IF(G23=59,KILOMETRAJE!C$62,IF(G23=60,KILOMETRAJE!C$63,IF(G23=61,KILOMETRAJE!C$64,IF(G23=62,KILOMETRAJE!C$65,IF(G23=63,KILOMETRAJE!C$66)))))))))))))))))))))))))))))))))))))))))))))))))))))))))))))))</f>
        <v>JRZ</v>
      </c>
      <c r="I23" s="259" t="str">
        <f>IF(G23=1,KILOMETRAJE!E$4,IF(G23=2,KILOMETRAJE!E$5,IF(G23=3,KILOMETRAJE!E$6,IF(G23=4,KILOMETRAJE!E$7,IF(G23=5,KILOMETRAJE!E$8,IF(G23=6,KILOMETRAJE!E$9,IF(G23=7,KILOMETRAJE!E$10,IF(G23=8,KILOMETRAJE!E$11,IF(G23=9,KILOMETRAJE!E$12,IF(G23=10,KILOMETRAJE!E$13,IF(G23=11,KILOMETRAJE!E$14,IF(G23=12,KILOMETRAJE!E$15,IF(G23=13,KILOMETRAJE!E$16,IF(G23=14,KILOMETRAJE!E$17,IF(G23=15,KILOMETRAJE!E$18,IF(G23=16,KILOMETRAJE!E$19,IF(G23=17,KILOMETRAJE!E$20,IF(G23=18,KILOMETRAJE!E$21,IF(G23=19,KILOMETRAJE!E$22,IF(G23=20,KILOMETRAJE!E$23,IF(G23=21,KILOMETRAJE!E$24,IF(G23=22,KILOMETRAJE!E$25,IF(G23=23,KILOMETRAJE!E$26,IF(G23=24,KILOMETRAJE!E$27,IF(G23=25,KILOMETRAJE!E$28,IF(G23=26,KILOMETRAJE!E$29,IF(G23=27,KILOMETRAJE!E$30,IF(G23=28,KILOMETRAJE!E$31,IF(G23=29,KILOMETRAJE!E$32,IF(G23=30,KILOMETRAJE!E$33,IF(G23=31,KILOMETRAJE!E$34,IF(G23=32,KILOMETRAJE!E$35,IF(G23=33,KILOMETRAJE!E$36,IF(G23=34,KILOMETRAJE!E$37,IF(G23=35,KILOMETRAJE!E$38,IF(G23=36,KILOMETRAJE!E$39,IF(G23=37,KILOMETRAJE!E$40,IF(G23=38,KILOMETRAJE!E$41,IF(G23=39,KILOMETRAJE!E$42,IF(G23=40,KILOMETRAJE!E$43,IF(G23=41,KILOMETRAJE!E$44,IF(G23=42,KILOMETRAJE!E$45,IF(G23=43,KILOMETRAJE!E$46,IF(G23=44,KILOMETRAJE!E$47,IF(G23=45,KILOMETRAJE!E$48,IF(G23=46,KILOMETRAJE!E$49,IF(G23=47,KILOMETRAJE!E$50,IF(G23=48,KILOMETRAJE!E$51,IF(G23=49,KILOMETRAJE!E$52,IF(G23=50,KILOMETRAJE!E$53,IF(G23=51,KILOMETRAJE!E$54,IF(G23=52,KILOMETRAJE!E$55,IF(G23=53,KILOMETRAJE!E$56,IF(G23=54,KILOMETRAJE!E$57,IF(G23=55,KILOMETRAJE!E$58,IF(G23=56,KILOMETRAJE!E$59,IF(G23=57,KILOMETRAJE!E$60,IF(G23=58,KILOMETRAJE!E$61,IF(G23=59,KILOMETRAJE!E$62,IF(G23=60,KILOMETRAJE!E$63,IF(G23=61,KILOMETRAJE!E$64,IF(G23=62,KILOMETRAJE!E$65,IF(G23=63,KILOMETRAJE!E$66)))))))))))))))))))))))))))))))))))))))))))))))))))))))))))))))</f>
        <v>CHIH.</v>
      </c>
      <c r="J23" s="260">
        <f>IF(G23=1,KILOMETRAJE!G$4,IF(G23=2,KILOMETRAJE!G$5,IF(G23=3,KILOMETRAJE!G$6,IF(G23=4,KILOMETRAJE!G$7,IF(G23=5,KILOMETRAJE!G$8,IF(G23=6,KILOMETRAJE!G$9,IF(G23=7,KILOMETRAJE!G$10,IF(G23=8,KILOMETRAJE!G$11,IF(G23=9,KILOMETRAJE!G$12,IF(G23=10,KILOMETRAJE!G$13,IF(G23=11,KILOMETRAJE!G$14,IF(G23=12,KILOMETRAJE!G$15,IF(G23=13,KILOMETRAJE!G$16,IF(G23=14,KILOMETRAJE!G$17,IF(G23=15,KILOMETRAJE!G$18,IF(G23=16,KILOMETRAJE!G$19,IF(G23=17,KILOMETRAJE!G$20,IF(G23=18,KILOMETRAJE!G$21,IF(G23=19,KILOMETRAJE!G$22,IF(G23=20,KILOMETRAJE!G$23,IF(G23=21,KILOMETRAJE!G$24,IF(G23=22,KILOMETRAJE!G$25,IF(G23=23,KILOMETRAJE!G$26,IF(G23=24,KILOMETRAJE!G$27,IF(G23=25,KILOMETRAJE!G$28,IF(G23=26,KILOMETRAJE!G$29,IF(G23=27,KILOMETRAJE!G$30,IF(G23=28,KILOMETRAJE!G$31,IF(G23=29,KILOMETRAJE!G$32,IF(G23=30,KILOMETRAJE!G$33,IF(G23=31,KILOMETRAJE!G$34,IF(G23=32,KILOMETRAJE!G$35,IF(G23=33,KILOMETRAJE!G$36,IF(G23=34,KILOMETRAJE!G$37,IF(G23=35,KILOMETRAJE!G$38,IF(G23=36,KILOMETRAJE!G$39,IF(G23=37,KILOMETRAJE!G$40,IF(G23=38,KILOMETRAJE!G$41,IF(G23=39,KILOMETRAJE!G$42,IF(G23=40,KILOMETRAJE!G$43,IF(G23=41,KILOMETRAJE!G$44,IF(G23=42,KILOMETRAJE!G$45,IF(G23=43,KILOMETRAJE!G$46,IF(G23=44,KILOMETRAJE!G$47,IF(G23=45,KILOMETRAJE!G$48,IF(G23=46,KILOMETRAJE!G$49,IF(G23=47,KILOMETRAJE!G$50,IF(G23=48,KILOMETRAJE!G$51,IF(G23=49,KILOMETRAJE!G$52,IF(G23=50,KILOMETRAJE!G$53,IF(G23=51,KILOMETRAJE!G$54,IF(G23=52,KILOMETRAJE!G$55,IF(G23=53,KILOMETRAJE!G$56,IF(G23=54,KILOMETRAJE!G$57,IF(G23=55,KILOMETRAJE!G$58,IF(G23=56,KILOMETRAJE!G$59,IF(G23=57,KILOMETRAJE!G$60,IF(G23=58,KILOMETRAJE!G$61,IF(G23=59,KILOMETRAJE!G$62,IF(G23=60,KILOMETRAJE!G$63,IF(G23=61,KILOMETRAJE!G$64,IF(G23=62,KILOMETRAJE!G$65,IF(G23=63,KILOMETRAJE!G$66)))))))))))))))))))))))))))))))))))))))))))))))))))))))))))))))</f>
        <v>375</v>
      </c>
      <c r="K23" s="38"/>
      <c r="L23" s="48"/>
      <c r="M23" s="350"/>
      <c r="N23" s="38">
        <v>3</v>
      </c>
      <c r="O23" s="38"/>
      <c r="P23" s="38" t="s">
        <v>199</v>
      </c>
      <c r="Q23" s="40">
        <f t="shared" si="1"/>
        <v>54.999749999999999</v>
      </c>
      <c r="R23" s="192"/>
      <c r="S23" s="186"/>
      <c r="T23" s="458"/>
      <c r="U23" s="38"/>
      <c r="V23" s="260"/>
    </row>
    <row r="24" spans="2:24" ht="12.75" thickBot="1" x14ac:dyDescent="0.25">
      <c r="C24" s="239"/>
      <c r="D24" s="68" t="s">
        <v>534</v>
      </c>
      <c r="E24" s="69">
        <v>45961</v>
      </c>
      <c r="F24" s="69">
        <v>45961</v>
      </c>
      <c r="G24" s="68">
        <v>3</v>
      </c>
      <c r="H24" s="70" t="str">
        <f>IF(G24=1,KILOMETRAJE!C$4,IF(G24=2,KILOMETRAJE!C$5,IF(G24=3,KILOMETRAJE!C$6,IF(G24=4,KILOMETRAJE!C$7,IF(G24=5,KILOMETRAJE!C$8,IF(G24=6,KILOMETRAJE!C$9,IF(G24=7,KILOMETRAJE!C$10,IF(G24=8,KILOMETRAJE!C$11,IF(G24=9,KILOMETRAJE!C$12,IF(G24=10,KILOMETRAJE!C$13,IF(G24=11,KILOMETRAJE!C$14,IF(G24=12,KILOMETRAJE!C$15,IF(G24=13,KILOMETRAJE!C$16,IF(G24=14,KILOMETRAJE!C$17,IF(G24=15,KILOMETRAJE!C$18,IF(G24=16,KILOMETRAJE!C$19,IF(G24=17,KILOMETRAJE!C$20,IF(G24=18,KILOMETRAJE!C$21,IF(G24=19,KILOMETRAJE!C$22,IF(G24=20,KILOMETRAJE!C$23,IF(G24=21,KILOMETRAJE!C$24,IF(G24=22,KILOMETRAJE!C$25,IF(G24=23,KILOMETRAJE!C$26,IF(G24=24,KILOMETRAJE!C$27,IF(G24=25,KILOMETRAJE!C$28,IF(G24=26,KILOMETRAJE!C$29,IF(G24=27,KILOMETRAJE!C$30,IF(G24=28,KILOMETRAJE!C$31,IF(G24=29,KILOMETRAJE!C$32,IF(G24=30,KILOMETRAJE!C$33,IF(G24=31,KILOMETRAJE!C$34,IF(G24=32,KILOMETRAJE!C$35,IF(G24=33,KILOMETRAJE!C$36,IF(G24=34,KILOMETRAJE!C$37,IF(G24=35,KILOMETRAJE!C$38,IF(G24=36,KILOMETRAJE!C$39,IF(G24=37,KILOMETRAJE!C$40,IF(G24=38,KILOMETRAJE!C$41,IF(G24=39,KILOMETRAJE!C$42,IF(G24=40,KILOMETRAJE!C$43,IF(G24=41,KILOMETRAJE!C$44,IF(G24=42,KILOMETRAJE!C$45,IF(G24=43,KILOMETRAJE!C$46,IF(G24=44,KILOMETRAJE!C$47,IF(G24=45,KILOMETRAJE!C$48,IF(G24=46,KILOMETRAJE!C$49,IF(G24=47,KILOMETRAJE!C$50,IF(G24=48,KILOMETRAJE!C$51,IF(G24=49,KILOMETRAJE!C$52,IF(G24=50,KILOMETRAJE!C$53,IF(G24=51,KILOMETRAJE!C$54,IF(G24=52,KILOMETRAJE!C$55,IF(G24=53,KILOMETRAJE!C$56,IF(G24=54,KILOMETRAJE!C$57,IF(G24=55,KILOMETRAJE!C$58,IF(G24=56,KILOMETRAJE!C$59,IF(G24=57,KILOMETRAJE!C$60,IF(G24=58,KILOMETRAJE!C$61,IF(G24=59,KILOMETRAJE!C$62,IF(G24=60,KILOMETRAJE!C$63,IF(G24=61,KILOMETRAJE!C$64,IF(G24=62,KILOMETRAJE!C$65,IF(G24=63,KILOMETRAJE!C$66)))))))))))))))))))))))))))))))))))))))))))))))))))))))))))))))</f>
        <v xml:space="preserve">CHIH. </v>
      </c>
      <c r="I24" s="70" t="str">
        <f>IF(G24=1,KILOMETRAJE!E$4,IF(G24=2,KILOMETRAJE!E$5,IF(G24=3,KILOMETRAJE!E$6,IF(G24=4,KILOMETRAJE!E$7,IF(G24=5,KILOMETRAJE!E$8,IF(G24=6,KILOMETRAJE!E$9,IF(G24=7,KILOMETRAJE!E$10,IF(G24=8,KILOMETRAJE!E$11,IF(G24=9,KILOMETRAJE!E$12,IF(G24=10,KILOMETRAJE!E$13,IF(G24=11,KILOMETRAJE!E$14,IF(G24=12,KILOMETRAJE!E$15,IF(G24=13,KILOMETRAJE!E$16,IF(G24=14,KILOMETRAJE!E$17,IF(G24=15,KILOMETRAJE!E$18,IF(G24=16,KILOMETRAJE!E$19,IF(G24=17,KILOMETRAJE!E$20,IF(G24=18,KILOMETRAJE!E$21,IF(G24=19,KILOMETRAJE!E$22,IF(G24=20,KILOMETRAJE!E$23,IF(G24=21,KILOMETRAJE!E$24,IF(G24=22,KILOMETRAJE!E$25,IF(G24=23,KILOMETRAJE!E$26,IF(G24=24,KILOMETRAJE!E$27,IF(G24=25,KILOMETRAJE!E$28,IF(G24=26,KILOMETRAJE!E$29,IF(G24=27,KILOMETRAJE!E$30,IF(G24=28,KILOMETRAJE!E$31,IF(G24=29,KILOMETRAJE!E$32,IF(G24=30,KILOMETRAJE!E$33,IF(G24=31,KILOMETRAJE!E$34,IF(G24=32,KILOMETRAJE!E$35,IF(G24=33,KILOMETRAJE!E$36,IF(G24=34,KILOMETRAJE!E$37,IF(G24=35,KILOMETRAJE!E$38,IF(G24=36,KILOMETRAJE!E$39,IF(G24=37,KILOMETRAJE!E$40,IF(G24=38,KILOMETRAJE!E$41,IF(G24=39,KILOMETRAJE!E$42,IF(G24=40,KILOMETRAJE!E$43,IF(G24=41,KILOMETRAJE!E$44,IF(G24=42,KILOMETRAJE!E$45,IF(G24=43,KILOMETRAJE!E$46,IF(G24=44,KILOMETRAJE!E$47,IF(G24=45,KILOMETRAJE!E$48,IF(G24=46,KILOMETRAJE!E$49,IF(G24=47,KILOMETRAJE!E$50,IF(G24=48,KILOMETRAJE!E$51,IF(G24=49,KILOMETRAJE!E$52,IF(G24=50,KILOMETRAJE!E$53,IF(G24=51,KILOMETRAJE!E$54,IF(G24=52,KILOMETRAJE!E$55,IF(G24=53,KILOMETRAJE!E$56,IF(G24=54,KILOMETRAJE!E$57,IF(G24=55,KILOMETRAJE!E$58,IF(G24=56,KILOMETRAJE!E$59,IF(G24=57,KILOMETRAJE!E$60,IF(G24=58,KILOMETRAJE!E$61,IF(G24=59,KILOMETRAJE!E$62,IF(G24=60,KILOMETRAJE!E$63,IF(G24=61,KILOMETRAJE!E$64,IF(G24=62,KILOMETRAJE!E$65,IF(G24=63,KILOMETRAJE!E$66)))))))))))))))))))))))))))))))))))))))))))))))))))))))))))))))</f>
        <v>JRZ</v>
      </c>
      <c r="J24" s="71">
        <f>IF(G24=1,KILOMETRAJE!G$4,IF(G24=2,KILOMETRAJE!G$5,IF(G24=3,KILOMETRAJE!G$6,IF(G24=4,KILOMETRAJE!G$7,IF(G24=5,KILOMETRAJE!G$8,IF(G24=6,KILOMETRAJE!G$9,IF(G24=7,KILOMETRAJE!G$10,IF(G24=8,KILOMETRAJE!G$11,IF(G24=9,KILOMETRAJE!G$12,IF(G24=10,KILOMETRAJE!G$13,IF(G24=11,KILOMETRAJE!G$14,IF(G24=12,KILOMETRAJE!G$15,IF(G24=13,KILOMETRAJE!G$16,IF(G24=14,KILOMETRAJE!G$17,IF(G24=15,KILOMETRAJE!G$18,IF(G24=16,KILOMETRAJE!G$19,IF(G24=17,KILOMETRAJE!G$20,IF(G24=18,KILOMETRAJE!G$21,IF(G24=19,KILOMETRAJE!G$22,IF(G24=20,KILOMETRAJE!G$23,IF(G24=21,KILOMETRAJE!G$24,IF(G24=22,KILOMETRAJE!G$25,IF(G24=23,KILOMETRAJE!G$26,IF(G24=24,KILOMETRAJE!G$27,IF(G24=25,KILOMETRAJE!G$28,IF(G24=26,KILOMETRAJE!G$29,IF(G24=27,KILOMETRAJE!G$30,IF(G24=28,KILOMETRAJE!G$31,IF(G24=29,KILOMETRAJE!G$32,IF(G24=30,KILOMETRAJE!G$33,IF(G24=31,KILOMETRAJE!G$34,IF(G24=32,KILOMETRAJE!G$35,IF(G24=33,KILOMETRAJE!G$36,IF(G24=34,KILOMETRAJE!G$37,IF(G24=35,KILOMETRAJE!G$38,IF(G24=36,KILOMETRAJE!G$39,IF(G24=37,KILOMETRAJE!G$40,IF(G24=38,KILOMETRAJE!G$41,IF(G24=39,KILOMETRAJE!G$42,IF(G24=40,KILOMETRAJE!G$43,IF(G24=41,KILOMETRAJE!G$44,IF(G24=42,KILOMETRAJE!G$45,IF(G24=43,KILOMETRAJE!G$46,IF(G24=44,KILOMETRAJE!G$47,IF(G24=45,KILOMETRAJE!G$48,IF(G24=46,KILOMETRAJE!G$49,IF(G24=47,KILOMETRAJE!G$50,IF(G24=48,KILOMETRAJE!G$51,IF(G24=49,KILOMETRAJE!G$52,IF(G24=50,KILOMETRAJE!G$53,IF(G24=51,KILOMETRAJE!G$54,IF(G24=52,KILOMETRAJE!G$55,IF(G24=53,KILOMETRAJE!G$56,IF(G24=54,KILOMETRAJE!G$57,IF(G24=55,KILOMETRAJE!G$58,IF(G24=56,KILOMETRAJE!G$59,IF(G24=57,KILOMETRAJE!G$60,IF(G24=58,KILOMETRAJE!G$61,IF(G24=59,KILOMETRAJE!G$62,IF(G24=60,KILOMETRAJE!G$63,IF(G24=61,KILOMETRAJE!G$64,IF(G24=62,KILOMETRAJE!G$65,IF(G24=63,KILOMETRAJE!G$66)))))))))))))))))))))))))))))))))))))))))))))))))))))))))))))))</f>
        <v>375</v>
      </c>
      <c r="K24" s="70">
        <v>192.1</v>
      </c>
      <c r="L24" s="72">
        <f>SUM(J23:J24)/K24</f>
        <v>3.9042165538781886</v>
      </c>
      <c r="M24" s="370">
        <v>1395</v>
      </c>
      <c r="N24" s="70">
        <v>1</v>
      </c>
      <c r="O24" s="70" t="s">
        <v>540</v>
      </c>
      <c r="P24" s="70" t="s">
        <v>247</v>
      </c>
      <c r="Q24" s="67">
        <f t="shared" si="1"/>
        <v>109.99874999999999</v>
      </c>
      <c r="R24" s="197">
        <f>+LOOKUP(P42,UNIDADES!B$3:B$59,UNIDADES!C$3:C$59)</f>
        <v>2.3734099999999998</v>
      </c>
      <c r="S24" s="194">
        <f>+((SUM(J23:J24))/R24)-K24</f>
        <v>123.90102805667797</v>
      </c>
      <c r="T24" s="461">
        <f>+S24*14.85</f>
        <v>1839.9302666416679</v>
      </c>
      <c r="U24" s="11"/>
      <c r="V24" s="425"/>
    </row>
    <row r="25" spans="2:24" x14ac:dyDescent="0.2">
      <c r="C25" s="176">
        <v>46176</v>
      </c>
      <c r="D25" s="43" t="s">
        <v>535</v>
      </c>
      <c r="E25" s="42">
        <v>45961</v>
      </c>
      <c r="F25" s="42">
        <v>45962</v>
      </c>
      <c r="G25" s="43">
        <v>1</v>
      </c>
      <c r="H25" s="236" t="str">
        <f>IF(G25=1,KILOMETRAJE!C$4,IF(G25=2,KILOMETRAJE!C$5,IF(G25=3,KILOMETRAJE!C$6,IF(G25=4,KILOMETRAJE!C$7,IF(G25=5,KILOMETRAJE!C$8,IF(G25=6,KILOMETRAJE!C$9,IF(G25=7,KILOMETRAJE!C$10,IF(G25=8,KILOMETRAJE!C$11,IF(G25=9,KILOMETRAJE!C$12,IF(G25=10,KILOMETRAJE!C$13,IF(G25=11,KILOMETRAJE!C$14,IF(G25=12,KILOMETRAJE!C$15,IF(G25=13,KILOMETRAJE!C$16,IF(G25=14,KILOMETRAJE!C$17,IF(G25=15,KILOMETRAJE!C$18,IF(G25=16,KILOMETRAJE!C$19,IF(G25=17,KILOMETRAJE!C$20,IF(G25=18,KILOMETRAJE!C$21,IF(G25=19,KILOMETRAJE!C$22,IF(G25=20,KILOMETRAJE!C$23,IF(G25=21,KILOMETRAJE!C$24,IF(G25=22,KILOMETRAJE!C$25,IF(G25=23,KILOMETRAJE!C$26,IF(G25=24,KILOMETRAJE!C$27,IF(G25=25,KILOMETRAJE!C$28,IF(G25=26,KILOMETRAJE!C$29,IF(G25=27,KILOMETRAJE!C$30,IF(G25=28,KILOMETRAJE!C$31,IF(G25=29,KILOMETRAJE!C$32,IF(G25=30,KILOMETRAJE!C$33,IF(G25=31,KILOMETRAJE!C$34,IF(G25=32,KILOMETRAJE!C$35,IF(G25=33,KILOMETRAJE!C$36,IF(G25=34,KILOMETRAJE!C$37,IF(G25=35,KILOMETRAJE!C$38,IF(G25=36,KILOMETRAJE!C$39,IF(G25=37,KILOMETRAJE!C$40,IF(G25=38,KILOMETRAJE!C$41,IF(G25=39,KILOMETRAJE!C$42,IF(G25=40,KILOMETRAJE!C$43,IF(G25=41,KILOMETRAJE!C$44,IF(G25=42,KILOMETRAJE!C$45,IF(G25=43,KILOMETRAJE!C$46,IF(G25=44,KILOMETRAJE!C$47,IF(G25=45,KILOMETRAJE!C$48,IF(G25=46,KILOMETRAJE!C$49,IF(G25=47,KILOMETRAJE!C$50,IF(G25=48,KILOMETRAJE!C$51,IF(G25=49,KILOMETRAJE!C$52,IF(G25=50,KILOMETRAJE!C$53,IF(G25=51,KILOMETRAJE!C$54,IF(G25=52,KILOMETRAJE!C$55,IF(G25=53,KILOMETRAJE!C$56,IF(G25=54,KILOMETRAJE!C$57,IF(G25=55,KILOMETRAJE!C$58,IF(G25=56,KILOMETRAJE!C$59,IF(G25=57,KILOMETRAJE!C$60,IF(G25=58,KILOMETRAJE!C$61,IF(G25=59,KILOMETRAJE!C$62,IF(G25=60,KILOMETRAJE!C$63,IF(G25=61,KILOMETRAJE!C$64,IF(G25=62,KILOMETRAJE!C$65,IF(G25=63,KILOMETRAJE!C$66)))))))))))))))))))))))))))))))))))))))))))))))))))))))))))))))</f>
        <v>JRZ</v>
      </c>
      <c r="I25" s="236" t="str">
        <f>IF(G25=1,KILOMETRAJE!E$4,IF(G25=2,KILOMETRAJE!E$5,IF(G25=3,KILOMETRAJE!E$6,IF(G25=4,KILOMETRAJE!E$7,IF(G25=5,KILOMETRAJE!E$8,IF(G25=6,KILOMETRAJE!E$9,IF(G25=7,KILOMETRAJE!E$10,IF(G25=8,KILOMETRAJE!E$11,IF(G25=9,KILOMETRAJE!E$12,IF(G25=10,KILOMETRAJE!E$13,IF(G25=11,KILOMETRAJE!E$14,IF(G25=12,KILOMETRAJE!E$15,IF(G25=13,KILOMETRAJE!E$16,IF(G25=14,KILOMETRAJE!E$17,IF(G25=15,KILOMETRAJE!E$18,IF(G25=16,KILOMETRAJE!E$19,IF(G25=17,KILOMETRAJE!E$20,IF(G25=18,KILOMETRAJE!E$21,IF(G25=19,KILOMETRAJE!E$22,IF(G25=20,KILOMETRAJE!E$23,IF(G25=21,KILOMETRAJE!E$24,IF(G25=22,KILOMETRAJE!E$25,IF(G25=23,KILOMETRAJE!E$26,IF(G25=24,KILOMETRAJE!E$27,IF(G25=25,KILOMETRAJE!E$28,IF(G25=26,KILOMETRAJE!E$29,IF(G25=27,KILOMETRAJE!E$30,IF(G25=28,KILOMETRAJE!E$31,IF(G25=29,KILOMETRAJE!E$32,IF(G25=30,KILOMETRAJE!E$33,IF(G25=31,KILOMETRAJE!E$34,IF(G25=32,KILOMETRAJE!E$35,IF(G25=33,KILOMETRAJE!E$36,IF(G25=34,KILOMETRAJE!E$37,IF(G25=35,KILOMETRAJE!E$38,IF(G25=36,KILOMETRAJE!E$39,IF(G25=37,KILOMETRAJE!E$40,IF(G25=38,KILOMETRAJE!E$41,IF(G25=39,KILOMETRAJE!E$42,IF(G25=40,KILOMETRAJE!E$43,IF(G25=41,KILOMETRAJE!E$44,IF(G25=42,KILOMETRAJE!E$45,IF(G25=43,KILOMETRAJE!E$46,IF(G25=44,KILOMETRAJE!E$47,IF(G25=45,KILOMETRAJE!E$48,IF(G25=46,KILOMETRAJE!E$49,IF(G25=47,KILOMETRAJE!E$50,IF(G25=48,KILOMETRAJE!E$51,IF(G25=49,KILOMETRAJE!E$52,IF(G25=50,KILOMETRAJE!E$53,IF(G25=51,KILOMETRAJE!E$54,IF(G25=52,KILOMETRAJE!E$55,IF(G25=53,KILOMETRAJE!E$56,IF(G25=54,KILOMETRAJE!E$57,IF(G25=55,KILOMETRAJE!E$58,IF(G25=56,KILOMETRAJE!E$59,IF(G25=57,KILOMETRAJE!E$60,IF(G25=58,KILOMETRAJE!E$61,IF(G25=59,KILOMETRAJE!E$62,IF(G25=60,KILOMETRAJE!E$63,IF(G25=61,KILOMETRAJE!E$64,IF(G25=62,KILOMETRAJE!E$65,IF(G25=63,KILOMETRAJE!E$66)))))))))))))))))))))))))))))))))))))))))))))))))))))))))))))))</f>
        <v>CHIH.(HAW)</v>
      </c>
      <c r="J25" s="237">
        <f>IF(G25=1,KILOMETRAJE!G$4,IF(G25=2,KILOMETRAJE!G$5,IF(G25=3,KILOMETRAJE!G$6,IF(G25=4,KILOMETRAJE!G$7,IF(G25=5,KILOMETRAJE!G$8,IF(G25=6,KILOMETRAJE!G$9,IF(G25=7,KILOMETRAJE!G$10,IF(G25=8,KILOMETRAJE!G$11,IF(G25=9,KILOMETRAJE!G$12,IF(G25=10,KILOMETRAJE!G$13,IF(G25=11,KILOMETRAJE!G$14,IF(G25=12,KILOMETRAJE!G$15,IF(G25=13,KILOMETRAJE!G$16,IF(G25=14,KILOMETRAJE!G$17,IF(G25=15,KILOMETRAJE!G$18,IF(G25=16,KILOMETRAJE!G$19,IF(G25=17,KILOMETRAJE!G$20,IF(G25=18,KILOMETRAJE!G$21,IF(G25=19,KILOMETRAJE!G$22,IF(G25=20,KILOMETRAJE!G$23,IF(G25=21,KILOMETRAJE!G$24,IF(G25=22,KILOMETRAJE!G$25,IF(G25=23,KILOMETRAJE!G$26,IF(G25=24,KILOMETRAJE!G$27,IF(G25=25,KILOMETRAJE!G$28,IF(G25=26,KILOMETRAJE!G$29,IF(G25=27,KILOMETRAJE!G$30,IF(G25=28,KILOMETRAJE!G$31,IF(G25=29,KILOMETRAJE!G$32,IF(G25=30,KILOMETRAJE!G$33,IF(G25=31,KILOMETRAJE!G$34,IF(G25=32,KILOMETRAJE!G$35,IF(G25=33,KILOMETRAJE!G$36,IF(G25=34,KILOMETRAJE!G$37,IF(G25=35,KILOMETRAJE!G$38,IF(G25=36,KILOMETRAJE!G$39,IF(G25=37,KILOMETRAJE!G$40,IF(G25=38,KILOMETRAJE!G$41,IF(G25=39,KILOMETRAJE!G$42,IF(G25=40,KILOMETRAJE!G$43,IF(G25=41,KILOMETRAJE!G$44,IF(G25=42,KILOMETRAJE!G$45,IF(G25=43,KILOMETRAJE!G$46,IF(G25=44,KILOMETRAJE!G$47,IF(G25=45,KILOMETRAJE!G$48,IF(G25=46,KILOMETRAJE!G$49,IF(G25=47,KILOMETRAJE!G$50,IF(G25=48,KILOMETRAJE!G$51,IF(G25=49,KILOMETRAJE!G$52,IF(G25=50,KILOMETRAJE!G$53,IF(G25=51,KILOMETRAJE!G$54,IF(G25=52,KILOMETRAJE!G$55,IF(G25=53,KILOMETRAJE!G$56,IF(G25=54,KILOMETRAJE!G$57,IF(G25=55,KILOMETRAJE!G$58,IF(G25=56,KILOMETRAJE!G$59,IF(G25=57,KILOMETRAJE!G$60,IF(G25=58,KILOMETRAJE!G$61,IF(G25=59,KILOMETRAJE!G$62,IF(G25=60,KILOMETRAJE!G$63,IF(G25=61,KILOMETRAJE!G$64,IF(G25=62,KILOMETRAJE!G$65,IF(G25=63,KILOMETRAJE!G$66)))))))))))))))))))))))))))))))))))))))))))))))))))))))))))))))</f>
        <v>425</v>
      </c>
      <c r="K25" s="24"/>
      <c r="L25" s="44"/>
      <c r="M25" s="348">
        <v>975</v>
      </c>
      <c r="N25" s="24">
        <v>5</v>
      </c>
      <c r="O25" s="24" t="s">
        <v>541</v>
      </c>
      <c r="P25" s="24" t="s">
        <v>202</v>
      </c>
      <c r="Q25" s="45">
        <f t="shared" si="1"/>
        <v>109.99874999999999</v>
      </c>
      <c r="R25" s="191"/>
      <c r="S25" s="52"/>
      <c r="T25" s="455"/>
      <c r="U25" s="11"/>
      <c r="V25" s="11"/>
    </row>
    <row r="26" spans="2:24" ht="12.75" thickBot="1" x14ac:dyDescent="0.25">
      <c r="C26" s="101"/>
      <c r="D26" s="62" t="s">
        <v>536</v>
      </c>
      <c r="E26" s="25">
        <v>45962</v>
      </c>
      <c r="F26" s="25">
        <v>45962</v>
      </c>
      <c r="G26" s="62">
        <v>3</v>
      </c>
      <c r="H26" s="27" t="str">
        <f>IF(G26=1,KILOMETRAJE!C$4,IF(G26=2,KILOMETRAJE!C$5,IF(G26=3,KILOMETRAJE!C$6,IF(G26=4,KILOMETRAJE!C$7,IF(G26=5,KILOMETRAJE!C$8,IF(G26=6,KILOMETRAJE!C$9,IF(G26=7,KILOMETRAJE!C$10,IF(G26=8,KILOMETRAJE!C$11,IF(G26=9,KILOMETRAJE!C$12,IF(G26=10,KILOMETRAJE!C$13,IF(G26=11,KILOMETRAJE!C$14,IF(G26=12,KILOMETRAJE!C$15,IF(G26=13,KILOMETRAJE!C$16,IF(G26=14,KILOMETRAJE!C$17,IF(G26=15,KILOMETRAJE!C$18,IF(G26=16,KILOMETRAJE!C$19,IF(G26=17,KILOMETRAJE!C$20,IF(G26=18,KILOMETRAJE!C$21,IF(G26=19,KILOMETRAJE!C$22,IF(G26=20,KILOMETRAJE!C$23,IF(G26=21,KILOMETRAJE!C$24,IF(G26=22,KILOMETRAJE!C$25,IF(G26=23,KILOMETRAJE!C$26,IF(G26=24,KILOMETRAJE!C$27,IF(G26=25,KILOMETRAJE!C$28,IF(G26=26,KILOMETRAJE!C$29,IF(G26=27,KILOMETRAJE!C$30,IF(G26=28,KILOMETRAJE!C$31,IF(G26=29,KILOMETRAJE!C$32,IF(G26=30,KILOMETRAJE!C$33,IF(G26=31,KILOMETRAJE!C$34,IF(G26=32,KILOMETRAJE!C$35,IF(G26=33,KILOMETRAJE!C$36,IF(G26=34,KILOMETRAJE!C$37,IF(G26=35,KILOMETRAJE!C$38,IF(G26=36,KILOMETRAJE!C$39,IF(G26=37,KILOMETRAJE!C$40,IF(G26=38,KILOMETRAJE!C$41,IF(G26=39,KILOMETRAJE!C$42,IF(G26=40,KILOMETRAJE!C$43,IF(G26=41,KILOMETRAJE!C$44,IF(G26=42,KILOMETRAJE!C$45,IF(G26=43,KILOMETRAJE!C$46,IF(G26=44,KILOMETRAJE!C$47,IF(G26=45,KILOMETRAJE!C$48,IF(G26=46,KILOMETRAJE!C$49,IF(G26=47,KILOMETRAJE!C$50,IF(G26=48,KILOMETRAJE!C$51,IF(G26=49,KILOMETRAJE!C$52,IF(G26=50,KILOMETRAJE!C$53,IF(G26=51,KILOMETRAJE!C$54,IF(G26=52,KILOMETRAJE!C$55,IF(G26=53,KILOMETRAJE!C$56,IF(G26=54,KILOMETRAJE!C$57,IF(G26=55,KILOMETRAJE!C$58,IF(G26=56,KILOMETRAJE!C$59,IF(G26=57,KILOMETRAJE!C$60,IF(G26=58,KILOMETRAJE!C$61,IF(G26=59,KILOMETRAJE!C$62,IF(G26=60,KILOMETRAJE!C$63,IF(G26=61,KILOMETRAJE!C$64,IF(G26=62,KILOMETRAJE!C$65,IF(G26=63,KILOMETRAJE!C$66)))))))))))))))))))))))))))))))))))))))))))))))))))))))))))))))</f>
        <v xml:space="preserve">CHIH. </v>
      </c>
      <c r="I26" s="27" t="str">
        <f>IF(G26=1,KILOMETRAJE!E$4,IF(G26=2,KILOMETRAJE!E$5,IF(G26=3,KILOMETRAJE!E$6,IF(G26=4,KILOMETRAJE!E$7,IF(G26=5,KILOMETRAJE!E$8,IF(G26=6,KILOMETRAJE!E$9,IF(G26=7,KILOMETRAJE!E$10,IF(G26=8,KILOMETRAJE!E$11,IF(G26=9,KILOMETRAJE!E$12,IF(G26=10,KILOMETRAJE!E$13,IF(G26=11,KILOMETRAJE!E$14,IF(G26=12,KILOMETRAJE!E$15,IF(G26=13,KILOMETRAJE!E$16,IF(G26=14,KILOMETRAJE!E$17,IF(G26=15,KILOMETRAJE!E$18,IF(G26=16,KILOMETRAJE!E$19,IF(G26=17,KILOMETRAJE!E$20,IF(G26=18,KILOMETRAJE!E$21,IF(G26=19,KILOMETRAJE!E$22,IF(G26=20,KILOMETRAJE!E$23,IF(G26=21,KILOMETRAJE!E$24,IF(G26=22,KILOMETRAJE!E$25,IF(G26=23,KILOMETRAJE!E$26,IF(G26=24,KILOMETRAJE!E$27,IF(G26=25,KILOMETRAJE!E$28,IF(G26=26,KILOMETRAJE!E$29,IF(G26=27,KILOMETRAJE!E$30,IF(G26=28,KILOMETRAJE!E$31,IF(G26=29,KILOMETRAJE!E$32,IF(G26=30,KILOMETRAJE!E$33,IF(G26=31,KILOMETRAJE!E$34,IF(G26=32,KILOMETRAJE!E$35,IF(G26=33,KILOMETRAJE!E$36,IF(G26=34,KILOMETRAJE!E$37,IF(G26=35,KILOMETRAJE!E$38,IF(G26=36,KILOMETRAJE!E$39,IF(G26=37,KILOMETRAJE!E$40,IF(G26=38,KILOMETRAJE!E$41,IF(G26=39,KILOMETRAJE!E$42,IF(G26=40,KILOMETRAJE!E$43,IF(G26=41,KILOMETRAJE!E$44,IF(G26=42,KILOMETRAJE!E$45,IF(G26=43,KILOMETRAJE!E$46,IF(G26=44,KILOMETRAJE!E$47,IF(G26=45,KILOMETRAJE!E$48,IF(G26=46,KILOMETRAJE!E$49,IF(G26=47,KILOMETRAJE!E$50,IF(G26=48,KILOMETRAJE!E$51,IF(G26=49,KILOMETRAJE!E$52,IF(G26=50,KILOMETRAJE!E$53,IF(G26=51,KILOMETRAJE!E$54,IF(G26=52,KILOMETRAJE!E$55,IF(G26=53,KILOMETRAJE!E$56,IF(G26=54,KILOMETRAJE!E$57,IF(G26=55,KILOMETRAJE!E$58,IF(G26=56,KILOMETRAJE!E$59,IF(G26=57,KILOMETRAJE!E$60,IF(G26=58,KILOMETRAJE!E$61,IF(G26=59,KILOMETRAJE!E$62,IF(G26=60,KILOMETRAJE!E$63,IF(G26=61,KILOMETRAJE!E$64,IF(G26=62,KILOMETRAJE!E$65,IF(G26=63,KILOMETRAJE!E$66)))))))))))))))))))))))))))))))))))))))))))))))))))))))))))))))</f>
        <v>JRZ</v>
      </c>
      <c r="J26" s="31">
        <f>IF(G26=1,KILOMETRAJE!G$4,IF(G26=2,KILOMETRAJE!G$5,IF(G26=3,KILOMETRAJE!G$6,IF(G26=4,KILOMETRAJE!G$7,IF(G26=5,KILOMETRAJE!G$8,IF(G26=6,KILOMETRAJE!G$9,IF(G26=7,KILOMETRAJE!G$10,IF(G26=8,KILOMETRAJE!G$11,IF(G26=9,KILOMETRAJE!G$12,IF(G26=10,KILOMETRAJE!G$13,IF(G26=11,KILOMETRAJE!G$14,IF(G26=12,KILOMETRAJE!G$15,IF(G26=13,KILOMETRAJE!G$16,IF(G26=14,KILOMETRAJE!G$17,IF(G26=15,KILOMETRAJE!G$18,IF(G26=16,KILOMETRAJE!G$19,IF(G26=17,KILOMETRAJE!G$20,IF(G26=18,KILOMETRAJE!G$21,IF(G26=19,KILOMETRAJE!G$22,IF(G26=20,KILOMETRAJE!G$23,IF(G26=21,KILOMETRAJE!G$24,IF(G26=22,KILOMETRAJE!G$25,IF(G26=23,KILOMETRAJE!G$26,IF(G26=24,KILOMETRAJE!G$27,IF(G26=25,KILOMETRAJE!G$28,IF(G26=26,KILOMETRAJE!G$29,IF(G26=27,KILOMETRAJE!G$30,IF(G26=28,KILOMETRAJE!G$31,IF(G26=29,KILOMETRAJE!G$32,IF(G26=30,KILOMETRAJE!G$33,IF(G26=31,KILOMETRAJE!G$34,IF(G26=32,KILOMETRAJE!G$35,IF(G26=33,KILOMETRAJE!G$36,IF(G26=34,KILOMETRAJE!G$37,IF(G26=35,KILOMETRAJE!G$38,IF(G26=36,KILOMETRAJE!G$39,IF(G26=37,KILOMETRAJE!G$40,IF(G26=38,KILOMETRAJE!G$41,IF(G26=39,KILOMETRAJE!G$42,IF(G26=40,KILOMETRAJE!G$43,IF(G26=41,KILOMETRAJE!G$44,IF(G26=42,KILOMETRAJE!G$45,IF(G26=43,KILOMETRAJE!G$46,IF(G26=44,KILOMETRAJE!G$47,IF(G26=45,KILOMETRAJE!G$48,IF(G26=46,KILOMETRAJE!G$49,IF(G26=47,KILOMETRAJE!G$50,IF(G26=48,KILOMETRAJE!G$51,IF(G26=49,KILOMETRAJE!G$52,IF(G26=50,KILOMETRAJE!G$53,IF(G26=51,KILOMETRAJE!G$54,IF(G26=52,KILOMETRAJE!G$55,IF(G26=53,KILOMETRAJE!G$56,IF(G26=54,KILOMETRAJE!G$57,IF(G26=55,KILOMETRAJE!G$58,IF(G26=56,KILOMETRAJE!G$59,IF(G26=57,KILOMETRAJE!G$60,IF(G26=58,KILOMETRAJE!G$61,IF(G26=59,KILOMETRAJE!G$62,IF(G26=60,KILOMETRAJE!G$63,IF(G26=61,KILOMETRAJE!G$64,IF(G26=62,KILOMETRAJE!G$65,IF(G26=63,KILOMETRAJE!G$66)))))))))))))))))))))))))))))))))))))))))))))))))))))))))))))))</f>
        <v>375</v>
      </c>
      <c r="K26" s="27">
        <v>227.05</v>
      </c>
      <c r="L26" s="28">
        <f>SUM(J25:J26)/K26</f>
        <v>3.5234529839242454</v>
      </c>
      <c r="M26" s="349">
        <v>5645</v>
      </c>
      <c r="N26" s="27">
        <v>1</v>
      </c>
      <c r="O26" s="27" t="s">
        <v>525</v>
      </c>
      <c r="P26" s="27" t="s">
        <v>247</v>
      </c>
      <c r="Q26" s="29">
        <f t="shared" si="1"/>
        <v>109.99874999999999</v>
      </c>
      <c r="R26" s="190">
        <f>+LOOKUP(P43,UNIDADES!B$3:B$59,UNIDADES!C$3:C$59)</f>
        <v>2.3734099999999998</v>
      </c>
      <c r="S26" s="19">
        <f>+((SUM(J25:J26))/R26)-K26</f>
        <v>110.01776326045649</v>
      </c>
      <c r="T26" s="456">
        <f>+S26*14.85</f>
        <v>1633.7637844177789</v>
      </c>
      <c r="U26" s="11"/>
      <c r="V26" s="11"/>
    </row>
    <row r="27" spans="2:24" hidden="1" x14ac:dyDescent="0.2">
      <c r="C27" s="176"/>
      <c r="D27" s="43"/>
      <c r="E27" s="42"/>
      <c r="F27" s="42"/>
      <c r="G27" s="43"/>
      <c r="H27" s="236"/>
      <c r="I27" s="236"/>
      <c r="J27" s="237"/>
      <c r="K27" s="24"/>
      <c r="L27" s="44"/>
      <c r="M27" s="348"/>
      <c r="N27" s="24"/>
      <c r="O27" s="24"/>
      <c r="P27" s="24"/>
      <c r="Q27" s="45"/>
      <c r="R27" s="191"/>
      <c r="S27" s="52"/>
      <c r="T27" s="455"/>
      <c r="U27" s="61"/>
      <c r="V27" s="61"/>
    </row>
    <row r="28" spans="2:24" ht="12.75" hidden="1" thickBot="1" x14ac:dyDescent="0.25">
      <c r="C28" s="101"/>
      <c r="D28" s="62"/>
      <c r="E28" s="25"/>
      <c r="F28" s="25"/>
      <c r="G28" s="62"/>
      <c r="H28" s="27"/>
      <c r="I28" s="27"/>
      <c r="J28" s="31"/>
      <c r="K28" s="27"/>
      <c r="L28" s="28"/>
      <c r="M28" s="349"/>
      <c r="N28" s="27"/>
      <c r="O28" s="27"/>
      <c r="P28" s="27"/>
      <c r="Q28" s="29"/>
      <c r="R28" s="190"/>
      <c r="S28" s="19"/>
      <c r="T28" s="456"/>
      <c r="U28" s="61"/>
      <c r="V28" s="61"/>
    </row>
    <row r="29" spans="2:24" hidden="1" x14ac:dyDescent="0.2">
      <c r="C29" s="372"/>
      <c r="D29" s="36"/>
      <c r="E29" s="37"/>
      <c r="F29" s="37"/>
      <c r="G29" s="36"/>
      <c r="H29" s="38"/>
      <c r="I29" s="38"/>
      <c r="J29" s="39"/>
      <c r="K29" s="38"/>
      <c r="L29" s="48"/>
      <c r="M29" s="350"/>
      <c r="N29" s="38"/>
      <c r="O29" s="38"/>
      <c r="P29" s="38"/>
      <c r="Q29" s="40"/>
      <c r="R29" s="192"/>
      <c r="S29" s="186"/>
      <c r="T29" s="40"/>
    </row>
    <row r="30" spans="2:24" hidden="1" x14ac:dyDescent="0.2">
      <c r="C30" s="344"/>
      <c r="D30" s="61"/>
      <c r="E30" s="12"/>
      <c r="F30" s="12"/>
      <c r="G30" s="61"/>
      <c r="H30" s="11"/>
      <c r="I30" s="11"/>
      <c r="J30" s="22"/>
      <c r="K30" s="11"/>
      <c r="L30" s="23"/>
      <c r="M30" s="371"/>
      <c r="N30" s="11"/>
      <c r="O30" s="11"/>
      <c r="P30" s="11"/>
      <c r="Q30" s="13"/>
      <c r="R30" s="339"/>
      <c r="S30" s="195"/>
      <c r="T30" s="13"/>
    </row>
    <row r="31" spans="2:24" hidden="1" x14ac:dyDescent="0.2">
      <c r="C31" s="344"/>
      <c r="D31" s="61"/>
      <c r="E31" s="12"/>
      <c r="F31" s="12"/>
      <c r="G31" s="61"/>
      <c r="H31" s="11"/>
      <c r="I31" s="11"/>
      <c r="J31" s="22"/>
      <c r="K31" s="11"/>
      <c r="L31" s="23"/>
      <c r="M31" s="371"/>
      <c r="N31" s="11"/>
      <c r="O31" s="11"/>
      <c r="P31" s="11"/>
      <c r="Q31" s="13"/>
      <c r="R31" s="339"/>
      <c r="S31" s="195"/>
      <c r="T31" s="13"/>
    </row>
    <row r="32" spans="2:24" hidden="1" x14ac:dyDescent="0.2">
      <c r="C32" s="344"/>
      <c r="D32" s="61"/>
      <c r="E32" s="12"/>
      <c r="F32" s="12"/>
      <c r="G32" s="61"/>
      <c r="H32" s="11"/>
      <c r="I32" s="11"/>
      <c r="J32" s="22"/>
      <c r="K32" s="11"/>
      <c r="L32" s="23"/>
      <c r="M32" s="371"/>
      <c r="N32" s="11"/>
      <c r="O32" s="11"/>
      <c r="P32" s="11"/>
      <c r="Q32" s="13"/>
      <c r="R32" s="339"/>
      <c r="S32" s="195"/>
      <c r="T32" s="13"/>
    </row>
    <row r="33" spans="3:23" ht="12.75" thickBot="1" x14ac:dyDescent="0.25">
      <c r="I33" s="15"/>
      <c r="R33" s="193"/>
      <c r="S33" s="15"/>
    </row>
    <row r="34" spans="3:23" x14ac:dyDescent="0.2">
      <c r="E34" s="629" t="s">
        <v>34</v>
      </c>
      <c r="F34" s="646">
        <f>+'AGUILAR ESQUIVEL CARLOS'!F34</f>
        <v>45957</v>
      </c>
      <c r="G34" s="647"/>
      <c r="H34" s="16">
        <f>+F34+1</f>
        <v>45958</v>
      </c>
      <c r="I34" s="16">
        <f>+H34+1</f>
        <v>45959</v>
      </c>
      <c r="J34" s="16">
        <f>+I34+1</f>
        <v>45960</v>
      </c>
      <c r="K34" s="16">
        <f>+J34+1</f>
        <v>45961</v>
      </c>
      <c r="L34" s="16">
        <f>+K34+2</f>
        <v>45963</v>
      </c>
      <c r="M34" s="17" t="s">
        <v>35</v>
      </c>
    </row>
    <row r="35" spans="3:23" ht="12.75" thickBot="1" x14ac:dyDescent="0.25">
      <c r="E35" s="630"/>
      <c r="F35" s="648"/>
      <c r="G35" s="649"/>
      <c r="H35" s="29"/>
      <c r="I35" s="29"/>
      <c r="J35" s="29"/>
      <c r="K35" s="29"/>
      <c r="L35" s="29"/>
      <c r="M35" s="30">
        <f>SUM(F35:L35)</f>
        <v>0</v>
      </c>
    </row>
    <row r="36" spans="3:23" ht="12.75" thickBot="1" x14ac:dyDescent="0.25">
      <c r="I36" s="15"/>
    </row>
    <row r="37" spans="3:23" ht="13.5" thickBot="1" x14ac:dyDescent="0.25">
      <c r="C37" s="608" t="s">
        <v>36</v>
      </c>
      <c r="D37" s="609"/>
      <c r="E37" s="609"/>
      <c r="F37" s="609"/>
      <c r="G37" s="610"/>
      <c r="I37" s="666" t="s">
        <v>37</v>
      </c>
      <c r="J37" s="667"/>
      <c r="K37" s="667"/>
      <c r="L37" s="668"/>
      <c r="M37" s="298"/>
      <c r="O37" s="611" t="s">
        <v>38</v>
      </c>
      <c r="P37" s="612"/>
      <c r="Q37" s="613">
        <f>+F49-L46</f>
        <v>7417.6910843427822</v>
      </c>
      <c r="R37" s="614"/>
      <c r="S37" s="615"/>
    </row>
    <row r="38" spans="3:23" ht="12.75" thickBot="1" x14ac:dyDescent="0.25">
      <c r="C38" s="616" t="s">
        <v>219</v>
      </c>
      <c r="D38" s="617"/>
      <c r="E38" s="617"/>
      <c r="F38" s="618">
        <f>SUM(Q18:Q33)</f>
        <v>824.99099999999987</v>
      </c>
      <c r="G38" s="619"/>
      <c r="I38" s="375" t="s">
        <v>125</v>
      </c>
      <c r="J38" s="76" t="s">
        <v>126</v>
      </c>
      <c r="K38" s="77" t="s">
        <v>70</v>
      </c>
      <c r="L38" s="376" t="s">
        <v>127</v>
      </c>
      <c r="M38" s="346"/>
    </row>
    <row r="39" spans="3:23" ht="12.75" thickBot="1" x14ac:dyDescent="0.25">
      <c r="C39" s="602" t="s">
        <v>220</v>
      </c>
      <c r="D39" s="603"/>
      <c r="E39" s="603"/>
      <c r="F39" s="604">
        <f>SUM(T18:T33)</f>
        <v>6292.7000843427822</v>
      </c>
      <c r="G39" s="605"/>
      <c r="I39" s="176"/>
      <c r="J39" s="412"/>
      <c r="K39" s="17"/>
      <c r="L39" s="409"/>
      <c r="O39" s="74" t="s">
        <v>70</v>
      </c>
      <c r="P39" s="75" t="s">
        <v>71</v>
      </c>
      <c r="Q39" s="76" t="s">
        <v>72</v>
      </c>
      <c r="R39" s="64"/>
      <c r="S39" s="77" t="s">
        <v>73</v>
      </c>
      <c r="T39" s="75" t="s">
        <v>74</v>
      </c>
      <c r="U39" s="74" t="s">
        <v>145</v>
      </c>
      <c r="V39" s="75" t="s">
        <v>146</v>
      </c>
      <c r="W39" s="75" t="s">
        <v>284</v>
      </c>
    </row>
    <row r="40" spans="3:23" x14ac:dyDescent="0.2">
      <c r="C40" s="602" t="s">
        <v>34</v>
      </c>
      <c r="D40" s="603"/>
      <c r="E40" s="603"/>
      <c r="F40" s="604">
        <f>+M35</f>
        <v>0</v>
      </c>
      <c r="G40" s="605"/>
      <c r="I40" s="94"/>
      <c r="J40" s="117"/>
      <c r="K40" s="415"/>
      <c r="L40" s="407"/>
      <c r="O40" s="78">
        <v>46109</v>
      </c>
      <c r="P40" s="79" t="s">
        <v>58</v>
      </c>
      <c r="Q40" s="80">
        <v>150520</v>
      </c>
      <c r="R40" s="80"/>
      <c r="S40" s="63">
        <v>151220</v>
      </c>
      <c r="T40" s="79">
        <f t="shared" ref="T40" si="2">+S40-Q40</f>
        <v>700</v>
      </c>
      <c r="U40" s="137">
        <f>SUM(J19:J20)</f>
        <v>750</v>
      </c>
      <c r="V40" s="79">
        <f>+K20</f>
        <v>226</v>
      </c>
      <c r="W40" s="353">
        <f>(SUM(M19:M20)/2)</f>
        <v>2226.5</v>
      </c>
    </row>
    <row r="41" spans="3:23" x14ac:dyDescent="0.2">
      <c r="C41" s="602" t="s">
        <v>186</v>
      </c>
      <c r="D41" s="603"/>
      <c r="E41" s="603"/>
      <c r="F41" s="604">
        <v>0</v>
      </c>
      <c r="G41" s="605"/>
      <c r="I41" s="94"/>
      <c r="J41" s="117"/>
      <c r="K41" s="415"/>
      <c r="L41" s="407"/>
      <c r="O41" s="32">
        <v>46142</v>
      </c>
      <c r="P41" s="53" t="s">
        <v>58</v>
      </c>
      <c r="Q41" s="63">
        <v>151220</v>
      </c>
      <c r="R41" s="63"/>
      <c r="S41" s="11">
        <v>151421</v>
      </c>
      <c r="T41" s="53">
        <f>+S41-Q41</f>
        <v>201</v>
      </c>
      <c r="U41" s="136">
        <f>SUM(J21:J22)</f>
        <v>750</v>
      </c>
      <c r="V41" s="53">
        <f>+K22</f>
        <v>216.17</v>
      </c>
      <c r="W41" s="354">
        <f>(SUM(M21:M22)/2)</f>
        <v>1498</v>
      </c>
    </row>
    <row r="42" spans="3:23" x14ac:dyDescent="0.2">
      <c r="C42" s="602" t="s">
        <v>39</v>
      </c>
      <c r="D42" s="603"/>
      <c r="E42" s="603"/>
      <c r="F42" s="604"/>
      <c r="G42" s="605"/>
      <c r="I42" s="94"/>
      <c r="J42" s="117"/>
      <c r="K42" s="415"/>
      <c r="L42" s="407"/>
      <c r="O42" s="32">
        <v>46176</v>
      </c>
      <c r="P42" s="53" t="s">
        <v>58</v>
      </c>
      <c r="Q42" s="11">
        <v>152618</v>
      </c>
      <c r="R42" s="63"/>
      <c r="S42" s="11">
        <v>153364</v>
      </c>
      <c r="T42" s="53">
        <f t="shared" ref="T42:T45" si="3">+S42-Q42</f>
        <v>746</v>
      </c>
      <c r="U42" s="136">
        <f>SUM(J23:J24)</f>
        <v>750</v>
      </c>
      <c r="V42" s="53">
        <f>+K24</f>
        <v>192.1</v>
      </c>
      <c r="W42" s="354">
        <f>(SUM(M23:M24)/2)</f>
        <v>697.5</v>
      </c>
    </row>
    <row r="43" spans="3:23" x14ac:dyDescent="0.2">
      <c r="C43" s="602" t="s">
        <v>116</v>
      </c>
      <c r="D43" s="603"/>
      <c r="E43" s="603"/>
      <c r="F43" s="604">
        <v>250</v>
      </c>
      <c r="G43" s="605"/>
      <c r="I43" s="94"/>
      <c r="J43" s="117"/>
      <c r="K43" s="415"/>
      <c r="L43" s="407"/>
      <c r="O43" s="32">
        <v>46159</v>
      </c>
      <c r="P43" s="53" t="s">
        <v>58</v>
      </c>
      <c r="Q43" s="63">
        <v>151921</v>
      </c>
      <c r="R43" s="63"/>
      <c r="S43" s="11">
        <v>152618</v>
      </c>
      <c r="T43" s="53">
        <f t="shared" si="3"/>
        <v>697</v>
      </c>
      <c r="U43" s="136">
        <f>SUM(J25:J26)</f>
        <v>800</v>
      </c>
      <c r="V43" s="53">
        <f>+K26</f>
        <v>227.05</v>
      </c>
      <c r="W43" s="354">
        <f>(SUM(M25:M26)/2)</f>
        <v>3310</v>
      </c>
    </row>
    <row r="44" spans="3:23" x14ac:dyDescent="0.2">
      <c r="C44" s="602" t="s">
        <v>40</v>
      </c>
      <c r="D44" s="603"/>
      <c r="E44" s="603"/>
      <c r="F44" s="604">
        <v>50</v>
      </c>
      <c r="G44" s="605"/>
      <c r="I44" s="94"/>
      <c r="J44" s="117"/>
      <c r="K44" s="415"/>
      <c r="L44" s="407"/>
      <c r="O44" s="32"/>
      <c r="P44" s="53"/>
      <c r="Q44" s="63"/>
      <c r="R44" s="95"/>
      <c r="S44" s="11"/>
      <c r="T44" s="53">
        <f t="shared" si="3"/>
        <v>0</v>
      </c>
      <c r="U44" s="136">
        <f>SUM(J27:J28)</f>
        <v>0</v>
      </c>
      <c r="V44" s="53">
        <f>+K28</f>
        <v>0</v>
      </c>
      <c r="W44" s="354">
        <f>(SUM(M27:M28)/2)</f>
        <v>0</v>
      </c>
    </row>
    <row r="45" spans="3:23" ht="12.75" thickBot="1" x14ac:dyDescent="0.25">
      <c r="C45" s="602" t="s">
        <v>124</v>
      </c>
      <c r="D45" s="603"/>
      <c r="E45" s="603"/>
      <c r="F45" s="604"/>
      <c r="G45" s="605"/>
      <c r="I45" s="282"/>
      <c r="J45" s="285"/>
      <c r="K45" s="417"/>
      <c r="L45" s="410"/>
      <c r="O45" s="32"/>
      <c r="P45" s="53"/>
      <c r="Q45" s="63"/>
      <c r="R45" s="95"/>
      <c r="S45" s="11"/>
      <c r="T45" s="53">
        <f t="shared" si="3"/>
        <v>0</v>
      </c>
      <c r="U45" s="136">
        <f>SUM(J31:J32)</f>
        <v>0</v>
      </c>
      <c r="V45" s="53">
        <f>+K32</f>
        <v>0</v>
      </c>
      <c r="W45" s="354">
        <f>(SUM(M31:M32)/2)</f>
        <v>0</v>
      </c>
    </row>
    <row r="46" spans="3:23" ht="13.5" thickBot="1" x14ac:dyDescent="0.25">
      <c r="C46" s="602" t="s">
        <v>224</v>
      </c>
      <c r="D46" s="603"/>
      <c r="E46" s="603"/>
      <c r="F46" s="606">
        <v>0</v>
      </c>
      <c r="G46" s="607"/>
      <c r="I46" s="597" t="s">
        <v>41</v>
      </c>
      <c r="J46" s="598"/>
      <c r="K46" s="632"/>
      <c r="L46" s="284">
        <f>SUM(L39:L45)</f>
        <v>0</v>
      </c>
      <c r="O46" s="113"/>
      <c r="P46" s="264"/>
      <c r="Q46" s="265"/>
      <c r="R46" s="83"/>
      <c r="S46" s="81"/>
      <c r="T46" s="82"/>
      <c r="U46" s="138">
        <v>0</v>
      </c>
      <c r="V46" s="55">
        <v>0</v>
      </c>
      <c r="W46" s="355">
        <v>0</v>
      </c>
    </row>
    <row r="47" spans="3:23" x14ac:dyDescent="0.2">
      <c r="C47" s="602" t="s">
        <v>110</v>
      </c>
      <c r="D47" s="603"/>
      <c r="E47" s="603"/>
      <c r="F47" s="606">
        <v>0</v>
      </c>
      <c r="G47" s="607"/>
      <c r="N47" s="346"/>
      <c r="R47" s="21"/>
      <c r="S47" s="21"/>
      <c r="T47" s="21"/>
      <c r="U47" s="139"/>
      <c r="V47" s="271"/>
    </row>
    <row r="48" spans="3:23" ht="12.75" thickBot="1" x14ac:dyDescent="0.25">
      <c r="C48" s="593" t="s">
        <v>315</v>
      </c>
      <c r="D48" s="594"/>
      <c r="E48" s="594"/>
      <c r="F48" s="595"/>
      <c r="G48" s="596"/>
      <c r="N48" s="346"/>
      <c r="R48" s="21"/>
      <c r="S48" s="21"/>
      <c r="T48" s="21"/>
      <c r="U48" s="139"/>
      <c r="V48" s="271"/>
    </row>
    <row r="49" spans="3:22" ht="13.5" thickBot="1" x14ac:dyDescent="0.25">
      <c r="C49" s="597" t="s">
        <v>42</v>
      </c>
      <c r="D49" s="598"/>
      <c r="E49" s="599"/>
      <c r="F49" s="600">
        <f>SUM(F38:G48)</f>
        <v>7417.6910843427822</v>
      </c>
      <c r="G49" s="601"/>
      <c r="N49" s="346"/>
      <c r="R49" s="21"/>
      <c r="S49" s="21"/>
      <c r="T49" s="21"/>
      <c r="U49" s="139"/>
      <c r="V49" s="271"/>
    </row>
    <row r="50" spans="3:22" ht="12.75" thickBot="1" x14ac:dyDescent="0.25">
      <c r="N50" s="346"/>
      <c r="P50" s="588" t="s">
        <v>48</v>
      </c>
      <c r="Q50" s="589"/>
      <c r="R50" s="590"/>
      <c r="S50" s="21"/>
      <c r="T50" s="21"/>
      <c r="U50" s="139"/>
      <c r="V50" s="271"/>
    </row>
    <row r="51" spans="3:22" x14ac:dyDescent="0.2">
      <c r="C51" s="246" t="s">
        <v>43</v>
      </c>
      <c r="D51" s="247"/>
      <c r="E51" s="247"/>
      <c r="F51" s="247"/>
      <c r="G51" s="247"/>
      <c r="H51" s="247"/>
      <c r="I51" s="247"/>
      <c r="J51" s="247"/>
      <c r="K51" s="247"/>
      <c r="L51" s="248"/>
      <c r="M51" s="251"/>
      <c r="N51" s="346"/>
      <c r="P51" s="78">
        <v>1</v>
      </c>
      <c r="Q51" s="584" t="s">
        <v>49</v>
      </c>
      <c r="R51" s="585"/>
      <c r="S51" s="21"/>
      <c r="T51" s="21"/>
      <c r="U51" s="249"/>
    </row>
    <row r="52" spans="3:22" x14ac:dyDescent="0.2">
      <c r="C52" s="250"/>
      <c r="D52" s="251"/>
      <c r="E52" s="251"/>
      <c r="F52" s="251"/>
      <c r="G52" s="251"/>
      <c r="H52" s="251"/>
      <c r="I52" s="251"/>
      <c r="J52" s="251"/>
      <c r="K52" s="251"/>
      <c r="L52" s="252"/>
      <c r="M52" s="251"/>
      <c r="N52" s="346"/>
      <c r="P52" s="32">
        <v>2</v>
      </c>
      <c r="Q52" s="586" t="s">
        <v>135</v>
      </c>
      <c r="R52" s="587"/>
      <c r="S52" s="21"/>
      <c r="T52" s="249"/>
    </row>
    <row r="53" spans="3:22" ht="12.75" thickBot="1" x14ac:dyDescent="0.25">
      <c r="C53" s="253"/>
      <c r="D53" s="254"/>
      <c r="E53" s="254"/>
      <c r="F53" s="254"/>
      <c r="G53" s="254"/>
      <c r="H53" s="254"/>
      <c r="I53" s="254"/>
      <c r="J53" s="254"/>
      <c r="K53" s="254"/>
      <c r="L53" s="255"/>
      <c r="M53" s="251"/>
      <c r="N53" s="346"/>
      <c r="P53" s="32">
        <v>3</v>
      </c>
      <c r="Q53" s="586" t="s">
        <v>130</v>
      </c>
      <c r="R53" s="587"/>
      <c r="S53" s="21"/>
      <c r="T53" s="249"/>
    </row>
    <row r="54" spans="3:22" ht="12.75" x14ac:dyDescent="0.2">
      <c r="N54" s="347"/>
      <c r="P54" s="32">
        <v>4</v>
      </c>
      <c r="Q54" s="586" t="s">
        <v>228</v>
      </c>
      <c r="R54" s="587"/>
      <c r="S54" s="21"/>
      <c r="T54" s="249"/>
    </row>
    <row r="55" spans="3:22" ht="12.75" thickBot="1" x14ac:dyDescent="0.25">
      <c r="P55" s="32">
        <v>5</v>
      </c>
      <c r="Q55" s="586" t="s">
        <v>229</v>
      </c>
      <c r="R55" s="587"/>
      <c r="S55" s="21"/>
    </row>
    <row r="56" spans="3:22" ht="13.5" thickTop="1" thickBot="1" x14ac:dyDescent="0.25">
      <c r="D56" s="631" t="s">
        <v>44</v>
      </c>
      <c r="E56" s="631"/>
      <c r="F56" s="631"/>
      <c r="G56" s="631"/>
      <c r="H56" s="631"/>
      <c r="J56" s="631" t="s">
        <v>45</v>
      </c>
      <c r="K56" s="631"/>
      <c r="L56" s="631"/>
      <c r="M56" s="631"/>
      <c r="N56" s="631"/>
      <c r="P56" s="54">
        <v>6</v>
      </c>
      <c r="Q56" s="591" t="s">
        <v>230</v>
      </c>
      <c r="R56" s="592"/>
      <c r="S56" s="21"/>
      <c r="T56" s="21"/>
    </row>
    <row r="57" spans="3:22" x14ac:dyDescent="0.2">
      <c r="S57" s="21"/>
      <c r="T57" s="21"/>
    </row>
  </sheetData>
  <mergeCells count="55">
    <mergeCell ref="P50:R50"/>
    <mergeCell ref="Q51:R51"/>
    <mergeCell ref="Q52:R52"/>
    <mergeCell ref="Q53:R53"/>
    <mergeCell ref="C46:E46"/>
    <mergeCell ref="F46:G46"/>
    <mergeCell ref="C47:E47"/>
    <mergeCell ref="F47:G47"/>
    <mergeCell ref="C48:E48"/>
    <mergeCell ref="F48:G48"/>
    <mergeCell ref="D13:E13"/>
    <mergeCell ref="Q2:S2"/>
    <mergeCell ref="I3:O3"/>
    <mergeCell ref="Q3:S3"/>
    <mergeCell ref="I4:O4"/>
    <mergeCell ref="I5:O5"/>
    <mergeCell ref="Q5:S5"/>
    <mergeCell ref="I6:O6"/>
    <mergeCell ref="Q6:S6"/>
    <mergeCell ref="I9:O9"/>
    <mergeCell ref="L11:S11"/>
    <mergeCell ref="D14:E14"/>
    <mergeCell ref="D15:E15"/>
    <mergeCell ref="D16:E16"/>
    <mergeCell ref="E34:E35"/>
    <mergeCell ref="F34:G34"/>
    <mergeCell ref="F35:G35"/>
    <mergeCell ref="C37:G37"/>
    <mergeCell ref="O37:P37"/>
    <mergeCell ref="Q37:S37"/>
    <mergeCell ref="C38:E38"/>
    <mergeCell ref="F38:G38"/>
    <mergeCell ref="I37:L37"/>
    <mergeCell ref="C39:E39"/>
    <mergeCell ref="F39:G39"/>
    <mergeCell ref="C40:E40"/>
    <mergeCell ref="F40:G40"/>
    <mergeCell ref="C41:E41"/>
    <mergeCell ref="F41:G41"/>
    <mergeCell ref="Q54:R54"/>
    <mergeCell ref="Q55:R55"/>
    <mergeCell ref="Q56:R56"/>
    <mergeCell ref="C42:E42"/>
    <mergeCell ref="F42:G42"/>
    <mergeCell ref="F43:G43"/>
    <mergeCell ref="C45:E45"/>
    <mergeCell ref="F45:G45"/>
    <mergeCell ref="F44:G44"/>
    <mergeCell ref="C44:E44"/>
    <mergeCell ref="C43:E43"/>
    <mergeCell ref="I46:K46"/>
    <mergeCell ref="C49:E49"/>
    <mergeCell ref="F49:G49"/>
    <mergeCell ref="D56:H56"/>
    <mergeCell ref="J56:N56"/>
  </mergeCells>
  <phoneticPr fontId="21" type="noConversion"/>
  <pageMargins left="0.19685039370078741" right="0.19685039370078741" top="0.35433070866141736" bottom="0.15748031496062992" header="0.31496062992125984" footer="0.31496062992125984"/>
  <pageSetup paperSize="9" scale="70" orientation="landscape" horizontalDpi="300" verticalDpi="300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Hoja31">
    <pageSetUpPr fitToPage="1"/>
  </sheetPr>
  <dimension ref="C1:Y58"/>
  <sheetViews>
    <sheetView topLeftCell="B9" zoomScaleNormal="100" workbookViewId="0">
      <selection activeCell="I35" sqref="I35"/>
    </sheetView>
  </sheetViews>
  <sheetFormatPr baseColWidth="10" defaultColWidth="9.140625" defaultRowHeight="12" x14ac:dyDescent="0.2"/>
  <cols>
    <col min="1" max="1" width="3.28515625" style="14" customWidth="1"/>
    <col min="2" max="2" width="4.5703125" style="14" customWidth="1"/>
    <col min="3" max="3" width="12.7109375" style="14" customWidth="1"/>
    <col min="4" max="4" width="11.42578125" style="14" customWidth="1"/>
    <col min="5" max="5" width="13.28515625" style="14" customWidth="1"/>
    <col min="6" max="6" width="8.85546875" style="14" customWidth="1"/>
    <col min="7" max="7" width="3" style="14" bestFit="1" customWidth="1"/>
    <col min="8" max="8" width="12.85546875" style="14" customWidth="1"/>
    <col min="9" max="9" width="11.7109375" style="14" customWidth="1"/>
    <col min="10" max="10" width="10" style="14" customWidth="1"/>
    <col min="11" max="11" width="12.85546875" style="14" customWidth="1"/>
    <col min="12" max="13" width="12.42578125" style="14" customWidth="1"/>
    <col min="14" max="14" width="11.7109375" style="14" customWidth="1"/>
    <col min="15" max="15" width="13.140625" style="14" customWidth="1"/>
    <col min="16" max="16" width="13" style="14" customWidth="1"/>
    <col min="17" max="17" width="10.7109375" style="14" customWidth="1"/>
    <col min="18" max="18" width="10" style="14" customWidth="1"/>
    <col min="19" max="19" width="14" style="14" customWidth="1"/>
    <col min="20" max="20" width="12.85546875" style="14" customWidth="1"/>
    <col min="21" max="21" width="10.28515625" style="14" customWidth="1"/>
    <col min="22" max="22" width="9.5703125" style="14" customWidth="1"/>
    <col min="23" max="25" width="9.140625" style="14" customWidth="1"/>
    <col min="26" max="259" width="9.140625" style="14"/>
    <col min="260" max="260" width="5.7109375" style="14" customWidth="1"/>
    <col min="261" max="261" width="13.140625" style="14" customWidth="1"/>
    <col min="262" max="262" width="12.28515625" style="14" customWidth="1"/>
    <col min="263" max="263" width="8.85546875" style="14" customWidth="1"/>
    <col min="264" max="264" width="10.85546875" style="14" customWidth="1"/>
    <col min="265" max="265" width="2.85546875" style="14" customWidth="1"/>
    <col min="266" max="266" width="12.140625" style="14" customWidth="1"/>
    <col min="267" max="267" width="10.140625" style="14" customWidth="1"/>
    <col min="268" max="268" width="11.7109375" style="14" customWidth="1"/>
    <col min="269" max="269" width="11.42578125" style="14" customWidth="1"/>
    <col min="270" max="270" width="12.7109375" style="14" customWidth="1"/>
    <col min="271" max="271" width="11.42578125" style="14" customWidth="1"/>
    <col min="272" max="272" width="10.7109375" style="14" customWidth="1"/>
    <col min="273" max="273" width="10.5703125" style="14" customWidth="1"/>
    <col min="274" max="274" width="11.28515625" style="14" customWidth="1"/>
    <col min="275" max="275" width="9.7109375" style="14" customWidth="1"/>
    <col min="276" max="276" width="12" style="14" customWidth="1"/>
    <col min="277" max="277" width="11.28515625" style="14" customWidth="1"/>
    <col min="278" max="515" width="9.140625" style="14"/>
    <col min="516" max="516" width="5.7109375" style="14" customWidth="1"/>
    <col min="517" max="517" width="13.140625" style="14" customWidth="1"/>
    <col min="518" max="518" width="12.28515625" style="14" customWidth="1"/>
    <col min="519" max="519" width="8.85546875" style="14" customWidth="1"/>
    <col min="520" max="520" width="10.85546875" style="14" customWidth="1"/>
    <col min="521" max="521" width="2.85546875" style="14" customWidth="1"/>
    <col min="522" max="522" width="12.140625" style="14" customWidth="1"/>
    <col min="523" max="523" width="10.140625" style="14" customWidth="1"/>
    <col min="524" max="524" width="11.7109375" style="14" customWidth="1"/>
    <col min="525" max="525" width="11.42578125" style="14" customWidth="1"/>
    <col min="526" max="526" width="12.7109375" style="14" customWidth="1"/>
    <col min="527" max="527" width="11.42578125" style="14" customWidth="1"/>
    <col min="528" max="528" width="10.7109375" style="14" customWidth="1"/>
    <col min="529" max="529" width="10.5703125" style="14" customWidth="1"/>
    <col min="530" max="530" width="11.28515625" style="14" customWidth="1"/>
    <col min="531" max="531" width="9.7109375" style="14" customWidth="1"/>
    <col min="532" max="532" width="12" style="14" customWidth="1"/>
    <col min="533" max="533" width="11.28515625" style="14" customWidth="1"/>
    <col min="534" max="771" width="9.140625" style="14"/>
    <col min="772" max="772" width="5.7109375" style="14" customWidth="1"/>
    <col min="773" max="773" width="13.140625" style="14" customWidth="1"/>
    <col min="774" max="774" width="12.28515625" style="14" customWidth="1"/>
    <col min="775" max="775" width="8.85546875" style="14" customWidth="1"/>
    <col min="776" max="776" width="10.85546875" style="14" customWidth="1"/>
    <col min="777" max="777" width="2.85546875" style="14" customWidth="1"/>
    <col min="778" max="778" width="12.140625" style="14" customWidth="1"/>
    <col min="779" max="779" width="10.140625" style="14" customWidth="1"/>
    <col min="780" max="780" width="11.7109375" style="14" customWidth="1"/>
    <col min="781" max="781" width="11.42578125" style="14" customWidth="1"/>
    <col min="782" max="782" width="12.7109375" style="14" customWidth="1"/>
    <col min="783" max="783" width="11.42578125" style="14" customWidth="1"/>
    <col min="784" max="784" width="10.7109375" style="14" customWidth="1"/>
    <col min="785" max="785" width="10.5703125" style="14" customWidth="1"/>
    <col min="786" max="786" width="11.28515625" style="14" customWidth="1"/>
    <col min="787" max="787" width="9.7109375" style="14" customWidth="1"/>
    <col min="788" max="788" width="12" style="14" customWidth="1"/>
    <col min="789" max="789" width="11.28515625" style="14" customWidth="1"/>
    <col min="790" max="1027" width="9.140625" style="14"/>
    <col min="1028" max="1028" width="5.7109375" style="14" customWidth="1"/>
    <col min="1029" max="1029" width="13.140625" style="14" customWidth="1"/>
    <col min="1030" max="1030" width="12.28515625" style="14" customWidth="1"/>
    <col min="1031" max="1031" width="8.85546875" style="14" customWidth="1"/>
    <col min="1032" max="1032" width="10.85546875" style="14" customWidth="1"/>
    <col min="1033" max="1033" width="2.85546875" style="14" customWidth="1"/>
    <col min="1034" max="1034" width="12.140625" style="14" customWidth="1"/>
    <col min="1035" max="1035" width="10.140625" style="14" customWidth="1"/>
    <col min="1036" max="1036" width="11.7109375" style="14" customWidth="1"/>
    <col min="1037" max="1037" width="11.42578125" style="14" customWidth="1"/>
    <col min="1038" max="1038" width="12.7109375" style="14" customWidth="1"/>
    <col min="1039" max="1039" width="11.42578125" style="14" customWidth="1"/>
    <col min="1040" max="1040" width="10.7109375" style="14" customWidth="1"/>
    <col min="1041" max="1041" width="10.5703125" style="14" customWidth="1"/>
    <col min="1042" max="1042" width="11.28515625" style="14" customWidth="1"/>
    <col min="1043" max="1043" width="9.7109375" style="14" customWidth="1"/>
    <col min="1044" max="1044" width="12" style="14" customWidth="1"/>
    <col min="1045" max="1045" width="11.28515625" style="14" customWidth="1"/>
    <col min="1046" max="1283" width="9.140625" style="14"/>
    <col min="1284" max="1284" width="5.7109375" style="14" customWidth="1"/>
    <col min="1285" max="1285" width="13.140625" style="14" customWidth="1"/>
    <col min="1286" max="1286" width="12.28515625" style="14" customWidth="1"/>
    <col min="1287" max="1287" width="8.85546875" style="14" customWidth="1"/>
    <col min="1288" max="1288" width="10.85546875" style="14" customWidth="1"/>
    <col min="1289" max="1289" width="2.85546875" style="14" customWidth="1"/>
    <col min="1290" max="1290" width="12.140625" style="14" customWidth="1"/>
    <col min="1291" max="1291" width="10.140625" style="14" customWidth="1"/>
    <col min="1292" max="1292" width="11.7109375" style="14" customWidth="1"/>
    <col min="1293" max="1293" width="11.42578125" style="14" customWidth="1"/>
    <col min="1294" max="1294" width="12.7109375" style="14" customWidth="1"/>
    <col min="1295" max="1295" width="11.42578125" style="14" customWidth="1"/>
    <col min="1296" max="1296" width="10.7109375" style="14" customWidth="1"/>
    <col min="1297" max="1297" width="10.5703125" style="14" customWidth="1"/>
    <col min="1298" max="1298" width="11.28515625" style="14" customWidth="1"/>
    <col min="1299" max="1299" width="9.7109375" style="14" customWidth="1"/>
    <col min="1300" max="1300" width="12" style="14" customWidth="1"/>
    <col min="1301" max="1301" width="11.28515625" style="14" customWidth="1"/>
    <col min="1302" max="1539" width="9.140625" style="14"/>
    <col min="1540" max="1540" width="5.7109375" style="14" customWidth="1"/>
    <col min="1541" max="1541" width="13.140625" style="14" customWidth="1"/>
    <col min="1542" max="1542" width="12.28515625" style="14" customWidth="1"/>
    <col min="1543" max="1543" width="8.85546875" style="14" customWidth="1"/>
    <col min="1544" max="1544" width="10.85546875" style="14" customWidth="1"/>
    <col min="1545" max="1545" width="2.85546875" style="14" customWidth="1"/>
    <col min="1546" max="1546" width="12.140625" style="14" customWidth="1"/>
    <col min="1547" max="1547" width="10.140625" style="14" customWidth="1"/>
    <col min="1548" max="1548" width="11.7109375" style="14" customWidth="1"/>
    <col min="1549" max="1549" width="11.42578125" style="14" customWidth="1"/>
    <col min="1550" max="1550" width="12.7109375" style="14" customWidth="1"/>
    <col min="1551" max="1551" width="11.42578125" style="14" customWidth="1"/>
    <col min="1552" max="1552" width="10.7109375" style="14" customWidth="1"/>
    <col min="1553" max="1553" width="10.5703125" style="14" customWidth="1"/>
    <col min="1554" max="1554" width="11.28515625" style="14" customWidth="1"/>
    <col min="1555" max="1555" width="9.7109375" style="14" customWidth="1"/>
    <col min="1556" max="1556" width="12" style="14" customWidth="1"/>
    <col min="1557" max="1557" width="11.28515625" style="14" customWidth="1"/>
    <col min="1558" max="1795" width="9.140625" style="14"/>
    <col min="1796" max="1796" width="5.7109375" style="14" customWidth="1"/>
    <col min="1797" max="1797" width="13.140625" style="14" customWidth="1"/>
    <col min="1798" max="1798" width="12.28515625" style="14" customWidth="1"/>
    <col min="1799" max="1799" width="8.85546875" style="14" customWidth="1"/>
    <col min="1800" max="1800" width="10.85546875" style="14" customWidth="1"/>
    <col min="1801" max="1801" width="2.85546875" style="14" customWidth="1"/>
    <col min="1802" max="1802" width="12.140625" style="14" customWidth="1"/>
    <col min="1803" max="1803" width="10.140625" style="14" customWidth="1"/>
    <col min="1804" max="1804" width="11.7109375" style="14" customWidth="1"/>
    <col min="1805" max="1805" width="11.42578125" style="14" customWidth="1"/>
    <col min="1806" max="1806" width="12.7109375" style="14" customWidth="1"/>
    <col min="1807" max="1807" width="11.42578125" style="14" customWidth="1"/>
    <col min="1808" max="1808" width="10.7109375" style="14" customWidth="1"/>
    <col min="1809" max="1809" width="10.5703125" style="14" customWidth="1"/>
    <col min="1810" max="1810" width="11.28515625" style="14" customWidth="1"/>
    <col min="1811" max="1811" width="9.7109375" style="14" customWidth="1"/>
    <col min="1812" max="1812" width="12" style="14" customWidth="1"/>
    <col min="1813" max="1813" width="11.28515625" style="14" customWidth="1"/>
    <col min="1814" max="2051" width="9.140625" style="14"/>
    <col min="2052" max="2052" width="5.7109375" style="14" customWidth="1"/>
    <col min="2053" max="2053" width="13.140625" style="14" customWidth="1"/>
    <col min="2054" max="2054" width="12.28515625" style="14" customWidth="1"/>
    <col min="2055" max="2055" width="8.85546875" style="14" customWidth="1"/>
    <col min="2056" max="2056" width="10.85546875" style="14" customWidth="1"/>
    <col min="2057" max="2057" width="2.85546875" style="14" customWidth="1"/>
    <col min="2058" max="2058" width="12.140625" style="14" customWidth="1"/>
    <col min="2059" max="2059" width="10.140625" style="14" customWidth="1"/>
    <col min="2060" max="2060" width="11.7109375" style="14" customWidth="1"/>
    <col min="2061" max="2061" width="11.42578125" style="14" customWidth="1"/>
    <col min="2062" max="2062" width="12.7109375" style="14" customWidth="1"/>
    <col min="2063" max="2063" width="11.42578125" style="14" customWidth="1"/>
    <col min="2064" max="2064" width="10.7109375" style="14" customWidth="1"/>
    <col min="2065" max="2065" width="10.5703125" style="14" customWidth="1"/>
    <col min="2066" max="2066" width="11.28515625" style="14" customWidth="1"/>
    <col min="2067" max="2067" width="9.7109375" style="14" customWidth="1"/>
    <col min="2068" max="2068" width="12" style="14" customWidth="1"/>
    <col min="2069" max="2069" width="11.28515625" style="14" customWidth="1"/>
    <col min="2070" max="2307" width="9.140625" style="14"/>
    <col min="2308" max="2308" width="5.7109375" style="14" customWidth="1"/>
    <col min="2309" max="2309" width="13.140625" style="14" customWidth="1"/>
    <col min="2310" max="2310" width="12.28515625" style="14" customWidth="1"/>
    <col min="2311" max="2311" width="8.85546875" style="14" customWidth="1"/>
    <col min="2312" max="2312" width="10.85546875" style="14" customWidth="1"/>
    <col min="2313" max="2313" width="2.85546875" style="14" customWidth="1"/>
    <col min="2314" max="2314" width="12.140625" style="14" customWidth="1"/>
    <col min="2315" max="2315" width="10.140625" style="14" customWidth="1"/>
    <col min="2316" max="2316" width="11.7109375" style="14" customWidth="1"/>
    <col min="2317" max="2317" width="11.42578125" style="14" customWidth="1"/>
    <col min="2318" max="2318" width="12.7109375" style="14" customWidth="1"/>
    <col min="2319" max="2319" width="11.42578125" style="14" customWidth="1"/>
    <col min="2320" max="2320" width="10.7109375" style="14" customWidth="1"/>
    <col min="2321" max="2321" width="10.5703125" style="14" customWidth="1"/>
    <col min="2322" max="2322" width="11.28515625" style="14" customWidth="1"/>
    <col min="2323" max="2323" width="9.7109375" style="14" customWidth="1"/>
    <col min="2324" max="2324" width="12" style="14" customWidth="1"/>
    <col min="2325" max="2325" width="11.28515625" style="14" customWidth="1"/>
    <col min="2326" max="2563" width="9.140625" style="14"/>
    <col min="2564" max="2564" width="5.7109375" style="14" customWidth="1"/>
    <col min="2565" max="2565" width="13.140625" style="14" customWidth="1"/>
    <col min="2566" max="2566" width="12.28515625" style="14" customWidth="1"/>
    <col min="2567" max="2567" width="8.85546875" style="14" customWidth="1"/>
    <col min="2568" max="2568" width="10.85546875" style="14" customWidth="1"/>
    <col min="2569" max="2569" width="2.85546875" style="14" customWidth="1"/>
    <col min="2570" max="2570" width="12.140625" style="14" customWidth="1"/>
    <col min="2571" max="2571" width="10.140625" style="14" customWidth="1"/>
    <col min="2572" max="2572" width="11.7109375" style="14" customWidth="1"/>
    <col min="2573" max="2573" width="11.42578125" style="14" customWidth="1"/>
    <col min="2574" max="2574" width="12.7109375" style="14" customWidth="1"/>
    <col min="2575" max="2575" width="11.42578125" style="14" customWidth="1"/>
    <col min="2576" max="2576" width="10.7109375" style="14" customWidth="1"/>
    <col min="2577" max="2577" width="10.5703125" style="14" customWidth="1"/>
    <col min="2578" max="2578" width="11.28515625" style="14" customWidth="1"/>
    <col min="2579" max="2579" width="9.7109375" style="14" customWidth="1"/>
    <col min="2580" max="2580" width="12" style="14" customWidth="1"/>
    <col min="2581" max="2581" width="11.28515625" style="14" customWidth="1"/>
    <col min="2582" max="2819" width="9.140625" style="14"/>
    <col min="2820" max="2820" width="5.7109375" style="14" customWidth="1"/>
    <col min="2821" max="2821" width="13.140625" style="14" customWidth="1"/>
    <col min="2822" max="2822" width="12.28515625" style="14" customWidth="1"/>
    <col min="2823" max="2823" width="8.85546875" style="14" customWidth="1"/>
    <col min="2824" max="2824" width="10.85546875" style="14" customWidth="1"/>
    <col min="2825" max="2825" width="2.85546875" style="14" customWidth="1"/>
    <col min="2826" max="2826" width="12.140625" style="14" customWidth="1"/>
    <col min="2827" max="2827" width="10.140625" style="14" customWidth="1"/>
    <col min="2828" max="2828" width="11.7109375" style="14" customWidth="1"/>
    <col min="2829" max="2829" width="11.42578125" style="14" customWidth="1"/>
    <col min="2830" max="2830" width="12.7109375" style="14" customWidth="1"/>
    <col min="2831" max="2831" width="11.42578125" style="14" customWidth="1"/>
    <col min="2832" max="2832" width="10.7109375" style="14" customWidth="1"/>
    <col min="2833" max="2833" width="10.5703125" style="14" customWidth="1"/>
    <col min="2834" max="2834" width="11.28515625" style="14" customWidth="1"/>
    <col min="2835" max="2835" width="9.7109375" style="14" customWidth="1"/>
    <col min="2836" max="2836" width="12" style="14" customWidth="1"/>
    <col min="2837" max="2837" width="11.28515625" style="14" customWidth="1"/>
    <col min="2838" max="3075" width="9.140625" style="14"/>
    <col min="3076" max="3076" width="5.7109375" style="14" customWidth="1"/>
    <col min="3077" max="3077" width="13.140625" style="14" customWidth="1"/>
    <col min="3078" max="3078" width="12.28515625" style="14" customWidth="1"/>
    <col min="3079" max="3079" width="8.85546875" style="14" customWidth="1"/>
    <col min="3080" max="3080" width="10.85546875" style="14" customWidth="1"/>
    <col min="3081" max="3081" width="2.85546875" style="14" customWidth="1"/>
    <col min="3082" max="3082" width="12.140625" style="14" customWidth="1"/>
    <col min="3083" max="3083" width="10.140625" style="14" customWidth="1"/>
    <col min="3084" max="3084" width="11.7109375" style="14" customWidth="1"/>
    <col min="3085" max="3085" width="11.42578125" style="14" customWidth="1"/>
    <col min="3086" max="3086" width="12.7109375" style="14" customWidth="1"/>
    <col min="3087" max="3087" width="11.42578125" style="14" customWidth="1"/>
    <col min="3088" max="3088" width="10.7109375" style="14" customWidth="1"/>
    <col min="3089" max="3089" width="10.5703125" style="14" customWidth="1"/>
    <col min="3090" max="3090" width="11.28515625" style="14" customWidth="1"/>
    <col min="3091" max="3091" width="9.7109375" style="14" customWidth="1"/>
    <col min="3092" max="3092" width="12" style="14" customWidth="1"/>
    <col min="3093" max="3093" width="11.28515625" style="14" customWidth="1"/>
    <col min="3094" max="3331" width="9.140625" style="14"/>
    <col min="3332" max="3332" width="5.7109375" style="14" customWidth="1"/>
    <col min="3333" max="3333" width="13.140625" style="14" customWidth="1"/>
    <col min="3334" max="3334" width="12.28515625" style="14" customWidth="1"/>
    <col min="3335" max="3335" width="8.85546875" style="14" customWidth="1"/>
    <col min="3336" max="3336" width="10.85546875" style="14" customWidth="1"/>
    <col min="3337" max="3337" width="2.85546875" style="14" customWidth="1"/>
    <col min="3338" max="3338" width="12.140625" style="14" customWidth="1"/>
    <col min="3339" max="3339" width="10.140625" style="14" customWidth="1"/>
    <col min="3340" max="3340" width="11.7109375" style="14" customWidth="1"/>
    <col min="3341" max="3341" width="11.42578125" style="14" customWidth="1"/>
    <col min="3342" max="3342" width="12.7109375" style="14" customWidth="1"/>
    <col min="3343" max="3343" width="11.42578125" style="14" customWidth="1"/>
    <col min="3344" max="3344" width="10.7109375" style="14" customWidth="1"/>
    <col min="3345" max="3345" width="10.5703125" style="14" customWidth="1"/>
    <col min="3346" max="3346" width="11.28515625" style="14" customWidth="1"/>
    <col min="3347" max="3347" width="9.7109375" style="14" customWidth="1"/>
    <col min="3348" max="3348" width="12" style="14" customWidth="1"/>
    <col min="3349" max="3349" width="11.28515625" style="14" customWidth="1"/>
    <col min="3350" max="3587" width="9.140625" style="14"/>
    <col min="3588" max="3588" width="5.7109375" style="14" customWidth="1"/>
    <col min="3589" max="3589" width="13.140625" style="14" customWidth="1"/>
    <col min="3590" max="3590" width="12.28515625" style="14" customWidth="1"/>
    <col min="3591" max="3591" width="8.85546875" style="14" customWidth="1"/>
    <col min="3592" max="3592" width="10.85546875" style="14" customWidth="1"/>
    <col min="3593" max="3593" width="2.85546875" style="14" customWidth="1"/>
    <col min="3594" max="3594" width="12.140625" style="14" customWidth="1"/>
    <col min="3595" max="3595" width="10.140625" style="14" customWidth="1"/>
    <col min="3596" max="3596" width="11.7109375" style="14" customWidth="1"/>
    <col min="3597" max="3597" width="11.42578125" style="14" customWidth="1"/>
    <col min="3598" max="3598" width="12.7109375" style="14" customWidth="1"/>
    <col min="3599" max="3599" width="11.42578125" style="14" customWidth="1"/>
    <col min="3600" max="3600" width="10.7109375" style="14" customWidth="1"/>
    <col min="3601" max="3601" width="10.5703125" style="14" customWidth="1"/>
    <col min="3602" max="3602" width="11.28515625" style="14" customWidth="1"/>
    <col min="3603" max="3603" width="9.7109375" style="14" customWidth="1"/>
    <col min="3604" max="3604" width="12" style="14" customWidth="1"/>
    <col min="3605" max="3605" width="11.28515625" style="14" customWidth="1"/>
    <col min="3606" max="3843" width="9.140625" style="14"/>
    <col min="3844" max="3844" width="5.7109375" style="14" customWidth="1"/>
    <col min="3845" max="3845" width="13.140625" style="14" customWidth="1"/>
    <col min="3846" max="3846" width="12.28515625" style="14" customWidth="1"/>
    <col min="3847" max="3847" width="8.85546875" style="14" customWidth="1"/>
    <col min="3848" max="3848" width="10.85546875" style="14" customWidth="1"/>
    <col min="3849" max="3849" width="2.85546875" style="14" customWidth="1"/>
    <col min="3850" max="3850" width="12.140625" style="14" customWidth="1"/>
    <col min="3851" max="3851" width="10.140625" style="14" customWidth="1"/>
    <col min="3852" max="3852" width="11.7109375" style="14" customWidth="1"/>
    <col min="3853" max="3853" width="11.42578125" style="14" customWidth="1"/>
    <col min="3854" max="3854" width="12.7109375" style="14" customWidth="1"/>
    <col min="3855" max="3855" width="11.42578125" style="14" customWidth="1"/>
    <col min="3856" max="3856" width="10.7109375" style="14" customWidth="1"/>
    <col min="3857" max="3857" width="10.5703125" style="14" customWidth="1"/>
    <col min="3858" max="3858" width="11.28515625" style="14" customWidth="1"/>
    <col min="3859" max="3859" width="9.7109375" style="14" customWidth="1"/>
    <col min="3860" max="3860" width="12" style="14" customWidth="1"/>
    <col min="3861" max="3861" width="11.28515625" style="14" customWidth="1"/>
    <col min="3862" max="4099" width="9.140625" style="14"/>
    <col min="4100" max="4100" width="5.7109375" style="14" customWidth="1"/>
    <col min="4101" max="4101" width="13.140625" style="14" customWidth="1"/>
    <col min="4102" max="4102" width="12.28515625" style="14" customWidth="1"/>
    <col min="4103" max="4103" width="8.85546875" style="14" customWidth="1"/>
    <col min="4104" max="4104" width="10.85546875" style="14" customWidth="1"/>
    <col min="4105" max="4105" width="2.85546875" style="14" customWidth="1"/>
    <col min="4106" max="4106" width="12.140625" style="14" customWidth="1"/>
    <col min="4107" max="4107" width="10.140625" style="14" customWidth="1"/>
    <col min="4108" max="4108" width="11.7109375" style="14" customWidth="1"/>
    <col min="4109" max="4109" width="11.42578125" style="14" customWidth="1"/>
    <col min="4110" max="4110" width="12.7109375" style="14" customWidth="1"/>
    <col min="4111" max="4111" width="11.42578125" style="14" customWidth="1"/>
    <col min="4112" max="4112" width="10.7109375" style="14" customWidth="1"/>
    <col min="4113" max="4113" width="10.5703125" style="14" customWidth="1"/>
    <col min="4114" max="4114" width="11.28515625" style="14" customWidth="1"/>
    <col min="4115" max="4115" width="9.7109375" style="14" customWidth="1"/>
    <col min="4116" max="4116" width="12" style="14" customWidth="1"/>
    <col min="4117" max="4117" width="11.28515625" style="14" customWidth="1"/>
    <col min="4118" max="4355" width="9.140625" style="14"/>
    <col min="4356" max="4356" width="5.7109375" style="14" customWidth="1"/>
    <col min="4357" max="4357" width="13.140625" style="14" customWidth="1"/>
    <col min="4358" max="4358" width="12.28515625" style="14" customWidth="1"/>
    <col min="4359" max="4359" width="8.85546875" style="14" customWidth="1"/>
    <col min="4360" max="4360" width="10.85546875" style="14" customWidth="1"/>
    <col min="4361" max="4361" width="2.85546875" style="14" customWidth="1"/>
    <col min="4362" max="4362" width="12.140625" style="14" customWidth="1"/>
    <col min="4363" max="4363" width="10.140625" style="14" customWidth="1"/>
    <col min="4364" max="4364" width="11.7109375" style="14" customWidth="1"/>
    <col min="4365" max="4365" width="11.42578125" style="14" customWidth="1"/>
    <col min="4366" max="4366" width="12.7109375" style="14" customWidth="1"/>
    <col min="4367" max="4367" width="11.42578125" style="14" customWidth="1"/>
    <col min="4368" max="4368" width="10.7109375" style="14" customWidth="1"/>
    <col min="4369" max="4369" width="10.5703125" style="14" customWidth="1"/>
    <col min="4370" max="4370" width="11.28515625" style="14" customWidth="1"/>
    <col min="4371" max="4371" width="9.7109375" style="14" customWidth="1"/>
    <col min="4372" max="4372" width="12" style="14" customWidth="1"/>
    <col min="4373" max="4373" width="11.28515625" style="14" customWidth="1"/>
    <col min="4374" max="4611" width="9.140625" style="14"/>
    <col min="4612" max="4612" width="5.7109375" style="14" customWidth="1"/>
    <col min="4613" max="4613" width="13.140625" style="14" customWidth="1"/>
    <col min="4614" max="4614" width="12.28515625" style="14" customWidth="1"/>
    <col min="4615" max="4615" width="8.85546875" style="14" customWidth="1"/>
    <col min="4616" max="4616" width="10.85546875" style="14" customWidth="1"/>
    <col min="4617" max="4617" width="2.85546875" style="14" customWidth="1"/>
    <col min="4618" max="4618" width="12.140625" style="14" customWidth="1"/>
    <col min="4619" max="4619" width="10.140625" style="14" customWidth="1"/>
    <col min="4620" max="4620" width="11.7109375" style="14" customWidth="1"/>
    <col min="4621" max="4621" width="11.42578125" style="14" customWidth="1"/>
    <col min="4622" max="4622" width="12.7109375" style="14" customWidth="1"/>
    <col min="4623" max="4623" width="11.42578125" style="14" customWidth="1"/>
    <col min="4624" max="4624" width="10.7109375" style="14" customWidth="1"/>
    <col min="4625" max="4625" width="10.5703125" style="14" customWidth="1"/>
    <col min="4626" max="4626" width="11.28515625" style="14" customWidth="1"/>
    <col min="4627" max="4627" width="9.7109375" style="14" customWidth="1"/>
    <col min="4628" max="4628" width="12" style="14" customWidth="1"/>
    <col min="4629" max="4629" width="11.28515625" style="14" customWidth="1"/>
    <col min="4630" max="4867" width="9.140625" style="14"/>
    <col min="4868" max="4868" width="5.7109375" style="14" customWidth="1"/>
    <col min="4869" max="4869" width="13.140625" style="14" customWidth="1"/>
    <col min="4870" max="4870" width="12.28515625" style="14" customWidth="1"/>
    <col min="4871" max="4871" width="8.85546875" style="14" customWidth="1"/>
    <col min="4872" max="4872" width="10.85546875" style="14" customWidth="1"/>
    <col min="4873" max="4873" width="2.85546875" style="14" customWidth="1"/>
    <col min="4874" max="4874" width="12.140625" style="14" customWidth="1"/>
    <col min="4875" max="4875" width="10.140625" style="14" customWidth="1"/>
    <col min="4876" max="4876" width="11.7109375" style="14" customWidth="1"/>
    <col min="4877" max="4877" width="11.42578125" style="14" customWidth="1"/>
    <col min="4878" max="4878" width="12.7109375" style="14" customWidth="1"/>
    <col min="4879" max="4879" width="11.42578125" style="14" customWidth="1"/>
    <col min="4880" max="4880" width="10.7109375" style="14" customWidth="1"/>
    <col min="4881" max="4881" width="10.5703125" style="14" customWidth="1"/>
    <col min="4882" max="4882" width="11.28515625" style="14" customWidth="1"/>
    <col min="4883" max="4883" width="9.7109375" style="14" customWidth="1"/>
    <col min="4884" max="4884" width="12" style="14" customWidth="1"/>
    <col min="4885" max="4885" width="11.28515625" style="14" customWidth="1"/>
    <col min="4886" max="5123" width="9.140625" style="14"/>
    <col min="5124" max="5124" width="5.7109375" style="14" customWidth="1"/>
    <col min="5125" max="5125" width="13.140625" style="14" customWidth="1"/>
    <col min="5126" max="5126" width="12.28515625" style="14" customWidth="1"/>
    <col min="5127" max="5127" width="8.85546875" style="14" customWidth="1"/>
    <col min="5128" max="5128" width="10.85546875" style="14" customWidth="1"/>
    <col min="5129" max="5129" width="2.85546875" style="14" customWidth="1"/>
    <col min="5130" max="5130" width="12.140625" style="14" customWidth="1"/>
    <col min="5131" max="5131" width="10.140625" style="14" customWidth="1"/>
    <col min="5132" max="5132" width="11.7109375" style="14" customWidth="1"/>
    <col min="5133" max="5133" width="11.42578125" style="14" customWidth="1"/>
    <col min="5134" max="5134" width="12.7109375" style="14" customWidth="1"/>
    <col min="5135" max="5135" width="11.42578125" style="14" customWidth="1"/>
    <col min="5136" max="5136" width="10.7109375" style="14" customWidth="1"/>
    <col min="5137" max="5137" width="10.5703125" style="14" customWidth="1"/>
    <col min="5138" max="5138" width="11.28515625" style="14" customWidth="1"/>
    <col min="5139" max="5139" width="9.7109375" style="14" customWidth="1"/>
    <col min="5140" max="5140" width="12" style="14" customWidth="1"/>
    <col min="5141" max="5141" width="11.28515625" style="14" customWidth="1"/>
    <col min="5142" max="5379" width="9.140625" style="14"/>
    <col min="5380" max="5380" width="5.7109375" style="14" customWidth="1"/>
    <col min="5381" max="5381" width="13.140625" style="14" customWidth="1"/>
    <col min="5382" max="5382" width="12.28515625" style="14" customWidth="1"/>
    <col min="5383" max="5383" width="8.85546875" style="14" customWidth="1"/>
    <col min="5384" max="5384" width="10.85546875" style="14" customWidth="1"/>
    <col min="5385" max="5385" width="2.85546875" style="14" customWidth="1"/>
    <col min="5386" max="5386" width="12.140625" style="14" customWidth="1"/>
    <col min="5387" max="5387" width="10.140625" style="14" customWidth="1"/>
    <col min="5388" max="5388" width="11.7109375" style="14" customWidth="1"/>
    <col min="5389" max="5389" width="11.42578125" style="14" customWidth="1"/>
    <col min="5390" max="5390" width="12.7109375" style="14" customWidth="1"/>
    <col min="5391" max="5391" width="11.42578125" style="14" customWidth="1"/>
    <col min="5392" max="5392" width="10.7109375" style="14" customWidth="1"/>
    <col min="5393" max="5393" width="10.5703125" style="14" customWidth="1"/>
    <col min="5394" max="5394" width="11.28515625" style="14" customWidth="1"/>
    <col min="5395" max="5395" width="9.7109375" style="14" customWidth="1"/>
    <col min="5396" max="5396" width="12" style="14" customWidth="1"/>
    <col min="5397" max="5397" width="11.28515625" style="14" customWidth="1"/>
    <col min="5398" max="5635" width="9.140625" style="14"/>
    <col min="5636" max="5636" width="5.7109375" style="14" customWidth="1"/>
    <col min="5637" max="5637" width="13.140625" style="14" customWidth="1"/>
    <col min="5638" max="5638" width="12.28515625" style="14" customWidth="1"/>
    <col min="5639" max="5639" width="8.85546875" style="14" customWidth="1"/>
    <col min="5640" max="5640" width="10.85546875" style="14" customWidth="1"/>
    <col min="5641" max="5641" width="2.85546875" style="14" customWidth="1"/>
    <col min="5642" max="5642" width="12.140625" style="14" customWidth="1"/>
    <col min="5643" max="5643" width="10.140625" style="14" customWidth="1"/>
    <col min="5644" max="5644" width="11.7109375" style="14" customWidth="1"/>
    <col min="5645" max="5645" width="11.42578125" style="14" customWidth="1"/>
    <col min="5646" max="5646" width="12.7109375" style="14" customWidth="1"/>
    <col min="5647" max="5647" width="11.42578125" style="14" customWidth="1"/>
    <col min="5648" max="5648" width="10.7109375" style="14" customWidth="1"/>
    <col min="5649" max="5649" width="10.5703125" style="14" customWidth="1"/>
    <col min="5650" max="5650" width="11.28515625" style="14" customWidth="1"/>
    <col min="5651" max="5651" width="9.7109375" style="14" customWidth="1"/>
    <col min="5652" max="5652" width="12" style="14" customWidth="1"/>
    <col min="5653" max="5653" width="11.28515625" style="14" customWidth="1"/>
    <col min="5654" max="5891" width="9.140625" style="14"/>
    <col min="5892" max="5892" width="5.7109375" style="14" customWidth="1"/>
    <col min="5893" max="5893" width="13.140625" style="14" customWidth="1"/>
    <col min="5894" max="5894" width="12.28515625" style="14" customWidth="1"/>
    <col min="5895" max="5895" width="8.85546875" style="14" customWidth="1"/>
    <col min="5896" max="5896" width="10.85546875" style="14" customWidth="1"/>
    <col min="5897" max="5897" width="2.85546875" style="14" customWidth="1"/>
    <col min="5898" max="5898" width="12.140625" style="14" customWidth="1"/>
    <col min="5899" max="5899" width="10.140625" style="14" customWidth="1"/>
    <col min="5900" max="5900" width="11.7109375" style="14" customWidth="1"/>
    <col min="5901" max="5901" width="11.42578125" style="14" customWidth="1"/>
    <col min="5902" max="5902" width="12.7109375" style="14" customWidth="1"/>
    <col min="5903" max="5903" width="11.42578125" style="14" customWidth="1"/>
    <col min="5904" max="5904" width="10.7109375" style="14" customWidth="1"/>
    <col min="5905" max="5905" width="10.5703125" style="14" customWidth="1"/>
    <col min="5906" max="5906" width="11.28515625" style="14" customWidth="1"/>
    <col min="5907" max="5907" width="9.7109375" style="14" customWidth="1"/>
    <col min="5908" max="5908" width="12" style="14" customWidth="1"/>
    <col min="5909" max="5909" width="11.28515625" style="14" customWidth="1"/>
    <col min="5910" max="6147" width="9.140625" style="14"/>
    <col min="6148" max="6148" width="5.7109375" style="14" customWidth="1"/>
    <col min="6149" max="6149" width="13.140625" style="14" customWidth="1"/>
    <col min="6150" max="6150" width="12.28515625" style="14" customWidth="1"/>
    <col min="6151" max="6151" width="8.85546875" style="14" customWidth="1"/>
    <col min="6152" max="6152" width="10.85546875" style="14" customWidth="1"/>
    <col min="6153" max="6153" width="2.85546875" style="14" customWidth="1"/>
    <col min="6154" max="6154" width="12.140625" style="14" customWidth="1"/>
    <col min="6155" max="6155" width="10.140625" style="14" customWidth="1"/>
    <col min="6156" max="6156" width="11.7109375" style="14" customWidth="1"/>
    <col min="6157" max="6157" width="11.42578125" style="14" customWidth="1"/>
    <col min="6158" max="6158" width="12.7109375" style="14" customWidth="1"/>
    <col min="6159" max="6159" width="11.42578125" style="14" customWidth="1"/>
    <col min="6160" max="6160" width="10.7109375" style="14" customWidth="1"/>
    <col min="6161" max="6161" width="10.5703125" style="14" customWidth="1"/>
    <col min="6162" max="6162" width="11.28515625" style="14" customWidth="1"/>
    <col min="6163" max="6163" width="9.7109375" style="14" customWidth="1"/>
    <col min="6164" max="6164" width="12" style="14" customWidth="1"/>
    <col min="6165" max="6165" width="11.28515625" style="14" customWidth="1"/>
    <col min="6166" max="6403" width="9.140625" style="14"/>
    <col min="6404" max="6404" width="5.7109375" style="14" customWidth="1"/>
    <col min="6405" max="6405" width="13.140625" style="14" customWidth="1"/>
    <col min="6406" max="6406" width="12.28515625" style="14" customWidth="1"/>
    <col min="6407" max="6407" width="8.85546875" style="14" customWidth="1"/>
    <col min="6408" max="6408" width="10.85546875" style="14" customWidth="1"/>
    <col min="6409" max="6409" width="2.85546875" style="14" customWidth="1"/>
    <col min="6410" max="6410" width="12.140625" style="14" customWidth="1"/>
    <col min="6411" max="6411" width="10.140625" style="14" customWidth="1"/>
    <col min="6412" max="6412" width="11.7109375" style="14" customWidth="1"/>
    <col min="6413" max="6413" width="11.42578125" style="14" customWidth="1"/>
    <col min="6414" max="6414" width="12.7109375" style="14" customWidth="1"/>
    <col min="6415" max="6415" width="11.42578125" style="14" customWidth="1"/>
    <col min="6416" max="6416" width="10.7109375" style="14" customWidth="1"/>
    <col min="6417" max="6417" width="10.5703125" style="14" customWidth="1"/>
    <col min="6418" max="6418" width="11.28515625" style="14" customWidth="1"/>
    <col min="6419" max="6419" width="9.7109375" style="14" customWidth="1"/>
    <col min="6420" max="6420" width="12" style="14" customWidth="1"/>
    <col min="6421" max="6421" width="11.28515625" style="14" customWidth="1"/>
    <col min="6422" max="6659" width="9.140625" style="14"/>
    <col min="6660" max="6660" width="5.7109375" style="14" customWidth="1"/>
    <col min="6661" max="6661" width="13.140625" style="14" customWidth="1"/>
    <col min="6662" max="6662" width="12.28515625" style="14" customWidth="1"/>
    <col min="6663" max="6663" width="8.85546875" style="14" customWidth="1"/>
    <col min="6664" max="6664" width="10.85546875" style="14" customWidth="1"/>
    <col min="6665" max="6665" width="2.85546875" style="14" customWidth="1"/>
    <col min="6666" max="6666" width="12.140625" style="14" customWidth="1"/>
    <col min="6667" max="6667" width="10.140625" style="14" customWidth="1"/>
    <col min="6668" max="6668" width="11.7109375" style="14" customWidth="1"/>
    <col min="6669" max="6669" width="11.42578125" style="14" customWidth="1"/>
    <col min="6670" max="6670" width="12.7109375" style="14" customWidth="1"/>
    <col min="6671" max="6671" width="11.42578125" style="14" customWidth="1"/>
    <col min="6672" max="6672" width="10.7109375" style="14" customWidth="1"/>
    <col min="6673" max="6673" width="10.5703125" style="14" customWidth="1"/>
    <col min="6674" max="6674" width="11.28515625" style="14" customWidth="1"/>
    <col min="6675" max="6675" width="9.7109375" style="14" customWidth="1"/>
    <col min="6676" max="6676" width="12" style="14" customWidth="1"/>
    <col min="6677" max="6677" width="11.28515625" style="14" customWidth="1"/>
    <col min="6678" max="6915" width="9.140625" style="14"/>
    <col min="6916" max="6916" width="5.7109375" style="14" customWidth="1"/>
    <col min="6917" max="6917" width="13.140625" style="14" customWidth="1"/>
    <col min="6918" max="6918" width="12.28515625" style="14" customWidth="1"/>
    <col min="6919" max="6919" width="8.85546875" style="14" customWidth="1"/>
    <col min="6920" max="6920" width="10.85546875" style="14" customWidth="1"/>
    <col min="6921" max="6921" width="2.85546875" style="14" customWidth="1"/>
    <col min="6922" max="6922" width="12.140625" style="14" customWidth="1"/>
    <col min="6923" max="6923" width="10.140625" style="14" customWidth="1"/>
    <col min="6924" max="6924" width="11.7109375" style="14" customWidth="1"/>
    <col min="6925" max="6925" width="11.42578125" style="14" customWidth="1"/>
    <col min="6926" max="6926" width="12.7109375" style="14" customWidth="1"/>
    <col min="6927" max="6927" width="11.42578125" style="14" customWidth="1"/>
    <col min="6928" max="6928" width="10.7109375" style="14" customWidth="1"/>
    <col min="6929" max="6929" width="10.5703125" style="14" customWidth="1"/>
    <col min="6930" max="6930" width="11.28515625" style="14" customWidth="1"/>
    <col min="6931" max="6931" width="9.7109375" style="14" customWidth="1"/>
    <col min="6932" max="6932" width="12" style="14" customWidth="1"/>
    <col min="6933" max="6933" width="11.28515625" style="14" customWidth="1"/>
    <col min="6934" max="7171" width="9.140625" style="14"/>
    <col min="7172" max="7172" width="5.7109375" style="14" customWidth="1"/>
    <col min="7173" max="7173" width="13.140625" style="14" customWidth="1"/>
    <col min="7174" max="7174" width="12.28515625" style="14" customWidth="1"/>
    <col min="7175" max="7175" width="8.85546875" style="14" customWidth="1"/>
    <col min="7176" max="7176" width="10.85546875" style="14" customWidth="1"/>
    <col min="7177" max="7177" width="2.85546875" style="14" customWidth="1"/>
    <col min="7178" max="7178" width="12.140625" style="14" customWidth="1"/>
    <col min="7179" max="7179" width="10.140625" style="14" customWidth="1"/>
    <col min="7180" max="7180" width="11.7109375" style="14" customWidth="1"/>
    <col min="7181" max="7181" width="11.42578125" style="14" customWidth="1"/>
    <col min="7182" max="7182" width="12.7109375" style="14" customWidth="1"/>
    <col min="7183" max="7183" width="11.42578125" style="14" customWidth="1"/>
    <col min="7184" max="7184" width="10.7109375" style="14" customWidth="1"/>
    <col min="7185" max="7185" width="10.5703125" style="14" customWidth="1"/>
    <col min="7186" max="7186" width="11.28515625" style="14" customWidth="1"/>
    <col min="7187" max="7187" width="9.7109375" style="14" customWidth="1"/>
    <col min="7188" max="7188" width="12" style="14" customWidth="1"/>
    <col min="7189" max="7189" width="11.28515625" style="14" customWidth="1"/>
    <col min="7190" max="7427" width="9.140625" style="14"/>
    <col min="7428" max="7428" width="5.7109375" style="14" customWidth="1"/>
    <col min="7429" max="7429" width="13.140625" style="14" customWidth="1"/>
    <col min="7430" max="7430" width="12.28515625" style="14" customWidth="1"/>
    <col min="7431" max="7431" width="8.85546875" style="14" customWidth="1"/>
    <col min="7432" max="7432" width="10.85546875" style="14" customWidth="1"/>
    <col min="7433" max="7433" width="2.85546875" style="14" customWidth="1"/>
    <col min="7434" max="7434" width="12.140625" style="14" customWidth="1"/>
    <col min="7435" max="7435" width="10.140625" style="14" customWidth="1"/>
    <col min="7436" max="7436" width="11.7109375" style="14" customWidth="1"/>
    <col min="7437" max="7437" width="11.42578125" style="14" customWidth="1"/>
    <col min="7438" max="7438" width="12.7109375" style="14" customWidth="1"/>
    <col min="7439" max="7439" width="11.42578125" style="14" customWidth="1"/>
    <col min="7440" max="7440" width="10.7109375" style="14" customWidth="1"/>
    <col min="7441" max="7441" width="10.5703125" style="14" customWidth="1"/>
    <col min="7442" max="7442" width="11.28515625" style="14" customWidth="1"/>
    <col min="7443" max="7443" width="9.7109375" style="14" customWidth="1"/>
    <col min="7444" max="7444" width="12" style="14" customWidth="1"/>
    <col min="7445" max="7445" width="11.28515625" style="14" customWidth="1"/>
    <col min="7446" max="7683" width="9.140625" style="14"/>
    <col min="7684" max="7684" width="5.7109375" style="14" customWidth="1"/>
    <col min="7685" max="7685" width="13.140625" style="14" customWidth="1"/>
    <col min="7686" max="7686" width="12.28515625" style="14" customWidth="1"/>
    <col min="7687" max="7687" width="8.85546875" style="14" customWidth="1"/>
    <col min="7688" max="7688" width="10.85546875" style="14" customWidth="1"/>
    <col min="7689" max="7689" width="2.85546875" style="14" customWidth="1"/>
    <col min="7690" max="7690" width="12.140625" style="14" customWidth="1"/>
    <col min="7691" max="7691" width="10.140625" style="14" customWidth="1"/>
    <col min="7692" max="7692" width="11.7109375" style="14" customWidth="1"/>
    <col min="7693" max="7693" width="11.42578125" style="14" customWidth="1"/>
    <col min="7694" max="7694" width="12.7109375" style="14" customWidth="1"/>
    <col min="7695" max="7695" width="11.42578125" style="14" customWidth="1"/>
    <col min="7696" max="7696" width="10.7109375" style="14" customWidth="1"/>
    <col min="7697" max="7697" width="10.5703125" style="14" customWidth="1"/>
    <col min="7698" max="7698" width="11.28515625" style="14" customWidth="1"/>
    <col min="7699" max="7699" width="9.7109375" style="14" customWidth="1"/>
    <col min="7700" max="7700" width="12" style="14" customWidth="1"/>
    <col min="7701" max="7701" width="11.28515625" style="14" customWidth="1"/>
    <col min="7702" max="7939" width="9.140625" style="14"/>
    <col min="7940" max="7940" width="5.7109375" style="14" customWidth="1"/>
    <col min="7941" max="7941" width="13.140625" style="14" customWidth="1"/>
    <col min="7942" max="7942" width="12.28515625" style="14" customWidth="1"/>
    <col min="7943" max="7943" width="8.85546875" style="14" customWidth="1"/>
    <col min="7944" max="7944" width="10.85546875" style="14" customWidth="1"/>
    <col min="7945" max="7945" width="2.85546875" style="14" customWidth="1"/>
    <col min="7946" max="7946" width="12.140625" style="14" customWidth="1"/>
    <col min="7947" max="7947" width="10.140625" style="14" customWidth="1"/>
    <col min="7948" max="7948" width="11.7109375" style="14" customWidth="1"/>
    <col min="7949" max="7949" width="11.42578125" style="14" customWidth="1"/>
    <col min="7950" max="7950" width="12.7109375" style="14" customWidth="1"/>
    <col min="7951" max="7951" width="11.42578125" style="14" customWidth="1"/>
    <col min="7952" max="7952" width="10.7109375" style="14" customWidth="1"/>
    <col min="7953" max="7953" width="10.5703125" style="14" customWidth="1"/>
    <col min="7954" max="7954" width="11.28515625" style="14" customWidth="1"/>
    <col min="7955" max="7955" width="9.7109375" style="14" customWidth="1"/>
    <col min="7956" max="7956" width="12" style="14" customWidth="1"/>
    <col min="7957" max="7957" width="11.28515625" style="14" customWidth="1"/>
    <col min="7958" max="8195" width="9.140625" style="14"/>
    <col min="8196" max="8196" width="5.7109375" style="14" customWidth="1"/>
    <col min="8197" max="8197" width="13.140625" style="14" customWidth="1"/>
    <col min="8198" max="8198" width="12.28515625" style="14" customWidth="1"/>
    <col min="8199" max="8199" width="8.85546875" style="14" customWidth="1"/>
    <col min="8200" max="8200" width="10.85546875" style="14" customWidth="1"/>
    <col min="8201" max="8201" width="2.85546875" style="14" customWidth="1"/>
    <col min="8202" max="8202" width="12.140625" style="14" customWidth="1"/>
    <col min="8203" max="8203" width="10.140625" style="14" customWidth="1"/>
    <col min="8204" max="8204" width="11.7109375" style="14" customWidth="1"/>
    <col min="8205" max="8205" width="11.42578125" style="14" customWidth="1"/>
    <col min="8206" max="8206" width="12.7109375" style="14" customWidth="1"/>
    <col min="8207" max="8207" width="11.42578125" style="14" customWidth="1"/>
    <col min="8208" max="8208" width="10.7109375" style="14" customWidth="1"/>
    <col min="8209" max="8209" width="10.5703125" style="14" customWidth="1"/>
    <col min="8210" max="8210" width="11.28515625" style="14" customWidth="1"/>
    <col min="8211" max="8211" width="9.7109375" style="14" customWidth="1"/>
    <col min="8212" max="8212" width="12" style="14" customWidth="1"/>
    <col min="8213" max="8213" width="11.28515625" style="14" customWidth="1"/>
    <col min="8214" max="8451" width="9.140625" style="14"/>
    <col min="8452" max="8452" width="5.7109375" style="14" customWidth="1"/>
    <col min="8453" max="8453" width="13.140625" style="14" customWidth="1"/>
    <col min="8454" max="8454" width="12.28515625" style="14" customWidth="1"/>
    <col min="8455" max="8455" width="8.85546875" style="14" customWidth="1"/>
    <col min="8456" max="8456" width="10.85546875" style="14" customWidth="1"/>
    <col min="8457" max="8457" width="2.85546875" style="14" customWidth="1"/>
    <col min="8458" max="8458" width="12.140625" style="14" customWidth="1"/>
    <col min="8459" max="8459" width="10.140625" style="14" customWidth="1"/>
    <col min="8460" max="8460" width="11.7109375" style="14" customWidth="1"/>
    <col min="8461" max="8461" width="11.42578125" style="14" customWidth="1"/>
    <col min="8462" max="8462" width="12.7109375" style="14" customWidth="1"/>
    <col min="8463" max="8463" width="11.42578125" style="14" customWidth="1"/>
    <col min="8464" max="8464" width="10.7109375" style="14" customWidth="1"/>
    <col min="8465" max="8465" width="10.5703125" style="14" customWidth="1"/>
    <col min="8466" max="8466" width="11.28515625" style="14" customWidth="1"/>
    <col min="8467" max="8467" width="9.7109375" style="14" customWidth="1"/>
    <col min="8468" max="8468" width="12" style="14" customWidth="1"/>
    <col min="8469" max="8469" width="11.28515625" style="14" customWidth="1"/>
    <col min="8470" max="8707" width="9.140625" style="14"/>
    <col min="8708" max="8708" width="5.7109375" style="14" customWidth="1"/>
    <col min="8709" max="8709" width="13.140625" style="14" customWidth="1"/>
    <col min="8710" max="8710" width="12.28515625" style="14" customWidth="1"/>
    <col min="8711" max="8711" width="8.85546875" style="14" customWidth="1"/>
    <col min="8712" max="8712" width="10.85546875" style="14" customWidth="1"/>
    <col min="8713" max="8713" width="2.85546875" style="14" customWidth="1"/>
    <col min="8714" max="8714" width="12.140625" style="14" customWidth="1"/>
    <col min="8715" max="8715" width="10.140625" style="14" customWidth="1"/>
    <col min="8716" max="8716" width="11.7109375" style="14" customWidth="1"/>
    <col min="8717" max="8717" width="11.42578125" style="14" customWidth="1"/>
    <col min="8718" max="8718" width="12.7109375" style="14" customWidth="1"/>
    <col min="8719" max="8719" width="11.42578125" style="14" customWidth="1"/>
    <col min="8720" max="8720" width="10.7109375" style="14" customWidth="1"/>
    <col min="8721" max="8721" width="10.5703125" style="14" customWidth="1"/>
    <col min="8722" max="8722" width="11.28515625" style="14" customWidth="1"/>
    <col min="8723" max="8723" width="9.7109375" style="14" customWidth="1"/>
    <col min="8724" max="8724" width="12" style="14" customWidth="1"/>
    <col min="8725" max="8725" width="11.28515625" style="14" customWidth="1"/>
    <col min="8726" max="8963" width="9.140625" style="14"/>
    <col min="8964" max="8964" width="5.7109375" style="14" customWidth="1"/>
    <col min="8965" max="8965" width="13.140625" style="14" customWidth="1"/>
    <col min="8966" max="8966" width="12.28515625" style="14" customWidth="1"/>
    <col min="8967" max="8967" width="8.85546875" style="14" customWidth="1"/>
    <col min="8968" max="8968" width="10.85546875" style="14" customWidth="1"/>
    <col min="8969" max="8969" width="2.85546875" style="14" customWidth="1"/>
    <col min="8970" max="8970" width="12.140625" style="14" customWidth="1"/>
    <col min="8971" max="8971" width="10.140625" style="14" customWidth="1"/>
    <col min="8972" max="8972" width="11.7109375" style="14" customWidth="1"/>
    <col min="8973" max="8973" width="11.42578125" style="14" customWidth="1"/>
    <col min="8974" max="8974" width="12.7109375" style="14" customWidth="1"/>
    <col min="8975" max="8975" width="11.42578125" style="14" customWidth="1"/>
    <col min="8976" max="8976" width="10.7109375" style="14" customWidth="1"/>
    <col min="8977" max="8977" width="10.5703125" style="14" customWidth="1"/>
    <col min="8978" max="8978" width="11.28515625" style="14" customWidth="1"/>
    <col min="8979" max="8979" width="9.7109375" style="14" customWidth="1"/>
    <col min="8980" max="8980" width="12" style="14" customWidth="1"/>
    <col min="8981" max="8981" width="11.28515625" style="14" customWidth="1"/>
    <col min="8982" max="9219" width="9.140625" style="14"/>
    <col min="9220" max="9220" width="5.7109375" style="14" customWidth="1"/>
    <col min="9221" max="9221" width="13.140625" style="14" customWidth="1"/>
    <col min="9222" max="9222" width="12.28515625" style="14" customWidth="1"/>
    <col min="9223" max="9223" width="8.85546875" style="14" customWidth="1"/>
    <col min="9224" max="9224" width="10.85546875" style="14" customWidth="1"/>
    <col min="9225" max="9225" width="2.85546875" style="14" customWidth="1"/>
    <col min="9226" max="9226" width="12.140625" style="14" customWidth="1"/>
    <col min="9227" max="9227" width="10.140625" style="14" customWidth="1"/>
    <col min="9228" max="9228" width="11.7109375" style="14" customWidth="1"/>
    <col min="9229" max="9229" width="11.42578125" style="14" customWidth="1"/>
    <col min="9230" max="9230" width="12.7109375" style="14" customWidth="1"/>
    <col min="9231" max="9231" width="11.42578125" style="14" customWidth="1"/>
    <col min="9232" max="9232" width="10.7109375" style="14" customWidth="1"/>
    <col min="9233" max="9233" width="10.5703125" style="14" customWidth="1"/>
    <col min="9234" max="9234" width="11.28515625" style="14" customWidth="1"/>
    <col min="9235" max="9235" width="9.7109375" style="14" customWidth="1"/>
    <col min="9236" max="9236" width="12" style="14" customWidth="1"/>
    <col min="9237" max="9237" width="11.28515625" style="14" customWidth="1"/>
    <col min="9238" max="9475" width="9.140625" style="14"/>
    <col min="9476" max="9476" width="5.7109375" style="14" customWidth="1"/>
    <col min="9477" max="9477" width="13.140625" style="14" customWidth="1"/>
    <col min="9478" max="9478" width="12.28515625" style="14" customWidth="1"/>
    <col min="9479" max="9479" width="8.85546875" style="14" customWidth="1"/>
    <col min="9480" max="9480" width="10.85546875" style="14" customWidth="1"/>
    <col min="9481" max="9481" width="2.85546875" style="14" customWidth="1"/>
    <col min="9482" max="9482" width="12.140625" style="14" customWidth="1"/>
    <col min="9483" max="9483" width="10.140625" style="14" customWidth="1"/>
    <col min="9484" max="9484" width="11.7109375" style="14" customWidth="1"/>
    <col min="9485" max="9485" width="11.42578125" style="14" customWidth="1"/>
    <col min="9486" max="9486" width="12.7109375" style="14" customWidth="1"/>
    <col min="9487" max="9487" width="11.42578125" style="14" customWidth="1"/>
    <col min="9488" max="9488" width="10.7109375" style="14" customWidth="1"/>
    <col min="9489" max="9489" width="10.5703125" style="14" customWidth="1"/>
    <col min="9490" max="9490" width="11.28515625" style="14" customWidth="1"/>
    <col min="9491" max="9491" width="9.7109375" style="14" customWidth="1"/>
    <col min="9492" max="9492" width="12" style="14" customWidth="1"/>
    <col min="9493" max="9493" width="11.28515625" style="14" customWidth="1"/>
    <col min="9494" max="9731" width="9.140625" style="14"/>
    <col min="9732" max="9732" width="5.7109375" style="14" customWidth="1"/>
    <col min="9733" max="9733" width="13.140625" style="14" customWidth="1"/>
    <col min="9734" max="9734" width="12.28515625" style="14" customWidth="1"/>
    <col min="9735" max="9735" width="8.85546875" style="14" customWidth="1"/>
    <col min="9736" max="9736" width="10.85546875" style="14" customWidth="1"/>
    <col min="9737" max="9737" width="2.85546875" style="14" customWidth="1"/>
    <col min="9738" max="9738" width="12.140625" style="14" customWidth="1"/>
    <col min="9739" max="9739" width="10.140625" style="14" customWidth="1"/>
    <col min="9740" max="9740" width="11.7109375" style="14" customWidth="1"/>
    <col min="9741" max="9741" width="11.42578125" style="14" customWidth="1"/>
    <col min="9742" max="9742" width="12.7109375" style="14" customWidth="1"/>
    <col min="9743" max="9743" width="11.42578125" style="14" customWidth="1"/>
    <col min="9744" max="9744" width="10.7109375" style="14" customWidth="1"/>
    <col min="9745" max="9745" width="10.5703125" style="14" customWidth="1"/>
    <col min="9746" max="9746" width="11.28515625" style="14" customWidth="1"/>
    <col min="9747" max="9747" width="9.7109375" style="14" customWidth="1"/>
    <col min="9748" max="9748" width="12" style="14" customWidth="1"/>
    <col min="9749" max="9749" width="11.28515625" style="14" customWidth="1"/>
    <col min="9750" max="9987" width="9.140625" style="14"/>
    <col min="9988" max="9988" width="5.7109375" style="14" customWidth="1"/>
    <col min="9989" max="9989" width="13.140625" style="14" customWidth="1"/>
    <col min="9990" max="9990" width="12.28515625" style="14" customWidth="1"/>
    <col min="9991" max="9991" width="8.85546875" style="14" customWidth="1"/>
    <col min="9992" max="9992" width="10.85546875" style="14" customWidth="1"/>
    <col min="9993" max="9993" width="2.85546875" style="14" customWidth="1"/>
    <col min="9994" max="9994" width="12.140625" style="14" customWidth="1"/>
    <col min="9995" max="9995" width="10.140625" style="14" customWidth="1"/>
    <col min="9996" max="9996" width="11.7109375" style="14" customWidth="1"/>
    <col min="9997" max="9997" width="11.42578125" style="14" customWidth="1"/>
    <col min="9998" max="9998" width="12.7109375" style="14" customWidth="1"/>
    <col min="9999" max="9999" width="11.42578125" style="14" customWidth="1"/>
    <col min="10000" max="10000" width="10.7109375" style="14" customWidth="1"/>
    <col min="10001" max="10001" width="10.5703125" style="14" customWidth="1"/>
    <col min="10002" max="10002" width="11.28515625" style="14" customWidth="1"/>
    <col min="10003" max="10003" width="9.7109375" style="14" customWidth="1"/>
    <col min="10004" max="10004" width="12" style="14" customWidth="1"/>
    <col min="10005" max="10005" width="11.28515625" style="14" customWidth="1"/>
    <col min="10006" max="10243" width="9.140625" style="14"/>
    <col min="10244" max="10244" width="5.7109375" style="14" customWidth="1"/>
    <col min="10245" max="10245" width="13.140625" style="14" customWidth="1"/>
    <col min="10246" max="10246" width="12.28515625" style="14" customWidth="1"/>
    <col min="10247" max="10247" width="8.85546875" style="14" customWidth="1"/>
    <col min="10248" max="10248" width="10.85546875" style="14" customWidth="1"/>
    <col min="10249" max="10249" width="2.85546875" style="14" customWidth="1"/>
    <col min="10250" max="10250" width="12.140625" style="14" customWidth="1"/>
    <col min="10251" max="10251" width="10.140625" style="14" customWidth="1"/>
    <col min="10252" max="10252" width="11.7109375" style="14" customWidth="1"/>
    <col min="10253" max="10253" width="11.42578125" style="14" customWidth="1"/>
    <col min="10254" max="10254" width="12.7109375" style="14" customWidth="1"/>
    <col min="10255" max="10255" width="11.42578125" style="14" customWidth="1"/>
    <col min="10256" max="10256" width="10.7109375" style="14" customWidth="1"/>
    <col min="10257" max="10257" width="10.5703125" style="14" customWidth="1"/>
    <col min="10258" max="10258" width="11.28515625" style="14" customWidth="1"/>
    <col min="10259" max="10259" width="9.7109375" style="14" customWidth="1"/>
    <col min="10260" max="10260" width="12" style="14" customWidth="1"/>
    <col min="10261" max="10261" width="11.28515625" style="14" customWidth="1"/>
    <col min="10262" max="10499" width="9.140625" style="14"/>
    <col min="10500" max="10500" width="5.7109375" style="14" customWidth="1"/>
    <col min="10501" max="10501" width="13.140625" style="14" customWidth="1"/>
    <col min="10502" max="10502" width="12.28515625" style="14" customWidth="1"/>
    <col min="10503" max="10503" width="8.85546875" style="14" customWidth="1"/>
    <col min="10504" max="10504" width="10.85546875" style="14" customWidth="1"/>
    <col min="10505" max="10505" width="2.85546875" style="14" customWidth="1"/>
    <col min="10506" max="10506" width="12.140625" style="14" customWidth="1"/>
    <col min="10507" max="10507" width="10.140625" style="14" customWidth="1"/>
    <col min="10508" max="10508" width="11.7109375" style="14" customWidth="1"/>
    <col min="10509" max="10509" width="11.42578125" style="14" customWidth="1"/>
    <col min="10510" max="10510" width="12.7109375" style="14" customWidth="1"/>
    <col min="10511" max="10511" width="11.42578125" style="14" customWidth="1"/>
    <col min="10512" max="10512" width="10.7109375" style="14" customWidth="1"/>
    <col min="10513" max="10513" width="10.5703125" style="14" customWidth="1"/>
    <col min="10514" max="10514" width="11.28515625" style="14" customWidth="1"/>
    <col min="10515" max="10515" width="9.7109375" style="14" customWidth="1"/>
    <col min="10516" max="10516" width="12" style="14" customWidth="1"/>
    <col min="10517" max="10517" width="11.28515625" style="14" customWidth="1"/>
    <col min="10518" max="10755" width="9.140625" style="14"/>
    <col min="10756" max="10756" width="5.7109375" style="14" customWidth="1"/>
    <col min="10757" max="10757" width="13.140625" style="14" customWidth="1"/>
    <col min="10758" max="10758" width="12.28515625" style="14" customWidth="1"/>
    <col min="10759" max="10759" width="8.85546875" style="14" customWidth="1"/>
    <col min="10760" max="10760" width="10.85546875" style="14" customWidth="1"/>
    <col min="10761" max="10761" width="2.85546875" style="14" customWidth="1"/>
    <col min="10762" max="10762" width="12.140625" style="14" customWidth="1"/>
    <col min="10763" max="10763" width="10.140625" style="14" customWidth="1"/>
    <col min="10764" max="10764" width="11.7109375" style="14" customWidth="1"/>
    <col min="10765" max="10765" width="11.42578125" style="14" customWidth="1"/>
    <col min="10766" max="10766" width="12.7109375" style="14" customWidth="1"/>
    <col min="10767" max="10767" width="11.42578125" style="14" customWidth="1"/>
    <col min="10768" max="10768" width="10.7109375" style="14" customWidth="1"/>
    <col min="10769" max="10769" width="10.5703125" style="14" customWidth="1"/>
    <col min="10770" max="10770" width="11.28515625" style="14" customWidth="1"/>
    <col min="10771" max="10771" width="9.7109375" style="14" customWidth="1"/>
    <col min="10772" max="10772" width="12" style="14" customWidth="1"/>
    <col min="10773" max="10773" width="11.28515625" style="14" customWidth="1"/>
    <col min="10774" max="11011" width="9.140625" style="14"/>
    <col min="11012" max="11012" width="5.7109375" style="14" customWidth="1"/>
    <col min="11013" max="11013" width="13.140625" style="14" customWidth="1"/>
    <col min="11014" max="11014" width="12.28515625" style="14" customWidth="1"/>
    <col min="11015" max="11015" width="8.85546875" style="14" customWidth="1"/>
    <col min="11016" max="11016" width="10.85546875" style="14" customWidth="1"/>
    <col min="11017" max="11017" width="2.85546875" style="14" customWidth="1"/>
    <col min="11018" max="11018" width="12.140625" style="14" customWidth="1"/>
    <col min="11019" max="11019" width="10.140625" style="14" customWidth="1"/>
    <col min="11020" max="11020" width="11.7109375" style="14" customWidth="1"/>
    <col min="11021" max="11021" width="11.42578125" style="14" customWidth="1"/>
    <col min="11022" max="11022" width="12.7109375" style="14" customWidth="1"/>
    <col min="11023" max="11023" width="11.42578125" style="14" customWidth="1"/>
    <col min="11024" max="11024" width="10.7109375" style="14" customWidth="1"/>
    <col min="11025" max="11025" width="10.5703125" style="14" customWidth="1"/>
    <col min="11026" max="11026" width="11.28515625" style="14" customWidth="1"/>
    <col min="11027" max="11027" width="9.7109375" style="14" customWidth="1"/>
    <col min="11028" max="11028" width="12" style="14" customWidth="1"/>
    <col min="11029" max="11029" width="11.28515625" style="14" customWidth="1"/>
    <col min="11030" max="11267" width="9.140625" style="14"/>
    <col min="11268" max="11268" width="5.7109375" style="14" customWidth="1"/>
    <col min="11269" max="11269" width="13.140625" style="14" customWidth="1"/>
    <col min="11270" max="11270" width="12.28515625" style="14" customWidth="1"/>
    <col min="11271" max="11271" width="8.85546875" style="14" customWidth="1"/>
    <col min="11272" max="11272" width="10.85546875" style="14" customWidth="1"/>
    <col min="11273" max="11273" width="2.85546875" style="14" customWidth="1"/>
    <col min="11274" max="11274" width="12.140625" style="14" customWidth="1"/>
    <col min="11275" max="11275" width="10.140625" style="14" customWidth="1"/>
    <col min="11276" max="11276" width="11.7109375" style="14" customWidth="1"/>
    <col min="11277" max="11277" width="11.42578125" style="14" customWidth="1"/>
    <col min="11278" max="11278" width="12.7109375" style="14" customWidth="1"/>
    <col min="11279" max="11279" width="11.42578125" style="14" customWidth="1"/>
    <col min="11280" max="11280" width="10.7109375" style="14" customWidth="1"/>
    <col min="11281" max="11281" width="10.5703125" style="14" customWidth="1"/>
    <col min="11282" max="11282" width="11.28515625" style="14" customWidth="1"/>
    <col min="11283" max="11283" width="9.7109375" style="14" customWidth="1"/>
    <col min="11284" max="11284" width="12" style="14" customWidth="1"/>
    <col min="11285" max="11285" width="11.28515625" style="14" customWidth="1"/>
    <col min="11286" max="11523" width="9.140625" style="14"/>
    <col min="11524" max="11524" width="5.7109375" style="14" customWidth="1"/>
    <col min="11525" max="11525" width="13.140625" style="14" customWidth="1"/>
    <col min="11526" max="11526" width="12.28515625" style="14" customWidth="1"/>
    <col min="11527" max="11527" width="8.85546875" style="14" customWidth="1"/>
    <col min="11528" max="11528" width="10.85546875" style="14" customWidth="1"/>
    <col min="11529" max="11529" width="2.85546875" style="14" customWidth="1"/>
    <col min="11530" max="11530" width="12.140625" style="14" customWidth="1"/>
    <col min="11531" max="11531" width="10.140625" style="14" customWidth="1"/>
    <col min="11532" max="11532" width="11.7109375" style="14" customWidth="1"/>
    <col min="11533" max="11533" width="11.42578125" style="14" customWidth="1"/>
    <col min="11534" max="11534" width="12.7109375" style="14" customWidth="1"/>
    <col min="11535" max="11535" width="11.42578125" style="14" customWidth="1"/>
    <col min="11536" max="11536" width="10.7109375" style="14" customWidth="1"/>
    <col min="11537" max="11537" width="10.5703125" style="14" customWidth="1"/>
    <col min="11538" max="11538" width="11.28515625" style="14" customWidth="1"/>
    <col min="11539" max="11539" width="9.7109375" style="14" customWidth="1"/>
    <col min="11540" max="11540" width="12" style="14" customWidth="1"/>
    <col min="11541" max="11541" width="11.28515625" style="14" customWidth="1"/>
    <col min="11542" max="11779" width="9.140625" style="14"/>
    <col min="11780" max="11780" width="5.7109375" style="14" customWidth="1"/>
    <col min="11781" max="11781" width="13.140625" style="14" customWidth="1"/>
    <col min="11782" max="11782" width="12.28515625" style="14" customWidth="1"/>
    <col min="11783" max="11783" width="8.85546875" style="14" customWidth="1"/>
    <col min="11784" max="11784" width="10.85546875" style="14" customWidth="1"/>
    <col min="11785" max="11785" width="2.85546875" style="14" customWidth="1"/>
    <col min="11786" max="11786" width="12.140625" style="14" customWidth="1"/>
    <col min="11787" max="11787" width="10.140625" style="14" customWidth="1"/>
    <col min="11788" max="11788" width="11.7109375" style="14" customWidth="1"/>
    <col min="11789" max="11789" width="11.42578125" style="14" customWidth="1"/>
    <col min="11790" max="11790" width="12.7109375" style="14" customWidth="1"/>
    <col min="11791" max="11791" width="11.42578125" style="14" customWidth="1"/>
    <col min="11792" max="11792" width="10.7109375" style="14" customWidth="1"/>
    <col min="11793" max="11793" width="10.5703125" style="14" customWidth="1"/>
    <col min="11794" max="11794" width="11.28515625" style="14" customWidth="1"/>
    <col min="11795" max="11795" width="9.7109375" style="14" customWidth="1"/>
    <col min="11796" max="11796" width="12" style="14" customWidth="1"/>
    <col min="11797" max="11797" width="11.28515625" style="14" customWidth="1"/>
    <col min="11798" max="12035" width="9.140625" style="14"/>
    <col min="12036" max="12036" width="5.7109375" style="14" customWidth="1"/>
    <col min="12037" max="12037" width="13.140625" style="14" customWidth="1"/>
    <col min="12038" max="12038" width="12.28515625" style="14" customWidth="1"/>
    <col min="12039" max="12039" width="8.85546875" style="14" customWidth="1"/>
    <col min="12040" max="12040" width="10.85546875" style="14" customWidth="1"/>
    <col min="12041" max="12041" width="2.85546875" style="14" customWidth="1"/>
    <col min="12042" max="12042" width="12.140625" style="14" customWidth="1"/>
    <col min="12043" max="12043" width="10.140625" style="14" customWidth="1"/>
    <col min="12044" max="12044" width="11.7109375" style="14" customWidth="1"/>
    <col min="12045" max="12045" width="11.42578125" style="14" customWidth="1"/>
    <col min="12046" max="12046" width="12.7109375" style="14" customWidth="1"/>
    <col min="12047" max="12047" width="11.42578125" style="14" customWidth="1"/>
    <col min="12048" max="12048" width="10.7109375" style="14" customWidth="1"/>
    <col min="12049" max="12049" width="10.5703125" style="14" customWidth="1"/>
    <col min="12050" max="12050" width="11.28515625" style="14" customWidth="1"/>
    <col min="12051" max="12051" width="9.7109375" style="14" customWidth="1"/>
    <col min="12052" max="12052" width="12" style="14" customWidth="1"/>
    <col min="12053" max="12053" width="11.28515625" style="14" customWidth="1"/>
    <col min="12054" max="12291" width="9.140625" style="14"/>
    <col min="12292" max="12292" width="5.7109375" style="14" customWidth="1"/>
    <col min="12293" max="12293" width="13.140625" style="14" customWidth="1"/>
    <col min="12294" max="12294" width="12.28515625" style="14" customWidth="1"/>
    <col min="12295" max="12295" width="8.85546875" style="14" customWidth="1"/>
    <col min="12296" max="12296" width="10.85546875" style="14" customWidth="1"/>
    <col min="12297" max="12297" width="2.85546875" style="14" customWidth="1"/>
    <col min="12298" max="12298" width="12.140625" style="14" customWidth="1"/>
    <col min="12299" max="12299" width="10.140625" style="14" customWidth="1"/>
    <col min="12300" max="12300" width="11.7109375" style="14" customWidth="1"/>
    <col min="12301" max="12301" width="11.42578125" style="14" customWidth="1"/>
    <col min="12302" max="12302" width="12.7109375" style="14" customWidth="1"/>
    <col min="12303" max="12303" width="11.42578125" style="14" customWidth="1"/>
    <col min="12304" max="12304" width="10.7109375" style="14" customWidth="1"/>
    <col min="12305" max="12305" width="10.5703125" style="14" customWidth="1"/>
    <col min="12306" max="12306" width="11.28515625" style="14" customWidth="1"/>
    <col min="12307" max="12307" width="9.7109375" style="14" customWidth="1"/>
    <col min="12308" max="12308" width="12" style="14" customWidth="1"/>
    <col min="12309" max="12309" width="11.28515625" style="14" customWidth="1"/>
    <col min="12310" max="12547" width="9.140625" style="14"/>
    <col min="12548" max="12548" width="5.7109375" style="14" customWidth="1"/>
    <col min="12549" max="12549" width="13.140625" style="14" customWidth="1"/>
    <col min="12550" max="12550" width="12.28515625" style="14" customWidth="1"/>
    <col min="12551" max="12551" width="8.85546875" style="14" customWidth="1"/>
    <col min="12552" max="12552" width="10.85546875" style="14" customWidth="1"/>
    <col min="12553" max="12553" width="2.85546875" style="14" customWidth="1"/>
    <col min="12554" max="12554" width="12.140625" style="14" customWidth="1"/>
    <col min="12555" max="12555" width="10.140625" style="14" customWidth="1"/>
    <col min="12556" max="12556" width="11.7109375" style="14" customWidth="1"/>
    <col min="12557" max="12557" width="11.42578125" style="14" customWidth="1"/>
    <col min="12558" max="12558" width="12.7109375" style="14" customWidth="1"/>
    <col min="12559" max="12559" width="11.42578125" style="14" customWidth="1"/>
    <col min="12560" max="12560" width="10.7109375" style="14" customWidth="1"/>
    <col min="12561" max="12561" width="10.5703125" style="14" customWidth="1"/>
    <col min="12562" max="12562" width="11.28515625" style="14" customWidth="1"/>
    <col min="12563" max="12563" width="9.7109375" style="14" customWidth="1"/>
    <col min="12564" max="12564" width="12" style="14" customWidth="1"/>
    <col min="12565" max="12565" width="11.28515625" style="14" customWidth="1"/>
    <col min="12566" max="12803" width="9.140625" style="14"/>
    <col min="12804" max="12804" width="5.7109375" style="14" customWidth="1"/>
    <col min="12805" max="12805" width="13.140625" style="14" customWidth="1"/>
    <col min="12806" max="12806" width="12.28515625" style="14" customWidth="1"/>
    <col min="12807" max="12807" width="8.85546875" style="14" customWidth="1"/>
    <col min="12808" max="12808" width="10.85546875" style="14" customWidth="1"/>
    <col min="12809" max="12809" width="2.85546875" style="14" customWidth="1"/>
    <col min="12810" max="12810" width="12.140625" style="14" customWidth="1"/>
    <col min="12811" max="12811" width="10.140625" style="14" customWidth="1"/>
    <col min="12812" max="12812" width="11.7109375" style="14" customWidth="1"/>
    <col min="12813" max="12813" width="11.42578125" style="14" customWidth="1"/>
    <col min="12814" max="12814" width="12.7109375" style="14" customWidth="1"/>
    <col min="12815" max="12815" width="11.42578125" style="14" customWidth="1"/>
    <col min="12816" max="12816" width="10.7109375" style="14" customWidth="1"/>
    <col min="12817" max="12817" width="10.5703125" style="14" customWidth="1"/>
    <col min="12818" max="12818" width="11.28515625" style="14" customWidth="1"/>
    <col min="12819" max="12819" width="9.7109375" style="14" customWidth="1"/>
    <col min="12820" max="12820" width="12" style="14" customWidth="1"/>
    <col min="12821" max="12821" width="11.28515625" style="14" customWidth="1"/>
    <col min="12822" max="13059" width="9.140625" style="14"/>
    <col min="13060" max="13060" width="5.7109375" style="14" customWidth="1"/>
    <col min="13061" max="13061" width="13.140625" style="14" customWidth="1"/>
    <col min="13062" max="13062" width="12.28515625" style="14" customWidth="1"/>
    <col min="13063" max="13063" width="8.85546875" style="14" customWidth="1"/>
    <col min="13064" max="13064" width="10.85546875" style="14" customWidth="1"/>
    <col min="13065" max="13065" width="2.85546875" style="14" customWidth="1"/>
    <col min="13066" max="13066" width="12.140625" style="14" customWidth="1"/>
    <col min="13067" max="13067" width="10.140625" style="14" customWidth="1"/>
    <col min="13068" max="13068" width="11.7109375" style="14" customWidth="1"/>
    <col min="13069" max="13069" width="11.42578125" style="14" customWidth="1"/>
    <col min="13070" max="13070" width="12.7109375" style="14" customWidth="1"/>
    <col min="13071" max="13071" width="11.42578125" style="14" customWidth="1"/>
    <col min="13072" max="13072" width="10.7109375" style="14" customWidth="1"/>
    <col min="13073" max="13073" width="10.5703125" style="14" customWidth="1"/>
    <col min="13074" max="13074" width="11.28515625" style="14" customWidth="1"/>
    <col min="13075" max="13075" width="9.7109375" style="14" customWidth="1"/>
    <col min="13076" max="13076" width="12" style="14" customWidth="1"/>
    <col min="13077" max="13077" width="11.28515625" style="14" customWidth="1"/>
    <col min="13078" max="13315" width="9.140625" style="14"/>
    <col min="13316" max="13316" width="5.7109375" style="14" customWidth="1"/>
    <col min="13317" max="13317" width="13.140625" style="14" customWidth="1"/>
    <col min="13318" max="13318" width="12.28515625" style="14" customWidth="1"/>
    <col min="13319" max="13319" width="8.85546875" style="14" customWidth="1"/>
    <col min="13320" max="13320" width="10.85546875" style="14" customWidth="1"/>
    <col min="13321" max="13321" width="2.85546875" style="14" customWidth="1"/>
    <col min="13322" max="13322" width="12.140625" style="14" customWidth="1"/>
    <col min="13323" max="13323" width="10.140625" style="14" customWidth="1"/>
    <col min="13324" max="13324" width="11.7109375" style="14" customWidth="1"/>
    <col min="13325" max="13325" width="11.42578125" style="14" customWidth="1"/>
    <col min="13326" max="13326" width="12.7109375" style="14" customWidth="1"/>
    <col min="13327" max="13327" width="11.42578125" style="14" customWidth="1"/>
    <col min="13328" max="13328" width="10.7109375" style="14" customWidth="1"/>
    <col min="13329" max="13329" width="10.5703125" style="14" customWidth="1"/>
    <col min="13330" max="13330" width="11.28515625" style="14" customWidth="1"/>
    <col min="13331" max="13331" width="9.7109375" style="14" customWidth="1"/>
    <col min="13332" max="13332" width="12" style="14" customWidth="1"/>
    <col min="13333" max="13333" width="11.28515625" style="14" customWidth="1"/>
    <col min="13334" max="13571" width="9.140625" style="14"/>
    <col min="13572" max="13572" width="5.7109375" style="14" customWidth="1"/>
    <col min="13573" max="13573" width="13.140625" style="14" customWidth="1"/>
    <col min="13574" max="13574" width="12.28515625" style="14" customWidth="1"/>
    <col min="13575" max="13575" width="8.85546875" style="14" customWidth="1"/>
    <col min="13576" max="13576" width="10.85546875" style="14" customWidth="1"/>
    <col min="13577" max="13577" width="2.85546875" style="14" customWidth="1"/>
    <col min="13578" max="13578" width="12.140625" style="14" customWidth="1"/>
    <col min="13579" max="13579" width="10.140625" style="14" customWidth="1"/>
    <col min="13580" max="13580" width="11.7109375" style="14" customWidth="1"/>
    <col min="13581" max="13581" width="11.42578125" style="14" customWidth="1"/>
    <col min="13582" max="13582" width="12.7109375" style="14" customWidth="1"/>
    <col min="13583" max="13583" width="11.42578125" style="14" customWidth="1"/>
    <col min="13584" max="13584" width="10.7109375" style="14" customWidth="1"/>
    <col min="13585" max="13585" width="10.5703125" style="14" customWidth="1"/>
    <col min="13586" max="13586" width="11.28515625" style="14" customWidth="1"/>
    <col min="13587" max="13587" width="9.7109375" style="14" customWidth="1"/>
    <col min="13588" max="13588" width="12" style="14" customWidth="1"/>
    <col min="13589" max="13589" width="11.28515625" style="14" customWidth="1"/>
    <col min="13590" max="13827" width="9.140625" style="14"/>
    <col min="13828" max="13828" width="5.7109375" style="14" customWidth="1"/>
    <col min="13829" max="13829" width="13.140625" style="14" customWidth="1"/>
    <col min="13830" max="13830" width="12.28515625" style="14" customWidth="1"/>
    <col min="13831" max="13831" width="8.85546875" style="14" customWidth="1"/>
    <col min="13832" max="13832" width="10.85546875" style="14" customWidth="1"/>
    <col min="13833" max="13833" width="2.85546875" style="14" customWidth="1"/>
    <col min="13834" max="13834" width="12.140625" style="14" customWidth="1"/>
    <col min="13835" max="13835" width="10.140625" style="14" customWidth="1"/>
    <col min="13836" max="13836" width="11.7109375" style="14" customWidth="1"/>
    <col min="13837" max="13837" width="11.42578125" style="14" customWidth="1"/>
    <col min="13838" max="13838" width="12.7109375" style="14" customWidth="1"/>
    <col min="13839" max="13839" width="11.42578125" style="14" customWidth="1"/>
    <col min="13840" max="13840" width="10.7109375" style="14" customWidth="1"/>
    <col min="13841" max="13841" width="10.5703125" style="14" customWidth="1"/>
    <col min="13842" max="13842" width="11.28515625" style="14" customWidth="1"/>
    <col min="13843" max="13843" width="9.7109375" style="14" customWidth="1"/>
    <col min="13844" max="13844" width="12" style="14" customWidth="1"/>
    <col min="13845" max="13845" width="11.28515625" style="14" customWidth="1"/>
    <col min="13846" max="14083" width="9.140625" style="14"/>
    <col min="14084" max="14084" width="5.7109375" style="14" customWidth="1"/>
    <col min="14085" max="14085" width="13.140625" style="14" customWidth="1"/>
    <col min="14086" max="14086" width="12.28515625" style="14" customWidth="1"/>
    <col min="14087" max="14087" width="8.85546875" style="14" customWidth="1"/>
    <col min="14088" max="14088" width="10.85546875" style="14" customWidth="1"/>
    <col min="14089" max="14089" width="2.85546875" style="14" customWidth="1"/>
    <col min="14090" max="14090" width="12.140625" style="14" customWidth="1"/>
    <col min="14091" max="14091" width="10.140625" style="14" customWidth="1"/>
    <col min="14092" max="14092" width="11.7109375" style="14" customWidth="1"/>
    <col min="14093" max="14093" width="11.42578125" style="14" customWidth="1"/>
    <col min="14094" max="14094" width="12.7109375" style="14" customWidth="1"/>
    <col min="14095" max="14095" width="11.42578125" style="14" customWidth="1"/>
    <col min="14096" max="14096" width="10.7109375" style="14" customWidth="1"/>
    <col min="14097" max="14097" width="10.5703125" style="14" customWidth="1"/>
    <col min="14098" max="14098" width="11.28515625" style="14" customWidth="1"/>
    <col min="14099" max="14099" width="9.7109375" style="14" customWidth="1"/>
    <col min="14100" max="14100" width="12" style="14" customWidth="1"/>
    <col min="14101" max="14101" width="11.28515625" style="14" customWidth="1"/>
    <col min="14102" max="14339" width="9.140625" style="14"/>
    <col min="14340" max="14340" width="5.7109375" style="14" customWidth="1"/>
    <col min="14341" max="14341" width="13.140625" style="14" customWidth="1"/>
    <col min="14342" max="14342" width="12.28515625" style="14" customWidth="1"/>
    <col min="14343" max="14343" width="8.85546875" style="14" customWidth="1"/>
    <col min="14344" max="14344" width="10.85546875" style="14" customWidth="1"/>
    <col min="14345" max="14345" width="2.85546875" style="14" customWidth="1"/>
    <col min="14346" max="14346" width="12.140625" style="14" customWidth="1"/>
    <col min="14347" max="14347" width="10.140625" style="14" customWidth="1"/>
    <col min="14348" max="14348" width="11.7109375" style="14" customWidth="1"/>
    <col min="14349" max="14349" width="11.42578125" style="14" customWidth="1"/>
    <col min="14350" max="14350" width="12.7109375" style="14" customWidth="1"/>
    <col min="14351" max="14351" width="11.42578125" style="14" customWidth="1"/>
    <col min="14352" max="14352" width="10.7109375" style="14" customWidth="1"/>
    <col min="14353" max="14353" width="10.5703125" style="14" customWidth="1"/>
    <col min="14354" max="14354" width="11.28515625" style="14" customWidth="1"/>
    <col min="14355" max="14355" width="9.7109375" style="14" customWidth="1"/>
    <col min="14356" max="14356" width="12" style="14" customWidth="1"/>
    <col min="14357" max="14357" width="11.28515625" style="14" customWidth="1"/>
    <col min="14358" max="14595" width="9.140625" style="14"/>
    <col min="14596" max="14596" width="5.7109375" style="14" customWidth="1"/>
    <col min="14597" max="14597" width="13.140625" style="14" customWidth="1"/>
    <col min="14598" max="14598" width="12.28515625" style="14" customWidth="1"/>
    <col min="14599" max="14599" width="8.85546875" style="14" customWidth="1"/>
    <col min="14600" max="14600" width="10.85546875" style="14" customWidth="1"/>
    <col min="14601" max="14601" width="2.85546875" style="14" customWidth="1"/>
    <col min="14602" max="14602" width="12.140625" style="14" customWidth="1"/>
    <col min="14603" max="14603" width="10.140625" style="14" customWidth="1"/>
    <col min="14604" max="14604" width="11.7109375" style="14" customWidth="1"/>
    <col min="14605" max="14605" width="11.42578125" style="14" customWidth="1"/>
    <col min="14606" max="14606" width="12.7109375" style="14" customWidth="1"/>
    <col min="14607" max="14607" width="11.42578125" style="14" customWidth="1"/>
    <col min="14608" max="14608" width="10.7109375" style="14" customWidth="1"/>
    <col min="14609" max="14609" width="10.5703125" style="14" customWidth="1"/>
    <col min="14610" max="14610" width="11.28515625" style="14" customWidth="1"/>
    <col min="14611" max="14611" width="9.7109375" style="14" customWidth="1"/>
    <col min="14612" max="14612" width="12" style="14" customWidth="1"/>
    <col min="14613" max="14613" width="11.28515625" style="14" customWidth="1"/>
    <col min="14614" max="14851" width="9.140625" style="14"/>
    <col min="14852" max="14852" width="5.7109375" style="14" customWidth="1"/>
    <col min="14853" max="14853" width="13.140625" style="14" customWidth="1"/>
    <col min="14854" max="14854" width="12.28515625" style="14" customWidth="1"/>
    <col min="14855" max="14855" width="8.85546875" style="14" customWidth="1"/>
    <col min="14856" max="14856" width="10.85546875" style="14" customWidth="1"/>
    <col min="14857" max="14857" width="2.85546875" style="14" customWidth="1"/>
    <col min="14858" max="14858" width="12.140625" style="14" customWidth="1"/>
    <col min="14859" max="14859" width="10.140625" style="14" customWidth="1"/>
    <col min="14860" max="14860" width="11.7109375" style="14" customWidth="1"/>
    <col min="14861" max="14861" width="11.42578125" style="14" customWidth="1"/>
    <col min="14862" max="14862" width="12.7109375" style="14" customWidth="1"/>
    <col min="14863" max="14863" width="11.42578125" style="14" customWidth="1"/>
    <col min="14864" max="14864" width="10.7109375" style="14" customWidth="1"/>
    <col min="14865" max="14865" width="10.5703125" style="14" customWidth="1"/>
    <col min="14866" max="14866" width="11.28515625" style="14" customWidth="1"/>
    <col min="14867" max="14867" width="9.7109375" style="14" customWidth="1"/>
    <col min="14868" max="14868" width="12" style="14" customWidth="1"/>
    <col min="14869" max="14869" width="11.28515625" style="14" customWidth="1"/>
    <col min="14870" max="15107" width="9.140625" style="14"/>
    <col min="15108" max="15108" width="5.7109375" style="14" customWidth="1"/>
    <col min="15109" max="15109" width="13.140625" style="14" customWidth="1"/>
    <col min="15110" max="15110" width="12.28515625" style="14" customWidth="1"/>
    <col min="15111" max="15111" width="8.85546875" style="14" customWidth="1"/>
    <col min="15112" max="15112" width="10.85546875" style="14" customWidth="1"/>
    <col min="15113" max="15113" width="2.85546875" style="14" customWidth="1"/>
    <col min="15114" max="15114" width="12.140625" style="14" customWidth="1"/>
    <col min="15115" max="15115" width="10.140625" style="14" customWidth="1"/>
    <col min="15116" max="15116" width="11.7109375" style="14" customWidth="1"/>
    <col min="15117" max="15117" width="11.42578125" style="14" customWidth="1"/>
    <col min="15118" max="15118" width="12.7109375" style="14" customWidth="1"/>
    <col min="15119" max="15119" width="11.42578125" style="14" customWidth="1"/>
    <col min="15120" max="15120" width="10.7109375" style="14" customWidth="1"/>
    <col min="15121" max="15121" width="10.5703125" style="14" customWidth="1"/>
    <col min="15122" max="15122" width="11.28515625" style="14" customWidth="1"/>
    <col min="15123" max="15123" width="9.7109375" style="14" customWidth="1"/>
    <col min="15124" max="15124" width="12" style="14" customWidth="1"/>
    <col min="15125" max="15125" width="11.28515625" style="14" customWidth="1"/>
    <col min="15126" max="15363" width="9.140625" style="14"/>
    <col min="15364" max="15364" width="5.7109375" style="14" customWidth="1"/>
    <col min="15365" max="15365" width="13.140625" style="14" customWidth="1"/>
    <col min="15366" max="15366" width="12.28515625" style="14" customWidth="1"/>
    <col min="15367" max="15367" width="8.85546875" style="14" customWidth="1"/>
    <col min="15368" max="15368" width="10.85546875" style="14" customWidth="1"/>
    <col min="15369" max="15369" width="2.85546875" style="14" customWidth="1"/>
    <col min="15370" max="15370" width="12.140625" style="14" customWidth="1"/>
    <col min="15371" max="15371" width="10.140625" style="14" customWidth="1"/>
    <col min="15372" max="15372" width="11.7109375" style="14" customWidth="1"/>
    <col min="15373" max="15373" width="11.42578125" style="14" customWidth="1"/>
    <col min="15374" max="15374" width="12.7109375" style="14" customWidth="1"/>
    <col min="15375" max="15375" width="11.42578125" style="14" customWidth="1"/>
    <col min="15376" max="15376" width="10.7109375" style="14" customWidth="1"/>
    <col min="15377" max="15377" width="10.5703125" style="14" customWidth="1"/>
    <col min="15378" max="15378" width="11.28515625" style="14" customWidth="1"/>
    <col min="15379" max="15379" width="9.7109375" style="14" customWidth="1"/>
    <col min="15380" max="15380" width="12" style="14" customWidth="1"/>
    <col min="15381" max="15381" width="11.28515625" style="14" customWidth="1"/>
    <col min="15382" max="15619" width="9.140625" style="14"/>
    <col min="15620" max="15620" width="5.7109375" style="14" customWidth="1"/>
    <col min="15621" max="15621" width="13.140625" style="14" customWidth="1"/>
    <col min="15622" max="15622" width="12.28515625" style="14" customWidth="1"/>
    <col min="15623" max="15623" width="8.85546875" style="14" customWidth="1"/>
    <col min="15624" max="15624" width="10.85546875" style="14" customWidth="1"/>
    <col min="15625" max="15625" width="2.85546875" style="14" customWidth="1"/>
    <col min="15626" max="15626" width="12.140625" style="14" customWidth="1"/>
    <col min="15627" max="15627" width="10.140625" style="14" customWidth="1"/>
    <col min="15628" max="15628" width="11.7109375" style="14" customWidth="1"/>
    <col min="15629" max="15629" width="11.42578125" style="14" customWidth="1"/>
    <col min="15630" max="15630" width="12.7109375" style="14" customWidth="1"/>
    <col min="15631" max="15631" width="11.42578125" style="14" customWidth="1"/>
    <col min="15632" max="15632" width="10.7109375" style="14" customWidth="1"/>
    <col min="15633" max="15633" width="10.5703125" style="14" customWidth="1"/>
    <col min="15634" max="15634" width="11.28515625" style="14" customWidth="1"/>
    <col min="15635" max="15635" width="9.7109375" style="14" customWidth="1"/>
    <col min="15636" max="15636" width="12" style="14" customWidth="1"/>
    <col min="15637" max="15637" width="11.28515625" style="14" customWidth="1"/>
    <col min="15638" max="15875" width="9.140625" style="14"/>
    <col min="15876" max="15876" width="5.7109375" style="14" customWidth="1"/>
    <col min="15877" max="15877" width="13.140625" style="14" customWidth="1"/>
    <col min="15878" max="15878" width="12.28515625" style="14" customWidth="1"/>
    <col min="15879" max="15879" width="8.85546875" style="14" customWidth="1"/>
    <col min="15880" max="15880" width="10.85546875" style="14" customWidth="1"/>
    <col min="15881" max="15881" width="2.85546875" style="14" customWidth="1"/>
    <col min="15882" max="15882" width="12.140625" style="14" customWidth="1"/>
    <col min="15883" max="15883" width="10.140625" style="14" customWidth="1"/>
    <col min="15884" max="15884" width="11.7109375" style="14" customWidth="1"/>
    <col min="15885" max="15885" width="11.42578125" style="14" customWidth="1"/>
    <col min="15886" max="15886" width="12.7109375" style="14" customWidth="1"/>
    <col min="15887" max="15887" width="11.42578125" style="14" customWidth="1"/>
    <col min="15888" max="15888" width="10.7109375" style="14" customWidth="1"/>
    <col min="15889" max="15889" width="10.5703125" style="14" customWidth="1"/>
    <col min="15890" max="15890" width="11.28515625" style="14" customWidth="1"/>
    <col min="15891" max="15891" width="9.7109375" style="14" customWidth="1"/>
    <col min="15892" max="15892" width="12" style="14" customWidth="1"/>
    <col min="15893" max="15893" width="11.28515625" style="14" customWidth="1"/>
    <col min="15894" max="16131" width="9.140625" style="14"/>
    <col min="16132" max="16132" width="5.7109375" style="14" customWidth="1"/>
    <col min="16133" max="16133" width="13.140625" style="14" customWidth="1"/>
    <col min="16134" max="16134" width="12.28515625" style="14" customWidth="1"/>
    <col min="16135" max="16135" width="8.85546875" style="14" customWidth="1"/>
    <col min="16136" max="16136" width="10.85546875" style="14" customWidth="1"/>
    <col min="16137" max="16137" width="2.85546875" style="14" customWidth="1"/>
    <col min="16138" max="16138" width="12.140625" style="14" customWidth="1"/>
    <col min="16139" max="16139" width="10.140625" style="14" customWidth="1"/>
    <col min="16140" max="16140" width="11.7109375" style="14" customWidth="1"/>
    <col min="16141" max="16141" width="11.42578125" style="14" customWidth="1"/>
    <col min="16142" max="16142" width="12.7109375" style="14" customWidth="1"/>
    <col min="16143" max="16143" width="11.42578125" style="14" customWidth="1"/>
    <col min="16144" max="16144" width="10.7109375" style="14" customWidth="1"/>
    <col min="16145" max="16145" width="10.5703125" style="14" customWidth="1"/>
    <col min="16146" max="16146" width="11.28515625" style="14" customWidth="1"/>
    <col min="16147" max="16147" width="9.7109375" style="14" customWidth="1"/>
    <col min="16148" max="16148" width="12" style="14" customWidth="1"/>
    <col min="16149" max="16149" width="11.28515625" style="14" customWidth="1"/>
    <col min="16150" max="16384" width="9.140625" style="14"/>
  </cols>
  <sheetData>
    <row r="1" spans="4:19" ht="12.75" thickBot="1" x14ac:dyDescent="0.25"/>
    <row r="2" spans="4:19" ht="12" customHeight="1" thickBot="1" x14ac:dyDescent="0.25">
      <c r="Q2" s="633" t="s">
        <v>0</v>
      </c>
      <c r="R2" s="634"/>
      <c r="S2" s="635"/>
    </row>
    <row r="3" spans="4:19" ht="13.5" thickBot="1" x14ac:dyDescent="0.25">
      <c r="I3" s="636" t="s">
        <v>1</v>
      </c>
      <c r="J3" s="637"/>
      <c r="K3" s="637"/>
      <c r="L3" s="637"/>
      <c r="M3" s="637"/>
      <c r="N3" s="637"/>
      <c r="O3" s="638"/>
      <c r="Q3" s="611">
        <f>'REYES LARA DANTE'!Q3</f>
        <v>45</v>
      </c>
      <c r="R3" s="639"/>
      <c r="S3" s="612"/>
    </row>
    <row r="4" spans="4:19" ht="13.5" thickBot="1" x14ac:dyDescent="0.25">
      <c r="I4" s="640" t="s">
        <v>2</v>
      </c>
      <c r="J4" s="641"/>
      <c r="K4" s="641"/>
      <c r="L4" s="641"/>
      <c r="M4" s="641"/>
      <c r="N4" s="641"/>
      <c r="O4" s="642"/>
      <c r="Q4" s="18"/>
      <c r="R4" s="18"/>
      <c r="S4" s="18"/>
    </row>
    <row r="5" spans="4:19" ht="13.5" thickBot="1" x14ac:dyDescent="0.25">
      <c r="I5" s="643" t="s">
        <v>3</v>
      </c>
      <c r="J5" s="644"/>
      <c r="K5" s="644"/>
      <c r="L5" s="644"/>
      <c r="M5" s="644"/>
      <c r="N5" s="644"/>
      <c r="O5" s="645"/>
      <c r="Q5" s="611" t="s">
        <v>4</v>
      </c>
      <c r="R5" s="639"/>
      <c r="S5" s="612"/>
    </row>
    <row r="6" spans="4:19" ht="13.5" thickBot="1" x14ac:dyDescent="0.25">
      <c r="I6" s="650" t="s">
        <v>5</v>
      </c>
      <c r="J6" s="651"/>
      <c r="K6" s="651"/>
      <c r="L6" s="651"/>
      <c r="M6" s="651"/>
      <c r="N6" s="651"/>
      <c r="O6" s="652"/>
      <c r="Q6" s="653">
        <f>+'ORONA BECERRA MAURO JOSE'!Q6+1</f>
        <v>119</v>
      </c>
      <c r="R6" s="654"/>
      <c r="S6" s="655"/>
    </row>
    <row r="7" spans="4:19" ht="9" customHeight="1" x14ac:dyDescent="0.2"/>
    <row r="8" spans="4:19" ht="6.75" customHeight="1" thickBot="1" x14ac:dyDescent="0.25"/>
    <row r="9" spans="4:19" ht="13.5" thickBot="1" x14ac:dyDescent="0.25">
      <c r="I9" s="611" t="s">
        <v>6</v>
      </c>
      <c r="J9" s="639"/>
      <c r="K9" s="639"/>
      <c r="L9" s="639"/>
      <c r="M9" s="639"/>
      <c r="N9" s="639"/>
      <c r="O9" s="612"/>
    </row>
    <row r="10" spans="4:19" ht="11.25" customHeight="1" thickBot="1" x14ac:dyDescent="0.25"/>
    <row r="11" spans="4:19" ht="12.75" x14ac:dyDescent="0.2">
      <c r="D11" s="1" t="s">
        <v>7</v>
      </c>
      <c r="E11" s="2" t="s">
        <v>356</v>
      </c>
      <c r="F11" s="2"/>
      <c r="G11" s="2"/>
      <c r="H11" s="2"/>
      <c r="I11" s="2"/>
      <c r="J11" s="2"/>
      <c r="K11" s="3" t="s">
        <v>8</v>
      </c>
      <c r="L11" s="656" t="str">
        <f>'AGUILAR ESQUIVEL CARLOS'!L11</f>
        <v>SEMANA #45 PERIODO DEL 27 de oct AL 02 de nov DEL 2025</v>
      </c>
      <c r="M11" s="656"/>
      <c r="N11" s="656"/>
      <c r="O11" s="656"/>
      <c r="P11" s="656"/>
      <c r="Q11" s="656"/>
      <c r="R11" s="656"/>
      <c r="S11" s="659"/>
    </row>
    <row r="12" spans="4:19" ht="12.75" x14ac:dyDescent="0.2">
      <c r="D12" s="4" t="s">
        <v>9</v>
      </c>
      <c r="E12" s="624" t="s">
        <v>361</v>
      </c>
      <c r="F12" s="624"/>
      <c r="G12" s="5"/>
      <c r="H12" s="130"/>
      <c r="I12" s="130"/>
      <c r="J12" s="130"/>
      <c r="K12" s="130"/>
      <c r="L12" s="130"/>
      <c r="M12" s="130"/>
      <c r="N12" s="130"/>
      <c r="O12" s="130"/>
      <c r="P12" s="130"/>
      <c r="Q12" s="130"/>
      <c r="R12" s="130"/>
      <c r="S12" s="256"/>
    </row>
    <row r="13" spans="4:19" ht="9.75" customHeight="1" x14ac:dyDescent="0.2">
      <c r="D13" s="623"/>
      <c r="E13" s="624"/>
      <c r="F13" s="130"/>
      <c r="G13" s="130"/>
      <c r="H13" s="130"/>
      <c r="I13" s="130"/>
      <c r="J13" s="130"/>
      <c r="K13" s="130"/>
      <c r="L13" s="130"/>
      <c r="M13" s="130"/>
      <c r="N13" s="130"/>
      <c r="O13" s="130"/>
      <c r="P13" s="130"/>
      <c r="Q13" s="130"/>
      <c r="R13" s="130"/>
      <c r="S13" s="256"/>
    </row>
    <row r="14" spans="4:19" ht="12.75" x14ac:dyDescent="0.2">
      <c r="D14" s="625" t="s">
        <v>10</v>
      </c>
      <c r="E14" s="626"/>
      <c r="F14" s="130">
        <v>105625</v>
      </c>
      <c r="G14" s="130"/>
      <c r="H14" s="130"/>
      <c r="I14" s="6" t="s">
        <v>11</v>
      </c>
      <c r="J14" s="6"/>
      <c r="K14" s="130"/>
      <c r="L14" s="130"/>
      <c r="M14" s="130"/>
      <c r="N14" s="130"/>
      <c r="O14" s="6" t="s">
        <v>12</v>
      </c>
      <c r="P14" s="7"/>
      <c r="Q14" s="7"/>
      <c r="R14" s="7"/>
      <c r="S14" s="8"/>
    </row>
    <row r="15" spans="4:19" ht="12.75" x14ac:dyDescent="0.2">
      <c r="D15" s="625" t="s">
        <v>13</v>
      </c>
      <c r="E15" s="626"/>
      <c r="F15" s="130">
        <v>106338</v>
      </c>
      <c r="G15" s="130"/>
      <c r="H15" s="130"/>
      <c r="I15" s="6" t="s">
        <v>14</v>
      </c>
      <c r="J15" s="6"/>
      <c r="K15" s="130"/>
      <c r="L15" s="130"/>
      <c r="M15" s="130"/>
      <c r="N15" s="130"/>
      <c r="O15" s="6" t="s">
        <v>15</v>
      </c>
      <c r="P15" s="130"/>
      <c r="Q15" s="130"/>
      <c r="R15" s="130"/>
      <c r="S15" s="256"/>
    </row>
    <row r="16" spans="4:19" ht="13.5" thickBot="1" x14ac:dyDescent="0.25">
      <c r="D16" s="627" t="s">
        <v>16</v>
      </c>
      <c r="E16" s="628"/>
      <c r="F16" s="257">
        <f>SUM(J19:J32)</f>
        <v>0</v>
      </c>
      <c r="G16" s="257"/>
      <c r="H16" s="257"/>
      <c r="I16" s="9" t="s">
        <v>17</v>
      </c>
      <c r="J16" s="257">
        <f>SUM(K19:K32)</f>
        <v>0</v>
      </c>
      <c r="K16" s="257"/>
      <c r="L16" s="257"/>
      <c r="M16" s="257"/>
      <c r="N16" s="257"/>
      <c r="O16" s="9" t="s">
        <v>18</v>
      </c>
      <c r="P16" s="10" t="e">
        <f>+F16/J16</f>
        <v>#DIV/0!</v>
      </c>
      <c r="Q16" s="257"/>
      <c r="R16" s="257"/>
      <c r="S16" s="258"/>
    </row>
    <row r="17" spans="3:22" ht="7.5" customHeight="1" thickBot="1" x14ac:dyDescent="0.25"/>
    <row r="18" spans="3:22" ht="33" customHeight="1" thickBot="1" x14ac:dyDescent="0.25">
      <c r="C18" s="243" t="s">
        <v>19</v>
      </c>
      <c r="D18" s="33" t="s">
        <v>20</v>
      </c>
      <c r="E18" s="34" t="s">
        <v>21</v>
      </c>
      <c r="F18" s="34" t="s">
        <v>22</v>
      </c>
      <c r="G18" s="34" t="s">
        <v>23</v>
      </c>
      <c r="H18" s="34" t="s">
        <v>24</v>
      </c>
      <c r="I18" s="34" t="s">
        <v>25</v>
      </c>
      <c r="J18" s="34" t="s">
        <v>26</v>
      </c>
      <c r="K18" s="34" t="s">
        <v>27</v>
      </c>
      <c r="L18" s="34" t="s">
        <v>28</v>
      </c>
      <c r="M18" s="34" t="s">
        <v>285</v>
      </c>
      <c r="N18" s="34" t="s">
        <v>29</v>
      </c>
      <c r="O18" s="34" t="s">
        <v>30</v>
      </c>
      <c r="P18" s="33" t="s">
        <v>31</v>
      </c>
      <c r="Q18" s="34" t="s">
        <v>219</v>
      </c>
      <c r="R18" s="34" t="s">
        <v>184</v>
      </c>
      <c r="S18" s="34" t="s">
        <v>33</v>
      </c>
      <c r="T18" s="454" t="s">
        <v>220</v>
      </c>
      <c r="U18" s="11" t="s">
        <v>351</v>
      </c>
      <c r="V18" s="11" t="s">
        <v>355</v>
      </c>
    </row>
    <row r="19" spans="3:22" x14ac:dyDescent="0.2">
      <c r="C19" s="176"/>
      <c r="D19" s="42"/>
      <c r="E19" s="42"/>
      <c r="F19" s="42"/>
      <c r="G19" s="43"/>
      <c r="H19" s="236" t="b">
        <f>IF(G19=1,KILOMETRAJE!C$4,IF(G19=2,KILOMETRAJE!C$5,IF(G19=3,KILOMETRAJE!C$6,IF(G19=4,KILOMETRAJE!C$7,IF(G19=5,KILOMETRAJE!C$8,IF(G19=6,KILOMETRAJE!C$9,IF(G19=7,KILOMETRAJE!C$10,IF(G19=8,KILOMETRAJE!C$11,IF(G19=9,KILOMETRAJE!C$12,IF(G19=10,KILOMETRAJE!C$13,IF(G19=11,KILOMETRAJE!C$14,IF(G19=12,KILOMETRAJE!C$15,IF(G19=13,KILOMETRAJE!C$16,IF(G19=14,KILOMETRAJE!C$17,IF(G19=15,KILOMETRAJE!C$18,IF(G19=16,KILOMETRAJE!C$19,IF(G19=17,KILOMETRAJE!C$20,IF(G19=18,KILOMETRAJE!C$21,IF(G19=19,KILOMETRAJE!C$22,IF(G19=20,KILOMETRAJE!C$23,IF(G19=21,KILOMETRAJE!C$24,IF(G19=22,KILOMETRAJE!C$25,IF(G19=23,KILOMETRAJE!C$26,IF(G19=24,KILOMETRAJE!C$27,IF(G19=25,KILOMETRAJE!C$28,IF(G19=26,KILOMETRAJE!C$29,IF(G19=27,KILOMETRAJE!C$30,IF(G19=28,KILOMETRAJE!C$31,IF(G19=29,KILOMETRAJE!C$32,IF(G19=30,KILOMETRAJE!C$33,IF(G19=31,KILOMETRAJE!C$34,IF(G19=32,KILOMETRAJE!C$35,IF(G19=33,KILOMETRAJE!C$36,IF(G19=34,KILOMETRAJE!C$37,IF(G19=35,KILOMETRAJE!C$38,IF(G19=36,KILOMETRAJE!C$39,IF(G19=37,KILOMETRAJE!C$40,IF(G19=38,KILOMETRAJE!C$41,IF(G19=39,KILOMETRAJE!C$42,IF(G19=40,KILOMETRAJE!C$43,IF(G19=41,KILOMETRAJE!C$44,IF(G19=42,KILOMETRAJE!C$45,IF(G19=43,KILOMETRAJE!C$46,IF(G19=44,KILOMETRAJE!C$47,IF(G19=45,KILOMETRAJE!C$48,IF(G19=46,KILOMETRAJE!C$49,IF(G19=47,KILOMETRAJE!C$50,IF(G19=48,KILOMETRAJE!C$51,IF(G19=49,KILOMETRAJE!C$52,IF(G19=50,KILOMETRAJE!C$53,IF(G19=51,KILOMETRAJE!C$54,IF(G19=52,KILOMETRAJE!C$55,IF(G19=53,KILOMETRAJE!C$56,IF(G19=54,KILOMETRAJE!C$57,IF(G19=55,KILOMETRAJE!C$58,IF(G19=56,KILOMETRAJE!C$59,IF(G19=57,KILOMETRAJE!C$60,IF(G19=58,KILOMETRAJE!C$61,IF(G19=59,KILOMETRAJE!C$62,IF(G19=60,KILOMETRAJE!C$63,IF(G19=61,KILOMETRAJE!C$64,IF(G19=62,KILOMETRAJE!C$65,IF(G19=63,KILOMETRAJE!C$66)))))))))))))))))))))))))))))))))))))))))))))))))))))))))))))))</f>
        <v>0</v>
      </c>
      <c r="I19" s="236" t="b">
        <f>IF(G19=1,KILOMETRAJE!E$4,IF(G19=2,KILOMETRAJE!E$5,IF(G19=3,KILOMETRAJE!E$6,IF(G19=4,KILOMETRAJE!E$7,IF(G19=5,KILOMETRAJE!E$8,IF(G19=6,KILOMETRAJE!E$9,IF(G19=7,KILOMETRAJE!E$10,IF(G19=8,KILOMETRAJE!E$11,IF(G19=9,KILOMETRAJE!E$12,IF(G19=10,KILOMETRAJE!E$13,IF(G19=11,KILOMETRAJE!E$14,IF(G19=12,KILOMETRAJE!E$15,IF(G19=13,KILOMETRAJE!E$16,IF(G19=14,KILOMETRAJE!E$17,IF(G19=15,KILOMETRAJE!E$18,IF(G19=16,KILOMETRAJE!E$19,IF(G19=17,KILOMETRAJE!E$20,IF(G19=18,KILOMETRAJE!E$21,IF(G19=19,KILOMETRAJE!E$22,IF(G19=20,KILOMETRAJE!E$23,IF(G19=21,KILOMETRAJE!E$24,IF(G19=22,KILOMETRAJE!E$25,IF(G19=23,KILOMETRAJE!E$26,IF(G19=24,KILOMETRAJE!E$27,IF(G19=25,KILOMETRAJE!E$28,IF(G19=26,KILOMETRAJE!E$29,IF(G19=27,KILOMETRAJE!E$30,IF(G19=28,KILOMETRAJE!E$31,IF(G19=29,KILOMETRAJE!E$32,IF(G19=30,KILOMETRAJE!E$33,IF(G19=31,KILOMETRAJE!E$34,IF(G19=32,KILOMETRAJE!E$35,IF(G19=33,KILOMETRAJE!E$36,IF(G19=34,KILOMETRAJE!E$37,IF(G19=35,KILOMETRAJE!E$38,IF(G19=36,KILOMETRAJE!E$39,IF(G19=37,KILOMETRAJE!E$40,IF(G19=38,KILOMETRAJE!E$41,IF(G19=39,KILOMETRAJE!E$42,IF(G19=40,KILOMETRAJE!E$43,IF(G19=41,KILOMETRAJE!E$44,IF(G19=42,KILOMETRAJE!E$45,IF(G19=43,KILOMETRAJE!E$46,IF(G19=44,KILOMETRAJE!E$47,IF(G19=45,KILOMETRAJE!E$48,IF(G19=46,KILOMETRAJE!E$49,IF(G19=47,KILOMETRAJE!E$50,IF(G19=48,KILOMETRAJE!E$51,IF(G19=49,KILOMETRAJE!E$52,IF(G19=50,KILOMETRAJE!E$53,IF(G19=51,KILOMETRAJE!E$54,IF(G19=52,KILOMETRAJE!E$55,IF(G19=53,KILOMETRAJE!E$56,IF(G19=54,KILOMETRAJE!E$57,IF(G19=55,KILOMETRAJE!E$58,IF(G19=56,KILOMETRAJE!E$59,IF(G19=57,KILOMETRAJE!E$60,IF(G19=58,KILOMETRAJE!E$61,IF(G19=59,KILOMETRAJE!E$62,IF(G19=60,KILOMETRAJE!E$63,IF(G19=61,KILOMETRAJE!E$64,IF(G19=62,KILOMETRAJE!E$65,IF(G19=63,KILOMETRAJE!E$66)))))))))))))))))))))))))))))))))))))))))))))))))))))))))))))))</f>
        <v>0</v>
      </c>
      <c r="J19" s="237" t="b">
        <f>IF(G19=1,KILOMETRAJE!G$4,IF(G19=2,KILOMETRAJE!G$5,IF(G19=3,KILOMETRAJE!G$6,IF(G19=4,KILOMETRAJE!G$7,IF(G19=5,KILOMETRAJE!G$8,IF(G19=6,KILOMETRAJE!G$9,IF(G19=7,KILOMETRAJE!G$10,IF(G19=8,KILOMETRAJE!G$11,IF(G19=9,KILOMETRAJE!G$12,IF(G19=10,KILOMETRAJE!G$13,IF(G19=11,KILOMETRAJE!G$14,IF(G19=12,KILOMETRAJE!G$15,IF(G19=13,KILOMETRAJE!G$16,IF(G19=14,KILOMETRAJE!G$17,IF(G19=15,KILOMETRAJE!G$18,IF(G19=16,KILOMETRAJE!G$19,IF(G19=17,KILOMETRAJE!G$20,IF(G19=18,KILOMETRAJE!G$21,IF(G19=19,KILOMETRAJE!G$22,IF(G19=20,KILOMETRAJE!G$23,IF(G19=21,KILOMETRAJE!G$24,IF(G19=22,KILOMETRAJE!G$25,IF(G19=23,KILOMETRAJE!G$26,IF(G19=24,KILOMETRAJE!G$27,IF(G19=25,KILOMETRAJE!G$28,IF(G19=26,KILOMETRAJE!G$29,IF(G19=27,KILOMETRAJE!G$30,IF(G19=28,KILOMETRAJE!G$31,IF(G19=29,KILOMETRAJE!G$32,IF(G19=30,KILOMETRAJE!G$33,IF(G19=31,KILOMETRAJE!G$34,IF(G19=32,KILOMETRAJE!G$35,IF(G19=33,KILOMETRAJE!G$36,IF(G19=34,KILOMETRAJE!G$37,IF(G19=35,KILOMETRAJE!G$38,IF(G19=36,KILOMETRAJE!G$39,IF(G19=37,KILOMETRAJE!G$40,IF(G19=38,KILOMETRAJE!G$41,IF(G19=39,KILOMETRAJE!G$42,IF(G19=40,KILOMETRAJE!G$43,IF(G19=41,KILOMETRAJE!G$44,IF(G19=42,KILOMETRAJE!G$45,IF(G19=43,KILOMETRAJE!G$46,IF(G19=44,KILOMETRAJE!G$47,IF(G19=45,KILOMETRAJE!G$48,IF(G19=46,KILOMETRAJE!G$49,IF(G19=47,KILOMETRAJE!G$50,IF(G19=48,KILOMETRAJE!G$51,IF(G19=49,KILOMETRAJE!G$52,IF(G19=50,KILOMETRAJE!G$53,IF(G19=51,KILOMETRAJE!G$54,IF(G19=52,KILOMETRAJE!G$55,IF(G19=53,KILOMETRAJE!G$56,IF(G19=54,KILOMETRAJE!G$57,IF(G19=55,KILOMETRAJE!G$58,IF(G19=56,KILOMETRAJE!G$59,IF(G19=57,KILOMETRAJE!G$60,IF(G19=58,KILOMETRAJE!G$61,IF(G19=59,KILOMETRAJE!G$62,IF(G19=60,KILOMETRAJE!G$63,IF(G19=61,KILOMETRAJE!G$64,IF(G19=62,KILOMETRAJE!G$65,IF(G19=63,KILOMETRAJE!G$66)))))))))))))))))))))))))))))))))))))))))))))))))))))))))))))))</f>
        <v>0</v>
      </c>
      <c r="K19" s="24"/>
      <c r="L19" s="44"/>
      <c r="M19" s="348"/>
      <c r="N19" s="24"/>
      <c r="O19" s="343"/>
      <c r="P19" s="24"/>
      <c r="Q19" s="300">
        <f t="shared" ref="Q19:Q20" si="0">((((IF(N19=1,((J19)*0.29333)))+(IF(N19=2,((J19)*0.146666)))+(IF(N19=3,((J19)*0.146666)))))+(IF(N19=4,((J19-40)*0.29333)))+(IF(N19=5,((J19-50)*0.29333)))+(IF(N19=6,((J19-90)*0.29333))))</f>
        <v>0</v>
      </c>
      <c r="R19" s="191"/>
      <c r="S19" s="52"/>
      <c r="T19" s="455"/>
      <c r="U19" s="11"/>
      <c r="V19" s="11"/>
    </row>
    <row r="20" spans="3:22" ht="12.75" thickBot="1" x14ac:dyDescent="0.25">
      <c r="C20" s="239"/>
      <c r="D20" s="69"/>
      <c r="E20" s="69"/>
      <c r="F20" s="69"/>
      <c r="G20" s="68"/>
      <c r="H20" s="70"/>
      <c r="I20" s="70"/>
      <c r="J20" s="71"/>
      <c r="K20" s="70"/>
      <c r="L20" s="72" t="e">
        <f>SUM(J19:J20)/K20</f>
        <v>#DIV/0!</v>
      </c>
      <c r="M20" s="370"/>
      <c r="N20" s="70"/>
      <c r="O20" s="487"/>
      <c r="P20" s="70"/>
      <c r="Q20" s="488">
        <f t="shared" si="0"/>
        <v>0</v>
      </c>
      <c r="R20" s="197" t="e">
        <f>+LOOKUP(P40,UNIDADES!B$3:B$59,UNIDADES!C$3:C$59)</f>
        <v>#N/A</v>
      </c>
      <c r="S20" s="194" t="e">
        <f>+((SUM(J19:J20))/R20)-K20</f>
        <v>#N/A</v>
      </c>
      <c r="T20" s="461" t="e">
        <f>+S20*14.85</f>
        <v>#N/A</v>
      </c>
      <c r="U20" s="70"/>
      <c r="V20" s="70"/>
    </row>
    <row r="21" spans="3:22" x14ac:dyDescent="0.2">
      <c r="C21" s="176"/>
      <c r="D21" s="43"/>
      <c r="E21" s="42"/>
      <c r="F21" s="42"/>
      <c r="G21" s="43"/>
      <c r="H21" s="236"/>
      <c r="I21" s="236"/>
      <c r="J21" s="237"/>
      <c r="K21" s="24"/>
      <c r="L21" s="44"/>
      <c r="M21" s="348"/>
      <c r="N21" s="24"/>
      <c r="O21" s="343"/>
      <c r="P21" s="24"/>
      <c r="Q21" s="300"/>
      <c r="R21" s="191"/>
      <c r="S21" s="52"/>
      <c r="T21" s="455"/>
      <c r="U21" s="24"/>
      <c r="V21" s="79"/>
    </row>
    <row r="22" spans="3:22" ht="12.75" thickBot="1" x14ac:dyDescent="0.25">
      <c r="C22" s="101"/>
      <c r="D22" s="25"/>
      <c r="E22" s="25"/>
      <c r="F22" s="25"/>
      <c r="G22" s="62"/>
      <c r="H22" s="27"/>
      <c r="I22" s="27"/>
      <c r="J22" s="31"/>
      <c r="K22" s="27"/>
      <c r="L22" s="28"/>
      <c r="M22" s="349"/>
      <c r="N22" s="27"/>
      <c r="O22" s="429"/>
      <c r="P22" s="27"/>
      <c r="Q22" s="301"/>
      <c r="R22" s="190"/>
      <c r="S22" s="19"/>
      <c r="T22" s="456"/>
      <c r="U22" s="27"/>
      <c r="V22" s="55"/>
    </row>
    <row r="23" spans="3:22" x14ac:dyDescent="0.2">
      <c r="C23" s="238"/>
      <c r="D23" s="36"/>
      <c r="E23" s="37"/>
      <c r="F23" s="37"/>
      <c r="G23" s="36"/>
      <c r="H23" s="259"/>
      <c r="I23" s="259"/>
      <c r="J23" s="260"/>
      <c r="K23" s="38"/>
      <c r="L23" s="48"/>
      <c r="M23" s="350"/>
      <c r="N23" s="38"/>
      <c r="O23" s="351"/>
      <c r="P23" s="38"/>
      <c r="Q23" s="489"/>
      <c r="R23" s="192"/>
      <c r="S23" s="186"/>
      <c r="T23" s="458"/>
      <c r="U23" s="38"/>
      <c r="V23" s="38"/>
    </row>
    <row r="24" spans="3:22" ht="12.75" thickBot="1" x14ac:dyDescent="0.25">
      <c r="C24" s="101"/>
      <c r="D24" s="62"/>
      <c r="E24" s="25"/>
      <c r="F24" s="25"/>
      <c r="G24" s="62"/>
      <c r="H24" s="27"/>
      <c r="I24" s="27"/>
      <c r="J24" s="31"/>
      <c r="K24" s="27"/>
      <c r="L24" s="28"/>
      <c r="M24" s="349"/>
      <c r="N24" s="27"/>
      <c r="O24" s="429"/>
      <c r="P24" s="27"/>
      <c r="Q24" s="301"/>
      <c r="R24" s="190"/>
      <c r="S24" s="19"/>
      <c r="T24" s="456"/>
      <c r="U24" s="11"/>
      <c r="V24" s="11"/>
    </row>
    <row r="25" spans="3:22" x14ac:dyDescent="0.2">
      <c r="C25" s="176"/>
      <c r="D25" s="43"/>
      <c r="E25" s="42"/>
      <c r="F25" s="42"/>
      <c r="G25" s="43"/>
      <c r="H25" s="236"/>
      <c r="I25" s="236"/>
      <c r="J25" s="237"/>
      <c r="K25" s="24"/>
      <c r="L25" s="44"/>
      <c r="M25" s="348"/>
      <c r="N25" s="24"/>
      <c r="O25" s="343"/>
      <c r="P25" s="24"/>
      <c r="Q25" s="300"/>
      <c r="R25" s="191"/>
      <c r="S25" s="52"/>
      <c r="T25" s="455"/>
      <c r="U25" s="11"/>
      <c r="V25" s="11"/>
    </row>
    <row r="26" spans="3:22" ht="12.75" thickBot="1" x14ac:dyDescent="0.25">
      <c r="C26" s="101"/>
      <c r="D26" s="62"/>
      <c r="E26" s="25"/>
      <c r="F26" s="25"/>
      <c r="G26" s="62"/>
      <c r="H26" s="27"/>
      <c r="I26" s="27"/>
      <c r="J26" s="31"/>
      <c r="K26" s="27"/>
      <c r="L26" s="28"/>
      <c r="M26" s="349"/>
      <c r="N26" s="27"/>
      <c r="O26" s="429"/>
      <c r="P26" s="27"/>
      <c r="Q26" s="301"/>
      <c r="R26" s="190"/>
      <c r="S26" s="19"/>
      <c r="T26" s="456"/>
      <c r="U26" s="11"/>
      <c r="V26" s="11"/>
    </row>
    <row r="27" spans="3:22" x14ac:dyDescent="0.2">
      <c r="C27" s="176"/>
      <c r="D27" s="43"/>
      <c r="E27" s="42"/>
      <c r="F27" s="42"/>
      <c r="G27" s="43"/>
      <c r="H27" s="236"/>
      <c r="I27" s="236"/>
      <c r="J27" s="237"/>
      <c r="K27" s="24"/>
      <c r="L27" s="44"/>
      <c r="M27" s="348"/>
      <c r="N27" s="24"/>
      <c r="O27" s="24"/>
      <c r="P27" s="24"/>
      <c r="Q27" s="45"/>
      <c r="R27" s="191"/>
      <c r="S27" s="52"/>
      <c r="T27" s="455"/>
      <c r="U27" s="11"/>
      <c r="V27" s="11"/>
    </row>
    <row r="28" spans="3:22" ht="12.75" thickBot="1" x14ac:dyDescent="0.25">
      <c r="C28" s="101"/>
      <c r="D28" s="62"/>
      <c r="E28" s="25"/>
      <c r="F28" s="25"/>
      <c r="G28" s="62"/>
      <c r="H28" s="241"/>
      <c r="I28" s="241"/>
      <c r="J28" s="242"/>
      <c r="K28" s="27"/>
      <c r="L28" s="28"/>
      <c r="M28" s="349"/>
      <c r="N28" s="27"/>
      <c r="O28" s="27"/>
      <c r="P28" s="27"/>
      <c r="Q28" s="29"/>
      <c r="R28" s="190"/>
      <c r="S28" s="19"/>
      <c r="T28" s="456"/>
      <c r="U28" s="11"/>
      <c r="V28" s="11"/>
    </row>
    <row r="29" spans="3:22" x14ac:dyDescent="0.2">
      <c r="C29" s="176"/>
      <c r="D29" s="43"/>
      <c r="E29" s="42"/>
      <c r="F29" s="42"/>
      <c r="G29" s="43"/>
      <c r="H29" s="236"/>
      <c r="I29" s="236"/>
      <c r="J29" s="237"/>
      <c r="K29" s="24"/>
      <c r="L29" s="44"/>
      <c r="M29" s="44"/>
      <c r="N29" s="24"/>
      <c r="O29" s="24"/>
      <c r="P29" s="24"/>
      <c r="Q29" s="45"/>
      <c r="R29" s="191"/>
      <c r="S29" s="52"/>
      <c r="T29" s="455"/>
      <c r="U29" s="11"/>
      <c r="V29" s="11"/>
    </row>
    <row r="30" spans="3:22" ht="12.75" thickBot="1" x14ac:dyDescent="0.25">
      <c r="C30" s="261"/>
      <c r="D30" s="96"/>
      <c r="E30" s="97"/>
      <c r="F30" s="97"/>
      <c r="G30" s="96"/>
      <c r="H30" s="262"/>
      <c r="I30" s="262"/>
      <c r="J30" s="263"/>
      <c r="K30" s="98"/>
      <c r="L30" s="100"/>
      <c r="M30" s="100"/>
      <c r="N30" s="98"/>
      <c r="O30" s="98"/>
      <c r="P30" s="98"/>
      <c r="Q30" s="93"/>
      <c r="R30" s="233"/>
      <c r="S30" s="196"/>
      <c r="T30" s="469"/>
      <c r="U30" s="11"/>
      <c r="V30" s="11"/>
    </row>
    <row r="31" spans="3:22" x14ac:dyDescent="0.2">
      <c r="C31" s="176"/>
      <c r="D31" s="43"/>
      <c r="E31" s="42"/>
      <c r="F31" s="42"/>
      <c r="G31" s="43"/>
      <c r="H31" s="236"/>
      <c r="I31" s="236"/>
      <c r="J31" s="237"/>
      <c r="K31" s="24"/>
      <c r="L31" s="44"/>
      <c r="M31" s="44"/>
      <c r="N31" s="24"/>
      <c r="O31" s="24"/>
      <c r="P31" s="24"/>
      <c r="Q31" s="45"/>
      <c r="R31" s="191"/>
      <c r="S31" s="52"/>
      <c r="T31" s="455"/>
      <c r="U31" s="11"/>
      <c r="V31" s="11"/>
    </row>
    <row r="32" spans="3:22" ht="12.75" thickBot="1" x14ac:dyDescent="0.25">
      <c r="C32" s="101"/>
      <c r="D32" s="62"/>
      <c r="E32" s="25"/>
      <c r="F32" s="25"/>
      <c r="G32" s="62"/>
      <c r="H32" s="27"/>
      <c r="I32" s="27"/>
      <c r="J32" s="31"/>
      <c r="K32" s="27"/>
      <c r="L32" s="28"/>
      <c r="M32" s="28"/>
      <c r="N32" s="27"/>
      <c r="O32" s="27"/>
      <c r="P32" s="27"/>
      <c r="Q32" s="29"/>
      <c r="R32" s="190"/>
      <c r="S32" s="19"/>
      <c r="T32" s="456"/>
      <c r="U32" s="11"/>
      <c r="V32" s="11"/>
    </row>
    <row r="33" spans="3:25" ht="12.75" thickBot="1" x14ac:dyDescent="0.25">
      <c r="I33" s="15"/>
      <c r="R33" s="193"/>
      <c r="S33" s="15"/>
      <c r="U33" s="481"/>
      <c r="V33" s="481"/>
    </row>
    <row r="34" spans="3:25" ht="12.75" x14ac:dyDescent="0.2">
      <c r="E34" s="629" t="s">
        <v>34</v>
      </c>
      <c r="F34" s="646">
        <f>+'AGUILAR ESQUIVEL CARLOS'!F34</f>
        <v>45957</v>
      </c>
      <c r="G34" s="647"/>
      <c r="H34" s="16">
        <f>+F34+1</f>
        <v>45958</v>
      </c>
      <c r="I34" s="16">
        <f>+H34+1</f>
        <v>45959</v>
      </c>
      <c r="J34" s="16">
        <f>+I34+1</f>
        <v>45960</v>
      </c>
      <c r="K34" s="16">
        <f>+J34+1</f>
        <v>45961</v>
      </c>
      <c r="L34" s="16">
        <f>+K34+2</f>
        <v>45963</v>
      </c>
      <c r="M34" s="17" t="s">
        <v>35</v>
      </c>
      <c r="Y34"/>
    </row>
    <row r="35" spans="3:25" ht="12.75" thickBot="1" x14ac:dyDescent="0.25">
      <c r="E35" s="630"/>
      <c r="F35" s="648"/>
      <c r="G35" s="649"/>
      <c r="H35" s="29"/>
      <c r="I35" s="29"/>
      <c r="J35" s="29"/>
      <c r="K35" s="29"/>
      <c r="L35" s="29"/>
      <c r="M35" s="30">
        <f>SUM(F35:L35)</f>
        <v>0</v>
      </c>
    </row>
    <row r="36" spans="3:25" ht="12.75" thickBot="1" x14ac:dyDescent="0.25">
      <c r="I36" s="15" t="s">
        <v>181</v>
      </c>
    </row>
    <row r="37" spans="3:25" ht="13.5" thickBot="1" x14ac:dyDescent="0.25">
      <c r="C37" s="608" t="s">
        <v>36</v>
      </c>
      <c r="D37" s="609"/>
      <c r="E37" s="609"/>
      <c r="F37" s="609"/>
      <c r="G37" s="610"/>
      <c r="I37" s="620" t="s">
        <v>37</v>
      </c>
      <c r="J37" s="621"/>
      <c r="K37" s="621"/>
      <c r="L37" s="622"/>
      <c r="M37" s="298"/>
      <c r="O37" s="611" t="s">
        <v>38</v>
      </c>
      <c r="P37" s="612"/>
      <c r="Q37" s="613" t="e">
        <f>+F49-L46</f>
        <v>#N/A</v>
      </c>
      <c r="R37" s="614"/>
      <c r="S37" s="615"/>
    </row>
    <row r="38" spans="3:25" ht="12.75" thickBot="1" x14ac:dyDescent="0.25">
      <c r="C38" s="616" t="s">
        <v>219</v>
      </c>
      <c r="D38" s="617"/>
      <c r="E38" s="617"/>
      <c r="F38" s="618">
        <f>SUM(Q18:Q33)</f>
        <v>0</v>
      </c>
      <c r="G38" s="619"/>
      <c r="I38" s="114" t="s">
        <v>125</v>
      </c>
      <c r="J38" s="68" t="s">
        <v>126</v>
      </c>
      <c r="K38" s="68" t="s">
        <v>70</v>
      </c>
      <c r="L38" s="115" t="s">
        <v>127</v>
      </c>
      <c r="M38" s="346"/>
      <c r="U38" s="245"/>
      <c r="V38" s="245"/>
    </row>
    <row r="39" spans="3:25" ht="13.5" customHeight="1" thickBot="1" x14ac:dyDescent="0.25">
      <c r="C39" s="602" t="s">
        <v>220</v>
      </c>
      <c r="D39" s="603"/>
      <c r="E39" s="603"/>
      <c r="F39" s="604" t="e">
        <f>SUM(T18:T33)</f>
        <v>#N/A</v>
      </c>
      <c r="G39" s="605"/>
      <c r="I39" s="328"/>
      <c r="J39" s="329"/>
      <c r="K39" s="418"/>
      <c r="L39" s="409"/>
      <c r="M39" s="346"/>
      <c r="O39" s="74" t="s">
        <v>70</v>
      </c>
      <c r="P39" s="75" t="s">
        <v>71</v>
      </c>
      <c r="Q39" s="76" t="s">
        <v>72</v>
      </c>
      <c r="R39" s="64"/>
      <c r="S39" s="77" t="s">
        <v>73</v>
      </c>
      <c r="T39" s="75" t="s">
        <v>74</v>
      </c>
      <c r="U39" s="74" t="s">
        <v>145</v>
      </c>
      <c r="V39" s="75" t="s">
        <v>146</v>
      </c>
      <c r="W39" s="75" t="s">
        <v>284</v>
      </c>
    </row>
    <row r="40" spans="3:25" x14ac:dyDescent="0.2">
      <c r="C40" s="602" t="s">
        <v>34</v>
      </c>
      <c r="D40" s="603"/>
      <c r="E40" s="603"/>
      <c r="F40" s="604">
        <f>+M35</f>
        <v>0</v>
      </c>
      <c r="G40" s="605"/>
      <c r="I40" s="94"/>
      <c r="J40" s="117"/>
      <c r="K40" s="415"/>
      <c r="L40" s="407"/>
      <c r="M40" s="346"/>
      <c r="O40" s="78"/>
      <c r="P40" s="79"/>
      <c r="Q40" s="78"/>
      <c r="R40" s="80"/>
      <c r="S40" s="24"/>
      <c r="T40" s="79">
        <f>+S40-Q40</f>
        <v>0</v>
      </c>
      <c r="U40" s="137">
        <f>SUM(J19:J20)</f>
        <v>0</v>
      </c>
      <c r="V40" s="79">
        <f>+K20</f>
        <v>0</v>
      </c>
      <c r="W40" s="353">
        <f>(SUM(M19:M20)/2)</f>
        <v>0</v>
      </c>
    </row>
    <row r="41" spans="3:25" x14ac:dyDescent="0.2">
      <c r="C41" s="602" t="s">
        <v>186</v>
      </c>
      <c r="D41" s="603"/>
      <c r="E41" s="603"/>
      <c r="F41" s="604">
        <v>0</v>
      </c>
      <c r="G41" s="605"/>
      <c r="I41" s="94"/>
      <c r="J41" s="117"/>
      <c r="K41" s="415"/>
      <c r="L41" s="407"/>
      <c r="M41" s="346"/>
      <c r="O41" s="316"/>
      <c r="P41" s="311"/>
      <c r="Q41" s="317"/>
      <c r="R41" s="317"/>
      <c r="S41" s="38"/>
      <c r="T41" s="311">
        <f t="shared" ref="T41" si="1">+S41-Q41</f>
        <v>0</v>
      </c>
      <c r="U41" s="136">
        <f>SUM(J21:J22)</f>
        <v>0</v>
      </c>
      <c r="V41" s="53">
        <f>+K22</f>
        <v>0</v>
      </c>
      <c r="W41" s="354">
        <f>(SUM(M21:M22)/2)</f>
        <v>0</v>
      </c>
    </row>
    <row r="42" spans="3:25" x14ac:dyDescent="0.2">
      <c r="C42" s="602" t="s">
        <v>39</v>
      </c>
      <c r="D42" s="603"/>
      <c r="E42" s="603"/>
      <c r="F42" s="604"/>
      <c r="G42" s="605"/>
      <c r="I42" s="94"/>
      <c r="J42" s="117"/>
      <c r="K42" s="415"/>
      <c r="L42" s="407"/>
      <c r="M42" s="346"/>
      <c r="O42" s="32"/>
      <c r="P42" s="53"/>
      <c r="Q42" s="63"/>
      <c r="R42" s="63"/>
      <c r="S42" s="11"/>
      <c r="T42" s="53">
        <f t="shared" ref="T42:T45" si="2">+S42-Q42</f>
        <v>0</v>
      </c>
      <c r="U42" s="136">
        <f>SUM(J23:J24)</f>
        <v>0</v>
      </c>
      <c r="V42" s="53">
        <f>+K24</f>
        <v>0</v>
      </c>
      <c r="W42" s="354">
        <f>(SUM(M23:M24)/2)</f>
        <v>0</v>
      </c>
    </row>
    <row r="43" spans="3:25" x14ac:dyDescent="0.2">
      <c r="C43" s="602" t="s">
        <v>116</v>
      </c>
      <c r="D43" s="603"/>
      <c r="E43" s="603"/>
      <c r="F43" s="604"/>
      <c r="G43" s="605"/>
      <c r="I43" s="94"/>
      <c r="J43" s="117"/>
      <c r="K43" s="415"/>
      <c r="L43" s="407"/>
      <c r="M43" s="346"/>
      <c r="O43" s="32"/>
      <c r="P43" s="53"/>
      <c r="Q43" s="63"/>
      <c r="R43" s="63"/>
      <c r="S43" s="11"/>
      <c r="T43" s="53">
        <f t="shared" si="2"/>
        <v>0</v>
      </c>
      <c r="U43" s="136">
        <f>SUM(J25:J26)</f>
        <v>0</v>
      </c>
      <c r="V43" s="53">
        <f>+K26</f>
        <v>0</v>
      </c>
      <c r="W43" s="354">
        <f>(SUM(M25:M26)/2)</f>
        <v>0</v>
      </c>
    </row>
    <row r="44" spans="3:25" x14ac:dyDescent="0.2">
      <c r="C44" s="602" t="s">
        <v>40</v>
      </c>
      <c r="D44" s="603"/>
      <c r="E44" s="603"/>
      <c r="F44" s="604"/>
      <c r="G44" s="605"/>
      <c r="I44" s="94"/>
      <c r="J44" s="117"/>
      <c r="K44" s="415"/>
      <c r="L44" s="407"/>
      <c r="M44" s="346"/>
      <c r="O44" s="32"/>
      <c r="P44" s="53"/>
      <c r="Q44" s="63"/>
      <c r="R44" s="95"/>
      <c r="S44" s="11"/>
      <c r="T44" s="53">
        <f t="shared" si="2"/>
        <v>0</v>
      </c>
      <c r="U44" s="136">
        <f>SUM(J27:J28)</f>
        <v>0</v>
      </c>
      <c r="V44" s="53">
        <f>+K28</f>
        <v>0</v>
      </c>
      <c r="W44" s="354">
        <f>(SUM(M27:M28)/2)</f>
        <v>0</v>
      </c>
    </row>
    <row r="45" spans="3:25" ht="12.75" thickBot="1" x14ac:dyDescent="0.25">
      <c r="C45" s="602" t="s">
        <v>124</v>
      </c>
      <c r="D45" s="603"/>
      <c r="E45" s="603"/>
      <c r="F45" s="604">
        <v>0</v>
      </c>
      <c r="G45" s="605"/>
      <c r="I45" s="282"/>
      <c r="J45" s="285"/>
      <c r="K45" s="417"/>
      <c r="L45" s="410"/>
      <c r="M45" s="346"/>
      <c r="O45" s="32"/>
      <c r="P45" s="53"/>
      <c r="Q45" s="63"/>
      <c r="R45" s="95"/>
      <c r="S45" s="11"/>
      <c r="T45" s="53">
        <f t="shared" si="2"/>
        <v>0</v>
      </c>
      <c r="U45" s="136">
        <f>SUM(J29:J30)</f>
        <v>0</v>
      </c>
      <c r="V45" s="53">
        <f>+K30</f>
        <v>0</v>
      </c>
      <c r="W45" s="354">
        <f>(SUM(M29:M30)/2)</f>
        <v>0</v>
      </c>
    </row>
    <row r="46" spans="3:25" ht="13.5" customHeight="1" thickBot="1" x14ac:dyDescent="0.25">
      <c r="C46" s="602" t="s">
        <v>323</v>
      </c>
      <c r="D46" s="603"/>
      <c r="E46" s="603"/>
      <c r="F46" s="606"/>
      <c r="G46" s="607"/>
      <c r="I46" s="597" t="s">
        <v>41</v>
      </c>
      <c r="J46" s="598"/>
      <c r="K46" s="632"/>
      <c r="L46" s="284">
        <f>SUM(L39:L45)</f>
        <v>0</v>
      </c>
      <c r="M46" s="347"/>
      <c r="O46" s="113"/>
      <c r="P46" s="264"/>
      <c r="Q46" s="265"/>
      <c r="R46" s="83"/>
      <c r="S46" s="81"/>
      <c r="T46" s="82">
        <f>+S46-Q46</f>
        <v>0</v>
      </c>
      <c r="U46" s="138">
        <f>SUM(J31:J32)</f>
        <v>0</v>
      </c>
      <c r="V46" s="55">
        <f>+K32</f>
        <v>0</v>
      </c>
      <c r="W46" s="355">
        <f>(SUM(M31:M32)/2)</f>
        <v>0</v>
      </c>
    </row>
    <row r="47" spans="3:25" ht="13.5" customHeight="1" x14ac:dyDescent="0.2">
      <c r="C47" s="602" t="s">
        <v>321</v>
      </c>
      <c r="D47" s="603"/>
      <c r="E47" s="603"/>
      <c r="F47" s="606"/>
      <c r="G47" s="607"/>
      <c r="R47" s="21"/>
      <c r="S47" s="21"/>
      <c r="T47" s="21"/>
      <c r="U47" s="139"/>
      <c r="V47" s="271"/>
    </row>
    <row r="48" spans="3:25" ht="13.5" customHeight="1" thickBot="1" x14ac:dyDescent="0.25">
      <c r="C48" s="593" t="s">
        <v>341</v>
      </c>
      <c r="D48" s="594"/>
      <c r="E48" s="594"/>
      <c r="F48" s="595"/>
      <c r="G48" s="596"/>
      <c r="R48" s="21"/>
      <c r="S48" s="21"/>
      <c r="T48" s="21"/>
      <c r="U48" s="139"/>
      <c r="V48" s="271"/>
    </row>
    <row r="49" spans="3:22" ht="13.5" thickBot="1" x14ac:dyDescent="0.25">
      <c r="C49" s="597" t="s">
        <v>42</v>
      </c>
      <c r="D49" s="598"/>
      <c r="E49" s="599"/>
      <c r="F49" s="600" t="e">
        <f>SUM(F38:G48)</f>
        <v>#N/A</v>
      </c>
      <c r="G49" s="601"/>
      <c r="R49" s="21"/>
      <c r="S49" s="21"/>
      <c r="T49" s="21"/>
      <c r="U49" s="139"/>
      <c r="V49" s="271"/>
    </row>
    <row r="50" spans="3:22" ht="13.5" customHeight="1" thickBot="1" x14ac:dyDescent="0.25">
      <c r="P50" s="588" t="s">
        <v>48</v>
      </c>
      <c r="Q50" s="589"/>
      <c r="R50" s="590"/>
      <c r="S50" s="21"/>
      <c r="T50" s="21"/>
      <c r="U50" s="139"/>
      <c r="V50" s="271"/>
    </row>
    <row r="51" spans="3:22" ht="12.75" customHeight="1" x14ac:dyDescent="0.2">
      <c r="C51" s="246" t="s">
        <v>43</v>
      </c>
      <c r="D51" s="669"/>
      <c r="E51" s="669"/>
      <c r="F51" s="669"/>
      <c r="G51" s="669"/>
      <c r="H51" s="669"/>
      <c r="I51" s="669"/>
      <c r="J51" s="669"/>
      <c r="K51" s="669"/>
      <c r="L51" s="670"/>
      <c r="M51" s="365"/>
      <c r="P51" s="78">
        <v>1</v>
      </c>
      <c r="Q51" s="584" t="s">
        <v>49</v>
      </c>
      <c r="R51" s="585"/>
      <c r="S51" s="21"/>
      <c r="T51" s="21"/>
      <c r="U51" s="249"/>
    </row>
    <row r="52" spans="3:22" ht="12.75" customHeight="1" x14ac:dyDescent="0.2">
      <c r="C52" s="250"/>
      <c r="D52" s="671"/>
      <c r="E52" s="671"/>
      <c r="F52" s="671"/>
      <c r="G52" s="671"/>
      <c r="H52" s="671"/>
      <c r="I52" s="671"/>
      <c r="J52" s="671"/>
      <c r="K52" s="671"/>
      <c r="L52" s="672"/>
      <c r="M52" s="365"/>
      <c r="P52" s="32">
        <v>2</v>
      </c>
      <c r="Q52" s="586" t="s">
        <v>135</v>
      </c>
      <c r="R52" s="587"/>
      <c r="S52" s="21"/>
      <c r="T52" s="249"/>
    </row>
    <row r="53" spans="3:22" ht="13.5" customHeight="1" thickBot="1" x14ac:dyDescent="0.25">
      <c r="C53" s="253"/>
      <c r="D53" s="673"/>
      <c r="E53" s="673"/>
      <c r="F53" s="673"/>
      <c r="G53" s="673"/>
      <c r="H53" s="673"/>
      <c r="I53" s="673"/>
      <c r="J53" s="673"/>
      <c r="K53" s="673"/>
      <c r="L53" s="674"/>
      <c r="M53" s="365"/>
      <c r="P53" s="32">
        <v>3</v>
      </c>
      <c r="Q53" s="586" t="s">
        <v>130</v>
      </c>
      <c r="R53" s="587"/>
      <c r="S53" s="21"/>
      <c r="T53" s="249"/>
    </row>
    <row r="54" spans="3:22" x14ac:dyDescent="0.2">
      <c r="P54" s="32">
        <v>4</v>
      </c>
      <c r="Q54" s="586" t="s">
        <v>228</v>
      </c>
      <c r="R54" s="587"/>
      <c r="S54" s="21"/>
      <c r="T54" s="249"/>
    </row>
    <row r="55" spans="3:22" ht="12.75" thickBot="1" x14ac:dyDescent="0.25">
      <c r="P55" s="32">
        <v>5</v>
      </c>
      <c r="Q55" s="586" t="s">
        <v>229</v>
      </c>
      <c r="R55" s="587"/>
      <c r="S55" s="21"/>
    </row>
    <row r="56" spans="3:22" ht="14.25" customHeight="1" thickTop="1" thickBot="1" x14ac:dyDescent="0.25">
      <c r="D56" s="631" t="s">
        <v>44</v>
      </c>
      <c r="E56" s="631"/>
      <c r="F56" s="631"/>
      <c r="G56" s="631"/>
      <c r="H56" s="631"/>
      <c r="J56" s="631" t="s">
        <v>45</v>
      </c>
      <c r="K56" s="631"/>
      <c r="L56" s="631"/>
      <c r="M56" s="631"/>
      <c r="N56" s="631"/>
      <c r="P56" s="54">
        <v>6</v>
      </c>
      <c r="Q56" s="591" t="s">
        <v>230</v>
      </c>
      <c r="R56" s="592"/>
      <c r="S56" s="21"/>
      <c r="T56" s="21"/>
    </row>
    <row r="57" spans="3:22" x14ac:dyDescent="0.2">
      <c r="S57" s="21"/>
      <c r="T57" s="21"/>
    </row>
    <row r="58" spans="3:22" x14ac:dyDescent="0.2">
      <c r="P58" s="21"/>
      <c r="Q58" s="21"/>
      <c r="R58" s="21"/>
      <c r="S58" s="21"/>
      <c r="T58" s="21"/>
    </row>
  </sheetData>
  <mergeCells count="57">
    <mergeCell ref="D56:H56"/>
    <mergeCell ref="J56:N56"/>
    <mergeCell ref="I46:K46"/>
    <mergeCell ref="C46:E46"/>
    <mergeCell ref="F46:G46"/>
    <mergeCell ref="C47:E47"/>
    <mergeCell ref="F47:G47"/>
    <mergeCell ref="P50:R50"/>
    <mergeCell ref="Q51:R51"/>
    <mergeCell ref="Q52:R52"/>
    <mergeCell ref="C45:E45"/>
    <mergeCell ref="F45:G45"/>
    <mergeCell ref="C48:E48"/>
    <mergeCell ref="F48:G48"/>
    <mergeCell ref="C49:E49"/>
    <mergeCell ref="F49:G49"/>
    <mergeCell ref="D51:L53"/>
    <mergeCell ref="Q53:R53"/>
    <mergeCell ref="C44:E44"/>
    <mergeCell ref="C43:E43"/>
    <mergeCell ref="I37:L37"/>
    <mergeCell ref="C37:G37"/>
    <mergeCell ref="C39:E39"/>
    <mergeCell ref="F39:G39"/>
    <mergeCell ref="C40:E40"/>
    <mergeCell ref="F40:G40"/>
    <mergeCell ref="C42:E42"/>
    <mergeCell ref="F42:G42"/>
    <mergeCell ref="F43:G43"/>
    <mergeCell ref="F44:G44"/>
    <mergeCell ref="I6:O6"/>
    <mergeCell ref="Q6:S6"/>
    <mergeCell ref="I9:O9"/>
    <mergeCell ref="L11:S11"/>
    <mergeCell ref="E12:F12"/>
    <mergeCell ref="Q2:S2"/>
    <mergeCell ref="I3:O3"/>
    <mergeCell ref="Q3:S3"/>
    <mergeCell ref="I4:O4"/>
    <mergeCell ref="I5:O5"/>
    <mergeCell ref="Q5:S5"/>
    <mergeCell ref="Q54:R54"/>
    <mergeCell ref="Q55:R55"/>
    <mergeCell ref="Q56:R56"/>
    <mergeCell ref="D13:E13"/>
    <mergeCell ref="O37:P37"/>
    <mergeCell ref="Q37:S37"/>
    <mergeCell ref="C38:E38"/>
    <mergeCell ref="F38:G38"/>
    <mergeCell ref="D14:E14"/>
    <mergeCell ref="D15:E15"/>
    <mergeCell ref="D16:E16"/>
    <mergeCell ref="E34:E35"/>
    <mergeCell ref="F34:G34"/>
    <mergeCell ref="F35:G35"/>
    <mergeCell ref="C41:E41"/>
    <mergeCell ref="F41:G41"/>
  </mergeCells>
  <pageMargins left="0.19685039370078741" right="0.19685039370078741" top="0.35433070866141736" bottom="0.35433070866141736" header="0.31496062992125984" footer="0.31496062992125984"/>
  <pageSetup paperSize="9" scale="71" orientation="landscape" horizontalDpi="300" verticalDpi="300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Hoja16">
    <pageSetUpPr fitToPage="1"/>
  </sheetPr>
  <dimension ref="C1:W57"/>
  <sheetViews>
    <sheetView topLeftCell="A8" zoomScaleNormal="100" workbookViewId="0">
      <selection activeCell="W37" sqref="W37"/>
    </sheetView>
  </sheetViews>
  <sheetFormatPr baseColWidth="10" defaultColWidth="9.140625" defaultRowHeight="12" x14ac:dyDescent="0.2"/>
  <cols>
    <col min="1" max="1" width="2.5703125" style="14" customWidth="1"/>
    <col min="2" max="2" width="3" style="14" customWidth="1"/>
    <col min="3" max="3" width="13.42578125" style="14" customWidth="1"/>
    <col min="4" max="4" width="12.140625" style="14" bestFit="1" customWidth="1"/>
    <col min="5" max="5" width="7.85546875" style="14" customWidth="1"/>
    <col min="6" max="6" width="8.85546875" style="14" customWidth="1"/>
    <col min="7" max="7" width="4" style="14" bestFit="1" customWidth="1"/>
    <col min="8" max="8" width="10.42578125" style="14" customWidth="1"/>
    <col min="9" max="9" width="12" style="14" customWidth="1"/>
    <col min="10" max="10" width="10" style="14" customWidth="1"/>
    <col min="11" max="11" width="10.42578125" style="14" customWidth="1"/>
    <col min="12" max="13" width="12.85546875" style="14" customWidth="1"/>
    <col min="14" max="14" width="9.85546875" style="14" customWidth="1"/>
    <col min="15" max="15" width="10.5703125" style="14" customWidth="1"/>
    <col min="16" max="16" width="16" style="14" customWidth="1"/>
    <col min="17" max="17" width="10.42578125" style="14" customWidth="1"/>
    <col min="18" max="18" width="10" style="14" hidden="1" customWidth="1"/>
    <col min="19" max="19" width="10.85546875" style="14" customWidth="1"/>
    <col min="20" max="20" width="11.5703125" style="14" bestFit="1" customWidth="1"/>
    <col min="21" max="21" width="10.28515625" style="14" customWidth="1"/>
    <col min="22" max="22" width="9.7109375" style="14" customWidth="1"/>
    <col min="23" max="23" width="11.42578125" style="14" customWidth="1"/>
    <col min="24" max="24" width="9.140625" style="14" customWidth="1"/>
    <col min="25" max="259" width="9.140625" style="14"/>
    <col min="260" max="260" width="5.7109375" style="14" customWidth="1"/>
    <col min="261" max="261" width="13.140625" style="14" customWidth="1"/>
    <col min="262" max="262" width="12.28515625" style="14" customWidth="1"/>
    <col min="263" max="263" width="8.85546875" style="14" customWidth="1"/>
    <col min="264" max="264" width="10.85546875" style="14" customWidth="1"/>
    <col min="265" max="265" width="2.85546875" style="14" customWidth="1"/>
    <col min="266" max="266" width="12.140625" style="14" customWidth="1"/>
    <col min="267" max="267" width="10.140625" style="14" customWidth="1"/>
    <col min="268" max="268" width="11.7109375" style="14" customWidth="1"/>
    <col min="269" max="269" width="11.42578125" style="14" customWidth="1"/>
    <col min="270" max="270" width="12.7109375" style="14" customWidth="1"/>
    <col min="271" max="271" width="11.42578125" style="14" customWidth="1"/>
    <col min="272" max="272" width="10.7109375" style="14" customWidth="1"/>
    <col min="273" max="273" width="10.5703125" style="14" customWidth="1"/>
    <col min="274" max="274" width="11.28515625" style="14" customWidth="1"/>
    <col min="275" max="275" width="9.7109375" style="14" customWidth="1"/>
    <col min="276" max="276" width="12" style="14" customWidth="1"/>
    <col min="277" max="277" width="11.28515625" style="14" customWidth="1"/>
    <col min="278" max="515" width="9.140625" style="14"/>
    <col min="516" max="516" width="5.7109375" style="14" customWidth="1"/>
    <col min="517" max="517" width="13.140625" style="14" customWidth="1"/>
    <col min="518" max="518" width="12.28515625" style="14" customWidth="1"/>
    <col min="519" max="519" width="8.85546875" style="14" customWidth="1"/>
    <col min="520" max="520" width="10.85546875" style="14" customWidth="1"/>
    <col min="521" max="521" width="2.85546875" style="14" customWidth="1"/>
    <col min="522" max="522" width="12.140625" style="14" customWidth="1"/>
    <col min="523" max="523" width="10.140625" style="14" customWidth="1"/>
    <col min="524" max="524" width="11.7109375" style="14" customWidth="1"/>
    <col min="525" max="525" width="11.42578125" style="14" customWidth="1"/>
    <col min="526" max="526" width="12.7109375" style="14" customWidth="1"/>
    <col min="527" max="527" width="11.42578125" style="14" customWidth="1"/>
    <col min="528" max="528" width="10.7109375" style="14" customWidth="1"/>
    <col min="529" max="529" width="10.5703125" style="14" customWidth="1"/>
    <col min="530" max="530" width="11.28515625" style="14" customWidth="1"/>
    <col min="531" max="531" width="9.7109375" style="14" customWidth="1"/>
    <col min="532" max="532" width="12" style="14" customWidth="1"/>
    <col min="533" max="533" width="11.28515625" style="14" customWidth="1"/>
    <col min="534" max="771" width="9.140625" style="14"/>
    <col min="772" max="772" width="5.7109375" style="14" customWidth="1"/>
    <col min="773" max="773" width="13.140625" style="14" customWidth="1"/>
    <col min="774" max="774" width="12.28515625" style="14" customWidth="1"/>
    <col min="775" max="775" width="8.85546875" style="14" customWidth="1"/>
    <col min="776" max="776" width="10.85546875" style="14" customWidth="1"/>
    <col min="777" max="777" width="2.85546875" style="14" customWidth="1"/>
    <col min="778" max="778" width="12.140625" style="14" customWidth="1"/>
    <col min="779" max="779" width="10.140625" style="14" customWidth="1"/>
    <col min="780" max="780" width="11.7109375" style="14" customWidth="1"/>
    <col min="781" max="781" width="11.42578125" style="14" customWidth="1"/>
    <col min="782" max="782" width="12.7109375" style="14" customWidth="1"/>
    <col min="783" max="783" width="11.42578125" style="14" customWidth="1"/>
    <col min="784" max="784" width="10.7109375" style="14" customWidth="1"/>
    <col min="785" max="785" width="10.5703125" style="14" customWidth="1"/>
    <col min="786" max="786" width="11.28515625" style="14" customWidth="1"/>
    <col min="787" max="787" width="9.7109375" style="14" customWidth="1"/>
    <col min="788" max="788" width="12" style="14" customWidth="1"/>
    <col min="789" max="789" width="11.28515625" style="14" customWidth="1"/>
    <col min="790" max="1027" width="9.140625" style="14"/>
    <col min="1028" max="1028" width="5.7109375" style="14" customWidth="1"/>
    <col min="1029" max="1029" width="13.140625" style="14" customWidth="1"/>
    <col min="1030" max="1030" width="12.28515625" style="14" customWidth="1"/>
    <col min="1031" max="1031" width="8.85546875" style="14" customWidth="1"/>
    <col min="1032" max="1032" width="10.85546875" style="14" customWidth="1"/>
    <col min="1033" max="1033" width="2.85546875" style="14" customWidth="1"/>
    <col min="1034" max="1034" width="12.140625" style="14" customWidth="1"/>
    <col min="1035" max="1035" width="10.140625" style="14" customWidth="1"/>
    <col min="1036" max="1036" width="11.7109375" style="14" customWidth="1"/>
    <col min="1037" max="1037" width="11.42578125" style="14" customWidth="1"/>
    <col min="1038" max="1038" width="12.7109375" style="14" customWidth="1"/>
    <col min="1039" max="1039" width="11.42578125" style="14" customWidth="1"/>
    <col min="1040" max="1040" width="10.7109375" style="14" customWidth="1"/>
    <col min="1041" max="1041" width="10.5703125" style="14" customWidth="1"/>
    <col min="1042" max="1042" width="11.28515625" style="14" customWidth="1"/>
    <col min="1043" max="1043" width="9.7109375" style="14" customWidth="1"/>
    <col min="1044" max="1044" width="12" style="14" customWidth="1"/>
    <col min="1045" max="1045" width="11.28515625" style="14" customWidth="1"/>
    <col min="1046" max="1283" width="9.140625" style="14"/>
    <col min="1284" max="1284" width="5.7109375" style="14" customWidth="1"/>
    <col min="1285" max="1285" width="13.140625" style="14" customWidth="1"/>
    <col min="1286" max="1286" width="12.28515625" style="14" customWidth="1"/>
    <col min="1287" max="1287" width="8.85546875" style="14" customWidth="1"/>
    <col min="1288" max="1288" width="10.85546875" style="14" customWidth="1"/>
    <col min="1289" max="1289" width="2.85546875" style="14" customWidth="1"/>
    <col min="1290" max="1290" width="12.140625" style="14" customWidth="1"/>
    <col min="1291" max="1291" width="10.140625" style="14" customWidth="1"/>
    <col min="1292" max="1292" width="11.7109375" style="14" customWidth="1"/>
    <col min="1293" max="1293" width="11.42578125" style="14" customWidth="1"/>
    <col min="1294" max="1294" width="12.7109375" style="14" customWidth="1"/>
    <col min="1295" max="1295" width="11.42578125" style="14" customWidth="1"/>
    <col min="1296" max="1296" width="10.7109375" style="14" customWidth="1"/>
    <col min="1297" max="1297" width="10.5703125" style="14" customWidth="1"/>
    <col min="1298" max="1298" width="11.28515625" style="14" customWidth="1"/>
    <col min="1299" max="1299" width="9.7109375" style="14" customWidth="1"/>
    <col min="1300" max="1300" width="12" style="14" customWidth="1"/>
    <col min="1301" max="1301" width="11.28515625" style="14" customWidth="1"/>
    <col min="1302" max="1539" width="9.140625" style="14"/>
    <col min="1540" max="1540" width="5.7109375" style="14" customWidth="1"/>
    <col min="1541" max="1541" width="13.140625" style="14" customWidth="1"/>
    <col min="1542" max="1542" width="12.28515625" style="14" customWidth="1"/>
    <col min="1543" max="1543" width="8.85546875" style="14" customWidth="1"/>
    <col min="1544" max="1544" width="10.85546875" style="14" customWidth="1"/>
    <col min="1545" max="1545" width="2.85546875" style="14" customWidth="1"/>
    <col min="1546" max="1546" width="12.140625" style="14" customWidth="1"/>
    <col min="1547" max="1547" width="10.140625" style="14" customWidth="1"/>
    <col min="1548" max="1548" width="11.7109375" style="14" customWidth="1"/>
    <col min="1549" max="1549" width="11.42578125" style="14" customWidth="1"/>
    <col min="1550" max="1550" width="12.7109375" style="14" customWidth="1"/>
    <col min="1551" max="1551" width="11.42578125" style="14" customWidth="1"/>
    <col min="1552" max="1552" width="10.7109375" style="14" customWidth="1"/>
    <col min="1553" max="1553" width="10.5703125" style="14" customWidth="1"/>
    <col min="1554" max="1554" width="11.28515625" style="14" customWidth="1"/>
    <col min="1555" max="1555" width="9.7109375" style="14" customWidth="1"/>
    <col min="1556" max="1556" width="12" style="14" customWidth="1"/>
    <col min="1557" max="1557" width="11.28515625" style="14" customWidth="1"/>
    <col min="1558" max="1795" width="9.140625" style="14"/>
    <col min="1796" max="1796" width="5.7109375" style="14" customWidth="1"/>
    <col min="1797" max="1797" width="13.140625" style="14" customWidth="1"/>
    <col min="1798" max="1798" width="12.28515625" style="14" customWidth="1"/>
    <col min="1799" max="1799" width="8.85546875" style="14" customWidth="1"/>
    <col min="1800" max="1800" width="10.85546875" style="14" customWidth="1"/>
    <col min="1801" max="1801" width="2.85546875" style="14" customWidth="1"/>
    <col min="1802" max="1802" width="12.140625" style="14" customWidth="1"/>
    <col min="1803" max="1803" width="10.140625" style="14" customWidth="1"/>
    <col min="1804" max="1804" width="11.7109375" style="14" customWidth="1"/>
    <col min="1805" max="1805" width="11.42578125" style="14" customWidth="1"/>
    <col min="1806" max="1806" width="12.7109375" style="14" customWidth="1"/>
    <col min="1807" max="1807" width="11.42578125" style="14" customWidth="1"/>
    <col min="1808" max="1808" width="10.7109375" style="14" customWidth="1"/>
    <col min="1809" max="1809" width="10.5703125" style="14" customWidth="1"/>
    <col min="1810" max="1810" width="11.28515625" style="14" customWidth="1"/>
    <col min="1811" max="1811" width="9.7109375" style="14" customWidth="1"/>
    <col min="1812" max="1812" width="12" style="14" customWidth="1"/>
    <col min="1813" max="1813" width="11.28515625" style="14" customWidth="1"/>
    <col min="1814" max="2051" width="9.140625" style="14"/>
    <col min="2052" max="2052" width="5.7109375" style="14" customWidth="1"/>
    <col min="2053" max="2053" width="13.140625" style="14" customWidth="1"/>
    <col min="2054" max="2054" width="12.28515625" style="14" customWidth="1"/>
    <col min="2055" max="2055" width="8.85546875" style="14" customWidth="1"/>
    <col min="2056" max="2056" width="10.85546875" style="14" customWidth="1"/>
    <col min="2057" max="2057" width="2.85546875" style="14" customWidth="1"/>
    <col min="2058" max="2058" width="12.140625" style="14" customWidth="1"/>
    <col min="2059" max="2059" width="10.140625" style="14" customWidth="1"/>
    <col min="2060" max="2060" width="11.7109375" style="14" customWidth="1"/>
    <col min="2061" max="2061" width="11.42578125" style="14" customWidth="1"/>
    <col min="2062" max="2062" width="12.7109375" style="14" customWidth="1"/>
    <col min="2063" max="2063" width="11.42578125" style="14" customWidth="1"/>
    <col min="2064" max="2064" width="10.7109375" style="14" customWidth="1"/>
    <col min="2065" max="2065" width="10.5703125" style="14" customWidth="1"/>
    <col min="2066" max="2066" width="11.28515625" style="14" customWidth="1"/>
    <col min="2067" max="2067" width="9.7109375" style="14" customWidth="1"/>
    <col min="2068" max="2068" width="12" style="14" customWidth="1"/>
    <col min="2069" max="2069" width="11.28515625" style="14" customWidth="1"/>
    <col min="2070" max="2307" width="9.140625" style="14"/>
    <col min="2308" max="2308" width="5.7109375" style="14" customWidth="1"/>
    <col min="2309" max="2309" width="13.140625" style="14" customWidth="1"/>
    <col min="2310" max="2310" width="12.28515625" style="14" customWidth="1"/>
    <col min="2311" max="2311" width="8.85546875" style="14" customWidth="1"/>
    <col min="2312" max="2312" width="10.85546875" style="14" customWidth="1"/>
    <col min="2313" max="2313" width="2.85546875" style="14" customWidth="1"/>
    <col min="2314" max="2314" width="12.140625" style="14" customWidth="1"/>
    <col min="2315" max="2315" width="10.140625" style="14" customWidth="1"/>
    <col min="2316" max="2316" width="11.7109375" style="14" customWidth="1"/>
    <col min="2317" max="2317" width="11.42578125" style="14" customWidth="1"/>
    <col min="2318" max="2318" width="12.7109375" style="14" customWidth="1"/>
    <col min="2319" max="2319" width="11.42578125" style="14" customWidth="1"/>
    <col min="2320" max="2320" width="10.7109375" style="14" customWidth="1"/>
    <col min="2321" max="2321" width="10.5703125" style="14" customWidth="1"/>
    <col min="2322" max="2322" width="11.28515625" style="14" customWidth="1"/>
    <col min="2323" max="2323" width="9.7109375" style="14" customWidth="1"/>
    <col min="2324" max="2324" width="12" style="14" customWidth="1"/>
    <col min="2325" max="2325" width="11.28515625" style="14" customWidth="1"/>
    <col min="2326" max="2563" width="9.140625" style="14"/>
    <col min="2564" max="2564" width="5.7109375" style="14" customWidth="1"/>
    <col min="2565" max="2565" width="13.140625" style="14" customWidth="1"/>
    <col min="2566" max="2566" width="12.28515625" style="14" customWidth="1"/>
    <col min="2567" max="2567" width="8.85546875" style="14" customWidth="1"/>
    <col min="2568" max="2568" width="10.85546875" style="14" customWidth="1"/>
    <col min="2569" max="2569" width="2.85546875" style="14" customWidth="1"/>
    <col min="2570" max="2570" width="12.140625" style="14" customWidth="1"/>
    <col min="2571" max="2571" width="10.140625" style="14" customWidth="1"/>
    <col min="2572" max="2572" width="11.7109375" style="14" customWidth="1"/>
    <col min="2573" max="2573" width="11.42578125" style="14" customWidth="1"/>
    <col min="2574" max="2574" width="12.7109375" style="14" customWidth="1"/>
    <col min="2575" max="2575" width="11.42578125" style="14" customWidth="1"/>
    <col min="2576" max="2576" width="10.7109375" style="14" customWidth="1"/>
    <col min="2577" max="2577" width="10.5703125" style="14" customWidth="1"/>
    <col min="2578" max="2578" width="11.28515625" style="14" customWidth="1"/>
    <col min="2579" max="2579" width="9.7109375" style="14" customWidth="1"/>
    <col min="2580" max="2580" width="12" style="14" customWidth="1"/>
    <col min="2581" max="2581" width="11.28515625" style="14" customWidth="1"/>
    <col min="2582" max="2819" width="9.140625" style="14"/>
    <col min="2820" max="2820" width="5.7109375" style="14" customWidth="1"/>
    <col min="2821" max="2821" width="13.140625" style="14" customWidth="1"/>
    <col min="2822" max="2822" width="12.28515625" style="14" customWidth="1"/>
    <col min="2823" max="2823" width="8.85546875" style="14" customWidth="1"/>
    <col min="2824" max="2824" width="10.85546875" style="14" customWidth="1"/>
    <col min="2825" max="2825" width="2.85546875" style="14" customWidth="1"/>
    <col min="2826" max="2826" width="12.140625" style="14" customWidth="1"/>
    <col min="2827" max="2827" width="10.140625" style="14" customWidth="1"/>
    <col min="2828" max="2828" width="11.7109375" style="14" customWidth="1"/>
    <col min="2829" max="2829" width="11.42578125" style="14" customWidth="1"/>
    <col min="2830" max="2830" width="12.7109375" style="14" customWidth="1"/>
    <col min="2831" max="2831" width="11.42578125" style="14" customWidth="1"/>
    <col min="2832" max="2832" width="10.7109375" style="14" customWidth="1"/>
    <col min="2833" max="2833" width="10.5703125" style="14" customWidth="1"/>
    <col min="2834" max="2834" width="11.28515625" style="14" customWidth="1"/>
    <col min="2835" max="2835" width="9.7109375" style="14" customWidth="1"/>
    <col min="2836" max="2836" width="12" style="14" customWidth="1"/>
    <col min="2837" max="2837" width="11.28515625" style="14" customWidth="1"/>
    <col min="2838" max="3075" width="9.140625" style="14"/>
    <col min="3076" max="3076" width="5.7109375" style="14" customWidth="1"/>
    <col min="3077" max="3077" width="13.140625" style="14" customWidth="1"/>
    <col min="3078" max="3078" width="12.28515625" style="14" customWidth="1"/>
    <col min="3079" max="3079" width="8.85546875" style="14" customWidth="1"/>
    <col min="3080" max="3080" width="10.85546875" style="14" customWidth="1"/>
    <col min="3081" max="3081" width="2.85546875" style="14" customWidth="1"/>
    <col min="3082" max="3082" width="12.140625" style="14" customWidth="1"/>
    <col min="3083" max="3083" width="10.140625" style="14" customWidth="1"/>
    <col min="3084" max="3084" width="11.7109375" style="14" customWidth="1"/>
    <col min="3085" max="3085" width="11.42578125" style="14" customWidth="1"/>
    <col min="3086" max="3086" width="12.7109375" style="14" customWidth="1"/>
    <col min="3087" max="3087" width="11.42578125" style="14" customWidth="1"/>
    <col min="3088" max="3088" width="10.7109375" style="14" customWidth="1"/>
    <col min="3089" max="3089" width="10.5703125" style="14" customWidth="1"/>
    <col min="3090" max="3090" width="11.28515625" style="14" customWidth="1"/>
    <col min="3091" max="3091" width="9.7109375" style="14" customWidth="1"/>
    <col min="3092" max="3092" width="12" style="14" customWidth="1"/>
    <col min="3093" max="3093" width="11.28515625" style="14" customWidth="1"/>
    <col min="3094" max="3331" width="9.140625" style="14"/>
    <col min="3332" max="3332" width="5.7109375" style="14" customWidth="1"/>
    <col min="3333" max="3333" width="13.140625" style="14" customWidth="1"/>
    <col min="3334" max="3334" width="12.28515625" style="14" customWidth="1"/>
    <col min="3335" max="3335" width="8.85546875" style="14" customWidth="1"/>
    <col min="3336" max="3336" width="10.85546875" style="14" customWidth="1"/>
    <col min="3337" max="3337" width="2.85546875" style="14" customWidth="1"/>
    <col min="3338" max="3338" width="12.140625" style="14" customWidth="1"/>
    <col min="3339" max="3339" width="10.140625" style="14" customWidth="1"/>
    <col min="3340" max="3340" width="11.7109375" style="14" customWidth="1"/>
    <col min="3341" max="3341" width="11.42578125" style="14" customWidth="1"/>
    <col min="3342" max="3342" width="12.7109375" style="14" customWidth="1"/>
    <col min="3343" max="3343" width="11.42578125" style="14" customWidth="1"/>
    <col min="3344" max="3344" width="10.7109375" style="14" customWidth="1"/>
    <col min="3345" max="3345" width="10.5703125" style="14" customWidth="1"/>
    <col min="3346" max="3346" width="11.28515625" style="14" customWidth="1"/>
    <col min="3347" max="3347" width="9.7109375" style="14" customWidth="1"/>
    <col min="3348" max="3348" width="12" style="14" customWidth="1"/>
    <col min="3349" max="3349" width="11.28515625" style="14" customWidth="1"/>
    <col min="3350" max="3587" width="9.140625" style="14"/>
    <col min="3588" max="3588" width="5.7109375" style="14" customWidth="1"/>
    <col min="3589" max="3589" width="13.140625" style="14" customWidth="1"/>
    <col min="3590" max="3590" width="12.28515625" style="14" customWidth="1"/>
    <col min="3591" max="3591" width="8.85546875" style="14" customWidth="1"/>
    <col min="3592" max="3592" width="10.85546875" style="14" customWidth="1"/>
    <col min="3593" max="3593" width="2.85546875" style="14" customWidth="1"/>
    <col min="3594" max="3594" width="12.140625" style="14" customWidth="1"/>
    <col min="3595" max="3595" width="10.140625" style="14" customWidth="1"/>
    <col min="3596" max="3596" width="11.7109375" style="14" customWidth="1"/>
    <col min="3597" max="3597" width="11.42578125" style="14" customWidth="1"/>
    <col min="3598" max="3598" width="12.7109375" style="14" customWidth="1"/>
    <col min="3599" max="3599" width="11.42578125" style="14" customWidth="1"/>
    <col min="3600" max="3600" width="10.7109375" style="14" customWidth="1"/>
    <col min="3601" max="3601" width="10.5703125" style="14" customWidth="1"/>
    <col min="3602" max="3602" width="11.28515625" style="14" customWidth="1"/>
    <col min="3603" max="3603" width="9.7109375" style="14" customWidth="1"/>
    <col min="3604" max="3604" width="12" style="14" customWidth="1"/>
    <col min="3605" max="3605" width="11.28515625" style="14" customWidth="1"/>
    <col min="3606" max="3843" width="9.140625" style="14"/>
    <col min="3844" max="3844" width="5.7109375" style="14" customWidth="1"/>
    <col min="3845" max="3845" width="13.140625" style="14" customWidth="1"/>
    <col min="3846" max="3846" width="12.28515625" style="14" customWidth="1"/>
    <col min="3847" max="3847" width="8.85546875" style="14" customWidth="1"/>
    <col min="3848" max="3848" width="10.85546875" style="14" customWidth="1"/>
    <col min="3849" max="3849" width="2.85546875" style="14" customWidth="1"/>
    <col min="3850" max="3850" width="12.140625" style="14" customWidth="1"/>
    <col min="3851" max="3851" width="10.140625" style="14" customWidth="1"/>
    <col min="3852" max="3852" width="11.7109375" style="14" customWidth="1"/>
    <col min="3853" max="3853" width="11.42578125" style="14" customWidth="1"/>
    <col min="3854" max="3854" width="12.7109375" style="14" customWidth="1"/>
    <col min="3855" max="3855" width="11.42578125" style="14" customWidth="1"/>
    <col min="3856" max="3856" width="10.7109375" style="14" customWidth="1"/>
    <col min="3857" max="3857" width="10.5703125" style="14" customWidth="1"/>
    <col min="3858" max="3858" width="11.28515625" style="14" customWidth="1"/>
    <col min="3859" max="3859" width="9.7109375" style="14" customWidth="1"/>
    <col min="3860" max="3860" width="12" style="14" customWidth="1"/>
    <col min="3861" max="3861" width="11.28515625" style="14" customWidth="1"/>
    <col min="3862" max="4099" width="9.140625" style="14"/>
    <col min="4100" max="4100" width="5.7109375" style="14" customWidth="1"/>
    <col min="4101" max="4101" width="13.140625" style="14" customWidth="1"/>
    <col min="4102" max="4102" width="12.28515625" style="14" customWidth="1"/>
    <col min="4103" max="4103" width="8.85546875" style="14" customWidth="1"/>
    <col min="4104" max="4104" width="10.85546875" style="14" customWidth="1"/>
    <col min="4105" max="4105" width="2.85546875" style="14" customWidth="1"/>
    <col min="4106" max="4106" width="12.140625" style="14" customWidth="1"/>
    <col min="4107" max="4107" width="10.140625" style="14" customWidth="1"/>
    <col min="4108" max="4108" width="11.7109375" style="14" customWidth="1"/>
    <col min="4109" max="4109" width="11.42578125" style="14" customWidth="1"/>
    <col min="4110" max="4110" width="12.7109375" style="14" customWidth="1"/>
    <col min="4111" max="4111" width="11.42578125" style="14" customWidth="1"/>
    <col min="4112" max="4112" width="10.7109375" style="14" customWidth="1"/>
    <col min="4113" max="4113" width="10.5703125" style="14" customWidth="1"/>
    <col min="4114" max="4114" width="11.28515625" style="14" customWidth="1"/>
    <col min="4115" max="4115" width="9.7109375" style="14" customWidth="1"/>
    <col min="4116" max="4116" width="12" style="14" customWidth="1"/>
    <col min="4117" max="4117" width="11.28515625" style="14" customWidth="1"/>
    <col min="4118" max="4355" width="9.140625" style="14"/>
    <col min="4356" max="4356" width="5.7109375" style="14" customWidth="1"/>
    <col min="4357" max="4357" width="13.140625" style="14" customWidth="1"/>
    <col min="4358" max="4358" width="12.28515625" style="14" customWidth="1"/>
    <col min="4359" max="4359" width="8.85546875" style="14" customWidth="1"/>
    <col min="4360" max="4360" width="10.85546875" style="14" customWidth="1"/>
    <col min="4361" max="4361" width="2.85546875" style="14" customWidth="1"/>
    <col min="4362" max="4362" width="12.140625" style="14" customWidth="1"/>
    <col min="4363" max="4363" width="10.140625" style="14" customWidth="1"/>
    <col min="4364" max="4364" width="11.7109375" style="14" customWidth="1"/>
    <col min="4365" max="4365" width="11.42578125" style="14" customWidth="1"/>
    <col min="4366" max="4366" width="12.7109375" style="14" customWidth="1"/>
    <col min="4367" max="4367" width="11.42578125" style="14" customWidth="1"/>
    <col min="4368" max="4368" width="10.7109375" style="14" customWidth="1"/>
    <col min="4369" max="4369" width="10.5703125" style="14" customWidth="1"/>
    <col min="4370" max="4370" width="11.28515625" style="14" customWidth="1"/>
    <col min="4371" max="4371" width="9.7109375" style="14" customWidth="1"/>
    <col min="4372" max="4372" width="12" style="14" customWidth="1"/>
    <col min="4373" max="4373" width="11.28515625" style="14" customWidth="1"/>
    <col min="4374" max="4611" width="9.140625" style="14"/>
    <col min="4612" max="4612" width="5.7109375" style="14" customWidth="1"/>
    <col min="4613" max="4613" width="13.140625" style="14" customWidth="1"/>
    <col min="4614" max="4614" width="12.28515625" style="14" customWidth="1"/>
    <col min="4615" max="4615" width="8.85546875" style="14" customWidth="1"/>
    <col min="4616" max="4616" width="10.85546875" style="14" customWidth="1"/>
    <col min="4617" max="4617" width="2.85546875" style="14" customWidth="1"/>
    <col min="4618" max="4618" width="12.140625" style="14" customWidth="1"/>
    <col min="4619" max="4619" width="10.140625" style="14" customWidth="1"/>
    <col min="4620" max="4620" width="11.7109375" style="14" customWidth="1"/>
    <col min="4621" max="4621" width="11.42578125" style="14" customWidth="1"/>
    <col min="4622" max="4622" width="12.7109375" style="14" customWidth="1"/>
    <col min="4623" max="4623" width="11.42578125" style="14" customWidth="1"/>
    <col min="4624" max="4624" width="10.7109375" style="14" customWidth="1"/>
    <col min="4625" max="4625" width="10.5703125" style="14" customWidth="1"/>
    <col min="4626" max="4626" width="11.28515625" style="14" customWidth="1"/>
    <col min="4627" max="4627" width="9.7109375" style="14" customWidth="1"/>
    <col min="4628" max="4628" width="12" style="14" customWidth="1"/>
    <col min="4629" max="4629" width="11.28515625" style="14" customWidth="1"/>
    <col min="4630" max="4867" width="9.140625" style="14"/>
    <col min="4868" max="4868" width="5.7109375" style="14" customWidth="1"/>
    <col min="4869" max="4869" width="13.140625" style="14" customWidth="1"/>
    <col min="4870" max="4870" width="12.28515625" style="14" customWidth="1"/>
    <col min="4871" max="4871" width="8.85546875" style="14" customWidth="1"/>
    <col min="4872" max="4872" width="10.85546875" style="14" customWidth="1"/>
    <col min="4873" max="4873" width="2.85546875" style="14" customWidth="1"/>
    <col min="4874" max="4874" width="12.140625" style="14" customWidth="1"/>
    <col min="4875" max="4875" width="10.140625" style="14" customWidth="1"/>
    <col min="4876" max="4876" width="11.7109375" style="14" customWidth="1"/>
    <col min="4877" max="4877" width="11.42578125" style="14" customWidth="1"/>
    <col min="4878" max="4878" width="12.7109375" style="14" customWidth="1"/>
    <col min="4879" max="4879" width="11.42578125" style="14" customWidth="1"/>
    <col min="4880" max="4880" width="10.7109375" style="14" customWidth="1"/>
    <col min="4881" max="4881" width="10.5703125" style="14" customWidth="1"/>
    <col min="4882" max="4882" width="11.28515625" style="14" customWidth="1"/>
    <col min="4883" max="4883" width="9.7109375" style="14" customWidth="1"/>
    <col min="4884" max="4884" width="12" style="14" customWidth="1"/>
    <col min="4885" max="4885" width="11.28515625" style="14" customWidth="1"/>
    <col min="4886" max="5123" width="9.140625" style="14"/>
    <col min="5124" max="5124" width="5.7109375" style="14" customWidth="1"/>
    <col min="5125" max="5125" width="13.140625" style="14" customWidth="1"/>
    <col min="5126" max="5126" width="12.28515625" style="14" customWidth="1"/>
    <col min="5127" max="5127" width="8.85546875" style="14" customWidth="1"/>
    <col min="5128" max="5128" width="10.85546875" style="14" customWidth="1"/>
    <col min="5129" max="5129" width="2.85546875" style="14" customWidth="1"/>
    <col min="5130" max="5130" width="12.140625" style="14" customWidth="1"/>
    <col min="5131" max="5131" width="10.140625" style="14" customWidth="1"/>
    <col min="5132" max="5132" width="11.7109375" style="14" customWidth="1"/>
    <col min="5133" max="5133" width="11.42578125" style="14" customWidth="1"/>
    <col min="5134" max="5134" width="12.7109375" style="14" customWidth="1"/>
    <col min="5135" max="5135" width="11.42578125" style="14" customWidth="1"/>
    <col min="5136" max="5136" width="10.7109375" style="14" customWidth="1"/>
    <col min="5137" max="5137" width="10.5703125" style="14" customWidth="1"/>
    <col min="5138" max="5138" width="11.28515625" style="14" customWidth="1"/>
    <col min="5139" max="5139" width="9.7109375" style="14" customWidth="1"/>
    <col min="5140" max="5140" width="12" style="14" customWidth="1"/>
    <col min="5141" max="5141" width="11.28515625" style="14" customWidth="1"/>
    <col min="5142" max="5379" width="9.140625" style="14"/>
    <col min="5380" max="5380" width="5.7109375" style="14" customWidth="1"/>
    <col min="5381" max="5381" width="13.140625" style="14" customWidth="1"/>
    <col min="5382" max="5382" width="12.28515625" style="14" customWidth="1"/>
    <col min="5383" max="5383" width="8.85546875" style="14" customWidth="1"/>
    <col min="5384" max="5384" width="10.85546875" style="14" customWidth="1"/>
    <col min="5385" max="5385" width="2.85546875" style="14" customWidth="1"/>
    <col min="5386" max="5386" width="12.140625" style="14" customWidth="1"/>
    <col min="5387" max="5387" width="10.140625" style="14" customWidth="1"/>
    <col min="5388" max="5388" width="11.7109375" style="14" customWidth="1"/>
    <col min="5389" max="5389" width="11.42578125" style="14" customWidth="1"/>
    <col min="5390" max="5390" width="12.7109375" style="14" customWidth="1"/>
    <col min="5391" max="5391" width="11.42578125" style="14" customWidth="1"/>
    <col min="5392" max="5392" width="10.7109375" style="14" customWidth="1"/>
    <col min="5393" max="5393" width="10.5703125" style="14" customWidth="1"/>
    <col min="5394" max="5394" width="11.28515625" style="14" customWidth="1"/>
    <col min="5395" max="5395" width="9.7109375" style="14" customWidth="1"/>
    <col min="5396" max="5396" width="12" style="14" customWidth="1"/>
    <col min="5397" max="5397" width="11.28515625" style="14" customWidth="1"/>
    <col min="5398" max="5635" width="9.140625" style="14"/>
    <col min="5636" max="5636" width="5.7109375" style="14" customWidth="1"/>
    <col min="5637" max="5637" width="13.140625" style="14" customWidth="1"/>
    <col min="5638" max="5638" width="12.28515625" style="14" customWidth="1"/>
    <col min="5639" max="5639" width="8.85546875" style="14" customWidth="1"/>
    <col min="5640" max="5640" width="10.85546875" style="14" customWidth="1"/>
    <col min="5641" max="5641" width="2.85546875" style="14" customWidth="1"/>
    <col min="5642" max="5642" width="12.140625" style="14" customWidth="1"/>
    <col min="5643" max="5643" width="10.140625" style="14" customWidth="1"/>
    <col min="5644" max="5644" width="11.7109375" style="14" customWidth="1"/>
    <col min="5645" max="5645" width="11.42578125" style="14" customWidth="1"/>
    <col min="5646" max="5646" width="12.7109375" style="14" customWidth="1"/>
    <col min="5647" max="5647" width="11.42578125" style="14" customWidth="1"/>
    <col min="5648" max="5648" width="10.7109375" style="14" customWidth="1"/>
    <col min="5649" max="5649" width="10.5703125" style="14" customWidth="1"/>
    <col min="5650" max="5650" width="11.28515625" style="14" customWidth="1"/>
    <col min="5651" max="5651" width="9.7109375" style="14" customWidth="1"/>
    <col min="5652" max="5652" width="12" style="14" customWidth="1"/>
    <col min="5653" max="5653" width="11.28515625" style="14" customWidth="1"/>
    <col min="5654" max="5891" width="9.140625" style="14"/>
    <col min="5892" max="5892" width="5.7109375" style="14" customWidth="1"/>
    <col min="5893" max="5893" width="13.140625" style="14" customWidth="1"/>
    <col min="5894" max="5894" width="12.28515625" style="14" customWidth="1"/>
    <col min="5895" max="5895" width="8.85546875" style="14" customWidth="1"/>
    <col min="5896" max="5896" width="10.85546875" style="14" customWidth="1"/>
    <col min="5897" max="5897" width="2.85546875" style="14" customWidth="1"/>
    <col min="5898" max="5898" width="12.140625" style="14" customWidth="1"/>
    <col min="5899" max="5899" width="10.140625" style="14" customWidth="1"/>
    <col min="5900" max="5900" width="11.7109375" style="14" customWidth="1"/>
    <col min="5901" max="5901" width="11.42578125" style="14" customWidth="1"/>
    <col min="5902" max="5902" width="12.7109375" style="14" customWidth="1"/>
    <col min="5903" max="5903" width="11.42578125" style="14" customWidth="1"/>
    <col min="5904" max="5904" width="10.7109375" style="14" customWidth="1"/>
    <col min="5905" max="5905" width="10.5703125" style="14" customWidth="1"/>
    <col min="5906" max="5906" width="11.28515625" style="14" customWidth="1"/>
    <col min="5907" max="5907" width="9.7109375" style="14" customWidth="1"/>
    <col min="5908" max="5908" width="12" style="14" customWidth="1"/>
    <col min="5909" max="5909" width="11.28515625" style="14" customWidth="1"/>
    <col min="5910" max="6147" width="9.140625" style="14"/>
    <col min="6148" max="6148" width="5.7109375" style="14" customWidth="1"/>
    <col min="6149" max="6149" width="13.140625" style="14" customWidth="1"/>
    <col min="6150" max="6150" width="12.28515625" style="14" customWidth="1"/>
    <col min="6151" max="6151" width="8.85546875" style="14" customWidth="1"/>
    <col min="6152" max="6152" width="10.85546875" style="14" customWidth="1"/>
    <col min="6153" max="6153" width="2.85546875" style="14" customWidth="1"/>
    <col min="6154" max="6154" width="12.140625" style="14" customWidth="1"/>
    <col min="6155" max="6155" width="10.140625" style="14" customWidth="1"/>
    <col min="6156" max="6156" width="11.7109375" style="14" customWidth="1"/>
    <col min="6157" max="6157" width="11.42578125" style="14" customWidth="1"/>
    <col min="6158" max="6158" width="12.7109375" style="14" customWidth="1"/>
    <col min="6159" max="6159" width="11.42578125" style="14" customWidth="1"/>
    <col min="6160" max="6160" width="10.7109375" style="14" customWidth="1"/>
    <col min="6161" max="6161" width="10.5703125" style="14" customWidth="1"/>
    <col min="6162" max="6162" width="11.28515625" style="14" customWidth="1"/>
    <col min="6163" max="6163" width="9.7109375" style="14" customWidth="1"/>
    <col min="6164" max="6164" width="12" style="14" customWidth="1"/>
    <col min="6165" max="6165" width="11.28515625" style="14" customWidth="1"/>
    <col min="6166" max="6403" width="9.140625" style="14"/>
    <col min="6404" max="6404" width="5.7109375" style="14" customWidth="1"/>
    <col min="6405" max="6405" width="13.140625" style="14" customWidth="1"/>
    <col min="6406" max="6406" width="12.28515625" style="14" customWidth="1"/>
    <col min="6407" max="6407" width="8.85546875" style="14" customWidth="1"/>
    <col min="6408" max="6408" width="10.85546875" style="14" customWidth="1"/>
    <col min="6409" max="6409" width="2.85546875" style="14" customWidth="1"/>
    <col min="6410" max="6410" width="12.140625" style="14" customWidth="1"/>
    <col min="6411" max="6411" width="10.140625" style="14" customWidth="1"/>
    <col min="6412" max="6412" width="11.7109375" style="14" customWidth="1"/>
    <col min="6413" max="6413" width="11.42578125" style="14" customWidth="1"/>
    <col min="6414" max="6414" width="12.7109375" style="14" customWidth="1"/>
    <col min="6415" max="6415" width="11.42578125" style="14" customWidth="1"/>
    <col min="6416" max="6416" width="10.7109375" style="14" customWidth="1"/>
    <col min="6417" max="6417" width="10.5703125" style="14" customWidth="1"/>
    <col min="6418" max="6418" width="11.28515625" style="14" customWidth="1"/>
    <col min="6419" max="6419" width="9.7109375" style="14" customWidth="1"/>
    <col min="6420" max="6420" width="12" style="14" customWidth="1"/>
    <col min="6421" max="6421" width="11.28515625" style="14" customWidth="1"/>
    <col min="6422" max="6659" width="9.140625" style="14"/>
    <col min="6660" max="6660" width="5.7109375" style="14" customWidth="1"/>
    <col min="6661" max="6661" width="13.140625" style="14" customWidth="1"/>
    <col min="6662" max="6662" width="12.28515625" style="14" customWidth="1"/>
    <col min="6663" max="6663" width="8.85546875" style="14" customWidth="1"/>
    <col min="6664" max="6664" width="10.85546875" style="14" customWidth="1"/>
    <col min="6665" max="6665" width="2.85546875" style="14" customWidth="1"/>
    <col min="6666" max="6666" width="12.140625" style="14" customWidth="1"/>
    <col min="6667" max="6667" width="10.140625" style="14" customWidth="1"/>
    <col min="6668" max="6668" width="11.7109375" style="14" customWidth="1"/>
    <col min="6669" max="6669" width="11.42578125" style="14" customWidth="1"/>
    <col min="6670" max="6670" width="12.7109375" style="14" customWidth="1"/>
    <col min="6671" max="6671" width="11.42578125" style="14" customWidth="1"/>
    <col min="6672" max="6672" width="10.7109375" style="14" customWidth="1"/>
    <col min="6673" max="6673" width="10.5703125" style="14" customWidth="1"/>
    <col min="6674" max="6674" width="11.28515625" style="14" customWidth="1"/>
    <col min="6675" max="6675" width="9.7109375" style="14" customWidth="1"/>
    <col min="6676" max="6676" width="12" style="14" customWidth="1"/>
    <col min="6677" max="6677" width="11.28515625" style="14" customWidth="1"/>
    <col min="6678" max="6915" width="9.140625" style="14"/>
    <col min="6916" max="6916" width="5.7109375" style="14" customWidth="1"/>
    <col min="6917" max="6917" width="13.140625" style="14" customWidth="1"/>
    <col min="6918" max="6918" width="12.28515625" style="14" customWidth="1"/>
    <col min="6919" max="6919" width="8.85546875" style="14" customWidth="1"/>
    <col min="6920" max="6920" width="10.85546875" style="14" customWidth="1"/>
    <col min="6921" max="6921" width="2.85546875" style="14" customWidth="1"/>
    <col min="6922" max="6922" width="12.140625" style="14" customWidth="1"/>
    <col min="6923" max="6923" width="10.140625" style="14" customWidth="1"/>
    <col min="6924" max="6924" width="11.7109375" style="14" customWidth="1"/>
    <col min="6925" max="6925" width="11.42578125" style="14" customWidth="1"/>
    <col min="6926" max="6926" width="12.7109375" style="14" customWidth="1"/>
    <col min="6927" max="6927" width="11.42578125" style="14" customWidth="1"/>
    <col min="6928" max="6928" width="10.7109375" style="14" customWidth="1"/>
    <col min="6929" max="6929" width="10.5703125" style="14" customWidth="1"/>
    <col min="6930" max="6930" width="11.28515625" style="14" customWidth="1"/>
    <col min="6931" max="6931" width="9.7109375" style="14" customWidth="1"/>
    <col min="6932" max="6932" width="12" style="14" customWidth="1"/>
    <col min="6933" max="6933" width="11.28515625" style="14" customWidth="1"/>
    <col min="6934" max="7171" width="9.140625" style="14"/>
    <col min="7172" max="7172" width="5.7109375" style="14" customWidth="1"/>
    <col min="7173" max="7173" width="13.140625" style="14" customWidth="1"/>
    <col min="7174" max="7174" width="12.28515625" style="14" customWidth="1"/>
    <col min="7175" max="7175" width="8.85546875" style="14" customWidth="1"/>
    <col min="7176" max="7176" width="10.85546875" style="14" customWidth="1"/>
    <col min="7177" max="7177" width="2.85546875" style="14" customWidth="1"/>
    <col min="7178" max="7178" width="12.140625" style="14" customWidth="1"/>
    <col min="7179" max="7179" width="10.140625" style="14" customWidth="1"/>
    <col min="7180" max="7180" width="11.7109375" style="14" customWidth="1"/>
    <col min="7181" max="7181" width="11.42578125" style="14" customWidth="1"/>
    <col min="7182" max="7182" width="12.7109375" style="14" customWidth="1"/>
    <col min="7183" max="7183" width="11.42578125" style="14" customWidth="1"/>
    <col min="7184" max="7184" width="10.7109375" style="14" customWidth="1"/>
    <col min="7185" max="7185" width="10.5703125" style="14" customWidth="1"/>
    <col min="7186" max="7186" width="11.28515625" style="14" customWidth="1"/>
    <col min="7187" max="7187" width="9.7109375" style="14" customWidth="1"/>
    <col min="7188" max="7188" width="12" style="14" customWidth="1"/>
    <col min="7189" max="7189" width="11.28515625" style="14" customWidth="1"/>
    <col min="7190" max="7427" width="9.140625" style="14"/>
    <col min="7428" max="7428" width="5.7109375" style="14" customWidth="1"/>
    <col min="7429" max="7429" width="13.140625" style="14" customWidth="1"/>
    <col min="7430" max="7430" width="12.28515625" style="14" customWidth="1"/>
    <col min="7431" max="7431" width="8.85546875" style="14" customWidth="1"/>
    <col min="7432" max="7432" width="10.85546875" style="14" customWidth="1"/>
    <col min="7433" max="7433" width="2.85546875" style="14" customWidth="1"/>
    <col min="7434" max="7434" width="12.140625" style="14" customWidth="1"/>
    <col min="7435" max="7435" width="10.140625" style="14" customWidth="1"/>
    <col min="7436" max="7436" width="11.7109375" style="14" customWidth="1"/>
    <col min="7437" max="7437" width="11.42578125" style="14" customWidth="1"/>
    <col min="7438" max="7438" width="12.7109375" style="14" customWidth="1"/>
    <col min="7439" max="7439" width="11.42578125" style="14" customWidth="1"/>
    <col min="7440" max="7440" width="10.7109375" style="14" customWidth="1"/>
    <col min="7441" max="7441" width="10.5703125" style="14" customWidth="1"/>
    <col min="7442" max="7442" width="11.28515625" style="14" customWidth="1"/>
    <col min="7443" max="7443" width="9.7109375" style="14" customWidth="1"/>
    <col min="7444" max="7444" width="12" style="14" customWidth="1"/>
    <col min="7445" max="7445" width="11.28515625" style="14" customWidth="1"/>
    <col min="7446" max="7683" width="9.140625" style="14"/>
    <col min="7684" max="7684" width="5.7109375" style="14" customWidth="1"/>
    <col min="7685" max="7685" width="13.140625" style="14" customWidth="1"/>
    <col min="7686" max="7686" width="12.28515625" style="14" customWidth="1"/>
    <col min="7687" max="7687" width="8.85546875" style="14" customWidth="1"/>
    <col min="7688" max="7688" width="10.85546875" style="14" customWidth="1"/>
    <col min="7689" max="7689" width="2.85546875" style="14" customWidth="1"/>
    <col min="7690" max="7690" width="12.140625" style="14" customWidth="1"/>
    <col min="7691" max="7691" width="10.140625" style="14" customWidth="1"/>
    <col min="7692" max="7692" width="11.7109375" style="14" customWidth="1"/>
    <col min="7693" max="7693" width="11.42578125" style="14" customWidth="1"/>
    <col min="7694" max="7694" width="12.7109375" style="14" customWidth="1"/>
    <col min="7695" max="7695" width="11.42578125" style="14" customWidth="1"/>
    <col min="7696" max="7696" width="10.7109375" style="14" customWidth="1"/>
    <col min="7697" max="7697" width="10.5703125" style="14" customWidth="1"/>
    <col min="7698" max="7698" width="11.28515625" style="14" customWidth="1"/>
    <col min="7699" max="7699" width="9.7109375" style="14" customWidth="1"/>
    <col min="7700" max="7700" width="12" style="14" customWidth="1"/>
    <col min="7701" max="7701" width="11.28515625" style="14" customWidth="1"/>
    <col min="7702" max="7939" width="9.140625" style="14"/>
    <col min="7940" max="7940" width="5.7109375" style="14" customWidth="1"/>
    <col min="7941" max="7941" width="13.140625" style="14" customWidth="1"/>
    <col min="7942" max="7942" width="12.28515625" style="14" customWidth="1"/>
    <col min="7943" max="7943" width="8.85546875" style="14" customWidth="1"/>
    <col min="7944" max="7944" width="10.85546875" style="14" customWidth="1"/>
    <col min="7945" max="7945" width="2.85546875" style="14" customWidth="1"/>
    <col min="7946" max="7946" width="12.140625" style="14" customWidth="1"/>
    <col min="7947" max="7947" width="10.140625" style="14" customWidth="1"/>
    <col min="7948" max="7948" width="11.7109375" style="14" customWidth="1"/>
    <col min="7949" max="7949" width="11.42578125" style="14" customWidth="1"/>
    <col min="7950" max="7950" width="12.7109375" style="14" customWidth="1"/>
    <col min="7951" max="7951" width="11.42578125" style="14" customWidth="1"/>
    <col min="7952" max="7952" width="10.7109375" style="14" customWidth="1"/>
    <col min="7953" max="7953" width="10.5703125" style="14" customWidth="1"/>
    <col min="7954" max="7954" width="11.28515625" style="14" customWidth="1"/>
    <col min="7955" max="7955" width="9.7109375" style="14" customWidth="1"/>
    <col min="7956" max="7956" width="12" style="14" customWidth="1"/>
    <col min="7957" max="7957" width="11.28515625" style="14" customWidth="1"/>
    <col min="7958" max="8195" width="9.140625" style="14"/>
    <col min="8196" max="8196" width="5.7109375" style="14" customWidth="1"/>
    <col min="8197" max="8197" width="13.140625" style="14" customWidth="1"/>
    <col min="8198" max="8198" width="12.28515625" style="14" customWidth="1"/>
    <col min="8199" max="8199" width="8.85546875" style="14" customWidth="1"/>
    <col min="8200" max="8200" width="10.85546875" style="14" customWidth="1"/>
    <col min="8201" max="8201" width="2.85546875" style="14" customWidth="1"/>
    <col min="8202" max="8202" width="12.140625" style="14" customWidth="1"/>
    <col min="8203" max="8203" width="10.140625" style="14" customWidth="1"/>
    <col min="8204" max="8204" width="11.7109375" style="14" customWidth="1"/>
    <col min="8205" max="8205" width="11.42578125" style="14" customWidth="1"/>
    <col min="8206" max="8206" width="12.7109375" style="14" customWidth="1"/>
    <col min="8207" max="8207" width="11.42578125" style="14" customWidth="1"/>
    <col min="8208" max="8208" width="10.7109375" style="14" customWidth="1"/>
    <col min="8209" max="8209" width="10.5703125" style="14" customWidth="1"/>
    <col min="8210" max="8210" width="11.28515625" style="14" customWidth="1"/>
    <col min="8211" max="8211" width="9.7109375" style="14" customWidth="1"/>
    <col min="8212" max="8212" width="12" style="14" customWidth="1"/>
    <col min="8213" max="8213" width="11.28515625" style="14" customWidth="1"/>
    <col min="8214" max="8451" width="9.140625" style="14"/>
    <col min="8452" max="8452" width="5.7109375" style="14" customWidth="1"/>
    <col min="8453" max="8453" width="13.140625" style="14" customWidth="1"/>
    <col min="8454" max="8454" width="12.28515625" style="14" customWidth="1"/>
    <col min="8455" max="8455" width="8.85546875" style="14" customWidth="1"/>
    <col min="8456" max="8456" width="10.85546875" style="14" customWidth="1"/>
    <col min="8457" max="8457" width="2.85546875" style="14" customWidth="1"/>
    <col min="8458" max="8458" width="12.140625" style="14" customWidth="1"/>
    <col min="8459" max="8459" width="10.140625" style="14" customWidth="1"/>
    <col min="8460" max="8460" width="11.7109375" style="14" customWidth="1"/>
    <col min="8461" max="8461" width="11.42578125" style="14" customWidth="1"/>
    <col min="8462" max="8462" width="12.7109375" style="14" customWidth="1"/>
    <col min="8463" max="8463" width="11.42578125" style="14" customWidth="1"/>
    <col min="8464" max="8464" width="10.7109375" style="14" customWidth="1"/>
    <col min="8465" max="8465" width="10.5703125" style="14" customWidth="1"/>
    <col min="8466" max="8466" width="11.28515625" style="14" customWidth="1"/>
    <col min="8467" max="8467" width="9.7109375" style="14" customWidth="1"/>
    <col min="8468" max="8468" width="12" style="14" customWidth="1"/>
    <col min="8469" max="8469" width="11.28515625" style="14" customWidth="1"/>
    <col min="8470" max="8707" width="9.140625" style="14"/>
    <col min="8708" max="8708" width="5.7109375" style="14" customWidth="1"/>
    <col min="8709" max="8709" width="13.140625" style="14" customWidth="1"/>
    <col min="8710" max="8710" width="12.28515625" style="14" customWidth="1"/>
    <col min="8711" max="8711" width="8.85546875" style="14" customWidth="1"/>
    <col min="8712" max="8712" width="10.85546875" style="14" customWidth="1"/>
    <col min="8713" max="8713" width="2.85546875" style="14" customWidth="1"/>
    <col min="8714" max="8714" width="12.140625" style="14" customWidth="1"/>
    <col min="8715" max="8715" width="10.140625" style="14" customWidth="1"/>
    <col min="8716" max="8716" width="11.7109375" style="14" customWidth="1"/>
    <col min="8717" max="8717" width="11.42578125" style="14" customWidth="1"/>
    <col min="8718" max="8718" width="12.7109375" style="14" customWidth="1"/>
    <col min="8719" max="8719" width="11.42578125" style="14" customWidth="1"/>
    <col min="8720" max="8720" width="10.7109375" style="14" customWidth="1"/>
    <col min="8721" max="8721" width="10.5703125" style="14" customWidth="1"/>
    <col min="8722" max="8722" width="11.28515625" style="14" customWidth="1"/>
    <col min="8723" max="8723" width="9.7109375" style="14" customWidth="1"/>
    <col min="8724" max="8724" width="12" style="14" customWidth="1"/>
    <col min="8725" max="8725" width="11.28515625" style="14" customWidth="1"/>
    <col min="8726" max="8963" width="9.140625" style="14"/>
    <col min="8964" max="8964" width="5.7109375" style="14" customWidth="1"/>
    <col min="8965" max="8965" width="13.140625" style="14" customWidth="1"/>
    <col min="8966" max="8966" width="12.28515625" style="14" customWidth="1"/>
    <col min="8967" max="8967" width="8.85546875" style="14" customWidth="1"/>
    <col min="8968" max="8968" width="10.85546875" style="14" customWidth="1"/>
    <col min="8969" max="8969" width="2.85546875" style="14" customWidth="1"/>
    <col min="8970" max="8970" width="12.140625" style="14" customWidth="1"/>
    <col min="8971" max="8971" width="10.140625" style="14" customWidth="1"/>
    <col min="8972" max="8972" width="11.7109375" style="14" customWidth="1"/>
    <col min="8973" max="8973" width="11.42578125" style="14" customWidth="1"/>
    <col min="8974" max="8974" width="12.7109375" style="14" customWidth="1"/>
    <col min="8975" max="8975" width="11.42578125" style="14" customWidth="1"/>
    <col min="8976" max="8976" width="10.7109375" style="14" customWidth="1"/>
    <col min="8977" max="8977" width="10.5703125" style="14" customWidth="1"/>
    <col min="8978" max="8978" width="11.28515625" style="14" customWidth="1"/>
    <col min="8979" max="8979" width="9.7109375" style="14" customWidth="1"/>
    <col min="8980" max="8980" width="12" style="14" customWidth="1"/>
    <col min="8981" max="8981" width="11.28515625" style="14" customWidth="1"/>
    <col min="8982" max="9219" width="9.140625" style="14"/>
    <col min="9220" max="9220" width="5.7109375" style="14" customWidth="1"/>
    <col min="9221" max="9221" width="13.140625" style="14" customWidth="1"/>
    <col min="9222" max="9222" width="12.28515625" style="14" customWidth="1"/>
    <col min="9223" max="9223" width="8.85546875" style="14" customWidth="1"/>
    <col min="9224" max="9224" width="10.85546875" style="14" customWidth="1"/>
    <col min="9225" max="9225" width="2.85546875" style="14" customWidth="1"/>
    <col min="9226" max="9226" width="12.140625" style="14" customWidth="1"/>
    <col min="9227" max="9227" width="10.140625" style="14" customWidth="1"/>
    <col min="9228" max="9228" width="11.7109375" style="14" customWidth="1"/>
    <col min="9229" max="9229" width="11.42578125" style="14" customWidth="1"/>
    <col min="9230" max="9230" width="12.7109375" style="14" customWidth="1"/>
    <col min="9231" max="9231" width="11.42578125" style="14" customWidth="1"/>
    <col min="9232" max="9232" width="10.7109375" style="14" customWidth="1"/>
    <col min="9233" max="9233" width="10.5703125" style="14" customWidth="1"/>
    <col min="9234" max="9234" width="11.28515625" style="14" customWidth="1"/>
    <col min="9235" max="9235" width="9.7109375" style="14" customWidth="1"/>
    <col min="9236" max="9236" width="12" style="14" customWidth="1"/>
    <col min="9237" max="9237" width="11.28515625" style="14" customWidth="1"/>
    <col min="9238" max="9475" width="9.140625" style="14"/>
    <col min="9476" max="9476" width="5.7109375" style="14" customWidth="1"/>
    <col min="9477" max="9477" width="13.140625" style="14" customWidth="1"/>
    <col min="9478" max="9478" width="12.28515625" style="14" customWidth="1"/>
    <col min="9479" max="9479" width="8.85546875" style="14" customWidth="1"/>
    <col min="9480" max="9480" width="10.85546875" style="14" customWidth="1"/>
    <col min="9481" max="9481" width="2.85546875" style="14" customWidth="1"/>
    <col min="9482" max="9482" width="12.140625" style="14" customWidth="1"/>
    <col min="9483" max="9483" width="10.140625" style="14" customWidth="1"/>
    <col min="9484" max="9484" width="11.7109375" style="14" customWidth="1"/>
    <col min="9485" max="9485" width="11.42578125" style="14" customWidth="1"/>
    <col min="9486" max="9486" width="12.7109375" style="14" customWidth="1"/>
    <col min="9487" max="9487" width="11.42578125" style="14" customWidth="1"/>
    <col min="9488" max="9488" width="10.7109375" style="14" customWidth="1"/>
    <col min="9489" max="9489" width="10.5703125" style="14" customWidth="1"/>
    <col min="9490" max="9490" width="11.28515625" style="14" customWidth="1"/>
    <col min="9491" max="9491" width="9.7109375" style="14" customWidth="1"/>
    <col min="9492" max="9492" width="12" style="14" customWidth="1"/>
    <col min="9493" max="9493" width="11.28515625" style="14" customWidth="1"/>
    <col min="9494" max="9731" width="9.140625" style="14"/>
    <col min="9732" max="9732" width="5.7109375" style="14" customWidth="1"/>
    <col min="9733" max="9733" width="13.140625" style="14" customWidth="1"/>
    <col min="9734" max="9734" width="12.28515625" style="14" customWidth="1"/>
    <col min="9735" max="9735" width="8.85546875" style="14" customWidth="1"/>
    <col min="9736" max="9736" width="10.85546875" style="14" customWidth="1"/>
    <col min="9737" max="9737" width="2.85546875" style="14" customWidth="1"/>
    <col min="9738" max="9738" width="12.140625" style="14" customWidth="1"/>
    <col min="9739" max="9739" width="10.140625" style="14" customWidth="1"/>
    <col min="9740" max="9740" width="11.7109375" style="14" customWidth="1"/>
    <col min="9741" max="9741" width="11.42578125" style="14" customWidth="1"/>
    <col min="9742" max="9742" width="12.7109375" style="14" customWidth="1"/>
    <col min="9743" max="9743" width="11.42578125" style="14" customWidth="1"/>
    <col min="9744" max="9744" width="10.7109375" style="14" customWidth="1"/>
    <col min="9745" max="9745" width="10.5703125" style="14" customWidth="1"/>
    <col min="9746" max="9746" width="11.28515625" style="14" customWidth="1"/>
    <col min="9747" max="9747" width="9.7109375" style="14" customWidth="1"/>
    <col min="9748" max="9748" width="12" style="14" customWidth="1"/>
    <col min="9749" max="9749" width="11.28515625" style="14" customWidth="1"/>
    <col min="9750" max="9987" width="9.140625" style="14"/>
    <col min="9988" max="9988" width="5.7109375" style="14" customWidth="1"/>
    <col min="9989" max="9989" width="13.140625" style="14" customWidth="1"/>
    <col min="9990" max="9990" width="12.28515625" style="14" customWidth="1"/>
    <col min="9991" max="9991" width="8.85546875" style="14" customWidth="1"/>
    <col min="9992" max="9992" width="10.85546875" style="14" customWidth="1"/>
    <col min="9993" max="9993" width="2.85546875" style="14" customWidth="1"/>
    <col min="9994" max="9994" width="12.140625" style="14" customWidth="1"/>
    <col min="9995" max="9995" width="10.140625" style="14" customWidth="1"/>
    <col min="9996" max="9996" width="11.7109375" style="14" customWidth="1"/>
    <col min="9997" max="9997" width="11.42578125" style="14" customWidth="1"/>
    <col min="9998" max="9998" width="12.7109375" style="14" customWidth="1"/>
    <col min="9999" max="9999" width="11.42578125" style="14" customWidth="1"/>
    <col min="10000" max="10000" width="10.7109375" style="14" customWidth="1"/>
    <col min="10001" max="10001" width="10.5703125" style="14" customWidth="1"/>
    <col min="10002" max="10002" width="11.28515625" style="14" customWidth="1"/>
    <col min="10003" max="10003" width="9.7109375" style="14" customWidth="1"/>
    <col min="10004" max="10004" width="12" style="14" customWidth="1"/>
    <col min="10005" max="10005" width="11.28515625" style="14" customWidth="1"/>
    <col min="10006" max="10243" width="9.140625" style="14"/>
    <col min="10244" max="10244" width="5.7109375" style="14" customWidth="1"/>
    <col min="10245" max="10245" width="13.140625" style="14" customWidth="1"/>
    <col min="10246" max="10246" width="12.28515625" style="14" customWidth="1"/>
    <col min="10247" max="10247" width="8.85546875" style="14" customWidth="1"/>
    <col min="10248" max="10248" width="10.85546875" style="14" customWidth="1"/>
    <col min="10249" max="10249" width="2.85546875" style="14" customWidth="1"/>
    <col min="10250" max="10250" width="12.140625" style="14" customWidth="1"/>
    <col min="10251" max="10251" width="10.140625" style="14" customWidth="1"/>
    <col min="10252" max="10252" width="11.7109375" style="14" customWidth="1"/>
    <col min="10253" max="10253" width="11.42578125" style="14" customWidth="1"/>
    <col min="10254" max="10254" width="12.7109375" style="14" customWidth="1"/>
    <col min="10255" max="10255" width="11.42578125" style="14" customWidth="1"/>
    <col min="10256" max="10256" width="10.7109375" style="14" customWidth="1"/>
    <col min="10257" max="10257" width="10.5703125" style="14" customWidth="1"/>
    <col min="10258" max="10258" width="11.28515625" style="14" customWidth="1"/>
    <col min="10259" max="10259" width="9.7109375" style="14" customWidth="1"/>
    <col min="10260" max="10260" width="12" style="14" customWidth="1"/>
    <col min="10261" max="10261" width="11.28515625" style="14" customWidth="1"/>
    <col min="10262" max="10499" width="9.140625" style="14"/>
    <col min="10500" max="10500" width="5.7109375" style="14" customWidth="1"/>
    <col min="10501" max="10501" width="13.140625" style="14" customWidth="1"/>
    <col min="10502" max="10502" width="12.28515625" style="14" customWidth="1"/>
    <col min="10503" max="10503" width="8.85546875" style="14" customWidth="1"/>
    <col min="10504" max="10504" width="10.85546875" style="14" customWidth="1"/>
    <col min="10505" max="10505" width="2.85546875" style="14" customWidth="1"/>
    <col min="10506" max="10506" width="12.140625" style="14" customWidth="1"/>
    <col min="10507" max="10507" width="10.140625" style="14" customWidth="1"/>
    <col min="10508" max="10508" width="11.7109375" style="14" customWidth="1"/>
    <col min="10509" max="10509" width="11.42578125" style="14" customWidth="1"/>
    <col min="10510" max="10510" width="12.7109375" style="14" customWidth="1"/>
    <col min="10511" max="10511" width="11.42578125" style="14" customWidth="1"/>
    <col min="10512" max="10512" width="10.7109375" style="14" customWidth="1"/>
    <col min="10513" max="10513" width="10.5703125" style="14" customWidth="1"/>
    <col min="10514" max="10514" width="11.28515625" style="14" customWidth="1"/>
    <col min="10515" max="10515" width="9.7109375" style="14" customWidth="1"/>
    <col min="10516" max="10516" width="12" style="14" customWidth="1"/>
    <col min="10517" max="10517" width="11.28515625" style="14" customWidth="1"/>
    <col min="10518" max="10755" width="9.140625" style="14"/>
    <col min="10756" max="10756" width="5.7109375" style="14" customWidth="1"/>
    <col min="10757" max="10757" width="13.140625" style="14" customWidth="1"/>
    <col min="10758" max="10758" width="12.28515625" style="14" customWidth="1"/>
    <col min="10759" max="10759" width="8.85546875" style="14" customWidth="1"/>
    <col min="10760" max="10760" width="10.85546875" style="14" customWidth="1"/>
    <col min="10761" max="10761" width="2.85546875" style="14" customWidth="1"/>
    <col min="10762" max="10762" width="12.140625" style="14" customWidth="1"/>
    <col min="10763" max="10763" width="10.140625" style="14" customWidth="1"/>
    <col min="10764" max="10764" width="11.7109375" style="14" customWidth="1"/>
    <col min="10765" max="10765" width="11.42578125" style="14" customWidth="1"/>
    <col min="10766" max="10766" width="12.7109375" style="14" customWidth="1"/>
    <col min="10767" max="10767" width="11.42578125" style="14" customWidth="1"/>
    <col min="10768" max="10768" width="10.7109375" style="14" customWidth="1"/>
    <col min="10769" max="10769" width="10.5703125" style="14" customWidth="1"/>
    <col min="10770" max="10770" width="11.28515625" style="14" customWidth="1"/>
    <col min="10771" max="10771" width="9.7109375" style="14" customWidth="1"/>
    <col min="10772" max="10772" width="12" style="14" customWidth="1"/>
    <col min="10773" max="10773" width="11.28515625" style="14" customWidth="1"/>
    <col min="10774" max="11011" width="9.140625" style="14"/>
    <col min="11012" max="11012" width="5.7109375" style="14" customWidth="1"/>
    <col min="11013" max="11013" width="13.140625" style="14" customWidth="1"/>
    <col min="11014" max="11014" width="12.28515625" style="14" customWidth="1"/>
    <col min="11015" max="11015" width="8.85546875" style="14" customWidth="1"/>
    <col min="11016" max="11016" width="10.85546875" style="14" customWidth="1"/>
    <col min="11017" max="11017" width="2.85546875" style="14" customWidth="1"/>
    <col min="11018" max="11018" width="12.140625" style="14" customWidth="1"/>
    <col min="11019" max="11019" width="10.140625" style="14" customWidth="1"/>
    <col min="11020" max="11020" width="11.7109375" style="14" customWidth="1"/>
    <col min="11021" max="11021" width="11.42578125" style="14" customWidth="1"/>
    <col min="11022" max="11022" width="12.7109375" style="14" customWidth="1"/>
    <col min="11023" max="11023" width="11.42578125" style="14" customWidth="1"/>
    <col min="11024" max="11024" width="10.7109375" style="14" customWidth="1"/>
    <col min="11025" max="11025" width="10.5703125" style="14" customWidth="1"/>
    <col min="11026" max="11026" width="11.28515625" style="14" customWidth="1"/>
    <col min="11027" max="11027" width="9.7109375" style="14" customWidth="1"/>
    <col min="11028" max="11028" width="12" style="14" customWidth="1"/>
    <col min="11029" max="11029" width="11.28515625" style="14" customWidth="1"/>
    <col min="11030" max="11267" width="9.140625" style="14"/>
    <col min="11268" max="11268" width="5.7109375" style="14" customWidth="1"/>
    <col min="11269" max="11269" width="13.140625" style="14" customWidth="1"/>
    <col min="11270" max="11270" width="12.28515625" style="14" customWidth="1"/>
    <col min="11271" max="11271" width="8.85546875" style="14" customWidth="1"/>
    <col min="11272" max="11272" width="10.85546875" style="14" customWidth="1"/>
    <col min="11273" max="11273" width="2.85546875" style="14" customWidth="1"/>
    <col min="11274" max="11274" width="12.140625" style="14" customWidth="1"/>
    <col min="11275" max="11275" width="10.140625" style="14" customWidth="1"/>
    <col min="11276" max="11276" width="11.7109375" style="14" customWidth="1"/>
    <col min="11277" max="11277" width="11.42578125" style="14" customWidth="1"/>
    <col min="11278" max="11278" width="12.7109375" style="14" customWidth="1"/>
    <col min="11279" max="11279" width="11.42578125" style="14" customWidth="1"/>
    <col min="11280" max="11280" width="10.7109375" style="14" customWidth="1"/>
    <col min="11281" max="11281" width="10.5703125" style="14" customWidth="1"/>
    <col min="11282" max="11282" width="11.28515625" style="14" customWidth="1"/>
    <col min="11283" max="11283" width="9.7109375" style="14" customWidth="1"/>
    <col min="11284" max="11284" width="12" style="14" customWidth="1"/>
    <col min="11285" max="11285" width="11.28515625" style="14" customWidth="1"/>
    <col min="11286" max="11523" width="9.140625" style="14"/>
    <col min="11524" max="11524" width="5.7109375" style="14" customWidth="1"/>
    <col min="11525" max="11525" width="13.140625" style="14" customWidth="1"/>
    <col min="11526" max="11526" width="12.28515625" style="14" customWidth="1"/>
    <col min="11527" max="11527" width="8.85546875" style="14" customWidth="1"/>
    <col min="11528" max="11528" width="10.85546875" style="14" customWidth="1"/>
    <col min="11529" max="11529" width="2.85546875" style="14" customWidth="1"/>
    <col min="11530" max="11530" width="12.140625" style="14" customWidth="1"/>
    <col min="11531" max="11531" width="10.140625" style="14" customWidth="1"/>
    <col min="11532" max="11532" width="11.7109375" style="14" customWidth="1"/>
    <col min="11533" max="11533" width="11.42578125" style="14" customWidth="1"/>
    <col min="11534" max="11534" width="12.7109375" style="14" customWidth="1"/>
    <col min="11535" max="11535" width="11.42578125" style="14" customWidth="1"/>
    <col min="11536" max="11536" width="10.7109375" style="14" customWidth="1"/>
    <col min="11537" max="11537" width="10.5703125" style="14" customWidth="1"/>
    <col min="11538" max="11538" width="11.28515625" style="14" customWidth="1"/>
    <col min="11539" max="11539" width="9.7109375" style="14" customWidth="1"/>
    <col min="11540" max="11540" width="12" style="14" customWidth="1"/>
    <col min="11541" max="11541" width="11.28515625" style="14" customWidth="1"/>
    <col min="11542" max="11779" width="9.140625" style="14"/>
    <col min="11780" max="11780" width="5.7109375" style="14" customWidth="1"/>
    <col min="11781" max="11781" width="13.140625" style="14" customWidth="1"/>
    <col min="11782" max="11782" width="12.28515625" style="14" customWidth="1"/>
    <col min="11783" max="11783" width="8.85546875" style="14" customWidth="1"/>
    <col min="11784" max="11784" width="10.85546875" style="14" customWidth="1"/>
    <col min="11785" max="11785" width="2.85546875" style="14" customWidth="1"/>
    <col min="11786" max="11786" width="12.140625" style="14" customWidth="1"/>
    <col min="11787" max="11787" width="10.140625" style="14" customWidth="1"/>
    <col min="11788" max="11788" width="11.7109375" style="14" customWidth="1"/>
    <col min="11789" max="11789" width="11.42578125" style="14" customWidth="1"/>
    <col min="11790" max="11790" width="12.7109375" style="14" customWidth="1"/>
    <col min="11791" max="11791" width="11.42578125" style="14" customWidth="1"/>
    <col min="11792" max="11792" width="10.7109375" style="14" customWidth="1"/>
    <col min="11793" max="11793" width="10.5703125" style="14" customWidth="1"/>
    <col min="11794" max="11794" width="11.28515625" style="14" customWidth="1"/>
    <col min="11795" max="11795" width="9.7109375" style="14" customWidth="1"/>
    <col min="11796" max="11796" width="12" style="14" customWidth="1"/>
    <col min="11797" max="11797" width="11.28515625" style="14" customWidth="1"/>
    <col min="11798" max="12035" width="9.140625" style="14"/>
    <col min="12036" max="12036" width="5.7109375" style="14" customWidth="1"/>
    <col min="12037" max="12037" width="13.140625" style="14" customWidth="1"/>
    <col min="12038" max="12038" width="12.28515625" style="14" customWidth="1"/>
    <col min="12039" max="12039" width="8.85546875" style="14" customWidth="1"/>
    <col min="12040" max="12040" width="10.85546875" style="14" customWidth="1"/>
    <col min="12041" max="12041" width="2.85546875" style="14" customWidth="1"/>
    <col min="12042" max="12042" width="12.140625" style="14" customWidth="1"/>
    <col min="12043" max="12043" width="10.140625" style="14" customWidth="1"/>
    <col min="12044" max="12044" width="11.7109375" style="14" customWidth="1"/>
    <col min="12045" max="12045" width="11.42578125" style="14" customWidth="1"/>
    <col min="12046" max="12046" width="12.7109375" style="14" customWidth="1"/>
    <col min="12047" max="12047" width="11.42578125" style="14" customWidth="1"/>
    <col min="12048" max="12048" width="10.7109375" style="14" customWidth="1"/>
    <col min="12049" max="12049" width="10.5703125" style="14" customWidth="1"/>
    <col min="12050" max="12050" width="11.28515625" style="14" customWidth="1"/>
    <col min="12051" max="12051" width="9.7109375" style="14" customWidth="1"/>
    <col min="12052" max="12052" width="12" style="14" customWidth="1"/>
    <col min="12053" max="12053" width="11.28515625" style="14" customWidth="1"/>
    <col min="12054" max="12291" width="9.140625" style="14"/>
    <col min="12292" max="12292" width="5.7109375" style="14" customWidth="1"/>
    <col min="12293" max="12293" width="13.140625" style="14" customWidth="1"/>
    <col min="12294" max="12294" width="12.28515625" style="14" customWidth="1"/>
    <col min="12295" max="12295" width="8.85546875" style="14" customWidth="1"/>
    <col min="12296" max="12296" width="10.85546875" style="14" customWidth="1"/>
    <col min="12297" max="12297" width="2.85546875" style="14" customWidth="1"/>
    <col min="12298" max="12298" width="12.140625" style="14" customWidth="1"/>
    <col min="12299" max="12299" width="10.140625" style="14" customWidth="1"/>
    <col min="12300" max="12300" width="11.7109375" style="14" customWidth="1"/>
    <col min="12301" max="12301" width="11.42578125" style="14" customWidth="1"/>
    <col min="12302" max="12302" width="12.7109375" style="14" customWidth="1"/>
    <col min="12303" max="12303" width="11.42578125" style="14" customWidth="1"/>
    <col min="12304" max="12304" width="10.7109375" style="14" customWidth="1"/>
    <col min="12305" max="12305" width="10.5703125" style="14" customWidth="1"/>
    <col min="12306" max="12306" width="11.28515625" style="14" customWidth="1"/>
    <col min="12307" max="12307" width="9.7109375" style="14" customWidth="1"/>
    <col min="12308" max="12308" width="12" style="14" customWidth="1"/>
    <col min="12309" max="12309" width="11.28515625" style="14" customWidth="1"/>
    <col min="12310" max="12547" width="9.140625" style="14"/>
    <col min="12548" max="12548" width="5.7109375" style="14" customWidth="1"/>
    <col min="12549" max="12549" width="13.140625" style="14" customWidth="1"/>
    <col min="12550" max="12550" width="12.28515625" style="14" customWidth="1"/>
    <col min="12551" max="12551" width="8.85546875" style="14" customWidth="1"/>
    <col min="12552" max="12552" width="10.85546875" style="14" customWidth="1"/>
    <col min="12553" max="12553" width="2.85546875" style="14" customWidth="1"/>
    <col min="12554" max="12554" width="12.140625" style="14" customWidth="1"/>
    <col min="12555" max="12555" width="10.140625" style="14" customWidth="1"/>
    <col min="12556" max="12556" width="11.7109375" style="14" customWidth="1"/>
    <col min="12557" max="12557" width="11.42578125" style="14" customWidth="1"/>
    <col min="12558" max="12558" width="12.7109375" style="14" customWidth="1"/>
    <col min="12559" max="12559" width="11.42578125" style="14" customWidth="1"/>
    <col min="12560" max="12560" width="10.7109375" style="14" customWidth="1"/>
    <col min="12561" max="12561" width="10.5703125" style="14" customWidth="1"/>
    <col min="12562" max="12562" width="11.28515625" style="14" customWidth="1"/>
    <col min="12563" max="12563" width="9.7109375" style="14" customWidth="1"/>
    <col min="12564" max="12564" width="12" style="14" customWidth="1"/>
    <col min="12565" max="12565" width="11.28515625" style="14" customWidth="1"/>
    <col min="12566" max="12803" width="9.140625" style="14"/>
    <col min="12804" max="12804" width="5.7109375" style="14" customWidth="1"/>
    <col min="12805" max="12805" width="13.140625" style="14" customWidth="1"/>
    <col min="12806" max="12806" width="12.28515625" style="14" customWidth="1"/>
    <col min="12807" max="12807" width="8.85546875" style="14" customWidth="1"/>
    <col min="12808" max="12808" width="10.85546875" style="14" customWidth="1"/>
    <col min="12809" max="12809" width="2.85546875" style="14" customWidth="1"/>
    <col min="12810" max="12810" width="12.140625" style="14" customWidth="1"/>
    <col min="12811" max="12811" width="10.140625" style="14" customWidth="1"/>
    <col min="12812" max="12812" width="11.7109375" style="14" customWidth="1"/>
    <col min="12813" max="12813" width="11.42578125" style="14" customWidth="1"/>
    <col min="12814" max="12814" width="12.7109375" style="14" customWidth="1"/>
    <col min="12815" max="12815" width="11.42578125" style="14" customWidth="1"/>
    <col min="12816" max="12816" width="10.7109375" style="14" customWidth="1"/>
    <col min="12817" max="12817" width="10.5703125" style="14" customWidth="1"/>
    <col min="12818" max="12818" width="11.28515625" style="14" customWidth="1"/>
    <col min="12819" max="12819" width="9.7109375" style="14" customWidth="1"/>
    <col min="12820" max="12820" width="12" style="14" customWidth="1"/>
    <col min="12821" max="12821" width="11.28515625" style="14" customWidth="1"/>
    <col min="12822" max="13059" width="9.140625" style="14"/>
    <col min="13060" max="13060" width="5.7109375" style="14" customWidth="1"/>
    <col min="13061" max="13061" width="13.140625" style="14" customWidth="1"/>
    <col min="13062" max="13062" width="12.28515625" style="14" customWidth="1"/>
    <col min="13063" max="13063" width="8.85546875" style="14" customWidth="1"/>
    <col min="13064" max="13064" width="10.85546875" style="14" customWidth="1"/>
    <col min="13065" max="13065" width="2.85546875" style="14" customWidth="1"/>
    <col min="13066" max="13066" width="12.140625" style="14" customWidth="1"/>
    <col min="13067" max="13067" width="10.140625" style="14" customWidth="1"/>
    <col min="13068" max="13068" width="11.7109375" style="14" customWidth="1"/>
    <col min="13069" max="13069" width="11.42578125" style="14" customWidth="1"/>
    <col min="13070" max="13070" width="12.7109375" style="14" customWidth="1"/>
    <col min="13071" max="13071" width="11.42578125" style="14" customWidth="1"/>
    <col min="13072" max="13072" width="10.7109375" style="14" customWidth="1"/>
    <col min="13073" max="13073" width="10.5703125" style="14" customWidth="1"/>
    <col min="13074" max="13074" width="11.28515625" style="14" customWidth="1"/>
    <col min="13075" max="13075" width="9.7109375" style="14" customWidth="1"/>
    <col min="13076" max="13076" width="12" style="14" customWidth="1"/>
    <col min="13077" max="13077" width="11.28515625" style="14" customWidth="1"/>
    <col min="13078" max="13315" width="9.140625" style="14"/>
    <col min="13316" max="13316" width="5.7109375" style="14" customWidth="1"/>
    <col min="13317" max="13317" width="13.140625" style="14" customWidth="1"/>
    <col min="13318" max="13318" width="12.28515625" style="14" customWidth="1"/>
    <col min="13319" max="13319" width="8.85546875" style="14" customWidth="1"/>
    <col min="13320" max="13320" width="10.85546875" style="14" customWidth="1"/>
    <col min="13321" max="13321" width="2.85546875" style="14" customWidth="1"/>
    <col min="13322" max="13322" width="12.140625" style="14" customWidth="1"/>
    <col min="13323" max="13323" width="10.140625" style="14" customWidth="1"/>
    <col min="13324" max="13324" width="11.7109375" style="14" customWidth="1"/>
    <col min="13325" max="13325" width="11.42578125" style="14" customWidth="1"/>
    <col min="13326" max="13326" width="12.7109375" style="14" customWidth="1"/>
    <col min="13327" max="13327" width="11.42578125" style="14" customWidth="1"/>
    <col min="13328" max="13328" width="10.7109375" style="14" customWidth="1"/>
    <col min="13329" max="13329" width="10.5703125" style="14" customWidth="1"/>
    <col min="13330" max="13330" width="11.28515625" style="14" customWidth="1"/>
    <col min="13331" max="13331" width="9.7109375" style="14" customWidth="1"/>
    <col min="13332" max="13332" width="12" style="14" customWidth="1"/>
    <col min="13333" max="13333" width="11.28515625" style="14" customWidth="1"/>
    <col min="13334" max="13571" width="9.140625" style="14"/>
    <col min="13572" max="13572" width="5.7109375" style="14" customWidth="1"/>
    <col min="13573" max="13573" width="13.140625" style="14" customWidth="1"/>
    <col min="13574" max="13574" width="12.28515625" style="14" customWidth="1"/>
    <col min="13575" max="13575" width="8.85546875" style="14" customWidth="1"/>
    <col min="13576" max="13576" width="10.85546875" style="14" customWidth="1"/>
    <col min="13577" max="13577" width="2.85546875" style="14" customWidth="1"/>
    <col min="13578" max="13578" width="12.140625" style="14" customWidth="1"/>
    <col min="13579" max="13579" width="10.140625" style="14" customWidth="1"/>
    <col min="13580" max="13580" width="11.7109375" style="14" customWidth="1"/>
    <col min="13581" max="13581" width="11.42578125" style="14" customWidth="1"/>
    <col min="13582" max="13582" width="12.7109375" style="14" customWidth="1"/>
    <col min="13583" max="13583" width="11.42578125" style="14" customWidth="1"/>
    <col min="13584" max="13584" width="10.7109375" style="14" customWidth="1"/>
    <col min="13585" max="13585" width="10.5703125" style="14" customWidth="1"/>
    <col min="13586" max="13586" width="11.28515625" style="14" customWidth="1"/>
    <col min="13587" max="13587" width="9.7109375" style="14" customWidth="1"/>
    <col min="13588" max="13588" width="12" style="14" customWidth="1"/>
    <col min="13589" max="13589" width="11.28515625" style="14" customWidth="1"/>
    <col min="13590" max="13827" width="9.140625" style="14"/>
    <col min="13828" max="13828" width="5.7109375" style="14" customWidth="1"/>
    <col min="13829" max="13829" width="13.140625" style="14" customWidth="1"/>
    <col min="13830" max="13830" width="12.28515625" style="14" customWidth="1"/>
    <col min="13831" max="13831" width="8.85546875" style="14" customWidth="1"/>
    <col min="13832" max="13832" width="10.85546875" style="14" customWidth="1"/>
    <col min="13833" max="13833" width="2.85546875" style="14" customWidth="1"/>
    <col min="13834" max="13834" width="12.140625" style="14" customWidth="1"/>
    <col min="13835" max="13835" width="10.140625" style="14" customWidth="1"/>
    <col min="13836" max="13836" width="11.7109375" style="14" customWidth="1"/>
    <col min="13837" max="13837" width="11.42578125" style="14" customWidth="1"/>
    <col min="13838" max="13838" width="12.7109375" style="14" customWidth="1"/>
    <col min="13839" max="13839" width="11.42578125" style="14" customWidth="1"/>
    <col min="13840" max="13840" width="10.7109375" style="14" customWidth="1"/>
    <col min="13841" max="13841" width="10.5703125" style="14" customWidth="1"/>
    <col min="13842" max="13842" width="11.28515625" style="14" customWidth="1"/>
    <col min="13843" max="13843" width="9.7109375" style="14" customWidth="1"/>
    <col min="13844" max="13844" width="12" style="14" customWidth="1"/>
    <col min="13845" max="13845" width="11.28515625" style="14" customWidth="1"/>
    <col min="13846" max="14083" width="9.140625" style="14"/>
    <col min="14084" max="14084" width="5.7109375" style="14" customWidth="1"/>
    <col min="14085" max="14085" width="13.140625" style="14" customWidth="1"/>
    <col min="14086" max="14086" width="12.28515625" style="14" customWidth="1"/>
    <col min="14087" max="14087" width="8.85546875" style="14" customWidth="1"/>
    <col min="14088" max="14088" width="10.85546875" style="14" customWidth="1"/>
    <col min="14089" max="14089" width="2.85546875" style="14" customWidth="1"/>
    <col min="14090" max="14090" width="12.140625" style="14" customWidth="1"/>
    <col min="14091" max="14091" width="10.140625" style="14" customWidth="1"/>
    <col min="14092" max="14092" width="11.7109375" style="14" customWidth="1"/>
    <col min="14093" max="14093" width="11.42578125" style="14" customWidth="1"/>
    <col min="14094" max="14094" width="12.7109375" style="14" customWidth="1"/>
    <col min="14095" max="14095" width="11.42578125" style="14" customWidth="1"/>
    <col min="14096" max="14096" width="10.7109375" style="14" customWidth="1"/>
    <col min="14097" max="14097" width="10.5703125" style="14" customWidth="1"/>
    <col min="14098" max="14098" width="11.28515625" style="14" customWidth="1"/>
    <col min="14099" max="14099" width="9.7109375" style="14" customWidth="1"/>
    <col min="14100" max="14100" width="12" style="14" customWidth="1"/>
    <col min="14101" max="14101" width="11.28515625" style="14" customWidth="1"/>
    <col min="14102" max="14339" width="9.140625" style="14"/>
    <col min="14340" max="14340" width="5.7109375" style="14" customWidth="1"/>
    <col min="14341" max="14341" width="13.140625" style="14" customWidth="1"/>
    <col min="14342" max="14342" width="12.28515625" style="14" customWidth="1"/>
    <col min="14343" max="14343" width="8.85546875" style="14" customWidth="1"/>
    <col min="14344" max="14344" width="10.85546875" style="14" customWidth="1"/>
    <col min="14345" max="14345" width="2.85546875" style="14" customWidth="1"/>
    <col min="14346" max="14346" width="12.140625" style="14" customWidth="1"/>
    <col min="14347" max="14347" width="10.140625" style="14" customWidth="1"/>
    <col min="14348" max="14348" width="11.7109375" style="14" customWidth="1"/>
    <col min="14349" max="14349" width="11.42578125" style="14" customWidth="1"/>
    <col min="14350" max="14350" width="12.7109375" style="14" customWidth="1"/>
    <col min="14351" max="14351" width="11.42578125" style="14" customWidth="1"/>
    <col min="14352" max="14352" width="10.7109375" style="14" customWidth="1"/>
    <col min="14353" max="14353" width="10.5703125" style="14" customWidth="1"/>
    <col min="14354" max="14354" width="11.28515625" style="14" customWidth="1"/>
    <col min="14355" max="14355" width="9.7109375" style="14" customWidth="1"/>
    <col min="14356" max="14356" width="12" style="14" customWidth="1"/>
    <col min="14357" max="14357" width="11.28515625" style="14" customWidth="1"/>
    <col min="14358" max="14595" width="9.140625" style="14"/>
    <col min="14596" max="14596" width="5.7109375" style="14" customWidth="1"/>
    <col min="14597" max="14597" width="13.140625" style="14" customWidth="1"/>
    <col min="14598" max="14598" width="12.28515625" style="14" customWidth="1"/>
    <col min="14599" max="14599" width="8.85546875" style="14" customWidth="1"/>
    <col min="14600" max="14600" width="10.85546875" style="14" customWidth="1"/>
    <col min="14601" max="14601" width="2.85546875" style="14" customWidth="1"/>
    <col min="14602" max="14602" width="12.140625" style="14" customWidth="1"/>
    <col min="14603" max="14603" width="10.140625" style="14" customWidth="1"/>
    <col min="14604" max="14604" width="11.7109375" style="14" customWidth="1"/>
    <col min="14605" max="14605" width="11.42578125" style="14" customWidth="1"/>
    <col min="14606" max="14606" width="12.7109375" style="14" customWidth="1"/>
    <col min="14607" max="14607" width="11.42578125" style="14" customWidth="1"/>
    <col min="14608" max="14608" width="10.7109375" style="14" customWidth="1"/>
    <col min="14609" max="14609" width="10.5703125" style="14" customWidth="1"/>
    <col min="14610" max="14610" width="11.28515625" style="14" customWidth="1"/>
    <col min="14611" max="14611" width="9.7109375" style="14" customWidth="1"/>
    <col min="14612" max="14612" width="12" style="14" customWidth="1"/>
    <col min="14613" max="14613" width="11.28515625" style="14" customWidth="1"/>
    <col min="14614" max="14851" width="9.140625" style="14"/>
    <col min="14852" max="14852" width="5.7109375" style="14" customWidth="1"/>
    <col min="14853" max="14853" width="13.140625" style="14" customWidth="1"/>
    <col min="14854" max="14854" width="12.28515625" style="14" customWidth="1"/>
    <col min="14855" max="14855" width="8.85546875" style="14" customWidth="1"/>
    <col min="14856" max="14856" width="10.85546875" style="14" customWidth="1"/>
    <col min="14857" max="14857" width="2.85546875" style="14" customWidth="1"/>
    <col min="14858" max="14858" width="12.140625" style="14" customWidth="1"/>
    <col min="14859" max="14859" width="10.140625" style="14" customWidth="1"/>
    <col min="14860" max="14860" width="11.7109375" style="14" customWidth="1"/>
    <col min="14861" max="14861" width="11.42578125" style="14" customWidth="1"/>
    <col min="14862" max="14862" width="12.7109375" style="14" customWidth="1"/>
    <col min="14863" max="14863" width="11.42578125" style="14" customWidth="1"/>
    <col min="14864" max="14864" width="10.7109375" style="14" customWidth="1"/>
    <col min="14865" max="14865" width="10.5703125" style="14" customWidth="1"/>
    <col min="14866" max="14866" width="11.28515625" style="14" customWidth="1"/>
    <col min="14867" max="14867" width="9.7109375" style="14" customWidth="1"/>
    <col min="14868" max="14868" width="12" style="14" customWidth="1"/>
    <col min="14869" max="14869" width="11.28515625" style="14" customWidth="1"/>
    <col min="14870" max="15107" width="9.140625" style="14"/>
    <col min="15108" max="15108" width="5.7109375" style="14" customWidth="1"/>
    <col min="15109" max="15109" width="13.140625" style="14" customWidth="1"/>
    <col min="15110" max="15110" width="12.28515625" style="14" customWidth="1"/>
    <col min="15111" max="15111" width="8.85546875" style="14" customWidth="1"/>
    <col min="15112" max="15112" width="10.85546875" style="14" customWidth="1"/>
    <col min="15113" max="15113" width="2.85546875" style="14" customWidth="1"/>
    <col min="15114" max="15114" width="12.140625" style="14" customWidth="1"/>
    <col min="15115" max="15115" width="10.140625" style="14" customWidth="1"/>
    <col min="15116" max="15116" width="11.7109375" style="14" customWidth="1"/>
    <col min="15117" max="15117" width="11.42578125" style="14" customWidth="1"/>
    <col min="15118" max="15118" width="12.7109375" style="14" customWidth="1"/>
    <col min="15119" max="15119" width="11.42578125" style="14" customWidth="1"/>
    <col min="15120" max="15120" width="10.7109375" style="14" customWidth="1"/>
    <col min="15121" max="15121" width="10.5703125" style="14" customWidth="1"/>
    <col min="15122" max="15122" width="11.28515625" style="14" customWidth="1"/>
    <col min="15123" max="15123" width="9.7109375" style="14" customWidth="1"/>
    <col min="15124" max="15124" width="12" style="14" customWidth="1"/>
    <col min="15125" max="15125" width="11.28515625" style="14" customWidth="1"/>
    <col min="15126" max="15363" width="9.140625" style="14"/>
    <col min="15364" max="15364" width="5.7109375" style="14" customWidth="1"/>
    <col min="15365" max="15365" width="13.140625" style="14" customWidth="1"/>
    <col min="15366" max="15366" width="12.28515625" style="14" customWidth="1"/>
    <col min="15367" max="15367" width="8.85546875" style="14" customWidth="1"/>
    <col min="15368" max="15368" width="10.85546875" style="14" customWidth="1"/>
    <col min="15369" max="15369" width="2.85546875" style="14" customWidth="1"/>
    <col min="15370" max="15370" width="12.140625" style="14" customWidth="1"/>
    <col min="15371" max="15371" width="10.140625" style="14" customWidth="1"/>
    <col min="15372" max="15372" width="11.7109375" style="14" customWidth="1"/>
    <col min="15373" max="15373" width="11.42578125" style="14" customWidth="1"/>
    <col min="15374" max="15374" width="12.7109375" style="14" customWidth="1"/>
    <col min="15375" max="15375" width="11.42578125" style="14" customWidth="1"/>
    <col min="15376" max="15376" width="10.7109375" style="14" customWidth="1"/>
    <col min="15377" max="15377" width="10.5703125" style="14" customWidth="1"/>
    <col min="15378" max="15378" width="11.28515625" style="14" customWidth="1"/>
    <col min="15379" max="15379" width="9.7109375" style="14" customWidth="1"/>
    <col min="15380" max="15380" width="12" style="14" customWidth="1"/>
    <col min="15381" max="15381" width="11.28515625" style="14" customWidth="1"/>
    <col min="15382" max="15619" width="9.140625" style="14"/>
    <col min="15620" max="15620" width="5.7109375" style="14" customWidth="1"/>
    <col min="15621" max="15621" width="13.140625" style="14" customWidth="1"/>
    <col min="15622" max="15622" width="12.28515625" style="14" customWidth="1"/>
    <col min="15623" max="15623" width="8.85546875" style="14" customWidth="1"/>
    <col min="15624" max="15624" width="10.85546875" style="14" customWidth="1"/>
    <col min="15625" max="15625" width="2.85546875" style="14" customWidth="1"/>
    <col min="15626" max="15626" width="12.140625" style="14" customWidth="1"/>
    <col min="15627" max="15627" width="10.140625" style="14" customWidth="1"/>
    <col min="15628" max="15628" width="11.7109375" style="14" customWidth="1"/>
    <col min="15629" max="15629" width="11.42578125" style="14" customWidth="1"/>
    <col min="15630" max="15630" width="12.7109375" style="14" customWidth="1"/>
    <col min="15631" max="15631" width="11.42578125" style="14" customWidth="1"/>
    <col min="15632" max="15632" width="10.7109375" style="14" customWidth="1"/>
    <col min="15633" max="15633" width="10.5703125" style="14" customWidth="1"/>
    <col min="15634" max="15634" width="11.28515625" style="14" customWidth="1"/>
    <col min="15635" max="15635" width="9.7109375" style="14" customWidth="1"/>
    <col min="15636" max="15636" width="12" style="14" customWidth="1"/>
    <col min="15637" max="15637" width="11.28515625" style="14" customWidth="1"/>
    <col min="15638" max="15875" width="9.140625" style="14"/>
    <col min="15876" max="15876" width="5.7109375" style="14" customWidth="1"/>
    <col min="15877" max="15877" width="13.140625" style="14" customWidth="1"/>
    <col min="15878" max="15878" width="12.28515625" style="14" customWidth="1"/>
    <col min="15879" max="15879" width="8.85546875" style="14" customWidth="1"/>
    <col min="15880" max="15880" width="10.85546875" style="14" customWidth="1"/>
    <col min="15881" max="15881" width="2.85546875" style="14" customWidth="1"/>
    <col min="15882" max="15882" width="12.140625" style="14" customWidth="1"/>
    <col min="15883" max="15883" width="10.140625" style="14" customWidth="1"/>
    <col min="15884" max="15884" width="11.7109375" style="14" customWidth="1"/>
    <col min="15885" max="15885" width="11.42578125" style="14" customWidth="1"/>
    <col min="15886" max="15886" width="12.7109375" style="14" customWidth="1"/>
    <col min="15887" max="15887" width="11.42578125" style="14" customWidth="1"/>
    <col min="15888" max="15888" width="10.7109375" style="14" customWidth="1"/>
    <col min="15889" max="15889" width="10.5703125" style="14" customWidth="1"/>
    <col min="15890" max="15890" width="11.28515625" style="14" customWidth="1"/>
    <col min="15891" max="15891" width="9.7109375" style="14" customWidth="1"/>
    <col min="15892" max="15892" width="12" style="14" customWidth="1"/>
    <col min="15893" max="15893" width="11.28515625" style="14" customWidth="1"/>
    <col min="15894" max="16131" width="9.140625" style="14"/>
    <col min="16132" max="16132" width="5.7109375" style="14" customWidth="1"/>
    <col min="16133" max="16133" width="13.140625" style="14" customWidth="1"/>
    <col min="16134" max="16134" width="12.28515625" style="14" customWidth="1"/>
    <col min="16135" max="16135" width="8.85546875" style="14" customWidth="1"/>
    <col min="16136" max="16136" width="10.85546875" style="14" customWidth="1"/>
    <col min="16137" max="16137" width="2.85546875" style="14" customWidth="1"/>
    <col min="16138" max="16138" width="12.140625" style="14" customWidth="1"/>
    <col min="16139" max="16139" width="10.140625" style="14" customWidth="1"/>
    <col min="16140" max="16140" width="11.7109375" style="14" customWidth="1"/>
    <col min="16141" max="16141" width="11.42578125" style="14" customWidth="1"/>
    <col min="16142" max="16142" width="12.7109375" style="14" customWidth="1"/>
    <col min="16143" max="16143" width="11.42578125" style="14" customWidth="1"/>
    <col min="16144" max="16144" width="10.7109375" style="14" customWidth="1"/>
    <col min="16145" max="16145" width="10.5703125" style="14" customWidth="1"/>
    <col min="16146" max="16146" width="11.28515625" style="14" customWidth="1"/>
    <col min="16147" max="16147" width="9.7109375" style="14" customWidth="1"/>
    <col min="16148" max="16148" width="12" style="14" customWidth="1"/>
    <col min="16149" max="16149" width="11.28515625" style="14" customWidth="1"/>
    <col min="16150" max="16384" width="9.140625" style="14"/>
  </cols>
  <sheetData>
    <row r="1" spans="4:19" ht="12.75" thickBot="1" x14ac:dyDescent="0.25"/>
    <row r="2" spans="4:19" ht="13.5" thickBot="1" x14ac:dyDescent="0.25">
      <c r="Q2" s="633" t="s">
        <v>0</v>
      </c>
      <c r="R2" s="634"/>
      <c r="S2" s="635"/>
    </row>
    <row r="3" spans="4:19" ht="13.5" thickBot="1" x14ac:dyDescent="0.25">
      <c r="I3" s="636" t="s">
        <v>1</v>
      </c>
      <c r="J3" s="637"/>
      <c r="K3" s="637"/>
      <c r="L3" s="637"/>
      <c r="M3" s="637"/>
      <c r="N3" s="637"/>
      <c r="O3" s="638"/>
      <c r="Q3" s="611">
        <f>'REYES LARA DANTE'!Q3</f>
        <v>45</v>
      </c>
      <c r="R3" s="639"/>
      <c r="S3" s="612"/>
    </row>
    <row r="4" spans="4:19" ht="13.5" thickBot="1" x14ac:dyDescent="0.25">
      <c r="I4" s="640" t="s">
        <v>2</v>
      </c>
      <c r="J4" s="641"/>
      <c r="K4" s="641"/>
      <c r="L4" s="641"/>
      <c r="M4" s="641"/>
      <c r="N4" s="641"/>
      <c r="O4" s="642"/>
      <c r="Q4" s="18"/>
      <c r="R4" s="18"/>
      <c r="S4" s="18"/>
    </row>
    <row r="5" spans="4:19" ht="13.5" thickBot="1" x14ac:dyDescent="0.25">
      <c r="I5" s="643" t="s">
        <v>3</v>
      </c>
      <c r="J5" s="644"/>
      <c r="K5" s="644"/>
      <c r="L5" s="644"/>
      <c r="M5" s="644"/>
      <c r="N5" s="644"/>
      <c r="O5" s="645"/>
      <c r="Q5" s="611" t="s">
        <v>4</v>
      </c>
      <c r="R5" s="639"/>
      <c r="S5" s="612"/>
    </row>
    <row r="6" spans="4:19" ht="13.5" thickBot="1" x14ac:dyDescent="0.25">
      <c r="I6" s="650" t="s">
        <v>5</v>
      </c>
      <c r="J6" s="651"/>
      <c r="K6" s="651"/>
      <c r="L6" s="651"/>
      <c r="M6" s="651"/>
      <c r="N6" s="651"/>
      <c r="O6" s="652"/>
      <c r="Q6" s="653">
        <f>+'MACHADO MAZUCA ADOLFO'!Q6</f>
        <v>114</v>
      </c>
      <c r="R6" s="654"/>
      <c r="S6" s="655"/>
    </row>
    <row r="8" spans="4:19" ht="12.75" thickBot="1" x14ac:dyDescent="0.25"/>
    <row r="9" spans="4:19" ht="13.5" thickBot="1" x14ac:dyDescent="0.25">
      <c r="I9" s="611" t="s">
        <v>6</v>
      </c>
      <c r="J9" s="639"/>
      <c r="K9" s="639"/>
      <c r="L9" s="639"/>
      <c r="M9" s="639"/>
      <c r="N9" s="639"/>
      <c r="O9" s="612"/>
    </row>
    <row r="10" spans="4:19" ht="12.75" thickBot="1" x14ac:dyDescent="0.25"/>
    <row r="11" spans="4:19" ht="12.75" x14ac:dyDescent="0.2">
      <c r="D11" s="1" t="s">
        <v>7</v>
      </c>
      <c r="E11" s="656" t="s">
        <v>109</v>
      </c>
      <c r="F11" s="656"/>
      <c r="G11" s="656"/>
      <c r="H11" s="656"/>
      <c r="I11" s="2"/>
      <c r="J11" s="2"/>
      <c r="K11" s="3" t="s">
        <v>8</v>
      </c>
      <c r="L11" s="656" t="str">
        <f>'AGUILAR ESQUIVEL CARLOS'!L11</f>
        <v>SEMANA #45 PERIODO DEL 27 de oct AL 02 de nov DEL 2025</v>
      </c>
      <c r="M11" s="656"/>
      <c r="N11" s="656"/>
      <c r="O11" s="656"/>
      <c r="P11" s="656"/>
      <c r="Q11" s="656"/>
      <c r="R11" s="656"/>
      <c r="S11" s="659"/>
    </row>
    <row r="12" spans="4:19" ht="12.75" x14ac:dyDescent="0.2">
      <c r="D12" s="4" t="s">
        <v>9</v>
      </c>
      <c r="E12" s="624" t="s">
        <v>327</v>
      </c>
      <c r="F12" s="624"/>
      <c r="G12" s="5"/>
      <c r="H12" s="130"/>
      <c r="I12" s="130"/>
      <c r="J12" s="130"/>
      <c r="K12" s="130"/>
      <c r="L12" s="130"/>
      <c r="M12" s="130"/>
      <c r="N12" s="130"/>
      <c r="O12" s="130"/>
      <c r="P12" s="130"/>
      <c r="Q12" s="130"/>
      <c r="R12" s="130"/>
      <c r="S12" s="256"/>
    </row>
    <row r="13" spans="4:19" ht="12.75" x14ac:dyDescent="0.2">
      <c r="D13" s="623"/>
      <c r="E13" s="624"/>
      <c r="F13" s="130"/>
      <c r="G13" s="130"/>
      <c r="H13" s="130"/>
      <c r="I13" s="130"/>
      <c r="J13" s="130"/>
      <c r="K13" s="130"/>
      <c r="L13" s="130"/>
      <c r="M13" s="130"/>
      <c r="N13" s="130"/>
      <c r="O13" s="130"/>
      <c r="P13" s="130"/>
      <c r="Q13" s="130"/>
      <c r="R13" s="130"/>
      <c r="S13" s="256"/>
    </row>
    <row r="14" spans="4:19" ht="12.75" x14ac:dyDescent="0.2">
      <c r="D14" s="625" t="s">
        <v>10</v>
      </c>
      <c r="E14" s="626"/>
      <c r="F14" s="130">
        <v>329130</v>
      </c>
      <c r="G14" s="130"/>
      <c r="H14" s="130"/>
      <c r="I14" s="6" t="s">
        <v>11</v>
      </c>
      <c r="J14" s="6"/>
      <c r="K14" s="130"/>
      <c r="L14" s="130"/>
      <c r="M14" s="130"/>
      <c r="N14" s="130"/>
      <c r="O14" s="6" t="s">
        <v>12</v>
      </c>
      <c r="P14" s="7"/>
      <c r="Q14" s="7"/>
      <c r="R14" s="7"/>
      <c r="S14" s="8"/>
    </row>
    <row r="15" spans="4:19" ht="12.75" x14ac:dyDescent="0.2">
      <c r="D15" s="625" t="s">
        <v>13</v>
      </c>
      <c r="E15" s="626"/>
      <c r="F15" s="130">
        <v>329904</v>
      </c>
      <c r="G15" s="130"/>
      <c r="H15" s="130"/>
      <c r="I15" s="6" t="s">
        <v>14</v>
      </c>
      <c r="J15" s="6"/>
      <c r="K15" s="130"/>
      <c r="L15" s="130"/>
      <c r="M15" s="130"/>
      <c r="N15" s="130"/>
      <c r="O15" s="6" t="s">
        <v>15</v>
      </c>
      <c r="P15" s="130"/>
      <c r="Q15" s="130"/>
      <c r="R15" s="130"/>
      <c r="S15" s="256"/>
    </row>
    <row r="16" spans="4:19" ht="13.5" thickBot="1" x14ac:dyDescent="0.25">
      <c r="D16" s="627" t="s">
        <v>16</v>
      </c>
      <c r="E16" s="628"/>
      <c r="F16" s="257">
        <f>SUM(J19:J32)</f>
        <v>3050</v>
      </c>
      <c r="G16" s="257"/>
      <c r="H16" s="257"/>
      <c r="I16" s="9" t="s">
        <v>17</v>
      </c>
      <c r="J16" s="257">
        <f>SUM(K19:K32)</f>
        <v>847</v>
      </c>
      <c r="K16" s="257"/>
      <c r="L16" s="257"/>
      <c r="M16" s="257"/>
      <c r="N16" s="257"/>
      <c r="O16" s="9" t="s">
        <v>18</v>
      </c>
      <c r="P16" s="10">
        <f>+F16/J16</f>
        <v>3.6009445100354189</v>
      </c>
      <c r="Q16" s="257"/>
      <c r="R16" s="257"/>
      <c r="S16" s="258"/>
    </row>
    <row r="17" spans="3:22" ht="12.75" thickBot="1" x14ac:dyDescent="0.25"/>
    <row r="18" spans="3:22" ht="24.75" thickBot="1" x14ac:dyDescent="0.25">
      <c r="C18" s="513" t="s">
        <v>19</v>
      </c>
      <c r="D18" s="514" t="s">
        <v>20</v>
      </c>
      <c r="E18" s="515" t="s">
        <v>21</v>
      </c>
      <c r="F18" s="515" t="s">
        <v>22</v>
      </c>
      <c r="G18" s="515" t="s">
        <v>23</v>
      </c>
      <c r="H18" s="515" t="s">
        <v>24</v>
      </c>
      <c r="I18" s="515" t="s">
        <v>25</v>
      </c>
      <c r="J18" s="515" t="s">
        <v>26</v>
      </c>
      <c r="K18" s="515" t="s">
        <v>27</v>
      </c>
      <c r="L18" s="515" t="s">
        <v>28</v>
      </c>
      <c r="M18" s="515" t="s">
        <v>285</v>
      </c>
      <c r="N18" s="515" t="s">
        <v>29</v>
      </c>
      <c r="O18" s="515" t="s">
        <v>30</v>
      </c>
      <c r="P18" s="514" t="s">
        <v>31</v>
      </c>
      <c r="Q18" s="515" t="s">
        <v>219</v>
      </c>
      <c r="R18" s="515" t="s">
        <v>184</v>
      </c>
      <c r="S18" s="515" t="s">
        <v>33</v>
      </c>
      <c r="T18" s="516" t="s">
        <v>220</v>
      </c>
      <c r="U18" s="514" t="s">
        <v>351</v>
      </c>
      <c r="V18" s="460" t="s">
        <v>355</v>
      </c>
    </row>
    <row r="19" spans="3:22" x14ac:dyDescent="0.2">
      <c r="C19" s="176">
        <v>46486</v>
      </c>
      <c r="D19" s="42" t="s">
        <v>515</v>
      </c>
      <c r="E19" s="42">
        <v>45957</v>
      </c>
      <c r="F19" s="42">
        <v>45958</v>
      </c>
      <c r="G19" s="43">
        <v>2</v>
      </c>
      <c r="H19" s="236" t="str">
        <f>IF(G19=1,KILOMETRAJE!C$4,IF(G19=2,KILOMETRAJE!C$5,IF(G19=3,KILOMETRAJE!C$6,IF(G19=4,KILOMETRAJE!C$7,IF(G19=5,KILOMETRAJE!C$8,IF(G19=6,KILOMETRAJE!C$9,IF(G19=7,KILOMETRAJE!C$10,IF(G19=8,KILOMETRAJE!C$11,IF(G19=9,KILOMETRAJE!C$12,IF(G19=10,KILOMETRAJE!C$13,IF(G19=11,KILOMETRAJE!C$14,IF(G19=12,KILOMETRAJE!C$15,IF(G19=13,KILOMETRAJE!C$16,IF(G19=14,KILOMETRAJE!C$17,IF(G19=15,KILOMETRAJE!C$18,IF(G19=16,KILOMETRAJE!C$19,IF(G19=17,KILOMETRAJE!C$20,IF(G19=18,KILOMETRAJE!C$21,IF(G19=19,KILOMETRAJE!C$22,IF(G19=20,KILOMETRAJE!C$23,IF(G19=21,KILOMETRAJE!C$24,IF(G19=22,KILOMETRAJE!C$25,IF(G19=23,KILOMETRAJE!C$26,IF(G19=24,KILOMETRAJE!C$27,IF(G19=25,KILOMETRAJE!C$28,IF(G19=26,KILOMETRAJE!C$29,IF(G19=27,KILOMETRAJE!C$30,IF(G19=28,KILOMETRAJE!C$31,IF(G19=29,KILOMETRAJE!C$32,IF(G19=30,KILOMETRAJE!C$33,IF(G19=31,KILOMETRAJE!C$34,IF(G19=32,KILOMETRAJE!C$35,IF(G19=33,KILOMETRAJE!C$36,IF(G19=34,KILOMETRAJE!C$37,IF(G19=35,KILOMETRAJE!C$38,IF(G19=36,KILOMETRAJE!C$39,IF(G19=37,KILOMETRAJE!C$40,IF(G19=38,KILOMETRAJE!C$41,IF(G19=39,KILOMETRAJE!C$42,IF(G19=40,KILOMETRAJE!C$43,IF(G19=41,KILOMETRAJE!C$44,IF(G19=42,KILOMETRAJE!C$45,IF(G19=43,KILOMETRAJE!C$46,IF(G19=44,KILOMETRAJE!C$47,IF(G19=45,KILOMETRAJE!C$48,IF(G19=46,KILOMETRAJE!C$49,IF(G19=47,KILOMETRAJE!C$50,IF(G19=48,KILOMETRAJE!C$51,IF(G19=49,KILOMETRAJE!C$52,IF(G19=50,KILOMETRAJE!C$53,IF(G19=51,KILOMETRAJE!C$54,IF(G19=52,KILOMETRAJE!C$55,IF(G19=53,KILOMETRAJE!C$56,IF(G19=54,KILOMETRAJE!C$57,IF(G19=55,KILOMETRAJE!C$58,IF(G19=56,KILOMETRAJE!C$59,IF(G19=57,KILOMETRAJE!C$60,IF(G19=58,KILOMETRAJE!C$61,IF(G19=59,KILOMETRAJE!C$62,IF(G19=60,KILOMETRAJE!C$63,IF(G19=61,KILOMETRAJE!C$64,IF(G19=62,KILOMETRAJE!C$65,IF(G19=63,KILOMETRAJE!C$66)))))))))))))))))))))))))))))))))))))))))))))))))))))))))))))))</f>
        <v>JRZ</v>
      </c>
      <c r="I19" s="236" t="str">
        <f>IF(G19=1,KILOMETRAJE!E$4,IF(G19=2,KILOMETRAJE!E$5,IF(G19=3,KILOMETRAJE!E$6,IF(G19=4,KILOMETRAJE!E$7,IF(G19=5,KILOMETRAJE!E$8,IF(G19=6,KILOMETRAJE!E$9,IF(G19=7,KILOMETRAJE!E$10,IF(G19=8,KILOMETRAJE!E$11,IF(G19=9,KILOMETRAJE!E$12,IF(G19=10,KILOMETRAJE!E$13,IF(G19=11,KILOMETRAJE!E$14,IF(G19=12,KILOMETRAJE!E$15,IF(G19=13,KILOMETRAJE!E$16,IF(G19=14,KILOMETRAJE!E$17,IF(G19=15,KILOMETRAJE!E$18,IF(G19=16,KILOMETRAJE!E$19,IF(G19=17,KILOMETRAJE!E$20,IF(G19=18,KILOMETRAJE!E$21,IF(G19=19,KILOMETRAJE!E$22,IF(G19=20,KILOMETRAJE!E$23,IF(G19=21,KILOMETRAJE!E$24,IF(G19=22,KILOMETRAJE!E$25,IF(G19=23,KILOMETRAJE!E$26,IF(G19=24,KILOMETRAJE!E$27,IF(G19=25,KILOMETRAJE!E$28,IF(G19=26,KILOMETRAJE!E$29,IF(G19=27,KILOMETRAJE!E$30,IF(G19=28,KILOMETRAJE!E$31,IF(G19=29,KILOMETRAJE!E$32,IF(G19=30,KILOMETRAJE!E$33,IF(G19=31,KILOMETRAJE!E$34,IF(G19=32,KILOMETRAJE!E$35,IF(G19=33,KILOMETRAJE!E$36,IF(G19=34,KILOMETRAJE!E$37,IF(G19=35,KILOMETRAJE!E$38,IF(G19=36,KILOMETRAJE!E$39,IF(G19=37,KILOMETRAJE!E$40,IF(G19=38,KILOMETRAJE!E$41,IF(G19=39,KILOMETRAJE!E$42,IF(G19=40,KILOMETRAJE!E$43,IF(G19=41,KILOMETRAJE!E$44,IF(G19=42,KILOMETRAJE!E$45,IF(G19=43,KILOMETRAJE!E$46,IF(G19=44,KILOMETRAJE!E$47,IF(G19=45,KILOMETRAJE!E$48,IF(G19=46,KILOMETRAJE!E$49,IF(G19=47,KILOMETRAJE!E$50,IF(G19=48,KILOMETRAJE!E$51,IF(G19=49,KILOMETRAJE!E$52,IF(G19=50,KILOMETRAJE!E$53,IF(G19=51,KILOMETRAJE!E$54,IF(G19=52,KILOMETRAJE!E$55,IF(G19=53,KILOMETRAJE!E$56,IF(G19=54,KILOMETRAJE!E$57,IF(G19=55,KILOMETRAJE!E$58,IF(G19=56,KILOMETRAJE!E$59,IF(G19=57,KILOMETRAJE!E$60,IF(G19=58,KILOMETRAJE!E$61,IF(G19=59,KILOMETRAJE!E$62,IF(G19=60,KILOMETRAJE!E$63,IF(G19=61,KILOMETRAJE!E$64,IF(G19=62,KILOMETRAJE!E$65,IF(G19=63,KILOMETRAJE!E$66)))))))))))))))))))))))))))))))))))))))))))))))))))))))))))))))</f>
        <v>CHIH.</v>
      </c>
      <c r="J19" s="237">
        <f>IF(G19=1,KILOMETRAJE!G$4,IF(G19=2,KILOMETRAJE!G$5,IF(G19=3,KILOMETRAJE!G$6,IF(G19=4,KILOMETRAJE!G$7,IF(G19=5,KILOMETRAJE!G$8,IF(G19=6,KILOMETRAJE!G$9,IF(G19=7,KILOMETRAJE!G$10,IF(G19=8,KILOMETRAJE!G$11,IF(G19=9,KILOMETRAJE!G$12,IF(G19=10,KILOMETRAJE!G$13,IF(G19=11,KILOMETRAJE!G$14,IF(G19=12,KILOMETRAJE!G$15,IF(G19=13,KILOMETRAJE!G$16,IF(G19=14,KILOMETRAJE!G$17,IF(G19=15,KILOMETRAJE!G$18,IF(G19=16,KILOMETRAJE!G$19,IF(G19=17,KILOMETRAJE!G$20,IF(G19=18,KILOMETRAJE!G$21,IF(G19=19,KILOMETRAJE!G$22,IF(G19=20,KILOMETRAJE!G$23,IF(G19=21,KILOMETRAJE!G$24,IF(G19=22,KILOMETRAJE!G$25,IF(G19=23,KILOMETRAJE!G$26,IF(G19=24,KILOMETRAJE!G$27,IF(G19=25,KILOMETRAJE!G$28,IF(G19=26,KILOMETRAJE!G$29,IF(G19=27,KILOMETRAJE!G$30,IF(G19=28,KILOMETRAJE!G$31,IF(G19=29,KILOMETRAJE!G$32,IF(G19=30,KILOMETRAJE!G$33,IF(G19=31,KILOMETRAJE!G$34,IF(G19=32,KILOMETRAJE!G$35,IF(G19=33,KILOMETRAJE!G$36,IF(G19=34,KILOMETRAJE!G$37,IF(G19=35,KILOMETRAJE!G$38,IF(G19=36,KILOMETRAJE!G$39,IF(G19=37,KILOMETRAJE!G$40,IF(G19=38,KILOMETRAJE!G$41,IF(G19=39,KILOMETRAJE!G$42,IF(G19=40,KILOMETRAJE!G$43,IF(G19=41,KILOMETRAJE!G$44,IF(G19=42,KILOMETRAJE!G$45,IF(G19=43,KILOMETRAJE!G$46,IF(G19=44,KILOMETRAJE!G$47,IF(G19=45,KILOMETRAJE!G$48,IF(G19=46,KILOMETRAJE!G$49,IF(G19=47,KILOMETRAJE!G$50,IF(G19=48,KILOMETRAJE!G$51,IF(G19=49,KILOMETRAJE!G$52,IF(G19=50,KILOMETRAJE!G$53,IF(G19=51,KILOMETRAJE!G$54,IF(G19=52,KILOMETRAJE!G$55,IF(G19=53,KILOMETRAJE!G$56,IF(G19=54,KILOMETRAJE!G$57,IF(G19=55,KILOMETRAJE!G$58,IF(G19=56,KILOMETRAJE!G$59,IF(G19=57,KILOMETRAJE!G$60,IF(G19=58,KILOMETRAJE!G$61,IF(G19=59,KILOMETRAJE!G$62,IF(G19=60,KILOMETRAJE!G$63,IF(G19=61,KILOMETRAJE!G$64,IF(G19=62,KILOMETRAJE!G$65,IF(G19=63,KILOMETRAJE!G$66)))))))))))))))))))))))))))))))))))))))))))))))))))))))))))))))</f>
        <v>375</v>
      </c>
      <c r="K19" s="24"/>
      <c r="L19" s="44"/>
      <c r="M19" s="348">
        <v>3290</v>
      </c>
      <c r="N19" s="24">
        <v>1</v>
      </c>
      <c r="O19" s="24" t="s">
        <v>384</v>
      </c>
      <c r="P19" s="24" t="s">
        <v>247</v>
      </c>
      <c r="Q19" s="45">
        <f t="shared" ref="Q19:Q20" si="0">((((IF(N19=1,((J19)*0.29333)))+(IF(N19=2,((J19)*0.146666)))+(IF(N19=3,((J19)*0.146666)))))+(IF(N19=4,((J19-40)*0.29333)))+(IF(N19=5,((J19-50)*0.29333)))+(IF(N19=6,((J19-90)*0.29333))))</f>
        <v>109.99874999999999</v>
      </c>
      <c r="R19" s="191"/>
      <c r="S19" s="52"/>
      <c r="T19" s="455"/>
      <c r="U19" s="24"/>
      <c r="V19" s="79"/>
    </row>
    <row r="20" spans="3:22" ht="12.75" thickBot="1" x14ac:dyDescent="0.25">
      <c r="C20" s="101"/>
      <c r="D20" s="25" t="s">
        <v>516</v>
      </c>
      <c r="E20" s="25">
        <v>45958</v>
      </c>
      <c r="F20" s="25">
        <v>45958</v>
      </c>
      <c r="G20" s="62">
        <v>3</v>
      </c>
      <c r="H20" s="27" t="str">
        <f>IF(G20=1,KILOMETRAJE!C$4,IF(G20=2,KILOMETRAJE!C$5,IF(G20=3,KILOMETRAJE!C$6,IF(G20=4,KILOMETRAJE!C$7,IF(G20=5,KILOMETRAJE!C$8,IF(G20=6,KILOMETRAJE!C$9,IF(G20=7,KILOMETRAJE!C$10,IF(G20=8,KILOMETRAJE!C$11,IF(G20=9,KILOMETRAJE!C$12,IF(G20=10,KILOMETRAJE!C$13,IF(G20=11,KILOMETRAJE!C$14,IF(G20=12,KILOMETRAJE!C$15,IF(G20=13,KILOMETRAJE!C$16,IF(G20=14,KILOMETRAJE!C$17,IF(G20=15,KILOMETRAJE!C$18,IF(G20=16,KILOMETRAJE!C$19,IF(G20=17,KILOMETRAJE!C$20,IF(G20=18,KILOMETRAJE!C$21,IF(G20=19,KILOMETRAJE!C$22,IF(G20=20,KILOMETRAJE!C$23,IF(G20=21,KILOMETRAJE!C$24,IF(G20=22,KILOMETRAJE!C$25,IF(G20=23,KILOMETRAJE!C$26,IF(G20=24,KILOMETRAJE!C$27,IF(G20=25,KILOMETRAJE!C$28,IF(G20=26,KILOMETRAJE!C$29,IF(G20=27,KILOMETRAJE!C$30,IF(G20=28,KILOMETRAJE!C$31,IF(G20=29,KILOMETRAJE!C$32,IF(G20=30,KILOMETRAJE!C$33,IF(G20=31,KILOMETRAJE!C$34,IF(G20=32,KILOMETRAJE!C$35,IF(G20=33,KILOMETRAJE!C$36,IF(G20=34,KILOMETRAJE!C$37,IF(G20=35,KILOMETRAJE!C$38,IF(G20=36,KILOMETRAJE!C$39,IF(G20=37,KILOMETRAJE!C$40,IF(G20=38,KILOMETRAJE!C$41,IF(G20=39,KILOMETRAJE!C$42,IF(G20=40,KILOMETRAJE!C$43,IF(G20=41,KILOMETRAJE!C$44,IF(G20=42,KILOMETRAJE!C$45,IF(G20=43,KILOMETRAJE!C$46,IF(G20=44,KILOMETRAJE!C$47,IF(G20=45,KILOMETRAJE!C$48,IF(G20=46,KILOMETRAJE!C$49,IF(G20=47,KILOMETRAJE!C$50,IF(G20=48,KILOMETRAJE!C$51,IF(G20=49,KILOMETRAJE!C$52,IF(G20=50,KILOMETRAJE!C$53,IF(G20=51,KILOMETRAJE!C$54,IF(G20=52,KILOMETRAJE!C$55,IF(G20=53,KILOMETRAJE!C$56,IF(G20=54,KILOMETRAJE!C$57,IF(G20=55,KILOMETRAJE!C$58,IF(G20=56,KILOMETRAJE!C$59,IF(G20=57,KILOMETRAJE!C$60,IF(G20=58,KILOMETRAJE!C$61,IF(G20=59,KILOMETRAJE!C$62,IF(G20=60,KILOMETRAJE!C$63,IF(G20=61,KILOMETRAJE!C$64,IF(G20=62,KILOMETRAJE!C$65,IF(G20=63,KILOMETRAJE!C$66)))))))))))))))))))))))))))))))))))))))))))))))))))))))))))))))</f>
        <v xml:space="preserve">CHIH. </v>
      </c>
      <c r="I20" s="27" t="str">
        <f>IF(G20=1,KILOMETRAJE!E$4,IF(G20=2,KILOMETRAJE!E$5,IF(G20=3,KILOMETRAJE!E$6,IF(G20=4,KILOMETRAJE!E$7,IF(G20=5,KILOMETRAJE!E$8,IF(G20=6,KILOMETRAJE!E$9,IF(G20=7,KILOMETRAJE!E$10,IF(G20=8,KILOMETRAJE!E$11,IF(G20=9,KILOMETRAJE!E$12,IF(G20=10,KILOMETRAJE!E$13,IF(G20=11,KILOMETRAJE!E$14,IF(G20=12,KILOMETRAJE!E$15,IF(G20=13,KILOMETRAJE!E$16,IF(G20=14,KILOMETRAJE!E$17,IF(G20=15,KILOMETRAJE!E$18,IF(G20=16,KILOMETRAJE!E$19,IF(G20=17,KILOMETRAJE!E$20,IF(G20=18,KILOMETRAJE!E$21,IF(G20=19,KILOMETRAJE!E$22,IF(G20=20,KILOMETRAJE!E$23,IF(G20=21,KILOMETRAJE!E$24,IF(G20=22,KILOMETRAJE!E$25,IF(G20=23,KILOMETRAJE!E$26,IF(G20=24,KILOMETRAJE!E$27,IF(G20=25,KILOMETRAJE!E$28,IF(G20=26,KILOMETRAJE!E$29,IF(G20=27,KILOMETRAJE!E$30,IF(G20=28,KILOMETRAJE!E$31,IF(G20=29,KILOMETRAJE!E$32,IF(G20=30,KILOMETRAJE!E$33,IF(G20=31,KILOMETRAJE!E$34,IF(G20=32,KILOMETRAJE!E$35,IF(G20=33,KILOMETRAJE!E$36,IF(G20=34,KILOMETRAJE!E$37,IF(G20=35,KILOMETRAJE!E$38,IF(G20=36,KILOMETRAJE!E$39,IF(G20=37,KILOMETRAJE!E$40,IF(G20=38,KILOMETRAJE!E$41,IF(G20=39,KILOMETRAJE!E$42,IF(G20=40,KILOMETRAJE!E$43,IF(G20=41,KILOMETRAJE!E$44,IF(G20=42,KILOMETRAJE!E$45,IF(G20=43,KILOMETRAJE!E$46,IF(G20=44,KILOMETRAJE!E$47,IF(G20=45,KILOMETRAJE!E$48,IF(G20=46,KILOMETRAJE!E$49,IF(G20=47,KILOMETRAJE!E$50,IF(G20=48,KILOMETRAJE!E$51,IF(G20=49,KILOMETRAJE!E$52,IF(G20=50,KILOMETRAJE!E$53,IF(G20=51,KILOMETRAJE!E$54,IF(G20=52,KILOMETRAJE!E$55,IF(G20=53,KILOMETRAJE!E$56,IF(G20=54,KILOMETRAJE!E$57,IF(G20=55,KILOMETRAJE!E$58,IF(G20=56,KILOMETRAJE!E$59,IF(G20=57,KILOMETRAJE!E$60,IF(G20=58,KILOMETRAJE!E$61,IF(G20=59,KILOMETRAJE!E$62,IF(G20=60,KILOMETRAJE!E$63,IF(G20=61,KILOMETRAJE!E$64,IF(G20=62,KILOMETRAJE!E$65,IF(G20=63,KILOMETRAJE!E$66)))))))))))))))))))))))))))))))))))))))))))))))))))))))))))))))</f>
        <v>JRZ</v>
      </c>
      <c r="J20" s="31">
        <f>IF(G20=1,KILOMETRAJE!G$4,IF(G20=2,KILOMETRAJE!G$5,IF(G20=3,KILOMETRAJE!G$6,IF(G20=4,KILOMETRAJE!G$7,IF(G20=5,KILOMETRAJE!G$8,IF(G20=6,KILOMETRAJE!G$9,IF(G20=7,KILOMETRAJE!G$10,IF(G20=8,KILOMETRAJE!G$11,IF(G20=9,KILOMETRAJE!G$12,IF(G20=10,KILOMETRAJE!G$13,IF(G20=11,KILOMETRAJE!G$14,IF(G20=12,KILOMETRAJE!G$15,IF(G20=13,KILOMETRAJE!G$16,IF(G20=14,KILOMETRAJE!G$17,IF(G20=15,KILOMETRAJE!G$18,IF(G20=16,KILOMETRAJE!G$19,IF(G20=17,KILOMETRAJE!G$20,IF(G20=18,KILOMETRAJE!G$21,IF(G20=19,KILOMETRAJE!G$22,IF(G20=20,KILOMETRAJE!G$23,IF(G20=21,KILOMETRAJE!G$24,IF(G20=22,KILOMETRAJE!G$25,IF(G20=23,KILOMETRAJE!G$26,IF(G20=24,KILOMETRAJE!G$27,IF(G20=25,KILOMETRAJE!G$28,IF(G20=26,KILOMETRAJE!G$29,IF(G20=27,KILOMETRAJE!G$30,IF(G20=28,KILOMETRAJE!G$31,IF(G20=29,KILOMETRAJE!G$32,IF(G20=30,KILOMETRAJE!G$33,IF(G20=31,KILOMETRAJE!G$34,IF(G20=32,KILOMETRAJE!G$35,IF(G20=33,KILOMETRAJE!G$36,IF(G20=34,KILOMETRAJE!G$37,IF(G20=35,KILOMETRAJE!G$38,IF(G20=36,KILOMETRAJE!G$39,IF(G20=37,KILOMETRAJE!G$40,IF(G20=38,KILOMETRAJE!G$41,IF(G20=39,KILOMETRAJE!G$42,IF(G20=40,KILOMETRAJE!G$43,IF(G20=41,KILOMETRAJE!G$44,IF(G20=42,KILOMETRAJE!G$45,IF(G20=43,KILOMETRAJE!G$46,IF(G20=44,KILOMETRAJE!G$47,IF(G20=45,KILOMETRAJE!G$48,IF(G20=46,KILOMETRAJE!G$49,IF(G20=47,KILOMETRAJE!G$50,IF(G20=48,KILOMETRAJE!G$51,IF(G20=49,KILOMETRAJE!G$52,IF(G20=50,KILOMETRAJE!G$53,IF(G20=51,KILOMETRAJE!G$54,IF(G20=52,KILOMETRAJE!G$55,IF(G20=53,KILOMETRAJE!G$56,IF(G20=54,KILOMETRAJE!G$57,IF(G20=55,KILOMETRAJE!G$58,IF(G20=56,KILOMETRAJE!G$59,IF(G20=57,KILOMETRAJE!G$60,IF(G20=58,KILOMETRAJE!G$61,IF(G20=59,KILOMETRAJE!G$62,IF(G20=60,KILOMETRAJE!G$63,IF(G20=61,KILOMETRAJE!G$64,IF(G20=62,KILOMETRAJE!G$65,IF(G20=63,KILOMETRAJE!G$66)))))))))))))))))))))))))))))))))))))))))))))))))))))))))))))))</f>
        <v>375</v>
      </c>
      <c r="K20" s="27">
        <v>217</v>
      </c>
      <c r="L20" s="28">
        <f>SUM(J19:J20)/K20</f>
        <v>3.4562211981566819</v>
      </c>
      <c r="M20" s="349">
        <v>10296</v>
      </c>
      <c r="N20" s="27">
        <v>1</v>
      </c>
      <c r="O20" s="27" t="s">
        <v>523</v>
      </c>
      <c r="P20" s="27" t="s">
        <v>201</v>
      </c>
      <c r="Q20" s="29">
        <f t="shared" si="0"/>
        <v>109.99874999999999</v>
      </c>
      <c r="R20" s="190">
        <f>+LOOKUP(P40,UNIDADES!B$3:B$59,UNIDADES!C$3:C$59)</f>
        <v>2.4509799999999999</v>
      </c>
      <c r="S20" s="19">
        <f>+((SUM(J19:J20))/R20)-K20</f>
        <v>89.000048960007859</v>
      </c>
      <c r="T20" s="456">
        <f>+S20*14.85</f>
        <v>1321.6507270561167</v>
      </c>
      <c r="U20" s="517"/>
      <c r="V20" s="55"/>
    </row>
    <row r="21" spans="3:22" x14ac:dyDescent="0.2">
      <c r="C21" s="176">
        <v>46128</v>
      </c>
      <c r="D21" s="42" t="s">
        <v>517</v>
      </c>
      <c r="E21" s="42">
        <v>45959</v>
      </c>
      <c r="F21" s="42">
        <v>45960</v>
      </c>
      <c r="G21" s="43">
        <v>2</v>
      </c>
      <c r="H21" s="236" t="str">
        <f>IF(G21=1,KILOMETRAJE!C$4,IF(G21=2,KILOMETRAJE!C$5,IF(G21=3,KILOMETRAJE!C$6,IF(G21=4,KILOMETRAJE!C$7,IF(G21=5,KILOMETRAJE!C$8,IF(G21=6,KILOMETRAJE!C$9,IF(G21=7,KILOMETRAJE!C$10,IF(G21=8,KILOMETRAJE!C$11,IF(G21=9,KILOMETRAJE!C$12,IF(G21=10,KILOMETRAJE!C$13,IF(G21=11,KILOMETRAJE!C$14,IF(G21=12,KILOMETRAJE!C$15,IF(G21=13,KILOMETRAJE!C$16,IF(G21=14,KILOMETRAJE!C$17,IF(G21=15,KILOMETRAJE!C$18,IF(G21=16,KILOMETRAJE!C$19,IF(G21=17,KILOMETRAJE!C$20,IF(G21=18,KILOMETRAJE!C$21,IF(G21=19,KILOMETRAJE!C$22,IF(G21=20,KILOMETRAJE!C$23,IF(G21=21,KILOMETRAJE!C$24,IF(G21=22,KILOMETRAJE!C$25,IF(G21=23,KILOMETRAJE!C$26,IF(G21=24,KILOMETRAJE!C$27,IF(G21=25,KILOMETRAJE!C$28,IF(G21=26,KILOMETRAJE!C$29,IF(G21=27,KILOMETRAJE!C$30,IF(G21=28,KILOMETRAJE!C$31,IF(G21=29,KILOMETRAJE!C$32,IF(G21=30,KILOMETRAJE!C$33,IF(G21=31,KILOMETRAJE!C$34,IF(G21=32,KILOMETRAJE!C$35,IF(G21=33,KILOMETRAJE!C$36,IF(G21=34,KILOMETRAJE!C$37,IF(G21=35,KILOMETRAJE!C$38,IF(G21=36,KILOMETRAJE!C$39,IF(G21=37,KILOMETRAJE!C$40,IF(G21=38,KILOMETRAJE!C$41,IF(G21=39,KILOMETRAJE!C$42,IF(G21=40,KILOMETRAJE!C$43,IF(G21=41,KILOMETRAJE!C$44,IF(G21=42,KILOMETRAJE!C$45,IF(G21=43,KILOMETRAJE!C$46,IF(G21=44,KILOMETRAJE!C$47,IF(G21=45,KILOMETRAJE!C$48,IF(G21=46,KILOMETRAJE!C$49,IF(G21=47,KILOMETRAJE!C$50,IF(G21=48,KILOMETRAJE!C$51,IF(G21=49,KILOMETRAJE!C$52,IF(G21=50,KILOMETRAJE!C$53,IF(G21=51,KILOMETRAJE!C$54,IF(G21=52,KILOMETRAJE!C$55,IF(G21=53,KILOMETRAJE!C$56,IF(G21=54,KILOMETRAJE!C$57,IF(G21=55,KILOMETRAJE!C$58,IF(G21=56,KILOMETRAJE!C$59,IF(G21=57,KILOMETRAJE!C$60,IF(G21=58,KILOMETRAJE!C$61,IF(G21=59,KILOMETRAJE!C$62,IF(G21=60,KILOMETRAJE!C$63,IF(G21=61,KILOMETRAJE!C$64,IF(G21=62,KILOMETRAJE!C$65,IF(G21=63,KILOMETRAJE!C$66)))))))))))))))))))))))))))))))))))))))))))))))))))))))))))))))</f>
        <v>JRZ</v>
      </c>
      <c r="I21" s="236" t="str">
        <f>IF(G21=1,KILOMETRAJE!E$4,IF(G21=2,KILOMETRAJE!E$5,IF(G21=3,KILOMETRAJE!E$6,IF(G21=4,KILOMETRAJE!E$7,IF(G21=5,KILOMETRAJE!E$8,IF(G21=6,KILOMETRAJE!E$9,IF(G21=7,KILOMETRAJE!E$10,IF(G21=8,KILOMETRAJE!E$11,IF(G21=9,KILOMETRAJE!E$12,IF(G21=10,KILOMETRAJE!E$13,IF(G21=11,KILOMETRAJE!E$14,IF(G21=12,KILOMETRAJE!E$15,IF(G21=13,KILOMETRAJE!E$16,IF(G21=14,KILOMETRAJE!E$17,IF(G21=15,KILOMETRAJE!E$18,IF(G21=16,KILOMETRAJE!E$19,IF(G21=17,KILOMETRAJE!E$20,IF(G21=18,KILOMETRAJE!E$21,IF(G21=19,KILOMETRAJE!E$22,IF(G21=20,KILOMETRAJE!E$23,IF(G21=21,KILOMETRAJE!E$24,IF(G21=22,KILOMETRAJE!E$25,IF(G21=23,KILOMETRAJE!E$26,IF(G21=24,KILOMETRAJE!E$27,IF(G21=25,KILOMETRAJE!E$28,IF(G21=26,KILOMETRAJE!E$29,IF(G21=27,KILOMETRAJE!E$30,IF(G21=28,KILOMETRAJE!E$31,IF(G21=29,KILOMETRAJE!E$32,IF(G21=30,KILOMETRAJE!E$33,IF(G21=31,KILOMETRAJE!E$34,IF(G21=32,KILOMETRAJE!E$35,IF(G21=33,KILOMETRAJE!E$36,IF(G21=34,KILOMETRAJE!E$37,IF(G21=35,KILOMETRAJE!E$38,IF(G21=36,KILOMETRAJE!E$39,IF(G21=37,KILOMETRAJE!E$40,IF(G21=38,KILOMETRAJE!E$41,IF(G21=39,KILOMETRAJE!E$42,IF(G21=40,KILOMETRAJE!E$43,IF(G21=41,KILOMETRAJE!E$44,IF(G21=42,KILOMETRAJE!E$45,IF(G21=43,KILOMETRAJE!E$46,IF(G21=44,KILOMETRAJE!E$47,IF(G21=45,KILOMETRAJE!E$48,IF(G21=46,KILOMETRAJE!E$49,IF(G21=47,KILOMETRAJE!E$50,IF(G21=48,KILOMETRAJE!E$51,IF(G21=49,KILOMETRAJE!E$52,IF(G21=50,KILOMETRAJE!E$53,IF(G21=51,KILOMETRAJE!E$54,IF(G21=52,KILOMETRAJE!E$55,IF(G21=53,KILOMETRAJE!E$56,IF(G21=54,KILOMETRAJE!E$57,IF(G21=55,KILOMETRAJE!E$58,IF(G21=56,KILOMETRAJE!E$59,IF(G21=57,KILOMETRAJE!E$60,IF(G21=58,KILOMETRAJE!E$61,IF(G21=59,KILOMETRAJE!E$62,IF(G21=60,KILOMETRAJE!E$63,IF(G21=61,KILOMETRAJE!E$64,IF(G21=62,KILOMETRAJE!E$65,IF(G21=63,KILOMETRAJE!E$66)))))))))))))))))))))))))))))))))))))))))))))))))))))))))))))))</f>
        <v>CHIH.</v>
      </c>
      <c r="J21" s="237">
        <f>IF(G21=1,KILOMETRAJE!G$4,IF(G21=2,KILOMETRAJE!G$5,IF(G21=3,KILOMETRAJE!G$6,IF(G21=4,KILOMETRAJE!G$7,IF(G21=5,KILOMETRAJE!G$8,IF(G21=6,KILOMETRAJE!G$9,IF(G21=7,KILOMETRAJE!G$10,IF(G21=8,KILOMETRAJE!G$11,IF(G21=9,KILOMETRAJE!G$12,IF(G21=10,KILOMETRAJE!G$13,IF(G21=11,KILOMETRAJE!G$14,IF(G21=12,KILOMETRAJE!G$15,IF(G21=13,KILOMETRAJE!G$16,IF(G21=14,KILOMETRAJE!G$17,IF(G21=15,KILOMETRAJE!G$18,IF(G21=16,KILOMETRAJE!G$19,IF(G21=17,KILOMETRAJE!G$20,IF(G21=18,KILOMETRAJE!G$21,IF(G21=19,KILOMETRAJE!G$22,IF(G21=20,KILOMETRAJE!G$23,IF(G21=21,KILOMETRAJE!G$24,IF(G21=22,KILOMETRAJE!G$25,IF(G21=23,KILOMETRAJE!G$26,IF(G21=24,KILOMETRAJE!G$27,IF(G21=25,KILOMETRAJE!G$28,IF(G21=26,KILOMETRAJE!G$29,IF(G21=27,KILOMETRAJE!G$30,IF(G21=28,KILOMETRAJE!G$31,IF(G21=29,KILOMETRAJE!G$32,IF(G21=30,KILOMETRAJE!G$33,IF(G21=31,KILOMETRAJE!G$34,IF(G21=32,KILOMETRAJE!G$35,IF(G21=33,KILOMETRAJE!G$36,IF(G21=34,KILOMETRAJE!G$37,IF(G21=35,KILOMETRAJE!G$38,IF(G21=36,KILOMETRAJE!G$39,IF(G21=37,KILOMETRAJE!G$40,IF(G21=38,KILOMETRAJE!G$41,IF(G21=39,KILOMETRAJE!G$42,IF(G21=40,KILOMETRAJE!G$43,IF(G21=41,KILOMETRAJE!G$44,IF(G21=42,KILOMETRAJE!G$45,IF(G21=43,KILOMETRAJE!G$46,IF(G21=44,KILOMETRAJE!G$47,IF(G21=45,KILOMETRAJE!G$48,IF(G21=46,KILOMETRAJE!G$49,IF(G21=47,KILOMETRAJE!G$50,IF(G21=48,KILOMETRAJE!G$51,IF(G21=49,KILOMETRAJE!G$52,IF(G21=50,KILOMETRAJE!G$53,IF(G21=51,KILOMETRAJE!G$54,IF(G21=52,KILOMETRAJE!G$55,IF(G21=53,KILOMETRAJE!G$56,IF(G21=54,KILOMETRAJE!G$57,IF(G21=55,KILOMETRAJE!G$58,IF(G21=56,KILOMETRAJE!G$59,IF(G21=57,KILOMETRAJE!G$60,IF(G21=58,KILOMETRAJE!G$61,IF(G21=59,KILOMETRAJE!G$62,IF(G21=60,KILOMETRAJE!G$63,IF(G21=61,KILOMETRAJE!G$64,IF(G21=62,KILOMETRAJE!G$65,IF(G21=63,KILOMETRAJE!G$66)))))))))))))))))))))))))))))))))))))))))))))))))))))))))))))))</f>
        <v>375</v>
      </c>
      <c r="K21" s="24"/>
      <c r="L21" s="44"/>
      <c r="M21" s="348">
        <v>1557</v>
      </c>
      <c r="N21" s="24">
        <v>1</v>
      </c>
      <c r="O21" s="24" t="s">
        <v>465</v>
      </c>
      <c r="P21" s="24" t="s">
        <v>191</v>
      </c>
      <c r="Q21" s="45">
        <f t="shared" ref="Q21:Q26" si="1">((((IF(N21=1,((J21)*0.29333)))+(IF(N21=2,((J21)*0.146666)))+(IF(N21=3,((J21)*0.146666)))))+(IF(N21=4,((J21-40)*0.29333)))+(IF(N21=5,((J21-50)*0.29333)))+(IF(N21=6,((J21-90)*0.29333))))</f>
        <v>109.99874999999999</v>
      </c>
      <c r="R21" s="191"/>
      <c r="S21" s="52"/>
      <c r="T21" s="455"/>
      <c r="U21" s="24"/>
      <c r="V21" s="79"/>
    </row>
    <row r="22" spans="3:22" ht="12.75" thickBot="1" x14ac:dyDescent="0.25">
      <c r="C22" s="520"/>
      <c r="D22" s="25" t="s">
        <v>518</v>
      </c>
      <c r="E22" s="25">
        <v>45960</v>
      </c>
      <c r="F22" s="25">
        <v>45960</v>
      </c>
      <c r="G22" s="62">
        <v>3</v>
      </c>
      <c r="H22" s="27" t="str">
        <f>IF(G22=1,KILOMETRAJE!C$4,IF(G22=2,KILOMETRAJE!C$5,IF(G22=3,KILOMETRAJE!C$6,IF(G22=4,KILOMETRAJE!C$7,IF(G22=5,KILOMETRAJE!C$8,IF(G22=6,KILOMETRAJE!C$9,IF(G22=7,KILOMETRAJE!C$10,IF(G22=8,KILOMETRAJE!C$11,IF(G22=9,KILOMETRAJE!C$12,IF(G22=10,KILOMETRAJE!C$13,IF(G22=11,KILOMETRAJE!C$14,IF(G22=12,KILOMETRAJE!C$15,IF(G22=13,KILOMETRAJE!C$16,IF(G22=14,KILOMETRAJE!C$17,IF(G22=15,KILOMETRAJE!C$18,IF(G22=16,KILOMETRAJE!C$19,IF(G22=17,KILOMETRAJE!C$20,IF(G22=18,KILOMETRAJE!C$21,IF(G22=19,KILOMETRAJE!C$22,IF(G22=20,KILOMETRAJE!C$23,IF(G22=21,KILOMETRAJE!C$24,IF(G22=22,KILOMETRAJE!C$25,IF(G22=23,KILOMETRAJE!C$26,IF(G22=24,KILOMETRAJE!C$27,IF(G22=25,KILOMETRAJE!C$28,IF(G22=26,KILOMETRAJE!C$29,IF(G22=27,KILOMETRAJE!C$30,IF(G22=28,KILOMETRAJE!C$31,IF(G22=29,KILOMETRAJE!C$32,IF(G22=30,KILOMETRAJE!C$33,IF(G22=31,KILOMETRAJE!C$34,IF(G22=32,KILOMETRAJE!C$35,IF(G22=33,KILOMETRAJE!C$36,IF(G22=34,KILOMETRAJE!C$37,IF(G22=35,KILOMETRAJE!C$38,IF(G22=36,KILOMETRAJE!C$39,IF(G22=37,KILOMETRAJE!C$40,IF(G22=38,KILOMETRAJE!C$41,IF(G22=39,KILOMETRAJE!C$42,IF(G22=40,KILOMETRAJE!C$43,IF(G22=41,KILOMETRAJE!C$44,IF(G22=42,KILOMETRAJE!C$45,IF(G22=43,KILOMETRAJE!C$46,IF(G22=44,KILOMETRAJE!C$47,IF(G22=45,KILOMETRAJE!C$48,IF(G22=46,KILOMETRAJE!C$49,IF(G22=47,KILOMETRAJE!C$50,IF(G22=48,KILOMETRAJE!C$51,IF(G22=49,KILOMETRAJE!C$52,IF(G22=50,KILOMETRAJE!C$53,IF(G22=51,KILOMETRAJE!C$54,IF(G22=52,KILOMETRAJE!C$55,IF(G22=53,KILOMETRAJE!C$56,IF(G22=54,KILOMETRAJE!C$57,IF(G22=55,KILOMETRAJE!C$58,IF(G22=56,KILOMETRAJE!C$59,IF(G22=57,KILOMETRAJE!C$60,IF(G22=58,KILOMETRAJE!C$61,IF(G22=59,KILOMETRAJE!C$62,IF(G22=60,KILOMETRAJE!C$63,IF(G22=61,KILOMETRAJE!C$64,IF(G22=62,KILOMETRAJE!C$65,IF(G22=63,KILOMETRAJE!C$66)))))))))))))))))))))))))))))))))))))))))))))))))))))))))))))))</f>
        <v xml:space="preserve">CHIH. </v>
      </c>
      <c r="I22" s="27" t="str">
        <f>IF(G22=1,KILOMETRAJE!E$4,IF(G22=2,KILOMETRAJE!E$5,IF(G22=3,KILOMETRAJE!E$6,IF(G22=4,KILOMETRAJE!E$7,IF(G22=5,KILOMETRAJE!E$8,IF(G22=6,KILOMETRAJE!E$9,IF(G22=7,KILOMETRAJE!E$10,IF(G22=8,KILOMETRAJE!E$11,IF(G22=9,KILOMETRAJE!E$12,IF(G22=10,KILOMETRAJE!E$13,IF(G22=11,KILOMETRAJE!E$14,IF(G22=12,KILOMETRAJE!E$15,IF(G22=13,KILOMETRAJE!E$16,IF(G22=14,KILOMETRAJE!E$17,IF(G22=15,KILOMETRAJE!E$18,IF(G22=16,KILOMETRAJE!E$19,IF(G22=17,KILOMETRAJE!E$20,IF(G22=18,KILOMETRAJE!E$21,IF(G22=19,KILOMETRAJE!E$22,IF(G22=20,KILOMETRAJE!E$23,IF(G22=21,KILOMETRAJE!E$24,IF(G22=22,KILOMETRAJE!E$25,IF(G22=23,KILOMETRAJE!E$26,IF(G22=24,KILOMETRAJE!E$27,IF(G22=25,KILOMETRAJE!E$28,IF(G22=26,KILOMETRAJE!E$29,IF(G22=27,KILOMETRAJE!E$30,IF(G22=28,KILOMETRAJE!E$31,IF(G22=29,KILOMETRAJE!E$32,IF(G22=30,KILOMETRAJE!E$33,IF(G22=31,KILOMETRAJE!E$34,IF(G22=32,KILOMETRAJE!E$35,IF(G22=33,KILOMETRAJE!E$36,IF(G22=34,KILOMETRAJE!E$37,IF(G22=35,KILOMETRAJE!E$38,IF(G22=36,KILOMETRAJE!E$39,IF(G22=37,KILOMETRAJE!E$40,IF(G22=38,KILOMETRAJE!E$41,IF(G22=39,KILOMETRAJE!E$42,IF(G22=40,KILOMETRAJE!E$43,IF(G22=41,KILOMETRAJE!E$44,IF(G22=42,KILOMETRAJE!E$45,IF(G22=43,KILOMETRAJE!E$46,IF(G22=44,KILOMETRAJE!E$47,IF(G22=45,KILOMETRAJE!E$48,IF(G22=46,KILOMETRAJE!E$49,IF(G22=47,KILOMETRAJE!E$50,IF(G22=48,KILOMETRAJE!E$51,IF(G22=49,KILOMETRAJE!E$52,IF(G22=50,KILOMETRAJE!E$53,IF(G22=51,KILOMETRAJE!E$54,IF(G22=52,KILOMETRAJE!E$55,IF(G22=53,KILOMETRAJE!E$56,IF(G22=54,KILOMETRAJE!E$57,IF(G22=55,KILOMETRAJE!E$58,IF(G22=56,KILOMETRAJE!E$59,IF(G22=57,KILOMETRAJE!E$60,IF(G22=58,KILOMETRAJE!E$61,IF(G22=59,KILOMETRAJE!E$62,IF(G22=60,KILOMETRAJE!E$63,IF(G22=61,KILOMETRAJE!E$64,IF(G22=62,KILOMETRAJE!E$65,IF(G22=63,KILOMETRAJE!E$66)))))))))))))))))))))))))))))))))))))))))))))))))))))))))))))))</f>
        <v>JRZ</v>
      </c>
      <c r="J22" s="31">
        <f>IF(G22=1,KILOMETRAJE!G$4,IF(G22=2,KILOMETRAJE!G$5,IF(G22=3,KILOMETRAJE!G$6,IF(G22=4,KILOMETRAJE!G$7,IF(G22=5,KILOMETRAJE!G$8,IF(G22=6,KILOMETRAJE!G$9,IF(G22=7,KILOMETRAJE!G$10,IF(G22=8,KILOMETRAJE!G$11,IF(G22=9,KILOMETRAJE!G$12,IF(G22=10,KILOMETRAJE!G$13,IF(G22=11,KILOMETRAJE!G$14,IF(G22=12,KILOMETRAJE!G$15,IF(G22=13,KILOMETRAJE!G$16,IF(G22=14,KILOMETRAJE!G$17,IF(G22=15,KILOMETRAJE!G$18,IF(G22=16,KILOMETRAJE!G$19,IF(G22=17,KILOMETRAJE!G$20,IF(G22=18,KILOMETRAJE!G$21,IF(G22=19,KILOMETRAJE!G$22,IF(G22=20,KILOMETRAJE!G$23,IF(G22=21,KILOMETRAJE!G$24,IF(G22=22,KILOMETRAJE!G$25,IF(G22=23,KILOMETRAJE!G$26,IF(G22=24,KILOMETRAJE!G$27,IF(G22=25,KILOMETRAJE!G$28,IF(G22=26,KILOMETRAJE!G$29,IF(G22=27,KILOMETRAJE!G$30,IF(G22=28,KILOMETRAJE!G$31,IF(G22=29,KILOMETRAJE!G$32,IF(G22=30,KILOMETRAJE!G$33,IF(G22=31,KILOMETRAJE!G$34,IF(G22=32,KILOMETRAJE!G$35,IF(G22=33,KILOMETRAJE!G$36,IF(G22=34,KILOMETRAJE!G$37,IF(G22=35,KILOMETRAJE!G$38,IF(G22=36,KILOMETRAJE!G$39,IF(G22=37,KILOMETRAJE!G$40,IF(G22=38,KILOMETRAJE!G$41,IF(G22=39,KILOMETRAJE!G$42,IF(G22=40,KILOMETRAJE!G$43,IF(G22=41,KILOMETRAJE!G$44,IF(G22=42,KILOMETRAJE!G$45,IF(G22=43,KILOMETRAJE!G$46,IF(G22=44,KILOMETRAJE!G$47,IF(G22=45,KILOMETRAJE!G$48,IF(G22=46,KILOMETRAJE!G$49,IF(G22=47,KILOMETRAJE!G$50,IF(G22=48,KILOMETRAJE!G$51,IF(G22=49,KILOMETRAJE!G$52,IF(G22=50,KILOMETRAJE!G$53,IF(G22=51,KILOMETRAJE!G$54,IF(G22=52,KILOMETRAJE!G$55,IF(G22=53,KILOMETRAJE!G$56,IF(G22=54,KILOMETRAJE!G$57,IF(G22=55,KILOMETRAJE!G$58,IF(G22=56,KILOMETRAJE!G$59,IF(G22=57,KILOMETRAJE!G$60,IF(G22=58,KILOMETRAJE!G$61,IF(G22=59,KILOMETRAJE!G$62,IF(G22=60,KILOMETRAJE!G$63,IF(G22=61,KILOMETRAJE!G$64,IF(G22=62,KILOMETRAJE!G$65,IF(G22=63,KILOMETRAJE!G$66)))))))))))))))))))))))))))))))))))))))))))))))))))))))))))))))</f>
        <v>375</v>
      </c>
      <c r="K22" s="27">
        <v>207</v>
      </c>
      <c r="L22" s="28">
        <f>SUM(J21:J22)/K22</f>
        <v>3.6231884057971016</v>
      </c>
      <c r="M22" s="349">
        <v>7576</v>
      </c>
      <c r="N22" s="27">
        <v>1</v>
      </c>
      <c r="O22" s="27">
        <v>52683</v>
      </c>
      <c r="P22" s="27" t="s">
        <v>197</v>
      </c>
      <c r="Q22" s="29">
        <f t="shared" si="1"/>
        <v>109.99874999999999</v>
      </c>
      <c r="R22" s="190">
        <f>+LOOKUP(P42,UNIDADES!B$3:B$59,UNIDADES!C$3:C$59)</f>
        <v>2.4509799999999999</v>
      </c>
      <c r="S22" s="19">
        <f>+((SUM(J21:J22))/R22)-K22</f>
        <v>99.000048960007859</v>
      </c>
      <c r="T22" s="456">
        <f>+S22*14.85</f>
        <v>1470.1507270561167</v>
      </c>
      <c r="U22" s="521"/>
      <c r="V22" s="55"/>
    </row>
    <row r="23" spans="3:22" x14ac:dyDescent="0.2">
      <c r="C23" s="176">
        <v>46155</v>
      </c>
      <c r="D23" s="430" t="s">
        <v>519</v>
      </c>
      <c r="E23" s="42">
        <v>45960</v>
      </c>
      <c r="F23" s="42">
        <v>45961</v>
      </c>
      <c r="G23" s="43">
        <v>1</v>
      </c>
      <c r="H23" s="236" t="str">
        <f>IF(G23=1,KILOMETRAJE!C$4,IF(G23=2,KILOMETRAJE!C$5,IF(G23=3,KILOMETRAJE!C$6,IF(G23=4,KILOMETRAJE!C$7,IF(G23=5,KILOMETRAJE!C$8,IF(G23=6,KILOMETRAJE!C$9,IF(G23=7,KILOMETRAJE!C$10,IF(G23=8,KILOMETRAJE!C$11,IF(G23=9,KILOMETRAJE!C$12,IF(G23=10,KILOMETRAJE!C$13,IF(G23=11,KILOMETRAJE!C$14,IF(G23=12,KILOMETRAJE!C$15,IF(G23=13,KILOMETRAJE!C$16,IF(G23=14,KILOMETRAJE!C$17,IF(G23=15,KILOMETRAJE!C$18,IF(G23=16,KILOMETRAJE!C$19,IF(G23=17,KILOMETRAJE!C$20,IF(G23=18,KILOMETRAJE!C$21,IF(G23=19,KILOMETRAJE!C$22,IF(G23=20,KILOMETRAJE!C$23,IF(G23=21,KILOMETRAJE!C$24,IF(G23=22,KILOMETRAJE!C$25,IF(G23=23,KILOMETRAJE!C$26,IF(G23=24,KILOMETRAJE!C$27,IF(G23=25,KILOMETRAJE!C$28,IF(G23=26,KILOMETRAJE!C$29,IF(G23=27,KILOMETRAJE!C$30,IF(G23=28,KILOMETRAJE!C$31,IF(G23=29,KILOMETRAJE!C$32,IF(G23=30,KILOMETRAJE!C$33,IF(G23=31,KILOMETRAJE!C$34,IF(G23=32,KILOMETRAJE!C$35,IF(G23=33,KILOMETRAJE!C$36,IF(G23=34,KILOMETRAJE!C$37,IF(G23=35,KILOMETRAJE!C$38,IF(G23=36,KILOMETRAJE!C$39,IF(G23=37,KILOMETRAJE!C$40,IF(G23=38,KILOMETRAJE!C$41,IF(G23=39,KILOMETRAJE!C$42,IF(G23=40,KILOMETRAJE!C$43,IF(G23=41,KILOMETRAJE!C$44,IF(G23=42,KILOMETRAJE!C$45,IF(G23=43,KILOMETRAJE!C$46,IF(G23=44,KILOMETRAJE!C$47,IF(G23=45,KILOMETRAJE!C$48,IF(G23=46,KILOMETRAJE!C$49,IF(G23=47,KILOMETRAJE!C$50,IF(G23=48,KILOMETRAJE!C$51,IF(G23=49,KILOMETRAJE!C$52,IF(G23=50,KILOMETRAJE!C$53,IF(G23=51,KILOMETRAJE!C$54,IF(G23=52,KILOMETRAJE!C$55,IF(G23=53,KILOMETRAJE!C$56,IF(G23=54,KILOMETRAJE!C$57,IF(G23=55,KILOMETRAJE!C$58,IF(G23=56,KILOMETRAJE!C$59,IF(G23=57,KILOMETRAJE!C$60,IF(G23=58,KILOMETRAJE!C$61,IF(G23=59,KILOMETRAJE!C$62,IF(G23=60,KILOMETRAJE!C$63,IF(G23=61,KILOMETRAJE!C$64,IF(G23=62,KILOMETRAJE!C$65,IF(G23=63,KILOMETRAJE!C$66)))))))))))))))))))))))))))))))))))))))))))))))))))))))))))))))</f>
        <v>JRZ</v>
      </c>
      <c r="I23" s="236" t="str">
        <f>IF(G23=1,KILOMETRAJE!E$4,IF(G23=2,KILOMETRAJE!E$5,IF(G23=3,KILOMETRAJE!E$6,IF(G23=4,KILOMETRAJE!E$7,IF(G23=5,KILOMETRAJE!E$8,IF(G23=6,KILOMETRAJE!E$9,IF(G23=7,KILOMETRAJE!E$10,IF(G23=8,KILOMETRAJE!E$11,IF(G23=9,KILOMETRAJE!E$12,IF(G23=10,KILOMETRAJE!E$13,IF(G23=11,KILOMETRAJE!E$14,IF(G23=12,KILOMETRAJE!E$15,IF(G23=13,KILOMETRAJE!E$16,IF(G23=14,KILOMETRAJE!E$17,IF(G23=15,KILOMETRAJE!E$18,IF(G23=16,KILOMETRAJE!E$19,IF(G23=17,KILOMETRAJE!E$20,IF(G23=18,KILOMETRAJE!E$21,IF(G23=19,KILOMETRAJE!E$22,IF(G23=20,KILOMETRAJE!E$23,IF(G23=21,KILOMETRAJE!E$24,IF(G23=22,KILOMETRAJE!E$25,IF(G23=23,KILOMETRAJE!E$26,IF(G23=24,KILOMETRAJE!E$27,IF(G23=25,KILOMETRAJE!E$28,IF(G23=26,KILOMETRAJE!E$29,IF(G23=27,KILOMETRAJE!E$30,IF(G23=28,KILOMETRAJE!E$31,IF(G23=29,KILOMETRAJE!E$32,IF(G23=30,KILOMETRAJE!E$33,IF(G23=31,KILOMETRAJE!E$34,IF(G23=32,KILOMETRAJE!E$35,IF(G23=33,KILOMETRAJE!E$36,IF(G23=34,KILOMETRAJE!E$37,IF(G23=35,KILOMETRAJE!E$38,IF(G23=36,KILOMETRAJE!E$39,IF(G23=37,KILOMETRAJE!E$40,IF(G23=38,KILOMETRAJE!E$41,IF(G23=39,KILOMETRAJE!E$42,IF(G23=40,KILOMETRAJE!E$43,IF(G23=41,KILOMETRAJE!E$44,IF(G23=42,KILOMETRAJE!E$45,IF(G23=43,KILOMETRAJE!E$46,IF(G23=44,KILOMETRAJE!E$47,IF(G23=45,KILOMETRAJE!E$48,IF(G23=46,KILOMETRAJE!E$49,IF(G23=47,KILOMETRAJE!E$50,IF(G23=48,KILOMETRAJE!E$51,IF(G23=49,KILOMETRAJE!E$52,IF(G23=50,KILOMETRAJE!E$53,IF(G23=51,KILOMETRAJE!E$54,IF(G23=52,KILOMETRAJE!E$55,IF(G23=53,KILOMETRAJE!E$56,IF(G23=54,KILOMETRAJE!E$57,IF(G23=55,KILOMETRAJE!E$58,IF(G23=56,KILOMETRAJE!E$59,IF(G23=57,KILOMETRAJE!E$60,IF(G23=58,KILOMETRAJE!E$61,IF(G23=59,KILOMETRAJE!E$62,IF(G23=60,KILOMETRAJE!E$63,IF(G23=61,KILOMETRAJE!E$64,IF(G23=62,KILOMETRAJE!E$65,IF(G23=63,KILOMETRAJE!E$66)))))))))))))))))))))))))))))))))))))))))))))))))))))))))))))))</f>
        <v>CHIH.(HAW)</v>
      </c>
      <c r="J23" s="237">
        <f>IF(G23=1,KILOMETRAJE!G$4,IF(G23=2,KILOMETRAJE!G$5,IF(G23=3,KILOMETRAJE!G$6,IF(G23=4,KILOMETRAJE!G$7,IF(G23=5,KILOMETRAJE!G$8,IF(G23=6,KILOMETRAJE!G$9,IF(G23=7,KILOMETRAJE!G$10,IF(G23=8,KILOMETRAJE!G$11,IF(G23=9,KILOMETRAJE!G$12,IF(G23=10,KILOMETRAJE!G$13,IF(G23=11,KILOMETRAJE!G$14,IF(G23=12,KILOMETRAJE!G$15,IF(G23=13,KILOMETRAJE!G$16,IF(G23=14,KILOMETRAJE!G$17,IF(G23=15,KILOMETRAJE!G$18,IF(G23=16,KILOMETRAJE!G$19,IF(G23=17,KILOMETRAJE!G$20,IF(G23=18,KILOMETRAJE!G$21,IF(G23=19,KILOMETRAJE!G$22,IF(G23=20,KILOMETRAJE!G$23,IF(G23=21,KILOMETRAJE!G$24,IF(G23=22,KILOMETRAJE!G$25,IF(G23=23,KILOMETRAJE!G$26,IF(G23=24,KILOMETRAJE!G$27,IF(G23=25,KILOMETRAJE!G$28,IF(G23=26,KILOMETRAJE!G$29,IF(G23=27,KILOMETRAJE!G$30,IF(G23=28,KILOMETRAJE!G$31,IF(G23=29,KILOMETRAJE!G$32,IF(G23=30,KILOMETRAJE!G$33,IF(G23=31,KILOMETRAJE!G$34,IF(G23=32,KILOMETRAJE!G$35,IF(G23=33,KILOMETRAJE!G$36,IF(G23=34,KILOMETRAJE!G$37,IF(G23=35,KILOMETRAJE!G$38,IF(G23=36,KILOMETRAJE!G$39,IF(G23=37,KILOMETRAJE!G$40,IF(G23=38,KILOMETRAJE!G$41,IF(G23=39,KILOMETRAJE!G$42,IF(G23=40,KILOMETRAJE!G$43,IF(G23=41,KILOMETRAJE!G$44,IF(G23=42,KILOMETRAJE!G$45,IF(G23=43,KILOMETRAJE!G$46,IF(G23=44,KILOMETRAJE!G$47,IF(G23=45,KILOMETRAJE!G$48,IF(G23=46,KILOMETRAJE!G$49,IF(G23=47,KILOMETRAJE!G$50,IF(G23=48,KILOMETRAJE!G$51,IF(G23=49,KILOMETRAJE!G$52,IF(G23=50,KILOMETRAJE!G$53,IF(G23=51,KILOMETRAJE!G$54,IF(G23=52,KILOMETRAJE!G$55,IF(G23=53,KILOMETRAJE!G$56,IF(G23=54,KILOMETRAJE!G$57,IF(G23=55,KILOMETRAJE!G$58,IF(G23=56,KILOMETRAJE!G$59,IF(G23=57,KILOMETRAJE!G$60,IF(G23=58,KILOMETRAJE!G$61,IF(G23=59,KILOMETRAJE!G$62,IF(G23=60,KILOMETRAJE!G$63,IF(G23=61,KILOMETRAJE!G$64,IF(G23=62,KILOMETRAJE!G$65,IF(G23=63,KILOMETRAJE!G$66)))))))))))))))))))))))))))))))))))))))))))))))))))))))))))))))</f>
        <v>425</v>
      </c>
      <c r="K23" s="24"/>
      <c r="L23" s="44"/>
      <c r="M23" s="348">
        <v>4260</v>
      </c>
      <c r="N23" s="24">
        <v>5</v>
      </c>
      <c r="O23" s="24" t="s">
        <v>524</v>
      </c>
      <c r="P23" s="24" t="s">
        <v>198</v>
      </c>
      <c r="Q23" s="45">
        <f t="shared" si="1"/>
        <v>109.99874999999999</v>
      </c>
      <c r="R23" s="191"/>
      <c r="S23" s="52"/>
      <c r="T23" s="455"/>
      <c r="U23" s="24"/>
      <c r="V23" s="79"/>
    </row>
    <row r="24" spans="3:22" ht="12.75" thickBot="1" x14ac:dyDescent="0.25">
      <c r="C24" s="101"/>
      <c r="D24" s="25" t="s">
        <v>520</v>
      </c>
      <c r="E24" s="25">
        <v>45961</v>
      </c>
      <c r="F24" s="25">
        <v>45961</v>
      </c>
      <c r="G24" s="62">
        <v>3</v>
      </c>
      <c r="H24" s="27" t="str">
        <f>IF(G24=1,KILOMETRAJE!C$4,IF(G24=2,KILOMETRAJE!C$5,IF(G24=3,KILOMETRAJE!C$6,IF(G24=4,KILOMETRAJE!C$7,IF(G24=5,KILOMETRAJE!C$8,IF(G24=6,KILOMETRAJE!C$9,IF(G24=7,KILOMETRAJE!C$10,IF(G24=8,KILOMETRAJE!C$11,IF(G24=9,KILOMETRAJE!C$12,IF(G24=10,KILOMETRAJE!C$13,IF(G24=11,KILOMETRAJE!C$14,IF(G24=12,KILOMETRAJE!C$15,IF(G24=13,KILOMETRAJE!C$16,IF(G24=14,KILOMETRAJE!C$17,IF(G24=15,KILOMETRAJE!C$18,IF(G24=16,KILOMETRAJE!C$19,IF(G24=17,KILOMETRAJE!C$20,IF(G24=18,KILOMETRAJE!C$21,IF(G24=19,KILOMETRAJE!C$22,IF(G24=20,KILOMETRAJE!C$23,IF(G24=21,KILOMETRAJE!C$24,IF(G24=22,KILOMETRAJE!C$25,IF(G24=23,KILOMETRAJE!C$26,IF(G24=24,KILOMETRAJE!C$27,IF(G24=25,KILOMETRAJE!C$28,IF(G24=26,KILOMETRAJE!C$29,IF(G24=27,KILOMETRAJE!C$30,IF(G24=28,KILOMETRAJE!C$31,IF(G24=29,KILOMETRAJE!C$32,IF(G24=30,KILOMETRAJE!C$33,IF(G24=31,KILOMETRAJE!C$34,IF(G24=32,KILOMETRAJE!C$35,IF(G24=33,KILOMETRAJE!C$36,IF(G24=34,KILOMETRAJE!C$37,IF(G24=35,KILOMETRAJE!C$38,IF(G24=36,KILOMETRAJE!C$39,IF(G24=37,KILOMETRAJE!C$40,IF(G24=38,KILOMETRAJE!C$41,IF(G24=39,KILOMETRAJE!C$42,IF(G24=40,KILOMETRAJE!C$43,IF(G24=41,KILOMETRAJE!C$44,IF(G24=42,KILOMETRAJE!C$45,IF(G24=43,KILOMETRAJE!C$46,IF(G24=44,KILOMETRAJE!C$47,IF(G24=45,KILOMETRAJE!C$48,IF(G24=46,KILOMETRAJE!C$49,IF(G24=47,KILOMETRAJE!C$50,IF(G24=48,KILOMETRAJE!C$51,IF(G24=49,KILOMETRAJE!C$52,IF(G24=50,KILOMETRAJE!C$53,IF(G24=51,KILOMETRAJE!C$54,IF(G24=52,KILOMETRAJE!C$55,IF(G24=53,KILOMETRAJE!C$56,IF(G24=54,KILOMETRAJE!C$57,IF(G24=55,KILOMETRAJE!C$58,IF(G24=56,KILOMETRAJE!C$59,IF(G24=57,KILOMETRAJE!C$60,IF(G24=58,KILOMETRAJE!C$61,IF(G24=59,KILOMETRAJE!C$62,IF(G24=60,KILOMETRAJE!C$63,IF(G24=61,KILOMETRAJE!C$64,IF(G24=62,KILOMETRAJE!C$65,IF(G24=63,KILOMETRAJE!C$66)))))))))))))))))))))))))))))))))))))))))))))))))))))))))))))))</f>
        <v xml:space="preserve">CHIH. </v>
      </c>
      <c r="I24" s="27" t="str">
        <f>IF(G24=1,KILOMETRAJE!E$4,IF(G24=2,KILOMETRAJE!E$5,IF(G24=3,KILOMETRAJE!E$6,IF(G24=4,KILOMETRAJE!E$7,IF(G24=5,KILOMETRAJE!E$8,IF(G24=6,KILOMETRAJE!E$9,IF(G24=7,KILOMETRAJE!E$10,IF(G24=8,KILOMETRAJE!E$11,IF(G24=9,KILOMETRAJE!E$12,IF(G24=10,KILOMETRAJE!E$13,IF(G24=11,KILOMETRAJE!E$14,IF(G24=12,KILOMETRAJE!E$15,IF(G24=13,KILOMETRAJE!E$16,IF(G24=14,KILOMETRAJE!E$17,IF(G24=15,KILOMETRAJE!E$18,IF(G24=16,KILOMETRAJE!E$19,IF(G24=17,KILOMETRAJE!E$20,IF(G24=18,KILOMETRAJE!E$21,IF(G24=19,KILOMETRAJE!E$22,IF(G24=20,KILOMETRAJE!E$23,IF(G24=21,KILOMETRAJE!E$24,IF(G24=22,KILOMETRAJE!E$25,IF(G24=23,KILOMETRAJE!E$26,IF(G24=24,KILOMETRAJE!E$27,IF(G24=25,KILOMETRAJE!E$28,IF(G24=26,KILOMETRAJE!E$29,IF(G24=27,KILOMETRAJE!E$30,IF(G24=28,KILOMETRAJE!E$31,IF(G24=29,KILOMETRAJE!E$32,IF(G24=30,KILOMETRAJE!E$33,IF(G24=31,KILOMETRAJE!E$34,IF(G24=32,KILOMETRAJE!E$35,IF(G24=33,KILOMETRAJE!E$36,IF(G24=34,KILOMETRAJE!E$37,IF(G24=35,KILOMETRAJE!E$38,IF(G24=36,KILOMETRAJE!E$39,IF(G24=37,KILOMETRAJE!E$40,IF(G24=38,KILOMETRAJE!E$41,IF(G24=39,KILOMETRAJE!E$42,IF(G24=40,KILOMETRAJE!E$43,IF(G24=41,KILOMETRAJE!E$44,IF(G24=42,KILOMETRAJE!E$45,IF(G24=43,KILOMETRAJE!E$46,IF(G24=44,KILOMETRAJE!E$47,IF(G24=45,KILOMETRAJE!E$48,IF(G24=46,KILOMETRAJE!E$49,IF(G24=47,KILOMETRAJE!E$50,IF(G24=48,KILOMETRAJE!E$51,IF(G24=49,KILOMETRAJE!E$52,IF(G24=50,KILOMETRAJE!E$53,IF(G24=51,KILOMETRAJE!E$54,IF(G24=52,KILOMETRAJE!E$55,IF(G24=53,KILOMETRAJE!E$56,IF(G24=54,KILOMETRAJE!E$57,IF(G24=55,KILOMETRAJE!E$58,IF(G24=56,KILOMETRAJE!E$59,IF(G24=57,KILOMETRAJE!E$60,IF(G24=58,KILOMETRAJE!E$61,IF(G24=59,KILOMETRAJE!E$62,IF(G24=60,KILOMETRAJE!E$63,IF(G24=61,KILOMETRAJE!E$64,IF(G24=62,KILOMETRAJE!E$65,IF(G24=63,KILOMETRAJE!E$66)))))))))))))))))))))))))))))))))))))))))))))))))))))))))))))))</f>
        <v>JRZ</v>
      </c>
      <c r="J24" s="31">
        <f>IF(G24=1,KILOMETRAJE!G$4,IF(G24=2,KILOMETRAJE!G$5,IF(G24=3,KILOMETRAJE!G$6,IF(G24=4,KILOMETRAJE!G$7,IF(G24=5,KILOMETRAJE!G$8,IF(G24=6,KILOMETRAJE!G$9,IF(G24=7,KILOMETRAJE!G$10,IF(G24=8,KILOMETRAJE!G$11,IF(G24=9,KILOMETRAJE!G$12,IF(G24=10,KILOMETRAJE!G$13,IF(G24=11,KILOMETRAJE!G$14,IF(G24=12,KILOMETRAJE!G$15,IF(G24=13,KILOMETRAJE!G$16,IF(G24=14,KILOMETRAJE!G$17,IF(G24=15,KILOMETRAJE!G$18,IF(G24=16,KILOMETRAJE!G$19,IF(G24=17,KILOMETRAJE!G$20,IF(G24=18,KILOMETRAJE!G$21,IF(G24=19,KILOMETRAJE!G$22,IF(G24=20,KILOMETRAJE!G$23,IF(G24=21,KILOMETRAJE!G$24,IF(G24=22,KILOMETRAJE!G$25,IF(G24=23,KILOMETRAJE!G$26,IF(G24=24,KILOMETRAJE!G$27,IF(G24=25,KILOMETRAJE!G$28,IF(G24=26,KILOMETRAJE!G$29,IF(G24=27,KILOMETRAJE!G$30,IF(G24=28,KILOMETRAJE!G$31,IF(G24=29,KILOMETRAJE!G$32,IF(G24=30,KILOMETRAJE!G$33,IF(G24=31,KILOMETRAJE!G$34,IF(G24=32,KILOMETRAJE!G$35,IF(G24=33,KILOMETRAJE!G$36,IF(G24=34,KILOMETRAJE!G$37,IF(G24=35,KILOMETRAJE!G$38,IF(G24=36,KILOMETRAJE!G$39,IF(G24=37,KILOMETRAJE!G$40,IF(G24=38,KILOMETRAJE!G$41,IF(G24=39,KILOMETRAJE!G$42,IF(G24=40,KILOMETRAJE!G$43,IF(G24=41,KILOMETRAJE!G$44,IF(G24=42,KILOMETRAJE!G$45,IF(G24=43,KILOMETRAJE!G$46,IF(G24=44,KILOMETRAJE!G$47,IF(G24=45,KILOMETRAJE!G$48,IF(G24=46,KILOMETRAJE!G$49,IF(G24=47,KILOMETRAJE!G$50,IF(G24=48,KILOMETRAJE!G$51,IF(G24=49,KILOMETRAJE!G$52,IF(G24=50,KILOMETRAJE!G$53,IF(G24=51,KILOMETRAJE!G$54,IF(G24=52,KILOMETRAJE!G$55,IF(G24=53,KILOMETRAJE!G$56,IF(G24=54,KILOMETRAJE!G$57,IF(G24=55,KILOMETRAJE!G$58,IF(G24=56,KILOMETRAJE!G$59,IF(G24=57,KILOMETRAJE!G$60,IF(G24=58,KILOMETRAJE!G$61,IF(G24=59,KILOMETRAJE!G$62,IF(G24=60,KILOMETRAJE!G$63,IF(G24=61,KILOMETRAJE!G$64,IF(G24=62,KILOMETRAJE!G$65,IF(G24=63,KILOMETRAJE!G$66)))))))))))))))))))))))))))))))))))))))))))))))))))))))))))))))</f>
        <v>375</v>
      </c>
      <c r="K24" s="27">
        <v>217</v>
      </c>
      <c r="L24" s="28">
        <f>SUM(J23:J24)/K24</f>
        <v>3.6866359447004609</v>
      </c>
      <c r="M24" s="349">
        <v>3590</v>
      </c>
      <c r="N24" s="27">
        <v>1</v>
      </c>
      <c r="O24" s="27" t="s">
        <v>525</v>
      </c>
      <c r="P24" s="27" t="s">
        <v>247</v>
      </c>
      <c r="Q24" s="29">
        <f t="shared" si="1"/>
        <v>109.99874999999999</v>
      </c>
      <c r="R24" s="190">
        <f>+LOOKUP(P42,UNIDADES!B$3:B$59,UNIDADES!C$3:C$59)</f>
        <v>2.4509799999999999</v>
      </c>
      <c r="S24" s="19">
        <f>+((SUM(J23:J24))/R24)-K24</f>
        <v>109.40005222400839</v>
      </c>
      <c r="T24" s="456">
        <f>+S24*14.85</f>
        <v>1624.5907755265246</v>
      </c>
      <c r="U24" s="521"/>
      <c r="V24" s="55"/>
    </row>
    <row r="25" spans="3:22" x14ac:dyDescent="0.2">
      <c r="C25" s="238">
        <v>46167</v>
      </c>
      <c r="D25" s="36" t="s">
        <v>521</v>
      </c>
      <c r="E25" s="37">
        <v>45961</v>
      </c>
      <c r="F25" s="37">
        <v>45962</v>
      </c>
      <c r="G25" s="36">
        <v>2</v>
      </c>
      <c r="H25" s="236" t="str">
        <f>IF(G25=1,KILOMETRAJE!C$4,IF(G25=2,KILOMETRAJE!C$5,IF(G25=3,KILOMETRAJE!C$6,IF(G25=4,KILOMETRAJE!C$7,IF(G25=5,KILOMETRAJE!C$8,IF(G25=6,KILOMETRAJE!C$9,IF(G25=7,KILOMETRAJE!C$10,IF(G25=8,KILOMETRAJE!C$11,IF(G25=9,KILOMETRAJE!C$12,IF(G25=10,KILOMETRAJE!C$13,IF(G25=11,KILOMETRAJE!C$14,IF(G25=12,KILOMETRAJE!C$15,IF(G25=13,KILOMETRAJE!C$16,IF(G25=14,KILOMETRAJE!C$17,IF(G25=15,KILOMETRAJE!C$18,IF(G25=16,KILOMETRAJE!C$19,IF(G25=17,KILOMETRAJE!C$20,IF(G25=18,KILOMETRAJE!C$21,IF(G25=19,KILOMETRAJE!C$22,IF(G25=20,KILOMETRAJE!C$23,IF(G25=21,KILOMETRAJE!C$24,IF(G25=22,KILOMETRAJE!C$25,IF(G25=23,KILOMETRAJE!C$26,IF(G25=24,KILOMETRAJE!C$27,IF(G25=25,KILOMETRAJE!C$28,IF(G25=26,KILOMETRAJE!C$29,IF(G25=27,KILOMETRAJE!C$30,IF(G25=28,KILOMETRAJE!C$31,IF(G25=29,KILOMETRAJE!C$32,IF(G25=30,KILOMETRAJE!C$33,IF(G25=31,KILOMETRAJE!C$34,IF(G25=32,KILOMETRAJE!C$35,IF(G25=33,KILOMETRAJE!C$36,IF(G25=34,KILOMETRAJE!C$37,IF(G25=35,KILOMETRAJE!C$38,IF(G25=36,KILOMETRAJE!C$39,IF(G25=37,KILOMETRAJE!C$40,IF(G25=38,KILOMETRAJE!C$41,IF(G25=39,KILOMETRAJE!C$42,IF(G25=40,KILOMETRAJE!C$43,IF(G25=41,KILOMETRAJE!C$44,IF(G25=42,KILOMETRAJE!C$45,IF(G25=43,KILOMETRAJE!C$46,IF(G25=44,KILOMETRAJE!C$47,IF(G25=45,KILOMETRAJE!C$48,IF(G25=46,KILOMETRAJE!C$49,IF(G25=47,KILOMETRAJE!C$50,IF(G25=48,KILOMETRAJE!C$51,IF(G25=49,KILOMETRAJE!C$52,IF(G25=50,KILOMETRAJE!C$53,IF(G25=51,KILOMETRAJE!C$54,IF(G25=52,KILOMETRAJE!C$55,IF(G25=53,KILOMETRAJE!C$56,IF(G25=54,KILOMETRAJE!C$57,IF(G25=55,KILOMETRAJE!C$58,IF(G25=56,KILOMETRAJE!C$59,IF(G25=57,KILOMETRAJE!C$60,IF(G25=58,KILOMETRAJE!C$61,IF(G25=59,KILOMETRAJE!C$62,IF(G25=60,KILOMETRAJE!C$63,IF(G25=61,KILOMETRAJE!C$64,IF(G25=62,KILOMETRAJE!C$65,IF(G25=63,KILOMETRAJE!C$66)))))))))))))))))))))))))))))))))))))))))))))))))))))))))))))))</f>
        <v>JRZ</v>
      </c>
      <c r="I25" s="236" t="str">
        <f>IF(G25=1,KILOMETRAJE!E$4,IF(G25=2,KILOMETRAJE!E$5,IF(G25=3,KILOMETRAJE!E$6,IF(G25=4,KILOMETRAJE!E$7,IF(G25=5,KILOMETRAJE!E$8,IF(G25=6,KILOMETRAJE!E$9,IF(G25=7,KILOMETRAJE!E$10,IF(G25=8,KILOMETRAJE!E$11,IF(G25=9,KILOMETRAJE!E$12,IF(G25=10,KILOMETRAJE!E$13,IF(G25=11,KILOMETRAJE!E$14,IF(G25=12,KILOMETRAJE!E$15,IF(G25=13,KILOMETRAJE!E$16,IF(G25=14,KILOMETRAJE!E$17,IF(G25=15,KILOMETRAJE!E$18,IF(G25=16,KILOMETRAJE!E$19,IF(G25=17,KILOMETRAJE!E$20,IF(G25=18,KILOMETRAJE!E$21,IF(G25=19,KILOMETRAJE!E$22,IF(G25=20,KILOMETRAJE!E$23,IF(G25=21,KILOMETRAJE!E$24,IF(G25=22,KILOMETRAJE!E$25,IF(G25=23,KILOMETRAJE!E$26,IF(G25=24,KILOMETRAJE!E$27,IF(G25=25,KILOMETRAJE!E$28,IF(G25=26,KILOMETRAJE!E$29,IF(G25=27,KILOMETRAJE!E$30,IF(G25=28,KILOMETRAJE!E$31,IF(G25=29,KILOMETRAJE!E$32,IF(G25=30,KILOMETRAJE!E$33,IF(G25=31,KILOMETRAJE!E$34,IF(G25=32,KILOMETRAJE!E$35,IF(G25=33,KILOMETRAJE!E$36,IF(G25=34,KILOMETRAJE!E$37,IF(G25=35,KILOMETRAJE!E$38,IF(G25=36,KILOMETRAJE!E$39,IF(G25=37,KILOMETRAJE!E$40,IF(G25=38,KILOMETRAJE!E$41,IF(G25=39,KILOMETRAJE!E$42,IF(G25=40,KILOMETRAJE!E$43,IF(G25=41,KILOMETRAJE!E$44,IF(G25=42,KILOMETRAJE!E$45,IF(G25=43,KILOMETRAJE!E$46,IF(G25=44,KILOMETRAJE!E$47,IF(G25=45,KILOMETRAJE!E$48,IF(G25=46,KILOMETRAJE!E$49,IF(G25=47,KILOMETRAJE!E$50,IF(G25=48,KILOMETRAJE!E$51,IF(G25=49,KILOMETRAJE!E$52,IF(G25=50,KILOMETRAJE!E$53,IF(G25=51,KILOMETRAJE!E$54,IF(G25=52,KILOMETRAJE!E$55,IF(G25=53,KILOMETRAJE!E$56,IF(G25=54,KILOMETRAJE!E$57,IF(G25=55,KILOMETRAJE!E$58,IF(G25=56,KILOMETRAJE!E$59,IF(G25=57,KILOMETRAJE!E$60,IF(G25=58,KILOMETRAJE!E$61,IF(G25=59,KILOMETRAJE!E$62,IF(G25=60,KILOMETRAJE!E$63,IF(G25=61,KILOMETRAJE!E$64,IF(G25=62,KILOMETRAJE!E$65,IF(G25=63,KILOMETRAJE!E$66)))))))))))))))))))))))))))))))))))))))))))))))))))))))))))))))</f>
        <v>CHIH.</v>
      </c>
      <c r="J25" s="237">
        <f>IF(G25=1,KILOMETRAJE!G$4,IF(G25=2,KILOMETRAJE!G$5,IF(G25=3,KILOMETRAJE!G$6,IF(G25=4,KILOMETRAJE!G$7,IF(G25=5,KILOMETRAJE!G$8,IF(G25=6,KILOMETRAJE!G$9,IF(G25=7,KILOMETRAJE!G$10,IF(G25=8,KILOMETRAJE!G$11,IF(G25=9,KILOMETRAJE!G$12,IF(G25=10,KILOMETRAJE!G$13,IF(G25=11,KILOMETRAJE!G$14,IF(G25=12,KILOMETRAJE!G$15,IF(G25=13,KILOMETRAJE!G$16,IF(G25=14,KILOMETRAJE!G$17,IF(G25=15,KILOMETRAJE!G$18,IF(G25=16,KILOMETRAJE!G$19,IF(G25=17,KILOMETRAJE!G$20,IF(G25=18,KILOMETRAJE!G$21,IF(G25=19,KILOMETRAJE!G$22,IF(G25=20,KILOMETRAJE!G$23,IF(G25=21,KILOMETRAJE!G$24,IF(G25=22,KILOMETRAJE!G$25,IF(G25=23,KILOMETRAJE!G$26,IF(G25=24,KILOMETRAJE!G$27,IF(G25=25,KILOMETRAJE!G$28,IF(G25=26,KILOMETRAJE!G$29,IF(G25=27,KILOMETRAJE!G$30,IF(G25=28,KILOMETRAJE!G$31,IF(G25=29,KILOMETRAJE!G$32,IF(G25=30,KILOMETRAJE!G$33,IF(G25=31,KILOMETRAJE!G$34,IF(G25=32,KILOMETRAJE!G$35,IF(G25=33,KILOMETRAJE!G$36,IF(G25=34,KILOMETRAJE!G$37,IF(G25=35,KILOMETRAJE!G$38,IF(G25=36,KILOMETRAJE!G$39,IF(G25=37,KILOMETRAJE!G$40,IF(G25=38,KILOMETRAJE!G$41,IF(G25=39,KILOMETRAJE!G$42,IF(G25=40,KILOMETRAJE!G$43,IF(G25=41,KILOMETRAJE!G$44,IF(G25=42,KILOMETRAJE!G$45,IF(G25=43,KILOMETRAJE!G$46,IF(G25=44,KILOMETRAJE!G$47,IF(G25=45,KILOMETRAJE!G$48,IF(G25=46,KILOMETRAJE!G$49,IF(G25=47,KILOMETRAJE!G$50,IF(G25=48,KILOMETRAJE!G$51,IF(G25=49,KILOMETRAJE!G$52,IF(G25=50,KILOMETRAJE!G$53,IF(G25=51,KILOMETRAJE!G$54,IF(G25=52,KILOMETRAJE!G$55,IF(G25=53,KILOMETRAJE!G$56,IF(G25=54,KILOMETRAJE!G$57,IF(G25=55,KILOMETRAJE!G$58,IF(G25=56,KILOMETRAJE!G$59,IF(G25=57,KILOMETRAJE!G$60,IF(G25=58,KILOMETRAJE!G$61,IF(G25=59,KILOMETRAJE!G$62,IF(G25=60,KILOMETRAJE!G$63,IF(G25=61,KILOMETRAJE!G$64,IF(G25=62,KILOMETRAJE!G$65,IF(G25=63,KILOMETRAJE!G$66)))))))))))))))))))))))))))))))))))))))))))))))))))))))))))))))</f>
        <v>375</v>
      </c>
      <c r="K25" s="24"/>
      <c r="L25" s="44"/>
      <c r="M25" s="348">
        <v>5567</v>
      </c>
      <c r="N25" s="24">
        <v>1</v>
      </c>
      <c r="O25" s="24" t="s">
        <v>512</v>
      </c>
      <c r="P25" s="24" t="s">
        <v>191</v>
      </c>
      <c r="Q25" s="45">
        <f t="shared" si="1"/>
        <v>109.99874999999999</v>
      </c>
      <c r="R25" s="191"/>
      <c r="S25" s="52"/>
      <c r="T25" s="455"/>
      <c r="U25" s="24"/>
      <c r="V25" s="79"/>
    </row>
    <row r="26" spans="3:22" ht="12.75" thickBot="1" x14ac:dyDescent="0.25">
      <c r="C26" s="101"/>
      <c r="D26" s="62" t="s">
        <v>522</v>
      </c>
      <c r="E26" s="25">
        <v>45962</v>
      </c>
      <c r="F26" s="25">
        <v>45962</v>
      </c>
      <c r="G26" s="62">
        <v>3</v>
      </c>
      <c r="H26" s="27" t="str">
        <f>IF(G26=1,KILOMETRAJE!C$4,IF(G26=2,KILOMETRAJE!C$5,IF(G26=3,KILOMETRAJE!C$6,IF(G26=4,KILOMETRAJE!C$7,IF(G26=5,KILOMETRAJE!C$8,IF(G26=6,KILOMETRAJE!C$9,IF(G26=7,KILOMETRAJE!C$10,IF(G26=8,KILOMETRAJE!C$11,IF(G26=9,KILOMETRAJE!C$12,IF(G26=10,KILOMETRAJE!C$13,IF(G26=11,KILOMETRAJE!C$14,IF(G26=12,KILOMETRAJE!C$15,IF(G26=13,KILOMETRAJE!C$16,IF(G26=14,KILOMETRAJE!C$17,IF(G26=15,KILOMETRAJE!C$18,IF(G26=16,KILOMETRAJE!C$19,IF(G26=17,KILOMETRAJE!C$20,IF(G26=18,KILOMETRAJE!C$21,IF(G26=19,KILOMETRAJE!C$22,IF(G26=20,KILOMETRAJE!C$23,IF(G26=21,KILOMETRAJE!C$24,IF(G26=22,KILOMETRAJE!C$25,IF(G26=23,KILOMETRAJE!C$26,IF(G26=24,KILOMETRAJE!C$27,IF(G26=25,KILOMETRAJE!C$28,IF(G26=26,KILOMETRAJE!C$29,IF(G26=27,KILOMETRAJE!C$30,IF(G26=28,KILOMETRAJE!C$31,IF(G26=29,KILOMETRAJE!C$32,IF(G26=30,KILOMETRAJE!C$33,IF(G26=31,KILOMETRAJE!C$34,IF(G26=32,KILOMETRAJE!C$35,IF(G26=33,KILOMETRAJE!C$36,IF(G26=34,KILOMETRAJE!C$37,IF(G26=35,KILOMETRAJE!C$38,IF(G26=36,KILOMETRAJE!C$39,IF(G26=37,KILOMETRAJE!C$40,IF(G26=38,KILOMETRAJE!C$41,IF(G26=39,KILOMETRAJE!C$42,IF(G26=40,KILOMETRAJE!C$43,IF(G26=41,KILOMETRAJE!C$44,IF(G26=42,KILOMETRAJE!C$45,IF(G26=43,KILOMETRAJE!C$46,IF(G26=44,KILOMETRAJE!C$47,IF(G26=45,KILOMETRAJE!C$48,IF(G26=46,KILOMETRAJE!C$49,IF(G26=47,KILOMETRAJE!C$50,IF(G26=48,KILOMETRAJE!C$51,IF(G26=49,KILOMETRAJE!C$52,IF(G26=50,KILOMETRAJE!C$53,IF(G26=51,KILOMETRAJE!C$54,IF(G26=52,KILOMETRAJE!C$55,IF(G26=53,KILOMETRAJE!C$56,IF(G26=54,KILOMETRAJE!C$57,IF(G26=55,KILOMETRAJE!C$58,IF(G26=56,KILOMETRAJE!C$59,IF(G26=57,KILOMETRAJE!C$60,IF(G26=58,KILOMETRAJE!C$61,IF(G26=59,KILOMETRAJE!C$62,IF(G26=60,KILOMETRAJE!C$63,IF(G26=61,KILOMETRAJE!C$64,IF(G26=62,KILOMETRAJE!C$65,IF(G26=63,KILOMETRAJE!C$66)))))))))))))))))))))))))))))))))))))))))))))))))))))))))))))))</f>
        <v xml:space="preserve">CHIH. </v>
      </c>
      <c r="I26" s="27" t="str">
        <f>IF(G26=1,KILOMETRAJE!E$4,IF(G26=2,KILOMETRAJE!E$5,IF(G26=3,KILOMETRAJE!E$6,IF(G26=4,KILOMETRAJE!E$7,IF(G26=5,KILOMETRAJE!E$8,IF(G26=6,KILOMETRAJE!E$9,IF(G26=7,KILOMETRAJE!E$10,IF(G26=8,KILOMETRAJE!E$11,IF(G26=9,KILOMETRAJE!E$12,IF(G26=10,KILOMETRAJE!E$13,IF(G26=11,KILOMETRAJE!E$14,IF(G26=12,KILOMETRAJE!E$15,IF(G26=13,KILOMETRAJE!E$16,IF(G26=14,KILOMETRAJE!E$17,IF(G26=15,KILOMETRAJE!E$18,IF(G26=16,KILOMETRAJE!E$19,IF(G26=17,KILOMETRAJE!E$20,IF(G26=18,KILOMETRAJE!E$21,IF(G26=19,KILOMETRAJE!E$22,IF(G26=20,KILOMETRAJE!E$23,IF(G26=21,KILOMETRAJE!E$24,IF(G26=22,KILOMETRAJE!E$25,IF(G26=23,KILOMETRAJE!E$26,IF(G26=24,KILOMETRAJE!E$27,IF(G26=25,KILOMETRAJE!E$28,IF(G26=26,KILOMETRAJE!E$29,IF(G26=27,KILOMETRAJE!E$30,IF(G26=28,KILOMETRAJE!E$31,IF(G26=29,KILOMETRAJE!E$32,IF(G26=30,KILOMETRAJE!E$33,IF(G26=31,KILOMETRAJE!E$34,IF(G26=32,KILOMETRAJE!E$35,IF(G26=33,KILOMETRAJE!E$36,IF(G26=34,KILOMETRAJE!E$37,IF(G26=35,KILOMETRAJE!E$38,IF(G26=36,KILOMETRAJE!E$39,IF(G26=37,KILOMETRAJE!E$40,IF(G26=38,KILOMETRAJE!E$41,IF(G26=39,KILOMETRAJE!E$42,IF(G26=40,KILOMETRAJE!E$43,IF(G26=41,KILOMETRAJE!E$44,IF(G26=42,KILOMETRAJE!E$45,IF(G26=43,KILOMETRAJE!E$46,IF(G26=44,KILOMETRAJE!E$47,IF(G26=45,KILOMETRAJE!E$48,IF(G26=46,KILOMETRAJE!E$49,IF(G26=47,KILOMETRAJE!E$50,IF(G26=48,KILOMETRAJE!E$51,IF(G26=49,KILOMETRAJE!E$52,IF(G26=50,KILOMETRAJE!E$53,IF(G26=51,KILOMETRAJE!E$54,IF(G26=52,KILOMETRAJE!E$55,IF(G26=53,KILOMETRAJE!E$56,IF(G26=54,KILOMETRAJE!E$57,IF(G26=55,KILOMETRAJE!E$58,IF(G26=56,KILOMETRAJE!E$59,IF(G26=57,KILOMETRAJE!E$60,IF(G26=58,KILOMETRAJE!E$61,IF(G26=59,KILOMETRAJE!E$62,IF(G26=60,KILOMETRAJE!E$63,IF(G26=61,KILOMETRAJE!E$64,IF(G26=62,KILOMETRAJE!E$65,IF(G26=63,KILOMETRAJE!E$66)))))))))))))))))))))))))))))))))))))))))))))))))))))))))))))))</f>
        <v>JRZ</v>
      </c>
      <c r="J26" s="31">
        <f>IF(G26=1,KILOMETRAJE!G$4,IF(G26=2,KILOMETRAJE!G$5,IF(G26=3,KILOMETRAJE!G$6,IF(G26=4,KILOMETRAJE!G$7,IF(G26=5,KILOMETRAJE!G$8,IF(G26=6,KILOMETRAJE!G$9,IF(G26=7,KILOMETRAJE!G$10,IF(G26=8,KILOMETRAJE!G$11,IF(G26=9,KILOMETRAJE!G$12,IF(G26=10,KILOMETRAJE!G$13,IF(G26=11,KILOMETRAJE!G$14,IF(G26=12,KILOMETRAJE!G$15,IF(G26=13,KILOMETRAJE!G$16,IF(G26=14,KILOMETRAJE!G$17,IF(G26=15,KILOMETRAJE!G$18,IF(G26=16,KILOMETRAJE!G$19,IF(G26=17,KILOMETRAJE!G$20,IF(G26=18,KILOMETRAJE!G$21,IF(G26=19,KILOMETRAJE!G$22,IF(G26=20,KILOMETRAJE!G$23,IF(G26=21,KILOMETRAJE!G$24,IF(G26=22,KILOMETRAJE!G$25,IF(G26=23,KILOMETRAJE!G$26,IF(G26=24,KILOMETRAJE!G$27,IF(G26=25,KILOMETRAJE!G$28,IF(G26=26,KILOMETRAJE!G$29,IF(G26=27,KILOMETRAJE!G$30,IF(G26=28,KILOMETRAJE!G$31,IF(G26=29,KILOMETRAJE!G$32,IF(G26=30,KILOMETRAJE!G$33,IF(G26=31,KILOMETRAJE!G$34,IF(G26=32,KILOMETRAJE!G$35,IF(G26=33,KILOMETRAJE!G$36,IF(G26=34,KILOMETRAJE!G$37,IF(G26=35,KILOMETRAJE!G$38,IF(G26=36,KILOMETRAJE!G$39,IF(G26=37,KILOMETRAJE!G$40,IF(G26=38,KILOMETRAJE!G$41,IF(G26=39,KILOMETRAJE!G$42,IF(G26=40,KILOMETRAJE!G$43,IF(G26=41,KILOMETRAJE!G$44,IF(G26=42,KILOMETRAJE!G$45,IF(G26=43,KILOMETRAJE!G$46,IF(G26=44,KILOMETRAJE!G$47,IF(G26=45,KILOMETRAJE!G$48,IF(G26=46,KILOMETRAJE!G$49,IF(G26=47,KILOMETRAJE!G$50,IF(G26=48,KILOMETRAJE!G$51,IF(G26=49,KILOMETRAJE!G$52,IF(G26=50,KILOMETRAJE!G$53,IF(G26=51,KILOMETRAJE!G$54,IF(G26=52,KILOMETRAJE!G$55,IF(G26=53,KILOMETRAJE!G$56,IF(G26=54,KILOMETRAJE!G$57,IF(G26=55,KILOMETRAJE!G$58,IF(G26=56,KILOMETRAJE!G$59,IF(G26=57,KILOMETRAJE!G$60,IF(G26=58,KILOMETRAJE!G$61,IF(G26=59,KILOMETRAJE!G$62,IF(G26=60,KILOMETRAJE!G$63,IF(G26=61,KILOMETRAJE!G$64,IF(G26=62,KILOMETRAJE!G$65,IF(G26=63,KILOMETRAJE!G$66)))))))))))))))))))))))))))))))))))))))))))))))))))))))))))))))</f>
        <v>375</v>
      </c>
      <c r="K26" s="27">
        <v>206</v>
      </c>
      <c r="L26" s="28">
        <f>SUM(J25:J26)/K26</f>
        <v>3.6407766990291264</v>
      </c>
      <c r="M26" s="349">
        <v>4028</v>
      </c>
      <c r="N26" s="27">
        <v>1</v>
      </c>
      <c r="O26" s="27" t="s">
        <v>461</v>
      </c>
      <c r="P26" s="27" t="s">
        <v>194</v>
      </c>
      <c r="Q26" s="29">
        <f t="shared" si="1"/>
        <v>109.99874999999999</v>
      </c>
      <c r="R26" s="190">
        <f>+LOOKUP(P43,UNIDADES!B$3:B$59,UNIDADES!C$3:C$59)</f>
        <v>2.4509799999999999</v>
      </c>
      <c r="S26" s="19">
        <f>+((SUM(J25:J26))/R26)-K26</f>
        <v>100.00004896000786</v>
      </c>
      <c r="T26" s="456">
        <f>+S26*14.85</f>
        <v>1485.0007270561166</v>
      </c>
      <c r="U26" s="521"/>
      <c r="V26" s="55"/>
    </row>
    <row r="27" spans="3:22" hidden="1" x14ac:dyDescent="0.2">
      <c r="C27" s="176"/>
      <c r="D27" s="43"/>
      <c r="E27" s="42"/>
      <c r="F27" s="42"/>
      <c r="G27" s="43"/>
      <c r="H27" s="236"/>
      <c r="I27" s="236"/>
      <c r="J27" s="237"/>
      <c r="K27" s="24"/>
      <c r="L27" s="44"/>
      <c r="M27" s="348"/>
      <c r="N27" s="24"/>
      <c r="O27" s="24"/>
      <c r="P27" s="24"/>
      <c r="Q27" s="45"/>
      <c r="R27" s="191"/>
      <c r="S27" s="52"/>
      <c r="T27" s="455"/>
      <c r="U27" s="11"/>
      <c r="V27" s="11"/>
    </row>
    <row r="28" spans="3:22" ht="12.75" hidden="1" thickBot="1" x14ac:dyDescent="0.25">
      <c r="C28" s="101"/>
      <c r="D28" s="62"/>
      <c r="E28" s="25"/>
      <c r="F28" s="25"/>
      <c r="G28" s="62"/>
      <c r="H28" s="27"/>
      <c r="I28" s="27"/>
      <c r="J28" s="31"/>
      <c r="K28" s="27"/>
      <c r="L28" s="28"/>
      <c r="M28" s="349"/>
      <c r="N28" s="27"/>
      <c r="O28" s="27"/>
      <c r="P28" s="27"/>
      <c r="Q28" s="29"/>
      <c r="R28" s="190"/>
      <c r="S28" s="19"/>
      <c r="T28" s="456"/>
      <c r="U28" s="11"/>
      <c r="V28" s="11"/>
    </row>
    <row r="29" spans="3:22" hidden="1" x14ac:dyDescent="0.2">
      <c r="C29" s="372"/>
      <c r="D29" s="36"/>
      <c r="E29" s="37"/>
      <c r="F29" s="37"/>
      <c r="G29" s="36"/>
      <c r="H29" s="47"/>
      <c r="I29" s="38"/>
      <c r="J29" s="39"/>
      <c r="K29" s="38"/>
      <c r="L29" s="48"/>
      <c r="M29" s="350"/>
      <c r="N29" s="38"/>
      <c r="O29" s="38"/>
      <c r="P29" s="38"/>
      <c r="Q29" s="40"/>
      <c r="R29" s="192"/>
      <c r="S29" s="186"/>
      <c r="T29" s="458"/>
      <c r="U29" s="11"/>
      <c r="V29" s="11"/>
    </row>
    <row r="30" spans="3:22" hidden="1" x14ac:dyDescent="0.2">
      <c r="C30" s="344"/>
      <c r="D30" s="61"/>
      <c r="E30" s="12"/>
      <c r="F30" s="12"/>
      <c r="G30" s="61"/>
      <c r="H30" s="363"/>
      <c r="I30" s="11"/>
      <c r="J30" s="22"/>
      <c r="K30" s="11"/>
      <c r="L30" s="23"/>
      <c r="M30" s="371"/>
      <c r="N30" s="11"/>
      <c r="O30" s="11"/>
      <c r="P30" s="11"/>
      <c r="Q30" s="13"/>
      <c r="R30" s="339"/>
      <c r="S30" s="195"/>
      <c r="T30" s="457"/>
      <c r="U30" s="11"/>
      <c r="V30" s="11"/>
    </row>
    <row r="31" spans="3:22" hidden="1" x14ac:dyDescent="0.2">
      <c r="C31" s="344"/>
      <c r="D31" s="61"/>
      <c r="E31" s="12"/>
      <c r="F31" s="12"/>
      <c r="G31" s="61"/>
      <c r="H31" s="363"/>
      <c r="I31" s="11"/>
      <c r="J31" s="22"/>
      <c r="K31" s="11"/>
      <c r="L31" s="23"/>
      <c r="M31" s="371"/>
      <c r="N31" s="11"/>
      <c r="O31" s="11"/>
      <c r="P31" s="11"/>
      <c r="Q31" s="13"/>
      <c r="R31" s="339"/>
      <c r="S31" s="195"/>
      <c r="T31" s="13"/>
    </row>
    <row r="32" spans="3:22" hidden="1" x14ac:dyDescent="0.2">
      <c r="C32" s="344"/>
      <c r="D32" s="61"/>
      <c r="E32" s="12"/>
      <c r="F32" s="12"/>
      <c r="G32" s="61"/>
      <c r="H32" s="363"/>
      <c r="I32" s="11"/>
      <c r="J32" s="22"/>
      <c r="K32" s="11"/>
      <c r="L32" s="23"/>
      <c r="M32" s="371"/>
      <c r="N32" s="11"/>
      <c r="O32" s="11"/>
      <c r="P32" s="11"/>
      <c r="Q32" s="13"/>
      <c r="R32" s="339"/>
      <c r="S32" s="195"/>
      <c r="T32" s="13"/>
    </row>
    <row r="33" spans="3:23" ht="12.75" thickBot="1" x14ac:dyDescent="0.25">
      <c r="I33" s="15"/>
      <c r="R33" s="193"/>
      <c r="S33" s="15"/>
    </row>
    <row r="34" spans="3:23" x14ac:dyDescent="0.2">
      <c r="E34" s="629" t="s">
        <v>34</v>
      </c>
      <c r="F34" s="646">
        <f>+'AGUILAR ESQUIVEL CARLOS'!F34</f>
        <v>45957</v>
      </c>
      <c r="G34" s="647"/>
      <c r="H34" s="16">
        <f>+F34+1</f>
        <v>45958</v>
      </c>
      <c r="I34" s="16">
        <f>+H34+1</f>
        <v>45959</v>
      </c>
      <c r="J34" s="16">
        <f>+I34+1</f>
        <v>45960</v>
      </c>
      <c r="K34" s="16">
        <f>+J34+1</f>
        <v>45961</v>
      </c>
      <c r="L34" s="16">
        <f>+K34+2</f>
        <v>45963</v>
      </c>
      <c r="M34" s="17" t="s">
        <v>35</v>
      </c>
    </row>
    <row r="35" spans="3:23" ht="12.75" thickBot="1" x14ac:dyDescent="0.25">
      <c r="E35" s="630"/>
      <c r="F35" s="648"/>
      <c r="G35" s="649"/>
      <c r="H35" s="29"/>
      <c r="I35" s="29"/>
      <c r="J35" s="29"/>
      <c r="K35" s="29"/>
      <c r="L35" s="29"/>
      <c r="M35" s="30">
        <f>SUM(F35:L35)</f>
        <v>0</v>
      </c>
    </row>
    <row r="36" spans="3:23" ht="12.75" thickBot="1" x14ac:dyDescent="0.25">
      <c r="I36" s="15"/>
    </row>
    <row r="37" spans="3:23" ht="13.5" thickBot="1" x14ac:dyDescent="0.25">
      <c r="C37" s="608" t="s">
        <v>36</v>
      </c>
      <c r="D37" s="609"/>
      <c r="E37" s="609"/>
      <c r="F37" s="609"/>
      <c r="G37" s="610"/>
      <c r="I37" s="620" t="s">
        <v>37</v>
      </c>
      <c r="J37" s="621"/>
      <c r="K37" s="621"/>
      <c r="L37" s="622"/>
      <c r="M37" s="298"/>
      <c r="O37" s="611" t="s">
        <v>38</v>
      </c>
      <c r="P37" s="612"/>
      <c r="Q37" s="613">
        <f>+F49-L46</f>
        <v>6781.3829566948743</v>
      </c>
      <c r="R37" s="614"/>
      <c r="S37" s="615"/>
    </row>
    <row r="38" spans="3:23" ht="12.75" thickBot="1" x14ac:dyDescent="0.25">
      <c r="C38" s="616" t="s">
        <v>219</v>
      </c>
      <c r="D38" s="617"/>
      <c r="E38" s="617"/>
      <c r="F38" s="618">
        <f>SUM(Q18:Q34)</f>
        <v>879.9899999999999</v>
      </c>
      <c r="G38" s="619"/>
      <c r="I38" s="114" t="s">
        <v>125</v>
      </c>
      <c r="J38" s="68" t="s">
        <v>126</v>
      </c>
      <c r="K38" s="68" t="s">
        <v>70</v>
      </c>
      <c r="L38" s="115" t="s">
        <v>127</v>
      </c>
      <c r="M38" s="346"/>
    </row>
    <row r="39" spans="3:23" ht="13.5" customHeight="1" thickBot="1" x14ac:dyDescent="0.25">
      <c r="C39" s="602" t="s">
        <v>220</v>
      </c>
      <c r="D39" s="603"/>
      <c r="E39" s="603"/>
      <c r="F39" s="604">
        <f>SUM(T18:T33)</f>
        <v>5901.3929566948746</v>
      </c>
      <c r="G39" s="605"/>
      <c r="I39" s="662"/>
      <c r="J39" s="665"/>
      <c r="K39" s="43"/>
      <c r="L39" s="119"/>
      <c r="M39" s="346"/>
      <c r="O39" s="74" t="s">
        <v>70</v>
      </c>
      <c r="P39" s="75" t="s">
        <v>71</v>
      </c>
      <c r="Q39" s="76" t="s">
        <v>72</v>
      </c>
      <c r="R39" s="64"/>
      <c r="S39" s="77" t="s">
        <v>73</v>
      </c>
      <c r="T39" s="75" t="s">
        <v>74</v>
      </c>
      <c r="U39" s="74" t="s">
        <v>145</v>
      </c>
      <c r="V39" s="75" t="s">
        <v>146</v>
      </c>
      <c r="W39" s="75" t="s">
        <v>284</v>
      </c>
    </row>
    <row r="40" spans="3:23" x14ac:dyDescent="0.2">
      <c r="C40" s="602" t="s">
        <v>34</v>
      </c>
      <c r="D40" s="603"/>
      <c r="E40" s="603"/>
      <c r="F40" s="604">
        <f>+M35</f>
        <v>0</v>
      </c>
      <c r="G40" s="605"/>
      <c r="I40" s="94"/>
      <c r="J40" s="117"/>
      <c r="K40" s="61"/>
      <c r="L40" s="111"/>
      <c r="M40" s="346"/>
      <c r="O40" s="78">
        <v>46486</v>
      </c>
      <c r="P40" s="79" t="s">
        <v>157</v>
      </c>
      <c r="Q40" s="80">
        <v>131230</v>
      </c>
      <c r="R40" s="80"/>
      <c r="S40" s="24">
        <v>131970</v>
      </c>
      <c r="T40" s="79">
        <f>+S40-Q40</f>
        <v>740</v>
      </c>
      <c r="U40" s="137">
        <f>SUM(J19:J20)</f>
        <v>750</v>
      </c>
      <c r="V40" s="79">
        <f>+K20</f>
        <v>217</v>
      </c>
      <c r="W40" s="353">
        <f>(SUM(M19:M20)/2)</f>
        <v>6793</v>
      </c>
    </row>
    <row r="41" spans="3:23" x14ac:dyDescent="0.2">
      <c r="C41" s="602" t="s">
        <v>186</v>
      </c>
      <c r="D41" s="603"/>
      <c r="E41" s="603"/>
      <c r="F41" s="604">
        <v>0</v>
      </c>
      <c r="G41" s="605"/>
      <c r="I41" s="94"/>
      <c r="J41" s="117"/>
      <c r="K41" s="61"/>
      <c r="L41" s="111"/>
      <c r="M41" s="346"/>
      <c r="O41" s="32">
        <v>46128</v>
      </c>
      <c r="P41" s="53" t="s">
        <v>157</v>
      </c>
      <c r="Q41" s="63">
        <v>131970</v>
      </c>
      <c r="R41" s="63"/>
      <c r="S41" s="11">
        <v>132719</v>
      </c>
      <c r="T41" s="53">
        <f>+S41-Q41</f>
        <v>749</v>
      </c>
      <c r="U41" s="136">
        <f>SUM(J21:J22)</f>
        <v>750</v>
      </c>
      <c r="V41" s="53">
        <f>+K22</f>
        <v>207</v>
      </c>
      <c r="W41" s="354">
        <f>(SUM(M21:M22)/2)</f>
        <v>4566.5</v>
      </c>
    </row>
    <row r="42" spans="3:23" x14ac:dyDescent="0.2">
      <c r="C42" s="602" t="s">
        <v>39</v>
      </c>
      <c r="D42" s="603"/>
      <c r="E42" s="603"/>
      <c r="F42" s="604"/>
      <c r="G42" s="605"/>
      <c r="I42" s="94"/>
      <c r="J42" s="117"/>
      <c r="K42" s="61"/>
      <c r="L42" s="111"/>
      <c r="M42" s="346"/>
      <c r="O42" s="32">
        <v>46155</v>
      </c>
      <c r="P42" s="53" t="s">
        <v>157</v>
      </c>
      <c r="Q42" s="63">
        <v>132719</v>
      </c>
      <c r="R42" s="63"/>
      <c r="S42" s="11">
        <v>133488</v>
      </c>
      <c r="T42" s="53">
        <f>+S42-Q42</f>
        <v>769</v>
      </c>
      <c r="U42" s="136">
        <f>SUM(J23:J24)</f>
        <v>800</v>
      </c>
      <c r="V42" s="53">
        <f>+K24</f>
        <v>217</v>
      </c>
      <c r="W42" s="354">
        <f>(SUM(M23:M24)/2)</f>
        <v>3925</v>
      </c>
    </row>
    <row r="43" spans="3:23" x14ac:dyDescent="0.2">
      <c r="C43" s="602" t="s">
        <v>116</v>
      </c>
      <c r="D43" s="603"/>
      <c r="E43" s="603"/>
      <c r="F43" s="604"/>
      <c r="G43" s="605"/>
      <c r="I43" s="94"/>
      <c r="J43" s="117"/>
      <c r="K43" s="61"/>
      <c r="L43" s="111"/>
      <c r="M43" s="346"/>
      <c r="O43" s="32">
        <v>46167</v>
      </c>
      <c r="P43" s="53" t="s">
        <v>157</v>
      </c>
      <c r="Q43" s="63">
        <v>133488</v>
      </c>
      <c r="R43" s="63"/>
      <c r="S43" s="11">
        <f>+Q43+730</f>
        <v>134218</v>
      </c>
      <c r="T43" s="53">
        <f t="shared" ref="T43" si="2">+S43-Q43</f>
        <v>730</v>
      </c>
      <c r="U43" s="136">
        <f>SUM(J25:J26)</f>
        <v>750</v>
      </c>
      <c r="V43" s="53">
        <f>+K26</f>
        <v>206</v>
      </c>
      <c r="W43" s="354">
        <f>(SUM(M25:M26)/2)</f>
        <v>4797.5</v>
      </c>
    </row>
    <row r="44" spans="3:23" x14ac:dyDescent="0.2">
      <c r="C44" s="602" t="s">
        <v>40</v>
      </c>
      <c r="D44" s="603"/>
      <c r="E44" s="603"/>
      <c r="F44" s="604"/>
      <c r="G44" s="605"/>
      <c r="I44" s="94"/>
      <c r="J44" s="117"/>
      <c r="K44" s="61"/>
      <c r="L44" s="111"/>
      <c r="M44" s="346"/>
      <c r="O44" s="32"/>
      <c r="P44" s="53"/>
      <c r="Q44" s="63"/>
      <c r="R44" s="95"/>
      <c r="S44" s="11"/>
      <c r="T44" s="53">
        <f t="shared" ref="T44:T45" si="3">+S44-Q44</f>
        <v>0</v>
      </c>
      <c r="U44" s="136">
        <f>SUM(J27:J28)</f>
        <v>0</v>
      </c>
      <c r="V44" s="53">
        <f>+K28</f>
        <v>0</v>
      </c>
      <c r="W44" s="354">
        <f>(SUM(M27:M28)/2)</f>
        <v>0</v>
      </c>
    </row>
    <row r="45" spans="3:23" ht="12.75" thickBot="1" x14ac:dyDescent="0.25">
      <c r="C45" s="602" t="s">
        <v>124</v>
      </c>
      <c r="D45" s="603"/>
      <c r="E45" s="603"/>
      <c r="F45" s="604"/>
      <c r="G45" s="605"/>
      <c r="I45" s="282"/>
      <c r="J45" s="285"/>
      <c r="K45" s="62"/>
      <c r="L45" s="283"/>
      <c r="M45" s="346"/>
      <c r="O45" s="32"/>
      <c r="P45" s="53"/>
      <c r="Q45" s="63"/>
      <c r="R45" s="95"/>
      <c r="S45" s="11"/>
      <c r="T45" s="53">
        <f t="shared" si="3"/>
        <v>0</v>
      </c>
      <c r="U45" s="136">
        <f>SUM(J29:J30)</f>
        <v>0</v>
      </c>
      <c r="V45" s="53">
        <v>0</v>
      </c>
      <c r="W45" s="354">
        <f>(SUM(M29:M30)/2)</f>
        <v>0</v>
      </c>
    </row>
    <row r="46" spans="3:23" ht="13.5" thickBot="1" x14ac:dyDescent="0.25">
      <c r="C46" s="602" t="s">
        <v>224</v>
      </c>
      <c r="D46" s="603"/>
      <c r="E46" s="603"/>
      <c r="F46" s="606"/>
      <c r="G46" s="607"/>
      <c r="I46" s="597" t="s">
        <v>41</v>
      </c>
      <c r="J46" s="598"/>
      <c r="K46" s="632"/>
      <c r="L46" s="284">
        <f>SUM(L39:L45)</f>
        <v>0</v>
      </c>
      <c r="M46" s="347"/>
      <c r="O46" s="113"/>
      <c r="P46" s="264"/>
      <c r="Q46" s="265"/>
      <c r="R46" s="83"/>
      <c r="S46" s="81"/>
      <c r="T46" s="82"/>
      <c r="U46" s="138">
        <f>SUM(J31:J32)</f>
        <v>0</v>
      </c>
      <c r="V46" s="55">
        <f>+K32</f>
        <v>0</v>
      </c>
      <c r="W46" s="355">
        <f>(SUM(M31:M32)/2)</f>
        <v>0</v>
      </c>
    </row>
    <row r="47" spans="3:23" x14ac:dyDescent="0.2">
      <c r="C47" s="602" t="s">
        <v>110</v>
      </c>
      <c r="D47" s="603"/>
      <c r="E47" s="603"/>
      <c r="F47" s="606">
        <v>0</v>
      </c>
      <c r="G47" s="607"/>
      <c r="R47" s="21"/>
      <c r="S47" s="21"/>
      <c r="T47" s="21"/>
      <c r="U47" s="139"/>
      <c r="V47" s="271"/>
    </row>
    <row r="48" spans="3:23" ht="12.75" thickBot="1" x14ac:dyDescent="0.25">
      <c r="C48" s="593" t="s">
        <v>349</v>
      </c>
      <c r="D48" s="594"/>
      <c r="E48" s="594"/>
      <c r="F48" s="595"/>
      <c r="G48" s="596"/>
      <c r="R48" s="21"/>
      <c r="S48" s="21"/>
      <c r="T48" s="21"/>
      <c r="U48" s="139"/>
      <c r="V48" s="271"/>
    </row>
    <row r="49" spans="3:22" ht="13.5" thickBot="1" x14ac:dyDescent="0.25">
      <c r="C49" s="597" t="s">
        <v>42</v>
      </c>
      <c r="D49" s="598"/>
      <c r="E49" s="599"/>
      <c r="F49" s="600">
        <f>SUM(F38:G48)</f>
        <v>6781.3829566948743</v>
      </c>
      <c r="G49" s="601"/>
      <c r="R49" s="21"/>
      <c r="S49" s="21"/>
      <c r="T49" s="21"/>
      <c r="U49" s="139"/>
      <c r="V49" s="271"/>
    </row>
    <row r="50" spans="3:22" ht="12.75" thickBot="1" x14ac:dyDescent="0.25">
      <c r="P50" s="588" t="s">
        <v>48</v>
      </c>
      <c r="Q50" s="589"/>
      <c r="R50" s="590"/>
      <c r="S50" s="21"/>
      <c r="T50" s="21"/>
      <c r="U50" s="139"/>
      <c r="V50" s="271"/>
    </row>
    <row r="51" spans="3:22" x14ac:dyDescent="0.2">
      <c r="C51" s="246" t="s">
        <v>43</v>
      </c>
      <c r="D51" s="247"/>
      <c r="E51" s="247"/>
      <c r="F51" s="247"/>
      <c r="G51" s="247"/>
      <c r="H51" s="247"/>
      <c r="I51" s="247"/>
      <c r="J51" s="247"/>
      <c r="K51" s="247"/>
      <c r="L51" s="248"/>
      <c r="M51" s="251"/>
      <c r="P51" s="78">
        <v>1</v>
      </c>
      <c r="Q51" s="584" t="s">
        <v>49</v>
      </c>
      <c r="R51" s="585"/>
      <c r="S51" s="21"/>
      <c r="T51" s="21"/>
      <c r="U51" s="249"/>
    </row>
    <row r="52" spans="3:22" x14ac:dyDescent="0.2">
      <c r="C52" s="250"/>
      <c r="D52" s="251"/>
      <c r="E52" s="251"/>
      <c r="F52" s="251"/>
      <c r="G52" s="251"/>
      <c r="H52" s="251"/>
      <c r="I52" s="251"/>
      <c r="J52" s="251"/>
      <c r="K52" s="251"/>
      <c r="L52" s="252"/>
      <c r="M52" s="251"/>
      <c r="P52" s="32">
        <v>2</v>
      </c>
      <c r="Q52" s="586" t="s">
        <v>135</v>
      </c>
      <c r="R52" s="587"/>
      <c r="S52" s="21"/>
      <c r="T52" s="249"/>
    </row>
    <row r="53" spans="3:22" ht="12.75" thickBot="1" x14ac:dyDescent="0.25">
      <c r="C53" s="253"/>
      <c r="D53" s="254"/>
      <c r="E53" s="254"/>
      <c r="F53" s="254"/>
      <c r="G53" s="254"/>
      <c r="H53" s="254"/>
      <c r="I53" s="254"/>
      <c r="J53" s="254"/>
      <c r="K53" s="254"/>
      <c r="L53" s="255"/>
      <c r="M53" s="251"/>
      <c r="P53" s="32">
        <v>3</v>
      </c>
      <c r="Q53" s="586" t="s">
        <v>130</v>
      </c>
      <c r="R53" s="587"/>
      <c r="S53" s="21"/>
      <c r="T53" s="249"/>
    </row>
    <row r="54" spans="3:22" x14ac:dyDescent="0.2">
      <c r="P54" s="32">
        <v>4</v>
      </c>
      <c r="Q54" s="586" t="s">
        <v>228</v>
      </c>
      <c r="R54" s="587"/>
      <c r="S54" s="21"/>
      <c r="T54" s="249"/>
    </row>
    <row r="55" spans="3:22" ht="12.75" thickBot="1" x14ac:dyDescent="0.25">
      <c r="P55" s="32">
        <v>5</v>
      </c>
      <c r="Q55" s="586" t="s">
        <v>229</v>
      </c>
      <c r="R55" s="587"/>
      <c r="S55" s="21"/>
    </row>
    <row r="56" spans="3:22" ht="13.5" thickTop="1" thickBot="1" x14ac:dyDescent="0.25">
      <c r="D56" s="631" t="s">
        <v>44</v>
      </c>
      <c r="E56" s="631"/>
      <c r="F56" s="631"/>
      <c r="G56" s="631"/>
      <c r="H56" s="631"/>
      <c r="J56" s="631" t="s">
        <v>45</v>
      </c>
      <c r="K56" s="631"/>
      <c r="L56" s="631"/>
      <c r="M56" s="631"/>
      <c r="N56" s="631"/>
      <c r="P56" s="54">
        <v>6</v>
      </c>
      <c r="Q56" s="591" t="s">
        <v>230</v>
      </c>
      <c r="R56" s="592"/>
      <c r="S56" s="21"/>
      <c r="T56" s="21"/>
    </row>
    <row r="57" spans="3:22" x14ac:dyDescent="0.2">
      <c r="S57" s="21"/>
      <c r="T57" s="21"/>
    </row>
  </sheetData>
  <mergeCells count="58">
    <mergeCell ref="I39:J39"/>
    <mergeCell ref="I46:K46"/>
    <mergeCell ref="C48:E48"/>
    <mergeCell ref="F48:G48"/>
    <mergeCell ref="C49:E49"/>
    <mergeCell ref="F49:G49"/>
    <mergeCell ref="C46:E46"/>
    <mergeCell ref="F46:G46"/>
    <mergeCell ref="C47:E47"/>
    <mergeCell ref="F47:G47"/>
    <mergeCell ref="C39:E39"/>
    <mergeCell ref="F39:G39"/>
    <mergeCell ref="C40:E40"/>
    <mergeCell ref="F40:G40"/>
    <mergeCell ref="C41:E41"/>
    <mergeCell ref="F41:G41"/>
    <mergeCell ref="P50:R50"/>
    <mergeCell ref="Q51:R51"/>
    <mergeCell ref="Q52:R52"/>
    <mergeCell ref="D56:H56"/>
    <mergeCell ref="J56:N56"/>
    <mergeCell ref="Q53:R53"/>
    <mergeCell ref="Q54:R54"/>
    <mergeCell ref="Q55:R55"/>
    <mergeCell ref="Q56:R56"/>
    <mergeCell ref="Q2:S2"/>
    <mergeCell ref="I3:O3"/>
    <mergeCell ref="Q3:S3"/>
    <mergeCell ref="I4:O4"/>
    <mergeCell ref="I5:O5"/>
    <mergeCell ref="Q5:S5"/>
    <mergeCell ref="F34:G34"/>
    <mergeCell ref="F35:G35"/>
    <mergeCell ref="I6:O6"/>
    <mergeCell ref="Q6:S6"/>
    <mergeCell ref="I9:O9"/>
    <mergeCell ref="E11:H11"/>
    <mergeCell ref="L11:S11"/>
    <mergeCell ref="E12:F12"/>
    <mergeCell ref="D13:E13"/>
    <mergeCell ref="D14:E14"/>
    <mergeCell ref="D15:E15"/>
    <mergeCell ref="D16:E16"/>
    <mergeCell ref="E34:E35"/>
    <mergeCell ref="C37:G37"/>
    <mergeCell ref="O37:P37"/>
    <mergeCell ref="Q37:S37"/>
    <mergeCell ref="C38:E38"/>
    <mergeCell ref="F38:G38"/>
    <mergeCell ref="I37:L37"/>
    <mergeCell ref="C42:E42"/>
    <mergeCell ref="F42:G42"/>
    <mergeCell ref="F43:G43"/>
    <mergeCell ref="C45:E45"/>
    <mergeCell ref="F45:G45"/>
    <mergeCell ref="F44:G44"/>
    <mergeCell ref="C44:E44"/>
    <mergeCell ref="C43:E43"/>
  </mergeCells>
  <phoneticPr fontId="20" type="noConversion"/>
  <pageMargins left="0.19685039370078741" right="0.19685039370078741" top="0.35433070866141736" bottom="0.35433070866141736" header="0.31496062992125984" footer="0.31496062992125984"/>
  <pageSetup paperSize="9" scale="77" orientation="landscape" horizontalDpi="300" verticalDpi="300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Hoja32">
    <pageSetUpPr fitToPage="1"/>
  </sheetPr>
  <dimension ref="C1:X57"/>
  <sheetViews>
    <sheetView topLeftCell="A6" zoomScaleNormal="100" workbookViewId="0">
      <selection activeCell="I40" sqref="I40:L45"/>
    </sheetView>
  </sheetViews>
  <sheetFormatPr baseColWidth="10" defaultColWidth="9.140625" defaultRowHeight="12" x14ac:dyDescent="0.2"/>
  <cols>
    <col min="1" max="1" width="3.85546875" style="14" customWidth="1"/>
    <col min="2" max="2" width="4.42578125" style="14" customWidth="1"/>
    <col min="3" max="3" width="11.85546875" style="14" customWidth="1"/>
    <col min="4" max="4" width="10.5703125" style="14" customWidth="1"/>
    <col min="5" max="5" width="7.85546875" style="14" customWidth="1"/>
    <col min="6" max="6" width="8.85546875" style="14" customWidth="1"/>
    <col min="7" max="7" width="3" style="14" bestFit="1" customWidth="1"/>
    <col min="8" max="8" width="10.28515625" style="14" customWidth="1"/>
    <col min="9" max="10" width="10" style="14" customWidth="1"/>
    <col min="11" max="11" width="10.5703125" style="14" customWidth="1"/>
    <col min="12" max="12" width="12.28515625" style="14" customWidth="1"/>
    <col min="13" max="13" width="11.5703125" style="14" customWidth="1"/>
    <col min="14" max="14" width="9.7109375" style="14" customWidth="1"/>
    <col min="15" max="15" width="10.140625" style="14" customWidth="1"/>
    <col min="16" max="16" width="11.85546875" style="14" bestFit="1" customWidth="1"/>
    <col min="17" max="17" width="10.7109375" style="14" customWidth="1"/>
    <col min="18" max="18" width="12.140625" style="14" hidden="1" customWidth="1"/>
    <col min="19" max="19" width="11" style="14" bestFit="1" customWidth="1"/>
    <col min="20" max="20" width="11.5703125" style="14" bestFit="1" customWidth="1"/>
    <col min="21" max="21" width="10.28515625" style="14" customWidth="1"/>
    <col min="22" max="22" width="9.42578125" style="14" customWidth="1"/>
    <col min="23" max="23" width="17" style="14" customWidth="1"/>
    <col min="24" max="25" width="9.140625" style="14" customWidth="1"/>
    <col min="26" max="259" width="9.140625" style="14"/>
    <col min="260" max="260" width="5.7109375" style="14" customWidth="1"/>
    <col min="261" max="261" width="13.140625" style="14" customWidth="1"/>
    <col min="262" max="262" width="12.28515625" style="14" customWidth="1"/>
    <col min="263" max="263" width="8.85546875" style="14" customWidth="1"/>
    <col min="264" max="264" width="10.85546875" style="14" customWidth="1"/>
    <col min="265" max="265" width="2.85546875" style="14" customWidth="1"/>
    <col min="266" max="266" width="12.140625" style="14" customWidth="1"/>
    <col min="267" max="267" width="10.140625" style="14" customWidth="1"/>
    <col min="268" max="268" width="11.7109375" style="14" customWidth="1"/>
    <col min="269" max="269" width="11.42578125" style="14" customWidth="1"/>
    <col min="270" max="270" width="12.7109375" style="14" customWidth="1"/>
    <col min="271" max="271" width="11.42578125" style="14" customWidth="1"/>
    <col min="272" max="272" width="10.7109375" style="14" customWidth="1"/>
    <col min="273" max="273" width="10.5703125" style="14" customWidth="1"/>
    <col min="274" max="274" width="11.28515625" style="14" customWidth="1"/>
    <col min="275" max="275" width="9.7109375" style="14" customWidth="1"/>
    <col min="276" max="276" width="12" style="14" customWidth="1"/>
    <col min="277" max="277" width="11.28515625" style="14" customWidth="1"/>
    <col min="278" max="515" width="9.140625" style="14"/>
    <col min="516" max="516" width="5.7109375" style="14" customWidth="1"/>
    <col min="517" max="517" width="13.140625" style="14" customWidth="1"/>
    <col min="518" max="518" width="12.28515625" style="14" customWidth="1"/>
    <col min="519" max="519" width="8.85546875" style="14" customWidth="1"/>
    <col min="520" max="520" width="10.85546875" style="14" customWidth="1"/>
    <col min="521" max="521" width="2.85546875" style="14" customWidth="1"/>
    <col min="522" max="522" width="12.140625" style="14" customWidth="1"/>
    <col min="523" max="523" width="10.140625" style="14" customWidth="1"/>
    <col min="524" max="524" width="11.7109375" style="14" customWidth="1"/>
    <col min="525" max="525" width="11.42578125" style="14" customWidth="1"/>
    <col min="526" max="526" width="12.7109375" style="14" customWidth="1"/>
    <col min="527" max="527" width="11.42578125" style="14" customWidth="1"/>
    <col min="528" max="528" width="10.7109375" style="14" customWidth="1"/>
    <col min="529" max="529" width="10.5703125" style="14" customWidth="1"/>
    <col min="530" max="530" width="11.28515625" style="14" customWidth="1"/>
    <col min="531" max="531" width="9.7109375" style="14" customWidth="1"/>
    <col min="532" max="532" width="12" style="14" customWidth="1"/>
    <col min="533" max="533" width="11.28515625" style="14" customWidth="1"/>
    <col min="534" max="771" width="9.140625" style="14"/>
    <col min="772" max="772" width="5.7109375" style="14" customWidth="1"/>
    <col min="773" max="773" width="13.140625" style="14" customWidth="1"/>
    <col min="774" max="774" width="12.28515625" style="14" customWidth="1"/>
    <col min="775" max="775" width="8.85546875" style="14" customWidth="1"/>
    <col min="776" max="776" width="10.85546875" style="14" customWidth="1"/>
    <col min="777" max="777" width="2.85546875" style="14" customWidth="1"/>
    <col min="778" max="778" width="12.140625" style="14" customWidth="1"/>
    <col min="779" max="779" width="10.140625" style="14" customWidth="1"/>
    <col min="780" max="780" width="11.7109375" style="14" customWidth="1"/>
    <col min="781" max="781" width="11.42578125" style="14" customWidth="1"/>
    <col min="782" max="782" width="12.7109375" style="14" customWidth="1"/>
    <col min="783" max="783" width="11.42578125" style="14" customWidth="1"/>
    <col min="784" max="784" width="10.7109375" style="14" customWidth="1"/>
    <col min="785" max="785" width="10.5703125" style="14" customWidth="1"/>
    <col min="786" max="786" width="11.28515625" style="14" customWidth="1"/>
    <col min="787" max="787" width="9.7109375" style="14" customWidth="1"/>
    <col min="788" max="788" width="12" style="14" customWidth="1"/>
    <col min="789" max="789" width="11.28515625" style="14" customWidth="1"/>
    <col min="790" max="1027" width="9.140625" style="14"/>
    <col min="1028" max="1028" width="5.7109375" style="14" customWidth="1"/>
    <col min="1029" max="1029" width="13.140625" style="14" customWidth="1"/>
    <col min="1030" max="1030" width="12.28515625" style="14" customWidth="1"/>
    <col min="1031" max="1031" width="8.85546875" style="14" customWidth="1"/>
    <col min="1032" max="1032" width="10.85546875" style="14" customWidth="1"/>
    <col min="1033" max="1033" width="2.85546875" style="14" customWidth="1"/>
    <col min="1034" max="1034" width="12.140625" style="14" customWidth="1"/>
    <col min="1035" max="1035" width="10.140625" style="14" customWidth="1"/>
    <col min="1036" max="1036" width="11.7109375" style="14" customWidth="1"/>
    <col min="1037" max="1037" width="11.42578125" style="14" customWidth="1"/>
    <col min="1038" max="1038" width="12.7109375" style="14" customWidth="1"/>
    <col min="1039" max="1039" width="11.42578125" style="14" customWidth="1"/>
    <col min="1040" max="1040" width="10.7109375" style="14" customWidth="1"/>
    <col min="1041" max="1041" width="10.5703125" style="14" customWidth="1"/>
    <col min="1042" max="1042" width="11.28515625" style="14" customWidth="1"/>
    <col min="1043" max="1043" width="9.7109375" style="14" customWidth="1"/>
    <col min="1044" max="1044" width="12" style="14" customWidth="1"/>
    <col min="1045" max="1045" width="11.28515625" style="14" customWidth="1"/>
    <col min="1046" max="1283" width="9.140625" style="14"/>
    <col min="1284" max="1284" width="5.7109375" style="14" customWidth="1"/>
    <col min="1285" max="1285" width="13.140625" style="14" customWidth="1"/>
    <col min="1286" max="1286" width="12.28515625" style="14" customWidth="1"/>
    <col min="1287" max="1287" width="8.85546875" style="14" customWidth="1"/>
    <col min="1288" max="1288" width="10.85546875" style="14" customWidth="1"/>
    <col min="1289" max="1289" width="2.85546875" style="14" customWidth="1"/>
    <col min="1290" max="1290" width="12.140625" style="14" customWidth="1"/>
    <col min="1291" max="1291" width="10.140625" style="14" customWidth="1"/>
    <col min="1292" max="1292" width="11.7109375" style="14" customWidth="1"/>
    <col min="1293" max="1293" width="11.42578125" style="14" customWidth="1"/>
    <col min="1294" max="1294" width="12.7109375" style="14" customWidth="1"/>
    <col min="1295" max="1295" width="11.42578125" style="14" customWidth="1"/>
    <col min="1296" max="1296" width="10.7109375" style="14" customWidth="1"/>
    <col min="1297" max="1297" width="10.5703125" style="14" customWidth="1"/>
    <col min="1298" max="1298" width="11.28515625" style="14" customWidth="1"/>
    <col min="1299" max="1299" width="9.7109375" style="14" customWidth="1"/>
    <col min="1300" max="1300" width="12" style="14" customWidth="1"/>
    <col min="1301" max="1301" width="11.28515625" style="14" customWidth="1"/>
    <col min="1302" max="1539" width="9.140625" style="14"/>
    <col min="1540" max="1540" width="5.7109375" style="14" customWidth="1"/>
    <col min="1541" max="1541" width="13.140625" style="14" customWidth="1"/>
    <col min="1542" max="1542" width="12.28515625" style="14" customWidth="1"/>
    <col min="1543" max="1543" width="8.85546875" style="14" customWidth="1"/>
    <col min="1544" max="1544" width="10.85546875" style="14" customWidth="1"/>
    <col min="1545" max="1545" width="2.85546875" style="14" customWidth="1"/>
    <col min="1546" max="1546" width="12.140625" style="14" customWidth="1"/>
    <col min="1547" max="1547" width="10.140625" style="14" customWidth="1"/>
    <col min="1548" max="1548" width="11.7109375" style="14" customWidth="1"/>
    <col min="1549" max="1549" width="11.42578125" style="14" customWidth="1"/>
    <col min="1550" max="1550" width="12.7109375" style="14" customWidth="1"/>
    <col min="1551" max="1551" width="11.42578125" style="14" customWidth="1"/>
    <col min="1552" max="1552" width="10.7109375" style="14" customWidth="1"/>
    <col min="1553" max="1553" width="10.5703125" style="14" customWidth="1"/>
    <col min="1554" max="1554" width="11.28515625" style="14" customWidth="1"/>
    <col min="1555" max="1555" width="9.7109375" style="14" customWidth="1"/>
    <col min="1556" max="1556" width="12" style="14" customWidth="1"/>
    <col min="1557" max="1557" width="11.28515625" style="14" customWidth="1"/>
    <col min="1558" max="1795" width="9.140625" style="14"/>
    <col min="1796" max="1796" width="5.7109375" style="14" customWidth="1"/>
    <col min="1797" max="1797" width="13.140625" style="14" customWidth="1"/>
    <col min="1798" max="1798" width="12.28515625" style="14" customWidth="1"/>
    <col min="1799" max="1799" width="8.85546875" style="14" customWidth="1"/>
    <col min="1800" max="1800" width="10.85546875" style="14" customWidth="1"/>
    <col min="1801" max="1801" width="2.85546875" style="14" customWidth="1"/>
    <col min="1802" max="1802" width="12.140625" style="14" customWidth="1"/>
    <col min="1803" max="1803" width="10.140625" style="14" customWidth="1"/>
    <col min="1804" max="1804" width="11.7109375" style="14" customWidth="1"/>
    <col min="1805" max="1805" width="11.42578125" style="14" customWidth="1"/>
    <col min="1806" max="1806" width="12.7109375" style="14" customWidth="1"/>
    <col min="1807" max="1807" width="11.42578125" style="14" customWidth="1"/>
    <col min="1808" max="1808" width="10.7109375" style="14" customWidth="1"/>
    <col min="1809" max="1809" width="10.5703125" style="14" customWidth="1"/>
    <col min="1810" max="1810" width="11.28515625" style="14" customWidth="1"/>
    <col min="1811" max="1811" width="9.7109375" style="14" customWidth="1"/>
    <col min="1812" max="1812" width="12" style="14" customWidth="1"/>
    <col min="1813" max="1813" width="11.28515625" style="14" customWidth="1"/>
    <col min="1814" max="2051" width="9.140625" style="14"/>
    <col min="2052" max="2052" width="5.7109375" style="14" customWidth="1"/>
    <col min="2053" max="2053" width="13.140625" style="14" customWidth="1"/>
    <col min="2054" max="2054" width="12.28515625" style="14" customWidth="1"/>
    <col min="2055" max="2055" width="8.85546875" style="14" customWidth="1"/>
    <col min="2056" max="2056" width="10.85546875" style="14" customWidth="1"/>
    <col min="2057" max="2057" width="2.85546875" style="14" customWidth="1"/>
    <col min="2058" max="2058" width="12.140625" style="14" customWidth="1"/>
    <col min="2059" max="2059" width="10.140625" style="14" customWidth="1"/>
    <col min="2060" max="2060" width="11.7109375" style="14" customWidth="1"/>
    <col min="2061" max="2061" width="11.42578125" style="14" customWidth="1"/>
    <col min="2062" max="2062" width="12.7109375" style="14" customWidth="1"/>
    <col min="2063" max="2063" width="11.42578125" style="14" customWidth="1"/>
    <col min="2064" max="2064" width="10.7109375" style="14" customWidth="1"/>
    <col min="2065" max="2065" width="10.5703125" style="14" customWidth="1"/>
    <col min="2066" max="2066" width="11.28515625" style="14" customWidth="1"/>
    <col min="2067" max="2067" width="9.7109375" style="14" customWidth="1"/>
    <col min="2068" max="2068" width="12" style="14" customWidth="1"/>
    <col min="2069" max="2069" width="11.28515625" style="14" customWidth="1"/>
    <col min="2070" max="2307" width="9.140625" style="14"/>
    <col min="2308" max="2308" width="5.7109375" style="14" customWidth="1"/>
    <col min="2309" max="2309" width="13.140625" style="14" customWidth="1"/>
    <col min="2310" max="2310" width="12.28515625" style="14" customWidth="1"/>
    <col min="2311" max="2311" width="8.85546875" style="14" customWidth="1"/>
    <col min="2312" max="2312" width="10.85546875" style="14" customWidth="1"/>
    <col min="2313" max="2313" width="2.85546875" style="14" customWidth="1"/>
    <col min="2314" max="2314" width="12.140625" style="14" customWidth="1"/>
    <col min="2315" max="2315" width="10.140625" style="14" customWidth="1"/>
    <col min="2316" max="2316" width="11.7109375" style="14" customWidth="1"/>
    <col min="2317" max="2317" width="11.42578125" style="14" customWidth="1"/>
    <col min="2318" max="2318" width="12.7109375" style="14" customWidth="1"/>
    <col min="2319" max="2319" width="11.42578125" style="14" customWidth="1"/>
    <col min="2320" max="2320" width="10.7109375" style="14" customWidth="1"/>
    <col min="2321" max="2321" width="10.5703125" style="14" customWidth="1"/>
    <col min="2322" max="2322" width="11.28515625" style="14" customWidth="1"/>
    <col min="2323" max="2323" width="9.7109375" style="14" customWidth="1"/>
    <col min="2324" max="2324" width="12" style="14" customWidth="1"/>
    <col min="2325" max="2325" width="11.28515625" style="14" customWidth="1"/>
    <col min="2326" max="2563" width="9.140625" style="14"/>
    <col min="2564" max="2564" width="5.7109375" style="14" customWidth="1"/>
    <col min="2565" max="2565" width="13.140625" style="14" customWidth="1"/>
    <col min="2566" max="2566" width="12.28515625" style="14" customWidth="1"/>
    <col min="2567" max="2567" width="8.85546875" style="14" customWidth="1"/>
    <col min="2568" max="2568" width="10.85546875" style="14" customWidth="1"/>
    <col min="2569" max="2569" width="2.85546875" style="14" customWidth="1"/>
    <col min="2570" max="2570" width="12.140625" style="14" customWidth="1"/>
    <col min="2571" max="2571" width="10.140625" style="14" customWidth="1"/>
    <col min="2572" max="2572" width="11.7109375" style="14" customWidth="1"/>
    <col min="2573" max="2573" width="11.42578125" style="14" customWidth="1"/>
    <col min="2574" max="2574" width="12.7109375" style="14" customWidth="1"/>
    <col min="2575" max="2575" width="11.42578125" style="14" customWidth="1"/>
    <col min="2576" max="2576" width="10.7109375" style="14" customWidth="1"/>
    <col min="2577" max="2577" width="10.5703125" style="14" customWidth="1"/>
    <col min="2578" max="2578" width="11.28515625" style="14" customWidth="1"/>
    <col min="2579" max="2579" width="9.7109375" style="14" customWidth="1"/>
    <col min="2580" max="2580" width="12" style="14" customWidth="1"/>
    <col min="2581" max="2581" width="11.28515625" style="14" customWidth="1"/>
    <col min="2582" max="2819" width="9.140625" style="14"/>
    <col min="2820" max="2820" width="5.7109375" style="14" customWidth="1"/>
    <col min="2821" max="2821" width="13.140625" style="14" customWidth="1"/>
    <col min="2822" max="2822" width="12.28515625" style="14" customWidth="1"/>
    <col min="2823" max="2823" width="8.85546875" style="14" customWidth="1"/>
    <col min="2824" max="2824" width="10.85546875" style="14" customWidth="1"/>
    <col min="2825" max="2825" width="2.85546875" style="14" customWidth="1"/>
    <col min="2826" max="2826" width="12.140625" style="14" customWidth="1"/>
    <col min="2827" max="2827" width="10.140625" style="14" customWidth="1"/>
    <col min="2828" max="2828" width="11.7109375" style="14" customWidth="1"/>
    <col min="2829" max="2829" width="11.42578125" style="14" customWidth="1"/>
    <col min="2830" max="2830" width="12.7109375" style="14" customWidth="1"/>
    <col min="2831" max="2831" width="11.42578125" style="14" customWidth="1"/>
    <col min="2832" max="2832" width="10.7109375" style="14" customWidth="1"/>
    <col min="2833" max="2833" width="10.5703125" style="14" customWidth="1"/>
    <col min="2834" max="2834" width="11.28515625" style="14" customWidth="1"/>
    <col min="2835" max="2835" width="9.7109375" style="14" customWidth="1"/>
    <col min="2836" max="2836" width="12" style="14" customWidth="1"/>
    <col min="2837" max="2837" width="11.28515625" style="14" customWidth="1"/>
    <col min="2838" max="3075" width="9.140625" style="14"/>
    <col min="3076" max="3076" width="5.7109375" style="14" customWidth="1"/>
    <col min="3077" max="3077" width="13.140625" style="14" customWidth="1"/>
    <col min="3078" max="3078" width="12.28515625" style="14" customWidth="1"/>
    <col min="3079" max="3079" width="8.85546875" style="14" customWidth="1"/>
    <col min="3080" max="3080" width="10.85546875" style="14" customWidth="1"/>
    <col min="3081" max="3081" width="2.85546875" style="14" customWidth="1"/>
    <col min="3082" max="3082" width="12.140625" style="14" customWidth="1"/>
    <col min="3083" max="3083" width="10.140625" style="14" customWidth="1"/>
    <col min="3084" max="3084" width="11.7109375" style="14" customWidth="1"/>
    <col min="3085" max="3085" width="11.42578125" style="14" customWidth="1"/>
    <col min="3086" max="3086" width="12.7109375" style="14" customWidth="1"/>
    <col min="3087" max="3087" width="11.42578125" style="14" customWidth="1"/>
    <col min="3088" max="3088" width="10.7109375" style="14" customWidth="1"/>
    <col min="3089" max="3089" width="10.5703125" style="14" customWidth="1"/>
    <col min="3090" max="3090" width="11.28515625" style="14" customWidth="1"/>
    <col min="3091" max="3091" width="9.7109375" style="14" customWidth="1"/>
    <col min="3092" max="3092" width="12" style="14" customWidth="1"/>
    <col min="3093" max="3093" width="11.28515625" style="14" customWidth="1"/>
    <col min="3094" max="3331" width="9.140625" style="14"/>
    <col min="3332" max="3332" width="5.7109375" style="14" customWidth="1"/>
    <col min="3333" max="3333" width="13.140625" style="14" customWidth="1"/>
    <col min="3334" max="3334" width="12.28515625" style="14" customWidth="1"/>
    <col min="3335" max="3335" width="8.85546875" style="14" customWidth="1"/>
    <col min="3336" max="3336" width="10.85546875" style="14" customWidth="1"/>
    <col min="3337" max="3337" width="2.85546875" style="14" customWidth="1"/>
    <col min="3338" max="3338" width="12.140625" style="14" customWidth="1"/>
    <col min="3339" max="3339" width="10.140625" style="14" customWidth="1"/>
    <col min="3340" max="3340" width="11.7109375" style="14" customWidth="1"/>
    <col min="3341" max="3341" width="11.42578125" style="14" customWidth="1"/>
    <col min="3342" max="3342" width="12.7109375" style="14" customWidth="1"/>
    <col min="3343" max="3343" width="11.42578125" style="14" customWidth="1"/>
    <col min="3344" max="3344" width="10.7109375" style="14" customWidth="1"/>
    <col min="3345" max="3345" width="10.5703125" style="14" customWidth="1"/>
    <col min="3346" max="3346" width="11.28515625" style="14" customWidth="1"/>
    <col min="3347" max="3347" width="9.7109375" style="14" customWidth="1"/>
    <col min="3348" max="3348" width="12" style="14" customWidth="1"/>
    <col min="3349" max="3349" width="11.28515625" style="14" customWidth="1"/>
    <col min="3350" max="3587" width="9.140625" style="14"/>
    <col min="3588" max="3588" width="5.7109375" style="14" customWidth="1"/>
    <col min="3589" max="3589" width="13.140625" style="14" customWidth="1"/>
    <col min="3590" max="3590" width="12.28515625" style="14" customWidth="1"/>
    <col min="3591" max="3591" width="8.85546875" style="14" customWidth="1"/>
    <col min="3592" max="3592" width="10.85546875" style="14" customWidth="1"/>
    <col min="3593" max="3593" width="2.85546875" style="14" customWidth="1"/>
    <col min="3594" max="3594" width="12.140625" style="14" customWidth="1"/>
    <col min="3595" max="3595" width="10.140625" style="14" customWidth="1"/>
    <col min="3596" max="3596" width="11.7109375" style="14" customWidth="1"/>
    <col min="3597" max="3597" width="11.42578125" style="14" customWidth="1"/>
    <col min="3598" max="3598" width="12.7109375" style="14" customWidth="1"/>
    <col min="3599" max="3599" width="11.42578125" style="14" customWidth="1"/>
    <col min="3600" max="3600" width="10.7109375" style="14" customWidth="1"/>
    <col min="3601" max="3601" width="10.5703125" style="14" customWidth="1"/>
    <col min="3602" max="3602" width="11.28515625" style="14" customWidth="1"/>
    <col min="3603" max="3603" width="9.7109375" style="14" customWidth="1"/>
    <col min="3604" max="3604" width="12" style="14" customWidth="1"/>
    <col min="3605" max="3605" width="11.28515625" style="14" customWidth="1"/>
    <col min="3606" max="3843" width="9.140625" style="14"/>
    <col min="3844" max="3844" width="5.7109375" style="14" customWidth="1"/>
    <col min="3845" max="3845" width="13.140625" style="14" customWidth="1"/>
    <col min="3846" max="3846" width="12.28515625" style="14" customWidth="1"/>
    <col min="3847" max="3847" width="8.85546875" style="14" customWidth="1"/>
    <col min="3848" max="3848" width="10.85546875" style="14" customWidth="1"/>
    <col min="3849" max="3849" width="2.85546875" style="14" customWidth="1"/>
    <col min="3850" max="3850" width="12.140625" style="14" customWidth="1"/>
    <col min="3851" max="3851" width="10.140625" style="14" customWidth="1"/>
    <col min="3852" max="3852" width="11.7109375" style="14" customWidth="1"/>
    <col min="3853" max="3853" width="11.42578125" style="14" customWidth="1"/>
    <col min="3854" max="3854" width="12.7109375" style="14" customWidth="1"/>
    <col min="3855" max="3855" width="11.42578125" style="14" customWidth="1"/>
    <col min="3856" max="3856" width="10.7109375" style="14" customWidth="1"/>
    <col min="3857" max="3857" width="10.5703125" style="14" customWidth="1"/>
    <col min="3858" max="3858" width="11.28515625" style="14" customWidth="1"/>
    <col min="3859" max="3859" width="9.7109375" style="14" customWidth="1"/>
    <col min="3860" max="3860" width="12" style="14" customWidth="1"/>
    <col min="3861" max="3861" width="11.28515625" style="14" customWidth="1"/>
    <col min="3862" max="4099" width="9.140625" style="14"/>
    <col min="4100" max="4100" width="5.7109375" style="14" customWidth="1"/>
    <col min="4101" max="4101" width="13.140625" style="14" customWidth="1"/>
    <col min="4102" max="4102" width="12.28515625" style="14" customWidth="1"/>
    <col min="4103" max="4103" width="8.85546875" style="14" customWidth="1"/>
    <col min="4104" max="4104" width="10.85546875" style="14" customWidth="1"/>
    <col min="4105" max="4105" width="2.85546875" style="14" customWidth="1"/>
    <col min="4106" max="4106" width="12.140625" style="14" customWidth="1"/>
    <col min="4107" max="4107" width="10.140625" style="14" customWidth="1"/>
    <col min="4108" max="4108" width="11.7109375" style="14" customWidth="1"/>
    <col min="4109" max="4109" width="11.42578125" style="14" customWidth="1"/>
    <col min="4110" max="4110" width="12.7109375" style="14" customWidth="1"/>
    <col min="4111" max="4111" width="11.42578125" style="14" customWidth="1"/>
    <col min="4112" max="4112" width="10.7109375" style="14" customWidth="1"/>
    <col min="4113" max="4113" width="10.5703125" style="14" customWidth="1"/>
    <col min="4114" max="4114" width="11.28515625" style="14" customWidth="1"/>
    <col min="4115" max="4115" width="9.7109375" style="14" customWidth="1"/>
    <col min="4116" max="4116" width="12" style="14" customWidth="1"/>
    <col min="4117" max="4117" width="11.28515625" style="14" customWidth="1"/>
    <col min="4118" max="4355" width="9.140625" style="14"/>
    <col min="4356" max="4356" width="5.7109375" style="14" customWidth="1"/>
    <col min="4357" max="4357" width="13.140625" style="14" customWidth="1"/>
    <col min="4358" max="4358" width="12.28515625" style="14" customWidth="1"/>
    <col min="4359" max="4359" width="8.85546875" style="14" customWidth="1"/>
    <col min="4360" max="4360" width="10.85546875" style="14" customWidth="1"/>
    <col min="4361" max="4361" width="2.85546875" style="14" customWidth="1"/>
    <col min="4362" max="4362" width="12.140625" style="14" customWidth="1"/>
    <col min="4363" max="4363" width="10.140625" style="14" customWidth="1"/>
    <col min="4364" max="4364" width="11.7109375" style="14" customWidth="1"/>
    <col min="4365" max="4365" width="11.42578125" style="14" customWidth="1"/>
    <col min="4366" max="4366" width="12.7109375" style="14" customWidth="1"/>
    <col min="4367" max="4367" width="11.42578125" style="14" customWidth="1"/>
    <col min="4368" max="4368" width="10.7109375" style="14" customWidth="1"/>
    <col min="4369" max="4369" width="10.5703125" style="14" customWidth="1"/>
    <col min="4370" max="4370" width="11.28515625" style="14" customWidth="1"/>
    <col min="4371" max="4371" width="9.7109375" style="14" customWidth="1"/>
    <col min="4372" max="4372" width="12" style="14" customWidth="1"/>
    <col min="4373" max="4373" width="11.28515625" style="14" customWidth="1"/>
    <col min="4374" max="4611" width="9.140625" style="14"/>
    <col min="4612" max="4612" width="5.7109375" style="14" customWidth="1"/>
    <col min="4613" max="4613" width="13.140625" style="14" customWidth="1"/>
    <col min="4614" max="4614" width="12.28515625" style="14" customWidth="1"/>
    <col min="4615" max="4615" width="8.85546875" style="14" customWidth="1"/>
    <col min="4616" max="4616" width="10.85546875" style="14" customWidth="1"/>
    <col min="4617" max="4617" width="2.85546875" style="14" customWidth="1"/>
    <col min="4618" max="4618" width="12.140625" style="14" customWidth="1"/>
    <col min="4619" max="4619" width="10.140625" style="14" customWidth="1"/>
    <col min="4620" max="4620" width="11.7109375" style="14" customWidth="1"/>
    <col min="4621" max="4621" width="11.42578125" style="14" customWidth="1"/>
    <col min="4622" max="4622" width="12.7109375" style="14" customWidth="1"/>
    <col min="4623" max="4623" width="11.42578125" style="14" customWidth="1"/>
    <col min="4624" max="4624" width="10.7109375" style="14" customWidth="1"/>
    <col min="4625" max="4625" width="10.5703125" style="14" customWidth="1"/>
    <col min="4626" max="4626" width="11.28515625" style="14" customWidth="1"/>
    <col min="4627" max="4627" width="9.7109375" style="14" customWidth="1"/>
    <col min="4628" max="4628" width="12" style="14" customWidth="1"/>
    <col min="4629" max="4629" width="11.28515625" style="14" customWidth="1"/>
    <col min="4630" max="4867" width="9.140625" style="14"/>
    <col min="4868" max="4868" width="5.7109375" style="14" customWidth="1"/>
    <col min="4869" max="4869" width="13.140625" style="14" customWidth="1"/>
    <col min="4870" max="4870" width="12.28515625" style="14" customWidth="1"/>
    <col min="4871" max="4871" width="8.85546875" style="14" customWidth="1"/>
    <col min="4872" max="4872" width="10.85546875" style="14" customWidth="1"/>
    <col min="4873" max="4873" width="2.85546875" style="14" customWidth="1"/>
    <col min="4874" max="4874" width="12.140625" style="14" customWidth="1"/>
    <col min="4875" max="4875" width="10.140625" style="14" customWidth="1"/>
    <col min="4876" max="4876" width="11.7109375" style="14" customWidth="1"/>
    <col min="4877" max="4877" width="11.42578125" style="14" customWidth="1"/>
    <col min="4878" max="4878" width="12.7109375" style="14" customWidth="1"/>
    <col min="4879" max="4879" width="11.42578125" style="14" customWidth="1"/>
    <col min="4880" max="4880" width="10.7109375" style="14" customWidth="1"/>
    <col min="4881" max="4881" width="10.5703125" style="14" customWidth="1"/>
    <col min="4882" max="4882" width="11.28515625" style="14" customWidth="1"/>
    <col min="4883" max="4883" width="9.7109375" style="14" customWidth="1"/>
    <col min="4884" max="4884" width="12" style="14" customWidth="1"/>
    <col min="4885" max="4885" width="11.28515625" style="14" customWidth="1"/>
    <col min="4886" max="5123" width="9.140625" style="14"/>
    <col min="5124" max="5124" width="5.7109375" style="14" customWidth="1"/>
    <col min="5125" max="5125" width="13.140625" style="14" customWidth="1"/>
    <col min="5126" max="5126" width="12.28515625" style="14" customWidth="1"/>
    <col min="5127" max="5127" width="8.85546875" style="14" customWidth="1"/>
    <col min="5128" max="5128" width="10.85546875" style="14" customWidth="1"/>
    <col min="5129" max="5129" width="2.85546875" style="14" customWidth="1"/>
    <col min="5130" max="5130" width="12.140625" style="14" customWidth="1"/>
    <col min="5131" max="5131" width="10.140625" style="14" customWidth="1"/>
    <col min="5132" max="5132" width="11.7109375" style="14" customWidth="1"/>
    <col min="5133" max="5133" width="11.42578125" style="14" customWidth="1"/>
    <col min="5134" max="5134" width="12.7109375" style="14" customWidth="1"/>
    <col min="5135" max="5135" width="11.42578125" style="14" customWidth="1"/>
    <col min="5136" max="5136" width="10.7109375" style="14" customWidth="1"/>
    <col min="5137" max="5137" width="10.5703125" style="14" customWidth="1"/>
    <col min="5138" max="5138" width="11.28515625" style="14" customWidth="1"/>
    <col min="5139" max="5139" width="9.7109375" style="14" customWidth="1"/>
    <col min="5140" max="5140" width="12" style="14" customWidth="1"/>
    <col min="5141" max="5141" width="11.28515625" style="14" customWidth="1"/>
    <col min="5142" max="5379" width="9.140625" style="14"/>
    <col min="5380" max="5380" width="5.7109375" style="14" customWidth="1"/>
    <col min="5381" max="5381" width="13.140625" style="14" customWidth="1"/>
    <col min="5382" max="5382" width="12.28515625" style="14" customWidth="1"/>
    <col min="5383" max="5383" width="8.85546875" style="14" customWidth="1"/>
    <col min="5384" max="5384" width="10.85546875" style="14" customWidth="1"/>
    <col min="5385" max="5385" width="2.85546875" style="14" customWidth="1"/>
    <col min="5386" max="5386" width="12.140625" style="14" customWidth="1"/>
    <col min="5387" max="5387" width="10.140625" style="14" customWidth="1"/>
    <col min="5388" max="5388" width="11.7109375" style="14" customWidth="1"/>
    <col min="5389" max="5389" width="11.42578125" style="14" customWidth="1"/>
    <col min="5390" max="5390" width="12.7109375" style="14" customWidth="1"/>
    <col min="5391" max="5391" width="11.42578125" style="14" customWidth="1"/>
    <col min="5392" max="5392" width="10.7109375" style="14" customWidth="1"/>
    <col min="5393" max="5393" width="10.5703125" style="14" customWidth="1"/>
    <col min="5394" max="5394" width="11.28515625" style="14" customWidth="1"/>
    <col min="5395" max="5395" width="9.7109375" style="14" customWidth="1"/>
    <col min="5396" max="5396" width="12" style="14" customWidth="1"/>
    <col min="5397" max="5397" width="11.28515625" style="14" customWidth="1"/>
    <col min="5398" max="5635" width="9.140625" style="14"/>
    <col min="5636" max="5636" width="5.7109375" style="14" customWidth="1"/>
    <col min="5637" max="5637" width="13.140625" style="14" customWidth="1"/>
    <col min="5638" max="5638" width="12.28515625" style="14" customWidth="1"/>
    <col min="5639" max="5639" width="8.85546875" style="14" customWidth="1"/>
    <col min="5640" max="5640" width="10.85546875" style="14" customWidth="1"/>
    <col min="5641" max="5641" width="2.85546875" style="14" customWidth="1"/>
    <col min="5642" max="5642" width="12.140625" style="14" customWidth="1"/>
    <col min="5643" max="5643" width="10.140625" style="14" customWidth="1"/>
    <col min="5644" max="5644" width="11.7109375" style="14" customWidth="1"/>
    <col min="5645" max="5645" width="11.42578125" style="14" customWidth="1"/>
    <col min="5646" max="5646" width="12.7109375" style="14" customWidth="1"/>
    <col min="5647" max="5647" width="11.42578125" style="14" customWidth="1"/>
    <col min="5648" max="5648" width="10.7109375" style="14" customWidth="1"/>
    <col min="5649" max="5649" width="10.5703125" style="14" customWidth="1"/>
    <col min="5650" max="5650" width="11.28515625" style="14" customWidth="1"/>
    <col min="5651" max="5651" width="9.7109375" style="14" customWidth="1"/>
    <col min="5652" max="5652" width="12" style="14" customWidth="1"/>
    <col min="5653" max="5653" width="11.28515625" style="14" customWidth="1"/>
    <col min="5654" max="5891" width="9.140625" style="14"/>
    <col min="5892" max="5892" width="5.7109375" style="14" customWidth="1"/>
    <col min="5893" max="5893" width="13.140625" style="14" customWidth="1"/>
    <col min="5894" max="5894" width="12.28515625" style="14" customWidth="1"/>
    <col min="5895" max="5895" width="8.85546875" style="14" customWidth="1"/>
    <col min="5896" max="5896" width="10.85546875" style="14" customWidth="1"/>
    <col min="5897" max="5897" width="2.85546875" style="14" customWidth="1"/>
    <col min="5898" max="5898" width="12.140625" style="14" customWidth="1"/>
    <col min="5899" max="5899" width="10.140625" style="14" customWidth="1"/>
    <col min="5900" max="5900" width="11.7109375" style="14" customWidth="1"/>
    <col min="5901" max="5901" width="11.42578125" style="14" customWidth="1"/>
    <col min="5902" max="5902" width="12.7109375" style="14" customWidth="1"/>
    <col min="5903" max="5903" width="11.42578125" style="14" customWidth="1"/>
    <col min="5904" max="5904" width="10.7109375" style="14" customWidth="1"/>
    <col min="5905" max="5905" width="10.5703125" style="14" customWidth="1"/>
    <col min="5906" max="5906" width="11.28515625" style="14" customWidth="1"/>
    <col min="5907" max="5907" width="9.7109375" style="14" customWidth="1"/>
    <col min="5908" max="5908" width="12" style="14" customWidth="1"/>
    <col min="5909" max="5909" width="11.28515625" style="14" customWidth="1"/>
    <col min="5910" max="6147" width="9.140625" style="14"/>
    <col min="6148" max="6148" width="5.7109375" style="14" customWidth="1"/>
    <col min="6149" max="6149" width="13.140625" style="14" customWidth="1"/>
    <col min="6150" max="6150" width="12.28515625" style="14" customWidth="1"/>
    <col min="6151" max="6151" width="8.85546875" style="14" customWidth="1"/>
    <col min="6152" max="6152" width="10.85546875" style="14" customWidth="1"/>
    <col min="6153" max="6153" width="2.85546875" style="14" customWidth="1"/>
    <col min="6154" max="6154" width="12.140625" style="14" customWidth="1"/>
    <col min="6155" max="6155" width="10.140625" style="14" customWidth="1"/>
    <col min="6156" max="6156" width="11.7109375" style="14" customWidth="1"/>
    <col min="6157" max="6157" width="11.42578125" style="14" customWidth="1"/>
    <col min="6158" max="6158" width="12.7109375" style="14" customWidth="1"/>
    <col min="6159" max="6159" width="11.42578125" style="14" customWidth="1"/>
    <col min="6160" max="6160" width="10.7109375" style="14" customWidth="1"/>
    <col min="6161" max="6161" width="10.5703125" style="14" customWidth="1"/>
    <col min="6162" max="6162" width="11.28515625" style="14" customWidth="1"/>
    <col min="6163" max="6163" width="9.7109375" style="14" customWidth="1"/>
    <col min="6164" max="6164" width="12" style="14" customWidth="1"/>
    <col min="6165" max="6165" width="11.28515625" style="14" customWidth="1"/>
    <col min="6166" max="6403" width="9.140625" style="14"/>
    <col min="6404" max="6404" width="5.7109375" style="14" customWidth="1"/>
    <col min="6405" max="6405" width="13.140625" style="14" customWidth="1"/>
    <col min="6406" max="6406" width="12.28515625" style="14" customWidth="1"/>
    <col min="6407" max="6407" width="8.85546875" style="14" customWidth="1"/>
    <col min="6408" max="6408" width="10.85546875" style="14" customWidth="1"/>
    <col min="6409" max="6409" width="2.85546875" style="14" customWidth="1"/>
    <col min="6410" max="6410" width="12.140625" style="14" customWidth="1"/>
    <col min="6411" max="6411" width="10.140625" style="14" customWidth="1"/>
    <col min="6412" max="6412" width="11.7109375" style="14" customWidth="1"/>
    <col min="6413" max="6413" width="11.42578125" style="14" customWidth="1"/>
    <col min="6414" max="6414" width="12.7109375" style="14" customWidth="1"/>
    <col min="6415" max="6415" width="11.42578125" style="14" customWidth="1"/>
    <col min="6416" max="6416" width="10.7109375" style="14" customWidth="1"/>
    <col min="6417" max="6417" width="10.5703125" style="14" customWidth="1"/>
    <col min="6418" max="6418" width="11.28515625" style="14" customWidth="1"/>
    <col min="6419" max="6419" width="9.7109375" style="14" customWidth="1"/>
    <col min="6420" max="6420" width="12" style="14" customWidth="1"/>
    <col min="6421" max="6421" width="11.28515625" style="14" customWidth="1"/>
    <col min="6422" max="6659" width="9.140625" style="14"/>
    <col min="6660" max="6660" width="5.7109375" style="14" customWidth="1"/>
    <col min="6661" max="6661" width="13.140625" style="14" customWidth="1"/>
    <col min="6662" max="6662" width="12.28515625" style="14" customWidth="1"/>
    <col min="6663" max="6663" width="8.85546875" style="14" customWidth="1"/>
    <col min="6664" max="6664" width="10.85546875" style="14" customWidth="1"/>
    <col min="6665" max="6665" width="2.85546875" style="14" customWidth="1"/>
    <col min="6666" max="6666" width="12.140625" style="14" customWidth="1"/>
    <col min="6667" max="6667" width="10.140625" style="14" customWidth="1"/>
    <col min="6668" max="6668" width="11.7109375" style="14" customWidth="1"/>
    <col min="6669" max="6669" width="11.42578125" style="14" customWidth="1"/>
    <col min="6670" max="6670" width="12.7109375" style="14" customWidth="1"/>
    <col min="6671" max="6671" width="11.42578125" style="14" customWidth="1"/>
    <col min="6672" max="6672" width="10.7109375" style="14" customWidth="1"/>
    <col min="6673" max="6673" width="10.5703125" style="14" customWidth="1"/>
    <col min="6674" max="6674" width="11.28515625" style="14" customWidth="1"/>
    <col min="6675" max="6675" width="9.7109375" style="14" customWidth="1"/>
    <col min="6676" max="6676" width="12" style="14" customWidth="1"/>
    <col min="6677" max="6677" width="11.28515625" style="14" customWidth="1"/>
    <col min="6678" max="6915" width="9.140625" style="14"/>
    <col min="6916" max="6916" width="5.7109375" style="14" customWidth="1"/>
    <col min="6917" max="6917" width="13.140625" style="14" customWidth="1"/>
    <col min="6918" max="6918" width="12.28515625" style="14" customWidth="1"/>
    <col min="6919" max="6919" width="8.85546875" style="14" customWidth="1"/>
    <col min="6920" max="6920" width="10.85546875" style="14" customWidth="1"/>
    <col min="6921" max="6921" width="2.85546875" style="14" customWidth="1"/>
    <col min="6922" max="6922" width="12.140625" style="14" customWidth="1"/>
    <col min="6923" max="6923" width="10.140625" style="14" customWidth="1"/>
    <col min="6924" max="6924" width="11.7109375" style="14" customWidth="1"/>
    <col min="6925" max="6925" width="11.42578125" style="14" customWidth="1"/>
    <col min="6926" max="6926" width="12.7109375" style="14" customWidth="1"/>
    <col min="6927" max="6927" width="11.42578125" style="14" customWidth="1"/>
    <col min="6928" max="6928" width="10.7109375" style="14" customWidth="1"/>
    <col min="6929" max="6929" width="10.5703125" style="14" customWidth="1"/>
    <col min="6930" max="6930" width="11.28515625" style="14" customWidth="1"/>
    <col min="6931" max="6931" width="9.7109375" style="14" customWidth="1"/>
    <col min="6932" max="6932" width="12" style="14" customWidth="1"/>
    <col min="6933" max="6933" width="11.28515625" style="14" customWidth="1"/>
    <col min="6934" max="7171" width="9.140625" style="14"/>
    <col min="7172" max="7172" width="5.7109375" style="14" customWidth="1"/>
    <col min="7173" max="7173" width="13.140625" style="14" customWidth="1"/>
    <col min="7174" max="7174" width="12.28515625" style="14" customWidth="1"/>
    <col min="7175" max="7175" width="8.85546875" style="14" customWidth="1"/>
    <col min="7176" max="7176" width="10.85546875" style="14" customWidth="1"/>
    <col min="7177" max="7177" width="2.85546875" style="14" customWidth="1"/>
    <col min="7178" max="7178" width="12.140625" style="14" customWidth="1"/>
    <col min="7179" max="7179" width="10.140625" style="14" customWidth="1"/>
    <col min="7180" max="7180" width="11.7109375" style="14" customWidth="1"/>
    <col min="7181" max="7181" width="11.42578125" style="14" customWidth="1"/>
    <col min="7182" max="7182" width="12.7109375" style="14" customWidth="1"/>
    <col min="7183" max="7183" width="11.42578125" style="14" customWidth="1"/>
    <col min="7184" max="7184" width="10.7109375" style="14" customWidth="1"/>
    <col min="7185" max="7185" width="10.5703125" style="14" customWidth="1"/>
    <col min="7186" max="7186" width="11.28515625" style="14" customWidth="1"/>
    <col min="7187" max="7187" width="9.7109375" style="14" customWidth="1"/>
    <col min="7188" max="7188" width="12" style="14" customWidth="1"/>
    <col min="7189" max="7189" width="11.28515625" style="14" customWidth="1"/>
    <col min="7190" max="7427" width="9.140625" style="14"/>
    <col min="7428" max="7428" width="5.7109375" style="14" customWidth="1"/>
    <col min="7429" max="7429" width="13.140625" style="14" customWidth="1"/>
    <col min="7430" max="7430" width="12.28515625" style="14" customWidth="1"/>
    <col min="7431" max="7431" width="8.85546875" style="14" customWidth="1"/>
    <col min="7432" max="7432" width="10.85546875" style="14" customWidth="1"/>
    <col min="7433" max="7433" width="2.85546875" style="14" customWidth="1"/>
    <col min="7434" max="7434" width="12.140625" style="14" customWidth="1"/>
    <col min="7435" max="7435" width="10.140625" style="14" customWidth="1"/>
    <col min="7436" max="7436" width="11.7109375" style="14" customWidth="1"/>
    <col min="7437" max="7437" width="11.42578125" style="14" customWidth="1"/>
    <col min="7438" max="7438" width="12.7109375" style="14" customWidth="1"/>
    <col min="7439" max="7439" width="11.42578125" style="14" customWidth="1"/>
    <col min="7440" max="7440" width="10.7109375" style="14" customWidth="1"/>
    <col min="7441" max="7441" width="10.5703125" style="14" customWidth="1"/>
    <col min="7442" max="7442" width="11.28515625" style="14" customWidth="1"/>
    <col min="7443" max="7443" width="9.7109375" style="14" customWidth="1"/>
    <col min="7444" max="7444" width="12" style="14" customWidth="1"/>
    <col min="7445" max="7445" width="11.28515625" style="14" customWidth="1"/>
    <col min="7446" max="7683" width="9.140625" style="14"/>
    <col min="7684" max="7684" width="5.7109375" style="14" customWidth="1"/>
    <col min="7685" max="7685" width="13.140625" style="14" customWidth="1"/>
    <col min="7686" max="7686" width="12.28515625" style="14" customWidth="1"/>
    <col min="7687" max="7687" width="8.85546875" style="14" customWidth="1"/>
    <col min="7688" max="7688" width="10.85546875" style="14" customWidth="1"/>
    <col min="7689" max="7689" width="2.85546875" style="14" customWidth="1"/>
    <col min="7690" max="7690" width="12.140625" style="14" customWidth="1"/>
    <col min="7691" max="7691" width="10.140625" style="14" customWidth="1"/>
    <col min="7692" max="7692" width="11.7109375" style="14" customWidth="1"/>
    <col min="7693" max="7693" width="11.42578125" style="14" customWidth="1"/>
    <col min="7694" max="7694" width="12.7109375" style="14" customWidth="1"/>
    <col min="7695" max="7695" width="11.42578125" style="14" customWidth="1"/>
    <col min="7696" max="7696" width="10.7109375" style="14" customWidth="1"/>
    <col min="7697" max="7697" width="10.5703125" style="14" customWidth="1"/>
    <col min="7698" max="7698" width="11.28515625" style="14" customWidth="1"/>
    <col min="7699" max="7699" width="9.7109375" style="14" customWidth="1"/>
    <col min="7700" max="7700" width="12" style="14" customWidth="1"/>
    <col min="7701" max="7701" width="11.28515625" style="14" customWidth="1"/>
    <col min="7702" max="7939" width="9.140625" style="14"/>
    <col min="7940" max="7940" width="5.7109375" style="14" customWidth="1"/>
    <col min="7941" max="7941" width="13.140625" style="14" customWidth="1"/>
    <col min="7942" max="7942" width="12.28515625" style="14" customWidth="1"/>
    <col min="7943" max="7943" width="8.85546875" style="14" customWidth="1"/>
    <col min="7944" max="7944" width="10.85546875" style="14" customWidth="1"/>
    <col min="7945" max="7945" width="2.85546875" style="14" customWidth="1"/>
    <col min="7946" max="7946" width="12.140625" style="14" customWidth="1"/>
    <col min="7947" max="7947" width="10.140625" style="14" customWidth="1"/>
    <col min="7948" max="7948" width="11.7109375" style="14" customWidth="1"/>
    <col min="7949" max="7949" width="11.42578125" style="14" customWidth="1"/>
    <col min="7950" max="7950" width="12.7109375" style="14" customWidth="1"/>
    <col min="7951" max="7951" width="11.42578125" style="14" customWidth="1"/>
    <col min="7952" max="7952" width="10.7109375" style="14" customWidth="1"/>
    <col min="7953" max="7953" width="10.5703125" style="14" customWidth="1"/>
    <col min="7954" max="7954" width="11.28515625" style="14" customWidth="1"/>
    <col min="7955" max="7955" width="9.7109375" style="14" customWidth="1"/>
    <col min="7956" max="7956" width="12" style="14" customWidth="1"/>
    <col min="7957" max="7957" width="11.28515625" style="14" customWidth="1"/>
    <col min="7958" max="8195" width="9.140625" style="14"/>
    <col min="8196" max="8196" width="5.7109375" style="14" customWidth="1"/>
    <col min="8197" max="8197" width="13.140625" style="14" customWidth="1"/>
    <col min="8198" max="8198" width="12.28515625" style="14" customWidth="1"/>
    <col min="8199" max="8199" width="8.85546875" style="14" customWidth="1"/>
    <col min="8200" max="8200" width="10.85546875" style="14" customWidth="1"/>
    <col min="8201" max="8201" width="2.85546875" style="14" customWidth="1"/>
    <col min="8202" max="8202" width="12.140625" style="14" customWidth="1"/>
    <col min="8203" max="8203" width="10.140625" style="14" customWidth="1"/>
    <col min="8204" max="8204" width="11.7109375" style="14" customWidth="1"/>
    <col min="8205" max="8205" width="11.42578125" style="14" customWidth="1"/>
    <col min="8206" max="8206" width="12.7109375" style="14" customWidth="1"/>
    <col min="8207" max="8207" width="11.42578125" style="14" customWidth="1"/>
    <col min="8208" max="8208" width="10.7109375" style="14" customWidth="1"/>
    <col min="8209" max="8209" width="10.5703125" style="14" customWidth="1"/>
    <col min="8210" max="8210" width="11.28515625" style="14" customWidth="1"/>
    <col min="8211" max="8211" width="9.7109375" style="14" customWidth="1"/>
    <col min="8212" max="8212" width="12" style="14" customWidth="1"/>
    <col min="8213" max="8213" width="11.28515625" style="14" customWidth="1"/>
    <col min="8214" max="8451" width="9.140625" style="14"/>
    <col min="8452" max="8452" width="5.7109375" style="14" customWidth="1"/>
    <col min="8453" max="8453" width="13.140625" style="14" customWidth="1"/>
    <col min="8454" max="8454" width="12.28515625" style="14" customWidth="1"/>
    <col min="8455" max="8455" width="8.85546875" style="14" customWidth="1"/>
    <col min="8456" max="8456" width="10.85546875" style="14" customWidth="1"/>
    <col min="8457" max="8457" width="2.85546875" style="14" customWidth="1"/>
    <col min="8458" max="8458" width="12.140625" style="14" customWidth="1"/>
    <col min="8459" max="8459" width="10.140625" style="14" customWidth="1"/>
    <col min="8460" max="8460" width="11.7109375" style="14" customWidth="1"/>
    <col min="8461" max="8461" width="11.42578125" style="14" customWidth="1"/>
    <col min="8462" max="8462" width="12.7109375" style="14" customWidth="1"/>
    <col min="8463" max="8463" width="11.42578125" style="14" customWidth="1"/>
    <col min="8464" max="8464" width="10.7109375" style="14" customWidth="1"/>
    <col min="8465" max="8465" width="10.5703125" style="14" customWidth="1"/>
    <col min="8466" max="8466" width="11.28515625" style="14" customWidth="1"/>
    <col min="8467" max="8467" width="9.7109375" style="14" customWidth="1"/>
    <col min="8468" max="8468" width="12" style="14" customWidth="1"/>
    <col min="8469" max="8469" width="11.28515625" style="14" customWidth="1"/>
    <col min="8470" max="8707" width="9.140625" style="14"/>
    <col min="8708" max="8708" width="5.7109375" style="14" customWidth="1"/>
    <col min="8709" max="8709" width="13.140625" style="14" customWidth="1"/>
    <col min="8710" max="8710" width="12.28515625" style="14" customWidth="1"/>
    <col min="8711" max="8711" width="8.85546875" style="14" customWidth="1"/>
    <col min="8712" max="8712" width="10.85546875" style="14" customWidth="1"/>
    <col min="8713" max="8713" width="2.85546875" style="14" customWidth="1"/>
    <col min="8714" max="8714" width="12.140625" style="14" customWidth="1"/>
    <col min="8715" max="8715" width="10.140625" style="14" customWidth="1"/>
    <col min="8716" max="8716" width="11.7109375" style="14" customWidth="1"/>
    <col min="8717" max="8717" width="11.42578125" style="14" customWidth="1"/>
    <col min="8718" max="8718" width="12.7109375" style="14" customWidth="1"/>
    <col min="8719" max="8719" width="11.42578125" style="14" customWidth="1"/>
    <col min="8720" max="8720" width="10.7109375" style="14" customWidth="1"/>
    <col min="8721" max="8721" width="10.5703125" style="14" customWidth="1"/>
    <col min="8722" max="8722" width="11.28515625" style="14" customWidth="1"/>
    <col min="8723" max="8723" width="9.7109375" style="14" customWidth="1"/>
    <col min="8724" max="8724" width="12" style="14" customWidth="1"/>
    <col min="8725" max="8725" width="11.28515625" style="14" customWidth="1"/>
    <col min="8726" max="8963" width="9.140625" style="14"/>
    <col min="8964" max="8964" width="5.7109375" style="14" customWidth="1"/>
    <col min="8965" max="8965" width="13.140625" style="14" customWidth="1"/>
    <col min="8966" max="8966" width="12.28515625" style="14" customWidth="1"/>
    <col min="8967" max="8967" width="8.85546875" style="14" customWidth="1"/>
    <col min="8968" max="8968" width="10.85546875" style="14" customWidth="1"/>
    <col min="8969" max="8969" width="2.85546875" style="14" customWidth="1"/>
    <col min="8970" max="8970" width="12.140625" style="14" customWidth="1"/>
    <col min="8971" max="8971" width="10.140625" style="14" customWidth="1"/>
    <col min="8972" max="8972" width="11.7109375" style="14" customWidth="1"/>
    <col min="8973" max="8973" width="11.42578125" style="14" customWidth="1"/>
    <col min="8974" max="8974" width="12.7109375" style="14" customWidth="1"/>
    <col min="8975" max="8975" width="11.42578125" style="14" customWidth="1"/>
    <col min="8976" max="8976" width="10.7109375" style="14" customWidth="1"/>
    <col min="8977" max="8977" width="10.5703125" style="14" customWidth="1"/>
    <col min="8978" max="8978" width="11.28515625" style="14" customWidth="1"/>
    <col min="8979" max="8979" width="9.7109375" style="14" customWidth="1"/>
    <col min="8980" max="8980" width="12" style="14" customWidth="1"/>
    <col min="8981" max="8981" width="11.28515625" style="14" customWidth="1"/>
    <col min="8982" max="9219" width="9.140625" style="14"/>
    <col min="9220" max="9220" width="5.7109375" style="14" customWidth="1"/>
    <col min="9221" max="9221" width="13.140625" style="14" customWidth="1"/>
    <col min="9222" max="9222" width="12.28515625" style="14" customWidth="1"/>
    <col min="9223" max="9223" width="8.85546875" style="14" customWidth="1"/>
    <col min="9224" max="9224" width="10.85546875" style="14" customWidth="1"/>
    <col min="9225" max="9225" width="2.85546875" style="14" customWidth="1"/>
    <col min="9226" max="9226" width="12.140625" style="14" customWidth="1"/>
    <col min="9227" max="9227" width="10.140625" style="14" customWidth="1"/>
    <col min="9228" max="9228" width="11.7109375" style="14" customWidth="1"/>
    <col min="9229" max="9229" width="11.42578125" style="14" customWidth="1"/>
    <col min="9230" max="9230" width="12.7109375" style="14" customWidth="1"/>
    <col min="9231" max="9231" width="11.42578125" style="14" customWidth="1"/>
    <col min="9232" max="9232" width="10.7109375" style="14" customWidth="1"/>
    <col min="9233" max="9233" width="10.5703125" style="14" customWidth="1"/>
    <col min="9234" max="9234" width="11.28515625" style="14" customWidth="1"/>
    <col min="9235" max="9235" width="9.7109375" style="14" customWidth="1"/>
    <col min="9236" max="9236" width="12" style="14" customWidth="1"/>
    <col min="9237" max="9237" width="11.28515625" style="14" customWidth="1"/>
    <col min="9238" max="9475" width="9.140625" style="14"/>
    <col min="9476" max="9476" width="5.7109375" style="14" customWidth="1"/>
    <col min="9477" max="9477" width="13.140625" style="14" customWidth="1"/>
    <col min="9478" max="9478" width="12.28515625" style="14" customWidth="1"/>
    <col min="9479" max="9479" width="8.85546875" style="14" customWidth="1"/>
    <col min="9480" max="9480" width="10.85546875" style="14" customWidth="1"/>
    <col min="9481" max="9481" width="2.85546875" style="14" customWidth="1"/>
    <col min="9482" max="9482" width="12.140625" style="14" customWidth="1"/>
    <col min="9483" max="9483" width="10.140625" style="14" customWidth="1"/>
    <col min="9484" max="9484" width="11.7109375" style="14" customWidth="1"/>
    <col min="9485" max="9485" width="11.42578125" style="14" customWidth="1"/>
    <col min="9486" max="9486" width="12.7109375" style="14" customWidth="1"/>
    <col min="9487" max="9487" width="11.42578125" style="14" customWidth="1"/>
    <col min="9488" max="9488" width="10.7109375" style="14" customWidth="1"/>
    <col min="9489" max="9489" width="10.5703125" style="14" customWidth="1"/>
    <col min="9490" max="9490" width="11.28515625" style="14" customWidth="1"/>
    <col min="9491" max="9491" width="9.7109375" style="14" customWidth="1"/>
    <col min="9492" max="9492" width="12" style="14" customWidth="1"/>
    <col min="9493" max="9493" width="11.28515625" style="14" customWidth="1"/>
    <col min="9494" max="9731" width="9.140625" style="14"/>
    <col min="9732" max="9732" width="5.7109375" style="14" customWidth="1"/>
    <col min="9733" max="9733" width="13.140625" style="14" customWidth="1"/>
    <col min="9734" max="9734" width="12.28515625" style="14" customWidth="1"/>
    <col min="9735" max="9735" width="8.85546875" style="14" customWidth="1"/>
    <col min="9736" max="9736" width="10.85546875" style="14" customWidth="1"/>
    <col min="9737" max="9737" width="2.85546875" style="14" customWidth="1"/>
    <col min="9738" max="9738" width="12.140625" style="14" customWidth="1"/>
    <col min="9739" max="9739" width="10.140625" style="14" customWidth="1"/>
    <col min="9740" max="9740" width="11.7109375" style="14" customWidth="1"/>
    <col min="9741" max="9741" width="11.42578125" style="14" customWidth="1"/>
    <col min="9742" max="9742" width="12.7109375" style="14" customWidth="1"/>
    <col min="9743" max="9743" width="11.42578125" style="14" customWidth="1"/>
    <col min="9744" max="9744" width="10.7109375" style="14" customWidth="1"/>
    <col min="9745" max="9745" width="10.5703125" style="14" customWidth="1"/>
    <col min="9746" max="9746" width="11.28515625" style="14" customWidth="1"/>
    <col min="9747" max="9747" width="9.7109375" style="14" customWidth="1"/>
    <col min="9748" max="9748" width="12" style="14" customWidth="1"/>
    <col min="9749" max="9749" width="11.28515625" style="14" customWidth="1"/>
    <col min="9750" max="9987" width="9.140625" style="14"/>
    <col min="9988" max="9988" width="5.7109375" style="14" customWidth="1"/>
    <col min="9989" max="9989" width="13.140625" style="14" customWidth="1"/>
    <col min="9990" max="9990" width="12.28515625" style="14" customWidth="1"/>
    <col min="9991" max="9991" width="8.85546875" style="14" customWidth="1"/>
    <col min="9992" max="9992" width="10.85546875" style="14" customWidth="1"/>
    <col min="9993" max="9993" width="2.85546875" style="14" customWidth="1"/>
    <col min="9994" max="9994" width="12.140625" style="14" customWidth="1"/>
    <col min="9995" max="9995" width="10.140625" style="14" customWidth="1"/>
    <col min="9996" max="9996" width="11.7109375" style="14" customWidth="1"/>
    <col min="9997" max="9997" width="11.42578125" style="14" customWidth="1"/>
    <col min="9998" max="9998" width="12.7109375" style="14" customWidth="1"/>
    <col min="9999" max="9999" width="11.42578125" style="14" customWidth="1"/>
    <col min="10000" max="10000" width="10.7109375" style="14" customWidth="1"/>
    <col min="10001" max="10001" width="10.5703125" style="14" customWidth="1"/>
    <col min="10002" max="10002" width="11.28515625" style="14" customWidth="1"/>
    <col min="10003" max="10003" width="9.7109375" style="14" customWidth="1"/>
    <col min="10004" max="10004" width="12" style="14" customWidth="1"/>
    <col min="10005" max="10005" width="11.28515625" style="14" customWidth="1"/>
    <col min="10006" max="10243" width="9.140625" style="14"/>
    <col min="10244" max="10244" width="5.7109375" style="14" customWidth="1"/>
    <col min="10245" max="10245" width="13.140625" style="14" customWidth="1"/>
    <col min="10246" max="10246" width="12.28515625" style="14" customWidth="1"/>
    <col min="10247" max="10247" width="8.85546875" style="14" customWidth="1"/>
    <col min="10248" max="10248" width="10.85546875" style="14" customWidth="1"/>
    <col min="10249" max="10249" width="2.85546875" style="14" customWidth="1"/>
    <col min="10250" max="10250" width="12.140625" style="14" customWidth="1"/>
    <col min="10251" max="10251" width="10.140625" style="14" customWidth="1"/>
    <col min="10252" max="10252" width="11.7109375" style="14" customWidth="1"/>
    <col min="10253" max="10253" width="11.42578125" style="14" customWidth="1"/>
    <col min="10254" max="10254" width="12.7109375" style="14" customWidth="1"/>
    <col min="10255" max="10255" width="11.42578125" style="14" customWidth="1"/>
    <col min="10256" max="10256" width="10.7109375" style="14" customWidth="1"/>
    <col min="10257" max="10257" width="10.5703125" style="14" customWidth="1"/>
    <col min="10258" max="10258" width="11.28515625" style="14" customWidth="1"/>
    <col min="10259" max="10259" width="9.7109375" style="14" customWidth="1"/>
    <col min="10260" max="10260" width="12" style="14" customWidth="1"/>
    <col min="10261" max="10261" width="11.28515625" style="14" customWidth="1"/>
    <col min="10262" max="10499" width="9.140625" style="14"/>
    <col min="10500" max="10500" width="5.7109375" style="14" customWidth="1"/>
    <col min="10501" max="10501" width="13.140625" style="14" customWidth="1"/>
    <col min="10502" max="10502" width="12.28515625" style="14" customWidth="1"/>
    <col min="10503" max="10503" width="8.85546875" style="14" customWidth="1"/>
    <col min="10504" max="10504" width="10.85546875" style="14" customWidth="1"/>
    <col min="10505" max="10505" width="2.85546875" style="14" customWidth="1"/>
    <col min="10506" max="10506" width="12.140625" style="14" customWidth="1"/>
    <col min="10507" max="10507" width="10.140625" style="14" customWidth="1"/>
    <col min="10508" max="10508" width="11.7109375" style="14" customWidth="1"/>
    <col min="10509" max="10509" width="11.42578125" style="14" customWidth="1"/>
    <col min="10510" max="10510" width="12.7109375" style="14" customWidth="1"/>
    <col min="10511" max="10511" width="11.42578125" style="14" customWidth="1"/>
    <col min="10512" max="10512" width="10.7109375" style="14" customWidth="1"/>
    <col min="10513" max="10513" width="10.5703125" style="14" customWidth="1"/>
    <col min="10514" max="10514" width="11.28515625" style="14" customWidth="1"/>
    <col min="10515" max="10515" width="9.7109375" style="14" customWidth="1"/>
    <col min="10516" max="10516" width="12" style="14" customWidth="1"/>
    <col min="10517" max="10517" width="11.28515625" style="14" customWidth="1"/>
    <col min="10518" max="10755" width="9.140625" style="14"/>
    <col min="10756" max="10756" width="5.7109375" style="14" customWidth="1"/>
    <col min="10757" max="10757" width="13.140625" style="14" customWidth="1"/>
    <col min="10758" max="10758" width="12.28515625" style="14" customWidth="1"/>
    <col min="10759" max="10759" width="8.85546875" style="14" customWidth="1"/>
    <col min="10760" max="10760" width="10.85546875" style="14" customWidth="1"/>
    <col min="10761" max="10761" width="2.85546875" style="14" customWidth="1"/>
    <col min="10762" max="10762" width="12.140625" style="14" customWidth="1"/>
    <col min="10763" max="10763" width="10.140625" style="14" customWidth="1"/>
    <col min="10764" max="10764" width="11.7109375" style="14" customWidth="1"/>
    <col min="10765" max="10765" width="11.42578125" style="14" customWidth="1"/>
    <col min="10766" max="10766" width="12.7109375" style="14" customWidth="1"/>
    <col min="10767" max="10767" width="11.42578125" style="14" customWidth="1"/>
    <col min="10768" max="10768" width="10.7109375" style="14" customWidth="1"/>
    <col min="10769" max="10769" width="10.5703125" style="14" customWidth="1"/>
    <col min="10770" max="10770" width="11.28515625" style="14" customWidth="1"/>
    <col min="10771" max="10771" width="9.7109375" style="14" customWidth="1"/>
    <col min="10772" max="10772" width="12" style="14" customWidth="1"/>
    <col min="10773" max="10773" width="11.28515625" style="14" customWidth="1"/>
    <col min="10774" max="11011" width="9.140625" style="14"/>
    <col min="11012" max="11012" width="5.7109375" style="14" customWidth="1"/>
    <col min="11013" max="11013" width="13.140625" style="14" customWidth="1"/>
    <col min="11014" max="11014" width="12.28515625" style="14" customWidth="1"/>
    <col min="11015" max="11015" width="8.85546875" style="14" customWidth="1"/>
    <col min="11016" max="11016" width="10.85546875" style="14" customWidth="1"/>
    <col min="11017" max="11017" width="2.85546875" style="14" customWidth="1"/>
    <col min="11018" max="11018" width="12.140625" style="14" customWidth="1"/>
    <col min="11019" max="11019" width="10.140625" style="14" customWidth="1"/>
    <col min="11020" max="11020" width="11.7109375" style="14" customWidth="1"/>
    <col min="11021" max="11021" width="11.42578125" style="14" customWidth="1"/>
    <col min="11022" max="11022" width="12.7109375" style="14" customWidth="1"/>
    <col min="11023" max="11023" width="11.42578125" style="14" customWidth="1"/>
    <col min="11024" max="11024" width="10.7109375" style="14" customWidth="1"/>
    <col min="11025" max="11025" width="10.5703125" style="14" customWidth="1"/>
    <col min="11026" max="11026" width="11.28515625" style="14" customWidth="1"/>
    <col min="11027" max="11027" width="9.7109375" style="14" customWidth="1"/>
    <col min="11028" max="11028" width="12" style="14" customWidth="1"/>
    <col min="11029" max="11029" width="11.28515625" style="14" customWidth="1"/>
    <col min="11030" max="11267" width="9.140625" style="14"/>
    <col min="11268" max="11268" width="5.7109375" style="14" customWidth="1"/>
    <col min="11269" max="11269" width="13.140625" style="14" customWidth="1"/>
    <col min="11270" max="11270" width="12.28515625" style="14" customWidth="1"/>
    <col min="11271" max="11271" width="8.85546875" style="14" customWidth="1"/>
    <col min="11272" max="11272" width="10.85546875" style="14" customWidth="1"/>
    <col min="11273" max="11273" width="2.85546875" style="14" customWidth="1"/>
    <col min="11274" max="11274" width="12.140625" style="14" customWidth="1"/>
    <col min="11275" max="11275" width="10.140625" style="14" customWidth="1"/>
    <col min="11276" max="11276" width="11.7109375" style="14" customWidth="1"/>
    <col min="11277" max="11277" width="11.42578125" style="14" customWidth="1"/>
    <col min="11278" max="11278" width="12.7109375" style="14" customWidth="1"/>
    <col min="11279" max="11279" width="11.42578125" style="14" customWidth="1"/>
    <col min="11280" max="11280" width="10.7109375" style="14" customWidth="1"/>
    <col min="11281" max="11281" width="10.5703125" style="14" customWidth="1"/>
    <col min="11282" max="11282" width="11.28515625" style="14" customWidth="1"/>
    <col min="11283" max="11283" width="9.7109375" style="14" customWidth="1"/>
    <col min="11284" max="11284" width="12" style="14" customWidth="1"/>
    <col min="11285" max="11285" width="11.28515625" style="14" customWidth="1"/>
    <col min="11286" max="11523" width="9.140625" style="14"/>
    <col min="11524" max="11524" width="5.7109375" style="14" customWidth="1"/>
    <col min="11525" max="11525" width="13.140625" style="14" customWidth="1"/>
    <col min="11526" max="11526" width="12.28515625" style="14" customWidth="1"/>
    <col min="11527" max="11527" width="8.85546875" style="14" customWidth="1"/>
    <col min="11528" max="11528" width="10.85546875" style="14" customWidth="1"/>
    <col min="11529" max="11529" width="2.85546875" style="14" customWidth="1"/>
    <col min="11530" max="11530" width="12.140625" style="14" customWidth="1"/>
    <col min="11531" max="11531" width="10.140625" style="14" customWidth="1"/>
    <col min="11532" max="11532" width="11.7109375" style="14" customWidth="1"/>
    <col min="11533" max="11533" width="11.42578125" style="14" customWidth="1"/>
    <col min="11534" max="11534" width="12.7109375" style="14" customWidth="1"/>
    <col min="11535" max="11535" width="11.42578125" style="14" customWidth="1"/>
    <col min="11536" max="11536" width="10.7109375" style="14" customWidth="1"/>
    <col min="11537" max="11537" width="10.5703125" style="14" customWidth="1"/>
    <col min="11538" max="11538" width="11.28515625" style="14" customWidth="1"/>
    <col min="11539" max="11539" width="9.7109375" style="14" customWidth="1"/>
    <col min="11540" max="11540" width="12" style="14" customWidth="1"/>
    <col min="11541" max="11541" width="11.28515625" style="14" customWidth="1"/>
    <col min="11542" max="11779" width="9.140625" style="14"/>
    <col min="11780" max="11780" width="5.7109375" style="14" customWidth="1"/>
    <col min="11781" max="11781" width="13.140625" style="14" customWidth="1"/>
    <col min="11782" max="11782" width="12.28515625" style="14" customWidth="1"/>
    <col min="11783" max="11783" width="8.85546875" style="14" customWidth="1"/>
    <col min="11784" max="11784" width="10.85546875" style="14" customWidth="1"/>
    <col min="11785" max="11785" width="2.85546875" style="14" customWidth="1"/>
    <col min="11786" max="11786" width="12.140625" style="14" customWidth="1"/>
    <col min="11787" max="11787" width="10.140625" style="14" customWidth="1"/>
    <col min="11788" max="11788" width="11.7109375" style="14" customWidth="1"/>
    <col min="11789" max="11789" width="11.42578125" style="14" customWidth="1"/>
    <col min="11790" max="11790" width="12.7109375" style="14" customWidth="1"/>
    <col min="11791" max="11791" width="11.42578125" style="14" customWidth="1"/>
    <col min="11792" max="11792" width="10.7109375" style="14" customWidth="1"/>
    <col min="11793" max="11793" width="10.5703125" style="14" customWidth="1"/>
    <col min="11794" max="11794" width="11.28515625" style="14" customWidth="1"/>
    <col min="11795" max="11795" width="9.7109375" style="14" customWidth="1"/>
    <col min="11796" max="11796" width="12" style="14" customWidth="1"/>
    <col min="11797" max="11797" width="11.28515625" style="14" customWidth="1"/>
    <col min="11798" max="12035" width="9.140625" style="14"/>
    <col min="12036" max="12036" width="5.7109375" style="14" customWidth="1"/>
    <col min="12037" max="12037" width="13.140625" style="14" customWidth="1"/>
    <col min="12038" max="12038" width="12.28515625" style="14" customWidth="1"/>
    <col min="12039" max="12039" width="8.85546875" style="14" customWidth="1"/>
    <col min="12040" max="12040" width="10.85546875" style="14" customWidth="1"/>
    <col min="12041" max="12041" width="2.85546875" style="14" customWidth="1"/>
    <col min="12042" max="12042" width="12.140625" style="14" customWidth="1"/>
    <col min="12043" max="12043" width="10.140625" style="14" customWidth="1"/>
    <col min="12044" max="12044" width="11.7109375" style="14" customWidth="1"/>
    <col min="12045" max="12045" width="11.42578125" style="14" customWidth="1"/>
    <col min="12046" max="12046" width="12.7109375" style="14" customWidth="1"/>
    <col min="12047" max="12047" width="11.42578125" style="14" customWidth="1"/>
    <col min="12048" max="12048" width="10.7109375" style="14" customWidth="1"/>
    <col min="12049" max="12049" width="10.5703125" style="14" customWidth="1"/>
    <col min="12050" max="12050" width="11.28515625" style="14" customWidth="1"/>
    <col min="12051" max="12051" width="9.7109375" style="14" customWidth="1"/>
    <col min="12052" max="12052" width="12" style="14" customWidth="1"/>
    <col min="12053" max="12053" width="11.28515625" style="14" customWidth="1"/>
    <col min="12054" max="12291" width="9.140625" style="14"/>
    <col min="12292" max="12292" width="5.7109375" style="14" customWidth="1"/>
    <col min="12293" max="12293" width="13.140625" style="14" customWidth="1"/>
    <col min="12294" max="12294" width="12.28515625" style="14" customWidth="1"/>
    <col min="12295" max="12295" width="8.85546875" style="14" customWidth="1"/>
    <col min="12296" max="12296" width="10.85546875" style="14" customWidth="1"/>
    <col min="12297" max="12297" width="2.85546875" style="14" customWidth="1"/>
    <col min="12298" max="12298" width="12.140625" style="14" customWidth="1"/>
    <col min="12299" max="12299" width="10.140625" style="14" customWidth="1"/>
    <col min="12300" max="12300" width="11.7109375" style="14" customWidth="1"/>
    <col min="12301" max="12301" width="11.42578125" style="14" customWidth="1"/>
    <col min="12302" max="12302" width="12.7109375" style="14" customWidth="1"/>
    <col min="12303" max="12303" width="11.42578125" style="14" customWidth="1"/>
    <col min="12304" max="12304" width="10.7109375" style="14" customWidth="1"/>
    <col min="12305" max="12305" width="10.5703125" style="14" customWidth="1"/>
    <col min="12306" max="12306" width="11.28515625" style="14" customWidth="1"/>
    <col min="12307" max="12307" width="9.7109375" style="14" customWidth="1"/>
    <col min="12308" max="12308" width="12" style="14" customWidth="1"/>
    <col min="12309" max="12309" width="11.28515625" style="14" customWidth="1"/>
    <col min="12310" max="12547" width="9.140625" style="14"/>
    <col min="12548" max="12548" width="5.7109375" style="14" customWidth="1"/>
    <col min="12549" max="12549" width="13.140625" style="14" customWidth="1"/>
    <col min="12550" max="12550" width="12.28515625" style="14" customWidth="1"/>
    <col min="12551" max="12551" width="8.85546875" style="14" customWidth="1"/>
    <col min="12552" max="12552" width="10.85546875" style="14" customWidth="1"/>
    <col min="12553" max="12553" width="2.85546875" style="14" customWidth="1"/>
    <col min="12554" max="12554" width="12.140625" style="14" customWidth="1"/>
    <col min="12555" max="12555" width="10.140625" style="14" customWidth="1"/>
    <col min="12556" max="12556" width="11.7109375" style="14" customWidth="1"/>
    <col min="12557" max="12557" width="11.42578125" style="14" customWidth="1"/>
    <col min="12558" max="12558" width="12.7109375" style="14" customWidth="1"/>
    <col min="12559" max="12559" width="11.42578125" style="14" customWidth="1"/>
    <col min="12560" max="12560" width="10.7109375" style="14" customWidth="1"/>
    <col min="12561" max="12561" width="10.5703125" style="14" customWidth="1"/>
    <col min="12562" max="12562" width="11.28515625" style="14" customWidth="1"/>
    <col min="12563" max="12563" width="9.7109375" style="14" customWidth="1"/>
    <col min="12564" max="12564" width="12" style="14" customWidth="1"/>
    <col min="12565" max="12565" width="11.28515625" style="14" customWidth="1"/>
    <col min="12566" max="12803" width="9.140625" style="14"/>
    <col min="12804" max="12804" width="5.7109375" style="14" customWidth="1"/>
    <col min="12805" max="12805" width="13.140625" style="14" customWidth="1"/>
    <col min="12806" max="12806" width="12.28515625" style="14" customWidth="1"/>
    <col min="12807" max="12807" width="8.85546875" style="14" customWidth="1"/>
    <col min="12808" max="12808" width="10.85546875" style="14" customWidth="1"/>
    <col min="12809" max="12809" width="2.85546875" style="14" customWidth="1"/>
    <col min="12810" max="12810" width="12.140625" style="14" customWidth="1"/>
    <col min="12811" max="12811" width="10.140625" style="14" customWidth="1"/>
    <col min="12812" max="12812" width="11.7109375" style="14" customWidth="1"/>
    <col min="12813" max="12813" width="11.42578125" style="14" customWidth="1"/>
    <col min="12814" max="12814" width="12.7109375" style="14" customWidth="1"/>
    <col min="12815" max="12815" width="11.42578125" style="14" customWidth="1"/>
    <col min="12816" max="12816" width="10.7109375" style="14" customWidth="1"/>
    <col min="12817" max="12817" width="10.5703125" style="14" customWidth="1"/>
    <col min="12818" max="12818" width="11.28515625" style="14" customWidth="1"/>
    <col min="12819" max="12819" width="9.7109375" style="14" customWidth="1"/>
    <col min="12820" max="12820" width="12" style="14" customWidth="1"/>
    <col min="12821" max="12821" width="11.28515625" style="14" customWidth="1"/>
    <col min="12822" max="13059" width="9.140625" style="14"/>
    <col min="13060" max="13060" width="5.7109375" style="14" customWidth="1"/>
    <col min="13061" max="13061" width="13.140625" style="14" customWidth="1"/>
    <col min="13062" max="13062" width="12.28515625" style="14" customWidth="1"/>
    <col min="13063" max="13063" width="8.85546875" style="14" customWidth="1"/>
    <col min="13064" max="13064" width="10.85546875" style="14" customWidth="1"/>
    <col min="13065" max="13065" width="2.85546875" style="14" customWidth="1"/>
    <col min="13066" max="13066" width="12.140625" style="14" customWidth="1"/>
    <col min="13067" max="13067" width="10.140625" style="14" customWidth="1"/>
    <col min="13068" max="13068" width="11.7109375" style="14" customWidth="1"/>
    <col min="13069" max="13069" width="11.42578125" style="14" customWidth="1"/>
    <col min="13070" max="13070" width="12.7109375" style="14" customWidth="1"/>
    <col min="13071" max="13071" width="11.42578125" style="14" customWidth="1"/>
    <col min="13072" max="13072" width="10.7109375" style="14" customWidth="1"/>
    <col min="13073" max="13073" width="10.5703125" style="14" customWidth="1"/>
    <col min="13074" max="13074" width="11.28515625" style="14" customWidth="1"/>
    <col min="13075" max="13075" width="9.7109375" style="14" customWidth="1"/>
    <col min="13076" max="13076" width="12" style="14" customWidth="1"/>
    <col min="13077" max="13077" width="11.28515625" style="14" customWidth="1"/>
    <col min="13078" max="13315" width="9.140625" style="14"/>
    <col min="13316" max="13316" width="5.7109375" style="14" customWidth="1"/>
    <col min="13317" max="13317" width="13.140625" style="14" customWidth="1"/>
    <col min="13318" max="13318" width="12.28515625" style="14" customWidth="1"/>
    <col min="13319" max="13319" width="8.85546875" style="14" customWidth="1"/>
    <col min="13320" max="13320" width="10.85546875" style="14" customWidth="1"/>
    <col min="13321" max="13321" width="2.85546875" style="14" customWidth="1"/>
    <col min="13322" max="13322" width="12.140625" style="14" customWidth="1"/>
    <col min="13323" max="13323" width="10.140625" style="14" customWidth="1"/>
    <col min="13324" max="13324" width="11.7109375" style="14" customWidth="1"/>
    <col min="13325" max="13325" width="11.42578125" style="14" customWidth="1"/>
    <col min="13326" max="13326" width="12.7109375" style="14" customWidth="1"/>
    <col min="13327" max="13327" width="11.42578125" style="14" customWidth="1"/>
    <col min="13328" max="13328" width="10.7109375" style="14" customWidth="1"/>
    <col min="13329" max="13329" width="10.5703125" style="14" customWidth="1"/>
    <col min="13330" max="13330" width="11.28515625" style="14" customWidth="1"/>
    <col min="13331" max="13331" width="9.7109375" style="14" customWidth="1"/>
    <col min="13332" max="13332" width="12" style="14" customWidth="1"/>
    <col min="13333" max="13333" width="11.28515625" style="14" customWidth="1"/>
    <col min="13334" max="13571" width="9.140625" style="14"/>
    <col min="13572" max="13572" width="5.7109375" style="14" customWidth="1"/>
    <col min="13573" max="13573" width="13.140625" style="14" customWidth="1"/>
    <col min="13574" max="13574" width="12.28515625" style="14" customWidth="1"/>
    <col min="13575" max="13575" width="8.85546875" style="14" customWidth="1"/>
    <col min="13576" max="13576" width="10.85546875" style="14" customWidth="1"/>
    <col min="13577" max="13577" width="2.85546875" style="14" customWidth="1"/>
    <col min="13578" max="13578" width="12.140625" style="14" customWidth="1"/>
    <col min="13579" max="13579" width="10.140625" style="14" customWidth="1"/>
    <col min="13580" max="13580" width="11.7109375" style="14" customWidth="1"/>
    <col min="13581" max="13581" width="11.42578125" style="14" customWidth="1"/>
    <col min="13582" max="13582" width="12.7109375" style="14" customWidth="1"/>
    <col min="13583" max="13583" width="11.42578125" style="14" customWidth="1"/>
    <col min="13584" max="13584" width="10.7109375" style="14" customWidth="1"/>
    <col min="13585" max="13585" width="10.5703125" style="14" customWidth="1"/>
    <col min="13586" max="13586" width="11.28515625" style="14" customWidth="1"/>
    <col min="13587" max="13587" width="9.7109375" style="14" customWidth="1"/>
    <col min="13588" max="13588" width="12" style="14" customWidth="1"/>
    <col min="13589" max="13589" width="11.28515625" style="14" customWidth="1"/>
    <col min="13590" max="13827" width="9.140625" style="14"/>
    <col min="13828" max="13828" width="5.7109375" style="14" customWidth="1"/>
    <col min="13829" max="13829" width="13.140625" style="14" customWidth="1"/>
    <col min="13830" max="13830" width="12.28515625" style="14" customWidth="1"/>
    <col min="13831" max="13831" width="8.85546875" style="14" customWidth="1"/>
    <col min="13832" max="13832" width="10.85546875" style="14" customWidth="1"/>
    <col min="13833" max="13833" width="2.85546875" style="14" customWidth="1"/>
    <col min="13834" max="13834" width="12.140625" style="14" customWidth="1"/>
    <col min="13835" max="13835" width="10.140625" style="14" customWidth="1"/>
    <col min="13836" max="13836" width="11.7109375" style="14" customWidth="1"/>
    <col min="13837" max="13837" width="11.42578125" style="14" customWidth="1"/>
    <col min="13838" max="13838" width="12.7109375" style="14" customWidth="1"/>
    <col min="13839" max="13839" width="11.42578125" style="14" customWidth="1"/>
    <col min="13840" max="13840" width="10.7109375" style="14" customWidth="1"/>
    <col min="13841" max="13841" width="10.5703125" style="14" customWidth="1"/>
    <col min="13842" max="13842" width="11.28515625" style="14" customWidth="1"/>
    <col min="13843" max="13843" width="9.7109375" style="14" customWidth="1"/>
    <col min="13844" max="13844" width="12" style="14" customWidth="1"/>
    <col min="13845" max="13845" width="11.28515625" style="14" customWidth="1"/>
    <col min="13846" max="14083" width="9.140625" style="14"/>
    <col min="14084" max="14084" width="5.7109375" style="14" customWidth="1"/>
    <col min="14085" max="14085" width="13.140625" style="14" customWidth="1"/>
    <col min="14086" max="14086" width="12.28515625" style="14" customWidth="1"/>
    <col min="14087" max="14087" width="8.85546875" style="14" customWidth="1"/>
    <col min="14088" max="14088" width="10.85546875" style="14" customWidth="1"/>
    <col min="14089" max="14089" width="2.85546875" style="14" customWidth="1"/>
    <col min="14090" max="14090" width="12.140625" style="14" customWidth="1"/>
    <col min="14091" max="14091" width="10.140625" style="14" customWidth="1"/>
    <col min="14092" max="14092" width="11.7109375" style="14" customWidth="1"/>
    <col min="14093" max="14093" width="11.42578125" style="14" customWidth="1"/>
    <col min="14094" max="14094" width="12.7109375" style="14" customWidth="1"/>
    <col min="14095" max="14095" width="11.42578125" style="14" customWidth="1"/>
    <col min="14096" max="14096" width="10.7109375" style="14" customWidth="1"/>
    <col min="14097" max="14097" width="10.5703125" style="14" customWidth="1"/>
    <col min="14098" max="14098" width="11.28515625" style="14" customWidth="1"/>
    <col min="14099" max="14099" width="9.7109375" style="14" customWidth="1"/>
    <col min="14100" max="14100" width="12" style="14" customWidth="1"/>
    <col min="14101" max="14101" width="11.28515625" style="14" customWidth="1"/>
    <col min="14102" max="14339" width="9.140625" style="14"/>
    <col min="14340" max="14340" width="5.7109375" style="14" customWidth="1"/>
    <col min="14341" max="14341" width="13.140625" style="14" customWidth="1"/>
    <col min="14342" max="14342" width="12.28515625" style="14" customWidth="1"/>
    <col min="14343" max="14343" width="8.85546875" style="14" customWidth="1"/>
    <col min="14344" max="14344" width="10.85546875" style="14" customWidth="1"/>
    <col min="14345" max="14345" width="2.85546875" style="14" customWidth="1"/>
    <col min="14346" max="14346" width="12.140625" style="14" customWidth="1"/>
    <col min="14347" max="14347" width="10.140625" style="14" customWidth="1"/>
    <col min="14348" max="14348" width="11.7109375" style="14" customWidth="1"/>
    <col min="14349" max="14349" width="11.42578125" style="14" customWidth="1"/>
    <col min="14350" max="14350" width="12.7109375" style="14" customWidth="1"/>
    <col min="14351" max="14351" width="11.42578125" style="14" customWidth="1"/>
    <col min="14352" max="14352" width="10.7109375" style="14" customWidth="1"/>
    <col min="14353" max="14353" width="10.5703125" style="14" customWidth="1"/>
    <col min="14354" max="14354" width="11.28515625" style="14" customWidth="1"/>
    <col min="14355" max="14355" width="9.7109375" style="14" customWidth="1"/>
    <col min="14356" max="14356" width="12" style="14" customWidth="1"/>
    <col min="14357" max="14357" width="11.28515625" style="14" customWidth="1"/>
    <col min="14358" max="14595" width="9.140625" style="14"/>
    <col min="14596" max="14596" width="5.7109375" style="14" customWidth="1"/>
    <col min="14597" max="14597" width="13.140625" style="14" customWidth="1"/>
    <col min="14598" max="14598" width="12.28515625" style="14" customWidth="1"/>
    <col min="14599" max="14599" width="8.85546875" style="14" customWidth="1"/>
    <col min="14600" max="14600" width="10.85546875" style="14" customWidth="1"/>
    <col min="14601" max="14601" width="2.85546875" style="14" customWidth="1"/>
    <col min="14602" max="14602" width="12.140625" style="14" customWidth="1"/>
    <col min="14603" max="14603" width="10.140625" style="14" customWidth="1"/>
    <col min="14604" max="14604" width="11.7109375" style="14" customWidth="1"/>
    <col min="14605" max="14605" width="11.42578125" style="14" customWidth="1"/>
    <col min="14606" max="14606" width="12.7109375" style="14" customWidth="1"/>
    <col min="14607" max="14607" width="11.42578125" style="14" customWidth="1"/>
    <col min="14608" max="14608" width="10.7109375" style="14" customWidth="1"/>
    <col min="14609" max="14609" width="10.5703125" style="14" customWidth="1"/>
    <col min="14610" max="14610" width="11.28515625" style="14" customWidth="1"/>
    <col min="14611" max="14611" width="9.7109375" style="14" customWidth="1"/>
    <col min="14612" max="14612" width="12" style="14" customWidth="1"/>
    <col min="14613" max="14613" width="11.28515625" style="14" customWidth="1"/>
    <col min="14614" max="14851" width="9.140625" style="14"/>
    <col min="14852" max="14852" width="5.7109375" style="14" customWidth="1"/>
    <col min="14853" max="14853" width="13.140625" style="14" customWidth="1"/>
    <col min="14854" max="14854" width="12.28515625" style="14" customWidth="1"/>
    <col min="14855" max="14855" width="8.85546875" style="14" customWidth="1"/>
    <col min="14856" max="14856" width="10.85546875" style="14" customWidth="1"/>
    <col min="14857" max="14857" width="2.85546875" style="14" customWidth="1"/>
    <col min="14858" max="14858" width="12.140625" style="14" customWidth="1"/>
    <col min="14859" max="14859" width="10.140625" style="14" customWidth="1"/>
    <col min="14860" max="14860" width="11.7109375" style="14" customWidth="1"/>
    <col min="14861" max="14861" width="11.42578125" style="14" customWidth="1"/>
    <col min="14862" max="14862" width="12.7109375" style="14" customWidth="1"/>
    <col min="14863" max="14863" width="11.42578125" style="14" customWidth="1"/>
    <col min="14864" max="14864" width="10.7109375" style="14" customWidth="1"/>
    <col min="14865" max="14865" width="10.5703125" style="14" customWidth="1"/>
    <col min="14866" max="14866" width="11.28515625" style="14" customWidth="1"/>
    <col min="14867" max="14867" width="9.7109375" style="14" customWidth="1"/>
    <col min="14868" max="14868" width="12" style="14" customWidth="1"/>
    <col min="14869" max="14869" width="11.28515625" style="14" customWidth="1"/>
    <col min="14870" max="15107" width="9.140625" style="14"/>
    <col min="15108" max="15108" width="5.7109375" style="14" customWidth="1"/>
    <col min="15109" max="15109" width="13.140625" style="14" customWidth="1"/>
    <col min="15110" max="15110" width="12.28515625" style="14" customWidth="1"/>
    <col min="15111" max="15111" width="8.85546875" style="14" customWidth="1"/>
    <col min="15112" max="15112" width="10.85546875" style="14" customWidth="1"/>
    <col min="15113" max="15113" width="2.85546875" style="14" customWidth="1"/>
    <col min="15114" max="15114" width="12.140625" style="14" customWidth="1"/>
    <col min="15115" max="15115" width="10.140625" style="14" customWidth="1"/>
    <col min="15116" max="15116" width="11.7109375" style="14" customWidth="1"/>
    <col min="15117" max="15117" width="11.42578125" style="14" customWidth="1"/>
    <col min="15118" max="15118" width="12.7109375" style="14" customWidth="1"/>
    <col min="15119" max="15119" width="11.42578125" style="14" customWidth="1"/>
    <col min="15120" max="15120" width="10.7109375" style="14" customWidth="1"/>
    <col min="15121" max="15121" width="10.5703125" style="14" customWidth="1"/>
    <col min="15122" max="15122" width="11.28515625" style="14" customWidth="1"/>
    <col min="15123" max="15123" width="9.7109375" style="14" customWidth="1"/>
    <col min="15124" max="15124" width="12" style="14" customWidth="1"/>
    <col min="15125" max="15125" width="11.28515625" style="14" customWidth="1"/>
    <col min="15126" max="15363" width="9.140625" style="14"/>
    <col min="15364" max="15364" width="5.7109375" style="14" customWidth="1"/>
    <col min="15365" max="15365" width="13.140625" style="14" customWidth="1"/>
    <col min="15366" max="15366" width="12.28515625" style="14" customWidth="1"/>
    <col min="15367" max="15367" width="8.85546875" style="14" customWidth="1"/>
    <col min="15368" max="15368" width="10.85546875" style="14" customWidth="1"/>
    <col min="15369" max="15369" width="2.85546875" style="14" customWidth="1"/>
    <col min="15370" max="15370" width="12.140625" style="14" customWidth="1"/>
    <col min="15371" max="15371" width="10.140625" style="14" customWidth="1"/>
    <col min="15372" max="15372" width="11.7109375" style="14" customWidth="1"/>
    <col min="15373" max="15373" width="11.42578125" style="14" customWidth="1"/>
    <col min="15374" max="15374" width="12.7109375" style="14" customWidth="1"/>
    <col min="15375" max="15375" width="11.42578125" style="14" customWidth="1"/>
    <col min="15376" max="15376" width="10.7109375" style="14" customWidth="1"/>
    <col min="15377" max="15377" width="10.5703125" style="14" customWidth="1"/>
    <col min="15378" max="15378" width="11.28515625" style="14" customWidth="1"/>
    <col min="15379" max="15379" width="9.7109375" style="14" customWidth="1"/>
    <col min="15380" max="15380" width="12" style="14" customWidth="1"/>
    <col min="15381" max="15381" width="11.28515625" style="14" customWidth="1"/>
    <col min="15382" max="15619" width="9.140625" style="14"/>
    <col min="15620" max="15620" width="5.7109375" style="14" customWidth="1"/>
    <col min="15621" max="15621" width="13.140625" style="14" customWidth="1"/>
    <col min="15622" max="15622" width="12.28515625" style="14" customWidth="1"/>
    <col min="15623" max="15623" width="8.85546875" style="14" customWidth="1"/>
    <col min="15624" max="15624" width="10.85546875" style="14" customWidth="1"/>
    <col min="15625" max="15625" width="2.85546875" style="14" customWidth="1"/>
    <col min="15626" max="15626" width="12.140625" style="14" customWidth="1"/>
    <col min="15627" max="15627" width="10.140625" style="14" customWidth="1"/>
    <col min="15628" max="15628" width="11.7109375" style="14" customWidth="1"/>
    <col min="15629" max="15629" width="11.42578125" style="14" customWidth="1"/>
    <col min="15630" max="15630" width="12.7109375" style="14" customWidth="1"/>
    <col min="15631" max="15631" width="11.42578125" style="14" customWidth="1"/>
    <col min="15632" max="15632" width="10.7109375" style="14" customWidth="1"/>
    <col min="15633" max="15633" width="10.5703125" style="14" customWidth="1"/>
    <col min="15634" max="15634" width="11.28515625" style="14" customWidth="1"/>
    <col min="15635" max="15635" width="9.7109375" style="14" customWidth="1"/>
    <col min="15636" max="15636" width="12" style="14" customWidth="1"/>
    <col min="15637" max="15637" width="11.28515625" style="14" customWidth="1"/>
    <col min="15638" max="15875" width="9.140625" style="14"/>
    <col min="15876" max="15876" width="5.7109375" style="14" customWidth="1"/>
    <col min="15877" max="15877" width="13.140625" style="14" customWidth="1"/>
    <col min="15878" max="15878" width="12.28515625" style="14" customWidth="1"/>
    <col min="15879" max="15879" width="8.85546875" style="14" customWidth="1"/>
    <col min="15880" max="15880" width="10.85546875" style="14" customWidth="1"/>
    <col min="15881" max="15881" width="2.85546875" style="14" customWidth="1"/>
    <col min="15882" max="15882" width="12.140625" style="14" customWidth="1"/>
    <col min="15883" max="15883" width="10.140625" style="14" customWidth="1"/>
    <col min="15884" max="15884" width="11.7109375" style="14" customWidth="1"/>
    <col min="15885" max="15885" width="11.42578125" style="14" customWidth="1"/>
    <col min="15886" max="15886" width="12.7109375" style="14" customWidth="1"/>
    <col min="15887" max="15887" width="11.42578125" style="14" customWidth="1"/>
    <col min="15888" max="15888" width="10.7109375" style="14" customWidth="1"/>
    <col min="15889" max="15889" width="10.5703125" style="14" customWidth="1"/>
    <col min="15890" max="15890" width="11.28515625" style="14" customWidth="1"/>
    <col min="15891" max="15891" width="9.7109375" style="14" customWidth="1"/>
    <col min="15892" max="15892" width="12" style="14" customWidth="1"/>
    <col min="15893" max="15893" width="11.28515625" style="14" customWidth="1"/>
    <col min="15894" max="16131" width="9.140625" style="14"/>
    <col min="16132" max="16132" width="5.7109375" style="14" customWidth="1"/>
    <col min="16133" max="16133" width="13.140625" style="14" customWidth="1"/>
    <col min="16134" max="16134" width="12.28515625" style="14" customWidth="1"/>
    <col min="16135" max="16135" width="8.85546875" style="14" customWidth="1"/>
    <col min="16136" max="16136" width="10.85546875" style="14" customWidth="1"/>
    <col min="16137" max="16137" width="2.85546875" style="14" customWidth="1"/>
    <col min="16138" max="16138" width="12.140625" style="14" customWidth="1"/>
    <col min="16139" max="16139" width="10.140625" style="14" customWidth="1"/>
    <col min="16140" max="16140" width="11.7109375" style="14" customWidth="1"/>
    <col min="16141" max="16141" width="11.42578125" style="14" customWidth="1"/>
    <col min="16142" max="16142" width="12.7109375" style="14" customWidth="1"/>
    <col min="16143" max="16143" width="11.42578125" style="14" customWidth="1"/>
    <col min="16144" max="16144" width="10.7109375" style="14" customWidth="1"/>
    <col min="16145" max="16145" width="10.5703125" style="14" customWidth="1"/>
    <col min="16146" max="16146" width="11.28515625" style="14" customWidth="1"/>
    <col min="16147" max="16147" width="9.7109375" style="14" customWidth="1"/>
    <col min="16148" max="16148" width="12" style="14" customWidth="1"/>
    <col min="16149" max="16149" width="11.28515625" style="14" customWidth="1"/>
    <col min="16150" max="16384" width="9.140625" style="14"/>
  </cols>
  <sheetData>
    <row r="1" spans="4:19" ht="12.75" thickBot="1" x14ac:dyDescent="0.25"/>
    <row r="2" spans="4:19" ht="12" customHeight="1" thickBot="1" x14ac:dyDescent="0.25">
      <c r="Q2" s="633" t="s">
        <v>0</v>
      </c>
      <c r="R2" s="634"/>
      <c r="S2" s="635"/>
    </row>
    <row r="3" spans="4:19" ht="13.5" thickBot="1" x14ac:dyDescent="0.25">
      <c r="I3" s="636" t="s">
        <v>1</v>
      </c>
      <c r="J3" s="637"/>
      <c r="K3" s="637"/>
      <c r="L3" s="637"/>
      <c r="M3" s="637"/>
      <c r="N3" s="637"/>
      <c r="O3" s="638"/>
      <c r="Q3" s="611">
        <f>'AGUILAR ESQUIVEL CARLOS'!Q3</f>
        <v>45</v>
      </c>
      <c r="R3" s="639"/>
      <c r="S3" s="612"/>
    </row>
    <row r="4" spans="4:19" ht="13.5" thickBot="1" x14ac:dyDescent="0.25">
      <c r="I4" s="640" t="s">
        <v>2</v>
      </c>
      <c r="J4" s="641"/>
      <c r="K4" s="641"/>
      <c r="L4" s="641"/>
      <c r="M4" s="641"/>
      <c r="N4" s="641"/>
      <c r="O4" s="642"/>
      <c r="Q4" s="18"/>
      <c r="R4" s="18"/>
      <c r="S4" s="18"/>
    </row>
    <row r="5" spans="4:19" ht="13.5" thickBot="1" x14ac:dyDescent="0.25">
      <c r="I5" s="643" t="s">
        <v>3</v>
      </c>
      <c r="J5" s="644"/>
      <c r="K5" s="644"/>
      <c r="L5" s="644"/>
      <c r="M5" s="644"/>
      <c r="N5" s="644"/>
      <c r="O5" s="645"/>
      <c r="Q5" s="611" t="s">
        <v>4</v>
      </c>
      <c r="R5" s="639"/>
      <c r="S5" s="612"/>
    </row>
    <row r="6" spans="4:19" ht="13.5" thickBot="1" x14ac:dyDescent="0.25">
      <c r="I6" s="650" t="s">
        <v>5</v>
      </c>
      <c r="J6" s="651"/>
      <c r="K6" s="651"/>
      <c r="L6" s="651"/>
      <c r="M6" s="651"/>
      <c r="N6" s="651"/>
      <c r="O6" s="652"/>
      <c r="Q6" s="653">
        <f>+'HERNANDEZ LICANO JOSE LUIS'!Q6+1</f>
        <v>114</v>
      </c>
      <c r="R6" s="654"/>
      <c r="S6" s="655"/>
    </row>
    <row r="7" spans="4:19" ht="9" customHeight="1" x14ac:dyDescent="0.2"/>
    <row r="8" spans="4:19" ht="6.75" customHeight="1" thickBot="1" x14ac:dyDescent="0.25"/>
    <row r="9" spans="4:19" ht="13.5" thickBot="1" x14ac:dyDescent="0.25">
      <c r="I9" s="611" t="s">
        <v>6</v>
      </c>
      <c r="J9" s="639"/>
      <c r="K9" s="639"/>
      <c r="L9" s="639"/>
      <c r="M9" s="639"/>
      <c r="N9" s="639"/>
      <c r="O9" s="612"/>
    </row>
    <row r="10" spans="4:19" ht="11.25" customHeight="1" thickBot="1" x14ac:dyDescent="0.25"/>
    <row r="11" spans="4:19" ht="12.75" x14ac:dyDescent="0.2">
      <c r="D11" s="1" t="s">
        <v>7</v>
      </c>
      <c r="E11" s="2" t="s">
        <v>353</v>
      </c>
      <c r="F11" s="2"/>
      <c r="G11" s="2"/>
      <c r="H11" s="2"/>
      <c r="I11" s="2"/>
      <c r="J11" s="2"/>
      <c r="K11" s="3" t="s">
        <v>8</v>
      </c>
      <c r="L11" s="656" t="str">
        <f>'AGUILAR ESQUIVEL CARLOS'!L11</f>
        <v>SEMANA #45 PERIODO DEL 27 de oct AL 02 de nov DEL 2025</v>
      </c>
      <c r="M11" s="656"/>
      <c r="N11" s="656"/>
      <c r="O11" s="656"/>
      <c r="P11" s="656"/>
      <c r="Q11" s="656"/>
      <c r="R11" s="656"/>
      <c r="S11" s="659"/>
    </row>
    <row r="12" spans="4:19" ht="12.75" x14ac:dyDescent="0.2">
      <c r="D12" s="4" t="s">
        <v>9</v>
      </c>
      <c r="E12" s="624" t="s">
        <v>360</v>
      </c>
      <c r="F12" s="624"/>
      <c r="G12" s="5"/>
      <c r="H12" s="130"/>
      <c r="I12" s="130"/>
      <c r="J12" s="130"/>
      <c r="K12" s="130"/>
      <c r="L12" s="130"/>
      <c r="M12" s="130"/>
      <c r="N12" s="130"/>
      <c r="O12" s="130"/>
      <c r="P12" s="130"/>
      <c r="Q12" s="130"/>
      <c r="R12" s="130"/>
      <c r="S12" s="256"/>
    </row>
    <row r="13" spans="4:19" ht="9.75" customHeight="1" x14ac:dyDescent="0.2">
      <c r="D13" s="623"/>
      <c r="E13" s="624"/>
      <c r="F13" s="130"/>
      <c r="G13" s="130"/>
      <c r="H13" s="130"/>
      <c r="I13" s="130"/>
      <c r="J13" s="130"/>
      <c r="K13" s="130"/>
      <c r="L13" s="130"/>
      <c r="M13" s="130"/>
      <c r="N13" s="130"/>
      <c r="O13" s="130"/>
      <c r="P13" s="130"/>
      <c r="Q13" s="130"/>
      <c r="R13" s="130"/>
      <c r="S13" s="256"/>
    </row>
    <row r="14" spans="4:19" ht="12.75" x14ac:dyDescent="0.2">
      <c r="D14" s="625" t="s">
        <v>10</v>
      </c>
      <c r="E14" s="626"/>
      <c r="F14" s="130">
        <v>329130</v>
      </c>
      <c r="G14" s="130"/>
      <c r="H14" s="130"/>
      <c r="I14" s="6" t="s">
        <v>11</v>
      </c>
      <c r="J14" s="6"/>
      <c r="K14" s="130"/>
      <c r="L14" s="130"/>
      <c r="M14" s="130"/>
      <c r="N14" s="130"/>
      <c r="O14" s="6" t="s">
        <v>12</v>
      </c>
      <c r="P14" s="7"/>
      <c r="Q14" s="7"/>
      <c r="R14" s="7"/>
      <c r="S14" s="8"/>
    </row>
    <row r="15" spans="4:19" ht="12.75" x14ac:dyDescent="0.2">
      <c r="D15" s="625" t="s">
        <v>13</v>
      </c>
      <c r="E15" s="626"/>
      <c r="F15" s="130">
        <v>329904</v>
      </c>
      <c r="G15" s="130"/>
      <c r="H15" s="130"/>
      <c r="I15" s="6" t="s">
        <v>14</v>
      </c>
      <c r="J15" s="6"/>
      <c r="K15" s="130"/>
      <c r="L15" s="130"/>
      <c r="M15" s="130"/>
      <c r="N15" s="130"/>
      <c r="O15" s="6" t="s">
        <v>15</v>
      </c>
      <c r="P15" s="130"/>
      <c r="Q15" s="130"/>
      <c r="R15" s="130"/>
      <c r="S15" s="256"/>
    </row>
    <row r="16" spans="4:19" ht="13.5" thickBot="1" x14ac:dyDescent="0.25">
      <c r="D16" s="627" t="s">
        <v>16</v>
      </c>
      <c r="E16" s="628"/>
      <c r="F16" s="257">
        <f>SUM(J19:J32)</f>
        <v>2250</v>
      </c>
      <c r="G16" s="257"/>
      <c r="H16" s="257"/>
      <c r="I16" s="9" t="s">
        <v>17</v>
      </c>
      <c r="J16" s="257">
        <f>SUM(K19:K32)</f>
        <v>600.06999999999994</v>
      </c>
      <c r="K16" s="257"/>
      <c r="L16" s="257"/>
      <c r="M16" s="257"/>
      <c r="N16" s="257"/>
      <c r="O16" s="9" t="s">
        <v>18</v>
      </c>
      <c r="P16" s="10">
        <f>+F16/J16</f>
        <v>3.7495625510357127</v>
      </c>
      <c r="Q16" s="257"/>
      <c r="R16" s="257"/>
      <c r="S16" s="258"/>
    </row>
    <row r="17" spans="3:24" ht="7.5" customHeight="1" thickBot="1" x14ac:dyDescent="0.25"/>
    <row r="18" spans="3:24" ht="33" customHeight="1" thickBot="1" x14ac:dyDescent="0.25">
      <c r="C18" s="243" t="s">
        <v>19</v>
      </c>
      <c r="D18" s="33" t="s">
        <v>20</v>
      </c>
      <c r="E18" s="34" t="s">
        <v>21</v>
      </c>
      <c r="F18" s="34" t="s">
        <v>22</v>
      </c>
      <c r="G18" s="34" t="s">
        <v>23</v>
      </c>
      <c r="H18" s="34" t="s">
        <v>24</v>
      </c>
      <c r="I18" s="34" t="s">
        <v>25</v>
      </c>
      <c r="J18" s="34" t="s">
        <v>26</v>
      </c>
      <c r="K18" s="34" t="s">
        <v>27</v>
      </c>
      <c r="L18" s="34" t="s">
        <v>28</v>
      </c>
      <c r="M18" s="34" t="s">
        <v>285</v>
      </c>
      <c r="N18" s="34" t="s">
        <v>29</v>
      </c>
      <c r="O18" s="34" t="s">
        <v>30</v>
      </c>
      <c r="P18" s="33" t="s">
        <v>31</v>
      </c>
      <c r="Q18" s="34" t="s">
        <v>219</v>
      </c>
      <c r="R18" s="34" t="s">
        <v>184</v>
      </c>
      <c r="S18" s="34" t="s">
        <v>33</v>
      </c>
      <c r="T18" s="454" t="s">
        <v>220</v>
      </c>
      <c r="U18" s="459" t="s">
        <v>351</v>
      </c>
      <c r="V18" s="460" t="s">
        <v>354</v>
      </c>
    </row>
    <row r="19" spans="3:24" x14ac:dyDescent="0.2">
      <c r="C19" s="176">
        <v>46112</v>
      </c>
      <c r="D19" s="43" t="s">
        <v>372</v>
      </c>
      <c r="E19" s="42">
        <v>45958</v>
      </c>
      <c r="F19" s="42">
        <v>45958</v>
      </c>
      <c r="G19" s="43">
        <v>2</v>
      </c>
      <c r="H19" s="236" t="str">
        <f>IF(G19=1,KILOMETRAJE!C$4,IF(G19=2,KILOMETRAJE!C$5,IF(G19=3,KILOMETRAJE!C$6,IF(G19=4,KILOMETRAJE!C$7,IF(G19=5,KILOMETRAJE!C$8,IF(G19=6,KILOMETRAJE!C$9,IF(G19=7,KILOMETRAJE!C$10,IF(G19=8,KILOMETRAJE!C$11,IF(G19=9,KILOMETRAJE!C$12,IF(G19=10,KILOMETRAJE!C$13,IF(G19=11,KILOMETRAJE!C$14,IF(G19=12,KILOMETRAJE!C$15,IF(G19=13,KILOMETRAJE!C$16,IF(G19=14,KILOMETRAJE!C$17,IF(G19=15,KILOMETRAJE!C$18,IF(G19=16,KILOMETRAJE!C$19,IF(G19=17,KILOMETRAJE!C$20,IF(G19=18,KILOMETRAJE!C$21,IF(G19=19,KILOMETRAJE!C$22,IF(G19=20,KILOMETRAJE!C$23,IF(G19=21,KILOMETRAJE!C$24,IF(G19=22,KILOMETRAJE!C$25,IF(G19=23,KILOMETRAJE!C$26,IF(G19=24,KILOMETRAJE!C$27,IF(G19=25,KILOMETRAJE!C$28,IF(G19=26,KILOMETRAJE!C$29,IF(G19=27,KILOMETRAJE!C$30,IF(G19=28,KILOMETRAJE!C$31,IF(G19=29,KILOMETRAJE!C$32,IF(G19=30,KILOMETRAJE!C$33,IF(G19=31,KILOMETRAJE!C$34,IF(G19=32,KILOMETRAJE!C$35,IF(G19=33,KILOMETRAJE!C$36,IF(G19=34,KILOMETRAJE!C$37,IF(G19=35,KILOMETRAJE!C$38,IF(G19=36,KILOMETRAJE!C$39,IF(G19=37,KILOMETRAJE!C$40,IF(G19=38,KILOMETRAJE!C$41,IF(G19=39,KILOMETRAJE!C$42,IF(G19=40,KILOMETRAJE!C$43,IF(G19=41,KILOMETRAJE!C$44,IF(G19=42,KILOMETRAJE!C$45,IF(G19=43,KILOMETRAJE!C$46,IF(G19=44,KILOMETRAJE!C$47,IF(G19=45,KILOMETRAJE!C$48,IF(G19=46,KILOMETRAJE!C$49,IF(G19=47,KILOMETRAJE!C$50,IF(G19=48,KILOMETRAJE!C$51,IF(G19=49,KILOMETRAJE!C$52,IF(G19=50,KILOMETRAJE!C$53,IF(G19=51,KILOMETRAJE!C$54,IF(G19=52,KILOMETRAJE!C$55,IF(G19=53,KILOMETRAJE!C$56,IF(G19=54,KILOMETRAJE!C$57,IF(G19=55,KILOMETRAJE!C$58,IF(G19=56,KILOMETRAJE!C$59,IF(G19=57,KILOMETRAJE!C$60,IF(G19=58,KILOMETRAJE!C$61,IF(G19=59,KILOMETRAJE!C$62,IF(G19=60,KILOMETRAJE!C$63,IF(G19=61,KILOMETRAJE!C$64,IF(G19=62,KILOMETRAJE!C$65,IF(G19=63,KILOMETRAJE!C$66)))))))))))))))))))))))))))))))))))))))))))))))))))))))))))))))</f>
        <v>JRZ</v>
      </c>
      <c r="I19" s="236" t="str">
        <f>IF(G19=1,KILOMETRAJE!E$4,IF(G19=2,KILOMETRAJE!E$5,IF(G19=3,KILOMETRAJE!E$6,IF(G19=4,KILOMETRAJE!E$7,IF(G19=5,KILOMETRAJE!E$8,IF(G19=6,KILOMETRAJE!E$9,IF(G19=7,KILOMETRAJE!E$10,IF(G19=8,KILOMETRAJE!E$11,IF(G19=9,KILOMETRAJE!E$12,IF(G19=10,KILOMETRAJE!E$13,IF(G19=11,KILOMETRAJE!E$14,IF(G19=12,KILOMETRAJE!E$15,IF(G19=13,KILOMETRAJE!E$16,IF(G19=14,KILOMETRAJE!E$17,IF(G19=15,KILOMETRAJE!E$18,IF(G19=16,KILOMETRAJE!E$19,IF(G19=17,KILOMETRAJE!E$20,IF(G19=18,KILOMETRAJE!E$21,IF(G19=19,KILOMETRAJE!E$22,IF(G19=20,KILOMETRAJE!E$23,IF(G19=21,KILOMETRAJE!E$24,IF(G19=22,KILOMETRAJE!E$25,IF(G19=23,KILOMETRAJE!E$26,IF(G19=24,KILOMETRAJE!E$27,IF(G19=25,KILOMETRAJE!E$28,IF(G19=26,KILOMETRAJE!E$29,IF(G19=27,KILOMETRAJE!E$30,IF(G19=28,KILOMETRAJE!E$31,IF(G19=29,KILOMETRAJE!E$32,IF(G19=30,KILOMETRAJE!E$33,IF(G19=31,KILOMETRAJE!E$34,IF(G19=32,KILOMETRAJE!E$35,IF(G19=33,KILOMETRAJE!E$36,IF(G19=34,KILOMETRAJE!E$37,IF(G19=35,KILOMETRAJE!E$38,IF(G19=36,KILOMETRAJE!E$39,IF(G19=37,KILOMETRAJE!E$40,IF(G19=38,KILOMETRAJE!E$41,IF(G19=39,KILOMETRAJE!E$42,IF(G19=40,KILOMETRAJE!E$43,IF(G19=41,KILOMETRAJE!E$44,IF(G19=42,KILOMETRAJE!E$45,IF(G19=43,KILOMETRAJE!E$46,IF(G19=44,KILOMETRAJE!E$47,IF(G19=45,KILOMETRAJE!E$48,IF(G19=46,KILOMETRAJE!E$49,IF(G19=47,KILOMETRAJE!E$50,IF(G19=48,KILOMETRAJE!E$51,IF(G19=49,KILOMETRAJE!E$52,IF(G19=50,KILOMETRAJE!E$53,IF(G19=51,KILOMETRAJE!E$54,IF(G19=52,KILOMETRAJE!E$55,IF(G19=53,KILOMETRAJE!E$56,IF(G19=54,KILOMETRAJE!E$57,IF(G19=55,KILOMETRAJE!E$58,IF(G19=56,KILOMETRAJE!E$59,IF(G19=57,KILOMETRAJE!E$60,IF(G19=58,KILOMETRAJE!E$61,IF(G19=59,KILOMETRAJE!E$62,IF(G19=60,KILOMETRAJE!E$63,IF(G19=61,KILOMETRAJE!E$64,IF(G19=62,KILOMETRAJE!E$65,IF(G19=63,KILOMETRAJE!E$66)))))))))))))))))))))))))))))))))))))))))))))))))))))))))))))))</f>
        <v>CHIH.</v>
      </c>
      <c r="J19" s="237">
        <f>IF(G19=1,KILOMETRAJE!G$4,IF(G19=2,KILOMETRAJE!G$5,IF(G19=3,KILOMETRAJE!G$6,IF(G19=4,KILOMETRAJE!G$7,IF(G19=5,KILOMETRAJE!G$8,IF(G19=6,KILOMETRAJE!G$9,IF(G19=7,KILOMETRAJE!G$10,IF(G19=8,KILOMETRAJE!G$11,IF(G19=9,KILOMETRAJE!G$12,IF(G19=10,KILOMETRAJE!G$13,IF(G19=11,KILOMETRAJE!G$14,IF(G19=12,KILOMETRAJE!G$15,IF(G19=13,KILOMETRAJE!G$16,IF(G19=14,KILOMETRAJE!G$17,IF(G19=15,KILOMETRAJE!G$18,IF(G19=16,KILOMETRAJE!G$19,IF(G19=17,KILOMETRAJE!G$20,IF(G19=18,KILOMETRAJE!G$21,IF(G19=19,KILOMETRAJE!G$22,IF(G19=20,KILOMETRAJE!G$23,IF(G19=21,KILOMETRAJE!G$24,IF(G19=22,KILOMETRAJE!G$25,IF(G19=23,KILOMETRAJE!G$26,IF(G19=24,KILOMETRAJE!G$27,IF(G19=25,KILOMETRAJE!G$28,IF(G19=26,KILOMETRAJE!G$29,IF(G19=27,KILOMETRAJE!G$30,IF(G19=28,KILOMETRAJE!G$31,IF(G19=29,KILOMETRAJE!G$32,IF(G19=30,KILOMETRAJE!G$33,IF(G19=31,KILOMETRAJE!G$34,IF(G19=32,KILOMETRAJE!G$35,IF(G19=33,KILOMETRAJE!G$36,IF(G19=34,KILOMETRAJE!G$37,IF(G19=35,KILOMETRAJE!G$38,IF(G19=36,KILOMETRAJE!G$39,IF(G19=37,KILOMETRAJE!G$40,IF(G19=38,KILOMETRAJE!G$41,IF(G19=39,KILOMETRAJE!G$42,IF(G19=40,KILOMETRAJE!G$43,IF(G19=41,KILOMETRAJE!G$44,IF(G19=42,KILOMETRAJE!G$45,IF(G19=43,KILOMETRAJE!G$46,IF(G19=44,KILOMETRAJE!G$47,IF(G19=45,KILOMETRAJE!G$48,IF(G19=46,KILOMETRAJE!G$49,IF(G19=47,KILOMETRAJE!G$50,IF(G19=48,KILOMETRAJE!G$51,IF(G19=49,KILOMETRAJE!G$52,IF(G19=50,KILOMETRAJE!G$53,IF(G19=51,KILOMETRAJE!G$54,IF(G19=52,KILOMETRAJE!G$55,IF(G19=53,KILOMETRAJE!G$56,IF(G19=54,KILOMETRAJE!G$57,IF(G19=55,KILOMETRAJE!G$58,IF(G19=56,KILOMETRAJE!G$59,IF(G19=57,KILOMETRAJE!G$60,IF(G19=58,KILOMETRAJE!G$61,IF(G19=59,KILOMETRAJE!G$62,IF(G19=60,KILOMETRAJE!G$63,IF(G19=61,KILOMETRAJE!G$64,IF(G19=62,KILOMETRAJE!G$65,IF(G19=63,KILOMETRAJE!G$66)))))))))))))))))))))))))))))))))))))))))))))))))))))))))))))))</f>
        <v>375</v>
      </c>
      <c r="K19" s="24"/>
      <c r="L19" s="44"/>
      <c r="M19" s="348">
        <v>955</v>
      </c>
      <c r="N19" s="24">
        <v>1</v>
      </c>
      <c r="O19" s="24" t="s">
        <v>374</v>
      </c>
      <c r="P19" s="24" t="s">
        <v>198</v>
      </c>
      <c r="Q19" s="45">
        <f t="shared" ref="Q19:Q20" si="0">((((IF(N19=1,((J19)*0.29333)))+(IF(N19=2,((J19)*0.146666)))+(IF(N19=3,((J19)*0.146666)))))+(IF(N19=4,((J19-40)*0.29333)))+(IF(N19=5,((J19-50)*0.29333)))+(IF(N19=6,((J19-90)*0.29333))))</f>
        <v>109.99874999999999</v>
      </c>
      <c r="R19" s="191"/>
      <c r="S19" s="52"/>
      <c r="T19" s="455"/>
      <c r="U19" s="43">
        <v>7</v>
      </c>
      <c r="V19" s="17">
        <v>10</v>
      </c>
    </row>
    <row r="20" spans="3:24" ht="12.75" thickBot="1" x14ac:dyDescent="0.25">
      <c r="C20" s="101"/>
      <c r="D20" s="62" t="s">
        <v>373</v>
      </c>
      <c r="E20" s="25">
        <v>45959</v>
      </c>
      <c r="F20" s="25">
        <v>45959</v>
      </c>
      <c r="G20" s="62">
        <v>3</v>
      </c>
      <c r="H20" s="27" t="str">
        <f>IF(G20=1,KILOMETRAJE!C$4,IF(G20=2,KILOMETRAJE!C$5,IF(G20=3,KILOMETRAJE!C$6,IF(G20=4,KILOMETRAJE!C$7,IF(G20=5,KILOMETRAJE!C$8,IF(G20=6,KILOMETRAJE!C$9,IF(G20=7,KILOMETRAJE!C$10,IF(G20=8,KILOMETRAJE!C$11,IF(G20=9,KILOMETRAJE!C$12,IF(G20=10,KILOMETRAJE!C$13,IF(G20=11,KILOMETRAJE!C$14,IF(G20=12,KILOMETRAJE!C$15,IF(G20=13,KILOMETRAJE!C$16,IF(G20=14,KILOMETRAJE!C$17,IF(G20=15,KILOMETRAJE!C$18,IF(G20=16,KILOMETRAJE!C$19,IF(G20=17,KILOMETRAJE!C$20,IF(G20=18,KILOMETRAJE!C$21,IF(G20=19,KILOMETRAJE!C$22,IF(G20=20,KILOMETRAJE!C$23,IF(G20=21,KILOMETRAJE!C$24,IF(G20=22,KILOMETRAJE!C$25,IF(G20=23,KILOMETRAJE!C$26,IF(G20=24,KILOMETRAJE!C$27,IF(G20=25,KILOMETRAJE!C$28,IF(G20=26,KILOMETRAJE!C$29,IF(G20=27,KILOMETRAJE!C$30,IF(G20=28,KILOMETRAJE!C$31,IF(G20=29,KILOMETRAJE!C$32,IF(G20=30,KILOMETRAJE!C$33,IF(G20=31,KILOMETRAJE!C$34,IF(G20=32,KILOMETRAJE!C$35,IF(G20=33,KILOMETRAJE!C$36,IF(G20=34,KILOMETRAJE!C$37,IF(G20=35,KILOMETRAJE!C$38,IF(G20=36,KILOMETRAJE!C$39,IF(G20=37,KILOMETRAJE!C$40,IF(G20=38,KILOMETRAJE!C$41,IF(G20=39,KILOMETRAJE!C$42,IF(G20=40,KILOMETRAJE!C$43,IF(G20=41,KILOMETRAJE!C$44,IF(G20=42,KILOMETRAJE!C$45,IF(G20=43,KILOMETRAJE!C$46,IF(G20=44,KILOMETRAJE!C$47,IF(G20=45,KILOMETRAJE!C$48,IF(G20=46,KILOMETRAJE!C$49,IF(G20=47,KILOMETRAJE!C$50,IF(G20=48,KILOMETRAJE!C$51,IF(G20=49,KILOMETRAJE!C$52,IF(G20=50,KILOMETRAJE!C$53,IF(G20=51,KILOMETRAJE!C$54,IF(G20=52,KILOMETRAJE!C$55,IF(G20=53,KILOMETRAJE!C$56,IF(G20=54,KILOMETRAJE!C$57,IF(G20=55,KILOMETRAJE!C$58,IF(G20=56,KILOMETRAJE!C$59,IF(G20=57,KILOMETRAJE!C$60,IF(G20=58,KILOMETRAJE!C$61,IF(G20=59,KILOMETRAJE!C$62,IF(G20=60,KILOMETRAJE!C$63,IF(G20=61,KILOMETRAJE!C$64,IF(G20=62,KILOMETRAJE!C$65,IF(G20=63,KILOMETRAJE!C$66)))))))))))))))))))))))))))))))))))))))))))))))))))))))))))))))</f>
        <v xml:space="preserve">CHIH. </v>
      </c>
      <c r="I20" s="27" t="str">
        <f>IF(G20=1,KILOMETRAJE!E$4,IF(G20=2,KILOMETRAJE!E$5,IF(G20=3,KILOMETRAJE!E$6,IF(G20=4,KILOMETRAJE!E$7,IF(G20=5,KILOMETRAJE!E$8,IF(G20=6,KILOMETRAJE!E$9,IF(G20=7,KILOMETRAJE!E$10,IF(G20=8,KILOMETRAJE!E$11,IF(G20=9,KILOMETRAJE!E$12,IF(G20=10,KILOMETRAJE!E$13,IF(G20=11,KILOMETRAJE!E$14,IF(G20=12,KILOMETRAJE!E$15,IF(G20=13,KILOMETRAJE!E$16,IF(G20=14,KILOMETRAJE!E$17,IF(G20=15,KILOMETRAJE!E$18,IF(G20=16,KILOMETRAJE!E$19,IF(G20=17,KILOMETRAJE!E$20,IF(G20=18,KILOMETRAJE!E$21,IF(G20=19,KILOMETRAJE!E$22,IF(G20=20,KILOMETRAJE!E$23,IF(G20=21,KILOMETRAJE!E$24,IF(G20=22,KILOMETRAJE!E$25,IF(G20=23,KILOMETRAJE!E$26,IF(G20=24,KILOMETRAJE!E$27,IF(G20=25,KILOMETRAJE!E$28,IF(G20=26,KILOMETRAJE!E$29,IF(G20=27,KILOMETRAJE!E$30,IF(G20=28,KILOMETRAJE!E$31,IF(G20=29,KILOMETRAJE!E$32,IF(G20=30,KILOMETRAJE!E$33,IF(G20=31,KILOMETRAJE!E$34,IF(G20=32,KILOMETRAJE!E$35,IF(G20=33,KILOMETRAJE!E$36,IF(G20=34,KILOMETRAJE!E$37,IF(G20=35,KILOMETRAJE!E$38,IF(G20=36,KILOMETRAJE!E$39,IF(G20=37,KILOMETRAJE!E$40,IF(G20=38,KILOMETRAJE!E$41,IF(G20=39,KILOMETRAJE!E$42,IF(G20=40,KILOMETRAJE!E$43,IF(G20=41,KILOMETRAJE!E$44,IF(G20=42,KILOMETRAJE!E$45,IF(G20=43,KILOMETRAJE!E$46,IF(G20=44,KILOMETRAJE!E$47,IF(G20=45,KILOMETRAJE!E$48,IF(G20=46,KILOMETRAJE!E$49,IF(G20=47,KILOMETRAJE!E$50,IF(G20=48,KILOMETRAJE!E$51,IF(G20=49,KILOMETRAJE!E$52,IF(G20=50,KILOMETRAJE!E$53,IF(G20=51,KILOMETRAJE!E$54,IF(G20=52,KILOMETRAJE!E$55,IF(G20=53,KILOMETRAJE!E$56,IF(G20=54,KILOMETRAJE!E$57,IF(G20=55,KILOMETRAJE!E$58,IF(G20=56,KILOMETRAJE!E$59,IF(G20=57,KILOMETRAJE!E$60,IF(G20=58,KILOMETRAJE!E$61,IF(G20=59,KILOMETRAJE!E$62,IF(G20=60,KILOMETRAJE!E$63,IF(G20=61,KILOMETRAJE!E$64,IF(G20=62,KILOMETRAJE!E$65,IF(G20=63,KILOMETRAJE!E$66)))))))))))))))))))))))))))))))))))))))))))))))))))))))))))))))</f>
        <v>JRZ</v>
      </c>
      <c r="J20" s="31">
        <f>IF(G20=1,KILOMETRAJE!G$4,IF(G20=2,KILOMETRAJE!G$5,IF(G20=3,KILOMETRAJE!G$6,IF(G20=4,KILOMETRAJE!G$7,IF(G20=5,KILOMETRAJE!G$8,IF(G20=6,KILOMETRAJE!G$9,IF(G20=7,KILOMETRAJE!G$10,IF(G20=8,KILOMETRAJE!G$11,IF(G20=9,KILOMETRAJE!G$12,IF(G20=10,KILOMETRAJE!G$13,IF(G20=11,KILOMETRAJE!G$14,IF(G20=12,KILOMETRAJE!G$15,IF(G20=13,KILOMETRAJE!G$16,IF(G20=14,KILOMETRAJE!G$17,IF(G20=15,KILOMETRAJE!G$18,IF(G20=16,KILOMETRAJE!G$19,IF(G20=17,KILOMETRAJE!G$20,IF(G20=18,KILOMETRAJE!G$21,IF(G20=19,KILOMETRAJE!G$22,IF(G20=20,KILOMETRAJE!G$23,IF(G20=21,KILOMETRAJE!G$24,IF(G20=22,KILOMETRAJE!G$25,IF(G20=23,KILOMETRAJE!G$26,IF(G20=24,KILOMETRAJE!G$27,IF(G20=25,KILOMETRAJE!G$28,IF(G20=26,KILOMETRAJE!G$29,IF(G20=27,KILOMETRAJE!G$30,IF(G20=28,KILOMETRAJE!G$31,IF(G20=29,KILOMETRAJE!G$32,IF(G20=30,KILOMETRAJE!G$33,IF(G20=31,KILOMETRAJE!G$34,IF(G20=32,KILOMETRAJE!G$35,IF(G20=33,KILOMETRAJE!G$36,IF(G20=34,KILOMETRAJE!G$37,IF(G20=35,KILOMETRAJE!G$38,IF(G20=36,KILOMETRAJE!G$39,IF(G20=37,KILOMETRAJE!G$40,IF(G20=38,KILOMETRAJE!G$41,IF(G20=39,KILOMETRAJE!G$42,IF(G20=40,KILOMETRAJE!G$43,IF(G20=41,KILOMETRAJE!G$44,IF(G20=42,KILOMETRAJE!G$45,IF(G20=43,KILOMETRAJE!G$46,IF(G20=44,KILOMETRAJE!G$47,IF(G20=45,KILOMETRAJE!G$48,IF(G20=46,KILOMETRAJE!G$49,IF(G20=47,KILOMETRAJE!G$50,IF(G20=48,KILOMETRAJE!G$51,IF(G20=49,KILOMETRAJE!G$52,IF(G20=50,KILOMETRAJE!G$53,IF(G20=51,KILOMETRAJE!G$54,IF(G20=52,KILOMETRAJE!G$55,IF(G20=53,KILOMETRAJE!G$56,IF(G20=54,KILOMETRAJE!G$57,IF(G20=55,KILOMETRAJE!G$58,IF(G20=56,KILOMETRAJE!G$59,IF(G20=57,KILOMETRAJE!G$60,IF(G20=58,KILOMETRAJE!G$61,IF(G20=59,KILOMETRAJE!G$62,IF(G20=60,KILOMETRAJE!G$63,IF(G20=61,KILOMETRAJE!G$64,IF(G20=62,KILOMETRAJE!G$65,IF(G20=63,KILOMETRAJE!G$66)))))))))))))))))))))))))))))))))))))))))))))))))))))))))))))))</f>
        <v>375</v>
      </c>
      <c r="K20" s="27">
        <v>200</v>
      </c>
      <c r="L20" s="28">
        <f>SUM(J19:J20)/K20</f>
        <v>3.75</v>
      </c>
      <c r="M20" s="349">
        <v>45</v>
      </c>
      <c r="N20" s="27">
        <v>1</v>
      </c>
      <c r="O20" s="27" t="s">
        <v>375</v>
      </c>
      <c r="P20" s="27" t="s">
        <v>194</v>
      </c>
      <c r="Q20" s="29">
        <f t="shared" si="0"/>
        <v>109.99874999999999</v>
      </c>
      <c r="R20" s="190">
        <f>+LOOKUP(P40,UNIDADES!B$3:B$59,UNIDADES!C$3:C$59)</f>
        <v>2.3734099999999998</v>
      </c>
      <c r="S20" s="19">
        <f>+((SUM(J19:J20))/R20)-K20</f>
        <v>116.00102805667797</v>
      </c>
      <c r="T20" s="456">
        <f>+S20*14.85</f>
        <v>1722.6152666416679</v>
      </c>
      <c r="U20" s="62" t="s">
        <v>376</v>
      </c>
      <c r="V20" s="417" t="s">
        <v>376</v>
      </c>
    </row>
    <row r="21" spans="3:24" x14ac:dyDescent="0.2">
      <c r="C21" s="433">
        <v>46171</v>
      </c>
      <c r="D21" s="430" t="s">
        <v>377</v>
      </c>
      <c r="E21" s="430">
        <v>45961</v>
      </c>
      <c r="F21" s="430">
        <v>45962</v>
      </c>
      <c r="G21" s="77">
        <v>2</v>
      </c>
      <c r="H21" s="236" t="str">
        <f>IF(G21=1,KILOMETRAJE!C$4,IF(G21=2,KILOMETRAJE!C$5,IF(G21=3,KILOMETRAJE!C$6,IF(G21=4,KILOMETRAJE!C$7,IF(G21=5,KILOMETRAJE!C$8,IF(G21=6,KILOMETRAJE!C$9,IF(G21=7,KILOMETRAJE!C$10,IF(G21=8,KILOMETRAJE!C$11,IF(G21=9,KILOMETRAJE!C$12,IF(G21=10,KILOMETRAJE!C$13,IF(G21=11,KILOMETRAJE!C$14,IF(G21=12,KILOMETRAJE!C$15,IF(G21=13,KILOMETRAJE!C$16,IF(G21=14,KILOMETRAJE!C$17,IF(G21=15,KILOMETRAJE!C$18,IF(G21=16,KILOMETRAJE!C$19,IF(G21=17,KILOMETRAJE!C$20,IF(G21=18,KILOMETRAJE!C$21,IF(G21=19,KILOMETRAJE!C$22,IF(G21=20,KILOMETRAJE!C$23,IF(G21=21,KILOMETRAJE!C$24,IF(G21=22,KILOMETRAJE!C$25,IF(G21=23,KILOMETRAJE!C$26,IF(G21=24,KILOMETRAJE!C$27,IF(G21=25,KILOMETRAJE!C$28,IF(G21=26,KILOMETRAJE!C$29,IF(G21=27,KILOMETRAJE!C$30,IF(G21=28,KILOMETRAJE!C$31,IF(G21=29,KILOMETRAJE!C$32,IF(G21=30,KILOMETRAJE!C$33,IF(G21=31,KILOMETRAJE!C$34,IF(G21=32,KILOMETRAJE!C$35,IF(G21=33,KILOMETRAJE!C$36,IF(G21=34,KILOMETRAJE!C$37,IF(G21=35,KILOMETRAJE!C$38,IF(G21=36,KILOMETRAJE!C$39,IF(G21=37,KILOMETRAJE!C$40,IF(G21=38,KILOMETRAJE!C$41,IF(G21=39,KILOMETRAJE!C$42,IF(G21=40,KILOMETRAJE!C$43,IF(G21=41,KILOMETRAJE!C$44,IF(G21=42,KILOMETRAJE!C$45,IF(G21=43,KILOMETRAJE!C$46,IF(G21=44,KILOMETRAJE!C$47,IF(G21=45,KILOMETRAJE!C$48,IF(G21=46,KILOMETRAJE!C$49,IF(G21=47,KILOMETRAJE!C$50,IF(G21=48,KILOMETRAJE!C$51,IF(G21=49,KILOMETRAJE!C$52,IF(G21=50,KILOMETRAJE!C$53,IF(G21=51,KILOMETRAJE!C$54,IF(G21=52,KILOMETRAJE!C$55,IF(G21=53,KILOMETRAJE!C$56,IF(G21=54,KILOMETRAJE!C$57,IF(G21=55,KILOMETRAJE!C$58,IF(G21=56,KILOMETRAJE!C$59,IF(G21=57,KILOMETRAJE!C$60,IF(G21=58,KILOMETRAJE!C$61,IF(G21=59,KILOMETRAJE!C$62,IF(G21=60,KILOMETRAJE!C$63,IF(G21=61,KILOMETRAJE!C$64,IF(G21=62,KILOMETRAJE!C$65,IF(G21=63,KILOMETRAJE!C$66)))))))))))))))))))))))))))))))))))))))))))))))))))))))))))))))</f>
        <v>JRZ</v>
      </c>
      <c r="I21" s="236" t="str">
        <f>IF(G21=1,KILOMETRAJE!E$4,IF(G21=2,KILOMETRAJE!E$5,IF(G21=3,KILOMETRAJE!E$6,IF(G21=4,KILOMETRAJE!E$7,IF(G21=5,KILOMETRAJE!E$8,IF(G21=6,KILOMETRAJE!E$9,IF(G21=7,KILOMETRAJE!E$10,IF(G21=8,KILOMETRAJE!E$11,IF(G21=9,KILOMETRAJE!E$12,IF(G21=10,KILOMETRAJE!E$13,IF(G21=11,KILOMETRAJE!E$14,IF(G21=12,KILOMETRAJE!E$15,IF(G21=13,KILOMETRAJE!E$16,IF(G21=14,KILOMETRAJE!E$17,IF(G21=15,KILOMETRAJE!E$18,IF(G21=16,KILOMETRAJE!E$19,IF(G21=17,KILOMETRAJE!E$20,IF(G21=18,KILOMETRAJE!E$21,IF(G21=19,KILOMETRAJE!E$22,IF(G21=20,KILOMETRAJE!E$23,IF(G21=21,KILOMETRAJE!E$24,IF(G21=22,KILOMETRAJE!E$25,IF(G21=23,KILOMETRAJE!E$26,IF(G21=24,KILOMETRAJE!E$27,IF(G21=25,KILOMETRAJE!E$28,IF(G21=26,KILOMETRAJE!E$29,IF(G21=27,KILOMETRAJE!E$30,IF(G21=28,KILOMETRAJE!E$31,IF(G21=29,KILOMETRAJE!E$32,IF(G21=30,KILOMETRAJE!E$33,IF(G21=31,KILOMETRAJE!E$34,IF(G21=32,KILOMETRAJE!E$35,IF(G21=33,KILOMETRAJE!E$36,IF(G21=34,KILOMETRAJE!E$37,IF(G21=35,KILOMETRAJE!E$38,IF(G21=36,KILOMETRAJE!E$39,IF(G21=37,KILOMETRAJE!E$40,IF(G21=38,KILOMETRAJE!E$41,IF(G21=39,KILOMETRAJE!E$42,IF(G21=40,KILOMETRAJE!E$43,IF(G21=41,KILOMETRAJE!E$44,IF(G21=42,KILOMETRAJE!E$45,IF(G21=43,KILOMETRAJE!E$46,IF(G21=44,KILOMETRAJE!E$47,IF(G21=45,KILOMETRAJE!E$48,IF(G21=46,KILOMETRAJE!E$49,IF(G21=47,KILOMETRAJE!E$50,IF(G21=48,KILOMETRAJE!E$51,IF(G21=49,KILOMETRAJE!E$52,IF(G21=50,KILOMETRAJE!E$53,IF(G21=51,KILOMETRAJE!E$54,IF(G21=52,KILOMETRAJE!E$55,IF(G21=53,KILOMETRAJE!E$56,IF(G21=54,KILOMETRAJE!E$57,IF(G21=55,KILOMETRAJE!E$58,IF(G21=56,KILOMETRAJE!E$59,IF(G21=57,KILOMETRAJE!E$60,IF(G21=58,KILOMETRAJE!E$61,IF(G21=59,KILOMETRAJE!E$62,IF(G21=60,KILOMETRAJE!E$63,IF(G21=61,KILOMETRAJE!E$64,IF(G21=62,KILOMETRAJE!E$65,IF(G21=63,KILOMETRAJE!E$66)))))))))))))))))))))))))))))))))))))))))))))))))))))))))))))))</f>
        <v>CHIH.</v>
      </c>
      <c r="J21" s="237">
        <f>IF(G21=1,KILOMETRAJE!G$4,IF(G21=2,KILOMETRAJE!G$5,IF(G21=3,KILOMETRAJE!G$6,IF(G21=4,KILOMETRAJE!G$7,IF(G21=5,KILOMETRAJE!G$8,IF(G21=6,KILOMETRAJE!G$9,IF(G21=7,KILOMETRAJE!G$10,IF(G21=8,KILOMETRAJE!G$11,IF(G21=9,KILOMETRAJE!G$12,IF(G21=10,KILOMETRAJE!G$13,IF(G21=11,KILOMETRAJE!G$14,IF(G21=12,KILOMETRAJE!G$15,IF(G21=13,KILOMETRAJE!G$16,IF(G21=14,KILOMETRAJE!G$17,IF(G21=15,KILOMETRAJE!G$18,IF(G21=16,KILOMETRAJE!G$19,IF(G21=17,KILOMETRAJE!G$20,IF(G21=18,KILOMETRAJE!G$21,IF(G21=19,KILOMETRAJE!G$22,IF(G21=20,KILOMETRAJE!G$23,IF(G21=21,KILOMETRAJE!G$24,IF(G21=22,KILOMETRAJE!G$25,IF(G21=23,KILOMETRAJE!G$26,IF(G21=24,KILOMETRAJE!G$27,IF(G21=25,KILOMETRAJE!G$28,IF(G21=26,KILOMETRAJE!G$29,IF(G21=27,KILOMETRAJE!G$30,IF(G21=28,KILOMETRAJE!G$31,IF(G21=29,KILOMETRAJE!G$32,IF(G21=30,KILOMETRAJE!G$33,IF(G21=31,KILOMETRAJE!G$34,IF(G21=32,KILOMETRAJE!G$35,IF(G21=33,KILOMETRAJE!G$36,IF(G21=34,KILOMETRAJE!G$37,IF(G21=35,KILOMETRAJE!G$38,IF(G21=36,KILOMETRAJE!G$39,IF(G21=37,KILOMETRAJE!G$40,IF(G21=38,KILOMETRAJE!G$41,IF(G21=39,KILOMETRAJE!G$42,IF(G21=40,KILOMETRAJE!G$43,IF(G21=41,KILOMETRAJE!G$44,IF(G21=42,KILOMETRAJE!G$45,IF(G21=43,KILOMETRAJE!G$46,IF(G21=44,KILOMETRAJE!G$47,IF(G21=45,KILOMETRAJE!G$48,IF(G21=46,KILOMETRAJE!G$49,IF(G21=47,KILOMETRAJE!G$50,IF(G21=48,KILOMETRAJE!G$51,IF(G21=49,KILOMETRAJE!G$52,IF(G21=50,KILOMETRAJE!G$53,IF(G21=51,KILOMETRAJE!G$54,IF(G21=52,KILOMETRAJE!G$55,IF(G21=53,KILOMETRAJE!G$56,IF(G21=54,KILOMETRAJE!G$57,IF(G21=55,KILOMETRAJE!G$58,IF(G21=56,KILOMETRAJE!G$59,IF(G21=57,KILOMETRAJE!G$60,IF(G21=58,KILOMETRAJE!G$61,IF(G21=59,KILOMETRAJE!G$62,IF(G21=60,KILOMETRAJE!G$63,IF(G21=61,KILOMETRAJE!G$64,IF(G21=62,KILOMETRAJE!G$65,IF(G21=63,KILOMETRAJE!G$66)))))))))))))))))))))))))))))))))))))))))))))))))))))))))))))))</f>
        <v>375</v>
      </c>
      <c r="K21" s="24"/>
      <c r="L21" s="44"/>
      <c r="M21" s="348">
        <v>6116</v>
      </c>
      <c r="N21" s="24">
        <v>1</v>
      </c>
      <c r="O21" s="24" t="s">
        <v>379</v>
      </c>
      <c r="P21" s="24" t="s">
        <v>199</v>
      </c>
      <c r="Q21" s="45">
        <f t="shared" ref="Q21:Q22" si="1">((((IF(N21=1,((J21)*0.29333)))+(IF(N21=2,((J21)*0.146666)))+(IF(N21=3,((J21)*0.146666)))))+(IF(N21=4,((J21-40)*0.29333)))+(IF(N21=5,((J21-50)*0.29333)))+(IF(N21=6,((J21-90)*0.29333))))</f>
        <v>109.99874999999999</v>
      </c>
      <c r="R21" s="191"/>
      <c r="S21" s="52"/>
      <c r="T21" s="455"/>
      <c r="U21" s="43">
        <v>7</v>
      </c>
      <c r="V21" s="17">
        <v>10</v>
      </c>
    </row>
    <row r="22" spans="3:24" ht="12.75" thickBot="1" x14ac:dyDescent="0.25">
      <c r="C22" s="101"/>
      <c r="D22" s="62" t="s">
        <v>378</v>
      </c>
      <c r="E22" s="25">
        <v>45962</v>
      </c>
      <c r="F22" s="25">
        <v>45962</v>
      </c>
      <c r="G22" s="62">
        <v>3</v>
      </c>
      <c r="H22" s="27" t="str">
        <f>IF(G22=1,KILOMETRAJE!C$4,IF(G22=2,KILOMETRAJE!C$5,IF(G22=3,KILOMETRAJE!C$6,IF(G22=4,KILOMETRAJE!C$7,IF(G22=5,KILOMETRAJE!C$8,IF(G22=6,KILOMETRAJE!C$9,IF(G22=7,KILOMETRAJE!C$10,IF(G22=8,KILOMETRAJE!C$11,IF(G22=9,KILOMETRAJE!C$12,IF(G22=10,KILOMETRAJE!C$13,IF(G22=11,KILOMETRAJE!C$14,IF(G22=12,KILOMETRAJE!C$15,IF(G22=13,KILOMETRAJE!C$16,IF(G22=14,KILOMETRAJE!C$17,IF(G22=15,KILOMETRAJE!C$18,IF(G22=16,KILOMETRAJE!C$19,IF(G22=17,KILOMETRAJE!C$20,IF(G22=18,KILOMETRAJE!C$21,IF(G22=19,KILOMETRAJE!C$22,IF(G22=20,KILOMETRAJE!C$23,IF(G22=21,KILOMETRAJE!C$24,IF(G22=22,KILOMETRAJE!C$25,IF(G22=23,KILOMETRAJE!C$26,IF(G22=24,KILOMETRAJE!C$27,IF(G22=25,KILOMETRAJE!C$28,IF(G22=26,KILOMETRAJE!C$29,IF(G22=27,KILOMETRAJE!C$30,IF(G22=28,KILOMETRAJE!C$31,IF(G22=29,KILOMETRAJE!C$32,IF(G22=30,KILOMETRAJE!C$33,IF(G22=31,KILOMETRAJE!C$34,IF(G22=32,KILOMETRAJE!C$35,IF(G22=33,KILOMETRAJE!C$36,IF(G22=34,KILOMETRAJE!C$37,IF(G22=35,KILOMETRAJE!C$38,IF(G22=36,KILOMETRAJE!C$39,IF(G22=37,KILOMETRAJE!C$40,IF(G22=38,KILOMETRAJE!C$41,IF(G22=39,KILOMETRAJE!C$42,IF(G22=40,KILOMETRAJE!C$43,IF(G22=41,KILOMETRAJE!C$44,IF(G22=42,KILOMETRAJE!C$45,IF(G22=43,KILOMETRAJE!C$46,IF(G22=44,KILOMETRAJE!C$47,IF(G22=45,KILOMETRAJE!C$48,IF(G22=46,KILOMETRAJE!C$49,IF(G22=47,KILOMETRAJE!C$50,IF(G22=48,KILOMETRAJE!C$51,IF(G22=49,KILOMETRAJE!C$52,IF(G22=50,KILOMETRAJE!C$53,IF(G22=51,KILOMETRAJE!C$54,IF(G22=52,KILOMETRAJE!C$55,IF(G22=53,KILOMETRAJE!C$56,IF(G22=54,KILOMETRAJE!C$57,IF(G22=55,KILOMETRAJE!C$58,IF(G22=56,KILOMETRAJE!C$59,IF(G22=57,KILOMETRAJE!C$60,IF(G22=58,KILOMETRAJE!C$61,IF(G22=59,KILOMETRAJE!C$62,IF(G22=60,KILOMETRAJE!C$63,IF(G22=61,KILOMETRAJE!C$64,IF(G22=62,KILOMETRAJE!C$65,IF(G22=63,KILOMETRAJE!C$66)))))))))))))))))))))))))))))))))))))))))))))))))))))))))))))))</f>
        <v xml:space="preserve">CHIH. </v>
      </c>
      <c r="I22" s="27" t="str">
        <f>IF(G22=1,KILOMETRAJE!E$4,IF(G22=2,KILOMETRAJE!E$5,IF(G22=3,KILOMETRAJE!E$6,IF(G22=4,KILOMETRAJE!E$7,IF(G22=5,KILOMETRAJE!E$8,IF(G22=6,KILOMETRAJE!E$9,IF(G22=7,KILOMETRAJE!E$10,IF(G22=8,KILOMETRAJE!E$11,IF(G22=9,KILOMETRAJE!E$12,IF(G22=10,KILOMETRAJE!E$13,IF(G22=11,KILOMETRAJE!E$14,IF(G22=12,KILOMETRAJE!E$15,IF(G22=13,KILOMETRAJE!E$16,IF(G22=14,KILOMETRAJE!E$17,IF(G22=15,KILOMETRAJE!E$18,IF(G22=16,KILOMETRAJE!E$19,IF(G22=17,KILOMETRAJE!E$20,IF(G22=18,KILOMETRAJE!E$21,IF(G22=19,KILOMETRAJE!E$22,IF(G22=20,KILOMETRAJE!E$23,IF(G22=21,KILOMETRAJE!E$24,IF(G22=22,KILOMETRAJE!E$25,IF(G22=23,KILOMETRAJE!E$26,IF(G22=24,KILOMETRAJE!E$27,IF(G22=25,KILOMETRAJE!E$28,IF(G22=26,KILOMETRAJE!E$29,IF(G22=27,KILOMETRAJE!E$30,IF(G22=28,KILOMETRAJE!E$31,IF(G22=29,KILOMETRAJE!E$32,IF(G22=30,KILOMETRAJE!E$33,IF(G22=31,KILOMETRAJE!E$34,IF(G22=32,KILOMETRAJE!E$35,IF(G22=33,KILOMETRAJE!E$36,IF(G22=34,KILOMETRAJE!E$37,IF(G22=35,KILOMETRAJE!E$38,IF(G22=36,KILOMETRAJE!E$39,IF(G22=37,KILOMETRAJE!E$40,IF(G22=38,KILOMETRAJE!E$41,IF(G22=39,KILOMETRAJE!E$42,IF(G22=40,KILOMETRAJE!E$43,IF(G22=41,KILOMETRAJE!E$44,IF(G22=42,KILOMETRAJE!E$45,IF(G22=43,KILOMETRAJE!E$46,IF(G22=44,KILOMETRAJE!E$47,IF(G22=45,KILOMETRAJE!E$48,IF(G22=46,KILOMETRAJE!E$49,IF(G22=47,KILOMETRAJE!E$50,IF(G22=48,KILOMETRAJE!E$51,IF(G22=49,KILOMETRAJE!E$52,IF(G22=50,KILOMETRAJE!E$53,IF(G22=51,KILOMETRAJE!E$54,IF(G22=52,KILOMETRAJE!E$55,IF(G22=53,KILOMETRAJE!E$56,IF(G22=54,KILOMETRAJE!E$57,IF(G22=55,KILOMETRAJE!E$58,IF(G22=56,KILOMETRAJE!E$59,IF(G22=57,KILOMETRAJE!E$60,IF(G22=58,KILOMETRAJE!E$61,IF(G22=59,KILOMETRAJE!E$62,IF(G22=60,KILOMETRAJE!E$63,IF(G22=61,KILOMETRAJE!E$64,IF(G22=62,KILOMETRAJE!E$65,IF(G22=63,KILOMETRAJE!E$66)))))))))))))))))))))))))))))))))))))))))))))))))))))))))))))))</f>
        <v>JRZ</v>
      </c>
      <c r="J22" s="31">
        <f>IF(G22=1,KILOMETRAJE!G$4,IF(G22=2,KILOMETRAJE!G$5,IF(G22=3,KILOMETRAJE!G$6,IF(G22=4,KILOMETRAJE!G$7,IF(G22=5,KILOMETRAJE!G$8,IF(G22=6,KILOMETRAJE!G$9,IF(G22=7,KILOMETRAJE!G$10,IF(G22=8,KILOMETRAJE!G$11,IF(G22=9,KILOMETRAJE!G$12,IF(G22=10,KILOMETRAJE!G$13,IF(G22=11,KILOMETRAJE!G$14,IF(G22=12,KILOMETRAJE!G$15,IF(G22=13,KILOMETRAJE!G$16,IF(G22=14,KILOMETRAJE!G$17,IF(G22=15,KILOMETRAJE!G$18,IF(G22=16,KILOMETRAJE!G$19,IF(G22=17,KILOMETRAJE!G$20,IF(G22=18,KILOMETRAJE!G$21,IF(G22=19,KILOMETRAJE!G$22,IF(G22=20,KILOMETRAJE!G$23,IF(G22=21,KILOMETRAJE!G$24,IF(G22=22,KILOMETRAJE!G$25,IF(G22=23,KILOMETRAJE!G$26,IF(G22=24,KILOMETRAJE!G$27,IF(G22=25,KILOMETRAJE!G$28,IF(G22=26,KILOMETRAJE!G$29,IF(G22=27,KILOMETRAJE!G$30,IF(G22=28,KILOMETRAJE!G$31,IF(G22=29,KILOMETRAJE!G$32,IF(G22=30,KILOMETRAJE!G$33,IF(G22=31,KILOMETRAJE!G$34,IF(G22=32,KILOMETRAJE!G$35,IF(G22=33,KILOMETRAJE!G$36,IF(G22=34,KILOMETRAJE!G$37,IF(G22=35,KILOMETRAJE!G$38,IF(G22=36,KILOMETRAJE!G$39,IF(G22=37,KILOMETRAJE!G$40,IF(G22=38,KILOMETRAJE!G$41,IF(G22=39,KILOMETRAJE!G$42,IF(G22=40,KILOMETRAJE!G$43,IF(G22=41,KILOMETRAJE!G$44,IF(G22=42,KILOMETRAJE!G$45,IF(G22=43,KILOMETRAJE!G$46,IF(G22=44,KILOMETRAJE!G$47,IF(G22=45,KILOMETRAJE!G$48,IF(G22=46,KILOMETRAJE!G$49,IF(G22=47,KILOMETRAJE!G$50,IF(G22=48,KILOMETRAJE!G$51,IF(G22=49,KILOMETRAJE!G$52,IF(G22=50,KILOMETRAJE!G$53,IF(G22=51,KILOMETRAJE!G$54,IF(G22=52,KILOMETRAJE!G$55,IF(G22=53,KILOMETRAJE!G$56,IF(G22=54,KILOMETRAJE!G$57,IF(G22=55,KILOMETRAJE!G$58,IF(G22=56,KILOMETRAJE!G$59,IF(G22=57,KILOMETRAJE!G$60,IF(G22=58,KILOMETRAJE!G$61,IF(G22=59,KILOMETRAJE!G$62,IF(G22=60,KILOMETRAJE!G$63,IF(G22=61,KILOMETRAJE!G$64,IF(G22=62,KILOMETRAJE!G$65,IF(G22=63,KILOMETRAJE!G$66)))))))))))))))))))))))))))))))))))))))))))))))))))))))))))))))</f>
        <v>375</v>
      </c>
      <c r="K22" s="27">
        <v>210.04</v>
      </c>
      <c r="L22" s="28">
        <f>SUM(J21:J22)/K22</f>
        <v>3.5707484288706914</v>
      </c>
      <c r="M22" s="349">
        <v>6157</v>
      </c>
      <c r="N22" s="27">
        <v>1</v>
      </c>
      <c r="O22" s="27" t="s">
        <v>380</v>
      </c>
      <c r="P22" s="27" t="s">
        <v>191</v>
      </c>
      <c r="Q22" s="29">
        <f t="shared" si="1"/>
        <v>109.99874999999999</v>
      </c>
      <c r="R22" s="190">
        <f>+LOOKUP(P41,UNIDADES!B$3:B$59,UNIDADES!C$3:C$59)</f>
        <v>2.3734099999999998</v>
      </c>
      <c r="S22" s="19">
        <f>+((SUM(J21:J22))/R22)-K22</f>
        <v>105.96102805667797</v>
      </c>
      <c r="T22" s="456">
        <f>+S22*14.85</f>
        <v>1573.5212666416678</v>
      </c>
      <c r="U22" s="62" t="s">
        <v>376</v>
      </c>
      <c r="V22" s="417" t="s">
        <v>376</v>
      </c>
    </row>
    <row r="23" spans="3:24" x14ac:dyDescent="0.2">
      <c r="C23" s="176">
        <v>46150</v>
      </c>
      <c r="D23" s="43" t="s">
        <v>381</v>
      </c>
      <c r="E23" s="42">
        <v>45960</v>
      </c>
      <c r="F23" s="42">
        <v>45961</v>
      </c>
      <c r="G23" s="43">
        <v>2</v>
      </c>
      <c r="H23" s="236" t="str">
        <f>IF(G23=1,KILOMETRAJE!C$4,IF(G23=2,KILOMETRAJE!C$5,IF(G23=3,KILOMETRAJE!C$6,IF(G23=4,KILOMETRAJE!C$7,IF(G23=5,KILOMETRAJE!C$8,IF(G23=6,KILOMETRAJE!C$9,IF(G23=7,KILOMETRAJE!C$10,IF(G23=8,KILOMETRAJE!C$11,IF(G23=9,KILOMETRAJE!C$12,IF(G23=10,KILOMETRAJE!C$13,IF(G23=11,KILOMETRAJE!C$14,IF(G23=12,KILOMETRAJE!C$15,IF(G23=13,KILOMETRAJE!C$16,IF(G23=14,KILOMETRAJE!C$17,IF(G23=15,KILOMETRAJE!C$18,IF(G23=16,KILOMETRAJE!C$19,IF(G23=17,KILOMETRAJE!C$20,IF(G23=18,KILOMETRAJE!C$21,IF(G23=19,KILOMETRAJE!C$22,IF(G23=20,KILOMETRAJE!C$23,IF(G23=21,KILOMETRAJE!C$24,IF(G23=22,KILOMETRAJE!C$25,IF(G23=23,KILOMETRAJE!C$26,IF(G23=24,KILOMETRAJE!C$27,IF(G23=25,KILOMETRAJE!C$28,IF(G23=26,KILOMETRAJE!C$29,IF(G23=27,KILOMETRAJE!C$30,IF(G23=28,KILOMETRAJE!C$31,IF(G23=29,KILOMETRAJE!C$32,IF(G23=30,KILOMETRAJE!C$33,IF(G23=31,KILOMETRAJE!C$34,IF(G23=32,KILOMETRAJE!C$35,IF(G23=33,KILOMETRAJE!C$36,IF(G23=34,KILOMETRAJE!C$37,IF(G23=35,KILOMETRAJE!C$38,IF(G23=36,KILOMETRAJE!C$39,IF(G23=37,KILOMETRAJE!C$40,IF(G23=38,KILOMETRAJE!C$41,IF(G23=39,KILOMETRAJE!C$42,IF(G23=40,KILOMETRAJE!C$43,IF(G23=41,KILOMETRAJE!C$44,IF(G23=42,KILOMETRAJE!C$45,IF(G23=43,KILOMETRAJE!C$46,IF(G23=44,KILOMETRAJE!C$47,IF(G23=45,KILOMETRAJE!C$48,IF(G23=46,KILOMETRAJE!C$49,IF(G23=47,KILOMETRAJE!C$50,IF(G23=48,KILOMETRAJE!C$51,IF(G23=49,KILOMETRAJE!C$52,IF(G23=50,KILOMETRAJE!C$53,IF(G23=51,KILOMETRAJE!C$54,IF(G23=52,KILOMETRAJE!C$55,IF(G23=53,KILOMETRAJE!C$56,IF(G23=54,KILOMETRAJE!C$57,IF(G23=55,KILOMETRAJE!C$58,IF(G23=56,KILOMETRAJE!C$59,IF(G23=57,KILOMETRAJE!C$60,IF(G23=58,KILOMETRAJE!C$61,IF(G23=59,KILOMETRAJE!C$62,IF(G23=60,KILOMETRAJE!C$63,IF(G23=61,KILOMETRAJE!C$64,IF(G23=62,KILOMETRAJE!C$65,IF(G23=63,KILOMETRAJE!C$66)))))))))))))))))))))))))))))))))))))))))))))))))))))))))))))))</f>
        <v>JRZ</v>
      </c>
      <c r="I23" s="236" t="str">
        <f>IF(G23=1,KILOMETRAJE!E$4,IF(G23=2,KILOMETRAJE!E$5,IF(G23=3,KILOMETRAJE!E$6,IF(G23=4,KILOMETRAJE!E$7,IF(G23=5,KILOMETRAJE!E$8,IF(G23=6,KILOMETRAJE!E$9,IF(G23=7,KILOMETRAJE!E$10,IF(G23=8,KILOMETRAJE!E$11,IF(G23=9,KILOMETRAJE!E$12,IF(G23=10,KILOMETRAJE!E$13,IF(G23=11,KILOMETRAJE!E$14,IF(G23=12,KILOMETRAJE!E$15,IF(G23=13,KILOMETRAJE!E$16,IF(G23=14,KILOMETRAJE!E$17,IF(G23=15,KILOMETRAJE!E$18,IF(G23=16,KILOMETRAJE!E$19,IF(G23=17,KILOMETRAJE!E$20,IF(G23=18,KILOMETRAJE!E$21,IF(G23=19,KILOMETRAJE!E$22,IF(G23=20,KILOMETRAJE!E$23,IF(G23=21,KILOMETRAJE!E$24,IF(G23=22,KILOMETRAJE!E$25,IF(G23=23,KILOMETRAJE!E$26,IF(G23=24,KILOMETRAJE!E$27,IF(G23=25,KILOMETRAJE!E$28,IF(G23=26,KILOMETRAJE!E$29,IF(G23=27,KILOMETRAJE!E$30,IF(G23=28,KILOMETRAJE!E$31,IF(G23=29,KILOMETRAJE!E$32,IF(G23=30,KILOMETRAJE!E$33,IF(G23=31,KILOMETRAJE!E$34,IF(G23=32,KILOMETRAJE!E$35,IF(G23=33,KILOMETRAJE!E$36,IF(G23=34,KILOMETRAJE!E$37,IF(G23=35,KILOMETRAJE!E$38,IF(G23=36,KILOMETRAJE!E$39,IF(G23=37,KILOMETRAJE!E$40,IF(G23=38,KILOMETRAJE!E$41,IF(G23=39,KILOMETRAJE!E$42,IF(G23=40,KILOMETRAJE!E$43,IF(G23=41,KILOMETRAJE!E$44,IF(G23=42,KILOMETRAJE!E$45,IF(G23=43,KILOMETRAJE!E$46,IF(G23=44,KILOMETRAJE!E$47,IF(G23=45,KILOMETRAJE!E$48,IF(G23=46,KILOMETRAJE!E$49,IF(G23=47,KILOMETRAJE!E$50,IF(G23=48,KILOMETRAJE!E$51,IF(G23=49,KILOMETRAJE!E$52,IF(G23=50,KILOMETRAJE!E$53,IF(G23=51,KILOMETRAJE!E$54,IF(G23=52,KILOMETRAJE!E$55,IF(G23=53,KILOMETRAJE!E$56,IF(G23=54,KILOMETRAJE!E$57,IF(G23=55,KILOMETRAJE!E$58,IF(G23=56,KILOMETRAJE!E$59,IF(G23=57,KILOMETRAJE!E$60,IF(G23=58,KILOMETRAJE!E$61,IF(G23=59,KILOMETRAJE!E$62,IF(G23=60,KILOMETRAJE!E$63,IF(G23=61,KILOMETRAJE!E$64,IF(G23=62,KILOMETRAJE!E$65,IF(G23=63,KILOMETRAJE!E$66)))))))))))))))))))))))))))))))))))))))))))))))))))))))))))))))</f>
        <v>CHIH.</v>
      </c>
      <c r="J23" s="237">
        <f>IF(G23=1,KILOMETRAJE!G$4,IF(G23=2,KILOMETRAJE!G$5,IF(G23=3,KILOMETRAJE!G$6,IF(G23=4,KILOMETRAJE!G$7,IF(G23=5,KILOMETRAJE!G$8,IF(G23=6,KILOMETRAJE!G$9,IF(G23=7,KILOMETRAJE!G$10,IF(G23=8,KILOMETRAJE!G$11,IF(G23=9,KILOMETRAJE!G$12,IF(G23=10,KILOMETRAJE!G$13,IF(G23=11,KILOMETRAJE!G$14,IF(G23=12,KILOMETRAJE!G$15,IF(G23=13,KILOMETRAJE!G$16,IF(G23=14,KILOMETRAJE!G$17,IF(G23=15,KILOMETRAJE!G$18,IF(G23=16,KILOMETRAJE!G$19,IF(G23=17,KILOMETRAJE!G$20,IF(G23=18,KILOMETRAJE!G$21,IF(G23=19,KILOMETRAJE!G$22,IF(G23=20,KILOMETRAJE!G$23,IF(G23=21,KILOMETRAJE!G$24,IF(G23=22,KILOMETRAJE!G$25,IF(G23=23,KILOMETRAJE!G$26,IF(G23=24,KILOMETRAJE!G$27,IF(G23=25,KILOMETRAJE!G$28,IF(G23=26,KILOMETRAJE!G$29,IF(G23=27,KILOMETRAJE!G$30,IF(G23=28,KILOMETRAJE!G$31,IF(G23=29,KILOMETRAJE!G$32,IF(G23=30,KILOMETRAJE!G$33,IF(G23=31,KILOMETRAJE!G$34,IF(G23=32,KILOMETRAJE!G$35,IF(G23=33,KILOMETRAJE!G$36,IF(G23=34,KILOMETRAJE!G$37,IF(G23=35,KILOMETRAJE!G$38,IF(G23=36,KILOMETRAJE!G$39,IF(G23=37,KILOMETRAJE!G$40,IF(G23=38,KILOMETRAJE!G$41,IF(G23=39,KILOMETRAJE!G$42,IF(G23=40,KILOMETRAJE!G$43,IF(G23=41,KILOMETRAJE!G$44,IF(G23=42,KILOMETRAJE!G$45,IF(G23=43,KILOMETRAJE!G$46,IF(G23=44,KILOMETRAJE!G$47,IF(G23=45,KILOMETRAJE!G$48,IF(G23=46,KILOMETRAJE!G$49,IF(G23=47,KILOMETRAJE!G$50,IF(G23=48,KILOMETRAJE!G$51,IF(G23=49,KILOMETRAJE!G$52,IF(G23=50,KILOMETRAJE!G$53,IF(G23=51,KILOMETRAJE!G$54,IF(G23=52,KILOMETRAJE!G$55,IF(G23=53,KILOMETRAJE!G$56,IF(G23=54,KILOMETRAJE!G$57,IF(G23=55,KILOMETRAJE!G$58,IF(G23=56,KILOMETRAJE!G$59,IF(G23=57,KILOMETRAJE!G$60,IF(G23=58,KILOMETRAJE!G$61,IF(G23=59,KILOMETRAJE!G$62,IF(G23=60,KILOMETRAJE!G$63,IF(G23=61,KILOMETRAJE!G$64,IF(G23=62,KILOMETRAJE!G$65,IF(G23=63,KILOMETRAJE!G$66)))))))))))))))))))))))))))))))))))))))))))))))))))))))))))))))</f>
        <v>375</v>
      </c>
      <c r="K23" s="24"/>
      <c r="L23" s="44"/>
      <c r="M23" s="348">
        <v>11049</v>
      </c>
      <c r="N23" s="24">
        <v>1</v>
      </c>
      <c r="O23" s="24" t="s">
        <v>383</v>
      </c>
      <c r="P23" s="24" t="s">
        <v>191</v>
      </c>
      <c r="Q23" s="45">
        <f t="shared" ref="Q23:Q24" si="2">((((IF(N23=1,((J23)*0.29333)))+(IF(N23=2,((J23)*0.146666)))+(IF(N23=3,((J23)*0.146666)))))+(IF(N23=4,((J23-40)*0.29333)))+(IF(N23=5,((J23-50)*0.29333)))+(IF(N23=6,((J23-90)*0.29333))))</f>
        <v>109.99874999999999</v>
      </c>
      <c r="R23" s="191"/>
      <c r="S23" s="52"/>
      <c r="T23" s="455"/>
      <c r="U23" s="43">
        <v>10</v>
      </c>
      <c r="V23" s="17">
        <v>7</v>
      </c>
    </row>
    <row r="24" spans="3:24" ht="12.75" thickBot="1" x14ac:dyDescent="0.25">
      <c r="C24" s="101"/>
      <c r="D24" s="62" t="s">
        <v>382</v>
      </c>
      <c r="E24" s="25">
        <v>45961</v>
      </c>
      <c r="F24" s="25">
        <v>45961</v>
      </c>
      <c r="G24" s="62">
        <v>3</v>
      </c>
      <c r="H24" s="27" t="str">
        <f>IF(G24=1,KILOMETRAJE!C$4,IF(G24=2,KILOMETRAJE!C$5,IF(G24=3,KILOMETRAJE!C$6,IF(G24=4,KILOMETRAJE!C$7,IF(G24=5,KILOMETRAJE!C$8,IF(G24=6,KILOMETRAJE!C$9,IF(G24=7,KILOMETRAJE!C$10,IF(G24=8,KILOMETRAJE!C$11,IF(G24=9,KILOMETRAJE!C$12,IF(G24=10,KILOMETRAJE!C$13,IF(G24=11,KILOMETRAJE!C$14,IF(G24=12,KILOMETRAJE!C$15,IF(G24=13,KILOMETRAJE!C$16,IF(G24=14,KILOMETRAJE!C$17,IF(G24=15,KILOMETRAJE!C$18,IF(G24=16,KILOMETRAJE!C$19,IF(G24=17,KILOMETRAJE!C$20,IF(G24=18,KILOMETRAJE!C$21,IF(G24=19,KILOMETRAJE!C$22,IF(G24=20,KILOMETRAJE!C$23,IF(G24=21,KILOMETRAJE!C$24,IF(G24=22,KILOMETRAJE!C$25,IF(G24=23,KILOMETRAJE!C$26,IF(G24=24,KILOMETRAJE!C$27,IF(G24=25,KILOMETRAJE!C$28,IF(G24=26,KILOMETRAJE!C$29,IF(G24=27,KILOMETRAJE!C$30,IF(G24=28,KILOMETRAJE!C$31,IF(G24=29,KILOMETRAJE!C$32,IF(G24=30,KILOMETRAJE!C$33,IF(G24=31,KILOMETRAJE!C$34,IF(G24=32,KILOMETRAJE!C$35,IF(G24=33,KILOMETRAJE!C$36,IF(G24=34,KILOMETRAJE!C$37,IF(G24=35,KILOMETRAJE!C$38,IF(G24=36,KILOMETRAJE!C$39,IF(G24=37,KILOMETRAJE!C$40,IF(G24=38,KILOMETRAJE!C$41,IF(G24=39,KILOMETRAJE!C$42,IF(G24=40,KILOMETRAJE!C$43,IF(G24=41,KILOMETRAJE!C$44,IF(G24=42,KILOMETRAJE!C$45,IF(G24=43,KILOMETRAJE!C$46,IF(G24=44,KILOMETRAJE!C$47,IF(G24=45,KILOMETRAJE!C$48,IF(G24=46,KILOMETRAJE!C$49,IF(G24=47,KILOMETRAJE!C$50,IF(G24=48,KILOMETRAJE!C$51,IF(G24=49,KILOMETRAJE!C$52,IF(G24=50,KILOMETRAJE!C$53,IF(G24=51,KILOMETRAJE!C$54,IF(G24=52,KILOMETRAJE!C$55,IF(G24=53,KILOMETRAJE!C$56,IF(G24=54,KILOMETRAJE!C$57,IF(G24=55,KILOMETRAJE!C$58,IF(G24=56,KILOMETRAJE!C$59,IF(G24=57,KILOMETRAJE!C$60,IF(G24=58,KILOMETRAJE!C$61,IF(G24=59,KILOMETRAJE!C$62,IF(G24=60,KILOMETRAJE!C$63,IF(G24=61,KILOMETRAJE!C$64,IF(G24=62,KILOMETRAJE!C$65,IF(G24=63,KILOMETRAJE!C$66)))))))))))))))))))))))))))))))))))))))))))))))))))))))))))))))</f>
        <v xml:space="preserve">CHIH. </v>
      </c>
      <c r="I24" s="27" t="str">
        <f>IF(G24=1,KILOMETRAJE!E$4,IF(G24=2,KILOMETRAJE!E$5,IF(G24=3,KILOMETRAJE!E$6,IF(G24=4,KILOMETRAJE!E$7,IF(G24=5,KILOMETRAJE!E$8,IF(G24=6,KILOMETRAJE!E$9,IF(G24=7,KILOMETRAJE!E$10,IF(G24=8,KILOMETRAJE!E$11,IF(G24=9,KILOMETRAJE!E$12,IF(G24=10,KILOMETRAJE!E$13,IF(G24=11,KILOMETRAJE!E$14,IF(G24=12,KILOMETRAJE!E$15,IF(G24=13,KILOMETRAJE!E$16,IF(G24=14,KILOMETRAJE!E$17,IF(G24=15,KILOMETRAJE!E$18,IF(G24=16,KILOMETRAJE!E$19,IF(G24=17,KILOMETRAJE!E$20,IF(G24=18,KILOMETRAJE!E$21,IF(G24=19,KILOMETRAJE!E$22,IF(G24=20,KILOMETRAJE!E$23,IF(G24=21,KILOMETRAJE!E$24,IF(G24=22,KILOMETRAJE!E$25,IF(G24=23,KILOMETRAJE!E$26,IF(G24=24,KILOMETRAJE!E$27,IF(G24=25,KILOMETRAJE!E$28,IF(G24=26,KILOMETRAJE!E$29,IF(G24=27,KILOMETRAJE!E$30,IF(G24=28,KILOMETRAJE!E$31,IF(G24=29,KILOMETRAJE!E$32,IF(G24=30,KILOMETRAJE!E$33,IF(G24=31,KILOMETRAJE!E$34,IF(G24=32,KILOMETRAJE!E$35,IF(G24=33,KILOMETRAJE!E$36,IF(G24=34,KILOMETRAJE!E$37,IF(G24=35,KILOMETRAJE!E$38,IF(G24=36,KILOMETRAJE!E$39,IF(G24=37,KILOMETRAJE!E$40,IF(G24=38,KILOMETRAJE!E$41,IF(G24=39,KILOMETRAJE!E$42,IF(G24=40,KILOMETRAJE!E$43,IF(G24=41,KILOMETRAJE!E$44,IF(G24=42,KILOMETRAJE!E$45,IF(G24=43,KILOMETRAJE!E$46,IF(G24=44,KILOMETRAJE!E$47,IF(G24=45,KILOMETRAJE!E$48,IF(G24=46,KILOMETRAJE!E$49,IF(G24=47,KILOMETRAJE!E$50,IF(G24=48,KILOMETRAJE!E$51,IF(G24=49,KILOMETRAJE!E$52,IF(G24=50,KILOMETRAJE!E$53,IF(G24=51,KILOMETRAJE!E$54,IF(G24=52,KILOMETRAJE!E$55,IF(G24=53,KILOMETRAJE!E$56,IF(G24=54,KILOMETRAJE!E$57,IF(G24=55,KILOMETRAJE!E$58,IF(G24=56,KILOMETRAJE!E$59,IF(G24=57,KILOMETRAJE!E$60,IF(G24=58,KILOMETRAJE!E$61,IF(G24=59,KILOMETRAJE!E$62,IF(G24=60,KILOMETRAJE!E$63,IF(G24=61,KILOMETRAJE!E$64,IF(G24=62,KILOMETRAJE!E$65,IF(G24=63,KILOMETRAJE!E$66)))))))))))))))))))))))))))))))))))))))))))))))))))))))))))))))</f>
        <v>JRZ</v>
      </c>
      <c r="J24" s="31">
        <f>IF(G24=1,KILOMETRAJE!G$4,IF(G24=2,KILOMETRAJE!G$5,IF(G24=3,KILOMETRAJE!G$6,IF(G24=4,KILOMETRAJE!G$7,IF(G24=5,KILOMETRAJE!G$8,IF(G24=6,KILOMETRAJE!G$9,IF(G24=7,KILOMETRAJE!G$10,IF(G24=8,KILOMETRAJE!G$11,IF(G24=9,KILOMETRAJE!G$12,IF(G24=10,KILOMETRAJE!G$13,IF(G24=11,KILOMETRAJE!G$14,IF(G24=12,KILOMETRAJE!G$15,IF(G24=13,KILOMETRAJE!G$16,IF(G24=14,KILOMETRAJE!G$17,IF(G24=15,KILOMETRAJE!G$18,IF(G24=16,KILOMETRAJE!G$19,IF(G24=17,KILOMETRAJE!G$20,IF(G24=18,KILOMETRAJE!G$21,IF(G24=19,KILOMETRAJE!G$22,IF(G24=20,KILOMETRAJE!G$23,IF(G24=21,KILOMETRAJE!G$24,IF(G24=22,KILOMETRAJE!G$25,IF(G24=23,KILOMETRAJE!G$26,IF(G24=24,KILOMETRAJE!G$27,IF(G24=25,KILOMETRAJE!G$28,IF(G24=26,KILOMETRAJE!G$29,IF(G24=27,KILOMETRAJE!G$30,IF(G24=28,KILOMETRAJE!G$31,IF(G24=29,KILOMETRAJE!G$32,IF(G24=30,KILOMETRAJE!G$33,IF(G24=31,KILOMETRAJE!G$34,IF(G24=32,KILOMETRAJE!G$35,IF(G24=33,KILOMETRAJE!G$36,IF(G24=34,KILOMETRAJE!G$37,IF(G24=35,KILOMETRAJE!G$38,IF(G24=36,KILOMETRAJE!G$39,IF(G24=37,KILOMETRAJE!G$40,IF(G24=38,KILOMETRAJE!G$41,IF(G24=39,KILOMETRAJE!G$42,IF(G24=40,KILOMETRAJE!G$43,IF(G24=41,KILOMETRAJE!G$44,IF(G24=42,KILOMETRAJE!G$45,IF(G24=43,KILOMETRAJE!G$46,IF(G24=44,KILOMETRAJE!G$47,IF(G24=45,KILOMETRAJE!G$48,IF(G24=46,KILOMETRAJE!G$49,IF(G24=47,KILOMETRAJE!G$50,IF(G24=48,KILOMETRAJE!G$51,IF(G24=49,KILOMETRAJE!G$52,IF(G24=50,KILOMETRAJE!G$53,IF(G24=51,KILOMETRAJE!G$54,IF(G24=52,KILOMETRAJE!G$55,IF(G24=53,KILOMETRAJE!G$56,IF(G24=54,KILOMETRAJE!G$57,IF(G24=55,KILOMETRAJE!G$58,IF(G24=56,KILOMETRAJE!G$59,IF(G24=57,KILOMETRAJE!G$60,IF(G24=58,KILOMETRAJE!G$61,IF(G24=59,KILOMETRAJE!G$62,IF(G24=60,KILOMETRAJE!G$63,IF(G24=61,KILOMETRAJE!G$64,IF(G24=62,KILOMETRAJE!G$65,IF(G24=63,KILOMETRAJE!G$66)))))))))))))))))))))))))))))))))))))))))))))))))))))))))))))))</f>
        <v>375</v>
      </c>
      <c r="K24" s="27">
        <v>190.03</v>
      </c>
      <c r="L24" s="28">
        <f>SUM(J23:J24)/K24</f>
        <v>3.9467452507498817</v>
      </c>
      <c r="M24" s="349">
        <v>2525</v>
      </c>
      <c r="N24" s="27">
        <v>1</v>
      </c>
      <c r="O24" s="27" t="s">
        <v>384</v>
      </c>
      <c r="P24" s="27" t="s">
        <v>247</v>
      </c>
      <c r="Q24" s="29">
        <f t="shared" si="2"/>
        <v>109.99874999999999</v>
      </c>
      <c r="R24" s="190">
        <f>+LOOKUP(P42,UNIDADES!B$3:B$59,UNIDADES!C$3:C$59)</f>
        <v>2.3734099999999998</v>
      </c>
      <c r="S24" s="19">
        <f>+((SUM(J23:J24))/R24)-K24</f>
        <v>125.97102805667797</v>
      </c>
      <c r="T24" s="456">
        <f>+S24*14.85</f>
        <v>1870.6697666416678</v>
      </c>
      <c r="U24" s="62" t="s">
        <v>376</v>
      </c>
      <c r="V24" s="417" t="s">
        <v>376</v>
      </c>
    </row>
    <row r="25" spans="3:24" hidden="1" x14ac:dyDescent="0.2">
      <c r="C25" s="372"/>
      <c r="D25" s="36"/>
      <c r="E25" s="37"/>
      <c r="F25" s="37"/>
      <c r="G25" s="36"/>
      <c r="H25" s="259"/>
      <c r="I25" s="259"/>
      <c r="J25" s="260"/>
      <c r="K25" s="38"/>
      <c r="L25" s="48"/>
      <c r="M25" s="350"/>
      <c r="N25" s="38"/>
      <c r="O25" s="38"/>
      <c r="P25" s="38"/>
      <c r="Q25" s="40"/>
      <c r="R25" s="192"/>
      <c r="S25" s="186"/>
      <c r="T25" s="458"/>
      <c r="U25" s="36"/>
      <c r="V25" s="36"/>
      <c r="X25" s="245"/>
    </row>
    <row r="26" spans="3:24" hidden="1" x14ac:dyDescent="0.2">
      <c r="C26" s="344"/>
      <c r="D26" s="61"/>
      <c r="E26" s="12"/>
      <c r="F26" s="12"/>
      <c r="G26" s="61"/>
      <c r="H26" s="11"/>
      <c r="I26" s="11"/>
      <c r="J26" s="22"/>
      <c r="K26" s="11"/>
      <c r="L26" s="23"/>
      <c r="M26" s="371"/>
      <c r="N26" s="11"/>
      <c r="O26" s="11"/>
      <c r="P26" s="11"/>
      <c r="Q26" s="13"/>
      <c r="R26" s="339"/>
      <c r="S26" s="195"/>
      <c r="T26" s="457"/>
      <c r="U26" s="61"/>
      <c r="V26" s="61"/>
      <c r="X26" s="245"/>
    </row>
    <row r="27" spans="3:24" hidden="1" x14ac:dyDescent="0.2">
      <c r="C27" s="344"/>
      <c r="D27" s="61"/>
      <c r="E27" s="12"/>
      <c r="F27" s="12"/>
      <c r="G27" s="61"/>
      <c r="H27" s="363"/>
      <c r="I27" s="11"/>
      <c r="J27" s="22"/>
      <c r="K27" s="11"/>
      <c r="L27" s="23"/>
      <c r="M27" s="371"/>
      <c r="N27" s="11"/>
      <c r="O27" s="11"/>
      <c r="P27" s="11"/>
      <c r="Q27" s="13"/>
      <c r="R27" s="339"/>
      <c r="S27" s="195"/>
      <c r="T27" s="457"/>
      <c r="U27" s="61"/>
      <c r="V27" s="61"/>
    </row>
    <row r="28" spans="3:24" hidden="1" x14ac:dyDescent="0.2">
      <c r="C28" s="344"/>
      <c r="D28" s="61"/>
      <c r="E28" s="12"/>
      <c r="F28" s="12"/>
      <c r="G28" s="61"/>
      <c r="H28" s="363"/>
      <c r="I28" s="11"/>
      <c r="J28" s="22"/>
      <c r="K28" s="11"/>
      <c r="L28" s="23"/>
      <c r="M28" s="371"/>
      <c r="N28" s="11"/>
      <c r="O28" s="11"/>
      <c r="P28" s="11"/>
      <c r="Q28" s="13"/>
      <c r="R28" s="339"/>
      <c r="S28" s="195"/>
      <c r="T28" s="457"/>
      <c r="U28" s="61"/>
      <c r="V28" s="61"/>
    </row>
    <row r="29" spans="3:24" hidden="1" x14ac:dyDescent="0.2">
      <c r="C29" s="344"/>
      <c r="D29" s="61"/>
      <c r="E29" s="12"/>
      <c r="F29" s="12"/>
      <c r="G29" s="61"/>
      <c r="H29" s="363"/>
      <c r="I29" s="11"/>
      <c r="J29" s="22"/>
      <c r="K29" s="11"/>
      <c r="L29" s="23"/>
      <c r="M29" s="371"/>
      <c r="N29" s="11"/>
      <c r="O29" s="11"/>
      <c r="P29" s="11"/>
      <c r="Q29" s="13"/>
      <c r="R29" s="339"/>
      <c r="S29" s="195"/>
      <c r="T29" s="457"/>
      <c r="U29" s="61"/>
      <c r="V29" s="61"/>
    </row>
    <row r="30" spans="3:24" hidden="1" x14ac:dyDescent="0.2">
      <c r="C30" s="344"/>
      <c r="D30" s="61"/>
      <c r="E30" s="12"/>
      <c r="F30" s="12"/>
      <c r="G30" s="61"/>
      <c r="H30" s="363"/>
      <c r="I30" s="11"/>
      <c r="J30" s="22"/>
      <c r="K30" s="11"/>
      <c r="L30" s="23"/>
      <c r="M30" s="371"/>
      <c r="N30" s="11"/>
      <c r="O30" s="11"/>
      <c r="P30" s="11"/>
      <c r="Q30" s="13"/>
      <c r="R30" s="339"/>
      <c r="S30" s="195"/>
      <c r="T30" s="457"/>
      <c r="U30" s="61"/>
      <c r="V30" s="61"/>
    </row>
    <row r="31" spans="3:24" hidden="1" x14ac:dyDescent="0.2">
      <c r="C31" s="238"/>
      <c r="D31" s="36"/>
      <c r="E31" s="37"/>
      <c r="F31" s="37"/>
      <c r="G31" s="36"/>
      <c r="H31" s="47"/>
      <c r="I31" s="38"/>
      <c r="J31" s="39"/>
      <c r="K31" s="38"/>
      <c r="L31" s="48"/>
      <c r="M31" s="350"/>
      <c r="N31" s="38"/>
      <c r="O31" s="38"/>
      <c r="P31" s="38"/>
      <c r="Q31" s="40"/>
      <c r="R31" s="192"/>
      <c r="S31" s="186"/>
      <c r="T31" s="458"/>
      <c r="U31" s="61"/>
      <c r="V31" s="61"/>
    </row>
    <row r="32" spans="3:24" ht="12.75" hidden="1" thickBot="1" x14ac:dyDescent="0.25">
      <c r="C32" s="101"/>
      <c r="D32" s="62"/>
      <c r="E32" s="25"/>
      <c r="F32" s="25"/>
      <c r="G32" s="62"/>
      <c r="H32" s="26"/>
      <c r="I32" s="27"/>
      <c r="J32" s="31"/>
      <c r="K32" s="27"/>
      <c r="L32" s="28"/>
      <c r="M32" s="349"/>
      <c r="N32" s="27"/>
      <c r="O32" s="27"/>
      <c r="P32" s="27"/>
      <c r="Q32" s="29"/>
      <c r="R32" s="190"/>
      <c r="S32" s="19"/>
      <c r="T32" s="456"/>
      <c r="U32" s="61"/>
      <c r="V32" s="61"/>
    </row>
    <row r="33" spans="3:23" ht="12.75" thickBot="1" x14ac:dyDescent="0.25">
      <c r="I33" s="15"/>
      <c r="R33" s="193"/>
      <c r="S33" s="15"/>
    </row>
    <row r="34" spans="3:23" x14ac:dyDescent="0.2">
      <c r="E34" s="629" t="s">
        <v>34</v>
      </c>
      <c r="F34" s="646">
        <f>+'AGUILAR ESQUIVEL CARLOS'!F34</f>
        <v>45957</v>
      </c>
      <c r="G34" s="647"/>
      <c r="H34" s="16">
        <f>+F34+1</f>
        <v>45958</v>
      </c>
      <c r="I34" s="16">
        <f>+H34+1</f>
        <v>45959</v>
      </c>
      <c r="J34" s="16">
        <f>+I34+1</f>
        <v>45960</v>
      </c>
      <c r="K34" s="16">
        <f>+J34+1</f>
        <v>45961</v>
      </c>
      <c r="L34" s="16">
        <f>+K34+2</f>
        <v>45963</v>
      </c>
      <c r="M34" s="17" t="s">
        <v>35</v>
      </c>
    </row>
    <row r="35" spans="3:23" ht="12.75" thickBot="1" x14ac:dyDescent="0.25">
      <c r="E35" s="630"/>
      <c r="F35" s="648">
        <v>0</v>
      </c>
      <c r="G35" s="649"/>
      <c r="H35" s="29"/>
      <c r="I35" s="29"/>
      <c r="J35" s="29"/>
      <c r="K35" s="29"/>
      <c r="L35" s="29"/>
      <c r="M35" s="30">
        <f>SUM(F35:L35)</f>
        <v>0</v>
      </c>
    </row>
    <row r="36" spans="3:23" ht="12.75" thickBot="1" x14ac:dyDescent="0.25">
      <c r="I36" s="15"/>
      <c r="J36" s="296"/>
      <c r="K36" s="296"/>
    </row>
    <row r="37" spans="3:23" ht="13.5" thickBot="1" x14ac:dyDescent="0.25">
      <c r="C37" s="608" t="s">
        <v>36</v>
      </c>
      <c r="D37" s="609"/>
      <c r="E37" s="609"/>
      <c r="F37" s="609"/>
      <c r="G37" s="610"/>
      <c r="I37" s="620" t="s">
        <v>37</v>
      </c>
      <c r="J37" s="621"/>
      <c r="K37" s="621"/>
      <c r="L37" s="622"/>
      <c r="M37" s="298"/>
      <c r="O37" s="611" t="s">
        <v>38</v>
      </c>
      <c r="P37" s="612"/>
      <c r="Q37" s="613">
        <f>+F49-L46</f>
        <v>5826.7987999250036</v>
      </c>
      <c r="R37" s="614"/>
      <c r="S37" s="615"/>
    </row>
    <row r="38" spans="3:23" ht="12.75" thickBot="1" x14ac:dyDescent="0.25">
      <c r="C38" s="616" t="s">
        <v>219</v>
      </c>
      <c r="D38" s="617"/>
      <c r="E38" s="617"/>
      <c r="F38" s="618">
        <f>SUM(Q18:Q33)</f>
        <v>659.99249999999995</v>
      </c>
      <c r="G38" s="619"/>
      <c r="I38" s="114" t="s">
        <v>125</v>
      </c>
      <c r="J38" s="68" t="s">
        <v>126</v>
      </c>
      <c r="K38" s="68" t="s">
        <v>70</v>
      </c>
      <c r="L38" s="115" t="s">
        <v>127</v>
      </c>
      <c r="M38" s="346"/>
    </row>
    <row r="39" spans="3:23" ht="13.5" customHeight="1" thickBot="1" x14ac:dyDescent="0.25">
      <c r="C39" s="602" t="s">
        <v>220</v>
      </c>
      <c r="D39" s="603"/>
      <c r="E39" s="603"/>
      <c r="F39" s="604">
        <f>SUM(T18:T33)</f>
        <v>5166.8062999250033</v>
      </c>
      <c r="G39" s="605"/>
      <c r="I39" s="328"/>
      <c r="J39" s="427"/>
      <c r="K39" s="548"/>
      <c r="L39" s="409"/>
      <c r="M39" s="346"/>
      <c r="O39" s="74" t="s">
        <v>70</v>
      </c>
      <c r="P39" s="75" t="s">
        <v>71</v>
      </c>
      <c r="Q39" s="76" t="s">
        <v>72</v>
      </c>
      <c r="R39" s="64"/>
      <c r="S39" s="77" t="s">
        <v>73</v>
      </c>
      <c r="T39" s="75" t="s">
        <v>74</v>
      </c>
      <c r="U39" s="74" t="s">
        <v>145</v>
      </c>
      <c r="V39" s="75" t="s">
        <v>146</v>
      </c>
      <c r="W39" s="75" t="s">
        <v>284</v>
      </c>
    </row>
    <row r="40" spans="3:23" x14ac:dyDescent="0.2">
      <c r="C40" s="602" t="s">
        <v>34</v>
      </c>
      <c r="D40" s="603"/>
      <c r="E40" s="603"/>
      <c r="F40" s="604">
        <f>+M35</f>
        <v>0</v>
      </c>
      <c r="G40" s="605"/>
      <c r="I40" s="549"/>
      <c r="J40" s="551"/>
      <c r="K40" s="550"/>
      <c r="L40" s="407"/>
      <c r="M40" s="346"/>
      <c r="O40" s="78">
        <v>46112</v>
      </c>
      <c r="P40" s="79" t="s">
        <v>131</v>
      </c>
      <c r="Q40" s="80">
        <v>2319515.2000000002</v>
      </c>
      <c r="R40" s="80"/>
      <c r="S40" s="63">
        <f>+Q40+622</f>
        <v>2320137.2000000002</v>
      </c>
      <c r="T40" s="79">
        <f>+S40-Q40</f>
        <v>622</v>
      </c>
      <c r="U40" s="137">
        <f>SUM(J19:J20)</f>
        <v>750</v>
      </c>
      <c r="V40" s="79">
        <f>+K20</f>
        <v>200</v>
      </c>
      <c r="W40" s="353">
        <f>(SUM(M19:M20)/2)</f>
        <v>500</v>
      </c>
    </row>
    <row r="41" spans="3:23" x14ac:dyDescent="0.2">
      <c r="C41" s="602" t="s">
        <v>186</v>
      </c>
      <c r="D41" s="603"/>
      <c r="E41" s="603"/>
      <c r="F41" s="604">
        <v>0</v>
      </c>
      <c r="G41" s="605"/>
      <c r="I41" s="94"/>
      <c r="J41" s="117"/>
      <c r="K41" s="415"/>
      <c r="L41" s="407"/>
      <c r="M41" s="346"/>
      <c r="O41" s="32">
        <v>46171</v>
      </c>
      <c r="P41" s="53" t="s">
        <v>55</v>
      </c>
      <c r="Q41" s="63">
        <v>151896</v>
      </c>
      <c r="R41" s="63"/>
      <c r="S41" s="11">
        <f>+Q41+692</f>
        <v>152588</v>
      </c>
      <c r="T41" s="53">
        <f>+S41-Q41</f>
        <v>692</v>
      </c>
      <c r="U41" s="136">
        <f>SUM(J21:J22)</f>
        <v>750</v>
      </c>
      <c r="V41" s="53">
        <f>+K22</f>
        <v>210.04</v>
      </c>
      <c r="W41" s="354">
        <f>(SUM(M21:M22)/2)</f>
        <v>6136.5</v>
      </c>
    </row>
    <row r="42" spans="3:23" x14ac:dyDescent="0.2">
      <c r="C42" s="602" t="s">
        <v>39</v>
      </c>
      <c r="D42" s="603"/>
      <c r="E42" s="603"/>
      <c r="F42" s="604"/>
      <c r="G42" s="605"/>
      <c r="I42" s="94"/>
      <c r="J42" s="117"/>
      <c r="K42" s="415"/>
      <c r="L42" s="407"/>
      <c r="M42" s="346"/>
      <c r="O42" s="32">
        <v>46150</v>
      </c>
      <c r="P42" s="53" t="s">
        <v>55</v>
      </c>
      <c r="Q42" s="11">
        <v>151209</v>
      </c>
      <c r="R42" s="63"/>
      <c r="S42" s="11">
        <v>151896</v>
      </c>
      <c r="T42" s="53">
        <f t="shared" ref="T42:T45" si="3">+S42-Q42</f>
        <v>687</v>
      </c>
      <c r="U42" s="136">
        <f>SUM(J23:J24)</f>
        <v>750</v>
      </c>
      <c r="V42" s="53">
        <f>+K24</f>
        <v>190.03</v>
      </c>
      <c r="W42" s="354">
        <f>(SUM(M23:M24)/2)</f>
        <v>6787</v>
      </c>
    </row>
    <row r="43" spans="3:23" x14ac:dyDescent="0.2">
      <c r="C43" s="602" t="s">
        <v>116</v>
      </c>
      <c r="D43" s="603"/>
      <c r="E43" s="603"/>
      <c r="F43" s="604">
        <v>0</v>
      </c>
      <c r="G43" s="605"/>
      <c r="I43" s="94"/>
      <c r="J43" s="117"/>
      <c r="K43" s="415"/>
      <c r="L43" s="407"/>
      <c r="M43" s="346"/>
      <c r="O43" s="32"/>
      <c r="P43" s="53"/>
      <c r="Q43" s="63"/>
      <c r="R43" s="63"/>
      <c r="S43" s="11"/>
      <c r="T43" s="53">
        <f t="shared" si="3"/>
        <v>0</v>
      </c>
      <c r="U43" s="136">
        <f>SUM(J25:J32)</f>
        <v>0</v>
      </c>
      <c r="V43" s="53">
        <f>+K26</f>
        <v>0</v>
      </c>
      <c r="W43" s="354">
        <f>(SUM(M26)/2)</f>
        <v>0</v>
      </c>
    </row>
    <row r="44" spans="3:23" x14ac:dyDescent="0.2">
      <c r="C44" s="602" t="s">
        <v>40</v>
      </c>
      <c r="D44" s="603"/>
      <c r="E44" s="603"/>
      <c r="F44" s="604"/>
      <c r="G44" s="605"/>
      <c r="I44" s="94"/>
      <c r="J44" s="117"/>
      <c r="K44" s="415"/>
      <c r="L44" s="407"/>
      <c r="M44" s="346"/>
      <c r="O44" s="32"/>
      <c r="P44" s="53"/>
      <c r="Q44" s="63"/>
      <c r="R44" s="95"/>
      <c r="S44" s="11"/>
      <c r="T44" s="53">
        <f t="shared" si="3"/>
        <v>0</v>
      </c>
      <c r="U44" s="136">
        <f>SUM(J27:J28)</f>
        <v>0</v>
      </c>
      <c r="V44" s="53">
        <f>+K28</f>
        <v>0</v>
      </c>
      <c r="W44" s="354">
        <f>(SUM(M27:M28)/2)</f>
        <v>0</v>
      </c>
    </row>
    <row r="45" spans="3:23" ht="12.75" thickBot="1" x14ac:dyDescent="0.25">
      <c r="C45" s="602" t="s">
        <v>124</v>
      </c>
      <c r="D45" s="603"/>
      <c r="E45" s="603"/>
      <c r="F45" s="604">
        <v>0</v>
      </c>
      <c r="G45" s="605"/>
      <c r="I45" s="282"/>
      <c r="J45" s="285"/>
      <c r="K45" s="417"/>
      <c r="L45" s="410"/>
      <c r="M45" s="346"/>
      <c r="O45" s="32"/>
      <c r="P45" s="53"/>
      <c r="Q45" s="63"/>
      <c r="R45" s="95"/>
      <c r="S45" s="11"/>
      <c r="T45" s="53">
        <f t="shared" si="3"/>
        <v>0</v>
      </c>
      <c r="U45" s="136">
        <f>SUM(J29:J30)</f>
        <v>0</v>
      </c>
      <c r="V45" s="53">
        <f>+K30</f>
        <v>0</v>
      </c>
      <c r="W45" s="354">
        <f>(SUM(M29:M30)/2)</f>
        <v>0</v>
      </c>
    </row>
    <row r="46" spans="3:23" ht="13.5" customHeight="1" thickBot="1" x14ac:dyDescent="0.25">
      <c r="C46" s="602" t="s">
        <v>224</v>
      </c>
      <c r="D46" s="603"/>
      <c r="E46" s="603"/>
      <c r="F46" s="606">
        <v>0</v>
      </c>
      <c r="G46" s="607"/>
      <c r="I46" s="597" t="s">
        <v>41</v>
      </c>
      <c r="J46" s="598"/>
      <c r="K46" s="632"/>
      <c r="L46" s="284">
        <f>SUM(L39:L45)</f>
        <v>0</v>
      </c>
      <c r="M46" s="347"/>
      <c r="O46" s="113"/>
      <c r="P46" s="264"/>
      <c r="Q46" s="265"/>
      <c r="R46" s="83"/>
      <c r="S46" s="81"/>
      <c r="T46" s="82">
        <f>+S46-Q46</f>
        <v>0</v>
      </c>
      <c r="U46" s="138">
        <f>SUM(J31:J32)</f>
        <v>0</v>
      </c>
      <c r="V46" s="55">
        <f>+K32</f>
        <v>0</v>
      </c>
      <c r="W46" s="355">
        <f>(SUM(M31:M32)/2)</f>
        <v>0</v>
      </c>
    </row>
    <row r="47" spans="3:23" ht="13.5" customHeight="1" x14ac:dyDescent="0.2">
      <c r="C47" s="602" t="s">
        <v>319</v>
      </c>
      <c r="D47" s="603"/>
      <c r="E47" s="603"/>
      <c r="F47" s="606"/>
      <c r="G47" s="607"/>
      <c r="R47" s="21"/>
      <c r="S47" s="21"/>
      <c r="T47" s="21"/>
      <c r="U47" s="139"/>
      <c r="V47" s="271"/>
    </row>
    <row r="48" spans="3:23" ht="13.5" customHeight="1" thickBot="1" x14ac:dyDescent="0.25">
      <c r="C48" s="593" t="s">
        <v>227</v>
      </c>
      <c r="D48" s="594"/>
      <c r="E48" s="594"/>
      <c r="F48" s="595"/>
      <c r="G48" s="596"/>
      <c r="R48" s="21"/>
      <c r="S48" s="21"/>
      <c r="T48" s="21"/>
      <c r="U48" s="139"/>
      <c r="V48" s="271"/>
    </row>
    <row r="49" spans="3:22" ht="13.5" thickBot="1" x14ac:dyDescent="0.25">
      <c r="C49" s="597" t="s">
        <v>42</v>
      </c>
      <c r="D49" s="598"/>
      <c r="E49" s="599"/>
      <c r="F49" s="600">
        <f>SUM(F38:G48)</f>
        <v>5826.7987999250036</v>
      </c>
      <c r="G49" s="601"/>
      <c r="R49" s="21"/>
      <c r="S49" s="21"/>
      <c r="T49" s="21"/>
      <c r="U49" s="139"/>
      <c r="V49" s="271"/>
    </row>
    <row r="50" spans="3:22" ht="13.5" customHeight="1" thickBot="1" x14ac:dyDescent="0.25">
      <c r="P50" s="588" t="s">
        <v>48</v>
      </c>
      <c r="Q50" s="589"/>
      <c r="R50" s="590"/>
      <c r="S50" s="21"/>
      <c r="T50" s="21"/>
      <c r="U50" s="139"/>
      <c r="V50" s="271"/>
    </row>
    <row r="51" spans="3:22" ht="12.75" customHeight="1" x14ac:dyDescent="0.2">
      <c r="C51" s="246" t="s">
        <v>43</v>
      </c>
      <c r="D51" s="247"/>
      <c r="E51" s="247"/>
      <c r="F51" s="247"/>
      <c r="G51" s="247"/>
      <c r="H51" s="247"/>
      <c r="I51" s="247"/>
      <c r="J51" s="247"/>
      <c r="K51" s="247"/>
      <c r="L51" s="248"/>
      <c r="M51" s="251"/>
      <c r="P51" s="78">
        <v>1</v>
      </c>
      <c r="Q51" s="584" t="s">
        <v>49</v>
      </c>
      <c r="R51" s="585"/>
      <c r="S51" s="21"/>
      <c r="T51" s="21"/>
      <c r="U51" s="249"/>
    </row>
    <row r="52" spans="3:22" ht="12.75" customHeight="1" x14ac:dyDescent="0.2">
      <c r="C52" s="250"/>
      <c r="D52" s="251"/>
      <c r="E52" s="251"/>
      <c r="F52" s="251"/>
      <c r="G52" s="251"/>
      <c r="H52" s="251"/>
      <c r="I52" s="251"/>
      <c r="J52" s="251"/>
      <c r="K52" s="251"/>
      <c r="L52" s="252"/>
      <c r="M52" s="251"/>
      <c r="P52" s="32">
        <v>2</v>
      </c>
      <c r="Q52" s="586" t="s">
        <v>135</v>
      </c>
      <c r="R52" s="587"/>
      <c r="S52" s="21"/>
      <c r="T52" s="249"/>
    </row>
    <row r="53" spans="3:22" ht="12.75" thickBot="1" x14ac:dyDescent="0.25">
      <c r="C53" s="253"/>
      <c r="D53" s="254"/>
      <c r="E53" s="254"/>
      <c r="F53" s="254"/>
      <c r="G53" s="254"/>
      <c r="H53" s="254"/>
      <c r="I53" s="254"/>
      <c r="J53" s="254"/>
      <c r="K53" s="254"/>
      <c r="L53" s="255"/>
      <c r="M53" s="251"/>
      <c r="P53" s="32">
        <v>3</v>
      </c>
      <c r="Q53" s="586" t="s">
        <v>130</v>
      </c>
      <c r="R53" s="587"/>
      <c r="S53" s="21"/>
      <c r="T53" s="249"/>
    </row>
    <row r="54" spans="3:22" x14ac:dyDescent="0.2">
      <c r="P54" s="32">
        <v>4</v>
      </c>
      <c r="Q54" s="586" t="s">
        <v>228</v>
      </c>
      <c r="R54" s="587"/>
      <c r="S54" s="21"/>
      <c r="T54" s="249"/>
    </row>
    <row r="55" spans="3:22" ht="12.75" thickBot="1" x14ac:dyDescent="0.25">
      <c r="P55" s="32">
        <v>5</v>
      </c>
      <c r="Q55" s="586" t="s">
        <v>229</v>
      </c>
      <c r="R55" s="587"/>
      <c r="S55" s="21"/>
    </row>
    <row r="56" spans="3:22" ht="14.25" customHeight="1" thickTop="1" thickBot="1" x14ac:dyDescent="0.25">
      <c r="D56" s="631" t="s">
        <v>44</v>
      </c>
      <c r="E56" s="631"/>
      <c r="F56" s="631"/>
      <c r="G56" s="631"/>
      <c r="H56" s="631"/>
      <c r="J56" s="631" t="s">
        <v>45</v>
      </c>
      <c r="K56" s="631"/>
      <c r="L56" s="631"/>
      <c r="M56" s="631"/>
      <c r="N56" s="631"/>
      <c r="P56" s="54">
        <v>6</v>
      </c>
      <c r="Q56" s="591" t="s">
        <v>230</v>
      </c>
      <c r="R56" s="592"/>
      <c r="S56" s="21"/>
      <c r="T56" s="21"/>
    </row>
    <row r="57" spans="3:22" x14ac:dyDescent="0.2">
      <c r="S57" s="21"/>
      <c r="T57" s="21"/>
    </row>
  </sheetData>
  <mergeCells count="56">
    <mergeCell ref="D56:H56"/>
    <mergeCell ref="J56:N56"/>
    <mergeCell ref="I46:K46"/>
    <mergeCell ref="C46:E46"/>
    <mergeCell ref="F46:G46"/>
    <mergeCell ref="C47:E47"/>
    <mergeCell ref="F47:G47"/>
    <mergeCell ref="F45:G45"/>
    <mergeCell ref="C45:E45"/>
    <mergeCell ref="C48:E48"/>
    <mergeCell ref="F48:G48"/>
    <mergeCell ref="C49:E49"/>
    <mergeCell ref="F49:G49"/>
    <mergeCell ref="C42:E42"/>
    <mergeCell ref="F42:G42"/>
    <mergeCell ref="C43:E43"/>
    <mergeCell ref="F43:G43"/>
    <mergeCell ref="F44:G44"/>
    <mergeCell ref="C44:E44"/>
    <mergeCell ref="C39:E39"/>
    <mergeCell ref="F39:G39"/>
    <mergeCell ref="C40:E40"/>
    <mergeCell ref="F40:G40"/>
    <mergeCell ref="C41:E41"/>
    <mergeCell ref="F41:G41"/>
    <mergeCell ref="Q37:S37"/>
    <mergeCell ref="C38:E38"/>
    <mergeCell ref="Q2:S2"/>
    <mergeCell ref="I3:O3"/>
    <mergeCell ref="Q3:S3"/>
    <mergeCell ref="I4:O4"/>
    <mergeCell ref="I5:O5"/>
    <mergeCell ref="Q5:S5"/>
    <mergeCell ref="I6:O6"/>
    <mergeCell ref="Q6:S6"/>
    <mergeCell ref="I9:O9"/>
    <mergeCell ref="L11:S11"/>
    <mergeCell ref="E12:F12"/>
    <mergeCell ref="F38:G38"/>
    <mergeCell ref="F34:G34"/>
    <mergeCell ref="F35:G35"/>
    <mergeCell ref="C37:G37"/>
    <mergeCell ref="I37:L37"/>
    <mergeCell ref="O37:P37"/>
    <mergeCell ref="D13:E13"/>
    <mergeCell ref="D14:E14"/>
    <mergeCell ref="D15:E15"/>
    <mergeCell ref="D16:E16"/>
    <mergeCell ref="E34:E35"/>
    <mergeCell ref="Q53:R53"/>
    <mergeCell ref="Q54:R54"/>
    <mergeCell ref="Q55:R55"/>
    <mergeCell ref="Q56:R56"/>
    <mergeCell ref="P50:R50"/>
    <mergeCell ref="Q51:R51"/>
    <mergeCell ref="Q52:R52"/>
  </mergeCells>
  <pageMargins left="0.19685039370078741" right="0.19685039370078741" top="0.35433070866141736" bottom="0.35433070866141736" header="0.31496062992125984" footer="0.31496062992125984"/>
  <pageSetup paperSize="9" scale="81" orientation="landscape" horizontalDpi="300" verticalDpi="300" r:id="rId1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Hoja20">
    <pageSetUpPr fitToPage="1"/>
  </sheetPr>
  <dimension ref="C1:Z58"/>
  <sheetViews>
    <sheetView zoomScaleNormal="100" workbookViewId="0">
      <selection activeCell="X34" sqref="X34"/>
    </sheetView>
  </sheetViews>
  <sheetFormatPr baseColWidth="10" defaultColWidth="9.140625" defaultRowHeight="12" x14ac:dyDescent="0.2"/>
  <cols>
    <col min="1" max="1" width="2.140625" style="14" customWidth="1"/>
    <col min="2" max="2" width="2.28515625" style="14" customWidth="1"/>
    <col min="3" max="3" width="11.7109375" style="14" customWidth="1"/>
    <col min="4" max="4" width="11.28515625" style="14" customWidth="1"/>
    <col min="5" max="5" width="7.85546875" style="14" customWidth="1"/>
    <col min="6" max="6" width="8.85546875" style="14" customWidth="1"/>
    <col min="7" max="7" width="3" style="14" bestFit="1" customWidth="1"/>
    <col min="8" max="8" width="9.85546875" style="14" customWidth="1"/>
    <col min="9" max="9" width="10.5703125" style="14" customWidth="1"/>
    <col min="10" max="10" width="9.7109375" style="14" customWidth="1"/>
    <col min="11" max="11" width="10.5703125" style="14" customWidth="1"/>
    <col min="12" max="13" width="12" style="14" customWidth="1"/>
    <col min="14" max="14" width="10" style="14" bestFit="1" customWidth="1"/>
    <col min="15" max="15" width="10.28515625" style="14" customWidth="1"/>
    <col min="16" max="16" width="12.85546875" style="14" customWidth="1"/>
    <col min="17" max="17" width="11" style="14" customWidth="1"/>
    <col min="18" max="18" width="10" style="14" hidden="1" customWidth="1"/>
    <col min="19" max="19" width="11" style="14" bestFit="1" customWidth="1"/>
    <col min="20" max="20" width="11.5703125" style="14" bestFit="1" customWidth="1"/>
    <col min="21" max="21" width="9.85546875" style="14" customWidth="1"/>
    <col min="22" max="22" width="9.28515625" style="14" customWidth="1"/>
    <col min="23" max="23" width="10" style="14" customWidth="1"/>
    <col min="24" max="24" width="9.140625" style="14" customWidth="1"/>
    <col min="25" max="259" width="9.140625" style="14"/>
    <col min="260" max="260" width="5.7109375" style="14" customWidth="1"/>
    <col min="261" max="261" width="13.140625" style="14" customWidth="1"/>
    <col min="262" max="262" width="12.28515625" style="14" customWidth="1"/>
    <col min="263" max="263" width="8.85546875" style="14" customWidth="1"/>
    <col min="264" max="264" width="10.85546875" style="14" customWidth="1"/>
    <col min="265" max="265" width="2.85546875" style="14" customWidth="1"/>
    <col min="266" max="266" width="12.140625" style="14" customWidth="1"/>
    <col min="267" max="267" width="10.140625" style="14" customWidth="1"/>
    <col min="268" max="268" width="11.7109375" style="14" customWidth="1"/>
    <col min="269" max="269" width="11.42578125" style="14" customWidth="1"/>
    <col min="270" max="270" width="12.7109375" style="14" customWidth="1"/>
    <col min="271" max="271" width="11.42578125" style="14" customWidth="1"/>
    <col min="272" max="272" width="10.7109375" style="14" customWidth="1"/>
    <col min="273" max="273" width="10.5703125" style="14" customWidth="1"/>
    <col min="274" max="274" width="11.28515625" style="14" customWidth="1"/>
    <col min="275" max="275" width="9.7109375" style="14" customWidth="1"/>
    <col min="276" max="276" width="12" style="14" customWidth="1"/>
    <col min="277" max="277" width="11.28515625" style="14" customWidth="1"/>
    <col min="278" max="515" width="9.140625" style="14"/>
    <col min="516" max="516" width="5.7109375" style="14" customWidth="1"/>
    <col min="517" max="517" width="13.140625" style="14" customWidth="1"/>
    <col min="518" max="518" width="12.28515625" style="14" customWidth="1"/>
    <col min="519" max="519" width="8.85546875" style="14" customWidth="1"/>
    <col min="520" max="520" width="10.85546875" style="14" customWidth="1"/>
    <col min="521" max="521" width="2.85546875" style="14" customWidth="1"/>
    <col min="522" max="522" width="12.140625" style="14" customWidth="1"/>
    <col min="523" max="523" width="10.140625" style="14" customWidth="1"/>
    <col min="524" max="524" width="11.7109375" style="14" customWidth="1"/>
    <col min="525" max="525" width="11.42578125" style="14" customWidth="1"/>
    <col min="526" max="526" width="12.7109375" style="14" customWidth="1"/>
    <col min="527" max="527" width="11.42578125" style="14" customWidth="1"/>
    <col min="528" max="528" width="10.7109375" style="14" customWidth="1"/>
    <col min="529" max="529" width="10.5703125" style="14" customWidth="1"/>
    <col min="530" max="530" width="11.28515625" style="14" customWidth="1"/>
    <col min="531" max="531" width="9.7109375" style="14" customWidth="1"/>
    <col min="532" max="532" width="12" style="14" customWidth="1"/>
    <col min="533" max="533" width="11.28515625" style="14" customWidth="1"/>
    <col min="534" max="771" width="9.140625" style="14"/>
    <col min="772" max="772" width="5.7109375" style="14" customWidth="1"/>
    <col min="773" max="773" width="13.140625" style="14" customWidth="1"/>
    <col min="774" max="774" width="12.28515625" style="14" customWidth="1"/>
    <col min="775" max="775" width="8.85546875" style="14" customWidth="1"/>
    <col min="776" max="776" width="10.85546875" style="14" customWidth="1"/>
    <col min="777" max="777" width="2.85546875" style="14" customWidth="1"/>
    <col min="778" max="778" width="12.140625" style="14" customWidth="1"/>
    <col min="779" max="779" width="10.140625" style="14" customWidth="1"/>
    <col min="780" max="780" width="11.7109375" style="14" customWidth="1"/>
    <col min="781" max="781" width="11.42578125" style="14" customWidth="1"/>
    <col min="782" max="782" width="12.7109375" style="14" customWidth="1"/>
    <col min="783" max="783" width="11.42578125" style="14" customWidth="1"/>
    <col min="784" max="784" width="10.7109375" style="14" customWidth="1"/>
    <col min="785" max="785" width="10.5703125" style="14" customWidth="1"/>
    <col min="786" max="786" width="11.28515625" style="14" customWidth="1"/>
    <col min="787" max="787" width="9.7109375" style="14" customWidth="1"/>
    <col min="788" max="788" width="12" style="14" customWidth="1"/>
    <col min="789" max="789" width="11.28515625" style="14" customWidth="1"/>
    <col min="790" max="1027" width="9.140625" style="14"/>
    <col min="1028" max="1028" width="5.7109375" style="14" customWidth="1"/>
    <col min="1029" max="1029" width="13.140625" style="14" customWidth="1"/>
    <col min="1030" max="1030" width="12.28515625" style="14" customWidth="1"/>
    <col min="1031" max="1031" width="8.85546875" style="14" customWidth="1"/>
    <col min="1032" max="1032" width="10.85546875" style="14" customWidth="1"/>
    <col min="1033" max="1033" width="2.85546875" style="14" customWidth="1"/>
    <col min="1034" max="1034" width="12.140625" style="14" customWidth="1"/>
    <col min="1035" max="1035" width="10.140625" style="14" customWidth="1"/>
    <col min="1036" max="1036" width="11.7109375" style="14" customWidth="1"/>
    <col min="1037" max="1037" width="11.42578125" style="14" customWidth="1"/>
    <col min="1038" max="1038" width="12.7109375" style="14" customWidth="1"/>
    <col min="1039" max="1039" width="11.42578125" style="14" customWidth="1"/>
    <col min="1040" max="1040" width="10.7109375" style="14" customWidth="1"/>
    <col min="1041" max="1041" width="10.5703125" style="14" customWidth="1"/>
    <col min="1042" max="1042" width="11.28515625" style="14" customWidth="1"/>
    <col min="1043" max="1043" width="9.7109375" style="14" customWidth="1"/>
    <col min="1044" max="1044" width="12" style="14" customWidth="1"/>
    <col min="1045" max="1045" width="11.28515625" style="14" customWidth="1"/>
    <col min="1046" max="1283" width="9.140625" style="14"/>
    <col min="1284" max="1284" width="5.7109375" style="14" customWidth="1"/>
    <col min="1285" max="1285" width="13.140625" style="14" customWidth="1"/>
    <col min="1286" max="1286" width="12.28515625" style="14" customWidth="1"/>
    <col min="1287" max="1287" width="8.85546875" style="14" customWidth="1"/>
    <col min="1288" max="1288" width="10.85546875" style="14" customWidth="1"/>
    <col min="1289" max="1289" width="2.85546875" style="14" customWidth="1"/>
    <col min="1290" max="1290" width="12.140625" style="14" customWidth="1"/>
    <col min="1291" max="1291" width="10.140625" style="14" customWidth="1"/>
    <col min="1292" max="1292" width="11.7109375" style="14" customWidth="1"/>
    <col min="1293" max="1293" width="11.42578125" style="14" customWidth="1"/>
    <col min="1294" max="1294" width="12.7109375" style="14" customWidth="1"/>
    <col min="1295" max="1295" width="11.42578125" style="14" customWidth="1"/>
    <col min="1296" max="1296" width="10.7109375" style="14" customWidth="1"/>
    <col min="1297" max="1297" width="10.5703125" style="14" customWidth="1"/>
    <col min="1298" max="1298" width="11.28515625" style="14" customWidth="1"/>
    <col min="1299" max="1299" width="9.7109375" style="14" customWidth="1"/>
    <col min="1300" max="1300" width="12" style="14" customWidth="1"/>
    <col min="1301" max="1301" width="11.28515625" style="14" customWidth="1"/>
    <col min="1302" max="1539" width="9.140625" style="14"/>
    <col min="1540" max="1540" width="5.7109375" style="14" customWidth="1"/>
    <col min="1541" max="1541" width="13.140625" style="14" customWidth="1"/>
    <col min="1542" max="1542" width="12.28515625" style="14" customWidth="1"/>
    <col min="1543" max="1543" width="8.85546875" style="14" customWidth="1"/>
    <col min="1544" max="1544" width="10.85546875" style="14" customWidth="1"/>
    <col min="1545" max="1545" width="2.85546875" style="14" customWidth="1"/>
    <col min="1546" max="1546" width="12.140625" style="14" customWidth="1"/>
    <col min="1547" max="1547" width="10.140625" style="14" customWidth="1"/>
    <col min="1548" max="1548" width="11.7109375" style="14" customWidth="1"/>
    <col min="1549" max="1549" width="11.42578125" style="14" customWidth="1"/>
    <col min="1550" max="1550" width="12.7109375" style="14" customWidth="1"/>
    <col min="1551" max="1551" width="11.42578125" style="14" customWidth="1"/>
    <col min="1552" max="1552" width="10.7109375" style="14" customWidth="1"/>
    <col min="1553" max="1553" width="10.5703125" style="14" customWidth="1"/>
    <col min="1554" max="1554" width="11.28515625" style="14" customWidth="1"/>
    <col min="1555" max="1555" width="9.7109375" style="14" customWidth="1"/>
    <col min="1556" max="1556" width="12" style="14" customWidth="1"/>
    <col min="1557" max="1557" width="11.28515625" style="14" customWidth="1"/>
    <col min="1558" max="1795" width="9.140625" style="14"/>
    <col min="1796" max="1796" width="5.7109375" style="14" customWidth="1"/>
    <col min="1797" max="1797" width="13.140625" style="14" customWidth="1"/>
    <col min="1798" max="1798" width="12.28515625" style="14" customWidth="1"/>
    <col min="1799" max="1799" width="8.85546875" style="14" customWidth="1"/>
    <col min="1800" max="1800" width="10.85546875" style="14" customWidth="1"/>
    <col min="1801" max="1801" width="2.85546875" style="14" customWidth="1"/>
    <col min="1802" max="1802" width="12.140625" style="14" customWidth="1"/>
    <col min="1803" max="1803" width="10.140625" style="14" customWidth="1"/>
    <col min="1804" max="1804" width="11.7109375" style="14" customWidth="1"/>
    <col min="1805" max="1805" width="11.42578125" style="14" customWidth="1"/>
    <col min="1806" max="1806" width="12.7109375" style="14" customWidth="1"/>
    <col min="1807" max="1807" width="11.42578125" style="14" customWidth="1"/>
    <col min="1808" max="1808" width="10.7109375" style="14" customWidth="1"/>
    <col min="1809" max="1809" width="10.5703125" style="14" customWidth="1"/>
    <col min="1810" max="1810" width="11.28515625" style="14" customWidth="1"/>
    <col min="1811" max="1811" width="9.7109375" style="14" customWidth="1"/>
    <col min="1812" max="1812" width="12" style="14" customWidth="1"/>
    <col min="1813" max="1813" width="11.28515625" style="14" customWidth="1"/>
    <col min="1814" max="2051" width="9.140625" style="14"/>
    <col min="2052" max="2052" width="5.7109375" style="14" customWidth="1"/>
    <col min="2053" max="2053" width="13.140625" style="14" customWidth="1"/>
    <col min="2054" max="2054" width="12.28515625" style="14" customWidth="1"/>
    <col min="2055" max="2055" width="8.85546875" style="14" customWidth="1"/>
    <col min="2056" max="2056" width="10.85546875" style="14" customWidth="1"/>
    <col min="2057" max="2057" width="2.85546875" style="14" customWidth="1"/>
    <col min="2058" max="2058" width="12.140625" style="14" customWidth="1"/>
    <col min="2059" max="2059" width="10.140625" style="14" customWidth="1"/>
    <col min="2060" max="2060" width="11.7109375" style="14" customWidth="1"/>
    <col min="2061" max="2061" width="11.42578125" style="14" customWidth="1"/>
    <col min="2062" max="2062" width="12.7109375" style="14" customWidth="1"/>
    <col min="2063" max="2063" width="11.42578125" style="14" customWidth="1"/>
    <col min="2064" max="2064" width="10.7109375" style="14" customWidth="1"/>
    <col min="2065" max="2065" width="10.5703125" style="14" customWidth="1"/>
    <col min="2066" max="2066" width="11.28515625" style="14" customWidth="1"/>
    <col min="2067" max="2067" width="9.7109375" style="14" customWidth="1"/>
    <col min="2068" max="2068" width="12" style="14" customWidth="1"/>
    <col min="2069" max="2069" width="11.28515625" style="14" customWidth="1"/>
    <col min="2070" max="2307" width="9.140625" style="14"/>
    <col min="2308" max="2308" width="5.7109375" style="14" customWidth="1"/>
    <col min="2309" max="2309" width="13.140625" style="14" customWidth="1"/>
    <col min="2310" max="2310" width="12.28515625" style="14" customWidth="1"/>
    <col min="2311" max="2311" width="8.85546875" style="14" customWidth="1"/>
    <col min="2312" max="2312" width="10.85546875" style="14" customWidth="1"/>
    <col min="2313" max="2313" width="2.85546875" style="14" customWidth="1"/>
    <col min="2314" max="2314" width="12.140625" style="14" customWidth="1"/>
    <col min="2315" max="2315" width="10.140625" style="14" customWidth="1"/>
    <col min="2316" max="2316" width="11.7109375" style="14" customWidth="1"/>
    <col min="2317" max="2317" width="11.42578125" style="14" customWidth="1"/>
    <col min="2318" max="2318" width="12.7109375" style="14" customWidth="1"/>
    <col min="2319" max="2319" width="11.42578125" style="14" customWidth="1"/>
    <col min="2320" max="2320" width="10.7109375" style="14" customWidth="1"/>
    <col min="2321" max="2321" width="10.5703125" style="14" customWidth="1"/>
    <col min="2322" max="2322" width="11.28515625" style="14" customWidth="1"/>
    <col min="2323" max="2323" width="9.7109375" style="14" customWidth="1"/>
    <col min="2324" max="2324" width="12" style="14" customWidth="1"/>
    <col min="2325" max="2325" width="11.28515625" style="14" customWidth="1"/>
    <col min="2326" max="2563" width="9.140625" style="14"/>
    <col min="2564" max="2564" width="5.7109375" style="14" customWidth="1"/>
    <col min="2565" max="2565" width="13.140625" style="14" customWidth="1"/>
    <col min="2566" max="2566" width="12.28515625" style="14" customWidth="1"/>
    <col min="2567" max="2567" width="8.85546875" style="14" customWidth="1"/>
    <col min="2568" max="2568" width="10.85546875" style="14" customWidth="1"/>
    <col min="2569" max="2569" width="2.85546875" style="14" customWidth="1"/>
    <col min="2570" max="2570" width="12.140625" style="14" customWidth="1"/>
    <col min="2571" max="2571" width="10.140625" style="14" customWidth="1"/>
    <col min="2572" max="2572" width="11.7109375" style="14" customWidth="1"/>
    <col min="2573" max="2573" width="11.42578125" style="14" customWidth="1"/>
    <col min="2574" max="2574" width="12.7109375" style="14" customWidth="1"/>
    <col min="2575" max="2575" width="11.42578125" style="14" customWidth="1"/>
    <col min="2576" max="2576" width="10.7109375" style="14" customWidth="1"/>
    <col min="2577" max="2577" width="10.5703125" style="14" customWidth="1"/>
    <col min="2578" max="2578" width="11.28515625" style="14" customWidth="1"/>
    <col min="2579" max="2579" width="9.7109375" style="14" customWidth="1"/>
    <col min="2580" max="2580" width="12" style="14" customWidth="1"/>
    <col min="2581" max="2581" width="11.28515625" style="14" customWidth="1"/>
    <col min="2582" max="2819" width="9.140625" style="14"/>
    <col min="2820" max="2820" width="5.7109375" style="14" customWidth="1"/>
    <col min="2821" max="2821" width="13.140625" style="14" customWidth="1"/>
    <col min="2822" max="2822" width="12.28515625" style="14" customWidth="1"/>
    <col min="2823" max="2823" width="8.85546875" style="14" customWidth="1"/>
    <col min="2824" max="2824" width="10.85546875" style="14" customWidth="1"/>
    <col min="2825" max="2825" width="2.85546875" style="14" customWidth="1"/>
    <col min="2826" max="2826" width="12.140625" style="14" customWidth="1"/>
    <col min="2827" max="2827" width="10.140625" style="14" customWidth="1"/>
    <col min="2828" max="2828" width="11.7109375" style="14" customWidth="1"/>
    <col min="2829" max="2829" width="11.42578125" style="14" customWidth="1"/>
    <col min="2830" max="2830" width="12.7109375" style="14" customWidth="1"/>
    <col min="2831" max="2831" width="11.42578125" style="14" customWidth="1"/>
    <col min="2832" max="2832" width="10.7109375" style="14" customWidth="1"/>
    <col min="2833" max="2833" width="10.5703125" style="14" customWidth="1"/>
    <col min="2834" max="2834" width="11.28515625" style="14" customWidth="1"/>
    <col min="2835" max="2835" width="9.7109375" style="14" customWidth="1"/>
    <col min="2836" max="2836" width="12" style="14" customWidth="1"/>
    <col min="2837" max="2837" width="11.28515625" style="14" customWidth="1"/>
    <col min="2838" max="3075" width="9.140625" style="14"/>
    <col min="3076" max="3076" width="5.7109375" style="14" customWidth="1"/>
    <col min="3077" max="3077" width="13.140625" style="14" customWidth="1"/>
    <col min="3078" max="3078" width="12.28515625" style="14" customWidth="1"/>
    <col min="3079" max="3079" width="8.85546875" style="14" customWidth="1"/>
    <col min="3080" max="3080" width="10.85546875" style="14" customWidth="1"/>
    <col min="3081" max="3081" width="2.85546875" style="14" customWidth="1"/>
    <col min="3082" max="3082" width="12.140625" style="14" customWidth="1"/>
    <col min="3083" max="3083" width="10.140625" style="14" customWidth="1"/>
    <col min="3084" max="3084" width="11.7109375" style="14" customWidth="1"/>
    <col min="3085" max="3085" width="11.42578125" style="14" customWidth="1"/>
    <col min="3086" max="3086" width="12.7109375" style="14" customWidth="1"/>
    <col min="3087" max="3087" width="11.42578125" style="14" customWidth="1"/>
    <col min="3088" max="3088" width="10.7109375" style="14" customWidth="1"/>
    <col min="3089" max="3089" width="10.5703125" style="14" customWidth="1"/>
    <col min="3090" max="3090" width="11.28515625" style="14" customWidth="1"/>
    <col min="3091" max="3091" width="9.7109375" style="14" customWidth="1"/>
    <col min="3092" max="3092" width="12" style="14" customWidth="1"/>
    <col min="3093" max="3093" width="11.28515625" style="14" customWidth="1"/>
    <col min="3094" max="3331" width="9.140625" style="14"/>
    <col min="3332" max="3332" width="5.7109375" style="14" customWidth="1"/>
    <col min="3333" max="3333" width="13.140625" style="14" customWidth="1"/>
    <col min="3334" max="3334" width="12.28515625" style="14" customWidth="1"/>
    <col min="3335" max="3335" width="8.85546875" style="14" customWidth="1"/>
    <col min="3336" max="3336" width="10.85546875" style="14" customWidth="1"/>
    <col min="3337" max="3337" width="2.85546875" style="14" customWidth="1"/>
    <col min="3338" max="3338" width="12.140625" style="14" customWidth="1"/>
    <col min="3339" max="3339" width="10.140625" style="14" customWidth="1"/>
    <col min="3340" max="3340" width="11.7109375" style="14" customWidth="1"/>
    <col min="3341" max="3341" width="11.42578125" style="14" customWidth="1"/>
    <col min="3342" max="3342" width="12.7109375" style="14" customWidth="1"/>
    <col min="3343" max="3343" width="11.42578125" style="14" customWidth="1"/>
    <col min="3344" max="3344" width="10.7109375" style="14" customWidth="1"/>
    <col min="3345" max="3345" width="10.5703125" style="14" customWidth="1"/>
    <col min="3346" max="3346" width="11.28515625" style="14" customWidth="1"/>
    <col min="3347" max="3347" width="9.7109375" style="14" customWidth="1"/>
    <col min="3348" max="3348" width="12" style="14" customWidth="1"/>
    <col min="3349" max="3349" width="11.28515625" style="14" customWidth="1"/>
    <col min="3350" max="3587" width="9.140625" style="14"/>
    <col min="3588" max="3588" width="5.7109375" style="14" customWidth="1"/>
    <col min="3589" max="3589" width="13.140625" style="14" customWidth="1"/>
    <col min="3590" max="3590" width="12.28515625" style="14" customWidth="1"/>
    <col min="3591" max="3591" width="8.85546875" style="14" customWidth="1"/>
    <col min="3592" max="3592" width="10.85546875" style="14" customWidth="1"/>
    <col min="3593" max="3593" width="2.85546875" style="14" customWidth="1"/>
    <col min="3594" max="3594" width="12.140625" style="14" customWidth="1"/>
    <col min="3595" max="3595" width="10.140625" style="14" customWidth="1"/>
    <col min="3596" max="3596" width="11.7109375" style="14" customWidth="1"/>
    <col min="3597" max="3597" width="11.42578125" style="14" customWidth="1"/>
    <col min="3598" max="3598" width="12.7109375" style="14" customWidth="1"/>
    <col min="3599" max="3599" width="11.42578125" style="14" customWidth="1"/>
    <col min="3600" max="3600" width="10.7109375" style="14" customWidth="1"/>
    <col min="3601" max="3601" width="10.5703125" style="14" customWidth="1"/>
    <col min="3602" max="3602" width="11.28515625" style="14" customWidth="1"/>
    <col min="3603" max="3603" width="9.7109375" style="14" customWidth="1"/>
    <col min="3604" max="3604" width="12" style="14" customWidth="1"/>
    <col min="3605" max="3605" width="11.28515625" style="14" customWidth="1"/>
    <col min="3606" max="3843" width="9.140625" style="14"/>
    <col min="3844" max="3844" width="5.7109375" style="14" customWidth="1"/>
    <col min="3845" max="3845" width="13.140625" style="14" customWidth="1"/>
    <col min="3846" max="3846" width="12.28515625" style="14" customWidth="1"/>
    <col min="3847" max="3847" width="8.85546875" style="14" customWidth="1"/>
    <col min="3848" max="3848" width="10.85546875" style="14" customWidth="1"/>
    <col min="3849" max="3849" width="2.85546875" style="14" customWidth="1"/>
    <col min="3850" max="3850" width="12.140625" style="14" customWidth="1"/>
    <col min="3851" max="3851" width="10.140625" style="14" customWidth="1"/>
    <col min="3852" max="3852" width="11.7109375" style="14" customWidth="1"/>
    <col min="3853" max="3853" width="11.42578125" style="14" customWidth="1"/>
    <col min="3854" max="3854" width="12.7109375" style="14" customWidth="1"/>
    <col min="3855" max="3855" width="11.42578125" style="14" customWidth="1"/>
    <col min="3856" max="3856" width="10.7109375" style="14" customWidth="1"/>
    <col min="3857" max="3857" width="10.5703125" style="14" customWidth="1"/>
    <col min="3858" max="3858" width="11.28515625" style="14" customWidth="1"/>
    <col min="3859" max="3859" width="9.7109375" style="14" customWidth="1"/>
    <col min="3860" max="3860" width="12" style="14" customWidth="1"/>
    <col min="3861" max="3861" width="11.28515625" style="14" customWidth="1"/>
    <col min="3862" max="4099" width="9.140625" style="14"/>
    <col min="4100" max="4100" width="5.7109375" style="14" customWidth="1"/>
    <col min="4101" max="4101" width="13.140625" style="14" customWidth="1"/>
    <col min="4102" max="4102" width="12.28515625" style="14" customWidth="1"/>
    <col min="4103" max="4103" width="8.85546875" style="14" customWidth="1"/>
    <col min="4104" max="4104" width="10.85546875" style="14" customWidth="1"/>
    <col min="4105" max="4105" width="2.85546875" style="14" customWidth="1"/>
    <col min="4106" max="4106" width="12.140625" style="14" customWidth="1"/>
    <col min="4107" max="4107" width="10.140625" style="14" customWidth="1"/>
    <col min="4108" max="4108" width="11.7109375" style="14" customWidth="1"/>
    <col min="4109" max="4109" width="11.42578125" style="14" customWidth="1"/>
    <col min="4110" max="4110" width="12.7109375" style="14" customWidth="1"/>
    <col min="4111" max="4111" width="11.42578125" style="14" customWidth="1"/>
    <col min="4112" max="4112" width="10.7109375" style="14" customWidth="1"/>
    <col min="4113" max="4113" width="10.5703125" style="14" customWidth="1"/>
    <col min="4114" max="4114" width="11.28515625" style="14" customWidth="1"/>
    <col min="4115" max="4115" width="9.7109375" style="14" customWidth="1"/>
    <col min="4116" max="4116" width="12" style="14" customWidth="1"/>
    <col min="4117" max="4117" width="11.28515625" style="14" customWidth="1"/>
    <col min="4118" max="4355" width="9.140625" style="14"/>
    <col min="4356" max="4356" width="5.7109375" style="14" customWidth="1"/>
    <col min="4357" max="4357" width="13.140625" style="14" customWidth="1"/>
    <col min="4358" max="4358" width="12.28515625" style="14" customWidth="1"/>
    <col min="4359" max="4359" width="8.85546875" style="14" customWidth="1"/>
    <col min="4360" max="4360" width="10.85546875" style="14" customWidth="1"/>
    <col min="4361" max="4361" width="2.85546875" style="14" customWidth="1"/>
    <col min="4362" max="4362" width="12.140625" style="14" customWidth="1"/>
    <col min="4363" max="4363" width="10.140625" style="14" customWidth="1"/>
    <col min="4364" max="4364" width="11.7109375" style="14" customWidth="1"/>
    <col min="4365" max="4365" width="11.42578125" style="14" customWidth="1"/>
    <col min="4366" max="4366" width="12.7109375" style="14" customWidth="1"/>
    <col min="4367" max="4367" width="11.42578125" style="14" customWidth="1"/>
    <col min="4368" max="4368" width="10.7109375" style="14" customWidth="1"/>
    <col min="4369" max="4369" width="10.5703125" style="14" customWidth="1"/>
    <col min="4370" max="4370" width="11.28515625" style="14" customWidth="1"/>
    <col min="4371" max="4371" width="9.7109375" style="14" customWidth="1"/>
    <col min="4372" max="4372" width="12" style="14" customWidth="1"/>
    <col min="4373" max="4373" width="11.28515625" style="14" customWidth="1"/>
    <col min="4374" max="4611" width="9.140625" style="14"/>
    <col min="4612" max="4612" width="5.7109375" style="14" customWidth="1"/>
    <col min="4613" max="4613" width="13.140625" style="14" customWidth="1"/>
    <col min="4614" max="4614" width="12.28515625" style="14" customWidth="1"/>
    <col min="4615" max="4615" width="8.85546875" style="14" customWidth="1"/>
    <col min="4616" max="4616" width="10.85546875" style="14" customWidth="1"/>
    <col min="4617" max="4617" width="2.85546875" style="14" customWidth="1"/>
    <col min="4618" max="4618" width="12.140625" style="14" customWidth="1"/>
    <col min="4619" max="4619" width="10.140625" style="14" customWidth="1"/>
    <col min="4620" max="4620" width="11.7109375" style="14" customWidth="1"/>
    <col min="4621" max="4621" width="11.42578125" style="14" customWidth="1"/>
    <col min="4622" max="4622" width="12.7109375" style="14" customWidth="1"/>
    <col min="4623" max="4623" width="11.42578125" style="14" customWidth="1"/>
    <col min="4624" max="4624" width="10.7109375" style="14" customWidth="1"/>
    <col min="4625" max="4625" width="10.5703125" style="14" customWidth="1"/>
    <col min="4626" max="4626" width="11.28515625" style="14" customWidth="1"/>
    <col min="4627" max="4627" width="9.7109375" style="14" customWidth="1"/>
    <col min="4628" max="4628" width="12" style="14" customWidth="1"/>
    <col min="4629" max="4629" width="11.28515625" style="14" customWidth="1"/>
    <col min="4630" max="4867" width="9.140625" style="14"/>
    <col min="4868" max="4868" width="5.7109375" style="14" customWidth="1"/>
    <col min="4869" max="4869" width="13.140625" style="14" customWidth="1"/>
    <col min="4870" max="4870" width="12.28515625" style="14" customWidth="1"/>
    <col min="4871" max="4871" width="8.85546875" style="14" customWidth="1"/>
    <col min="4872" max="4872" width="10.85546875" style="14" customWidth="1"/>
    <col min="4873" max="4873" width="2.85546875" style="14" customWidth="1"/>
    <col min="4874" max="4874" width="12.140625" style="14" customWidth="1"/>
    <col min="4875" max="4875" width="10.140625" style="14" customWidth="1"/>
    <col min="4876" max="4876" width="11.7109375" style="14" customWidth="1"/>
    <col min="4877" max="4877" width="11.42578125" style="14" customWidth="1"/>
    <col min="4878" max="4878" width="12.7109375" style="14" customWidth="1"/>
    <col min="4879" max="4879" width="11.42578125" style="14" customWidth="1"/>
    <col min="4880" max="4880" width="10.7109375" style="14" customWidth="1"/>
    <col min="4881" max="4881" width="10.5703125" style="14" customWidth="1"/>
    <col min="4882" max="4882" width="11.28515625" style="14" customWidth="1"/>
    <col min="4883" max="4883" width="9.7109375" style="14" customWidth="1"/>
    <col min="4884" max="4884" width="12" style="14" customWidth="1"/>
    <col min="4885" max="4885" width="11.28515625" style="14" customWidth="1"/>
    <col min="4886" max="5123" width="9.140625" style="14"/>
    <col min="5124" max="5124" width="5.7109375" style="14" customWidth="1"/>
    <col min="5125" max="5125" width="13.140625" style="14" customWidth="1"/>
    <col min="5126" max="5126" width="12.28515625" style="14" customWidth="1"/>
    <col min="5127" max="5127" width="8.85546875" style="14" customWidth="1"/>
    <col min="5128" max="5128" width="10.85546875" style="14" customWidth="1"/>
    <col min="5129" max="5129" width="2.85546875" style="14" customWidth="1"/>
    <col min="5130" max="5130" width="12.140625" style="14" customWidth="1"/>
    <col min="5131" max="5131" width="10.140625" style="14" customWidth="1"/>
    <col min="5132" max="5132" width="11.7109375" style="14" customWidth="1"/>
    <col min="5133" max="5133" width="11.42578125" style="14" customWidth="1"/>
    <col min="5134" max="5134" width="12.7109375" style="14" customWidth="1"/>
    <col min="5135" max="5135" width="11.42578125" style="14" customWidth="1"/>
    <col min="5136" max="5136" width="10.7109375" style="14" customWidth="1"/>
    <col min="5137" max="5137" width="10.5703125" style="14" customWidth="1"/>
    <col min="5138" max="5138" width="11.28515625" style="14" customWidth="1"/>
    <col min="5139" max="5139" width="9.7109375" style="14" customWidth="1"/>
    <col min="5140" max="5140" width="12" style="14" customWidth="1"/>
    <col min="5141" max="5141" width="11.28515625" style="14" customWidth="1"/>
    <col min="5142" max="5379" width="9.140625" style="14"/>
    <col min="5380" max="5380" width="5.7109375" style="14" customWidth="1"/>
    <col min="5381" max="5381" width="13.140625" style="14" customWidth="1"/>
    <col min="5382" max="5382" width="12.28515625" style="14" customWidth="1"/>
    <col min="5383" max="5383" width="8.85546875" style="14" customWidth="1"/>
    <col min="5384" max="5384" width="10.85546875" style="14" customWidth="1"/>
    <col min="5385" max="5385" width="2.85546875" style="14" customWidth="1"/>
    <col min="5386" max="5386" width="12.140625" style="14" customWidth="1"/>
    <col min="5387" max="5387" width="10.140625" style="14" customWidth="1"/>
    <col min="5388" max="5388" width="11.7109375" style="14" customWidth="1"/>
    <col min="5389" max="5389" width="11.42578125" style="14" customWidth="1"/>
    <col min="5390" max="5390" width="12.7109375" style="14" customWidth="1"/>
    <col min="5391" max="5391" width="11.42578125" style="14" customWidth="1"/>
    <col min="5392" max="5392" width="10.7109375" style="14" customWidth="1"/>
    <col min="5393" max="5393" width="10.5703125" style="14" customWidth="1"/>
    <col min="5394" max="5394" width="11.28515625" style="14" customWidth="1"/>
    <col min="5395" max="5395" width="9.7109375" style="14" customWidth="1"/>
    <col min="5396" max="5396" width="12" style="14" customWidth="1"/>
    <col min="5397" max="5397" width="11.28515625" style="14" customWidth="1"/>
    <col min="5398" max="5635" width="9.140625" style="14"/>
    <col min="5636" max="5636" width="5.7109375" style="14" customWidth="1"/>
    <col min="5637" max="5637" width="13.140625" style="14" customWidth="1"/>
    <col min="5638" max="5638" width="12.28515625" style="14" customWidth="1"/>
    <col min="5639" max="5639" width="8.85546875" style="14" customWidth="1"/>
    <col min="5640" max="5640" width="10.85546875" style="14" customWidth="1"/>
    <col min="5641" max="5641" width="2.85546875" style="14" customWidth="1"/>
    <col min="5642" max="5642" width="12.140625" style="14" customWidth="1"/>
    <col min="5643" max="5643" width="10.140625" style="14" customWidth="1"/>
    <col min="5644" max="5644" width="11.7109375" style="14" customWidth="1"/>
    <col min="5645" max="5645" width="11.42578125" style="14" customWidth="1"/>
    <col min="5646" max="5646" width="12.7109375" style="14" customWidth="1"/>
    <col min="5647" max="5647" width="11.42578125" style="14" customWidth="1"/>
    <col min="5648" max="5648" width="10.7109375" style="14" customWidth="1"/>
    <col min="5649" max="5649" width="10.5703125" style="14" customWidth="1"/>
    <col min="5650" max="5650" width="11.28515625" style="14" customWidth="1"/>
    <col min="5651" max="5651" width="9.7109375" style="14" customWidth="1"/>
    <col min="5652" max="5652" width="12" style="14" customWidth="1"/>
    <col min="5653" max="5653" width="11.28515625" style="14" customWidth="1"/>
    <col min="5654" max="5891" width="9.140625" style="14"/>
    <col min="5892" max="5892" width="5.7109375" style="14" customWidth="1"/>
    <col min="5893" max="5893" width="13.140625" style="14" customWidth="1"/>
    <col min="5894" max="5894" width="12.28515625" style="14" customWidth="1"/>
    <col min="5895" max="5895" width="8.85546875" style="14" customWidth="1"/>
    <col min="5896" max="5896" width="10.85546875" style="14" customWidth="1"/>
    <col min="5897" max="5897" width="2.85546875" style="14" customWidth="1"/>
    <col min="5898" max="5898" width="12.140625" style="14" customWidth="1"/>
    <col min="5899" max="5899" width="10.140625" style="14" customWidth="1"/>
    <col min="5900" max="5900" width="11.7109375" style="14" customWidth="1"/>
    <col min="5901" max="5901" width="11.42578125" style="14" customWidth="1"/>
    <col min="5902" max="5902" width="12.7109375" style="14" customWidth="1"/>
    <col min="5903" max="5903" width="11.42578125" style="14" customWidth="1"/>
    <col min="5904" max="5904" width="10.7109375" style="14" customWidth="1"/>
    <col min="5905" max="5905" width="10.5703125" style="14" customWidth="1"/>
    <col min="5906" max="5906" width="11.28515625" style="14" customWidth="1"/>
    <col min="5907" max="5907" width="9.7109375" style="14" customWidth="1"/>
    <col min="5908" max="5908" width="12" style="14" customWidth="1"/>
    <col min="5909" max="5909" width="11.28515625" style="14" customWidth="1"/>
    <col min="5910" max="6147" width="9.140625" style="14"/>
    <col min="6148" max="6148" width="5.7109375" style="14" customWidth="1"/>
    <col min="6149" max="6149" width="13.140625" style="14" customWidth="1"/>
    <col min="6150" max="6150" width="12.28515625" style="14" customWidth="1"/>
    <col min="6151" max="6151" width="8.85546875" style="14" customWidth="1"/>
    <col min="6152" max="6152" width="10.85546875" style="14" customWidth="1"/>
    <col min="6153" max="6153" width="2.85546875" style="14" customWidth="1"/>
    <col min="6154" max="6154" width="12.140625" style="14" customWidth="1"/>
    <col min="6155" max="6155" width="10.140625" style="14" customWidth="1"/>
    <col min="6156" max="6156" width="11.7109375" style="14" customWidth="1"/>
    <col min="6157" max="6157" width="11.42578125" style="14" customWidth="1"/>
    <col min="6158" max="6158" width="12.7109375" style="14" customWidth="1"/>
    <col min="6159" max="6159" width="11.42578125" style="14" customWidth="1"/>
    <col min="6160" max="6160" width="10.7109375" style="14" customWidth="1"/>
    <col min="6161" max="6161" width="10.5703125" style="14" customWidth="1"/>
    <col min="6162" max="6162" width="11.28515625" style="14" customWidth="1"/>
    <col min="6163" max="6163" width="9.7109375" style="14" customWidth="1"/>
    <col min="6164" max="6164" width="12" style="14" customWidth="1"/>
    <col min="6165" max="6165" width="11.28515625" style="14" customWidth="1"/>
    <col min="6166" max="6403" width="9.140625" style="14"/>
    <col min="6404" max="6404" width="5.7109375" style="14" customWidth="1"/>
    <col min="6405" max="6405" width="13.140625" style="14" customWidth="1"/>
    <col min="6406" max="6406" width="12.28515625" style="14" customWidth="1"/>
    <col min="6407" max="6407" width="8.85546875" style="14" customWidth="1"/>
    <col min="6408" max="6408" width="10.85546875" style="14" customWidth="1"/>
    <col min="6409" max="6409" width="2.85546875" style="14" customWidth="1"/>
    <col min="6410" max="6410" width="12.140625" style="14" customWidth="1"/>
    <col min="6411" max="6411" width="10.140625" style="14" customWidth="1"/>
    <col min="6412" max="6412" width="11.7109375" style="14" customWidth="1"/>
    <col min="6413" max="6413" width="11.42578125" style="14" customWidth="1"/>
    <col min="6414" max="6414" width="12.7109375" style="14" customWidth="1"/>
    <col min="6415" max="6415" width="11.42578125" style="14" customWidth="1"/>
    <col min="6416" max="6416" width="10.7109375" style="14" customWidth="1"/>
    <col min="6417" max="6417" width="10.5703125" style="14" customWidth="1"/>
    <col min="6418" max="6418" width="11.28515625" style="14" customWidth="1"/>
    <col min="6419" max="6419" width="9.7109375" style="14" customWidth="1"/>
    <col min="6420" max="6420" width="12" style="14" customWidth="1"/>
    <col min="6421" max="6421" width="11.28515625" style="14" customWidth="1"/>
    <col min="6422" max="6659" width="9.140625" style="14"/>
    <col min="6660" max="6660" width="5.7109375" style="14" customWidth="1"/>
    <col min="6661" max="6661" width="13.140625" style="14" customWidth="1"/>
    <col min="6662" max="6662" width="12.28515625" style="14" customWidth="1"/>
    <col min="6663" max="6663" width="8.85546875" style="14" customWidth="1"/>
    <col min="6664" max="6664" width="10.85546875" style="14" customWidth="1"/>
    <col min="6665" max="6665" width="2.85546875" style="14" customWidth="1"/>
    <col min="6666" max="6666" width="12.140625" style="14" customWidth="1"/>
    <col min="6667" max="6667" width="10.140625" style="14" customWidth="1"/>
    <col min="6668" max="6668" width="11.7109375" style="14" customWidth="1"/>
    <col min="6669" max="6669" width="11.42578125" style="14" customWidth="1"/>
    <col min="6670" max="6670" width="12.7109375" style="14" customWidth="1"/>
    <col min="6671" max="6671" width="11.42578125" style="14" customWidth="1"/>
    <col min="6672" max="6672" width="10.7109375" style="14" customWidth="1"/>
    <col min="6673" max="6673" width="10.5703125" style="14" customWidth="1"/>
    <col min="6674" max="6674" width="11.28515625" style="14" customWidth="1"/>
    <col min="6675" max="6675" width="9.7109375" style="14" customWidth="1"/>
    <col min="6676" max="6676" width="12" style="14" customWidth="1"/>
    <col min="6677" max="6677" width="11.28515625" style="14" customWidth="1"/>
    <col min="6678" max="6915" width="9.140625" style="14"/>
    <col min="6916" max="6916" width="5.7109375" style="14" customWidth="1"/>
    <col min="6917" max="6917" width="13.140625" style="14" customWidth="1"/>
    <col min="6918" max="6918" width="12.28515625" style="14" customWidth="1"/>
    <col min="6919" max="6919" width="8.85546875" style="14" customWidth="1"/>
    <col min="6920" max="6920" width="10.85546875" style="14" customWidth="1"/>
    <col min="6921" max="6921" width="2.85546875" style="14" customWidth="1"/>
    <col min="6922" max="6922" width="12.140625" style="14" customWidth="1"/>
    <col min="6923" max="6923" width="10.140625" style="14" customWidth="1"/>
    <col min="6924" max="6924" width="11.7109375" style="14" customWidth="1"/>
    <col min="6925" max="6925" width="11.42578125" style="14" customWidth="1"/>
    <col min="6926" max="6926" width="12.7109375" style="14" customWidth="1"/>
    <col min="6927" max="6927" width="11.42578125" style="14" customWidth="1"/>
    <col min="6928" max="6928" width="10.7109375" style="14" customWidth="1"/>
    <col min="6929" max="6929" width="10.5703125" style="14" customWidth="1"/>
    <col min="6930" max="6930" width="11.28515625" style="14" customWidth="1"/>
    <col min="6931" max="6931" width="9.7109375" style="14" customWidth="1"/>
    <col min="6932" max="6932" width="12" style="14" customWidth="1"/>
    <col min="6933" max="6933" width="11.28515625" style="14" customWidth="1"/>
    <col min="6934" max="7171" width="9.140625" style="14"/>
    <col min="7172" max="7172" width="5.7109375" style="14" customWidth="1"/>
    <col min="7173" max="7173" width="13.140625" style="14" customWidth="1"/>
    <col min="7174" max="7174" width="12.28515625" style="14" customWidth="1"/>
    <col min="7175" max="7175" width="8.85546875" style="14" customWidth="1"/>
    <col min="7176" max="7176" width="10.85546875" style="14" customWidth="1"/>
    <col min="7177" max="7177" width="2.85546875" style="14" customWidth="1"/>
    <col min="7178" max="7178" width="12.140625" style="14" customWidth="1"/>
    <col min="7179" max="7179" width="10.140625" style="14" customWidth="1"/>
    <col min="7180" max="7180" width="11.7109375" style="14" customWidth="1"/>
    <col min="7181" max="7181" width="11.42578125" style="14" customWidth="1"/>
    <col min="7182" max="7182" width="12.7109375" style="14" customWidth="1"/>
    <col min="7183" max="7183" width="11.42578125" style="14" customWidth="1"/>
    <col min="7184" max="7184" width="10.7109375" style="14" customWidth="1"/>
    <col min="7185" max="7185" width="10.5703125" style="14" customWidth="1"/>
    <col min="7186" max="7186" width="11.28515625" style="14" customWidth="1"/>
    <col min="7187" max="7187" width="9.7109375" style="14" customWidth="1"/>
    <col min="7188" max="7188" width="12" style="14" customWidth="1"/>
    <col min="7189" max="7189" width="11.28515625" style="14" customWidth="1"/>
    <col min="7190" max="7427" width="9.140625" style="14"/>
    <col min="7428" max="7428" width="5.7109375" style="14" customWidth="1"/>
    <col min="7429" max="7429" width="13.140625" style="14" customWidth="1"/>
    <col min="7430" max="7430" width="12.28515625" style="14" customWidth="1"/>
    <col min="7431" max="7431" width="8.85546875" style="14" customWidth="1"/>
    <col min="7432" max="7432" width="10.85546875" style="14" customWidth="1"/>
    <col min="7433" max="7433" width="2.85546875" style="14" customWidth="1"/>
    <col min="7434" max="7434" width="12.140625" style="14" customWidth="1"/>
    <col min="7435" max="7435" width="10.140625" style="14" customWidth="1"/>
    <col min="7436" max="7436" width="11.7109375" style="14" customWidth="1"/>
    <col min="7437" max="7437" width="11.42578125" style="14" customWidth="1"/>
    <col min="7438" max="7438" width="12.7109375" style="14" customWidth="1"/>
    <col min="7439" max="7439" width="11.42578125" style="14" customWidth="1"/>
    <col min="7440" max="7440" width="10.7109375" style="14" customWidth="1"/>
    <col min="7441" max="7441" width="10.5703125" style="14" customWidth="1"/>
    <col min="7442" max="7442" width="11.28515625" style="14" customWidth="1"/>
    <col min="7443" max="7443" width="9.7109375" style="14" customWidth="1"/>
    <col min="7444" max="7444" width="12" style="14" customWidth="1"/>
    <col min="7445" max="7445" width="11.28515625" style="14" customWidth="1"/>
    <col min="7446" max="7683" width="9.140625" style="14"/>
    <col min="7684" max="7684" width="5.7109375" style="14" customWidth="1"/>
    <col min="7685" max="7685" width="13.140625" style="14" customWidth="1"/>
    <col min="7686" max="7686" width="12.28515625" style="14" customWidth="1"/>
    <col min="7687" max="7687" width="8.85546875" style="14" customWidth="1"/>
    <col min="7688" max="7688" width="10.85546875" style="14" customWidth="1"/>
    <col min="7689" max="7689" width="2.85546875" style="14" customWidth="1"/>
    <col min="7690" max="7690" width="12.140625" style="14" customWidth="1"/>
    <col min="7691" max="7691" width="10.140625" style="14" customWidth="1"/>
    <col min="7692" max="7692" width="11.7109375" style="14" customWidth="1"/>
    <col min="7693" max="7693" width="11.42578125" style="14" customWidth="1"/>
    <col min="7694" max="7694" width="12.7109375" style="14" customWidth="1"/>
    <col min="7695" max="7695" width="11.42578125" style="14" customWidth="1"/>
    <col min="7696" max="7696" width="10.7109375" style="14" customWidth="1"/>
    <col min="7697" max="7697" width="10.5703125" style="14" customWidth="1"/>
    <col min="7698" max="7698" width="11.28515625" style="14" customWidth="1"/>
    <col min="7699" max="7699" width="9.7109375" style="14" customWidth="1"/>
    <col min="7700" max="7700" width="12" style="14" customWidth="1"/>
    <col min="7701" max="7701" width="11.28515625" style="14" customWidth="1"/>
    <col min="7702" max="7939" width="9.140625" style="14"/>
    <col min="7940" max="7940" width="5.7109375" style="14" customWidth="1"/>
    <col min="7941" max="7941" width="13.140625" style="14" customWidth="1"/>
    <col min="7942" max="7942" width="12.28515625" style="14" customWidth="1"/>
    <col min="7943" max="7943" width="8.85546875" style="14" customWidth="1"/>
    <col min="7944" max="7944" width="10.85546875" style="14" customWidth="1"/>
    <col min="7945" max="7945" width="2.85546875" style="14" customWidth="1"/>
    <col min="7946" max="7946" width="12.140625" style="14" customWidth="1"/>
    <col min="7947" max="7947" width="10.140625" style="14" customWidth="1"/>
    <col min="7948" max="7948" width="11.7109375" style="14" customWidth="1"/>
    <col min="7949" max="7949" width="11.42578125" style="14" customWidth="1"/>
    <col min="7950" max="7950" width="12.7109375" style="14" customWidth="1"/>
    <col min="7951" max="7951" width="11.42578125" style="14" customWidth="1"/>
    <col min="7952" max="7952" width="10.7109375" style="14" customWidth="1"/>
    <col min="7953" max="7953" width="10.5703125" style="14" customWidth="1"/>
    <col min="7954" max="7954" width="11.28515625" style="14" customWidth="1"/>
    <col min="7955" max="7955" width="9.7109375" style="14" customWidth="1"/>
    <col min="7956" max="7956" width="12" style="14" customWidth="1"/>
    <col min="7957" max="7957" width="11.28515625" style="14" customWidth="1"/>
    <col min="7958" max="8195" width="9.140625" style="14"/>
    <col min="8196" max="8196" width="5.7109375" style="14" customWidth="1"/>
    <col min="8197" max="8197" width="13.140625" style="14" customWidth="1"/>
    <col min="8198" max="8198" width="12.28515625" style="14" customWidth="1"/>
    <col min="8199" max="8199" width="8.85546875" style="14" customWidth="1"/>
    <col min="8200" max="8200" width="10.85546875" style="14" customWidth="1"/>
    <col min="8201" max="8201" width="2.85546875" style="14" customWidth="1"/>
    <col min="8202" max="8202" width="12.140625" style="14" customWidth="1"/>
    <col min="8203" max="8203" width="10.140625" style="14" customWidth="1"/>
    <col min="8204" max="8204" width="11.7109375" style="14" customWidth="1"/>
    <col min="8205" max="8205" width="11.42578125" style="14" customWidth="1"/>
    <col min="8206" max="8206" width="12.7109375" style="14" customWidth="1"/>
    <col min="8207" max="8207" width="11.42578125" style="14" customWidth="1"/>
    <col min="8208" max="8208" width="10.7109375" style="14" customWidth="1"/>
    <col min="8209" max="8209" width="10.5703125" style="14" customWidth="1"/>
    <col min="8210" max="8210" width="11.28515625" style="14" customWidth="1"/>
    <col min="8211" max="8211" width="9.7109375" style="14" customWidth="1"/>
    <col min="8212" max="8212" width="12" style="14" customWidth="1"/>
    <col min="8213" max="8213" width="11.28515625" style="14" customWidth="1"/>
    <col min="8214" max="8451" width="9.140625" style="14"/>
    <col min="8452" max="8452" width="5.7109375" style="14" customWidth="1"/>
    <col min="8453" max="8453" width="13.140625" style="14" customWidth="1"/>
    <col min="8454" max="8454" width="12.28515625" style="14" customWidth="1"/>
    <col min="8455" max="8455" width="8.85546875" style="14" customWidth="1"/>
    <col min="8456" max="8456" width="10.85546875" style="14" customWidth="1"/>
    <col min="8457" max="8457" width="2.85546875" style="14" customWidth="1"/>
    <col min="8458" max="8458" width="12.140625" style="14" customWidth="1"/>
    <col min="8459" max="8459" width="10.140625" style="14" customWidth="1"/>
    <col min="8460" max="8460" width="11.7109375" style="14" customWidth="1"/>
    <col min="8461" max="8461" width="11.42578125" style="14" customWidth="1"/>
    <col min="8462" max="8462" width="12.7109375" style="14" customWidth="1"/>
    <col min="8463" max="8463" width="11.42578125" style="14" customWidth="1"/>
    <col min="8464" max="8464" width="10.7109375" style="14" customWidth="1"/>
    <col min="8465" max="8465" width="10.5703125" style="14" customWidth="1"/>
    <col min="8466" max="8466" width="11.28515625" style="14" customWidth="1"/>
    <col min="8467" max="8467" width="9.7109375" style="14" customWidth="1"/>
    <col min="8468" max="8468" width="12" style="14" customWidth="1"/>
    <col min="8469" max="8469" width="11.28515625" style="14" customWidth="1"/>
    <col min="8470" max="8707" width="9.140625" style="14"/>
    <col min="8708" max="8708" width="5.7109375" style="14" customWidth="1"/>
    <col min="8709" max="8709" width="13.140625" style="14" customWidth="1"/>
    <col min="8710" max="8710" width="12.28515625" style="14" customWidth="1"/>
    <col min="8711" max="8711" width="8.85546875" style="14" customWidth="1"/>
    <col min="8712" max="8712" width="10.85546875" style="14" customWidth="1"/>
    <col min="8713" max="8713" width="2.85546875" style="14" customWidth="1"/>
    <col min="8714" max="8714" width="12.140625" style="14" customWidth="1"/>
    <col min="8715" max="8715" width="10.140625" style="14" customWidth="1"/>
    <col min="8716" max="8716" width="11.7109375" style="14" customWidth="1"/>
    <col min="8717" max="8717" width="11.42578125" style="14" customWidth="1"/>
    <col min="8718" max="8718" width="12.7109375" style="14" customWidth="1"/>
    <col min="8719" max="8719" width="11.42578125" style="14" customWidth="1"/>
    <col min="8720" max="8720" width="10.7109375" style="14" customWidth="1"/>
    <col min="8721" max="8721" width="10.5703125" style="14" customWidth="1"/>
    <col min="8722" max="8722" width="11.28515625" style="14" customWidth="1"/>
    <col min="8723" max="8723" width="9.7109375" style="14" customWidth="1"/>
    <col min="8724" max="8724" width="12" style="14" customWidth="1"/>
    <col min="8725" max="8725" width="11.28515625" style="14" customWidth="1"/>
    <col min="8726" max="8963" width="9.140625" style="14"/>
    <col min="8964" max="8964" width="5.7109375" style="14" customWidth="1"/>
    <col min="8965" max="8965" width="13.140625" style="14" customWidth="1"/>
    <col min="8966" max="8966" width="12.28515625" style="14" customWidth="1"/>
    <col min="8967" max="8967" width="8.85546875" style="14" customWidth="1"/>
    <col min="8968" max="8968" width="10.85546875" style="14" customWidth="1"/>
    <col min="8969" max="8969" width="2.85546875" style="14" customWidth="1"/>
    <col min="8970" max="8970" width="12.140625" style="14" customWidth="1"/>
    <col min="8971" max="8971" width="10.140625" style="14" customWidth="1"/>
    <col min="8972" max="8972" width="11.7109375" style="14" customWidth="1"/>
    <col min="8973" max="8973" width="11.42578125" style="14" customWidth="1"/>
    <col min="8974" max="8974" width="12.7109375" style="14" customWidth="1"/>
    <col min="8975" max="8975" width="11.42578125" style="14" customWidth="1"/>
    <col min="8976" max="8976" width="10.7109375" style="14" customWidth="1"/>
    <col min="8977" max="8977" width="10.5703125" style="14" customWidth="1"/>
    <col min="8978" max="8978" width="11.28515625" style="14" customWidth="1"/>
    <col min="8979" max="8979" width="9.7109375" style="14" customWidth="1"/>
    <col min="8980" max="8980" width="12" style="14" customWidth="1"/>
    <col min="8981" max="8981" width="11.28515625" style="14" customWidth="1"/>
    <col min="8982" max="9219" width="9.140625" style="14"/>
    <col min="9220" max="9220" width="5.7109375" style="14" customWidth="1"/>
    <col min="9221" max="9221" width="13.140625" style="14" customWidth="1"/>
    <col min="9222" max="9222" width="12.28515625" style="14" customWidth="1"/>
    <col min="9223" max="9223" width="8.85546875" style="14" customWidth="1"/>
    <col min="9224" max="9224" width="10.85546875" style="14" customWidth="1"/>
    <col min="9225" max="9225" width="2.85546875" style="14" customWidth="1"/>
    <col min="9226" max="9226" width="12.140625" style="14" customWidth="1"/>
    <col min="9227" max="9227" width="10.140625" style="14" customWidth="1"/>
    <col min="9228" max="9228" width="11.7109375" style="14" customWidth="1"/>
    <col min="9229" max="9229" width="11.42578125" style="14" customWidth="1"/>
    <col min="9230" max="9230" width="12.7109375" style="14" customWidth="1"/>
    <col min="9231" max="9231" width="11.42578125" style="14" customWidth="1"/>
    <col min="9232" max="9232" width="10.7109375" style="14" customWidth="1"/>
    <col min="9233" max="9233" width="10.5703125" style="14" customWidth="1"/>
    <col min="9234" max="9234" width="11.28515625" style="14" customWidth="1"/>
    <col min="9235" max="9235" width="9.7109375" style="14" customWidth="1"/>
    <col min="9236" max="9236" width="12" style="14" customWidth="1"/>
    <col min="9237" max="9237" width="11.28515625" style="14" customWidth="1"/>
    <col min="9238" max="9475" width="9.140625" style="14"/>
    <col min="9476" max="9476" width="5.7109375" style="14" customWidth="1"/>
    <col min="9477" max="9477" width="13.140625" style="14" customWidth="1"/>
    <col min="9478" max="9478" width="12.28515625" style="14" customWidth="1"/>
    <col min="9479" max="9479" width="8.85546875" style="14" customWidth="1"/>
    <col min="9480" max="9480" width="10.85546875" style="14" customWidth="1"/>
    <col min="9481" max="9481" width="2.85546875" style="14" customWidth="1"/>
    <col min="9482" max="9482" width="12.140625" style="14" customWidth="1"/>
    <col min="9483" max="9483" width="10.140625" style="14" customWidth="1"/>
    <col min="9484" max="9484" width="11.7109375" style="14" customWidth="1"/>
    <col min="9485" max="9485" width="11.42578125" style="14" customWidth="1"/>
    <col min="9486" max="9486" width="12.7109375" style="14" customWidth="1"/>
    <col min="9487" max="9487" width="11.42578125" style="14" customWidth="1"/>
    <col min="9488" max="9488" width="10.7109375" style="14" customWidth="1"/>
    <col min="9489" max="9489" width="10.5703125" style="14" customWidth="1"/>
    <col min="9490" max="9490" width="11.28515625" style="14" customWidth="1"/>
    <col min="9491" max="9491" width="9.7109375" style="14" customWidth="1"/>
    <col min="9492" max="9492" width="12" style="14" customWidth="1"/>
    <col min="9493" max="9493" width="11.28515625" style="14" customWidth="1"/>
    <col min="9494" max="9731" width="9.140625" style="14"/>
    <col min="9732" max="9732" width="5.7109375" style="14" customWidth="1"/>
    <col min="9733" max="9733" width="13.140625" style="14" customWidth="1"/>
    <col min="9734" max="9734" width="12.28515625" style="14" customWidth="1"/>
    <col min="9735" max="9735" width="8.85546875" style="14" customWidth="1"/>
    <col min="9736" max="9736" width="10.85546875" style="14" customWidth="1"/>
    <col min="9737" max="9737" width="2.85546875" style="14" customWidth="1"/>
    <col min="9738" max="9738" width="12.140625" style="14" customWidth="1"/>
    <col min="9739" max="9739" width="10.140625" style="14" customWidth="1"/>
    <col min="9740" max="9740" width="11.7109375" style="14" customWidth="1"/>
    <col min="9741" max="9741" width="11.42578125" style="14" customWidth="1"/>
    <col min="9742" max="9742" width="12.7109375" style="14" customWidth="1"/>
    <col min="9743" max="9743" width="11.42578125" style="14" customWidth="1"/>
    <col min="9744" max="9744" width="10.7109375" style="14" customWidth="1"/>
    <col min="9745" max="9745" width="10.5703125" style="14" customWidth="1"/>
    <col min="9746" max="9746" width="11.28515625" style="14" customWidth="1"/>
    <col min="9747" max="9747" width="9.7109375" style="14" customWidth="1"/>
    <col min="9748" max="9748" width="12" style="14" customWidth="1"/>
    <col min="9749" max="9749" width="11.28515625" style="14" customWidth="1"/>
    <col min="9750" max="9987" width="9.140625" style="14"/>
    <col min="9988" max="9988" width="5.7109375" style="14" customWidth="1"/>
    <col min="9989" max="9989" width="13.140625" style="14" customWidth="1"/>
    <col min="9990" max="9990" width="12.28515625" style="14" customWidth="1"/>
    <col min="9991" max="9991" width="8.85546875" style="14" customWidth="1"/>
    <col min="9992" max="9992" width="10.85546875" style="14" customWidth="1"/>
    <col min="9993" max="9993" width="2.85546875" style="14" customWidth="1"/>
    <col min="9994" max="9994" width="12.140625" style="14" customWidth="1"/>
    <col min="9995" max="9995" width="10.140625" style="14" customWidth="1"/>
    <col min="9996" max="9996" width="11.7109375" style="14" customWidth="1"/>
    <col min="9997" max="9997" width="11.42578125" style="14" customWidth="1"/>
    <col min="9998" max="9998" width="12.7109375" style="14" customWidth="1"/>
    <col min="9999" max="9999" width="11.42578125" style="14" customWidth="1"/>
    <col min="10000" max="10000" width="10.7109375" style="14" customWidth="1"/>
    <col min="10001" max="10001" width="10.5703125" style="14" customWidth="1"/>
    <col min="10002" max="10002" width="11.28515625" style="14" customWidth="1"/>
    <col min="10003" max="10003" width="9.7109375" style="14" customWidth="1"/>
    <col min="10004" max="10004" width="12" style="14" customWidth="1"/>
    <col min="10005" max="10005" width="11.28515625" style="14" customWidth="1"/>
    <col min="10006" max="10243" width="9.140625" style="14"/>
    <col min="10244" max="10244" width="5.7109375" style="14" customWidth="1"/>
    <col min="10245" max="10245" width="13.140625" style="14" customWidth="1"/>
    <col min="10246" max="10246" width="12.28515625" style="14" customWidth="1"/>
    <col min="10247" max="10247" width="8.85546875" style="14" customWidth="1"/>
    <col min="10248" max="10248" width="10.85546875" style="14" customWidth="1"/>
    <col min="10249" max="10249" width="2.85546875" style="14" customWidth="1"/>
    <col min="10250" max="10250" width="12.140625" style="14" customWidth="1"/>
    <col min="10251" max="10251" width="10.140625" style="14" customWidth="1"/>
    <col min="10252" max="10252" width="11.7109375" style="14" customWidth="1"/>
    <col min="10253" max="10253" width="11.42578125" style="14" customWidth="1"/>
    <col min="10254" max="10254" width="12.7109375" style="14" customWidth="1"/>
    <col min="10255" max="10255" width="11.42578125" style="14" customWidth="1"/>
    <col min="10256" max="10256" width="10.7109375" style="14" customWidth="1"/>
    <col min="10257" max="10257" width="10.5703125" style="14" customWidth="1"/>
    <col min="10258" max="10258" width="11.28515625" style="14" customWidth="1"/>
    <col min="10259" max="10259" width="9.7109375" style="14" customWidth="1"/>
    <col min="10260" max="10260" width="12" style="14" customWidth="1"/>
    <col min="10261" max="10261" width="11.28515625" style="14" customWidth="1"/>
    <col min="10262" max="10499" width="9.140625" style="14"/>
    <col min="10500" max="10500" width="5.7109375" style="14" customWidth="1"/>
    <col min="10501" max="10501" width="13.140625" style="14" customWidth="1"/>
    <col min="10502" max="10502" width="12.28515625" style="14" customWidth="1"/>
    <col min="10503" max="10503" width="8.85546875" style="14" customWidth="1"/>
    <col min="10504" max="10504" width="10.85546875" style="14" customWidth="1"/>
    <col min="10505" max="10505" width="2.85546875" style="14" customWidth="1"/>
    <col min="10506" max="10506" width="12.140625" style="14" customWidth="1"/>
    <col min="10507" max="10507" width="10.140625" style="14" customWidth="1"/>
    <col min="10508" max="10508" width="11.7109375" style="14" customWidth="1"/>
    <col min="10509" max="10509" width="11.42578125" style="14" customWidth="1"/>
    <col min="10510" max="10510" width="12.7109375" style="14" customWidth="1"/>
    <col min="10511" max="10511" width="11.42578125" style="14" customWidth="1"/>
    <col min="10512" max="10512" width="10.7109375" style="14" customWidth="1"/>
    <col min="10513" max="10513" width="10.5703125" style="14" customWidth="1"/>
    <col min="10514" max="10514" width="11.28515625" style="14" customWidth="1"/>
    <col min="10515" max="10515" width="9.7109375" style="14" customWidth="1"/>
    <col min="10516" max="10516" width="12" style="14" customWidth="1"/>
    <col min="10517" max="10517" width="11.28515625" style="14" customWidth="1"/>
    <col min="10518" max="10755" width="9.140625" style="14"/>
    <col min="10756" max="10756" width="5.7109375" style="14" customWidth="1"/>
    <col min="10757" max="10757" width="13.140625" style="14" customWidth="1"/>
    <col min="10758" max="10758" width="12.28515625" style="14" customWidth="1"/>
    <col min="10759" max="10759" width="8.85546875" style="14" customWidth="1"/>
    <col min="10760" max="10760" width="10.85546875" style="14" customWidth="1"/>
    <col min="10761" max="10761" width="2.85546875" style="14" customWidth="1"/>
    <col min="10762" max="10762" width="12.140625" style="14" customWidth="1"/>
    <col min="10763" max="10763" width="10.140625" style="14" customWidth="1"/>
    <col min="10764" max="10764" width="11.7109375" style="14" customWidth="1"/>
    <col min="10765" max="10765" width="11.42578125" style="14" customWidth="1"/>
    <col min="10766" max="10766" width="12.7109375" style="14" customWidth="1"/>
    <col min="10767" max="10767" width="11.42578125" style="14" customWidth="1"/>
    <col min="10768" max="10768" width="10.7109375" style="14" customWidth="1"/>
    <col min="10769" max="10769" width="10.5703125" style="14" customWidth="1"/>
    <col min="10770" max="10770" width="11.28515625" style="14" customWidth="1"/>
    <col min="10771" max="10771" width="9.7109375" style="14" customWidth="1"/>
    <col min="10772" max="10772" width="12" style="14" customWidth="1"/>
    <col min="10773" max="10773" width="11.28515625" style="14" customWidth="1"/>
    <col min="10774" max="11011" width="9.140625" style="14"/>
    <col min="11012" max="11012" width="5.7109375" style="14" customWidth="1"/>
    <col min="11013" max="11013" width="13.140625" style="14" customWidth="1"/>
    <col min="11014" max="11014" width="12.28515625" style="14" customWidth="1"/>
    <col min="11015" max="11015" width="8.85546875" style="14" customWidth="1"/>
    <col min="11016" max="11016" width="10.85546875" style="14" customWidth="1"/>
    <col min="11017" max="11017" width="2.85546875" style="14" customWidth="1"/>
    <col min="11018" max="11018" width="12.140625" style="14" customWidth="1"/>
    <col min="11019" max="11019" width="10.140625" style="14" customWidth="1"/>
    <col min="11020" max="11020" width="11.7109375" style="14" customWidth="1"/>
    <col min="11021" max="11021" width="11.42578125" style="14" customWidth="1"/>
    <col min="11022" max="11022" width="12.7109375" style="14" customWidth="1"/>
    <col min="11023" max="11023" width="11.42578125" style="14" customWidth="1"/>
    <col min="11024" max="11024" width="10.7109375" style="14" customWidth="1"/>
    <col min="11025" max="11025" width="10.5703125" style="14" customWidth="1"/>
    <col min="11026" max="11026" width="11.28515625" style="14" customWidth="1"/>
    <col min="11027" max="11027" width="9.7109375" style="14" customWidth="1"/>
    <col min="11028" max="11028" width="12" style="14" customWidth="1"/>
    <col min="11029" max="11029" width="11.28515625" style="14" customWidth="1"/>
    <col min="11030" max="11267" width="9.140625" style="14"/>
    <col min="11268" max="11268" width="5.7109375" style="14" customWidth="1"/>
    <col min="11269" max="11269" width="13.140625" style="14" customWidth="1"/>
    <col min="11270" max="11270" width="12.28515625" style="14" customWidth="1"/>
    <col min="11271" max="11271" width="8.85546875" style="14" customWidth="1"/>
    <col min="11272" max="11272" width="10.85546875" style="14" customWidth="1"/>
    <col min="11273" max="11273" width="2.85546875" style="14" customWidth="1"/>
    <col min="11274" max="11274" width="12.140625" style="14" customWidth="1"/>
    <col min="11275" max="11275" width="10.140625" style="14" customWidth="1"/>
    <col min="11276" max="11276" width="11.7109375" style="14" customWidth="1"/>
    <col min="11277" max="11277" width="11.42578125" style="14" customWidth="1"/>
    <col min="11278" max="11278" width="12.7109375" style="14" customWidth="1"/>
    <col min="11279" max="11279" width="11.42578125" style="14" customWidth="1"/>
    <col min="11280" max="11280" width="10.7109375" style="14" customWidth="1"/>
    <col min="11281" max="11281" width="10.5703125" style="14" customWidth="1"/>
    <col min="11282" max="11282" width="11.28515625" style="14" customWidth="1"/>
    <col min="11283" max="11283" width="9.7109375" style="14" customWidth="1"/>
    <col min="11284" max="11284" width="12" style="14" customWidth="1"/>
    <col min="11285" max="11285" width="11.28515625" style="14" customWidth="1"/>
    <col min="11286" max="11523" width="9.140625" style="14"/>
    <col min="11524" max="11524" width="5.7109375" style="14" customWidth="1"/>
    <col min="11525" max="11525" width="13.140625" style="14" customWidth="1"/>
    <col min="11526" max="11526" width="12.28515625" style="14" customWidth="1"/>
    <col min="11527" max="11527" width="8.85546875" style="14" customWidth="1"/>
    <col min="11528" max="11528" width="10.85546875" style="14" customWidth="1"/>
    <col min="11529" max="11529" width="2.85546875" style="14" customWidth="1"/>
    <col min="11530" max="11530" width="12.140625" style="14" customWidth="1"/>
    <col min="11531" max="11531" width="10.140625" style="14" customWidth="1"/>
    <col min="11532" max="11532" width="11.7109375" style="14" customWidth="1"/>
    <col min="11533" max="11533" width="11.42578125" style="14" customWidth="1"/>
    <col min="11534" max="11534" width="12.7109375" style="14" customWidth="1"/>
    <col min="11535" max="11535" width="11.42578125" style="14" customWidth="1"/>
    <col min="11536" max="11536" width="10.7109375" style="14" customWidth="1"/>
    <col min="11537" max="11537" width="10.5703125" style="14" customWidth="1"/>
    <col min="11538" max="11538" width="11.28515625" style="14" customWidth="1"/>
    <col min="11539" max="11539" width="9.7109375" style="14" customWidth="1"/>
    <col min="11540" max="11540" width="12" style="14" customWidth="1"/>
    <col min="11541" max="11541" width="11.28515625" style="14" customWidth="1"/>
    <col min="11542" max="11779" width="9.140625" style="14"/>
    <col min="11780" max="11780" width="5.7109375" style="14" customWidth="1"/>
    <col min="11781" max="11781" width="13.140625" style="14" customWidth="1"/>
    <col min="11782" max="11782" width="12.28515625" style="14" customWidth="1"/>
    <col min="11783" max="11783" width="8.85546875" style="14" customWidth="1"/>
    <col min="11784" max="11784" width="10.85546875" style="14" customWidth="1"/>
    <col min="11785" max="11785" width="2.85546875" style="14" customWidth="1"/>
    <col min="11786" max="11786" width="12.140625" style="14" customWidth="1"/>
    <col min="11787" max="11787" width="10.140625" style="14" customWidth="1"/>
    <col min="11788" max="11788" width="11.7109375" style="14" customWidth="1"/>
    <col min="11789" max="11789" width="11.42578125" style="14" customWidth="1"/>
    <col min="11790" max="11790" width="12.7109375" style="14" customWidth="1"/>
    <col min="11791" max="11791" width="11.42578125" style="14" customWidth="1"/>
    <col min="11792" max="11792" width="10.7109375" style="14" customWidth="1"/>
    <col min="11793" max="11793" width="10.5703125" style="14" customWidth="1"/>
    <col min="11794" max="11794" width="11.28515625" style="14" customWidth="1"/>
    <col min="11795" max="11795" width="9.7109375" style="14" customWidth="1"/>
    <col min="11796" max="11796" width="12" style="14" customWidth="1"/>
    <col min="11797" max="11797" width="11.28515625" style="14" customWidth="1"/>
    <col min="11798" max="12035" width="9.140625" style="14"/>
    <col min="12036" max="12036" width="5.7109375" style="14" customWidth="1"/>
    <col min="12037" max="12037" width="13.140625" style="14" customWidth="1"/>
    <col min="12038" max="12038" width="12.28515625" style="14" customWidth="1"/>
    <col min="12039" max="12039" width="8.85546875" style="14" customWidth="1"/>
    <col min="12040" max="12040" width="10.85546875" style="14" customWidth="1"/>
    <col min="12041" max="12041" width="2.85546875" style="14" customWidth="1"/>
    <col min="12042" max="12042" width="12.140625" style="14" customWidth="1"/>
    <col min="12043" max="12043" width="10.140625" style="14" customWidth="1"/>
    <col min="12044" max="12044" width="11.7109375" style="14" customWidth="1"/>
    <col min="12045" max="12045" width="11.42578125" style="14" customWidth="1"/>
    <col min="12046" max="12046" width="12.7109375" style="14" customWidth="1"/>
    <col min="12047" max="12047" width="11.42578125" style="14" customWidth="1"/>
    <col min="12048" max="12048" width="10.7109375" style="14" customWidth="1"/>
    <col min="12049" max="12049" width="10.5703125" style="14" customWidth="1"/>
    <col min="12050" max="12050" width="11.28515625" style="14" customWidth="1"/>
    <col min="12051" max="12051" width="9.7109375" style="14" customWidth="1"/>
    <col min="12052" max="12052" width="12" style="14" customWidth="1"/>
    <col min="12053" max="12053" width="11.28515625" style="14" customWidth="1"/>
    <col min="12054" max="12291" width="9.140625" style="14"/>
    <col min="12292" max="12292" width="5.7109375" style="14" customWidth="1"/>
    <col min="12293" max="12293" width="13.140625" style="14" customWidth="1"/>
    <col min="12294" max="12294" width="12.28515625" style="14" customWidth="1"/>
    <col min="12295" max="12295" width="8.85546875" style="14" customWidth="1"/>
    <col min="12296" max="12296" width="10.85546875" style="14" customWidth="1"/>
    <col min="12297" max="12297" width="2.85546875" style="14" customWidth="1"/>
    <col min="12298" max="12298" width="12.140625" style="14" customWidth="1"/>
    <col min="12299" max="12299" width="10.140625" style="14" customWidth="1"/>
    <col min="12300" max="12300" width="11.7109375" style="14" customWidth="1"/>
    <col min="12301" max="12301" width="11.42578125" style="14" customWidth="1"/>
    <col min="12302" max="12302" width="12.7109375" style="14" customWidth="1"/>
    <col min="12303" max="12303" width="11.42578125" style="14" customWidth="1"/>
    <col min="12304" max="12304" width="10.7109375" style="14" customWidth="1"/>
    <col min="12305" max="12305" width="10.5703125" style="14" customWidth="1"/>
    <col min="12306" max="12306" width="11.28515625" style="14" customWidth="1"/>
    <col min="12307" max="12307" width="9.7109375" style="14" customWidth="1"/>
    <col min="12308" max="12308" width="12" style="14" customWidth="1"/>
    <col min="12309" max="12309" width="11.28515625" style="14" customWidth="1"/>
    <col min="12310" max="12547" width="9.140625" style="14"/>
    <col min="12548" max="12548" width="5.7109375" style="14" customWidth="1"/>
    <col min="12549" max="12549" width="13.140625" style="14" customWidth="1"/>
    <col min="12550" max="12550" width="12.28515625" style="14" customWidth="1"/>
    <col min="12551" max="12551" width="8.85546875" style="14" customWidth="1"/>
    <col min="12552" max="12552" width="10.85546875" style="14" customWidth="1"/>
    <col min="12553" max="12553" width="2.85546875" style="14" customWidth="1"/>
    <col min="12554" max="12554" width="12.140625" style="14" customWidth="1"/>
    <col min="12555" max="12555" width="10.140625" style="14" customWidth="1"/>
    <col min="12556" max="12556" width="11.7109375" style="14" customWidth="1"/>
    <col min="12557" max="12557" width="11.42578125" style="14" customWidth="1"/>
    <col min="12558" max="12558" width="12.7109375" style="14" customWidth="1"/>
    <col min="12559" max="12559" width="11.42578125" style="14" customWidth="1"/>
    <col min="12560" max="12560" width="10.7109375" style="14" customWidth="1"/>
    <col min="12561" max="12561" width="10.5703125" style="14" customWidth="1"/>
    <col min="12562" max="12562" width="11.28515625" style="14" customWidth="1"/>
    <col min="12563" max="12563" width="9.7109375" style="14" customWidth="1"/>
    <col min="12564" max="12564" width="12" style="14" customWidth="1"/>
    <col min="12565" max="12565" width="11.28515625" style="14" customWidth="1"/>
    <col min="12566" max="12803" width="9.140625" style="14"/>
    <col min="12804" max="12804" width="5.7109375" style="14" customWidth="1"/>
    <col min="12805" max="12805" width="13.140625" style="14" customWidth="1"/>
    <col min="12806" max="12806" width="12.28515625" style="14" customWidth="1"/>
    <col min="12807" max="12807" width="8.85546875" style="14" customWidth="1"/>
    <col min="12808" max="12808" width="10.85546875" style="14" customWidth="1"/>
    <col min="12809" max="12809" width="2.85546875" style="14" customWidth="1"/>
    <col min="12810" max="12810" width="12.140625" style="14" customWidth="1"/>
    <col min="12811" max="12811" width="10.140625" style="14" customWidth="1"/>
    <col min="12812" max="12812" width="11.7109375" style="14" customWidth="1"/>
    <col min="12813" max="12813" width="11.42578125" style="14" customWidth="1"/>
    <col min="12814" max="12814" width="12.7109375" style="14" customWidth="1"/>
    <col min="12815" max="12815" width="11.42578125" style="14" customWidth="1"/>
    <col min="12816" max="12816" width="10.7109375" style="14" customWidth="1"/>
    <col min="12817" max="12817" width="10.5703125" style="14" customWidth="1"/>
    <col min="12818" max="12818" width="11.28515625" style="14" customWidth="1"/>
    <col min="12819" max="12819" width="9.7109375" style="14" customWidth="1"/>
    <col min="12820" max="12820" width="12" style="14" customWidth="1"/>
    <col min="12821" max="12821" width="11.28515625" style="14" customWidth="1"/>
    <col min="12822" max="13059" width="9.140625" style="14"/>
    <col min="13060" max="13060" width="5.7109375" style="14" customWidth="1"/>
    <col min="13061" max="13061" width="13.140625" style="14" customWidth="1"/>
    <col min="13062" max="13062" width="12.28515625" style="14" customWidth="1"/>
    <col min="13063" max="13063" width="8.85546875" style="14" customWidth="1"/>
    <col min="13064" max="13064" width="10.85546875" style="14" customWidth="1"/>
    <col min="13065" max="13065" width="2.85546875" style="14" customWidth="1"/>
    <col min="13066" max="13066" width="12.140625" style="14" customWidth="1"/>
    <col min="13067" max="13067" width="10.140625" style="14" customWidth="1"/>
    <col min="13068" max="13068" width="11.7109375" style="14" customWidth="1"/>
    <col min="13069" max="13069" width="11.42578125" style="14" customWidth="1"/>
    <col min="13070" max="13070" width="12.7109375" style="14" customWidth="1"/>
    <col min="13071" max="13071" width="11.42578125" style="14" customWidth="1"/>
    <col min="13072" max="13072" width="10.7109375" style="14" customWidth="1"/>
    <col min="13073" max="13073" width="10.5703125" style="14" customWidth="1"/>
    <col min="13074" max="13074" width="11.28515625" style="14" customWidth="1"/>
    <col min="13075" max="13075" width="9.7109375" style="14" customWidth="1"/>
    <col min="13076" max="13076" width="12" style="14" customWidth="1"/>
    <col min="13077" max="13077" width="11.28515625" style="14" customWidth="1"/>
    <col min="13078" max="13315" width="9.140625" style="14"/>
    <col min="13316" max="13316" width="5.7109375" style="14" customWidth="1"/>
    <col min="13317" max="13317" width="13.140625" style="14" customWidth="1"/>
    <col min="13318" max="13318" width="12.28515625" style="14" customWidth="1"/>
    <col min="13319" max="13319" width="8.85546875" style="14" customWidth="1"/>
    <col min="13320" max="13320" width="10.85546875" style="14" customWidth="1"/>
    <col min="13321" max="13321" width="2.85546875" style="14" customWidth="1"/>
    <col min="13322" max="13322" width="12.140625" style="14" customWidth="1"/>
    <col min="13323" max="13323" width="10.140625" style="14" customWidth="1"/>
    <col min="13324" max="13324" width="11.7109375" style="14" customWidth="1"/>
    <col min="13325" max="13325" width="11.42578125" style="14" customWidth="1"/>
    <col min="13326" max="13326" width="12.7109375" style="14" customWidth="1"/>
    <col min="13327" max="13327" width="11.42578125" style="14" customWidth="1"/>
    <col min="13328" max="13328" width="10.7109375" style="14" customWidth="1"/>
    <col min="13329" max="13329" width="10.5703125" style="14" customWidth="1"/>
    <col min="13330" max="13330" width="11.28515625" style="14" customWidth="1"/>
    <col min="13331" max="13331" width="9.7109375" style="14" customWidth="1"/>
    <col min="13332" max="13332" width="12" style="14" customWidth="1"/>
    <col min="13333" max="13333" width="11.28515625" style="14" customWidth="1"/>
    <col min="13334" max="13571" width="9.140625" style="14"/>
    <col min="13572" max="13572" width="5.7109375" style="14" customWidth="1"/>
    <col min="13573" max="13573" width="13.140625" style="14" customWidth="1"/>
    <col min="13574" max="13574" width="12.28515625" style="14" customWidth="1"/>
    <col min="13575" max="13575" width="8.85546875" style="14" customWidth="1"/>
    <col min="13576" max="13576" width="10.85546875" style="14" customWidth="1"/>
    <col min="13577" max="13577" width="2.85546875" style="14" customWidth="1"/>
    <col min="13578" max="13578" width="12.140625" style="14" customWidth="1"/>
    <col min="13579" max="13579" width="10.140625" style="14" customWidth="1"/>
    <col min="13580" max="13580" width="11.7109375" style="14" customWidth="1"/>
    <col min="13581" max="13581" width="11.42578125" style="14" customWidth="1"/>
    <col min="13582" max="13582" width="12.7109375" style="14" customWidth="1"/>
    <col min="13583" max="13583" width="11.42578125" style="14" customWidth="1"/>
    <col min="13584" max="13584" width="10.7109375" style="14" customWidth="1"/>
    <col min="13585" max="13585" width="10.5703125" style="14" customWidth="1"/>
    <col min="13586" max="13586" width="11.28515625" style="14" customWidth="1"/>
    <col min="13587" max="13587" width="9.7109375" style="14" customWidth="1"/>
    <col min="13588" max="13588" width="12" style="14" customWidth="1"/>
    <col min="13589" max="13589" width="11.28515625" style="14" customWidth="1"/>
    <col min="13590" max="13827" width="9.140625" style="14"/>
    <col min="13828" max="13828" width="5.7109375" style="14" customWidth="1"/>
    <col min="13829" max="13829" width="13.140625" style="14" customWidth="1"/>
    <col min="13830" max="13830" width="12.28515625" style="14" customWidth="1"/>
    <col min="13831" max="13831" width="8.85546875" style="14" customWidth="1"/>
    <col min="13832" max="13832" width="10.85546875" style="14" customWidth="1"/>
    <col min="13833" max="13833" width="2.85546875" style="14" customWidth="1"/>
    <col min="13834" max="13834" width="12.140625" style="14" customWidth="1"/>
    <col min="13835" max="13835" width="10.140625" style="14" customWidth="1"/>
    <col min="13836" max="13836" width="11.7109375" style="14" customWidth="1"/>
    <col min="13837" max="13837" width="11.42578125" style="14" customWidth="1"/>
    <col min="13838" max="13838" width="12.7109375" style="14" customWidth="1"/>
    <col min="13839" max="13839" width="11.42578125" style="14" customWidth="1"/>
    <col min="13840" max="13840" width="10.7109375" style="14" customWidth="1"/>
    <col min="13841" max="13841" width="10.5703125" style="14" customWidth="1"/>
    <col min="13842" max="13842" width="11.28515625" style="14" customWidth="1"/>
    <col min="13843" max="13843" width="9.7109375" style="14" customWidth="1"/>
    <col min="13844" max="13844" width="12" style="14" customWidth="1"/>
    <col min="13845" max="13845" width="11.28515625" style="14" customWidth="1"/>
    <col min="13846" max="14083" width="9.140625" style="14"/>
    <col min="14084" max="14084" width="5.7109375" style="14" customWidth="1"/>
    <col min="14085" max="14085" width="13.140625" style="14" customWidth="1"/>
    <col min="14086" max="14086" width="12.28515625" style="14" customWidth="1"/>
    <col min="14087" max="14087" width="8.85546875" style="14" customWidth="1"/>
    <col min="14088" max="14088" width="10.85546875" style="14" customWidth="1"/>
    <col min="14089" max="14089" width="2.85546875" style="14" customWidth="1"/>
    <col min="14090" max="14090" width="12.140625" style="14" customWidth="1"/>
    <col min="14091" max="14091" width="10.140625" style="14" customWidth="1"/>
    <col min="14092" max="14092" width="11.7109375" style="14" customWidth="1"/>
    <col min="14093" max="14093" width="11.42578125" style="14" customWidth="1"/>
    <col min="14094" max="14094" width="12.7109375" style="14" customWidth="1"/>
    <col min="14095" max="14095" width="11.42578125" style="14" customWidth="1"/>
    <col min="14096" max="14096" width="10.7109375" style="14" customWidth="1"/>
    <col min="14097" max="14097" width="10.5703125" style="14" customWidth="1"/>
    <col min="14098" max="14098" width="11.28515625" style="14" customWidth="1"/>
    <col min="14099" max="14099" width="9.7109375" style="14" customWidth="1"/>
    <col min="14100" max="14100" width="12" style="14" customWidth="1"/>
    <col min="14101" max="14101" width="11.28515625" style="14" customWidth="1"/>
    <col min="14102" max="14339" width="9.140625" style="14"/>
    <col min="14340" max="14340" width="5.7109375" style="14" customWidth="1"/>
    <col min="14341" max="14341" width="13.140625" style="14" customWidth="1"/>
    <col min="14342" max="14342" width="12.28515625" style="14" customWidth="1"/>
    <col min="14343" max="14343" width="8.85546875" style="14" customWidth="1"/>
    <col min="14344" max="14344" width="10.85546875" style="14" customWidth="1"/>
    <col min="14345" max="14345" width="2.85546875" style="14" customWidth="1"/>
    <col min="14346" max="14346" width="12.140625" style="14" customWidth="1"/>
    <col min="14347" max="14347" width="10.140625" style="14" customWidth="1"/>
    <col min="14348" max="14348" width="11.7109375" style="14" customWidth="1"/>
    <col min="14349" max="14349" width="11.42578125" style="14" customWidth="1"/>
    <col min="14350" max="14350" width="12.7109375" style="14" customWidth="1"/>
    <col min="14351" max="14351" width="11.42578125" style="14" customWidth="1"/>
    <col min="14352" max="14352" width="10.7109375" style="14" customWidth="1"/>
    <col min="14353" max="14353" width="10.5703125" style="14" customWidth="1"/>
    <col min="14354" max="14354" width="11.28515625" style="14" customWidth="1"/>
    <col min="14355" max="14355" width="9.7109375" style="14" customWidth="1"/>
    <col min="14356" max="14356" width="12" style="14" customWidth="1"/>
    <col min="14357" max="14357" width="11.28515625" style="14" customWidth="1"/>
    <col min="14358" max="14595" width="9.140625" style="14"/>
    <col min="14596" max="14596" width="5.7109375" style="14" customWidth="1"/>
    <col min="14597" max="14597" width="13.140625" style="14" customWidth="1"/>
    <col min="14598" max="14598" width="12.28515625" style="14" customWidth="1"/>
    <col min="14599" max="14599" width="8.85546875" style="14" customWidth="1"/>
    <col min="14600" max="14600" width="10.85546875" style="14" customWidth="1"/>
    <col min="14601" max="14601" width="2.85546875" style="14" customWidth="1"/>
    <col min="14602" max="14602" width="12.140625" style="14" customWidth="1"/>
    <col min="14603" max="14603" width="10.140625" style="14" customWidth="1"/>
    <col min="14604" max="14604" width="11.7109375" style="14" customWidth="1"/>
    <col min="14605" max="14605" width="11.42578125" style="14" customWidth="1"/>
    <col min="14606" max="14606" width="12.7109375" style="14" customWidth="1"/>
    <col min="14607" max="14607" width="11.42578125" style="14" customWidth="1"/>
    <col min="14608" max="14608" width="10.7109375" style="14" customWidth="1"/>
    <col min="14609" max="14609" width="10.5703125" style="14" customWidth="1"/>
    <col min="14610" max="14610" width="11.28515625" style="14" customWidth="1"/>
    <col min="14611" max="14611" width="9.7109375" style="14" customWidth="1"/>
    <col min="14612" max="14612" width="12" style="14" customWidth="1"/>
    <col min="14613" max="14613" width="11.28515625" style="14" customWidth="1"/>
    <col min="14614" max="14851" width="9.140625" style="14"/>
    <col min="14852" max="14852" width="5.7109375" style="14" customWidth="1"/>
    <col min="14853" max="14853" width="13.140625" style="14" customWidth="1"/>
    <col min="14854" max="14854" width="12.28515625" style="14" customWidth="1"/>
    <col min="14855" max="14855" width="8.85546875" style="14" customWidth="1"/>
    <col min="14856" max="14856" width="10.85546875" style="14" customWidth="1"/>
    <col min="14857" max="14857" width="2.85546875" style="14" customWidth="1"/>
    <col min="14858" max="14858" width="12.140625" style="14" customWidth="1"/>
    <col min="14859" max="14859" width="10.140625" style="14" customWidth="1"/>
    <col min="14860" max="14860" width="11.7109375" style="14" customWidth="1"/>
    <col min="14861" max="14861" width="11.42578125" style="14" customWidth="1"/>
    <col min="14862" max="14862" width="12.7109375" style="14" customWidth="1"/>
    <col min="14863" max="14863" width="11.42578125" style="14" customWidth="1"/>
    <col min="14864" max="14864" width="10.7109375" style="14" customWidth="1"/>
    <col min="14865" max="14865" width="10.5703125" style="14" customWidth="1"/>
    <col min="14866" max="14866" width="11.28515625" style="14" customWidth="1"/>
    <col min="14867" max="14867" width="9.7109375" style="14" customWidth="1"/>
    <col min="14868" max="14868" width="12" style="14" customWidth="1"/>
    <col min="14869" max="14869" width="11.28515625" style="14" customWidth="1"/>
    <col min="14870" max="15107" width="9.140625" style="14"/>
    <col min="15108" max="15108" width="5.7109375" style="14" customWidth="1"/>
    <col min="15109" max="15109" width="13.140625" style="14" customWidth="1"/>
    <col min="15110" max="15110" width="12.28515625" style="14" customWidth="1"/>
    <col min="15111" max="15111" width="8.85546875" style="14" customWidth="1"/>
    <col min="15112" max="15112" width="10.85546875" style="14" customWidth="1"/>
    <col min="15113" max="15113" width="2.85546875" style="14" customWidth="1"/>
    <col min="15114" max="15114" width="12.140625" style="14" customWidth="1"/>
    <col min="15115" max="15115" width="10.140625" style="14" customWidth="1"/>
    <col min="15116" max="15116" width="11.7109375" style="14" customWidth="1"/>
    <col min="15117" max="15117" width="11.42578125" style="14" customWidth="1"/>
    <col min="15118" max="15118" width="12.7109375" style="14" customWidth="1"/>
    <col min="15119" max="15119" width="11.42578125" style="14" customWidth="1"/>
    <col min="15120" max="15120" width="10.7109375" style="14" customWidth="1"/>
    <col min="15121" max="15121" width="10.5703125" style="14" customWidth="1"/>
    <col min="15122" max="15122" width="11.28515625" style="14" customWidth="1"/>
    <col min="15123" max="15123" width="9.7109375" style="14" customWidth="1"/>
    <col min="15124" max="15124" width="12" style="14" customWidth="1"/>
    <col min="15125" max="15125" width="11.28515625" style="14" customWidth="1"/>
    <col min="15126" max="15363" width="9.140625" style="14"/>
    <col min="15364" max="15364" width="5.7109375" style="14" customWidth="1"/>
    <col min="15365" max="15365" width="13.140625" style="14" customWidth="1"/>
    <col min="15366" max="15366" width="12.28515625" style="14" customWidth="1"/>
    <col min="15367" max="15367" width="8.85546875" style="14" customWidth="1"/>
    <col min="15368" max="15368" width="10.85546875" style="14" customWidth="1"/>
    <col min="15369" max="15369" width="2.85546875" style="14" customWidth="1"/>
    <col min="15370" max="15370" width="12.140625" style="14" customWidth="1"/>
    <col min="15371" max="15371" width="10.140625" style="14" customWidth="1"/>
    <col min="15372" max="15372" width="11.7109375" style="14" customWidth="1"/>
    <col min="15373" max="15373" width="11.42578125" style="14" customWidth="1"/>
    <col min="15374" max="15374" width="12.7109375" style="14" customWidth="1"/>
    <col min="15375" max="15375" width="11.42578125" style="14" customWidth="1"/>
    <col min="15376" max="15376" width="10.7109375" style="14" customWidth="1"/>
    <col min="15377" max="15377" width="10.5703125" style="14" customWidth="1"/>
    <col min="15378" max="15378" width="11.28515625" style="14" customWidth="1"/>
    <col min="15379" max="15379" width="9.7109375" style="14" customWidth="1"/>
    <col min="15380" max="15380" width="12" style="14" customWidth="1"/>
    <col min="15381" max="15381" width="11.28515625" style="14" customWidth="1"/>
    <col min="15382" max="15619" width="9.140625" style="14"/>
    <col min="15620" max="15620" width="5.7109375" style="14" customWidth="1"/>
    <col min="15621" max="15621" width="13.140625" style="14" customWidth="1"/>
    <col min="15622" max="15622" width="12.28515625" style="14" customWidth="1"/>
    <col min="15623" max="15623" width="8.85546875" style="14" customWidth="1"/>
    <col min="15624" max="15624" width="10.85546875" style="14" customWidth="1"/>
    <col min="15625" max="15625" width="2.85546875" style="14" customWidth="1"/>
    <col min="15626" max="15626" width="12.140625" style="14" customWidth="1"/>
    <col min="15627" max="15627" width="10.140625" style="14" customWidth="1"/>
    <col min="15628" max="15628" width="11.7109375" style="14" customWidth="1"/>
    <col min="15629" max="15629" width="11.42578125" style="14" customWidth="1"/>
    <col min="15630" max="15630" width="12.7109375" style="14" customWidth="1"/>
    <col min="15631" max="15631" width="11.42578125" style="14" customWidth="1"/>
    <col min="15632" max="15632" width="10.7109375" style="14" customWidth="1"/>
    <col min="15633" max="15633" width="10.5703125" style="14" customWidth="1"/>
    <col min="15634" max="15634" width="11.28515625" style="14" customWidth="1"/>
    <col min="15635" max="15635" width="9.7109375" style="14" customWidth="1"/>
    <col min="15636" max="15636" width="12" style="14" customWidth="1"/>
    <col min="15637" max="15637" width="11.28515625" style="14" customWidth="1"/>
    <col min="15638" max="15875" width="9.140625" style="14"/>
    <col min="15876" max="15876" width="5.7109375" style="14" customWidth="1"/>
    <col min="15877" max="15877" width="13.140625" style="14" customWidth="1"/>
    <col min="15878" max="15878" width="12.28515625" style="14" customWidth="1"/>
    <col min="15879" max="15879" width="8.85546875" style="14" customWidth="1"/>
    <col min="15880" max="15880" width="10.85546875" style="14" customWidth="1"/>
    <col min="15881" max="15881" width="2.85546875" style="14" customWidth="1"/>
    <col min="15882" max="15882" width="12.140625" style="14" customWidth="1"/>
    <col min="15883" max="15883" width="10.140625" style="14" customWidth="1"/>
    <col min="15884" max="15884" width="11.7109375" style="14" customWidth="1"/>
    <col min="15885" max="15885" width="11.42578125" style="14" customWidth="1"/>
    <col min="15886" max="15886" width="12.7109375" style="14" customWidth="1"/>
    <col min="15887" max="15887" width="11.42578125" style="14" customWidth="1"/>
    <col min="15888" max="15888" width="10.7109375" style="14" customWidth="1"/>
    <col min="15889" max="15889" width="10.5703125" style="14" customWidth="1"/>
    <col min="15890" max="15890" width="11.28515625" style="14" customWidth="1"/>
    <col min="15891" max="15891" width="9.7109375" style="14" customWidth="1"/>
    <col min="15892" max="15892" width="12" style="14" customWidth="1"/>
    <col min="15893" max="15893" width="11.28515625" style="14" customWidth="1"/>
    <col min="15894" max="16131" width="9.140625" style="14"/>
    <col min="16132" max="16132" width="5.7109375" style="14" customWidth="1"/>
    <col min="16133" max="16133" width="13.140625" style="14" customWidth="1"/>
    <col min="16134" max="16134" width="12.28515625" style="14" customWidth="1"/>
    <col min="16135" max="16135" width="8.85546875" style="14" customWidth="1"/>
    <col min="16136" max="16136" width="10.85546875" style="14" customWidth="1"/>
    <col min="16137" max="16137" width="2.85546875" style="14" customWidth="1"/>
    <col min="16138" max="16138" width="12.140625" style="14" customWidth="1"/>
    <col min="16139" max="16139" width="10.140625" style="14" customWidth="1"/>
    <col min="16140" max="16140" width="11.7109375" style="14" customWidth="1"/>
    <col min="16141" max="16141" width="11.42578125" style="14" customWidth="1"/>
    <col min="16142" max="16142" width="12.7109375" style="14" customWidth="1"/>
    <col min="16143" max="16143" width="11.42578125" style="14" customWidth="1"/>
    <col min="16144" max="16144" width="10.7109375" style="14" customWidth="1"/>
    <col min="16145" max="16145" width="10.5703125" style="14" customWidth="1"/>
    <col min="16146" max="16146" width="11.28515625" style="14" customWidth="1"/>
    <col min="16147" max="16147" width="9.7109375" style="14" customWidth="1"/>
    <col min="16148" max="16148" width="12" style="14" customWidth="1"/>
    <col min="16149" max="16149" width="11.28515625" style="14" customWidth="1"/>
    <col min="16150" max="16384" width="9.140625" style="14"/>
  </cols>
  <sheetData>
    <row r="1" spans="4:19" ht="12.75" thickBot="1" x14ac:dyDescent="0.25"/>
    <row r="2" spans="4:19" ht="12" customHeight="1" thickBot="1" x14ac:dyDescent="0.25">
      <c r="Q2" s="633" t="s">
        <v>0</v>
      </c>
      <c r="R2" s="634"/>
      <c r="S2" s="635"/>
    </row>
    <row r="3" spans="4:19" ht="13.5" thickBot="1" x14ac:dyDescent="0.25">
      <c r="I3" s="636" t="s">
        <v>1</v>
      </c>
      <c r="J3" s="637"/>
      <c r="K3" s="637"/>
      <c r="L3" s="637"/>
      <c r="M3" s="637"/>
      <c r="N3" s="637"/>
      <c r="O3" s="638"/>
      <c r="Q3" s="611">
        <f>'AGUILAR ESQUIVEL CARLOS'!Q3</f>
        <v>45</v>
      </c>
      <c r="R3" s="639"/>
      <c r="S3" s="612"/>
    </row>
    <row r="4" spans="4:19" ht="13.5" thickBot="1" x14ac:dyDescent="0.25">
      <c r="I4" s="640" t="s">
        <v>2</v>
      </c>
      <c r="J4" s="641"/>
      <c r="K4" s="641"/>
      <c r="L4" s="641"/>
      <c r="M4" s="641"/>
      <c r="N4" s="641"/>
      <c r="O4" s="642"/>
      <c r="Q4" s="18"/>
      <c r="R4" s="18"/>
      <c r="S4" s="18"/>
    </row>
    <row r="5" spans="4:19" ht="13.5" thickBot="1" x14ac:dyDescent="0.25">
      <c r="I5" s="643" t="s">
        <v>3</v>
      </c>
      <c r="J5" s="644"/>
      <c r="K5" s="644"/>
      <c r="L5" s="644"/>
      <c r="M5" s="644"/>
      <c r="N5" s="644"/>
      <c r="O5" s="645"/>
      <c r="Q5" s="611" t="s">
        <v>4</v>
      </c>
      <c r="R5" s="639"/>
      <c r="S5" s="612"/>
    </row>
    <row r="6" spans="4:19" ht="13.5" thickBot="1" x14ac:dyDescent="0.25">
      <c r="I6" s="650" t="s">
        <v>5</v>
      </c>
      <c r="J6" s="651"/>
      <c r="K6" s="651"/>
      <c r="L6" s="651"/>
      <c r="M6" s="651"/>
      <c r="N6" s="651"/>
      <c r="O6" s="652"/>
      <c r="Q6" s="653"/>
      <c r="R6" s="654"/>
      <c r="S6" s="655"/>
    </row>
    <row r="7" spans="4:19" ht="9" customHeight="1" x14ac:dyDescent="0.2"/>
    <row r="8" spans="4:19" ht="6.75" customHeight="1" thickBot="1" x14ac:dyDescent="0.25"/>
    <row r="9" spans="4:19" ht="13.5" thickBot="1" x14ac:dyDescent="0.25">
      <c r="I9" s="611" t="s">
        <v>6</v>
      </c>
      <c r="J9" s="639"/>
      <c r="K9" s="639"/>
      <c r="L9" s="639"/>
      <c r="M9" s="639"/>
      <c r="N9" s="639"/>
      <c r="O9" s="612"/>
    </row>
    <row r="10" spans="4:19" ht="11.25" customHeight="1" thickBot="1" x14ac:dyDescent="0.25"/>
    <row r="11" spans="4:19" ht="12.75" x14ac:dyDescent="0.2">
      <c r="D11" s="1" t="s">
        <v>7</v>
      </c>
      <c r="E11" s="2" t="s">
        <v>332</v>
      </c>
      <c r="F11" s="2"/>
      <c r="G11" s="2"/>
      <c r="H11" s="2"/>
      <c r="I11" s="2"/>
      <c r="J11" s="2"/>
      <c r="K11" s="3" t="s">
        <v>8</v>
      </c>
      <c r="L11" s="656" t="str">
        <f>'AGUILAR ESQUIVEL CARLOS'!L11</f>
        <v>SEMANA #45 PERIODO DEL 27 de oct AL 02 de nov DEL 2025</v>
      </c>
      <c r="M11" s="656"/>
      <c r="N11" s="656"/>
      <c r="O11" s="656"/>
      <c r="P11" s="656"/>
      <c r="Q11" s="656"/>
      <c r="R11" s="656"/>
      <c r="S11" s="659"/>
    </row>
    <row r="12" spans="4:19" ht="12.75" x14ac:dyDescent="0.2">
      <c r="D12" s="4" t="s">
        <v>9</v>
      </c>
      <c r="E12" s="624" t="s">
        <v>159</v>
      </c>
      <c r="F12" s="624"/>
      <c r="G12" s="5"/>
      <c r="H12" s="130"/>
      <c r="I12" s="130"/>
      <c r="J12" s="130"/>
      <c r="K12" s="130"/>
      <c r="L12" s="130"/>
      <c r="M12" s="130"/>
      <c r="N12" s="130"/>
      <c r="O12" s="130"/>
      <c r="P12" s="130"/>
      <c r="Q12" s="130"/>
      <c r="R12" s="130"/>
      <c r="S12" s="256"/>
    </row>
    <row r="13" spans="4:19" ht="9.75" customHeight="1" x14ac:dyDescent="0.2">
      <c r="D13" s="623"/>
      <c r="E13" s="624"/>
      <c r="F13" s="130"/>
      <c r="G13" s="130"/>
      <c r="H13" s="130"/>
      <c r="I13" s="130"/>
      <c r="J13" s="130"/>
      <c r="K13" s="130"/>
      <c r="L13" s="130"/>
      <c r="M13" s="130"/>
      <c r="N13" s="130"/>
      <c r="O13" s="130"/>
      <c r="P13" s="130"/>
      <c r="Q13" s="130"/>
      <c r="R13" s="130"/>
      <c r="S13" s="256"/>
    </row>
    <row r="14" spans="4:19" ht="12.75" x14ac:dyDescent="0.2">
      <c r="D14" s="625" t="s">
        <v>10</v>
      </c>
      <c r="E14" s="626"/>
      <c r="F14" s="130">
        <v>147755</v>
      </c>
      <c r="G14" s="130"/>
      <c r="H14" s="130"/>
      <c r="I14" s="6" t="s">
        <v>11</v>
      </c>
      <c r="J14" s="6"/>
      <c r="K14" s="130"/>
      <c r="L14" s="130"/>
      <c r="M14" s="130"/>
      <c r="N14" s="130"/>
      <c r="O14" s="6" t="s">
        <v>12</v>
      </c>
      <c r="P14" s="7"/>
      <c r="Q14" s="7"/>
      <c r="R14" s="7"/>
      <c r="S14" s="8"/>
    </row>
    <row r="15" spans="4:19" ht="12" customHeight="1" x14ac:dyDescent="0.2">
      <c r="D15" s="625" t="s">
        <v>13</v>
      </c>
      <c r="E15" s="626"/>
      <c r="F15" s="130">
        <v>149221</v>
      </c>
      <c r="G15" s="130"/>
      <c r="H15" s="130"/>
      <c r="I15" s="6" t="s">
        <v>14</v>
      </c>
      <c r="J15" s="6"/>
      <c r="K15" s="130"/>
      <c r="L15" s="130"/>
      <c r="M15" s="130"/>
      <c r="N15" s="130"/>
      <c r="O15" s="6" t="s">
        <v>15</v>
      </c>
      <c r="P15" s="130"/>
      <c r="Q15" s="130"/>
      <c r="R15" s="130"/>
      <c r="S15" s="256"/>
    </row>
    <row r="16" spans="4:19" ht="13.5" thickBot="1" x14ac:dyDescent="0.25">
      <c r="D16" s="627" t="s">
        <v>16</v>
      </c>
      <c r="E16" s="628"/>
      <c r="F16" s="257">
        <f>SUM(J19:J32)</f>
        <v>3400</v>
      </c>
      <c r="G16" s="257"/>
      <c r="H16" s="257"/>
      <c r="I16" s="9" t="s">
        <v>17</v>
      </c>
      <c r="J16" s="257">
        <f>SUM(K19:K32)</f>
        <v>956.99</v>
      </c>
      <c r="K16" s="257"/>
      <c r="L16" s="257"/>
      <c r="M16" s="257"/>
      <c r="N16" s="257"/>
      <c r="O16" s="9" t="s">
        <v>18</v>
      </c>
      <c r="P16" s="10">
        <f>+F16/J16</f>
        <v>3.5528061944220943</v>
      </c>
      <c r="Q16" s="257"/>
      <c r="R16" s="257"/>
      <c r="S16" s="258"/>
    </row>
    <row r="17" spans="3:24" ht="7.5" customHeight="1" thickBot="1" x14ac:dyDescent="0.25"/>
    <row r="18" spans="3:24" ht="33" customHeight="1" thickBot="1" x14ac:dyDescent="0.25">
      <c r="C18" s="243" t="s">
        <v>19</v>
      </c>
      <c r="D18" s="33" t="s">
        <v>20</v>
      </c>
      <c r="E18" s="34" t="s">
        <v>21</v>
      </c>
      <c r="F18" s="34" t="s">
        <v>22</v>
      </c>
      <c r="G18" s="34" t="s">
        <v>23</v>
      </c>
      <c r="H18" s="34" t="s">
        <v>24</v>
      </c>
      <c r="I18" s="34" t="s">
        <v>25</v>
      </c>
      <c r="J18" s="34" t="s">
        <v>26</v>
      </c>
      <c r="K18" s="34" t="s">
        <v>27</v>
      </c>
      <c r="L18" s="34" t="s">
        <v>28</v>
      </c>
      <c r="M18" s="34" t="s">
        <v>285</v>
      </c>
      <c r="N18" s="34" t="s">
        <v>29</v>
      </c>
      <c r="O18" s="34" t="s">
        <v>30</v>
      </c>
      <c r="P18" s="33" t="s">
        <v>31</v>
      </c>
      <c r="Q18" s="34" t="s">
        <v>219</v>
      </c>
      <c r="R18" s="34" t="s">
        <v>184</v>
      </c>
      <c r="S18" s="34" t="s">
        <v>33</v>
      </c>
      <c r="T18" s="35" t="s">
        <v>220</v>
      </c>
      <c r="U18" s="448" t="s">
        <v>351</v>
      </c>
      <c r="V18" s="305" t="s">
        <v>354</v>
      </c>
    </row>
    <row r="19" spans="3:24" ht="12.75" customHeight="1" x14ac:dyDescent="0.2">
      <c r="C19" s="176">
        <v>46104</v>
      </c>
      <c r="D19" s="24" t="s">
        <v>459</v>
      </c>
      <c r="E19" s="42">
        <v>45958</v>
      </c>
      <c r="F19" s="42">
        <v>45959</v>
      </c>
      <c r="G19" s="43">
        <v>2</v>
      </c>
      <c r="H19" s="65" t="str">
        <f>IF(G19=1,KILOMETRAJE!C$4,IF(G19=2,KILOMETRAJE!C$5,IF(G19=3,KILOMETRAJE!C$6,IF(G19=4,KILOMETRAJE!C$7,IF(G19=5,KILOMETRAJE!C$8,IF(G19=6,KILOMETRAJE!C$9,IF(G19=7,KILOMETRAJE!C$10,IF(G19=8,KILOMETRAJE!C$11,IF(G19=9,KILOMETRAJE!C$12,IF(G19=10,KILOMETRAJE!C$13,IF(G19=11,KILOMETRAJE!C$14,IF(G19=12,KILOMETRAJE!C$15,IF(G19=13,KILOMETRAJE!C$16,IF(G19=14,KILOMETRAJE!C$17,IF(G19=15,KILOMETRAJE!C$18,IF(G19=16,KILOMETRAJE!C$19,IF(G19=17,KILOMETRAJE!C$20,IF(G19=18,KILOMETRAJE!C$21,IF(G19=19,KILOMETRAJE!C$22,IF(G19=20,KILOMETRAJE!C$23,IF(G19=21,KILOMETRAJE!C$24,IF(G19=22,KILOMETRAJE!C$25,IF(G19=23,KILOMETRAJE!C$26,IF(G19=24,KILOMETRAJE!C$27,IF(G19=25,KILOMETRAJE!C$28,IF(G19=26,KILOMETRAJE!C$29,IF(G19=27,KILOMETRAJE!C$30,IF(G19=28,KILOMETRAJE!C$31,IF(G19=29,KILOMETRAJE!C$32,IF(G19=30,KILOMETRAJE!C$33,IF(G19=31,KILOMETRAJE!C$34,IF(G19=32,KILOMETRAJE!C$35,IF(G19=33,KILOMETRAJE!C$36,IF(G19=34,KILOMETRAJE!C$37,IF(G19=35,KILOMETRAJE!C$38,IF(G19=36,KILOMETRAJE!C$39,IF(G19=37,KILOMETRAJE!C$40,IF(G19=38,KILOMETRAJE!C$41,IF(G19=39,KILOMETRAJE!C$42,IF(G19=40,KILOMETRAJE!C$43,IF(G19=41,KILOMETRAJE!C$44,IF(G19=42,KILOMETRAJE!C$45,IF(G19=43,KILOMETRAJE!C$46,IF(G19=44,KILOMETRAJE!C$47,IF(G19=45,KILOMETRAJE!C$48,IF(G19=46,KILOMETRAJE!C$49,IF(G19=47,KILOMETRAJE!C$50,IF(G19=48,KILOMETRAJE!C$51,IF(G19=49,KILOMETRAJE!C$52,IF(G19=50,KILOMETRAJE!C$53,IF(G19=51,KILOMETRAJE!C$54,IF(G19=52,KILOMETRAJE!C$55,IF(G19=53,KILOMETRAJE!C$56,IF(G19=54,KILOMETRAJE!C$57,IF(G19=55,KILOMETRAJE!C$58,IF(G19=56,KILOMETRAJE!C$59,IF(G19=57,KILOMETRAJE!C$60,IF(G19=58,KILOMETRAJE!C$61,IF(G19=59,KILOMETRAJE!C$62,IF(G19=60,KILOMETRAJE!C$63,IF(G19=61,KILOMETRAJE!C$64,IF(G19=62,KILOMETRAJE!C$65,IF(G19=63,KILOMETRAJE!C$66)))))))))))))))))))))))))))))))))))))))))))))))))))))))))))))))</f>
        <v>JRZ</v>
      </c>
      <c r="I19" s="24" t="str">
        <f>IF(G19=1,KILOMETRAJE!E$4,IF(G19=2,KILOMETRAJE!E$5,IF(G19=3,KILOMETRAJE!E$6,IF(G19=4,KILOMETRAJE!E$7,IF(G19=5,KILOMETRAJE!E$8,IF(G19=6,KILOMETRAJE!E$9,IF(G19=7,KILOMETRAJE!E$10,IF(G19=8,KILOMETRAJE!E$11,IF(G19=9,KILOMETRAJE!E$12,IF(G19=10,KILOMETRAJE!E$13,IF(G19=11,KILOMETRAJE!E$14,IF(G19=12,KILOMETRAJE!E$15,IF(G19=13,KILOMETRAJE!E$16,IF(G19=14,KILOMETRAJE!E$17,IF(G19=15,KILOMETRAJE!E$18,IF(G19=16,KILOMETRAJE!E$19,IF(G19=17,KILOMETRAJE!E$20,IF(G19=18,KILOMETRAJE!E$21,IF(G19=19,KILOMETRAJE!E$22,IF(G19=20,KILOMETRAJE!E$23,IF(G19=21,KILOMETRAJE!E$24,IF(G19=22,KILOMETRAJE!E$25,IF(G19=23,KILOMETRAJE!E$26,IF(G19=24,KILOMETRAJE!E$27,IF(G19=25,KILOMETRAJE!E$28,IF(G19=26,KILOMETRAJE!E$29,IF(G19=27,KILOMETRAJE!E$30,IF(G19=28,KILOMETRAJE!E$31,IF(G19=29,KILOMETRAJE!E$32,IF(G19=30,KILOMETRAJE!E$33,IF(G19=31,KILOMETRAJE!E$34,IF(G19=32,KILOMETRAJE!E$35,IF(G19=33,KILOMETRAJE!E$36,IF(G19=34,KILOMETRAJE!E$37,IF(G19=35,KILOMETRAJE!E$38,IF(G19=36,KILOMETRAJE!E$39,IF(G19=37,KILOMETRAJE!E$40,IF(G19=38,KILOMETRAJE!E$41,IF(G19=39,KILOMETRAJE!E$42,IF(G19=40,KILOMETRAJE!E$43,IF(G19=41,KILOMETRAJE!E$44,IF(G19=42,KILOMETRAJE!E$45,IF(G19=43,KILOMETRAJE!E$46,IF(G19=44,KILOMETRAJE!E$47,IF(G19=45,KILOMETRAJE!E$48,IF(G19=46,KILOMETRAJE!E$49,IF(G19=47,KILOMETRAJE!E$50,IF(G19=48,KILOMETRAJE!E$51,IF(G19=49,KILOMETRAJE!E$52,IF(G19=50,KILOMETRAJE!E$53,IF(G19=51,KILOMETRAJE!E$54,IF(G19=52,KILOMETRAJE!E$55,IF(G19=53,KILOMETRAJE!E$56,IF(G19=54,KILOMETRAJE!E$57,IF(G19=55,KILOMETRAJE!E$58,IF(G19=56,KILOMETRAJE!E$59,IF(G19=57,KILOMETRAJE!E$60,IF(G19=58,KILOMETRAJE!E$61,IF(G19=59,KILOMETRAJE!E$62,IF(G19=60,KILOMETRAJE!E$63,IF(G19=61,KILOMETRAJE!E$64,IF(G19=62,KILOMETRAJE!E$65,IF(G19=63,KILOMETRAJE!E$66)))))))))))))))))))))))))))))))))))))))))))))))))))))))))))))))</f>
        <v>CHIH.</v>
      </c>
      <c r="J19" s="51">
        <f>IF(G19=1,KILOMETRAJE!G$4,IF(G19=2,KILOMETRAJE!G$5,IF(G19=3,KILOMETRAJE!G$6,IF(G19=4,KILOMETRAJE!G$7,IF(G19=5,KILOMETRAJE!G$8,IF(G19=6,KILOMETRAJE!G$9,IF(G19=7,KILOMETRAJE!G$10,IF(G19=8,KILOMETRAJE!G$11,IF(G19=9,KILOMETRAJE!G$12,IF(G19=10,KILOMETRAJE!G$13,IF(G19=11,KILOMETRAJE!G$14,IF(G19=12,KILOMETRAJE!G$15,IF(G19=13,KILOMETRAJE!G$16,IF(G19=14,KILOMETRAJE!G$17,IF(G19=15,KILOMETRAJE!G$18,IF(G19=16,KILOMETRAJE!G$19,IF(G19=17,KILOMETRAJE!G$20,IF(G19=18,KILOMETRAJE!G$21,IF(G19=19,KILOMETRAJE!G$22,IF(G19=20,KILOMETRAJE!G$23,IF(G19=21,KILOMETRAJE!G$24,IF(G19=22,KILOMETRAJE!G$25,IF(G19=23,KILOMETRAJE!G$26,IF(G19=24,KILOMETRAJE!G$27,IF(G19=25,KILOMETRAJE!G$28,IF(G19=26,KILOMETRAJE!G$29,IF(G19=27,KILOMETRAJE!G$30,IF(G19=28,KILOMETRAJE!G$31,IF(G19=29,KILOMETRAJE!G$32,IF(G19=30,KILOMETRAJE!G$33,IF(G19=31,KILOMETRAJE!G$34,IF(G19=32,KILOMETRAJE!G$35,IF(G19=33,KILOMETRAJE!G$36,IF(G19=34,KILOMETRAJE!G$37,IF(G19=35,KILOMETRAJE!G$38,IF(G19=36,KILOMETRAJE!G$39,IF(G19=37,KILOMETRAJE!G$40,IF(G19=38,KILOMETRAJE!G$41,IF(G19=39,KILOMETRAJE!G$42,IF(G19=40,KILOMETRAJE!G$43,IF(G19=41,KILOMETRAJE!G$44,IF(G19=42,KILOMETRAJE!G$45,IF(G19=43,KILOMETRAJE!G$46,IF(G19=44,KILOMETRAJE!G$47,IF(G19=45,KILOMETRAJE!G$48,IF(G19=46,KILOMETRAJE!G$49,IF(G19=47,KILOMETRAJE!G$50,IF(G19=48,KILOMETRAJE!G$51,IF(G19=49,KILOMETRAJE!G$52,IF(G19=50,KILOMETRAJE!G$53,IF(G19=51,KILOMETRAJE!G$54,IF(G19=52,KILOMETRAJE!G$55,IF(G19=53,KILOMETRAJE!G$56,IF(G19=54,KILOMETRAJE!G$57,IF(G19=55,KILOMETRAJE!G$58,IF(G19=56,KILOMETRAJE!G$59,IF(G19=57,KILOMETRAJE!G$60,IF(G19=58,KILOMETRAJE!G$61,IF(G19=59,KILOMETRAJE!G$62,IF(G19=60,KILOMETRAJE!G$63,IF(G19=61,KILOMETRAJE!G$64,IF(G19=62,KILOMETRAJE!G$65,IF(G19=63,KILOMETRAJE!G$66)))))))))))))))))))))))))))))))))))))))))))))))))))))))))))))))</f>
        <v>375</v>
      </c>
      <c r="K19" s="24"/>
      <c r="L19" s="44"/>
      <c r="M19" s="348">
        <v>6499</v>
      </c>
      <c r="N19" s="24">
        <v>1</v>
      </c>
      <c r="O19" s="24" t="s">
        <v>461</v>
      </c>
      <c r="P19" s="24" t="s">
        <v>191</v>
      </c>
      <c r="Q19" s="45">
        <f t="shared" ref="Q19:Q20" si="0">((((IF(N19=1,((J19)*0.29333)))+(IF(N19=2,((J19)*0.146666)))+(IF(N19=3,((J19)*0.146666)))))+(IF(N19=4,((J19-40)*0.29333)))+(IF(N19=5,((J19-50)*0.29333)))+(IF(N19=6,((J19-90)*0.29333))))</f>
        <v>109.99874999999999</v>
      </c>
      <c r="R19" s="191"/>
      <c r="S19" s="52"/>
      <c r="T19" s="455"/>
      <c r="U19" s="43" t="s">
        <v>352</v>
      </c>
      <c r="V19" s="17" t="s">
        <v>352</v>
      </c>
    </row>
    <row r="20" spans="3:24" ht="12.75" thickBot="1" x14ac:dyDescent="0.25">
      <c r="C20" s="101"/>
      <c r="D20" s="27" t="s">
        <v>460</v>
      </c>
      <c r="E20" s="25">
        <v>45959</v>
      </c>
      <c r="F20" s="25">
        <v>45959</v>
      </c>
      <c r="G20" s="62">
        <v>3</v>
      </c>
      <c r="H20" s="26" t="str">
        <f>IF(G20=1,KILOMETRAJE!C$4,IF(G20=2,KILOMETRAJE!C$5,IF(G20=3,KILOMETRAJE!C$6,IF(G20=4,KILOMETRAJE!C$7,IF(G20=5,KILOMETRAJE!C$8,IF(G20=6,KILOMETRAJE!C$9,IF(G20=7,KILOMETRAJE!C$10,IF(G20=8,KILOMETRAJE!C$11,IF(G20=9,KILOMETRAJE!C$12,IF(G20=10,KILOMETRAJE!C$13,IF(G20=11,KILOMETRAJE!C$14,IF(G20=12,KILOMETRAJE!C$15,IF(G20=13,KILOMETRAJE!C$16,IF(G20=14,KILOMETRAJE!C$17,IF(G20=15,KILOMETRAJE!C$18,IF(G20=16,KILOMETRAJE!C$19,IF(G20=17,KILOMETRAJE!C$20,IF(G20=18,KILOMETRAJE!C$21,IF(G20=19,KILOMETRAJE!C$22,IF(G20=20,KILOMETRAJE!C$23,IF(G20=21,KILOMETRAJE!C$24,IF(G20=22,KILOMETRAJE!C$25,IF(G20=23,KILOMETRAJE!C$26,IF(G20=24,KILOMETRAJE!C$27,IF(G20=25,KILOMETRAJE!C$28,IF(G20=26,KILOMETRAJE!C$29,IF(G20=27,KILOMETRAJE!C$30,IF(G20=28,KILOMETRAJE!C$31,IF(G20=29,KILOMETRAJE!C$32,IF(G20=30,KILOMETRAJE!C$33,IF(G20=31,KILOMETRAJE!C$34,IF(G20=32,KILOMETRAJE!C$35,IF(G20=33,KILOMETRAJE!C$36,IF(G20=34,KILOMETRAJE!C$37,IF(G20=35,KILOMETRAJE!C$38,IF(G20=36,KILOMETRAJE!C$39,IF(G20=37,KILOMETRAJE!C$40,IF(G20=38,KILOMETRAJE!C$41,IF(G20=39,KILOMETRAJE!C$42,IF(G20=40,KILOMETRAJE!C$43,IF(G20=41,KILOMETRAJE!C$44,IF(G20=42,KILOMETRAJE!C$45,IF(G20=43,KILOMETRAJE!C$46,IF(G20=44,KILOMETRAJE!C$47,IF(G20=45,KILOMETRAJE!C$48,IF(G20=46,KILOMETRAJE!C$49,IF(G20=47,KILOMETRAJE!C$50,IF(G20=48,KILOMETRAJE!C$51,IF(G20=49,KILOMETRAJE!C$52,IF(G20=50,KILOMETRAJE!C$53,IF(G20=51,KILOMETRAJE!C$54,IF(G20=52,KILOMETRAJE!C$55,IF(G20=53,KILOMETRAJE!C$56,IF(G20=54,KILOMETRAJE!C$57,IF(G20=55,KILOMETRAJE!C$58,IF(G20=56,KILOMETRAJE!C$59,IF(G20=57,KILOMETRAJE!C$60,IF(G20=58,KILOMETRAJE!C$61,IF(G20=59,KILOMETRAJE!C$62,IF(G20=60,KILOMETRAJE!C$63,IF(G20=61,KILOMETRAJE!C$64,IF(G20=62,KILOMETRAJE!C$65,IF(G20=63,KILOMETRAJE!C$66)))))))))))))))))))))))))))))))))))))))))))))))))))))))))))))))</f>
        <v xml:space="preserve">CHIH. </v>
      </c>
      <c r="I20" s="27" t="str">
        <f>IF(G20=1,KILOMETRAJE!E$4,IF(G20=2,KILOMETRAJE!E$5,IF(G20=3,KILOMETRAJE!E$6,IF(G20=4,KILOMETRAJE!E$7,IF(G20=5,KILOMETRAJE!E$8,IF(G20=6,KILOMETRAJE!E$9,IF(G20=7,KILOMETRAJE!E$10,IF(G20=8,KILOMETRAJE!E$11,IF(G20=9,KILOMETRAJE!E$12,IF(G20=10,KILOMETRAJE!E$13,IF(G20=11,KILOMETRAJE!E$14,IF(G20=12,KILOMETRAJE!E$15,IF(G20=13,KILOMETRAJE!E$16,IF(G20=14,KILOMETRAJE!E$17,IF(G20=15,KILOMETRAJE!E$18,IF(G20=16,KILOMETRAJE!E$19,IF(G20=17,KILOMETRAJE!E$20,IF(G20=18,KILOMETRAJE!E$21,IF(G20=19,KILOMETRAJE!E$22,IF(G20=20,KILOMETRAJE!E$23,IF(G20=21,KILOMETRAJE!E$24,IF(G20=22,KILOMETRAJE!E$25,IF(G20=23,KILOMETRAJE!E$26,IF(G20=24,KILOMETRAJE!E$27,IF(G20=25,KILOMETRAJE!E$28,IF(G20=26,KILOMETRAJE!E$29,IF(G20=27,KILOMETRAJE!E$30,IF(G20=28,KILOMETRAJE!E$31,IF(G20=29,KILOMETRAJE!E$32,IF(G20=30,KILOMETRAJE!E$33,IF(G20=31,KILOMETRAJE!E$34,IF(G20=32,KILOMETRAJE!E$35,IF(G20=33,KILOMETRAJE!E$36,IF(G20=34,KILOMETRAJE!E$37,IF(G20=35,KILOMETRAJE!E$38,IF(G20=36,KILOMETRAJE!E$39,IF(G20=37,KILOMETRAJE!E$40,IF(G20=38,KILOMETRAJE!E$41,IF(G20=39,KILOMETRAJE!E$42,IF(G20=40,KILOMETRAJE!E$43,IF(G20=41,KILOMETRAJE!E$44,IF(G20=42,KILOMETRAJE!E$45,IF(G20=43,KILOMETRAJE!E$46,IF(G20=44,KILOMETRAJE!E$47,IF(G20=45,KILOMETRAJE!E$48,IF(G20=46,KILOMETRAJE!E$49,IF(G20=47,KILOMETRAJE!E$50,IF(G20=48,KILOMETRAJE!E$51,IF(G20=49,KILOMETRAJE!E$52,IF(G20=50,KILOMETRAJE!E$53,IF(G20=51,KILOMETRAJE!E$54,IF(G20=52,KILOMETRAJE!E$55,IF(G20=53,KILOMETRAJE!E$56,IF(G20=54,KILOMETRAJE!E$57,IF(G20=55,KILOMETRAJE!E$58,IF(G20=56,KILOMETRAJE!E$59,IF(G20=57,KILOMETRAJE!E$60,IF(G20=58,KILOMETRAJE!E$61,IF(G20=59,KILOMETRAJE!E$62,IF(G20=60,KILOMETRAJE!E$63,IF(G20=61,KILOMETRAJE!E$64,IF(G20=62,KILOMETRAJE!E$65,IF(G20=63,KILOMETRAJE!E$66)))))))))))))))))))))))))))))))))))))))))))))))))))))))))))))))</f>
        <v>JRZ</v>
      </c>
      <c r="J20" s="31">
        <f>IF(G20=1,KILOMETRAJE!G$4,IF(G20=2,KILOMETRAJE!G$5,IF(G20=3,KILOMETRAJE!G$6,IF(G20=4,KILOMETRAJE!G$7,IF(G20=5,KILOMETRAJE!G$8,IF(G20=6,KILOMETRAJE!G$9,IF(G20=7,KILOMETRAJE!G$10,IF(G20=8,KILOMETRAJE!G$11,IF(G20=9,KILOMETRAJE!G$12,IF(G20=10,KILOMETRAJE!G$13,IF(G20=11,KILOMETRAJE!G$14,IF(G20=12,KILOMETRAJE!G$15,IF(G20=13,KILOMETRAJE!G$16,IF(G20=14,KILOMETRAJE!G$17,IF(G20=15,KILOMETRAJE!G$18,IF(G20=16,KILOMETRAJE!G$19,IF(G20=17,KILOMETRAJE!G$20,IF(G20=18,KILOMETRAJE!G$21,IF(G20=19,KILOMETRAJE!G$22,IF(G20=20,KILOMETRAJE!G$23,IF(G20=21,KILOMETRAJE!G$24,IF(G20=22,KILOMETRAJE!G$25,IF(G20=23,KILOMETRAJE!G$26,IF(G20=24,KILOMETRAJE!G$27,IF(G20=25,KILOMETRAJE!G$28,IF(G20=26,KILOMETRAJE!G$29,IF(G20=27,KILOMETRAJE!G$30,IF(G20=28,KILOMETRAJE!G$31,IF(G20=29,KILOMETRAJE!G$32,IF(G20=30,KILOMETRAJE!G$33,IF(G20=31,KILOMETRAJE!G$34,IF(G20=32,KILOMETRAJE!G$35,IF(G20=33,KILOMETRAJE!G$36,IF(G20=34,KILOMETRAJE!G$37,IF(G20=35,KILOMETRAJE!G$38,IF(G20=36,KILOMETRAJE!G$39,IF(G20=37,KILOMETRAJE!G$40,IF(G20=38,KILOMETRAJE!G$41,IF(G20=39,KILOMETRAJE!G$42,IF(G20=40,KILOMETRAJE!G$43,IF(G20=41,KILOMETRAJE!G$44,IF(G20=42,KILOMETRAJE!G$45,IF(G20=43,KILOMETRAJE!G$46,IF(G20=44,KILOMETRAJE!G$47,IF(G20=45,KILOMETRAJE!G$48,IF(G20=46,KILOMETRAJE!G$49,IF(G20=47,KILOMETRAJE!G$50,IF(G20=48,KILOMETRAJE!G$51,IF(G20=49,KILOMETRAJE!G$52,IF(G20=50,KILOMETRAJE!G$53,IF(G20=51,KILOMETRAJE!G$54,IF(G20=52,KILOMETRAJE!G$55,IF(G20=53,KILOMETRAJE!G$56,IF(G20=54,KILOMETRAJE!G$57,IF(G20=55,KILOMETRAJE!G$58,IF(G20=56,KILOMETRAJE!G$59,IF(G20=57,KILOMETRAJE!G$60,IF(G20=58,KILOMETRAJE!G$61,IF(G20=59,KILOMETRAJE!G$62,IF(G20=60,KILOMETRAJE!G$63,IF(G20=61,KILOMETRAJE!G$64,IF(G20=62,KILOMETRAJE!G$65,IF(G20=63,KILOMETRAJE!G$66)))))))))))))))))))))))))))))))))))))))))))))))))))))))))))))))</f>
        <v>375</v>
      </c>
      <c r="K20" s="27">
        <v>220.83</v>
      </c>
      <c r="L20" s="28">
        <f>SUM(J19:J20)/K20</f>
        <v>3.3962776796630889</v>
      </c>
      <c r="M20" s="349">
        <v>5544</v>
      </c>
      <c r="N20" s="27">
        <v>1</v>
      </c>
      <c r="O20" s="27" t="s">
        <v>462</v>
      </c>
      <c r="P20" s="27" t="s">
        <v>201</v>
      </c>
      <c r="Q20" s="29">
        <f t="shared" si="0"/>
        <v>109.99874999999999</v>
      </c>
      <c r="R20" s="190">
        <v>2.4500000000000002</v>
      </c>
      <c r="S20" s="19">
        <f>+((SUM(J19:J20))/R20)-K20</f>
        <v>85.292448979591796</v>
      </c>
      <c r="T20" s="456">
        <f>+S20*14.85</f>
        <v>1266.5928673469382</v>
      </c>
      <c r="U20" s="62">
        <v>62</v>
      </c>
      <c r="V20" s="417">
        <v>61</v>
      </c>
      <c r="X20" s="278"/>
    </row>
    <row r="21" spans="3:24" x14ac:dyDescent="0.2">
      <c r="C21" s="238">
        <v>46145</v>
      </c>
      <c r="D21" s="38" t="s">
        <v>463</v>
      </c>
      <c r="E21" s="37">
        <v>45960</v>
      </c>
      <c r="F21" s="37">
        <v>45961</v>
      </c>
      <c r="G21" s="36">
        <v>2</v>
      </c>
      <c r="H21" s="65" t="str">
        <f>IF(G21=1,KILOMETRAJE!C$4,IF(G21=2,KILOMETRAJE!C$5,IF(G21=3,KILOMETRAJE!C$6,IF(G21=4,KILOMETRAJE!C$7,IF(G21=5,KILOMETRAJE!C$8,IF(G21=6,KILOMETRAJE!C$9,IF(G21=7,KILOMETRAJE!C$10,IF(G21=8,KILOMETRAJE!C$11,IF(G21=9,KILOMETRAJE!C$12,IF(G21=10,KILOMETRAJE!C$13,IF(G21=11,KILOMETRAJE!C$14,IF(G21=12,KILOMETRAJE!C$15,IF(G21=13,KILOMETRAJE!C$16,IF(G21=14,KILOMETRAJE!C$17,IF(G21=15,KILOMETRAJE!C$18,IF(G21=16,KILOMETRAJE!C$19,IF(G21=17,KILOMETRAJE!C$20,IF(G21=18,KILOMETRAJE!C$21,IF(G21=19,KILOMETRAJE!C$22,IF(G21=20,KILOMETRAJE!C$23,IF(G21=21,KILOMETRAJE!C$24,IF(G21=22,KILOMETRAJE!C$25,IF(G21=23,KILOMETRAJE!C$26,IF(G21=24,KILOMETRAJE!C$27,IF(G21=25,KILOMETRAJE!C$28,IF(G21=26,KILOMETRAJE!C$29,IF(G21=27,KILOMETRAJE!C$30,IF(G21=28,KILOMETRAJE!C$31,IF(G21=29,KILOMETRAJE!C$32,IF(G21=30,KILOMETRAJE!C$33,IF(G21=31,KILOMETRAJE!C$34,IF(G21=32,KILOMETRAJE!C$35,IF(G21=33,KILOMETRAJE!C$36,IF(G21=34,KILOMETRAJE!C$37,IF(G21=35,KILOMETRAJE!C$38,IF(G21=36,KILOMETRAJE!C$39,IF(G21=37,KILOMETRAJE!C$40,IF(G21=38,KILOMETRAJE!C$41,IF(G21=39,KILOMETRAJE!C$42,IF(G21=40,KILOMETRAJE!C$43,IF(G21=41,KILOMETRAJE!C$44,IF(G21=42,KILOMETRAJE!C$45,IF(G21=43,KILOMETRAJE!C$46,IF(G21=44,KILOMETRAJE!C$47,IF(G21=45,KILOMETRAJE!C$48,IF(G21=46,KILOMETRAJE!C$49,IF(G21=47,KILOMETRAJE!C$50,IF(G21=48,KILOMETRAJE!C$51,IF(G21=49,KILOMETRAJE!C$52,IF(G21=50,KILOMETRAJE!C$53,IF(G21=51,KILOMETRAJE!C$54,IF(G21=52,KILOMETRAJE!C$55,IF(G21=53,KILOMETRAJE!C$56,IF(G21=54,KILOMETRAJE!C$57,IF(G21=55,KILOMETRAJE!C$58,IF(G21=56,KILOMETRAJE!C$59,IF(G21=57,KILOMETRAJE!C$60,IF(G21=58,KILOMETRAJE!C$61,IF(G21=59,KILOMETRAJE!C$62,IF(G21=60,KILOMETRAJE!C$63,IF(G21=61,KILOMETRAJE!C$64,IF(G21=62,KILOMETRAJE!C$65,IF(G21=63,KILOMETRAJE!C$66)))))))))))))))))))))))))))))))))))))))))))))))))))))))))))))))</f>
        <v>JRZ</v>
      </c>
      <c r="I21" s="24" t="str">
        <f>IF(G21=1,KILOMETRAJE!E$4,IF(G21=2,KILOMETRAJE!E$5,IF(G21=3,KILOMETRAJE!E$6,IF(G21=4,KILOMETRAJE!E$7,IF(G21=5,KILOMETRAJE!E$8,IF(G21=6,KILOMETRAJE!E$9,IF(G21=7,KILOMETRAJE!E$10,IF(G21=8,KILOMETRAJE!E$11,IF(G21=9,KILOMETRAJE!E$12,IF(G21=10,KILOMETRAJE!E$13,IF(G21=11,KILOMETRAJE!E$14,IF(G21=12,KILOMETRAJE!E$15,IF(G21=13,KILOMETRAJE!E$16,IF(G21=14,KILOMETRAJE!E$17,IF(G21=15,KILOMETRAJE!E$18,IF(G21=16,KILOMETRAJE!E$19,IF(G21=17,KILOMETRAJE!E$20,IF(G21=18,KILOMETRAJE!E$21,IF(G21=19,KILOMETRAJE!E$22,IF(G21=20,KILOMETRAJE!E$23,IF(G21=21,KILOMETRAJE!E$24,IF(G21=22,KILOMETRAJE!E$25,IF(G21=23,KILOMETRAJE!E$26,IF(G21=24,KILOMETRAJE!E$27,IF(G21=25,KILOMETRAJE!E$28,IF(G21=26,KILOMETRAJE!E$29,IF(G21=27,KILOMETRAJE!E$30,IF(G21=28,KILOMETRAJE!E$31,IF(G21=29,KILOMETRAJE!E$32,IF(G21=30,KILOMETRAJE!E$33,IF(G21=31,KILOMETRAJE!E$34,IF(G21=32,KILOMETRAJE!E$35,IF(G21=33,KILOMETRAJE!E$36,IF(G21=34,KILOMETRAJE!E$37,IF(G21=35,KILOMETRAJE!E$38,IF(G21=36,KILOMETRAJE!E$39,IF(G21=37,KILOMETRAJE!E$40,IF(G21=38,KILOMETRAJE!E$41,IF(G21=39,KILOMETRAJE!E$42,IF(G21=40,KILOMETRAJE!E$43,IF(G21=41,KILOMETRAJE!E$44,IF(G21=42,KILOMETRAJE!E$45,IF(G21=43,KILOMETRAJE!E$46,IF(G21=44,KILOMETRAJE!E$47,IF(G21=45,KILOMETRAJE!E$48,IF(G21=46,KILOMETRAJE!E$49,IF(G21=47,KILOMETRAJE!E$50,IF(G21=48,KILOMETRAJE!E$51,IF(G21=49,KILOMETRAJE!E$52,IF(G21=50,KILOMETRAJE!E$53,IF(G21=51,KILOMETRAJE!E$54,IF(G21=52,KILOMETRAJE!E$55,IF(G21=53,KILOMETRAJE!E$56,IF(G21=54,KILOMETRAJE!E$57,IF(G21=55,KILOMETRAJE!E$58,IF(G21=56,KILOMETRAJE!E$59,IF(G21=57,KILOMETRAJE!E$60,IF(G21=58,KILOMETRAJE!E$61,IF(G21=59,KILOMETRAJE!E$62,IF(G21=60,KILOMETRAJE!E$63,IF(G21=61,KILOMETRAJE!E$64,IF(G21=62,KILOMETRAJE!E$65,IF(G21=63,KILOMETRAJE!E$66)))))))))))))))))))))))))))))))))))))))))))))))))))))))))))))))</f>
        <v>CHIH.</v>
      </c>
      <c r="J21" s="51">
        <f>IF(G21=1,KILOMETRAJE!G$4,IF(G21=2,KILOMETRAJE!G$5,IF(G21=3,KILOMETRAJE!G$6,IF(G21=4,KILOMETRAJE!G$7,IF(G21=5,KILOMETRAJE!G$8,IF(G21=6,KILOMETRAJE!G$9,IF(G21=7,KILOMETRAJE!G$10,IF(G21=8,KILOMETRAJE!G$11,IF(G21=9,KILOMETRAJE!G$12,IF(G21=10,KILOMETRAJE!G$13,IF(G21=11,KILOMETRAJE!G$14,IF(G21=12,KILOMETRAJE!G$15,IF(G21=13,KILOMETRAJE!G$16,IF(G21=14,KILOMETRAJE!G$17,IF(G21=15,KILOMETRAJE!G$18,IF(G21=16,KILOMETRAJE!G$19,IF(G21=17,KILOMETRAJE!G$20,IF(G21=18,KILOMETRAJE!G$21,IF(G21=19,KILOMETRAJE!G$22,IF(G21=20,KILOMETRAJE!G$23,IF(G21=21,KILOMETRAJE!G$24,IF(G21=22,KILOMETRAJE!G$25,IF(G21=23,KILOMETRAJE!G$26,IF(G21=24,KILOMETRAJE!G$27,IF(G21=25,KILOMETRAJE!G$28,IF(G21=26,KILOMETRAJE!G$29,IF(G21=27,KILOMETRAJE!G$30,IF(G21=28,KILOMETRAJE!G$31,IF(G21=29,KILOMETRAJE!G$32,IF(G21=30,KILOMETRAJE!G$33,IF(G21=31,KILOMETRAJE!G$34,IF(G21=32,KILOMETRAJE!G$35,IF(G21=33,KILOMETRAJE!G$36,IF(G21=34,KILOMETRAJE!G$37,IF(G21=35,KILOMETRAJE!G$38,IF(G21=36,KILOMETRAJE!G$39,IF(G21=37,KILOMETRAJE!G$40,IF(G21=38,KILOMETRAJE!G$41,IF(G21=39,KILOMETRAJE!G$42,IF(G21=40,KILOMETRAJE!G$43,IF(G21=41,KILOMETRAJE!G$44,IF(G21=42,KILOMETRAJE!G$45,IF(G21=43,KILOMETRAJE!G$46,IF(G21=44,KILOMETRAJE!G$47,IF(G21=45,KILOMETRAJE!G$48,IF(G21=46,KILOMETRAJE!G$49,IF(G21=47,KILOMETRAJE!G$50,IF(G21=48,KILOMETRAJE!G$51,IF(G21=49,KILOMETRAJE!G$52,IF(G21=50,KILOMETRAJE!G$53,IF(G21=51,KILOMETRAJE!G$54,IF(G21=52,KILOMETRAJE!G$55,IF(G21=53,KILOMETRAJE!G$56,IF(G21=54,KILOMETRAJE!G$57,IF(G21=55,KILOMETRAJE!G$58,IF(G21=56,KILOMETRAJE!G$59,IF(G21=57,KILOMETRAJE!G$60,IF(G21=58,KILOMETRAJE!G$61,IF(G21=59,KILOMETRAJE!G$62,IF(G21=60,KILOMETRAJE!G$63,IF(G21=61,KILOMETRAJE!G$64,IF(G21=62,KILOMETRAJE!G$65,IF(G21=63,KILOMETRAJE!G$66)))))))))))))))))))))))))))))))))))))))))))))))))))))))))))))))</f>
        <v>375</v>
      </c>
      <c r="K21" s="24"/>
      <c r="L21" s="44"/>
      <c r="M21" s="348">
        <v>20203</v>
      </c>
      <c r="N21" s="24">
        <v>1</v>
      </c>
      <c r="O21" s="24">
        <v>49883</v>
      </c>
      <c r="P21" s="24" t="s">
        <v>197</v>
      </c>
      <c r="Q21" s="45">
        <f t="shared" ref="Q21:Q28" si="1">((((IF(N21=1,((J21)*0.29333)))+(IF(N21=2,((J21)*0.146666)))+(IF(N21=3,((J21)*0.146666)))))+(IF(N21=4,((J21-40)*0.29333)))+(IF(N21=5,((J21-50)*0.29333)))+(IF(N21=6,((J21-90)*0.29333))))</f>
        <v>109.99874999999999</v>
      </c>
      <c r="R21" s="191"/>
      <c r="S21" s="52"/>
      <c r="T21" s="455"/>
      <c r="U21" s="43" t="s">
        <v>352</v>
      </c>
      <c r="V21" s="17" t="s">
        <v>352</v>
      </c>
    </row>
    <row r="22" spans="3:24" ht="12.75" thickBot="1" x14ac:dyDescent="0.25">
      <c r="C22" s="239"/>
      <c r="D22" s="70" t="s">
        <v>464</v>
      </c>
      <c r="E22" s="69">
        <v>45961</v>
      </c>
      <c r="F22" s="69">
        <v>45961</v>
      </c>
      <c r="G22" s="68">
        <v>3</v>
      </c>
      <c r="H22" s="26" t="str">
        <f>IF(G22=1,KILOMETRAJE!C$4,IF(G22=2,KILOMETRAJE!C$5,IF(G22=3,KILOMETRAJE!C$6,IF(G22=4,KILOMETRAJE!C$7,IF(G22=5,KILOMETRAJE!C$8,IF(G22=6,KILOMETRAJE!C$9,IF(G22=7,KILOMETRAJE!C$10,IF(G22=8,KILOMETRAJE!C$11,IF(G22=9,KILOMETRAJE!C$12,IF(G22=10,KILOMETRAJE!C$13,IF(G22=11,KILOMETRAJE!C$14,IF(G22=12,KILOMETRAJE!C$15,IF(G22=13,KILOMETRAJE!C$16,IF(G22=14,KILOMETRAJE!C$17,IF(G22=15,KILOMETRAJE!C$18,IF(G22=16,KILOMETRAJE!C$19,IF(G22=17,KILOMETRAJE!C$20,IF(G22=18,KILOMETRAJE!C$21,IF(G22=19,KILOMETRAJE!C$22,IF(G22=20,KILOMETRAJE!C$23,IF(G22=21,KILOMETRAJE!C$24,IF(G22=22,KILOMETRAJE!C$25,IF(G22=23,KILOMETRAJE!C$26,IF(G22=24,KILOMETRAJE!C$27,IF(G22=25,KILOMETRAJE!C$28,IF(G22=26,KILOMETRAJE!C$29,IF(G22=27,KILOMETRAJE!C$30,IF(G22=28,KILOMETRAJE!C$31,IF(G22=29,KILOMETRAJE!C$32,IF(G22=30,KILOMETRAJE!C$33,IF(G22=31,KILOMETRAJE!C$34,IF(G22=32,KILOMETRAJE!C$35,IF(G22=33,KILOMETRAJE!C$36,IF(G22=34,KILOMETRAJE!C$37,IF(G22=35,KILOMETRAJE!C$38,IF(G22=36,KILOMETRAJE!C$39,IF(G22=37,KILOMETRAJE!C$40,IF(G22=38,KILOMETRAJE!C$41,IF(G22=39,KILOMETRAJE!C$42,IF(G22=40,KILOMETRAJE!C$43,IF(G22=41,KILOMETRAJE!C$44,IF(G22=42,KILOMETRAJE!C$45,IF(G22=43,KILOMETRAJE!C$46,IF(G22=44,KILOMETRAJE!C$47,IF(G22=45,KILOMETRAJE!C$48,IF(G22=46,KILOMETRAJE!C$49,IF(G22=47,KILOMETRAJE!C$50,IF(G22=48,KILOMETRAJE!C$51,IF(G22=49,KILOMETRAJE!C$52,IF(G22=50,KILOMETRAJE!C$53,IF(G22=51,KILOMETRAJE!C$54,IF(G22=52,KILOMETRAJE!C$55,IF(G22=53,KILOMETRAJE!C$56,IF(G22=54,KILOMETRAJE!C$57,IF(G22=55,KILOMETRAJE!C$58,IF(G22=56,KILOMETRAJE!C$59,IF(G22=57,KILOMETRAJE!C$60,IF(G22=58,KILOMETRAJE!C$61,IF(G22=59,KILOMETRAJE!C$62,IF(G22=60,KILOMETRAJE!C$63,IF(G22=61,KILOMETRAJE!C$64,IF(G22=62,KILOMETRAJE!C$65,IF(G22=63,KILOMETRAJE!C$66)))))))))))))))))))))))))))))))))))))))))))))))))))))))))))))))</f>
        <v xml:space="preserve">CHIH. </v>
      </c>
      <c r="I22" s="27" t="str">
        <f>IF(G22=1,KILOMETRAJE!E$4,IF(G22=2,KILOMETRAJE!E$5,IF(G22=3,KILOMETRAJE!E$6,IF(G22=4,KILOMETRAJE!E$7,IF(G22=5,KILOMETRAJE!E$8,IF(G22=6,KILOMETRAJE!E$9,IF(G22=7,KILOMETRAJE!E$10,IF(G22=8,KILOMETRAJE!E$11,IF(G22=9,KILOMETRAJE!E$12,IF(G22=10,KILOMETRAJE!E$13,IF(G22=11,KILOMETRAJE!E$14,IF(G22=12,KILOMETRAJE!E$15,IF(G22=13,KILOMETRAJE!E$16,IF(G22=14,KILOMETRAJE!E$17,IF(G22=15,KILOMETRAJE!E$18,IF(G22=16,KILOMETRAJE!E$19,IF(G22=17,KILOMETRAJE!E$20,IF(G22=18,KILOMETRAJE!E$21,IF(G22=19,KILOMETRAJE!E$22,IF(G22=20,KILOMETRAJE!E$23,IF(G22=21,KILOMETRAJE!E$24,IF(G22=22,KILOMETRAJE!E$25,IF(G22=23,KILOMETRAJE!E$26,IF(G22=24,KILOMETRAJE!E$27,IF(G22=25,KILOMETRAJE!E$28,IF(G22=26,KILOMETRAJE!E$29,IF(G22=27,KILOMETRAJE!E$30,IF(G22=28,KILOMETRAJE!E$31,IF(G22=29,KILOMETRAJE!E$32,IF(G22=30,KILOMETRAJE!E$33,IF(G22=31,KILOMETRAJE!E$34,IF(G22=32,KILOMETRAJE!E$35,IF(G22=33,KILOMETRAJE!E$36,IF(G22=34,KILOMETRAJE!E$37,IF(G22=35,KILOMETRAJE!E$38,IF(G22=36,KILOMETRAJE!E$39,IF(G22=37,KILOMETRAJE!E$40,IF(G22=38,KILOMETRAJE!E$41,IF(G22=39,KILOMETRAJE!E$42,IF(G22=40,KILOMETRAJE!E$43,IF(G22=41,KILOMETRAJE!E$44,IF(G22=42,KILOMETRAJE!E$45,IF(G22=43,KILOMETRAJE!E$46,IF(G22=44,KILOMETRAJE!E$47,IF(G22=45,KILOMETRAJE!E$48,IF(G22=46,KILOMETRAJE!E$49,IF(G22=47,KILOMETRAJE!E$50,IF(G22=48,KILOMETRAJE!E$51,IF(G22=49,KILOMETRAJE!E$52,IF(G22=50,KILOMETRAJE!E$53,IF(G22=51,KILOMETRAJE!E$54,IF(G22=52,KILOMETRAJE!E$55,IF(G22=53,KILOMETRAJE!E$56,IF(G22=54,KILOMETRAJE!E$57,IF(G22=55,KILOMETRAJE!E$58,IF(G22=56,KILOMETRAJE!E$59,IF(G22=57,KILOMETRAJE!E$60,IF(G22=58,KILOMETRAJE!E$61,IF(G22=59,KILOMETRAJE!E$62,IF(G22=60,KILOMETRAJE!E$63,IF(G22=61,KILOMETRAJE!E$64,IF(G22=62,KILOMETRAJE!E$65,IF(G22=63,KILOMETRAJE!E$66)))))))))))))))))))))))))))))))))))))))))))))))))))))))))))))))</f>
        <v>JRZ</v>
      </c>
      <c r="J22" s="31">
        <f>IF(G22=1,KILOMETRAJE!G$4,IF(G22=2,KILOMETRAJE!G$5,IF(G22=3,KILOMETRAJE!G$6,IF(G22=4,KILOMETRAJE!G$7,IF(G22=5,KILOMETRAJE!G$8,IF(G22=6,KILOMETRAJE!G$9,IF(G22=7,KILOMETRAJE!G$10,IF(G22=8,KILOMETRAJE!G$11,IF(G22=9,KILOMETRAJE!G$12,IF(G22=10,KILOMETRAJE!G$13,IF(G22=11,KILOMETRAJE!G$14,IF(G22=12,KILOMETRAJE!G$15,IF(G22=13,KILOMETRAJE!G$16,IF(G22=14,KILOMETRAJE!G$17,IF(G22=15,KILOMETRAJE!G$18,IF(G22=16,KILOMETRAJE!G$19,IF(G22=17,KILOMETRAJE!G$20,IF(G22=18,KILOMETRAJE!G$21,IF(G22=19,KILOMETRAJE!G$22,IF(G22=20,KILOMETRAJE!G$23,IF(G22=21,KILOMETRAJE!G$24,IF(G22=22,KILOMETRAJE!G$25,IF(G22=23,KILOMETRAJE!G$26,IF(G22=24,KILOMETRAJE!G$27,IF(G22=25,KILOMETRAJE!G$28,IF(G22=26,KILOMETRAJE!G$29,IF(G22=27,KILOMETRAJE!G$30,IF(G22=28,KILOMETRAJE!G$31,IF(G22=29,KILOMETRAJE!G$32,IF(G22=30,KILOMETRAJE!G$33,IF(G22=31,KILOMETRAJE!G$34,IF(G22=32,KILOMETRAJE!G$35,IF(G22=33,KILOMETRAJE!G$36,IF(G22=34,KILOMETRAJE!G$37,IF(G22=35,KILOMETRAJE!G$38,IF(G22=36,KILOMETRAJE!G$39,IF(G22=37,KILOMETRAJE!G$40,IF(G22=38,KILOMETRAJE!G$41,IF(G22=39,KILOMETRAJE!G$42,IF(G22=40,KILOMETRAJE!G$43,IF(G22=41,KILOMETRAJE!G$44,IF(G22=42,KILOMETRAJE!G$45,IF(G22=43,KILOMETRAJE!G$46,IF(G22=44,KILOMETRAJE!G$47,IF(G22=45,KILOMETRAJE!G$48,IF(G22=46,KILOMETRAJE!G$49,IF(G22=47,KILOMETRAJE!G$50,IF(G22=48,KILOMETRAJE!G$51,IF(G22=49,KILOMETRAJE!G$52,IF(G22=50,KILOMETRAJE!G$53,IF(G22=51,KILOMETRAJE!G$54,IF(G22=52,KILOMETRAJE!G$55,IF(G22=53,KILOMETRAJE!G$56,IF(G22=54,KILOMETRAJE!G$57,IF(G22=55,KILOMETRAJE!G$58,IF(G22=56,KILOMETRAJE!G$59,IF(G22=57,KILOMETRAJE!G$60,IF(G22=58,KILOMETRAJE!G$61,IF(G22=59,KILOMETRAJE!G$62,IF(G22=60,KILOMETRAJE!G$63,IF(G22=61,KILOMETRAJE!G$64,IF(G22=62,KILOMETRAJE!G$65,IF(G22=63,KILOMETRAJE!G$66)))))))))))))))))))))))))))))))))))))))))))))))))))))))))))))))</f>
        <v>375</v>
      </c>
      <c r="K22" s="27">
        <v>217.14</v>
      </c>
      <c r="L22" s="28">
        <f>SUM(J21:J22)/K22</f>
        <v>3.4539928156949435</v>
      </c>
      <c r="M22" s="349">
        <v>3198</v>
      </c>
      <c r="N22" s="27">
        <v>1</v>
      </c>
      <c r="O22" s="27" t="s">
        <v>465</v>
      </c>
      <c r="P22" s="27" t="s">
        <v>191</v>
      </c>
      <c r="Q22" s="29">
        <f t="shared" si="1"/>
        <v>109.99874999999999</v>
      </c>
      <c r="R22" s="190">
        <v>2.4500000000000002</v>
      </c>
      <c r="S22" s="19">
        <f>+((SUM(J21:J22))/R22)-K22</f>
        <v>88.982448979591823</v>
      </c>
      <c r="T22" s="456">
        <f>+S22*14.85</f>
        <v>1321.3893673469386</v>
      </c>
      <c r="U22" s="62">
        <v>61</v>
      </c>
      <c r="V22" s="417">
        <v>61</v>
      </c>
    </row>
    <row r="23" spans="3:24" x14ac:dyDescent="0.2">
      <c r="C23" s="176">
        <v>46166</v>
      </c>
      <c r="D23" s="43" t="s">
        <v>466</v>
      </c>
      <c r="E23" s="42">
        <v>45961</v>
      </c>
      <c r="F23" s="42">
        <v>45962</v>
      </c>
      <c r="G23" s="43">
        <v>2</v>
      </c>
      <c r="H23" s="65" t="str">
        <f>IF(G23=1,KILOMETRAJE!C$4,IF(G23=2,KILOMETRAJE!C$5,IF(G23=3,KILOMETRAJE!C$6,IF(G23=4,KILOMETRAJE!C$7,IF(G23=5,KILOMETRAJE!C$8,IF(G23=6,KILOMETRAJE!C$9,IF(G23=7,KILOMETRAJE!C$10,IF(G23=8,KILOMETRAJE!C$11,IF(G23=9,KILOMETRAJE!C$12,IF(G23=10,KILOMETRAJE!C$13,IF(G23=11,KILOMETRAJE!C$14,IF(G23=12,KILOMETRAJE!C$15,IF(G23=13,KILOMETRAJE!C$16,IF(G23=14,KILOMETRAJE!C$17,IF(G23=15,KILOMETRAJE!C$18,IF(G23=16,KILOMETRAJE!C$19,IF(G23=17,KILOMETRAJE!C$20,IF(G23=18,KILOMETRAJE!C$21,IF(G23=19,KILOMETRAJE!C$22,IF(G23=20,KILOMETRAJE!C$23,IF(G23=21,KILOMETRAJE!C$24,IF(G23=22,KILOMETRAJE!C$25,IF(G23=23,KILOMETRAJE!C$26,IF(G23=24,KILOMETRAJE!C$27,IF(G23=25,KILOMETRAJE!C$28,IF(G23=26,KILOMETRAJE!C$29,IF(G23=27,KILOMETRAJE!C$30,IF(G23=28,KILOMETRAJE!C$31,IF(G23=29,KILOMETRAJE!C$32,IF(G23=30,KILOMETRAJE!C$33,IF(G23=31,KILOMETRAJE!C$34,IF(G23=32,KILOMETRAJE!C$35,IF(G23=33,KILOMETRAJE!C$36,IF(G23=34,KILOMETRAJE!C$37,IF(G23=35,KILOMETRAJE!C$38,IF(G23=36,KILOMETRAJE!C$39,IF(G23=37,KILOMETRAJE!C$40,IF(G23=38,KILOMETRAJE!C$41,IF(G23=39,KILOMETRAJE!C$42,IF(G23=40,KILOMETRAJE!C$43,IF(G23=41,KILOMETRAJE!C$44,IF(G23=42,KILOMETRAJE!C$45,IF(G23=43,KILOMETRAJE!C$46,IF(G23=44,KILOMETRAJE!C$47,IF(G23=45,KILOMETRAJE!C$48,IF(G23=46,KILOMETRAJE!C$49,IF(G23=47,KILOMETRAJE!C$50,IF(G23=48,KILOMETRAJE!C$51,IF(G23=49,KILOMETRAJE!C$52,IF(G23=50,KILOMETRAJE!C$53,IF(G23=51,KILOMETRAJE!C$54,IF(G23=52,KILOMETRAJE!C$55,IF(G23=53,KILOMETRAJE!C$56,IF(G23=54,KILOMETRAJE!C$57,IF(G23=55,KILOMETRAJE!C$58,IF(G23=56,KILOMETRAJE!C$59,IF(G23=57,KILOMETRAJE!C$60,IF(G23=58,KILOMETRAJE!C$61,IF(G23=59,KILOMETRAJE!C$62,IF(G23=60,KILOMETRAJE!C$63,IF(G23=61,KILOMETRAJE!C$64,IF(G23=62,KILOMETRAJE!C$65,IF(G23=63,KILOMETRAJE!C$66)))))))))))))))))))))))))))))))))))))))))))))))))))))))))))))))</f>
        <v>JRZ</v>
      </c>
      <c r="I23" s="24" t="str">
        <f>IF(G23=1,KILOMETRAJE!E$4,IF(G23=2,KILOMETRAJE!E$5,IF(G23=3,KILOMETRAJE!E$6,IF(G23=4,KILOMETRAJE!E$7,IF(G23=5,KILOMETRAJE!E$8,IF(G23=6,KILOMETRAJE!E$9,IF(G23=7,KILOMETRAJE!E$10,IF(G23=8,KILOMETRAJE!E$11,IF(G23=9,KILOMETRAJE!E$12,IF(G23=10,KILOMETRAJE!E$13,IF(G23=11,KILOMETRAJE!E$14,IF(G23=12,KILOMETRAJE!E$15,IF(G23=13,KILOMETRAJE!E$16,IF(G23=14,KILOMETRAJE!E$17,IF(G23=15,KILOMETRAJE!E$18,IF(G23=16,KILOMETRAJE!E$19,IF(G23=17,KILOMETRAJE!E$20,IF(G23=18,KILOMETRAJE!E$21,IF(G23=19,KILOMETRAJE!E$22,IF(G23=20,KILOMETRAJE!E$23,IF(G23=21,KILOMETRAJE!E$24,IF(G23=22,KILOMETRAJE!E$25,IF(G23=23,KILOMETRAJE!E$26,IF(G23=24,KILOMETRAJE!E$27,IF(G23=25,KILOMETRAJE!E$28,IF(G23=26,KILOMETRAJE!E$29,IF(G23=27,KILOMETRAJE!E$30,IF(G23=28,KILOMETRAJE!E$31,IF(G23=29,KILOMETRAJE!E$32,IF(G23=30,KILOMETRAJE!E$33,IF(G23=31,KILOMETRAJE!E$34,IF(G23=32,KILOMETRAJE!E$35,IF(G23=33,KILOMETRAJE!E$36,IF(G23=34,KILOMETRAJE!E$37,IF(G23=35,KILOMETRAJE!E$38,IF(G23=36,KILOMETRAJE!E$39,IF(G23=37,KILOMETRAJE!E$40,IF(G23=38,KILOMETRAJE!E$41,IF(G23=39,KILOMETRAJE!E$42,IF(G23=40,KILOMETRAJE!E$43,IF(G23=41,KILOMETRAJE!E$44,IF(G23=42,KILOMETRAJE!E$45,IF(G23=43,KILOMETRAJE!E$46,IF(G23=44,KILOMETRAJE!E$47,IF(G23=45,KILOMETRAJE!E$48,IF(G23=46,KILOMETRAJE!E$49,IF(G23=47,KILOMETRAJE!E$50,IF(G23=48,KILOMETRAJE!E$51,IF(G23=49,KILOMETRAJE!E$52,IF(G23=50,KILOMETRAJE!E$53,IF(G23=51,KILOMETRAJE!E$54,IF(G23=52,KILOMETRAJE!E$55,IF(G23=53,KILOMETRAJE!E$56,IF(G23=54,KILOMETRAJE!E$57,IF(G23=55,KILOMETRAJE!E$58,IF(G23=56,KILOMETRAJE!E$59,IF(G23=57,KILOMETRAJE!E$60,IF(G23=58,KILOMETRAJE!E$61,IF(G23=59,KILOMETRAJE!E$62,IF(G23=60,KILOMETRAJE!E$63,IF(G23=61,KILOMETRAJE!E$64,IF(G23=62,KILOMETRAJE!E$65,IF(G23=63,KILOMETRAJE!E$66)))))))))))))))))))))))))))))))))))))))))))))))))))))))))))))))</f>
        <v>CHIH.</v>
      </c>
      <c r="J23" s="51">
        <f>IF(G23=1,KILOMETRAJE!G$4,IF(G23=2,KILOMETRAJE!G$5,IF(G23=3,KILOMETRAJE!G$6,IF(G23=4,KILOMETRAJE!G$7,IF(G23=5,KILOMETRAJE!G$8,IF(G23=6,KILOMETRAJE!G$9,IF(G23=7,KILOMETRAJE!G$10,IF(G23=8,KILOMETRAJE!G$11,IF(G23=9,KILOMETRAJE!G$12,IF(G23=10,KILOMETRAJE!G$13,IF(G23=11,KILOMETRAJE!G$14,IF(G23=12,KILOMETRAJE!G$15,IF(G23=13,KILOMETRAJE!G$16,IF(G23=14,KILOMETRAJE!G$17,IF(G23=15,KILOMETRAJE!G$18,IF(G23=16,KILOMETRAJE!G$19,IF(G23=17,KILOMETRAJE!G$20,IF(G23=18,KILOMETRAJE!G$21,IF(G23=19,KILOMETRAJE!G$22,IF(G23=20,KILOMETRAJE!G$23,IF(G23=21,KILOMETRAJE!G$24,IF(G23=22,KILOMETRAJE!G$25,IF(G23=23,KILOMETRAJE!G$26,IF(G23=24,KILOMETRAJE!G$27,IF(G23=25,KILOMETRAJE!G$28,IF(G23=26,KILOMETRAJE!G$29,IF(G23=27,KILOMETRAJE!G$30,IF(G23=28,KILOMETRAJE!G$31,IF(G23=29,KILOMETRAJE!G$32,IF(G23=30,KILOMETRAJE!G$33,IF(G23=31,KILOMETRAJE!G$34,IF(G23=32,KILOMETRAJE!G$35,IF(G23=33,KILOMETRAJE!G$36,IF(G23=34,KILOMETRAJE!G$37,IF(G23=35,KILOMETRAJE!G$38,IF(G23=36,KILOMETRAJE!G$39,IF(G23=37,KILOMETRAJE!G$40,IF(G23=38,KILOMETRAJE!G$41,IF(G23=39,KILOMETRAJE!G$42,IF(G23=40,KILOMETRAJE!G$43,IF(G23=41,KILOMETRAJE!G$44,IF(G23=42,KILOMETRAJE!G$45,IF(G23=43,KILOMETRAJE!G$46,IF(G23=44,KILOMETRAJE!G$47,IF(G23=45,KILOMETRAJE!G$48,IF(G23=46,KILOMETRAJE!G$49,IF(G23=47,KILOMETRAJE!G$50,IF(G23=48,KILOMETRAJE!G$51,IF(G23=49,KILOMETRAJE!G$52,IF(G23=50,KILOMETRAJE!G$53,IF(G23=51,KILOMETRAJE!G$54,IF(G23=52,KILOMETRAJE!G$55,IF(G23=53,KILOMETRAJE!G$56,IF(G23=54,KILOMETRAJE!G$57,IF(G23=55,KILOMETRAJE!G$58,IF(G23=56,KILOMETRAJE!G$59,IF(G23=57,KILOMETRAJE!G$60,IF(G23=58,KILOMETRAJE!G$61,IF(G23=59,KILOMETRAJE!G$62,IF(G23=60,KILOMETRAJE!G$63,IF(G23=61,KILOMETRAJE!G$64,IF(G23=62,KILOMETRAJE!G$65,IF(G23=63,KILOMETRAJE!G$66)))))))))))))))))))))))))))))))))))))))))))))))))))))))))))))))</f>
        <v>375</v>
      </c>
      <c r="K23" s="24"/>
      <c r="L23" s="44"/>
      <c r="M23" s="348">
        <v>5606</v>
      </c>
      <c r="N23" s="24">
        <v>1</v>
      </c>
      <c r="O23" s="24" t="s">
        <v>468</v>
      </c>
      <c r="P23" s="24" t="s">
        <v>201</v>
      </c>
      <c r="Q23" s="45">
        <f t="shared" si="1"/>
        <v>109.99874999999999</v>
      </c>
      <c r="R23" s="191"/>
      <c r="S23" s="52"/>
      <c r="T23" s="455"/>
      <c r="U23" s="38" t="s">
        <v>352</v>
      </c>
      <c r="V23" s="260" t="s">
        <v>352</v>
      </c>
    </row>
    <row r="24" spans="3:24" ht="12.75" thickBot="1" x14ac:dyDescent="0.25">
      <c r="C24" s="101"/>
      <c r="D24" s="62" t="s">
        <v>467</v>
      </c>
      <c r="E24" s="25">
        <v>45962</v>
      </c>
      <c r="F24" s="25">
        <v>45962</v>
      </c>
      <c r="G24" s="62">
        <v>3</v>
      </c>
      <c r="H24" s="26" t="str">
        <f>IF(G24=1,KILOMETRAJE!C$4,IF(G24=2,KILOMETRAJE!C$5,IF(G24=3,KILOMETRAJE!C$6,IF(G24=4,KILOMETRAJE!C$7,IF(G24=5,KILOMETRAJE!C$8,IF(G24=6,KILOMETRAJE!C$9,IF(G24=7,KILOMETRAJE!C$10,IF(G24=8,KILOMETRAJE!C$11,IF(G24=9,KILOMETRAJE!C$12,IF(G24=10,KILOMETRAJE!C$13,IF(G24=11,KILOMETRAJE!C$14,IF(G24=12,KILOMETRAJE!C$15,IF(G24=13,KILOMETRAJE!C$16,IF(G24=14,KILOMETRAJE!C$17,IF(G24=15,KILOMETRAJE!C$18,IF(G24=16,KILOMETRAJE!C$19,IF(G24=17,KILOMETRAJE!C$20,IF(G24=18,KILOMETRAJE!C$21,IF(G24=19,KILOMETRAJE!C$22,IF(G24=20,KILOMETRAJE!C$23,IF(G24=21,KILOMETRAJE!C$24,IF(G24=22,KILOMETRAJE!C$25,IF(G24=23,KILOMETRAJE!C$26,IF(G24=24,KILOMETRAJE!C$27,IF(G24=25,KILOMETRAJE!C$28,IF(G24=26,KILOMETRAJE!C$29,IF(G24=27,KILOMETRAJE!C$30,IF(G24=28,KILOMETRAJE!C$31,IF(G24=29,KILOMETRAJE!C$32,IF(G24=30,KILOMETRAJE!C$33,IF(G24=31,KILOMETRAJE!C$34,IF(G24=32,KILOMETRAJE!C$35,IF(G24=33,KILOMETRAJE!C$36,IF(G24=34,KILOMETRAJE!C$37,IF(G24=35,KILOMETRAJE!C$38,IF(G24=36,KILOMETRAJE!C$39,IF(G24=37,KILOMETRAJE!C$40,IF(G24=38,KILOMETRAJE!C$41,IF(G24=39,KILOMETRAJE!C$42,IF(G24=40,KILOMETRAJE!C$43,IF(G24=41,KILOMETRAJE!C$44,IF(G24=42,KILOMETRAJE!C$45,IF(G24=43,KILOMETRAJE!C$46,IF(G24=44,KILOMETRAJE!C$47,IF(G24=45,KILOMETRAJE!C$48,IF(G24=46,KILOMETRAJE!C$49,IF(G24=47,KILOMETRAJE!C$50,IF(G24=48,KILOMETRAJE!C$51,IF(G24=49,KILOMETRAJE!C$52,IF(G24=50,KILOMETRAJE!C$53,IF(G24=51,KILOMETRAJE!C$54,IF(G24=52,KILOMETRAJE!C$55,IF(G24=53,KILOMETRAJE!C$56,IF(G24=54,KILOMETRAJE!C$57,IF(G24=55,KILOMETRAJE!C$58,IF(G24=56,KILOMETRAJE!C$59,IF(G24=57,KILOMETRAJE!C$60,IF(G24=58,KILOMETRAJE!C$61,IF(G24=59,KILOMETRAJE!C$62,IF(G24=60,KILOMETRAJE!C$63,IF(G24=61,KILOMETRAJE!C$64,IF(G24=62,KILOMETRAJE!C$65,IF(G24=63,KILOMETRAJE!C$66)))))))))))))))))))))))))))))))))))))))))))))))))))))))))))))))</f>
        <v xml:space="preserve">CHIH. </v>
      </c>
      <c r="I24" s="27" t="str">
        <f>IF(G24=1,KILOMETRAJE!E$4,IF(G24=2,KILOMETRAJE!E$5,IF(G24=3,KILOMETRAJE!E$6,IF(G24=4,KILOMETRAJE!E$7,IF(G24=5,KILOMETRAJE!E$8,IF(G24=6,KILOMETRAJE!E$9,IF(G24=7,KILOMETRAJE!E$10,IF(G24=8,KILOMETRAJE!E$11,IF(G24=9,KILOMETRAJE!E$12,IF(G24=10,KILOMETRAJE!E$13,IF(G24=11,KILOMETRAJE!E$14,IF(G24=12,KILOMETRAJE!E$15,IF(G24=13,KILOMETRAJE!E$16,IF(G24=14,KILOMETRAJE!E$17,IF(G24=15,KILOMETRAJE!E$18,IF(G24=16,KILOMETRAJE!E$19,IF(G24=17,KILOMETRAJE!E$20,IF(G24=18,KILOMETRAJE!E$21,IF(G24=19,KILOMETRAJE!E$22,IF(G24=20,KILOMETRAJE!E$23,IF(G24=21,KILOMETRAJE!E$24,IF(G24=22,KILOMETRAJE!E$25,IF(G24=23,KILOMETRAJE!E$26,IF(G24=24,KILOMETRAJE!E$27,IF(G24=25,KILOMETRAJE!E$28,IF(G24=26,KILOMETRAJE!E$29,IF(G24=27,KILOMETRAJE!E$30,IF(G24=28,KILOMETRAJE!E$31,IF(G24=29,KILOMETRAJE!E$32,IF(G24=30,KILOMETRAJE!E$33,IF(G24=31,KILOMETRAJE!E$34,IF(G24=32,KILOMETRAJE!E$35,IF(G24=33,KILOMETRAJE!E$36,IF(G24=34,KILOMETRAJE!E$37,IF(G24=35,KILOMETRAJE!E$38,IF(G24=36,KILOMETRAJE!E$39,IF(G24=37,KILOMETRAJE!E$40,IF(G24=38,KILOMETRAJE!E$41,IF(G24=39,KILOMETRAJE!E$42,IF(G24=40,KILOMETRAJE!E$43,IF(G24=41,KILOMETRAJE!E$44,IF(G24=42,KILOMETRAJE!E$45,IF(G24=43,KILOMETRAJE!E$46,IF(G24=44,KILOMETRAJE!E$47,IF(G24=45,KILOMETRAJE!E$48,IF(G24=46,KILOMETRAJE!E$49,IF(G24=47,KILOMETRAJE!E$50,IF(G24=48,KILOMETRAJE!E$51,IF(G24=49,KILOMETRAJE!E$52,IF(G24=50,KILOMETRAJE!E$53,IF(G24=51,KILOMETRAJE!E$54,IF(G24=52,KILOMETRAJE!E$55,IF(G24=53,KILOMETRAJE!E$56,IF(G24=54,KILOMETRAJE!E$57,IF(G24=55,KILOMETRAJE!E$58,IF(G24=56,KILOMETRAJE!E$59,IF(G24=57,KILOMETRAJE!E$60,IF(G24=58,KILOMETRAJE!E$61,IF(G24=59,KILOMETRAJE!E$62,IF(G24=60,KILOMETRAJE!E$63,IF(G24=61,KILOMETRAJE!E$64,IF(G24=62,KILOMETRAJE!E$65,IF(G24=63,KILOMETRAJE!E$66)))))))))))))))))))))))))))))))))))))))))))))))))))))))))))))))</f>
        <v>JRZ</v>
      </c>
      <c r="J24" s="31">
        <f>IF(G24=1,KILOMETRAJE!G$4,IF(G24=2,KILOMETRAJE!G$5,IF(G24=3,KILOMETRAJE!G$6,IF(G24=4,KILOMETRAJE!G$7,IF(G24=5,KILOMETRAJE!G$8,IF(G24=6,KILOMETRAJE!G$9,IF(G24=7,KILOMETRAJE!G$10,IF(G24=8,KILOMETRAJE!G$11,IF(G24=9,KILOMETRAJE!G$12,IF(G24=10,KILOMETRAJE!G$13,IF(G24=11,KILOMETRAJE!G$14,IF(G24=12,KILOMETRAJE!G$15,IF(G24=13,KILOMETRAJE!G$16,IF(G24=14,KILOMETRAJE!G$17,IF(G24=15,KILOMETRAJE!G$18,IF(G24=16,KILOMETRAJE!G$19,IF(G24=17,KILOMETRAJE!G$20,IF(G24=18,KILOMETRAJE!G$21,IF(G24=19,KILOMETRAJE!G$22,IF(G24=20,KILOMETRAJE!G$23,IF(G24=21,KILOMETRAJE!G$24,IF(G24=22,KILOMETRAJE!G$25,IF(G24=23,KILOMETRAJE!G$26,IF(G24=24,KILOMETRAJE!G$27,IF(G24=25,KILOMETRAJE!G$28,IF(G24=26,KILOMETRAJE!G$29,IF(G24=27,KILOMETRAJE!G$30,IF(G24=28,KILOMETRAJE!G$31,IF(G24=29,KILOMETRAJE!G$32,IF(G24=30,KILOMETRAJE!G$33,IF(G24=31,KILOMETRAJE!G$34,IF(G24=32,KILOMETRAJE!G$35,IF(G24=33,KILOMETRAJE!G$36,IF(G24=34,KILOMETRAJE!G$37,IF(G24=35,KILOMETRAJE!G$38,IF(G24=36,KILOMETRAJE!G$39,IF(G24=37,KILOMETRAJE!G$40,IF(G24=38,KILOMETRAJE!G$41,IF(G24=39,KILOMETRAJE!G$42,IF(G24=40,KILOMETRAJE!G$43,IF(G24=41,KILOMETRAJE!G$44,IF(G24=42,KILOMETRAJE!G$45,IF(G24=43,KILOMETRAJE!G$46,IF(G24=44,KILOMETRAJE!G$47,IF(G24=45,KILOMETRAJE!G$48,IF(G24=46,KILOMETRAJE!G$49,IF(G24=47,KILOMETRAJE!G$50,IF(G24=48,KILOMETRAJE!G$51,IF(G24=49,KILOMETRAJE!G$52,IF(G24=50,KILOMETRAJE!G$53,IF(G24=51,KILOMETRAJE!G$54,IF(G24=52,KILOMETRAJE!G$55,IF(G24=53,KILOMETRAJE!G$56,IF(G24=54,KILOMETRAJE!G$57,IF(G24=55,KILOMETRAJE!G$58,IF(G24=56,KILOMETRAJE!G$59,IF(G24=57,KILOMETRAJE!G$60,IF(G24=58,KILOMETRAJE!G$61,IF(G24=59,KILOMETRAJE!G$62,IF(G24=60,KILOMETRAJE!G$63,IF(G24=61,KILOMETRAJE!G$64,IF(G24=62,KILOMETRAJE!G$65,IF(G24=63,KILOMETRAJE!G$66)))))))))))))))))))))))))))))))))))))))))))))))))))))))))))))))</f>
        <v>375</v>
      </c>
      <c r="K24" s="27">
        <v>224.1</v>
      </c>
      <c r="L24" s="28">
        <f>SUM(J23:J24)/K24</f>
        <v>3.3467202141900936</v>
      </c>
      <c r="M24" s="349">
        <v>2407</v>
      </c>
      <c r="N24" s="27">
        <v>1</v>
      </c>
      <c r="O24" s="27" t="s">
        <v>469</v>
      </c>
      <c r="P24" s="27" t="s">
        <v>247</v>
      </c>
      <c r="Q24" s="29">
        <f t="shared" si="1"/>
        <v>109.99874999999999</v>
      </c>
      <c r="R24" s="190">
        <v>2.4500000000000002</v>
      </c>
      <c r="S24" s="19">
        <f>+((SUM(J23:J24))/R24)-K24</f>
        <v>82.022448979591815</v>
      </c>
      <c r="T24" s="456">
        <f>+S24*14.85</f>
        <v>1218.0333673469383</v>
      </c>
      <c r="U24" s="70">
        <v>61</v>
      </c>
      <c r="V24" s="485">
        <v>61</v>
      </c>
    </row>
    <row r="25" spans="3:24" x14ac:dyDescent="0.2">
      <c r="C25" s="238">
        <v>46182</v>
      </c>
      <c r="D25" s="36" t="s">
        <v>470</v>
      </c>
      <c r="E25" s="37">
        <v>45962</v>
      </c>
      <c r="F25" s="37">
        <v>45962</v>
      </c>
      <c r="G25" s="36">
        <v>2</v>
      </c>
      <c r="H25" s="47" t="str">
        <f>IF(G25=1,KILOMETRAJE!C$4,IF(G25=2,KILOMETRAJE!C$5,IF(G25=3,KILOMETRAJE!C$6,IF(G25=4,KILOMETRAJE!C$7,IF(G25=5,KILOMETRAJE!C$8,IF(G25=6,KILOMETRAJE!C$9,IF(G25=7,KILOMETRAJE!C$10,IF(G25=8,KILOMETRAJE!C$11,IF(G25=9,KILOMETRAJE!C$12,IF(G25=10,KILOMETRAJE!C$13,IF(G25=11,KILOMETRAJE!C$14,IF(G25=12,KILOMETRAJE!C$15,IF(G25=13,KILOMETRAJE!C$16,IF(G25=14,KILOMETRAJE!C$17,IF(G25=15,KILOMETRAJE!C$18,IF(G25=16,KILOMETRAJE!C$19,IF(G25=17,KILOMETRAJE!C$20,IF(G25=18,KILOMETRAJE!C$21,IF(G25=19,KILOMETRAJE!C$22,IF(G25=20,KILOMETRAJE!C$23,IF(G25=21,KILOMETRAJE!C$24,IF(G25=22,KILOMETRAJE!C$25,IF(G25=23,KILOMETRAJE!C$26,IF(G25=24,KILOMETRAJE!C$27,IF(G25=25,KILOMETRAJE!C$28,IF(G25=26,KILOMETRAJE!C$29,IF(G25=27,KILOMETRAJE!C$30,IF(G25=28,KILOMETRAJE!C$31,IF(G25=29,KILOMETRAJE!C$32,IF(G25=30,KILOMETRAJE!C$33,IF(G25=31,KILOMETRAJE!C$34,IF(G25=32,KILOMETRAJE!C$35,IF(G25=33,KILOMETRAJE!C$36,IF(G25=34,KILOMETRAJE!C$37,IF(G25=35,KILOMETRAJE!C$38,IF(G25=36,KILOMETRAJE!C$39,IF(G25=37,KILOMETRAJE!C$40,IF(G25=38,KILOMETRAJE!C$41,IF(G25=39,KILOMETRAJE!C$42,IF(G25=40,KILOMETRAJE!C$43,IF(G25=41,KILOMETRAJE!C$44,IF(G25=42,KILOMETRAJE!C$45,IF(G25=43,KILOMETRAJE!C$46,IF(G25=44,KILOMETRAJE!C$47,IF(G25=45,KILOMETRAJE!C$48,IF(G25=46,KILOMETRAJE!C$49,IF(G25=47,KILOMETRAJE!C$50,IF(G25=48,KILOMETRAJE!C$51,IF(G25=49,KILOMETRAJE!C$52,IF(G25=50,KILOMETRAJE!C$53,IF(G25=51,KILOMETRAJE!C$54,IF(G25=52,KILOMETRAJE!C$55,IF(G25=53,KILOMETRAJE!C$56,IF(G25=54,KILOMETRAJE!C$57,IF(G25=55,KILOMETRAJE!C$58,IF(G25=56,KILOMETRAJE!C$59,IF(G25=57,KILOMETRAJE!C$60,IF(G25=58,KILOMETRAJE!C$61,IF(G25=59,KILOMETRAJE!C$62,IF(G25=60,KILOMETRAJE!C$63,IF(G25=61,KILOMETRAJE!C$64,IF(G25=62,KILOMETRAJE!C$65,IF(G25=63,KILOMETRAJE!C$66)))))))))))))))))))))))))))))))))))))))))))))))))))))))))))))))</f>
        <v>JRZ</v>
      </c>
      <c r="I25" s="38" t="str">
        <f>IF(G25=1,KILOMETRAJE!E$4,IF(G25=2,KILOMETRAJE!E$5,IF(G25=3,KILOMETRAJE!E$6,IF(G25=4,KILOMETRAJE!E$7,IF(G25=5,KILOMETRAJE!E$8,IF(G25=6,KILOMETRAJE!E$9,IF(G25=7,KILOMETRAJE!E$10,IF(G25=8,KILOMETRAJE!E$11,IF(G25=9,KILOMETRAJE!E$12,IF(G25=10,KILOMETRAJE!E$13,IF(G25=11,KILOMETRAJE!E$14,IF(G25=12,KILOMETRAJE!E$15,IF(G25=13,KILOMETRAJE!E$16,IF(G25=14,KILOMETRAJE!E$17,IF(G25=15,KILOMETRAJE!E$18,IF(G25=16,KILOMETRAJE!E$19,IF(G25=17,KILOMETRAJE!E$20,IF(G25=18,KILOMETRAJE!E$21,IF(G25=19,KILOMETRAJE!E$22,IF(G25=20,KILOMETRAJE!E$23,IF(G25=21,KILOMETRAJE!E$24,IF(G25=22,KILOMETRAJE!E$25,IF(G25=23,KILOMETRAJE!E$26,IF(G25=24,KILOMETRAJE!E$27,IF(G25=25,KILOMETRAJE!E$28,IF(G25=26,KILOMETRAJE!E$29,IF(G25=27,KILOMETRAJE!E$30,IF(G25=28,KILOMETRAJE!E$31,IF(G25=29,KILOMETRAJE!E$32,IF(G25=30,KILOMETRAJE!E$33,IF(G25=31,KILOMETRAJE!E$34,IF(G25=32,KILOMETRAJE!E$35,IF(G25=33,KILOMETRAJE!E$36,IF(G25=34,KILOMETRAJE!E$37,IF(G25=35,KILOMETRAJE!E$38,IF(G25=36,KILOMETRAJE!E$39,IF(G25=37,KILOMETRAJE!E$40,IF(G25=38,KILOMETRAJE!E$41,IF(G25=39,KILOMETRAJE!E$42,IF(G25=40,KILOMETRAJE!E$43,IF(G25=41,KILOMETRAJE!E$44,IF(G25=42,KILOMETRAJE!E$45,IF(G25=43,KILOMETRAJE!E$46,IF(G25=44,KILOMETRAJE!E$47,IF(G25=45,KILOMETRAJE!E$48,IF(G25=46,KILOMETRAJE!E$49,IF(G25=47,KILOMETRAJE!E$50,IF(G25=48,KILOMETRAJE!E$51,IF(G25=49,KILOMETRAJE!E$52,IF(G25=50,KILOMETRAJE!E$53,IF(G25=51,KILOMETRAJE!E$54,IF(G25=52,KILOMETRAJE!E$55,IF(G25=53,KILOMETRAJE!E$56,IF(G25=54,KILOMETRAJE!E$57,IF(G25=55,KILOMETRAJE!E$58,IF(G25=56,KILOMETRAJE!E$59,IF(G25=57,KILOMETRAJE!E$60,IF(G25=58,KILOMETRAJE!E$61,IF(G25=59,KILOMETRAJE!E$62,IF(G25=60,KILOMETRAJE!E$63,IF(G25=61,KILOMETRAJE!E$64,IF(G25=62,KILOMETRAJE!E$65,IF(G25=63,KILOMETRAJE!E$66)))))))))))))))))))))))))))))))))))))))))))))))))))))))))))))))</f>
        <v>CHIH.</v>
      </c>
      <c r="J25" s="39">
        <f>IF(G25=1,KILOMETRAJE!G$4,IF(G25=2,KILOMETRAJE!G$5,IF(G25=3,KILOMETRAJE!G$6,IF(G25=4,KILOMETRAJE!G$7,IF(G25=5,KILOMETRAJE!G$8,IF(G25=6,KILOMETRAJE!G$9,IF(G25=7,KILOMETRAJE!G$10,IF(G25=8,KILOMETRAJE!G$11,IF(G25=9,KILOMETRAJE!G$12,IF(G25=10,KILOMETRAJE!G$13,IF(G25=11,KILOMETRAJE!G$14,IF(G25=12,KILOMETRAJE!G$15,IF(G25=13,KILOMETRAJE!G$16,IF(G25=14,KILOMETRAJE!G$17,IF(G25=15,KILOMETRAJE!G$18,IF(G25=16,KILOMETRAJE!G$19,IF(G25=17,KILOMETRAJE!G$20,IF(G25=18,KILOMETRAJE!G$21,IF(G25=19,KILOMETRAJE!G$22,IF(G25=20,KILOMETRAJE!G$23,IF(G25=21,KILOMETRAJE!G$24,IF(G25=22,KILOMETRAJE!G$25,IF(G25=23,KILOMETRAJE!G$26,IF(G25=24,KILOMETRAJE!G$27,IF(G25=25,KILOMETRAJE!G$28,IF(G25=26,KILOMETRAJE!G$29,IF(G25=27,KILOMETRAJE!G$30,IF(G25=28,KILOMETRAJE!G$31,IF(G25=29,KILOMETRAJE!G$32,IF(G25=30,KILOMETRAJE!G$33,IF(G25=31,KILOMETRAJE!G$34,IF(G25=32,KILOMETRAJE!G$35,IF(G25=33,KILOMETRAJE!G$36,IF(G25=34,KILOMETRAJE!G$37,IF(G25=35,KILOMETRAJE!G$38,IF(G25=36,KILOMETRAJE!G$39,IF(G25=37,KILOMETRAJE!G$40,IF(G25=38,KILOMETRAJE!G$41,IF(G25=39,KILOMETRAJE!G$42,IF(G25=40,KILOMETRAJE!G$43,IF(G25=41,KILOMETRAJE!G$44,IF(G25=42,KILOMETRAJE!G$45,IF(G25=43,KILOMETRAJE!G$46,IF(G25=44,KILOMETRAJE!G$47,IF(G25=45,KILOMETRAJE!G$48,IF(G25=46,KILOMETRAJE!G$49,IF(G25=47,KILOMETRAJE!G$50,IF(G25=48,KILOMETRAJE!G$51,IF(G25=49,KILOMETRAJE!G$52,IF(G25=50,KILOMETRAJE!G$53,IF(G25=51,KILOMETRAJE!G$54,IF(G25=52,KILOMETRAJE!G$55,IF(G25=53,KILOMETRAJE!G$56,IF(G25=54,KILOMETRAJE!G$57,IF(G25=55,KILOMETRAJE!G$58,IF(G25=56,KILOMETRAJE!G$59,IF(G25=57,KILOMETRAJE!G$60,IF(G25=58,KILOMETRAJE!G$61,IF(G25=59,KILOMETRAJE!G$62,IF(G25=60,KILOMETRAJE!G$63,IF(G25=61,KILOMETRAJE!G$64,IF(G25=62,KILOMETRAJE!G$65,IF(G25=63,KILOMETRAJE!G$66)))))))))))))))))))))))))))))))))))))))))))))))))))))))))))))))</f>
        <v>375</v>
      </c>
      <c r="K25" s="38"/>
      <c r="L25" s="48"/>
      <c r="M25" s="350"/>
      <c r="N25" s="38">
        <v>3</v>
      </c>
      <c r="O25" s="38"/>
      <c r="P25" s="38" t="s">
        <v>202</v>
      </c>
      <c r="Q25" s="40">
        <f t="shared" si="1"/>
        <v>54.999749999999999</v>
      </c>
      <c r="R25" s="192"/>
      <c r="S25" s="186"/>
      <c r="T25" s="458"/>
      <c r="U25" s="36" t="s">
        <v>352</v>
      </c>
      <c r="V25" s="36" t="s">
        <v>352</v>
      </c>
    </row>
    <row r="26" spans="3:24" ht="12.75" thickBot="1" x14ac:dyDescent="0.25">
      <c r="C26" s="101"/>
      <c r="D26" s="62" t="s">
        <v>471</v>
      </c>
      <c r="E26" s="25">
        <v>45962</v>
      </c>
      <c r="F26" s="25">
        <v>45962</v>
      </c>
      <c r="G26" s="62">
        <v>3</v>
      </c>
      <c r="H26" s="26" t="str">
        <f>IF(G26=1,KILOMETRAJE!C$4,IF(G26=2,KILOMETRAJE!C$5,IF(G26=3,KILOMETRAJE!C$6,IF(G26=4,KILOMETRAJE!C$7,IF(G26=5,KILOMETRAJE!C$8,IF(G26=6,KILOMETRAJE!C$9,IF(G26=7,KILOMETRAJE!C$10,IF(G26=8,KILOMETRAJE!C$11,IF(G26=9,KILOMETRAJE!C$12,IF(G26=10,KILOMETRAJE!C$13,IF(G26=11,KILOMETRAJE!C$14,IF(G26=12,KILOMETRAJE!C$15,IF(G26=13,KILOMETRAJE!C$16,IF(G26=14,KILOMETRAJE!C$17,IF(G26=15,KILOMETRAJE!C$18,IF(G26=16,KILOMETRAJE!C$19,IF(G26=17,KILOMETRAJE!C$20,IF(G26=18,KILOMETRAJE!C$21,IF(G26=19,KILOMETRAJE!C$22,IF(G26=20,KILOMETRAJE!C$23,IF(G26=21,KILOMETRAJE!C$24,IF(G26=22,KILOMETRAJE!C$25,IF(G26=23,KILOMETRAJE!C$26,IF(G26=24,KILOMETRAJE!C$27,IF(G26=25,KILOMETRAJE!C$28,IF(G26=26,KILOMETRAJE!C$29,IF(G26=27,KILOMETRAJE!C$30,IF(G26=28,KILOMETRAJE!C$31,IF(G26=29,KILOMETRAJE!C$32,IF(G26=30,KILOMETRAJE!C$33,IF(G26=31,KILOMETRAJE!C$34,IF(G26=32,KILOMETRAJE!C$35,IF(G26=33,KILOMETRAJE!C$36,IF(G26=34,KILOMETRAJE!C$37,IF(G26=35,KILOMETRAJE!C$38,IF(G26=36,KILOMETRAJE!C$39,IF(G26=37,KILOMETRAJE!C$40,IF(G26=38,KILOMETRAJE!C$41,IF(G26=39,KILOMETRAJE!C$42,IF(G26=40,KILOMETRAJE!C$43,IF(G26=41,KILOMETRAJE!C$44,IF(G26=42,KILOMETRAJE!C$45,IF(G26=43,KILOMETRAJE!C$46,IF(G26=44,KILOMETRAJE!C$47,IF(G26=45,KILOMETRAJE!C$48,IF(G26=46,KILOMETRAJE!C$49,IF(G26=47,KILOMETRAJE!C$50,IF(G26=48,KILOMETRAJE!C$51,IF(G26=49,KILOMETRAJE!C$52,IF(G26=50,KILOMETRAJE!C$53,IF(G26=51,KILOMETRAJE!C$54,IF(G26=52,KILOMETRAJE!C$55,IF(G26=53,KILOMETRAJE!C$56,IF(G26=54,KILOMETRAJE!C$57,IF(G26=55,KILOMETRAJE!C$58,IF(G26=56,KILOMETRAJE!C$59,IF(G26=57,KILOMETRAJE!C$60,IF(G26=58,KILOMETRAJE!C$61,IF(G26=59,KILOMETRAJE!C$62,IF(G26=60,KILOMETRAJE!C$63,IF(G26=61,KILOMETRAJE!C$64,IF(G26=62,KILOMETRAJE!C$65,IF(G26=63,KILOMETRAJE!C$66)))))))))))))))))))))))))))))))))))))))))))))))))))))))))))))))</f>
        <v xml:space="preserve">CHIH. </v>
      </c>
      <c r="I26" s="27" t="str">
        <f>IF(G26=1,KILOMETRAJE!E$4,IF(G26=2,KILOMETRAJE!E$5,IF(G26=3,KILOMETRAJE!E$6,IF(G26=4,KILOMETRAJE!E$7,IF(G26=5,KILOMETRAJE!E$8,IF(G26=6,KILOMETRAJE!E$9,IF(G26=7,KILOMETRAJE!E$10,IF(G26=8,KILOMETRAJE!E$11,IF(G26=9,KILOMETRAJE!E$12,IF(G26=10,KILOMETRAJE!E$13,IF(G26=11,KILOMETRAJE!E$14,IF(G26=12,KILOMETRAJE!E$15,IF(G26=13,KILOMETRAJE!E$16,IF(G26=14,KILOMETRAJE!E$17,IF(G26=15,KILOMETRAJE!E$18,IF(G26=16,KILOMETRAJE!E$19,IF(G26=17,KILOMETRAJE!E$20,IF(G26=18,KILOMETRAJE!E$21,IF(G26=19,KILOMETRAJE!E$22,IF(G26=20,KILOMETRAJE!E$23,IF(G26=21,KILOMETRAJE!E$24,IF(G26=22,KILOMETRAJE!E$25,IF(G26=23,KILOMETRAJE!E$26,IF(G26=24,KILOMETRAJE!E$27,IF(G26=25,KILOMETRAJE!E$28,IF(G26=26,KILOMETRAJE!E$29,IF(G26=27,KILOMETRAJE!E$30,IF(G26=28,KILOMETRAJE!E$31,IF(G26=29,KILOMETRAJE!E$32,IF(G26=30,KILOMETRAJE!E$33,IF(G26=31,KILOMETRAJE!E$34,IF(G26=32,KILOMETRAJE!E$35,IF(G26=33,KILOMETRAJE!E$36,IF(G26=34,KILOMETRAJE!E$37,IF(G26=35,KILOMETRAJE!E$38,IF(G26=36,KILOMETRAJE!E$39,IF(G26=37,KILOMETRAJE!E$40,IF(G26=38,KILOMETRAJE!E$41,IF(G26=39,KILOMETRAJE!E$42,IF(G26=40,KILOMETRAJE!E$43,IF(G26=41,KILOMETRAJE!E$44,IF(G26=42,KILOMETRAJE!E$45,IF(G26=43,KILOMETRAJE!E$46,IF(G26=44,KILOMETRAJE!E$47,IF(G26=45,KILOMETRAJE!E$48,IF(G26=46,KILOMETRAJE!E$49,IF(G26=47,KILOMETRAJE!E$50,IF(G26=48,KILOMETRAJE!E$51,IF(G26=49,KILOMETRAJE!E$52,IF(G26=50,KILOMETRAJE!E$53,IF(G26=51,KILOMETRAJE!E$54,IF(G26=52,KILOMETRAJE!E$55,IF(G26=53,KILOMETRAJE!E$56,IF(G26=54,KILOMETRAJE!E$57,IF(G26=55,KILOMETRAJE!E$58,IF(G26=56,KILOMETRAJE!E$59,IF(G26=57,KILOMETRAJE!E$60,IF(G26=58,KILOMETRAJE!E$61,IF(G26=59,KILOMETRAJE!E$62,IF(G26=60,KILOMETRAJE!E$63,IF(G26=61,KILOMETRAJE!E$64,IF(G26=62,KILOMETRAJE!E$65,IF(G26=63,KILOMETRAJE!E$66)))))))))))))))))))))))))))))))))))))))))))))))))))))))))))))))</f>
        <v>JRZ</v>
      </c>
      <c r="J26" s="31">
        <f>IF(G26=1,KILOMETRAJE!G$4,IF(G26=2,KILOMETRAJE!G$5,IF(G26=3,KILOMETRAJE!G$6,IF(G26=4,KILOMETRAJE!G$7,IF(G26=5,KILOMETRAJE!G$8,IF(G26=6,KILOMETRAJE!G$9,IF(G26=7,KILOMETRAJE!G$10,IF(G26=8,KILOMETRAJE!G$11,IF(G26=9,KILOMETRAJE!G$12,IF(G26=10,KILOMETRAJE!G$13,IF(G26=11,KILOMETRAJE!G$14,IF(G26=12,KILOMETRAJE!G$15,IF(G26=13,KILOMETRAJE!G$16,IF(G26=14,KILOMETRAJE!G$17,IF(G26=15,KILOMETRAJE!G$18,IF(G26=16,KILOMETRAJE!G$19,IF(G26=17,KILOMETRAJE!G$20,IF(G26=18,KILOMETRAJE!G$21,IF(G26=19,KILOMETRAJE!G$22,IF(G26=20,KILOMETRAJE!G$23,IF(G26=21,KILOMETRAJE!G$24,IF(G26=22,KILOMETRAJE!G$25,IF(G26=23,KILOMETRAJE!G$26,IF(G26=24,KILOMETRAJE!G$27,IF(G26=25,KILOMETRAJE!G$28,IF(G26=26,KILOMETRAJE!G$29,IF(G26=27,KILOMETRAJE!G$30,IF(G26=28,KILOMETRAJE!G$31,IF(G26=29,KILOMETRAJE!G$32,IF(G26=30,KILOMETRAJE!G$33,IF(G26=31,KILOMETRAJE!G$34,IF(G26=32,KILOMETRAJE!G$35,IF(G26=33,KILOMETRAJE!G$36,IF(G26=34,KILOMETRAJE!G$37,IF(G26=35,KILOMETRAJE!G$38,IF(G26=36,KILOMETRAJE!G$39,IF(G26=37,KILOMETRAJE!G$40,IF(G26=38,KILOMETRAJE!G$41,IF(G26=39,KILOMETRAJE!G$42,IF(G26=40,KILOMETRAJE!G$43,IF(G26=41,KILOMETRAJE!G$44,IF(G26=42,KILOMETRAJE!G$45,IF(G26=43,KILOMETRAJE!G$46,IF(G26=44,KILOMETRAJE!G$47,IF(G26=45,KILOMETRAJE!G$48,IF(G26=46,KILOMETRAJE!G$49,IF(G26=47,KILOMETRAJE!G$50,IF(G26=48,KILOMETRAJE!G$51,IF(G26=49,KILOMETRAJE!G$52,IF(G26=50,KILOMETRAJE!G$53,IF(G26=51,KILOMETRAJE!G$54,IF(G26=52,KILOMETRAJE!G$55,IF(G26=53,KILOMETRAJE!G$56,IF(G26=54,KILOMETRAJE!G$57,IF(G26=55,KILOMETRAJE!G$58,IF(G26=56,KILOMETRAJE!G$59,IF(G26=57,KILOMETRAJE!G$60,IF(G26=58,KILOMETRAJE!G$61,IF(G26=59,KILOMETRAJE!G$62,IF(G26=60,KILOMETRAJE!G$63,IF(G26=61,KILOMETRAJE!G$64,IF(G26=62,KILOMETRAJE!G$65,IF(G26=63,KILOMETRAJE!G$66)))))))))))))))))))))))))))))))))))))))))))))))))))))))))))))))</f>
        <v>375</v>
      </c>
      <c r="K26" s="27">
        <v>186.03</v>
      </c>
      <c r="L26" s="28">
        <f>SUM(J25:J26)/K26</f>
        <v>4.0316078051927109</v>
      </c>
      <c r="M26" s="349">
        <v>10296</v>
      </c>
      <c r="N26" s="27">
        <v>1</v>
      </c>
      <c r="O26" s="27" t="s">
        <v>469</v>
      </c>
      <c r="P26" s="27" t="s">
        <v>247</v>
      </c>
      <c r="Q26" s="29">
        <f t="shared" si="1"/>
        <v>109.99874999999999</v>
      </c>
      <c r="R26" s="190">
        <v>2.4500000000000002</v>
      </c>
      <c r="S26" s="19">
        <f>+((SUM(J25:J26))/R26)-K26</f>
        <v>120.09244897959181</v>
      </c>
      <c r="T26" s="456">
        <f>+S26*14.85</f>
        <v>1783.3728673469384</v>
      </c>
      <c r="U26" s="61">
        <v>61</v>
      </c>
      <c r="V26" s="61">
        <v>62</v>
      </c>
    </row>
    <row r="27" spans="3:24" ht="10.5" customHeight="1" x14ac:dyDescent="0.2">
      <c r="C27" s="238">
        <v>46210</v>
      </c>
      <c r="D27" s="36" t="s">
        <v>472</v>
      </c>
      <c r="E27" s="37">
        <v>45964</v>
      </c>
      <c r="F27" s="37">
        <v>45964</v>
      </c>
      <c r="G27" s="36">
        <v>2</v>
      </c>
      <c r="H27" s="65" t="str">
        <f>IF(G27=1,KILOMETRAJE!C$4,IF(G27=2,KILOMETRAJE!C$5,IF(G27=3,KILOMETRAJE!C$6,IF(G27=4,KILOMETRAJE!C$7,IF(G27=5,KILOMETRAJE!C$8,IF(G27=6,KILOMETRAJE!C$9,IF(G27=7,KILOMETRAJE!C$10,IF(G27=8,KILOMETRAJE!C$11,IF(G27=9,KILOMETRAJE!C$12,IF(G27=10,KILOMETRAJE!C$13,IF(G27=11,KILOMETRAJE!C$14,IF(G27=12,KILOMETRAJE!C$15,IF(G27=13,KILOMETRAJE!C$16,IF(G27=14,KILOMETRAJE!C$17,IF(G27=15,KILOMETRAJE!C$18,IF(G27=16,KILOMETRAJE!C$19,IF(G27=17,KILOMETRAJE!C$20,IF(G27=18,KILOMETRAJE!C$21,IF(G27=19,KILOMETRAJE!C$22,IF(G27=20,KILOMETRAJE!C$23,IF(G27=21,KILOMETRAJE!C$24,IF(G27=22,KILOMETRAJE!C$25,IF(G27=23,KILOMETRAJE!C$26,IF(G27=24,KILOMETRAJE!C$27,IF(G27=25,KILOMETRAJE!C$28,IF(G27=26,KILOMETRAJE!C$29,IF(G27=27,KILOMETRAJE!C$30,IF(G27=28,KILOMETRAJE!C$31,IF(G27=29,KILOMETRAJE!C$32,IF(G27=30,KILOMETRAJE!C$33,IF(G27=31,KILOMETRAJE!C$34,IF(G27=32,KILOMETRAJE!C$35,IF(G27=33,KILOMETRAJE!C$36,IF(G27=34,KILOMETRAJE!C$37,IF(G27=35,KILOMETRAJE!C$38,IF(G27=36,KILOMETRAJE!C$39,IF(G27=37,KILOMETRAJE!C$40,IF(G27=38,KILOMETRAJE!C$41,IF(G27=39,KILOMETRAJE!C$42,IF(G27=40,KILOMETRAJE!C$43,IF(G27=41,KILOMETRAJE!C$44,IF(G27=42,KILOMETRAJE!C$45,IF(G27=43,KILOMETRAJE!C$46,IF(G27=44,KILOMETRAJE!C$47,IF(G27=45,KILOMETRAJE!C$48,IF(G27=46,KILOMETRAJE!C$49,IF(G27=47,KILOMETRAJE!C$50,IF(G27=48,KILOMETRAJE!C$51,IF(G27=49,KILOMETRAJE!C$52,IF(G27=50,KILOMETRAJE!C$53,IF(G27=51,KILOMETRAJE!C$54,IF(G27=52,KILOMETRAJE!C$55,IF(G27=53,KILOMETRAJE!C$56,IF(G27=54,KILOMETRAJE!C$57,IF(G27=55,KILOMETRAJE!C$58,IF(G27=56,KILOMETRAJE!C$59,IF(G27=57,KILOMETRAJE!C$60,IF(G27=58,KILOMETRAJE!C$61,IF(G27=59,KILOMETRAJE!C$62,IF(G27=60,KILOMETRAJE!C$63,IF(G27=61,KILOMETRAJE!C$64,IF(G27=62,KILOMETRAJE!C$65,IF(G27=63,KILOMETRAJE!C$66)))))))))))))))))))))))))))))))))))))))))))))))))))))))))))))))</f>
        <v>JRZ</v>
      </c>
      <c r="I27" s="24" t="s">
        <v>366</v>
      </c>
      <c r="J27" s="51">
        <v>200</v>
      </c>
      <c r="K27" s="24"/>
      <c r="L27" s="44"/>
      <c r="M27" s="348">
        <v>550</v>
      </c>
      <c r="N27" s="24">
        <v>1</v>
      </c>
      <c r="O27" s="24" t="s">
        <v>474</v>
      </c>
      <c r="P27" s="24" t="s">
        <v>200</v>
      </c>
      <c r="Q27" s="45">
        <f t="shared" si="1"/>
        <v>58.665999999999997</v>
      </c>
      <c r="R27" s="191"/>
      <c r="S27" s="52"/>
      <c r="T27" s="455"/>
      <c r="U27" s="61" t="s">
        <v>352</v>
      </c>
      <c r="V27" s="61" t="s">
        <v>352</v>
      </c>
    </row>
    <row r="28" spans="3:24" ht="12.75" thickBot="1" x14ac:dyDescent="0.25">
      <c r="C28" s="101"/>
      <c r="D28" s="62" t="s">
        <v>473</v>
      </c>
      <c r="E28" s="25">
        <v>45964</v>
      </c>
      <c r="F28" s="25">
        <v>45964</v>
      </c>
      <c r="G28" s="62">
        <v>3</v>
      </c>
      <c r="H28" s="26" t="s">
        <v>366</v>
      </c>
      <c r="I28" s="27" t="str">
        <f>IF(G28=1,KILOMETRAJE!E$4,IF(G28=2,KILOMETRAJE!E$5,IF(G28=3,KILOMETRAJE!E$6,IF(G28=4,KILOMETRAJE!E$7,IF(G28=5,KILOMETRAJE!E$8,IF(G28=6,KILOMETRAJE!E$9,IF(G28=7,KILOMETRAJE!E$10,IF(G28=8,KILOMETRAJE!E$11,IF(G28=9,KILOMETRAJE!E$12,IF(G28=10,KILOMETRAJE!E$13,IF(G28=11,KILOMETRAJE!E$14,IF(G28=12,KILOMETRAJE!E$15,IF(G28=13,KILOMETRAJE!E$16,IF(G28=14,KILOMETRAJE!E$17,IF(G28=15,KILOMETRAJE!E$18,IF(G28=16,KILOMETRAJE!E$19,IF(G28=17,KILOMETRAJE!E$20,IF(G28=18,KILOMETRAJE!E$21,IF(G28=19,KILOMETRAJE!E$22,IF(G28=20,KILOMETRAJE!E$23,IF(G28=21,KILOMETRAJE!E$24,IF(G28=22,KILOMETRAJE!E$25,IF(G28=23,KILOMETRAJE!E$26,IF(G28=24,KILOMETRAJE!E$27,IF(G28=25,KILOMETRAJE!E$28,IF(G28=26,KILOMETRAJE!E$29,IF(G28=27,KILOMETRAJE!E$30,IF(G28=28,KILOMETRAJE!E$31,IF(G28=29,KILOMETRAJE!E$32,IF(G28=30,KILOMETRAJE!E$33,IF(G28=31,KILOMETRAJE!E$34,IF(G28=32,KILOMETRAJE!E$35,IF(G28=33,KILOMETRAJE!E$36,IF(G28=34,KILOMETRAJE!E$37,IF(G28=35,KILOMETRAJE!E$38,IF(G28=36,KILOMETRAJE!E$39,IF(G28=37,KILOMETRAJE!E$40,IF(G28=38,KILOMETRAJE!E$41,IF(G28=39,KILOMETRAJE!E$42,IF(G28=40,KILOMETRAJE!E$43,IF(G28=41,KILOMETRAJE!E$44,IF(G28=42,KILOMETRAJE!E$45,IF(G28=43,KILOMETRAJE!E$46,IF(G28=44,KILOMETRAJE!E$47,IF(G28=45,KILOMETRAJE!E$48,IF(G28=46,KILOMETRAJE!E$49,IF(G28=47,KILOMETRAJE!E$50,IF(G28=48,KILOMETRAJE!E$51,IF(G28=49,KILOMETRAJE!E$52,IF(G28=50,KILOMETRAJE!E$53,IF(G28=51,KILOMETRAJE!E$54,IF(G28=52,KILOMETRAJE!E$55,IF(G28=53,KILOMETRAJE!E$56,IF(G28=54,KILOMETRAJE!E$57,IF(G28=55,KILOMETRAJE!E$58,IF(G28=56,KILOMETRAJE!E$59,IF(G28=57,KILOMETRAJE!E$60,IF(G28=58,KILOMETRAJE!E$61,IF(G28=59,KILOMETRAJE!E$62,IF(G28=60,KILOMETRAJE!E$63,IF(G28=61,KILOMETRAJE!E$64,IF(G28=62,KILOMETRAJE!E$65,IF(G28=63,KILOMETRAJE!E$66)))))))))))))))))))))))))))))))))))))))))))))))))))))))))))))))</f>
        <v>JRZ</v>
      </c>
      <c r="J28" s="31">
        <v>200</v>
      </c>
      <c r="K28" s="27">
        <v>108.89</v>
      </c>
      <c r="L28" s="28">
        <f>SUM(J27:J28)/K28</f>
        <v>3.6734319037560841</v>
      </c>
      <c r="M28" s="349">
        <v>0</v>
      </c>
      <c r="N28" s="27">
        <v>2</v>
      </c>
      <c r="O28" s="27" t="s">
        <v>474</v>
      </c>
      <c r="P28" s="27" t="s">
        <v>200</v>
      </c>
      <c r="Q28" s="29">
        <f t="shared" si="1"/>
        <v>29.333199999999998</v>
      </c>
      <c r="R28" s="190">
        <v>2.4500000000000002</v>
      </c>
      <c r="S28" s="19">
        <f>+((SUM(J27:J28))/R28)-K28</f>
        <v>54.375306122448976</v>
      </c>
      <c r="T28" s="456">
        <f>+S28*17.26</f>
        <v>938.51778367346935</v>
      </c>
      <c r="U28" s="61">
        <v>62</v>
      </c>
      <c r="V28" s="61">
        <v>62</v>
      </c>
    </row>
    <row r="29" spans="3:24" hidden="1" x14ac:dyDescent="0.2">
      <c r="C29" s="176"/>
      <c r="D29" s="43"/>
      <c r="E29" s="42"/>
      <c r="F29" s="42"/>
      <c r="G29" s="43"/>
      <c r="H29" s="65"/>
      <c r="I29" s="24"/>
      <c r="J29" s="51"/>
      <c r="K29" s="24"/>
      <c r="L29" s="44"/>
      <c r="M29" s="348"/>
      <c r="N29" s="24"/>
      <c r="O29" s="24"/>
      <c r="P29" s="24"/>
      <c r="Q29" s="45"/>
      <c r="R29" s="191"/>
      <c r="S29" s="52"/>
      <c r="T29" s="455"/>
      <c r="U29" s="61"/>
      <c r="V29" s="61"/>
    </row>
    <row r="30" spans="3:24" ht="12.75" hidden="1" thickBot="1" x14ac:dyDescent="0.25">
      <c r="C30" s="101"/>
      <c r="D30" s="62"/>
      <c r="E30" s="25"/>
      <c r="F30" s="25"/>
      <c r="G30" s="62"/>
      <c r="H30" s="26"/>
      <c r="I30" s="27"/>
      <c r="J30" s="31"/>
      <c r="K30" s="27"/>
      <c r="L30" s="28"/>
      <c r="M30" s="349"/>
      <c r="N30" s="27"/>
      <c r="O30" s="27"/>
      <c r="P30" s="27"/>
      <c r="Q30" s="29"/>
      <c r="R30" s="190"/>
      <c r="S30" s="19"/>
      <c r="T30" s="456"/>
      <c r="U30" s="61"/>
      <c r="V30" s="61"/>
    </row>
    <row r="31" spans="3:24" hidden="1" x14ac:dyDescent="0.2">
      <c r="C31" s="238"/>
      <c r="D31" s="36"/>
      <c r="E31" s="37"/>
      <c r="F31" s="37"/>
      <c r="G31" s="36"/>
      <c r="H31" s="47"/>
      <c r="I31" s="38"/>
      <c r="J31" s="39"/>
      <c r="K31" s="38"/>
      <c r="L31" s="48"/>
      <c r="M31" s="350"/>
      <c r="N31" s="38"/>
      <c r="O31" s="38"/>
      <c r="P31" s="38"/>
      <c r="Q31" s="40"/>
      <c r="R31" s="192"/>
      <c r="S31" s="186"/>
      <c r="T31" s="458"/>
      <c r="U31" s="61"/>
      <c r="V31" s="61"/>
    </row>
    <row r="32" spans="3:24" ht="12.75" hidden="1" thickBot="1" x14ac:dyDescent="0.25">
      <c r="C32" s="101"/>
      <c r="D32" s="62"/>
      <c r="E32" s="25"/>
      <c r="F32" s="25"/>
      <c r="G32" s="62"/>
      <c r="H32" s="26"/>
      <c r="I32" s="27"/>
      <c r="J32" s="31"/>
      <c r="K32" s="27"/>
      <c r="L32" s="28"/>
      <c r="M32" s="349"/>
      <c r="N32" s="27"/>
      <c r="O32" s="27"/>
      <c r="P32" s="27"/>
      <c r="Q32" s="29"/>
      <c r="R32" s="190"/>
      <c r="S32" s="19"/>
      <c r="T32" s="456"/>
      <c r="U32" s="61"/>
      <c r="V32" s="61"/>
    </row>
    <row r="33" spans="3:26" ht="12.75" thickBot="1" x14ac:dyDescent="0.25">
      <c r="I33" s="15"/>
      <c r="N33" s="442"/>
      <c r="R33" s="193"/>
      <c r="S33" s="15"/>
    </row>
    <row r="34" spans="3:26" x14ac:dyDescent="0.2">
      <c r="E34" s="629" t="s">
        <v>34</v>
      </c>
      <c r="F34" s="646">
        <f>+'AGUILAR ESQUIVEL CARLOS'!F34</f>
        <v>45957</v>
      </c>
      <c r="G34" s="647"/>
      <c r="H34" s="16">
        <f>+F34+1</f>
        <v>45958</v>
      </c>
      <c r="I34" s="16">
        <f>+H34+1</f>
        <v>45959</v>
      </c>
      <c r="J34" s="16">
        <f>+I34+1</f>
        <v>45960</v>
      </c>
      <c r="K34" s="16">
        <f>+J34+1</f>
        <v>45961</v>
      </c>
      <c r="L34" s="16">
        <f>+K34+2</f>
        <v>45963</v>
      </c>
      <c r="M34" s="17" t="s">
        <v>35</v>
      </c>
    </row>
    <row r="35" spans="3:26" ht="12.75" thickBot="1" x14ac:dyDescent="0.25">
      <c r="E35" s="630"/>
      <c r="F35" s="648"/>
      <c r="G35" s="649"/>
      <c r="H35" s="29"/>
      <c r="I35" s="29">
        <v>125</v>
      </c>
      <c r="J35" s="29"/>
      <c r="K35" s="29"/>
      <c r="L35" s="29"/>
      <c r="M35" s="30">
        <f>SUM(F35:L35)</f>
        <v>125</v>
      </c>
    </row>
    <row r="36" spans="3:26" ht="12.75" thickBot="1" x14ac:dyDescent="0.25">
      <c r="I36" s="15"/>
    </row>
    <row r="37" spans="3:26" ht="13.5" thickBot="1" x14ac:dyDescent="0.25">
      <c r="C37" s="608" t="s">
        <v>36</v>
      </c>
      <c r="D37" s="609"/>
      <c r="E37" s="609"/>
      <c r="F37" s="609"/>
      <c r="G37" s="610"/>
      <c r="I37" s="666" t="s">
        <v>37</v>
      </c>
      <c r="J37" s="667"/>
      <c r="K37" s="667"/>
      <c r="L37" s="668"/>
      <c r="M37" s="298"/>
      <c r="O37" s="611" t="s">
        <v>38</v>
      </c>
      <c r="P37" s="612"/>
      <c r="Q37" s="613">
        <f>+F49-L46</f>
        <v>7865.8964530612229</v>
      </c>
      <c r="R37" s="614"/>
      <c r="S37" s="615"/>
    </row>
    <row r="38" spans="3:26" ht="12.75" thickBot="1" x14ac:dyDescent="0.25">
      <c r="C38" s="616" t="s">
        <v>219</v>
      </c>
      <c r="D38" s="617"/>
      <c r="E38" s="617"/>
      <c r="F38" s="618">
        <f>SUM(Q18:Q33)</f>
        <v>912.99019999999996</v>
      </c>
      <c r="G38" s="619"/>
      <c r="I38" s="315" t="s">
        <v>125</v>
      </c>
      <c r="J38" s="64" t="s">
        <v>126</v>
      </c>
      <c r="K38" s="312" t="s">
        <v>70</v>
      </c>
      <c r="L38" s="313" t="s">
        <v>127</v>
      </c>
      <c r="M38" s="346"/>
    </row>
    <row r="39" spans="3:26" ht="12.75" thickBot="1" x14ac:dyDescent="0.25">
      <c r="C39" s="602" t="s">
        <v>220</v>
      </c>
      <c r="D39" s="603"/>
      <c r="E39" s="603"/>
      <c r="F39" s="604">
        <f>SUM(T18:T33)</f>
        <v>6527.9062530612227</v>
      </c>
      <c r="G39" s="605"/>
      <c r="I39" s="328"/>
      <c r="J39" s="427"/>
      <c r="K39" s="431"/>
      <c r="L39" s="314"/>
      <c r="M39" s="346"/>
      <c r="O39" s="74"/>
      <c r="P39" s="75"/>
      <c r="Q39" s="76" t="s">
        <v>72</v>
      </c>
      <c r="R39" s="64"/>
      <c r="S39" s="77" t="s">
        <v>73</v>
      </c>
      <c r="T39" s="75" t="s">
        <v>74</v>
      </c>
      <c r="U39" s="74" t="s">
        <v>145</v>
      </c>
      <c r="V39" s="75" t="s">
        <v>146</v>
      </c>
      <c r="W39" s="326" t="s">
        <v>284</v>
      </c>
    </row>
    <row r="40" spans="3:26" ht="12.75" thickBot="1" x14ac:dyDescent="0.25">
      <c r="C40" s="602" t="s">
        <v>34</v>
      </c>
      <c r="D40" s="603"/>
      <c r="E40" s="603"/>
      <c r="F40" s="604">
        <f>+M35</f>
        <v>125</v>
      </c>
      <c r="G40" s="605"/>
      <c r="I40" s="310"/>
      <c r="J40" s="117"/>
      <c r="K40" s="61"/>
      <c r="L40" s="111"/>
      <c r="M40" s="346"/>
      <c r="O40" s="78">
        <v>46104</v>
      </c>
      <c r="P40" s="79" t="s">
        <v>159</v>
      </c>
      <c r="Q40" s="80">
        <v>128174</v>
      </c>
      <c r="R40" s="80"/>
      <c r="S40" s="24">
        <v>128897</v>
      </c>
      <c r="T40" s="79">
        <f>+S40-Q40</f>
        <v>723</v>
      </c>
      <c r="U40" s="137">
        <f>SUM(J19:J20)</f>
        <v>750</v>
      </c>
      <c r="V40" s="79">
        <f>+K20</f>
        <v>220.83</v>
      </c>
      <c r="W40" s="353">
        <f>(SUM(M19:M20)/2)</f>
        <v>6021.5</v>
      </c>
      <c r="Z40" s="244"/>
    </row>
    <row r="41" spans="3:26" x14ac:dyDescent="0.2">
      <c r="C41" s="602" t="s">
        <v>186</v>
      </c>
      <c r="D41" s="603"/>
      <c r="E41" s="603"/>
      <c r="F41" s="604"/>
      <c r="G41" s="605"/>
      <c r="I41" s="94"/>
      <c r="J41" s="117"/>
      <c r="K41" s="61"/>
      <c r="L41" s="111"/>
      <c r="M41" s="346"/>
      <c r="O41" s="316">
        <v>46145</v>
      </c>
      <c r="P41" s="311" t="s">
        <v>637</v>
      </c>
      <c r="Q41" s="24"/>
      <c r="R41" s="317"/>
      <c r="S41" s="38"/>
      <c r="T41" s="311">
        <f>+S41-Q41</f>
        <v>0</v>
      </c>
      <c r="U41" s="318">
        <f>SUM(J21:J22)</f>
        <v>750</v>
      </c>
      <c r="V41" s="311">
        <f>+K22</f>
        <v>217.14</v>
      </c>
      <c r="W41" s="354">
        <f>(SUM(M21:M22)/2)</f>
        <v>11700.5</v>
      </c>
    </row>
    <row r="42" spans="3:26" x14ac:dyDescent="0.2">
      <c r="C42" s="602" t="s">
        <v>39</v>
      </c>
      <c r="D42" s="603"/>
      <c r="E42" s="603"/>
      <c r="F42" s="604">
        <v>300</v>
      </c>
      <c r="G42" s="605"/>
      <c r="I42" s="94"/>
      <c r="J42" s="117"/>
      <c r="K42" s="61"/>
      <c r="L42" s="111"/>
      <c r="M42" s="346"/>
      <c r="O42" s="32">
        <v>46166</v>
      </c>
      <c r="P42" s="53" t="s">
        <v>159</v>
      </c>
      <c r="Q42" s="38"/>
      <c r="R42" s="63"/>
      <c r="S42" s="11"/>
      <c r="T42" s="53">
        <f t="shared" ref="T42:T45" si="2">+S42-Q42</f>
        <v>0</v>
      </c>
      <c r="U42" s="136">
        <f>SUM(J23:J24)</f>
        <v>750</v>
      </c>
      <c r="V42" s="53">
        <f>+K24</f>
        <v>224.1</v>
      </c>
      <c r="W42" s="354">
        <f>(SUM(M23:M24)/2)</f>
        <v>4006.5</v>
      </c>
    </row>
    <row r="43" spans="3:26" x14ac:dyDescent="0.2">
      <c r="C43" s="602" t="s">
        <v>116</v>
      </c>
      <c r="D43" s="603"/>
      <c r="E43" s="603"/>
      <c r="F43" s="604"/>
      <c r="G43" s="605"/>
      <c r="I43" s="94"/>
      <c r="J43" s="117"/>
      <c r="K43" s="61"/>
      <c r="L43" s="111"/>
      <c r="M43" s="346"/>
      <c r="O43" s="32">
        <v>46182</v>
      </c>
      <c r="P43" s="53" t="s">
        <v>159</v>
      </c>
      <c r="Q43" s="63"/>
      <c r="R43" s="63"/>
      <c r="S43" s="11"/>
      <c r="T43" s="53">
        <f t="shared" si="2"/>
        <v>0</v>
      </c>
      <c r="U43" s="136">
        <f>SUM(J25:J26)</f>
        <v>750</v>
      </c>
      <c r="V43" s="53">
        <f>+K26</f>
        <v>186.03</v>
      </c>
      <c r="W43" s="354">
        <f>(SUM(M25:M26)/2)</f>
        <v>5148</v>
      </c>
    </row>
    <row r="44" spans="3:26" x14ac:dyDescent="0.2">
      <c r="C44" s="602" t="s">
        <v>40</v>
      </c>
      <c r="D44" s="603"/>
      <c r="E44" s="603"/>
      <c r="F44" s="604"/>
      <c r="G44" s="661"/>
      <c r="I44" s="94"/>
      <c r="J44" s="117"/>
      <c r="K44" s="61"/>
      <c r="L44" s="111"/>
      <c r="M44" s="346"/>
      <c r="O44" s="32">
        <v>46210</v>
      </c>
      <c r="P44" s="53" t="s">
        <v>159</v>
      </c>
      <c r="Q44" s="63"/>
      <c r="R44" s="95"/>
      <c r="S44" s="11"/>
      <c r="T44" s="53">
        <f t="shared" si="2"/>
        <v>0</v>
      </c>
      <c r="U44" s="136">
        <f>SUM(J27:J28)</f>
        <v>400</v>
      </c>
      <c r="V44" s="53">
        <f>+K28</f>
        <v>108.89</v>
      </c>
      <c r="W44" s="354">
        <f>(SUM(M27:M28)/2)</f>
        <v>275</v>
      </c>
    </row>
    <row r="45" spans="3:26" ht="12.75" thickBot="1" x14ac:dyDescent="0.25">
      <c r="C45" s="602" t="s">
        <v>124</v>
      </c>
      <c r="D45" s="603"/>
      <c r="E45" s="603"/>
      <c r="F45" s="604">
        <v>0</v>
      </c>
      <c r="G45" s="605"/>
      <c r="I45" s="282"/>
      <c r="J45" s="285"/>
      <c r="K45" s="62"/>
      <c r="L45" s="283"/>
      <c r="M45" s="346"/>
      <c r="O45" s="32"/>
      <c r="P45" s="53"/>
      <c r="Q45" s="63"/>
      <c r="R45" s="95"/>
      <c r="S45" s="11"/>
      <c r="T45" s="53">
        <f t="shared" si="2"/>
        <v>0</v>
      </c>
      <c r="U45" s="136">
        <f>SUM(J29:J30)</f>
        <v>0</v>
      </c>
      <c r="V45" s="53">
        <f>+K30</f>
        <v>0</v>
      </c>
      <c r="W45" s="354">
        <f>(SUM(M29:M30)/2)</f>
        <v>0</v>
      </c>
    </row>
    <row r="46" spans="3:26" ht="13.5" customHeight="1" thickBot="1" x14ac:dyDescent="0.25">
      <c r="C46" s="602" t="s">
        <v>224</v>
      </c>
      <c r="D46" s="603"/>
      <c r="E46" s="603"/>
      <c r="F46" s="606">
        <v>0</v>
      </c>
      <c r="G46" s="607"/>
      <c r="I46" s="597" t="s">
        <v>41</v>
      </c>
      <c r="J46" s="598"/>
      <c r="K46" s="632"/>
      <c r="L46" s="284">
        <f>SUM(L39:L45)</f>
        <v>0</v>
      </c>
      <c r="M46" s="347"/>
      <c r="O46" s="113"/>
      <c r="P46" s="264"/>
      <c r="Q46" s="265"/>
      <c r="R46" s="83"/>
      <c r="S46" s="81"/>
      <c r="T46" s="82"/>
      <c r="U46" s="138">
        <f>SUM(J31:J32)</f>
        <v>0</v>
      </c>
      <c r="V46" s="55">
        <f>+K32</f>
        <v>0</v>
      </c>
      <c r="W46" s="355">
        <f>(SUM(M31:M32)/2)</f>
        <v>0</v>
      </c>
    </row>
    <row r="47" spans="3:26" ht="13.5" customHeight="1" x14ac:dyDescent="0.2">
      <c r="C47" s="602" t="s">
        <v>110</v>
      </c>
      <c r="D47" s="603"/>
      <c r="E47" s="603"/>
      <c r="F47" s="606">
        <v>0</v>
      </c>
      <c r="G47" s="607"/>
      <c r="R47" s="21"/>
      <c r="S47" s="21"/>
      <c r="T47" s="21"/>
      <c r="U47" s="139"/>
      <c r="V47" s="271"/>
    </row>
    <row r="48" spans="3:26" ht="13.5" customHeight="1" thickBot="1" x14ac:dyDescent="0.25">
      <c r="C48" s="593" t="s">
        <v>275</v>
      </c>
      <c r="D48" s="594"/>
      <c r="E48" s="594"/>
      <c r="F48" s="595"/>
      <c r="G48" s="596"/>
      <c r="R48" s="21"/>
      <c r="S48" s="21"/>
      <c r="T48" s="21"/>
      <c r="U48" s="139"/>
      <c r="V48" s="271"/>
    </row>
    <row r="49" spans="3:22" ht="13.5" thickBot="1" x14ac:dyDescent="0.25">
      <c r="C49" s="597" t="s">
        <v>42</v>
      </c>
      <c r="D49" s="598"/>
      <c r="E49" s="599"/>
      <c r="F49" s="600">
        <f>SUM(F38:G48)</f>
        <v>7865.8964530612229</v>
      </c>
      <c r="G49" s="601"/>
      <c r="R49" s="21"/>
      <c r="S49" s="511"/>
      <c r="T49" s="511"/>
      <c r="U49" s="512"/>
      <c r="V49" s="271"/>
    </row>
    <row r="50" spans="3:22" ht="13.5" customHeight="1" thickBot="1" x14ac:dyDescent="0.25">
      <c r="P50" s="588" t="s">
        <v>48</v>
      </c>
      <c r="Q50" s="589"/>
      <c r="R50" s="590"/>
      <c r="S50" s="21"/>
      <c r="T50" s="21"/>
      <c r="U50" s="139"/>
      <c r="V50" s="271"/>
    </row>
    <row r="51" spans="3:22" ht="12.75" customHeight="1" x14ac:dyDescent="0.2">
      <c r="C51" s="246" t="s">
        <v>43</v>
      </c>
      <c r="D51" s="247"/>
      <c r="E51" s="247"/>
      <c r="F51" s="247"/>
      <c r="G51" s="247"/>
      <c r="H51" s="247"/>
      <c r="I51" s="247"/>
      <c r="J51" s="247"/>
      <c r="K51" s="247"/>
      <c r="L51" s="248"/>
      <c r="M51" s="251"/>
      <c r="P51" s="78">
        <v>1</v>
      </c>
      <c r="Q51" s="584" t="s">
        <v>49</v>
      </c>
      <c r="R51" s="585"/>
      <c r="S51" s="21"/>
      <c r="T51" s="21"/>
      <c r="U51" s="249"/>
    </row>
    <row r="52" spans="3:22" ht="12.75" customHeight="1" x14ac:dyDescent="0.2">
      <c r="C52" s="250"/>
      <c r="D52" s="251"/>
      <c r="E52" s="251"/>
      <c r="F52" s="251"/>
      <c r="G52" s="251"/>
      <c r="H52" s="251"/>
      <c r="I52" s="251"/>
      <c r="J52" s="251"/>
      <c r="K52" s="251"/>
      <c r="L52" s="252"/>
      <c r="M52" s="251"/>
      <c r="P52" s="32">
        <v>2</v>
      </c>
      <c r="Q52" s="586" t="s">
        <v>135</v>
      </c>
      <c r="R52" s="587"/>
      <c r="S52" s="21"/>
      <c r="T52" s="249"/>
    </row>
    <row r="53" spans="3:22" ht="12.75" thickBot="1" x14ac:dyDescent="0.25">
      <c r="C53" s="253"/>
      <c r="D53" s="254"/>
      <c r="E53" s="254"/>
      <c r="F53" s="254"/>
      <c r="G53" s="254"/>
      <c r="H53" s="254"/>
      <c r="I53" s="254"/>
      <c r="J53" s="254"/>
      <c r="K53" s="254"/>
      <c r="L53" s="255"/>
      <c r="M53" s="251"/>
      <c r="P53" s="32">
        <v>3</v>
      </c>
      <c r="Q53" s="586" t="s">
        <v>130</v>
      </c>
      <c r="R53" s="587"/>
      <c r="S53" s="21"/>
      <c r="T53" s="249"/>
    </row>
    <row r="54" spans="3:22" x14ac:dyDescent="0.2">
      <c r="P54" s="32">
        <v>4</v>
      </c>
      <c r="Q54" s="586" t="s">
        <v>228</v>
      </c>
      <c r="R54" s="587"/>
      <c r="S54" s="21"/>
      <c r="T54" s="249"/>
    </row>
    <row r="55" spans="3:22" ht="12.75" thickBot="1" x14ac:dyDescent="0.25">
      <c r="P55" s="32">
        <v>5</v>
      </c>
      <c r="Q55" s="586" t="s">
        <v>229</v>
      </c>
      <c r="R55" s="587"/>
      <c r="S55" s="21"/>
    </row>
    <row r="56" spans="3:22" ht="14.25" customHeight="1" thickTop="1" thickBot="1" x14ac:dyDescent="0.25">
      <c r="D56" s="631" t="s">
        <v>44</v>
      </c>
      <c r="E56" s="631"/>
      <c r="F56" s="631"/>
      <c r="G56" s="631"/>
      <c r="H56" s="631"/>
      <c r="J56" s="631" t="s">
        <v>45</v>
      </c>
      <c r="K56" s="631"/>
      <c r="L56" s="631"/>
      <c r="M56" s="631"/>
      <c r="N56" s="631"/>
      <c r="P56" s="54">
        <v>6</v>
      </c>
      <c r="Q56" s="591" t="s">
        <v>230</v>
      </c>
      <c r="R56" s="592"/>
      <c r="S56" s="21"/>
      <c r="T56" s="21"/>
    </row>
    <row r="57" spans="3:22" x14ac:dyDescent="0.2">
      <c r="S57" s="21"/>
      <c r="T57" s="21"/>
    </row>
    <row r="58" spans="3:22" x14ac:dyDescent="0.2">
      <c r="P58" s="21"/>
      <c r="Q58" s="21"/>
      <c r="R58" s="21"/>
      <c r="S58" s="21"/>
      <c r="T58" s="21"/>
    </row>
  </sheetData>
  <mergeCells count="56">
    <mergeCell ref="Q51:R51"/>
    <mergeCell ref="Q52:R52"/>
    <mergeCell ref="D56:H56"/>
    <mergeCell ref="J56:N56"/>
    <mergeCell ref="I46:K46"/>
    <mergeCell ref="C48:E48"/>
    <mergeCell ref="F48:G48"/>
    <mergeCell ref="C49:E49"/>
    <mergeCell ref="F49:G49"/>
    <mergeCell ref="C46:E46"/>
    <mergeCell ref="F46:G46"/>
    <mergeCell ref="C47:E47"/>
    <mergeCell ref="F47:G47"/>
    <mergeCell ref="P50:R50"/>
    <mergeCell ref="Q53:R53"/>
    <mergeCell ref="Q54:R54"/>
    <mergeCell ref="C42:E42"/>
    <mergeCell ref="F42:G42"/>
    <mergeCell ref="F43:G43"/>
    <mergeCell ref="C45:E45"/>
    <mergeCell ref="F45:G45"/>
    <mergeCell ref="F44:G44"/>
    <mergeCell ref="C44:E44"/>
    <mergeCell ref="C43:E43"/>
    <mergeCell ref="F40:G40"/>
    <mergeCell ref="C37:G37"/>
    <mergeCell ref="C41:E41"/>
    <mergeCell ref="F41:G41"/>
    <mergeCell ref="F39:G39"/>
    <mergeCell ref="Q2:S2"/>
    <mergeCell ref="I3:O3"/>
    <mergeCell ref="Q3:S3"/>
    <mergeCell ref="I4:O4"/>
    <mergeCell ref="I5:O5"/>
    <mergeCell ref="Q5:S5"/>
    <mergeCell ref="I6:O6"/>
    <mergeCell ref="Q6:S6"/>
    <mergeCell ref="I9:O9"/>
    <mergeCell ref="L11:S11"/>
    <mergeCell ref="E12:F12"/>
    <mergeCell ref="Q55:R55"/>
    <mergeCell ref="Q56:R56"/>
    <mergeCell ref="D13:E13"/>
    <mergeCell ref="D14:E14"/>
    <mergeCell ref="D15:E15"/>
    <mergeCell ref="D16:E16"/>
    <mergeCell ref="E34:E35"/>
    <mergeCell ref="O37:P37"/>
    <mergeCell ref="F34:G34"/>
    <mergeCell ref="F35:G35"/>
    <mergeCell ref="I37:L37"/>
    <mergeCell ref="Q37:S37"/>
    <mergeCell ref="C38:E38"/>
    <mergeCell ref="F38:G38"/>
    <mergeCell ref="C39:E39"/>
    <mergeCell ref="C40:E40"/>
  </mergeCells>
  <pageMargins left="0" right="0" top="0.15748031496062992" bottom="0.15748031496062992" header="0.31496062992125984" footer="0.31496062992125984"/>
  <pageSetup paperSize="9" scale="82" orientation="landscape" horizontalDpi="300" verticalDpi="300" r:id="rId1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Hoja17">
    <pageSetUpPr fitToPage="1"/>
  </sheetPr>
  <dimension ref="B1:W55"/>
  <sheetViews>
    <sheetView topLeftCell="B1" zoomScaleNormal="100" workbookViewId="0">
      <selection activeCell="O12" sqref="O12"/>
    </sheetView>
  </sheetViews>
  <sheetFormatPr baseColWidth="10" defaultColWidth="9.140625" defaultRowHeight="12" x14ac:dyDescent="0.2"/>
  <cols>
    <col min="1" max="1" width="3.42578125" style="14" customWidth="1"/>
    <col min="2" max="2" width="4.7109375" style="14" customWidth="1"/>
    <col min="3" max="3" width="12.7109375" style="14" customWidth="1"/>
    <col min="4" max="4" width="11.42578125" style="14" customWidth="1"/>
    <col min="5" max="5" width="12.28515625" style="14" customWidth="1"/>
    <col min="6" max="6" width="8.85546875" style="14" customWidth="1"/>
    <col min="7" max="7" width="3" style="14" bestFit="1" customWidth="1"/>
    <col min="8" max="8" width="10" style="14" bestFit="1" customWidth="1"/>
    <col min="9" max="9" width="12.140625" style="14" customWidth="1"/>
    <col min="10" max="11" width="10" style="14" customWidth="1"/>
    <col min="12" max="13" width="12.5703125" style="14" customWidth="1"/>
    <col min="14" max="14" width="10.7109375" style="14" customWidth="1"/>
    <col min="15" max="15" width="13" style="14" customWidth="1"/>
    <col min="16" max="16" width="14.28515625" style="14" bestFit="1" customWidth="1"/>
    <col min="17" max="17" width="12.28515625" style="14" customWidth="1"/>
    <col min="18" max="18" width="12.140625" style="14" hidden="1" customWidth="1"/>
    <col min="19" max="20" width="12.140625" style="14" bestFit="1" customWidth="1"/>
    <col min="21" max="21" width="13" style="14" customWidth="1"/>
    <col min="22" max="22" width="12.42578125" style="14" customWidth="1"/>
    <col min="23" max="23" width="12" style="14" customWidth="1"/>
    <col min="24" max="24" width="11" style="14" customWidth="1"/>
    <col min="25" max="259" width="9.140625" style="14"/>
    <col min="260" max="260" width="5.7109375" style="14" customWidth="1"/>
    <col min="261" max="261" width="13.140625" style="14" customWidth="1"/>
    <col min="262" max="262" width="12.28515625" style="14" customWidth="1"/>
    <col min="263" max="263" width="8.85546875" style="14" customWidth="1"/>
    <col min="264" max="264" width="10.85546875" style="14" customWidth="1"/>
    <col min="265" max="265" width="2.85546875" style="14" customWidth="1"/>
    <col min="266" max="266" width="12.140625" style="14" customWidth="1"/>
    <col min="267" max="267" width="10.140625" style="14" customWidth="1"/>
    <col min="268" max="268" width="11.7109375" style="14" customWidth="1"/>
    <col min="269" max="269" width="11.42578125" style="14" customWidth="1"/>
    <col min="270" max="270" width="12.7109375" style="14" customWidth="1"/>
    <col min="271" max="271" width="11.42578125" style="14" customWidth="1"/>
    <col min="272" max="272" width="10.7109375" style="14" customWidth="1"/>
    <col min="273" max="273" width="10.5703125" style="14" customWidth="1"/>
    <col min="274" max="274" width="11.28515625" style="14" customWidth="1"/>
    <col min="275" max="275" width="9.7109375" style="14" customWidth="1"/>
    <col min="276" max="276" width="12" style="14" customWidth="1"/>
    <col min="277" max="277" width="11.28515625" style="14" customWidth="1"/>
    <col min="278" max="515" width="9.140625" style="14"/>
    <col min="516" max="516" width="5.7109375" style="14" customWidth="1"/>
    <col min="517" max="517" width="13.140625" style="14" customWidth="1"/>
    <col min="518" max="518" width="12.28515625" style="14" customWidth="1"/>
    <col min="519" max="519" width="8.85546875" style="14" customWidth="1"/>
    <col min="520" max="520" width="10.85546875" style="14" customWidth="1"/>
    <col min="521" max="521" width="2.85546875" style="14" customWidth="1"/>
    <col min="522" max="522" width="12.140625" style="14" customWidth="1"/>
    <col min="523" max="523" width="10.140625" style="14" customWidth="1"/>
    <col min="524" max="524" width="11.7109375" style="14" customWidth="1"/>
    <col min="525" max="525" width="11.42578125" style="14" customWidth="1"/>
    <col min="526" max="526" width="12.7109375" style="14" customWidth="1"/>
    <col min="527" max="527" width="11.42578125" style="14" customWidth="1"/>
    <col min="528" max="528" width="10.7109375" style="14" customWidth="1"/>
    <col min="529" max="529" width="10.5703125" style="14" customWidth="1"/>
    <col min="530" max="530" width="11.28515625" style="14" customWidth="1"/>
    <col min="531" max="531" width="9.7109375" style="14" customWidth="1"/>
    <col min="532" max="532" width="12" style="14" customWidth="1"/>
    <col min="533" max="533" width="11.28515625" style="14" customWidth="1"/>
    <col min="534" max="771" width="9.140625" style="14"/>
    <col min="772" max="772" width="5.7109375" style="14" customWidth="1"/>
    <col min="773" max="773" width="13.140625" style="14" customWidth="1"/>
    <col min="774" max="774" width="12.28515625" style="14" customWidth="1"/>
    <col min="775" max="775" width="8.85546875" style="14" customWidth="1"/>
    <col min="776" max="776" width="10.85546875" style="14" customWidth="1"/>
    <col min="777" max="777" width="2.85546875" style="14" customWidth="1"/>
    <col min="778" max="778" width="12.140625" style="14" customWidth="1"/>
    <col min="779" max="779" width="10.140625" style="14" customWidth="1"/>
    <col min="780" max="780" width="11.7109375" style="14" customWidth="1"/>
    <col min="781" max="781" width="11.42578125" style="14" customWidth="1"/>
    <col min="782" max="782" width="12.7109375" style="14" customWidth="1"/>
    <col min="783" max="783" width="11.42578125" style="14" customWidth="1"/>
    <col min="784" max="784" width="10.7109375" style="14" customWidth="1"/>
    <col min="785" max="785" width="10.5703125" style="14" customWidth="1"/>
    <col min="786" max="786" width="11.28515625" style="14" customWidth="1"/>
    <col min="787" max="787" width="9.7109375" style="14" customWidth="1"/>
    <col min="788" max="788" width="12" style="14" customWidth="1"/>
    <col min="789" max="789" width="11.28515625" style="14" customWidth="1"/>
    <col min="790" max="1027" width="9.140625" style="14"/>
    <col min="1028" max="1028" width="5.7109375" style="14" customWidth="1"/>
    <col min="1029" max="1029" width="13.140625" style="14" customWidth="1"/>
    <col min="1030" max="1030" width="12.28515625" style="14" customWidth="1"/>
    <col min="1031" max="1031" width="8.85546875" style="14" customWidth="1"/>
    <col min="1032" max="1032" width="10.85546875" style="14" customWidth="1"/>
    <col min="1033" max="1033" width="2.85546875" style="14" customWidth="1"/>
    <col min="1034" max="1034" width="12.140625" style="14" customWidth="1"/>
    <col min="1035" max="1035" width="10.140625" style="14" customWidth="1"/>
    <col min="1036" max="1036" width="11.7109375" style="14" customWidth="1"/>
    <col min="1037" max="1037" width="11.42578125" style="14" customWidth="1"/>
    <col min="1038" max="1038" width="12.7109375" style="14" customWidth="1"/>
    <col min="1039" max="1039" width="11.42578125" style="14" customWidth="1"/>
    <col min="1040" max="1040" width="10.7109375" style="14" customWidth="1"/>
    <col min="1041" max="1041" width="10.5703125" style="14" customWidth="1"/>
    <col min="1042" max="1042" width="11.28515625" style="14" customWidth="1"/>
    <col min="1043" max="1043" width="9.7109375" style="14" customWidth="1"/>
    <col min="1044" max="1044" width="12" style="14" customWidth="1"/>
    <col min="1045" max="1045" width="11.28515625" style="14" customWidth="1"/>
    <col min="1046" max="1283" width="9.140625" style="14"/>
    <col min="1284" max="1284" width="5.7109375" style="14" customWidth="1"/>
    <col min="1285" max="1285" width="13.140625" style="14" customWidth="1"/>
    <col min="1286" max="1286" width="12.28515625" style="14" customWidth="1"/>
    <col min="1287" max="1287" width="8.85546875" style="14" customWidth="1"/>
    <col min="1288" max="1288" width="10.85546875" style="14" customWidth="1"/>
    <col min="1289" max="1289" width="2.85546875" style="14" customWidth="1"/>
    <col min="1290" max="1290" width="12.140625" style="14" customWidth="1"/>
    <col min="1291" max="1291" width="10.140625" style="14" customWidth="1"/>
    <col min="1292" max="1292" width="11.7109375" style="14" customWidth="1"/>
    <col min="1293" max="1293" width="11.42578125" style="14" customWidth="1"/>
    <col min="1294" max="1294" width="12.7109375" style="14" customWidth="1"/>
    <col min="1295" max="1295" width="11.42578125" style="14" customWidth="1"/>
    <col min="1296" max="1296" width="10.7109375" style="14" customWidth="1"/>
    <col min="1297" max="1297" width="10.5703125" style="14" customWidth="1"/>
    <col min="1298" max="1298" width="11.28515625" style="14" customWidth="1"/>
    <col min="1299" max="1299" width="9.7109375" style="14" customWidth="1"/>
    <col min="1300" max="1300" width="12" style="14" customWidth="1"/>
    <col min="1301" max="1301" width="11.28515625" style="14" customWidth="1"/>
    <col min="1302" max="1539" width="9.140625" style="14"/>
    <col min="1540" max="1540" width="5.7109375" style="14" customWidth="1"/>
    <col min="1541" max="1541" width="13.140625" style="14" customWidth="1"/>
    <col min="1542" max="1542" width="12.28515625" style="14" customWidth="1"/>
    <col min="1543" max="1543" width="8.85546875" style="14" customWidth="1"/>
    <col min="1544" max="1544" width="10.85546875" style="14" customWidth="1"/>
    <col min="1545" max="1545" width="2.85546875" style="14" customWidth="1"/>
    <col min="1546" max="1546" width="12.140625" style="14" customWidth="1"/>
    <col min="1547" max="1547" width="10.140625" style="14" customWidth="1"/>
    <col min="1548" max="1548" width="11.7109375" style="14" customWidth="1"/>
    <col min="1549" max="1549" width="11.42578125" style="14" customWidth="1"/>
    <col min="1550" max="1550" width="12.7109375" style="14" customWidth="1"/>
    <col min="1551" max="1551" width="11.42578125" style="14" customWidth="1"/>
    <col min="1552" max="1552" width="10.7109375" style="14" customWidth="1"/>
    <col min="1553" max="1553" width="10.5703125" style="14" customWidth="1"/>
    <col min="1554" max="1554" width="11.28515625" style="14" customWidth="1"/>
    <col min="1555" max="1555" width="9.7109375" style="14" customWidth="1"/>
    <col min="1556" max="1556" width="12" style="14" customWidth="1"/>
    <col min="1557" max="1557" width="11.28515625" style="14" customWidth="1"/>
    <col min="1558" max="1795" width="9.140625" style="14"/>
    <col min="1796" max="1796" width="5.7109375" style="14" customWidth="1"/>
    <col min="1797" max="1797" width="13.140625" style="14" customWidth="1"/>
    <col min="1798" max="1798" width="12.28515625" style="14" customWidth="1"/>
    <col min="1799" max="1799" width="8.85546875" style="14" customWidth="1"/>
    <col min="1800" max="1800" width="10.85546875" style="14" customWidth="1"/>
    <col min="1801" max="1801" width="2.85546875" style="14" customWidth="1"/>
    <col min="1802" max="1802" width="12.140625" style="14" customWidth="1"/>
    <col min="1803" max="1803" width="10.140625" style="14" customWidth="1"/>
    <col min="1804" max="1804" width="11.7109375" style="14" customWidth="1"/>
    <col min="1805" max="1805" width="11.42578125" style="14" customWidth="1"/>
    <col min="1806" max="1806" width="12.7109375" style="14" customWidth="1"/>
    <col min="1807" max="1807" width="11.42578125" style="14" customWidth="1"/>
    <col min="1808" max="1808" width="10.7109375" style="14" customWidth="1"/>
    <col min="1809" max="1809" width="10.5703125" style="14" customWidth="1"/>
    <col min="1810" max="1810" width="11.28515625" style="14" customWidth="1"/>
    <col min="1811" max="1811" width="9.7109375" style="14" customWidth="1"/>
    <col min="1812" max="1812" width="12" style="14" customWidth="1"/>
    <col min="1813" max="1813" width="11.28515625" style="14" customWidth="1"/>
    <col min="1814" max="2051" width="9.140625" style="14"/>
    <col min="2052" max="2052" width="5.7109375" style="14" customWidth="1"/>
    <col min="2053" max="2053" width="13.140625" style="14" customWidth="1"/>
    <col min="2054" max="2054" width="12.28515625" style="14" customWidth="1"/>
    <col min="2055" max="2055" width="8.85546875" style="14" customWidth="1"/>
    <col min="2056" max="2056" width="10.85546875" style="14" customWidth="1"/>
    <col min="2057" max="2057" width="2.85546875" style="14" customWidth="1"/>
    <col min="2058" max="2058" width="12.140625" style="14" customWidth="1"/>
    <col min="2059" max="2059" width="10.140625" style="14" customWidth="1"/>
    <col min="2060" max="2060" width="11.7109375" style="14" customWidth="1"/>
    <col min="2061" max="2061" width="11.42578125" style="14" customWidth="1"/>
    <col min="2062" max="2062" width="12.7109375" style="14" customWidth="1"/>
    <col min="2063" max="2063" width="11.42578125" style="14" customWidth="1"/>
    <col min="2064" max="2064" width="10.7109375" style="14" customWidth="1"/>
    <col min="2065" max="2065" width="10.5703125" style="14" customWidth="1"/>
    <col min="2066" max="2066" width="11.28515625" style="14" customWidth="1"/>
    <col min="2067" max="2067" width="9.7109375" style="14" customWidth="1"/>
    <col min="2068" max="2068" width="12" style="14" customWidth="1"/>
    <col min="2069" max="2069" width="11.28515625" style="14" customWidth="1"/>
    <col min="2070" max="2307" width="9.140625" style="14"/>
    <col min="2308" max="2308" width="5.7109375" style="14" customWidth="1"/>
    <col min="2309" max="2309" width="13.140625" style="14" customWidth="1"/>
    <col min="2310" max="2310" width="12.28515625" style="14" customWidth="1"/>
    <col min="2311" max="2311" width="8.85546875" style="14" customWidth="1"/>
    <col min="2312" max="2312" width="10.85546875" style="14" customWidth="1"/>
    <col min="2313" max="2313" width="2.85546875" style="14" customWidth="1"/>
    <col min="2314" max="2314" width="12.140625" style="14" customWidth="1"/>
    <col min="2315" max="2315" width="10.140625" style="14" customWidth="1"/>
    <col min="2316" max="2316" width="11.7109375" style="14" customWidth="1"/>
    <col min="2317" max="2317" width="11.42578125" style="14" customWidth="1"/>
    <col min="2318" max="2318" width="12.7109375" style="14" customWidth="1"/>
    <col min="2319" max="2319" width="11.42578125" style="14" customWidth="1"/>
    <col min="2320" max="2320" width="10.7109375" style="14" customWidth="1"/>
    <col min="2321" max="2321" width="10.5703125" style="14" customWidth="1"/>
    <col min="2322" max="2322" width="11.28515625" style="14" customWidth="1"/>
    <col min="2323" max="2323" width="9.7109375" style="14" customWidth="1"/>
    <col min="2324" max="2324" width="12" style="14" customWidth="1"/>
    <col min="2325" max="2325" width="11.28515625" style="14" customWidth="1"/>
    <col min="2326" max="2563" width="9.140625" style="14"/>
    <col min="2564" max="2564" width="5.7109375" style="14" customWidth="1"/>
    <col min="2565" max="2565" width="13.140625" style="14" customWidth="1"/>
    <col min="2566" max="2566" width="12.28515625" style="14" customWidth="1"/>
    <col min="2567" max="2567" width="8.85546875" style="14" customWidth="1"/>
    <col min="2568" max="2568" width="10.85546875" style="14" customWidth="1"/>
    <col min="2569" max="2569" width="2.85546875" style="14" customWidth="1"/>
    <col min="2570" max="2570" width="12.140625" style="14" customWidth="1"/>
    <col min="2571" max="2571" width="10.140625" style="14" customWidth="1"/>
    <col min="2572" max="2572" width="11.7109375" style="14" customWidth="1"/>
    <col min="2573" max="2573" width="11.42578125" style="14" customWidth="1"/>
    <col min="2574" max="2574" width="12.7109375" style="14" customWidth="1"/>
    <col min="2575" max="2575" width="11.42578125" style="14" customWidth="1"/>
    <col min="2576" max="2576" width="10.7109375" style="14" customWidth="1"/>
    <col min="2577" max="2577" width="10.5703125" style="14" customWidth="1"/>
    <col min="2578" max="2578" width="11.28515625" style="14" customWidth="1"/>
    <col min="2579" max="2579" width="9.7109375" style="14" customWidth="1"/>
    <col min="2580" max="2580" width="12" style="14" customWidth="1"/>
    <col min="2581" max="2581" width="11.28515625" style="14" customWidth="1"/>
    <col min="2582" max="2819" width="9.140625" style="14"/>
    <col min="2820" max="2820" width="5.7109375" style="14" customWidth="1"/>
    <col min="2821" max="2821" width="13.140625" style="14" customWidth="1"/>
    <col min="2822" max="2822" width="12.28515625" style="14" customWidth="1"/>
    <col min="2823" max="2823" width="8.85546875" style="14" customWidth="1"/>
    <col min="2824" max="2824" width="10.85546875" style="14" customWidth="1"/>
    <col min="2825" max="2825" width="2.85546875" style="14" customWidth="1"/>
    <col min="2826" max="2826" width="12.140625" style="14" customWidth="1"/>
    <col min="2827" max="2827" width="10.140625" style="14" customWidth="1"/>
    <col min="2828" max="2828" width="11.7109375" style="14" customWidth="1"/>
    <col min="2829" max="2829" width="11.42578125" style="14" customWidth="1"/>
    <col min="2830" max="2830" width="12.7109375" style="14" customWidth="1"/>
    <col min="2831" max="2831" width="11.42578125" style="14" customWidth="1"/>
    <col min="2832" max="2832" width="10.7109375" style="14" customWidth="1"/>
    <col min="2833" max="2833" width="10.5703125" style="14" customWidth="1"/>
    <col min="2834" max="2834" width="11.28515625" style="14" customWidth="1"/>
    <col min="2835" max="2835" width="9.7109375" style="14" customWidth="1"/>
    <col min="2836" max="2836" width="12" style="14" customWidth="1"/>
    <col min="2837" max="2837" width="11.28515625" style="14" customWidth="1"/>
    <col min="2838" max="3075" width="9.140625" style="14"/>
    <col min="3076" max="3076" width="5.7109375" style="14" customWidth="1"/>
    <col min="3077" max="3077" width="13.140625" style="14" customWidth="1"/>
    <col min="3078" max="3078" width="12.28515625" style="14" customWidth="1"/>
    <col min="3079" max="3079" width="8.85546875" style="14" customWidth="1"/>
    <col min="3080" max="3080" width="10.85546875" style="14" customWidth="1"/>
    <col min="3081" max="3081" width="2.85546875" style="14" customWidth="1"/>
    <col min="3082" max="3082" width="12.140625" style="14" customWidth="1"/>
    <col min="3083" max="3083" width="10.140625" style="14" customWidth="1"/>
    <col min="3084" max="3084" width="11.7109375" style="14" customWidth="1"/>
    <col min="3085" max="3085" width="11.42578125" style="14" customWidth="1"/>
    <col min="3086" max="3086" width="12.7109375" style="14" customWidth="1"/>
    <col min="3087" max="3087" width="11.42578125" style="14" customWidth="1"/>
    <col min="3088" max="3088" width="10.7109375" style="14" customWidth="1"/>
    <col min="3089" max="3089" width="10.5703125" style="14" customWidth="1"/>
    <col min="3090" max="3090" width="11.28515625" style="14" customWidth="1"/>
    <col min="3091" max="3091" width="9.7109375" style="14" customWidth="1"/>
    <col min="3092" max="3092" width="12" style="14" customWidth="1"/>
    <col min="3093" max="3093" width="11.28515625" style="14" customWidth="1"/>
    <col min="3094" max="3331" width="9.140625" style="14"/>
    <col min="3332" max="3332" width="5.7109375" style="14" customWidth="1"/>
    <col min="3333" max="3333" width="13.140625" style="14" customWidth="1"/>
    <col min="3334" max="3334" width="12.28515625" style="14" customWidth="1"/>
    <col min="3335" max="3335" width="8.85546875" style="14" customWidth="1"/>
    <col min="3336" max="3336" width="10.85546875" style="14" customWidth="1"/>
    <col min="3337" max="3337" width="2.85546875" style="14" customWidth="1"/>
    <col min="3338" max="3338" width="12.140625" style="14" customWidth="1"/>
    <col min="3339" max="3339" width="10.140625" style="14" customWidth="1"/>
    <col min="3340" max="3340" width="11.7109375" style="14" customWidth="1"/>
    <col min="3341" max="3341" width="11.42578125" style="14" customWidth="1"/>
    <col min="3342" max="3342" width="12.7109375" style="14" customWidth="1"/>
    <col min="3343" max="3343" width="11.42578125" style="14" customWidth="1"/>
    <col min="3344" max="3344" width="10.7109375" style="14" customWidth="1"/>
    <col min="3345" max="3345" width="10.5703125" style="14" customWidth="1"/>
    <col min="3346" max="3346" width="11.28515625" style="14" customWidth="1"/>
    <col min="3347" max="3347" width="9.7109375" style="14" customWidth="1"/>
    <col min="3348" max="3348" width="12" style="14" customWidth="1"/>
    <col min="3349" max="3349" width="11.28515625" style="14" customWidth="1"/>
    <col min="3350" max="3587" width="9.140625" style="14"/>
    <col min="3588" max="3588" width="5.7109375" style="14" customWidth="1"/>
    <col min="3589" max="3589" width="13.140625" style="14" customWidth="1"/>
    <col min="3590" max="3590" width="12.28515625" style="14" customWidth="1"/>
    <col min="3591" max="3591" width="8.85546875" style="14" customWidth="1"/>
    <col min="3592" max="3592" width="10.85546875" style="14" customWidth="1"/>
    <col min="3593" max="3593" width="2.85546875" style="14" customWidth="1"/>
    <col min="3594" max="3594" width="12.140625" style="14" customWidth="1"/>
    <col min="3595" max="3595" width="10.140625" style="14" customWidth="1"/>
    <col min="3596" max="3596" width="11.7109375" style="14" customWidth="1"/>
    <col min="3597" max="3597" width="11.42578125" style="14" customWidth="1"/>
    <col min="3598" max="3598" width="12.7109375" style="14" customWidth="1"/>
    <col min="3599" max="3599" width="11.42578125" style="14" customWidth="1"/>
    <col min="3600" max="3600" width="10.7109375" style="14" customWidth="1"/>
    <col min="3601" max="3601" width="10.5703125" style="14" customWidth="1"/>
    <col min="3602" max="3602" width="11.28515625" style="14" customWidth="1"/>
    <col min="3603" max="3603" width="9.7109375" style="14" customWidth="1"/>
    <col min="3604" max="3604" width="12" style="14" customWidth="1"/>
    <col min="3605" max="3605" width="11.28515625" style="14" customWidth="1"/>
    <col min="3606" max="3843" width="9.140625" style="14"/>
    <col min="3844" max="3844" width="5.7109375" style="14" customWidth="1"/>
    <col min="3845" max="3845" width="13.140625" style="14" customWidth="1"/>
    <col min="3846" max="3846" width="12.28515625" style="14" customWidth="1"/>
    <col min="3847" max="3847" width="8.85546875" style="14" customWidth="1"/>
    <col min="3848" max="3848" width="10.85546875" style="14" customWidth="1"/>
    <col min="3849" max="3849" width="2.85546875" style="14" customWidth="1"/>
    <col min="3850" max="3850" width="12.140625" style="14" customWidth="1"/>
    <col min="3851" max="3851" width="10.140625" style="14" customWidth="1"/>
    <col min="3852" max="3852" width="11.7109375" style="14" customWidth="1"/>
    <col min="3853" max="3853" width="11.42578125" style="14" customWidth="1"/>
    <col min="3854" max="3854" width="12.7109375" style="14" customWidth="1"/>
    <col min="3855" max="3855" width="11.42578125" style="14" customWidth="1"/>
    <col min="3856" max="3856" width="10.7109375" style="14" customWidth="1"/>
    <col min="3857" max="3857" width="10.5703125" style="14" customWidth="1"/>
    <col min="3858" max="3858" width="11.28515625" style="14" customWidth="1"/>
    <col min="3859" max="3859" width="9.7109375" style="14" customWidth="1"/>
    <col min="3860" max="3860" width="12" style="14" customWidth="1"/>
    <col min="3861" max="3861" width="11.28515625" style="14" customWidth="1"/>
    <col min="3862" max="4099" width="9.140625" style="14"/>
    <col min="4100" max="4100" width="5.7109375" style="14" customWidth="1"/>
    <col min="4101" max="4101" width="13.140625" style="14" customWidth="1"/>
    <col min="4102" max="4102" width="12.28515625" style="14" customWidth="1"/>
    <col min="4103" max="4103" width="8.85546875" style="14" customWidth="1"/>
    <col min="4104" max="4104" width="10.85546875" style="14" customWidth="1"/>
    <col min="4105" max="4105" width="2.85546875" style="14" customWidth="1"/>
    <col min="4106" max="4106" width="12.140625" style="14" customWidth="1"/>
    <col min="4107" max="4107" width="10.140625" style="14" customWidth="1"/>
    <col min="4108" max="4108" width="11.7109375" style="14" customWidth="1"/>
    <col min="4109" max="4109" width="11.42578125" style="14" customWidth="1"/>
    <col min="4110" max="4110" width="12.7109375" style="14" customWidth="1"/>
    <col min="4111" max="4111" width="11.42578125" style="14" customWidth="1"/>
    <col min="4112" max="4112" width="10.7109375" style="14" customWidth="1"/>
    <col min="4113" max="4113" width="10.5703125" style="14" customWidth="1"/>
    <col min="4114" max="4114" width="11.28515625" style="14" customWidth="1"/>
    <col min="4115" max="4115" width="9.7109375" style="14" customWidth="1"/>
    <col min="4116" max="4116" width="12" style="14" customWidth="1"/>
    <col min="4117" max="4117" width="11.28515625" style="14" customWidth="1"/>
    <col min="4118" max="4355" width="9.140625" style="14"/>
    <col min="4356" max="4356" width="5.7109375" style="14" customWidth="1"/>
    <col min="4357" max="4357" width="13.140625" style="14" customWidth="1"/>
    <col min="4358" max="4358" width="12.28515625" style="14" customWidth="1"/>
    <col min="4359" max="4359" width="8.85546875" style="14" customWidth="1"/>
    <col min="4360" max="4360" width="10.85546875" style="14" customWidth="1"/>
    <col min="4361" max="4361" width="2.85546875" style="14" customWidth="1"/>
    <col min="4362" max="4362" width="12.140625" style="14" customWidth="1"/>
    <col min="4363" max="4363" width="10.140625" style="14" customWidth="1"/>
    <col min="4364" max="4364" width="11.7109375" style="14" customWidth="1"/>
    <col min="4365" max="4365" width="11.42578125" style="14" customWidth="1"/>
    <col min="4366" max="4366" width="12.7109375" style="14" customWidth="1"/>
    <col min="4367" max="4367" width="11.42578125" style="14" customWidth="1"/>
    <col min="4368" max="4368" width="10.7109375" style="14" customWidth="1"/>
    <col min="4369" max="4369" width="10.5703125" style="14" customWidth="1"/>
    <col min="4370" max="4370" width="11.28515625" style="14" customWidth="1"/>
    <col min="4371" max="4371" width="9.7109375" style="14" customWidth="1"/>
    <col min="4372" max="4372" width="12" style="14" customWidth="1"/>
    <col min="4373" max="4373" width="11.28515625" style="14" customWidth="1"/>
    <col min="4374" max="4611" width="9.140625" style="14"/>
    <col min="4612" max="4612" width="5.7109375" style="14" customWidth="1"/>
    <col min="4613" max="4613" width="13.140625" style="14" customWidth="1"/>
    <col min="4614" max="4614" width="12.28515625" style="14" customWidth="1"/>
    <col min="4615" max="4615" width="8.85546875" style="14" customWidth="1"/>
    <col min="4616" max="4616" width="10.85546875" style="14" customWidth="1"/>
    <col min="4617" max="4617" width="2.85546875" style="14" customWidth="1"/>
    <col min="4618" max="4618" width="12.140625" style="14" customWidth="1"/>
    <col min="4619" max="4619" width="10.140625" style="14" customWidth="1"/>
    <col min="4620" max="4620" width="11.7109375" style="14" customWidth="1"/>
    <col min="4621" max="4621" width="11.42578125" style="14" customWidth="1"/>
    <col min="4622" max="4622" width="12.7109375" style="14" customWidth="1"/>
    <col min="4623" max="4623" width="11.42578125" style="14" customWidth="1"/>
    <col min="4624" max="4624" width="10.7109375" style="14" customWidth="1"/>
    <col min="4625" max="4625" width="10.5703125" style="14" customWidth="1"/>
    <col min="4626" max="4626" width="11.28515625" style="14" customWidth="1"/>
    <col min="4627" max="4627" width="9.7109375" style="14" customWidth="1"/>
    <col min="4628" max="4628" width="12" style="14" customWidth="1"/>
    <col min="4629" max="4629" width="11.28515625" style="14" customWidth="1"/>
    <col min="4630" max="4867" width="9.140625" style="14"/>
    <col min="4868" max="4868" width="5.7109375" style="14" customWidth="1"/>
    <col min="4869" max="4869" width="13.140625" style="14" customWidth="1"/>
    <col min="4870" max="4870" width="12.28515625" style="14" customWidth="1"/>
    <col min="4871" max="4871" width="8.85546875" style="14" customWidth="1"/>
    <col min="4872" max="4872" width="10.85546875" style="14" customWidth="1"/>
    <col min="4873" max="4873" width="2.85546875" style="14" customWidth="1"/>
    <col min="4874" max="4874" width="12.140625" style="14" customWidth="1"/>
    <col min="4875" max="4875" width="10.140625" style="14" customWidth="1"/>
    <col min="4876" max="4876" width="11.7109375" style="14" customWidth="1"/>
    <col min="4877" max="4877" width="11.42578125" style="14" customWidth="1"/>
    <col min="4878" max="4878" width="12.7109375" style="14" customWidth="1"/>
    <col min="4879" max="4879" width="11.42578125" style="14" customWidth="1"/>
    <col min="4880" max="4880" width="10.7109375" style="14" customWidth="1"/>
    <col min="4881" max="4881" width="10.5703125" style="14" customWidth="1"/>
    <col min="4882" max="4882" width="11.28515625" style="14" customWidth="1"/>
    <col min="4883" max="4883" width="9.7109375" style="14" customWidth="1"/>
    <col min="4884" max="4884" width="12" style="14" customWidth="1"/>
    <col min="4885" max="4885" width="11.28515625" style="14" customWidth="1"/>
    <col min="4886" max="5123" width="9.140625" style="14"/>
    <col min="5124" max="5124" width="5.7109375" style="14" customWidth="1"/>
    <col min="5125" max="5125" width="13.140625" style="14" customWidth="1"/>
    <col min="5126" max="5126" width="12.28515625" style="14" customWidth="1"/>
    <col min="5127" max="5127" width="8.85546875" style="14" customWidth="1"/>
    <col min="5128" max="5128" width="10.85546875" style="14" customWidth="1"/>
    <col min="5129" max="5129" width="2.85546875" style="14" customWidth="1"/>
    <col min="5130" max="5130" width="12.140625" style="14" customWidth="1"/>
    <col min="5131" max="5131" width="10.140625" style="14" customWidth="1"/>
    <col min="5132" max="5132" width="11.7109375" style="14" customWidth="1"/>
    <col min="5133" max="5133" width="11.42578125" style="14" customWidth="1"/>
    <col min="5134" max="5134" width="12.7109375" style="14" customWidth="1"/>
    <col min="5135" max="5135" width="11.42578125" style="14" customWidth="1"/>
    <col min="5136" max="5136" width="10.7109375" style="14" customWidth="1"/>
    <col min="5137" max="5137" width="10.5703125" style="14" customWidth="1"/>
    <col min="5138" max="5138" width="11.28515625" style="14" customWidth="1"/>
    <col min="5139" max="5139" width="9.7109375" style="14" customWidth="1"/>
    <col min="5140" max="5140" width="12" style="14" customWidth="1"/>
    <col min="5141" max="5141" width="11.28515625" style="14" customWidth="1"/>
    <col min="5142" max="5379" width="9.140625" style="14"/>
    <col min="5380" max="5380" width="5.7109375" style="14" customWidth="1"/>
    <col min="5381" max="5381" width="13.140625" style="14" customWidth="1"/>
    <col min="5382" max="5382" width="12.28515625" style="14" customWidth="1"/>
    <col min="5383" max="5383" width="8.85546875" style="14" customWidth="1"/>
    <col min="5384" max="5384" width="10.85546875" style="14" customWidth="1"/>
    <col min="5385" max="5385" width="2.85546875" style="14" customWidth="1"/>
    <col min="5386" max="5386" width="12.140625" style="14" customWidth="1"/>
    <col min="5387" max="5387" width="10.140625" style="14" customWidth="1"/>
    <col min="5388" max="5388" width="11.7109375" style="14" customWidth="1"/>
    <col min="5389" max="5389" width="11.42578125" style="14" customWidth="1"/>
    <col min="5390" max="5390" width="12.7109375" style="14" customWidth="1"/>
    <col min="5391" max="5391" width="11.42578125" style="14" customWidth="1"/>
    <col min="5392" max="5392" width="10.7109375" style="14" customWidth="1"/>
    <col min="5393" max="5393" width="10.5703125" style="14" customWidth="1"/>
    <col min="5394" max="5394" width="11.28515625" style="14" customWidth="1"/>
    <col min="5395" max="5395" width="9.7109375" style="14" customWidth="1"/>
    <col min="5396" max="5396" width="12" style="14" customWidth="1"/>
    <col min="5397" max="5397" width="11.28515625" style="14" customWidth="1"/>
    <col min="5398" max="5635" width="9.140625" style="14"/>
    <col min="5636" max="5636" width="5.7109375" style="14" customWidth="1"/>
    <col min="5637" max="5637" width="13.140625" style="14" customWidth="1"/>
    <col min="5638" max="5638" width="12.28515625" style="14" customWidth="1"/>
    <col min="5639" max="5639" width="8.85546875" style="14" customWidth="1"/>
    <col min="5640" max="5640" width="10.85546875" style="14" customWidth="1"/>
    <col min="5641" max="5641" width="2.85546875" style="14" customWidth="1"/>
    <col min="5642" max="5642" width="12.140625" style="14" customWidth="1"/>
    <col min="5643" max="5643" width="10.140625" style="14" customWidth="1"/>
    <col min="5644" max="5644" width="11.7109375" style="14" customWidth="1"/>
    <col min="5645" max="5645" width="11.42578125" style="14" customWidth="1"/>
    <col min="5646" max="5646" width="12.7109375" style="14" customWidth="1"/>
    <col min="5647" max="5647" width="11.42578125" style="14" customWidth="1"/>
    <col min="5648" max="5648" width="10.7109375" style="14" customWidth="1"/>
    <col min="5649" max="5649" width="10.5703125" style="14" customWidth="1"/>
    <col min="5650" max="5650" width="11.28515625" style="14" customWidth="1"/>
    <col min="5651" max="5651" width="9.7109375" style="14" customWidth="1"/>
    <col min="5652" max="5652" width="12" style="14" customWidth="1"/>
    <col min="5653" max="5653" width="11.28515625" style="14" customWidth="1"/>
    <col min="5654" max="5891" width="9.140625" style="14"/>
    <col min="5892" max="5892" width="5.7109375" style="14" customWidth="1"/>
    <col min="5893" max="5893" width="13.140625" style="14" customWidth="1"/>
    <col min="5894" max="5894" width="12.28515625" style="14" customWidth="1"/>
    <col min="5895" max="5895" width="8.85546875" style="14" customWidth="1"/>
    <col min="5896" max="5896" width="10.85546875" style="14" customWidth="1"/>
    <col min="5897" max="5897" width="2.85546875" style="14" customWidth="1"/>
    <col min="5898" max="5898" width="12.140625" style="14" customWidth="1"/>
    <col min="5899" max="5899" width="10.140625" style="14" customWidth="1"/>
    <col min="5900" max="5900" width="11.7109375" style="14" customWidth="1"/>
    <col min="5901" max="5901" width="11.42578125" style="14" customWidth="1"/>
    <col min="5902" max="5902" width="12.7109375" style="14" customWidth="1"/>
    <col min="5903" max="5903" width="11.42578125" style="14" customWidth="1"/>
    <col min="5904" max="5904" width="10.7109375" style="14" customWidth="1"/>
    <col min="5905" max="5905" width="10.5703125" style="14" customWidth="1"/>
    <col min="5906" max="5906" width="11.28515625" style="14" customWidth="1"/>
    <col min="5907" max="5907" width="9.7109375" style="14" customWidth="1"/>
    <col min="5908" max="5908" width="12" style="14" customWidth="1"/>
    <col min="5909" max="5909" width="11.28515625" style="14" customWidth="1"/>
    <col min="5910" max="6147" width="9.140625" style="14"/>
    <col min="6148" max="6148" width="5.7109375" style="14" customWidth="1"/>
    <col min="6149" max="6149" width="13.140625" style="14" customWidth="1"/>
    <col min="6150" max="6150" width="12.28515625" style="14" customWidth="1"/>
    <col min="6151" max="6151" width="8.85546875" style="14" customWidth="1"/>
    <col min="6152" max="6152" width="10.85546875" style="14" customWidth="1"/>
    <col min="6153" max="6153" width="2.85546875" style="14" customWidth="1"/>
    <col min="6154" max="6154" width="12.140625" style="14" customWidth="1"/>
    <col min="6155" max="6155" width="10.140625" style="14" customWidth="1"/>
    <col min="6156" max="6156" width="11.7109375" style="14" customWidth="1"/>
    <col min="6157" max="6157" width="11.42578125" style="14" customWidth="1"/>
    <col min="6158" max="6158" width="12.7109375" style="14" customWidth="1"/>
    <col min="6159" max="6159" width="11.42578125" style="14" customWidth="1"/>
    <col min="6160" max="6160" width="10.7109375" style="14" customWidth="1"/>
    <col min="6161" max="6161" width="10.5703125" style="14" customWidth="1"/>
    <col min="6162" max="6162" width="11.28515625" style="14" customWidth="1"/>
    <col min="6163" max="6163" width="9.7109375" style="14" customWidth="1"/>
    <col min="6164" max="6164" width="12" style="14" customWidth="1"/>
    <col min="6165" max="6165" width="11.28515625" style="14" customWidth="1"/>
    <col min="6166" max="6403" width="9.140625" style="14"/>
    <col min="6404" max="6404" width="5.7109375" style="14" customWidth="1"/>
    <col min="6405" max="6405" width="13.140625" style="14" customWidth="1"/>
    <col min="6406" max="6406" width="12.28515625" style="14" customWidth="1"/>
    <col min="6407" max="6407" width="8.85546875" style="14" customWidth="1"/>
    <col min="6408" max="6408" width="10.85546875" style="14" customWidth="1"/>
    <col min="6409" max="6409" width="2.85546875" style="14" customWidth="1"/>
    <col min="6410" max="6410" width="12.140625" style="14" customWidth="1"/>
    <col min="6411" max="6411" width="10.140625" style="14" customWidth="1"/>
    <col min="6412" max="6412" width="11.7109375" style="14" customWidth="1"/>
    <col min="6413" max="6413" width="11.42578125" style="14" customWidth="1"/>
    <col min="6414" max="6414" width="12.7109375" style="14" customWidth="1"/>
    <col min="6415" max="6415" width="11.42578125" style="14" customWidth="1"/>
    <col min="6416" max="6416" width="10.7109375" style="14" customWidth="1"/>
    <col min="6417" max="6417" width="10.5703125" style="14" customWidth="1"/>
    <col min="6418" max="6418" width="11.28515625" style="14" customWidth="1"/>
    <col min="6419" max="6419" width="9.7109375" style="14" customWidth="1"/>
    <col min="6420" max="6420" width="12" style="14" customWidth="1"/>
    <col min="6421" max="6421" width="11.28515625" style="14" customWidth="1"/>
    <col min="6422" max="6659" width="9.140625" style="14"/>
    <col min="6660" max="6660" width="5.7109375" style="14" customWidth="1"/>
    <col min="6661" max="6661" width="13.140625" style="14" customWidth="1"/>
    <col min="6662" max="6662" width="12.28515625" style="14" customWidth="1"/>
    <col min="6663" max="6663" width="8.85546875" style="14" customWidth="1"/>
    <col min="6664" max="6664" width="10.85546875" style="14" customWidth="1"/>
    <col min="6665" max="6665" width="2.85546875" style="14" customWidth="1"/>
    <col min="6666" max="6666" width="12.140625" style="14" customWidth="1"/>
    <col min="6667" max="6667" width="10.140625" style="14" customWidth="1"/>
    <col min="6668" max="6668" width="11.7109375" style="14" customWidth="1"/>
    <col min="6669" max="6669" width="11.42578125" style="14" customWidth="1"/>
    <col min="6670" max="6670" width="12.7109375" style="14" customWidth="1"/>
    <col min="6671" max="6671" width="11.42578125" style="14" customWidth="1"/>
    <col min="6672" max="6672" width="10.7109375" style="14" customWidth="1"/>
    <col min="6673" max="6673" width="10.5703125" style="14" customWidth="1"/>
    <col min="6674" max="6674" width="11.28515625" style="14" customWidth="1"/>
    <col min="6675" max="6675" width="9.7109375" style="14" customWidth="1"/>
    <col min="6676" max="6676" width="12" style="14" customWidth="1"/>
    <col min="6677" max="6677" width="11.28515625" style="14" customWidth="1"/>
    <col min="6678" max="6915" width="9.140625" style="14"/>
    <col min="6916" max="6916" width="5.7109375" style="14" customWidth="1"/>
    <col min="6917" max="6917" width="13.140625" style="14" customWidth="1"/>
    <col min="6918" max="6918" width="12.28515625" style="14" customWidth="1"/>
    <col min="6919" max="6919" width="8.85546875" style="14" customWidth="1"/>
    <col min="6920" max="6920" width="10.85546875" style="14" customWidth="1"/>
    <col min="6921" max="6921" width="2.85546875" style="14" customWidth="1"/>
    <col min="6922" max="6922" width="12.140625" style="14" customWidth="1"/>
    <col min="6923" max="6923" width="10.140625" style="14" customWidth="1"/>
    <col min="6924" max="6924" width="11.7109375" style="14" customWidth="1"/>
    <col min="6925" max="6925" width="11.42578125" style="14" customWidth="1"/>
    <col min="6926" max="6926" width="12.7109375" style="14" customWidth="1"/>
    <col min="6927" max="6927" width="11.42578125" style="14" customWidth="1"/>
    <col min="6928" max="6928" width="10.7109375" style="14" customWidth="1"/>
    <col min="6929" max="6929" width="10.5703125" style="14" customWidth="1"/>
    <col min="6930" max="6930" width="11.28515625" style="14" customWidth="1"/>
    <col min="6931" max="6931" width="9.7109375" style="14" customWidth="1"/>
    <col min="6932" max="6932" width="12" style="14" customWidth="1"/>
    <col min="6933" max="6933" width="11.28515625" style="14" customWidth="1"/>
    <col min="6934" max="7171" width="9.140625" style="14"/>
    <col min="7172" max="7172" width="5.7109375" style="14" customWidth="1"/>
    <col min="7173" max="7173" width="13.140625" style="14" customWidth="1"/>
    <col min="7174" max="7174" width="12.28515625" style="14" customWidth="1"/>
    <col min="7175" max="7175" width="8.85546875" style="14" customWidth="1"/>
    <col min="7176" max="7176" width="10.85546875" style="14" customWidth="1"/>
    <col min="7177" max="7177" width="2.85546875" style="14" customWidth="1"/>
    <col min="7178" max="7178" width="12.140625" style="14" customWidth="1"/>
    <col min="7179" max="7179" width="10.140625" style="14" customWidth="1"/>
    <col min="7180" max="7180" width="11.7109375" style="14" customWidth="1"/>
    <col min="7181" max="7181" width="11.42578125" style="14" customWidth="1"/>
    <col min="7182" max="7182" width="12.7109375" style="14" customWidth="1"/>
    <col min="7183" max="7183" width="11.42578125" style="14" customWidth="1"/>
    <col min="7184" max="7184" width="10.7109375" style="14" customWidth="1"/>
    <col min="7185" max="7185" width="10.5703125" style="14" customWidth="1"/>
    <col min="7186" max="7186" width="11.28515625" style="14" customWidth="1"/>
    <col min="7187" max="7187" width="9.7109375" style="14" customWidth="1"/>
    <col min="7188" max="7188" width="12" style="14" customWidth="1"/>
    <col min="7189" max="7189" width="11.28515625" style="14" customWidth="1"/>
    <col min="7190" max="7427" width="9.140625" style="14"/>
    <col min="7428" max="7428" width="5.7109375" style="14" customWidth="1"/>
    <col min="7429" max="7429" width="13.140625" style="14" customWidth="1"/>
    <col min="7430" max="7430" width="12.28515625" style="14" customWidth="1"/>
    <col min="7431" max="7431" width="8.85546875" style="14" customWidth="1"/>
    <col min="7432" max="7432" width="10.85546875" style="14" customWidth="1"/>
    <col min="7433" max="7433" width="2.85546875" style="14" customWidth="1"/>
    <col min="7434" max="7434" width="12.140625" style="14" customWidth="1"/>
    <col min="7435" max="7435" width="10.140625" style="14" customWidth="1"/>
    <col min="7436" max="7436" width="11.7109375" style="14" customWidth="1"/>
    <col min="7437" max="7437" width="11.42578125" style="14" customWidth="1"/>
    <col min="7438" max="7438" width="12.7109375" style="14" customWidth="1"/>
    <col min="7439" max="7439" width="11.42578125" style="14" customWidth="1"/>
    <col min="7440" max="7440" width="10.7109375" style="14" customWidth="1"/>
    <col min="7441" max="7441" width="10.5703125" style="14" customWidth="1"/>
    <col min="7442" max="7442" width="11.28515625" style="14" customWidth="1"/>
    <col min="7443" max="7443" width="9.7109375" style="14" customWidth="1"/>
    <col min="7444" max="7444" width="12" style="14" customWidth="1"/>
    <col min="7445" max="7445" width="11.28515625" style="14" customWidth="1"/>
    <col min="7446" max="7683" width="9.140625" style="14"/>
    <col min="7684" max="7684" width="5.7109375" style="14" customWidth="1"/>
    <col min="7685" max="7685" width="13.140625" style="14" customWidth="1"/>
    <col min="7686" max="7686" width="12.28515625" style="14" customWidth="1"/>
    <col min="7687" max="7687" width="8.85546875" style="14" customWidth="1"/>
    <col min="7688" max="7688" width="10.85546875" style="14" customWidth="1"/>
    <col min="7689" max="7689" width="2.85546875" style="14" customWidth="1"/>
    <col min="7690" max="7690" width="12.140625" style="14" customWidth="1"/>
    <col min="7691" max="7691" width="10.140625" style="14" customWidth="1"/>
    <col min="7692" max="7692" width="11.7109375" style="14" customWidth="1"/>
    <col min="7693" max="7693" width="11.42578125" style="14" customWidth="1"/>
    <col min="7694" max="7694" width="12.7109375" style="14" customWidth="1"/>
    <col min="7695" max="7695" width="11.42578125" style="14" customWidth="1"/>
    <col min="7696" max="7696" width="10.7109375" style="14" customWidth="1"/>
    <col min="7697" max="7697" width="10.5703125" style="14" customWidth="1"/>
    <col min="7698" max="7698" width="11.28515625" style="14" customWidth="1"/>
    <col min="7699" max="7699" width="9.7109375" style="14" customWidth="1"/>
    <col min="7700" max="7700" width="12" style="14" customWidth="1"/>
    <col min="7701" max="7701" width="11.28515625" style="14" customWidth="1"/>
    <col min="7702" max="7939" width="9.140625" style="14"/>
    <col min="7940" max="7940" width="5.7109375" style="14" customWidth="1"/>
    <col min="7941" max="7941" width="13.140625" style="14" customWidth="1"/>
    <col min="7942" max="7942" width="12.28515625" style="14" customWidth="1"/>
    <col min="7943" max="7943" width="8.85546875" style="14" customWidth="1"/>
    <col min="7944" max="7944" width="10.85546875" style="14" customWidth="1"/>
    <col min="7945" max="7945" width="2.85546875" style="14" customWidth="1"/>
    <col min="7946" max="7946" width="12.140625" style="14" customWidth="1"/>
    <col min="7947" max="7947" width="10.140625" style="14" customWidth="1"/>
    <col min="7948" max="7948" width="11.7109375" style="14" customWidth="1"/>
    <col min="7949" max="7949" width="11.42578125" style="14" customWidth="1"/>
    <col min="7950" max="7950" width="12.7109375" style="14" customWidth="1"/>
    <col min="7951" max="7951" width="11.42578125" style="14" customWidth="1"/>
    <col min="7952" max="7952" width="10.7109375" style="14" customWidth="1"/>
    <col min="7953" max="7953" width="10.5703125" style="14" customWidth="1"/>
    <col min="7954" max="7954" width="11.28515625" style="14" customWidth="1"/>
    <col min="7955" max="7955" width="9.7109375" style="14" customWidth="1"/>
    <col min="7956" max="7956" width="12" style="14" customWidth="1"/>
    <col min="7957" max="7957" width="11.28515625" style="14" customWidth="1"/>
    <col min="7958" max="8195" width="9.140625" style="14"/>
    <col min="8196" max="8196" width="5.7109375" style="14" customWidth="1"/>
    <col min="8197" max="8197" width="13.140625" style="14" customWidth="1"/>
    <col min="8198" max="8198" width="12.28515625" style="14" customWidth="1"/>
    <col min="8199" max="8199" width="8.85546875" style="14" customWidth="1"/>
    <col min="8200" max="8200" width="10.85546875" style="14" customWidth="1"/>
    <col min="8201" max="8201" width="2.85546875" style="14" customWidth="1"/>
    <col min="8202" max="8202" width="12.140625" style="14" customWidth="1"/>
    <col min="8203" max="8203" width="10.140625" style="14" customWidth="1"/>
    <col min="8204" max="8204" width="11.7109375" style="14" customWidth="1"/>
    <col min="8205" max="8205" width="11.42578125" style="14" customWidth="1"/>
    <col min="8206" max="8206" width="12.7109375" style="14" customWidth="1"/>
    <col min="8207" max="8207" width="11.42578125" style="14" customWidth="1"/>
    <col min="8208" max="8208" width="10.7109375" style="14" customWidth="1"/>
    <col min="8209" max="8209" width="10.5703125" style="14" customWidth="1"/>
    <col min="8210" max="8210" width="11.28515625" style="14" customWidth="1"/>
    <col min="8211" max="8211" width="9.7109375" style="14" customWidth="1"/>
    <col min="8212" max="8212" width="12" style="14" customWidth="1"/>
    <col min="8213" max="8213" width="11.28515625" style="14" customWidth="1"/>
    <col min="8214" max="8451" width="9.140625" style="14"/>
    <col min="8452" max="8452" width="5.7109375" style="14" customWidth="1"/>
    <col min="8453" max="8453" width="13.140625" style="14" customWidth="1"/>
    <col min="8454" max="8454" width="12.28515625" style="14" customWidth="1"/>
    <col min="8455" max="8455" width="8.85546875" style="14" customWidth="1"/>
    <col min="8456" max="8456" width="10.85546875" style="14" customWidth="1"/>
    <col min="8457" max="8457" width="2.85546875" style="14" customWidth="1"/>
    <col min="8458" max="8458" width="12.140625" style="14" customWidth="1"/>
    <col min="8459" max="8459" width="10.140625" style="14" customWidth="1"/>
    <col min="8460" max="8460" width="11.7109375" style="14" customWidth="1"/>
    <col min="8461" max="8461" width="11.42578125" style="14" customWidth="1"/>
    <col min="8462" max="8462" width="12.7109375" style="14" customWidth="1"/>
    <col min="8463" max="8463" width="11.42578125" style="14" customWidth="1"/>
    <col min="8464" max="8464" width="10.7109375" style="14" customWidth="1"/>
    <col min="8465" max="8465" width="10.5703125" style="14" customWidth="1"/>
    <col min="8466" max="8466" width="11.28515625" style="14" customWidth="1"/>
    <col min="8467" max="8467" width="9.7109375" style="14" customWidth="1"/>
    <col min="8468" max="8468" width="12" style="14" customWidth="1"/>
    <col min="8469" max="8469" width="11.28515625" style="14" customWidth="1"/>
    <col min="8470" max="8707" width="9.140625" style="14"/>
    <col min="8708" max="8708" width="5.7109375" style="14" customWidth="1"/>
    <col min="8709" max="8709" width="13.140625" style="14" customWidth="1"/>
    <col min="8710" max="8710" width="12.28515625" style="14" customWidth="1"/>
    <col min="8711" max="8711" width="8.85546875" style="14" customWidth="1"/>
    <col min="8712" max="8712" width="10.85546875" style="14" customWidth="1"/>
    <col min="8713" max="8713" width="2.85546875" style="14" customWidth="1"/>
    <col min="8714" max="8714" width="12.140625" style="14" customWidth="1"/>
    <col min="8715" max="8715" width="10.140625" style="14" customWidth="1"/>
    <col min="8716" max="8716" width="11.7109375" style="14" customWidth="1"/>
    <col min="8717" max="8717" width="11.42578125" style="14" customWidth="1"/>
    <col min="8718" max="8718" width="12.7109375" style="14" customWidth="1"/>
    <col min="8719" max="8719" width="11.42578125" style="14" customWidth="1"/>
    <col min="8720" max="8720" width="10.7109375" style="14" customWidth="1"/>
    <col min="8721" max="8721" width="10.5703125" style="14" customWidth="1"/>
    <col min="8722" max="8722" width="11.28515625" style="14" customWidth="1"/>
    <col min="8723" max="8723" width="9.7109375" style="14" customWidth="1"/>
    <col min="8724" max="8724" width="12" style="14" customWidth="1"/>
    <col min="8725" max="8725" width="11.28515625" style="14" customWidth="1"/>
    <col min="8726" max="8963" width="9.140625" style="14"/>
    <col min="8964" max="8964" width="5.7109375" style="14" customWidth="1"/>
    <col min="8965" max="8965" width="13.140625" style="14" customWidth="1"/>
    <col min="8966" max="8966" width="12.28515625" style="14" customWidth="1"/>
    <col min="8967" max="8967" width="8.85546875" style="14" customWidth="1"/>
    <col min="8968" max="8968" width="10.85546875" style="14" customWidth="1"/>
    <col min="8969" max="8969" width="2.85546875" style="14" customWidth="1"/>
    <col min="8970" max="8970" width="12.140625" style="14" customWidth="1"/>
    <col min="8971" max="8971" width="10.140625" style="14" customWidth="1"/>
    <col min="8972" max="8972" width="11.7109375" style="14" customWidth="1"/>
    <col min="8973" max="8973" width="11.42578125" style="14" customWidth="1"/>
    <col min="8974" max="8974" width="12.7109375" style="14" customWidth="1"/>
    <col min="8975" max="8975" width="11.42578125" style="14" customWidth="1"/>
    <col min="8976" max="8976" width="10.7109375" style="14" customWidth="1"/>
    <col min="8977" max="8977" width="10.5703125" style="14" customWidth="1"/>
    <col min="8978" max="8978" width="11.28515625" style="14" customWidth="1"/>
    <col min="8979" max="8979" width="9.7109375" style="14" customWidth="1"/>
    <col min="8980" max="8980" width="12" style="14" customWidth="1"/>
    <col min="8981" max="8981" width="11.28515625" style="14" customWidth="1"/>
    <col min="8982" max="9219" width="9.140625" style="14"/>
    <col min="9220" max="9220" width="5.7109375" style="14" customWidth="1"/>
    <col min="9221" max="9221" width="13.140625" style="14" customWidth="1"/>
    <col min="9222" max="9222" width="12.28515625" style="14" customWidth="1"/>
    <col min="9223" max="9223" width="8.85546875" style="14" customWidth="1"/>
    <col min="9224" max="9224" width="10.85546875" style="14" customWidth="1"/>
    <col min="9225" max="9225" width="2.85546875" style="14" customWidth="1"/>
    <col min="9226" max="9226" width="12.140625" style="14" customWidth="1"/>
    <col min="9227" max="9227" width="10.140625" style="14" customWidth="1"/>
    <col min="9228" max="9228" width="11.7109375" style="14" customWidth="1"/>
    <col min="9229" max="9229" width="11.42578125" style="14" customWidth="1"/>
    <col min="9230" max="9230" width="12.7109375" style="14" customWidth="1"/>
    <col min="9231" max="9231" width="11.42578125" style="14" customWidth="1"/>
    <col min="9232" max="9232" width="10.7109375" style="14" customWidth="1"/>
    <col min="9233" max="9233" width="10.5703125" style="14" customWidth="1"/>
    <col min="9234" max="9234" width="11.28515625" style="14" customWidth="1"/>
    <col min="9235" max="9235" width="9.7109375" style="14" customWidth="1"/>
    <col min="9236" max="9236" width="12" style="14" customWidth="1"/>
    <col min="9237" max="9237" width="11.28515625" style="14" customWidth="1"/>
    <col min="9238" max="9475" width="9.140625" style="14"/>
    <col min="9476" max="9476" width="5.7109375" style="14" customWidth="1"/>
    <col min="9477" max="9477" width="13.140625" style="14" customWidth="1"/>
    <col min="9478" max="9478" width="12.28515625" style="14" customWidth="1"/>
    <col min="9479" max="9479" width="8.85546875" style="14" customWidth="1"/>
    <col min="9480" max="9480" width="10.85546875" style="14" customWidth="1"/>
    <col min="9481" max="9481" width="2.85546875" style="14" customWidth="1"/>
    <col min="9482" max="9482" width="12.140625" style="14" customWidth="1"/>
    <col min="9483" max="9483" width="10.140625" style="14" customWidth="1"/>
    <col min="9484" max="9484" width="11.7109375" style="14" customWidth="1"/>
    <col min="9485" max="9485" width="11.42578125" style="14" customWidth="1"/>
    <col min="9486" max="9486" width="12.7109375" style="14" customWidth="1"/>
    <col min="9487" max="9487" width="11.42578125" style="14" customWidth="1"/>
    <col min="9488" max="9488" width="10.7109375" style="14" customWidth="1"/>
    <col min="9489" max="9489" width="10.5703125" style="14" customWidth="1"/>
    <col min="9490" max="9490" width="11.28515625" style="14" customWidth="1"/>
    <col min="9491" max="9491" width="9.7109375" style="14" customWidth="1"/>
    <col min="9492" max="9492" width="12" style="14" customWidth="1"/>
    <col min="9493" max="9493" width="11.28515625" style="14" customWidth="1"/>
    <col min="9494" max="9731" width="9.140625" style="14"/>
    <col min="9732" max="9732" width="5.7109375" style="14" customWidth="1"/>
    <col min="9733" max="9733" width="13.140625" style="14" customWidth="1"/>
    <col min="9734" max="9734" width="12.28515625" style="14" customWidth="1"/>
    <col min="9735" max="9735" width="8.85546875" style="14" customWidth="1"/>
    <col min="9736" max="9736" width="10.85546875" style="14" customWidth="1"/>
    <col min="9737" max="9737" width="2.85546875" style="14" customWidth="1"/>
    <col min="9738" max="9738" width="12.140625" style="14" customWidth="1"/>
    <col min="9739" max="9739" width="10.140625" style="14" customWidth="1"/>
    <col min="9740" max="9740" width="11.7109375" style="14" customWidth="1"/>
    <col min="9741" max="9741" width="11.42578125" style="14" customWidth="1"/>
    <col min="9742" max="9742" width="12.7109375" style="14" customWidth="1"/>
    <col min="9743" max="9743" width="11.42578125" style="14" customWidth="1"/>
    <col min="9744" max="9744" width="10.7109375" style="14" customWidth="1"/>
    <col min="9745" max="9745" width="10.5703125" style="14" customWidth="1"/>
    <col min="9746" max="9746" width="11.28515625" style="14" customWidth="1"/>
    <col min="9747" max="9747" width="9.7109375" style="14" customWidth="1"/>
    <col min="9748" max="9748" width="12" style="14" customWidth="1"/>
    <col min="9749" max="9749" width="11.28515625" style="14" customWidth="1"/>
    <col min="9750" max="9987" width="9.140625" style="14"/>
    <col min="9988" max="9988" width="5.7109375" style="14" customWidth="1"/>
    <col min="9989" max="9989" width="13.140625" style="14" customWidth="1"/>
    <col min="9990" max="9990" width="12.28515625" style="14" customWidth="1"/>
    <col min="9991" max="9991" width="8.85546875" style="14" customWidth="1"/>
    <col min="9992" max="9992" width="10.85546875" style="14" customWidth="1"/>
    <col min="9993" max="9993" width="2.85546875" style="14" customWidth="1"/>
    <col min="9994" max="9994" width="12.140625" style="14" customWidth="1"/>
    <col min="9995" max="9995" width="10.140625" style="14" customWidth="1"/>
    <col min="9996" max="9996" width="11.7109375" style="14" customWidth="1"/>
    <col min="9997" max="9997" width="11.42578125" style="14" customWidth="1"/>
    <col min="9998" max="9998" width="12.7109375" style="14" customWidth="1"/>
    <col min="9999" max="9999" width="11.42578125" style="14" customWidth="1"/>
    <col min="10000" max="10000" width="10.7109375" style="14" customWidth="1"/>
    <col min="10001" max="10001" width="10.5703125" style="14" customWidth="1"/>
    <col min="10002" max="10002" width="11.28515625" style="14" customWidth="1"/>
    <col min="10003" max="10003" width="9.7109375" style="14" customWidth="1"/>
    <col min="10004" max="10004" width="12" style="14" customWidth="1"/>
    <col min="10005" max="10005" width="11.28515625" style="14" customWidth="1"/>
    <col min="10006" max="10243" width="9.140625" style="14"/>
    <col min="10244" max="10244" width="5.7109375" style="14" customWidth="1"/>
    <col min="10245" max="10245" width="13.140625" style="14" customWidth="1"/>
    <col min="10246" max="10246" width="12.28515625" style="14" customWidth="1"/>
    <col min="10247" max="10247" width="8.85546875" style="14" customWidth="1"/>
    <col min="10248" max="10248" width="10.85546875" style="14" customWidth="1"/>
    <col min="10249" max="10249" width="2.85546875" style="14" customWidth="1"/>
    <col min="10250" max="10250" width="12.140625" style="14" customWidth="1"/>
    <col min="10251" max="10251" width="10.140625" style="14" customWidth="1"/>
    <col min="10252" max="10252" width="11.7109375" style="14" customWidth="1"/>
    <col min="10253" max="10253" width="11.42578125" style="14" customWidth="1"/>
    <col min="10254" max="10254" width="12.7109375" style="14" customWidth="1"/>
    <col min="10255" max="10255" width="11.42578125" style="14" customWidth="1"/>
    <col min="10256" max="10256" width="10.7109375" style="14" customWidth="1"/>
    <col min="10257" max="10257" width="10.5703125" style="14" customWidth="1"/>
    <col min="10258" max="10258" width="11.28515625" style="14" customWidth="1"/>
    <col min="10259" max="10259" width="9.7109375" style="14" customWidth="1"/>
    <col min="10260" max="10260" width="12" style="14" customWidth="1"/>
    <col min="10261" max="10261" width="11.28515625" style="14" customWidth="1"/>
    <col min="10262" max="10499" width="9.140625" style="14"/>
    <col min="10500" max="10500" width="5.7109375" style="14" customWidth="1"/>
    <col min="10501" max="10501" width="13.140625" style="14" customWidth="1"/>
    <col min="10502" max="10502" width="12.28515625" style="14" customWidth="1"/>
    <col min="10503" max="10503" width="8.85546875" style="14" customWidth="1"/>
    <col min="10504" max="10504" width="10.85546875" style="14" customWidth="1"/>
    <col min="10505" max="10505" width="2.85546875" style="14" customWidth="1"/>
    <col min="10506" max="10506" width="12.140625" style="14" customWidth="1"/>
    <col min="10507" max="10507" width="10.140625" style="14" customWidth="1"/>
    <col min="10508" max="10508" width="11.7109375" style="14" customWidth="1"/>
    <col min="10509" max="10509" width="11.42578125" style="14" customWidth="1"/>
    <col min="10510" max="10510" width="12.7109375" style="14" customWidth="1"/>
    <col min="10511" max="10511" width="11.42578125" style="14" customWidth="1"/>
    <col min="10512" max="10512" width="10.7109375" style="14" customWidth="1"/>
    <col min="10513" max="10513" width="10.5703125" style="14" customWidth="1"/>
    <col min="10514" max="10514" width="11.28515625" style="14" customWidth="1"/>
    <col min="10515" max="10515" width="9.7109375" style="14" customWidth="1"/>
    <col min="10516" max="10516" width="12" style="14" customWidth="1"/>
    <col min="10517" max="10517" width="11.28515625" style="14" customWidth="1"/>
    <col min="10518" max="10755" width="9.140625" style="14"/>
    <col min="10756" max="10756" width="5.7109375" style="14" customWidth="1"/>
    <col min="10757" max="10757" width="13.140625" style="14" customWidth="1"/>
    <col min="10758" max="10758" width="12.28515625" style="14" customWidth="1"/>
    <col min="10759" max="10759" width="8.85546875" style="14" customWidth="1"/>
    <col min="10760" max="10760" width="10.85546875" style="14" customWidth="1"/>
    <col min="10761" max="10761" width="2.85546875" style="14" customWidth="1"/>
    <col min="10762" max="10762" width="12.140625" style="14" customWidth="1"/>
    <col min="10763" max="10763" width="10.140625" style="14" customWidth="1"/>
    <col min="10764" max="10764" width="11.7109375" style="14" customWidth="1"/>
    <col min="10765" max="10765" width="11.42578125" style="14" customWidth="1"/>
    <col min="10766" max="10766" width="12.7109375" style="14" customWidth="1"/>
    <col min="10767" max="10767" width="11.42578125" style="14" customWidth="1"/>
    <col min="10768" max="10768" width="10.7109375" style="14" customWidth="1"/>
    <col min="10769" max="10769" width="10.5703125" style="14" customWidth="1"/>
    <col min="10770" max="10770" width="11.28515625" style="14" customWidth="1"/>
    <col min="10771" max="10771" width="9.7109375" style="14" customWidth="1"/>
    <col min="10772" max="10772" width="12" style="14" customWidth="1"/>
    <col min="10773" max="10773" width="11.28515625" style="14" customWidth="1"/>
    <col min="10774" max="11011" width="9.140625" style="14"/>
    <col min="11012" max="11012" width="5.7109375" style="14" customWidth="1"/>
    <col min="11013" max="11013" width="13.140625" style="14" customWidth="1"/>
    <col min="11014" max="11014" width="12.28515625" style="14" customWidth="1"/>
    <col min="11015" max="11015" width="8.85546875" style="14" customWidth="1"/>
    <col min="11016" max="11016" width="10.85546875" style="14" customWidth="1"/>
    <col min="11017" max="11017" width="2.85546875" style="14" customWidth="1"/>
    <col min="11018" max="11018" width="12.140625" style="14" customWidth="1"/>
    <col min="11019" max="11019" width="10.140625" style="14" customWidth="1"/>
    <col min="11020" max="11020" width="11.7109375" style="14" customWidth="1"/>
    <col min="11021" max="11021" width="11.42578125" style="14" customWidth="1"/>
    <col min="11022" max="11022" width="12.7109375" style="14" customWidth="1"/>
    <col min="11023" max="11023" width="11.42578125" style="14" customWidth="1"/>
    <col min="11024" max="11024" width="10.7109375" style="14" customWidth="1"/>
    <col min="11025" max="11025" width="10.5703125" style="14" customWidth="1"/>
    <col min="11026" max="11026" width="11.28515625" style="14" customWidth="1"/>
    <col min="11027" max="11027" width="9.7109375" style="14" customWidth="1"/>
    <col min="11028" max="11028" width="12" style="14" customWidth="1"/>
    <col min="11029" max="11029" width="11.28515625" style="14" customWidth="1"/>
    <col min="11030" max="11267" width="9.140625" style="14"/>
    <col min="11268" max="11268" width="5.7109375" style="14" customWidth="1"/>
    <col min="11269" max="11269" width="13.140625" style="14" customWidth="1"/>
    <col min="11270" max="11270" width="12.28515625" style="14" customWidth="1"/>
    <col min="11271" max="11271" width="8.85546875" style="14" customWidth="1"/>
    <col min="11272" max="11272" width="10.85546875" style="14" customWidth="1"/>
    <col min="11273" max="11273" width="2.85546875" style="14" customWidth="1"/>
    <col min="11274" max="11274" width="12.140625" style="14" customWidth="1"/>
    <col min="11275" max="11275" width="10.140625" style="14" customWidth="1"/>
    <col min="11276" max="11276" width="11.7109375" style="14" customWidth="1"/>
    <col min="11277" max="11277" width="11.42578125" style="14" customWidth="1"/>
    <col min="11278" max="11278" width="12.7109375" style="14" customWidth="1"/>
    <col min="11279" max="11279" width="11.42578125" style="14" customWidth="1"/>
    <col min="11280" max="11280" width="10.7109375" style="14" customWidth="1"/>
    <col min="11281" max="11281" width="10.5703125" style="14" customWidth="1"/>
    <col min="11282" max="11282" width="11.28515625" style="14" customWidth="1"/>
    <col min="11283" max="11283" width="9.7109375" style="14" customWidth="1"/>
    <col min="11284" max="11284" width="12" style="14" customWidth="1"/>
    <col min="11285" max="11285" width="11.28515625" style="14" customWidth="1"/>
    <col min="11286" max="11523" width="9.140625" style="14"/>
    <col min="11524" max="11524" width="5.7109375" style="14" customWidth="1"/>
    <col min="11525" max="11525" width="13.140625" style="14" customWidth="1"/>
    <col min="11526" max="11526" width="12.28515625" style="14" customWidth="1"/>
    <col min="11527" max="11527" width="8.85546875" style="14" customWidth="1"/>
    <col min="11528" max="11528" width="10.85546875" style="14" customWidth="1"/>
    <col min="11529" max="11529" width="2.85546875" style="14" customWidth="1"/>
    <col min="11530" max="11530" width="12.140625" style="14" customWidth="1"/>
    <col min="11531" max="11531" width="10.140625" style="14" customWidth="1"/>
    <col min="11532" max="11532" width="11.7109375" style="14" customWidth="1"/>
    <col min="11533" max="11533" width="11.42578125" style="14" customWidth="1"/>
    <col min="11534" max="11534" width="12.7109375" style="14" customWidth="1"/>
    <col min="11535" max="11535" width="11.42578125" style="14" customWidth="1"/>
    <col min="11536" max="11536" width="10.7109375" style="14" customWidth="1"/>
    <col min="11537" max="11537" width="10.5703125" style="14" customWidth="1"/>
    <col min="11538" max="11538" width="11.28515625" style="14" customWidth="1"/>
    <col min="11539" max="11539" width="9.7109375" style="14" customWidth="1"/>
    <col min="11540" max="11540" width="12" style="14" customWidth="1"/>
    <col min="11541" max="11541" width="11.28515625" style="14" customWidth="1"/>
    <col min="11542" max="11779" width="9.140625" style="14"/>
    <col min="11780" max="11780" width="5.7109375" style="14" customWidth="1"/>
    <col min="11781" max="11781" width="13.140625" style="14" customWidth="1"/>
    <col min="11782" max="11782" width="12.28515625" style="14" customWidth="1"/>
    <col min="11783" max="11783" width="8.85546875" style="14" customWidth="1"/>
    <col min="11784" max="11784" width="10.85546875" style="14" customWidth="1"/>
    <col min="11785" max="11785" width="2.85546875" style="14" customWidth="1"/>
    <col min="11786" max="11786" width="12.140625" style="14" customWidth="1"/>
    <col min="11787" max="11787" width="10.140625" style="14" customWidth="1"/>
    <col min="11788" max="11788" width="11.7109375" style="14" customWidth="1"/>
    <col min="11789" max="11789" width="11.42578125" style="14" customWidth="1"/>
    <col min="11790" max="11790" width="12.7109375" style="14" customWidth="1"/>
    <col min="11791" max="11791" width="11.42578125" style="14" customWidth="1"/>
    <col min="11792" max="11792" width="10.7109375" style="14" customWidth="1"/>
    <col min="11793" max="11793" width="10.5703125" style="14" customWidth="1"/>
    <col min="11794" max="11794" width="11.28515625" style="14" customWidth="1"/>
    <col min="11795" max="11795" width="9.7109375" style="14" customWidth="1"/>
    <col min="11796" max="11796" width="12" style="14" customWidth="1"/>
    <col min="11797" max="11797" width="11.28515625" style="14" customWidth="1"/>
    <col min="11798" max="12035" width="9.140625" style="14"/>
    <col min="12036" max="12036" width="5.7109375" style="14" customWidth="1"/>
    <col min="12037" max="12037" width="13.140625" style="14" customWidth="1"/>
    <col min="12038" max="12038" width="12.28515625" style="14" customWidth="1"/>
    <col min="12039" max="12039" width="8.85546875" style="14" customWidth="1"/>
    <col min="12040" max="12040" width="10.85546875" style="14" customWidth="1"/>
    <col min="12041" max="12041" width="2.85546875" style="14" customWidth="1"/>
    <col min="12042" max="12042" width="12.140625" style="14" customWidth="1"/>
    <col min="12043" max="12043" width="10.140625" style="14" customWidth="1"/>
    <col min="12044" max="12044" width="11.7109375" style="14" customWidth="1"/>
    <col min="12045" max="12045" width="11.42578125" style="14" customWidth="1"/>
    <col min="12046" max="12046" width="12.7109375" style="14" customWidth="1"/>
    <col min="12047" max="12047" width="11.42578125" style="14" customWidth="1"/>
    <col min="12048" max="12048" width="10.7109375" style="14" customWidth="1"/>
    <col min="12049" max="12049" width="10.5703125" style="14" customWidth="1"/>
    <col min="12050" max="12050" width="11.28515625" style="14" customWidth="1"/>
    <col min="12051" max="12051" width="9.7109375" style="14" customWidth="1"/>
    <col min="12052" max="12052" width="12" style="14" customWidth="1"/>
    <col min="12053" max="12053" width="11.28515625" style="14" customWidth="1"/>
    <col min="12054" max="12291" width="9.140625" style="14"/>
    <col min="12292" max="12292" width="5.7109375" style="14" customWidth="1"/>
    <col min="12293" max="12293" width="13.140625" style="14" customWidth="1"/>
    <col min="12294" max="12294" width="12.28515625" style="14" customWidth="1"/>
    <col min="12295" max="12295" width="8.85546875" style="14" customWidth="1"/>
    <col min="12296" max="12296" width="10.85546875" style="14" customWidth="1"/>
    <col min="12297" max="12297" width="2.85546875" style="14" customWidth="1"/>
    <col min="12298" max="12298" width="12.140625" style="14" customWidth="1"/>
    <col min="12299" max="12299" width="10.140625" style="14" customWidth="1"/>
    <col min="12300" max="12300" width="11.7109375" style="14" customWidth="1"/>
    <col min="12301" max="12301" width="11.42578125" style="14" customWidth="1"/>
    <col min="12302" max="12302" width="12.7109375" style="14" customWidth="1"/>
    <col min="12303" max="12303" width="11.42578125" style="14" customWidth="1"/>
    <col min="12304" max="12304" width="10.7109375" style="14" customWidth="1"/>
    <col min="12305" max="12305" width="10.5703125" style="14" customWidth="1"/>
    <col min="12306" max="12306" width="11.28515625" style="14" customWidth="1"/>
    <col min="12307" max="12307" width="9.7109375" style="14" customWidth="1"/>
    <col min="12308" max="12308" width="12" style="14" customWidth="1"/>
    <col min="12309" max="12309" width="11.28515625" style="14" customWidth="1"/>
    <col min="12310" max="12547" width="9.140625" style="14"/>
    <col min="12548" max="12548" width="5.7109375" style="14" customWidth="1"/>
    <col min="12549" max="12549" width="13.140625" style="14" customWidth="1"/>
    <col min="12550" max="12550" width="12.28515625" style="14" customWidth="1"/>
    <col min="12551" max="12551" width="8.85546875" style="14" customWidth="1"/>
    <col min="12552" max="12552" width="10.85546875" style="14" customWidth="1"/>
    <col min="12553" max="12553" width="2.85546875" style="14" customWidth="1"/>
    <col min="12554" max="12554" width="12.140625" style="14" customWidth="1"/>
    <col min="12555" max="12555" width="10.140625" style="14" customWidth="1"/>
    <col min="12556" max="12556" width="11.7109375" style="14" customWidth="1"/>
    <col min="12557" max="12557" width="11.42578125" style="14" customWidth="1"/>
    <col min="12558" max="12558" width="12.7109375" style="14" customWidth="1"/>
    <col min="12559" max="12559" width="11.42578125" style="14" customWidth="1"/>
    <col min="12560" max="12560" width="10.7109375" style="14" customWidth="1"/>
    <col min="12561" max="12561" width="10.5703125" style="14" customWidth="1"/>
    <col min="12562" max="12562" width="11.28515625" style="14" customWidth="1"/>
    <col min="12563" max="12563" width="9.7109375" style="14" customWidth="1"/>
    <col min="12564" max="12564" width="12" style="14" customWidth="1"/>
    <col min="12565" max="12565" width="11.28515625" style="14" customWidth="1"/>
    <col min="12566" max="12803" width="9.140625" style="14"/>
    <col min="12804" max="12804" width="5.7109375" style="14" customWidth="1"/>
    <col min="12805" max="12805" width="13.140625" style="14" customWidth="1"/>
    <col min="12806" max="12806" width="12.28515625" style="14" customWidth="1"/>
    <col min="12807" max="12807" width="8.85546875" style="14" customWidth="1"/>
    <col min="12808" max="12808" width="10.85546875" style="14" customWidth="1"/>
    <col min="12809" max="12809" width="2.85546875" style="14" customWidth="1"/>
    <col min="12810" max="12810" width="12.140625" style="14" customWidth="1"/>
    <col min="12811" max="12811" width="10.140625" style="14" customWidth="1"/>
    <col min="12812" max="12812" width="11.7109375" style="14" customWidth="1"/>
    <col min="12813" max="12813" width="11.42578125" style="14" customWidth="1"/>
    <col min="12814" max="12814" width="12.7109375" style="14" customWidth="1"/>
    <col min="12815" max="12815" width="11.42578125" style="14" customWidth="1"/>
    <col min="12816" max="12816" width="10.7109375" style="14" customWidth="1"/>
    <col min="12817" max="12817" width="10.5703125" style="14" customWidth="1"/>
    <col min="12818" max="12818" width="11.28515625" style="14" customWidth="1"/>
    <col min="12819" max="12819" width="9.7109375" style="14" customWidth="1"/>
    <col min="12820" max="12820" width="12" style="14" customWidth="1"/>
    <col min="12821" max="12821" width="11.28515625" style="14" customWidth="1"/>
    <col min="12822" max="13059" width="9.140625" style="14"/>
    <col min="13060" max="13060" width="5.7109375" style="14" customWidth="1"/>
    <col min="13061" max="13061" width="13.140625" style="14" customWidth="1"/>
    <col min="13062" max="13062" width="12.28515625" style="14" customWidth="1"/>
    <col min="13063" max="13063" width="8.85546875" style="14" customWidth="1"/>
    <col min="13064" max="13064" width="10.85546875" style="14" customWidth="1"/>
    <col min="13065" max="13065" width="2.85546875" style="14" customWidth="1"/>
    <col min="13066" max="13066" width="12.140625" style="14" customWidth="1"/>
    <col min="13067" max="13067" width="10.140625" style="14" customWidth="1"/>
    <col min="13068" max="13068" width="11.7109375" style="14" customWidth="1"/>
    <col min="13069" max="13069" width="11.42578125" style="14" customWidth="1"/>
    <col min="13070" max="13070" width="12.7109375" style="14" customWidth="1"/>
    <col min="13071" max="13071" width="11.42578125" style="14" customWidth="1"/>
    <col min="13072" max="13072" width="10.7109375" style="14" customWidth="1"/>
    <col min="13073" max="13073" width="10.5703125" style="14" customWidth="1"/>
    <col min="13074" max="13074" width="11.28515625" style="14" customWidth="1"/>
    <col min="13075" max="13075" width="9.7109375" style="14" customWidth="1"/>
    <col min="13076" max="13076" width="12" style="14" customWidth="1"/>
    <col min="13077" max="13077" width="11.28515625" style="14" customWidth="1"/>
    <col min="13078" max="13315" width="9.140625" style="14"/>
    <col min="13316" max="13316" width="5.7109375" style="14" customWidth="1"/>
    <col min="13317" max="13317" width="13.140625" style="14" customWidth="1"/>
    <col min="13318" max="13318" width="12.28515625" style="14" customWidth="1"/>
    <col min="13319" max="13319" width="8.85546875" style="14" customWidth="1"/>
    <col min="13320" max="13320" width="10.85546875" style="14" customWidth="1"/>
    <col min="13321" max="13321" width="2.85546875" style="14" customWidth="1"/>
    <col min="13322" max="13322" width="12.140625" style="14" customWidth="1"/>
    <col min="13323" max="13323" width="10.140625" style="14" customWidth="1"/>
    <col min="13324" max="13324" width="11.7109375" style="14" customWidth="1"/>
    <col min="13325" max="13325" width="11.42578125" style="14" customWidth="1"/>
    <col min="13326" max="13326" width="12.7109375" style="14" customWidth="1"/>
    <col min="13327" max="13327" width="11.42578125" style="14" customWidth="1"/>
    <col min="13328" max="13328" width="10.7109375" style="14" customWidth="1"/>
    <col min="13329" max="13329" width="10.5703125" style="14" customWidth="1"/>
    <col min="13330" max="13330" width="11.28515625" style="14" customWidth="1"/>
    <col min="13331" max="13331" width="9.7109375" style="14" customWidth="1"/>
    <col min="13332" max="13332" width="12" style="14" customWidth="1"/>
    <col min="13333" max="13333" width="11.28515625" style="14" customWidth="1"/>
    <col min="13334" max="13571" width="9.140625" style="14"/>
    <col min="13572" max="13572" width="5.7109375" style="14" customWidth="1"/>
    <col min="13573" max="13573" width="13.140625" style="14" customWidth="1"/>
    <col min="13574" max="13574" width="12.28515625" style="14" customWidth="1"/>
    <col min="13575" max="13575" width="8.85546875" style="14" customWidth="1"/>
    <col min="13576" max="13576" width="10.85546875" style="14" customWidth="1"/>
    <col min="13577" max="13577" width="2.85546875" style="14" customWidth="1"/>
    <col min="13578" max="13578" width="12.140625" style="14" customWidth="1"/>
    <col min="13579" max="13579" width="10.140625" style="14" customWidth="1"/>
    <col min="13580" max="13580" width="11.7109375" style="14" customWidth="1"/>
    <col min="13581" max="13581" width="11.42578125" style="14" customWidth="1"/>
    <col min="13582" max="13582" width="12.7109375" style="14" customWidth="1"/>
    <col min="13583" max="13583" width="11.42578125" style="14" customWidth="1"/>
    <col min="13584" max="13584" width="10.7109375" style="14" customWidth="1"/>
    <col min="13585" max="13585" width="10.5703125" style="14" customWidth="1"/>
    <col min="13586" max="13586" width="11.28515625" style="14" customWidth="1"/>
    <col min="13587" max="13587" width="9.7109375" style="14" customWidth="1"/>
    <col min="13588" max="13588" width="12" style="14" customWidth="1"/>
    <col min="13589" max="13589" width="11.28515625" style="14" customWidth="1"/>
    <col min="13590" max="13827" width="9.140625" style="14"/>
    <col min="13828" max="13828" width="5.7109375" style="14" customWidth="1"/>
    <col min="13829" max="13829" width="13.140625" style="14" customWidth="1"/>
    <col min="13830" max="13830" width="12.28515625" style="14" customWidth="1"/>
    <col min="13831" max="13831" width="8.85546875" style="14" customWidth="1"/>
    <col min="13832" max="13832" width="10.85546875" style="14" customWidth="1"/>
    <col min="13833" max="13833" width="2.85546875" style="14" customWidth="1"/>
    <col min="13834" max="13834" width="12.140625" style="14" customWidth="1"/>
    <col min="13835" max="13835" width="10.140625" style="14" customWidth="1"/>
    <col min="13836" max="13836" width="11.7109375" style="14" customWidth="1"/>
    <col min="13837" max="13837" width="11.42578125" style="14" customWidth="1"/>
    <col min="13838" max="13838" width="12.7109375" style="14" customWidth="1"/>
    <col min="13839" max="13839" width="11.42578125" style="14" customWidth="1"/>
    <col min="13840" max="13840" width="10.7109375" style="14" customWidth="1"/>
    <col min="13841" max="13841" width="10.5703125" style="14" customWidth="1"/>
    <col min="13842" max="13842" width="11.28515625" style="14" customWidth="1"/>
    <col min="13843" max="13843" width="9.7109375" style="14" customWidth="1"/>
    <col min="13844" max="13844" width="12" style="14" customWidth="1"/>
    <col min="13845" max="13845" width="11.28515625" style="14" customWidth="1"/>
    <col min="13846" max="14083" width="9.140625" style="14"/>
    <col min="14084" max="14084" width="5.7109375" style="14" customWidth="1"/>
    <col min="14085" max="14085" width="13.140625" style="14" customWidth="1"/>
    <col min="14086" max="14086" width="12.28515625" style="14" customWidth="1"/>
    <col min="14087" max="14087" width="8.85546875" style="14" customWidth="1"/>
    <col min="14088" max="14088" width="10.85546875" style="14" customWidth="1"/>
    <col min="14089" max="14089" width="2.85546875" style="14" customWidth="1"/>
    <col min="14090" max="14090" width="12.140625" style="14" customWidth="1"/>
    <col min="14091" max="14091" width="10.140625" style="14" customWidth="1"/>
    <col min="14092" max="14092" width="11.7109375" style="14" customWidth="1"/>
    <col min="14093" max="14093" width="11.42578125" style="14" customWidth="1"/>
    <col min="14094" max="14094" width="12.7109375" style="14" customWidth="1"/>
    <col min="14095" max="14095" width="11.42578125" style="14" customWidth="1"/>
    <col min="14096" max="14096" width="10.7109375" style="14" customWidth="1"/>
    <col min="14097" max="14097" width="10.5703125" style="14" customWidth="1"/>
    <col min="14098" max="14098" width="11.28515625" style="14" customWidth="1"/>
    <col min="14099" max="14099" width="9.7109375" style="14" customWidth="1"/>
    <col min="14100" max="14100" width="12" style="14" customWidth="1"/>
    <col min="14101" max="14101" width="11.28515625" style="14" customWidth="1"/>
    <col min="14102" max="14339" width="9.140625" style="14"/>
    <col min="14340" max="14340" width="5.7109375" style="14" customWidth="1"/>
    <col min="14341" max="14341" width="13.140625" style="14" customWidth="1"/>
    <col min="14342" max="14342" width="12.28515625" style="14" customWidth="1"/>
    <col min="14343" max="14343" width="8.85546875" style="14" customWidth="1"/>
    <col min="14344" max="14344" width="10.85546875" style="14" customWidth="1"/>
    <col min="14345" max="14345" width="2.85546875" style="14" customWidth="1"/>
    <col min="14346" max="14346" width="12.140625" style="14" customWidth="1"/>
    <col min="14347" max="14347" width="10.140625" style="14" customWidth="1"/>
    <col min="14348" max="14348" width="11.7109375" style="14" customWidth="1"/>
    <col min="14349" max="14349" width="11.42578125" style="14" customWidth="1"/>
    <col min="14350" max="14350" width="12.7109375" style="14" customWidth="1"/>
    <col min="14351" max="14351" width="11.42578125" style="14" customWidth="1"/>
    <col min="14352" max="14352" width="10.7109375" style="14" customWidth="1"/>
    <col min="14353" max="14353" width="10.5703125" style="14" customWidth="1"/>
    <col min="14354" max="14354" width="11.28515625" style="14" customWidth="1"/>
    <col min="14355" max="14355" width="9.7109375" style="14" customWidth="1"/>
    <col min="14356" max="14356" width="12" style="14" customWidth="1"/>
    <col min="14357" max="14357" width="11.28515625" style="14" customWidth="1"/>
    <col min="14358" max="14595" width="9.140625" style="14"/>
    <col min="14596" max="14596" width="5.7109375" style="14" customWidth="1"/>
    <col min="14597" max="14597" width="13.140625" style="14" customWidth="1"/>
    <col min="14598" max="14598" width="12.28515625" style="14" customWidth="1"/>
    <col min="14599" max="14599" width="8.85546875" style="14" customWidth="1"/>
    <col min="14600" max="14600" width="10.85546875" style="14" customWidth="1"/>
    <col min="14601" max="14601" width="2.85546875" style="14" customWidth="1"/>
    <col min="14602" max="14602" width="12.140625" style="14" customWidth="1"/>
    <col min="14603" max="14603" width="10.140625" style="14" customWidth="1"/>
    <col min="14604" max="14604" width="11.7109375" style="14" customWidth="1"/>
    <col min="14605" max="14605" width="11.42578125" style="14" customWidth="1"/>
    <col min="14606" max="14606" width="12.7109375" style="14" customWidth="1"/>
    <col min="14607" max="14607" width="11.42578125" style="14" customWidth="1"/>
    <col min="14608" max="14608" width="10.7109375" style="14" customWidth="1"/>
    <col min="14609" max="14609" width="10.5703125" style="14" customWidth="1"/>
    <col min="14610" max="14610" width="11.28515625" style="14" customWidth="1"/>
    <col min="14611" max="14611" width="9.7109375" style="14" customWidth="1"/>
    <col min="14612" max="14612" width="12" style="14" customWidth="1"/>
    <col min="14613" max="14613" width="11.28515625" style="14" customWidth="1"/>
    <col min="14614" max="14851" width="9.140625" style="14"/>
    <col min="14852" max="14852" width="5.7109375" style="14" customWidth="1"/>
    <col min="14853" max="14853" width="13.140625" style="14" customWidth="1"/>
    <col min="14854" max="14854" width="12.28515625" style="14" customWidth="1"/>
    <col min="14855" max="14855" width="8.85546875" style="14" customWidth="1"/>
    <col min="14856" max="14856" width="10.85546875" style="14" customWidth="1"/>
    <col min="14857" max="14857" width="2.85546875" style="14" customWidth="1"/>
    <col min="14858" max="14858" width="12.140625" style="14" customWidth="1"/>
    <col min="14859" max="14859" width="10.140625" style="14" customWidth="1"/>
    <col min="14860" max="14860" width="11.7109375" style="14" customWidth="1"/>
    <col min="14861" max="14861" width="11.42578125" style="14" customWidth="1"/>
    <col min="14862" max="14862" width="12.7109375" style="14" customWidth="1"/>
    <col min="14863" max="14863" width="11.42578125" style="14" customWidth="1"/>
    <col min="14864" max="14864" width="10.7109375" style="14" customWidth="1"/>
    <col min="14865" max="14865" width="10.5703125" style="14" customWidth="1"/>
    <col min="14866" max="14866" width="11.28515625" style="14" customWidth="1"/>
    <col min="14867" max="14867" width="9.7109375" style="14" customWidth="1"/>
    <col min="14868" max="14868" width="12" style="14" customWidth="1"/>
    <col min="14869" max="14869" width="11.28515625" style="14" customWidth="1"/>
    <col min="14870" max="15107" width="9.140625" style="14"/>
    <col min="15108" max="15108" width="5.7109375" style="14" customWidth="1"/>
    <col min="15109" max="15109" width="13.140625" style="14" customWidth="1"/>
    <col min="15110" max="15110" width="12.28515625" style="14" customWidth="1"/>
    <col min="15111" max="15111" width="8.85546875" style="14" customWidth="1"/>
    <col min="15112" max="15112" width="10.85546875" style="14" customWidth="1"/>
    <col min="15113" max="15113" width="2.85546875" style="14" customWidth="1"/>
    <col min="15114" max="15114" width="12.140625" style="14" customWidth="1"/>
    <col min="15115" max="15115" width="10.140625" style="14" customWidth="1"/>
    <col min="15116" max="15116" width="11.7109375" style="14" customWidth="1"/>
    <col min="15117" max="15117" width="11.42578125" style="14" customWidth="1"/>
    <col min="15118" max="15118" width="12.7109375" style="14" customWidth="1"/>
    <col min="15119" max="15119" width="11.42578125" style="14" customWidth="1"/>
    <col min="15120" max="15120" width="10.7109375" style="14" customWidth="1"/>
    <col min="15121" max="15121" width="10.5703125" style="14" customWidth="1"/>
    <col min="15122" max="15122" width="11.28515625" style="14" customWidth="1"/>
    <col min="15123" max="15123" width="9.7109375" style="14" customWidth="1"/>
    <col min="15124" max="15124" width="12" style="14" customWidth="1"/>
    <col min="15125" max="15125" width="11.28515625" style="14" customWidth="1"/>
    <col min="15126" max="15363" width="9.140625" style="14"/>
    <col min="15364" max="15364" width="5.7109375" style="14" customWidth="1"/>
    <col min="15365" max="15365" width="13.140625" style="14" customWidth="1"/>
    <col min="15366" max="15366" width="12.28515625" style="14" customWidth="1"/>
    <col min="15367" max="15367" width="8.85546875" style="14" customWidth="1"/>
    <col min="15368" max="15368" width="10.85546875" style="14" customWidth="1"/>
    <col min="15369" max="15369" width="2.85546875" style="14" customWidth="1"/>
    <col min="15370" max="15370" width="12.140625" style="14" customWidth="1"/>
    <col min="15371" max="15371" width="10.140625" style="14" customWidth="1"/>
    <col min="15372" max="15372" width="11.7109375" style="14" customWidth="1"/>
    <col min="15373" max="15373" width="11.42578125" style="14" customWidth="1"/>
    <col min="15374" max="15374" width="12.7109375" style="14" customWidth="1"/>
    <col min="15375" max="15375" width="11.42578125" style="14" customWidth="1"/>
    <col min="15376" max="15376" width="10.7109375" style="14" customWidth="1"/>
    <col min="15377" max="15377" width="10.5703125" style="14" customWidth="1"/>
    <col min="15378" max="15378" width="11.28515625" style="14" customWidth="1"/>
    <col min="15379" max="15379" width="9.7109375" style="14" customWidth="1"/>
    <col min="15380" max="15380" width="12" style="14" customWidth="1"/>
    <col min="15381" max="15381" width="11.28515625" style="14" customWidth="1"/>
    <col min="15382" max="15619" width="9.140625" style="14"/>
    <col min="15620" max="15620" width="5.7109375" style="14" customWidth="1"/>
    <col min="15621" max="15621" width="13.140625" style="14" customWidth="1"/>
    <col min="15622" max="15622" width="12.28515625" style="14" customWidth="1"/>
    <col min="15623" max="15623" width="8.85546875" style="14" customWidth="1"/>
    <col min="15624" max="15624" width="10.85546875" style="14" customWidth="1"/>
    <col min="15625" max="15625" width="2.85546875" style="14" customWidth="1"/>
    <col min="15626" max="15626" width="12.140625" style="14" customWidth="1"/>
    <col min="15627" max="15627" width="10.140625" style="14" customWidth="1"/>
    <col min="15628" max="15628" width="11.7109375" style="14" customWidth="1"/>
    <col min="15629" max="15629" width="11.42578125" style="14" customWidth="1"/>
    <col min="15630" max="15630" width="12.7109375" style="14" customWidth="1"/>
    <col min="15631" max="15631" width="11.42578125" style="14" customWidth="1"/>
    <col min="15632" max="15632" width="10.7109375" style="14" customWidth="1"/>
    <col min="15633" max="15633" width="10.5703125" style="14" customWidth="1"/>
    <col min="15634" max="15634" width="11.28515625" style="14" customWidth="1"/>
    <col min="15635" max="15635" width="9.7109375" style="14" customWidth="1"/>
    <col min="15636" max="15636" width="12" style="14" customWidth="1"/>
    <col min="15637" max="15637" width="11.28515625" style="14" customWidth="1"/>
    <col min="15638" max="15875" width="9.140625" style="14"/>
    <col min="15876" max="15876" width="5.7109375" style="14" customWidth="1"/>
    <col min="15877" max="15877" width="13.140625" style="14" customWidth="1"/>
    <col min="15878" max="15878" width="12.28515625" style="14" customWidth="1"/>
    <col min="15879" max="15879" width="8.85546875" style="14" customWidth="1"/>
    <col min="15880" max="15880" width="10.85546875" style="14" customWidth="1"/>
    <col min="15881" max="15881" width="2.85546875" style="14" customWidth="1"/>
    <col min="15882" max="15882" width="12.140625" style="14" customWidth="1"/>
    <col min="15883" max="15883" width="10.140625" style="14" customWidth="1"/>
    <col min="15884" max="15884" width="11.7109375" style="14" customWidth="1"/>
    <col min="15885" max="15885" width="11.42578125" style="14" customWidth="1"/>
    <col min="15886" max="15886" width="12.7109375" style="14" customWidth="1"/>
    <col min="15887" max="15887" width="11.42578125" style="14" customWidth="1"/>
    <col min="15888" max="15888" width="10.7109375" style="14" customWidth="1"/>
    <col min="15889" max="15889" width="10.5703125" style="14" customWidth="1"/>
    <col min="15890" max="15890" width="11.28515625" style="14" customWidth="1"/>
    <col min="15891" max="15891" width="9.7109375" style="14" customWidth="1"/>
    <col min="15892" max="15892" width="12" style="14" customWidth="1"/>
    <col min="15893" max="15893" width="11.28515625" style="14" customWidth="1"/>
    <col min="15894" max="16131" width="9.140625" style="14"/>
    <col min="16132" max="16132" width="5.7109375" style="14" customWidth="1"/>
    <col min="16133" max="16133" width="13.140625" style="14" customWidth="1"/>
    <col min="16134" max="16134" width="12.28515625" style="14" customWidth="1"/>
    <col min="16135" max="16135" width="8.85546875" style="14" customWidth="1"/>
    <col min="16136" max="16136" width="10.85546875" style="14" customWidth="1"/>
    <col min="16137" max="16137" width="2.85546875" style="14" customWidth="1"/>
    <col min="16138" max="16138" width="12.140625" style="14" customWidth="1"/>
    <col min="16139" max="16139" width="10.140625" style="14" customWidth="1"/>
    <col min="16140" max="16140" width="11.7109375" style="14" customWidth="1"/>
    <col min="16141" max="16141" width="11.42578125" style="14" customWidth="1"/>
    <col min="16142" max="16142" width="12.7109375" style="14" customWidth="1"/>
    <col min="16143" max="16143" width="11.42578125" style="14" customWidth="1"/>
    <col min="16144" max="16144" width="10.7109375" style="14" customWidth="1"/>
    <col min="16145" max="16145" width="10.5703125" style="14" customWidth="1"/>
    <col min="16146" max="16146" width="11.28515625" style="14" customWidth="1"/>
    <col min="16147" max="16147" width="9.7109375" style="14" customWidth="1"/>
    <col min="16148" max="16148" width="12" style="14" customWidth="1"/>
    <col min="16149" max="16149" width="11.28515625" style="14" customWidth="1"/>
    <col min="16150" max="16384" width="9.140625" style="14"/>
  </cols>
  <sheetData>
    <row r="1" spans="4:19" ht="12.75" thickBot="1" x14ac:dyDescent="0.25"/>
    <row r="2" spans="4:19" ht="12" customHeight="1" thickBot="1" x14ac:dyDescent="0.25">
      <c r="Q2" s="633" t="s">
        <v>0</v>
      </c>
      <c r="R2" s="634"/>
      <c r="S2" s="635"/>
    </row>
    <row r="3" spans="4:19" ht="13.5" thickBot="1" x14ac:dyDescent="0.25">
      <c r="I3" s="636" t="s">
        <v>1</v>
      </c>
      <c r="J3" s="637"/>
      <c r="K3" s="637"/>
      <c r="L3" s="637"/>
      <c r="M3" s="637"/>
      <c r="N3" s="637"/>
      <c r="O3" s="638"/>
      <c r="Q3" s="611">
        <f>'AGUILAR ESQUIVEL CARLOS'!Q3</f>
        <v>45</v>
      </c>
      <c r="R3" s="639"/>
      <c r="S3" s="612"/>
    </row>
    <row r="4" spans="4:19" ht="13.5" thickBot="1" x14ac:dyDescent="0.25">
      <c r="I4" s="640" t="s">
        <v>2</v>
      </c>
      <c r="J4" s="641"/>
      <c r="K4" s="641"/>
      <c r="L4" s="641"/>
      <c r="M4" s="641"/>
      <c r="N4" s="641"/>
      <c r="O4" s="642"/>
      <c r="Q4" s="18"/>
      <c r="R4" s="18"/>
      <c r="S4" s="18"/>
    </row>
    <row r="5" spans="4:19" ht="13.5" thickBot="1" x14ac:dyDescent="0.25">
      <c r="I5" s="643" t="s">
        <v>3</v>
      </c>
      <c r="J5" s="644"/>
      <c r="K5" s="644"/>
      <c r="L5" s="644"/>
      <c r="M5" s="644"/>
      <c r="N5" s="644"/>
      <c r="O5" s="645"/>
      <c r="Q5" s="611" t="s">
        <v>4</v>
      </c>
      <c r="R5" s="639"/>
      <c r="S5" s="612"/>
    </row>
    <row r="6" spans="4:19" ht="13.5" thickBot="1" x14ac:dyDescent="0.25">
      <c r="I6" s="650" t="s">
        <v>5</v>
      </c>
      <c r="J6" s="651"/>
      <c r="K6" s="651"/>
      <c r="L6" s="651"/>
      <c r="M6" s="651"/>
      <c r="N6" s="651"/>
      <c r="O6" s="652"/>
      <c r="Q6" s="653">
        <f>+'MARTINEZ RAMIREZ ROSALIO'!Q6+1</f>
        <v>115</v>
      </c>
      <c r="R6" s="654"/>
      <c r="S6" s="655"/>
    </row>
    <row r="7" spans="4:19" ht="9" customHeight="1" x14ac:dyDescent="0.2"/>
    <row r="8" spans="4:19" ht="6.75" customHeight="1" thickBot="1" x14ac:dyDescent="0.25"/>
    <row r="9" spans="4:19" ht="13.5" thickBot="1" x14ac:dyDescent="0.25">
      <c r="I9" s="611" t="s">
        <v>6</v>
      </c>
      <c r="J9" s="639"/>
      <c r="K9" s="639"/>
      <c r="L9" s="639"/>
      <c r="M9" s="639"/>
      <c r="N9" s="639"/>
      <c r="O9" s="612"/>
    </row>
    <row r="10" spans="4:19" ht="11.25" customHeight="1" thickBot="1" x14ac:dyDescent="0.25"/>
    <row r="11" spans="4:19" ht="12.75" x14ac:dyDescent="0.2">
      <c r="D11" s="1" t="s">
        <v>7</v>
      </c>
      <c r="E11" s="2" t="s">
        <v>54</v>
      </c>
      <c r="F11" s="2"/>
      <c r="G11" s="2"/>
      <c r="H11" s="2"/>
      <c r="I11" s="2"/>
      <c r="J11" s="2"/>
      <c r="K11" s="3" t="s">
        <v>8</v>
      </c>
      <c r="L11" s="656" t="str">
        <f>'REYES LARA DANTE'!L11</f>
        <v>SEMANA #45 PERIODO DEL 27 de oct AL 02 de nov DEL 2025</v>
      </c>
      <c r="M11" s="656"/>
      <c r="N11" s="656"/>
      <c r="O11" s="656"/>
      <c r="P11" s="656"/>
      <c r="Q11" s="656"/>
      <c r="R11" s="656"/>
      <c r="S11" s="659"/>
    </row>
    <row r="12" spans="4:19" ht="12.75" x14ac:dyDescent="0.2">
      <c r="D12" s="4" t="s">
        <v>9</v>
      </c>
      <c r="E12" s="624" t="s">
        <v>156</v>
      </c>
      <c r="F12" s="624"/>
      <c r="G12" s="5"/>
      <c r="H12" s="130"/>
      <c r="I12" s="130"/>
      <c r="J12" s="130"/>
      <c r="K12" s="130"/>
      <c r="L12" s="130"/>
      <c r="M12" s="130"/>
      <c r="N12" s="130"/>
      <c r="O12" s="130"/>
      <c r="P12" s="130"/>
      <c r="Q12" s="130"/>
      <c r="R12" s="130"/>
      <c r="S12" s="256"/>
    </row>
    <row r="13" spans="4:19" ht="9.75" customHeight="1" x14ac:dyDescent="0.2">
      <c r="D13" s="623"/>
      <c r="E13" s="624"/>
      <c r="F13" s="130"/>
      <c r="G13" s="130"/>
      <c r="H13" s="130"/>
      <c r="I13" s="130"/>
      <c r="J13" s="130"/>
      <c r="K13" s="130"/>
      <c r="L13" s="130"/>
      <c r="M13" s="130"/>
      <c r="N13" s="130"/>
      <c r="O13" s="130"/>
      <c r="P13" s="130"/>
      <c r="Q13" s="130"/>
      <c r="R13" s="130"/>
      <c r="S13" s="256"/>
    </row>
    <row r="14" spans="4:19" ht="12.75" x14ac:dyDescent="0.2">
      <c r="D14" s="625" t="s">
        <v>10</v>
      </c>
      <c r="E14" s="626"/>
      <c r="F14" s="130">
        <v>225076</v>
      </c>
      <c r="G14" s="130"/>
      <c r="H14" s="130"/>
      <c r="I14" s="6" t="s">
        <v>11</v>
      </c>
      <c r="J14" s="6"/>
      <c r="K14" s="130"/>
      <c r="L14" s="130"/>
      <c r="M14" s="130"/>
      <c r="N14" s="130"/>
      <c r="O14" s="6" t="s">
        <v>12</v>
      </c>
      <c r="P14" s="7"/>
      <c r="Q14" s="7"/>
      <c r="R14" s="7"/>
      <c r="S14" s="8"/>
    </row>
    <row r="15" spans="4:19" ht="12.75" x14ac:dyDescent="0.2">
      <c r="D15" s="625" t="s">
        <v>13</v>
      </c>
      <c r="E15" s="626"/>
      <c r="F15" s="130">
        <v>225835</v>
      </c>
      <c r="G15" s="130"/>
      <c r="H15" s="130"/>
      <c r="I15" s="6" t="s">
        <v>14</v>
      </c>
      <c r="J15" s="6"/>
      <c r="K15" s="130"/>
      <c r="L15" s="130"/>
      <c r="M15" s="130"/>
      <c r="N15" s="130"/>
      <c r="O15" s="6" t="s">
        <v>15</v>
      </c>
      <c r="P15" s="130"/>
      <c r="Q15" s="130"/>
      <c r="R15" s="130"/>
      <c r="S15" s="256"/>
    </row>
    <row r="16" spans="4:19" ht="13.5" thickBot="1" x14ac:dyDescent="0.25">
      <c r="D16" s="627" t="s">
        <v>16</v>
      </c>
      <c r="E16" s="628"/>
      <c r="F16" s="257">
        <f>SUM(J19:J30)</f>
        <v>1580</v>
      </c>
      <c r="G16" s="257"/>
      <c r="H16" s="257"/>
      <c r="I16" s="9" t="s">
        <v>17</v>
      </c>
      <c r="J16" s="257">
        <f>SUM(K19:K30)</f>
        <v>442.03</v>
      </c>
      <c r="K16" s="257"/>
      <c r="L16" s="257"/>
      <c r="M16" s="257"/>
      <c r="N16" s="257"/>
      <c r="O16" s="9" t="s">
        <v>18</v>
      </c>
      <c r="P16" s="10">
        <f>+F16/J16</f>
        <v>3.5744180259258425</v>
      </c>
      <c r="Q16" s="257"/>
      <c r="R16" s="257"/>
      <c r="S16" s="258"/>
    </row>
    <row r="17" spans="2:23" ht="7.5" customHeight="1" thickBot="1" x14ac:dyDescent="0.25"/>
    <row r="18" spans="2:23" ht="33" customHeight="1" thickBot="1" x14ac:dyDescent="0.25">
      <c r="C18" s="243" t="s">
        <v>19</v>
      </c>
      <c r="D18" s="33" t="s">
        <v>20</v>
      </c>
      <c r="E18" s="34" t="s">
        <v>21</v>
      </c>
      <c r="F18" s="34" t="s">
        <v>22</v>
      </c>
      <c r="G18" s="34" t="s">
        <v>23</v>
      </c>
      <c r="H18" s="34" t="s">
        <v>24</v>
      </c>
      <c r="I18" s="34" t="s">
        <v>25</v>
      </c>
      <c r="J18" s="34" t="s">
        <v>26</v>
      </c>
      <c r="K18" s="34" t="s">
        <v>27</v>
      </c>
      <c r="L18" s="34" t="s">
        <v>28</v>
      </c>
      <c r="M18" s="34" t="s">
        <v>285</v>
      </c>
      <c r="N18" s="34" t="s">
        <v>29</v>
      </c>
      <c r="O18" s="34" t="s">
        <v>30</v>
      </c>
      <c r="P18" s="33" t="s">
        <v>31</v>
      </c>
      <c r="Q18" s="34" t="s">
        <v>219</v>
      </c>
      <c r="R18" s="34" t="s">
        <v>184</v>
      </c>
      <c r="S18" s="34" t="s">
        <v>33</v>
      </c>
      <c r="T18" s="454" t="s">
        <v>220</v>
      </c>
      <c r="U18" s="448" t="s">
        <v>351</v>
      </c>
      <c r="V18" s="305" t="s">
        <v>355</v>
      </c>
    </row>
    <row r="19" spans="2:23" x14ac:dyDescent="0.2">
      <c r="B19" s="14" t="s">
        <v>416</v>
      </c>
      <c r="C19" s="176">
        <v>46162</v>
      </c>
      <c r="D19" s="43" t="s">
        <v>435</v>
      </c>
      <c r="E19" s="42">
        <v>45961</v>
      </c>
      <c r="F19" s="42">
        <v>45962</v>
      </c>
      <c r="G19" s="43">
        <v>4</v>
      </c>
      <c r="H19" s="236" t="str">
        <f>IF(G19=1,KILOMETRAJE!C$4,IF(G19=2,KILOMETRAJE!C$5,IF(G19=3,KILOMETRAJE!C$6,IF(G19=4,KILOMETRAJE!C$7,IF(G19=5,KILOMETRAJE!C$8,IF(G19=6,KILOMETRAJE!C$9,IF(G19=7,KILOMETRAJE!C$10,IF(G19=8,KILOMETRAJE!C$11,IF(G19=9,KILOMETRAJE!C$12,IF(G19=10,KILOMETRAJE!C$13,IF(G19=11,KILOMETRAJE!C$14,IF(G19=12,KILOMETRAJE!C$15,IF(G19=13,KILOMETRAJE!C$16,IF(G19=14,KILOMETRAJE!C$17,IF(G19=15,KILOMETRAJE!C$18,IF(G19=16,KILOMETRAJE!C$19,IF(G19=17,KILOMETRAJE!C$20,IF(G19=18,KILOMETRAJE!C$21,IF(G19=19,KILOMETRAJE!C$22,IF(G19=20,KILOMETRAJE!C$23,IF(G19=21,KILOMETRAJE!C$24,IF(G19=22,KILOMETRAJE!C$25,IF(G19=23,KILOMETRAJE!C$26,IF(G19=24,KILOMETRAJE!C$27,IF(G19=25,KILOMETRAJE!C$28,IF(G19=26,KILOMETRAJE!C$29,IF(G19=27,KILOMETRAJE!C$30,IF(G19=28,KILOMETRAJE!C$31,IF(G19=29,KILOMETRAJE!C$32,IF(G19=30,KILOMETRAJE!C$33,IF(G19=31,KILOMETRAJE!C$34,IF(G19=32,KILOMETRAJE!C$35,IF(G19=33,KILOMETRAJE!C$36,IF(G19=34,KILOMETRAJE!C$37,IF(G19=35,KILOMETRAJE!C$38,IF(G19=36,KILOMETRAJE!C$39,IF(G19=37,KILOMETRAJE!C$40,IF(G19=38,KILOMETRAJE!C$41,IF(G19=39,KILOMETRAJE!C$42,IF(G19=40,KILOMETRAJE!C$43,IF(G19=41,KILOMETRAJE!C$44,IF(G19=42,KILOMETRAJE!C$45,IF(G19=43,KILOMETRAJE!C$46,IF(G19=44,KILOMETRAJE!C$47,IF(G19=45,KILOMETRAJE!C$48,IF(G19=46,KILOMETRAJE!C$49,IF(G19=47,KILOMETRAJE!C$50,IF(G19=48,KILOMETRAJE!C$51,IF(G19=49,KILOMETRAJE!C$52,IF(G19=50,KILOMETRAJE!C$53,IF(G19=51,KILOMETRAJE!C$54,IF(G19=52,KILOMETRAJE!C$55,IF(G19=53,KILOMETRAJE!C$56,IF(G19=54,KILOMETRAJE!C$57,IF(G19=55,KILOMETRAJE!C$58,IF(G19=56,KILOMETRAJE!C$59,IF(G19=57,KILOMETRAJE!C$60,IF(G19=58,KILOMETRAJE!C$61,IF(G19=59,KILOMETRAJE!C$62,IF(G19=60,KILOMETRAJE!C$63,IF(G19=61,KILOMETRAJE!C$64,IF(G19=62,KILOMETRAJE!C$65,IF(G19=63,KILOMETRAJE!C$66)))))))))))))))))))))))))))))))))))))))))))))))))))))))))))))))</f>
        <v xml:space="preserve">ELP. </v>
      </c>
      <c r="I19" s="236" t="str">
        <f>IF(G19=1,KILOMETRAJE!E$4,IF(G19=2,KILOMETRAJE!E$5,IF(G19=3,KILOMETRAJE!E$6,IF(G19=4,KILOMETRAJE!E$7,IF(G19=5,KILOMETRAJE!E$8,IF(G19=6,KILOMETRAJE!E$9,IF(G19=7,KILOMETRAJE!E$10,IF(G19=8,KILOMETRAJE!E$11,IF(G19=9,KILOMETRAJE!E$12,IF(G19=10,KILOMETRAJE!E$13,IF(G19=11,KILOMETRAJE!E$14,IF(G19=12,KILOMETRAJE!E$15,IF(G19=13,KILOMETRAJE!E$16,IF(G19=14,KILOMETRAJE!E$17,IF(G19=15,KILOMETRAJE!E$18,IF(G19=16,KILOMETRAJE!E$19,IF(G19=17,KILOMETRAJE!E$20,IF(G19=18,KILOMETRAJE!E$21,IF(G19=19,KILOMETRAJE!E$22,IF(G19=20,KILOMETRAJE!E$23,IF(G19=21,KILOMETRAJE!E$24,IF(G19=22,KILOMETRAJE!E$25,IF(G19=23,KILOMETRAJE!E$26,IF(G19=24,KILOMETRAJE!E$27,IF(G19=25,KILOMETRAJE!E$28,IF(G19=26,KILOMETRAJE!E$29,IF(G19=27,KILOMETRAJE!E$30,IF(G19=28,KILOMETRAJE!E$31,IF(G19=29,KILOMETRAJE!E$32,IF(G19=30,KILOMETRAJE!E$33,IF(G19=31,KILOMETRAJE!E$34,IF(G19=32,KILOMETRAJE!E$35,IF(G19=33,KILOMETRAJE!E$36,IF(G19=34,KILOMETRAJE!E$37,IF(G19=35,KILOMETRAJE!E$38,IF(G19=36,KILOMETRAJE!E$39,IF(G19=37,KILOMETRAJE!E$40,IF(G19=38,KILOMETRAJE!E$41,IF(G19=39,KILOMETRAJE!E$42,IF(G19=40,KILOMETRAJE!E$43,IF(G19=41,KILOMETRAJE!E$44,IF(G19=42,KILOMETRAJE!E$45,IF(G19=43,KILOMETRAJE!E$46,IF(G19=44,KILOMETRAJE!E$47,IF(G19=45,KILOMETRAJE!E$48,IF(G19=46,KILOMETRAJE!E$49,IF(G19=47,KILOMETRAJE!E$50,IF(G19=48,KILOMETRAJE!E$51,IF(G19=49,KILOMETRAJE!E$52,IF(G19=50,KILOMETRAJE!E$53,IF(G19=51,KILOMETRAJE!E$54,IF(G19=52,KILOMETRAJE!E$55,IF(G19=53,KILOMETRAJE!E$56,IF(G19=54,KILOMETRAJE!E$57,IF(G19=55,KILOMETRAJE!E$58,IF(G19=56,KILOMETRAJE!E$59,IF(G19=57,KILOMETRAJE!E$60,IF(G19=58,KILOMETRAJE!E$61,IF(G19=59,KILOMETRAJE!E$62,IF(G19=60,KILOMETRAJE!E$63,IF(G19=61,KILOMETRAJE!E$64,IF(G19=62,KILOMETRAJE!E$65,IF(G19=63,KILOMETRAJE!E$66)))))))))))))))))))))))))))))))))))))))))))))))))))))))))))))))</f>
        <v>CHIH.</v>
      </c>
      <c r="J19" s="237">
        <f>IF(G19=1,KILOMETRAJE!G$4,IF(G19=2,KILOMETRAJE!G$5,IF(G19=3,KILOMETRAJE!G$6,IF(G19=4,KILOMETRAJE!G$7,IF(G19=5,KILOMETRAJE!G$8,IF(G19=6,KILOMETRAJE!G$9,IF(G19=7,KILOMETRAJE!G$10,IF(G19=8,KILOMETRAJE!G$11,IF(G19=9,KILOMETRAJE!G$12,IF(G19=10,KILOMETRAJE!G$13,IF(G19=11,KILOMETRAJE!G$14,IF(G19=12,KILOMETRAJE!G$15,IF(G19=13,KILOMETRAJE!G$16,IF(G19=14,KILOMETRAJE!G$17,IF(G19=15,KILOMETRAJE!G$18,IF(G19=16,KILOMETRAJE!G$19,IF(G19=17,KILOMETRAJE!G$20,IF(G19=18,KILOMETRAJE!G$21,IF(G19=19,KILOMETRAJE!G$22,IF(G19=20,KILOMETRAJE!G$23,IF(G19=21,KILOMETRAJE!G$24,IF(G19=22,KILOMETRAJE!G$25,IF(G19=23,KILOMETRAJE!G$26,IF(G19=24,KILOMETRAJE!G$27,IF(G19=25,KILOMETRAJE!G$28,IF(G19=26,KILOMETRAJE!G$29,IF(G19=27,KILOMETRAJE!G$30,IF(G19=28,KILOMETRAJE!G$31,IF(G19=29,KILOMETRAJE!G$32,IF(G19=30,KILOMETRAJE!G$33,IF(G19=31,KILOMETRAJE!G$34,IF(G19=32,KILOMETRAJE!G$35,IF(G19=33,KILOMETRAJE!G$36,IF(G19=34,KILOMETRAJE!G$37,IF(G19=35,KILOMETRAJE!G$38,IF(G19=36,KILOMETRAJE!G$39,IF(G19=37,KILOMETRAJE!G$40,IF(G19=38,KILOMETRAJE!G$41,IF(G19=39,KILOMETRAJE!G$42,IF(G19=40,KILOMETRAJE!G$43,IF(G19=41,KILOMETRAJE!G$44,IF(G19=42,KILOMETRAJE!G$45,IF(G19=43,KILOMETRAJE!G$46,IF(G19=44,KILOMETRAJE!G$47,IF(G19=45,KILOMETRAJE!G$48,IF(G19=46,KILOMETRAJE!G$49,IF(G19=47,KILOMETRAJE!G$50,IF(G19=48,KILOMETRAJE!G$51,IF(G19=49,KILOMETRAJE!G$52,IF(G19=50,KILOMETRAJE!G$53,IF(G19=51,KILOMETRAJE!G$54,IF(G19=52,KILOMETRAJE!G$55,IF(G19=53,KILOMETRAJE!G$56,IF(G19=54,KILOMETRAJE!G$57,IF(G19=55,KILOMETRAJE!G$58,IF(G19=56,KILOMETRAJE!G$59,IF(G19=57,KILOMETRAJE!G$60,IF(G19=58,KILOMETRAJE!G$61,IF(G19=59,KILOMETRAJE!G$62,IF(G19=60,KILOMETRAJE!G$63,IF(G19=61,KILOMETRAJE!G$64,IF(G19=62,KILOMETRAJE!G$65,IF(G19=63,KILOMETRAJE!G$66)))))))))))))))))))))))))))))))))))))))))))))))))))))))))))))))</f>
        <v>415</v>
      </c>
      <c r="K19" s="24"/>
      <c r="L19" s="44"/>
      <c r="M19" s="348">
        <v>2898</v>
      </c>
      <c r="N19" s="24">
        <v>4</v>
      </c>
      <c r="O19" s="24">
        <v>1055</v>
      </c>
      <c r="P19" s="24" t="s">
        <v>203</v>
      </c>
      <c r="Q19" s="45">
        <f>((((IF(N19=1,((J19)*0.29333)))+(IF(N19=2,((J19)*0.146666)))+(IF(N19=3,((J19)*0.146666)))))+(IF(N19=4,((J19-40)*0.29333)))+(IF(N19=5,((J19-50)*0.29333)))+(IF(N19=6,((J19-90)*0.29333))))</f>
        <v>109.99874999999999</v>
      </c>
      <c r="R19" s="191"/>
      <c r="S19" s="52"/>
      <c r="T19" s="455"/>
      <c r="U19" s="43"/>
      <c r="V19" s="17"/>
    </row>
    <row r="20" spans="2:23" ht="13.5" customHeight="1" thickBot="1" x14ac:dyDescent="0.25">
      <c r="C20" s="101"/>
      <c r="D20" s="62" t="s">
        <v>436</v>
      </c>
      <c r="E20" s="25">
        <v>45962</v>
      </c>
      <c r="F20" s="25">
        <v>45962</v>
      </c>
      <c r="G20" s="62">
        <v>3</v>
      </c>
      <c r="H20" s="27" t="str">
        <f>IF(G20=1,KILOMETRAJE!C$4,IF(G20=2,KILOMETRAJE!C$5,IF(G20=3,KILOMETRAJE!C$6,IF(G20=4,KILOMETRAJE!C$7,IF(G20=5,KILOMETRAJE!C$8,IF(G20=6,KILOMETRAJE!C$9,IF(G20=7,KILOMETRAJE!C$10,IF(G20=8,KILOMETRAJE!C$11,IF(G20=9,KILOMETRAJE!C$12,IF(G20=10,KILOMETRAJE!C$13,IF(G20=11,KILOMETRAJE!C$14,IF(G20=12,KILOMETRAJE!C$15,IF(G20=13,KILOMETRAJE!C$16,IF(G20=14,KILOMETRAJE!C$17,IF(G20=15,KILOMETRAJE!C$18,IF(G20=16,KILOMETRAJE!C$19,IF(G20=17,KILOMETRAJE!C$20,IF(G20=18,KILOMETRAJE!C$21,IF(G20=19,KILOMETRAJE!C$22,IF(G20=20,KILOMETRAJE!C$23,IF(G20=21,KILOMETRAJE!C$24,IF(G20=22,KILOMETRAJE!C$25,IF(G20=23,KILOMETRAJE!C$26,IF(G20=24,KILOMETRAJE!C$27,IF(G20=25,KILOMETRAJE!C$28,IF(G20=26,KILOMETRAJE!C$29,IF(G20=27,KILOMETRAJE!C$30,IF(G20=28,KILOMETRAJE!C$31,IF(G20=29,KILOMETRAJE!C$32,IF(G20=30,KILOMETRAJE!C$33,IF(G20=31,KILOMETRAJE!C$34,IF(G20=32,KILOMETRAJE!C$35,IF(G20=33,KILOMETRAJE!C$36,IF(G20=34,KILOMETRAJE!C$37,IF(G20=35,KILOMETRAJE!C$38,IF(G20=36,KILOMETRAJE!C$39,IF(G20=37,KILOMETRAJE!C$40,IF(G20=38,KILOMETRAJE!C$41,IF(G20=39,KILOMETRAJE!C$42,IF(G20=40,KILOMETRAJE!C$43,IF(G20=41,KILOMETRAJE!C$44,IF(G20=42,KILOMETRAJE!C$45,IF(G20=43,KILOMETRAJE!C$46,IF(G20=44,KILOMETRAJE!C$47,IF(G20=45,KILOMETRAJE!C$48,IF(G20=46,KILOMETRAJE!C$49,IF(G20=47,KILOMETRAJE!C$50,IF(G20=48,KILOMETRAJE!C$51,IF(G20=49,KILOMETRAJE!C$52,IF(G20=50,KILOMETRAJE!C$53,IF(G20=51,KILOMETRAJE!C$54,IF(G20=52,KILOMETRAJE!C$55,IF(G20=53,KILOMETRAJE!C$56,IF(G20=54,KILOMETRAJE!C$57,IF(G20=55,KILOMETRAJE!C$58,IF(G20=56,KILOMETRAJE!C$59,IF(G20=57,KILOMETRAJE!C$60,IF(G20=58,KILOMETRAJE!C$61,IF(G20=59,KILOMETRAJE!C$62,IF(G20=60,KILOMETRAJE!C$63,IF(G20=61,KILOMETRAJE!C$64,IF(G20=62,KILOMETRAJE!C$65,IF(G20=63,KILOMETRAJE!C$66)))))))))))))))))))))))))))))))))))))))))))))))))))))))))))))))</f>
        <v xml:space="preserve">CHIH. </v>
      </c>
      <c r="I20" s="27" t="str">
        <f>IF(G20=1,KILOMETRAJE!E$4,IF(G20=2,KILOMETRAJE!E$5,IF(G20=3,KILOMETRAJE!E$6,IF(G20=4,KILOMETRAJE!E$7,IF(G20=5,KILOMETRAJE!E$8,IF(G20=6,KILOMETRAJE!E$9,IF(G20=7,KILOMETRAJE!E$10,IF(G20=8,KILOMETRAJE!E$11,IF(G20=9,KILOMETRAJE!E$12,IF(G20=10,KILOMETRAJE!E$13,IF(G20=11,KILOMETRAJE!E$14,IF(G20=12,KILOMETRAJE!E$15,IF(G20=13,KILOMETRAJE!E$16,IF(G20=14,KILOMETRAJE!E$17,IF(G20=15,KILOMETRAJE!E$18,IF(G20=16,KILOMETRAJE!E$19,IF(G20=17,KILOMETRAJE!E$20,IF(G20=18,KILOMETRAJE!E$21,IF(G20=19,KILOMETRAJE!E$22,IF(G20=20,KILOMETRAJE!E$23,IF(G20=21,KILOMETRAJE!E$24,IF(G20=22,KILOMETRAJE!E$25,IF(G20=23,KILOMETRAJE!E$26,IF(G20=24,KILOMETRAJE!E$27,IF(G20=25,KILOMETRAJE!E$28,IF(G20=26,KILOMETRAJE!E$29,IF(G20=27,KILOMETRAJE!E$30,IF(G20=28,KILOMETRAJE!E$31,IF(G20=29,KILOMETRAJE!E$32,IF(G20=30,KILOMETRAJE!E$33,IF(G20=31,KILOMETRAJE!E$34,IF(G20=32,KILOMETRAJE!E$35,IF(G20=33,KILOMETRAJE!E$36,IF(G20=34,KILOMETRAJE!E$37,IF(G20=35,KILOMETRAJE!E$38,IF(G20=36,KILOMETRAJE!E$39,IF(G20=37,KILOMETRAJE!E$40,IF(G20=38,KILOMETRAJE!E$41,IF(G20=39,KILOMETRAJE!E$42,IF(G20=40,KILOMETRAJE!E$43,IF(G20=41,KILOMETRAJE!E$44,IF(G20=42,KILOMETRAJE!E$45,IF(G20=43,KILOMETRAJE!E$46,IF(G20=44,KILOMETRAJE!E$47,IF(G20=45,KILOMETRAJE!E$48,IF(G20=46,KILOMETRAJE!E$49,IF(G20=47,KILOMETRAJE!E$50,IF(G20=48,KILOMETRAJE!E$51,IF(G20=49,KILOMETRAJE!E$52,IF(G20=50,KILOMETRAJE!E$53,IF(G20=51,KILOMETRAJE!E$54,IF(G20=52,KILOMETRAJE!E$55,IF(G20=53,KILOMETRAJE!E$56,IF(G20=54,KILOMETRAJE!E$57,IF(G20=55,KILOMETRAJE!E$58,IF(G20=56,KILOMETRAJE!E$59,IF(G20=57,KILOMETRAJE!E$60,IF(G20=58,KILOMETRAJE!E$61,IF(G20=59,KILOMETRAJE!E$62,IF(G20=60,KILOMETRAJE!E$63,IF(G20=61,KILOMETRAJE!E$64,IF(G20=62,KILOMETRAJE!E$65,IF(G20=63,KILOMETRAJE!E$66)))))))))))))))))))))))))))))))))))))))))))))))))))))))))))))))</f>
        <v>JRZ</v>
      </c>
      <c r="J20" s="31">
        <f>IF(G20=1,KILOMETRAJE!G$4,IF(G20=2,KILOMETRAJE!G$5,IF(G20=3,KILOMETRAJE!G$6,IF(G20=4,KILOMETRAJE!G$7,IF(G20=5,KILOMETRAJE!G$8,IF(G20=6,KILOMETRAJE!G$9,IF(G20=7,KILOMETRAJE!G$10,IF(G20=8,KILOMETRAJE!G$11,IF(G20=9,KILOMETRAJE!G$12,IF(G20=10,KILOMETRAJE!G$13,IF(G20=11,KILOMETRAJE!G$14,IF(G20=12,KILOMETRAJE!G$15,IF(G20=13,KILOMETRAJE!G$16,IF(G20=14,KILOMETRAJE!G$17,IF(G20=15,KILOMETRAJE!G$18,IF(G20=16,KILOMETRAJE!G$19,IF(G20=17,KILOMETRAJE!G$20,IF(G20=18,KILOMETRAJE!G$21,IF(G20=19,KILOMETRAJE!G$22,IF(G20=20,KILOMETRAJE!G$23,IF(G20=21,KILOMETRAJE!G$24,IF(G20=22,KILOMETRAJE!G$25,IF(G20=23,KILOMETRAJE!G$26,IF(G20=24,KILOMETRAJE!G$27,IF(G20=25,KILOMETRAJE!G$28,IF(G20=26,KILOMETRAJE!G$29,IF(G20=27,KILOMETRAJE!G$30,IF(G20=28,KILOMETRAJE!G$31,IF(G20=29,KILOMETRAJE!G$32,IF(G20=30,KILOMETRAJE!G$33,IF(G20=31,KILOMETRAJE!G$34,IF(G20=32,KILOMETRAJE!G$35,IF(G20=33,KILOMETRAJE!G$36,IF(G20=34,KILOMETRAJE!G$37,IF(G20=35,KILOMETRAJE!G$38,IF(G20=36,KILOMETRAJE!G$39,IF(G20=37,KILOMETRAJE!G$40,IF(G20=38,KILOMETRAJE!G$41,IF(G20=39,KILOMETRAJE!G$42,IF(G20=40,KILOMETRAJE!G$43,IF(G20=41,KILOMETRAJE!G$44,IF(G20=42,KILOMETRAJE!G$45,IF(G20=43,KILOMETRAJE!G$46,IF(G20=44,KILOMETRAJE!G$47,IF(G20=45,KILOMETRAJE!G$48,IF(G20=46,KILOMETRAJE!G$49,IF(G20=47,KILOMETRAJE!G$50,IF(G20=48,KILOMETRAJE!G$51,IF(G20=49,KILOMETRAJE!G$52,IF(G20=50,KILOMETRAJE!G$53,IF(G20=51,KILOMETRAJE!G$54,IF(G20=52,KILOMETRAJE!G$55,IF(G20=53,KILOMETRAJE!G$56,IF(G20=54,KILOMETRAJE!G$57,IF(G20=55,KILOMETRAJE!G$58,IF(G20=56,KILOMETRAJE!G$59,IF(G20=57,KILOMETRAJE!G$60,IF(G20=58,KILOMETRAJE!G$61,IF(G20=59,KILOMETRAJE!G$62,IF(G20=60,KILOMETRAJE!G$63,IF(G20=61,KILOMETRAJE!G$64,IF(G20=62,KILOMETRAJE!G$65,IF(G20=63,KILOMETRAJE!G$66)))))))))))))))))))))))))))))))))))))))))))))))))))))))))))))))</f>
        <v>375</v>
      </c>
      <c r="K20" s="27">
        <v>236.02</v>
      </c>
      <c r="L20" s="28">
        <f>SUM(J19:J20)/K20</f>
        <v>3.3471739683077706</v>
      </c>
      <c r="M20" s="349">
        <v>5607</v>
      </c>
      <c r="N20" s="27">
        <v>1</v>
      </c>
      <c r="O20" s="27" t="s">
        <v>437</v>
      </c>
      <c r="P20" s="27" t="s">
        <v>191</v>
      </c>
      <c r="Q20" s="29">
        <f>((((IF(N20=1,((J19:J20)*0.29333)))+(IF(N20=2,((J20)*0.146666)))+(IF(N20=3,((J20)*0.146666)))))+(IF(N20=4,((J20-40)*0.29333)))+(IF(N20=5,((J20-50)*0.29333)))+(IF(N20=6,((J20-90)*0.29333))))</f>
        <v>109.99874999999999</v>
      </c>
      <c r="R20" s="190">
        <f>+LOOKUP(P38,UNIDADES!B$3:B$59,UNIDADES!C$3:C$59)</f>
        <v>2.4509799999999999</v>
      </c>
      <c r="S20" s="19">
        <f>+((SUM(J19:J20)-40)/R20)-K20</f>
        <v>69.980048960007849</v>
      </c>
      <c r="T20" s="456">
        <f>+S20*14.85</f>
        <v>1039.2037270561166</v>
      </c>
      <c r="U20" s="62"/>
      <c r="V20" s="417"/>
    </row>
    <row r="21" spans="2:23" x14ac:dyDescent="0.2">
      <c r="B21" s="14" t="s">
        <v>416</v>
      </c>
      <c r="C21" s="176">
        <v>46195</v>
      </c>
      <c r="D21" s="24" t="s">
        <v>438</v>
      </c>
      <c r="E21" s="42">
        <v>45964</v>
      </c>
      <c r="F21" s="42">
        <v>45965</v>
      </c>
      <c r="G21" s="43">
        <v>4</v>
      </c>
      <c r="H21" s="236" t="str">
        <f>IF(G21=1,KILOMETRAJE!C$4,IF(G21=2,KILOMETRAJE!C$5,IF(G21=3,KILOMETRAJE!C$6,IF(G21=4,KILOMETRAJE!C$7,IF(G21=5,KILOMETRAJE!C$8,IF(G21=6,KILOMETRAJE!C$9,IF(G21=7,KILOMETRAJE!C$10,IF(G21=8,KILOMETRAJE!C$11,IF(G21=9,KILOMETRAJE!C$12,IF(G21=10,KILOMETRAJE!C$13,IF(G21=11,KILOMETRAJE!C$14,IF(G21=12,KILOMETRAJE!C$15,IF(G21=13,KILOMETRAJE!C$16,IF(G21=14,KILOMETRAJE!C$17,IF(G21=15,KILOMETRAJE!C$18,IF(G21=16,KILOMETRAJE!C$19,IF(G21=17,KILOMETRAJE!C$20,IF(G21=18,KILOMETRAJE!C$21,IF(G21=19,KILOMETRAJE!C$22,IF(G21=20,KILOMETRAJE!C$23,IF(G21=21,KILOMETRAJE!C$24,IF(G21=22,KILOMETRAJE!C$25,IF(G21=23,KILOMETRAJE!C$26,IF(G21=24,KILOMETRAJE!C$27,IF(G21=25,KILOMETRAJE!C$28,IF(G21=26,KILOMETRAJE!C$29,IF(G21=27,KILOMETRAJE!C$30,IF(G21=28,KILOMETRAJE!C$31,IF(G21=29,KILOMETRAJE!C$32,IF(G21=30,KILOMETRAJE!C$33,IF(G21=31,KILOMETRAJE!C$34,IF(G21=32,KILOMETRAJE!C$35,IF(G21=33,KILOMETRAJE!C$36,IF(G21=34,KILOMETRAJE!C$37,IF(G21=35,KILOMETRAJE!C$38,IF(G21=36,KILOMETRAJE!C$39,IF(G21=37,KILOMETRAJE!C$40,IF(G21=38,KILOMETRAJE!C$41,IF(G21=39,KILOMETRAJE!C$42,IF(G21=40,KILOMETRAJE!C$43,IF(G21=41,KILOMETRAJE!C$44,IF(G21=42,KILOMETRAJE!C$45,IF(G21=43,KILOMETRAJE!C$46,IF(G21=44,KILOMETRAJE!C$47,IF(G21=45,KILOMETRAJE!C$48,IF(G21=46,KILOMETRAJE!C$49,IF(G21=47,KILOMETRAJE!C$50,IF(G21=48,KILOMETRAJE!C$51,IF(G21=49,KILOMETRAJE!C$52,IF(G21=50,KILOMETRAJE!C$53,IF(G21=51,KILOMETRAJE!C$54,IF(G21=52,KILOMETRAJE!C$55,IF(G21=53,KILOMETRAJE!C$56,IF(G21=54,KILOMETRAJE!C$57,IF(G21=55,KILOMETRAJE!C$58,IF(G21=56,KILOMETRAJE!C$59,IF(G21=57,KILOMETRAJE!C$60,IF(G21=58,KILOMETRAJE!C$61,IF(G21=59,KILOMETRAJE!C$62,IF(G21=60,KILOMETRAJE!C$63,IF(G21=61,KILOMETRAJE!C$64,IF(G21=62,KILOMETRAJE!C$65,IF(G21=63,KILOMETRAJE!C$66)))))))))))))))))))))))))))))))))))))))))))))))))))))))))))))))</f>
        <v xml:space="preserve">ELP. </v>
      </c>
      <c r="I21" s="236" t="str">
        <f>IF(G21=1,KILOMETRAJE!E$4,IF(G21=2,KILOMETRAJE!E$5,IF(G21=3,KILOMETRAJE!E$6,IF(G21=4,KILOMETRAJE!E$7,IF(G21=5,KILOMETRAJE!E$8,IF(G21=6,KILOMETRAJE!E$9,IF(G21=7,KILOMETRAJE!E$10,IF(G21=8,KILOMETRAJE!E$11,IF(G21=9,KILOMETRAJE!E$12,IF(G21=10,KILOMETRAJE!E$13,IF(G21=11,KILOMETRAJE!E$14,IF(G21=12,KILOMETRAJE!E$15,IF(G21=13,KILOMETRAJE!E$16,IF(G21=14,KILOMETRAJE!E$17,IF(G21=15,KILOMETRAJE!E$18,IF(G21=16,KILOMETRAJE!E$19,IF(G21=17,KILOMETRAJE!E$20,IF(G21=18,KILOMETRAJE!E$21,IF(G21=19,KILOMETRAJE!E$22,IF(G21=20,KILOMETRAJE!E$23,IF(G21=21,KILOMETRAJE!E$24,IF(G21=22,KILOMETRAJE!E$25,IF(G21=23,KILOMETRAJE!E$26,IF(G21=24,KILOMETRAJE!E$27,IF(G21=25,KILOMETRAJE!E$28,IF(G21=26,KILOMETRAJE!E$29,IF(G21=27,KILOMETRAJE!E$30,IF(G21=28,KILOMETRAJE!E$31,IF(G21=29,KILOMETRAJE!E$32,IF(G21=30,KILOMETRAJE!E$33,IF(G21=31,KILOMETRAJE!E$34,IF(G21=32,KILOMETRAJE!E$35,IF(G21=33,KILOMETRAJE!E$36,IF(G21=34,KILOMETRAJE!E$37,IF(G21=35,KILOMETRAJE!E$38,IF(G21=36,KILOMETRAJE!E$39,IF(G21=37,KILOMETRAJE!E$40,IF(G21=38,KILOMETRAJE!E$41,IF(G21=39,KILOMETRAJE!E$42,IF(G21=40,KILOMETRAJE!E$43,IF(G21=41,KILOMETRAJE!E$44,IF(G21=42,KILOMETRAJE!E$45,IF(G21=43,KILOMETRAJE!E$46,IF(G21=44,KILOMETRAJE!E$47,IF(G21=45,KILOMETRAJE!E$48,IF(G21=46,KILOMETRAJE!E$49,IF(G21=47,KILOMETRAJE!E$50,IF(G21=48,KILOMETRAJE!E$51,IF(G21=49,KILOMETRAJE!E$52,IF(G21=50,KILOMETRAJE!E$53,IF(G21=51,KILOMETRAJE!E$54,IF(G21=52,KILOMETRAJE!E$55,IF(G21=53,KILOMETRAJE!E$56,IF(G21=54,KILOMETRAJE!E$57,IF(G21=55,KILOMETRAJE!E$58,IF(G21=56,KILOMETRAJE!E$59,IF(G21=57,KILOMETRAJE!E$60,IF(G21=58,KILOMETRAJE!E$61,IF(G21=59,KILOMETRAJE!E$62,IF(G21=60,KILOMETRAJE!E$63,IF(G21=61,KILOMETRAJE!E$64,IF(G21=62,KILOMETRAJE!E$65,IF(G21=63,KILOMETRAJE!E$66)))))))))))))))))))))))))))))))))))))))))))))))))))))))))))))))</f>
        <v>CHIH.</v>
      </c>
      <c r="J21" s="237">
        <f>IF(G21=1,KILOMETRAJE!G$4,IF(G21=2,KILOMETRAJE!G$5,IF(G21=3,KILOMETRAJE!G$6,IF(G21=4,KILOMETRAJE!G$7,IF(G21=5,KILOMETRAJE!G$8,IF(G21=6,KILOMETRAJE!G$9,IF(G21=7,KILOMETRAJE!G$10,IF(G21=8,KILOMETRAJE!G$11,IF(G21=9,KILOMETRAJE!G$12,IF(G21=10,KILOMETRAJE!G$13,IF(G21=11,KILOMETRAJE!G$14,IF(G21=12,KILOMETRAJE!G$15,IF(G21=13,KILOMETRAJE!G$16,IF(G21=14,KILOMETRAJE!G$17,IF(G21=15,KILOMETRAJE!G$18,IF(G21=16,KILOMETRAJE!G$19,IF(G21=17,KILOMETRAJE!G$20,IF(G21=18,KILOMETRAJE!G$21,IF(G21=19,KILOMETRAJE!G$22,IF(G21=20,KILOMETRAJE!G$23,IF(G21=21,KILOMETRAJE!G$24,IF(G21=22,KILOMETRAJE!G$25,IF(G21=23,KILOMETRAJE!G$26,IF(G21=24,KILOMETRAJE!G$27,IF(G21=25,KILOMETRAJE!G$28,IF(G21=26,KILOMETRAJE!G$29,IF(G21=27,KILOMETRAJE!G$30,IF(G21=28,KILOMETRAJE!G$31,IF(G21=29,KILOMETRAJE!G$32,IF(G21=30,KILOMETRAJE!G$33,IF(G21=31,KILOMETRAJE!G$34,IF(G21=32,KILOMETRAJE!G$35,IF(G21=33,KILOMETRAJE!G$36,IF(G21=34,KILOMETRAJE!G$37,IF(G21=35,KILOMETRAJE!G$38,IF(G21=36,KILOMETRAJE!G$39,IF(G21=37,KILOMETRAJE!G$40,IF(G21=38,KILOMETRAJE!G$41,IF(G21=39,KILOMETRAJE!G$42,IF(G21=40,KILOMETRAJE!G$43,IF(G21=41,KILOMETRAJE!G$44,IF(G21=42,KILOMETRAJE!G$45,IF(G21=43,KILOMETRAJE!G$46,IF(G21=44,KILOMETRAJE!G$47,IF(G21=45,KILOMETRAJE!G$48,IF(G21=46,KILOMETRAJE!G$49,IF(G21=47,KILOMETRAJE!G$50,IF(G21=48,KILOMETRAJE!G$51,IF(G21=49,KILOMETRAJE!G$52,IF(G21=50,KILOMETRAJE!G$53,IF(G21=51,KILOMETRAJE!G$54,IF(G21=52,KILOMETRAJE!G$55,IF(G21=53,KILOMETRAJE!G$56,IF(G21=54,KILOMETRAJE!G$57,IF(G21=55,KILOMETRAJE!G$58,IF(G21=56,KILOMETRAJE!G$59,IF(G21=57,KILOMETRAJE!G$60,IF(G21=58,KILOMETRAJE!G$61,IF(G21=59,KILOMETRAJE!G$62,IF(G21=60,KILOMETRAJE!G$63,IF(G21=61,KILOMETRAJE!G$64,IF(G21=62,KILOMETRAJE!G$65,IF(G21=63,KILOMETRAJE!G$66)))))))))))))))))))))))))))))))))))))))))))))))))))))))))))))))</f>
        <v>415</v>
      </c>
      <c r="K21" s="24"/>
      <c r="L21" s="44"/>
      <c r="M21" s="348">
        <v>681</v>
      </c>
      <c r="N21" s="24">
        <v>4</v>
      </c>
      <c r="O21" s="24" t="s">
        <v>375</v>
      </c>
      <c r="P21" s="24" t="s">
        <v>198</v>
      </c>
      <c r="Q21" s="45">
        <f>((((IF(N21=1,((J21)*0.29333)))+(IF(N21=2,((J21)*0.146666)))+(IF(N21=3,((J21)*0.146666)))))+(IF(N21=4,((J21-40)*0.29333)))+(IF(N21=5,((J21-50)*0.29333)))+(IF(N21=6,((J21-90)*0.29333))))</f>
        <v>109.99874999999999</v>
      </c>
      <c r="R21" s="191"/>
      <c r="S21" s="52"/>
      <c r="T21" s="455"/>
      <c r="U21" s="43"/>
      <c r="V21" s="17"/>
    </row>
    <row r="22" spans="2:23" ht="12.75" thickBot="1" x14ac:dyDescent="0.25">
      <c r="B22" s="14" t="s">
        <v>416</v>
      </c>
      <c r="C22" s="101"/>
      <c r="D22" s="27" t="s">
        <v>439</v>
      </c>
      <c r="E22" s="25">
        <v>45965</v>
      </c>
      <c r="F22" s="25">
        <v>45965</v>
      </c>
      <c r="G22" s="62">
        <v>3</v>
      </c>
      <c r="H22" s="27" t="str">
        <f>IF(G22=1,KILOMETRAJE!C$4,IF(G22=2,KILOMETRAJE!C$5,IF(G22=3,KILOMETRAJE!C$6,IF(G22=4,KILOMETRAJE!C$7,IF(G22=5,KILOMETRAJE!C$8,IF(G22=6,KILOMETRAJE!C$9,IF(G22=7,KILOMETRAJE!C$10,IF(G22=8,KILOMETRAJE!C$11,IF(G22=9,KILOMETRAJE!C$12,IF(G22=10,KILOMETRAJE!C$13,IF(G22=11,KILOMETRAJE!C$14,IF(G22=12,KILOMETRAJE!C$15,IF(G22=13,KILOMETRAJE!C$16,IF(G22=14,KILOMETRAJE!C$17,IF(G22=15,KILOMETRAJE!C$18,IF(G22=16,KILOMETRAJE!C$19,IF(G22=17,KILOMETRAJE!C$20,IF(G22=18,KILOMETRAJE!C$21,IF(G22=19,KILOMETRAJE!C$22,IF(G22=20,KILOMETRAJE!C$23,IF(G22=21,KILOMETRAJE!C$24,IF(G22=22,KILOMETRAJE!C$25,IF(G22=23,KILOMETRAJE!C$26,IF(G22=24,KILOMETRAJE!C$27,IF(G22=25,KILOMETRAJE!C$28,IF(G22=26,KILOMETRAJE!C$29,IF(G22=27,KILOMETRAJE!C$30,IF(G22=28,KILOMETRAJE!C$31,IF(G22=29,KILOMETRAJE!C$32,IF(G22=30,KILOMETRAJE!C$33,IF(G22=31,KILOMETRAJE!C$34,IF(G22=32,KILOMETRAJE!C$35,IF(G22=33,KILOMETRAJE!C$36,IF(G22=34,KILOMETRAJE!C$37,IF(G22=35,KILOMETRAJE!C$38,IF(G22=36,KILOMETRAJE!C$39,IF(G22=37,KILOMETRAJE!C$40,IF(G22=38,KILOMETRAJE!C$41,IF(G22=39,KILOMETRAJE!C$42,IF(G22=40,KILOMETRAJE!C$43,IF(G22=41,KILOMETRAJE!C$44,IF(G22=42,KILOMETRAJE!C$45,IF(G22=43,KILOMETRAJE!C$46,IF(G22=44,KILOMETRAJE!C$47,IF(G22=45,KILOMETRAJE!C$48,IF(G22=46,KILOMETRAJE!C$49,IF(G22=47,KILOMETRAJE!C$50,IF(G22=48,KILOMETRAJE!C$51,IF(G22=49,KILOMETRAJE!C$52,IF(G22=50,KILOMETRAJE!C$53,IF(G22=51,KILOMETRAJE!C$54,IF(G22=52,KILOMETRAJE!C$55,IF(G22=53,KILOMETRAJE!C$56,IF(G22=54,KILOMETRAJE!C$57,IF(G22=55,KILOMETRAJE!C$58,IF(G22=56,KILOMETRAJE!C$59,IF(G22=57,KILOMETRAJE!C$60,IF(G22=58,KILOMETRAJE!C$61,IF(G22=59,KILOMETRAJE!C$62,IF(G22=60,KILOMETRAJE!C$63,IF(G22=61,KILOMETRAJE!C$64,IF(G22=62,KILOMETRAJE!C$65,IF(G22=63,KILOMETRAJE!C$66)))))))))))))))))))))))))))))))))))))))))))))))))))))))))))))))</f>
        <v xml:space="preserve">CHIH. </v>
      </c>
      <c r="I22" s="27" t="str">
        <f>IF(G22=1,KILOMETRAJE!E$4,IF(G22=2,KILOMETRAJE!E$5,IF(G22=3,KILOMETRAJE!E$6,IF(G22=4,KILOMETRAJE!E$7,IF(G22=5,KILOMETRAJE!E$8,IF(G22=6,KILOMETRAJE!E$9,IF(G22=7,KILOMETRAJE!E$10,IF(G22=8,KILOMETRAJE!E$11,IF(G22=9,KILOMETRAJE!E$12,IF(G22=10,KILOMETRAJE!E$13,IF(G22=11,KILOMETRAJE!E$14,IF(G22=12,KILOMETRAJE!E$15,IF(G22=13,KILOMETRAJE!E$16,IF(G22=14,KILOMETRAJE!E$17,IF(G22=15,KILOMETRAJE!E$18,IF(G22=16,KILOMETRAJE!E$19,IF(G22=17,KILOMETRAJE!E$20,IF(G22=18,KILOMETRAJE!E$21,IF(G22=19,KILOMETRAJE!E$22,IF(G22=20,KILOMETRAJE!E$23,IF(G22=21,KILOMETRAJE!E$24,IF(G22=22,KILOMETRAJE!E$25,IF(G22=23,KILOMETRAJE!E$26,IF(G22=24,KILOMETRAJE!E$27,IF(G22=25,KILOMETRAJE!E$28,IF(G22=26,KILOMETRAJE!E$29,IF(G22=27,KILOMETRAJE!E$30,IF(G22=28,KILOMETRAJE!E$31,IF(G22=29,KILOMETRAJE!E$32,IF(G22=30,KILOMETRAJE!E$33,IF(G22=31,KILOMETRAJE!E$34,IF(G22=32,KILOMETRAJE!E$35,IF(G22=33,KILOMETRAJE!E$36,IF(G22=34,KILOMETRAJE!E$37,IF(G22=35,KILOMETRAJE!E$38,IF(G22=36,KILOMETRAJE!E$39,IF(G22=37,KILOMETRAJE!E$40,IF(G22=38,KILOMETRAJE!E$41,IF(G22=39,KILOMETRAJE!E$42,IF(G22=40,KILOMETRAJE!E$43,IF(G22=41,KILOMETRAJE!E$44,IF(G22=42,KILOMETRAJE!E$45,IF(G22=43,KILOMETRAJE!E$46,IF(G22=44,KILOMETRAJE!E$47,IF(G22=45,KILOMETRAJE!E$48,IF(G22=46,KILOMETRAJE!E$49,IF(G22=47,KILOMETRAJE!E$50,IF(G22=48,KILOMETRAJE!E$51,IF(G22=49,KILOMETRAJE!E$52,IF(G22=50,KILOMETRAJE!E$53,IF(G22=51,KILOMETRAJE!E$54,IF(G22=52,KILOMETRAJE!E$55,IF(G22=53,KILOMETRAJE!E$56,IF(G22=54,KILOMETRAJE!E$57,IF(G22=55,KILOMETRAJE!E$58,IF(G22=56,KILOMETRAJE!E$59,IF(G22=57,KILOMETRAJE!E$60,IF(G22=58,KILOMETRAJE!E$61,IF(G22=59,KILOMETRAJE!E$62,IF(G22=60,KILOMETRAJE!E$63,IF(G22=61,KILOMETRAJE!E$64,IF(G22=62,KILOMETRAJE!E$65,IF(G22=63,KILOMETRAJE!E$66)))))))))))))))))))))))))))))))))))))))))))))))))))))))))))))))</f>
        <v>JRZ</v>
      </c>
      <c r="J22" s="31">
        <f>IF(G22=1,KILOMETRAJE!G$4,IF(G22=2,KILOMETRAJE!G$5,IF(G22=3,KILOMETRAJE!G$6,IF(G22=4,KILOMETRAJE!G$7,IF(G22=5,KILOMETRAJE!G$8,IF(G22=6,KILOMETRAJE!G$9,IF(G22=7,KILOMETRAJE!G$10,IF(G22=8,KILOMETRAJE!G$11,IF(G22=9,KILOMETRAJE!G$12,IF(G22=10,KILOMETRAJE!G$13,IF(G22=11,KILOMETRAJE!G$14,IF(G22=12,KILOMETRAJE!G$15,IF(G22=13,KILOMETRAJE!G$16,IF(G22=14,KILOMETRAJE!G$17,IF(G22=15,KILOMETRAJE!G$18,IF(G22=16,KILOMETRAJE!G$19,IF(G22=17,KILOMETRAJE!G$20,IF(G22=18,KILOMETRAJE!G$21,IF(G22=19,KILOMETRAJE!G$22,IF(G22=20,KILOMETRAJE!G$23,IF(G22=21,KILOMETRAJE!G$24,IF(G22=22,KILOMETRAJE!G$25,IF(G22=23,KILOMETRAJE!G$26,IF(G22=24,KILOMETRAJE!G$27,IF(G22=25,KILOMETRAJE!G$28,IF(G22=26,KILOMETRAJE!G$29,IF(G22=27,KILOMETRAJE!G$30,IF(G22=28,KILOMETRAJE!G$31,IF(G22=29,KILOMETRAJE!G$32,IF(G22=30,KILOMETRAJE!G$33,IF(G22=31,KILOMETRAJE!G$34,IF(G22=32,KILOMETRAJE!G$35,IF(G22=33,KILOMETRAJE!G$36,IF(G22=34,KILOMETRAJE!G$37,IF(G22=35,KILOMETRAJE!G$38,IF(G22=36,KILOMETRAJE!G$39,IF(G22=37,KILOMETRAJE!G$40,IF(G22=38,KILOMETRAJE!G$41,IF(G22=39,KILOMETRAJE!G$42,IF(G22=40,KILOMETRAJE!G$43,IF(G22=41,KILOMETRAJE!G$44,IF(G22=42,KILOMETRAJE!G$45,IF(G22=43,KILOMETRAJE!G$46,IF(G22=44,KILOMETRAJE!G$47,IF(G22=45,KILOMETRAJE!G$48,IF(G22=46,KILOMETRAJE!G$49,IF(G22=47,KILOMETRAJE!G$50,IF(G22=48,KILOMETRAJE!G$51,IF(G22=49,KILOMETRAJE!G$52,IF(G22=50,KILOMETRAJE!G$53,IF(G22=51,KILOMETRAJE!G$54,IF(G22=52,KILOMETRAJE!G$55,IF(G22=53,KILOMETRAJE!G$56,IF(G22=54,KILOMETRAJE!G$57,IF(G22=55,KILOMETRAJE!G$58,IF(G22=56,KILOMETRAJE!G$59,IF(G22=57,KILOMETRAJE!G$60,IF(G22=58,KILOMETRAJE!G$61,IF(G22=59,KILOMETRAJE!G$62,IF(G22=60,KILOMETRAJE!G$63,IF(G22=61,KILOMETRAJE!G$64,IF(G22=62,KILOMETRAJE!G$65,IF(G22=63,KILOMETRAJE!G$66)))))))))))))))))))))))))))))))))))))))))))))))))))))))))))))))</f>
        <v>375</v>
      </c>
      <c r="K22" s="27">
        <v>206.01</v>
      </c>
      <c r="L22" s="28">
        <f>SUM(J21:J22)/K22</f>
        <v>3.8347653026552111</v>
      </c>
      <c r="M22" s="349">
        <v>1039</v>
      </c>
      <c r="N22" s="27">
        <v>1</v>
      </c>
      <c r="O22" s="27" t="s">
        <v>440</v>
      </c>
      <c r="P22" s="27" t="s">
        <v>198</v>
      </c>
      <c r="Q22" s="29">
        <f>((((IF(N22=1,((J21:J22)*0.29333)))+(IF(N22=2,((J22)*0.146666)))+(IF(N22=3,((J22)*0.146666)))))+(IF(N22=4,((J22-40)*0.29333)))+(IF(N22=5,((J22-50)*0.29333)))+(IF(N22=6,((J22-90)*0.29333))))</f>
        <v>109.99874999999999</v>
      </c>
      <c r="R22" s="190">
        <f>+LOOKUP(P39,UNIDADES!B$3:B$59,UNIDADES!C$3:C$59)</f>
        <v>2.4509799999999999</v>
      </c>
      <c r="S22" s="19">
        <f>+((SUM(J21:J22)-40)/R22)-K22</f>
        <v>99.990048960007869</v>
      </c>
      <c r="T22" s="456">
        <f>+S22*14.85</f>
        <v>1484.8522270561168</v>
      </c>
      <c r="U22" s="62"/>
      <c r="V22" s="417"/>
    </row>
    <row r="23" spans="2:23" ht="11.25" hidden="1" customHeight="1" x14ac:dyDescent="0.2">
      <c r="C23" s="176"/>
      <c r="D23" s="43"/>
      <c r="E23" s="42"/>
      <c r="F23" s="42"/>
      <c r="G23" s="43"/>
      <c r="H23" s="236"/>
      <c r="I23" s="236"/>
      <c r="J23" s="237"/>
      <c r="K23" s="24"/>
      <c r="L23" s="44"/>
      <c r="M23" s="348"/>
      <c r="N23" s="24"/>
      <c r="O23" s="24"/>
      <c r="P23" s="24"/>
      <c r="Q23" s="45"/>
      <c r="R23" s="191"/>
      <c r="S23" s="52"/>
      <c r="T23" s="455"/>
      <c r="U23" s="43"/>
      <c r="V23" s="17"/>
    </row>
    <row r="24" spans="2:23" ht="13.5" hidden="1" customHeight="1" thickBot="1" x14ac:dyDescent="0.25">
      <c r="C24" s="101"/>
      <c r="D24" s="62"/>
      <c r="E24" s="25"/>
      <c r="F24" s="25"/>
      <c r="G24" s="62"/>
      <c r="H24" s="27"/>
      <c r="I24" s="27"/>
      <c r="J24" s="31"/>
      <c r="K24" s="27"/>
      <c r="L24" s="28"/>
      <c r="M24" s="349"/>
      <c r="N24" s="27"/>
      <c r="O24" s="27"/>
      <c r="P24" s="27"/>
      <c r="Q24" s="29"/>
      <c r="R24" s="190"/>
      <c r="S24" s="19"/>
      <c r="T24" s="456"/>
      <c r="U24" s="62"/>
      <c r="V24" s="417"/>
    </row>
    <row r="25" spans="2:23" hidden="1" x14ac:dyDescent="0.2">
      <c r="C25" s="176"/>
      <c r="D25" s="43"/>
      <c r="E25" s="42"/>
      <c r="F25" s="42"/>
      <c r="G25" s="43"/>
      <c r="H25" s="236"/>
      <c r="I25" s="236"/>
      <c r="J25" s="237"/>
      <c r="K25" s="24"/>
      <c r="L25" s="44"/>
      <c r="M25" s="348"/>
      <c r="N25" s="24"/>
      <c r="O25" s="24"/>
      <c r="P25" s="24"/>
      <c r="Q25" s="45"/>
      <c r="R25" s="191"/>
      <c r="S25" s="52"/>
      <c r="T25" s="455"/>
      <c r="U25" s="43"/>
      <c r="V25" s="17"/>
    </row>
    <row r="26" spans="2:23" ht="15" hidden="1" customHeight="1" thickBot="1" x14ac:dyDescent="0.25">
      <c r="C26" s="101"/>
      <c r="D26" s="62"/>
      <c r="E26" s="25"/>
      <c r="F26" s="25"/>
      <c r="G26" s="62"/>
      <c r="H26" s="27"/>
      <c r="I26" s="27"/>
      <c r="J26" s="31"/>
      <c r="K26" s="27"/>
      <c r="L26" s="28"/>
      <c r="M26" s="349"/>
      <c r="N26" s="27"/>
      <c r="O26" s="27"/>
      <c r="P26" s="27"/>
      <c r="Q26" s="29"/>
      <c r="R26" s="190"/>
      <c r="S26" s="19"/>
      <c r="T26" s="456"/>
      <c r="U26" s="62"/>
      <c r="V26" s="417"/>
    </row>
    <row r="27" spans="2:23" hidden="1" x14ac:dyDescent="0.2">
      <c r="C27" s="176"/>
      <c r="D27" s="43"/>
      <c r="E27" s="42"/>
      <c r="F27" s="42"/>
      <c r="G27" s="43"/>
      <c r="H27" s="65"/>
      <c r="I27" s="24"/>
      <c r="J27" s="51"/>
      <c r="K27" s="24"/>
      <c r="L27" s="44"/>
      <c r="M27" s="348"/>
      <c r="N27" s="24"/>
      <c r="O27" s="24"/>
      <c r="P27" s="24"/>
      <c r="Q27" s="45"/>
      <c r="R27" s="191"/>
      <c r="S27" s="52"/>
      <c r="T27" s="455"/>
      <c r="U27" s="24"/>
      <c r="V27" s="79"/>
      <c r="W27" s="450"/>
    </row>
    <row r="28" spans="2:23" ht="13.5" hidden="1" customHeight="1" thickBot="1" x14ac:dyDescent="0.25">
      <c r="C28" s="101"/>
      <c r="D28" s="62"/>
      <c r="E28" s="25"/>
      <c r="F28" s="25"/>
      <c r="G28" s="62"/>
      <c r="H28" s="26"/>
      <c r="I28" s="27"/>
      <c r="J28" s="31"/>
      <c r="K28" s="27"/>
      <c r="L28" s="28"/>
      <c r="M28" s="349"/>
      <c r="N28" s="27"/>
      <c r="O28" s="27"/>
      <c r="P28" s="27"/>
      <c r="Q28" s="29"/>
      <c r="R28" s="190"/>
      <c r="S28" s="19"/>
      <c r="T28" s="456"/>
      <c r="U28" s="27"/>
      <c r="V28" s="55"/>
    </row>
    <row r="29" spans="2:23" hidden="1" x14ac:dyDescent="0.2">
      <c r="C29" s="238"/>
      <c r="D29" s="36"/>
      <c r="E29" s="37"/>
      <c r="F29" s="37"/>
      <c r="G29" s="36"/>
      <c r="H29" s="259"/>
      <c r="I29" s="259"/>
      <c r="J29" s="260"/>
      <c r="K29" s="38"/>
      <c r="L29" s="48"/>
      <c r="M29" s="350"/>
      <c r="N29" s="38"/>
      <c r="O29" s="38"/>
      <c r="P29" s="38"/>
      <c r="Q29" s="40"/>
      <c r="R29" s="192"/>
      <c r="S29" s="186"/>
      <c r="T29" s="458"/>
      <c r="U29" s="36"/>
      <c r="V29" s="36"/>
    </row>
    <row r="30" spans="2:23" ht="13.5" hidden="1" customHeight="1" thickBot="1" x14ac:dyDescent="0.25">
      <c r="C30" s="101"/>
      <c r="D30" s="62"/>
      <c r="E30" s="25"/>
      <c r="F30" s="25"/>
      <c r="G30" s="62"/>
      <c r="H30" s="27"/>
      <c r="I30" s="27"/>
      <c r="J30" s="31"/>
      <c r="K30" s="27"/>
      <c r="L30" s="28"/>
      <c r="M30" s="349"/>
      <c r="N30" s="27"/>
      <c r="O30" s="27"/>
      <c r="P30" s="27"/>
      <c r="Q30" s="29"/>
      <c r="R30" s="190"/>
      <c r="S30" s="19"/>
      <c r="T30" s="456"/>
      <c r="U30" s="61"/>
      <c r="V30" s="61"/>
    </row>
    <row r="31" spans="2:23" ht="12.75" thickBot="1" x14ac:dyDescent="0.25">
      <c r="I31" s="15"/>
      <c r="R31" s="452"/>
      <c r="S31" s="452"/>
      <c r="T31" s="453"/>
    </row>
    <row r="32" spans="2:23" x14ac:dyDescent="0.2">
      <c r="E32" s="629" t="s">
        <v>34</v>
      </c>
      <c r="F32" s="646">
        <f>+'AGUILAR ESQUIVEL CARLOS'!F34</f>
        <v>45957</v>
      </c>
      <c r="G32" s="647"/>
      <c r="H32" s="16">
        <f>+F32+1</f>
        <v>45958</v>
      </c>
      <c r="I32" s="16">
        <f>+H32+1</f>
        <v>45959</v>
      </c>
      <c r="J32" s="16">
        <f>+I32+1</f>
        <v>45960</v>
      </c>
      <c r="K32" s="16">
        <f>+J32+1</f>
        <v>45961</v>
      </c>
      <c r="L32" s="16">
        <f>+K32+2</f>
        <v>45963</v>
      </c>
      <c r="M32" s="17" t="s">
        <v>35</v>
      </c>
      <c r="P32" s="450"/>
      <c r="Q32" s="450"/>
      <c r="R32" s="450"/>
      <c r="S32" s="450"/>
      <c r="U32" s="450"/>
      <c r="V32" s="450"/>
      <c r="W32" s="450"/>
    </row>
    <row r="33" spans="3:23" ht="12.75" thickBot="1" x14ac:dyDescent="0.25">
      <c r="E33" s="630"/>
      <c r="F33" s="648"/>
      <c r="G33" s="649"/>
      <c r="H33" s="29">
        <v>2090</v>
      </c>
      <c r="I33" s="29">
        <v>1545</v>
      </c>
      <c r="J33" s="29">
        <v>2930</v>
      </c>
      <c r="K33" s="29">
        <v>3395</v>
      </c>
      <c r="L33" s="29">
        <v>1350</v>
      </c>
      <c r="M33" s="30">
        <f>SUM(F33:L33)</f>
        <v>11310</v>
      </c>
    </row>
    <row r="34" spans="3:23" ht="12.75" thickBot="1" x14ac:dyDescent="0.25">
      <c r="H34" s="120" t="s">
        <v>181</v>
      </c>
      <c r="I34" s="15"/>
    </row>
    <row r="35" spans="3:23" ht="14.25" customHeight="1" thickBot="1" x14ac:dyDescent="0.25">
      <c r="C35" s="608" t="s">
        <v>36</v>
      </c>
      <c r="D35" s="609"/>
      <c r="E35" s="609"/>
      <c r="F35" s="609"/>
      <c r="G35" s="610"/>
      <c r="I35" s="620" t="s">
        <v>37</v>
      </c>
      <c r="J35" s="621"/>
      <c r="K35" s="621"/>
      <c r="L35" s="622"/>
      <c r="M35" s="298"/>
      <c r="O35" s="611" t="s">
        <v>38</v>
      </c>
      <c r="P35" s="612"/>
      <c r="Q35" s="613">
        <f>+F47-L44</f>
        <v>11974.050954112234</v>
      </c>
      <c r="R35" s="614"/>
      <c r="S35" s="615"/>
    </row>
    <row r="36" spans="3:23" ht="12.75" thickBot="1" x14ac:dyDescent="0.25">
      <c r="C36" s="616" t="s">
        <v>219</v>
      </c>
      <c r="D36" s="617"/>
      <c r="E36" s="617"/>
      <c r="F36" s="618">
        <f>SUM(Q18:Q31)</f>
        <v>439.99499999999995</v>
      </c>
      <c r="G36" s="619"/>
      <c r="I36" s="114" t="s">
        <v>125</v>
      </c>
      <c r="J36" s="68" t="s">
        <v>126</v>
      </c>
      <c r="K36" s="68" t="s">
        <v>70</v>
      </c>
      <c r="L36" s="115" t="s">
        <v>127</v>
      </c>
      <c r="M36" s="346"/>
    </row>
    <row r="37" spans="3:23" ht="12.75" thickBot="1" x14ac:dyDescent="0.25">
      <c r="C37" s="602" t="s">
        <v>220</v>
      </c>
      <c r="D37" s="603"/>
      <c r="E37" s="603"/>
      <c r="F37" s="604">
        <f>SUM(T18:T31)</f>
        <v>2524.0559541122334</v>
      </c>
      <c r="G37" s="605"/>
      <c r="I37" s="176" t="s">
        <v>371</v>
      </c>
      <c r="J37" s="412"/>
      <c r="K37" s="43"/>
      <c r="L37" s="119">
        <v>3050</v>
      </c>
      <c r="M37" s="346"/>
      <c r="O37" s="74" t="s">
        <v>264</v>
      </c>
      <c r="P37" s="75" t="s">
        <v>71</v>
      </c>
      <c r="Q37" s="76" t="s">
        <v>265</v>
      </c>
      <c r="R37" s="64"/>
      <c r="S37" s="77" t="s">
        <v>266</v>
      </c>
      <c r="T37" s="75" t="s">
        <v>74</v>
      </c>
      <c r="U37" s="74" t="s">
        <v>145</v>
      </c>
      <c r="V37" s="75" t="s">
        <v>146</v>
      </c>
      <c r="W37" s="75" t="s">
        <v>284</v>
      </c>
    </row>
    <row r="38" spans="3:23" x14ac:dyDescent="0.2">
      <c r="C38" s="602" t="s">
        <v>34</v>
      </c>
      <c r="D38" s="603"/>
      <c r="E38" s="603"/>
      <c r="F38" s="604">
        <f>+M33</f>
        <v>11310</v>
      </c>
      <c r="G38" s="605"/>
      <c r="I38" s="94"/>
      <c r="J38" s="117"/>
      <c r="K38" s="61"/>
      <c r="L38" s="111"/>
      <c r="M38" s="346"/>
      <c r="O38" s="78">
        <v>46162</v>
      </c>
      <c r="P38" s="79" t="s">
        <v>156</v>
      </c>
      <c r="Q38" s="80">
        <v>95381</v>
      </c>
      <c r="R38" s="80"/>
      <c r="S38" s="24">
        <v>96156</v>
      </c>
      <c r="T38" s="79">
        <f t="shared" ref="T38:T43" si="0">+S38-Q38</f>
        <v>775</v>
      </c>
      <c r="U38" s="137">
        <f>SUM(J19:J20)</f>
        <v>790</v>
      </c>
      <c r="V38" s="79">
        <f>+K20</f>
        <v>236.02</v>
      </c>
      <c r="W38" s="353">
        <f>(SUM(M19:M20)/2)</f>
        <v>4252.5</v>
      </c>
    </row>
    <row r="39" spans="3:23" x14ac:dyDescent="0.2">
      <c r="C39" s="602" t="s">
        <v>186</v>
      </c>
      <c r="D39" s="603"/>
      <c r="E39" s="603"/>
      <c r="F39" s="604"/>
      <c r="G39" s="605"/>
      <c r="I39" s="94"/>
      <c r="J39" s="117"/>
      <c r="K39" s="61"/>
      <c r="L39" s="111"/>
      <c r="M39" s="346"/>
      <c r="O39" s="32">
        <v>46195</v>
      </c>
      <c r="P39" s="53" t="s">
        <v>156</v>
      </c>
      <c r="Q39" s="63">
        <v>96157</v>
      </c>
      <c r="R39" s="63"/>
      <c r="S39" s="11">
        <v>96963</v>
      </c>
      <c r="T39" s="53">
        <f t="shared" si="0"/>
        <v>806</v>
      </c>
      <c r="U39" s="136">
        <f>SUM(J21:J22)</f>
        <v>790</v>
      </c>
      <c r="V39" s="53">
        <f>+K22</f>
        <v>206.01</v>
      </c>
      <c r="W39" s="354">
        <f>(SUM(M21:M22)/2)</f>
        <v>860</v>
      </c>
    </row>
    <row r="40" spans="3:23" x14ac:dyDescent="0.2">
      <c r="C40" s="602" t="s">
        <v>39</v>
      </c>
      <c r="D40" s="603"/>
      <c r="E40" s="603"/>
      <c r="F40" s="604"/>
      <c r="G40" s="605"/>
      <c r="I40" s="94"/>
      <c r="J40" s="117"/>
      <c r="K40" s="61"/>
      <c r="L40" s="111"/>
      <c r="M40" s="346"/>
      <c r="O40" s="32"/>
      <c r="P40" s="53"/>
      <c r="Q40" s="11"/>
      <c r="R40" s="63"/>
      <c r="S40" s="11"/>
      <c r="T40" s="53">
        <f t="shared" ref="T40:T41" si="1">+S40-Q40</f>
        <v>0</v>
      </c>
      <c r="U40" s="136">
        <f>SUM(J23:J24)</f>
        <v>0</v>
      </c>
      <c r="V40" s="53">
        <f>+K24</f>
        <v>0</v>
      </c>
      <c r="W40" s="354">
        <f>(SUM(M23:M24)/2)</f>
        <v>0</v>
      </c>
    </row>
    <row r="41" spans="3:23" x14ac:dyDescent="0.2">
      <c r="C41" s="602" t="s">
        <v>116</v>
      </c>
      <c r="D41" s="603"/>
      <c r="E41" s="603"/>
      <c r="F41" s="604">
        <v>750</v>
      </c>
      <c r="G41" s="605"/>
      <c r="I41" s="94"/>
      <c r="J41" s="117"/>
      <c r="K41" s="61"/>
      <c r="L41" s="111"/>
      <c r="M41" s="346"/>
      <c r="O41" s="32"/>
      <c r="P41" s="53"/>
      <c r="Q41" s="11"/>
      <c r="R41" s="63"/>
      <c r="S41" s="63"/>
      <c r="T41" s="53">
        <f t="shared" si="1"/>
        <v>0</v>
      </c>
      <c r="U41" s="136">
        <f>SUM(J25:J26)</f>
        <v>0</v>
      </c>
      <c r="V41" s="53">
        <f>+K26</f>
        <v>0</v>
      </c>
      <c r="W41" s="354">
        <f>(SUM(M25:M26)/2)</f>
        <v>0</v>
      </c>
    </row>
    <row r="42" spans="3:23" x14ac:dyDescent="0.2">
      <c r="C42" s="602" t="s">
        <v>40</v>
      </c>
      <c r="D42" s="603"/>
      <c r="E42" s="603"/>
      <c r="F42" s="604"/>
      <c r="G42" s="605"/>
      <c r="I42" s="94"/>
      <c r="J42" s="117"/>
      <c r="K42" s="61"/>
      <c r="L42" s="111"/>
      <c r="M42" s="346"/>
      <c r="O42" s="32"/>
      <c r="P42" s="53"/>
      <c r="Q42" s="63"/>
      <c r="R42" s="95"/>
      <c r="S42" s="11"/>
      <c r="T42" s="53">
        <f t="shared" si="0"/>
        <v>0</v>
      </c>
      <c r="U42" s="136">
        <f>SUM(J27:J28)</f>
        <v>0</v>
      </c>
      <c r="V42" s="53">
        <f>+K28</f>
        <v>0</v>
      </c>
      <c r="W42" s="354">
        <f>(SUM(M27:M28)/2)</f>
        <v>0</v>
      </c>
    </row>
    <row r="43" spans="3:23" ht="12.75" thickBot="1" x14ac:dyDescent="0.25">
      <c r="C43" s="602" t="s">
        <v>124</v>
      </c>
      <c r="D43" s="603"/>
      <c r="E43" s="603"/>
      <c r="F43" s="604"/>
      <c r="G43" s="605"/>
      <c r="I43" s="282"/>
      <c r="J43" s="285"/>
      <c r="K43" s="62"/>
      <c r="L43" s="283"/>
      <c r="M43" s="346"/>
      <c r="O43" s="32"/>
      <c r="P43" s="53"/>
      <c r="Q43" s="63"/>
      <c r="R43" s="95"/>
      <c r="S43" s="11"/>
      <c r="T43" s="53">
        <f t="shared" si="0"/>
        <v>0</v>
      </c>
      <c r="U43" s="136">
        <f>SUM(J29:J30)</f>
        <v>0</v>
      </c>
      <c r="V43" s="53">
        <f>+K30</f>
        <v>0</v>
      </c>
      <c r="W43" s="354">
        <f>(SUM(M29:M30)/2)</f>
        <v>0</v>
      </c>
    </row>
    <row r="44" spans="3:23" ht="13.5" customHeight="1" thickBot="1" x14ac:dyDescent="0.25">
      <c r="C44" s="602" t="s">
        <v>224</v>
      </c>
      <c r="D44" s="603"/>
      <c r="E44" s="603"/>
      <c r="F44" s="606"/>
      <c r="G44" s="607"/>
      <c r="I44" s="597" t="s">
        <v>41</v>
      </c>
      <c r="J44" s="598"/>
      <c r="K44" s="632"/>
      <c r="L44" s="284">
        <f>SUM(L37:L43)</f>
        <v>3050</v>
      </c>
      <c r="M44" s="347"/>
      <c r="O44" s="113"/>
      <c r="P44" s="264"/>
      <c r="Q44" s="265"/>
      <c r="R44" s="83"/>
      <c r="S44" s="81"/>
      <c r="T44" s="82">
        <f>+S44-Q44</f>
        <v>0</v>
      </c>
      <c r="U44" s="138">
        <v>0</v>
      </c>
      <c r="V44" s="55">
        <v>0</v>
      </c>
      <c r="W44" s="355">
        <v>0</v>
      </c>
    </row>
    <row r="45" spans="3:23" ht="15" customHeight="1" x14ac:dyDescent="0.2">
      <c r="C45" s="602" t="s">
        <v>339</v>
      </c>
      <c r="D45" s="603"/>
      <c r="E45" s="603"/>
      <c r="F45" s="606"/>
      <c r="G45" s="607"/>
      <c r="R45" s="21"/>
      <c r="S45" s="21"/>
      <c r="T45" s="21"/>
      <c r="U45" s="139"/>
      <c r="V45" s="271"/>
    </row>
    <row r="46" spans="3:23" ht="13.5" customHeight="1" thickBot="1" x14ac:dyDescent="0.25">
      <c r="C46" s="593" t="s">
        <v>362</v>
      </c>
      <c r="D46" s="594"/>
      <c r="E46" s="594"/>
      <c r="F46" s="595"/>
      <c r="G46" s="596"/>
      <c r="R46" s="21"/>
      <c r="S46" s="21"/>
      <c r="T46" s="21"/>
      <c r="U46" s="139"/>
      <c r="V46" s="271"/>
    </row>
    <row r="47" spans="3:23" ht="13.5" thickBot="1" x14ac:dyDescent="0.25">
      <c r="C47" s="597" t="s">
        <v>42</v>
      </c>
      <c r="D47" s="598"/>
      <c r="E47" s="599"/>
      <c r="F47" s="600">
        <f>SUM(F36:G46)</f>
        <v>15024.050954112234</v>
      </c>
      <c r="G47" s="601"/>
      <c r="I47" s="450"/>
      <c r="J47" s="450"/>
      <c r="K47" s="450"/>
      <c r="L47" s="450"/>
      <c r="R47" s="21"/>
      <c r="S47" s="21"/>
      <c r="T47" s="21"/>
      <c r="U47" s="139"/>
      <c r="V47" s="271"/>
    </row>
    <row r="48" spans="3:23" ht="13.5" customHeight="1" thickBot="1" x14ac:dyDescent="0.25">
      <c r="M48" s="450"/>
      <c r="N48" s="450"/>
      <c r="O48" s="450"/>
      <c r="P48" s="588" t="s">
        <v>48</v>
      </c>
      <c r="Q48" s="589"/>
      <c r="R48" s="590"/>
      <c r="S48" s="21"/>
      <c r="T48" s="21"/>
      <c r="U48" s="139"/>
      <c r="V48" s="271"/>
    </row>
    <row r="49" spans="3:21" ht="12.75" customHeight="1" x14ac:dyDescent="0.2">
      <c r="C49" s="246" t="s">
        <v>43</v>
      </c>
      <c r="D49" s="247"/>
      <c r="E49" s="247"/>
      <c r="F49" s="247"/>
      <c r="G49" s="247"/>
      <c r="H49" s="247"/>
      <c r="I49" s="247"/>
      <c r="J49" s="247"/>
      <c r="K49" s="247"/>
      <c r="L49" s="248"/>
      <c r="P49" s="78">
        <v>1</v>
      </c>
      <c r="Q49" s="584" t="s">
        <v>49</v>
      </c>
      <c r="R49" s="585"/>
      <c r="S49" s="21"/>
      <c r="T49" s="21"/>
      <c r="U49" s="249"/>
    </row>
    <row r="50" spans="3:21" ht="12.75" customHeight="1" x14ac:dyDescent="0.2">
      <c r="C50" s="250"/>
      <c r="D50" s="251"/>
      <c r="E50" s="251"/>
      <c r="F50" s="251"/>
      <c r="G50" s="251"/>
      <c r="H50" s="251"/>
      <c r="I50" s="251"/>
      <c r="J50" s="251"/>
      <c r="K50" s="251"/>
      <c r="L50" s="252"/>
      <c r="P50" s="32">
        <v>2</v>
      </c>
      <c r="Q50" s="586" t="s">
        <v>135</v>
      </c>
      <c r="R50" s="587"/>
      <c r="S50" s="21"/>
      <c r="T50" s="249"/>
    </row>
    <row r="51" spans="3:21" ht="12.75" thickBot="1" x14ac:dyDescent="0.25">
      <c r="C51" s="253"/>
      <c r="D51" s="254"/>
      <c r="E51" s="254"/>
      <c r="F51" s="254"/>
      <c r="G51" s="254"/>
      <c r="H51" s="254"/>
      <c r="I51" s="254"/>
      <c r="J51" s="254"/>
      <c r="K51" s="254"/>
      <c r="L51" s="255"/>
      <c r="P51" s="32">
        <v>3</v>
      </c>
      <c r="Q51" s="586" t="s">
        <v>130</v>
      </c>
      <c r="R51" s="587"/>
      <c r="S51" s="21"/>
      <c r="T51" s="249"/>
    </row>
    <row r="52" spans="3:21" x14ac:dyDescent="0.2">
      <c r="P52" s="32">
        <v>4</v>
      </c>
      <c r="Q52" s="586" t="s">
        <v>228</v>
      </c>
      <c r="R52" s="587"/>
      <c r="S52" s="21"/>
      <c r="T52" s="249"/>
    </row>
    <row r="53" spans="3:21" ht="12.75" thickBot="1" x14ac:dyDescent="0.25">
      <c r="P53" s="32">
        <v>5</v>
      </c>
      <c r="Q53" s="586" t="s">
        <v>229</v>
      </c>
      <c r="R53" s="587"/>
      <c r="S53" s="21"/>
    </row>
    <row r="54" spans="3:21" ht="14.25" customHeight="1" thickTop="1" thickBot="1" x14ac:dyDescent="0.25">
      <c r="D54" s="631" t="s">
        <v>44</v>
      </c>
      <c r="E54" s="631"/>
      <c r="F54" s="631"/>
      <c r="G54" s="631"/>
      <c r="H54" s="631"/>
      <c r="J54" s="631" t="s">
        <v>45</v>
      </c>
      <c r="K54" s="631"/>
      <c r="L54" s="631"/>
      <c r="M54" s="631"/>
      <c r="N54" s="631"/>
      <c r="P54" s="54">
        <v>6</v>
      </c>
      <c r="Q54" s="591" t="s">
        <v>230</v>
      </c>
      <c r="R54" s="592"/>
      <c r="S54" s="21"/>
      <c r="T54" s="21"/>
    </row>
    <row r="55" spans="3:21" x14ac:dyDescent="0.2">
      <c r="S55" s="21"/>
      <c r="T55" s="21"/>
    </row>
  </sheetData>
  <mergeCells count="56">
    <mergeCell ref="D54:H54"/>
    <mergeCell ref="J54:N54"/>
    <mergeCell ref="I44:K44"/>
    <mergeCell ref="F45:G45"/>
    <mergeCell ref="C46:E46"/>
    <mergeCell ref="F46:G46"/>
    <mergeCell ref="C47:E47"/>
    <mergeCell ref="F47:G47"/>
    <mergeCell ref="C45:E45"/>
    <mergeCell ref="C43:E43"/>
    <mergeCell ref="F43:G43"/>
    <mergeCell ref="C42:E42"/>
    <mergeCell ref="C44:E44"/>
    <mergeCell ref="F44:G44"/>
    <mergeCell ref="F41:G41"/>
    <mergeCell ref="C41:E41"/>
    <mergeCell ref="C38:E38"/>
    <mergeCell ref="F38:G38"/>
    <mergeCell ref="F42:G42"/>
    <mergeCell ref="C39:E39"/>
    <mergeCell ref="F39:G39"/>
    <mergeCell ref="C36:E36"/>
    <mergeCell ref="F36:G36"/>
    <mergeCell ref="C40:E40"/>
    <mergeCell ref="F40:G40"/>
    <mergeCell ref="C37:E37"/>
    <mergeCell ref="F37:G37"/>
    <mergeCell ref="Q6:S6"/>
    <mergeCell ref="I9:O9"/>
    <mergeCell ref="L11:S11"/>
    <mergeCell ref="E12:F12"/>
    <mergeCell ref="I35:L35"/>
    <mergeCell ref="D13:E13"/>
    <mergeCell ref="D14:E14"/>
    <mergeCell ref="D15:E15"/>
    <mergeCell ref="D16:E16"/>
    <mergeCell ref="E32:E33"/>
    <mergeCell ref="F32:G32"/>
    <mergeCell ref="F33:G33"/>
    <mergeCell ref="C35:G35"/>
    <mergeCell ref="Q54:R54"/>
    <mergeCell ref="Q2:S2"/>
    <mergeCell ref="I3:O3"/>
    <mergeCell ref="Q3:S3"/>
    <mergeCell ref="I4:O4"/>
    <mergeCell ref="I5:O5"/>
    <mergeCell ref="Q5:S5"/>
    <mergeCell ref="O35:P35"/>
    <mergeCell ref="Q35:S35"/>
    <mergeCell ref="P48:R48"/>
    <mergeCell ref="Q49:R49"/>
    <mergeCell ref="Q50:R50"/>
    <mergeCell ref="Q51:R51"/>
    <mergeCell ref="Q52:R52"/>
    <mergeCell ref="Q53:R53"/>
    <mergeCell ref="I6:O6"/>
  </mergeCells>
  <pageMargins left="0.19685039370078741" right="0.19685039370078741" top="0.35433070866141736" bottom="0.35433070866141736" header="0.31496062992125984" footer="0.31496062992125984"/>
  <pageSetup paperSize="9" scale="74" orientation="landscape" horizontalDpi="300" verticalDpi="300" r:id="rId1"/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Hoja21">
    <pageSetUpPr fitToPage="1"/>
  </sheetPr>
  <dimension ref="C1:W58"/>
  <sheetViews>
    <sheetView topLeftCell="A6" zoomScaleNormal="100" workbookViewId="0">
      <selection activeCell="V22" sqref="V22"/>
    </sheetView>
  </sheetViews>
  <sheetFormatPr baseColWidth="10" defaultColWidth="9.140625" defaultRowHeight="12" x14ac:dyDescent="0.2"/>
  <cols>
    <col min="1" max="1" width="2.28515625" style="14" customWidth="1"/>
    <col min="2" max="2" width="3.5703125" style="14" customWidth="1"/>
    <col min="3" max="3" width="11.85546875" style="14" customWidth="1"/>
    <col min="4" max="4" width="12.85546875" style="14" customWidth="1"/>
    <col min="5" max="5" width="7.85546875" style="14" customWidth="1"/>
    <col min="6" max="6" width="8.85546875" style="14" customWidth="1"/>
    <col min="7" max="7" width="3" style="14" bestFit="1" customWidth="1"/>
    <col min="8" max="8" width="10.85546875" style="14" customWidth="1"/>
    <col min="9" max="9" width="12.28515625" style="14" customWidth="1"/>
    <col min="10" max="10" width="10" style="14" customWidth="1"/>
    <col min="11" max="11" width="9.5703125" style="14" customWidth="1"/>
    <col min="12" max="12" width="12.42578125" style="14" customWidth="1"/>
    <col min="13" max="13" width="12.7109375" style="14" customWidth="1"/>
    <col min="14" max="14" width="10.7109375" style="14" customWidth="1"/>
    <col min="15" max="15" width="10.42578125" style="14" customWidth="1"/>
    <col min="16" max="16" width="11.85546875" style="14" customWidth="1"/>
    <col min="17" max="17" width="11" style="14" customWidth="1"/>
    <col min="18" max="18" width="10" style="14" hidden="1" customWidth="1"/>
    <col min="19" max="19" width="10.28515625" style="14" customWidth="1"/>
    <col min="20" max="20" width="11.5703125" style="14" bestFit="1" customWidth="1"/>
    <col min="21" max="21" width="10" style="14" customWidth="1"/>
    <col min="22" max="22" width="7.85546875" style="14" customWidth="1"/>
    <col min="23" max="23" width="11.140625" style="14" customWidth="1"/>
    <col min="24" max="24" width="9.140625" style="14" customWidth="1"/>
    <col min="25" max="259" width="9.140625" style="14"/>
    <col min="260" max="260" width="5.7109375" style="14" customWidth="1"/>
    <col min="261" max="261" width="13.140625" style="14" customWidth="1"/>
    <col min="262" max="262" width="12.28515625" style="14" customWidth="1"/>
    <col min="263" max="263" width="8.85546875" style="14" customWidth="1"/>
    <col min="264" max="264" width="10.85546875" style="14" customWidth="1"/>
    <col min="265" max="265" width="2.85546875" style="14" customWidth="1"/>
    <col min="266" max="266" width="12.140625" style="14" customWidth="1"/>
    <col min="267" max="267" width="10.140625" style="14" customWidth="1"/>
    <col min="268" max="268" width="11.7109375" style="14" customWidth="1"/>
    <col min="269" max="269" width="11.42578125" style="14" customWidth="1"/>
    <col min="270" max="270" width="12.7109375" style="14" customWidth="1"/>
    <col min="271" max="271" width="11.42578125" style="14" customWidth="1"/>
    <col min="272" max="272" width="10.7109375" style="14" customWidth="1"/>
    <col min="273" max="273" width="10.5703125" style="14" customWidth="1"/>
    <col min="274" max="274" width="11.28515625" style="14" customWidth="1"/>
    <col min="275" max="275" width="9.7109375" style="14" customWidth="1"/>
    <col min="276" max="276" width="12" style="14" customWidth="1"/>
    <col min="277" max="277" width="11.28515625" style="14" customWidth="1"/>
    <col min="278" max="515" width="9.140625" style="14"/>
    <col min="516" max="516" width="5.7109375" style="14" customWidth="1"/>
    <col min="517" max="517" width="13.140625" style="14" customWidth="1"/>
    <col min="518" max="518" width="12.28515625" style="14" customWidth="1"/>
    <col min="519" max="519" width="8.85546875" style="14" customWidth="1"/>
    <col min="520" max="520" width="10.85546875" style="14" customWidth="1"/>
    <col min="521" max="521" width="2.85546875" style="14" customWidth="1"/>
    <col min="522" max="522" width="12.140625" style="14" customWidth="1"/>
    <col min="523" max="523" width="10.140625" style="14" customWidth="1"/>
    <col min="524" max="524" width="11.7109375" style="14" customWidth="1"/>
    <col min="525" max="525" width="11.42578125" style="14" customWidth="1"/>
    <col min="526" max="526" width="12.7109375" style="14" customWidth="1"/>
    <col min="527" max="527" width="11.42578125" style="14" customWidth="1"/>
    <col min="528" max="528" width="10.7109375" style="14" customWidth="1"/>
    <col min="529" max="529" width="10.5703125" style="14" customWidth="1"/>
    <col min="530" max="530" width="11.28515625" style="14" customWidth="1"/>
    <col min="531" max="531" width="9.7109375" style="14" customWidth="1"/>
    <col min="532" max="532" width="12" style="14" customWidth="1"/>
    <col min="533" max="533" width="11.28515625" style="14" customWidth="1"/>
    <col min="534" max="771" width="9.140625" style="14"/>
    <col min="772" max="772" width="5.7109375" style="14" customWidth="1"/>
    <col min="773" max="773" width="13.140625" style="14" customWidth="1"/>
    <col min="774" max="774" width="12.28515625" style="14" customWidth="1"/>
    <col min="775" max="775" width="8.85546875" style="14" customWidth="1"/>
    <col min="776" max="776" width="10.85546875" style="14" customWidth="1"/>
    <col min="777" max="777" width="2.85546875" style="14" customWidth="1"/>
    <col min="778" max="778" width="12.140625" style="14" customWidth="1"/>
    <col min="779" max="779" width="10.140625" style="14" customWidth="1"/>
    <col min="780" max="780" width="11.7109375" style="14" customWidth="1"/>
    <col min="781" max="781" width="11.42578125" style="14" customWidth="1"/>
    <col min="782" max="782" width="12.7109375" style="14" customWidth="1"/>
    <col min="783" max="783" width="11.42578125" style="14" customWidth="1"/>
    <col min="784" max="784" width="10.7109375" style="14" customWidth="1"/>
    <col min="785" max="785" width="10.5703125" style="14" customWidth="1"/>
    <col min="786" max="786" width="11.28515625" style="14" customWidth="1"/>
    <col min="787" max="787" width="9.7109375" style="14" customWidth="1"/>
    <col min="788" max="788" width="12" style="14" customWidth="1"/>
    <col min="789" max="789" width="11.28515625" style="14" customWidth="1"/>
    <col min="790" max="1027" width="9.140625" style="14"/>
    <col min="1028" max="1028" width="5.7109375" style="14" customWidth="1"/>
    <col min="1029" max="1029" width="13.140625" style="14" customWidth="1"/>
    <col min="1030" max="1030" width="12.28515625" style="14" customWidth="1"/>
    <col min="1031" max="1031" width="8.85546875" style="14" customWidth="1"/>
    <col min="1032" max="1032" width="10.85546875" style="14" customWidth="1"/>
    <col min="1033" max="1033" width="2.85546875" style="14" customWidth="1"/>
    <col min="1034" max="1034" width="12.140625" style="14" customWidth="1"/>
    <col min="1035" max="1035" width="10.140625" style="14" customWidth="1"/>
    <col min="1036" max="1036" width="11.7109375" style="14" customWidth="1"/>
    <col min="1037" max="1037" width="11.42578125" style="14" customWidth="1"/>
    <col min="1038" max="1038" width="12.7109375" style="14" customWidth="1"/>
    <col min="1039" max="1039" width="11.42578125" style="14" customWidth="1"/>
    <col min="1040" max="1040" width="10.7109375" style="14" customWidth="1"/>
    <col min="1041" max="1041" width="10.5703125" style="14" customWidth="1"/>
    <col min="1042" max="1042" width="11.28515625" style="14" customWidth="1"/>
    <col min="1043" max="1043" width="9.7109375" style="14" customWidth="1"/>
    <col min="1044" max="1044" width="12" style="14" customWidth="1"/>
    <col min="1045" max="1045" width="11.28515625" style="14" customWidth="1"/>
    <col min="1046" max="1283" width="9.140625" style="14"/>
    <col min="1284" max="1284" width="5.7109375" style="14" customWidth="1"/>
    <col min="1285" max="1285" width="13.140625" style="14" customWidth="1"/>
    <col min="1286" max="1286" width="12.28515625" style="14" customWidth="1"/>
    <col min="1287" max="1287" width="8.85546875" style="14" customWidth="1"/>
    <col min="1288" max="1288" width="10.85546875" style="14" customWidth="1"/>
    <col min="1289" max="1289" width="2.85546875" style="14" customWidth="1"/>
    <col min="1290" max="1290" width="12.140625" style="14" customWidth="1"/>
    <col min="1291" max="1291" width="10.140625" style="14" customWidth="1"/>
    <col min="1292" max="1292" width="11.7109375" style="14" customWidth="1"/>
    <col min="1293" max="1293" width="11.42578125" style="14" customWidth="1"/>
    <col min="1294" max="1294" width="12.7109375" style="14" customWidth="1"/>
    <col min="1295" max="1295" width="11.42578125" style="14" customWidth="1"/>
    <col min="1296" max="1296" width="10.7109375" style="14" customWidth="1"/>
    <col min="1297" max="1297" width="10.5703125" style="14" customWidth="1"/>
    <col min="1298" max="1298" width="11.28515625" style="14" customWidth="1"/>
    <col min="1299" max="1299" width="9.7109375" style="14" customWidth="1"/>
    <col min="1300" max="1300" width="12" style="14" customWidth="1"/>
    <col min="1301" max="1301" width="11.28515625" style="14" customWidth="1"/>
    <col min="1302" max="1539" width="9.140625" style="14"/>
    <col min="1540" max="1540" width="5.7109375" style="14" customWidth="1"/>
    <col min="1541" max="1541" width="13.140625" style="14" customWidth="1"/>
    <col min="1542" max="1542" width="12.28515625" style="14" customWidth="1"/>
    <col min="1543" max="1543" width="8.85546875" style="14" customWidth="1"/>
    <col min="1544" max="1544" width="10.85546875" style="14" customWidth="1"/>
    <col min="1545" max="1545" width="2.85546875" style="14" customWidth="1"/>
    <col min="1546" max="1546" width="12.140625" style="14" customWidth="1"/>
    <col min="1547" max="1547" width="10.140625" style="14" customWidth="1"/>
    <col min="1548" max="1548" width="11.7109375" style="14" customWidth="1"/>
    <col min="1549" max="1549" width="11.42578125" style="14" customWidth="1"/>
    <col min="1550" max="1550" width="12.7109375" style="14" customWidth="1"/>
    <col min="1551" max="1551" width="11.42578125" style="14" customWidth="1"/>
    <col min="1552" max="1552" width="10.7109375" style="14" customWidth="1"/>
    <col min="1553" max="1553" width="10.5703125" style="14" customWidth="1"/>
    <col min="1554" max="1554" width="11.28515625" style="14" customWidth="1"/>
    <col min="1555" max="1555" width="9.7109375" style="14" customWidth="1"/>
    <col min="1556" max="1556" width="12" style="14" customWidth="1"/>
    <col min="1557" max="1557" width="11.28515625" style="14" customWidth="1"/>
    <col min="1558" max="1795" width="9.140625" style="14"/>
    <col min="1796" max="1796" width="5.7109375" style="14" customWidth="1"/>
    <col min="1797" max="1797" width="13.140625" style="14" customWidth="1"/>
    <col min="1798" max="1798" width="12.28515625" style="14" customWidth="1"/>
    <col min="1799" max="1799" width="8.85546875" style="14" customWidth="1"/>
    <col min="1800" max="1800" width="10.85546875" style="14" customWidth="1"/>
    <col min="1801" max="1801" width="2.85546875" style="14" customWidth="1"/>
    <col min="1802" max="1802" width="12.140625" style="14" customWidth="1"/>
    <col min="1803" max="1803" width="10.140625" style="14" customWidth="1"/>
    <col min="1804" max="1804" width="11.7109375" style="14" customWidth="1"/>
    <col min="1805" max="1805" width="11.42578125" style="14" customWidth="1"/>
    <col min="1806" max="1806" width="12.7109375" style="14" customWidth="1"/>
    <col min="1807" max="1807" width="11.42578125" style="14" customWidth="1"/>
    <col min="1808" max="1808" width="10.7109375" style="14" customWidth="1"/>
    <col min="1809" max="1809" width="10.5703125" style="14" customWidth="1"/>
    <col min="1810" max="1810" width="11.28515625" style="14" customWidth="1"/>
    <col min="1811" max="1811" width="9.7109375" style="14" customWidth="1"/>
    <col min="1812" max="1812" width="12" style="14" customWidth="1"/>
    <col min="1813" max="1813" width="11.28515625" style="14" customWidth="1"/>
    <col min="1814" max="2051" width="9.140625" style="14"/>
    <col min="2052" max="2052" width="5.7109375" style="14" customWidth="1"/>
    <col min="2053" max="2053" width="13.140625" style="14" customWidth="1"/>
    <col min="2054" max="2054" width="12.28515625" style="14" customWidth="1"/>
    <col min="2055" max="2055" width="8.85546875" style="14" customWidth="1"/>
    <col min="2056" max="2056" width="10.85546875" style="14" customWidth="1"/>
    <col min="2057" max="2057" width="2.85546875" style="14" customWidth="1"/>
    <col min="2058" max="2058" width="12.140625" style="14" customWidth="1"/>
    <col min="2059" max="2059" width="10.140625" style="14" customWidth="1"/>
    <col min="2060" max="2060" width="11.7109375" style="14" customWidth="1"/>
    <col min="2061" max="2061" width="11.42578125" style="14" customWidth="1"/>
    <col min="2062" max="2062" width="12.7109375" style="14" customWidth="1"/>
    <col min="2063" max="2063" width="11.42578125" style="14" customWidth="1"/>
    <col min="2064" max="2064" width="10.7109375" style="14" customWidth="1"/>
    <col min="2065" max="2065" width="10.5703125" style="14" customWidth="1"/>
    <col min="2066" max="2066" width="11.28515625" style="14" customWidth="1"/>
    <col min="2067" max="2067" width="9.7109375" style="14" customWidth="1"/>
    <col min="2068" max="2068" width="12" style="14" customWidth="1"/>
    <col min="2069" max="2069" width="11.28515625" style="14" customWidth="1"/>
    <col min="2070" max="2307" width="9.140625" style="14"/>
    <col min="2308" max="2308" width="5.7109375" style="14" customWidth="1"/>
    <col min="2309" max="2309" width="13.140625" style="14" customWidth="1"/>
    <col min="2310" max="2310" width="12.28515625" style="14" customWidth="1"/>
    <col min="2311" max="2311" width="8.85546875" style="14" customWidth="1"/>
    <col min="2312" max="2312" width="10.85546875" style="14" customWidth="1"/>
    <col min="2313" max="2313" width="2.85546875" style="14" customWidth="1"/>
    <col min="2314" max="2314" width="12.140625" style="14" customWidth="1"/>
    <col min="2315" max="2315" width="10.140625" style="14" customWidth="1"/>
    <col min="2316" max="2316" width="11.7109375" style="14" customWidth="1"/>
    <col min="2317" max="2317" width="11.42578125" style="14" customWidth="1"/>
    <col min="2318" max="2318" width="12.7109375" style="14" customWidth="1"/>
    <col min="2319" max="2319" width="11.42578125" style="14" customWidth="1"/>
    <col min="2320" max="2320" width="10.7109375" style="14" customWidth="1"/>
    <col min="2321" max="2321" width="10.5703125" style="14" customWidth="1"/>
    <col min="2322" max="2322" width="11.28515625" style="14" customWidth="1"/>
    <col min="2323" max="2323" width="9.7109375" style="14" customWidth="1"/>
    <col min="2324" max="2324" width="12" style="14" customWidth="1"/>
    <col min="2325" max="2325" width="11.28515625" style="14" customWidth="1"/>
    <col min="2326" max="2563" width="9.140625" style="14"/>
    <col min="2564" max="2564" width="5.7109375" style="14" customWidth="1"/>
    <col min="2565" max="2565" width="13.140625" style="14" customWidth="1"/>
    <col min="2566" max="2566" width="12.28515625" style="14" customWidth="1"/>
    <col min="2567" max="2567" width="8.85546875" style="14" customWidth="1"/>
    <col min="2568" max="2568" width="10.85546875" style="14" customWidth="1"/>
    <col min="2569" max="2569" width="2.85546875" style="14" customWidth="1"/>
    <col min="2570" max="2570" width="12.140625" style="14" customWidth="1"/>
    <col min="2571" max="2571" width="10.140625" style="14" customWidth="1"/>
    <col min="2572" max="2572" width="11.7109375" style="14" customWidth="1"/>
    <col min="2573" max="2573" width="11.42578125" style="14" customWidth="1"/>
    <col min="2574" max="2574" width="12.7109375" style="14" customWidth="1"/>
    <col min="2575" max="2575" width="11.42578125" style="14" customWidth="1"/>
    <col min="2576" max="2576" width="10.7109375" style="14" customWidth="1"/>
    <col min="2577" max="2577" width="10.5703125" style="14" customWidth="1"/>
    <col min="2578" max="2578" width="11.28515625" style="14" customWidth="1"/>
    <col min="2579" max="2579" width="9.7109375" style="14" customWidth="1"/>
    <col min="2580" max="2580" width="12" style="14" customWidth="1"/>
    <col min="2581" max="2581" width="11.28515625" style="14" customWidth="1"/>
    <col min="2582" max="2819" width="9.140625" style="14"/>
    <col min="2820" max="2820" width="5.7109375" style="14" customWidth="1"/>
    <col min="2821" max="2821" width="13.140625" style="14" customWidth="1"/>
    <col min="2822" max="2822" width="12.28515625" style="14" customWidth="1"/>
    <col min="2823" max="2823" width="8.85546875" style="14" customWidth="1"/>
    <col min="2824" max="2824" width="10.85546875" style="14" customWidth="1"/>
    <col min="2825" max="2825" width="2.85546875" style="14" customWidth="1"/>
    <col min="2826" max="2826" width="12.140625" style="14" customWidth="1"/>
    <col min="2827" max="2827" width="10.140625" style="14" customWidth="1"/>
    <col min="2828" max="2828" width="11.7109375" style="14" customWidth="1"/>
    <col min="2829" max="2829" width="11.42578125" style="14" customWidth="1"/>
    <col min="2830" max="2830" width="12.7109375" style="14" customWidth="1"/>
    <col min="2831" max="2831" width="11.42578125" style="14" customWidth="1"/>
    <col min="2832" max="2832" width="10.7109375" style="14" customWidth="1"/>
    <col min="2833" max="2833" width="10.5703125" style="14" customWidth="1"/>
    <col min="2834" max="2834" width="11.28515625" style="14" customWidth="1"/>
    <col min="2835" max="2835" width="9.7109375" style="14" customWidth="1"/>
    <col min="2836" max="2836" width="12" style="14" customWidth="1"/>
    <col min="2837" max="2837" width="11.28515625" style="14" customWidth="1"/>
    <col min="2838" max="3075" width="9.140625" style="14"/>
    <col min="3076" max="3076" width="5.7109375" style="14" customWidth="1"/>
    <col min="3077" max="3077" width="13.140625" style="14" customWidth="1"/>
    <col min="3078" max="3078" width="12.28515625" style="14" customWidth="1"/>
    <col min="3079" max="3079" width="8.85546875" style="14" customWidth="1"/>
    <col min="3080" max="3080" width="10.85546875" style="14" customWidth="1"/>
    <col min="3081" max="3081" width="2.85546875" style="14" customWidth="1"/>
    <col min="3082" max="3082" width="12.140625" style="14" customWidth="1"/>
    <col min="3083" max="3083" width="10.140625" style="14" customWidth="1"/>
    <col min="3084" max="3084" width="11.7109375" style="14" customWidth="1"/>
    <col min="3085" max="3085" width="11.42578125" style="14" customWidth="1"/>
    <col min="3086" max="3086" width="12.7109375" style="14" customWidth="1"/>
    <col min="3087" max="3087" width="11.42578125" style="14" customWidth="1"/>
    <col min="3088" max="3088" width="10.7109375" style="14" customWidth="1"/>
    <col min="3089" max="3089" width="10.5703125" style="14" customWidth="1"/>
    <col min="3090" max="3090" width="11.28515625" style="14" customWidth="1"/>
    <col min="3091" max="3091" width="9.7109375" style="14" customWidth="1"/>
    <col min="3092" max="3092" width="12" style="14" customWidth="1"/>
    <col min="3093" max="3093" width="11.28515625" style="14" customWidth="1"/>
    <col min="3094" max="3331" width="9.140625" style="14"/>
    <col min="3332" max="3332" width="5.7109375" style="14" customWidth="1"/>
    <col min="3333" max="3333" width="13.140625" style="14" customWidth="1"/>
    <col min="3334" max="3334" width="12.28515625" style="14" customWidth="1"/>
    <col min="3335" max="3335" width="8.85546875" style="14" customWidth="1"/>
    <col min="3336" max="3336" width="10.85546875" style="14" customWidth="1"/>
    <col min="3337" max="3337" width="2.85546875" style="14" customWidth="1"/>
    <col min="3338" max="3338" width="12.140625" style="14" customWidth="1"/>
    <col min="3339" max="3339" width="10.140625" style="14" customWidth="1"/>
    <col min="3340" max="3340" width="11.7109375" style="14" customWidth="1"/>
    <col min="3341" max="3341" width="11.42578125" style="14" customWidth="1"/>
    <col min="3342" max="3342" width="12.7109375" style="14" customWidth="1"/>
    <col min="3343" max="3343" width="11.42578125" style="14" customWidth="1"/>
    <col min="3344" max="3344" width="10.7109375" style="14" customWidth="1"/>
    <col min="3345" max="3345" width="10.5703125" style="14" customWidth="1"/>
    <col min="3346" max="3346" width="11.28515625" style="14" customWidth="1"/>
    <col min="3347" max="3347" width="9.7109375" style="14" customWidth="1"/>
    <col min="3348" max="3348" width="12" style="14" customWidth="1"/>
    <col min="3349" max="3349" width="11.28515625" style="14" customWidth="1"/>
    <col min="3350" max="3587" width="9.140625" style="14"/>
    <col min="3588" max="3588" width="5.7109375" style="14" customWidth="1"/>
    <col min="3589" max="3589" width="13.140625" style="14" customWidth="1"/>
    <col min="3590" max="3590" width="12.28515625" style="14" customWidth="1"/>
    <col min="3591" max="3591" width="8.85546875" style="14" customWidth="1"/>
    <col min="3592" max="3592" width="10.85546875" style="14" customWidth="1"/>
    <col min="3593" max="3593" width="2.85546875" style="14" customWidth="1"/>
    <col min="3594" max="3594" width="12.140625" style="14" customWidth="1"/>
    <col min="3595" max="3595" width="10.140625" style="14" customWidth="1"/>
    <col min="3596" max="3596" width="11.7109375" style="14" customWidth="1"/>
    <col min="3597" max="3597" width="11.42578125" style="14" customWidth="1"/>
    <col min="3598" max="3598" width="12.7109375" style="14" customWidth="1"/>
    <col min="3599" max="3599" width="11.42578125" style="14" customWidth="1"/>
    <col min="3600" max="3600" width="10.7109375" style="14" customWidth="1"/>
    <col min="3601" max="3601" width="10.5703125" style="14" customWidth="1"/>
    <col min="3602" max="3602" width="11.28515625" style="14" customWidth="1"/>
    <col min="3603" max="3603" width="9.7109375" style="14" customWidth="1"/>
    <col min="3604" max="3604" width="12" style="14" customWidth="1"/>
    <col min="3605" max="3605" width="11.28515625" style="14" customWidth="1"/>
    <col min="3606" max="3843" width="9.140625" style="14"/>
    <col min="3844" max="3844" width="5.7109375" style="14" customWidth="1"/>
    <col min="3845" max="3845" width="13.140625" style="14" customWidth="1"/>
    <col min="3846" max="3846" width="12.28515625" style="14" customWidth="1"/>
    <col min="3847" max="3847" width="8.85546875" style="14" customWidth="1"/>
    <col min="3848" max="3848" width="10.85546875" style="14" customWidth="1"/>
    <col min="3849" max="3849" width="2.85546875" style="14" customWidth="1"/>
    <col min="3850" max="3850" width="12.140625" style="14" customWidth="1"/>
    <col min="3851" max="3851" width="10.140625" style="14" customWidth="1"/>
    <col min="3852" max="3852" width="11.7109375" style="14" customWidth="1"/>
    <col min="3853" max="3853" width="11.42578125" style="14" customWidth="1"/>
    <col min="3854" max="3854" width="12.7109375" style="14" customWidth="1"/>
    <col min="3855" max="3855" width="11.42578125" style="14" customWidth="1"/>
    <col min="3856" max="3856" width="10.7109375" style="14" customWidth="1"/>
    <col min="3857" max="3857" width="10.5703125" style="14" customWidth="1"/>
    <col min="3858" max="3858" width="11.28515625" style="14" customWidth="1"/>
    <col min="3859" max="3859" width="9.7109375" style="14" customWidth="1"/>
    <col min="3860" max="3860" width="12" style="14" customWidth="1"/>
    <col min="3861" max="3861" width="11.28515625" style="14" customWidth="1"/>
    <col min="3862" max="4099" width="9.140625" style="14"/>
    <col min="4100" max="4100" width="5.7109375" style="14" customWidth="1"/>
    <col min="4101" max="4101" width="13.140625" style="14" customWidth="1"/>
    <col min="4102" max="4102" width="12.28515625" style="14" customWidth="1"/>
    <col min="4103" max="4103" width="8.85546875" style="14" customWidth="1"/>
    <col min="4104" max="4104" width="10.85546875" style="14" customWidth="1"/>
    <col min="4105" max="4105" width="2.85546875" style="14" customWidth="1"/>
    <col min="4106" max="4106" width="12.140625" style="14" customWidth="1"/>
    <col min="4107" max="4107" width="10.140625" style="14" customWidth="1"/>
    <col min="4108" max="4108" width="11.7109375" style="14" customWidth="1"/>
    <col min="4109" max="4109" width="11.42578125" style="14" customWidth="1"/>
    <col min="4110" max="4110" width="12.7109375" style="14" customWidth="1"/>
    <col min="4111" max="4111" width="11.42578125" style="14" customWidth="1"/>
    <col min="4112" max="4112" width="10.7109375" style="14" customWidth="1"/>
    <col min="4113" max="4113" width="10.5703125" style="14" customWidth="1"/>
    <col min="4114" max="4114" width="11.28515625" style="14" customWidth="1"/>
    <col min="4115" max="4115" width="9.7109375" style="14" customWidth="1"/>
    <col min="4116" max="4116" width="12" style="14" customWidth="1"/>
    <col min="4117" max="4117" width="11.28515625" style="14" customWidth="1"/>
    <col min="4118" max="4355" width="9.140625" style="14"/>
    <col min="4356" max="4356" width="5.7109375" style="14" customWidth="1"/>
    <col min="4357" max="4357" width="13.140625" style="14" customWidth="1"/>
    <col min="4358" max="4358" width="12.28515625" style="14" customWidth="1"/>
    <col min="4359" max="4359" width="8.85546875" style="14" customWidth="1"/>
    <col min="4360" max="4360" width="10.85546875" style="14" customWidth="1"/>
    <col min="4361" max="4361" width="2.85546875" style="14" customWidth="1"/>
    <col min="4362" max="4362" width="12.140625" style="14" customWidth="1"/>
    <col min="4363" max="4363" width="10.140625" style="14" customWidth="1"/>
    <col min="4364" max="4364" width="11.7109375" style="14" customWidth="1"/>
    <col min="4365" max="4365" width="11.42578125" style="14" customWidth="1"/>
    <col min="4366" max="4366" width="12.7109375" style="14" customWidth="1"/>
    <col min="4367" max="4367" width="11.42578125" style="14" customWidth="1"/>
    <col min="4368" max="4368" width="10.7109375" style="14" customWidth="1"/>
    <col min="4369" max="4369" width="10.5703125" style="14" customWidth="1"/>
    <col min="4370" max="4370" width="11.28515625" style="14" customWidth="1"/>
    <col min="4371" max="4371" width="9.7109375" style="14" customWidth="1"/>
    <col min="4372" max="4372" width="12" style="14" customWidth="1"/>
    <col min="4373" max="4373" width="11.28515625" style="14" customWidth="1"/>
    <col min="4374" max="4611" width="9.140625" style="14"/>
    <col min="4612" max="4612" width="5.7109375" style="14" customWidth="1"/>
    <col min="4613" max="4613" width="13.140625" style="14" customWidth="1"/>
    <col min="4614" max="4614" width="12.28515625" style="14" customWidth="1"/>
    <col min="4615" max="4615" width="8.85546875" style="14" customWidth="1"/>
    <col min="4616" max="4616" width="10.85546875" style="14" customWidth="1"/>
    <col min="4617" max="4617" width="2.85546875" style="14" customWidth="1"/>
    <col min="4618" max="4618" width="12.140625" style="14" customWidth="1"/>
    <col min="4619" max="4619" width="10.140625" style="14" customWidth="1"/>
    <col min="4620" max="4620" width="11.7109375" style="14" customWidth="1"/>
    <col min="4621" max="4621" width="11.42578125" style="14" customWidth="1"/>
    <col min="4622" max="4622" width="12.7109375" style="14" customWidth="1"/>
    <col min="4623" max="4623" width="11.42578125" style="14" customWidth="1"/>
    <col min="4624" max="4624" width="10.7109375" style="14" customWidth="1"/>
    <col min="4625" max="4625" width="10.5703125" style="14" customWidth="1"/>
    <col min="4626" max="4626" width="11.28515625" style="14" customWidth="1"/>
    <col min="4627" max="4627" width="9.7109375" style="14" customWidth="1"/>
    <col min="4628" max="4628" width="12" style="14" customWidth="1"/>
    <col min="4629" max="4629" width="11.28515625" style="14" customWidth="1"/>
    <col min="4630" max="4867" width="9.140625" style="14"/>
    <col min="4868" max="4868" width="5.7109375" style="14" customWidth="1"/>
    <col min="4869" max="4869" width="13.140625" style="14" customWidth="1"/>
    <col min="4870" max="4870" width="12.28515625" style="14" customWidth="1"/>
    <col min="4871" max="4871" width="8.85546875" style="14" customWidth="1"/>
    <col min="4872" max="4872" width="10.85546875" style="14" customWidth="1"/>
    <col min="4873" max="4873" width="2.85546875" style="14" customWidth="1"/>
    <col min="4874" max="4874" width="12.140625" style="14" customWidth="1"/>
    <col min="4875" max="4875" width="10.140625" style="14" customWidth="1"/>
    <col min="4876" max="4876" width="11.7109375" style="14" customWidth="1"/>
    <col min="4877" max="4877" width="11.42578125" style="14" customWidth="1"/>
    <col min="4878" max="4878" width="12.7109375" style="14" customWidth="1"/>
    <col min="4879" max="4879" width="11.42578125" style="14" customWidth="1"/>
    <col min="4880" max="4880" width="10.7109375" style="14" customWidth="1"/>
    <col min="4881" max="4881" width="10.5703125" style="14" customWidth="1"/>
    <col min="4882" max="4882" width="11.28515625" style="14" customWidth="1"/>
    <col min="4883" max="4883" width="9.7109375" style="14" customWidth="1"/>
    <col min="4884" max="4884" width="12" style="14" customWidth="1"/>
    <col min="4885" max="4885" width="11.28515625" style="14" customWidth="1"/>
    <col min="4886" max="5123" width="9.140625" style="14"/>
    <col min="5124" max="5124" width="5.7109375" style="14" customWidth="1"/>
    <col min="5125" max="5125" width="13.140625" style="14" customWidth="1"/>
    <col min="5126" max="5126" width="12.28515625" style="14" customWidth="1"/>
    <col min="5127" max="5127" width="8.85546875" style="14" customWidth="1"/>
    <col min="5128" max="5128" width="10.85546875" style="14" customWidth="1"/>
    <col min="5129" max="5129" width="2.85546875" style="14" customWidth="1"/>
    <col min="5130" max="5130" width="12.140625" style="14" customWidth="1"/>
    <col min="5131" max="5131" width="10.140625" style="14" customWidth="1"/>
    <col min="5132" max="5132" width="11.7109375" style="14" customWidth="1"/>
    <col min="5133" max="5133" width="11.42578125" style="14" customWidth="1"/>
    <col min="5134" max="5134" width="12.7109375" style="14" customWidth="1"/>
    <col min="5135" max="5135" width="11.42578125" style="14" customWidth="1"/>
    <col min="5136" max="5136" width="10.7109375" style="14" customWidth="1"/>
    <col min="5137" max="5137" width="10.5703125" style="14" customWidth="1"/>
    <col min="5138" max="5138" width="11.28515625" style="14" customWidth="1"/>
    <col min="5139" max="5139" width="9.7109375" style="14" customWidth="1"/>
    <col min="5140" max="5140" width="12" style="14" customWidth="1"/>
    <col min="5141" max="5141" width="11.28515625" style="14" customWidth="1"/>
    <col min="5142" max="5379" width="9.140625" style="14"/>
    <col min="5380" max="5380" width="5.7109375" style="14" customWidth="1"/>
    <col min="5381" max="5381" width="13.140625" style="14" customWidth="1"/>
    <col min="5382" max="5382" width="12.28515625" style="14" customWidth="1"/>
    <col min="5383" max="5383" width="8.85546875" style="14" customWidth="1"/>
    <col min="5384" max="5384" width="10.85546875" style="14" customWidth="1"/>
    <col min="5385" max="5385" width="2.85546875" style="14" customWidth="1"/>
    <col min="5386" max="5386" width="12.140625" style="14" customWidth="1"/>
    <col min="5387" max="5387" width="10.140625" style="14" customWidth="1"/>
    <col min="5388" max="5388" width="11.7109375" style="14" customWidth="1"/>
    <col min="5389" max="5389" width="11.42578125" style="14" customWidth="1"/>
    <col min="5390" max="5390" width="12.7109375" style="14" customWidth="1"/>
    <col min="5391" max="5391" width="11.42578125" style="14" customWidth="1"/>
    <col min="5392" max="5392" width="10.7109375" style="14" customWidth="1"/>
    <col min="5393" max="5393" width="10.5703125" style="14" customWidth="1"/>
    <col min="5394" max="5394" width="11.28515625" style="14" customWidth="1"/>
    <col min="5395" max="5395" width="9.7109375" style="14" customWidth="1"/>
    <col min="5396" max="5396" width="12" style="14" customWidth="1"/>
    <col min="5397" max="5397" width="11.28515625" style="14" customWidth="1"/>
    <col min="5398" max="5635" width="9.140625" style="14"/>
    <col min="5636" max="5636" width="5.7109375" style="14" customWidth="1"/>
    <col min="5637" max="5637" width="13.140625" style="14" customWidth="1"/>
    <col min="5638" max="5638" width="12.28515625" style="14" customWidth="1"/>
    <col min="5639" max="5639" width="8.85546875" style="14" customWidth="1"/>
    <col min="5640" max="5640" width="10.85546875" style="14" customWidth="1"/>
    <col min="5641" max="5641" width="2.85546875" style="14" customWidth="1"/>
    <col min="5642" max="5642" width="12.140625" style="14" customWidth="1"/>
    <col min="5643" max="5643" width="10.140625" style="14" customWidth="1"/>
    <col min="5644" max="5644" width="11.7109375" style="14" customWidth="1"/>
    <col min="5645" max="5645" width="11.42578125" style="14" customWidth="1"/>
    <col min="5646" max="5646" width="12.7109375" style="14" customWidth="1"/>
    <col min="5647" max="5647" width="11.42578125" style="14" customWidth="1"/>
    <col min="5648" max="5648" width="10.7109375" style="14" customWidth="1"/>
    <col min="5649" max="5649" width="10.5703125" style="14" customWidth="1"/>
    <col min="5650" max="5650" width="11.28515625" style="14" customWidth="1"/>
    <col min="5651" max="5651" width="9.7109375" style="14" customWidth="1"/>
    <col min="5652" max="5652" width="12" style="14" customWidth="1"/>
    <col min="5653" max="5653" width="11.28515625" style="14" customWidth="1"/>
    <col min="5654" max="5891" width="9.140625" style="14"/>
    <col min="5892" max="5892" width="5.7109375" style="14" customWidth="1"/>
    <col min="5893" max="5893" width="13.140625" style="14" customWidth="1"/>
    <col min="5894" max="5894" width="12.28515625" style="14" customWidth="1"/>
    <col min="5895" max="5895" width="8.85546875" style="14" customWidth="1"/>
    <col min="5896" max="5896" width="10.85546875" style="14" customWidth="1"/>
    <col min="5897" max="5897" width="2.85546875" style="14" customWidth="1"/>
    <col min="5898" max="5898" width="12.140625" style="14" customWidth="1"/>
    <col min="5899" max="5899" width="10.140625" style="14" customWidth="1"/>
    <col min="5900" max="5900" width="11.7109375" style="14" customWidth="1"/>
    <col min="5901" max="5901" width="11.42578125" style="14" customWidth="1"/>
    <col min="5902" max="5902" width="12.7109375" style="14" customWidth="1"/>
    <col min="5903" max="5903" width="11.42578125" style="14" customWidth="1"/>
    <col min="5904" max="5904" width="10.7109375" style="14" customWidth="1"/>
    <col min="5905" max="5905" width="10.5703125" style="14" customWidth="1"/>
    <col min="5906" max="5906" width="11.28515625" style="14" customWidth="1"/>
    <col min="5907" max="5907" width="9.7109375" style="14" customWidth="1"/>
    <col min="5908" max="5908" width="12" style="14" customWidth="1"/>
    <col min="5909" max="5909" width="11.28515625" style="14" customWidth="1"/>
    <col min="5910" max="6147" width="9.140625" style="14"/>
    <col min="6148" max="6148" width="5.7109375" style="14" customWidth="1"/>
    <col min="6149" max="6149" width="13.140625" style="14" customWidth="1"/>
    <col min="6150" max="6150" width="12.28515625" style="14" customWidth="1"/>
    <col min="6151" max="6151" width="8.85546875" style="14" customWidth="1"/>
    <col min="6152" max="6152" width="10.85546875" style="14" customWidth="1"/>
    <col min="6153" max="6153" width="2.85546875" style="14" customWidth="1"/>
    <col min="6154" max="6154" width="12.140625" style="14" customWidth="1"/>
    <col min="6155" max="6155" width="10.140625" style="14" customWidth="1"/>
    <col min="6156" max="6156" width="11.7109375" style="14" customWidth="1"/>
    <col min="6157" max="6157" width="11.42578125" style="14" customWidth="1"/>
    <col min="6158" max="6158" width="12.7109375" style="14" customWidth="1"/>
    <col min="6159" max="6159" width="11.42578125" style="14" customWidth="1"/>
    <col min="6160" max="6160" width="10.7109375" style="14" customWidth="1"/>
    <col min="6161" max="6161" width="10.5703125" style="14" customWidth="1"/>
    <col min="6162" max="6162" width="11.28515625" style="14" customWidth="1"/>
    <col min="6163" max="6163" width="9.7109375" style="14" customWidth="1"/>
    <col min="6164" max="6164" width="12" style="14" customWidth="1"/>
    <col min="6165" max="6165" width="11.28515625" style="14" customWidth="1"/>
    <col min="6166" max="6403" width="9.140625" style="14"/>
    <col min="6404" max="6404" width="5.7109375" style="14" customWidth="1"/>
    <col min="6405" max="6405" width="13.140625" style="14" customWidth="1"/>
    <col min="6406" max="6406" width="12.28515625" style="14" customWidth="1"/>
    <col min="6407" max="6407" width="8.85546875" style="14" customWidth="1"/>
    <col min="6408" max="6408" width="10.85546875" style="14" customWidth="1"/>
    <col min="6409" max="6409" width="2.85546875" style="14" customWidth="1"/>
    <col min="6410" max="6410" width="12.140625" style="14" customWidth="1"/>
    <col min="6411" max="6411" width="10.140625" style="14" customWidth="1"/>
    <col min="6412" max="6412" width="11.7109375" style="14" customWidth="1"/>
    <col min="6413" max="6413" width="11.42578125" style="14" customWidth="1"/>
    <col min="6414" max="6414" width="12.7109375" style="14" customWidth="1"/>
    <col min="6415" max="6415" width="11.42578125" style="14" customWidth="1"/>
    <col min="6416" max="6416" width="10.7109375" style="14" customWidth="1"/>
    <col min="6417" max="6417" width="10.5703125" style="14" customWidth="1"/>
    <col min="6418" max="6418" width="11.28515625" style="14" customWidth="1"/>
    <col min="6419" max="6419" width="9.7109375" style="14" customWidth="1"/>
    <col min="6420" max="6420" width="12" style="14" customWidth="1"/>
    <col min="6421" max="6421" width="11.28515625" style="14" customWidth="1"/>
    <col min="6422" max="6659" width="9.140625" style="14"/>
    <col min="6660" max="6660" width="5.7109375" style="14" customWidth="1"/>
    <col min="6661" max="6661" width="13.140625" style="14" customWidth="1"/>
    <col min="6662" max="6662" width="12.28515625" style="14" customWidth="1"/>
    <col min="6663" max="6663" width="8.85546875" style="14" customWidth="1"/>
    <col min="6664" max="6664" width="10.85546875" style="14" customWidth="1"/>
    <col min="6665" max="6665" width="2.85546875" style="14" customWidth="1"/>
    <col min="6666" max="6666" width="12.140625" style="14" customWidth="1"/>
    <col min="6667" max="6667" width="10.140625" style="14" customWidth="1"/>
    <col min="6668" max="6668" width="11.7109375" style="14" customWidth="1"/>
    <col min="6669" max="6669" width="11.42578125" style="14" customWidth="1"/>
    <col min="6670" max="6670" width="12.7109375" style="14" customWidth="1"/>
    <col min="6671" max="6671" width="11.42578125" style="14" customWidth="1"/>
    <col min="6672" max="6672" width="10.7109375" style="14" customWidth="1"/>
    <col min="6673" max="6673" width="10.5703125" style="14" customWidth="1"/>
    <col min="6674" max="6674" width="11.28515625" style="14" customWidth="1"/>
    <col min="6675" max="6675" width="9.7109375" style="14" customWidth="1"/>
    <col min="6676" max="6676" width="12" style="14" customWidth="1"/>
    <col min="6677" max="6677" width="11.28515625" style="14" customWidth="1"/>
    <col min="6678" max="6915" width="9.140625" style="14"/>
    <col min="6916" max="6916" width="5.7109375" style="14" customWidth="1"/>
    <col min="6917" max="6917" width="13.140625" style="14" customWidth="1"/>
    <col min="6918" max="6918" width="12.28515625" style="14" customWidth="1"/>
    <col min="6919" max="6919" width="8.85546875" style="14" customWidth="1"/>
    <col min="6920" max="6920" width="10.85546875" style="14" customWidth="1"/>
    <col min="6921" max="6921" width="2.85546875" style="14" customWidth="1"/>
    <col min="6922" max="6922" width="12.140625" style="14" customWidth="1"/>
    <col min="6923" max="6923" width="10.140625" style="14" customWidth="1"/>
    <col min="6924" max="6924" width="11.7109375" style="14" customWidth="1"/>
    <col min="6925" max="6925" width="11.42578125" style="14" customWidth="1"/>
    <col min="6926" max="6926" width="12.7109375" style="14" customWidth="1"/>
    <col min="6927" max="6927" width="11.42578125" style="14" customWidth="1"/>
    <col min="6928" max="6928" width="10.7109375" style="14" customWidth="1"/>
    <col min="6929" max="6929" width="10.5703125" style="14" customWidth="1"/>
    <col min="6930" max="6930" width="11.28515625" style="14" customWidth="1"/>
    <col min="6931" max="6931" width="9.7109375" style="14" customWidth="1"/>
    <col min="6932" max="6932" width="12" style="14" customWidth="1"/>
    <col min="6933" max="6933" width="11.28515625" style="14" customWidth="1"/>
    <col min="6934" max="7171" width="9.140625" style="14"/>
    <col min="7172" max="7172" width="5.7109375" style="14" customWidth="1"/>
    <col min="7173" max="7173" width="13.140625" style="14" customWidth="1"/>
    <col min="7174" max="7174" width="12.28515625" style="14" customWidth="1"/>
    <col min="7175" max="7175" width="8.85546875" style="14" customWidth="1"/>
    <col min="7176" max="7176" width="10.85546875" style="14" customWidth="1"/>
    <col min="7177" max="7177" width="2.85546875" style="14" customWidth="1"/>
    <col min="7178" max="7178" width="12.140625" style="14" customWidth="1"/>
    <col min="7179" max="7179" width="10.140625" style="14" customWidth="1"/>
    <col min="7180" max="7180" width="11.7109375" style="14" customWidth="1"/>
    <col min="7181" max="7181" width="11.42578125" style="14" customWidth="1"/>
    <col min="7182" max="7182" width="12.7109375" style="14" customWidth="1"/>
    <col min="7183" max="7183" width="11.42578125" style="14" customWidth="1"/>
    <col min="7184" max="7184" width="10.7109375" style="14" customWidth="1"/>
    <col min="7185" max="7185" width="10.5703125" style="14" customWidth="1"/>
    <col min="7186" max="7186" width="11.28515625" style="14" customWidth="1"/>
    <col min="7187" max="7187" width="9.7109375" style="14" customWidth="1"/>
    <col min="7188" max="7188" width="12" style="14" customWidth="1"/>
    <col min="7189" max="7189" width="11.28515625" style="14" customWidth="1"/>
    <col min="7190" max="7427" width="9.140625" style="14"/>
    <col min="7428" max="7428" width="5.7109375" style="14" customWidth="1"/>
    <col min="7429" max="7429" width="13.140625" style="14" customWidth="1"/>
    <col min="7430" max="7430" width="12.28515625" style="14" customWidth="1"/>
    <col min="7431" max="7431" width="8.85546875" style="14" customWidth="1"/>
    <col min="7432" max="7432" width="10.85546875" style="14" customWidth="1"/>
    <col min="7433" max="7433" width="2.85546875" style="14" customWidth="1"/>
    <col min="7434" max="7434" width="12.140625" style="14" customWidth="1"/>
    <col min="7435" max="7435" width="10.140625" style="14" customWidth="1"/>
    <col min="7436" max="7436" width="11.7109375" style="14" customWidth="1"/>
    <col min="7437" max="7437" width="11.42578125" style="14" customWidth="1"/>
    <col min="7438" max="7438" width="12.7109375" style="14" customWidth="1"/>
    <col min="7439" max="7439" width="11.42578125" style="14" customWidth="1"/>
    <col min="7440" max="7440" width="10.7109375" style="14" customWidth="1"/>
    <col min="7441" max="7441" width="10.5703125" style="14" customWidth="1"/>
    <col min="7442" max="7442" width="11.28515625" style="14" customWidth="1"/>
    <col min="7443" max="7443" width="9.7109375" style="14" customWidth="1"/>
    <col min="7444" max="7444" width="12" style="14" customWidth="1"/>
    <col min="7445" max="7445" width="11.28515625" style="14" customWidth="1"/>
    <col min="7446" max="7683" width="9.140625" style="14"/>
    <col min="7684" max="7684" width="5.7109375" style="14" customWidth="1"/>
    <col min="7685" max="7685" width="13.140625" style="14" customWidth="1"/>
    <col min="7686" max="7686" width="12.28515625" style="14" customWidth="1"/>
    <col min="7687" max="7687" width="8.85546875" style="14" customWidth="1"/>
    <col min="7688" max="7688" width="10.85546875" style="14" customWidth="1"/>
    <col min="7689" max="7689" width="2.85546875" style="14" customWidth="1"/>
    <col min="7690" max="7690" width="12.140625" style="14" customWidth="1"/>
    <col min="7691" max="7691" width="10.140625" style="14" customWidth="1"/>
    <col min="7692" max="7692" width="11.7109375" style="14" customWidth="1"/>
    <col min="7693" max="7693" width="11.42578125" style="14" customWidth="1"/>
    <col min="7694" max="7694" width="12.7109375" style="14" customWidth="1"/>
    <col min="7695" max="7695" width="11.42578125" style="14" customWidth="1"/>
    <col min="7696" max="7696" width="10.7109375" style="14" customWidth="1"/>
    <col min="7697" max="7697" width="10.5703125" style="14" customWidth="1"/>
    <col min="7698" max="7698" width="11.28515625" style="14" customWidth="1"/>
    <col min="7699" max="7699" width="9.7109375" style="14" customWidth="1"/>
    <col min="7700" max="7700" width="12" style="14" customWidth="1"/>
    <col min="7701" max="7701" width="11.28515625" style="14" customWidth="1"/>
    <col min="7702" max="7939" width="9.140625" style="14"/>
    <col min="7940" max="7940" width="5.7109375" style="14" customWidth="1"/>
    <col min="7941" max="7941" width="13.140625" style="14" customWidth="1"/>
    <col min="7942" max="7942" width="12.28515625" style="14" customWidth="1"/>
    <col min="7943" max="7943" width="8.85546875" style="14" customWidth="1"/>
    <col min="7944" max="7944" width="10.85546875" style="14" customWidth="1"/>
    <col min="7945" max="7945" width="2.85546875" style="14" customWidth="1"/>
    <col min="7946" max="7946" width="12.140625" style="14" customWidth="1"/>
    <col min="7947" max="7947" width="10.140625" style="14" customWidth="1"/>
    <col min="7948" max="7948" width="11.7109375" style="14" customWidth="1"/>
    <col min="7949" max="7949" width="11.42578125" style="14" customWidth="1"/>
    <col min="7950" max="7950" width="12.7109375" style="14" customWidth="1"/>
    <col min="7951" max="7951" width="11.42578125" style="14" customWidth="1"/>
    <col min="7952" max="7952" width="10.7109375" style="14" customWidth="1"/>
    <col min="7953" max="7953" width="10.5703125" style="14" customWidth="1"/>
    <col min="7954" max="7954" width="11.28515625" style="14" customWidth="1"/>
    <col min="7955" max="7955" width="9.7109375" style="14" customWidth="1"/>
    <col min="7956" max="7956" width="12" style="14" customWidth="1"/>
    <col min="7957" max="7957" width="11.28515625" style="14" customWidth="1"/>
    <col min="7958" max="8195" width="9.140625" style="14"/>
    <col min="8196" max="8196" width="5.7109375" style="14" customWidth="1"/>
    <col min="8197" max="8197" width="13.140625" style="14" customWidth="1"/>
    <col min="8198" max="8198" width="12.28515625" style="14" customWidth="1"/>
    <col min="8199" max="8199" width="8.85546875" style="14" customWidth="1"/>
    <col min="8200" max="8200" width="10.85546875" style="14" customWidth="1"/>
    <col min="8201" max="8201" width="2.85546875" style="14" customWidth="1"/>
    <col min="8202" max="8202" width="12.140625" style="14" customWidth="1"/>
    <col min="8203" max="8203" width="10.140625" style="14" customWidth="1"/>
    <col min="8204" max="8204" width="11.7109375" style="14" customWidth="1"/>
    <col min="8205" max="8205" width="11.42578125" style="14" customWidth="1"/>
    <col min="8206" max="8206" width="12.7109375" style="14" customWidth="1"/>
    <col min="8207" max="8207" width="11.42578125" style="14" customWidth="1"/>
    <col min="8208" max="8208" width="10.7109375" style="14" customWidth="1"/>
    <col min="8209" max="8209" width="10.5703125" style="14" customWidth="1"/>
    <col min="8210" max="8210" width="11.28515625" style="14" customWidth="1"/>
    <col min="8211" max="8211" width="9.7109375" style="14" customWidth="1"/>
    <col min="8212" max="8212" width="12" style="14" customWidth="1"/>
    <col min="8213" max="8213" width="11.28515625" style="14" customWidth="1"/>
    <col min="8214" max="8451" width="9.140625" style="14"/>
    <col min="8452" max="8452" width="5.7109375" style="14" customWidth="1"/>
    <col min="8453" max="8453" width="13.140625" style="14" customWidth="1"/>
    <col min="8454" max="8454" width="12.28515625" style="14" customWidth="1"/>
    <col min="8455" max="8455" width="8.85546875" style="14" customWidth="1"/>
    <col min="8456" max="8456" width="10.85546875" style="14" customWidth="1"/>
    <col min="8457" max="8457" width="2.85546875" style="14" customWidth="1"/>
    <col min="8458" max="8458" width="12.140625" style="14" customWidth="1"/>
    <col min="8459" max="8459" width="10.140625" style="14" customWidth="1"/>
    <col min="8460" max="8460" width="11.7109375" style="14" customWidth="1"/>
    <col min="8461" max="8461" width="11.42578125" style="14" customWidth="1"/>
    <col min="8462" max="8462" width="12.7109375" style="14" customWidth="1"/>
    <col min="8463" max="8463" width="11.42578125" style="14" customWidth="1"/>
    <col min="8464" max="8464" width="10.7109375" style="14" customWidth="1"/>
    <col min="8465" max="8465" width="10.5703125" style="14" customWidth="1"/>
    <col min="8466" max="8466" width="11.28515625" style="14" customWidth="1"/>
    <col min="8467" max="8467" width="9.7109375" style="14" customWidth="1"/>
    <col min="8468" max="8468" width="12" style="14" customWidth="1"/>
    <col min="8469" max="8469" width="11.28515625" style="14" customWidth="1"/>
    <col min="8470" max="8707" width="9.140625" style="14"/>
    <col min="8708" max="8708" width="5.7109375" style="14" customWidth="1"/>
    <col min="8709" max="8709" width="13.140625" style="14" customWidth="1"/>
    <col min="8710" max="8710" width="12.28515625" style="14" customWidth="1"/>
    <col min="8711" max="8711" width="8.85546875" style="14" customWidth="1"/>
    <col min="8712" max="8712" width="10.85546875" style="14" customWidth="1"/>
    <col min="8713" max="8713" width="2.85546875" style="14" customWidth="1"/>
    <col min="8714" max="8714" width="12.140625" style="14" customWidth="1"/>
    <col min="8715" max="8715" width="10.140625" style="14" customWidth="1"/>
    <col min="8716" max="8716" width="11.7109375" style="14" customWidth="1"/>
    <col min="8717" max="8717" width="11.42578125" style="14" customWidth="1"/>
    <col min="8718" max="8718" width="12.7109375" style="14" customWidth="1"/>
    <col min="8719" max="8719" width="11.42578125" style="14" customWidth="1"/>
    <col min="8720" max="8720" width="10.7109375" style="14" customWidth="1"/>
    <col min="8721" max="8721" width="10.5703125" style="14" customWidth="1"/>
    <col min="8722" max="8722" width="11.28515625" style="14" customWidth="1"/>
    <col min="8723" max="8723" width="9.7109375" style="14" customWidth="1"/>
    <col min="8724" max="8724" width="12" style="14" customWidth="1"/>
    <col min="8725" max="8725" width="11.28515625" style="14" customWidth="1"/>
    <col min="8726" max="8963" width="9.140625" style="14"/>
    <col min="8964" max="8964" width="5.7109375" style="14" customWidth="1"/>
    <col min="8965" max="8965" width="13.140625" style="14" customWidth="1"/>
    <col min="8966" max="8966" width="12.28515625" style="14" customWidth="1"/>
    <col min="8967" max="8967" width="8.85546875" style="14" customWidth="1"/>
    <col min="8968" max="8968" width="10.85546875" style="14" customWidth="1"/>
    <col min="8969" max="8969" width="2.85546875" style="14" customWidth="1"/>
    <col min="8970" max="8970" width="12.140625" style="14" customWidth="1"/>
    <col min="8971" max="8971" width="10.140625" style="14" customWidth="1"/>
    <col min="8972" max="8972" width="11.7109375" style="14" customWidth="1"/>
    <col min="8973" max="8973" width="11.42578125" style="14" customWidth="1"/>
    <col min="8974" max="8974" width="12.7109375" style="14" customWidth="1"/>
    <col min="8975" max="8975" width="11.42578125" style="14" customWidth="1"/>
    <col min="8976" max="8976" width="10.7109375" style="14" customWidth="1"/>
    <col min="8977" max="8977" width="10.5703125" style="14" customWidth="1"/>
    <col min="8978" max="8978" width="11.28515625" style="14" customWidth="1"/>
    <col min="8979" max="8979" width="9.7109375" style="14" customWidth="1"/>
    <col min="8980" max="8980" width="12" style="14" customWidth="1"/>
    <col min="8981" max="8981" width="11.28515625" style="14" customWidth="1"/>
    <col min="8982" max="9219" width="9.140625" style="14"/>
    <col min="9220" max="9220" width="5.7109375" style="14" customWidth="1"/>
    <col min="9221" max="9221" width="13.140625" style="14" customWidth="1"/>
    <col min="9222" max="9222" width="12.28515625" style="14" customWidth="1"/>
    <col min="9223" max="9223" width="8.85546875" style="14" customWidth="1"/>
    <col min="9224" max="9224" width="10.85546875" style="14" customWidth="1"/>
    <col min="9225" max="9225" width="2.85546875" style="14" customWidth="1"/>
    <col min="9226" max="9226" width="12.140625" style="14" customWidth="1"/>
    <col min="9227" max="9227" width="10.140625" style="14" customWidth="1"/>
    <col min="9228" max="9228" width="11.7109375" style="14" customWidth="1"/>
    <col min="9229" max="9229" width="11.42578125" style="14" customWidth="1"/>
    <col min="9230" max="9230" width="12.7109375" style="14" customWidth="1"/>
    <col min="9231" max="9231" width="11.42578125" style="14" customWidth="1"/>
    <col min="9232" max="9232" width="10.7109375" style="14" customWidth="1"/>
    <col min="9233" max="9233" width="10.5703125" style="14" customWidth="1"/>
    <col min="9234" max="9234" width="11.28515625" style="14" customWidth="1"/>
    <col min="9235" max="9235" width="9.7109375" style="14" customWidth="1"/>
    <col min="9236" max="9236" width="12" style="14" customWidth="1"/>
    <col min="9237" max="9237" width="11.28515625" style="14" customWidth="1"/>
    <col min="9238" max="9475" width="9.140625" style="14"/>
    <col min="9476" max="9476" width="5.7109375" style="14" customWidth="1"/>
    <col min="9477" max="9477" width="13.140625" style="14" customWidth="1"/>
    <col min="9478" max="9478" width="12.28515625" style="14" customWidth="1"/>
    <col min="9479" max="9479" width="8.85546875" style="14" customWidth="1"/>
    <col min="9480" max="9480" width="10.85546875" style="14" customWidth="1"/>
    <col min="9481" max="9481" width="2.85546875" style="14" customWidth="1"/>
    <col min="9482" max="9482" width="12.140625" style="14" customWidth="1"/>
    <col min="9483" max="9483" width="10.140625" style="14" customWidth="1"/>
    <col min="9484" max="9484" width="11.7109375" style="14" customWidth="1"/>
    <col min="9485" max="9485" width="11.42578125" style="14" customWidth="1"/>
    <col min="9486" max="9486" width="12.7109375" style="14" customWidth="1"/>
    <col min="9487" max="9487" width="11.42578125" style="14" customWidth="1"/>
    <col min="9488" max="9488" width="10.7109375" style="14" customWidth="1"/>
    <col min="9489" max="9489" width="10.5703125" style="14" customWidth="1"/>
    <col min="9490" max="9490" width="11.28515625" style="14" customWidth="1"/>
    <col min="9491" max="9491" width="9.7109375" style="14" customWidth="1"/>
    <col min="9492" max="9492" width="12" style="14" customWidth="1"/>
    <col min="9493" max="9493" width="11.28515625" style="14" customWidth="1"/>
    <col min="9494" max="9731" width="9.140625" style="14"/>
    <col min="9732" max="9732" width="5.7109375" style="14" customWidth="1"/>
    <col min="9733" max="9733" width="13.140625" style="14" customWidth="1"/>
    <col min="9734" max="9734" width="12.28515625" style="14" customWidth="1"/>
    <col min="9735" max="9735" width="8.85546875" style="14" customWidth="1"/>
    <col min="9736" max="9736" width="10.85546875" style="14" customWidth="1"/>
    <col min="9737" max="9737" width="2.85546875" style="14" customWidth="1"/>
    <col min="9738" max="9738" width="12.140625" style="14" customWidth="1"/>
    <col min="9739" max="9739" width="10.140625" style="14" customWidth="1"/>
    <col min="9740" max="9740" width="11.7109375" style="14" customWidth="1"/>
    <col min="9741" max="9741" width="11.42578125" style="14" customWidth="1"/>
    <col min="9742" max="9742" width="12.7109375" style="14" customWidth="1"/>
    <col min="9743" max="9743" width="11.42578125" style="14" customWidth="1"/>
    <col min="9744" max="9744" width="10.7109375" style="14" customWidth="1"/>
    <col min="9745" max="9745" width="10.5703125" style="14" customWidth="1"/>
    <col min="9746" max="9746" width="11.28515625" style="14" customWidth="1"/>
    <col min="9747" max="9747" width="9.7109375" style="14" customWidth="1"/>
    <col min="9748" max="9748" width="12" style="14" customWidth="1"/>
    <col min="9749" max="9749" width="11.28515625" style="14" customWidth="1"/>
    <col min="9750" max="9987" width="9.140625" style="14"/>
    <col min="9988" max="9988" width="5.7109375" style="14" customWidth="1"/>
    <col min="9989" max="9989" width="13.140625" style="14" customWidth="1"/>
    <col min="9990" max="9990" width="12.28515625" style="14" customWidth="1"/>
    <col min="9991" max="9991" width="8.85546875" style="14" customWidth="1"/>
    <col min="9992" max="9992" width="10.85546875" style="14" customWidth="1"/>
    <col min="9993" max="9993" width="2.85546875" style="14" customWidth="1"/>
    <col min="9994" max="9994" width="12.140625" style="14" customWidth="1"/>
    <col min="9995" max="9995" width="10.140625" style="14" customWidth="1"/>
    <col min="9996" max="9996" width="11.7109375" style="14" customWidth="1"/>
    <col min="9997" max="9997" width="11.42578125" style="14" customWidth="1"/>
    <col min="9998" max="9998" width="12.7109375" style="14" customWidth="1"/>
    <col min="9999" max="9999" width="11.42578125" style="14" customWidth="1"/>
    <col min="10000" max="10000" width="10.7109375" style="14" customWidth="1"/>
    <col min="10001" max="10001" width="10.5703125" style="14" customWidth="1"/>
    <col min="10002" max="10002" width="11.28515625" style="14" customWidth="1"/>
    <col min="10003" max="10003" width="9.7109375" style="14" customWidth="1"/>
    <col min="10004" max="10004" width="12" style="14" customWidth="1"/>
    <col min="10005" max="10005" width="11.28515625" style="14" customWidth="1"/>
    <col min="10006" max="10243" width="9.140625" style="14"/>
    <col min="10244" max="10244" width="5.7109375" style="14" customWidth="1"/>
    <col min="10245" max="10245" width="13.140625" style="14" customWidth="1"/>
    <col min="10246" max="10246" width="12.28515625" style="14" customWidth="1"/>
    <col min="10247" max="10247" width="8.85546875" style="14" customWidth="1"/>
    <col min="10248" max="10248" width="10.85546875" style="14" customWidth="1"/>
    <col min="10249" max="10249" width="2.85546875" style="14" customWidth="1"/>
    <col min="10250" max="10250" width="12.140625" style="14" customWidth="1"/>
    <col min="10251" max="10251" width="10.140625" style="14" customWidth="1"/>
    <col min="10252" max="10252" width="11.7109375" style="14" customWidth="1"/>
    <col min="10253" max="10253" width="11.42578125" style="14" customWidth="1"/>
    <col min="10254" max="10254" width="12.7109375" style="14" customWidth="1"/>
    <col min="10255" max="10255" width="11.42578125" style="14" customWidth="1"/>
    <col min="10256" max="10256" width="10.7109375" style="14" customWidth="1"/>
    <col min="10257" max="10257" width="10.5703125" style="14" customWidth="1"/>
    <col min="10258" max="10258" width="11.28515625" style="14" customWidth="1"/>
    <col min="10259" max="10259" width="9.7109375" style="14" customWidth="1"/>
    <col min="10260" max="10260" width="12" style="14" customWidth="1"/>
    <col min="10261" max="10261" width="11.28515625" style="14" customWidth="1"/>
    <col min="10262" max="10499" width="9.140625" style="14"/>
    <col min="10500" max="10500" width="5.7109375" style="14" customWidth="1"/>
    <col min="10501" max="10501" width="13.140625" style="14" customWidth="1"/>
    <col min="10502" max="10502" width="12.28515625" style="14" customWidth="1"/>
    <col min="10503" max="10503" width="8.85546875" style="14" customWidth="1"/>
    <col min="10504" max="10504" width="10.85546875" style="14" customWidth="1"/>
    <col min="10505" max="10505" width="2.85546875" style="14" customWidth="1"/>
    <col min="10506" max="10506" width="12.140625" style="14" customWidth="1"/>
    <col min="10507" max="10507" width="10.140625" style="14" customWidth="1"/>
    <col min="10508" max="10508" width="11.7109375" style="14" customWidth="1"/>
    <col min="10509" max="10509" width="11.42578125" style="14" customWidth="1"/>
    <col min="10510" max="10510" width="12.7109375" style="14" customWidth="1"/>
    <col min="10511" max="10511" width="11.42578125" style="14" customWidth="1"/>
    <col min="10512" max="10512" width="10.7109375" style="14" customWidth="1"/>
    <col min="10513" max="10513" width="10.5703125" style="14" customWidth="1"/>
    <col min="10514" max="10514" width="11.28515625" style="14" customWidth="1"/>
    <col min="10515" max="10515" width="9.7109375" style="14" customWidth="1"/>
    <col min="10516" max="10516" width="12" style="14" customWidth="1"/>
    <col min="10517" max="10517" width="11.28515625" style="14" customWidth="1"/>
    <col min="10518" max="10755" width="9.140625" style="14"/>
    <col min="10756" max="10756" width="5.7109375" style="14" customWidth="1"/>
    <col min="10757" max="10757" width="13.140625" style="14" customWidth="1"/>
    <col min="10758" max="10758" width="12.28515625" style="14" customWidth="1"/>
    <col min="10759" max="10759" width="8.85546875" style="14" customWidth="1"/>
    <col min="10760" max="10760" width="10.85546875" style="14" customWidth="1"/>
    <col min="10761" max="10761" width="2.85546875" style="14" customWidth="1"/>
    <col min="10762" max="10762" width="12.140625" style="14" customWidth="1"/>
    <col min="10763" max="10763" width="10.140625" style="14" customWidth="1"/>
    <col min="10764" max="10764" width="11.7109375" style="14" customWidth="1"/>
    <col min="10765" max="10765" width="11.42578125" style="14" customWidth="1"/>
    <col min="10766" max="10766" width="12.7109375" style="14" customWidth="1"/>
    <col min="10767" max="10767" width="11.42578125" style="14" customWidth="1"/>
    <col min="10768" max="10768" width="10.7109375" style="14" customWidth="1"/>
    <col min="10769" max="10769" width="10.5703125" style="14" customWidth="1"/>
    <col min="10770" max="10770" width="11.28515625" style="14" customWidth="1"/>
    <col min="10771" max="10771" width="9.7109375" style="14" customWidth="1"/>
    <col min="10772" max="10772" width="12" style="14" customWidth="1"/>
    <col min="10773" max="10773" width="11.28515625" style="14" customWidth="1"/>
    <col min="10774" max="11011" width="9.140625" style="14"/>
    <col min="11012" max="11012" width="5.7109375" style="14" customWidth="1"/>
    <col min="11013" max="11013" width="13.140625" style="14" customWidth="1"/>
    <col min="11014" max="11014" width="12.28515625" style="14" customWidth="1"/>
    <col min="11015" max="11015" width="8.85546875" style="14" customWidth="1"/>
    <col min="11016" max="11016" width="10.85546875" style="14" customWidth="1"/>
    <col min="11017" max="11017" width="2.85546875" style="14" customWidth="1"/>
    <col min="11018" max="11018" width="12.140625" style="14" customWidth="1"/>
    <col min="11019" max="11019" width="10.140625" style="14" customWidth="1"/>
    <col min="11020" max="11020" width="11.7109375" style="14" customWidth="1"/>
    <col min="11021" max="11021" width="11.42578125" style="14" customWidth="1"/>
    <col min="11022" max="11022" width="12.7109375" style="14" customWidth="1"/>
    <col min="11023" max="11023" width="11.42578125" style="14" customWidth="1"/>
    <col min="11024" max="11024" width="10.7109375" style="14" customWidth="1"/>
    <col min="11025" max="11025" width="10.5703125" style="14" customWidth="1"/>
    <col min="11026" max="11026" width="11.28515625" style="14" customWidth="1"/>
    <col min="11027" max="11027" width="9.7109375" style="14" customWidth="1"/>
    <col min="11028" max="11028" width="12" style="14" customWidth="1"/>
    <col min="11029" max="11029" width="11.28515625" style="14" customWidth="1"/>
    <col min="11030" max="11267" width="9.140625" style="14"/>
    <col min="11268" max="11268" width="5.7109375" style="14" customWidth="1"/>
    <col min="11269" max="11269" width="13.140625" style="14" customWidth="1"/>
    <col min="11270" max="11270" width="12.28515625" style="14" customWidth="1"/>
    <col min="11271" max="11271" width="8.85546875" style="14" customWidth="1"/>
    <col min="11272" max="11272" width="10.85546875" style="14" customWidth="1"/>
    <col min="11273" max="11273" width="2.85546875" style="14" customWidth="1"/>
    <col min="11274" max="11274" width="12.140625" style="14" customWidth="1"/>
    <col min="11275" max="11275" width="10.140625" style="14" customWidth="1"/>
    <col min="11276" max="11276" width="11.7109375" style="14" customWidth="1"/>
    <col min="11277" max="11277" width="11.42578125" style="14" customWidth="1"/>
    <col min="11278" max="11278" width="12.7109375" style="14" customWidth="1"/>
    <col min="11279" max="11279" width="11.42578125" style="14" customWidth="1"/>
    <col min="11280" max="11280" width="10.7109375" style="14" customWidth="1"/>
    <col min="11281" max="11281" width="10.5703125" style="14" customWidth="1"/>
    <col min="11282" max="11282" width="11.28515625" style="14" customWidth="1"/>
    <col min="11283" max="11283" width="9.7109375" style="14" customWidth="1"/>
    <col min="11284" max="11284" width="12" style="14" customWidth="1"/>
    <col min="11285" max="11285" width="11.28515625" style="14" customWidth="1"/>
    <col min="11286" max="11523" width="9.140625" style="14"/>
    <col min="11524" max="11524" width="5.7109375" style="14" customWidth="1"/>
    <col min="11525" max="11525" width="13.140625" style="14" customWidth="1"/>
    <col min="11526" max="11526" width="12.28515625" style="14" customWidth="1"/>
    <col min="11527" max="11527" width="8.85546875" style="14" customWidth="1"/>
    <col min="11528" max="11528" width="10.85546875" style="14" customWidth="1"/>
    <col min="11529" max="11529" width="2.85546875" style="14" customWidth="1"/>
    <col min="11530" max="11530" width="12.140625" style="14" customWidth="1"/>
    <col min="11531" max="11531" width="10.140625" style="14" customWidth="1"/>
    <col min="11532" max="11532" width="11.7109375" style="14" customWidth="1"/>
    <col min="11533" max="11533" width="11.42578125" style="14" customWidth="1"/>
    <col min="11534" max="11534" width="12.7109375" style="14" customWidth="1"/>
    <col min="11535" max="11535" width="11.42578125" style="14" customWidth="1"/>
    <col min="11536" max="11536" width="10.7109375" style="14" customWidth="1"/>
    <col min="11537" max="11537" width="10.5703125" style="14" customWidth="1"/>
    <col min="11538" max="11538" width="11.28515625" style="14" customWidth="1"/>
    <col min="11539" max="11539" width="9.7109375" style="14" customWidth="1"/>
    <col min="11540" max="11540" width="12" style="14" customWidth="1"/>
    <col min="11541" max="11541" width="11.28515625" style="14" customWidth="1"/>
    <col min="11542" max="11779" width="9.140625" style="14"/>
    <col min="11780" max="11780" width="5.7109375" style="14" customWidth="1"/>
    <col min="11781" max="11781" width="13.140625" style="14" customWidth="1"/>
    <col min="11782" max="11782" width="12.28515625" style="14" customWidth="1"/>
    <col min="11783" max="11783" width="8.85546875" style="14" customWidth="1"/>
    <col min="11784" max="11784" width="10.85546875" style="14" customWidth="1"/>
    <col min="11785" max="11785" width="2.85546875" style="14" customWidth="1"/>
    <col min="11786" max="11786" width="12.140625" style="14" customWidth="1"/>
    <col min="11787" max="11787" width="10.140625" style="14" customWidth="1"/>
    <col min="11788" max="11788" width="11.7109375" style="14" customWidth="1"/>
    <col min="11789" max="11789" width="11.42578125" style="14" customWidth="1"/>
    <col min="11790" max="11790" width="12.7109375" style="14" customWidth="1"/>
    <col min="11791" max="11791" width="11.42578125" style="14" customWidth="1"/>
    <col min="11792" max="11792" width="10.7109375" style="14" customWidth="1"/>
    <col min="11793" max="11793" width="10.5703125" style="14" customWidth="1"/>
    <col min="11794" max="11794" width="11.28515625" style="14" customWidth="1"/>
    <col min="11795" max="11795" width="9.7109375" style="14" customWidth="1"/>
    <col min="11796" max="11796" width="12" style="14" customWidth="1"/>
    <col min="11797" max="11797" width="11.28515625" style="14" customWidth="1"/>
    <col min="11798" max="12035" width="9.140625" style="14"/>
    <col min="12036" max="12036" width="5.7109375" style="14" customWidth="1"/>
    <col min="12037" max="12037" width="13.140625" style="14" customWidth="1"/>
    <col min="12038" max="12038" width="12.28515625" style="14" customWidth="1"/>
    <col min="12039" max="12039" width="8.85546875" style="14" customWidth="1"/>
    <col min="12040" max="12040" width="10.85546875" style="14" customWidth="1"/>
    <col min="12041" max="12041" width="2.85546875" style="14" customWidth="1"/>
    <col min="12042" max="12042" width="12.140625" style="14" customWidth="1"/>
    <col min="12043" max="12043" width="10.140625" style="14" customWidth="1"/>
    <col min="12044" max="12044" width="11.7109375" style="14" customWidth="1"/>
    <col min="12045" max="12045" width="11.42578125" style="14" customWidth="1"/>
    <col min="12046" max="12046" width="12.7109375" style="14" customWidth="1"/>
    <col min="12047" max="12047" width="11.42578125" style="14" customWidth="1"/>
    <col min="12048" max="12048" width="10.7109375" style="14" customWidth="1"/>
    <col min="12049" max="12049" width="10.5703125" style="14" customWidth="1"/>
    <col min="12050" max="12050" width="11.28515625" style="14" customWidth="1"/>
    <col min="12051" max="12051" width="9.7109375" style="14" customWidth="1"/>
    <col min="12052" max="12052" width="12" style="14" customWidth="1"/>
    <col min="12053" max="12053" width="11.28515625" style="14" customWidth="1"/>
    <col min="12054" max="12291" width="9.140625" style="14"/>
    <col min="12292" max="12292" width="5.7109375" style="14" customWidth="1"/>
    <col min="12293" max="12293" width="13.140625" style="14" customWidth="1"/>
    <col min="12294" max="12294" width="12.28515625" style="14" customWidth="1"/>
    <col min="12295" max="12295" width="8.85546875" style="14" customWidth="1"/>
    <col min="12296" max="12296" width="10.85546875" style="14" customWidth="1"/>
    <col min="12297" max="12297" width="2.85546875" style="14" customWidth="1"/>
    <col min="12298" max="12298" width="12.140625" style="14" customWidth="1"/>
    <col min="12299" max="12299" width="10.140625" style="14" customWidth="1"/>
    <col min="12300" max="12300" width="11.7109375" style="14" customWidth="1"/>
    <col min="12301" max="12301" width="11.42578125" style="14" customWidth="1"/>
    <col min="12302" max="12302" width="12.7109375" style="14" customWidth="1"/>
    <col min="12303" max="12303" width="11.42578125" style="14" customWidth="1"/>
    <col min="12304" max="12304" width="10.7109375" style="14" customWidth="1"/>
    <col min="12305" max="12305" width="10.5703125" style="14" customWidth="1"/>
    <col min="12306" max="12306" width="11.28515625" style="14" customWidth="1"/>
    <col min="12307" max="12307" width="9.7109375" style="14" customWidth="1"/>
    <col min="12308" max="12308" width="12" style="14" customWidth="1"/>
    <col min="12309" max="12309" width="11.28515625" style="14" customWidth="1"/>
    <col min="12310" max="12547" width="9.140625" style="14"/>
    <col min="12548" max="12548" width="5.7109375" style="14" customWidth="1"/>
    <col min="12549" max="12549" width="13.140625" style="14" customWidth="1"/>
    <col min="12550" max="12550" width="12.28515625" style="14" customWidth="1"/>
    <col min="12551" max="12551" width="8.85546875" style="14" customWidth="1"/>
    <col min="12552" max="12552" width="10.85546875" style="14" customWidth="1"/>
    <col min="12553" max="12553" width="2.85546875" style="14" customWidth="1"/>
    <col min="12554" max="12554" width="12.140625" style="14" customWidth="1"/>
    <col min="12555" max="12555" width="10.140625" style="14" customWidth="1"/>
    <col min="12556" max="12556" width="11.7109375" style="14" customWidth="1"/>
    <col min="12557" max="12557" width="11.42578125" style="14" customWidth="1"/>
    <col min="12558" max="12558" width="12.7109375" style="14" customWidth="1"/>
    <col min="12559" max="12559" width="11.42578125" style="14" customWidth="1"/>
    <col min="12560" max="12560" width="10.7109375" style="14" customWidth="1"/>
    <col min="12561" max="12561" width="10.5703125" style="14" customWidth="1"/>
    <col min="12562" max="12562" width="11.28515625" style="14" customWidth="1"/>
    <col min="12563" max="12563" width="9.7109375" style="14" customWidth="1"/>
    <col min="12564" max="12564" width="12" style="14" customWidth="1"/>
    <col min="12565" max="12565" width="11.28515625" style="14" customWidth="1"/>
    <col min="12566" max="12803" width="9.140625" style="14"/>
    <col min="12804" max="12804" width="5.7109375" style="14" customWidth="1"/>
    <col min="12805" max="12805" width="13.140625" style="14" customWidth="1"/>
    <col min="12806" max="12806" width="12.28515625" style="14" customWidth="1"/>
    <col min="12807" max="12807" width="8.85546875" style="14" customWidth="1"/>
    <col min="12808" max="12808" width="10.85546875" style="14" customWidth="1"/>
    <col min="12809" max="12809" width="2.85546875" style="14" customWidth="1"/>
    <col min="12810" max="12810" width="12.140625" style="14" customWidth="1"/>
    <col min="12811" max="12811" width="10.140625" style="14" customWidth="1"/>
    <col min="12812" max="12812" width="11.7109375" style="14" customWidth="1"/>
    <col min="12813" max="12813" width="11.42578125" style="14" customWidth="1"/>
    <col min="12814" max="12814" width="12.7109375" style="14" customWidth="1"/>
    <col min="12815" max="12815" width="11.42578125" style="14" customWidth="1"/>
    <col min="12816" max="12816" width="10.7109375" style="14" customWidth="1"/>
    <col min="12817" max="12817" width="10.5703125" style="14" customWidth="1"/>
    <col min="12818" max="12818" width="11.28515625" style="14" customWidth="1"/>
    <col min="12819" max="12819" width="9.7109375" style="14" customWidth="1"/>
    <col min="12820" max="12820" width="12" style="14" customWidth="1"/>
    <col min="12821" max="12821" width="11.28515625" style="14" customWidth="1"/>
    <col min="12822" max="13059" width="9.140625" style="14"/>
    <col min="13060" max="13060" width="5.7109375" style="14" customWidth="1"/>
    <col min="13061" max="13061" width="13.140625" style="14" customWidth="1"/>
    <col min="13062" max="13062" width="12.28515625" style="14" customWidth="1"/>
    <col min="13063" max="13063" width="8.85546875" style="14" customWidth="1"/>
    <col min="13064" max="13064" width="10.85546875" style="14" customWidth="1"/>
    <col min="13065" max="13065" width="2.85546875" style="14" customWidth="1"/>
    <col min="13066" max="13066" width="12.140625" style="14" customWidth="1"/>
    <col min="13067" max="13067" width="10.140625" style="14" customWidth="1"/>
    <col min="13068" max="13068" width="11.7109375" style="14" customWidth="1"/>
    <col min="13069" max="13069" width="11.42578125" style="14" customWidth="1"/>
    <col min="13070" max="13070" width="12.7109375" style="14" customWidth="1"/>
    <col min="13071" max="13071" width="11.42578125" style="14" customWidth="1"/>
    <col min="13072" max="13072" width="10.7109375" style="14" customWidth="1"/>
    <col min="13073" max="13073" width="10.5703125" style="14" customWidth="1"/>
    <col min="13074" max="13074" width="11.28515625" style="14" customWidth="1"/>
    <col min="13075" max="13075" width="9.7109375" style="14" customWidth="1"/>
    <col min="13076" max="13076" width="12" style="14" customWidth="1"/>
    <col min="13077" max="13077" width="11.28515625" style="14" customWidth="1"/>
    <col min="13078" max="13315" width="9.140625" style="14"/>
    <col min="13316" max="13316" width="5.7109375" style="14" customWidth="1"/>
    <col min="13317" max="13317" width="13.140625" style="14" customWidth="1"/>
    <col min="13318" max="13318" width="12.28515625" style="14" customWidth="1"/>
    <col min="13319" max="13319" width="8.85546875" style="14" customWidth="1"/>
    <col min="13320" max="13320" width="10.85546875" style="14" customWidth="1"/>
    <col min="13321" max="13321" width="2.85546875" style="14" customWidth="1"/>
    <col min="13322" max="13322" width="12.140625" style="14" customWidth="1"/>
    <col min="13323" max="13323" width="10.140625" style="14" customWidth="1"/>
    <col min="13324" max="13324" width="11.7109375" style="14" customWidth="1"/>
    <col min="13325" max="13325" width="11.42578125" style="14" customWidth="1"/>
    <col min="13326" max="13326" width="12.7109375" style="14" customWidth="1"/>
    <col min="13327" max="13327" width="11.42578125" style="14" customWidth="1"/>
    <col min="13328" max="13328" width="10.7109375" style="14" customWidth="1"/>
    <col min="13329" max="13329" width="10.5703125" style="14" customWidth="1"/>
    <col min="13330" max="13330" width="11.28515625" style="14" customWidth="1"/>
    <col min="13331" max="13331" width="9.7109375" style="14" customWidth="1"/>
    <col min="13332" max="13332" width="12" style="14" customWidth="1"/>
    <col min="13333" max="13333" width="11.28515625" style="14" customWidth="1"/>
    <col min="13334" max="13571" width="9.140625" style="14"/>
    <col min="13572" max="13572" width="5.7109375" style="14" customWidth="1"/>
    <col min="13573" max="13573" width="13.140625" style="14" customWidth="1"/>
    <col min="13574" max="13574" width="12.28515625" style="14" customWidth="1"/>
    <col min="13575" max="13575" width="8.85546875" style="14" customWidth="1"/>
    <col min="13576" max="13576" width="10.85546875" style="14" customWidth="1"/>
    <col min="13577" max="13577" width="2.85546875" style="14" customWidth="1"/>
    <col min="13578" max="13578" width="12.140625" style="14" customWidth="1"/>
    <col min="13579" max="13579" width="10.140625" style="14" customWidth="1"/>
    <col min="13580" max="13580" width="11.7109375" style="14" customWidth="1"/>
    <col min="13581" max="13581" width="11.42578125" style="14" customWidth="1"/>
    <col min="13582" max="13582" width="12.7109375" style="14" customWidth="1"/>
    <col min="13583" max="13583" width="11.42578125" style="14" customWidth="1"/>
    <col min="13584" max="13584" width="10.7109375" style="14" customWidth="1"/>
    <col min="13585" max="13585" width="10.5703125" style="14" customWidth="1"/>
    <col min="13586" max="13586" width="11.28515625" style="14" customWidth="1"/>
    <col min="13587" max="13587" width="9.7109375" style="14" customWidth="1"/>
    <col min="13588" max="13588" width="12" style="14" customWidth="1"/>
    <col min="13589" max="13589" width="11.28515625" style="14" customWidth="1"/>
    <col min="13590" max="13827" width="9.140625" style="14"/>
    <col min="13828" max="13828" width="5.7109375" style="14" customWidth="1"/>
    <col min="13829" max="13829" width="13.140625" style="14" customWidth="1"/>
    <col min="13830" max="13830" width="12.28515625" style="14" customWidth="1"/>
    <col min="13831" max="13831" width="8.85546875" style="14" customWidth="1"/>
    <col min="13832" max="13832" width="10.85546875" style="14" customWidth="1"/>
    <col min="13833" max="13833" width="2.85546875" style="14" customWidth="1"/>
    <col min="13834" max="13834" width="12.140625" style="14" customWidth="1"/>
    <col min="13835" max="13835" width="10.140625" style="14" customWidth="1"/>
    <col min="13836" max="13836" width="11.7109375" style="14" customWidth="1"/>
    <col min="13837" max="13837" width="11.42578125" style="14" customWidth="1"/>
    <col min="13838" max="13838" width="12.7109375" style="14" customWidth="1"/>
    <col min="13839" max="13839" width="11.42578125" style="14" customWidth="1"/>
    <col min="13840" max="13840" width="10.7109375" style="14" customWidth="1"/>
    <col min="13841" max="13841" width="10.5703125" style="14" customWidth="1"/>
    <col min="13842" max="13842" width="11.28515625" style="14" customWidth="1"/>
    <col min="13843" max="13843" width="9.7109375" style="14" customWidth="1"/>
    <col min="13844" max="13844" width="12" style="14" customWidth="1"/>
    <col min="13845" max="13845" width="11.28515625" style="14" customWidth="1"/>
    <col min="13846" max="14083" width="9.140625" style="14"/>
    <col min="14084" max="14084" width="5.7109375" style="14" customWidth="1"/>
    <col min="14085" max="14085" width="13.140625" style="14" customWidth="1"/>
    <col min="14086" max="14086" width="12.28515625" style="14" customWidth="1"/>
    <col min="14087" max="14087" width="8.85546875" style="14" customWidth="1"/>
    <col min="14088" max="14088" width="10.85546875" style="14" customWidth="1"/>
    <col min="14089" max="14089" width="2.85546875" style="14" customWidth="1"/>
    <col min="14090" max="14090" width="12.140625" style="14" customWidth="1"/>
    <col min="14091" max="14091" width="10.140625" style="14" customWidth="1"/>
    <col min="14092" max="14092" width="11.7109375" style="14" customWidth="1"/>
    <col min="14093" max="14093" width="11.42578125" style="14" customWidth="1"/>
    <col min="14094" max="14094" width="12.7109375" style="14" customWidth="1"/>
    <col min="14095" max="14095" width="11.42578125" style="14" customWidth="1"/>
    <col min="14096" max="14096" width="10.7109375" style="14" customWidth="1"/>
    <col min="14097" max="14097" width="10.5703125" style="14" customWidth="1"/>
    <col min="14098" max="14098" width="11.28515625" style="14" customWidth="1"/>
    <col min="14099" max="14099" width="9.7109375" style="14" customWidth="1"/>
    <col min="14100" max="14100" width="12" style="14" customWidth="1"/>
    <col min="14101" max="14101" width="11.28515625" style="14" customWidth="1"/>
    <col min="14102" max="14339" width="9.140625" style="14"/>
    <col min="14340" max="14340" width="5.7109375" style="14" customWidth="1"/>
    <col min="14341" max="14341" width="13.140625" style="14" customWidth="1"/>
    <col min="14342" max="14342" width="12.28515625" style="14" customWidth="1"/>
    <col min="14343" max="14343" width="8.85546875" style="14" customWidth="1"/>
    <col min="14344" max="14344" width="10.85546875" style="14" customWidth="1"/>
    <col min="14345" max="14345" width="2.85546875" style="14" customWidth="1"/>
    <col min="14346" max="14346" width="12.140625" style="14" customWidth="1"/>
    <col min="14347" max="14347" width="10.140625" style="14" customWidth="1"/>
    <col min="14348" max="14348" width="11.7109375" style="14" customWidth="1"/>
    <col min="14349" max="14349" width="11.42578125" style="14" customWidth="1"/>
    <col min="14350" max="14350" width="12.7109375" style="14" customWidth="1"/>
    <col min="14351" max="14351" width="11.42578125" style="14" customWidth="1"/>
    <col min="14352" max="14352" width="10.7109375" style="14" customWidth="1"/>
    <col min="14353" max="14353" width="10.5703125" style="14" customWidth="1"/>
    <col min="14354" max="14354" width="11.28515625" style="14" customWidth="1"/>
    <col min="14355" max="14355" width="9.7109375" style="14" customWidth="1"/>
    <col min="14356" max="14356" width="12" style="14" customWidth="1"/>
    <col min="14357" max="14357" width="11.28515625" style="14" customWidth="1"/>
    <col min="14358" max="14595" width="9.140625" style="14"/>
    <col min="14596" max="14596" width="5.7109375" style="14" customWidth="1"/>
    <col min="14597" max="14597" width="13.140625" style="14" customWidth="1"/>
    <col min="14598" max="14598" width="12.28515625" style="14" customWidth="1"/>
    <col min="14599" max="14599" width="8.85546875" style="14" customWidth="1"/>
    <col min="14600" max="14600" width="10.85546875" style="14" customWidth="1"/>
    <col min="14601" max="14601" width="2.85546875" style="14" customWidth="1"/>
    <col min="14602" max="14602" width="12.140625" style="14" customWidth="1"/>
    <col min="14603" max="14603" width="10.140625" style="14" customWidth="1"/>
    <col min="14604" max="14604" width="11.7109375" style="14" customWidth="1"/>
    <col min="14605" max="14605" width="11.42578125" style="14" customWidth="1"/>
    <col min="14606" max="14606" width="12.7109375" style="14" customWidth="1"/>
    <col min="14607" max="14607" width="11.42578125" style="14" customWidth="1"/>
    <col min="14608" max="14608" width="10.7109375" style="14" customWidth="1"/>
    <col min="14609" max="14609" width="10.5703125" style="14" customWidth="1"/>
    <col min="14610" max="14610" width="11.28515625" style="14" customWidth="1"/>
    <col min="14611" max="14611" width="9.7109375" style="14" customWidth="1"/>
    <col min="14612" max="14612" width="12" style="14" customWidth="1"/>
    <col min="14613" max="14613" width="11.28515625" style="14" customWidth="1"/>
    <col min="14614" max="14851" width="9.140625" style="14"/>
    <col min="14852" max="14852" width="5.7109375" style="14" customWidth="1"/>
    <col min="14853" max="14853" width="13.140625" style="14" customWidth="1"/>
    <col min="14854" max="14854" width="12.28515625" style="14" customWidth="1"/>
    <col min="14855" max="14855" width="8.85546875" style="14" customWidth="1"/>
    <col min="14856" max="14856" width="10.85546875" style="14" customWidth="1"/>
    <col min="14857" max="14857" width="2.85546875" style="14" customWidth="1"/>
    <col min="14858" max="14858" width="12.140625" style="14" customWidth="1"/>
    <col min="14859" max="14859" width="10.140625" style="14" customWidth="1"/>
    <col min="14860" max="14860" width="11.7109375" style="14" customWidth="1"/>
    <col min="14861" max="14861" width="11.42578125" style="14" customWidth="1"/>
    <col min="14862" max="14862" width="12.7109375" style="14" customWidth="1"/>
    <col min="14863" max="14863" width="11.42578125" style="14" customWidth="1"/>
    <col min="14864" max="14864" width="10.7109375" style="14" customWidth="1"/>
    <col min="14865" max="14865" width="10.5703125" style="14" customWidth="1"/>
    <col min="14866" max="14866" width="11.28515625" style="14" customWidth="1"/>
    <col min="14867" max="14867" width="9.7109375" style="14" customWidth="1"/>
    <col min="14868" max="14868" width="12" style="14" customWidth="1"/>
    <col min="14869" max="14869" width="11.28515625" style="14" customWidth="1"/>
    <col min="14870" max="15107" width="9.140625" style="14"/>
    <col min="15108" max="15108" width="5.7109375" style="14" customWidth="1"/>
    <col min="15109" max="15109" width="13.140625" style="14" customWidth="1"/>
    <col min="15110" max="15110" width="12.28515625" style="14" customWidth="1"/>
    <col min="15111" max="15111" width="8.85546875" style="14" customWidth="1"/>
    <col min="15112" max="15112" width="10.85546875" style="14" customWidth="1"/>
    <col min="15113" max="15113" width="2.85546875" style="14" customWidth="1"/>
    <col min="15114" max="15114" width="12.140625" style="14" customWidth="1"/>
    <col min="15115" max="15115" width="10.140625" style="14" customWidth="1"/>
    <col min="15116" max="15116" width="11.7109375" style="14" customWidth="1"/>
    <col min="15117" max="15117" width="11.42578125" style="14" customWidth="1"/>
    <col min="15118" max="15118" width="12.7109375" style="14" customWidth="1"/>
    <col min="15119" max="15119" width="11.42578125" style="14" customWidth="1"/>
    <col min="15120" max="15120" width="10.7109375" style="14" customWidth="1"/>
    <col min="15121" max="15121" width="10.5703125" style="14" customWidth="1"/>
    <col min="15122" max="15122" width="11.28515625" style="14" customWidth="1"/>
    <col min="15123" max="15123" width="9.7109375" style="14" customWidth="1"/>
    <col min="15124" max="15124" width="12" style="14" customWidth="1"/>
    <col min="15125" max="15125" width="11.28515625" style="14" customWidth="1"/>
    <col min="15126" max="15363" width="9.140625" style="14"/>
    <col min="15364" max="15364" width="5.7109375" style="14" customWidth="1"/>
    <col min="15365" max="15365" width="13.140625" style="14" customWidth="1"/>
    <col min="15366" max="15366" width="12.28515625" style="14" customWidth="1"/>
    <col min="15367" max="15367" width="8.85546875" style="14" customWidth="1"/>
    <col min="15368" max="15368" width="10.85546875" style="14" customWidth="1"/>
    <col min="15369" max="15369" width="2.85546875" style="14" customWidth="1"/>
    <col min="15370" max="15370" width="12.140625" style="14" customWidth="1"/>
    <col min="15371" max="15371" width="10.140625" style="14" customWidth="1"/>
    <col min="15372" max="15372" width="11.7109375" style="14" customWidth="1"/>
    <col min="15373" max="15373" width="11.42578125" style="14" customWidth="1"/>
    <col min="15374" max="15374" width="12.7109375" style="14" customWidth="1"/>
    <col min="15375" max="15375" width="11.42578125" style="14" customWidth="1"/>
    <col min="15376" max="15376" width="10.7109375" style="14" customWidth="1"/>
    <col min="15377" max="15377" width="10.5703125" style="14" customWidth="1"/>
    <col min="15378" max="15378" width="11.28515625" style="14" customWidth="1"/>
    <col min="15379" max="15379" width="9.7109375" style="14" customWidth="1"/>
    <col min="15380" max="15380" width="12" style="14" customWidth="1"/>
    <col min="15381" max="15381" width="11.28515625" style="14" customWidth="1"/>
    <col min="15382" max="15619" width="9.140625" style="14"/>
    <col min="15620" max="15620" width="5.7109375" style="14" customWidth="1"/>
    <col min="15621" max="15621" width="13.140625" style="14" customWidth="1"/>
    <col min="15622" max="15622" width="12.28515625" style="14" customWidth="1"/>
    <col min="15623" max="15623" width="8.85546875" style="14" customWidth="1"/>
    <col min="15624" max="15624" width="10.85546875" style="14" customWidth="1"/>
    <col min="15625" max="15625" width="2.85546875" style="14" customWidth="1"/>
    <col min="15626" max="15626" width="12.140625" style="14" customWidth="1"/>
    <col min="15627" max="15627" width="10.140625" style="14" customWidth="1"/>
    <col min="15628" max="15628" width="11.7109375" style="14" customWidth="1"/>
    <col min="15629" max="15629" width="11.42578125" style="14" customWidth="1"/>
    <col min="15630" max="15630" width="12.7109375" style="14" customWidth="1"/>
    <col min="15631" max="15631" width="11.42578125" style="14" customWidth="1"/>
    <col min="15632" max="15632" width="10.7109375" style="14" customWidth="1"/>
    <col min="15633" max="15633" width="10.5703125" style="14" customWidth="1"/>
    <col min="15634" max="15634" width="11.28515625" style="14" customWidth="1"/>
    <col min="15635" max="15635" width="9.7109375" style="14" customWidth="1"/>
    <col min="15636" max="15636" width="12" style="14" customWidth="1"/>
    <col min="15637" max="15637" width="11.28515625" style="14" customWidth="1"/>
    <col min="15638" max="15875" width="9.140625" style="14"/>
    <col min="15876" max="15876" width="5.7109375" style="14" customWidth="1"/>
    <col min="15877" max="15877" width="13.140625" style="14" customWidth="1"/>
    <col min="15878" max="15878" width="12.28515625" style="14" customWidth="1"/>
    <col min="15879" max="15879" width="8.85546875" style="14" customWidth="1"/>
    <col min="15880" max="15880" width="10.85546875" style="14" customWidth="1"/>
    <col min="15881" max="15881" width="2.85546875" style="14" customWidth="1"/>
    <col min="15882" max="15882" width="12.140625" style="14" customWidth="1"/>
    <col min="15883" max="15883" width="10.140625" style="14" customWidth="1"/>
    <col min="15884" max="15884" width="11.7109375" style="14" customWidth="1"/>
    <col min="15885" max="15885" width="11.42578125" style="14" customWidth="1"/>
    <col min="15886" max="15886" width="12.7109375" style="14" customWidth="1"/>
    <col min="15887" max="15887" width="11.42578125" style="14" customWidth="1"/>
    <col min="15888" max="15888" width="10.7109375" style="14" customWidth="1"/>
    <col min="15889" max="15889" width="10.5703125" style="14" customWidth="1"/>
    <col min="15890" max="15890" width="11.28515625" style="14" customWidth="1"/>
    <col min="15891" max="15891" width="9.7109375" style="14" customWidth="1"/>
    <col min="15892" max="15892" width="12" style="14" customWidth="1"/>
    <col min="15893" max="15893" width="11.28515625" style="14" customWidth="1"/>
    <col min="15894" max="16131" width="9.140625" style="14"/>
    <col min="16132" max="16132" width="5.7109375" style="14" customWidth="1"/>
    <col min="16133" max="16133" width="13.140625" style="14" customWidth="1"/>
    <col min="16134" max="16134" width="12.28515625" style="14" customWidth="1"/>
    <col min="16135" max="16135" width="8.85546875" style="14" customWidth="1"/>
    <col min="16136" max="16136" width="10.85546875" style="14" customWidth="1"/>
    <col min="16137" max="16137" width="2.85546875" style="14" customWidth="1"/>
    <col min="16138" max="16138" width="12.140625" style="14" customWidth="1"/>
    <col min="16139" max="16139" width="10.140625" style="14" customWidth="1"/>
    <col min="16140" max="16140" width="11.7109375" style="14" customWidth="1"/>
    <col min="16141" max="16141" width="11.42578125" style="14" customWidth="1"/>
    <col min="16142" max="16142" width="12.7109375" style="14" customWidth="1"/>
    <col min="16143" max="16143" width="11.42578125" style="14" customWidth="1"/>
    <col min="16144" max="16144" width="10.7109375" style="14" customWidth="1"/>
    <col min="16145" max="16145" width="10.5703125" style="14" customWidth="1"/>
    <col min="16146" max="16146" width="11.28515625" style="14" customWidth="1"/>
    <col min="16147" max="16147" width="9.7109375" style="14" customWidth="1"/>
    <col min="16148" max="16148" width="12" style="14" customWidth="1"/>
    <col min="16149" max="16149" width="11.28515625" style="14" customWidth="1"/>
    <col min="16150" max="16384" width="9.140625" style="14"/>
  </cols>
  <sheetData>
    <row r="1" spans="4:19" ht="12.75" thickBot="1" x14ac:dyDescent="0.25"/>
    <row r="2" spans="4:19" ht="12" customHeight="1" thickBot="1" x14ac:dyDescent="0.25">
      <c r="Q2" s="633" t="s">
        <v>0</v>
      </c>
      <c r="R2" s="634"/>
      <c r="S2" s="635"/>
    </row>
    <row r="3" spans="4:19" ht="13.5" thickBot="1" x14ac:dyDescent="0.25">
      <c r="I3" s="636" t="s">
        <v>1</v>
      </c>
      <c r="J3" s="637"/>
      <c r="K3" s="637"/>
      <c r="L3" s="637"/>
      <c r="M3" s="637"/>
      <c r="N3" s="637"/>
      <c r="O3" s="638"/>
      <c r="Q3" s="611">
        <f>'AGUILAR ESQUIVEL CARLOS'!Q3</f>
        <v>45</v>
      </c>
      <c r="R3" s="639"/>
      <c r="S3" s="612"/>
    </row>
    <row r="4" spans="4:19" ht="13.5" thickBot="1" x14ac:dyDescent="0.25">
      <c r="I4" s="640" t="s">
        <v>2</v>
      </c>
      <c r="J4" s="641"/>
      <c r="K4" s="641"/>
      <c r="L4" s="641"/>
      <c r="M4" s="641"/>
      <c r="N4" s="641"/>
      <c r="O4" s="642"/>
      <c r="Q4" s="18"/>
      <c r="R4" s="18"/>
      <c r="S4" s="18"/>
    </row>
    <row r="5" spans="4:19" ht="13.5" thickBot="1" x14ac:dyDescent="0.25">
      <c r="I5" s="643" t="s">
        <v>3</v>
      </c>
      <c r="J5" s="644"/>
      <c r="K5" s="644"/>
      <c r="L5" s="644"/>
      <c r="M5" s="644"/>
      <c r="N5" s="644"/>
      <c r="O5" s="645"/>
      <c r="Q5" s="611" t="s">
        <v>4</v>
      </c>
      <c r="R5" s="639"/>
      <c r="S5" s="612"/>
    </row>
    <row r="6" spans="4:19" ht="13.5" thickBot="1" x14ac:dyDescent="0.25">
      <c r="I6" s="650" t="s">
        <v>5</v>
      </c>
      <c r="J6" s="651"/>
      <c r="K6" s="651"/>
      <c r="L6" s="651"/>
      <c r="M6" s="651"/>
      <c r="N6" s="651"/>
      <c r="O6" s="652"/>
      <c r="Q6" s="653">
        <f>+'NUÑEZ RUIZ IRVING JAVIER.'!Q6+1</f>
        <v>118</v>
      </c>
      <c r="R6" s="654"/>
      <c r="S6" s="655"/>
    </row>
    <row r="7" spans="4:19" ht="9" customHeight="1" x14ac:dyDescent="0.2"/>
    <row r="8" spans="4:19" ht="6.75" customHeight="1" thickBot="1" x14ac:dyDescent="0.25"/>
    <row r="9" spans="4:19" ht="13.5" thickBot="1" x14ac:dyDescent="0.25">
      <c r="I9" s="611" t="s">
        <v>6</v>
      </c>
      <c r="J9" s="639"/>
      <c r="K9" s="639"/>
      <c r="L9" s="639"/>
      <c r="M9" s="639"/>
      <c r="N9" s="639"/>
      <c r="O9" s="612"/>
    </row>
    <row r="10" spans="4:19" ht="11.25" customHeight="1" thickBot="1" x14ac:dyDescent="0.25"/>
    <row r="11" spans="4:19" ht="12.75" x14ac:dyDescent="0.2">
      <c r="D11" s="1" t="s">
        <v>7</v>
      </c>
      <c r="E11" s="2" t="s">
        <v>368</v>
      </c>
      <c r="F11" s="2"/>
      <c r="G11" s="2"/>
      <c r="H11" s="2"/>
      <c r="I11" s="2"/>
      <c r="J11" s="2"/>
      <c r="K11" s="3" t="s">
        <v>8</v>
      </c>
      <c r="L11" s="656" t="str">
        <f>'AGUILAR ESQUIVEL CARLOS'!L11</f>
        <v>SEMANA #45 PERIODO DEL 27 de oct AL 02 de nov DEL 2025</v>
      </c>
      <c r="M11" s="656"/>
      <c r="N11" s="656"/>
      <c r="O11" s="656"/>
      <c r="P11" s="656"/>
      <c r="Q11" s="656"/>
      <c r="R11" s="656"/>
      <c r="S11" s="659"/>
    </row>
    <row r="12" spans="4:19" ht="12.75" x14ac:dyDescent="0.2">
      <c r="D12" s="4" t="s">
        <v>9</v>
      </c>
      <c r="E12" s="624" t="s">
        <v>334</v>
      </c>
      <c r="F12" s="624"/>
      <c r="G12" s="5"/>
      <c r="H12" s="130"/>
      <c r="I12" s="130"/>
      <c r="J12" s="130"/>
      <c r="K12" s="130"/>
      <c r="L12" s="130"/>
      <c r="M12" s="130"/>
      <c r="N12" s="130"/>
      <c r="O12" s="130"/>
      <c r="P12" s="130"/>
      <c r="Q12" s="130"/>
      <c r="R12" s="130"/>
      <c r="S12" s="256"/>
    </row>
    <row r="13" spans="4:19" ht="9.75" customHeight="1" x14ac:dyDescent="0.2">
      <c r="D13" s="623"/>
      <c r="E13" s="624"/>
      <c r="F13" s="130"/>
      <c r="G13" s="130"/>
      <c r="H13" s="130"/>
      <c r="I13" s="130"/>
      <c r="J13" s="130"/>
      <c r="K13" s="130"/>
      <c r="L13" s="130"/>
      <c r="M13" s="130"/>
      <c r="N13" s="130"/>
      <c r="O13" s="130"/>
      <c r="P13" s="130"/>
      <c r="Q13" s="130"/>
      <c r="R13" s="130"/>
      <c r="S13" s="256"/>
    </row>
    <row r="14" spans="4:19" ht="12.75" x14ac:dyDescent="0.2">
      <c r="D14" s="625" t="s">
        <v>10</v>
      </c>
      <c r="E14" s="626"/>
      <c r="F14" s="130">
        <v>329130</v>
      </c>
      <c r="G14" s="130"/>
      <c r="H14" s="130"/>
      <c r="I14" s="6" t="s">
        <v>11</v>
      </c>
      <c r="J14" s="6"/>
      <c r="K14" s="130"/>
      <c r="L14" s="130"/>
      <c r="M14" s="130"/>
      <c r="N14" s="130"/>
      <c r="O14" s="6" t="s">
        <v>12</v>
      </c>
      <c r="P14" s="7"/>
      <c r="Q14" s="7"/>
      <c r="R14" s="7"/>
      <c r="S14" s="8"/>
    </row>
    <row r="15" spans="4:19" ht="12.75" x14ac:dyDescent="0.2">
      <c r="D15" s="625" t="s">
        <v>13</v>
      </c>
      <c r="E15" s="626"/>
      <c r="F15" s="130">
        <v>329904</v>
      </c>
      <c r="G15" s="130"/>
      <c r="H15" s="130"/>
      <c r="I15" s="6" t="s">
        <v>14</v>
      </c>
      <c r="J15" s="6"/>
      <c r="K15" s="130"/>
      <c r="L15" s="130"/>
      <c r="M15" s="130"/>
      <c r="N15" s="130"/>
      <c r="O15" s="6" t="s">
        <v>15</v>
      </c>
      <c r="P15" s="130"/>
      <c r="Q15" s="130"/>
      <c r="R15" s="130"/>
      <c r="S15" s="256"/>
    </row>
    <row r="16" spans="4:19" ht="13.5" thickBot="1" x14ac:dyDescent="0.25">
      <c r="D16" s="627" t="s">
        <v>16</v>
      </c>
      <c r="E16" s="628"/>
      <c r="F16" s="257">
        <f>SUM(J19:J32)</f>
        <v>1500</v>
      </c>
      <c r="G16" s="257"/>
      <c r="H16" s="257"/>
      <c r="I16" s="9" t="s">
        <v>17</v>
      </c>
      <c r="J16" s="257">
        <f>SUM(K19:K32)</f>
        <v>431.03999999999996</v>
      </c>
      <c r="K16" s="257"/>
      <c r="L16" s="257"/>
      <c r="M16" s="257"/>
      <c r="N16" s="257"/>
      <c r="O16" s="9" t="s">
        <v>18</v>
      </c>
      <c r="P16" s="10">
        <f>+F16/J16</f>
        <v>3.4799554565701563</v>
      </c>
      <c r="Q16" s="257"/>
      <c r="R16" s="257"/>
      <c r="S16" s="258"/>
    </row>
    <row r="17" spans="3:21" ht="7.5" customHeight="1" thickBot="1" x14ac:dyDescent="0.25"/>
    <row r="18" spans="3:21" ht="33" customHeight="1" thickBot="1" x14ac:dyDescent="0.25">
      <c r="C18" s="243" t="s">
        <v>19</v>
      </c>
      <c r="D18" s="33" t="s">
        <v>20</v>
      </c>
      <c r="E18" s="34" t="s">
        <v>21</v>
      </c>
      <c r="F18" s="34" t="s">
        <v>22</v>
      </c>
      <c r="G18" s="34" t="s">
        <v>23</v>
      </c>
      <c r="H18" s="34" t="s">
        <v>24</v>
      </c>
      <c r="I18" s="34" t="s">
        <v>25</v>
      </c>
      <c r="J18" s="34" t="s">
        <v>26</v>
      </c>
      <c r="K18" s="34" t="s">
        <v>27</v>
      </c>
      <c r="L18" s="34" t="s">
        <v>28</v>
      </c>
      <c r="M18" s="34" t="s">
        <v>285</v>
      </c>
      <c r="N18" s="34" t="s">
        <v>29</v>
      </c>
      <c r="O18" s="34" t="s">
        <v>30</v>
      </c>
      <c r="P18" s="33" t="s">
        <v>31</v>
      </c>
      <c r="Q18" s="34" t="s">
        <v>219</v>
      </c>
      <c r="R18" s="34" t="s">
        <v>184</v>
      </c>
      <c r="S18" s="34" t="s">
        <v>33</v>
      </c>
      <c r="T18" s="35" t="s">
        <v>220</v>
      </c>
    </row>
    <row r="19" spans="3:21" x14ac:dyDescent="0.2">
      <c r="C19" s="176">
        <v>46105</v>
      </c>
      <c r="D19" s="43" t="s">
        <v>475</v>
      </c>
      <c r="E19" s="42">
        <v>45958</v>
      </c>
      <c r="F19" s="42">
        <v>45959</v>
      </c>
      <c r="G19" s="43">
        <v>2</v>
      </c>
      <c r="H19" s="236" t="str">
        <f>IF(G19=1,KILOMETRAJE!C$4,IF(G19=2,KILOMETRAJE!C$5,IF(G19=3,KILOMETRAJE!C$6,IF(G19=4,KILOMETRAJE!C$7,IF(G19=5,KILOMETRAJE!C$8,IF(G19=6,KILOMETRAJE!C$9,IF(G19=7,KILOMETRAJE!C$10,IF(G19=8,KILOMETRAJE!C$11,IF(G19=9,KILOMETRAJE!C$12,IF(G19=10,KILOMETRAJE!C$13,IF(G19=11,KILOMETRAJE!C$14,IF(G19=12,KILOMETRAJE!C$15,IF(G19=13,KILOMETRAJE!C$16,IF(G19=14,KILOMETRAJE!C$17,IF(G19=15,KILOMETRAJE!C$18,IF(G19=16,KILOMETRAJE!C$19,IF(G19=17,KILOMETRAJE!C$20,IF(G19=18,KILOMETRAJE!C$21,IF(G19=19,KILOMETRAJE!C$22,IF(G19=20,KILOMETRAJE!C$23,IF(G19=21,KILOMETRAJE!C$24,IF(G19=22,KILOMETRAJE!C$25,IF(G19=23,KILOMETRAJE!C$26,IF(G19=24,KILOMETRAJE!C$27,IF(G19=25,KILOMETRAJE!C$28,IF(G19=26,KILOMETRAJE!C$29,IF(G19=27,KILOMETRAJE!C$30,IF(G19=28,KILOMETRAJE!C$31,IF(G19=29,KILOMETRAJE!C$32,IF(G19=30,KILOMETRAJE!C$33,IF(G19=31,KILOMETRAJE!C$34,IF(G19=32,KILOMETRAJE!C$35,IF(G19=33,KILOMETRAJE!C$36,IF(G19=34,KILOMETRAJE!C$37,IF(G19=35,KILOMETRAJE!C$38,IF(G19=36,KILOMETRAJE!C$39,IF(G19=37,KILOMETRAJE!C$40,IF(G19=38,KILOMETRAJE!C$41,IF(G19=39,KILOMETRAJE!C$42,IF(G19=40,KILOMETRAJE!C$43,IF(G19=41,KILOMETRAJE!C$44,IF(G19=42,KILOMETRAJE!C$45,IF(G19=43,KILOMETRAJE!C$46,IF(G19=44,KILOMETRAJE!C$47,IF(G19=45,KILOMETRAJE!C$48,IF(G19=46,KILOMETRAJE!C$49,IF(G19=47,KILOMETRAJE!C$50,IF(G19=48,KILOMETRAJE!C$51,IF(G19=49,KILOMETRAJE!C$52,IF(G19=50,KILOMETRAJE!C$53,IF(G19=51,KILOMETRAJE!C$54,IF(G19=52,KILOMETRAJE!C$55,IF(G19=53,KILOMETRAJE!C$56,IF(G19=54,KILOMETRAJE!C$57,IF(G19=55,KILOMETRAJE!C$58,IF(G19=56,KILOMETRAJE!C$59,IF(G19=57,KILOMETRAJE!C$60,IF(G19=58,KILOMETRAJE!C$61,IF(G19=59,KILOMETRAJE!C$62,IF(G19=60,KILOMETRAJE!C$63,IF(G19=61,KILOMETRAJE!C$64,IF(G19=62,KILOMETRAJE!C$65,IF(G19=63,KILOMETRAJE!C$66)))))))))))))))))))))))))))))))))))))))))))))))))))))))))))))))</f>
        <v>JRZ</v>
      </c>
      <c r="I19" s="236" t="str">
        <f>IF(G19=1,KILOMETRAJE!E$4,IF(G19=2,KILOMETRAJE!E$5,IF(G19=3,KILOMETRAJE!E$6,IF(G19=4,KILOMETRAJE!E$7,IF(G19=5,KILOMETRAJE!E$8,IF(G19=6,KILOMETRAJE!E$9,IF(G19=7,KILOMETRAJE!E$10,IF(G19=8,KILOMETRAJE!E$11,IF(G19=9,KILOMETRAJE!E$12,IF(G19=10,KILOMETRAJE!E$13,IF(G19=11,KILOMETRAJE!E$14,IF(G19=12,KILOMETRAJE!E$15,IF(G19=13,KILOMETRAJE!E$16,IF(G19=14,KILOMETRAJE!E$17,IF(G19=15,KILOMETRAJE!E$18,IF(G19=16,KILOMETRAJE!E$19,IF(G19=17,KILOMETRAJE!E$20,IF(G19=18,KILOMETRAJE!E$21,IF(G19=19,KILOMETRAJE!E$22,IF(G19=20,KILOMETRAJE!E$23,IF(G19=21,KILOMETRAJE!E$24,IF(G19=22,KILOMETRAJE!E$25,IF(G19=23,KILOMETRAJE!E$26,IF(G19=24,KILOMETRAJE!E$27,IF(G19=25,KILOMETRAJE!E$28,IF(G19=26,KILOMETRAJE!E$29,IF(G19=27,KILOMETRAJE!E$30,IF(G19=28,KILOMETRAJE!E$31,IF(G19=29,KILOMETRAJE!E$32,IF(G19=30,KILOMETRAJE!E$33,IF(G19=31,KILOMETRAJE!E$34,IF(G19=32,KILOMETRAJE!E$35,IF(G19=33,KILOMETRAJE!E$36,IF(G19=34,KILOMETRAJE!E$37,IF(G19=35,KILOMETRAJE!E$38,IF(G19=36,KILOMETRAJE!E$39,IF(G19=37,KILOMETRAJE!E$40,IF(G19=38,KILOMETRAJE!E$41,IF(G19=39,KILOMETRAJE!E$42,IF(G19=40,KILOMETRAJE!E$43,IF(G19=41,KILOMETRAJE!E$44,IF(G19=42,KILOMETRAJE!E$45,IF(G19=43,KILOMETRAJE!E$46,IF(G19=44,KILOMETRAJE!E$47,IF(G19=45,KILOMETRAJE!E$48,IF(G19=46,KILOMETRAJE!E$49,IF(G19=47,KILOMETRAJE!E$50,IF(G19=48,KILOMETRAJE!E$51,IF(G19=49,KILOMETRAJE!E$52,IF(G19=50,KILOMETRAJE!E$53,IF(G19=51,KILOMETRAJE!E$54,IF(G19=52,KILOMETRAJE!E$55,IF(G19=53,KILOMETRAJE!E$56,IF(G19=54,KILOMETRAJE!E$57,IF(G19=55,KILOMETRAJE!E$58,IF(G19=56,KILOMETRAJE!E$59,IF(G19=57,KILOMETRAJE!E$60,IF(G19=58,KILOMETRAJE!E$61,IF(G19=59,KILOMETRAJE!E$62,IF(G19=60,KILOMETRAJE!E$63,IF(G19=61,KILOMETRAJE!E$64,IF(G19=62,KILOMETRAJE!E$65,IF(G19=63,KILOMETRAJE!E$66)))))))))))))))))))))))))))))))))))))))))))))))))))))))))))))))</f>
        <v>CHIH.</v>
      </c>
      <c r="J19" s="237">
        <f>IF(G19=1,KILOMETRAJE!G$4,IF(G19=2,KILOMETRAJE!G$5,IF(G19=3,KILOMETRAJE!G$6,IF(G19=4,KILOMETRAJE!G$7,IF(G19=5,KILOMETRAJE!G$8,IF(G19=6,KILOMETRAJE!G$9,IF(G19=7,KILOMETRAJE!G$10,IF(G19=8,KILOMETRAJE!G$11,IF(G19=9,KILOMETRAJE!G$12,IF(G19=10,KILOMETRAJE!G$13,IF(G19=11,KILOMETRAJE!G$14,IF(G19=12,KILOMETRAJE!G$15,IF(G19=13,KILOMETRAJE!G$16,IF(G19=14,KILOMETRAJE!G$17,IF(G19=15,KILOMETRAJE!G$18,IF(G19=16,KILOMETRAJE!G$19,IF(G19=17,KILOMETRAJE!G$20,IF(G19=18,KILOMETRAJE!G$21,IF(G19=19,KILOMETRAJE!G$22,IF(G19=20,KILOMETRAJE!G$23,IF(G19=21,KILOMETRAJE!G$24,IF(G19=22,KILOMETRAJE!G$25,IF(G19=23,KILOMETRAJE!G$26,IF(G19=24,KILOMETRAJE!G$27,IF(G19=25,KILOMETRAJE!G$28,IF(G19=26,KILOMETRAJE!G$29,IF(G19=27,KILOMETRAJE!G$30,IF(G19=28,KILOMETRAJE!G$31,IF(G19=29,KILOMETRAJE!G$32,IF(G19=30,KILOMETRAJE!G$33,IF(G19=31,KILOMETRAJE!G$34,IF(G19=32,KILOMETRAJE!G$35,IF(G19=33,KILOMETRAJE!G$36,IF(G19=34,KILOMETRAJE!G$37,IF(G19=35,KILOMETRAJE!G$38,IF(G19=36,KILOMETRAJE!G$39,IF(G19=37,KILOMETRAJE!G$40,IF(G19=38,KILOMETRAJE!G$41,IF(G19=39,KILOMETRAJE!G$42,IF(G19=40,KILOMETRAJE!G$43,IF(G19=41,KILOMETRAJE!G$44,IF(G19=42,KILOMETRAJE!G$45,IF(G19=43,KILOMETRAJE!G$46,IF(G19=44,KILOMETRAJE!G$47,IF(G19=45,KILOMETRAJE!G$48,IF(G19=46,KILOMETRAJE!G$49,IF(G19=47,KILOMETRAJE!G$50,IF(G19=48,KILOMETRAJE!G$51,IF(G19=49,KILOMETRAJE!G$52,IF(G19=50,KILOMETRAJE!G$53,IF(G19=51,KILOMETRAJE!G$54,IF(G19=52,KILOMETRAJE!G$55,IF(G19=53,KILOMETRAJE!G$56,IF(G19=54,KILOMETRAJE!G$57,IF(G19=55,KILOMETRAJE!G$58,IF(G19=56,KILOMETRAJE!G$59,IF(G19=57,KILOMETRAJE!G$60,IF(G19=58,KILOMETRAJE!G$61,IF(G19=59,KILOMETRAJE!G$62,IF(G19=60,KILOMETRAJE!G$63,IF(G19=61,KILOMETRAJE!G$64,IF(G19=62,KILOMETRAJE!G$65,IF(G19=63,KILOMETRAJE!G$66)))))))))))))))))))))))))))))))))))))))))))))))))))))))))))))))</f>
        <v>375</v>
      </c>
      <c r="K19" s="24"/>
      <c r="L19" s="44"/>
      <c r="M19" s="348">
        <v>5948</v>
      </c>
      <c r="N19" s="24">
        <v>1</v>
      </c>
      <c r="O19" s="24" t="s">
        <v>437</v>
      </c>
      <c r="P19" s="24" t="s">
        <v>191</v>
      </c>
      <c r="Q19" s="45">
        <f t="shared" ref="Q19:Q20" si="0">((((IF(N19=1,((J19)*0.29333)))+(IF(N19=2,((J19)*0.146666)))+(IF(N19=3,((J19)*0.146666)))))+(IF(N19=4,((J19-40)*0.29333)))+(IF(N19=5,((J19-50)*0.29333)))+(IF(N19=6,((J19-90)*0.29333))))</f>
        <v>109.99874999999999</v>
      </c>
      <c r="R19" s="191"/>
      <c r="S19" s="52"/>
      <c r="T19" s="46"/>
    </row>
    <row r="20" spans="3:21" ht="12.75" thickBot="1" x14ac:dyDescent="0.25">
      <c r="C20" s="101"/>
      <c r="D20" s="62" t="s">
        <v>476</v>
      </c>
      <c r="E20" s="25">
        <v>45959</v>
      </c>
      <c r="F20" s="25">
        <v>45959</v>
      </c>
      <c r="G20" s="62">
        <v>3</v>
      </c>
      <c r="H20" s="27" t="str">
        <f>IF(G20=1,KILOMETRAJE!C$4,IF(G20=2,KILOMETRAJE!C$5,IF(G20=3,KILOMETRAJE!C$6,IF(G20=4,KILOMETRAJE!C$7,IF(G20=5,KILOMETRAJE!C$8,IF(G20=6,KILOMETRAJE!C$9,IF(G20=7,KILOMETRAJE!C$10,IF(G20=8,KILOMETRAJE!C$11,IF(G20=9,KILOMETRAJE!C$12,IF(G20=10,KILOMETRAJE!C$13,IF(G20=11,KILOMETRAJE!C$14,IF(G20=12,KILOMETRAJE!C$15,IF(G20=13,KILOMETRAJE!C$16,IF(G20=14,KILOMETRAJE!C$17,IF(G20=15,KILOMETRAJE!C$18,IF(G20=16,KILOMETRAJE!C$19,IF(G20=17,KILOMETRAJE!C$20,IF(G20=18,KILOMETRAJE!C$21,IF(G20=19,KILOMETRAJE!C$22,IF(G20=20,KILOMETRAJE!C$23,IF(G20=21,KILOMETRAJE!C$24,IF(G20=22,KILOMETRAJE!C$25,IF(G20=23,KILOMETRAJE!C$26,IF(G20=24,KILOMETRAJE!C$27,IF(G20=25,KILOMETRAJE!C$28,IF(G20=26,KILOMETRAJE!C$29,IF(G20=27,KILOMETRAJE!C$30,IF(G20=28,KILOMETRAJE!C$31,IF(G20=29,KILOMETRAJE!C$32,IF(G20=30,KILOMETRAJE!C$33,IF(G20=31,KILOMETRAJE!C$34,IF(G20=32,KILOMETRAJE!C$35,IF(G20=33,KILOMETRAJE!C$36,IF(G20=34,KILOMETRAJE!C$37,IF(G20=35,KILOMETRAJE!C$38,IF(G20=36,KILOMETRAJE!C$39,IF(G20=37,KILOMETRAJE!C$40,IF(G20=38,KILOMETRAJE!C$41,IF(G20=39,KILOMETRAJE!C$42,IF(G20=40,KILOMETRAJE!C$43,IF(G20=41,KILOMETRAJE!C$44,IF(G20=42,KILOMETRAJE!C$45,IF(G20=43,KILOMETRAJE!C$46,IF(G20=44,KILOMETRAJE!C$47,IF(G20=45,KILOMETRAJE!C$48,IF(G20=46,KILOMETRAJE!C$49,IF(G20=47,KILOMETRAJE!C$50,IF(G20=48,KILOMETRAJE!C$51,IF(G20=49,KILOMETRAJE!C$52,IF(G20=50,KILOMETRAJE!C$53,IF(G20=51,KILOMETRAJE!C$54,IF(G20=52,KILOMETRAJE!C$55,IF(G20=53,KILOMETRAJE!C$56,IF(G20=54,KILOMETRAJE!C$57,IF(G20=55,KILOMETRAJE!C$58,IF(G20=56,KILOMETRAJE!C$59,IF(G20=57,KILOMETRAJE!C$60,IF(G20=58,KILOMETRAJE!C$61,IF(G20=59,KILOMETRAJE!C$62,IF(G20=60,KILOMETRAJE!C$63,IF(G20=61,KILOMETRAJE!C$64,IF(G20=62,KILOMETRAJE!C$65,IF(G20=63,KILOMETRAJE!C$66)))))))))))))))))))))))))))))))))))))))))))))))))))))))))))))))</f>
        <v xml:space="preserve">CHIH. </v>
      </c>
      <c r="I20" s="27" t="str">
        <f>IF(G20=1,KILOMETRAJE!E$4,IF(G20=2,KILOMETRAJE!E$5,IF(G20=3,KILOMETRAJE!E$6,IF(G20=4,KILOMETRAJE!E$7,IF(G20=5,KILOMETRAJE!E$8,IF(G20=6,KILOMETRAJE!E$9,IF(G20=7,KILOMETRAJE!E$10,IF(G20=8,KILOMETRAJE!E$11,IF(G20=9,KILOMETRAJE!E$12,IF(G20=10,KILOMETRAJE!E$13,IF(G20=11,KILOMETRAJE!E$14,IF(G20=12,KILOMETRAJE!E$15,IF(G20=13,KILOMETRAJE!E$16,IF(G20=14,KILOMETRAJE!E$17,IF(G20=15,KILOMETRAJE!E$18,IF(G20=16,KILOMETRAJE!E$19,IF(G20=17,KILOMETRAJE!E$20,IF(G20=18,KILOMETRAJE!E$21,IF(G20=19,KILOMETRAJE!E$22,IF(G20=20,KILOMETRAJE!E$23,IF(G20=21,KILOMETRAJE!E$24,IF(G20=22,KILOMETRAJE!E$25,IF(G20=23,KILOMETRAJE!E$26,IF(G20=24,KILOMETRAJE!E$27,IF(G20=25,KILOMETRAJE!E$28,IF(G20=26,KILOMETRAJE!E$29,IF(G20=27,KILOMETRAJE!E$30,IF(G20=28,KILOMETRAJE!E$31,IF(G20=29,KILOMETRAJE!E$32,IF(G20=30,KILOMETRAJE!E$33,IF(G20=31,KILOMETRAJE!E$34,IF(G20=32,KILOMETRAJE!E$35,IF(G20=33,KILOMETRAJE!E$36,IF(G20=34,KILOMETRAJE!E$37,IF(G20=35,KILOMETRAJE!E$38,IF(G20=36,KILOMETRAJE!E$39,IF(G20=37,KILOMETRAJE!E$40,IF(G20=38,KILOMETRAJE!E$41,IF(G20=39,KILOMETRAJE!E$42,IF(G20=40,KILOMETRAJE!E$43,IF(G20=41,KILOMETRAJE!E$44,IF(G20=42,KILOMETRAJE!E$45,IF(G20=43,KILOMETRAJE!E$46,IF(G20=44,KILOMETRAJE!E$47,IF(G20=45,KILOMETRAJE!E$48,IF(G20=46,KILOMETRAJE!E$49,IF(G20=47,KILOMETRAJE!E$50,IF(G20=48,KILOMETRAJE!E$51,IF(G20=49,KILOMETRAJE!E$52,IF(G20=50,KILOMETRAJE!E$53,IF(G20=51,KILOMETRAJE!E$54,IF(G20=52,KILOMETRAJE!E$55,IF(G20=53,KILOMETRAJE!E$56,IF(G20=54,KILOMETRAJE!E$57,IF(G20=55,KILOMETRAJE!E$58,IF(G20=56,KILOMETRAJE!E$59,IF(G20=57,KILOMETRAJE!E$60,IF(G20=58,KILOMETRAJE!E$61,IF(G20=59,KILOMETRAJE!E$62,IF(G20=60,KILOMETRAJE!E$63,IF(G20=61,KILOMETRAJE!E$64,IF(G20=62,KILOMETRAJE!E$65,IF(G20=63,KILOMETRAJE!E$66)))))))))))))))))))))))))))))))))))))))))))))))))))))))))))))))</f>
        <v>JRZ</v>
      </c>
      <c r="J20" s="31">
        <f>IF(G20=1,KILOMETRAJE!G$4,IF(G20=2,KILOMETRAJE!G$5,IF(G20=3,KILOMETRAJE!G$6,IF(G20=4,KILOMETRAJE!G$7,IF(G20=5,KILOMETRAJE!G$8,IF(G20=6,KILOMETRAJE!G$9,IF(G20=7,KILOMETRAJE!G$10,IF(G20=8,KILOMETRAJE!G$11,IF(G20=9,KILOMETRAJE!G$12,IF(G20=10,KILOMETRAJE!G$13,IF(G20=11,KILOMETRAJE!G$14,IF(G20=12,KILOMETRAJE!G$15,IF(G20=13,KILOMETRAJE!G$16,IF(G20=14,KILOMETRAJE!G$17,IF(G20=15,KILOMETRAJE!G$18,IF(G20=16,KILOMETRAJE!G$19,IF(G20=17,KILOMETRAJE!G$20,IF(G20=18,KILOMETRAJE!G$21,IF(G20=19,KILOMETRAJE!G$22,IF(G20=20,KILOMETRAJE!G$23,IF(G20=21,KILOMETRAJE!G$24,IF(G20=22,KILOMETRAJE!G$25,IF(G20=23,KILOMETRAJE!G$26,IF(G20=24,KILOMETRAJE!G$27,IF(G20=25,KILOMETRAJE!G$28,IF(G20=26,KILOMETRAJE!G$29,IF(G20=27,KILOMETRAJE!G$30,IF(G20=28,KILOMETRAJE!G$31,IF(G20=29,KILOMETRAJE!G$32,IF(G20=30,KILOMETRAJE!G$33,IF(G20=31,KILOMETRAJE!G$34,IF(G20=32,KILOMETRAJE!G$35,IF(G20=33,KILOMETRAJE!G$36,IF(G20=34,KILOMETRAJE!G$37,IF(G20=35,KILOMETRAJE!G$38,IF(G20=36,KILOMETRAJE!G$39,IF(G20=37,KILOMETRAJE!G$40,IF(G20=38,KILOMETRAJE!G$41,IF(G20=39,KILOMETRAJE!G$42,IF(G20=40,KILOMETRAJE!G$43,IF(G20=41,KILOMETRAJE!G$44,IF(G20=42,KILOMETRAJE!G$45,IF(G20=43,KILOMETRAJE!G$46,IF(G20=44,KILOMETRAJE!G$47,IF(G20=45,KILOMETRAJE!G$48,IF(G20=46,KILOMETRAJE!G$49,IF(G20=47,KILOMETRAJE!G$50,IF(G20=48,KILOMETRAJE!G$51,IF(G20=49,KILOMETRAJE!G$52,IF(G20=50,KILOMETRAJE!G$53,IF(G20=51,KILOMETRAJE!G$54,IF(G20=52,KILOMETRAJE!G$55,IF(G20=53,KILOMETRAJE!G$56,IF(G20=54,KILOMETRAJE!G$57,IF(G20=55,KILOMETRAJE!G$58,IF(G20=56,KILOMETRAJE!G$59,IF(G20=57,KILOMETRAJE!G$60,IF(G20=58,KILOMETRAJE!G$61,IF(G20=59,KILOMETRAJE!G$62,IF(G20=60,KILOMETRAJE!G$63,IF(G20=61,KILOMETRAJE!G$64,IF(G20=62,KILOMETRAJE!G$65,IF(G20=63,KILOMETRAJE!G$66)))))))))))))))))))))))))))))))))))))))))))))))))))))))))))))))</f>
        <v>375</v>
      </c>
      <c r="K20" s="27">
        <v>220.78</v>
      </c>
      <c r="L20" s="28">
        <f>SUM(J19:J20)/K20</f>
        <v>3.3970468339523507</v>
      </c>
      <c r="M20" s="349">
        <v>1161</v>
      </c>
      <c r="N20" s="27">
        <v>1</v>
      </c>
      <c r="O20" s="27" t="s">
        <v>410</v>
      </c>
      <c r="P20" s="27" t="s">
        <v>247</v>
      </c>
      <c r="Q20" s="29">
        <f t="shared" si="0"/>
        <v>109.99874999999999</v>
      </c>
      <c r="R20" s="190">
        <v>2.4500000000000002</v>
      </c>
      <c r="S20" s="19">
        <f>+((SUM(J19:J20))/R20)-K20</f>
        <v>85.342448979591808</v>
      </c>
      <c r="T20" s="30">
        <f>+S20*14.85</f>
        <v>1267.3353673469383</v>
      </c>
    </row>
    <row r="21" spans="3:21" x14ac:dyDescent="0.2">
      <c r="C21" s="176">
        <v>46417</v>
      </c>
      <c r="D21" s="43" t="s">
        <v>477</v>
      </c>
      <c r="E21" s="42">
        <v>45960</v>
      </c>
      <c r="F21" s="42">
        <v>45960</v>
      </c>
      <c r="G21" s="43">
        <v>2</v>
      </c>
      <c r="H21" s="236" t="str">
        <f>IF(G21=1,KILOMETRAJE!C$4,IF(G21=2,KILOMETRAJE!C$5,IF(G21=3,KILOMETRAJE!C$6,IF(G21=4,KILOMETRAJE!C$7,IF(G21=5,KILOMETRAJE!C$8,IF(G21=6,KILOMETRAJE!C$9,IF(G21=7,KILOMETRAJE!C$10,IF(G21=8,KILOMETRAJE!C$11,IF(G21=9,KILOMETRAJE!C$12,IF(G21=10,KILOMETRAJE!C$13,IF(G21=11,KILOMETRAJE!C$14,IF(G21=12,KILOMETRAJE!C$15,IF(G21=13,KILOMETRAJE!C$16,IF(G21=14,KILOMETRAJE!C$17,IF(G21=15,KILOMETRAJE!C$18,IF(G21=16,KILOMETRAJE!C$19,IF(G21=17,KILOMETRAJE!C$20,IF(G21=18,KILOMETRAJE!C$21,IF(G21=19,KILOMETRAJE!C$22,IF(G21=20,KILOMETRAJE!C$23,IF(G21=21,KILOMETRAJE!C$24,IF(G21=22,KILOMETRAJE!C$25,IF(G21=23,KILOMETRAJE!C$26,IF(G21=24,KILOMETRAJE!C$27,IF(G21=25,KILOMETRAJE!C$28,IF(G21=26,KILOMETRAJE!C$29,IF(G21=27,KILOMETRAJE!C$30,IF(G21=28,KILOMETRAJE!C$31,IF(G21=29,KILOMETRAJE!C$32,IF(G21=30,KILOMETRAJE!C$33,IF(G21=31,KILOMETRAJE!C$34,IF(G21=32,KILOMETRAJE!C$35,IF(G21=33,KILOMETRAJE!C$36,IF(G21=34,KILOMETRAJE!C$37,IF(G21=35,KILOMETRAJE!C$38,IF(G21=36,KILOMETRAJE!C$39,IF(G21=37,KILOMETRAJE!C$40,IF(G21=38,KILOMETRAJE!C$41,IF(G21=39,KILOMETRAJE!C$42,IF(G21=40,KILOMETRAJE!C$43,IF(G21=41,KILOMETRAJE!C$44,IF(G21=42,KILOMETRAJE!C$45,IF(G21=43,KILOMETRAJE!C$46,IF(G21=44,KILOMETRAJE!C$47,IF(G21=45,KILOMETRAJE!C$48,IF(G21=46,KILOMETRAJE!C$49,IF(G21=47,KILOMETRAJE!C$50,IF(G21=48,KILOMETRAJE!C$51,IF(G21=49,KILOMETRAJE!C$52,IF(G21=50,KILOMETRAJE!C$53,IF(G21=51,KILOMETRAJE!C$54,IF(G21=52,KILOMETRAJE!C$55,IF(G21=53,KILOMETRAJE!C$56,IF(G21=54,KILOMETRAJE!C$57,IF(G21=55,KILOMETRAJE!C$58,IF(G21=56,KILOMETRAJE!C$59,IF(G21=57,KILOMETRAJE!C$60,IF(G21=58,KILOMETRAJE!C$61,IF(G21=59,KILOMETRAJE!C$62,IF(G21=60,KILOMETRAJE!C$63,IF(G21=61,KILOMETRAJE!C$64,IF(G21=62,KILOMETRAJE!C$65,IF(G21=63,KILOMETRAJE!C$66)))))))))))))))))))))))))))))))))))))))))))))))))))))))))))))))</f>
        <v>JRZ</v>
      </c>
      <c r="I21" s="236" t="str">
        <f>IF(G21=1,KILOMETRAJE!E$4,IF(G21=2,KILOMETRAJE!E$5,IF(G21=3,KILOMETRAJE!E$6,IF(G21=4,KILOMETRAJE!E$7,IF(G21=5,KILOMETRAJE!E$8,IF(G21=6,KILOMETRAJE!E$9,IF(G21=7,KILOMETRAJE!E$10,IF(G21=8,KILOMETRAJE!E$11,IF(G21=9,KILOMETRAJE!E$12,IF(G21=10,KILOMETRAJE!E$13,IF(G21=11,KILOMETRAJE!E$14,IF(G21=12,KILOMETRAJE!E$15,IF(G21=13,KILOMETRAJE!E$16,IF(G21=14,KILOMETRAJE!E$17,IF(G21=15,KILOMETRAJE!E$18,IF(G21=16,KILOMETRAJE!E$19,IF(G21=17,KILOMETRAJE!E$20,IF(G21=18,KILOMETRAJE!E$21,IF(G21=19,KILOMETRAJE!E$22,IF(G21=20,KILOMETRAJE!E$23,IF(G21=21,KILOMETRAJE!E$24,IF(G21=22,KILOMETRAJE!E$25,IF(G21=23,KILOMETRAJE!E$26,IF(G21=24,KILOMETRAJE!E$27,IF(G21=25,KILOMETRAJE!E$28,IF(G21=26,KILOMETRAJE!E$29,IF(G21=27,KILOMETRAJE!E$30,IF(G21=28,KILOMETRAJE!E$31,IF(G21=29,KILOMETRAJE!E$32,IF(G21=30,KILOMETRAJE!E$33,IF(G21=31,KILOMETRAJE!E$34,IF(G21=32,KILOMETRAJE!E$35,IF(G21=33,KILOMETRAJE!E$36,IF(G21=34,KILOMETRAJE!E$37,IF(G21=35,KILOMETRAJE!E$38,IF(G21=36,KILOMETRAJE!E$39,IF(G21=37,KILOMETRAJE!E$40,IF(G21=38,KILOMETRAJE!E$41,IF(G21=39,KILOMETRAJE!E$42,IF(G21=40,KILOMETRAJE!E$43,IF(G21=41,KILOMETRAJE!E$44,IF(G21=42,KILOMETRAJE!E$45,IF(G21=43,KILOMETRAJE!E$46,IF(G21=44,KILOMETRAJE!E$47,IF(G21=45,KILOMETRAJE!E$48,IF(G21=46,KILOMETRAJE!E$49,IF(G21=47,KILOMETRAJE!E$50,IF(G21=48,KILOMETRAJE!E$51,IF(G21=49,KILOMETRAJE!E$52,IF(G21=50,KILOMETRAJE!E$53,IF(G21=51,KILOMETRAJE!E$54,IF(G21=52,KILOMETRAJE!E$55,IF(G21=53,KILOMETRAJE!E$56,IF(G21=54,KILOMETRAJE!E$57,IF(G21=55,KILOMETRAJE!E$58,IF(G21=56,KILOMETRAJE!E$59,IF(G21=57,KILOMETRAJE!E$60,IF(G21=58,KILOMETRAJE!E$61,IF(G21=59,KILOMETRAJE!E$62,IF(G21=60,KILOMETRAJE!E$63,IF(G21=61,KILOMETRAJE!E$64,IF(G21=62,KILOMETRAJE!E$65,IF(G21=63,KILOMETRAJE!E$66)))))))))))))))))))))))))))))))))))))))))))))))))))))))))))))))</f>
        <v>CHIH.</v>
      </c>
      <c r="J21" s="237">
        <f>IF(G21=1,KILOMETRAJE!G$4,IF(G21=2,KILOMETRAJE!G$5,IF(G21=3,KILOMETRAJE!G$6,IF(G21=4,KILOMETRAJE!G$7,IF(G21=5,KILOMETRAJE!G$8,IF(G21=6,KILOMETRAJE!G$9,IF(G21=7,KILOMETRAJE!G$10,IF(G21=8,KILOMETRAJE!G$11,IF(G21=9,KILOMETRAJE!G$12,IF(G21=10,KILOMETRAJE!G$13,IF(G21=11,KILOMETRAJE!G$14,IF(G21=12,KILOMETRAJE!G$15,IF(G21=13,KILOMETRAJE!G$16,IF(G21=14,KILOMETRAJE!G$17,IF(G21=15,KILOMETRAJE!G$18,IF(G21=16,KILOMETRAJE!G$19,IF(G21=17,KILOMETRAJE!G$20,IF(G21=18,KILOMETRAJE!G$21,IF(G21=19,KILOMETRAJE!G$22,IF(G21=20,KILOMETRAJE!G$23,IF(G21=21,KILOMETRAJE!G$24,IF(G21=22,KILOMETRAJE!G$25,IF(G21=23,KILOMETRAJE!G$26,IF(G21=24,KILOMETRAJE!G$27,IF(G21=25,KILOMETRAJE!G$28,IF(G21=26,KILOMETRAJE!G$29,IF(G21=27,KILOMETRAJE!G$30,IF(G21=28,KILOMETRAJE!G$31,IF(G21=29,KILOMETRAJE!G$32,IF(G21=30,KILOMETRAJE!G$33,IF(G21=31,KILOMETRAJE!G$34,IF(G21=32,KILOMETRAJE!G$35,IF(G21=33,KILOMETRAJE!G$36,IF(G21=34,KILOMETRAJE!G$37,IF(G21=35,KILOMETRAJE!G$38,IF(G21=36,KILOMETRAJE!G$39,IF(G21=37,KILOMETRAJE!G$40,IF(G21=38,KILOMETRAJE!G$41,IF(G21=39,KILOMETRAJE!G$42,IF(G21=40,KILOMETRAJE!G$43,IF(G21=41,KILOMETRAJE!G$44,IF(G21=42,KILOMETRAJE!G$45,IF(G21=43,KILOMETRAJE!G$46,IF(G21=44,KILOMETRAJE!G$47,IF(G21=45,KILOMETRAJE!G$48,IF(G21=46,KILOMETRAJE!G$49,IF(G21=47,KILOMETRAJE!G$50,IF(G21=48,KILOMETRAJE!G$51,IF(G21=49,KILOMETRAJE!G$52,IF(G21=50,KILOMETRAJE!G$53,IF(G21=51,KILOMETRAJE!G$54,IF(G21=52,KILOMETRAJE!G$55,IF(G21=53,KILOMETRAJE!G$56,IF(G21=54,KILOMETRAJE!G$57,IF(G21=55,KILOMETRAJE!G$58,IF(G21=56,KILOMETRAJE!G$59,IF(G21=57,KILOMETRAJE!G$60,IF(G21=58,KILOMETRAJE!G$61,IF(G21=59,KILOMETRAJE!G$62,IF(G21=60,KILOMETRAJE!G$63,IF(G21=61,KILOMETRAJE!G$64,IF(G21=62,KILOMETRAJE!G$65,IF(G21=63,KILOMETRAJE!G$66)))))))))))))))))))))))))))))))))))))))))))))))))))))))))))))))</f>
        <v>375</v>
      </c>
      <c r="K21" s="24"/>
      <c r="L21" s="44"/>
      <c r="M21" s="348">
        <v>155</v>
      </c>
      <c r="N21" s="24">
        <v>1</v>
      </c>
      <c r="O21" s="24" t="s">
        <v>479</v>
      </c>
      <c r="P21" s="24" t="s">
        <v>194</v>
      </c>
      <c r="Q21" s="45">
        <f t="shared" ref="Q21:Q22" si="1">((((IF(N21=1,((J21)*0.29333)))+(IF(N21=2,((J21)*0.146666)))+(IF(N21=3,((J21)*0.146666)))))+(IF(N21=4,((J21-40)*0.29333)))+(IF(N21=5,((J21-50)*0.29333)))+(IF(N21=6,((J21-90)*0.29333))))</f>
        <v>109.99874999999999</v>
      </c>
      <c r="R21" s="191"/>
      <c r="S21" s="52"/>
      <c r="T21" s="46"/>
      <c r="U21" s="120"/>
    </row>
    <row r="22" spans="3:21" ht="12" customHeight="1" thickBot="1" x14ac:dyDescent="0.25">
      <c r="C22" s="101"/>
      <c r="D22" s="62" t="s">
        <v>478</v>
      </c>
      <c r="E22" s="25">
        <v>45961</v>
      </c>
      <c r="F22" s="25">
        <v>45961</v>
      </c>
      <c r="G22" s="62">
        <v>3</v>
      </c>
      <c r="H22" s="27" t="str">
        <f>IF(G22=1,KILOMETRAJE!C$4,IF(G22=2,KILOMETRAJE!C$5,IF(G22=3,KILOMETRAJE!C$6,IF(G22=4,KILOMETRAJE!C$7,IF(G22=5,KILOMETRAJE!C$8,IF(G22=6,KILOMETRAJE!C$9,IF(G22=7,KILOMETRAJE!C$10,IF(G22=8,KILOMETRAJE!C$11,IF(G22=9,KILOMETRAJE!C$12,IF(G22=10,KILOMETRAJE!C$13,IF(G22=11,KILOMETRAJE!C$14,IF(G22=12,KILOMETRAJE!C$15,IF(G22=13,KILOMETRAJE!C$16,IF(G22=14,KILOMETRAJE!C$17,IF(G22=15,KILOMETRAJE!C$18,IF(G22=16,KILOMETRAJE!C$19,IF(G22=17,KILOMETRAJE!C$20,IF(G22=18,KILOMETRAJE!C$21,IF(G22=19,KILOMETRAJE!C$22,IF(G22=20,KILOMETRAJE!C$23,IF(G22=21,KILOMETRAJE!C$24,IF(G22=22,KILOMETRAJE!C$25,IF(G22=23,KILOMETRAJE!C$26,IF(G22=24,KILOMETRAJE!C$27,IF(G22=25,KILOMETRAJE!C$28,IF(G22=26,KILOMETRAJE!C$29,IF(G22=27,KILOMETRAJE!C$30,IF(G22=28,KILOMETRAJE!C$31,IF(G22=29,KILOMETRAJE!C$32,IF(G22=30,KILOMETRAJE!C$33,IF(G22=31,KILOMETRAJE!C$34,IF(G22=32,KILOMETRAJE!C$35,IF(G22=33,KILOMETRAJE!C$36,IF(G22=34,KILOMETRAJE!C$37,IF(G22=35,KILOMETRAJE!C$38,IF(G22=36,KILOMETRAJE!C$39,IF(G22=37,KILOMETRAJE!C$40,IF(G22=38,KILOMETRAJE!C$41,IF(G22=39,KILOMETRAJE!C$42,IF(G22=40,KILOMETRAJE!C$43,IF(G22=41,KILOMETRAJE!C$44,IF(G22=42,KILOMETRAJE!C$45,IF(G22=43,KILOMETRAJE!C$46,IF(G22=44,KILOMETRAJE!C$47,IF(G22=45,KILOMETRAJE!C$48,IF(G22=46,KILOMETRAJE!C$49,IF(G22=47,KILOMETRAJE!C$50,IF(G22=48,KILOMETRAJE!C$51,IF(G22=49,KILOMETRAJE!C$52,IF(G22=50,KILOMETRAJE!C$53,IF(G22=51,KILOMETRAJE!C$54,IF(G22=52,KILOMETRAJE!C$55,IF(G22=53,KILOMETRAJE!C$56,IF(G22=54,KILOMETRAJE!C$57,IF(G22=55,KILOMETRAJE!C$58,IF(G22=56,KILOMETRAJE!C$59,IF(G22=57,KILOMETRAJE!C$60,IF(G22=58,KILOMETRAJE!C$61,IF(G22=59,KILOMETRAJE!C$62,IF(G22=60,KILOMETRAJE!C$63,IF(G22=61,KILOMETRAJE!C$64,IF(G22=62,KILOMETRAJE!C$65,IF(G22=63,KILOMETRAJE!C$66)))))))))))))))))))))))))))))))))))))))))))))))))))))))))))))))</f>
        <v xml:space="preserve">CHIH. </v>
      </c>
      <c r="I22" s="27" t="str">
        <f>IF(G22=1,KILOMETRAJE!E$4,IF(G22=2,KILOMETRAJE!E$5,IF(G22=3,KILOMETRAJE!E$6,IF(G22=4,KILOMETRAJE!E$7,IF(G22=5,KILOMETRAJE!E$8,IF(G22=6,KILOMETRAJE!E$9,IF(G22=7,KILOMETRAJE!E$10,IF(G22=8,KILOMETRAJE!E$11,IF(G22=9,KILOMETRAJE!E$12,IF(G22=10,KILOMETRAJE!E$13,IF(G22=11,KILOMETRAJE!E$14,IF(G22=12,KILOMETRAJE!E$15,IF(G22=13,KILOMETRAJE!E$16,IF(G22=14,KILOMETRAJE!E$17,IF(G22=15,KILOMETRAJE!E$18,IF(G22=16,KILOMETRAJE!E$19,IF(G22=17,KILOMETRAJE!E$20,IF(G22=18,KILOMETRAJE!E$21,IF(G22=19,KILOMETRAJE!E$22,IF(G22=20,KILOMETRAJE!E$23,IF(G22=21,KILOMETRAJE!E$24,IF(G22=22,KILOMETRAJE!E$25,IF(G22=23,KILOMETRAJE!E$26,IF(G22=24,KILOMETRAJE!E$27,IF(G22=25,KILOMETRAJE!E$28,IF(G22=26,KILOMETRAJE!E$29,IF(G22=27,KILOMETRAJE!E$30,IF(G22=28,KILOMETRAJE!E$31,IF(G22=29,KILOMETRAJE!E$32,IF(G22=30,KILOMETRAJE!E$33,IF(G22=31,KILOMETRAJE!E$34,IF(G22=32,KILOMETRAJE!E$35,IF(G22=33,KILOMETRAJE!E$36,IF(G22=34,KILOMETRAJE!E$37,IF(G22=35,KILOMETRAJE!E$38,IF(G22=36,KILOMETRAJE!E$39,IF(G22=37,KILOMETRAJE!E$40,IF(G22=38,KILOMETRAJE!E$41,IF(G22=39,KILOMETRAJE!E$42,IF(G22=40,KILOMETRAJE!E$43,IF(G22=41,KILOMETRAJE!E$44,IF(G22=42,KILOMETRAJE!E$45,IF(G22=43,KILOMETRAJE!E$46,IF(G22=44,KILOMETRAJE!E$47,IF(G22=45,KILOMETRAJE!E$48,IF(G22=46,KILOMETRAJE!E$49,IF(G22=47,KILOMETRAJE!E$50,IF(G22=48,KILOMETRAJE!E$51,IF(G22=49,KILOMETRAJE!E$52,IF(G22=50,KILOMETRAJE!E$53,IF(G22=51,KILOMETRAJE!E$54,IF(G22=52,KILOMETRAJE!E$55,IF(G22=53,KILOMETRAJE!E$56,IF(G22=54,KILOMETRAJE!E$57,IF(G22=55,KILOMETRAJE!E$58,IF(G22=56,KILOMETRAJE!E$59,IF(G22=57,KILOMETRAJE!E$60,IF(G22=58,KILOMETRAJE!E$61,IF(G22=59,KILOMETRAJE!E$62,IF(G22=60,KILOMETRAJE!E$63,IF(G22=61,KILOMETRAJE!E$64,IF(G22=62,KILOMETRAJE!E$65,IF(G22=63,KILOMETRAJE!E$66)))))))))))))))))))))))))))))))))))))))))))))))))))))))))))))))</f>
        <v>JRZ</v>
      </c>
      <c r="J22" s="31">
        <f>IF(G22=1,KILOMETRAJE!G$4,IF(G22=2,KILOMETRAJE!G$5,IF(G22=3,KILOMETRAJE!G$6,IF(G22=4,KILOMETRAJE!G$7,IF(G22=5,KILOMETRAJE!G$8,IF(G22=6,KILOMETRAJE!G$9,IF(G22=7,KILOMETRAJE!G$10,IF(G22=8,KILOMETRAJE!G$11,IF(G22=9,KILOMETRAJE!G$12,IF(G22=10,KILOMETRAJE!G$13,IF(G22=11,KILOMETRAJE!G$14,IF(G22=12,KILOMETRAJE!G$15,IF(G22=13,KILOMETRAJE!G$16,IF(G22=14,KILOMETRAJE!G$17,IF(G22=15,KILOMETRAJE!G$18,IF(G22=16,KILOMETRAJE!G$19,IF(G22=17,KILOMETRAJE!G$20,IF(G22=18,KILOMETRAJE!G$21,IF(G22=19,KILOMETRAJE!G$22,IF(G22=20,KILOMETRAJE!G$23,IF(G22=21,KILOMETRAJE!G$24,IF(G22=22,KILOMETRAJE!G$25,IF(G22=23,KILOMETRAJE!G$26,IF(G22=24,KILOMETRAJE!G$27,IF(G22=25,KILOMETRAJE!G$28,IF(G22=26,KILOMETRAJE!G$29,IF(G22=27,KILOMETRAJE!G$30,IF(G22=28,KILOMETRAJE!G$31,IF(G22=29,KILOMETRAJE!G$32,IF(G22=30,KILOMETRAJE!G$33,IF(G22=31,KILOMETRAJE!G$34,IF(G22=32,KILOMETRAJE!G$35,IF(G22=33,KILOMETRAJE!G$36,IF(G22=34,KILOMETRAJE!G$37,IF(G22=35,KILOMETRAJE!G$38,IF(G22=36,KILOMETRAJE!G$39,IF(G22=37,KILOMETRAJE!G$40,IF(G22=38,KILOMETRAJE!G$41,IF(G22=39,KILOMETRAJE!G$42,IF(G22=40,KILOMETRAJE!G$43,IF(G22=41,KILOMETRAJE!G$44,IF(G22=42,KILOMETRAJE!G$45,IF(G22=43,KILOMETRAJE!G$46,IF(G22=44,KILOMETRAJE!G$47,IF(G22=45,KILOMETRAJE!G$48,IF(G22=46,KILOMETRAJE!G$49,IF(G22=47,KILOMETRAJE!G$50,IF(G22=48,KILOMETRAJE!G$51,IF(G22=49,KILOMETRAJE!G$52,IF(G22=50,KILOMETRAJE!G$53,IF(G22=51,KILOMETRAJE!G$54,IF(G22=52,KILOMETRAJE!G$55,IF(G22=53,KILOMETRAJE!G$56,IF(G22=54,KILOMETRAJE!G$57,IF(G22=55,KILOMETRAJE!G$58,IF(G22=56,KILOMETRAJE!G$59,IF(G22=57,KILOMETRAJE!G$60,IF(G22=58,KILOMETRAJE!G$61,IF(G22=59,KILOMETRAJE!G$62,IF(G22=60,KILOMETRAJE!G$63,IF(G22=61,KILOMETRAJE!G$64,IF(G22=62,KILOMETRAJE!G$65,IF(G22=63,KILOMETRAJE!G$66)))))))))))))))))))))))))))))))))))))))))))))))))))))))))))))))</f>
        <v>375</v>
      </c>
      <c r="K22" s="27">
        <v>210.26</v>
      </c>
      <c r="L22" s="28">
        <f>SUM(J21:J22)/K22</f>
        <v>3.5670122705222109</v>
      </c>
      <c r="M22" s="349">
        <v>206</v>
      </c>
      <c r="N22" s="27">
        <v>1</v>
      </c>
      <c r="O22" s="27">
        <v>1058</v>
      </c>
      <c r="P22" s="27" t="s">
        <v>203</v>
      </c>
      <c r="Q22" s="29">
        <f t="shared" si="1"/>
        <v>109.99874999999999</v>
      </c>
      <c r="R22" s="190">
        <v>2.4500000000000002</v>
      </c>
      <c r="S22" s="19">
        <f>+((SUM(J21:J22))/R22)-K22</f>
        <v>95.862448979591818</v>
      </c>
      <c r="T22" s="30">
        <f>+S22*14.85</f>
        <v>1423.5573673469385</v>
      </c>
    </row>
    <row r="23" spans="3:21" hidden="1" x14ac:dyDescent="0.2">
      <c r="C23" s="176"/>
      <c r="D23" s="43"/>
      <c r="E23" s="42"/>
      <c r="F23" s="42"/>
      <c r="G23" s="43"/>
      <c r="H23" s="236"/>
      <c r="I23" s="236"/>
      <c r="J23" s="237"/>
      <c r="K23" s="24"/>
      <c r="L23" s="44"/>
      <c r="M23" s="348"/>
      <c r="N23" s="24"/>
      <c r="O23" s="24"/>
      <c r="P23" s="24"/>
      <c r="Q23" s="45"/>
      <c r="R23" s="191"/>
      <c r="S23" s="52"/>
      <c r="T23" s="46"/>
    </row>
    <row r="24" spans="3:21" ht="12.75" hidden="1" thickBot="1" x14ac:dyDescent="0.25">
      <c r="C24" s="101"/>
      <c r="D24" s="25"/>
      <c r="E24" s="25"/>
      <c r="F24" s="25"/>
      <c r="G24" s="62"/>
      <c r="H24" s="27"/>
      <c r="I24" s="27"/>
      <c r="J24" s="31"/>
      <c r="K24" s="27"/>
      <c r="L24" s="28"/>
      <c r="M24" s="349"/>
      <c r="N24" s="27"/>
      <c r="O24" s="27"/>
      <c r="P24" s="27"/>
      <c r="Q24" s="29"/>
      <c r="R24" s="190"/>
      <c r="S24" s="19"/>
      <c r="T24" s="30"/>
      <c r="U24" s="120"/>
    </row>
    <row r="25" spans="3:21" hidden="1" x14ac:dyDescent="0.2">
      <c r="C25" s="176"/>
      <c r="D25" s="43"/>
      <c r="E25" s="42"/>
      <c r="F25" s="42"/>
      <c r="G25" s="43"/>
      <c r="H25" s="24"/>
      <c r="I25" s="24"/>
      <c r="J25" s="51"/>
      <c r="K25" s="24"/>
      <c r="L25" s="56"/>
      <c r="M25" s="348"/>
      <c r="N25" s="24"/>
      <c r="O25" s="24"/>
      <c r="P25" s="24"/>
      <c r="Q25" s="45"/>
      <c r="R25" s="191"/>
      <c r="S25" s="52"/>
      <c r="T25" s="46"/>
    </row>
    <row r="26" spans="3:21" ht="12.75" hidden="1" thickBot="1" x14ac:dyDescent="0.25">
      <c r="C26" s="101"/>
      <c r="D26" s="62"/>
      <c r="E26" s="25"/>
      <c r="F26" s="25"/>
      <c r="G26" s="62"/>
      <c r="H26" s="27"/>
      <c r="I26" s="27"/>
      <c r="J26" s="31"/>
      <c r="K26" s="27"/>
      <c r="L26" s="112"/>
      <c r="M26" s="349"/>
      <c r="N26" s="27"/>
      <c r="O26" s="27"/>
      <c r="P26" s="27"/>
      <c r="Q26" s="29"/>
      <c r="R26" s="190"/>
      <c r="S26" s="19"/>
      <c r="T26" s="30"/>
    </row>
    <row r="27" spans="3:21" ht="13.5" hidden="1" customHeight="1" x14ac:dyDescent="0.2">
      <c r="C27" s="176"/>
      <c r="D27" s="43"/>
      <c r="E27" s="42"/>
      <c r="F27" s="42"/>
      <c r="G27" s="43"/>
      <c r="H27" s="24"/>
      <c r="I27" s="24"/>
      <c r="J27" s="51"/>
      <c r="K27" s="24"/>
      <c r="L27" s="56"/>
      <c r="M27" s="348"/>
      <c r="N27" s="24"/>
      <c r="O27" s="24"/>
      <c r="P27" s="24"/>
      <c r="Q27" s="45"/>
      <c r="R27" s="191"/>
      <c r="S27" s="52"/>
      <c r="T27" s="46"/>
    </row>
    <row r="28" spans="3:21" ht="12.75" hidden="1" thickBot="1" x14ac:dyDescent="0.25">
      <c r="C28" s="239"/>
      <c r="D28" s="68"/>
      <c r="E28" s="69"/>
      <c r="F28" s="69"/>
      <c r="G28" s="68"/>
      <c r="H28" s="70"/>
      <c r="I28" s="70"/>
      <c r="J28" s="71"/>
      <c r="K28" s="70"/>
      <c r="L28" s="299"/>
      <c r="M28" s="370"/>
      <c r="N28" s="70"/>
      <c r="O28" s="70"/>
      <c r="P28" s="70"/>
      <c r="Q28" s="67"/>
      <c r="R28" s="197"/>
      <c r="S28" s="194"/>
      <c r="T28" s="73"/>
    </row>
    <row r="29" spans="3:21" hidden="1" x14ac:dyDescent="0.2">
      <c r="C29" s="176"/>
      <c r="D29" s="43"/>
      <c r="E29" s="42"/>
      <c r="F29" s="42"/>
      <c r="G29" s="43"/>
      <c r="H29" s="24"/>
      <c r="I29" s="24"/>
      <c r="J29" s="51"/>
      <c r="K29" s="24"/>
      <c r="L29" s="56"/>
      <c r="M29" s="348"/>
      <c r="N29" s="24"/>
      <c r="O29" s="24"/>
      <c r="P29" s="24"/>
      <c r="Q29" s="45"/>
      <c r="R29" s="191"/>
      <c r="S29" s="52"/>
      <c r="T29" s="46"/>
    </row>
    <row r="30" spans="3:21" ht="12.75" hidden="1" thickBot="1" x14ac:dyDescent="0.25">
      <c r="C30" s="101"/>
      <c r="D30" s="62"/>
      <c r="E30" s="25"/>
      <c r="F30" s="25"/>
      <c r="G30" s="62"/>
      <c r="H30" s="27"/>
      <c r="I30" s="27"/>
      <c r="J30" s="31"/>
      <c r="K30" s="27"/>
      <c r="L30" s="112"/>
      <c r="M30" s="349"/>
      <c r="N30" s="27"/>
      <c r="O30" s="27"/>
      <c r="P30" s="27"/>
      <c r="Q30" s="29"/>
      <c r="R30" s="190"/>
      <c r="S30" s="19"/>
      <c r="T30" s="30"/>
    </row>
    <row r="31" spans="3:21" hidden="1" x14ac:dyDescent="0.2">
      <c r="C31" s="238"/>
      <c r="D31" s="36"/>
      <c r="E31" s="37"/>
      <c r="F31" s="37"/>
      <c r="G31" s="36"/>
      <c r="H31" s="38"/>
      <c r="I31" s="38"/>
      <c r="J31" s="39"/>
      <c r="K31" s="38"/>
      <c r="L31" s="201"/>
      <c r="M31" s="350"/>
      <c r="N31" s="38"/>
      <c r="O31" s="38"/>
      <c r="P31" s="38"/>
      <c r="Q31" s="40"/>
      <c r="R31" s="192"/>
      <c r="S31" s="186"/>
      <c r="T31" s="41"/>
    </row>
    <row r="32" spans="3:21" ht="12.75" hidden="1" thickBot="1" x14ac:dyDescent="0.25">
      <c r="C32" s="101"/>
      <c r="D32" s="62"/>
      <c r="E32" s="25"/>
      <c r="F32" s="25"/>
      <c r="G32" s="62"/>
      <c r="H32" s="26"/>
      <c r="I32" s="27"/>
      <c r="J32" s="31"/>
      <c r="K32" s="27"/>
      <c r="L32" s="112"/>
      <c r="M32" s="349"/>
      <c r="N32" s="27"/>
      <c r="O32" s="27"/>
      <c r="P32" s="27"/>
      <c r="Q32" s="29"/>
      <c r="R32" s="190"/>
      <c r="S32" s="19"/>
      <c r="T32" s="30"/>
    </row>
    <row r="33" spans="3:23" ht="12.75" thickBot="1" x14ac:dyDescent="0.25">
      <c r="I33" s="15"/>
      <c r="R33" s="193"/>
      <c r="S33" s="15"/>
    </row>
    <row r="34" spans="3:23" x14ac:dyDescent="0.2">
      <c r="E34" s="629" t="s">
        <v>34</v>
      </c>
      <c r="F34" s="646">
        <f>+'AGUILAR ESQUIVEL CARLOS'!F34</f>
        <v>45957</v>
      </c>
      <c r="G34" s="647"/>
      <c r="H34" s="16">
        <f>+F34+1</f>
        <v>45958</v>
      </c>
      <c r="I34" s="16">
        <f>+H34+1</f>
        <v>45959</v>
      </c>
      <c r="J34" s="16">
        <f>+I34+1</f>
        <v>45960</v>
      </c>
      <c r="K34" s="16">
        <f>+J34+1</f>
        <v>45961</v>
      </c>
      <c r="L34" s="16">
        <f>+K34+2</f>
        <v>45963</v>
      </c>
      <c r="M34" s="17" t="s">
        <v>35</v>
      </c>
    </row>
    <row r="35" spans="3:23" ht="12.75" thickBot="1" x14ac:dyDescent="0.25">
      <c r="E35" s="630"/>
      <c r="F35" s="648"/>
      <c r="G35" s="649"/>
      <c r="H35" s="29"/>
      <c r="I35" s="29"/>
      <c r="J35" s="29"/>
      <c r="K35" s="29"/>
      <c r="L35" s="29"/>
      <c r="M35" s="30">
        <f>SUM(F35:L35)</f>
        <v>0</v>
      </c>
    </row>
    <row r="36" spans="3:23" ht="12.75" thickBot="1" x14ac:dyDescent="0.25">
      <c r="H36" s="14" t="s">
        <v>181</v>
      </c>
      <c r="I36" s="15"/>
      <c r="S36" s="244"/>
    </row>
    <row r="37" spans="3:23" ht="13.5" thickBot="1" x14ac:dyDescent="0.25">
      <c r="C37" s="608" t="s">
        <v>36</v>
      </c>
      <c r="D37" s="609"/>
      <c r="E37" s="609"/>
      <c r="F37" s="609"/>
      <c r="G37" s="610"/>
      <c r="I37" s="620" t="s">
        <v>37</v>
      </c>
      <c r="J37" s="621"/>
      <c r="K37" s="621"/>
      <c r="L37" s="622"/>
      <c r="M37" s="298"/>
      <c r="O37" s="611" t="s">
        <v>38</v>
      </c>
      <c r="P37" s="612"/>
      <c r="Q37" s="613">
        <f>+F49-L46</f>
        <v>3130.8877346938766</v>
      </c>
      <c r="R37" s="614"/>
      <c r="S37" s="615"/>
    </row>
    <row r="38" spans="3:23" ht="12.75" thickBot="1" x14ac:dyDescent="0.25">
      <c r="C38" s="616" t="s">
        <v>219</v>
      </c>
      <c r="D38" s="617"/>
      <c r="E38" s="617"/>
      <c r="F38" s="618">
        <f>SUM(Q18:Q33)</f>
        <v>439.99499999999995</v>
      </c>
      <c r="G38" s="619"/>
      <c r="I38" s="114" t="s">
        <v>125</v>
      </c>
      <c r="J38" s="68" t="s">
        <v>126</v>
      </c>
      <c r="K38" s="68" t="s">
        <v>70</v>
      </c>
      <c r="L38" s="115" t="s">
        <v>127</v>
      </c>
      <c r="M38" s="346"/>
    </row>
    <row r="39" spans="3:23" ht="13.5" customHeight="1" thickBot="1" x14ac:dyDescent="0.25">
      <c r="C39" s="602" t="s">
        <v>220</v>
      </c>
      <c r="D39" s="603"/>
      <c r="E39" s="603"/>
      <c r="F39" s="604">
        <f>SUM(T18:T33)</f>
        <v>2690.8927346938767</v>
      </c>
      <c r="G39" s="605"/>
      <c r="I39" s="662"/>
      <c r="J39" s="663"/>
      <c r="K39" s="664"/>
      <c r="L39" s="409"/>
      <c r="M39" s="346"/>
      <c r="O39" s="74" t="s">
        <v>70</v>
      </c>
      <c r="P39" s="75" t="s">
        <v>71</v>
      </c>
      <c r="Q39" s="76" t="s">
        <v>72</v>
      </c>
      <c r="R39" s="64"/>
      <c r="S39" s="77" t="s">
        <v>73</v>
      </c>
      <c r="T39" s="75" t="s">
        <v>74</v>
      </c>
      <c r="U39" s="74" t="s">
        <v>145</v>
      </c>
      <c r="V39" s="75" t="s">
        <v>146</v>
      </c>
      <c r="W39" s="75" t="s">
        <v>284</v>
      </c>
    </row>
    <row r="40" spans="3:23" ht="12.75" thickBot="1" x14ac:dyDescent="0.25">
      <c r="C40" s="602" t="s">
        <v>34</v>
      </c>
      <c r="D40" s="603"/>
      <c r="E40" s="603"/>
      <c r="F40" s="604">
        <f>+M35</f>
        <v>0</v>
      </c>
      <c r="G40" s="605"/>
      <c r="I40" s="94"/>
      <c r="J40" s="117"/>
      <c r="K40" s="415"/>
      <c r="L40" s="407"/>
      <c r="M40" s="346"/>
      <c r="O40" s="78">
        <v>46105</v>
      </c>
      <c r="P40" s="79" t="s">
        <v>334</v>
      </c>
      <c r="Q40" s="80">
        <v>29320</v>
      </c>
      <c r="R40" s="80"/>
      <c r="S40" s="24">
        <v>30091</v>
      </c>
      <c r="T40" s="79">
        <f>+S40-Q40</f>
        <v>771</v>
      </c>
      <c r="U40" s="137">
        <f>SUM(J19:J20)</f>
        <v>750</v>
      </c>
      <c r="V40" s="79">
        <f>+K20</f>
        <v>220.78</v>
      </c>
      <c r="W40" s="353">
        <f>(SUM(M19:M20)/2)</f>
        <v>3554.5</v>
      </c>
    </row>
    <row r="41" spans="3:23" x14ac:dyDescent="0.2">
      <c r="C41" s="602" t="s">
        <v>234</v>
      </c>
      <c r="D41" s="603"/>
      <c r="E41" s="603"/>
      <c r="F41" s="604">
        <v>0</v>
      </c>
      <c r="G41" s="605"/>
      <c r="H41" s="120"/>
      <c r="I41" s="94"/>
      <c r="J41" s="117"/>
      <c r="K41" s="415"/>
      <c r="L41" s="407"/>
      <c r="M41" s="346"/>
      <c r="O41" s="32">
        <v>46417</v>
      </c>
      <c r="P41" s="53" t="s">
        <v>334</v>
      </c>
      <c r="Q41" s="24">
        <v>30091</v>
      </c>
      <c r="R41" s="63"/>
      <c r="S41" s="11">
        <v>30837</v>
      </c>
      <c r="T41" s="79">
        <f t="shared" ref="T41:T44" si="2">+S41-Q41</f>
        <v>746</v>
      </c>
      <c r="U41" s="136">
        <f>SUM(J21:J22)</f>
        <v>750</v>
      </c>
      <c r="V41" s="53">
        <f>+K22</f>
        <v>210.26</v>
      </c>
      <c r="W41" s="354">
        <f>(SUM(M21:M22)/2)</f>
        <v>180.5</v>
      </c>
    </row>
    <row r="42" spans="3:23" x14ac:dyDescent="0.2">
      <c r="C42" s="602" t="s">
        <v>39</v>
      </c>
      <c r="D42" s="603"/>
      <c r="E42" s="603"/>
      <c r="F42" s="604"/>
      <c r="G42" s="605"/>
      <c r="I42" s="94"/>
      <c r="J42" s="117"/>
      <c r="K42" s="415"/>
      <c r="L42" s="407"/>
      <c r="M42" s="346"/>
      <c r="O42" s="32"/>
      <c r="P42" s="53"/>
      <c r="Q42" s="63"/>
      <c r="R42" s="63"/>
      <c r="S42" s="11"/>
      <c r="T42" s="53">
        <f t="shared" si="2"/>
        <v>0</v>
      </c>
      <c r="U42" s="136">
        <f>SUM(J23:J24)</f>
        <v>0</v>
      </c>
      <c r="V42" s="53">
        <f>+K24</f>
        <v>0</v>
      </c>
      <c r="W42" s="354">
        <f>(SUM(M23:M24)/2)</f>
        <v>0</v>
      </c>
    </row>
    <row r="43" spans="3:23" x14ac:dyDescent="0.2">
      <c r="C43" s="602" t="s">
        <v>116</v>
      </c>
      <c r="D43" s="603"/>
      <c r="E43" s="603"/>
      <c r="F43" s="604"/>
      <c r="G43" s="605"/>
      <c r="I43" s="94"/>
      <c r="J43" s="117"/>
      <c r="K43" s="415"/>
      <c r="L43" s="407"/>
      <c r="M43" s="346"/>
      <c r="O43" s="32"/>
      <c r="P43" s="53"/>
      <c r="Q43" s="63"/>
      <c r="R43" s="63"/>
      <c r="S43" s="11"/>
      <c r="T43" s="53">
        <f t="shared" si="2"/>
        <v>0</v>
      </c>
      <c r="U43" s="136">
        <f>SUM(J25:J26)</f>
        <v>0</v>
      </c>
      <c r="V43" s="53">
        <f>+K26</f>
        <v>0</v>
      </c>
      <c r="W43" s="354">
        <f>(SUM(M25:M26)/2)</f>
        <v>0</v>
      </c>
    </row>
    <row r="44" spans="3:23" x14ac:dyDescent="0.2">
      <c r="C44" s="602" t="s">
        <v>40</v>
      </c>
      <c r="D44" s="603"/>
      <c r="E44" s="603"/>
      <c r="F44" s="604"/>
      <c r="G44" s="605"/>
      <c r="I44" s="94"/>
      <c r="J44" s="117"/>
      <c r="K44" s="415"/>
      <c r="L44" s="407"/>
      <c r="M44" s="346"/>
      <c r="O44" s="32"/>
      <c r="P44" s="53"/>
      <c r="Q44" s="63"/>
      <c r="R44" s="95"/>
      <c r="S44" s="11"/>
      <c r="T44" s="53">
        <f t="shared" si="2"/>
        <v>0</v>
      </c>
      <c r="U44" s="136">
        <f>SUM(J27:J28)</f>
        <v>0</v>
      </c>
      <c r="V44" s="53">
        <f>+K28</f>
        <v>0</v>
      </c>
      <c r="W44" s="354">
        <f>(SUM(M27:M28)/2)</f>
        <v>0</v>
      </c>
    </row>
    <row r="45" spans="3:23" ht="12.75" thickBot="1" x14ac:dyDescent="0.25">
      <c r="C45" s="602" t="s">
        <v>124</v>
      </c>
      <c r="D45" s="603"/>
      <c r="E45" s="603"/>
      <c r="F45" s="604"/>
      <c r="G45" s="605"/>
      <c r="I45" s="282"/>
      <c r="J45" s="285"/>
      <c r="K45" s="417"/>
      <c r="L45" s="410"/>
      <c r="M45" s="346"/>
      <c r="O45" s="32"/>
      <c r="P45" s="53"/>
      <c r="Q45" s="63"/>
      <c r="R45" s="95"/>
      <c r="S45" s="11"/>
      <c r="T45" s="53">
        <f t="shared" ref="T45" si="3">+S45-Q45</f>
        <v>0</v>
      </c>
      <c r="U45" s="136">
        <f>SUM(J29:J30)</f>
        <v>0</v>
      </c>
      <c r="V45" s="53">
        <f>+K30</f>
        <v>0</v>
      </c>
      <c r="W45" s="354">
        <f>(SUM(M29:M30)/2)</f>
        <v>0</v>
      </c>
    </row>
    <row r="46" spans="3:23" ht="13.5" customHeight="1" thickBot="1" x14ac:dyDescent="0.25">
      <c r="C46" s="602" t="s">
        <v>325</v>
      </c>
      <c r="D46" s="603"/>
      <c r="E46" s="603"/>
      <c r="F46" s="606"/>
      <c r="G46" s="607"/>
      <c r="I46" s="597" t="s">
        <v>41</v>
      </c>
      <c r="J46" s="598"/>
      <c r="K46" s="632"/>
      <c r="L46" s="284">
        <f>SUM(L39:L45)</f>
        <v>0</v>
      </c>
      <c r="M46" s="347"/>
      <c r="O46" s="113"/>
      <c r="P46" s="264"/>
      <c r="Q46" s="265"/>
      <c r="R46" s="83"/>
      <c r="S46" s="81"/>
      <c r="T46" s="82"/>
      <c r="U46" s="138">
        <f>SUM(J31:J32)</f>
        <v>0</v>
      </c>
      <c r="V46" s="55">
        <f>+K32</f>
        <v>0</v>
      </c>
      <c r="W46" s="355">
        <f>(SUM(M31:M32)/2)</f>
        <v>0</v>
      </c>
    </row>
    <row r="47" spans="3:23" ht="13.5" customHeight="1" x14ac:dyDescent="0.2">
      <c r="C47" s="602" t="s">
        <v>110</v>
      </c>
      <c r="D47" s="603"/>
      <c r="E47" s="603"/>
      <c r="F47" s="606"/>
      <c r="G47" s="607"/>
      <c r="R47" s="21"/>
      <c r="S47" s="21"/>
      <c r="T47" s="21"/>
      <c r="U47" s="139"/>
      <c r="V47" s="271"/>
    </row>
    <row r="48" spans="3:23" ht="13.5" customHeight="1" thickBot="1" x14ac:dyDescent="0.25">
      <c r="C48" s="593" t="s">
        <v>315</v>
      </c>
      <c r="D48" s="594"/>
      <c r="E48" s="594"/>
      <c r="F48" s="595"/>
      <c r="G48" s="596"/>
      <c r="R48" s="21"/>
      <c r="S48" s="21"/>
      <c r="T48" s="280"/>
      <c r="U48" s="139"/>
      <c r="V48" s="271"/>
    </row>
    <row r="49" spans="3:22" ht="13.5" thickBot="1" x14ac:dyDescent="0.25">
      <c r="C49" s="597" t="s">
        <v>42</v>
      </c>
      <c r="D49" s="598"/>
      <c r="E49" s="599"/>
      <c r="F49" s="600">
        <f>SUM(F38:G48)</f>
        <v>3130.8877346938766</v>
      </c>
      <c r="G49" s="601"/>
      <c r="R49" s="21"/>
      <c r="S49" s="21"/>
      <c r="T49" s="21"/>
      <c r="U49" s="139"/>
      <c r="V49" s="271"/>
    </row>
    <row r="50" spans="3:22" ht="13.5" customHeight="1" thickBot="1" x14ac:dyDescent="0.25">
      <c r="P50" s="588" t="s">
        <v>48</v>
      </c>
      <c r="Q50" s="589"/>
      <c r="R50" s="590"/>
      <c r="S50" s="21"/>
      <c r="T50" s="21"/>
      <c r="U50" s="139"/>
      <c r="V50" s="271"/>
    </row>
    <row r="51" spans="3:22" ht="12.75" customHeight="1" x14ac:dyDescent="0.2">
      <c r="C51" s="246" t="s">
        <v>43</v>
      </c>
      <c r="D51" s="247"/>
      <c r="E51" s="247"/>
      <c r="F51" s="247"/>
      <c r="G51" s="247"/>
      <c r="H51" s="247"/>
      <c r="I51" s="247"/>
      <c r="J51" s="247"/>
      <c r="K51" s="247"/>
      <c r="L51" s="248"/>
      <c r="M51" s="251"/>
      <c r="P51" s="78">
        <v>1</v>
      </c>
      <c r="Q51" s="584" t="s">
        <v>49</v>
      </c>
      <c r="R51" s="585"/>
      <c r="S51" s="21"/>
      <c r="T51" s="21"/>
      <c r="U51" s="249"/>
    </row>
    <row r="52" spans="3:22" ht="12.75" customHeight="1" x14ac:dyDescent="0.2">
      <c r="C52" s="250"/>
      <c r="D52" s="251"/>
      <c r="E52" s="251"/>
      <c r="F52" s="251"/>
      <c r="G52" s="251"/>
      <c r="H52" s="251"/>
      <c r="I52" s="251"/>
      <c r="J52" s="251"/>
      <c r="K52" s="251"/>
      <c r="L52" s="252"/>
      <c r="M52" s="251"/>
      <c r="P52" s="32">
        <v>2</v>
      </c>
      <c r="Q52" s="586" t="s">
        <v>135</v>
      </c>
      <c r="R52" s="587"/>
      <c r="S52" s="21"/>
      <c r="T52" s="249"/>
    </row>
    <row r="53" spans="3:22" ht="12.75" thickBot="1" x14ac:dyDescent="0.25">
      <c r="C53" s="253"/>
      <c r="D53" s="254"/>
      <c r="E53" s="254"/>
      <c r="F53" s="254"/>
      <c r="G53" s="254"/>
      <c r="H53" s="254"/>
      <c r="I53" s="254"/>
      <c r="J53" s="254"/>
      <c r="K53" s="254"/>
      <c r="L53" s="255"/>
      <c r="M53" s="251"/>
      <c r="P53" s="32">
        <v>3</v>
      </c>
      <c r="Q53" s="586" t="s">
        <v>130</v>
      </c>
      <c r="R53" s="587"/>
      <c r="S53" s="21"/>
      <c r="T53" s="249"/>
    </row>
    <row r="54" spans="3:22" x14ac:dyDescent="0.2">
      <c r="P54" s="32">
        <v>4</v>
      </c>
      <c r="Q54" s="586" t="s">
        <v>228</v>
      </c>
      <c r="R54" s="587"/>
      <c r="S54" s="21"/>
      <c r="T54" s="249"/>
    </row>
    <row r="55" spans="3:22" ht="12.75" thickBot="1" x14ac:dyDescent="0.25">
      <c r="P55" s="32">
        <v>5</v>
      </c>
      <c r="Q55" s="586" t="s">
        <v>229</v>
      </c>
      <c r="R55" s="587"/>
      <c r="S55" s="21"/>
    </row>
    <row r="56" spans="3:22" ht="14.25" customHeight="1" thickTop="1" thickBot="1" x14ac:dyDescent="0.25">
      <c r="D56" s="631" t="s">
        <v>44</v>
      </c>
      <c r="E56" s="631"/>
      <c r="F56" s="631"/>
      <c r="G56" s="631"/>
      <c r="H56" s="631"/>
      <c r="J56" s="631" t="s">
        <v>45</v>
      </c>
      <c r="K56" s="631"/>
      <c r="L56" s="631"/>
      <c r="M56" s="631"/>
      <c r="N56" s="631"/>
      <c r="P56" s="54">
        <v>6</v>
      </c>
      <c r="Q56" s="591" t="s">
        <v>230</v>
      </c>
      <c r="R56" s="592"/>
      <c r="S56" s="21"/>
      <c r="T56" s="21"/>
    </row>
    <row r="57" spans="3:22" x14ac:dyDescent="0.2">
      <c r="S57" s="21"/>
      <c r="T57" s="21"/>
    </row>
    <row r="58" spans="3:22" x14ac:dyDescent="0.2">
      <c r="P58" s="21"/>
      <c r="Q58" s="21"/>
      <c r="R58" s="21"/>
      <c r="S58" s="21"/>
      <c r="T58" s="21"/>
    </row>
  </sheetData>
  <mergeCells count="57">
    <mergeCell ref="J56:N56"/>
    <mergeCell ref="I46:K46"/>
    <mergeCell ref="C46:E46"/>
    <mergeCell ref="F46:G46"/>
    <mergeCell ref="C47:E47"/>
    <mergeCell ref="F47:G47"/>
    <mergeCell ref="C48:E48"/>
    <mergeCell ref="F48:G48"/>
    <mergeCell ref="C49:E49"/>
    <mergeCell ref="F49:G49"/>
    <mergeCell ref="D56:H56"/>
    <mergeCell ref="I9:O9"/>
    <mergeCell ref="L11:S11"/>
    <mergeCell ref="E12:F12"/>
    <mergeCell ref="C42:E42"/>
    <mergeCell ref="F42:G42"/>
    <mergeCell ref="F34:G34"/>
    <mergeCell ref="F35:G35"/>
    <mergeCell ref="C41:E41"/>
    <mergeCell ref="F41:G41"/>
    <mergeCell ref="C38:E38"/>
    <mergeCell ref="F38:G38"/>
    <mergeCell ref="I37:L37"/>
    <mergeCell ref="C37:G37"/>
    <mergeCell ref="C39:E39"/>
    <mergeCell ref="D13:E13"/>
    <mergeCell ref="F39:G39"/>
    <mergeCell ref="D14:E14"/>
    <mergeCell ref="D15:E15"/>
    <mergeCell ref="D16:E16"/>
    <mergeCell ref="E34:E35"/>
    <mergeCell ref="Q53:R53"/>
    <mergeCell ref="C43:E43"/>
    <mergeCell ref="F43:G43"/>
    <mergeCell ref="F44:G44"/>
    <mergeCell ref="C40:E40"/>
    <mergeCell ref="F40:G40"/>
    <mergeCell ref="C45:E45"/>
    <mergeCell ref="F45:G45"/>
    <mergeCell ref="C44:E44"/>
    <mergeCell ref="I39:K39"/>
    <mergeCell ref="Q54:R54"/>
    <mergeCell ref="Q55:R55"/>
    <mergeCell ref="Q56:R56"/>
    <mergeCell ref="Q2:S2"/>
    <mergeCell ref="P50:R50"/>
    <mergeCell ref="Q51:R51"/>
    <mergeCell ref="Q52:R52"/>
    <mergeCell ref="O37:P37"/>
    <mergeCell ref="Q37:S37"/>
    <mergeCell ref="I3:O3"/>
    <mergeCell ref="Q3:S3"/>
    <mergeCell ref="I4:O4"/>
    <mergeCell ref="I5:O5"/>
    <mergeCell ref="Q5:S5"/>
    <mergeCell ref="I6:O6"/>
    <mergeCell ref="Q6:S6"/>
  </mergeCells>
  <phoneticPr fontId="27" type="noConversion"/>
  <pageMargins left="0.19685039370078741" right="0.19685039370078741" top="0.35433070866141736" bottom="0.35433070866141736" header="0.31496062992125984" footer="0.31496062992125984"/>
  <pageSetup paperSize="9" scale="79" orientation="landscape" horizontalDpi="300" verticalDpi="300" r:id="rId1"/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Hoja19">
    <pageSetUpPr fitToPage="1"/>
  </sheetPr>
  <dimension ref="B1:X57"/>
  <sheetViews>
    <sheetView topLeftCell="A6" zoomScaleNormal="100" workbookViewId="0">
      <selection activeCell="L39" sqref="L39"/>
    </sheetView>
  </sheetViews>
  <sheetFormatPr baseColWidth="10" defaultColWidth="9.140625" defaultRowHeight="12" x14ac:dyDescent="0.2"/>
  <cols>
    <col min="1" max="1" width="3.28515625" style="14" customWidth="1"/>
    <col min="2" max="2" width="5.140625" style="14" customWidth="1"/>
    <col min="3" max="3" width="11.85546875" style="14" customWidth="1"/>
    <col min="4" max="4" width="11.140625" style="14" customWidth="1"/>
    <col min="5" max="5" width="7.85546875" style="14" customWidth="1"/>
    <col min="6" max="6" width="8.85546875" style="14" customWidth="1"/>
    <col min="7" max="7" width="3" style="14" bestFit="1" customWidth="1"/>
    <col min="8" max="8" width="10" style="14" customWidth="1"/>
    <col min="9" max="9" width="11.140625" style="14" customWidth="1"/>
    <col min="10" max="10" width="10" style="14" customWidth="1"/>
    <col min="11" max="11" width="9.7109375" style="14" customWidth="1"/>
    <col min="12" max="13" width="12.7109375" style="14" customWidth="1"/>
    <col min="14" max="14" width="9.7109375" style="14" customWidth="1"/>
    <col min="15" max="15" width="10.140625" style="14" customWidth="1"/>
    <col min="16" max="16" width="13.140625" style="14" customWidth="1"/>
    <col min="17" max="17" width="15" style="14" customWidth="1"/>
    <col min="18" max="18" width="10" style="14" hidden="1" customWidth="1"/>
    <col min="19" max="19" width="9.85546875" style="14" customWidth="1"/>
    <col min="20" max="20" width="10.7109375" style="14" customWidth="1"/>
    <col min="21" max="21" width="10.28515625" style="14" customWidth="1"/>
    <col min="22" max="22" width="7" style="14" customWidth="1"/>
    <col min="23" max="23" width="11" style="14" customWidth="1"/>
    <col min="24" max="24" width="11.140625" style="14" customWidth="1"/>
    <col min="25" max="259" width="9.140625" style="14"/>
    <col min="260" max="260" width="5.7109375" style="14" customWidth="1"/>
    <col min="261" max="261" width="13.140625" style="14" customWidth="1"/>
    <col min="262" max="262" width="12.28515625" style="14" customWidth="1"/>
    <col min="263" max="263" width="8.85546875" style="14" customWidth="1"/>
    <col min="264" max="264" width="10.85546875" style="14" customWidth="1"/>
    <col min="265" max="265" width="2.85546875" style="14" customWidth="1"/>
    <col min="266" max="266" width="12.140625" style="14" customWidth="1"/>
    <col min="267" max="267" width="10.140625" style="14" customWidth="1"/>
    <col min="268" max="268" width="11.7109375" style="14" customWidth="1"/>
    <col min="269" max="269" width="11.42578125" style="14" customWidth="1"/>
    <col min="270" max="270" width="12.7109375" style="14" customWidth="1"/>
    <col min="271" max="271" width="11.42578125" style="14" customWidth="1"/>
    <col min="272" max="272" width="10.7109375" style="14" customWidth="1"/>
    <col min="273" max="273" width="10.5703125" style="14" customWidth="1"/>
    <col min="274" max="274" width="11.28515625" style="14" customWidth="1"/>
    <col min="275" max="275" width="9.7109375" style="14" customWidth="1"/>
    <col min="276" max="276" width="12" style="14" customWidth="1"/>
    <col min="277" max="277" width="11.28515625" style="14" customWidth="1"/>
    <col min="278" max="515" width="9.140625" style="14"/>
    <col min="516" max="516" width="5.7109375" style="14" customWidth="1"/>
    <col min="517" max="517" width="13.140625" style="14" customWidth="1"/>
    <col min="518" max="518" width="12.28515625" style="14" customWidth="1"/>
    <col min="519" max="519" width="8.85546875" style="14" customWidth="1"/>
    <col min="520" max="520" width="10.85546875" style="14" customWidth="1"/>
    <col min="521" max="521" width="2.85546875" style="14" customWidth="1"/>
    <col min="522" max="522" width="12.140625" style="14" customWidth="1"/>
    <col min="523" max="523" width="10.140625" style="14" customWidth="1"/>
    <col min="524" max="524" width="11.7109375" style="14" customWidth="1"/>
    <col min="525" max="525" width="11.42578125" style="14" customWidth="1"/>
    <col min="526" max="526" width="12.7109375" style="14" customWidth="1"/>
    <col min="527" max="527" width="11.42578125" style="14" customWidth="1"/>
    <col min="528" max="528" width="10.7109375" style="14" customWidth="1"/>
    <col min="529" max="529" width="10.5703125" style="14" customWidth="1"/>
    <col min="530" max="530" width="11.28515625" style="14" customWidth="1"/>
    <col min="531" max="531" width="9.7109375" style="14" customWidth="1"/>
    <col min="532" max="532" width="12" style="14" customWidth="1"/>
    <col min="533" max="533" width="11.28515625" style="14" customWidth="1"/>
    <col min="534" max="771" width="9.140625" style="14"/>
    <col min="772" max="772" width="5.7109375" style="14" customWidth="1"/>
    <col min="773" max="773" width="13.140625" style="14" customWidth="1"/>
    <col min="774" max="774" width="12.28515625" style="14" customWidth="1"/>
    <col min="775" max="775" width="8.85546875" style="14" customWidth="1"/>
    <col min="776" max="776" width="10.85546875" style="14" customWidth="1"/>
    <col min="777" max="777" width="2.85546875" style="14" customWidth="1"/>
    <col min="778" max="778" width="12.140625" style="14" customWidth="1"/>
    <col min="779" max="779" width="10.140625" style="14" customWidth="1"/>
    <col min="780" max="780" width="11.7109375" style="14" customWidth="1"/>
    <col min="781" max="781" width="11.42578125" style="14" customWidth="1"/>
    <col min="782" max="782" width="12.7109375" style="14" customWidth="1"/>
    <col min="783" max="783" width="11.42578125" style="14" customWidth="1"/>
    <col min="784" max="784" width="10.7109375" style="14" customWidth="1"/>
    <col min="785" max="785" width="10.5703125" style="14" customWidth="1"/>
    <col min="786" max="786" width="11.28515625" style="14" customWidth="1"/>
    <col min="787" max="787" width="9.7109375" style="14" customWidth="1"/>
    <col min="788" max="788" width="12" style="14" customWidth="1"/>
    <col min="789" max="789" width="11.28515625" style="14" customWidth="1"/>
    <col min="790" max="1027" width="9.140625" style="14"/>
    <col min="1028" max="1028" width="5.7109375" style="14" customWidth="1"/>
    <col min="1029" max="1029" width="13.140625" style="14" customWidth="1"/>
    <col min="1030" max="1030" width="12.28515625" style="14" customWidth="1"/>
    <col min="1031" max="1031" width="8.85546875" style="14" customWidth="1"/>
    <col min="1032" max="1032" width="10.85546875" style="14" customWidth="1"/>
    <col min="1033" max="1033" width="2.85546875" style="14" customWidth="1"/>
    <col min="1034" max="1034" width="12.140625" style="14" customWidth="1"/>
    <col min="1035" max="1035" width="10.140625" style="14" customWidth="1"/>
    <col min="1036" max="1036" width="11.7109375" style="14" customWidth="1"/>
    <col min="1037" max="1037" width="11.42578125" style="14" customWidth="1"/>
    <col min="1038" max="1038" width="12.7109375" style="14" customWidth="1"/>
    <col min="1039" max="1039" width="11.42578125" style="14" customWidth="1"/>
    <col min="1040" max="1040" width="10.7109375" style="14" customWidth="1"/>
    <col min="1041" max="1041" width="10.5703125" style="14" customWidth="1"/>
    <col min="1042" max="1042" width="11.28515625" style="14" customWidth="1"/>
    <col min="1043" max="1043" width="9.7109375" style="14" customWidth="1"/>
    <col min="1044" max="1044" width="12" style="14" customWidth="1"/>
    <col min="1045" max="1045" width="11.28515625" style="14" customWidth="1"/>
    <col min="1046" max="1283" width="9.140625" style="14"/>
    <col min="1284" max="1284" width="5.7109375" style="14" customWidth="1"/>
    <col min="1285" max="1285" width="13.140625" style="14" customWidth="1"/>
    <col min="1286" max="1286" width="12.28515625" style="14" customWidth="1"/>
    <col min="1287" max="1287" width="8.85546875" style="14" customWidth="1"/>
    <col min="1288" max="1288" width="10.85546875" style="14" customWidth="1"/>
    <col min="1289" max="1289" width="2.85546875" style="14" customWidth="1"/>
    <col min="1290" max="1290" width="12.140625" style="14" customWidth="1"/>
    <col min="1291" max="1291" width="10.140625" style="14" customWidth="1"/>
    <col min="1292" max="1292" width="11.7109375" style="14" customWidth="1"/>
    <col min="1293" max="1293" width="11.42578125" style="14" customWidth="1"/>
    <col min="1294" max="1294" width="12.7109375" style="14" customWidth="1"/>
    <col min="1295" max="1295" width="11.42578125" style="14" customWidth="1"/>
    <col min="1296" max="1296" width="10.7109375" style="14" customWidth="1"/>
    <col min="1297" max="1297" width="10.5703125" style="14" customWidth="1"/>
    <col min="1298" max="1298" width="11.28515625" style="14" customWidth="1"/>
    <col min="1299" max="1299" width="9.7109375" style="14" customWidth="1"/>
    <col min="1300" max="1300" width="12" style="14" customWidth="1"/>
    <col min="1301" max="1301" width="11.28515625" style="14" customWidth="1"/>
    <col min="1302" max="1539" width="9.140625" style="14"/>
    <col min="1540" max="1540" width="5.7109375" style="14" customWidth="1"/>
    <col min="1541" max="1541" width="13.140625" style="14" customWidth="1"/>
    <col min="1542" max="1542" width="12.28515625" style="14" customWidth="1"/>
    <col min="1543" max="1543" width="8.85546875" style="14" customWidth="1"/>
    <col min="1544" max="1544" width="10.85546875" style="14" customWidth="1"/>
    <col min="1545" max="1545" width="2.85546875" style="14" customWidth="1"/>
    <col min="1546" max="1546" width="12.140625" style="14" customWidth="1"/>
    <col min="1547" max="1547" width="10.140625" style="14" customWidth="1"/>
    <col min="1548" max="1548" width="11.7109375" style="14" customWidth="1"/>
    <col min="1549" max="1549" width="11.42578125" style="14" customWidth="1"/>
    <col min="1550" max="1550" width="12.7109375" style="14" customWidth="1"/>
    <col min="1551" max="1551" width="11.42578125" style="14" customWidth="1"/>
    <col min="1552" max="1552" width="10.7109375" style="14" customWidth="1"/>
    <col min="1553" max="1553" width="10.5703125" style="14" customWidth="1"/>
    <col min="1554" max="1554" width="11.28515625" style="14" customWidth="1"/>
    <col min="1555" max="1555" width="9.7109375" style="14" customWidth="1"/>
    <col min="1556" max="1556" width="12" style="14" customWidth="1"/>
    <col min="1557" max="1557" width="11.28515625" style="14" customWidth="1"/>
    <col min="1558" max="1795" width="9.140625" style="14"/>
    <col min="1796" max="1796" width="5.7109375" style="14" customWidth="1"/>
    <col min="1797" max="1797" width="13.140625" style="14" customWidth="1"/>
    <col min="1798" max="1798" width="12.28515625" style="14" customWidth="1"/>
    <col min="1799" max="1799" width="8.85546875" style="14" customWidth="1"/>
    <col min="1800" max="1800" width="10.85546875" style="14" customWidth="1"/>
    <col min="1801" max="1801" width="2.85546875" style="14" customWidth="1"/>
    <col min="1802" max="1802" width="12.140625" style="14" customWidth="1"/>
    <col min="1803" max="1803" width="10.140625" style="14" customWidth="1"/>
    <col min="1804" max="1804" width="11.7109375" style="14" customWidth="1"/>
    <col min="1805" max="1805" width="11.42578125" style="14" customWidth="1"/>
    <col min="1806" max="1806" width="12.7109375" style="14" customWidth="1"/>
    <col min="1807" max="1807" width="11.42578125" style="14" customWidth="1"/>
    <col min="1808" max="1808" width="10.7109375" style="14" customWidth="1"/>
    <col min="1809" max="1809" width="10.5703125" style="14" customWidth="1"/>
    <col min="1810" max="1810" width="11.28515625" style="14" customWidth="1"/>
    <col min="1811" max="1811" width="9.7109375" style="14" customWidth="1"/>
    <col min="1812" max="1812" width="12" style="14" customWidth="1"/>
    <col min="1813" max="1813" width="11.28515625" style="14" customWidth="1"/>
    <col min="1814" max="2051" width="9.140625" style="14"/>
    <col min="2052" max="2052" width="5.7109375" style="14" customWidth="1"/>
    <col min="2053" max="2053" width="13.140625" style="14" customWidth="1"/>
    <col min="2054" max="2054" width="12.28515625" style="14" customWidth="1"/>
    <col min="2055" max="2055" width="8.85546875" style="14" customWidth="1"/>
    <col min="2056" max="2056" width="10.85546875" style="14" customWidth="1"/>
    <col min="2057" max="2057" width="2.85546875" style="14" customWidth="1"/>
    <col min="2058" max="2058" width="12.140625" style="14" customWidth="1"/>
    <col min="2059" max="2059" width="10.140625" style="14" customWidth="1"/>
    <col min="2060" max="2060" width="11.7109375" style="14" customWidth="1"/>
    <col min="2061" max="2061" width="11.42578125" style="14" customWidth="1"/>
    <col min="2062" max="2062" width="12.7109375" style="14" customWidth="1"/>
    <col min="2063" max="2063" width="11.42578125" style="14" customWidth="1"/>
    <col min="2064" max="2064" width="10.7109375" style="14" customWidth="1"/>
    <col min="2065" max="2065" width="10.5703125" style="14" customWidth="1"/>
    <col min="2066" max="2066" width="11.28515625" style="14" customWidth="1"/>
    <col min="2067" max="2067" width="9.7109375" style="14" customWidth="1"/>
    <col min="2068" max="2068" width="12" style="14" customWidth="1"/>
    <col min="2069" max="2069" width="11.28515625" style="14" customWidth="1"/>
    <col min="2070" max="2307" width="9.140625" style="14"/>
    <col min="2308" max="2308" width="5.7109375" style="14" customWidth="1"/>
    <col min="2309" max="2309" width="13.140625" style="14" customWidth="1"/>
    <col min="2310" max="2310" width="12.28515625" style="14" customWidth="1"/>
    <col min="2311" max="2311" width="8.85546875" style="14" customWidth="1"/>
    <col min="2312" max="2312" width="10.85546875" style="14" customWidth="1"/>
    <col min="2313" max="2313" width="2.85546875" style="14" customWidth="1"/>
    <col min="2314" max="2314" width="12.140625" style="14" customWidth="1"/>
    <col min="2315" max="2315" width="10.140625" style="14" customWidth="1"/>
    <col min="2316" max="2316" width="11.7109375" style="14" customWidth="1"/>
    <col min="2317" max="2317" width="11.42578125" style="14" customWidth="1"/>
    <col min="2318" max="2318" width="12.7109375" style="14" customWidth="1"/>
    <col min="2319" max="2319" width="11.42578125" style="14" customWidth="1"/>
    <col min="2320" max="2320" width="10.7109375" style="14" customWidth="1"/>
    <col min="2321" max="2321" width="10.5703125" style="14" customWidth="1"/>
    <col min="2322" max="2322" width="11.28515625" style="14" customWidth="1"/>
    <col min="2323" max="2323" width="9.7109375" style="14" customWidth="1"/>
    <col min="2324" max="2324" width="12" style="14" customWidth="1"/>
    <col min="2325" max="2325" width="11.28515625" style="14" customWidth="1"/>
    <col min="2326" max="2563" width="9.140625" style="14"/>
    <col min="2564" max="2564" width="5.7109375" style="14" customWidth="1"/>
    <col min="2565" max="2565" width="13.140625" style="14" customWidth="1"/>
    <col min="2566" max="2566" width="12.28515625" style="14" customWidth="1"/>
    <col min="2567" max="2567" width="8.85546875" style="14" customWidth="1"/>
    <col min="2568" max="2568" width="10.85546875" style="14" customWidth="1"/>
    <col min="2569" max="2569" width="2.85546875" style="14" customWidth="1"/>
    <col min="2570" max="2570" width="12.140625" style="14" customWidth="1"/>
    <col min="2571" max="2571" width="10.140625" style="14" customWidth="1"/>
    <col min="2572" max="2572" width="11.7109375" style="14" customWidth="1"/>
    <col min="2573" max="2573" width="11.42578125" style="14" customWidth="1"/>
    <col min="2574" max="2574" width="12.7109375" style="14" customWidth="1"/>
    <col min="2575" max="2575" width="11.42578125" style="14" customWidth="1"/>
    <col min="2576" max="2576" width="10.7109375" style="14" customWidth="1"/>
    <col min="2577" max="2577" width="10.5703125" style="14" customWidth="1"/>
    <col min="2578" max="2578" width="11.28515625" style="14" customWidth="1"/>
    <col min="2579" max="2579" width="9.7109375" style="14" customWidth="1"/>
    <col min="2580" max="2580" width="12" style="14" customWidth="1"/>
    <col min="2581" max="2581" width="11.28515625" style="14" customWidth="1"/>
    <col min="2582" max="2819" width="9.140625" style="14"/>
    <col min="2820" max="2820" width="5.7109375" style="14" customWidth="1"/>
    <col min="2821" max="2821" width="13.140625" style="14" customWidth="1"/>
    <col min="2822" max="2822" width="12.28515625" style="14" customWidth="1"/>
    <col min="2823" max="2823" width="8.85546875" style="14" customWidth="1"/>
    <col min="2824" max="2824" width="10.85546875" style="14" customWidth="1"/>
    <col min="2825" max="2825" width="2.85546875" style="14" customWidth="1"/>
    <col min="2826" max="2826" width="12.140625" style="14" customWidth="1"/>
    <col min="2827" max="2827" width="10.140625" style="14" customWidth="1"/>
    <col min="2828" max="2828" width="11.7109375" style="14" customWidth="1"/>
    <col min="2829" max="2829" width="11.42578125" style="14" customWidth="1"/>
    <col min="2830" max="2830" width="12.7109375" style="14" customWidth="1"/>
    <col min="2831" max="2831" width="11.42578125" style="14" customWidth="1"/>
    <col min="2832" max="2832" width="10.7109375" style="14" customWidth="1"/>
    <col min="2833" max="2833" width="10.5703125" style="14" customWidth="1"/>
    <col min="2834" max="2834" width="11.28515625" style="14" customWidth="1"/>
    <col min="2835" max="2835" width="9.7109375" style="14" customWidth="1"/>
    <col min="2836" max="2836" width="12" style="14" customWidth="1"/>
    <col min="2837" max="2837" width="11.28515625" style="14" customWidth="1"/>
    <col min="2838" max="3075" width="9.140625" style="14"/>
    <col min="3076" max="3076" width="5.7109375" style="14" customWidth="1"/>
    <col min="3077" max="3077" width="13.140625" style="14" customWidth="1"/>
    <col min="3078" max="3078" width="12.28515625" style="14" customWidth="1"/>
    <col min="3079" max="3079" width="8.85546875" style="14" customWidth="1"/>
    <col min="3080" max="3080" width="10.85546875" style="14" customWidth="1"/>
    <col min="3081" max="3081" width="2.85546875" style="14" customWidth="1"/>
    <col min="3082" max="3082" width="12.140625" style="14" customWidth="1"/>
    <col min="3083" max="3083" width="10.140625" style="14" customWidth="1"/>
    <col min="3084" max="3084" width="11.7109375" style="14" customWidth="1"/>
    <col min="3085" max="3085" width="11.42578125" style="14" customWidth="1"/>
    <col min="3086" max="3086" width="12.7109375" style="14" customWidth="1"/>
    <col min="3087" max="3087" width="11.42578125" style="14" customWidth="1"/>
    <col min="3088" max="3088" width="10.7109375" style="14" customWidth="1"/>
    <col min="3089" max="3089" width="10.5703125" style="14" customWidth="1"/>
    <col min="3090" max="3090" width="11.28515625" style="14" customWidth="1"/>
    <col min="3091" max="3091" width="9.7109375" style="14" customWidth="1"/>
    <col min="3092" max="3092" width="12" style="14" customWidth="1"/>
    <col min="3093" max="3093" width="11.28515625" style="14" customWidth="1"/>
    <col min="3094" max="3331" width="9.140625" style="14"/>
    <col min="3332" max="3332" width="5.7109375" style="14" customWidth="1"/>
    <col min="3333" max="3333" width="13.140625" style="14" customWidth="1"/>
    <col min="3334" max="3334" width="12.28515625" style="14" customWidth="1"/>
    <col min="3335" max="3335" width="8.85546875" style="14" customWidth="1"/>
    <col min="3336" max="3336" width="10.85546875" style="14" customWidth="1"/>
    <col min="3337" max="3337" width="2.85546875" style="14" customWidth="1"/>
    <col min="3338" max="3338" width="12.140625" style="14" customWidth="1"/>
    <col min="3339" max="3339" width="10.140625" style="14" customWidth="1"/>
    <col min="3340" max="3340" width="11.7109375" style="14" customWidth="1"/>
    <col min="3341" max="3341" width="11.42578125" style="14" customWidth="1"/>
    <col min="3342" max="3342" width="12.7109375" style="14" customWidth="1"/>
    <col min="3343" max="3343" width="11.42578125" style="14" customWidth="1"/>
    <col min="3344" max="3344" width="10.7109375" style="14" customWidth="1"/>
    <col min="3345" max="3345" width="10.5703125" style="14" customWidth="1"/>
    <col min="3346" max="3346" width="11.28515625" style="14" customWidth="1"/>
    <col min="3347" max="3347" width="9.7109375" style="14" customWidth="1"/>
    <col min="3348" max="3348" width="12" style="14" customWidth="1"/>
    <col min="3349" max="3349" width="11.28515625" style="14" customWidth="1"/>
    <col min="3350" max="3587" width="9.140625" style="14"/>
    <col min="3588" max="3588" width="5.7109375" style="14" customWidth="1"/>
    <col min="3589" max="3589" width="13.140625" style="14" customWidth="1"/>
    <col min="3590" max="3590" width="12.28515625" style="14" customWidth="1"/>
    <col min="3591" max="3591" width="8.85546875" style="14" customWidth="1"/>
    <col min="3592" max="3592" width="10.85546875" style="14" customWidth="1"/>
    <col min="3593" max="3593" width="2.85546875" style="14" customWidth="1"/>
    <col min="3594" max="3594" width="12.140625" style="14" customWidth="1"/>
    <col min="3595" max="3595" width="10.140625" style="14" customWidth="1"/>
    <col min="3596" max="3596" width="11.7109375" style="14" customWidth="1"/>
    <col min="3597" max="3597" width="11.42578125" style="14" customWidth="1"/>
    <col min="3598" max="3598" width="12.7109375" style="14" customWidth="1"/>
    <col min="3599" max="3599" width="11.42578125" style="14" customWidth="1"/>
    <col min="3600" max="3600" width="10.7109375" style="14" customWidth="1"/>
    <col min="3601" max="3601" width="10.5703125" style="14" customWidth="1"/>
    <col min="3602" max="3602" width="11.28515625" style="14" customWidth="1"/>
    <col min="3603" max="3603" width="9.7109375" style="14" customWidth="1"/>
    <col min="3604" max="3604" width="12" style="14" customWidth="1"/>
    <col min="3605" max="3605" width="11.28515625" style="14" customWidth="1"/>
    <col min="3606" max="3843" width="9.140625" style="14"/>
    <col min="3844" max="3844" width="5.7109375" style="14" customWidth="1"/>
    <col min="3845" max="3845" width="13.140625" style="14" customWidth="1"/>
    <col min="3846" max="3846" width="12.28515625" style="14" customWidth="1"/>
    <col min="3847" max="3847" width="8.85546875" style="14" customWidth="1"/>
    <col min="3848" max="3848" width="10.85546875" style="14" customWidth="1"/>
    <col min="3849" max="3849" width="2.85546875" style="14" customWidth="1"/>
    <col min="3850" max="3850" width="12.140625" style="14" customWidth="1"/>
    <col min="3851" max="3851" width="10.140625" style="14" customWidth="1"/>
    <col min="3852" max="3852" width="11.7109375" style="14" customWidth="1"/>
    <col min="3853" max="3853" width="11.42578125" style="14" customWidth="1"/>
    <col min="3854" max="3854" width="12.7109375" style="14" customWidth="1"/>
    <col min="3855" max="3855" width="11.42578125" style="14" customWidth="1"/>
    <col min="3856" max="3856" width="10.7109375" style="14" customWidth="1"/>
    <col min="3857" max="3857" width="10.5703125" style="14" customWidth="1"/>
    <col min="3858" max="3858" width="11.28515625" style="14" customWidth="1"/>
    <col min="3859" max="3859" width="9.7109375" style="14" customWidth="1"/>
    <col min="3860" max="3860" width="12" style="14" customWidth="1"/>
    <col min="3861" max="3861" width="11.28515625" style="14" customWidth="1"/>
    <col min="3862" max="4099" width="9.140625" style="14"/>
    <col min="4100" max="4100" width="5.7109375" style="14" customWidth="1"/>
    <col min="4101" max="4101" width="13.140625" style="14" customWidth="1"/>
    <col min="4102" max="4102" width="12.28515625" style="14" customWidth="1"/>
    <col min="4103" max="4103" width="8.85546875" style="14" customWidth="1"/>
    <col min="4104" max="4104" width="10.85546875" style="14" customWidth="1"/>
    <col min="4105" max="4105" width="2.85546875" style="14" customWidth="1"/>
    <col min="4106" max="4106" width="12.140625" style="14" customWidth="1"/>
    <col min="4107" max="4107" width="10.140625" style="14" customWidth="1"/>
    <col min="4108" max="4108" width="11.7109375" style="14" customWidth="1"/>
    <col min="4109" max="4109" width="11.42578125" style="14" customWidth="1"/>
    <col min="4110" max="4110" width="12.7109375" style="14" customWidth="1"/>
    <col min="4111" max="4111" width="11.42578125" style="14" customWidth="1"/>
    <col min="4112" max="4112" width="10.7109375" style="14" customWidth="1"/>
    <col min="4113" max="4113" width="10.5703125" style="14" customWidth="1"/>
    <col min="4114" max="4114" width="11.28515625" style="14" customWidth="1"/>
    <col min="4115" max="4115" width="9.7109375" style="14" customWidth="1"/>
    <col min="4116" max="4116" width="12" style="14" customWidth="1"/>
    <col min="4117" max="4117" width="11.28515625" style="14" customWidth="1"/>
    <col min="4118" max="4355" width="9.140625" style="14"/>
    <col min="4356" max="4356" width="5.7109375" style="14" customWidth="1"/>
    <col min="4357" max="4357" width="13.140625" style="14" customWidth="1"/>
    <col min="4358" max="4358" width="12.28515625" style="14" customWidth="1"/>
    <col min="4359" max="4359" width="8.85546875" style="14" customWidth="1"/>
    <col min="4360" max="4360" width="10.85546875" style="14" customWidth="1"/>
    <col min="4361" max="4361" width="2.85546875" style="14" customWidth="1"/>
    <col min="4362" max="4362" width="12.140625" style="14" customWidth="1"/>
    <col min="4363" max="4363" width="10.140625" style="14" customWidth="1"/>
    <col min="4364" max="4364" width="11.7109375" style="14" customWidth="1"/>
    <col min="4365" max="4365" width="11.42578125" style="14" customWidth="1"/>
    <col min="4366" max="4366" width="12.7109375" style="14" customWidth="1"/>
    <col min="4367" max="4367" width="11.42578125" style="14" customWidth="1"/>
    <col min="4368" max="4368" width="10.7109375" style="14" customWidth="1"/>
    <col min="4369" max="4369" width="10.5703125" style="14" customWidth="1"/>
    <col min="4370" max="4370" width="11.28515625" style="14" customWidth="1"/>
    <col min="4371" max="4371" width="9.7109375" style="14" customWidth="1"/>
    <col min="4372" max="4372" width="12" style="14" customWidth="1"/>
    <col min="4373" max="4373" width="11.28515625" style="14" customWidth="1"/>
    <col min="4374" max="4611" width="9.140625" style="14"/>
    <col min="4612" max="4612" width="5.7109375" style="14" customWidth="1"/>
    <col min="4613" max="4613" width="13.140625" style="14" customWidth="1"/>
    <col min="4614" max="4614" width="12.28515625" style="14" customWidth="1"/>
    <col min="4615" max="4615" width="8.85546875" style="14" customWidth="1"/>
    <col min="4616" max="4616" width="10.85546875" style="14" customWidth="1"/>
    <col min="4617" max="4617" width="2.85546875" style="14" customWidth="1"/>
    <col min="4618" max="4618" width="12.140625" style="14" customWidth="1"/>
    <col min="4619" max="4619" width="10.140625" style="14" customWidth="1"/>
    <col min="4620" max="4620" width="11.7109375" style="14" customWidth="1"/>
    <col min="4621" max="4621" width="11.42578125" style="14" customWidth="1"/>
    <col min="4622" max="4622" width="12.7109375" style="14" customWidth="1"/>
    <col min="4623" max="4623" width="11.42578125" style="14" customWidth="1"/>
    <col min="4624" max="4624" width="10.7109375" style="14" customWidth="1"/>
    <col min="4625" max="4625" width="10.5703125" style="14" customWidth="1"/>
    <col min="4626" max="4626" width="11.28515625" style="14" customWidth="1"/>
    <col min="4627" max="4627" width="9.7109375" style="14" customWidth="1"/>
    <col min="4628" max="4628" width="12" style="14" customWidth="1"/>
    <col min="4629" max="4629" width="11.28515625" style="14" customWidth="1"/>
    <col min="4630" max="4867" width="9.140625" style="14"/>
    <col min="4868" max="4868" width="5.7109375" style="14" customWidth="1"/>
    <col min="4869" max="4869" width="13.140625" style="14" customWidth="1"/>
    <col min="4870" max="4870" width="12.28515625" style="14" customWidth="1"/>
    <col min="4871" max="4871" width="8.85546875" style="14" customWidth="1"/>
    <col min="4872" max="4872" width="10.85546875" style="14" customWidth="1"/>
    <col min="4873" max="4873" width="2.85546875" style="14" customWidth="1"/>
    <col min="4874" max="4874" width="12.140625" style="14" customWidth="1"/>
    <col min="4875" max="4875" width="10.140625" style="14" customWidth="1"/>
    <col min="4876" max="4876" width="11.7109375" style="14" customWidth="1"/>
    <col min="4877" max="4877" width="11.42578125" style="14" customWidth="1"/>
    <col min="4878" max="4878" width="12.7109375" style="14" customWidth="1"/>
    <col min="4879" max="4879" width="11.42578125" style="14" customWidth="1"/>
    <col min="4880" max="4880" width="10.7109375" style="14" customWidth="1"/>
    <col min="4881" max="4881" width="10.5703125" style="14" customWidth="1"/>
    <col min="4882" max="4882" width="11.28515625" style="14" customWidth="1"/>
    <col min="4883" max="4883" width="9.7109375" style="14" customWidth="1"/>
    <col min="4884" max="4884" width="12" style="14" customWidth="1"/>
    <col min="4885" max="4885" width="11.28515625" style="14" customWidth="1"/>
    <col min="4886" max="5123" width="9.140625" style="14"/>
    <col min="5124" max="5124" width="5.7109375" style="14" customWidth="1"/>
    <col min="5125" max="5125" width="13.140625" style="14" customWidth="1"/>
    <col min="5126" max="5126" width="12.28515625" style="14" customWidth="1"/>
    <col min="5127" max="5127" width="8.85546875" style="14" customWidth="1"/>
    <col min="5128" max="5128" width="10.85546875" style="14" customWidth="1"/>
    <col min="5129" max="5129" width="2.85546875" style="14" customWidth="1"/>
    <col min="5130" max="5130" width="12.140625" style="14" customWidth="1"/>
    <col min="5131" max="5131" width="10.140625" style="14" customWidth="1"/>
    <col min="5132" max="5132" width="11.7109375" style="14" customWidth="1"/>
    <col min="5133" max="5133" width="11.42578125" style="14" customWidth="1"/>
    <col min="5134" max="5134" width="12.7109375" style="14" customWidth="1"/>
    <col min="5135" max="5135" width="11.42578125" style="14" customWidth="1"/>
    <col min="5136" max="5136" width="10.7109375" style="14" customWidth="1"/>
    <col min="5137" max="5137" width="10.5703125" style="14" customWidth="1"/>
    <col min="5138" max="5138" width="11.28515625" style="14" customWidth="1"/>
    <col min="5139" max="5139" width="9.7109375" style="14" customWidth="1"/>
    <col min="5140" max="5140" width="12" style="14" customWidth="1"/>
    <col min="5141" max="5141" width="11.28515625" style="14" customWidth="1"/>
    <col min="5142" max="5379" width="9.140625" style="14"/>
    <col min="5380" max="5380" width="5.7109375" style="14" customWidth="1"/>
    <col min="5381" max="5381" width="13.140625" style="14" customWidth="1"/>
    <col min="5382" max="5382" width="12.28515625" style="14" customWidth="1"/>
    <col min="5383" max="5383" width="8.85546875" style="14" customWidth="1"/>
    <col min="5384" max="5384" width="10.85546875" style="14" customWidth="1"/>
    <col min="5385" max="5385" width="2.85546875" style="14" customWidth="1"/>
    <col min="5386" max="5386" width="12.140625" style="14" customWidth="1"/>
    <col min="5387" max="5387" width="10.140625" style="14" customWidth="1"/>
    <col min="5388" max="5388" width="11.7109375" style="14" customWidth="1"/>
    <col min="5389" max="5389" width="11.42578125" style="14" customWidth="1"/>
    <col min="5390" max="5390" width="12.7109375" style="14" customWidth="1"/>
    <col min="5391" max="5391" width="11.42578125" style="14" customWidth="1"/>
    <col min="5392" max="5392" width="10.7109375" style="14" customWidth="1"/>
    <col min="5393" max="5393" width="10.5703125" style="14" customWidth="1"/>
    <col min="5394" max="5394" width="11.28515625" style="14" customWidth="1"/>
    <col min="5395" max="5395" width="9.7109375" style="14" customWidth="1"/>
    <col min="5396" max="5396" width="12" style="14" customWidth="1"/>
    <col min="5397" max="5397" width="11.28515625" style="14" customWidth="1"/>
    <col min="5398" max="5635" width="9.140625" style="14"/>
    <col min="5636" max="5636" width="5.7109375" style="14" customWidth="1"/>
    <col min="5637" max="5637" width="13.140625" style="14" customWidth="1"/>
    <col min="5638" max="5638" width="12.28515625" style="14" customWidth="1"/>
    <col min="5639" max="5639" width="8.85546875" style="14" customWidth="1"/>
    <col min="5640" max="5640" width="10.85546875" style="14" customWidth="1"/>
    <col min="5641" max="5641" width="2.85546875" style="14" customWidth="1"/>
    <col min="5642" max="5642" width="12.140625" style="14" customWidth="1"/>
    <col min="5643" max="5643" width="10.140625" style="14" customWidth="1"/>
    <col min="5644" max="5644" width="11.7109375" style="14" customWidth="1"/>
    <col min="5645" max="5645" width="11.42578125" style="14" customWidth="1"/>
    <col min="5646" max="5646" width="12.7109375" style="14" customWidth="1"/>
    <col min="5647" max="5647" width="11.42578125" style="14" customWidth="1"/>
    <col min="5648" max="5648" width="10.7109375" style="14" customWidth="1"/>
    <col min="5649" max="5649" width="10.5703125" style="14" customWidth="1"/>
    <col min="5650" max="5650" width="11.28515625" style="14" customWidth="1"/>
    <col min="5651" max="5651" width="9.7109375" style="14" customWidth="1"/>
    <col min="5652" max="5652" width="12" style="14" customWidth="1"/>
    <col min="5653" max="5653" width="11.28515625" style="14" customWidth="1"/>
    <col min="5654" max="5891" width="9.140625" style="14"/>
    <col min="5892" max="5892" width="5.7109375" style="14" customWidth="1"/>
    <col min="5893" max="5893" width="13.140625" style="14" customWidth="1"/>
    <col min="5894" max="5894" width="12.28515625" style="14" customWidth="1"/>
    <col min="5895" max="5895" width="8.85546875" style="14" customWidth="1"/>
    <col min="5896" max="5896" width="10.85546875" style="14" customWidth="1"/>
    <col min="5897" max="5897" width="2.85546875" style="14" customWidth="1"/>
    <col min="5898" max="5898" width="12.140625" style="14" customWidth="1"/>
    <col min="5899" max="5899" width="10.140625" style="14" customWidth="1"/>
    <col min="5900" max="5900" width="11.7109375" style="14" customWidth="1"/>
    <col min="5901" max="5901" width="11.42578125" style="14" customWidth="1"/>
    <col min="5902" max="5902" width="12.7109375" style="14" customWidth="1"/>
    <col min="5903" max="5903" width="11.42578125" style="14" customWidth="1"/>
    <col min="5904" max="5904" width="10.7109375" style="14" customWidth="1"/>
    <col min="5905" max="5905" width="10.5703125" style="14" customWidth="1"/>
    <col min="5906" max="5906" width="11.28515625" style="14" customWidth="1"/>
    <col min="5907" max="5907" width="9.7109375" style="14" customWidth="1"/>
    <col min="5908" max="5908" width="12" style="14" customWidth="1"/>
    <col min="5909" max="5909" width="11.28515625" style="14" customWidth="1"/>
    <col min="5910" max="6147" width="9.140625" style="14"/>
    <col min="6148" max="6148" width="5.7109375" style="14" customWidth="1"/>
    <col min="6149" max="6149" width="13.140625" style="14" customWidth="1"/>
    <col min="6150" max="6150" width="12.28515625" style="14" customWidth="1"/>
    <col min="6151" max="6151" width="8.85546875" style="14" customWidth="1"/>
    <col min="6152" max="6152" width="10.85546875" style="14" customWidth="1"/>
    <col min="6153" max="6153" width="2.85546875" style="14" customWidth="1"/>
    <col min="6154" max="6154" width="12.140625" style="14" customWidth="1"/>
    <col min="6155" max="6155" width="10.140625" style="14" customWidth="1"/>
    <col min="6156" max="6156" width="11.7109375" style="14" customWidth="1"/>
    <col min="6157" max="6157" width="11.42578125" style="14" customWidth="1"/>
    <col min="6158" max="6158" width="12.7109375" style="14" customWidth="1"/>
    <col min="6159" max="6159" width="11.42578125" style="14" customWidth="1"/>
    <col min="6160" max="6160" width="10.7109375" style="14" customWidth="1"/>
    <col min="6161" max="6161" width="10.5703125" style="14" customWidth="1"/>
    <col min="6162" max="6162" width="11.28515625" style="14" customWidth="1"/>
    <col min="6163" max="6163" width="9.7109375" style="14" customWidth="1"/>
    <col min="6164" max="6164" width="12" style="14" customWidth="1"/>
    <col min="6165" max="6165" width="11.28515625" style="14" customWidth="1"/>
    <col min="6166" max="6403" width="9.140625" style="14"/>
    <col min="6404" max="6404" width="5.7109375" style="14" customWidth="1"/>
    <col min="6405" max="6405" width="13.140625" style="14" customWidth="1"/>
    <col min="6406" max="6406" width="12.28515625" style="14" customWidth="1"/>
    <col min="6407" max="6407" width="8.85546875" style="14" customWidth="1"/>
    <col min="6408" max="6408" width="10.85546875" style="14" customWidth="1"/>
    <col min="6409" max="6409" width="2.85546875" style="14" customWidth="1"/>
    <col min="6410" max="6410" width="12.140625" style="14" customWidth="1"/>
    <col min="6411" max="6411" width="10.140625" style="14" customWidth="1"/>
    <col min="6412" max="6412" width="11.7109375" style="14" customWidth="1"/>
    <col min="6413" max="6413" width="11.42578125" style="14" customWidth="1"/>
    <col min="6414" max="6414" width="12.7109375" style="14" customWidth="1"/>
    <col min="6415" max="6415" width="11.42578125" style="14" customWidth="1"/>
    <col min="6416" max="6416" width="10.7109375" style="14" customWidth="1"/>
    <col min="6417" max="6417" width="10.5703125" style="14" customWidth="1"/>
    <col min="6418" max="6418" width="11.28515625" style="14" customWidth="1"/>
    <col min="6419" max="6419" width="9.7109375" style="14" customWidth="1"/>
    <col min="6420" max="6420" width="12" style="14" customWidth="1"/>
    <col min="6421" max="6421" width="11.28515625" style="14" customWidth="1"/>
    <col min="6422" max="6659" width="9.140625" style="14"/>
    <col min="6660" max="6660" width="5.7109375" style="14" customWidth="1"/>
    <col min="6661" max="6661" width="13.140625" style="14" customWidth="1"/>
    <col min="6662" max="6662" width="12.28515625" style="14" customWidth="1"/>
    <col min="6663" max="6663" width="8.85546875" style="14" customWidth="1"/>
    <col min="6664" max="6664" width="10.85546875" style="14" customWidth="1"/>
    <col min="6665" max="6665" width="2.85546875" style="14" customWidth="1"/>
    <col min="6666" max="6666" width="12.140625" style="14" customWidth="1"/>
    <col min="6667" max="6667" width="10.140625" style="14" customWidth="1"/>
    <col min="6668" max="6668" width="11.7109375" style="14" customWidth="1"/>
    <col min="6669" max="6669" width="11.42578125" style="14" customWidth="1"/>
    <col min="6670" max="6670" width="12.7109375" style="14" customWidth="1"/>
    <col min="6671" max="6671" width="11.42578125" style="14" customWidth="1"/>
    <col min="6672" max="6672" width="10.7109375" style="14" customWidth="1"/>
    <col min="6673" max="6673" width="10.5703125" style="14" customWidth="1"/>
    <col min="6674" max="6674" width="11.28515625" style="14" customWidth="1"/>
    <col min="6675" max="6675" width="9.7109375" style="14" customWidth="1"/>
    <col min="6676" max="6676" width="12" style="14" customWidth="1"/>
    <col min="6677" max="6677" width="11.28515625" style="14" customWidth="1"/>
    <col min="6678" max="6915" width="9.140625" style="14"/>
    <col min="6916" max="6916" width="5.7109375" style="14" customWidth="1"/>
    <col min="6917" max="6917" width="13.140625" style="14" customWidth="1"/>
    <col min="6918" max="6918" width="12.28515625" style="14" customWidth="1"/>
    <col min="6919" max="6919" width="8.85546875" style="14" customWidth="1"/>
    <col min="6920" max="6920" width="10.85546875" style="14" customWidth="1"/>
    <col min="6921" max="6921" width="2.85546875" style="14" customWidth="1"/>
    <col min="6922" max="6922" width="12.140625" style="14" customWidth="1"/>
    <col min="6923" max="6923" width="10.140625" style="14" customWidth="1"/>
    <col min="6924" max="6924" width="11.7109375" style="14" customWidth="1"/>
    <col min="6925" max="6925" width="11.42578125" style="14" customWidth="1"/>
    <col min="6926" max="6926" width="12.7109375" style="14" customWidth="1"/>
    <col min="6927" max="6927" width="11.42578125" style="14" customWidth="1"/>
    <col min="6928" max="6928" width="10.7109375" style="14" customWidth="1"/>
    <col min="6929" max="6929" width="10.5703125" style="14" customWidth="1"/>
    <col min="6930" max="6930" width="11.28515625" style="14" customWidth="1"/>
    <col min="6931" max="6931" width="9.7109375" style="14" customWidth="1"/>
    <col min="6932" max="6932" width="12" style="14" customWidth="1"/>
    <col min="6933" max="6933" width="11.28515625" style="14" customWidth="1"/>
    <col min="6934" max="7171" width="9.140625" style="14"/>
    <col min="7172" max="7172" width="5.7109375" style="14" customWidth="1"/>
    <col min="7173" max="7173" width="13.140625" style="14" customWidth="1"/>
    <col min="7174" max="7174" width="12.28515625" style="14" customWidth="1"/>
    <col min="7175" max="7175" width="8.85546875" style="14" customWidth="1"/>
    <col min="7176" max="7176" width="10.85546875" style="14" customWidth="1"/>
    <col min="7177" max="7177" width="2.85546875" style="14" customWidth="1"/>
    <col min="7178" max="7178" width="12.140625" style="14" customWidth="1"/>
    <col min="7179" max="7179" width="10.140625" style="14" customWidth="1"/>
    <col min="7180" max="7180" width="11.7109375" style="14" customWidth="1"/>
    <col min="7181" max="7181" width="11.42578125" style="14" customWidth="1"/>
    <col min="7182" max="7182" width="12.7109375" style="14" customWidth="1"/>
    <col min="7183" max="7183" width="11.42578125" style="14" customWidth="1"/>
    <col min="7184" max="7184" width="10.7109375" style="14" customWidth="1"/>
    <col min="7185" max="7185" width="10.5703125" style="14" customWidth="1"/>
    <col min="7186" max="7186" width="11.28515625" style="14" customWidth="1"/>
    <col min="7187" max="7187" width="9.7109375" style="14" customWidth="1"/>
    <col min="7188" max="7188" width="12" style="14" customWidth="1"/>
    <col min="7189" max="7189" width="11.28515625" style="14" customWidth="1"/>
    <col min="7190" max="7427" width="9.140625" style="14"/>
    <col min="7428" max="7428" width="5.7109375" style="14" customWidth="1"/>
    <col min="7429" max="7429" width="13.140625" style="14" customWidth="1"/>
    <col min="7430" max="7430" width="12.28515625" style="14" customWidth="1"/>
    <col min="7431" max="7431" width="8.85546875" style="14" customWidth="1"/>
    <col min="7432" max="7432" width="10.85546875" style="14" customWidth="1"/>
    <col min="7433" max="7433" width="2.85546875" style="14" customWidth="1"/>
    <col min="7434" max="7434" width="12.140625" style="14" customWidth="1"/>
    <col min="7435" max="7435" width="10.140625" style="14" customWidth="1"/>
    <col min="7436" max="7436" width="11.7109375" style="14" customWidth="1"/>
    <col min="7437" max="7437" width="11.42578125" style="14" customWidth="1"/>
    <col min="7438" max="7438" width="12.7109375" style="14" customWidth="1"/>
    <col min="7439" max="7439" width="11.42578125" style="14" customWidth="1"/>
    <col min="7440" max="7440" width="10.7109375" style="14" customWidth="1"/>
    <col min="7441" max="7441" width="10.5703125" style="14" customWidth="1"/>
    <col min="7442" max="7442" width="11.28515625" style="14" customWidth="1"/>
    <col min="7443" max="7443" width="9.7109375" style="14" customWidth="1"/>
    <col min="7444" max="7444" width="12" style="14" customWidth="1"/>
    <col min="7445" max="7445" width="11.28515625" style="14" customWidth="1"/>
    <col min="7446" max="7683" width="9.140625" style="14"/>
    <col min="7684" max="7684" width="5.7109375" style="14" customWidth="1"/>
    <col min="7685" max="7685" width="13.140625" style="14" customWidth="1"/>
    <col min="7686" max="7686" width="12.28515625" style="14" customWidth="1"/>
    <col min="7687" max="7687" width="8.85546875" style="14" customWidth="1"/>
    <col min="7688" max="7688" width="10.85546875" style="14" customWidth="1"/>
    <col min="7689" max="7689" width="2.85546875" style="14" customWidth="1"/>
    <col min="7690" max="7690" width="12.140625" style="14" customWidth="1"/>
    <col min="7691" max="7691" width="10.140625" style="14" customWidth="1"/>
    <col min="7692" max="7692" width="11.7109375" style="14" customWidth="1"/>
    <col min="7693" max="7693" width="11.42578125" style="14" customWidth="1"/>
    <col min="7694" max="7694" width="12.7109375" style="14" customWidth="1"/>
    <col min="7695" max="7695" width="11.42578125" style="14" customWidth="1"/>
    <col min="7696" max="7696" width="10.7109375" style="14" customWidth="1"/>
    <col min="7697" max="7697" width="10.5703125" style="14" customWidth="1"/>
    <col min="7698" max="7698" width="11.28515625" style="14" customWidth="1"/>
    <col min="7699" max="7699" width="9.7109375" style="14" customWidth="1"/>
    <col min="7700" max="7700" width="12" style="14" customWidth="1"/>
    <col min="7701" max="7701" width="11.28515625" style="14" customWidth="1"/>
    <col min="7702" max="7939" width="9.140625" style="14"/>
    <col min="7940" max="7940" width="5.7109375" style="14" customWidth="1"/>
    <col min="7941" max="7941" width="13.140625" style="14" customWidth="1"/>
    <col min="7942" max="7942" width="12.28515625" style="14" customWidth="1"/>
    <col min="7943" max="7943" width="8.85546875" style="14" customWidth="1"/>
    <col min="7944" max="7944" width="10.85546875" style="14" customWidth="1"/>
    <col min="7945" max="7945" width="2.85546875" style="14" customWidth="1"/>
    <col min="7946" max="7946" width="12.140625" style="14" customWidth="1"/>
    <col min="7947" max="7947" width="10.140625" style="14" customWidth="1"/>
    <col min="7948" max="7948" width="11.7109375" style="14" customWidth="1"/>
    <col min="7949" max="7949" width="11.42578125" style="14" customWidth="1"/>
    <col min="7950" max="7950" width="12.7109375" style="14" customWidth="1"/>
    <col min="7951" max="7951" width="11.42578125" style="14" customWidth="1"/>
    <col min="7952" max="7952" width="10.7109375" style="14" customWidth="1"/>
    <col min="7953" max="7953" width="10.5703125" style="14" customWidth="1"/>
    <col min="7954" max="7954" width="11.28515625" style="14" customWidth="1"/>
    <col min="7955" max="7955" width="9.7109375" style="14" customWidth="1"/>
    <col min="7956" max="7956" width="12" style="14" customWidth="1"/>
    <col min="7957" max="7957" width="11.28515625" style="14" customWidth="1"/>
    <col min="7958" max="8195" width="9.140625" style="14"/>
    <col min="8196" max="8196" width="5.7109375" style="14" customWidth="1"/>
    <col min="8197" max="8197" width="13.140625" style="14" customWidth="1"/>
    <col min="8198" max="8198" width="12.28515625" style="14" customWidth="1"/>
    <col min="8199" max="8199" width="8.85546875" style="14" customWidth="1"/>
    <col min="8200" max="8200" width="10.85546875" style="14" customWidth="1"/>
    <col min="8201" max="8201" width="2.85546875" style="14" customWidth="1"/>
    <col min="8202" max="8202" width="12.140625" style="14" customWidth="1"/>
    <col min="8203" max="8203" width="10.140625" style="14" customWidth="1"/>
    <col min="8204" max="8204" width="11.7109375" style="14" customWidth="1"/>
    <col min="8205" max="8205" width="11.42578125" style="14" customWidth="1"/>
    <col min="8206" max="8206" width="12.7109375" style="14" customWidth="1"/>
    <col min="8207" max="8207" width="11.42578125" style="14" customWidth="1"/>
    <col min="8208" max="8208" width="10.7109375" style="14" customWidth="1"/>
    <col min="8209" max="8209" width="10.5703125" style="14" customWidth="1"/>
    <col min="8210" max="8210" width="11.28515625" style="14" customWidth="1"/>
    <col min="8211" max="8211" width="9.7109375" style="14" customWidth="1"/>
    <col min="8212" max="8212" width="12" style="14" customWidth="1"/>
    <col min="8213" max="8213" width="11.28515625" style="14" customWidth="1"/>
    <col min="8214" max="8451" width="9.140625" style="14"/>
    <col min="8452" max="8452" width="5.7109375" style="14" customWidth="1"/>
    <col min="8453" max="8453" width="13.140625" style="14" customWidth="1"/>
    <col min="8454" max="8454" width="12.28515625" style="14" customWidth="1"/>
    <col min="8455" max="8455" width="8.85546875" style="14" customWidth="1"/>
    <col min="8456" max="8456" width="10.85546875" style="14" customWidth="1"/>
    <col min="8457" max="8457" width="2.85546875" style="14" customWidth="1"/>
    <col min="8458" max="8458" width="12.140625" style="14" customWidth="1"/>
    <col min="8459" max="8459" width="10.140625" style="14" customWidth="1"/>
    <col min="8460" max="8460" width="11.7109375" style="14" customWidth="1"/>
    <col min="8461" max="8461" width="11.42578125" style="14" customWidth="1"/>
    <col min="8462" max="8462" width="12.7109375" style="14" customWidth="1"/>
    <col min="8463" max="8463" width="11.42578125" style="14" customWidth="1"/>
    <col min="8464" max="8464" width="10.7109375" style="14" customWidth="1"/>
    <col min="8465" max="8465" width="10.5703125" style="14" customWidth="1"/>
    <col min="8466" max="8466" width="11.28515625" style="14" customWidth="1"/>
    <col min="8467" max="8467" width="9.7109375" style="14" customWidth="1"/>
    <col min="8468" max="8468" width="12" style="14" customWidth="1"/>
    <col min="8469" max="8469" width="11.28515625" style="14" customWidth="1"/>
    <col min="8470" max="8707" width="9.140625" style="14"/>
    <col min="8708" max="8708" width="5.7109375" style="14" customWidth="1"/>
    <col min="8709" max="8709" width="13.140625" style="14" customWidth="1"/>
    <col min="8710" max="8710" width="12.28515625" style="14" customWidth="1"/>
    <col min="8711" max="8711" width="8.85546875" style="14" customWidth="1"/>
    <col min="8712" max="8712" width="10.85546875" style="14" customWidth="1"/>
    <col min="8713" max="8713" width="2.85546875" style="14" customWidth="1"/>
    <col min="8714" max="8714" width="12.140625" style="14" customWidth="1"/>
    <col min="8715" max="8715" width="10.140625" style="14" customWidth="1"/>
    <col min="8716" max="8716" width="11.7109375" style="14" customWidth="1"/>
    <col min="8717" max="8717" width="11.42578125" style="14" customWidth="1"/>
    <col min="8718" max="8718" width="12.7109375" style="14" customWidth="1"/>
    <col min="8719" max="8719" width="11.42578125" style="14" customWidth="1"/>
    <col min="8720" max="8720" width="10.7109375" style="14" customWidth="1"/>
    <col min="8721" max="8721" width="10.5703125" style="14" customWidth="1"/>
    <col min="8722" max="8722" width="11.28515625" style="14" customWidth="1"/>
    <col min="8723" max="8723" width="9.7109375" style="14" customWidth="1"/>
    <col min="8724" max="8724" width="12" style="14" customWidth="1"/>
    <col min="8725" max="8725" width="11.28515625" style="14" customWidth="1"/>
    <col min="8726" max="8963" width="9.140625" style="14"/>
    <col min="8964" max="8964" width="5.7109375" style="14" customWidth="1"/>
    <col min="8965" max="8965" width="13.140625" style="14" customWidth="1"/>
    <col min="8966" max="8966" width="12.28515625" style="14" customWidth="1"/>
    <col min="8967" max="8967" width="8.85546875" style="14" customWidth="1"/>
    <col min="8968" max="8968" width="10.85546875" style="14" customWidth="1"/>
    <col min="8969" max="8969" width="2.85546875" style="14" customWidth="1"/>
    <col min="8970" max="8970" width="12.140625" style="14" customWidth="1"/>
    <col min="8971" max="8971" width="10.140625" style="14" customWidth="1"/>
    <col min="8972" max="8972" width="11.7109375" style="14" customWidth="1"/>
    <col min="8973" max="8973" width="11.42578125" style="14" customWidth="1"/>
    <col min="8974" max="8974" width="12.7109375" style="14" customWidth="1"/>
    <col min="8975" max="8975" width="11.42578125" style="14" customWidth="1"/>
    <col min="8976" max="8976" width="10.7109375" style="14" customWidth="1"/>
    <col min="8977" max="8977" width="10.5703125" style="14" customWidth="1"/>
    <col min="8978" max="8978" width="11.28515625" style="14" customWidth="1"/>
    <col min="8979" max="8979" width="9.7109375" style="14" customWidth="1"/>
    <col min="8980" max="8980" width="12" style="14" customWidth="1"/>
    <col min="8981" max="8981" width="11.28515625" style="14" customWidth="1"/>
    <col min="8982" max="9219" width="9.140625" style="14"/>
    <col min="9220" max="9220" width="5.7109375" style="14" customWidth="1"/>
    <col min="9221" max="9221" width="13.140625" style="14" customWidth="1"/>
    <col min="9222" max="9222" width="12.28515625" style="14" customWidth="1"/>
    <col min="9223" max="9223" width="8.85546875" style="14" customWidth="1"/>
    <col min="9224" max="9224" width="10.85546875" style="14" customWidth="1"/>
    <col min="9225" max="9225" width="2.85546875" style="14" customWidth="1"/>
    <col min="9226" max="9226" width="12.140625" style="14" customWidth="1"/>
    <col min="9227" max="9227" width="10.140625" style="14" customWidth="1"/>
    <col min="9228" max="9228" width="11.7109375" style="14" customWidth="1"/>
    <col min="9229" max="9229" width="11.42578125" style="14" customWidth="1"/>
    <col min="9230" max="9230" width="12.7109375" style="14" customWidth="1"/>
    <col min="9231" max="9231" width="11.42578125" style="14" customWidth="1"/>
    <col min="9232" max="9232" width="10.7109375" style="14" customWidth="1"/>
    <col min="9233" max="9233" width="10.5703125" style="14" customWidth="1"/>
    <col min="9234" max="9234" width="11.28515625" style="14" customWidth="1"/>
    <col min="9235" max="9235" width="9.7109375" style="14" customWidth="1"/>
    <col min="9236" max="9236" width="12" style="14" customWidth="1"/>
    <col min="9237" max="9237" width="11.28515625" style="14" customWidth="1"/>
    <col min="9238" max="9475" width="9.140625" style="14"/>
    <col min="9476" max="9476" width="5.7109375" style="14" customWidth="1"/>
    <col min="9477" max="9477" width="13.140625" style="14" customWidth="1"/>
    <col min="9478" max="9478" width="12.28515625" style="14" customWidth="1"/>
    <col min="9479" max="9479" width="8.85546875" style="14" customWidth="1"/>
    <col min="9480" max="9480" width="10.85546875" style="14" customWidth="1"/>
    <col min="9481" max="9481" width="2.85546875" style="14" customWidth="1"/>
    <col min="9482" max="9482" width="12.140625" style="14" customWidth="1"/>
    <col min="9483" max="9483" width="10.140625" style="14" customWidth="1"/>
    <col min="9484" max="9484" width="11.7109375" style="14" customWidth="1"/>
    <col min="9485" max="9485" width="11.42578125" style="14" customWidth="1"/>
    <col min="9486" max="9486" width="12.7109375" style="14" customWidth="1"/>
    <col min="9487" max="9487" width="11.42578125" style="14" customWidth="1"/>
    <col min="9488" max="9488" width="10.7109375" style="14" customWidth="1"/>
    <col min="9489" max="9489" width="10.5703125" style="14" customWidth="1"/>
    <col min="9490" max="9490" width="11.28515625" style="14" customWidth="1"/>
    <col min="9491" max="9491" width="9.7109375" style="14" customWidth="1"/>
    <col min="9492" max="9492" width="12" style="14" customWidth="1"/>
    <col min="9493" max="9493" width="11.28515625" style="14" customWidth="1"/>
    <col min="9494" max="9731" width="9.140625" style="14"/>
    <col min="9732" max="9732" width="5.7109375" style="14" customWidth="1"/>
    <col min="9733" max="9733" width="13.140625" style="14" customWidth="1"/>
    <col min="9734" max="9734" width="12.28515625" style="14" customWidth="1"/>
    <col min="9735" max="9735" width="8.85546875" style="14" customWidth="1"/>
    <col min="9736" max="9736" width="10.85546875" style="14" customWidth="1"/>
    <col min="9737" max="9737" width="2.85546875" style="14" customWidth="1"/>
    <col min="9738" max="9738" width="12.140625" style="14" customWidth="1"/>
    <col min="9739" max="9739" width="10.140625" style="14" customWidth="1"/>
    <col min="9740" max="9740" width="11.7109375" style="14" customWidth="1"/>
    <col min="9741" max="9741" width="11.42578125" style="14" customWidth="1"/>
    <col min="9742" max="9742" width="12.7109375" style="14" customWidth="1"/>
    <col min="9743" max="9743" width="11.42578125" style="14" customWidth="1"/>
    <col min="9744" max="9744" width="10.7109375" style="14" customWidth="1"/>
    <col min="9745" max="9745" width="10.5703125" style="14" customWidth="1"/>
    <col min="9746" max="9746" width="11.28515625" style="14" customWidth="1"/>
    <col min="9747" max="9747" width="9.7109375" style="14" customWidth="1"/>
    <col min="9748" max="9748" width="12" style="14" customWidth="1"/>
    <col min="9749" max="9749" width="11.28515625" style="14" customWidth="1"/>
    <col min="9750" max="9987" width="9.140625" style="14"/>
    <col min="9988" max="9988" width="5.7109375" style="14" customWidth="1"/>
    <col min="9989" max="9989" width="13.140625" style="14" customWidth="1"/>
    <col min="9990" max="9990" width="12.28515625" style="14" customWidth="1"/>
    <col min="9991" max="9991" width="8.85546875" style="14" customWidth="1"/>
    <col min="9992" max="9992" width="10.85546875" style="14" customWidth="1"/>
    <col min="9993" max="9993" width="2.85546875" style="14" customWidth="1"/>
    <col min="9994" max="9994" width="12.140625" style="14" customWidth="1"/>
    <col min="9995" max="9995" width="10.140625" style="14" customWidth="1"/>
    <col min="9996" max="9996" width="11.7109375" style="14" customWidth="1"/>
    <col min="9997" max="9997" width="11.42578125" style="14" customWidth="1"/>
    <col min="9998" max="9998" width="12.7109375" style="14" customWidth="1"/>
    <col min="9999" max="9999" width="11.42578125" style="14" customWidth="1"/>
    <col min="10000" max="10000" width="10.7109375" style="14" customWidth="1"/>
    <col min="10001" max="10001" width="10.5703125" style="14" customWidth="1"/>
    <col min="10002" max="10002" width="11.28515625" style="14" customWidth="1"/>
    <col min="10003" max="10003" width="9.7109375" style="14" customWidth="1"/>
    <col min="10004" max="10004" width="12" style="14" customWidth="1"/>
    <col min="10005" max="10005" width="11.28515625" style="14" customWidth="1"/>
    <col min="10006" max="10243" width="9.140625" style="14"/>
    <col min="10244" max="10244" width="5.7109375" style="14" customWidth="1"/>
    <col min="10245" max="10245" width="13.140625" style="14" customWidth="1"/>
    <col min="10246" max="10246" width="12.28515625" style="14" customWidth="1"/>
    <col min="10247" max="10247" width="8.85546875" style="14" customWidth="1"/>
    <col min="10248" max="10248" width="10.85546875" style="14" customWidth="1"/>
    <col min="10249" max="10249" width="2.85546875" style="14" customWidth="1"/>
    <col min="10250" max="10250" width="12.140625" style="14" customWidth="1"/>
    <col min="10251" max="10251" width="10.140625" style="14" customWidth="1"/>
    <col min="10252" max="10252" width="11.7109375" style="14" customWidth="1"/>
    <col min="10253" max="10253" width="11.42578125" style="14" customWidth="1"/>
    <col min="10254" max="10254" width="12.7109375" style="14" customWidth="1"/>
    <col min="10255" max="10255" width="11.42578125" style="14" customWidth="1"/>
    <col min="10256" max="10256" width="10.7109375" style="14" customWidth="1"/>
    <col min="10257" max="10257" width="10.5703125" style="14" customWidth="1"/>
    <col min="10258" max="10258" width="11.28515625" style="14" customWidth="1"/>
    <col min="10259" max="10259" width="9.7109375" style="14" customWidth="1"/>
    <col min="10260" max="10260" width="12" style="14" customWidth="1"/>
    <col min="10261" max="10261" width="11.28515625" style="14" customWidth="1"/>
    <col min="10262" max="10499" width="9.140625" style="14"/>
    <col min="10500" max="10500" width="5.7109375" style="14" customWidth="1"/>
    <col min="10501" max="10501" width="13.140625" style="14" customWidth="1"/>
    <col min="10502" max="10502" width="12.28515625" style="14" customWidth="1"/>
    <col min="10503" max="10503" width="8.85546875" style="14" customWidth="1"/>
    <col min="10504" max="10504" width="10.85546875" style="14" customWidth="1"/>
    <col min="10505" max="10505" width="2.85546875" style="14" customWidth="1"/>
    <col min="10506" max="10506" width="12.140625" style="14" customWidth="1"/>
    <col min="10507" max="10507" width="10.140625" style="14" customWidth="1"/>
    <col min="10508" max="10508" width="11.7109375" style="14" customWidth="1"/>
    <col min="10509" max="10509" width="11.42578125" style="14" customWidth="1"/>
    <col min="10510" max="10510" width="12.7109375" style="14" customWidth="1"/>
    <col min="10511" max="10511" width="11.42578125" style="14" customWidth="1"/>
    <col min="10512" max="10512" width="10.7109375" style="14" customWidth="1"/>
    <col min="10513" max="10513" width="10.5703125" style="14" customWidth="1"/>
    <col min="10514" max="10514" width="11.28515625" style="14" customWidth="1"/>
    <col min="10515" max="10515" width="9.7109375" style="14" customWidth="1"/>
    <col min="10516" max="10516" width="12" style="14" customWidth="1"/>
    <col min="10517" max="10517" width="11.28515625" style="14" customWidth="1"/>
    <col min="10518" max="10755" width="9.140625" style="14"/>
    <col min="10756" max="10756" width="5.7109375" style="14" customWidth="1"/>
    <col min="10757" max="10757" width="13.140625" style="14" customWidth="1"/>
    <col min="10758" max="10758" width="12.28515625" style="14" customWidth="1"/>
    <col min="10759" max="10759" width="8.85546875" style="14" customWidth="1"/>
    <col min="10760" max="10760" width="10.85546875" style="14" customWidth="1"/>
    <col min="10761" max="10761" width="2.85546875" style="14" customWidth="1"/>
    <col min="10762" max="10762" width="12.140625" style="14" customWidth="1"/>
    <col min="10763" max="10763" width="10.140625" style="14" customWidth="1"/>
    <col min="10764" max="10764" width="11.7109375" style="14" customWidth="1"/>
    <col min="10765" max="10765" width="11.42578125" style="14" customWidth="1"/>
    <col min="10766" max="10766" width="12.7109375" style="14" customWidth="1"/>
    <col min="10767" max="10767" width="11.42578125" style="14" customWidth="1"/>
    <col min="10768" max="10768" width="10.7109375" style="14" customWidth="1"/>
    <col min="10769" max="10769" width="10.5703125" style="14" customWidth="1"/>
    <col min="10770" max="10770" width="11.28515625" style="14" customWidth="1"/>
    <col min="10771" max="10771" width="9.7109375" style="14" customWidth="1"/>
    <col min="10772" max="10772" width="12" style="14" customWidth="1"/>
    <col min="10773" max="10773" width="11.28515625" style="14" customWidth="1"/>
    <col min="10774" max="11011" width="9.140625" style="14"/>
    <col min="11012" max="11012" width="5.7109375" style="14" customWidth="1"/>
    <col min="11013" max="11013" width="13.140625" style="14" customWidth="1"/>
    <col min="11014" max="11014" width="12.28515625" style="14" customWidth="1"/>
    <col min="11015" max="11015" width="8.85546875" style="14" customWidth="1"/>
    <col min="11016" max="11016" width="10.85546875" style="14" customWidth="1"/>
    <col min="11017" max="11017" width="2.85546875" style="14" customWidth="1"/>
    <col min="11018" max="11018" width="12.140625" style="14" customWidth="1"/>
    <col min="11019" max="11019" width="10.140625" style="14" customWidth="1"/>
    <col min="11020" max="11020" width="11.7109375" style="14" customWidth="1"/>
    <col min="11021" max="11021" width="11.42578125" style="14" customWidth="1"/>
    <col min="11022" max="11022" width="12.7109375" style="14" customWidth="1"/>
    <col min="11023" max="11023" width="11.42578125" style="14" customWidth="1"/>
    <col min="11024" max="11024" width="10.7109375" style="14" customWidth="1"/>
    <col min="11025" max="11025" width="10.5703125" style="14" customWidth="1"/>
    <col min="11026" max="11026" width="11.28515625" style="14" customWidth="1"/>
    <col min="11027" max="11027" width="9.7109375" style="14" customWidth="1"/>
    <col min="11028" max="11028" width="12" style="14" customWidth="1"/>
    <col min="11029" max="11029" width="11.28515625" style="14" customWidth="1"/>
    <col min="11030" max="11267" width="9.140625" style="14"/>
    <col min="11268" max="11268" width="5.7109375" style="14" customWidth="1"/>
    <col min="11269" max="11269" width="13.140625" style="14" customWidth="1"/>
    <col min="11270" max="11270" width="12.28515625" style="14" customWidth="1"/>
    <col min="11271" max="11271" width="8.85546875" style="14" customWidth="1"/>
    <col min="11272" max="11272" width="10.85546875" style="14" customWidth="1"/>
    <col min="11273" max="11273" width="2.85546875" style="14" customWidth="1"/>
    <col min="11274" max="11274" width="12.140625" style="14" customWidth="1"/>
    <col min="11275" max="11275" width="10.140625" style="14" customWidth="1"/>
    <col min="11276" max="11276" width="11.7109375" style="14" customWidth="1"/>
    <col min="11277" max="11277" width="11.42578125" style="14" customWidth="1"/>
    <col min="11278" max="11278" width="12.7109375" style="14" customWidth="1"/>
    <col min="11279" max="11279" width="11.42578125" style="14" customWidth="1"/>
    <col min="11280" max="11280" width="10.7109375" style="14" customWidth="1"/>
    <col min="11281" max="11281" width="10.5703125" style="14" customWidth="1"/>
    <col min="11282" max="11282" width="11.28515625" style="14" customWidth="1"/>
    <col min="11283" max="11283" width="9.7109375" style="14" customWidth="1"/>
    <col min="11284" max="11284" width="12" style="14" customWidth="1"/>
    <col min="11285" max="11285" width="11.28515625" style="14" customWidth="1"/>
    <col min="11286" max="11523" width="9.140625" style="14"/>
    <col min="11524" max="11524" width="5.7109375" style="14" customWidth="1"/>
    <col min="11525" max="11525" width="13.140625" style="14" customWidth="1"/>
    <col min="11526" max="11526" width="12.28515625" style="14" customWidth="1"/>
    <col min="11527" max="11527" width="8.85546875" style="14" customWidth="1"/>
    <col min="11528" max="11528" width="10.85546875" style="14" customWidth="1"/>
    <col min="11529" max="11529" width="2.85546875" style="14" customWidth="1"/>
    <col min="11530" max="11530" width="12.140625" style="14" customWidth="1"/>
    <col min="11531" max="11531" width="10.140625" style="14" customWidth="1"/>
    <col min="11532" max="11532" width="11.7109375" style="14" customWidth="1"/>
    <col min="11533" max="11533" width="11.42578125" style="14" customWidth="1"/>
    <col min="11534" max="11534" width="12.7109375" style="14" customWidth="1"/>
    <col min="11535" max="11535" width="11.42578125" style="14" customWidth="1"/>
    <col min="11536" max="11536" width="10.7109375" style="14" customWidth="1"/>
    <col min="11537" max="11537" width="10.5703125" style="14" customWidth="1"/>
    <col min="11538" max="11538" width="11.28515625" style="14" customWidth="1"/>
    <col min="11539" max="11539" width="9.7109375" style="14" customWidth="1"/>
    <col min="11540" max="11540" width="12" style="14" customWidth="1"/>
    <col min="11541" max="11541" width="11.28515625" style="14" customWidth="1"/>
    <col min="11542" max="11779" width="9.140625" style="14"/>
    <col min="11780" max="11780" width="5.7109375" style="14" customWidth="1"/>
    <col min="11781" max="11781" width="13.140625" style="14" customWidth="1"/>
    <col min="11782" max="11782" width="12.28515625" style="14" customWidth="1"/>
    <col min="11783" max="11783" width="8.85546875" style="14" customWidth="1"/>
    <col min="11784" max="11784" width="10.85546875" style="14" customWidth="1"/>
    <col min="11785" max="11785" width="2.85546875" style="14" customWidth="1"/>
    <col min="11786" max="11786" width="12.140625" style="14" customWidth="1"/>
    <col min="11787" max="11787" width="10.140625" style="14" customWidth="1"/>
    <col min="11788" max="11788" width="11.7109375" style="14" customWidth="1"/>
    <col min="11789" max="11789" width="11.42578125" style="14" customWidth="1"/>
    <col min="11790" max="11790" width="12.7109375" style="14" customWidth="1"/>
    <col min="11791" max="11791" width="11.42578125" style="14" customWidth="1"/>
    <col min="11792" max="11792" width="10.7109375" style="14" customWidth="1"/>
    <col min="11793" max="11793" width="10.5703125" style="14" customWidth="1"/>
    <col min="11794" max="11794" width="11.28515625" style="14" customWidth="1"/>
    <col min="11795" max="11795" width="9.7109375" style="14" customWidth="1"/>
    <col min="11796" max="11796" width="12" style="14" customWidth="1"/>
    <col min="11797" max="11797" width="11.28515625" style="14" customWidth="1"/>
    <col min="11798" max="12035" width="9.140625" style="14"/>
    <col min="12036" max="12036" width="5.7109375" style="14" customWidth="1"/>
    <col min="12037" max="12037" width="13.140625" style="14" customWidth="1"/>
    <col min="12038" max="12038" width="12.28515625" style="14" customWidth="1"/>
    <col min="12039" max="12039" width="8.85546875" style="14" customWidth="1"/>
    <col min="12040" max="12040" width="10.85546875" style="14" customWidth="1"/>
    <col min="12041" max="12041" width="2.85546875" style="14" customWidth="1"/>
    <col min="12042" max="12042" width="12.140625" style="14" customWidth="1"/>
    <col min="12043" max="12043" width="10.140625" style="14" customWidth="1"/>
    <col min="12044" max="12044" width="11.7109375" style="14" customWidth="1"/>
    <col min="12045" max="12045" width="11.42578125" style="14" customWidth="1"/>
    <col min="12046" max="12046" width="12.7109375" style="14" customWidth="1"/>
    <col min="12047" max="12047" width="11.42578125" style="14" customWidth="1"/>
    <col min="12048" max="12048" width="10.7109375" style="14" customWidth="1"/>
    <col min="12049" max="12049" width="10.5703125" style="14" customWidth="1"/>
    <col min="12050" max="12050" width="11.28515625" style="14" customWidth="1"/>
    <col min="12051" max="12051" width="9.7109375" style="14" customWidth="1"/>
    <col min="12052" max="12052" width="12" style="14" customWidth="1"/>
    <col min="12053" max="12053" width="11.28515625" style="14" customWidth="1"/>
    <col min="12054" max="12291" width="9.140625" style="14"/>
    <col min="12292" max="12292" width="5.7109375" style="14" customWidth="1"/>
    <col min="12293" max="12293" width="13.140625" style="14" customWidth="1"/>
    <col min="12294" max="12294" width="12.28515625" style="14" customWidth="1"/>
    <col min="12295" max="12295" width="8.85546875" style="14" customWidth="1"/>
    <col min="12296" max="12296" width="10.85546875" style="14" customWidth="1"/>
    <col min="12297" max="12297" width="2.85546875" style="14" customWidth="1"/>
    <col min="12298" max="12298" width="12.140625" style="14" customWidth="1"/>
    <col min="12299" max="12299" width="10.140625" style="14" customWidth="1"/>
    <col min="12300" max="12300" width="11.7109375" style="14" customWidth="1"/>
    <col min="12301" max="12301" width="11.42578125" style="14" customWidth="1"/>
    <col min="12302" max="12302" width="12.7109375" style="14" customWidth="1"/>
    <col min="12303" max="12303" width="11.42578125" style="14" customWidth="1"/>
    <col min="12304" max="12304" width="10.7109375" style="14" customWidth="1"/>
    <col min="12305" max="12305" width="10.5703125" style="14" customWidth="1"/>
    <col min="12306" max="12306" width="11.28515625" style="14" customWidth="1"/>
    <col min="12307" max="12307" width="9.7109375" style="14" customWidth="1"/>
    <col min="12308" max="12308" width="12" style="14" customWidth="1"/>
    <col min="12309" max="12309" width="11.28515625" style="14" customWidth="1"/>
    <col min="12310" max="12547" width="9.140625" style="14"/>
    <col min="12548" max="12548" width="5.7109375" style="14" customWidth="1"/>
    <col min="12549" max="12549" width="13.140625" style="14" customWidth="1"/>
    <col min="12550" max="12550" width="12.28515625" style="14" customWidth="1"/>
    <col min="12551" max="12551" width="8.85546875" style="14" customWidth="1"/>
    <col min="12552" max="12552" width="10.85546875" style="14" customWidth="1"/>
    <col min="12553" max="12553" width="2.85546875" style="14" customWidth="1"/>
    <col min="12554" max="12554" width="12.140625" style="14" customWidth="1"/>
    <col min="12555" max="12555" width="10.140625" style="14" customWidth="1"/>
    <col min="12556" max="12556" width="11.7109375" style="14" customWidth="1"/>
    <col min="12557" max="12557" width="11.42578125" style="14" customWidth="1"/>
    <col min="12558" max="12558" width="12.7109375" style="14" customWidth="1"/>
    <col min="12559" max="12559" width="11.42578125" style="14" customWidth="1"/>
    <col min="12560" max="12560" width="10.7109375" style="14" customWidth="1"/>
    <col min="12561" max="12561" width="10.5703125" style="14" customWidth="1"/>
    <col min="12562" max="12562" width="11.28515625" style="14" customWidth="1"/>
    <col min="12563" max="12563" width="9.7109375" style="14" customWidth="1"/>
    <col min="12564" max="12564" width="12" style="14" customWidth="1"/>
    <col min="12565" max="12565" width="11.28515625" style="14" customWidth="1"/>
    <col min="12566" max="12803" width="9.140625" style="14"/>
    <col min="12804" max="12804" width="5.7109375" style="14" customWidth="1"/>
    <col min="12805" max="12805" width="13.140625" style="14" customWidth="1"/>
    <col min="12806" max="12806" width="12.28515625" style="14" customWidth="1"/>
    <col min="12807" max="12807" width="8.85546875" style="14" customWidth="1"/>
    <col min="12808" max="12808" width="10.85546875" style="14" customWidth="1"/>
    <col min="12809" max="12809" width="2.85546875" style="14" customWidth="1"/>
    <col min="12810" max="12810" width="12.140625" style="14" customWidth="1"/>
    <col min="12811" max="12811" width="10.140625" style="14" customWidth="1"/>
    <col min="12812" max="12812" width="11.7109375" style="14" customWidth="1"/>
    <col min="12813" max="12813" width="11.42578125" style="14" customWidth="1"/>
    <col min="12814" max="12814" width="12.7109375" style="14" customWidth="1"/>
    <col min="12815" max="12815" width="11.42578125" style="14" customWidth="1"/>
    <col min="12816" max="12816" width="10.7109375" style="14" customWidth="1"/>
    <col min="12817" max="12817" width="10.5703125" style="14" customWidth="1"/>
    <col min="12818" max="12818" width="11.28515625" style="14" customWidth="1"/>
    <col min="12819" max="12819" width="9.7109375" style="14" customWidth="1"/>
    <col min="12820" max="12820" width="12" style="14" customWidth="1"/>
    <col min="12821" max="12821" width="11.28515625" style="14" customWidth="1"/>
    <col min="12822" max="13059" width="9.140625" style="14"/>
    <col min="13060" max="13060" width="5.7109375" style="14" customWidth="1"/>
    <col min="13061" max="13061" width="13.140625" style="14" customWidth="1"/>
    <col min="13062" max="13062" width="12.28515625" style="14" customWidth="1"/>
    <col min="13063" max="13063" width="8.85546875" style="14" customWidth="1"/>
    <col min="13064" max="13064" width="10.85546875" style="14" customWidth="1"/>
    <col min="13065" max="13065" width="2.85546875" style="14" customWidth="1"/>
    <col min="13066" max="13066" width="12.140625" style="14" customWidth="1"/>
    <col min="13067" max="13067" width="10.140625" style="14" customWidth="1"/>
    <col min="13068" max="13068" width="11.7109375" style="14" customWidth="1"/>
    <col min="13069" max="13069" width="11.42578125" style="14" customWidth="1"/>
    <col min="13070" max="13070" width="12.7109375" style="14" customWidth="1"/>
    <col min="13071" max="13071" width="11.42578125" style="14" customWidth="1"/>
    <col min="13072" max="13072" width="10.7109375" style="14" customWidth="1"/>
    <col min="13073" max="13073" width="10.5703125" style="14" customWidth="1"/>
    <col min="13074" max="13074" width="11.28515625" style="14" customWidth="1"/>
    <col min="13075" max="13075" width="9.7109375" style="14" customWidth="1"/>
    <col min="13076" max="13076" width="12" style="14" customWidth="1"/>
    <col min="13077" max="13077" width="11.28515625" style="14" customWidth="1"/>
    <col min="13078" max="13315" width="9.140625" style="14"/>
    <col min="13316" max="13316" width="5.7109375" style="14" customWidth="1"/>
    <col min="13317" max="13317" width="13.140625" style="14" customWidth="1"/>
    <col min="13318" max="13318" width="12.28515625" style="14" customWidth="1"/>
    <col min="13319" max="13319" width="8.85546875" style="14" customWidth="1"/>
    <col min="13320" max="13320" width="10.85546875" style="14" customWidth="1"/>
    <col min="13321" max="13321" width="2.85546875" style="14" customWidth="1"/>
    <col min="13322" max="13322" width="12.140625" style="14" customWidth="1"/>
    <col min="13323" max="13323" width="10.140625" style="14" customWidth="1"/>
    <col min="13324" max="13324" width="11.7109375" style="14" customWidth="1"/>
    <col min="13325" max="13325" width="11.42578125" style="14" customWidth="1"/>
    <col min="13326" max="13326" width="12.7109375" style="14" customWidth="1"/>
    <col min="13327" max="13327" width="11.42578125" style="14" customWidth="1"/>
    <col min="13328" max="13328" width="10.7109375" style="14" customWidth="1"/>
    <col min="13329" max="13329" width="10.5703125" style="14" customWidth="1"/>
    <col min="13330" max="13330" width="11.28515625" style="14" customWidth="1"/>
    <col min="13331" max="13331" width="9.7109375" style="14" customWidth="1"/>
    <col min="13332" max="13332" width="12" style="14" customWidth="1"/>
    <col min="13333" max="13333" width="11.28515625" style="14" customWidth="1"/>
    <col min="13334" max="13571" width="9.140625" style="14"/>
    <col min="13572" max="13572" width="5.7109375" style="14" customWidth="1"/>
    <col min="13573" max="13573" width="13.140625" style="14" customWidth="1"/>
    <col min="13574" max="13574" width="12.28515625" style="14" customWidth="1"/>
    <col min="13575" max="13575" width="8.85546875" style="14" customWidth="1"/>
    <col min="13576" max="13576" width="10.85546875" style="14" customWidth="1"/>
    <col min="13577" max="13577" width="2.85546875" style="14" customWidth="1"/>
    <col min="13578" max="13578" width="12.140625" style="14" customWidth="1"/>
    <col min="13579" max="13579" width="10.140625" style="14" customWidth="1"/>
    <col min="13580" max="13580" width="11.7109375" style="14" customWidth="1"/>
    <col min="13581" max="13581" width="11.42578125" style="14" customWidth="1"/>
    <col min="13582" max="13582" width="12.7109375" style="14" customWidth="1"/>
    <col min="13583" max="13583" width="11.42578125" style="14" customWidth="1"/>
    <col min="13584" max="13584" width="10.7109375" style="14" customWidth="1"/>
    <col min="13585" max="13585" width="10.5703125" style="14" customWidth="1"/>
    <col min="13586" max="13586" width="11.28515625" style="14" customWidth="1"/>
    <col min="13587" max="13587" width="9.7109375" style="14" customWidth="1"/>
    <col min="13588" max="13588" width="12" style="14" customWidth="1"/>
    <col min="13589" max="13589" width="11.28515625" style="14" customWidth="1"/>
    <col min="13590" max="13827" width="9.140625" style="14"/>
    <col min="13828" max="13828" width="5.7109375" style="14" customWidth="1"/>
    <col min="13829" max="13829" width="13.140625" style="14" customWidth="1"/>
    <col min="13830" max="13830" width="12.28515625" style="14" customWidth="1"/>
    <col min="13831" max="13831" width="8.85546875" style="14" customWidth="1"/>
    <col min="13832" max="13832" width="10.85546875" style="14" customWidth="1"/>
    <col min="13833" max="13833" width="2.85546875" style="14" customWidth="1"/>
    <col min="13834" max="13834" width="12.140625" style="14" customWidth="1"/>
    <col min="13835" max="13835" width="10.140625" style="14" customWidth="1"/>
    <col min="13836" max="13836" width="11.7109375" style="14" customWidth="1"/>
    <col min="13837" max="13837" width="11.42578125" style="14" customWidth="1"/>
    <col min="13838" max="13838" width="12.7109375" style="14" customWidth="1"/>
    <col min="13839" max="13839" width="11.42578125" style="14" customWidth="1"/>
    <col min="13840" max="13840" width="10.7109375" style="14" customWidth="1"/>
    <col min="13841" max="13841" width="10.5703125" style="14" customWidth="1"/>
    <col min="13842" max="13842" width="11.28515625" style="14" customWidth="1"/>
    <col min="13843" max="13843" width="9.7109375" style="14" customWidth="1"/>
    <col min="13844" max="13844" width="12" style="14" customWidth="1"/>
    <col min="13845" max="13845" width="11.28515625" style="14" customWidth="1"/>
    <col min="13846" max="14083" width="9.140625" style="14"/>
    <col min="14084" max="14084" width="5.7109375" style="14" customWidth="1"/>
    <col min="14085" max="14085" width="13.140625" style="14" customWidth="1"/>
    <col min="14086" max="14086" width="12.28515625" style="14" customWidth="1"/>
    <col min="14087" max="14087" width="8.85546875" style="14" customWidth="1"/>
    <col min="14088" max="14088" width="10.85546875" style="14" customWidth="1"/>
    <col min="14089" max="14089" width="2.85546875" style="14" customWidth="1"/>
    <col min="14090" max="14090" width="12.140625" style="14" customWidth="1"/>
    <col min="14091" max="14091" width="10.140625" style="14" customWidth="1"/>
    <col min="14092" max="14092" width="11.7109375" style="14" customWidth="1"/>
    <col min="14093" max="14093" width="11.42578125" style="14" customWidth="1"/>
    <col min="14094" max="14094" width="12.7109375" style="14" customWidth="1"/>
    <col min="14095" max="14095" width="11.42578125" style="14" customWidth="1"/>
    <col min="14096" max="14096" width="10.7109375" style="14" customWidth="1"/>
    <col min="14097" max="14097" width="10.5703125" style="14" customWidth="1"/>
    <col min="14098" max="14098" width="11.28515625" style="14" customWidth="1"/>
    <col min="14099" max="14099" width="9.7109375" style="14" customWidth="1"/>
    <col min="14100" max="14100" width="12" style="14" customWidth="1"/>
    <col min="14101" max="14101" width="11.28515625" style="14" customWidth="1"/>
    <col min="14102" max="14339" width="9.140625" style="14"/>
    <col min="14340" max="14340" width="5.7109375" style="14" customWidth="1"/>
    <col min="14341" max="14341" width="13.140625" style="14" customWidth="1"/>
    <col min="14342" max="14342" width="12.28515625" style="14" customWidth="1"/>
    <col min="14343" max="14343" width="8.85546875" style="14" customWidth="1"/>
    <col min="14344" max="14344" width="10.85546875" style="14" customWidth="1"/>
    <col min="14345" max="14345" width="2.85546875" style="14" customWidth="1"/>
    <col min="14346" max="14346" width="12.140625" style="14" customWidth="1"/>
    <col min="14347" max="14347" width="10.140625" style="14" customWidth="1"/>
    <col min="14348" max="14348" width="11.7109375" style="14" customWidth="1"/>
    <col min="14349" max="14349" width="11.42578125" style="14" customWidth="1"/>
    <col min="14350" max="14350" width="12.7109375" style="14" customWidth="1"/>
    <col min="14351" max="14351" width="11.42578125" style="14" customWidth="1"/>
    <col min="14352" max="14352" width="10.7109375" style="14" customWidth="1"/>
    <col min="14353" max="14353" width="10.5703125" style="14" customWidth="1"/>
    <col min="14354" max="14354" width="11.28515625" style="14" customWidth="1"/>
    <col min="14355" max="14355" width="9.7109375" style="14" customWidth="1"/>
    <col min="14356" max="14356" width="12" style="14" customWidth="1"/>
    <col min="14357" max="14357" width="11.28515625" style="14" customWidth="1"/>
    <col min="14358" max="14595" width="9.140625" style="14"/>
    <col min="14596" max="14596" width="5.7109375" style="14" customWidth="1"/>
    <col min="14597" max="14597" width="13.140625" style="14" customWidth="1"/>
    <col min="14598" max="14598" width="12.28515625" style="14" customWidth="1"/>
    <col min="14599" max="14599" width="8.85546875" style="14" customWidth="1"/>
    <col min="14600" max="14600" width="10.85546875" style="14" customWidth="1"/>
    <col min="14601" max="14601" width="2.85546875" style="14" customWidth="1"/>
    <col min="14602" max="14602" width="12.140625" style="14" customWidth="1"/>
    <col min="14603" max="14603" width="10.140625" style="14" customWidth="1"/>
    <col min="14604" max="14604" width="11.7109375" style="14" customWidth="1"/>
    <col min="14605" max="14605" width="11.42578125" style="14" customWidth="1"/>
    <col min="14606" max="14606" width="12.7109375" style="14" customWidth="1"/>
    <col min="14607" max="14607" width="11.42578125" style="14" customWidth="1"/>
    <col min="14608" max="14608" width="10.7109375" style="14" customWidth="1"/>
    <col min="14609" max="14609" width="10.5703125" style="14" customWidth="1"/>
    <col min="14610" max="14610" width="11.28515625" style="14" customWidth="1"/>
    <col min="14611" max="14611" width="9.7109375" style="14" customWidth="1"/>
    <col min="14612" max="14612" width="12" style="14" customWidth="1"/>
    <col min="14613" max="14613" width="11.28515625" style="14" customWidth="1"/>
    <col min="14614" max="14851" width="9.140625" style="14"/>
    <col min="14852" max="14852" width="5.7109375" style="14" customWidth="1"/>
    <col min="14853" max="14853" width="13.140625" style="14" customWidth="1"/>
    <col min="14854" max="14854" width="12.28515625" style="14" customWidth="1"/>
    <col min="14855" max="14855" width="8.85546875" style="14" customWidth="1"/>
    <col min="14856" max="14856" width="10.85546875" style="14" customWidth="1"/>
    <col min="14857" max="14857" width="2.85546875" style="14" customWidth="1"/>
    <col min="14858" max="14858" width="12.140625" style="14" customWidth="1"/>
    <col min="14859" max="14859" width="10.140625" style="14" customWidth="1"/>
    <col min="14860" max="14860" width="11.7109375" style="14" customWidth="1"/>
    <col min="14861" max="14861" width="11.42578125" style="14" customWidth="1"/>
    <col min="14862" max="14862" width="12.7109375" style="14" customWidth="1"/>
    <col min="14863" max="14863" width="11.42578125" style="14" customWidth="1"/>
    <col min="14864" max="14864" width="10.7109375" style="14" customWidth="1"/>
    <col min="14865" max="14865" width="10.5703125" style="14" customWidth="1"/>
    <col min="14866" max="14866" width="11.28515625" style="14" customWidth="1"/>
    <col min="14867" max="14867" width="9.7109375" style="14" customWidth="1"/>
    <col min="14868" max="14868" width="12" style="14" customWidth="1"/>
    <col min="14869" max="14869" width="11.28515625" style="14" customWidth="1"/>
    <col min="14870" max="15107" width="9.140625" style="14"/>
    <col min="15108" max="15108" width="5.7109375" style="14" customWidth="1"/>
    <col min="15109" max="15109" width="13.140625" style="14" customWidth="1"/>
    <col min="15110" max="15110" width="12.28515625" style="14" customWidth="1"/>
    <col min="15111" max="15111" width="8.85546875" style="14" customWidth="1"/>
    <col min="15112" max="15112" width="10.85546875" style="14" customWidth="1"/>
    <col min="15113" max="15113" width="2.85546875" style="14" customWidth="1"/>
    <col min="15114" max="15114" width="12.140625" style="14" customWidth="1"/>
    <col min="15115" max="15115" width="10.140625" style="14" customWidth="1"/>
    <col min="15116" max="15116" width="11.7109375" style="14" customWidth="1"/>
    <col min="15117" max="15117" width="11.42578125" style="14" customWidth="1"/>
    <col min="15118" max="15118" width="12.7109375" style="14" customWidth="1"/>
    <col min="15119" max="15119" width="11.42578125" style="14" customWidth="1"/>
    <col min="15120" max="15120" width="10.7109375" style="14" customWidth="1"/>
    <col min="15121" max="15121" width="10.5703125" style="14" customWidth="1"/>
    <col min="15122" max="15122" width="11.28515625" style="14" customWidth="1"/>
    <col min="15123" max="15123" width="9.7109375" style="14" customWidth="1"/>
    <col min="15124" max="15124" width="12" style="14" customWidth="1"/>
    <col min="15125" max="15125" width="11.28515625" style="14" customWidth="1"/>
    <col min="15126" max="15363" width="9.140625" style="14"/>
    <col min="15364" max="15364" width="5.7109375" style="14" customWidth="1"/>
    <col min="15365" max="15365" width="13.140625" style="14" customWidth="1"/>
    <col min="15366" max="15366" width="12.28515625" style="14" customWidth="1"/>
    <col min="15367" max="15367" width="8.85546875" style="14" customWidth="1"/>
    <col min="15368" max="15368" width="10.85546875" style="14" customWidth="1"/>
    <col min="15369" max="15369" width="2.85546875" style="14" customWidth="1"/>
    <col min="15370" max="15370" width="12.140625" style="14" customWidth="1"/>
    <col min="15371" max="15371" width="10.140625" style="14" customWidth="1"/>
    <col min="15372" max="15372" width="11.7109375" style="14" customWidth="1"/>
    <col min="15373" max="15373" width="11.42578125" style="14" customWidth="1"/>
    <col min="15374" max="15374" width="12.7109375" style="14" customWidth="1"/>
    <col min="15375" max="15375" width="11.42578125" style="14" customWidth="1"/>
    <col min="15376" max="15376" width="10.7109375" style="14" customWidth="1"/>
    <col min="15377" max="15377" width="10.5703125" style="14" customWidth="1"/>
    <col min="15378" max="15378" width="11.28515625" style="14" customWidth="1"/>
    <col min="15379" max="15379" width="9.7109375" style="14" customWidth="1"/>
    <col min="15380" max="15380" width="12" style="14" customWidth="1"/>
    <col min="15381" max="15381" width="11.28515625" style="14" customWidth="1"/>
    <col min="15382" max="15619" width="9.140625" style="14"/>
    <col min="15620" max="15620" width="5.7109375" style="14" customWidth="1"/>
    <col min="15621" max="15621" width="13.140625" style="14" customWidth="1"/>
    <col min="15622" max="15622" width="12.28515625" style="14" customWidth="1"/>
    <col min="15623" max="15623" width="8.85546875" style="14" customWidth="1"/>
    <col min="15624" max="15624" width="10.85546875" style="14" customWidth="1"/>
    <col min="15625" max="15625" width="2.85546875" style="14" customWidth="1"/>
    <col min="15626" max="15626" width="12.140625" style="14" customWidth="1"/>
    <col min="15627" max="15627" width="10.140625" style="14" customWidth="1"/>
    <col min="15628" max="15628" width="11.7109375" style="14" customWidth="1"/>
    <col min="15629" max="15629" width="11.42578125" style="14" customWidth="1"/>
    <col min="15630" max="15630" width="12.7109375" style="14" customWidth="1"/>
    <col min="15631" max="15631" width="11.42578125" style="14" customWidth="1"/>
    <col min="15632" max="15632" width="10.7109375" style="14" customWidth="1"/>
    <col min="15633" max="15633" width="10.5703125" style="14" customWidth="1"/>
    <col min="15634" max="15634" width="11.28515625" style="14" customWidth="1"/>
    <col min="15635" max="15635" width="9.7109375" style="14" customWidth="1"/>
    <col min="15636" max="15636" width="12" style="14" customWidth="1"/>
    <col min="15637" max="15637" width="11.28515625" style="14" customWidth="1"/>
    <col min="15638" max="15875" width="9.140625" style="14"/>
    <col min="15876" max="15876" width="5.7109375" style="14" customWidth="1"/>
    <col min="15877" max="15877" width="13.140625" style="14" customWidth="1"/>
    <col min="15878" max="15878" width="12.28515625" style="14" customWidth="1"/>
    <col min="15879" max="15879" width="8.85546875" style="14" customWidth="1"/>
    <col min="15880" max="15880" width="10.85546875" style="14" customWidth="1"/>
    <col min="15881" max="15881" width="2.85546875" style="14" customWidth="1"/>
    <col min="15882" max="15882" width="12.140625" style="14" customWidth="1"/>
    <col min="15883" max="15883" width="10.140625" style="14" customWidth="1"/>
    <col min="15884" max="15884" width="11.7109375" style="14" customWidth="1"/>
    <col min="15885" max="15885" width="11.42578125" style="14" customWidth="1"/>
    <col min="15886" max="15886" width="12.7109375" style="14" customWidth="1"/>
    <col min="15887" max="15887" width="11.42578125" style="14" customWidth="1"/>
    <col min="15888" max="15888" width="10.7109375" style="14" customWidth="1"/>
    <col min="15889" max="15889" width="10.5703125" style="14" customWidth="1"/>
    <col min="15890" max="15890" width="11.28515625" style="14" customWidth="1"/>
    <col min="15891" max="15891" width="9.7109375" style="14" customWidth="1"/>
    <col min="15892" max="15892" width="12" style="14" customWidth="1"/>
    <col min="15893" max="15893" width="11.28515625" style="14" customWidth="1"/>
    <col min="15894" max="16131" width="9.140625" style="14"/>
    <col min="16132" max="16132" width="5.7109375" style="14" customWidth="1"/>
    <col min="16133" max="16133" width="13.140625" style="14" customWidth="1"/>
    <col min="16134" max="16134" width="12.28515625" style="14" customWidth="1"/>
    <col min="16135" max="16135" width="8.85546875" style="14" customWidth="1"/>
    <col min="16136" max="16136" width="10.85546875" style="14" customWidth="1"/>
    <col min="16137" max="16137" width="2.85546875" style="14" customWidth="1"/>
    <col min="16138" max="16138" width="12.140625" style="14" customWidth="1"/>
    <col min="16139" max="16139" width="10.140625" style="14" customWidth="1"/>
    <col min="16140" max="16140" width="11.7109375" style="14" customWidth="1"/>
    <col min="16141" max="16141" width="11.42578125" style="14" customWidth="1"/>
    <col min="16142" max="16142" width="12.7109375" style="14" customWidth="1"/>
    <col min="16143" max="16143" width="11.42578125" style="14" customWidth="1"/>
    <col min="16144" max="16144" width="10.7109375" style="14" customWidth="1"/>
    <col min="16145" max="16145" width="10.5703125" style="14" customWidth="1"/>
    <col min="16146" max="16146" width="11.28515625" style="14" customWidth="1"/>
    <col min="16147" max="16147" width="9.7109375" style="14" customWidth="1"/>
    <col min="16148" max="16148" width="12" style="14" customWidth="1"/>
    <col min="16149" max="16149" width="11.28515625" style="14" customWidth="1"/>
    <col min="16150" max="16384" width="9.140625" style="14"/>
  </cols>
  <sheetData>
    <row r="1" spans="4:19" ht="12.75" thickBot="1" x14ac:dyDescent="0.25"/>
    <row r="2" spans="4:19" ht="12" customHeight="1" thickBot="1" x14ac:dyDescent="0.25">
      <c r="Q2" s="633" t="s">
        <v>0</v>
      </c>
      <c r="R2" s="634"/>
      <c r="S2" s="635"/>
    </row>
    <row r="3" spans="4:19" ht="13.5" thickBot="1" x14ac:dyDescent="0.25">
      <c r="I3" s="636" t="s">
        <v>1</v>
      </c>
      <c r="J3" s="637"/>
      <c r="K3" s="637"/>
      <c r="L3" s="637"/>
      <c r="M3" s="637"/>
      <c r="N3" s="637"/>
      <c r="O3" s="638"/>
      <c r="Q3" s="611">
        <f>'AGUILAR ESQUIVEL CARLOS'!Q3</f>
        <v>45</v>
      </c>
      <c r="R3" s="639"/>
      <c r="S3" s="612"/>
    </row>
    <row r="4" spans="4:19" ht="13.5" thickBot="1" x14ac:dyDescent="0.25">
      <c r="I4" s="640" t="s">
        <v>2</v>
      </c>
      <c r="J4" s="641"/>
      <c r="K4" s="641"/>
      <c r="L4" s="641"/>
      <c r="M4" s="641"/>
      <c r="N4" s="641"/>
      <c r="O4" s="642"/>
      <c r="Q4" s="18"/>
      <c r="R4" s="18"/>
      <c r="S4" s="18"/>
    </row>
    <row r="5" spans="4:19" ht="13.5" thickBot="1" x14ac:dyDescent="0.25">
      <c r="I5" s="643" t="s">
        <v>3</v>
      </c>
      <c r="J5" s="644"/>
      <c r="K5" s="644"/>
      <c r="L5" s="644"/>
      <c r="M5" s="644"/>
      <c r="N5" s="644"/>
      <c r="O5" s="645"/>
      <c r="Q5" s="611" t="s">
        <v>4</v>
      </c>
      <c r="R5" s="639"/>
      <c r="S5" s="612"/>
    </row>
    <row r="6" spans="4:19" ht="13.5" thickBot="1" x14ac:dyDescent="0.25">
      <c r="I6" s="650" t="s">
        <v>5</v>
      </c>
      <c r="J6" s="651"/>
      <c r="K6" s="651"/>
      <c r="L6" s="651"/>
      <c r="M6" s="651"/>
      <c r="N6" s="651"/>
      <c r="O6" s="652"/>
      <c r="Q6" s="653">
        <f>+'MONTERO BURROLA LUIS'!Q6+1</f>
        <v>116</v>
      </c>
      <c r="R6" s="654"/>
      <c r="S6" s="655"/>
    </row>
    <row r="7" spans="4:19" ht="9" customHeight="1" x14ac:dyDescent="0.2"/>
    <row r="8" spans="4:19" ht="6.75" customHeight="1" thickBot="1" x14ac:dyDescent="0.25"/>
    <row r="9" spans="4:19" ht="13.5" thickBot="1" x14ac:dyDescent="0.25">
      <c r="I9" s="611" t="s">
        <v>6</v>
      </c>
      <c r="J9" s="639"/>
      <c r="K9" s="639"/>
      <c r="L9" s="639"/>
      <c r="M9" s="639"/>
      <c r="N9" s="639"/>
      <c r="O9" s="612"/>
    </row>
    <row r="10" spans="4:19" ht="11.25" customHeight="1" thickBot="1" x14ac:dyDescent="0.25"/>
    <row r="11" spans="4:19" ht="12.75" x14ac:dyDescent="0.2">
      <c r="D11" s="1" t="s">
        <v>7</v>
      </c>
      <c r="E11" s="2" t="s">
        <v>80</v>
      </c>
      <c r="F11" s="2"/>
      <c r="G11" s="2"/>
      <c r="H11" s="2"/>
      <c r="I11" s="2"/>
      <c r="J11" s="2"/>
      <c r="K11" s="3" t="s">
        <v>8</v>
      </c>
      <c r="L11" s="656" t="str">
        <f>'REYES LARA DANTE'!L11</f>
        <v>SEMANA #45 PERIODO DEL 27 de oct AL 02 de nov DEL 2025</v>
      </c>
      <c r="M11" s="656"/>
      <c r="N11" s="656"/>
      <c r="O11" s="656"/>
      <c r="P11" s="656"/>
      <c r="Q11" s="656"/>
      <c r="R11" s="656"/>
      <c r="S11" s="659"/>
    </row>
    <row r="12" spans="4:19" ht="12.75" x14ac:dyDescent="0.2">
      <c r="D12" s="4" t="s">
        <v>9</v>
      </c>
      <c r="E12" s="624" t="s">
        <v>163</v>
      </c>
      <c r="F12" s="624"/>
      <c r="G12" s="5"/>
      <c r="H12" s="130"/>
      <c r="I12" s="130"/>
      <c r="J12" s="130"/>
      <c r="K12" s="130"/>
      <c r="L12" s="130"/>
      <c r="M12" s="130"/>
      <c r="N12" s="130"/>
      <c r="O12" s="130"/>
      <c r="P12" s="130"/>
      <c r="Q12" s="130"/>
      <c r="R12" s="130"/>
      <c r="S12" s="256"/>
    </row>
    <row r="13" spans="4:19" ht="9.75" customHeight="1" x14ac:dyDescent="0.2">
      <c r="D13" s="623"/>
      <c r="E13" s="624"/>
      <c r="F13" s="130"/>
      <c r="G13" s="130"/>
      <c r="H13" s="130"/>
      <c r="I13" s="130"/>
      <c r="J13" s="130"/>
      <c r="K13" s="130"/>
      <c r="L13" s="130"/>
      <c r="M13" s="130"/>
      <c r="N13" s="130"/>
      <c r="O13" s="130"/>
      <c r="P13" s="130"/>
      <c r="Q13" s="130"/>
      <c r="R13" s="130"/>
      <c r="S13" s="256"/>
    </row>
    <row r="14" spans="4:19" ht="12.75" x14ac:dyDescent="0.2">
      <c r="D14" s="625" t="s">
        <v>10</v>
      </c>
      <c r="E14" s="626"/>
      <c r="F14" s="130">
        <v>2943090</v>
      </c>
      <c r="G14" s="130"/>
      <c r="H14" s="130"/>
      <c r="I14" s="6" t="s">
        <v>11</v>
      </c>
      <c r="J14" s="6"/>
      <c r="K14" s="130"/>
      <c r="L14" s="130"/>
      <c r="M14" s="130"/>
      <c r="N14" s="130"/>
      <c r="O14" s="6" t="s">
        <v>12</v>
      </c>
      <c r="P14" s="7"/>
      <c r="Q14" s="7"/>
      <c r="R14" s="7"/>
      <c r="S14" s="8"/>
    </row>
    <row r="15" spans="4:19" ht="12.75" x14ac:dyDescent="0.2">
      <c r="D15" s="625" t="s">
        <v>13</v>
      </c>
      <c r="E15" s="626"/>
      <c r="F15" s="130">
        <v>2943849</v>
      </c>
      <c r="G15" s="130"/>
      <c r="H15" s="130"/>
      <c r="I15" s="6" t="s">
        <v>14</v>
      </c>
      <c r="J15" s="6"/>
      <c r="K15" s="130"/>
      <c r="L15" s="130"/>
      <c r="M15" s="130"/>
      <c r="N15" s="130"/>
      <c r="O15" s="6" t="s">
        <v>15</v>
      </c>
      <c r="P15" s="130"/>
      <c r="Q15" s="130"/>
      <c r="R15" s="130"/>
      <c r="S15" s="256"/>
    </row>
    <row r="16" spans="4:19" ht="13.5" thickBot="1" x14ac:dyDescent="0.25">
      <c r="D16" s="627" t="s">
        <v>16</v>
      </c>
      <c r="E16" s="628"/>
      <c r="F16" s="257">
        <f>SUM(J19:J32)</f>
        <v>3950</v>
      </c>
      <c r="G16" s="257"/>
      <c r="H16" s="257"/>
      <c r="I16" s="9" t="s">
        <v>17</v>
      </c>
      <c r="J16" s="257">
        <f>SUM(K19:K32)</f>
        <v>1149.96</v>
      </c>
      <c r="K16" s="257"/>
      <c r="L16" s="257"/>
      <c r="M16" s="257"/>
      <c r="N16" s="257"/>
      <c r="O16" s="9" t="s">
        <v>18</v>
      </c>
      <c r="P16" s="10">
        <f>+F16/J16</f>
        <v>3.4349020835507322</v>
      </c>
      <c r="Q16" s="257"/>
      <c r="R16" s="257"/>
      <c r="S16" s="258"/>
    </row>
    <row r="17" spans="2:24" ht="7.5" customHeight="1" thickBot="1" x14ac:dyDescent="0.25"/>
    <row r="18" spans="2:24" ht="33" customHeight="1" thickBot="1" x14ac:dyDescent="0.25">
      <c r="C18" s="243" t="s">
        <v>19</v>
      </c>
      <c r="D18" s="33" t="s">
        <v>20</v>
      </c>
      <c r="E18" s="34" t="s">
        <v>21</v>
      </c>
      <c r="F18" s="34" t="s">
        <v>22</v>
      </c>
      <c r="G18" s="34" t="s">
        <v>23</v>
      </c>
      <c r="H18" s="34" t="s">
        <v>24</v>
      </c>
      <c r="I18" s="34" t="s">
        <v>25</v>
      </c>
      <c r="J18" s="34" t="s">
        <v>26</v>
      </c>
      <c r="K18" s="34" t="s">
        <v>27</v>
      </c>
      <c r="L18" s="34" t="s">
        <v>28</v>
      </c>
      <c r="M18" s="34" t="s">
        <v>285</v>
      </c>
      <c r="N18" s="34" t="s">
        <v>29</v>
      </c>
      <c r="O18" s="34" t="s">
        <v>30</v>
      </c>
      <c r="P18" s="33" t="s">
        <v>31</v>
      </c>
      <c r="Q18" s="34" t="s">
        <v>219</v>
      </c>
      <c r="R18" s="34" t="s">
        <v>184</v>
      </c>
      <c r="S18" s="34" t="s">
        <v>33</v>
      </c>
      <c r="T18" s="35" t="s">
        <v>220</v>
      </c>
    </row>
    <row r="19" spans="2:24" x14ac:dyDescent="0.2">
      <c r="B19" s="14" t="s">
        <v>416</v>
      </c>
      <c r="C19" s="176">
        <v>46498</v>
      </c>
      <c r="D19" s="43" t="s">
        <v>414</v>
      </c>
      <c r="E19" s="42">
        <v>45958</v>
      </c>
      <c r="F19" s="42">
        <v>45959</v>
      </c>
      <c r="G19" s="43">
        <v>4</v>
      </c>
      <c r="H19" s="236" t="str">
        <f>IF(G19=1,KILOMETRAJE!C$4,IF(G19=2,KILOMETRAJE!C$5,IF(G19=3,KILOMETRAJE!C$6,IF(G19=4,KILOMETRAJE!C$7,IF(G19=5,KILOMETRAJE!C$8,IF(G19=6,KILOMETRAJE!C$9,IF(G19=7,KILOMETRAJE!C$10,IF(G19=8,KILOMETRAJE!C$11,IF(G19=9,KILOMETRAJE!C$12,IF(G19=10,KILOMETRAJE!C$13,IF(G19=11,KILOMETRAJE!C$14,IF(G19=12,KILOMETRAJE!C$15,IF(G19=13,KILOMETRAJE!C$16,IF(G19=14,KILOMETRAJE!C$17,IF(G19=15,KILOMETRAJE!C$18,IF(G19=16,KILOMETRAJE!C$19,IF(G19=17,KILOMETRAJE!C$20,IF(G19=18,KILOMETRAJE!C$21,IF(G19=19,KILOMETRAJE!C$22,IF(G19=20,KILOMETRAJE!C$23,IF(G19=21,KILOMETRAJE!C$24,IF(G19=22,KILOMETRAJE!C$25,IF(G19=23,KILOMETRAJE!C$26,IF(G19=24,KILOMETRAJE!C$27,IF(G19=25,KILOMETRAJE!C$28,IF(G19=26,KILOMETRAJE!C$29,IF(G19=27,KILOMETRAJE!C$30,IF(G19=28,KILOMETRAJE!C$31,IF(G19=29,KILOMETRAJE!C$32,IF(G19=30,KILOMETRAJE!C$33,IF(G19=31,KILOMETRAJE!C$34,IF(G19=32,KILOMETRAJE!C$35,IF(G19=33,KILOMETRAJE!C$36,IF(G19=34,KILOMETRAJE!C$37,IF(G19=35,KILOMETRAJE!C$38,IF(G19=36,KILOMETRAJE!C$39,IF(G19=37,KILOMETRAJE!C$40,IF(G19=38,KILOMETRAJE!C$41,IF(G19=39,KILOMETRAJE!C$42,IF(G19=40,KILOMETRAJE!C$43,IF(G19=41,KILOMETRAJE!C$44,IF(G19=42,KILOMETRAJE!C$45,IF(G19=43,KILOMETRAJE!C$46,IF(G19=44,KILOMETRAJE!C$47,IF(G19=45,KILOMETRAJE!C$48,IF(G19=46,KILOMETRAJE!C$49,IF(G19=47,KILOMETRAJE!C$50,IF(G19=48,KILOMETRAJE!C$51,IF(G19=49,KILOMETRAJE!C$52,IF(G19=50,KILOMETRAJE!C$53,IF(G19=51,KILOMETRAJE!C$54,IF(G19=52,KILOMETRAJE!C$55,IF(G19=53,KILOMETRAJE!C$56,IF(G19=54,KILOMETRAJE!C$57,IF(G19=55,KILOMETRAJE!C$58,IF(G19=56,KILOMETRAJE!C$59,IF(G19=57,KILOMETRAJE!C$60,IF(G19=58,KILOMETRAJE!C$61,IF(G19=59,KILOMETRAJE!C$62,IF(G19=60,KILOMETRAJE!C$63,IF(G19=61,KILOMETRAJE!C$64,IF(G19=62,KILOMETRAJE!C$65,IF(G19=63,KILOMETRAJE!C$66)))))))))))))))))))))))))))))))))))))))))))))))))))))))))))))))</f>
        <v xml:space="preserve">ELP. </v>
      </c>
      <c r="I19" s="236" t="str">
        <f>IF(G19=1,KILOMETRAJE!E$4,IF(G19=2,KILOMETRAJE!E$5,IF(G19=3,KILOMETRAJE!E$6,IF(G19=4,KILOMETRAJE!E$7,IF(G19=5,KILOMETRAJE!E$8,IF(G19=6,KILOMETRAJE!E$9,IF(G19=7,KILOMETRAJE!E$10,IF(G19=8,KILOMETRAJE!E$11,IF(G19=9,KILOMETRAJE!E$12,IF(G19=10,KILOMETRAJE!E$13,IF(G19=11,KILOMETRAJE!E$14,IF(G19=12,KILOMETRAJE!E$15,IF(G19=13,KILOMETRAJE!E$16,IF(G19=14,KILOMETRAJE!E$17,IF(G19=15,KILOMETRAJE!E$18,IF(G19=16,KILOMETRAJE!E$19,IF(G19=17,KILOMETRAJE!E$20,IF(G19=18,KILOMETRAJE!E$21,IF(G19=19,KILOMETRAJE!E$22,IF(G19=20,KILOMETRAJE!E$23,IF(G19=21,KILOMETRAJE!E$24,IF(G19=22,KILOMETRAJE!E$25,IF(G19=23,KILOMETRAJE!E$26,IF(G19=24,KILOMETRAJE!E$27,IF(G19=25,KILOMETRAJE!E$28,IF(G19=26,KILOMETRAJE!E$29,IF(G19=27,KILOMETRAJE!E$30,IF(G19=28,KILOMETRAJE!E$31,IF(G19=29,KILOMETRAJE!E$32,IF(G19=30,KILOMETRAJE!E$33,IF(G19=31,KILOMETRAJE!E$34,IF(G19=32,KILOMETRAJE!E$35,IF(G19=33,KILOMETRAJE!E$36,IF(G19=34,KILOMETRAJE!E$37,IF(G19=35,KILOMETRAJE!E$38,IF(G19=36,KILOMETRAJE!E$39,IF(G19=37,KILOMETRAJE!E$40,IF(G19=38,KILOMETRAJE!E$41,IF(G19=39,KILOMETRAJE!E$42,IF(G19=40,KILOMETRAJE!E$43,IF(G19=41,KILOMETRAJE!E$44,IF(G19=42,KILOMETRAJE!E$45,IF(G19=43,KILOMETRAJE!E$46,IF(G19=44,KILOMETRAJE!E$47,IF(G19=45,KILOMETRAJE!E$48,IF(G19=46,KILOMETRAJE!E$49,IF(G19=47,KILOMETRAJE!E$50,IF(G19=48,KILOMETRAJE!E$51,IF(G19=49,KILOMETRAJE!E$52,IF(G19=50,KILOMETRAJE!E$53,IF(G19=51,KILOMETRAJE!E$54,IF(G19=52,KILOMETRAJE!E$55,IF(G19=53,KILOMETRAJE!E$56,IF(G19=54,KILOMETRAJE!E$57,IF(G19=55,KILOMETRAJE!E$58,IF(G19=56,KILOMETRAJE!E$59,IF(G19=57,KILOMETRAJE!E$60,IF(G19=58,KILOMETRAJE!E$61,IF(G19=59,KILOMETRAJE!E$62,IF(G19=60,KILOMETRAJE!E$63,IF(G19=61,KILOMETRAJE!E$64,IF(G19=62,KILOMETRAJE!E$65,IF(G19=63,KILOMETRAJE!E$66)))))))))))))))))))))))))))))))))))))))))))))))))))))))))))))))</f>
        <v>CHIH.</v>
      </c>
      <c r="J19" s="237">
        <f>IF(G19=1,KILOMETRAJE!G$4,IF(G19=2,KILOMETRAJE!G$5,IF(G19=3,KILOMETRAJE!G$6,IF(G19=4,KILOMETRAJE!G$7,IF(G19=5,KILOMETRAJE!G$8,IF(G19=6,KILOMETRAJE!G$9,IF(G19=7,KILOMETRAJE!G$10,IF(G19=8,KILOMETRAJE!G$11,IF(G19=9,KILOMETRAJE!G$12,IF(G19=10,KILOMETRAJE!G$13,IF(G19=11,KILOMETRAJE!G$14,IF(G19=12,KILOMETRAJE!G$15,IF(G19=13,KILOMETRAJE!G$16,IF(G19=14,KILOMETRAJE!G$17,IF(G19=15,KILOMETRAJE!G$18,IF(G19=16,KILOMETRAJE!G$19,IF(G19=17,KILOMETRAJE!G$20,IF(G19=18,KILOMETRAJE!G$21,IF(G19=19,KILOMETRAJE!G$22,IF(G19=20,KILOMETRAJE!G$23,IF(G19=21,KILOMETRAJE!G$24,IF(G19=22,KILOMETRAJE!G$25,IF(G19=23,KILOMETRAJE!G$26,IF(G19=24,KILOMETRAJE!G$27,IF(G19=25,KILOMETRAJE!G$28,IF(G19=26,KILOMETRAJE!G$29,IF(G19=27,KILOMETRAJE!G$30,IF(G19=28,KILOMETRAJE!G$31,IF(G19=29,KILOMETRAJE!G$32,IF(G19=30,KILOMETRAJE!G$33,IF(G19=31,KILOMETRAJE!G$34,IF(G19=32,KILOMETRAJE!G$35,IF(G19=33,KILOMETRAJE!G$36,IF(G19=34,KILOMETRAJE!G$37,IF(G19=35,KILOMETRAJE!G$38,IF(G19=36,KILOMETRAJE!G$39,IF(G19=37,KILOMETRAJE!G$40,IF(G19=38,KILOMETRAJE!G$41,IF(G19=39,KILOMETRAJE!G$42,IF(G19=40,KILOMETRAJE!G$43,IF(G19=41,KILOMETRAJE!G$44,IF(G19=42,KILOMETRAJE!G$45,IF(G19=43,KILOMETRAJE!G$46,IF(G19=44,KILOMETRAJE!G$47,IF(G19=45,KILOMETRAJE!G$48,IF(G19=46,KILOMETRAJE!G$49,IF(G19=47,KILOMETRAJE!G$50,IF(G19=48,KILOMETRAJE!G$51,IF(G19=49,KILOMETRAJE!G$52,IF(G19=50,KILOMETRAJE!G$53,IF(G19=51,KILOMETRAJE!G$54,IF(G19=52,KILOMETRAJE!G$55,IF(G19=53,KILOMETRAJE!G$56,IF(G19=54,KILOMETRAJE!G$57,IF(G19=55,KILOMETRAJE!G$58,IF(G19=56,KILOMETRAJE!G$59,IF(G19=57,KILOMETRAJE!G$60,IF(G19=58,KILOMETRAJE!G$61,IF(G19=59,KILOMETRAJE!G$62,IF(G19=60,KILOMETRAJE!G$63,IF(G19=61,KILOMETRAJE!G$64,IF(G19=62,KILOMETRAJE!G$65,IF(G19=63,KILOMETRAJE!G$66)))))))))))))))))))))))))))))))))))))))))))))))))))))))))))))))</f>
        <v>415</v>
      </c>
      <c r="K19" s="24"/>
      <c r="L19" s="44"/>
      <c r="M19" s="348">
        <v>1595</v>
      </c>
      <c r="N19" s="24">
        <v>4</v>
      </c>
      <c r="O19" s="24" t="s">
        <v>417</v>
      </c>
      <c r="P19" s="24" t="s">
        <v>199</v>
      </c>
      <c r="Q19" s="45">
        <f t="shared" ref="Q19" si="0">((((IF(N19=1,((J19)*0.29333)))+(IF(N19=2,((J19)*0.146666)))+(IF(N19=3,((J19)*0.146666)))))+(IF(N19=4,((J19-40)*0.29333)))+(IF(N19=5,((J19-50)*0.29333)))+(IF(N19=6,((J19-90)*0.29333))))</f>
        <v>109.99874999999999</v>
      </c>
      <c r="R19" s="191"/>
      <c r="S19" s="52"/>
      <c r="T19" s="46"/>
    </row>
    <row r="20" spans="2:24" ht="12.75" thickBot="1" x14ac:dyDescent="0.25">
      <c r="C20" s="101"/>
      <c r="D20" s="62" t="s">
        <v>415</v>
      </c>
      <c r="E20" s="25">
        <v>45959</v>
      </c>
      <c r="F20" s="25">
        <v>45959</v>
      </c>
      <c r="G20" s="62">
        <v>3</v>
      </c>
      <c r="H20" s="27" t="str">
        <f>IF(G20=1,KILOMETRAJE!C$4,IF(G20=2,KILOMETRAJE!C$5,IF(G20=3,KILOMETRAJE!C$6,IF(G20=4,KILOMETRAJE!C$7,IF(G20=5,KILOMETRAJE!C$8,IF(G20=6,KILOMETRAJE!C$9,IF(G20=7,KILOMETRAJE!C$10,IF(G20=8,KILOMETRAJE!C$11,IF(G20=9,KILOMETRAJE!C$12,IF(G20=10,KILOMETRAJE!C$13,IF(G20=11,KILOMETRAJE!C$14,IF(G20=12,KILOMETRAJE!C$15,IF(G20=13,KILOMETRAJE!C$16,IF(G20=14,KILOMETRAJE!C$17,IF(G20=15,KILOMETRAJE!C$18,IF(G20=16,KILOMETRAJE!C$19,IF(G20=17,KILOMETRAJE!C$20,IF(G20=18,KILOMETRAJE!C$21,IF(G20=19,KILOMETRAJE!C$22,IF(G20=20,KILOMETRAJE!C$23,IF(G20=21,KILOMETRAJE!C$24,IF(G20=22,KILOMETRAJE!C$25,IF(G20=23,KILOMETRAJE!C$26,IF(G20=24,KILOMETRAJE!C$27,IF(G20=25,KILOMETRAJE!C$28,IF(G20=26,KILOMETRAJE!C$29,IF(G20=27,KILOMETRAJE!C$30,IF(G20=28,KILOMETRAJE!C$31,IF(G20=29,KILOMETRAJE!C$32,IF(G20=30,KILOMETRAJE!C$33,IF(G20=31,KILOMETRAJE!C$34,IF(G20=32,KILOMETRAJE!C$35,IF(G20=33,KILOMETRAJE!C$36,IF(G20=34,KILOMETRAJE!C$37,IF(G20=35,KILOMETRAJE!C$38,IF(G20=36,KILOMETRAJE!C$39,IF(G20=37,KILOMETRAJE!C$40,IF(G20=38,KILOMETRAJE!C$41,IF(G20=39,KILOMETRAJE!C$42,IF(G20=40,KILOMETRAJE!C$43,IF(G20=41,KILOMETRAJE!C$44,IF(G20=42,KILOMETRAJE!C$45,IF(G20=43,KILOMETRAJE!C$46,IF(G20=44,KILOMETRAJE!C$47,IF(G20=45,KILOMETRAJE!C$48,IF(G20=46,KILOMETRAJE!C$49,IF(G20=47,KILOMETRAJE!C$50,IF(G20=48,KILOMETRAJE!C$51,IF(G20=49,KILOMETRAJE!C$52,IF(G20=50,KILOMETRAJE!C$53,IF(G20=51,KILOMETRAJE!C$54,IF(G20=52,KILOMETRAJE!C$55,IF(G20=53,KILOMETRAJE!C$56,IF(G20=54,KILOMETRAJE!C$57,IF(G20=55,KILOMETRAJE!C$58,IF(G20=56,KILOMETRAJE!C$59,IF(G20=57,KILOMETRAJE!C$60,IF(G20=58,KILOMETRAJE!C$61,IF(G20=59,KILOMETRAJE!C$62,IF(G20=60,KILOMETRAJE!C$63,IF(G20=61,KILOMETRAJE!C$64,IF(G20=62,KILOMETRAJE!C$65,IF(G20=63,KILOMETRAJE!C$66)))))))))))))))))))))))))))))))))))))))))))))))))))))))))))))))</f>
        <v xml:space="preserve">CHIH. </v>
      </c>
      <c r="I20" s="27" t="str">
        <f>IF(G20=1,KILOMETRAJE!E$4,IF(G20=2,KILOMETRAJE!E$5,IF(G20=3,KILOMETRAJE!E$6,IF(G20=4,KILOMETRAJE!E$7,IF(G20=5,KILOMETRAJE!E$8,IF(G20=6,KILOMETRAJE!E$9,IF(G20=7,KILOMETRAJE!E$10,IF(G20=8,KILOMETRAJE!E$11,IF(G20=9,KILOMETRAJE!E$12,IF(G20=10,KILOMETRAJE!E$13,IF(G20=11,KILOMETRAJE!E$14,IF(G20=12,KILOMETRAJE!E$15,IF(G20=13,KILOMETRAJE!E$16,IF(G20=14,KILOMETRAJE!E$17,IF(G20=15,KILOMETRAJE!E$18,IF(G20=16,KILOMETRAJE!E$19,IF(G20=17,KILOMETRAJE!E$20,IF(G20=18,KILOMETRAJE!E$21,IF(G20=19,KILOMETRAJE!E$22,IF(G20=20,KILOMETRAJE!E$23,IF(G20=21,KILOMETRAJE!E$24,IF(G20=22,KILOMETRAJE!E$25,IF(G20=23,KILOMETRAJE!E$26,IF(G20=24,KILOMETRAJE!E$27,IF(G20=25,KILOMETRAJE!E$28,IF(G20=26,KILOMETRAJE!E$29,IF(G20=27,KILOMETRAJE!E$30,IF(G20=28,KILOMETRAJE!E$31,IF(G20=29,KILOMETRAJE!E$32,IF(G20=30,KILOMETRAJE!E$33,IF(G20=31,KILOMETRAJE!E$34,IF(G20=32,KILOMETRAJE!E$35,IF(G20=33,KILOMETRAJE!E$36,IF(G20=34,KILOMETRAJE!E$37,IF(G20=35,KILOMETRAJE!E$38,IF(G20=36,KILOMETRAJE!E$39,IF(G20=37,KILOMETRAJE!E$40,IF(G20=38,KILOMETRAJE!E$41,IF(G20=39,KILOMETRAJE!E$42,IF(G20=40,KILOMETRAJE!E$43,IF(G20=41,KILOMETRAJE!E$44,IF(G20=42,KILOMETRAJE!E$45,IF(G20=43,KILOMETRAJE!E$46,IF(G20=44,KILOMETRAJE!E$47,IF(G20=45,KILOMETRAJE!E$48,IF(G20=46,KILOMETRAJE!E$49,IF(G20=47,KILOMETRAJE!E$50,IF(G20=48,KILOMETRAJE!E$51,IF(G20=49,KILOMETRAJE!E$52,IF(G20=50,KILOMETRAJE!E$53,IF(G20=51,KILOMETRAJE!E$54,IF(G20=52,KILOMETRAJE!E$55,IF(G20=53,KILOMETRAJE!E$56,IF(G20=54,KILOMETRAJE!E$57,IF(G20=55,KILOMETRAJE!E$58,IF(G20=56,KILOMETRAJE!E$59,IF(G20=57,KILOMETRAJE!E$60,IF(G20=58,KILOMETRAJE!E$61,IF(G20=59,KILOMETRAJE!E$62,IF(G20=60,KILOMETRAJE!E$63,IF(G20=61,KILOMETRAJE!E$64,IF(G20=62,KILOMETRAJE!E$65,IF(G20=63,KILOMETRAJE!E$66)))))))))))))))))))))))))))))))))))))))))))))))))))))))))))))))</f>
        <v>JRZ</v>
      </c>
      <c r="J20" s="31">
        <f>IF(G20=1,KILOMETRAJE!G$4,IF(G20=2,KILOMETRAJE!G$5,IF(G20=3,KILOMETRAJE!G$6,IF(G20=4,KILOMETRAJE!G$7,IF(G20=5,KILOMETRAJE!G$8,IF(G20=6,KILOMETRAJE!G$9,IF(G20=7,KILOMETRAJE!G$10,IF(G20=8,KILOMETRAJE!G$11,IF(G20=9,KILOMETRAJE!G$12,IF(G20=10,KILOMETRAJE!G$13,IF(G20=11,KILOMETRAJE!G$14,IF(G20=12,KILOMETRAJE!G$15,IF(G20=13,KILOMETRAJE!G$16,IF(G20=14,KILOMETRAJE!G$17,IF(G20=15,KILOMETRAJE!G$18,IF(G20=16,KILOMETRAJE!G$19,IF(G20=17,KILOMETRAJE!G$20,IF(G20=18,KILOMETRAJE!G$21,IF(G20=19,KILOMETRAJE!G$22,IF(G20=20,KILOMETRAJE!G$23,IF(G20=21,KILOMETRAJE!G$24,IF(G20=22,KILOMETRAJE!G$25,IF(G20=23,KILOMETRAJE!G$26,IF(G20=24,KILOMETRAJE!G$27,IF(G20=25,KILOMETRAJE!G$28,IF(G20=26,KILOMETRAJE!G$29,IF(G20=27,KILOMETRAJE!G$30,IF(G20=28,KILOMETRAJE!G$31,IF(G20=29,KILOMETRAJE!G$32,IF(G20=30,KILOMETRAJE!G$33,IF(G20=31,KILOMETRAJE!G$34,IF(G20=32,KILOMETRAJE!G$35,IF(G20=33,KILOMETRAJE!G$36,IF(G20=34,KILOMETRAJE!G$37,IF(G20=35,KILOMETRAJE!G$38,IF(G20=36,KILOMETRAJE!G$39,IF(G20=37,KILOMETRAJE!G$40,IF(G20=38,KILOMETRAJE!G$41,IF(G20=39,KILOMETRAJE!G$42,IF(G20=40,KILOMETRAJE!G$43,IF(G20=41,KILOMETRAJE!G$44,IF(G20=42,KILOMETRAJE!G$45,IF(G20=43,KILOMETRAJE!G$46,IF(G20=44,KILOMETRAJE!G$47,IF(G20=45,KILOMETRAJE!G$48,IF(G20=46,KILOMETRAJE!G$49,IF(G20=47,KILOMETRAJE!G$50,IF(G20=48,KILOMETRAJE!G$51,IF(G20=49,KILOMETRAJE!G$52,IF(G20=50,KILOMETRAJE!G$53,IF(G20=51,KILOMETRAJE!G$54,IF(G20=52,KILOMETRAJE!G$55,IF(G20=53,KILOMETRAJE!G$56,IF(G20=54,KILOMETRAJE!G$57,IF(G20=55,KILOMETRAJE!G$58,IF(G20=56,KILOMETRAJE!G$59,IF(G20=57,KILOMETRAJE!G$60,IF(G20=58,KILOMETRAJE!G$61,IF(G20=59,KILOMETRAJE!G$62,IF(G20=60,KILOMETRAJE!G$63,IF(G20=61,KILOMETRAJE!G$64,IF(G20=62,KILOMETRAJE!G$65,IF(G20=63,KILOMETRAJE!G$66)))))))))))))))))))))))))))))))))))))))))))))))))))))))))))))))</f>
        <v>375</v>
      </c>
      <c r="K20" s="27">
        <v>226</v>
      </c>
      <c r="L20" s="28">
        <f>SUM(J19:J20)/K20</f>
        <v>3.4955752212389379</v>
      </c>
      <c r="M20" s="349">
        <v>6546</v>
      </c>
      <c r="N20" s="27">
        <v>1</v>
      </c>
      <c r="O20" s="27" t="s">
        <v>418</v>
      </c>
      <c r="P20" s="27" t="s">
        <v>191</v>
      </c>
      <c r="Q20" s="29">
        <f>((((IF(N20=1,((J20)*0.29333)))+(IF(N20=2,((J20)*0.146666)))+(IF(N20=3,((J20)*0.146666)))))+(IF(N20=4,((J20-40)*0.29333)))+(IF(N20=5,((J20-50)*0.29333)))+(IF(N20=6,((J20-90)*0.29333))))</f>
        <v>109.99874999999999</v>
      </c>
      <c r="R20" s="190">
        <v>2.4500000000000002</v>
      </c>
      <c r="S20" s="19">
        <f>+((SUM(J19:J20)-40)/R20)-K20</f>
        <v>80.122448979591809</v>
      </c>
      <c r="T20" s="30">
        <f>+S20*14.85</f>
        <v>1189.8183673469384</v>
      </c>
    </row>
    <row r="21" spans="2:24" x14ac:dyDescent="0.2">
      <c r="B21" s="14" t="s">
        <v>416</v>
      </c>
      <c r="C21" s="176">
        <v>46117</v>
      </c>
      <c r="D21" s="43" t="s">
        <v>419</v>
      </c>
      <c r="E21" s="42">
        <v>45959</v>
      </c>
      <c r="F21" s="42">
        <v>45960</v>
      </c>
      <c r="G21" s="43">
        <v>4</v>
      </c>
      <c r="H21" s="236" t="str">
        <f>IF(G21=1,KILOMETRAJE!C$4,IF(G21=2,KILOMETRAJE!C$5,IF(G21=3,KILOMETRAJE!C$6,IF(G21=4,KILOMETRAJE!C$7,IF(G21=5,KILOMETRAJE!C$8,IF(G21=6,KILOMETRAJE!C$9,IF(G21=7,KILOMETRAJE!C$10,IF(G21=8,KILOMETRAJE!C$11,IF(G21=9,KILOMETRAJE!C$12,IF(G21=10,KILOMETRAJE!C$13,IF(G21=11,KILOMETRAJE!C$14,IF(G21=12,KILOMETRAJE!C$15,IF(G21=13,KILOMETRAJE!C$16,IF(G21=14,KILOMETRAJE!C$17,IF(G21=15,KILOMETRAJE!C$18,IF(G21=16,KILOMETRAJE!C$19,IF(G21=17,KILOMETRAJE!C$20,IF(G21=18,KILOMETRAJE!C$21,IF(G21=19,KILOMETRAJE!C$22,IF(G21=20,KILOMETRAJE!C$23,IF(G21=21,KILOMETRAJE!C$24,IF(G21=22,KILOMETRAJE!C$25,IF(G21=23,KILOMETRAJE!C$26,IF(G21=24,KILOMETRAJE!C$27,IF(G21=25,KILOMETRAJE!C$28,IF(G21=26,KILOMETRAJE!C$29,IF(G21=27,KILOMETRAJE!C$30,IF(G21=28,KILOMETRAJE!C$31,IF(G21=29,KILOMETRAJE!C$32,IF(G21=30,KILOMETRAJE!C$33,IF(G21=31,KILOMETRAJE!C$34,IF(G21=32,KILOMETRAJE!C$35,IF(G21=33,KILOMETRAJE!C$36,IF(G21=34,KILOMETRAJE!C$37,IF(G21=35,KILOMETRAJE!C$38,IF(G21=36,KILOMETRAJE!C$39,IF(G21=37,KILOMETRAJE!C$40,IF(G21=38,KILOMETRAJE!C$41,IF(G21=39,KILOMETRAJE!C$42,IF(G21=40,KILOMETRAJE!C$43,IF(G21=41,KILOMETRAJE!C$44,IF(G21=42,KILOMETRAJE!C$45,IF(G21=43,KILOMETRAJE!C$46,IF(G21=44,KILOMETRAJE!C$47,IF(G21=45,KILOMETRAJE!C$48,IF(G21=46,KILOMETRAJE!C$49,IF(G21=47,KILOMETRAJE!C$50,IF(G21=48,KILOMETRAJE!C$51,IF(G21=49,KILOMETRAJE!C$52,IF(G21=50,KILOMETRAJE!C$53,IF(G21=51,KILOMETRAJE!C$54,IF(G21=52,KILOMETRAJE!C$55,IF(G21=53,KILOMETRAJE!C$56,IF(G21=54,KILOMETRAJE!C$57,IF(G21=55,KILOMETRAJE!C$58,IF(G21=56,KILOMETRAJE!C$59,IF(G21=57,KILOMETRAJE!C$60,IF(G21=58,KILOMETRAJE!C$61,IF(G21=59,KILOMETRAJE!C$62,IF(G21=60,KILOMETRAJE!C$63,IF(G21=61,KILOMETRAJE!C$64,IF(G21=62,KILOMETRAJE!C$65,IF(G21=63,KILOMETRAJE!C$66)))))))))))))))))))))))))))))))))))))))))))))))))))))))))))))))</f>
        <v xml:space="preserve">ELP. </v>
      </c>
      <c r="I21" s="236" t="str">
        <f>IF(G21=1,KILOMETRAJE!E$4,IF(G21=2,KILOMETRAJE!E$5,IF(G21=3,KILOMETRAJE!E$6,IF(G21=4,KILOMETRAJE!E$7,IF(G21=5,KILOMETRAJE!E$8,IF(G21=6,KILOMETRAJE!E$9,IF(G21=7,KILOMETRAJE!E$10,IF(G21=8,KILOMETRAJE!E$11,IF(G21=9,KILOMETRAJE!E$12,IF(G21=10,KILOMETRAJE!E$13,IF(G21=11,KILOMETRAJE!E$14,IF(G21=12,KILOMETRAJE!E$15,IF(G21=13,KILOMETRAJE!E$16,IF(G21=14,KILOMETRAJE!E$17,IF(G21=15,KILOMETRAJE!E$18,IF(G21=16,KILOMETRAJE!E$19,IF(G21=17,KILOMETRAJE!E$20,IF(G21=18,KILOMETRAJE!E$21,IF(G21=19,KILOMETRAJE!E$22,IF(G21=20,KILOMETRAJE!E$23,IF(G21=21,KILOMETRAJE!E$24,IF(G21=22,KILOMETRAJE!E$25,IF(G21=23,KILOMETRAJE!E$26,IF(G21=24,KILOMETRAJE!E$27,IF(G21=25,KILOMETRAJE!E$28,IF(G21=26,KILOMETRAJE!E$29,IF(G21=27,KILOMETRAJE!E$30,IF(G21=28,KILOMETRAJE!E$31,IF(G21=29,KILOMETRAJE!E$32,IF(G21=30,KILOMETRAJE!E$33,IF(G21=31,KILOMETRAJE!E$34,IF(G21=32,KILOMETRAJE!E$35,IF(G21=33,KILOMETRAJE!E$36,IF(G21=34,KILOMETRAJE!E$37,IF(G21=35,KILOMETRAJE!E$38,IF(G21=36,KILOMETRAJE!E$39,IF(G21=37,KILOMETRAJE!E$40,IF(G21=38,KILOMETRAJE!E$41,IF(G21=39,KILOMETRAJE!E$42,IF(G21=40,KILOMETRAJE!E$43,IF(G21=41,KILOMETRAJE!E$44,IF(G21=42,KILOMETRAJE!E$45,IF(G21=43,KILOMETRAJE!E$46,IF(G21=44,KILOMETRAJE!E$47,IF(G21=45,KILOMETRAJE!E$48,IF(G21=46,KILOMETRAJE!E$49,IF(G21=47,KILOMETRAJE!E$50,IF(G21=48,KILOMETRAJE!E$51,IF(G21=49,KILOMETRAJE!E$52,IF(G21=50,KILOMETRAJE!E$53,IF(G21=51,KILOMETRAJE!E$54,IF(G21=52,KILOMETRAJE!E$55,IF(G21=53,KILOMETRAJE!E$56,IF(G21=54,KILOMETRAJE!E$57,IF(G21=55,KILOMETRAJE!E$58,IF(G21=56,KILOMETRAJE!E$59,IF(G21=57,KILOMETRAJE!E$60,IF(G21=58,KILOMETRAJE!E$61,IF(G21=59,KILOMETRAJE!E$62,IF(G21=60,KILOMETRAJE!E$63,IF(G21=61,KILOMETRAJE!E$64,IF(G21=62,KILOMETRAJE!E$65,IF(G21=63,KILOMETRAJE!E$66)))))))))))))))))))))))))))))))))))))))))))))))))))))))))))))))</f>
        <v>CHIH.</v>
      </c>
      <c r="J21" s="237">
        <f>IF(G21=1,KILOMETRAJE!G$4,IF(G21=2,KILOMETRAJE!G$5,IF(G21=3,KILOMETRAJE!G$6,IF(G21=4,KILOMETRAJE!G$7,IF(G21=5,KILOMETRAJE!G$8,IF(G21=6,KILOMETRAJE!G$9,IF(G21=7,KILOMETRAJE!G$10,IF(G21=8,KILOMETRAJE!G$11,IF(G21=9,KILOMETRAJE!G$12,IF(G21=10,KILOMETRAJE!G$13,IF(G21=11,KILOMETRAJE!G$14,IF(G21=12,KILOMETRAJE!G$15,IF(G21=13,KILOMETRAJE!G$16,IF(G21=14,KILOMETRAJE!G$17,IF(G21=15,KILOMETRAJE!G$18,IF(G21=16,KILOMETRAJE!G$19,IF(G21=17,KILOMETRAJE!G$20,IF(G21=18,KILOMETRAJE!G$21,IF(G21=19,KILOMETRAJE!G$22,IF(G21=20,KILOMETRAJE!G$23,IF(G21=21,KILOMETRAJE!G$24,IF(G21=22,KILOMETRAJE!G$25,IF(G21=23,KILOMETRAJE!G$26,IF(G21=24,KILOMETRAJE!G$27,IF(G21=25,KILOMETRAJE!G$28,IF(G21=26,KILOMETRAJE!G$29,IF(G21=27,KILOMETRAJE!G$30,IF(G21=28,KILOMETRAJE!G$31,IF(G21=29,KILOMETRAJE!G$32,IF(G21=30,KILOMETRAJE!G$33,IF(G21=31,KILOMETRAJE!G$34,IF(G21=32,KILOMETRAJE!G$35,IF(G21=33,KILOMETRAJE!G$36,IF(G21=34,KILOMETRAJE!G$37,IF(G21=35,KILOMETRAJE!G$38,IF(G21=36,KILOMETRAJE!G$39,IF(G21=37,KILOMETRAJE!G$40,IF(G21=38,KILOMETRAJE!G$41,IF(G21=39,KILOMETRAJE!G$42,IF(G21=40,KILOMETRAJE!G$43,IF(G21=41,KILOMETRAJE!G$44,IF(G21=42,KILOMETRAJE!G$45,IF(G21=43,KILOMETRAJE!G$46,IF(G21=44,KILOMETRAJE!G$47,IF(G21=45,KILOMETRAJE!G$48,IF(G21=46,KILOMETRAJE!G$49,IF(G21=47,KILOMETRAJE!G$50,IF(G21=48,KILOMETRAJE!G$51,IF(G21=49,KILOMETRAJE!G$52,IF(G21=50,KILOMETRAJE!G$53,IF(G21=51,KILOMETRAJE!G$54,IF(G21=52,KILOMETRAJE!G$55,IF(G21=53,KILOMETRAJE!G$56,IF(G21=54,KILOMETRAJE!G$57,IF(G21=55,KILOMETRAJE!G$58,IF(G21=56,KILOMETRAJE!G$59,IF(G21=57,KILOMETRAJE!G$60,IF(G21=58,KILOMETRAJE!G$61,IF(G21=59,KILOMETRAJE!G$62,IF(G21=60,KILOMETRAJE!G$63,IF(G21=61,KILOMETRAJE!G$64,IF(G21=62,KILOMETRAJE!G$65,IF(G21=63,KILOMETRAJE!G$66)))))))))))))))))))))))))))))))))))))))))))))))))))))))))))))))</f>
        <v>415</v>
      </c>
      <c r="K21" s="24"/>
      <c r="L21" s="44"/>
      <c r="M21" s="348">
        <v>661</v>
      </c>
      <c r="N21" s="24">
        <v>4</v>
      </c>
      <c r="O21" s="24" t="s">
        <v>421</v>
      </c>
      <c r="P21" s="24" t="s">
        <v>199</v>
      </c>
      <c r="Q21" s="45">
        <f t="shared" ref="Q21" si="1">((((IF(N21=1,((J21)*0.29333)))+(IF(N21=2,((J21)*0.146666)))+(IF(N21=3,((J21)*0.146666)))))+(IF(N21=4,((J21-40)*0.29333)))+(IF(N21=5,((J21-50)*0.29333)))+(IF(N21=6,((J21-90)*0.29333))))</f>
        <v>109.99874999999999</v>
      </c>
      <c r="R21" s="191"/>
      <c r="S21" s="52"/>
      <c r="T21" s="46"/>
    </row>
    <row r="22" spans="2:24" ht="12.75" thickBot="1" x14ac:dyDescent="0.25">
      <c r="C22" s="101"/>
      <c r="D22" s="62" t="s">
        <v>420</v>
      </c>
      <c r="E22" s="25">
        <v>45960</v>
      </c>
      <c r="F22" s="25">
        <v>45960</v>
      </c>
      <c r="G22" s="62">
        <v>3</v>
      </c>
      <c r="H22" s="27" t="str">
        <f>IF(G22=1,KILOMETRAJE!C$4,IF(G22=2,KILOMETRAJE!C$5,IF(G22=3,KILOMETRAJE!C$6,IF(G22=4,KILOMETRAJE!C$7,IF(G22=5,KILOMETRAJE!C$8,IF(G22=6,KILOMETRAJE!C$9,IF(G22=7,KILOMETRAJE!C$10,IF(G22=8,KILOMETRAJE!C$11,IF(G22=9,KILOMETRAJE!C$12,IF(G22=10,KILOMETRAJE!C$13,IF(G22=11,KILOMETRAJE!C$14,IF(G22=12,KILOMETRAJE!C$15,IF(G22=13,KILOMETRAJE!C$16,IF(G22=14,KILOMETRAJE!C$17,IF(G22=15,KILOMETRAJE!C$18,IF(G22=16,KILOMETRAJE!C$19,IF(G22=17,KILOMETRAJE!C$20,IF(G22=18,KILOMETRAJE!C$21,IF(G22=19,KILOMETRAJE!C$22,IF(G22=20,KILOMETRAJE!C$23,IF(G22=21,KILOMETRAJE!C$24,IF(G22=22,KILOMETRAJE!C$25,IF(G22=23,KILOMETRAJE!C$26,IF(G22=24,KILOMETRAJE!C$27,IF(G22=25,KILOMETRAJE!C$28,IF(G22=26,KILOMETRAJE!C$29,IF(G22=27,KILOMETRAJE!C$30,IF(G22=28,KILOMETRAJE!C$31,IF(G22=29,KILOMETRAJE!C$32,IF(G22=30,KILOMETRAJE!C$33,IF(G22=31,KILOMETRAJE!C$34,IF(G22=32,KILOMETRAJE!C$35,IF(G22=33,KILOMETRAJE!C$36,IF(G22=34,KILOMETRAJE!C$37,IF(G22=35,KILOMETRAJE!C$38,IF(G22=36,KILOMETRAJE!C$39,IF(G22=37,KILOMETRAJE!C$40,IF(G22=38,KILOMETRAJE!C$41,IF(G22=39,KILOMETRAJE!C$42,IF(G22=40,KILOMETRAJE!C$43,IF(G22=41,KILOMETRAJE!C$44,IF(G22=42,KILOMETRAJE!C$45,IF(G22=43,KILOMETRAJE!C$46,IF(G22=44,KILOMETRAJE!C$47,IF(G22=45,KILOMETRAJE!C$48,IF(G22=46,KILOMETRAJE!C$49,IF(G22=47,KILOMETRAJE!C$50,IF(G22=48,KILOMETRAJE!C$51,IF(G22=49,KILOMETRAJE!C$52,IF(G22=50,KILOMETRAJE!C$53,IF(G22=51,KILOMETRAJE!C$54,IF(G22=52,KILOMETRAJE!C$55,IF(G22=53,KILOMETRAJE!C$56,IF(G22=54,KILOMETRAJE!C$57,IF(G22=55,KILOMETRAJE!C$58,IF(G22=56,KILOMETRAJE!C$59,IF(G22=57,KILOMETRAJE!C$60,IF(G22=58,KILOMETRAJE!C$61,IF(G22=59,KILOMETRAJE!C$62,IF(G22=60,KILOMETRAJE!C$63,IF(G22=61,KILOMETRAJE!C$64,IF(G22=62,KILOMETRAJE!C$65,IF(G22=63,KILOMETRAJE!C$66)))))))))))))))))))))))))))))))))))))))))))))))))))))))))))))))</f>
        <v xml:space="preserve">CHIH. </v>
      </c>
      <c r="I22" s="27" t="str">
        <f>IF(G22=1,KILOMETRAJE!E$4,IF(G22=2,KILOMETRAJE!E$5,IF(G22=3,KILOMETRAJE!E$6,IF(G22=4,KILOMETRAJE!E$7,IF(G22=5,KILOMETRAJE!E$8,IF(G22=6,KILOMETRAJE!E$9,IF(G22=7,KILOMETRAJE!E$10,IF(G22=8,KILOMETRAJE!E$11,IF(G22=9,KILOMETRAJE!E$12,IF(G22=10,KILOMETRAJE!E$13,IF(G22=11,KILOMETRAJE!E$14,IF(G22=12,KILOMETRAJE!E$15,IF(G22=13,KILOMETRAJE!E$16,IF(G22=14,KILOMETRAJE!E$17,IF(G22=15,KILOMETRAJE!E$18,IF(G22=16,KILOMETRAJE!E$19,IF(G22=17,KILOMETRAJE!E$20,IF(G22=18,KILOMETRAJE!E$21,IF(G22=19,KILOMETRAJE!E$22,IF(G22=20,KILOMETRAJE!E$23,IF(G22=21,KILOMETRAJE!E$24,IF(G22=22,KILOMETRAJE!E$25,IF(G22=23,KILOMETRAJE!E$26,IF(G22=24,KILOMETRAJE!E$27,IF(G22=25,KILOMETRAJE!E$28,IF(G22=26,KILOMETRAJE!E$29,IF(G22=27,KILOMETRAJE!E$30,IF(G22=28,KILOMETRAJE!E$31,IF(G22=29,KILOMETRAJE!E$32,IF(G22=30,KILOMETRAJE!E$33,IF(G22=31,KILOMETRAJE!E$34,IF(G22=32,KILOMETRAJE!E$35,IF(G22=33,KILOMETRAJE!E$36,IF(G22=34,KILOMETRAJE!E$37,IF(G22=35,KILOMETRAJE!E$38,IF(G22=36,KILOMETRAJE!E$39,IF(G22=37,KILOMETRAJE!E$40,IF(G22=38,KILOMETRAJE!E$41,IF(G22=39,KILOMETRAJE!E$42,IF(G22=40,KILOMETRAJE!E$43,IF(G22=41,KILOMETRAJE!E$44,IF(G22=42,KILOMETRAJE!E$45,IF(G22=43,KILOMETRAJE!E$46,IF(G22=44,KILOMETRAJE!E$47,IF(G22=45,KILOMETRAJE!E$48,IF(G22=46,KILOMETRAJE!E$49,IF(G22=47,KILOMETRAJE!E$50,IF(G22=48,KILOMETRAJE!E$51,IF(G22=49,KILOMETRAJE!E$52,IF(G22=50,KILOMETRAJE!E$53,IF(G22=51,KILOMETRAJE!E$54,IF(G22=52,KILOMETRAJE!E$55,IF(G22=53,KILOMETRAJE!E$56,IF(G22=54,KILOMETRAJE!E$57,IF(G22=55,KILOMETRAJE!E$58,IF(G22=56,KILOMETRAJE!E$59,IF(G22=57,KILOMETRAJE!E$60,IF(G22=58,KILOMETRAJE!E$61,IF(G22=59,KILOMETRAJE!E$62,IF(G22=60,KILOMETRAJE!E$63,IF(G22=61,KILOMETRAJE!E$64,IF(G22=62,KILOMETRAJE!E$65,IF(G22=63,KILOMETRAJE!E$66)))))))))))))))))))))))))))))))))))))))))))))))))))))))))))))))</f>
        <v>JRZ</v>
      </c>
      <c r="J22" s="31">
        <f>IF(G22=1,KILOMETRAJE!G$4,IF(G22=2,KILOMETRAJE!G$5,IF(G22=3,KILOMETRAJE!G$6,IF(G22=4,KILOMETRAJE!G$7,IF(G22=5,KILOMETRAJE!G$8,IF(G22=6,KILOMETRAJE!G$9,IF(G22=7,KILOMETRAJE!G$10,IF(G22=8,KILOMETRAJE!G$11,IF(G22=9,KILOMETRAJE!G$12,IF(G22=10,KILOMETRAJE!G$13,IF(G22=11,KILOMETRAJE!G$14,IF(G22=12,KILOMETRAJE!G$15,IF(G22=13,KILOMETRAJE!G$16,IF(G22=14,KILOMETRAJE!G$17,IF(G22=15,KILOMETRAJE!G$18,IF(G22=16,KILOMETRAJE!G$19,IF(G22=17,KILOMETRAJE!G$20,IF(G22=18,KILOMETRAJE!G$21,IF(G22=19,KILOMETRAJE!G$22,IF(G22=20,KILOMETRAJE!G$23,IF(G22=21,KILOMETRAJE!G$24,IF(G22=22,KILOMETRAJE!G$25,IF(G22=23,KILOMETRAJE!G$26,IF(G22=24,KILOMETRAJE!G$27,IF(G22=25,KILOMETRAJE!G$28,IF(G22=26,KILOMETRAJE!G$29,IF(G22=27,KILOMETRAJE!G$30,IF(G22=28,KILOMETRAJE!G$31,IF(G22=29,KILOMETRAJE!G$32,IF(G22=30,KILOMETRAJE!G$33,IF(G22=31,KILOMETRAJE!G$34,IF(G22=32,KILOMETRAJE!G$35,IF(G22=33,KILOMETRAJE!G$36,IF(G22=34,KILOMETRAJE!G$37,IF(G22=35,KILOMETRAJE!G$38,IF(G22=36,KILOMETRAJE!G$39,IF(G22=37,KILOMETRAJE!G$40,IF(G22=38,KILOMETRAJE!G$41,IF(G22=39,KILOMETRAJE!G$42,IF(G22=40,KILOMETRAJE!G$43,IF(G22=41,KILOMETRAJE!G$44,IF(G22=42,KILOMETRAJE!G$45,IF(G22=43,KILOMETRAJE!G$46,IF(G22=44,KILOMETRAJE!G$47,IF(G22=45,KILOMETRAJE!G$48,IF(G22=46,KILOMETRAJE!G$49,IF(G22=47,KILOMETRAJE!G$50,IF(G22=48,KILOMETRAJE!G$51,IF(G22=49,KILOMETRAJE!G$52,IF(G22=50,KILOMETRAJE!G$53,IF(G22=51,KILOMETRAJE!G$54,IF(G22=52,KILOMETRAJE!G$55,IF(G22=53,KILOMETRAJE!G$56,IF(G22=54,KILOMETRAJE!G$57,IF(G22=55,KILOMETRAJE!G$58,IF(G22=56,KILOMETRAJE!G$59,IF(G22=57,KILOMETRAJE!G$60,IF(G22=58,KILOMETRAJE!G$61,IF(G22=59,KILOMETRAJE!G$62,IF(G22=60,KILOMETRAJE!G$63,IF(G22=61,KILOMETRAJE!G$64,IF(G22=62,KILOMETRAJE!G$65,IF(G22=63,KILOMETRAJE!G$66)))))))))))))))))))))))))))))))))))))))))))))))))))))))))))))))</f>
        <v>375</v>
      </c>
      <c r="K22" s="27">
        <v>232.01</v>
      </c>
      <c r="L22" s="28">
        <f>SUM(J21:J22)/K22</f>
        <v>3.405025645446317</v>
      </c>
      <c r="M22" s="349">
        <v>3685</v>
      </c>
      <c r="N22" s="27">
        <v>1</v>
      </c>
      <c r="O22" s="27" t="s">
        <v>422</v>
      </c>
      <c r="P22" s="27" t="s">
        <v>247</v>
      </c>
      <c r="Q22" s="29">
        <f>((((IF(N22=1,((J22)*0.29333)))+(IF(N22=2,((J22)*0.146666)))+(IF(N22=3,((J22)*0.146666)))))+(IF(N22=4,((J22-40)*0.29333)))+(IF(N22=5,((J22-50)*0.29333)))+(IF(N22=6,((J22-90)*0.29333))))</f>
        <v>109.99874999999999</v>
      </c>
      <c r="R22" s="190">
        <v>2.4500000000000002</v>
      </c>
      <c r="S22" s="19">
        <f>+((SUM(J21:J22)-40)/R22)-K22</f>
        <v>74.112448979591818</v>
      </c>
      <c r="T22" s="30">
        <f>+S22*14.85</f>
        <v>1100.5698673469385</v>
      </c>
    </row>
    <row r="23" spans="2:24" x14ac:dyDescent="0.2">
      <c r="B23" s="14" t="s">
        <v>416</v>
      </c>
      <c r="C23" s="176">
        <v>46140</v>
      </c>
      <c r="D23" s="43" t="s">
        <v>423</v>
      </c>
      <c r="E23" s="42">
        <v>45960</v>
      </c>
      <c r="F23" s="42">
        <v>45961</v>
      </c>
      <c r="G23" s="43">
        <v>4</v>
      </c>
      <c r="H23" s="236" t="str">
        <f>IF(G23=1,KILOMETRAJE!C$4,IF(G23=2,KILOMETRAJE!C$5,IF(G23=3,KILOMETRAJE!C$6,IF(G23=4,KILOMETRAJE!C$7,IF(G23=5,KILOMETRAJE!C$8,IF(G23=6,KILOMETRAJE!C$9,IF(G23=7,KILOMETRAJE!C$10,IF(G23=8,KILOMETRAJE!C$11,IF(G23=9,KILOMETRAJE!C$12,IF(G23=10,KILOMETRAJE!C$13,IF(G23=11,KILOMETRAJE!C$14,IF(G23=12,KILOMETRAJE!C$15,IF(G23=13,KILOMETRAJE!C$16,IF(G23=14,KILOMETRAJE!C$17,IF(G23=15,KILOMETRAJE!C$18,IF(G23=16,KILOMETRAJE!C$19,IF(G23=17,KILOMETRAJE!C$20,IF(G23=18,KILOMETRAJE!C$21,IF(G23=19,KILOMETRAJE!C$22,IF(G23=20,KILOMETRAJE!C$23,IF(G23=21,KILOMETRAJE!C$24,IF(G23=22,KILOMETRAJE!C$25,IF(G23=23,KILOMETRAJE!C$26,IF(G23=24,KILOMETRAJE!C$27,IF(G23=25,KILOMETRAJE!C$28,IF(G23=26,KILOMETRAJE!C$29,IF(G23=27,KILOMETRAJE!C$30,IF(G23=28,KILOMETRAJE!C$31,IF(G23=29,KILOMETRAJE!C$32,IF(G23=30,KILOMETRAJE!C$33,IF(G23=31,KILOMETRAJE!C$34,IF(G23=32,KILOMETRAJE!C$35,IF(G23=33,KILOMETRAJE!C$36,IF(G23=34,KILOMETRAJE!C$37,IF(G23=35,KILOMETRAJE!C$38,IF(G23=36,KILOMETRAJE!C$39,IF(G23=37,KILOMETRAJE!C$40,IF(G23=38,KILOMETRAJE!C$41,IF(G23=39,KILOMETRAJE!C$42,IF(G23=40,KILOMETRAJE!C$43,IF(G23=41,KILOMETRAJE!C$44,IF(G23=42,KILOMETRAJE!C$45,IF(G23=43,KILOMETRAJE!C$46,IF(G23=44,KILOMETRAJE!C$47,IF(G23=45,KILOMETRAJE!C$48,IF(G23=46,KILOMETRAJE!C$49,IF(G23=47,KILOMETRAJE!C$50,IF(G23=48,KILOMETRAJE!C$51,IF(G23=49,KILOMETRAJE!C$52,IF(G23=50,KILOMETRAJE!C$53,IF(G23=51,KILOMETRAJE!C$54,IF(G23=52,KILOMETRAJE!C$55,IF(G23=53,KILOMETRAJE!C$56,IF(G23=54,KILOMETRAJE!C$57,IF(G23=55,KILOMETRAJE!C$58,IF(G23=56,KILOMETRAJE!C$59,IF(G23=57,KILOMETRAJE!C$60,IF(G23=58,KILOMETRAJE!C$61,IF(G23=59,KILOMETRAJE!C$62,IF(G23=60,KILOMETRAJE!C$63,IF(G23=61,KILOMETRAJE!C$64,IF(G23=62,KILOMETRAJE!C$65,IF(G23=63,KILOMETRAJE!C$66)))))))))))))))))))))))))))))))))))))))))))))))))))))))))))))))</f>
        <v xml:space="preserve">ELP. </v>
      </c>
      <c r="I23" s="236" t="str">
        <f>IF(G23=1,KILOMETRAJE!E$4,IF(G23=2,KILOMETRAJE!E$5,IF(G23=3,KILOMETRAJE!E$6,IF(G23=4,KILOMETRAJE!E$7,IF(G23=5,KILOMETRAJE!E$8,IF(G23=6,KILOMETRAJE!E$9,IF(G23=7,KILOMETRAJE!E$10,IF(G23=8,KILOMETRAJE!E$11,IF(G23=9,KILOMETRAJE!E$12,IF(G23=10,KILOMETRAJE!E$13,IF(G23=11,KILOMETRAJE!E$14,IF(G23=12,KILOMETRAJE!E$15,IF(G23=13,KILOMETRAJE!E$16,IF(G23=14,KILOMETRAJE!E$17,IF(G23=15,KILOMETRAJE!E$18,IF(G23=16,KILOMETRAJE!E$19,IF(G23=17,KILOMETRAJE!E$20,IF(G23=18,KILOMETRAJE!E$21,IF(G23=19,KILOMETRAJE!E$22,IF(G23=20,KILOMETRAJE!E$23,IF(G23=21,KILOMETRAJE!E$24,IF(G23=22,KILOMETRAJE!E$25,IF(G23=23,KILOMETRAJE!E$26,IF(G23=24,KILOMETRAJE!E$27,IF(G23=25,KILOMETRAJE!E$28,IF(G23=26,KILOMETRAJE!E$29,IF(G23=27,KILOMETRAJE!E$30,IF(G23=28,KILOMETRAJE!E$31,IF(G23=29,KILOMETRAJE!E$32,IF(G23=30,KILOMETRAJE!E$33,IF(G23=31,KILOMETRAJE!E$34,IF(G23=32,KILOMETRAJE!E$35,IF(G23=33,KILOMETRAJE!E$36,IF(G23=34,KILOMETRAJE!E$37,IF(G23=35,KILOMETRAJE!E$38,IF(G23=36,KILOMETRAJE!E$39,IF(G23=37,KILOMETRAJE!E$40,IF(G23=38,KILOMETRAJE!E$41,IF(G23=39,KILOMETRAJE!E$42,IF(G23=40,KILOMETRAJE!E$43,IF(G23=41,KILOMETRAJE!E$44,IF(G23=42,KILOMETRAJE!E$45,IF(G23=43,KILOMETRAJE!E$46,IF(G23=44,KILOMETRAJE!E$47,IF(G23=45,KILOMETRAJE!E$48,IF(G23=46,KILOMETRAJE!E$49,IF(G23=47,KILOMETRAJE!E$50,IF(G23=48,KILOMETRAJE!E$51,IF(G23=49,KILOMETRAJE!E$52,IF(G23=50,KILOMETRAJE!E$53,IF(G23=51,KILOMETRAJE!E$54,IF(G23=52,KILOMETRAJE!E$55,IF(G23=53,KILOMETRAJE!E$56,IF(G23=54,KILOMETRAJE!E$57,IF(G23=55,KILOMETRAJE!E$58,IF(G23=56,KILOMETRAJE!E$59,IF(G23=57,KILOMETRAJE!E$60,IF(G23=58,KILOMETRAJE!E$61,IF(G23=59,KILOMETRAJE!E$62,IF(G23=60,KILOMETRAJE!E$63,IF(G23=61,KILOMETRAJE!E$64,IF(G23=62,KILOMETRAJE!E$65,IF(G23=63,KILOMETRAJE!E$66)))))))))))))))))))))))))))))))))))))))))))))))))))))))))))))))</f>
        <v>CHIH.</v>
      </c>
      <c r="J23" s="237">
        <f>IF(G23=1,KILOMETRAJE!G$4,IF(G23=2,KILOMETRAJE!G$5,IF(G23=3,KILOMETRAJE!G$6,IF(G23=4,KILOMETRAJE!G$7,IF(G23=5,KILOMETRAJE!G$8,IF(G23=6,KILOMETRAJE!G$9,IF(G23=7,KILOMETRAJE!G$10,IF(G23=8,KILOMETRAJE!G$11,IF(G23=9,KILOMETRAJE!G$12,IF(G23=10,KILOMETRAJE!G$13,IF(G23=11,KILOMETRAJE!G$14,IF(G23=12,KILOMETRAJE!G$15,IF(G23=13,KILOMETRAJE!G$16,IF(G23=14,KILOMETRAJE!G$17,IF(G23=15,KILOMETRAJE!G$18,IF(G23=16,KILOMETRAJE!G$19,IF(G23=17,KILOMETRAJE!G$20,IF(G23=18,KILOMETRAJE!G$21,IF(G23=19,KILOMETRAJE!G$22,IF(G23=20,KILOMETRAJE!G$23,IF(G23=21,KILOMETRAJE!G$24,IF(G23=22,KILOMETRAJE!G$25,IF(G23=23,KILOMETRAJE!G$26,IF(G23=24,KILOMETRAJE!G$27,IF(G23=25,KILOMETRAJE!G$28,IF(G23=26,KILOMETRAJE!G$29,IF(G23=27,KILOMETRAJE!G$30,IF(G23=28,KILOMETRAJE!G$31,IF(G23=29,KILOMETRAJE!G$32,IF(G23=30,KILOMETRAJE!G$33,IF(G23=31,KILOMETRAJE!G$34,IF(G23=32,KILOMETRAJE!G$35,IF(G23=33,KILOMETRAJE!G$36,IF(G23=34,KILOMETRAJE!G$37,IF(G23=35,KILOMETRAJE!G$38,IF(G23=36,KILOMETRAJE!G$39,IF(G23=37,KILOMETRAJE!G$40,IF(G23=38,KILOMETRAJE!G$41,IF(G23=39,KILOMETRAJE!G$42,IF(G23=40,KILOMETRAJE!G$43,IF(G23=41,KILOMETRAJE!G$44,IF(G23=42,KILOMETRAJE!G$45,IF(G23=43,KILOMETRAJE!G$46,IF(G23=44,KILOMETRAJE!G$47,IF(G23=45,KILOMETRAJE!G$48,IF(G23=46,KILOMETRAJE!G$49,IF(G23=47,KILOMETRAJE!G$50,IF(G23=48,KILOMETRAJE!G$51,IF(G23=49,KILOMETRAJE!G$52,IF(G23=50,KILOMETRAJE!G$53,IF(G23=51,KILOMETRAJE!G$54,IF(G23=52,KILOMETRAJE!G$55,IF(G23=53,KILOMETRAJE!G$56,IF(G23=54,KILOMETRAJE!G$57,IF(G23=55,KILOMETRAJE!G$58,IF(G23=56,KILOMETRAJE!G$59,IF(G23=57,KILOMETRAJE!G$60,IF(G23=58,KILOMETRAJE!G$61,IF(G23=59,KILOMETRAJE!G$62,IF(G23=60,KILOMETRAJE!G$63,IF(G23=61,KILOMETRAJE!G$64,IF(G23=62,KILOMETRAJE!G$65,IF(G23=63,KILOMETRAJE!G$66)))))))))))))))))))))))))))))))))))))))))))))))))))))))))))))))</f>
        <v>415</v>
      </c>
      <c r="K23" s="24"/>
      <c r="L23" s="44"/>
      <c r="M23" s="348">
        <v>1311</v>
      </c>
      <c r="N23" s="24">
        <v>4</v>
      </c>
      <c r="O23" s="24" t="s">
        <v>427</v>
      </c>
      <c r="P23" s="24" t="s">
        <v>199</v>
      </c>
      <c r="Q23" s="45">
        <f t="shared" ref="Q23" si="2">((((IF(N23=1,((J23)*0.29333)))+(IF(N23=2,((J23)*0.146666)))+(IF(N23=3,((J23)*0.146666)))))+(IF(N23=4,((J23-40)*0.29333)))+(IF(N23=5,((J23-50)*0.29333)))+(IF(N23=6,((J23-90)*0.29333))))</f>
        <v>109.99874999999999</v>
      </c>
      <c r="R23" s="191"/>
      <c r="S23" s="52"/>
      <c r="T23" s="46"/>
      <c r="U23" s="14">
        <v>60</v>
      </c>
    </row>
    <row r="24" spans="2:24" ht="12.75" thickBot="1" x14ac:dyDescent="0.25">
      <c r="C24" s="101"/>
      <c r="D24" s="62" t="s">
        <v>424</v>
      </c>
      <c r="E24" s="25">
        <v>45961</v>
      </c>
      <c r="F24" s="25">
        <v>45961</v>
      </c>
      <c r="G24" s="62">
        <v>3</v>
      </c>
      <c r="H24" s="27" t="str">
        <f>IF(G24=1,KILOMETRAJE!C$4,IF(G24=2,KILOMETRAJE!C$5,IF(G24=3,KILOMETRAJE!C$6,IF(G24=4,KILOMETRAJE!C$7,IF(G24=5,KILOMETRAJE!C$8,IF(G24=6,KILOMETRAJE!C$9,IF(G24=7,KILOMETRAJE!C$10,IF(G24=8,KILOMETRAJE!C$11,IF(G24=9,KILOMETRAJE!C$12,IF(G24=10,KILOMETRAJE!C$13,IF(G24=11,KILOMETRAJE!C$14,IF(G24=12,KILOMETRAJE!C$15,IF(G24=13,KILOMETRAJE!C$16,IF(G24=14,KILOMETRAJE!C$17,IF(G24=15,KILOMETRAJE!C$18,IF(G24=16,KILOMETRAJE!C$19,IF(G24=17,KILOMETRAJE!C$20,IF(G24=18,KILOMETRAJE!C$21,IF(G24=19,KILOMETRAJE!C$22,IF(G24=20,KILOMETRAJE!C$23,IF(G24=21,KILOMETRAJE!C$24,IF(G24=22,KILOMETRAJE!C$25,IF(G24=23,KILOMETRAJE!C$26,IF(G24=24,KILOMETRAJE!C$27,IF(G24=25,KILOMETRAJE!C$28,IF(G24=26,KILOMETRAJE!C$29,IF(G24=27,KILOMETRAJE!C$30,IF(G24=28,KILOMETRAJE!C$31,IF(G24=29,KILOMETRAJE!C$32,IF(G24=30,KILOMETRAJE!C$33,IF(G24=31,KILOMETRAJE!C$34,IF(G24=32,KILOMETRAJE!C$35,IF(G24=33,KILOMETRAJE!C$36,IF(G24=34,KILOMETRAJE!C$37,IF(G24=35,KILOMETRAJE!C$38,IF(G24=36,KILOMETRAJE!C$39,IF(G24=37,KILOMETRAJE!C$40,IF(G24=38,KILOMETRAJE!C$41,IF(G24=39,KILOMETRAJE!C$42,IF(G24=40,KILOMETRAJE!C$43,IF(G24=41,KILOMETRAJE!C$44,IF(G24=42,KILOMETRAJE!C$45,IF(G24=43,KILOMETRAJE!C$46,IF(G24=44,KILOMETRAJE!C$47,IF(G24=45,KILOMETRAJE!C$48,IF(G24=46,KILOMETRAJE!C$49,IF(G24=47,KILOMETRAJE!C$50,IF(G24=48,KILOMETRAJE!C$51,IF(G24=49,KILOMETRAJE!C$52,IF(G24=50,KILOMETRAJE!C$53,IF(G24=51,KILOMETRAJE!C$54,IF(G24=52,KILOMETRAJE!C$55,IF(G24=53,KILOMETRAJE!C$56,IF(G24=54,KILOMETRAJE!C$57,IF(G24=55,KILOMETRAJE!C$58,IF(G24=56,KILOMETRAJE!C$59,IF(G24=57,KILOMETRAJE!C$60,IF(G24=58,KILOMETRAJE!C$61,IF(G24=59,KILOMETRAJE!C$62,IF(G24=60,KILOMETRAJE!C$63,IF(G24=61,KILOMETRAJE!C$64,IF(G24=62,KILOMETRAJE!C$65,IF(G24=63,KILOMETRAJE!C$66)))))))))))))))))))))))))))))))))))))))))))))))))))))))))))))))</f>
        <v xml:space="preserve">CHIH. </v>
      </c>
      <c r="I24" s="27" t="str">
        <f>IF(G24=1,KILOMETRAJE!E$4,IF(G24=2,KILOMETRAJE!E$5,IF(G24=3,KILOMETRAJE!E$6,IF(G24=4,KILOMETRAJE!E$7,IF(G24=5,KILOMETRAJE!E$8,IF(G24=6,KILOMETRAJE!E$9,IF(G24=7,KILOMETRAJE!E$10,IF(G24=8,KILOMETRAJE!E$11,IF(G24=9,KILOMETRAJE!E$12,IF(G24=10,KILOMETRAJE!E$13,IF(G24=11,KILOMETRAJE!E$14,IF(G24=12,KILOMETRAJE!E$15,IF(G24=13,KILOMETRAJE!E$16,IF(G24=14,KILOMETRAJE!E$17,IF(G24=15,KILOMETRAJE!E$18,IF(G24=16,KILOMETRAJE!E$19,IF(G24=17,KILOMETRAJE!E$20,IF(G24=18,KILOMETRAJE!E$21,IF(G24=19,KILOMETRAJE!E$22,IF(G24=20,KILOMETRAJE!E$23,IF(G24=21,KILOMETRAJE!E$24,IF(G24=22,KILOMETRAJE!E$25,IF(G24=23,KILOMETRAJE!E$26,IF(G24=24,KILOMETRAJE!E$27,IF(G24=25,KILOMETRAJE!E$28,IF(G24=26,KILOMETRAJE!E$29,IF(G24=27,KILOMETRAJE!E$30,IF(G24=28,KILOMETRAJE!E$31,IF(G24=29,KILOMETRAJE!E$32,IF(G24=30,KILOMETRAJE!E$33,IF(G24=31,KILOMETRAJE!E$34,IF(G24=32,KILOMETRAJE!E$35,IF(G24=33,KILOMETRAJE!E$36,IF(G24=34,KILOMETRAJE!E$37,IF(G24=35,KILOMETRAJE!E$38,IF(G24=36,KILOMETRAJE!E$39,IF(G24=37,KILOMETRAJE!E$40,IF(G24=38,KILOMETRAJE!E$41,IF(G24=39,KILOMETRAJE!E$42,IF(G24=40,KILOMETRAJE!E$43,IF(G24=41,KILOMETRAJE!E$44,IF(G24=42,KILOMETRAJE!E$45,IF(G24=43,KILOMETRAJE!E$46,IF(G24=44,KILOMETRAJE!E$47,IF(G24=45,KILOMETRAJE!E$48,IF(G24=46,KILOMETRAJE!E$49,IF(G24=47,KILOMETRAJE!E$50,IF(G24=48,KILOMETRAJE!E$51,IF(G24=49,KILOMETRAJE!E$52,IF(G24=50,KILOMETRAJE!E$53,IF(G24=51,KILOMETRAJE!E$54,IF(G24=52,KILOMETRAJE!E$55,IF(G24=53,KILOMETRAJE!E$56,IF(G24=54,KILOMETRAJE!E$57,IF(G24=55,KILOMETRAJE!E$58,IF(G24=56,KILOMETRAJE!E$59,IF(G24=57,KILOMETRAJE!E$60,IF(G24=58,KILOMETRAJE!E$61,IF(G24=59,KILOMETRAJE!E$62,IF(G24=60,KILOMETRAJE!E$63,IF(G24=61,KILOMETRAJE!E$64,IF(G24=62,KILOMETRAJE!E$65,IF(G24=63,KILOMETRAJE!E$66)))))))))))))))))))))))))))))))))))))))))))))))))))))))))))))))</f>
        <v>JRZ</v>
      </c>
      <c r="J24" s="31">
        <f>IF(G24=1,KILOMETRAJE!G$4,IF(G24=2,KILOMETRAJE!G$5,IF(G24=3,KILOMETRAJE!G$6,IF(G24=4,KILOMETRAJE!G$7,IF(G24=5,KILOMETRAJE!G$8,IF(G24=6,KILOMETRAJE!G$9,IF(G24=7,KILOMETRAJE!G$10,IF(G24=8,KILOMETRAJE!G$11,IF(G24=9,KILOMETRAJE!G$12,IF(G24=10,KILOMETRAJE!G$13,IF(G24=11,KILOMETRAJE!G$14,IF(G24=12,KILOMETRAJE!G$15,IF(G24=13,KILOMETRAJE!G$16,IF(G24=14,KILOMETRAJE!G$17,IF(G24=15,KILOMETRAJE!G$18,IF(G24=16,KILOMETRAJE!G$19,IF(G24=17,KILOMETRAJE!G$20,IF(G24=18,KILOMETRAJE!G$21,IF(G24=19,KILOMETRAJE!G$22,IF(G24=20,KILOMETRAJE!G$23,IF(G24=21,KILOMETRAJE!G$24,IF(G24=22,KILOMETRAJE!G$25,IF(G24=23,KILOMETRAJE!G$26,IF(G24=24,KILOMETRAJE!G$27,IF(G24=25,KILOMETRAJE!G$28,IF(G24=26,KILOMETRAJE!G$29,IF(G24=27,KILOMETRAJE!G$30,IF(G24=28,KILOMETRAJE!G$31,IF(G24=29,KILOMETRAJE!G$32,IF(G24=30,KILOMETRAJE!G$33,IF(G24=31,KILOMETRAJE!G$34,IF(G24=32,KILOMETRAJE!G$35,IF(G24=33,KILOMETRAJE!G$36,IF(G24=34,KILOMETRAJE!G$37,IF(G24=35,KILOMETRAJE!G$38,IF(G24=36,KILOMETRAJE!G$39,IF(G24=37,KILOMETRAJE!G$40,IF(G24=38,KILOMETRAJE!G$41,IF(G24=39,KILOMETRAJE!G$42,IF(G24=40,KILOMETRAJE!G$43,IF(G24=41,KILOMETRAJE!G$44,IF(G24=42,KILOMETRAJE!G$45,IF(G24=43,KILOMETRAJE!G$46,IF(G24=44,KILOMETRAJE!G$47,IF(G24=45,KILOMETRAJE!G$48,IF(G24=46,KILOMETRAJE!G$49,IF(G24=47,KILOMETRAJE!G$50,IF(G24=48,KILOMETRAJE!G$51,IF(G24=49,KILOMETRAJE!G$52,IF(G24=50,KILOMETRAJE!G$53,IF(G24=51,KILOMETRAJE!G$54,IF(G24=52,KILOMETRAJE!G$55,IF(G24=53,KILOMETRAJE!G$56,IF(G24=54,KILOMETRAJE!G$57,IF(G24=55,KILOMETRAJE!G$58,IF(G24=56,KILOMETRAJE!G$59,IF(G24=57,KILOMETRAJE!G$60,IF(G24=58,KILOMETRAJE!G$61,IF(G24=59,KILOMETRAJE!G$62,IF(G24=60,KILOMETRAJE!G$63,IF(G24=61,KILOMETRAJE!G$64,IF(G24=62,KILOMETRAJE!G$65,IF(G24=63,KILOMETRAJE!G$66)))))))))))))))))))))))))))))))))))))))))))))))))))))))))))))))</f>
        <v>375</v>
      </c>
      <c r="K24" s="27">
        <v>253.07</v>
      </c>
      <c r="L24" s="28">
        <f>SUM(J23:J24)/K24</f>
        <v>3.1216659422294226</v>
      </c>
      <c r="M24" s="349">
        <v>2961</v>
      </c>
      <c r="N24" s="27">
        <v>1</v>
      </c>
      <c r="O24" s="27" t="s">
        <v>428</v>
      </c>
      <c r="P24" s="27" t="s">
        <v>199</v>
      </c>
      <c r="Q24" s="29">
        <f>((((IF(N24=1,((J24)*0.29333)))+(IF(N24=2,((J24)*0.146666)))+(IF(N24=3,((J24)*0.146666)))))+(IF(N24=4,((J24-40)*0.29333)))+(IF(N24=5,((J24-50)*0.29333)))+(IF(N24=6,((J24-90)*0.29333))))</f>
        <v>109.99874999999999</v>
      </c>
      <c r="R24" s="190">
        <v>2.4500000000000002</v>
      </c>
      <c r="S24" s="19">
        <f>+((SUM(J23:J24)-40)/R24)-K24</f>
        <v>53.052448979591816</v>
      </c>
      <c r="T24" s="30">
        <f>+S24*14.85</f>
        <v>787.82886734693841</v>
      </c>
      <c r="U24" s="14" t="s">
        <v>376</v>
      </c>
    </row>
    <row r="25" spans="2:24" x14ac:dyDescent="0.2">
      <c r="C25" s="176">
        <v>46165</v>
      </c>
      <c r="D25" s="43" t="s">
        <v>425</v>
      </c>
      <c r="E25" s="42">
        <v>45961</v>
      </c>
      <c r="F25" s="42">
        <v>45962</v>
      </c>
      <c r="G25" s="43">
        <v>4</v>
      </c>
      <c r="H25" s="236" t="str">
        <f>IF(G25=1,KILOMETRAJE!C$4,IF(G25=2,KILOMETRAJE!C$5,IF(G25=3,KILOMETRAJE!C$6,IF(G25=4,KILOMETRAJE!C$7,IF(G25=5,KILOMETRAJE!C$8,IF(G25=6,KILOMETRAJE!C$9,IF(G25=7,KILOMETRAJE!C$10,IF(G25=8,KILOMETRAJE!C$11,IF(G25=9,KILOMETRAJE!C$12,IF(G25=10,KILOMETRAJE!C$13,IF(G25=11,KILOMETRAJE!C$14,IF(G25=12,KILOMETRAJE!C$15,IF(G25=13,KILOMETRAJE!C$16,IF(G25=14,KILOMETRAJE!C$17,IF(G25=15,KILOMETRAJE!C$18,IF(G25=16,KILOMETRAJE!C$19,IF(G25=17,KILOMETRAJE!C$20,IF(G25=18,KILOMETRAJE!C$21,IF(G25=19,KILOMETRAJE!C$22,IF(G25=20,KILOMETRAJE!C$23,IF(G25=21,KILOMETRAJE!C$24,IF(G25=22,KILOMETRAJE!C$25,IF(G25=23,KILOMETRAJE!C$26,IF(G25=24,KILOMETRAJE!C$27,IF(G25=25,KILOMETRAJE!C$28,IF(G25=26,KILOMETRAJE!C$29,IF(G25=27,KILOMETRAJE!C$30,IF(G25=28,KILOMETRAJE!C$31,IF(G25=29,KILOMETRAJE!C$32,IF(G25=30,KILOMETRAJE!C$33,IF(G25=31,KILOMETRAJE!C$34,IF(G25=32,KILOMETRAJE!C$35,IF(G25=33,KILOMETRAJE!C$36,IF(G25=34,KILOMETRAJE!C$37,IF(G25=35,KILOMETRAJE!C$38,IF(G25=36,KILOMETRAJE!C$39,IF(G25=37,KILOMETRAJE!C$40,IF(G25=38,KILOMETRAJE!C$41,IF(G25=39,KILOMETRAJE!C$42,IF(G25=40,KILOMETRAJE!C$43,IF(G25=41,KILOMETRAJE!C$44,IF(G25=42,KILOMETRAJE!C$45,IF(G25=43,KILOMETRAJE!C$46,IF(G25=44,KILOMETRAJE!C$47,IF(G25=45,KILOMETRAJE!C$48,IF(G25=46,KILOMETRAJE!C$49,IF(G25=47,KILOMETRAJE!C$50,IF(G25=48,KILOMETRAJE!C$51,IF(G25=49,KILOMETRAJE!C$52,IF(G25=50,KILOMETRAJE!C$53,IF(G25=51,KILOMETRAJE!C$54,IF(G25=52,KILOMETRAJE!C$55,IF(G25=53,KILOMETRAJE!C$56,IF(G25=54,KILOMETRAJE!C$57,IF(G25=55,KILOMETRAJE!C$58,IF(G25=56,KILOMETRAJE!C$59,IF(G25=57,KILOMETRAJE!C$60,IF(G25=58,KILOMETRAJE!C$61,IF(G25=59,KILOMETRAJE!C$62,IF(G25=60,KILOMETRAJE!C$63,IF(G25=61,KILOMETRAJE!C$64,IF(G25=62,KILOMETRAJE!C$65,IF(G25=63,KILOMETRAJE!C$66)))))))))))))))))))))))))))))))))))))))))))))))))))))))))))))))</f>
        <v xml:space="preserve">ELP. </v>
      </c>
      <c r="I25" s="236" t="str">
        <f>IF(G25=1,KILOMETRAJE!E$4,IF(G25=2,KILOMETRAJE!E$5,IF(G25=3,KILOMETRAJE!E$6,IF(G25=4,KILOMETRAJE!E$7,IF(G25=5,KILOMETRAJE!E$8,IF(G25=6,KILOMETRAJE!E$9,IF(G25=7,KILOMETRAJE!E$10,IF(G25=8,KILOMETRAJE!E$11,IF(G25=9,KILOMETRAJE!E$12,IF(G25=10,KILOMETRAJE!E$13,IF(G25=11,KILOMETRAJE!E$14,IF(G25=12,KILOMETRAJE!E$15,IF(G25=13,KILOMETRAJE!E$16,IF(G25=14,KILOMETRAJE!E$17,IF(G25=15,KILOMETRAJE!E$18,IF(G25=16,KILOMETRAJE!E$19,IF(G25=17,KILOMETRAJE!E$20,IF(G25=18,KILOMETRAJE!E$21,IF(G25=19,KILOMETRAJE!E$22,IF(G25=20,KILOMETRAJE!E$23,IF(G25=21,KILOMETRAJE!E$24,IF(G25=22,KILOMETRAJE!E$25,IF(G25=23,KILOMETRAJE!E$26,IF(G25=24,KILOMETRAJE!E$27,IF(G25=25,KILOMETRAJE!E$28,IF(G25=26,KILOMETRAJE!E$29,IF(G25=27,KILOMETRAJE!E$30,IF(G25=28,KILOMETRAJE!E$31,IF(G25=29,KILOMETRAJE!E$32,IF(G25=30,KILOMETRAJE!E$33,IF(G25=31,KILOMETRAJE!E$34,IF(G25=32,KILOMETRAJE!E$35,IF(G25=33,KILOMETRAJE!E$36,IF(G25=34,KILOMETRAJE!E$37,IF(G25=35,KILOMETRAJE!E$38,IF(G25=36,KILOMETRAJE!E$39,IF(G25=37,KILOMETRAJE!E$40,IF(G25=38,KILOMETRAJE!E$41,IF(G25=39,KILOMETRAJE!E$42,IF(G25=40,KILOMETRAJE!E$43,IF(G25=41,KILOMETRAJE!E$44,IF(G25=42,KILOMETRAJE!E$45,IF(G25=43,KILOMETRAJE!E$46,IF(G25=44,KILOMETRAJE!E$47,IF(G25=45,KILOMETRAJE!E$48,IF(G25=46,KILOMETRAJE!E$49,IF(G25=47,KILOMETRAJE!E$50,IF(G25=48,KILOMETRAJE!E$51,IF(G25=49,KILOMETRAJE!E$52,IF(G25=50,KILOMETRAJE!E$53,IF(G25=51,KILOMETRAJE!E$54,IF(G25=52,KILOMETRAJE!E$55,IF(G25=53,KILOMETRAJE!E$56,IF(G25=54,KILOMETRAJE!E$57,IF(G25=55,KILOMETRAJE!E$58,IF(G25=56,KILOMETRAJE!E$59,IF(G25=57,KILOMETRAJE!E$60,IF(G25=58,KILOMETRAJE!E$61,IF(G25=59,KILOMETRAJE!E$62,IF(G25=60,KILOMETRAJE!E$63,IF(G25=61,KILOMETRAJE!E$64,IF(G25=62,KILOMETRAJE!E$65,IF(G25=63,KILOMETRAJE!E$66)))))))))))))))))))))))))))))))))))))))))))))))))))))))))))))))</f>
        <v>CHIH.</v>
      </c>
      <c r="J25" s="237">
        <f>IF(G25=1,KILOMETRAJE!G$4,IF(G25=2,KILOMETRAJE!G$5,IF(G25=3,KILOMETRAJE!G$6,IF(G25=4,KILOMETRAJE!G$7,IF(G25=5,KILOMETRAJE!G$8,IF(G25=6,KILOMETRAJE!G$9,IF(G25=7,KILOMETRAJE!G$10,IF(G25=8,KILOMETRAJE!G$11,IF(G25=9,KILOMETRAJE!G$12,IF(G25=10,KILOMETRAJE!G$13,IF(G25=11,KILOMETRAJE!G$14,IF(G25=12,KILOMETRAJE!G$15,IF(G25=13,KILOMETRAJE!G$16,IF(G25=14,KILOMETRAJE!G$17,IF(G25=15,KILOMETRAJE!G$18,IF(G25=16,KILOMETRAJE!G$19,IF(G25=17,KILOMETRAJE!G$20,IF(G25=18,KILOMETRAJE!G$21,IF(G25=19,KILOMETRAJE!G$22,IF(G25=20,KILOMETRAJE!G$23,IF(G25=21,KILOMETRAJE!G$24,IF(G25=22,KILOMETRAJE!G$25,IF(G25=23,KILOMETRAJE!G$26,IF(G25=24,KILOMETRAJE!G$27,IF(G25=25,KILOMETRAJE!G$28,IF(G25=26,KILOMETRAJE!G$29,IF(G25=27,KILOMETRAJE!G$30,IF(G25=28,KILOMETRAJE!G$31,IF(G25=29,KILOMETRAJE!G$32,IF(G25=30,KILOMETRAJE!G$33,IF(G25=31,KILOMETRAJE!G$34,IF(G25=32,KILOMETRAJE!G$35,IF(G25=33,KILOMETRAJE!G$36,IF(G25=34,KILOMETRAJE!G$37,IF(G25=35,KILOMETRAJE!G$38,IF(G25=36,KILOMETRAJE!G$39,IF(G25=37,KILOMETRAJE!G$40,IF(G25=38,KILOMETRAJE!G$41,IF(G25=39,KILOMETRAJE!G$42,IF(G25=40,KILOMETRAJE!G$43,IF(G25=41,KILOMETRAJE!G$44,IF(G25=42,KILOMETRAJE!G$45,IF(G25=43,KILOMETRAJE!G$46,IF(G25=44,KILOMETRAJE!G$47,IF(G25=45,KILOMETRAJE!G$48,IF(G25=46,KILOMETRAJE!G$49,IF(G25=47,KILOMETRAJE!G$50,IF(G25=48,KILOMETRAJE!G$51,IF(G25=49,KILOMETRAJE!G$52,IF(G25=50,KILOMETRAJE!G$53,IF(G25=51,KILOMETRAJE!G$54,IF(G25=52,KILOMETRAJE!G$55,IF(G25=53,KILOMETRAJE!G$56,IF(G25=54,KILOMETRAJE!G$57,IF(G25=55,KILOMETRAJE!G$58,IF(G25=56,KILOMETRAJE!G$59,IF(G25=57,KILOMETRAJE!G$60,IF(G25=58,KILOMETRAJE!G$61,IF(G25=59,KILOMETRAJE!G$62,IF(G25=60,KILOMETRAJE!G$63,IF(G25=61,KILOMETRAJE!G$64,IF(G25=62,KILOMETRAJE!G$65,IF(G25=63,KILOMETRAJE!G$66)))))))))))))))))))))))))))))))))))))))))))))))))))))))))))))))</f>
        <v>415</v>
      </c>
      <c r="K25" s="24"/>
      <c r="L25" s="44"/>
      <c r="M25" s="348">
        <v>5031</v>
      </c>
      <c r="N25" s="24">
        <v>4</v>
      </c>
      <c r="O25" s="24" t="s">
        <v>429</v>
      </c>
      <c r="P25" s="24" t="s">
        <v>193</v>
      </c>
      <c r="Q25" s="45">
        <f t="shared" ref="Q25" si="3">((((IF(N25=1,((J25)*0.29333)))+(IF(N25=2,((J25)*0.146666)))+(IF(N25=3,((J25)*0.146666)))))+(IF(N25=4,((J25-40)*0.29333)))+(IF(N25=5,((J25-50)*0.29333)))+(IF(N25=6,((J25-90)*0.29333))))</f>
        <v>109.99874999999999</v>
      </c>
      <c r="R25" s="191"/>
      <c r="S25" s="52"/>
      <c r="T25" s="46"/>
      <c r="X25" s="244"/>
    </row>
    <row r="26" spans="2:24" ht="12.75" thickBot="1" x14ac:dyDescent="0.25">
      <c r="C26" s="101"/>
      <c r="D26" s="62" t="s">
        <v>426</v>
      </c>
      <c r="E26" s="25">
        <v>45962</v>
      </c>
      <c r="F26" s="25">
        <v>45962</v>
      </c>
      <c r="G26" s="62">
        <v>3</v>
      </c>
      <c r="H26" s="27" t="str">
        <f>IF(G26=1,KILOMETRAJE!C$4,IF(G26=2,KILOMETRAJE!C$5,IF(G26=3,KILOMETRAJE!C$6,IF(G26=4,KILOMETRAJE!C$7,IF(G26=5,KILOMETRAJE!C$8,IF(G26=6,KILOMETRAJE!C$9,IF(G26=7,KILOMETRAJE!C$10,IF(G26=8,KILOMETRAJE!C$11,IF(G26=9,KILOMETRAJE!C$12,IF(G26=10,KILOMETRAJE!C$13,IF(G26=11,KILOMETRAJE!C$14,IF(G26=12,KILOMETRAJE!C$15,IF(G26=13,KILOMETRAJE!C$16,IF(G26=14,KILOMETRAJE!C$17,IF(G26=15,KILOMETRAJE!C$18,IF(G26=16,KILOMETRAJE!C$19,IF(G26=17,KILOMETRAJE!C$20,IF(G26=18,KILOMETRAJE!C$21,IF(G26=19,KILOMETRAJE!C$22,IF(G26=20,KILOMETRAJE!C$23,IF(G26=21,KILOMETRAJE!C$24,IF(G26=22,KILOMETRAJE!C$25,IF(G26=23,KILOMETRAJE!C$26,IF(G26=24,KILOMETRAJE!C$27,IF(G26=25,KILOMETRAJE!C$28,IF(G26=26,KILOMETRAJE!C$29,IF(G26=27,KILOMETRAJE!C$30,IF(G26=28,KILOMETRAJE!C$31,IF(G26=29,KILOMETRAJE!C$32,IF(G26=30,KILOMETRAJE!C$33,IF(G26=31,KILOMETRAJE!C$34,IF(G26=32,KILOMETRAJE!C$35,IF(G26=33,KILOMETRAJE!C$36,IF(G26=34,KILOMETRAJE!C$37,IF(G26=35,KILOMETRAJE!C$38,IF(G26=36,KILOMETRAJE!C$39,IF(G26=37,KILOMETRAJE!C$40,IF(G26=38,KILOMETRAJE!C$41,IF(G26=39,KILOMETRAJE!C$42,IF(G26=40,KILOMETRAJE!C$43,IF(G26=41,KILOMETRAJE!C$44,IF(G26=42,KILOMETRAJE!C$45,IF(G26=43,KILOMETRAJE!C$46,IF(G26=44,KILOMETRAJE!C$47,IF(G26=45,KILOMETRAJE!C$48,IF(G26=46,KILOMETRAJE!C$49,IF(G26=47,KILOMETRAJE!C$50,IF(G26=48,KILOMETRAJE!C$51,IF(G26=49,KILOMETRAJE!C$52,IF(G26=50,KILOMETRAJE!C$53,IF(G26=51,KILOMETRAJE!C$54,IF(G26=52,KILOMETRAJE!C$55,IF(G26=53,KILOMETRAJE!C$56,IF(G26=54,KILOMETRAJE!C$57,IF(G26=55,KILOMETRAJE!C$58,IF(G26=56,KILOMETRAJE!C$59,IF(G26=57,KILOMETRAJE!C$60,IF(G26=58,KILOMETRAJE!C$61,IF(G26=59,KILOMETRAJE!C$62,IF(G26=60,KILOMETRAJE!C$63,IF(G26=61,KILOMETRAJE!C$64,IF(G26=62,KILOMETRAJE!C$65,IF(G26=63,KILOMETRAJE!C$66)))))))))))))))))))))))))))))))))))))))))))))))))))))))))))))))</f>
        <v xml:space="preserve">CHIH. </v>
      </c>
      <c r="I26" s="27" t="str">
        <f>IF(G26=1,KILOMETRAJE!E$4,IF(G26=2,KILOMETRAJE!E$5,IF(G26=3,KILOMETRAJE!E$6,IF(G26=4,KILOMETRAJE!E$7,IF(G26=5,KILOMETRAJE!E$8,IF(G26=6,KILOMETRAJE!E$9,IF(G26=7,KILOMETRAJE!E$10,IF(G26=8,KILOMETRAJE!E$11,IF(G26=9,KILOMETRAJE!E$12,IF(G26=10,KILOMETRAJE!E$13,IF(G26=11,KILOMETRAJE!E$14,IF(G26=12,KILOMETRAJE!E$15,IF(G26=13,KILOMETRAJE!E$16,IF(G26=14,KILOMETRAJE!E$17,IF(G26=15,KILOMETRAJE!E$18,IF(G26=16,KILOMETRAJE!E$19,IF(G26=17,KILOMETRAJE!E$20,IF(G26=18,KILOMETRAJE!E$21,IF(G26=19,KILOMETRAJE!E$22,IF(G26=20,KILOMETRAJE!E$23,IF(G26=21,KILOMETRAJE!E$24,IF(G26=22,KILOMETRAJE!E$25,IF(G26=23,KILOMETRAJE!E$26,IF(G26=24,KILOMETRAJE!E$27,IF(G26=25,KILOMETRAJE!E$28,IF(G26=26,KILOMETRAJE!E$29,IF(G26=27,KILOMETRAJE!E$30,IF(G26=28,KILOMETRAJE!E$31,IF(G26=29,KILOMETRAJE!E$32,IF(G26=30,KILOMETRAJE!E$33,IF(G26=31,KILOMETRAJE!E$34,IF(G26=32,KILOMETRAJE!E$35,IF(G26=33,KILOMETRAJE!E$36,IF(G26=34,KILOMETRAJE!E$37,IF(G26=35,KILOMETRAJE!E$38,IF(G26=36,KILOMETRAJE!E$39,IF(G26=37,KILOMETRAJE!E$40,IF(G26=38,KILOMETRAJE!E$41,IF(G26=39,KILOMETRAJE!E$42,IF(G26=40,KILOMETRAJE!E$43,IF(G26=41,KILOMETRAJE!E$44,IF(G26=42,KILOMETRAJE!E$45,IF(G26=43,KILOMETRAJE!E$46,IF(G26=44,KILOMETRAJE!E$47,IF(G26=45,KILOMETRAJE!E$48,IF(G26=46,KILOMETRAJE!E$49,IF(G26=47,KILOMETRAJE!E$50,IF(G26=48,KILOMETRAJE!E$51,IF(G26=49,KILOMETRAJE!E$52,IF(G26=50,KILOMETRAJE!E$53,IF(G26=51,KILOMETRAJE!E$54,IF(G26=52,KILOMETRAJE!E$55,IF(G26=53,KILOMETRAJE!E$56,IF(G26=54,KILOMETRAJE!E$57,IF(G26=55,KILOMETRAJE!E$58,IF(G26=56,KILOMETRAJE!E$59,IF(G26=57,KILOMETRAJE!E$60,IF(G26=58,KILOMETRAJE!E$61,IF(G26=59,KILOMETRAJE!E$62,IF(G26=60,KILOMETRAJE!E$63,IF(G26=61,KILOMETRAJE!E$64,IF(G26=62,KILOMETRAJE!E$65,IF(G26=63,KILOMETRAJE!E$66)))))))))))))))))))))))))))))))))))))))))))))))))))))))))))))))</f>
        <v>JRZ</v>
      </c>
      <c r="J26" s="31">
        <f>IF(G26=1,KILOMETRAJE!G$4,IF(G26=2,KILOMETRAJE!G$5,IF(G26=3,KILOMETRAJE!G$6,IF(G26=4,KILOMETRAJE!G$7,IF(G26=5,KILOMETRAJE!G$8,IF(G26=6,KILOMETRAJE!G$9,IF(G26=7,KILOMETRAJE!G$10,IF(G26=8,KILOMETRAJE!G$11,IF(G26=9,KILOMETRAJE!G$12,IF(G26=10,KILOMETRAJE!G$13,IF(G26=11,KILOMETRAJE!G$14,IF(G26=12,KILOMETRAJE!G$15,IF(G26=13,KILOMETRAJE!G$16,IF(G26=14,KILOMETRAJE!G$17,IF(G26=15,KILOMETRAJE!G$18,IF(G26=16,KILOMETRAJE!G$19,IF(G26=17,KILOMETRAJE!G$20,IF(G26=18,KILOMETRAJE!G$21,IF(G26=19,KILOMETRAJE!G$22,IF(G26=20,KILOMETRAJE!G$23,IF(G26=21,KILOMETRAJE!G$24,IF(G26=22,KILOMETRAJE!G$25,IF(G26=23,KILOMETRAJE!G$26,IF(G26=24,KILOMETRAJE!G$27,IF(G26=25,KILOMETRAJE!G$28,IF(G26=26,KILOMETRAJE!G$29,IF(G26=27,KILOMETRAJE!G$30,IF(G26=28,KILOMETRAJE!G$31,IF(G26=29,KILOMETRAJE!G$32,IF(G26=30,KILOMETRAJE!G$33,IF(G26=31,KILOMETRAJE!G$34,IF(G26=32,KILOMETRAJE!G$35,IF(G26=33,KILOMETRAJE!G$36,IF(G26=34,KILOMETRAJE!G$37,IF(G26=35,KILOMETRAJE!G$38,IF(G26=36,KILOMETRAJE!G$39,IF(G26=37,KILOMETRAJE!G$40,IF(G26=38,KILOMETRAJE!G$41,IF(G26=39,KILOMETRAJE!G$42,IF(G26=40,KILOMETRAJE!G$43,IF(G26=41,KILOMETRAJE!G$44,IF(G26=42,KILOMETRAJE!G$45,IF(G26=43,KILOMETRAJE!G$46,IF(G26=44,KILOMETRAJE!G$47,IF(G26=45,KILOMETRAJE!G$48,IF(G26=46,KILOMETRAJE!G$49,IF(G26=47,KILOMETRAJE!G$50,IF(G26=48,KILOMETRAJE!G$51,IF(G26=49,KILOMETRAJE!G$52,IF(G26=50,KILOMETRAJE!G$53,IF(G26=51,KILOMETRAJE!G$54,IF(G26=52,KILOMETRAJE!G$55,IF(G26=53,KILOMETRAJE!G$56,IF(G26=54,KILOMETRAJE!G$57,IF(G26=55,KILOMETRAJE!G$58,IF(G26=56,KILOMETRAJE!G$59,IF(G26=57,KILOMETRAJE!G$60,IF(G26=58,KILOMETRAJE!G$61,IF(G26=59,KILOMETRAJE!G$62,IF(G26=60,KILOMETRAJE!G$63,IF(G26=61,KILOMETRAJE!G$64,IF(G26=62,KILOMETRAJE!G$65,IF(G26=63,KILOMETRAJE!G$66)))))))))))))))))))))))))))))))))))))))))))))))))))))))))))))))</f>
        <v>375</v>
      </c>
      <c r="K26" s="27">
        <v>230.01</v>
      </c>
      <c r="L26" s="28">
        <f>SUM(J25:J26)/K26</f>
        <v>3.4346332768140515</v>
      </c>
      <c r="M26" s="349">
        <v>1699</v>
      </c>
      <c r="N26" s="27">
        <v>1</v>
      </c>
      <c r="O26" s="27" t="s">
        <v>430</v>
      </c>
      <c r="P26" s="27" t="s">
        <v>191</v>
      </c>
      <c r="Q26" s="29">
        <f>((((IF(N26=1,((J26)*0.29333)))+(IF(N26=2,((J26)*0.146666)))+(IF(N26=3,((J26)*0.146666)))))+(IF(N26=4,((J26-40)*0.29333)))+(IF(N26=5,((J26-50)*0.29333)))+(IF(N26=6,((J26-90)*0.29333))))</f>
        <v>109.99874999999999</v>
      </c>
      <c r="R26" s="190">
        <v>2.4500000000000002</v>
      </c>
      <c r="S26" s="19">
        <f>+((SUM(J25:J26)-40)/R26)-K26</f>
        <v>76.112448979591818</v>
      </c>
      <c r="T26" s="30">
        <f>+S26*14.85</f>
        <v>1130.2698673469386</v>
      </c>
    </row>
    <row r="27" spans="2:24" x14ac:dyDescent="0.2">
      <c r="C27" s="176">
        <v>46180</v>
      </c>
      <c r="D27" s="43" t="s">
        <v>431</v>
      </c>
      <c r="E27" s="42">
        <v>45962</v>
      </c>
      <c r="F27" s="42">
        <v>45964</v>
      </c>
      <c r="G27" s="43">
        <v>2</v>
      </c>
      <c r="H27" s="65" t="str">
        <f>IF(G27=1,KILOMETRAJE!C$4,IF(G27=2,KILOMETRAJE!C$5,IF(G27=3,KILOMETRAJE!C$6,IF(G27=4,KILOMETRAJE!C$7,IF(G27=5,KILOMETRAJE!C$8,IF(G27=6,KILOMETRAJE!C$9,IF(G27=7,KILOMETRAJE!C$10,IF(G27=8,KILOMETRAJE!C$11,IF(G27=9,KILOMETRAJE!C$12,IF(G27=10,KILOMETRAJE!C$13,IF(G27=11,KILOMETRAJE!C$14,IF(G27=12,KILOMETRAJE!C$15,IF(G27=13,KILOMETRAJE!C$16,IF(G27=14,KILOMETRAJE!C$17,IF(G27=15,KILOMETRAJE!C$18,IF(G27=16,KILOMETRAJE!C$19,IF(G27=17,KILOMETRAJE!C$20,IF(G27=18,KILOMETRAJE!C$21,IF(G27=19,KILOMETRAJE!C$22,IF(G27=20,KILOMETRAJE!C$23,IF(G27=21,KILOMETRAJE!C$24,IF(G27=22,KILOMETRAJE!C$25,IF(G27=23,KILOMETRAJE!C$26,IF(G27=24,KILOMETRAJE!C$27,IF(G27=25,KILOMETRAJE!C$28,IF(G27=26,KILOMETRAJE!C$29,IF(G27=27,KILOMETRAJE!C$30,IF(G27=28,KILOMETRAJE!C$31,IF(G27=29,KILOMETRAJE!C$32,IF(G27=30,KILOMETRAJE!C$33,IF(G27=31,KILOMETRAJE!C$34,IF(G27=32,KILOMETRAJE!C$35,IF(G27=33,KILOMETRAJE!C$36,IF(G27=34,KILOMETRAJE!C$37,IF(G27=35,KILOMETRAJE!C$38,IF(G27=36,KILOMETRAJE!C$39,IF(G27=37,KILOMETRAJE!C$40,IF(G27=38,KILOMETRAJE!C$41,IF(G27=39,KILOMETRAJE!C$42,IF(G27=40,KILOMETRAJE!C$43,IF(G27=41,KILOMETRAJE!C$44,IF(G27=42,KILOMETRAJE!C$45,IF(G27=43,KILOMETRAJE!C$46,IF(G27=44,KILOMETRAJE!C$47,IF(G27=45,KILOMETRAJE!C$48,IF(G27=46,KILOMETRAJE!C$49,IF(G27=47,KILOMETRAJE!C$50,IF(G27=48,KILOMETRAJE!C$51,IF(G27=49,KILOMETRAJE!C$52,IF(G27=50,KILOMETRAJE!C$53,IF(G27=51,KILOMETRAJE!C$54,IF(G27=52,KILOMETRAJE!C$55,IF(G27=53,KILOMETRAJE!C$56,IF(G27=54,KILOMETRAJE!C$57,IF(G27=55,KILOMETRAJE!C$58,IF(G27=56,KILOMETRAJE!C$59,IF(G27=57,KILOMETRAJE!C$60,IF(G27=58,KILOMETRAJE!C$61,IF(G27=59,KILOMETRAJE!C$62,IF(G27=60,KILOMETRAJE!C$63,IF(G27=61,KILOMETRAJE!C$64,IF(G27=62,KILOMETRAJE!C$65,IF(G27=63,KILOMETRAJE!C$66)))))))))))))))))))))))))))))))))))))))))))))))))))))))))))))))</f>
        <v>JRZ</v>
      </c>
      <c r="I27" s="24" t="str">
        <f>IF(G27=1,KILOMETRAJE!E$4,IF(G27=2,KILOMETRAJE!E$5,IF(G27=3,KILOMETRAJE!E$6,IF(G27=4,KILOMETRAJE!E$7,IF(G27=5,KILOMETRAJE!E$8,IF(G27=6,KILOMETRAJE!E$9,IF(G27=7,KILOMETRAJE!E$10,IF(G27=8,KILOMETRAJE!E$11,IF(G27=9,KILOMETRAJE!E$12,IF(G27=10,KILOMETRAJE!E$13,IF(G27=11,KILOMETRAJE!E$14,IF(G27=12,KILOMETRAJE!E$15,IF(G27=13,KILOMETRAJE!E$16,IF(G27=14,KILOMETRAJE!E$17,IF(G27=15,KILOMETRAJE!E$18,IF(G27=16,KILOMETRAJE!E$19,IF(G27=17,KILOMETRAJE!E$20,IF(G27=18,KILOMETRAJE!E$21,IF(G27=19,KILOMETRAJE!E$22,IF(G27=20,KILOMETRAJE!E$23,IF(G27=21,KILOMETRAJE!E$24,IF(G27=22,KILOMETRAJE!E$25,IF(G27=23,KILOMETRAJE!E$26,IF(G27=24,KILOMETRAJE!E$27,IF(G27=25,KILOMETRAJE!E$28,IF(G27=26,KILOMETRAJE!E$29,IF(G27=27,KILOMETRAJE!E$30,IF(G27=28,KILOMETRAJE!E$31,IF(G27=29,KILOMETRAJE!E$32,IF(G27=30,KILOMETRAJE!E$33,IF(G27=31,KILOMETRAJE!E$34,IF(G27=32,KILOMETRAJE!E$35,IF(G27=33,KILOMETRAJE!E$36,IF(G27=34,KILOMETRAJE!E$37,IF(G27=35,KILOMETRAJE!E$38,IF(G27=36,KILOMETRAJE!E$39,IF(G27=37,KILOMETRAJE!E$40,IF(G27=38,KILOMETRAJE!E$41,IF(G27=39,KILOMETRAJE!E$42,IF(G27=40,KILOMETRAJE!E$43,IF(G27=41,KILOMETRAJE!E$44,IF(G27=42,KILOMETRAJE!E$45,IF(G27=43,KILOMETRAJE!E$46,IF(G27=44,KILOMETRAJE!E$47,IF(G27=45,KILOMETRAJE!E$48,IF(G27=46,KILOMETRAJE!E$49,IF(G27=47,KILOMETRAJE!E$50,IF(G27=48,KILOMETRAJE!E$51,IF(G27=49,KILOMETRAJE!E$52,IF(G27=50,KILOMETRAJE!E$53,IF(G27=51,KILOMETRAJE!E$54,IF(G27=52,KILOMETRAJE!E$55,IF(G27=53,KILOMETRAJE!E$56,IF(G27=54,KILOMETRAJE!E$57,IF(G27=55,KILOMETRAJE!E$58,IF(G27=56,KILOMETRAJE!E$59,IF(G27=57,KILOMETRAJE!E$60,IF(G27=58,KILOMETRAJE!E$61,IF(G27=59,KILOMETRAJE!E$62,IF(G27=60,KILOMETRAJE!E$63,IF(G27=61,KILOMETRAJE!E$64,IF(G27=62,KILOMETRAJE!E$65,IF(G27=63,KILOMETRAJE!E$66)))))))))))))))))))))))))))))))))))))))))))))))))))))))))))))))</f>
        <v>CHIH.</v>
      </c>
      <c r="J27" s="51">
        <f>IF(G27=1,KILOMETRAJE!G$4,IF(G27=2,KILOMETRAJE!G$5,IF(G27=3,KILOMETRAJE!G$6,IF(G27=4,KILOMETRAJE!G$7,IF(G27=5,KILOMETRAJE!G$8,IF(G27=6,KILOMETRAJE!G$9,IF(G27=7,KILOMETRAJE!G$10,IF(G27=8,KILOMETRAJE!G$11,IF(G27=9,KILOMETRAJE!G$12,IF(G27=10,KILOMETRAJE!G$13,IF(G27=11,KILOMETRAJE!G$14,IF(G27=12,KILOMETRAJE!G$15,IF(G27=13,KILOMETRAJE!G$16,IF(G27=14,KILOMETRAJE!G$17,IF(G27=15,KILOMETRAJE!G$18,IF(G27=16,KILOMETRAJE!G$19,IF(G27=17,KILOMETRAJE!G$20,IF(G27=18,KILOMETRAJE!G$21,IF(G27=19,KILOMETRAJE!G$22,IF(G27=20,KILOMETRAJE!G$23,IF(G27=21,KILOMETRAJE!G$24,IF(G27=22,KILOMETRAJE!G$25,IF(G27=23,KILOMETRAJE!G$26,IF(G27=24,KILOMETRAJE!G$27,IF(G27=25,KILOMETRAJE!G$28,IF(G27=26,KILOMETRAJE!G$29,IF(G27=27,KILOMETRAJE!G$30,IF(G27=28,KILOMETRAJE!G$31,IF(G27=29,KILOMETRAJE!G$32,IF(G27=30,KILOMETRAJE!G$33,IF(G27=31,KILOMETRAJE!G$34,IF(G27=32,KILOMETRAJE!G$35,IF(G27=33,KILOMETRAJE!G$36,IF(G27=34,KILOMETRAJE!G$37,IF(G27=35,KILOMETRAJE!G$38,IF(G27=36,KILOMETRAJE!G$39,IF(G27=37,KILOMETRAJE!G$40,IF(G27=38,KILOMETRAJE!G$41,IF(G27=39,KILOMETRAJE!G$42,IF(G27=40,KILOMETRAJE!G$43,IF(G27=41,KILOMETRAJE!G$44,IF(G27=42,KILOMETRAJE!G$45,IF(G27=43,KILOMETRAJE!G$46,IF(G27=44,KILOMETRAJE!G$47,IF(G27=45,KILOMETRAJE!G$48,IF(G27=46,KILOMETRAJE!G$49,IF(G27=47,KILOMETRAJE!G$50,IF(G27=48,KILOMETRAJE!G$51,IF(G27=49,KILOMETRAJE!G$52,IF(G27=50,KILOMETRAJE!G$53,IF(G27=51,KILOMETRAJE!G$54,IF(G27=52,KILOMETRAJE!G$55,IF(G27=53,KILOMETRAJE!G$56,IF(G27=54,KILOMETRAJE!G$57,IF(G27=55,KILOMETRAJE!G$58,IF(G27=56,KILOMETRAJE!G$59,IF(G27=57,KILOMETRAJE!G$60,IF(G27=58,KILOMETRAJE!G$61,IF(G27=59,KILOMETRAJE!G$62,IF(G27=60,KILOMETRAJE!G$63,IF(G27=61,KILOMETRAJE!G$64,IF(G27=62,KILOMETRAJE!G$65,IF(G27=63,KILOMETRAJE!G$66)))))))))))))))))))))))))))))))))))))))))))))))))))))))))))))))</f>
        <v>375</v>
      </c>
      <c r="K27" s="24"/>
      <c r="L27" s="44"/>
      <c r="M27" s="348">
        <v>1370</v>
      </c>
      <c r="N27" s="24">
        <v>1</v>
      </c>
      <c r="O27" s="24" t="s">
        <v>433</v>
      </c>
      <c r="P27" s="24" t="s">
        <v>198</v>
      </c>
      <c r="Q27" s="45">
        <f t="shared" ref="Q27" si="4">((((IF(N27=1,((J27)*0.29333)))+(IF(N27=2,((J27)*0.146666)))+(IF(N27=3,((J27)*0.146666)))))+(IF(N27=4,((J27-40)*0.29333)))+(IF(N27=5,((J27-50)*0.29333)))+(IF(N27=6,((J27-90)*0.29333))))</f>
        <v>109.99874999999999</v>
      </c>
      <c r="R27" s="191"/>
      <c r="S27" s="52"/>
      <c r="T27" s="46"/>
    </row>
    <row r="28" spans="2:24" ht="12.75" thickBot="1" x14ac:dyDescent="0.25">
      <c r="C28" s="101"/>
      <c r="D28" s="62" t="s">
        <v>432</v>
      </c>
      <c r="E28" s="25">
        <v>45964</v>
      </c>
      <c r="F28" s="25">
        <v>45964</v>
      </c>
      <c r="G28" s="62">
        <v>4</v>
      </c>
      <c r="H28" s="26" t="str">
        <f>IF(G28=1,KILOMETRAJE!C$4,IF(G28=2,KILOMETRAJE!C$5,IF(G28=3,KILOMETRAJE!C$6,IF(G28=4,KILOMETRAJE!C$7,IF(G28=5,KILOMETRAJE!C$8,IF(G28=6,KILOMETRAJE!C$9,IF(G28=7,KILOMETRAJE!C$10,IF(G28=8,KILOMETRAJE!C$11,IF(G28=9,KILOMETRAJE!C$12,IF(G28=10,KILOMETRAJE!C$13,IF(G28=11,KILOMETRAJE!C$14,IF(G28=12,KILOMETRAJE!C$15,IF(G28=13,KILOMETRAJE!C$16,IF(G28=14,KILOMETRAJE!C$17,IF(G28=15,KILOMETRAJE!C$18,IF(G28=16,KILOMETRAJE!C$19,IF(G28=17,KILOMETRAJE!C$20,IF(G28=18,KILOMETRAJE!C$21,IF(G28=19,KILOMETRAJE!C$22,IF(G28=20,KILOMETRAJE!C$23,IF(G28=21,KILOMETRAJE!C$24,IF(G28=22,KILOMETRAJE!C$25,IF(G28=23,KILOMETRAJE!C$26,IF(G28=24,KILOMETRAJE!C$27,IF(G28=25,KILOMETRAJE!C$28,IF(G28=26,KILOMETRAJE!C$29,IF(G28=27,KILOMETRAJE!C$30,IF(G28=28,KILOMETRAJE!C$31,IF(G28=29,KILOMETRAJE!C$32,IF(G28=30,KILOMETRAJE!C$33,IF(G28=31,KILOMETRAJE!C$34,IF(G28=32,KILOMETRAJE!C$35,IF(G28=33,KILOMETRAJE!C$36,IF(G28=34,KILOMETRAJE!C$37,IF(G28=35,KILOMETRAJE!C$38,IF(G28=36,KILOMETRAJE!C$39,IF(G28=37,KILOMETRAJE!C$40,IF(G28=38,KILOMETRAJE!C$41,IF(G28=39,KILOMETRAJE!C$42,IF(G28=40,KILOMETRAJE!C$43,IF(G28=41,KILOMETRAJE!C$44,IF(G28=42,KILOMETRAJE!C$45,IF(G28=43,KILOMETRAJE!C$46,IF(G28=44,KILOMETRAJE!C$47,IF(G28=45,KILOMETRAJE!C$48,IF(G28=46,KILOMETRAJE!C$49,IF(G28=47,KILOMETRAJE!C$50,IF(G28=48,KILOMETRAJE!C$51,IF(G28=49,KILOMETRAJE!C$52,IF(G28=50,KILOMETRAJE!C$53,IF(G28=51,KILOMETRAJE!C$54,IF(G28=52,KILOMETRAJE!C$55,IF(G28=53,KILOMETRAJE!C$56,IF(G28=54,KILOMETRAJE!C$57,IF(G28=55,KILOMETRAJE!C$58,IF(G28=56,KILOMETRAJE!C$59,IF(G28=57,KILOMETRAJE!C$60,IF(G28=58,KILOMETRAJE!C$61,IF(G28=59,KILOMETRAJE!C$62,IF(G28=60,KILOMETRAJE!C$63,IF(G28=61,KILOMETRAJE!C$64,IF(G28=62,KILOMETRAJE!C$65,IF(G28=63,KILOMETRAJE!C$66)))))))))))))))))))))))))))))))))))))))))))))))))))))))))))))))</f>
        <v xml:space="preserve">ELP. </v>
      </c>
      <c r="I28" s="27" t="str">
        <f>IF(G28=1,KILOMETRAJE!E$4,IF(G28=2,KILOMETRAJE!E$5,IF(G28=3,KILOMETRAJE!E$6,IF(G28=4,KILOMETRAJE!E$7,IF(G28=5,KILOMETRAJE!E$8,IF(G28=6,KILOMETRAJE!E$9,IF(G28=7,KILOMETRAJE!E$10,IF(G28=8,KILOMETRAJE!E$11,IF(G28=9,KILOMETRAJE!E$12,IF(G28=10,KILOMETRAJE!E$13,IF(G28=11,KILOMETRAJE!E$14,IF(G28=12,KILOMETRAJE!E$15,IF(G28=13,KILOMETRAJE!E$16,IF(G28=14,KILOMETRAJE!E$17,IF(G28=15,KILOMETRAJE!E$18,IF(G28=16,KILOMETRAJE!E$19,IF(G28=17,KILOMETRAJE!E$20,IF(G28=18,KILOMETRAJE!E$21,IF(G28=19,KILOMETRAJE!E$22,IF(G28=20,KILOMETRAJE!E$23,IF(G28=21,KILOMETRAJE!E$24,IF(G28=22,KILOMETRAJE!E$25,IF(G28=23,KILOMETRAJE!E$26,IF(G28=24,KILOMETRAJE!E$27,IF(G28=25,KILOMETRAJE!E$28,IF(G28=26,KILOMETRAJE!E$29,IF(G28=27,KILOMETRAJE!E$30,IF(G28=28,KILOMETRAJE!E$31,IF(G28=29,KILOMETRAJE!E$32,IF(G28=30,KILOMETRAJE!E$33,IF(G28=31,KILOMETRAJE!E$34,IF(G28=32,KILOMETRAJE!E$35,IF(G28=33,KILOMETRAJE!E$36,IF(G28=34,KILOMETRAJE!E$37,IF(G28=35,KILOMETRAJE!E$38,IF(G28=36,KILOMETRAJE!E$39,IF(G28=37,KILOMETRAJE!E$40,IF(G28=38,KILOMETRAJE!E$41,IF(G28=39,KILOMETRAJE!E$42,IF(G28=40,KILOMETRAJE!E$43,IF(G28=41,KILOMETRAJE!E$44,IF(G28=42,KILOMETRAJE!E$45,IF(G28=43,KILOMETRAJE!E$46,IF(G28=44,KILOMETRAJE!E$47,IF(G28=45,KILOMETRAJE!E$48,IF(G28=46,KILOMETRAJE!E$49,IF(G28=47,KILOMETRAJE!E$50,IF(G28=48,KILOMETRAJE!E$51,IF(G28=49,KILOMETRAJE!E$52,IF(G28=50,KILOMETRAJE!E$53,IF(G28=51,KILOMETRAJE!E$54,IF(G28=52,KILOMETRAJE!E$55,IF(G28=53,KILOMETRAJE!E$56,IF(G28=54,KILOMETRAJE!E$57,IF(G28=55,KILOMETRAJE!E$58,IF(G28=56,KILOMETRAJE!E$59,IF(G28=57,KILOMETRAJE!E$60,IF(G28=58,KILOMETRAJE!E$61,IF(G28=59,KILOMETRAJE!E$62,IF(G28=60,KILOMETRAJE!E$63,IF(G28=61,KILOMETRAJE!E$64,IF(G28=62,KILOMETRAJE!E$65,IF(G28=63,KILOMETRAJE!E$66)))))))))))))))))))))))))))))))))))))))))))))))))))))))))))))))</f>
        <v>CHIH.</v>
      </c>
      <c r="J28" s="31">
        <f>IF(G28=1,KILOMETRAJE!G$4,IF(G28=2,KILOMETRAJE!G$5,IF(G28=3,KILOMETRAJE!G$6,IF(G28=4,KILOMETRAJE!G$7,IF(G28=5,KILOMETRAJE!G$8,IF(G28=6,KILOMETRAJE!G$9,IF(G28=7,KILOMETRAJE!G$10,IF(G28=8,KILOMETRAJE!G$11,IF(G28=9,KILOMETRAJE!G$12,IF(G28=10,KILOMETRAJE!G$13,IF(G28=11,KILOMETRAJE!G$14,IF(G28=12,KILOMETRAJE!G$15,IF(G28=13,KILOMETRAJE!G$16,IF(G28=14,KILOMETRAJE!G$17,IF(G28=15,KILOMETRAJE!G$18,IF(G28=16,KILOMETRAJE!G$19,IF(G28=17,KILOMETRAJE!G$20,IF(G28=18,KILOMETRAJE!G$21,IF(G28=19,KILOMETRAJE!G$22,IF(G28=20,KILOMETRAJE!G$23,IF(G28=21,KILOMETRAJE!G$24,IF(G28=22,KILOMETRAJE!G$25,IF(G28=23,KILOMETRAJE!G$26,IF(G28=24,KILOMETRAJE!G$27,IF(G28=25,KILOMETRAJE!G$28,IF(G28=26,KILOMETRAJE!G$29,IF(G28=27,KILOMETRAJE!G$30,IF(G28=28,KILOMETRAJE!G$31,IF(G28=29,KILOMETRAJE!G$32,IF(G28=30,KILOMETRAJE!G$33,IF(G28=31,KILOMETRAJE!G$34,IF(G28=32,KILOMETRAJE!G$35,IF(G28=33,KILOMETRAJE!G$36,IF(G28=34,KILOMETRAJE!G$37,IF(G28=35,KILOMETRAJE!G$38,IF(G28=36,KILOMETRAJE!G$39,IF(G28=37,KILOMETRAJE!G$40,IF(G28=38,KILOMETRAJE!G$41,IF(G28=39,KILOMETRAJE!G$42,IF(G28=40,KILOMETRAJE!G$43,IF(G28=41,KILOMETRAJE!G$44,IF(G28=42,KILOMETRAJE!G$45,IF(G28=43,KILOMETRAJE!G$46,IF(G28=44,KILOMETRAJE!G$47,IF(G28=45,KILOMETRAJE!G$48,IF(G28=46,KILOMETRAJE!G$49,IF(G28=47,KILOMETRAJE!G$50,IF(G28=48,KILOMETRAJE!G$51,IF(G28=49,KILOMETRAJE!G$52,IF(G28=50,KILOMETRAJE!G$53,IF(G28=51,KILOMETRAJE!G$54,IF(G28=52,KILOMETRAJE!G$55,IF(G28=53,KILOMETRAJE!G$56,IF(G28=54,KILOMETRAJE!G$57,IF(G28=55,KILOMETRAJE!G$58,IF(G28=56,KILOMETRAJE!G$59,IF(G28=57,KILOMETRAJE!G$60,IF(G28=58,KILOMETRAJE!G$61,IF(G28=59,KILOMETRAJE!G$62,IF(G28=60,KILOMETRAJE!G$63,IF(G28=61,KILOMETRAJE!G$64,IF(G28=62,KILOMETRAJE!G$65,IF(G28=63,KILOMETRAJE!G$66)))))))))))))))))))))))))))))))))))))))))))))))))))))))))))))))</f>
        <v>415</v>
      </c>
      <c r="K28" s="27">
        <v>208.87</v>
      </c>
      <c r="L28" s="28">
        <f>SUM(J27:J28)/K28</f>
        <v>3.7822569062096041</v>
      </c>
      <c r="M28" s="349">
        <v>3051</v>
      </c>
      <c r="N28" s="27">
        <v>4</v>
      </c>
      <c r="O28" s="27" t="s">
        <v>434</v>
      </c>
      <c r="P28" s="27" t="s">
        <v>199</v>
      </c>
      <c r="Q28" s="29">
        <f>((((IF(N28=1,((J28)*0.29333)))+(IF(N28=2,((J28)*0.146666)))+(IF(N28=3,((J28)*0.146666)))))+(IF(N28=4,((J28-40)*0.29333)))+(IF(N28=5,((J28-50)*0.29333)))+(IF(N28=6,((J28-90)*0.29333))))</f>
        <v>109.99874999999999</v>
      </c>
      <c r="R28" s="190">
        <v>2.4500000000000002</v>
      </c>
      <c r="S28" s="19">
        <f>+((SUM(J27:J28)-40)/R28)-K28</f>
        <v>97.252448979591804</v>
      </c>
      <c r="T28" s="30">
        <f>+S28*14.85</f>
        <v>1444.1988673469382</v>
      </c>
    </row>
    <row r="29" spans="2:24" hidden="1" x14ac:dyDescent="0.2">
      <c r="C29" s="372"/>
      <c r="D29" s="37"/>
      <c r="E29" s="37"/>
      <c r="F29" s="37"/>
      <c r="G29" s="36"/>
      <c r="H29" s="47"/>
      <c r="I29" s="38"/>
      <c r="J29" s="39"/>
      <c r="K29" s="38"/>
      <c r="L29" s="48"/>
      <c r="M29" s="350"/>
      <c r="N29" s="38"/>
      <c r="O29" s="38"/>
      <c r="P29" s="38"/>
      <c r="Q29" s="40"/>
      <c r="R29" s="192"/>
      <c r="S29" s="186"/>
      <c r="T29" s="40"/>
    </row>
    <row r="30" spans="2:24" hidden="1" x14ac:dyDescent="0.2">
      <c r="C30" s="344"/>
      <c r="D30" s="61"/>
      <c r="E30" s="12"/>
      <c r="F30" s="12"/>
      <c r="G30" s="61"/>
      <c r="H30" s="363"/>
      <c r="I30" s="11"/>
      <c r="J30" s="22"/>
      <c r="K30" s="11"/>
      <c r="L30" s="23"/>
      <c r="M30" s="371"/>
      <c r="N30" s="11"/>
      <c r="O30" s="11"/>
      <c r="P30" s="11"/>
      <c r="Q30" s="13"/>
      <c r="R30" s="339"/>
      <c r="S30" s="195"/>
      <c r="T30" s="13"/>
    </row>
    <row r="31" spans="2:24" hidden="1" x14ac:dyDescent="0.2">
      <c r="C31" s="344"/>
      <c r="D31" s="61"/>
      <c r="E31" s="12"/>
      <c r="F31" s="12"/>
      <c r="G31" s="61"/>
      <c r="H31" s="363"/>
      <c r="I31" s="11"/>
      <c r="J31" s="22"/>
      <c r="K31" s="11"/>
      <c r="L31" s="23"/>
      <c r="M31" s="371"/>
      <c r="N31" s="11"/>
      <c r="O31" s="11"/>
      <c r="P31" s="11"/>
      <c r="Q31" s="13"/>
      <c r="R31" s="339"/>
      <c r="S31" s="195"/>
      <c r="T31" s="13"/>
    </row>
    <row r="32" spans="2:24" hidden="1" x14ac:dyDescent="0.2">
      <c r="C32" s="344"/>
      <c r="D32" s="61"/>
      <c r="E32" s="12"/>
      <c r="F32" s="12"/>
      <c r="G32" s="61"/>
      <c r="H32" s="363"/>
      <c r="I32" s="11"/>
      <c r="J32" s="22"/>
      <c r="K32" s="11"/>
      <c r="L32" s="23"/>
      <c r="M32" s="371"/>
      <c r="N32" s="11"/>
      <c r="O32" s="11"/>
      <c r="P32" s="11"/>
      <c r="Q32" s="13"/>
      <c r="R32" s="339"/>
      <c r="S32" s="195"/>
      <c r="T32" s="13"/>
    </row>
    <row r="33" spans="3:23" ht="12.75" thickBot="1" x14ac:dyDescent="0.25">
      <c r="G33" s="14" t="s">
        <v>338</v>
      </c>
      <c r="I33" s="15"/>
      <c r="Q33" s="120"/>
      <c r="R33" s="193"/>
      <c r="S33" s="15"/>
    </row>
    <row r="34" spans="3:23" x14ac:dyDescent="0.2">
      <c r="E34" s="629" t="s">
        <v>34</v>
      </c>
      <c r="F34" s="646">
        <f>+'AGUILAR ESQUIVEL CARLOS'!F34</f>
        <v>45957</v>
      </c>
      <c r="G34" s="647"/>
      <c r="H34" s="16">
        <f>+F34+1</f>
        <v>45958</v>
      </c>
      <c r="I34" s="16">
        <f>+H34+1</f>
        <v>45959</v>
      </c>
      <c r="J34" s="16">
        <f>+I34+1</f>
        <v>45960</v>
      </c>
      <c r="K34" s="16">
        <f>+J34+1</f>
        <v>45961</v>
      </c>
      <c r="L34" s="16">
        <f>+K34+2</f>
        <v>45963</v>
      </c>
      <c r="M34" s="17" t="s">
        <v>35</v>
      </c>
    </row>
    <row r="35" spans="3:23" ht="12.75" thickBot="1" x14ac:dyDescent="0.25">
      <c r="E35" s="630"/>
      <c r="F35" s="648"/>
      <c r="G35" s="649"/>
      <c r="H35" s="29">
        <v>1000</v>
      </c>
      <c r="I35" s="29">
        <v>1250</v>
      </c>
      <c r="J35" s="29">
        <v>1250</v>
      </c>
      <c r="K35" s="29">
        <v>625</v>
      </c>
      <c r="L35" s="29">
        <v>500</v>
      </c>
      <c r="M35" s="30">
        <f>SUM(F35:L35)</f>
        <v>4625</v>
      </c>
    </row>
    <row r="36" spans="3:23" ht="12.75" thickBot="1" x14ac:dyDescent="0.25">
      <c r="I36" s="15"/>
    </row>
    <row r="37" spans="3:23" ht="13.5" thickBot="1" x14ac:dyDescent="0.25">
      <c r="C37" s="608" t="s">
        <v>36</v>
      </c>
      <c r="D37" s="609"/>
      <c r="E37" s="609"/>
      <c r="F37" s="609"/>
      <c r="G37" s="610"/>
      <c r="I37" s="620" t="s">
        <v>37</v>
      </c>
      <c r="J37" s="621"/>
      <c r="K37" s="621"/>
      <c r="L37" s="622"/>
      <c r="M37" s="298"/>
      <c r="O37" s="611" t="s">
        <v>38</v>
      </c>
      <c r="P37" s="612"/>
      <c r="Q37" s="613">
        <f>+F49-L46</f>
        <v>12877.673336734693</v>
      </c>
      <c r="R37" s="614"/>
      <c r="S37" s="615"/>
    </row>
    <row r="38" spans="3:23" ht="12.75" thickBot="1" x14ac:dyDescent="0.25">
      <c r="C38" s="616" t="s">
        <v>219</v>
      </c>
      <c r="D38" s="617"/>
      <c r="E38" s="617"/>
      <c r="F38" s="618">
        <f>SUM(Q18:Q33)</f>
        <v>1099.9875</v>
      </c>
      <c r="G38" s="619"/>
      <c r="I38" s="114" t="s">
        <v>125</v>
      </c>
      <c r="J38" s="68" t="s">
        <v>126</v>
      </c>
      <c r="K38" s="68" t="s">
        <v>70</v>
      </c>
      <c r="L38" s="115" t="s">
        <v>127</v>
      </c>
      <c r="M38" s="346"/>
    </row>
    <row r="39" spans="3:23" ht="13.5" customHeight="1" thickBot="1" x14ac:dyDescent="0.25">
      <c r="C39" s="602" t="s">
        <v>220</v>
      </c>
      <c r="D39" s="603"/>
      <c r="E39" s="603"/>
      <c r="F39" s="604">
        <f>SUM(T18:T33)</f>
        <v>5652.6858367346922</v>
      </c>
      <c r="G39" s="605"/>
      <c r="I39" s="328"/>
      <c r="J39" s="329"/>
      <c r="K39" s="43"/>
      <c r="L39" s="119"/>
      <c r="M39" s="346"/>
      <c r="O39" s="325" t="s">
        <v>70</v>
      </c>
      <c r="P39" s="326" t="s">
        <v>71</v>
      </c>
      <c r="Q39" s="64" t="s">
        <v>72</v>
      </c>
      <c r="R39" s="64"/>
      <c r="S39" s="312" t="s">
        <v>73</v>
      </c>
      <c r="T39" s="326" t="s">
        <v>74</v>
      </c>
      <c r="U39" s="325" t="s">
        <v>145</v>
      </c>
      <c r="V39" s="326" t="s">
        <v>146</v>
      </c>
      <c r="W39" s="75" t="s">
        <v>284</v>
      </c>
    </row>
    <row r="40" spans="3:23" x14ac:dyDescent="0.2">
      <c r="C40" s="602" t="s">
        <v>34</v>
      </c>
      <c r="D40" s="603"/>
      <c r="E40" s="603"/>
      <c r="F40" s="604">
        <f>+M35</f>
        <v>4625</v>
      </c>
      <c r="G40" s="605"/>
      <c r="I40" s="94"/>
      <c r="J40" s="117"/>
      <c r="K40" s="61"/>
      <c r="L40" s="111"/>
      <c r="M40" s="346"/>
      <c r="N40" s="401"/>
      <c r="O40" s="316">
        <v>46498</v>
      </c>
      <c r="P40" s="311" t="s">
        <v>163</v>
      </c>
      <c r="Q40" s="317">
        <v>445800</v>
      </c>
      <c r="R40" s="317"/>
      <c r="S40" s="63">
        <v>446489</v>
      </c>
      <c r="T40" s="311">
        <f>+S40-Q40</f>
        <v>689</v>
      </c>
      <c r="U40" s="318">
        <f>SUM(J19:J20)</f>
        <v>790</v>
      </c>
      <c r="V40" s="311">
        <f>+K20</f>
        <v>226</v>
      </c>
      <c r="W40" s="353">
        <f>(SUM(M19:M20)/2)</f>
        <v>4070.5</v>
      </c>
    </row>
    <row r="41" spans="3:23" x14ac:dyDescent="0.2">
      <c r="C41" s="602" t="s">
        <v>186</v>
      </c>
      <c r="D41" s="603"/>
      <c r="E41" s="603"/>
      <c r="F41" s="604"/>
      <c r="G41" s="605"/>
      <c r="I41" s="94"/>
      <c r="J41" s="117"/>
      <c r="K41" s="61"/>
      <c r="L41" s="111"/>
      <c r="M41" s="346"/>
      <c r="O41" s="32">
        <v>46117</v>
      </c>
      <c r="P41" s="53" t="s">
        <v>163</v>
      </c>
      <c r="Q41" s="63">
        <v>446486</v>
      </c>
      <c r="R41" s="63"/>
      <c r="S41" s="11">
        <v>447234</v>
      </c>
      <c r="T41" s="53">
        <f t="shared" ref="T41:T45" si="5">+S41-Q41</f>
        <v>748</v>
      </c>
      <c r="U41" s="136">
        <f>SUM(J21:J22)</f>
        <v>790</v>
      </c>
      <c r="V41" s="53">
        <f>+K22</f>
        <v>232.01</v>
      </c>
      <c r="W41" s="354">
        <f>(SUM(M21:M22)/2)</f>
        <v>2173</v>
      </c>
    </row>
    <row r="42" spans="3:23" x14ac:dyDescent="0.2">
      <c r="C42" s="602" t="s">
        <v>39</v>
      </c>
      <c r="D42" s="603"/>
      <c r="E42" s="603"/>
      <c r="F42" s="604"/>
      <c r="G42" s="605"/>
      <c r="I42" s="94"/>
      <c r="J42" s="117"/>
      <c r="K42" s="61"/>
      <c r="L42" s="111"/>
      <c r="M42" s="346"/>
      <c r="O42" s="32">
        <v>46140</v>
      </c>
      <c r="P42" s="53" t="s">
        <v>163</v>
      </c>
      <c r="Q42" s="11">
        <v>447234</v>
      </c>
      <c r="R42" s="63"/>
      <c r="S42" s="11">
        <v>448029</v>
      </c>
      <c r="T42" s="53">
        <f>+S42-Q42</f>
        <v>795</v>
      </c>
      <c r="U42" s="136">
        <f>SUM(J23:J24)</f>
        <v>790</v>
      </c>
      <c r="V42" s="53">
        <f>+K24</f>
        <v>253.07</v>
      </c>
      <c r="W42" s="354">
        <f>(SUM(M23:M24)/2)</f>
        <v>2136</v>
      </c>
    </row>
    <row r="43" spans="3:23" x14ac:dyDescent="0.2">
      <c r="C43" s="602" t="s">
        <v>116</v>
      </c>
      <c r="D43" s="603"/>
      <c r="E43" s="603"/>
      <c r="F43" s="604">
        <v>750</v>
      </c>
      <c r="G43" s="605"/>
      <c r="I43" s="94"/>
      <c r="J43" s="117"/>
      <c r="K43" s="61"/>
      <c r="L43" s="111"/>
      <c r="M43" s="346"/>
      <c r="O43" s="32">
        <v>46165</v>
      </c>
      <c r="P43" s="53" t="s">
        <v>163</v>
      </c>
      <c r="Q43" s="11">
        <v>448029</v>
      </c>
      <c r="R43" s="63"/>
      <c r="S43" s="11">
        <v>448730</v>
      </c>
      <c r="T43" s="53">
        <f t="shared" si="5"/>
        <v>701</v>
      </c>
      <c r="U43" s="136">
        <f>SUM(J25:J26)</f>
        <v>790</v>
      </c>
      <c r="V43" s="53">
        <f>+K26</f>
        <v>230.01</v>
      </c>
      <c r="W43" s="354">
        <f>(SUM(M25:M26)/2)</f>
        <v>3365</v>
      </c>
    </row>
    <row r="44" spans="3:23" x14ac:dyDescent="0.2">
      <c r="C44" s="602" t="s">
        <v>40</v>
      </c>
      <c r="D44" s="603"/>
      <c r="E44" s="603"/>
      <c r="F44" s="604"/>
      <c r="G44" s="605"/>
      <c r="I44" s="94"/>
      <c r="J44" s="117"/>
      <c r="K44" s="61"/>
      <c r="L44" s="111"/>
      <c r="M44" s="346"/>
      <c r="O44" s="32">
        <v>46180</v>
      </c>
      <c r="P44" s="53" t="s">
        <v>639</v>
      </c>
      <c r="Q44" s="63">
        <v>448730</v>
      </c>
      <c r="R44" s="95"/>
      <c r="S44" s="11">
        <f>+Q44+695</f>
        <v>449425</v>
      </c>
      <c r="T44" s="53">
        <f t="shared" si="5"/>
        <v>695</v>
      </c>
      <c r="U44" s="136">
        <f>SUM(J27:J28)</f>
        <v>790</v>
      </c>
      <c r="V44" s="53">
        <f>+K28</f>
        <v>208.87</v>
      </c>
      <c r="W44" s="354">
        <f>(SUM(M27:M28)/2)</f>
        <v>2210.5</v>
      </c>
    </row>
    <row r="45" spans="3:23" ht="12.75" thickBot="1" x14ac:dyDescent="0.25">
      <c r="C45" s="602" t="s">
        <v>124</v>
      </c>
      <c r="D45" s="603"/>
      <c r="E45" s="603"/>
      <c r="F45" s="604"/>
      <c r="G45" s="605"/>
      <c r="I45" s="282"/>
      <c r="J45" s="285"/>
      <c r="K45" s="62"/>
      <c r="L45" s="283"/>
      <c r="M45" s="346"/>
      <c r="O45" s="32"/>
      <c r="P45" s="53"/>
      <c r="Q45" s="63"/>
      <c r="R45" s="95"/>
      <c r="S45" s="11"/>
      <c r="T45" s="53">
        <f t="shared" si="5"/>
        <v>0</v>
      </c>
      <c r="U45" s="136">
        <f>SUM(J29:J30)</f>
        <v>0</v>
      </c>
      <c r="V45" s="53">
        <f>+K30</f>
        <v>0</v>
      </c>
      <c r="W45" s="354">
        <f>(SUM(M29:M30)/2)</f>
        <v>0</v>
      </c>
    </row>
    <row r="46" spans="3:23" ht="13.5" customHeight="1" thickBot="1" x14ac:dyDescent="0.25">
      <c r="C46" s="602" t="s">
        <v>224</v>
      </c>
      <c r="D46" s="603"/>
      <c r="E46" s="603"/>
      <c r="F46" s="606"/>
      <c r="G46" s="607"/>
      <c r="I46" s="597" t="s">
        <v>41</v>
      </c>
      <c r="J46" s="598"/>
      <c r="K46" s="632"/>
      <c r="L46" s="284">
        <f>SUM(L39:L45)</f>
        <v>0</v>
      </c>
      <c r="M46" s="347"/>
      <c r="N46" s="400"/>
      <c r="O46" s="101"/>
      <c r="P46" s="82"/>
      <c r="Q46" s="265"/>
      <c r="R46" s="83"/>
      <c r="S46" s="81"/>
      <c r="T46" s="82">
        <f>+S46-Q46</f>
        <v>0</v>
      </c>
      <c r="U46" s="138">
        <f>SUM(J31:J32)</f>
        <v>0</v>
      </c>
      <c r="V46" s="55">
        <f>+K32</f>
        <v>0</v>
      </c>
      <c r="W46" s="355">
        <f>(SUM(M31:M32)/2)</f>
        <v>0</v>
      </c>
    </row>
    <row r="47" spans="3:23" ht="13.5" customHeight="1" x14ac:dyDescent="0.2">
      <c r="C47" s="602" t="s">
        <v>346</v>
      </c>
      <c r="D47" s="603"/>
      <c r="E47" s="603"/>
      <c r="F47" s="606">
        <v>750</v>
      </c>
      <c r="G47" s="607"/>
      <c r="R47" s="21"/>
      <c r="S47" s="21"/>
      <c r="T47" s="21"/>
      <c r="U47" s="139"/>
      <c r="V47" s="271"/>
    </row>
    <row r="48" spans="3:23" ht="13.5" customHeight="1" thickBot="1" x14ac:dyDescent="0.25">
      <c r="C48" s="593" t="s">
        <v>348</v>
      </c>
      <c r="D48" s="594"/>
      <c r="E48" s="594"/>
      <c r="F48" s="595"/>
      <c r="G48" s="596"/>
      <c r="R48" s="21"/>
      <c r="S48" s="21"/>
      <c r="T48" s="21"/>
      <c r="U48" s="139"/>
      <c r="V48" s="271"/>
    </row>
    <row r="49" spans="3:22" ht="13.5" thickBot="1" x14ac:dyDescent="0.25">
      <c r="C49" s="597" t="s">
        <v>42</v>
      </c>
      <c r="D49" s="598"/>
      <c r="E49" s="599"/>
      <c r="F49" s="600">
        <f>SUM(F38:G48)</f>
        <v>12877.673336734693</v>
      </c>
      <c r="G49" s="601"/>
      <c r="R49" s="21"/>
      <c r="S49" s="21"/>
      <c r="T49" s="21"/>
      <c r="U49" s="139"/>
      <c r="V49" s="271"/>
    </row>
    <row r="50" spans="3:22" ht="13.5" customHeight="1" thickBot="1" x14ac:dyDescent="0.25">
      <c r="P50" s="588" t="s">
        <v>48</v>
      </c>
      <c r="Q50" s="589"/>
      <c r="R50" s="590"/>
      <c r="S50" s="21"/>
      <c r="T50" s="21"/>
      <c r="U50" s="139"/>
      <c r="V50" s="271"/>
    </row>
    <row r="51" spans="3:22" ht="12.75" customHeight="1" x14ac:dyDescent="0.2">
      <c r="C51" s="246" t="s">
        <v>43</v>
      </c>
      <c r="D51" s="247"/>
      <c r="E51" s="247"/>
      <c r="F51" s="247"/>
      <c r="G51" s="247"/>
      <c r="H51" s="247"/>
      <c r="I51" s="247"/>
      <c r="J51" s="247"/>
      <c r="K51" s="247"/>
      <c r="L51" s="248"/>
      <c r="M51" s="251"/>
      <c r="P51" s="78">
        <v>1</v>
      </c>
      <c r="Q51" s="584" t="s">
        <v>49</v>
      </c>
      <c r="R51" s="585"/>
      <c r="S51" s="21"/>
      <c r="T51" s="21"/>
      <c r="U51" s="249"/>
    </row>
    <row r="52" spans="3:22" ht="12.75" customHeight="1" x14ac:dyDescent="0.2">
      <c r="C52" s="250"/>
      <c r="D52" s="251"/>
      <c r="E52" s="251"/>
      <c r="F52" s="251"/>
      <c r="G52" s="251"/>
      <c r="H52" s="251"/>
      <c r="I52" s="251"/>
      <c r="J52" s="251"/>
      <c r="K52" s="251"/>
      <c r="L52" s="252"/>
      <c r="M52" s="251"/>
      <c r="P52" s="32">
        <v>2</v>
      </c>
      <c r="Q52" s="586" t="s">
        <v>135</v>
      </c>
      <c r="R52" s="587"/>
      <c r="S52" s="21"/>
      <c r="T52" s="249"/>
    </row>
    <row r="53" spans="3:22" ht="12.75" thickBot="1" x14ac:dyDescent="0.25">
      <c r="C53" s="253"/>
      <c r="D53" s="254"/>
      <c r="E53" s="254"/>
      <c r="F53" s="254"/>
      <c r="G53" s="254"/>
      <c r="H53" s="254"/>
      <c r="I53" s="254"/>
      <c r="J53" s="254"/>
      <c r="K53" s="254"/>
      <c r="L53" s="255"/>
      <c r="M53" s="251"/>
      <c r="P53" s="32">
        <v>3</v>
      </c>
      <c r="Q53" s="586" t="s">
        <v>130</v>
      </c>
      <c r="R53" s="587"/>
      <c r="S53" s="21"/>
      <c r="T53" s="249"/>
    </row>
    <row r="54" spans="3:22" x14ac:dyDescent="0.2">
      <c r="P54" s="32">
        <v>4</v>
      </c>
      <c r="Q54" s="586" t="s">
        <v>228</v>
      </c>
      <c r="R54" s="587"/>
      <c r="S54" s="21"/>
      <c r="T54" s="249"/>
    </row>
    <row r="55" spans="3:22" ht="12.75" thickBot="1" x14ac:dyDescent="0.25">
      <c r="P55" s="32">
        <v>5</v>
      </c>
      <c r="Q55" s="586" t="s">
        <v>229</v>
      </c>
      <c r="R55" s="587"/>
      <c r="S55" s="21"/>
    </row>
    <row r="56" spans="3:22" ht="14.25" customHeight="1" thickTop="1" thickBot="1" x14ac:dyDescent="0.25">
      <c r="D56" s="631" t="s">
        <v>44</v>
      </c>
      <c r="E56" s="631"/>
      <c r="F56" s="631"/>
      <c r="G56" s="631"/>
      <c r="H56" s="631"/>
      <c r="J56" s="631" t="s">
        <v>45</v>
      </c>
      <c r="K56" s="631"/>
      <c r="L56" s="631"/>
      <c r="M56" s="631"/>
      <c r="N56" s="631"/>
      <c r="P56" s="54">
        <v>6</v>
      </c>
      <c r="Q56" s="591" t="s">
        <v>230</v>
      </c>
      <c r="R56" s="592"/>
      <c r="S56" s="21"/>
      <c r="T56" s="21"/>
    </row>
    <row r="57" spans="3:22" x14ac:dyDescent="0.2">
      <c r="S57" s="21"/>
      <c r="T57" s="21"/>
    </row>
  </sheetData>
  <mergeCells count="56">
    <mergeCell ref="Q51:R51"/>
    <mergeCell ref="Q52:R52"/>
    <mergeCell ref="D56:H56"/>
    <mergeCell ref="J56:N56"/>
    <mergeCell ref="I46:K46"/>
    <mergeCell ref="C48:E48"/>
    <mergeCell ref="F48:G48"/>
    <mergeCell ref="C49:E49"/>
    <mergeCell ref="F49:G49"/>
    <mergeCell ref="C46:E46"/>
    <mergeCell ref="F46:G46"/>
    <mergeCell ref="C47:E47"/>
    <mergeCell ref="F47:G47"/>
    <mergeCell ref="P50:R50"/>
    <mergeCell ref="Q53:R53"/>
    <mergeCell ref="Q54:R54"/>
    <mergeCell ref="C42:E42"/>
    <mergeCell ref="F42:G42"/>
    <mergeCell ref="F43:G43"/>
    <mergeCell ref="C45:E45"/>
    <mergeCell ref="F45:G45"/>
    <mergeCell ref="F44:G44"/>
    <mergeCell ref="C44:E44"/>
    <mergeCell ref="C43:E43"/>
    <mergeCell ref="F39:G39"/>
    <mergeCell ref="C40:E40"/>
    <mergeCell ref="F40:G40"/>
    <mergeCell ref="C41:E41"/>
    <mergeCell ref="F41:G41"/>
    <mergeCell ref="I6:O6"/>
    <mergeCell ref="Q6:S6"/>
    <mergeCell ref="I9:O9"/>
    <mergeCell ref="L11:S11"/>
    <mergeCell ref="E12:F12"/>
    <mergeCell ref="Q2:S2"/>
    <mergeCell ref="I3:O3"/>
    <mergeCell ref="Q3:S3"/>
    <mergeCell ref="I4:O4"/>
    <mergeCell ref="I5:O5"/>
    <mergeCell ref="Q5:S5"/>
    <mergeCell ref="Q55:R55"/>
    <mergeCell ref="Q56:R56"/>
    <mergeCell ref="D13:E13"/>
    <mergeCell ref="D14:E14"/>
    <mergeCell ref="D15:E15"/>
    <mergeCell ref="D16:E16"/>
    <mergeCell ref="E34:E35"/>
    <mergeCell ref="F34:G34"/>
    <mergeCell ref="F35:G35"/>
    <mergeCell ref="C37:G37"/>
    <mergeCell ref="O37:P37"/>
    <mergeCell ref="Q37:S37"/>
    <mergeCell ref="C38:E38"/>
    <mergeCell ref="F38:G38"/>
    <mergeCell ref="I37:L37"/>
    <mergeCell ref="C39:E39"/>
  </mergeCells>
  <phoneticPr fontId="20" type="noConversion"/>
  <pageMargins left="0.19685039370078741" right="0.19685039370078741" top="0.35433070866141736" bottom="0.35433070866141736" header="0.31496062992125984" footer="0.31496062992125984"/>
  <pageSetup paperSize="9" scale="74" orientation="landscape" horizontalDpi="300" verticalDpi="300" r:id="rId1"/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Hoja33">
    <pageSetUpPr fitToPage="1"/>
  </sheetPr>
  <dimension ref="C1:W60"/>
  <sheetViews>
    <sheetView topLeftCell="A6" zoomScaleNormal="100" workbookViewId="0">
      <selection activeCell="M45" sqref="M45"/>
    </sheetView>
  </sheetViews>
  <sheetFormatPr baseColWidth="10" defaultColWidth="9.140625" defaultRowHeight="12" x14ac:dyDescent="0.2"/>
  <cols>
    <col min="1" max="1" width="4.5703125" style="14" customWidth="1"/>
    <col min="2" max="2" width="3" style="14" customWidth="1"/>
    <col min="3" max="3" width="16.140625" style="14" bestFit="1" customWidth="1"/>
    <col min="4" max="4" width="13.5703125" style="14" bestFit="1" customWidth="1"/>
    <col min="5" max="5" width="9.7109375" style="14" customWidth="1"/>
    <col min="6" max="6" width="9.140625" style="14" bestFit="1" customWidth="1"/>
    <col min="7" max="7" width="3" style="14" bestFit="1" customWidth="1"/>
    <col min="8" max="8" width="9.85546875" style="14" bestFit="1" customWidth="1"/>
    <col min="9" max="9" width="11.42578125" style="14" customWidth="1"/>
    <col min="10" max="10" width="9.85546875" style="14" bestFit="1" customWidth="1"/>
    <col min="11" max="11" width="14.42578125" style="14" customWidth="1"/>
    <col min="12" max="13" width="12.42578125" style="14" bestFit="1" customWidth="1"/>
    <col min="14" max="14" width="8.7109375" style="14" bestFit="1" customWidth="1"/>
    <col min="15" max="15" width="11.85546875" style="14" customWidth="1"/>
    <col min="16" max="16" width="12.28515625" style="14" customWidth="1"/>
    <col min="17" max="17" width="12.140625" style="14" bestFit="1" customWidth="1"/>
    <col min="18" max="18" width="11.140625" style="14" hidden="1" customWidth="1"/>
    <col min="19" max="19" width="11" style="14" bestFit="1" customWidth="1"/>
    <col min="20" max="20" width="11.5703125" style="14" bestFit="1" customWidth="1"/>
    <col min="21" max="21" width="10.28515625" style="14" customWidth="1"/>
    <col min="22" max="22" width="8.85546875" style="14" customWidth="1"/>
    <col min="23" max="23" width="10" style="14" customWidth="1"/>
    <col min="24" max="24" width="9.140625" style="14" customWidth="1"/>
    <col min="25" max="259" width="9.140625" style="14"/>
    <col min="260" max="260" width="5.7109375" style="14" customWidth="1"/>
    <col min="261" max="261" width="13.140625" style="14" customWidth="1"/>
    <col min="262" max="262" width="12.28515625" style="14" customWidth="1"/>
    <col min="263" max="263" width="8.85546875" style="14" customWidth="1"/>
    <col min="264" max="264" width="10.85546875" style="14" customWidth="1"/>
    <col min="265" max="265" width="2.85546875" style="14" customWidth="1"/>
    <col min="266" max="266" width="12.140625" style="14" customWidth="1"/>
    <col min="267" max="267" width="10.140625" style="14" customWidth="1"/>
    <col min="268" max="268" width="11.7109375" style="14" customWidth="1"/>
    <col min="269" max="269" width="11.42578125" style="14" customWidth="1"/>
    <col min="270" max="270" width="12.7109375" style="14" customWidth="1"/>
    <col min="271" max="271" width="11.42578125" style="14" customWidth="1"/>
    <col min="272" max="272" width="10.7109375" style="14" customWidth="1"/>
    <col min="273" max="273" width="10.5703125" style="14" customWidth="1"/>
    <col min="274" max="274" width="11.28515625" style="14" customWidth="1"/>
    <col min="275" max="275" width="9.7109375" style="14" customWidth="1"/>
    <col min="276" max="276" width="12" style="14" customWidth="1"/>
    <col min="277" max="277" width="11.28515625" style="14" customWidth="1"/>
    <col min="278" max="515" width="9.140625" style="14"/>
    <col min="516" max="516" width="5.7109375" style="14" customWidth="1"/>
    <col min="517" max="517" width="13.140625" style="14" customWidth="1"/>
    <col min="518" max="518" width="12.28515625" style="14" customWidth="1"/>
    <col min="519" max="519" width="8.85546875" style="14" customWidth="1"/>
    <col min="520" max="520" width="10.85546875" style="14" customWidth="1"/>
    <col min="521" max="521" width="2.85546875" style="14" customWidth="1"/>
    <col min="522" max="522" width="12.140625" style="14" customWidth="1"/>
    <col min="523" max="523" width="10.140625" style="14" customWidth="1"/>
    <col min="524" max="524" width="11.7109375" style="14" customWidth="1"/>
    <col min="525" max="525" width="11.42578125" style="14" customWidth="1"/>
    <col min="526" max="526" width="12.7109375" style="14" customWidth="1"/>
    <col min="527" max="527" width="11.42578125" style="14" customWidth="1"/>
    <col min="528" max="528" width="10.7109375" style="14" customWidth="1"/>
    <col min="529" max="529" width="10.5703125" style="14" customWidth="1"/>
    <col min="530" max="530" width="11.28515625" style="14" customWidth="1"/>
    <col min="531" max="531" width="9.7109375" style="14" customWidth="1"/>
    <col min="532" max="532" width="12" style="14" customWidth="1"/>
    <col min="533" max="533" width="11.28515625" style="14" customWidth="1"/>
    <col min="534" max="771" width="9.140625" style="14"/>
    <col min="772" max="772" width="5.7109375" style="14" customWidth="1"/>
    <col min="773" max="773" width="13.140625" style="14" customWidth="1"/>
    <col min="774" max="774" width="12.28515625" style="14" customWidth="1"/>
    <col min="775" max="775" width="8.85546875" style="14" customWidth="1"/>
    <col min="776" max="776" width="10.85546875" style="14" customWidth="1"/>
    <col min="777" max="777" width="2.85546875" style="14" customWidth="1"/>
    <col min="778" max="778" width="12.140625" style="14" customWidth="1"/>
    <col min="779" max="779" width="10.140625" style="14" customWidth="1"/>
    <col min="780" max="780" width="11.7109375" style="14" customWidth="1"/>
    <col min="781" max="781" width="11.42578125" style="14" customWidth="1"/>
    <col min="782" max="782" width="12.7109375" style="14" customWidth="1"/>
    <col min="783" max="783" width="11.42578125" style="14" customWidth="1"/>
    <col min="784" max="784" width="10.7109375" style="14" customWidth="1"/>
    <col min="785" max="785" width="10.5703125" style="14" customWidth="1"/>
    <col min="786" max="786" width="11.28515625" style="14" customWidth="1"/>
    <col min="787" max="787" width="9.7109375" style="14" customWidth="1"/>
    <col min="788" max="788" width="12" style="14" customWidth="1"/>
    <col min="789" max="789" width="11.28515625" style="14" customWidth="1"/>
    <col min="790" max="1027" width="9.140625" style="14"/>
    <col min="1028" max="1028" width="5.7109375" style="14" customWidth="1"/>
    <col min="1029" max="1029" width="13.140625" style="14" customWidth="1"/>
    <col min="1030" max="1030" width="12.28515625" style="14" customWidth="1"/>
    <col min="1031" max="1031" width="8.85546875" style="14" customWidth="1"/>
    <col min="1032" max="1032" width="10.85546875" style="14" customWidth="1"/>
    <col min="1033" max="1033" width="2.85546875" style="14" customWidth="1"/>
    <col min="1034" max="1034" width="12.140625" style="14" customWidth="1"/>
    <col min="1035" max="1035" width="10.140625" style="14" customWidth="1"/>
    <col min="1036" max="1036" width="11.7109375" style="14" customWidth="1"/>
    <col min="1037" max="1037" width="11.42578125" style="14" customWidth="1"/>
    <col min="1038" max="1038" width="12.7109375" style="14" customWidth="1"/>
    <col min="1039" max="1039" width="11.42578125" style="14" customWidth="1"/>
    <col min="1040" max="1040" width="10.7109375" style="14" customWidth="1"/>
    <col min="1041" max="1041" width="10.5703125" style="14" customWidth="1"/>
    <col min="1042" max="1042" width="11.28515625" style="14" customWidth="1"/>
    <col min="1043" max="1043" width="9.7109375" style="14" customWidth="1"/>
    <col min="1044" max="1044" width="12" style="14" customWidth="1"/>
    <col min="1045" max="1045" width="11.28515625" style="14" customWidth="1"/>
    <col min="1046" max="1283" width="9.140625" style="14"/>
    <col min="1284" max="1284" width="5.7109375" style="14" customWidth="1"/>
    <col min="1285" max="1285" width="13.140625" style="14" customWidth="1"/>
    <col min="1286" max="1286" width="12.28515625" style="14" customWidth="1"/>
    <col min="1287" max="1287" width="8.85546875" style="14" customWidth="1"/>
    <col min="1288" max="1288" width="10.85546875" style="14" customWidth="1"/>
    <col min="1289" max="1289" width="2.85546875" style="14" customWidth="1"/>
    <col min="1290" max="1290" width="12.140625" style="14" customWidth="1"/>
    <col min="1291" max="1291" width="10.140625" style="14" customWidth="1"/>
    <col min="1292" max="1292" width="11.7109375" style="14" customWidth="1"/>
    <col min="1293" max="1293" width="11.42578125" style="14" customWidth="1"/>
    <col min="1294" max="1294" width="12.7109375" style="14" customWidth="1"/>
    <col min="1295" max="1295" width="11.42578125" style="14" customWidth="1"/>
    <col min="1296" max="1296" width="10.7109375" style="14" customWidth="1"/>
    <col min="1297" max="1297" width="10.5703125" style="14" customWidth="1"/>
    <col min="1298" max="1298" width="11.28515625" style="14" customWidth="1"/>
    <col min="1299" max="1299" width="9.7109375" style="14" customWidth="1"/>
    <col min="1300" max="1300" width="12" style="14" customWidth="1"/>
    <col min="1301" max="1301" width="11.28515625" style="14" customWidth="1"/>
    <col min="1302" max="1539" width="9.140625" style="14"/>
    <col min="1540" max="1540" width="5.7109375" style="14" customWidth="1"/>
    <col min="1541" max="1541" width="13.140625" style="14" customWidth="1"/>
    <col min="1542" max="1542" width="12.28515625" style="14" customWidth="1"/>
    <col min="1543" max="1543" width="8.85546875" style="14" customWidth="1"/>
    <col min="1544" max="1544" width="10.85546875" style="14" customWidth="1"/>
    <col min="1545" max="1545" width="2.85546875" style="14" customWidth="1"/>
    <col min="1546" max="1546" width="12.140625" style="14" customWidth="1"/>
    <col min="1547" max="1547" width="10.140625" style="14" customWidth="1"/>
    <col min="1548" max="1548" width="11.7109375" style="14" customWidth="1"/>
    <col min="1549" max="1549" width="11.42578125" style="14" customWidth="1"/>
    <col min="1550" max="1550" width="12.7109375" style="14" customWidth="1"/>
    <col min="1551" max="1551" width="11.42578125" style="14" customWidth="1"/>
    <col min="1552" max="1552" width="10.7109375" style="14" customWidth="1"/>
    <col min="1553" max="1553" width="10.5703125" style="14" customWidth="1"/>
    <col min="1554" max="1554" width="11.28515625" style="14" customWidth="1"/>
    <col min="1555" max="1555" width="9.7109375" style="14" customWidth="1"/>
    <col min="1556" max="1556" width="12" style="14" customWidth="1"/>
    <col min="1557" max="1557" width="11.28515625" style="14" customWidth="1"/>
    <col min="1558" max="1795" width="9.140625" style="14"/>
    <col min="1796" max="1796" width="5.7109375" style="14" customWidth="1"/>
    <col min="1797" max="1797" width="13.140625" style="14" customWidth="1"/>
    <col min="1798" max="1798" width="12.28515625" style="14" customWidth="1"/>
    <col min="1799" max="1799" width="8.85546875" style="14" customWidth="1"/>
    <col min="1800" max="1800" width="10.85546875" style="14" customWidth="1"/>
    <col min="1801" max="1801" width="2.85546875" style="14" customWidth="1"/>
    <col min="1802" max="1802" width="12.140625" style="14" customWidth="1"/>
    <col min="1803" max="1803" width="10.140625" style="14" customWidth="1"/>
    <col min="1804" max="1804" width="11.7109375" style="14" customWidth="1"/>
    <col min="1805" max="1805" width="11.42578125" style="14" customWidth="1"/>
    <col min="1806" max="1806" width="12.7109375" style="14" customWidth="1"/>
    <col min="1807" max="1807" width="11.42578125" style="14" customWidth="1"/>
    <col min="1808" max="1808" width="10.7109375" style="14" customWidth="1"/>
    <col min="1809" max="1809" width="10.5703125" style="14" customWidth="1"/>
    <col min="1810" max="1810" width="11.28515625" style="14" customWidth="1"/>
    <col min="1811" max="1811" width="9.7109375" style="14" customWidth="1"/>
    <col min="1812" max="1812" width="12" style="14" customWidth="1"/>
    <col min="1813" max="1813" width="11.28515625" style="14" customWidth="1"/>
    <col min="1814" max="2051" width="9.140625" style="14"/>
    <col min="2052" max="2052" width="5.7109375" style="14" customWidth="1"/>
    <col min="2053" max="2053" width="13.140625" style="14" customWidth="1"/>
    <col min="2054" max="2054" width="12.28515625" style="14" customWidth="1"/>
    <col min="2055" max="2055" width="8.85546875" style="14" customWidth="1"/>
    <col min="2056" max="2056" width="10.85546875" style="14" customWidth="1"/>
    <col min="2057" max="2057" width="2.85546875" style="14" customWidth="1"/>
    <col min="2058" max="2058" width="12.140625" style="14" customWidth="1"/>
    <col min="2059" max="2059" width="10.140625" style="14" customWidth="1"/>
    <col min="2060" max="2060" width="11.7109375" style="14" customWidth="1"/>
    <col min="2061" max="2061" width="11.42578125" style="14" customWidth="1"/>
    <col min="2062" max="2062" width="12.7109375" style="14" customWidth="1"/>
    <col min="2063" max="2063" width="11.42578125" style="14" customWidth="1"/>
    <col min="2064" max="2064" width="10.7109375" style="14" customWidth="1"/>
    <col min="2065" max="2065" width="10.5703125" style="14" customWidth="1"/>
    <col min="2066" max="2066" width="11.28515625" style="14" customWidth="1"/>
    <col min="2067" max="2067" width="9.7109375" style="14" customWidth="1"/>
    <col min="2068" max="2068" width="12" style="14" customWidth="1"/>
    <col min="2069" max="2069" width="11.28515625" style="14" customWidth="1"/>
    <col min="2070" max="2307" width="9.140625" style="14"/>
    <col min="2308" max="2308" width="5.7109375" style="14" customWidth="1"/>
    <col min="2309" max="2309" width="13.140625" style="14" customWidth="1"/>
    <col min="2310" max="2310" width="12.28515625" style="14" customWidth="1"/>
    <col min="2311" max="2311" width="8.85546875" style="14" customWidth="1"/>
    <col min="2312" max="2312" width="10.85546875" style="14" customWidth="1"/>
    <col min="2313" max="2313" width="2.85546875" style="14" customWidth="1"/>
    <col min="2314" max="2314" width="12.140625" style="14" customWidth="1"/>
    <col min="2315" max="2315" width="10.140625" style="14" customWidth="1"/>
    <col min="2316" max="2316" width="11.7109375" style="14" customWidth="1"/>
    <col min="2317" max="2317" width="11.42578125" style="14" customWidth="1"/>
    <col min="2318" max="2318" width="12.7109375" style="14" customWidth="1"/>
    <col min="2319" max="2319" width="11.42578125" style="14" customWidth="1"/>
    <col min="2320" max="2320" width="10.7109375" style="14" customWidth="1"/>
    <col min="2321" max="2321" width="10.5703125" style="14" customWidth="1"/>
    <col min="2322" max="2322" width="11.28515625" style="14" customWidth="1"/>
    <col min="2323" max="2323" width="9.7109375" style="14" customWidth="1"/>
    <col min="2324" max="2324" width="12" style="14" customWidth="1"/>
    <col min="2325" max="2325" width="11.28515625" style="14" customWidth="1"/>
    <col min="2326" max="2563" width="9.140625" style="14"/>
    <col min="2564" max="2564" width="5.7109375" style="14" customWidth="1"/>
    <col min="2565" max="2565" width="13.140625" style="14" customWidth="1"/>
    <col min="2566" max="2566" width="12.28515625" style="14" customWidth="1"/>
    <col min="2567" max="2567" width="8.85546875" style="14" customWidth="1"/>
    <col min="2568" max="2568" width="10.85546875" style="14" customWidth="1"/>
    <col min="2569" max="2569" width="2.85546875" style="14" customWidth="1"/>
    <col min="2570" max="2570" width="12.140625" style="14" customWidth="1"/>
    <col min="2571" max="2571" width="10.140625" style="14" customWidth="1"/>
    <col min="2572" max="2572" width="11.7109375" style="14" customWidth="1"/>
    <col min="2573" max="2573" width="11.42578125" style="14" customWidth="1"/>
    <col min="2574" max="2574" width="12.7109375" style="14" customWidth="1"/>
    <col min="2575" max="2575" width="11.42578125" style="14" customWidth="1"/>
    <col min="2576" max="2576" width="10.7109375" style="14" customWidth="1"/>
    <col min="2577" max="2577" width="10.5703125" style="14" customWidth="1"/>
    <col min="2578" max="2578" width="11.28515625" style="14" customWidth="1"/>
    <col min="2579" max="2579" width="9.7109375" style="14" customWidth="1"/>
    <col min="2580" max="2580" width="12" style="14" customWidth="1"/>
    <col min="2581" max="2581" width="11.28515625" style="14" customWidth="1"/>
    <col min="2582" max="2819" width="9.140625" style="14"/>
    <col min="2820" max="2820" width="5.7109375" style="14" customWidth="1"/>
    <col min="2821" max="2821" width="13.140625" style="14" customWidth="1"/>
    <col min="2822" max="2822" width="12.28515625" style="14" customWidth="1"/>
    <col min="2823" max="2823" width="8.85546875" style="14" customWidth="1"/>
    <col min="2824" max="2824" width="10.85546875" style="14" customWidth="1"/>
    <col min="2825" max="2825" width="2.85546875" style="14" customWidth="1"/>
    <col min="2826" max="2826" width="12.140625" style="14" customWidth="1"/>
    <col min="2827" max="2827" width="10.140625" style="14" customWidth="1"/>
    <col min="2828" max="2828" width="11.7109375" style="14" customWidth="1"/>
    <col min="2829" max="2829" width="11.42578125" style="14" customWidth="1"/>
    <col min="2830" max="2830" width="12.7109375" style="14" customWidth="1"/>
    <col min="2831" max="2831" width="11.42578125" style="14" customWidth="1"/>
    <col min="2832" max="2832" width="10.7109375" style="14" customWidth="1"/>
    <col min="2833" max="2833" width="10.5703125" style="14" customWidth="1"/>
    <col min="2834" max="2834" width="11.28515625" style="14" customWidth="1"/>
    <col min="2835" max="2835" width="9.7109375" style="14" customWidth="1"/>
    <col min="2836" max="2836" width="12" style="14" customWidth="1"/>
    <col min="2837" max="2837" width="11.28515625" style="14" customWidth="1"/>
    <col min="2838" max="3075" width="9.140625" style="14"/>
    <col min="3076" max="3076" width="5.7109375" style="14" customWidth="1"/>
    <col min="3077" max="3077" width="13.140625" style="14" customWidth="1"/>
    <col min="3078" max="3078" width="12.28515625" style="14" customWidth="1"/>
    <col min="3079" max="3079" width="8.85546875" style="14" customWidth="1"/>
    <col min="3080" max="3080" width="10.85546875" style="14" customWidth="1"/>
    <col min="3081" max="3081" width="2.85546875" style="14" customWidth="1"/>
    <col min="3082" max="3082" width="12.140625" style="14" customWidth="1"/>
    <col min="3083" max="3083" width="10.140625" style="14" customWidth="1"/>
    <col min="3084" max="3084" width="11.7109375" style="14" customWidth="1"/>
    <col min="3085" max="3085" width="11.42578125" style="14" customWidth="1"/>
    <col min="3086" max="3086" width="12.7109375" style="14" customWidth="1"/>
    <col min="3087" max="3087" width="11.42578125" style="14" customWidth="1"/>
    <col min="3088" max="3088" width="10.7109375" style="14" customWidth="1"/>
    <col min="3089" max="3089" width="10.5703125" style="14" customWidth="1"/>
    <col min="3090" max="3090" width="11.28515625" style="14" customWidth="1"/>
    <col min="3091" max="3091" width="9.7109375" style="14" customWidth="1"/>
    <col min="3092" max="3092" width="12" style="14" customWidth="1"/>
    <col min="3093" max="3093" width="11.28515625" style="14" customWidth="1"/>
    <col min="3094" max="3331" width="9.140625" style="14"/>
    <col min="3332" max="3332" width="5.7109375" style="14" customWidth="1"/>
    <col min="3333" max="3333" width="13.140625" style="14" customWidth="1"/>
    <col min="3334" max="3334" width="12.28515625" style="14" customWidth="1"/>
    <col min="3335" max="3335" width="8.85546875" style="14" customWidth="1"/>
    <col min="3336" max="3336" width="10.85546875" style="14" customWidth="1"/>
    <col min="3337" max="3337" width="2.85546875" style="14" customWidth="1"/>
    <col min="3338" max="3338" width="12.140625" style="14" customWidth="1"/>
    <col min="3339" max="3339" width="10.140625" style="14" customWidth="1"/>
    <col min="3340" max="3340" width="11.7109375" style="14" customWidth="1"/>
    <col min="3341" max="3341" width="11.42578125" style="14" customWidth="1"/>
    <col min="3342" max="3342" width="12.7109375" style="14" customWidth="1"/>
    <col min="3343" max="3343" width="11.42578125" style="14" customWidth="1"/>
    <col min="3344" max="3344" width="10.7109375" style="14" customWidth="1"/>
    <col min="3345" max="3345" width="10.5703125" style="14" customWidth="1"/>
    <col min="3346" max="3346" width="11.28515625" style="14" customWidth="1"/>
    <col min="3347" max="3347" width="9.7109375" style="14" customWidth="1"/>
    <col min="3348" max="3348" width="12" style="14" customWidth="1"/>
    <col min="3349" max="3349" width="11.28515625" style="14" customWidth="1"/>
    <col min="3350" max="3587" width="9.140625" style="14"/>
    <col min="3588" max="3588" width="5.7109375" style="14" customWidth="1"/>
    <col min="3589" max="3589" width="13.140625" style="14" customWidth="1"/>
    <col min="3590" max="3590" width="12.28515625" style="14" customWidth="1"/>
    <col min="3591" max="3591" width="8.85546875" style="14" customWidth="1"/>
    <col min="3592" max="3592" width="10.85546875" style="14" customWidth="1"/>
    <col min="3593" max="3593" width="2.85546875" style="14" customWidth="1"/>
    <col min="3594" max="3594" width="12.140625" style="14" customWidth="1"/>
    <col min="3595" max="3595" width="10.140625" style="14" customWidth="1"/>
    <col min="3596" max="3596" width="11.7109375" style="14" customWidth="1"/>
    <col min="3597" max="3597" width="11.42578125" style="14" customWidth="1"/>
    <col min="3598" max="3598" width="12.7109375" style="14" customWidth="1"/>
    <col min="3599" max="3599" width="11.42578125" style="14" customWidth="1"/>
    <col min="3600" max="3600" width="10.7109375" style="14" customWidth="1"/>
    <col min="3601" max="3601" width="10.5703125" style="14" customWidth="1"/>
    <col min="3602" max="3602" width="11.28515625" style="14" customWidth="1"/>
    <col min="3603" max="3603" width="9.7109375" style="14" customWidth="1"/>
    <col min="3604" max="3604" width="12" style="14" customWidth="1"/>
    <col min="3605" max="3605" width="11.28515625" style="14" customWidth="1"/>
    <col min="3606" max="3843" width="9.140625" style="14"/>
    <col min="3844" max="3844" width="5.7109375" style="14" customWidth="1"/>
    <col min="3845" max="3845" width="13.140625" style="14" customWidth="1"/>
    <col min="3846" max="3846" width="12.28515625" style="14" customWidth="1"/>
    <col min="3847" max="3847" width="8.85546875" style="14" customWidth="1"/>
    <col min="3848" max="3848" width="10.85546875" style="14" customWidth="1"/>
    <col min="3849" max="3849" width="2.85546875" style="14" customWidth="1"/>
    <col min="3850" max="3850" width="12.140625" style="14" customWidth="1"/>
    <col min="3851" max="3851" width="10.140625" style="14" customWidth="1"/>
    <col min="3852" max="3852" width="11.7109375" style="14" customWidth="1"/>
    <col min="3853" max="3853" width="11.42578125" style="14" customWidth="1"/>
    <col min="3854" max="3854" width="12.7109375" style="14" customWidth="1"/>
    <col min="3855" max="3855" width="11.42578125" style="14" customWidth="1"/>
    <col min="3856" max="3856" width="10.7109375" style="14" customWidth="1"/>
    <col min="3857" max="3857" width="10.5703125" style="14" customWidth="1"/>
    <col min="3858" max="3858" width="11.28515625" style="14" customWidth="1"/>
    <col min="3859" max="3859" width="9.7109375" style="14" customWidth="1"/>
    <col min="3860" max="3860" width="12" style="14" customWidth="1"/>
    <col min="3861" max="3861" width="11.28515625" style="14" customWidth="1"/>
    <col min="3862" max="4099" width="9.140625" style="14"/>
    <col min="4100" max="4100" width="5.7109375" style="14" customWidth="1"/>
    <col min="4101" max="4101" width="13.140625" style="14" customWidth="1"/>
    <col min="4102" max="4102" width="12.28515625" style="14" customWidth="1"/>
    <col min="4103" max="4103" width="8.85546875" style="14" customWidth="1"/>
    <col min="4104" max="4104" width="10.85546875" style="14" customWidth="1"/>
    <col min="4105" max="4105" width="2.85546875" style="14" customWidth="1"/>
    <col min="4106" max="4106" width="12.140625" style="14" customWidth="1"/>
    <col min="4107" max="4107" width="10.140625" style="14" customWidth="1"/>
    <col min="4108" max="4108" width="11.7109375" style="14" customWidth="1"/>
    <col min="4109" max="4109" width="11.42578125" style="14" customWidth="1"/>
    <col min="4110" max="4110" width="12.7109375" style="14" customWidth="1"/>
    <col min="4111" max="4111" width="11.42578125" style="14" customWidth="1"/>
    <col min="4112" max="4112" width="10.7109375" style="14" customWidth="1"/>
    <col min="4113" max="4113" width="10.5703125" style="14" customWidth="1"/>
    <col min="4114" max="4114" width="11.28515625" style="14" customWidth="1"/>
    <col min="4115" max="4115" width="9.7109375" style="14" customWidth="1"/>
    <col min="4116" max="4116" width="12" style="14" customWidth="1"/>
    <col min="4117" max="4117" width="11.28515625" style="14" customWidth="1"/>
    <col min="4118" max="4355" width="9.140625" style="14"/>
    <col min="4356" max="4356" width="5.7109375" style="14" customWidth="1"/>
    <col min="4357" max="4357" width="13.140625" style="14" customWidth="1"/>
    <col min="4358" max="4358" width="12.28515625" style="14" customWidth="1"/>
    <col min="4359" max="4359" width="8.85546875" style="14" customWidth="1"/>
    <col min="4360" max="4360" width="10.85546875" style="14" customWidth="1"/>
    <col min="4361" max="4361" width="2.85546875" style="14" customWidth="1"/>
    <col min="4362" max="4362" width="12.140625" style="14" customWidth="1"/>
    <col min="4363" max="4363" width="10.140625" style="14" customWidth="1"/>
    <col min="4364" max="4364" width="11.7109375" style="14" customWidth="1"/>
    <col min="4365" max="4365" width="11.42578125" style="14" customWidth="1"/>
    <col min="4366" max="4366" width="12.7109375" style="14" customWidth="1"/>
    <col min="4367" max="4367" width="11.42578125" style="14" customWidth="1"/>
    <col min="4368" max="4368" width="10.7109375" style="14" customWidth="1"/>
    <col min="4369" max="4369" width="10.5703125" style="14" customWidth="1"/>
    <col min="4370" max="4370" width="11.28515625" style="14" customWidth="1"/>
    <col min="4371" max="4371" width="9.7109375" style="14" customWidth="1"/>
    <col min="4372" max="4372" width="12" style="14" customWidth="1"/>
    <col min="4373" max="4373" width="11.28515625" style="14" customWidth="1"/>
    <col min="4374" max="4611" width="9.140625" style="14"/>
    <col min="4612" max="4612" width="5.7109375" style="14" customWidth="1"/>
    <col min="4613" max="4613" width="13.140625" style="14" customWidth="1"/>
    <col min="4614" max="4614" width="12.28515625" style="14" customWidth="1"/>
    <col min="4615" max="4615" width="8.85546875" style="14" customWidth="1"/>
    <col min="4616" max="4616" width="10.85546875" style="14" customWidth="1"/>
    <col min="4617" max="4617" width="2.85546875" style="14" customWidth="1"/>
    <col min="4618" max="4618" width="12.140625" style="14" customWidth="1"/>
    <col min="4619" max="4619" width="10.140625" style="14" customWidth="1"/>
    <col min="4620" max="4620" width="11.7109375" style="14" customWidth="1"/>
    <col min="4621" max="4621" width="11.42578125" style="14" customWidth="1"/>
    <col min="4622" max="4622" width="12.7109375" style="14" customWidth="1"/>
    <col min="4623" max="4623" width="11.42578125" style="14" customWidth="1"/>
    <col min="4624" max="4624" width="10.7109375" style="14" customWidth="1"/>
    <col min="4625" max="4625" width="10.5703125" style="14" customWidth="1"/>
    <col min="4626" max="4626" width="11.28515625" style="14" customWidth="1"/>
    <col min="4627" max="4627" width="9.7109375" style="14" customWidth="1"/>
    <col min="4628" max="4628" width="12" style="14" customWidth="1"/>
    <col min="4629" max="4629" width="11.28515625" style="14" customWidth="1"/>
    <col min="4630" max="4867" width="9.140625" style="14"/>
    <col min="4868" max="4868" width="5.7109375" style="14" customWidth="1"/>
    <col min="4869" max="4869" width="13.140625" style="14" customWidth="1"/>
    <col min="4870" max="4870" width="12.28515625" style="14" customWidth="1"/>
    <col min="4871" max="4871" width="8.85546875" style="14" customWidth="1"/>
    <col min="4872" max="4872" width="10.85546875" style="14" customWidth="1"/>
    <col min="4873" max="4873" width="2.85546875" style="14" customWidth="1"/>
    <col min="4874" max="4874" width="12.140625" style="14" customWidth="1"/>
    <col min="4875" max="4875" width="10.140625" style="14" customWidth="1"/>
    <col min="4876" max="4876" width="11.7109375" style="14" customWidth="1"/>
    <col min="4877" max="4877" width="11.42578125" style="14" customWidth="1"/>
    <col min="4878" max="4878" width="12.7109375" style="14" customWidth="1"/>
    <col min="4879" max="4879" width="11.42578125" style="14" customWidth="1"/>
    <col min="4880" max="4880" width="10.7109375" style="14" customWidth="1"/>
    <col min="4881" max="4881" width="10.5703125" style="14" customWidth="1"/>
    <col min="4882" max="4882" width="11.28515625" style="14" customWidth="1"/>
    <col min="4883" max="4883" width="9.7109375" style="14" customWidth="1"/>
    <col min="4884" max="4884" width="12" style="14" customWidth="1"/>
    <col min="4885" max="4885" width="11.28515625" style="14" customWidth="1"/>
    <col min="4886" max="5123" width="9.140625" style="14"/>
    <col min="5124" max="5124" width="5.7109375" style="14" customWidth="1"/>
    <col min="5125" max="5125" width="13.140625" style="14" customWidth="1"/>
    <col min="5126" max="5126" width="12.28515625" style="14" customWidth="1"/>
    <col min="5127" max="5127" width="8.85546875" style="14" customWidth="1"/>
    <col min="5128" max="5128" width="10.85546875" style="14" customWidth="1"/>
    <col min="5129" max="5129" width="2.85546875" style="14" customWidth="1"/>
    <col min="5130" max="5130" width="12.140625" style="14" customWidth="1"/>
    <col min="5131" max="5131" width="10.140625" style="14" customWidth="1"/>
    <col min="5132" max="5132" width="11.7109375" style="14" customWidth="1"/>
    <col min="5133" max="5133" width="11.42578125" style="14" customWidth="1"/>
    <col min="5134" max="5134" width="12.7109375" style="14" customWidth="1"/>
    <col min="5135" max="5135" width="11.42578125" style="14" customWidth="1"/>
    <col min="5136" max="5136" width="10.7109375" style="14" customWidth="1"/>
    <col min="5137" max="5137" width="10.5703125" style="14" customWidth="1"/>
    <col min="5138" max="5138" width="11.28515625" style="14" customWidth="1"/>
    <col min="5139" max="5139" width="9.7109375" style="14" customWidth="1"/>
    <col min="5140" max="5140" width="12" style="14" customWidth="1"/>
    <col min="5141" max="5141" width="11.28515625" style="14" customWidth="1"/>
    <col min="5142" max="5379" width="9.140625" style="14"/>
    <col min="5380" max="5380" width="5.7109375" style="14" customWidth="1"/>
    <col min="5381" max="5381" width="13.140625" style="14" customWidth="1"/>
    <col min="5382" max="5382" width="12.28515625" style="14" customWidth="1"/>
    <col min="5383" max="5383" width="8.85546875" style="14" customWidth="1"/>
    <col min="5384" max="5384" width="10.85546875" style="14" customWidth="1"/>
    <col min="5385" max="5385" width="2.85546875" style="14" customWidth="1"/>
    <col min="5386" max="5386" width="12.140625" style="14" customWidth="1"/>
    <col min="5387" max="5387" width="10.140625" style="14" customWidth="1"/>
    <col min="5388" max="5388" width="11.7109375" style="14" customWidth="1"/>
    <col min="5389" max="5389" width="11.42578125" style="14" customWidth="1"/>
    <col min="5390" max="5390" width="12.7109375" style="14" customWidth="1"/>
    <col min="5391" max="5391" width="11.42578125" style="14" customWidth="1"/>
    <col min="5392" max="5392" width="10.7109375" style="14" customWidth="1"/>
    <col min="5393" max="5393" width="10.5703125" style="14" customWidth="1"/>
    <col min="5394" max="5394" width="11.28515625" style="14" customWidth="1"/>
    <col min="5395" max="5395" width="9.7109375" style="14" customWidth="1"/>
    <col min="5396" max="5396" width="12" style="14" customWidth="1"/>
    <col min="5397" max="5397" width="11.28515625" style="14" customWidth="1"/>
    <col min="5398" max="5635" width="9.140625" style="14"/>
    <col min="5636" max="5636" width="5.7109375" style="14" customWidth="1"/>
    <col min="5637" max="5637" width="13.140625" style="14" customWidth="1"/>
    <col min="5638" max="5638" width="12.28515625" style="14" customWidth="1"/>
    <col min="5639" max="5639" width="8.85546875" style="14" customWidth="1"/>
    <col min="5640" max="5640" width="10.85546875" style="14" customWidth="1"/>
    <col min="5641" max="5641" width="2.85546875" style="14" customWidth="1"/>
    <col min="5642" max="5642" width="12.140625" style="14" customWidth="1"/>
    <col min="5643" max="5643" width="10.140625" style="14" customWidth="1"/>
    <col min="5644" max="5644" width="11.7109375" style="14" customWidth="1"/>
    <col min="5645" max="5645" width="11.42578125" style="14" customWidth="1"/>
    <col min="5646" max="5646" width="12.7109375" style="14" customWidth="1"/>
    <col min="5647" max="5647" width="11.42578125" style="14" customWidth="1"/>
    <col min="5648" max="5648" width="10.7109375" style="14" customWidth="1"/>
    <col min="5649" max="5649" width="10.5703125" style="14" customWidth="1"/>
    <col min="5650" max="5650" width="11.28515625" style="14" customWidth="1"/>
    <col min="5651" max="5651" width="9.7109375" style="14" customWidth="1"/>
    <col min="5652" max="5652" width="12" style="14" customWidth="1"/>
    <col min="5653" max="5653" width="11.28515625" style="14" customWidth="1"/>
    <col min="5654" max="5891" width="9.140625" style="14"/>
    <col min="5892" max="5892" width="5.7109375" style="14" customWidth="1"/>
    <col min="5893" max="5893" width="13.140625" style="14" customWidth="1"/>
    <col min="5894" max="5894" width="12.28515625" style="14" customWidth="1"/>
    <col min="5895" max="5895" width="8.85546875" style="14" customWidth="1"/>
    <col min="5896" max="5896" width="10.85546875" style="14" customWidth="1"/>
    <col min="5897" max="5897" width="2.85546875" style="14" customWidth="1"/>
    <col min="5898" max="5898" width="12.140625" style="14" customWidth="1"/>
    <col min="5899" max="5899" width="10.140625" style="14" customWidth="1"/>
    <col min="5900" max="5900" width="11.7109375" style="14" customWidth="1"/>
    <col min="5901" max="5901" width="11.42578125" style="14" customWidth="1"/>
    <col min="5902" max="5902" width="12.7109375" style="14" customWidth="1"/>
    <col min="5903" max="5903" width="11.42578125" style="14" customWidth="1"/>
    <col min="5904" max="5904" width="10.7109375" style="14" customWidth="1"/>
    <col min="5905" max="5905" width="10.5703125" style="14" customWidth="1"/>
    <col min="5906" max="5906" width="11.28515625" style="14" customWidth="1"/>
    <col min="5907" max="5907" width="9.7109375" style="14" customWidth="1"/>
    <col min="5908" max="5908" width="12" style="14" customWidth="1"/>
    <col min="5909" max="5909" width="11.28515625" style="14" customWidth="1"/>
    <col min="5910" max="6147" width="9.140625" style="14"/>
    <col min="6148" max="6148" width="5.7109375" style="14" customWidth="1"/>
    <col min="6149" max="6149" width="13.140625" style="14" customWidth="1"/>
    <col min="6150" max="6150" width="12.28515625" style="14" customWidth="1"/>
    <col min="6151" max="6151" width="8.85546875" style="14" customWidth="1"/>
    <col min="6152" max="6152" width="10.85546875" style="14" customWidth="1"/>
    <col min="6153" max="6153" width="2.85546875" style="14" customWidth="1"/>
    <col min="6154" max="6154" width="12.140625" style="14" customWidth="1"/>
    <col min="6155" max="6155" width="10.140625" style="14" customWidth="1"/>
    <col min="6156" max="6156" width="11.7109375" style="14" customWidth="1"/>
    <col min="6157" max="6157" width="11.42578125" style="14" customWidth="1"/>
    <col min="6158" max="6158" width="12.7109375" style="14" customWidth="1"/>
    <col min="6159" max="6159" width="11.42578125" style="14" customWidth="1"/>
    <col min="6160" max="6160" width="10.7109375" style="14" customWidth="1"/>
    <col min="6161" max="6161" width="10.5703125" style="14" customWidth="1"/>
    <col min="6162" max="6162" width="11.28515625" style="14" customWidth="1"/>
    <col min="6163" max="6163" width="9.7109375" style="14" customWidth="1"/>
    <col min="6164" max="6164" width="12" style="14" customWidth="1"/>
    <col min="6165" max="6165" width="11.28515625" style="14" customWidth="1"/>
    <col min="6166" max="6403" width="9.140625" style="14"/>
    <col min="6404" max="6404" width="5.7109375" style="14" customWidth="1"/>
    <col min="6405" max="6405" width="13.140625" style="14" customWidth="1"/>
    <col min="6406" max="6406" width="12.28515625" style="14" customWidth="1"/>
    <col min="6407" max="6407" width="8.85546875" style="14" customWidth="1"/>
    <col min="6408" max="6408" width="10.85546875" style="14" customWidth="1"/>
    <col min="6409" max="6409" width="2.85546875" style="14" customWidth="1"/>
    <col min="6410" max="6410" width="12.140625" style="14" customWidth="1"/>
    <col min="6411" max="6411" width="10.140625" style="14" customWidth="1"/>
    <col min="6412" max="6412" width="11.7109375" style="14" customWidth="1"/>
    <col min="6413" max="6413" width="11.42578125" style="14" customWidth="1"/>
    <col min="6414" max="6414" width="12.7109375" style="14" customWidth="1"/>
    <col min="6415" max="6415" width="11.42578125" style="14" customWidth="1"/>
    <col min="6416" max="6416" width="10.7109375" style="14" customWidth="1"/>
    <col min="6417" max="6417" width="10.5703125" style="14" customWidth="1"/>
    <col min="6418" max="6418" width="11.28515625" style="14" customWidth="1"/>
    <col min="6419" max="6419" width="9.7109375" style="14" customWidth="1"/>
    <col min="6420" max="6420" width="12" style="14" customWidth="1"/>
    <col min="6421" max="6421" width="11.28515625" style="14" customWidth="1"/>
    <col min="6422" max="6659" width="9.140625" style="14"/>
    <col min="6660" max="6660" width="5.7109375" style="14" customWidth="1"/>
    <col min="6661" max="6661" width="13.140625" style="14" customWidth="1"/>
    <col min="6662" max="6662" width="12.28515625" style="14" customWidth="1"/>
    <col min="6663" max="6663" width="8.85546875" style="14" customWidth="1"/>
    <col min="6664" max="6664" width="10.85546875" style="14" customWidth="1"/>
    <col min="6665" max="6665" width="2.85546875" style="14" customWidth="1"/>
    <col min="6666" max="6666" width="12.140625" style="14" customWidth="1"/>
    <col min="6667" max="6667" width="10.140625" style="14" customWidth="1"/>
    <col min="6668" max="6668" width="11.7109375" style="14" customWidth="1"/>
    <col min="6669" max="6669" width="11.42578125" style="14" customWidth="1"/>
    <col min="6670" max="6670" width="12.7109375" style="14" customWidth="1"/>
    <col min="6671" max="6671" width="11.42578125" style="14" customWidth="1"/>
    <col min="6672" max="6672" width="10.7109375" style="14" customWidth="1"/>
    <col min="6673" max="6673" width="10.5703125" style="14" customWidth="1"/>
    <col min="6674" max="6674" width="11.28515625" style="14" customWidth="1"/>
    <col min="6675" max="6675" width="9.7109375" style="14" customWidth="1"/>
    <col min="6676" max="6676" width="12" style="14" customWidth="1"/>
    <col min="6677" max="6677" width="11.28515625" style="14" customWidth="1"/>
    <col min="6678" max="6915" width="9.140625" style="14"/>
    <col min="6916" max="6916" width="5.7109375" style="14" customWidth="1"/>
    <col min="6917" max="6917" width="13.140625" style="14" customWidth="1"/>
    <col min="6918" max="6918" width="12.28515625" style="14" customWidth="1"/>
    <col min="6919" max="6919" width="8.85546875" style="14" customWidth="1"/>
    <col min="6920" max="6920" width="10.85546875" style="14" customWidth="1"/>
    <col min="6921" max="6921" width="2.85546875" style="14" customWidth="1"/>
    <col min="6922" max="6922" width="12.140625" style="14" customWidth="1"/>
    <col min="6923" max="6923" width="10.140625" style="14" customWidth="1"/>
    <col min="6924" max="6924" width="11.7109375" style="14" customWidth="1"/>
    <col min="6925" max="6925" width="11.42578125" style="14" customWidth="1"/>
    <col min="6926" max="6926" width="12.7109375" style="14" customWidth="1"/>
    <col min="6927" max="6927" width="11.42578125" style="14" customWidth="1"/>
    <col min="6928" max="6928" width="10.7109375" style="14" customWidth="1"/>
    <col min="6929" max="6929" width="10.5703125" style="14" customWidth="1"/>
    <col min="6930" max="6930" width="11.28515625" style="14" customWidth="1"/>
    <col min="6931" max="6931" width="9.7109375" style="14" customWidth="1"/>
    <col min="6932" max="6932" width="12" style="14" customWidth="1"/>
    <col min="6933" max="6933" width="11.28515625" style="14" customWidth="1"/>
    <col min="6934" max="7171" width="9.140625" style="14"/>
    <col min="7172" max="7172" width="5.7109375" style="14" customWidth="1"/>
    <col min="7173" max="7173" width="13.140625" style="14" customWidth="1"/>
    <col min="7174" max="7174" width="12.28515625" style="14" customWidth="1"/>
    <col min="7175" max="7175" width="8.85546875" style="14" customWidth="1"/>
    <col min="7176" max="7176" width="10.85546875" style="14" customWidth="1"/>
    <col min="7177" max="7177" width="2.85546875" style="14" customWidth="1"/>
    <col min="7178" max="7178" width="12.140625" style="14" customWidth="1"/>
    <col min="7179" max="7179" width="10.140625" style="14" customWidth="1"/>
    <col min="7180" max="7180" width="11.7109375" style="14" customWidth="1"/>
    <col min="7181" max="7181" width="11.42578125" style="14" customWidth="1"/>
    <col min="7182" max="7182" width="12.7109375" style="14" customWidth="1"/>
    <col min="7183" max="7183" width="11.42578125" style="14" customWidth="1"/>
    <col min="7184" max="7184" width="10.7109375" style="14" customWidth="1"/>
    <col min="7185" max="7185" width="10.5703125" style="14" customWidth="1"/>
    <col min="7186" max="7186" width="11.28515625" style="14" customWidth="1"/>
    <col min="7187" max="7187" width="9.7109375" style="14" customWidth="1"/>
    <col min="7188" max="7188" width="12" style="14" customWidth="1"/>
    <col min="7189" max="7189" width="11.28515625" style="14" customWidth="1"/>
    <col min="7190" max="7427" width="9.140625" style="14"/>
    <col min="7428" max="7428" width="5.7109375" style="14" customWidth="1"/>
    <col min="7429" max="7429" width="13.140625" style="14" customWidth="1"/>
    <col min="7430" max="7430" width="12.28515625" style="14" customWidth="1"/>
    <col min="7431" max="7431" width="8.85546875" style="14" customWidth="1"/>
    <col min="7432" max="7432" width="10.85546875" style="14" customWidth="1"/>
    <col min="7433" max="7433" width="2.85546875" style="14" customWidth="1"/>
    <col min="7434" max="7434" width="12.140625" style="14" customWidth="1"/>
    <col min="7435" max="7435" width="10.140625" style="14" customWidth="1"/>
    <col min="7436" max="7436" width="11.7109375" style="14" customWidth="1"/>
    <col min="7437" max="7437" width="11.42578125" style="14" customWidth="1"/>
    <col min="7438" max="7438" width="12.7109375" style="14" customWidth="1"/>
    <col min="7439" max="7439" width="11.42578125" style="14" customWidth="1"/>
    <col min="7440" max="7440" width="10.7109375" style="14" customWidth="1"/>
    <col min="7441" max="7441" width="10.5703125" style="14" customWidth="1"/>
    <col min="7442" max="7442" width="11.28515625" style="14" customWidth="1"/>
    <col min="7443" max="7443" width="9.7109375" style="14" customWidth="1"/>
    <col min="7444" max="7444" width="12" style="14" customWidth="1"/>
    <col min="7445" max="7445" width="11.28515625" style="14" customWidth="1"/>
    <col min="7446" max="7683" width="9.140625" style="14"/>
    <col min="7684" max="7684" width="5.7109375" style="14" customWidth="1"/>
    <col min="7685" max="7685" width="13.140625" style="14" customWidth="1"/>
    <col min="7686" max="7686" width="12.28515625" style="14" customWidth="1"/>
    <col min="7687" max="7687" width="8.85546875" style="14" customWidth="1"/>
    <col min="7688" max="7688" width="10.85546875" style="14" customWidth="1"/>
    <col min="7689" max="7689" width="2.85546875" style="14" customWidth="1"/>
    <col min="7690" max="7690" width="12.140625" style="14" customWidth="1"/>
    <col min="7691" max="7691" width="10.140625" style="14" customWidth="1"/>
    <col min="7692" max="7692" width="11.7109375" style="14" customWidth="1"/>
    <col min="7693" max="7693" width="11.42578125" style="14" customWidth="1"/>
    <col min="7694" max="7694" width="12.7109375" style="14" customWidth="1"/>
    <col min="7695" max="7695" width="11.42578125" style="14" customWidth="1"/>
    <col min="7696" max="7696" width="10.7109375" style="14" customWidth="1"/>
    <col min="7697" max="7697" width="10.5703125" style="14" customWidth="1"/>
    <col min="7698" max="7698" width="11.28515625" style="14" customWidth="1"/>
    <col min="7699" max="7699" width="9.7109375" style="14" customWidth="1"/>
    <col min="7700" max="7700" width="12" style="14" customWidth="1"/>
    <col min="7701" max="7701" width="11.28515625" style="14" customWidth="1"/>
    <col min="7702" max="7939" width="9.140625" style="14"/>
    <col min="7940" max="7940" width="5.7109375" style="14" customWidth="1"/>
    <col min="7941" max="7941" width="13.140625" style="14" customWidth="1"/>
    <col min="7942" max="7942" width="12.28515625" style="14" customWidth="1"/>
    <col min="7943" max="7943" width="8.85546875" style="14" customWidth="1"/>
    <col min="7944" max="7944" width="10.85546875" style="14" customWidth="1"/>
    <col min="7945" max="7945" width="2.85546875" style="14" customWidth="1"/>
    <col min="7946" max="7946" width="12.140625" style="14" customWidth="1"/>
    <col min="7947" max="7947" width="10.140625" style="14" customWidth="1"/>
    <col min="7948" max="7948" width="11.7109375" style="14" customWidth="1"/>
    <col min="7949" max="7949" width="11.42578125" style="14" customWidth="1"/>
    <col min="7950" max="7950" width="12.7109375" style="14" customWidth="1"/>
    <col min="7951" max="7951" width="11.42578125" style="14" customWidth="1"/>
    <col min="7952" max="7952" width="10.7109375" style="14" customWidth="1"/>
    <col min="7953" max="7953" width="10.5703125" style="14" customWidth="1"/>
    <col min="7954" max="7954" width="11.28515625" style="14" customWidth="1"/>
    <col min="7955" max="7955" width="9.7109375" style="14" customWidth="1"/>
    <col min="7956" max="7956" width="12" style="14" customWidth="1"/>
    <col min="7957" max="7957" width="11.28515625" style="14" customWidth="1"/>
    <col min="7958" max="8195" width="9.140625" style="14"/>
    <col min="8196" max="8196" width="5.7109375" style="14" customWidth="1"/>
    <col min="8197" max="8197" width="13.140625" style="14" customWidth="1"/>
    <col min="8198" max="8198" width="12.28515625" style="14" customWidth="1"/>
    <col min="8199" max="8199" width="8.85546875" style="14" customWidth="1"/>
    <col min="8200" max="8200" width="10.85546875" style="14" customWidth="1"/>
    <col min="8201" max="8201" width="2.85546875" style="14" customWidth="1"/>
    <col min="8202" max="8202" width="12.140625" style="14" customWidth="1"/>
    <col min="8203" max="8203" width="10.140625" style="14" customWidth="1"/>
    <col min="8204" max="8204" width="11.7109375" style="14" customWidth="1"/>
    <col min="8205" max="8205" width="11.42578125" style="14" customWidth="1"/>
    <col min="8206" max="8206" width="12.7109375" style="14" customWidth="1"/>
    <col min="8207" max="8207" width="11.42578125" style="14" customWidth="1"/>
    <col min="8208" max="8208" width="10.7109375" style="14" customWidth="1"/>
    <col min="8209" max="8209" width="10.5703125" style="14" customWidth="1"/>
    <col min="8210" max="8210" width="11.28515625" style="14" customWidth="1"/>
    <col min="8211" max="8211" width="9.7109375" style="14" customWidth="1"/>
    <col min="8212" max="8212" width="12" style="14" customWidth="1"/>
    <col min="8213" max="8213" width="11.28515625" style="14" customWidth="1"/>
    <col min="8214" max="8451" width="9.140625" style="14"/>
    <col min="8452" max="8452" width="5.7109375" style="14" customWidth="1"/>
    <col min="8453" max="8453" width="13.140625" style="14" customWidth="1"/>
    <col min="8454" max="8454" width="12.28515625" style="14" customWidth="1"/>
    <col min="8455" max="8455" width="8.85546875" style="14" customWidth="1"/>
    <col min="8456" max="8456" width="10.85546875" style="14" customWidth="1"/>
    <col min="8457" max="8457" width="2.85546875" style="14" customWidth="1"/>
    <col min="8458" max="8458" width="12.140625" style="14" customWidth="1"/>
    <col min="8459" max="8459" width="10.140625" style="14" customWidth="1"/>
    <col min="8460" max="8460" width="11.7109375" style="14" customWidth="1"/>
    <col min="8461" max="8461" width="11.42578125" style="14" customWidth="1"/>
    <col min="8462" max="8462" width="12.7109375" style="14" customWidth="1"/>
    <col min="8463" max="8463" width="11.42578125" style="14" customWidth="1"/>
    <col min="8464" max="8464" width="10.7109375" style="14" customWidth="1"/>
    <col min="8465" max="8465" width="10.5703125" style="14" customWidth="1"/>
    <col min="8466" max="8466" width="11.28515625" style="14" customWidth="1"/>
    <col min="8467" max="8467" width="9.7109375" style="14" customWidth="1"/>
    <col min="8468" max="8468" width="12" style="14" customWidth="1"/>
    <col min="8469" max="8469" width="11.28515625" style="14" customWidth="1"/>
    <col min="8470" max="8707" width="9.140625" style="14"/>
    <col min="8708" max="8708" width="5.7109375" style="14" customWidth="1"/>
    <col min="8709" max="8709" width="13.140625" style="14" customWidth="1"/>
    <col min="8710" max="8710" width="12.28515625" style="14" customWidth="1"/>
    <col min="8711" max="8711" width="8.85546875" style="14" customWidth="1"/>
    <col min="8712" max="8712" width="10.85546875" style="14" customWidth="1"/>
    <col min="8713" max="8713" width="2.85546875" style="14" customWidth="1"/>
    <col min="8714" max="8714" width="12.140625" style="14" customWidth="1"/>
    <col min="8715" max="8715" width="10.140625" style="14" customWidth="1"/>
    <col min="8716" max="8716" width="11.7109375" style="14" customWidth="1"/>
    <col min="8717" max="8717" width="11.42578125" style="14" customWidth="1"/>
    <col min="8718" max="8718" width="12.7109375" style="14" customWidth="1"/>
    <col min="8719" max="8719" width="11.42578125" style="14" customWidth="1"/>
    <col min="8720" max="8720" width="10.7109375" style="14" customWidth="1"/>
    <col min="8721" max="8721" width="10.5703125" style="14" customWidth="1"/>
    <col min="8722" max="8722" width="11.28515625" style="14" customWidth="1"/>
    <col min="8723" max="8723" width="9.7109375" style="14" customWidth="1"/>
    <col min="8724" max="8724" width="12" style="14" customWidth="1"/>
    <col min="8725" max="8725" width="11.28515625" style="14" customWidth="1"/>
    <col min="8726" max="8963" width="9.140625" style="14"/>
    <col min="8964" max="8964" width="5.7109375" style="14" customWidth="1"/>
    <col min="8965" max="8965" width="13.140625" style="14" customWidth="1"/>
    <col min="8966" max="8966" width="12.28515625" style="14" customWidth="1"/>
    <col min="8967" max="8967" width="8.85546875" style="14" customWidth="1"/>
    <col min="8968" max="8968" width="10.85546875" style="14" customWidth="1"/>
    <col min="8969" max="8969" width="2.85546875" style="14" customWidth="1"/>
    <col min="8970" max="8970" width="12.140625" style="14" customWidth="1"/>
    <col min="8971" max="8971" width="10.140625" style="14" customWidth="1"/>
    <col min="8972" max="8972" width="11.7109375" style="14" customWidth="1"/>
    <col min="8973" max="8973" width="11.42578125" style="14" customWidth="1"/>
    <col min="8974" max="8974" width="12.7109375" style="14" customWidth="1"/>
    <col min="8975" max="8975" width="11.42578125" style="14" customWidth="1"/>
    <col min="8976" max="8976" width="10.7109375" style="14" customWidth="1"/>
    <col min="8977" max="8977" width="10.5703125" style="14" customWidth="1"/>
    <col min="8978" max="8978" width="11.28515625" style="14" customWidth="1"/>
    <col min="8979" max="8979" width="9.7109375" style="14" customWidth="1"/>
    <col min="8980" max="8980" width="12" style="14" customWidth="1"/>
    <col min="8981" max="8981" width="11.28515625" style="14" customWidth="1"/>
    <col min="8982" max="9219" width="9.140625" style="14"/>
    <col min="9220" max="9220" width="5.7109375" style="14" customWidth="1"/>
    <col min="9221" max="9221" width="13.140625" style="14" customWidth="1"/>
    <col min="9222" max="9222" width="12.28515625" style="14" customWidth="1"/>
    <col min="9223" max="9223" width="8.85546875" style="14" customWidth="1"/>
    <col min="9224" max="9224" width="10.85546875" style="14" customWidth="1"/>
    <col min="9225" max="9225" width="2.85546875" style="14" customWidth="1"/>
    <col min="9226" max="9226" width="12.140625" style="14" customWidth="1"/>
    <col min="9227" max="9227" width="10.140625" style="14" customWidth="1"/>
    <col min="9228" max="9228" width="11.7109375" style="14" customWidth="1"/>
    <col min="9229" max="9229" width="11.42578125" style="14" customWidth="1"/>
    <col min="9230" max="9230" width="12.7109375" style="14" customWidth="1"/>
    <col min="9231" max="9231" width="11.42578125" style="14" customWidth="1"/>
    <col min="9232" max="9232" width="10.7109375" style="14" customWidth="1"/>
    <col min="9233" max="9233" width="10.5703125" style="14" customWidth="1"/>
    <col min="9234" max="9234" width="11.28515625" style="14" customWidth="1"/>
    <col min="9235" max="9235" width="9.7109375" style="14" customWidth="1"/>
    <col min="9236" max="9236" width="12" style="14" customWidth="1"/>
    <col min="9237" max="9237" width="11.28515625" style="14" customWidth="1"/>
    <col min="9238" max="9475" width="9.140625" style="14"/>
    <col min="9476" max="9476" width="5.7109375" style="14" customWidth="1"/>
    <col min="9477" max="9477" width="13.140625" style="14" customWidth="1"/>
    <col min="9478" max="9478" width="12.28515625" style="14" customWidth="1"/>
    <col min="9479" max="9479" width="8.85546875" style="14" customWidth="1"/>
    <col min="9480" max="9480" width="10.85546875" style="14" customWidth="1"/>
    <col min="9481" max="9481" width="2.85546875" style="14" customWidth="1"/>
    <col min="9482" max="9482" width="12.140625" style="14" customWidth="1"/>
    <col min="9483" max="9483" width="10.140625" style="14" customWidth="1"/>
    <col min="9484" max="9484" width="11.7109375" style="14" customWidth="1"/>
    <col min="9485" max="9485" width="11.42578125" style="14" customWidth="1"/>
    <col min="9486" max="9486" width="12.7109375" style="14" customWidth="1"/>
    <col min="9487" max="9487" width="11.42578125" style="14" customWidth="1"/>
    <col min="9488" max="9488" width="10.7109375" style="14" customWidth="1"/>
    <col min="9489" max="9489" width="10.5703125" style="14" customWidth="1"/>
    <col min="9490" max="9490" width="11.28515625" style="14" customWidth="1"/>
    <col min="9491" max="9491" width="9.7109375" style="14" customWidth="1"/>
    <col min="9492" max="9492" width="12" style="14" customWidth="1"/>
    <col min="9493" max="9493" width="11.28515625" style="14" customWidth="1"/>
    <col min="9494" max="9731" width="9.140625" style="14"/>
    <col min="9732" max="9732" width="5.7109375" style="14" customWidth="1"/>
    <col min="9733" max="9733" width="13.140625" style="14" customWidth="1"/>
    <col min="9734" max="9734" width="12.28515625" style="14" customWidth="1"/>
    <col min="9735" max="9735" width="8.85546875" style="14" customWidth="1"/>
    <col min="9736" max="9736" width="10.85546875" style="14" customWidth="1"/>
    <col min="9737" max="9737" width="2.85546875" style="14" customWidth="1"/>
    <col min="9738" max="9738" width="12.140625" style="14" customWidth="1"/>
    <col min="9739" max="9739" width="10.140625" style="14" customWidth="1"/>
    <col min="9740" max="9740" width="11.7109375" style="14" customWidth="1"/>
    <col min="9741" max="9741" width="11.42578125" style="14" customWidth="1"/>
    <col min="9742" max="9742" width="12.7109375" style="14" customWidth="1"/>
    <col min="9743" max="9743" width="11.42578125" style="14" customWidth="1"/>
    <col min="9744" max="9744" width="10.7109375" style="14" customWidth="1"/>
    <col min="9745" max="9745" width="10.5703125" style="14" customWidth="1"/>
    <col min="9746" max="9746" width="11.28515625" style="14" customWidth="1"/>
    <col min="9747" max="9747" width="9.7109375" style="14" customWidth="1"/>
    <col min="9748" max="9748" width="12" style="14" customWidth="1"/>
    <col min="9749" max="9749" width="11.28515625" style="14" customWidth="1"/>
    <col min="9750" max="9987" width="9.140625" style="14"/>
    <col min="9988" max="9988" width="5.7109375" style="14" customWidth="1"/>
    <col min="9989" max="9989" width="13.140625" style="14" customWidth="1"/>
    <col min="9990" max="9990" width="12.28515625" style="14" customWidth="1"/>
    <col min="9991" max="9991" width="8.85546875" style="14" customWidth="1"/>
    <col min="9992" max="9992" width="10.85546875" style="14" customWidth="1"/>
    <col min="9993" max="9993" width="2.85546875" style="14" customWidth="1"/>
    <col min="9994" max="9994" width="12.140625" style="14" customWidth="1"/>
    <col min="9995" max="9995" width="10.140625" style="14" customWidth="1"/>
    <col min="9996" max="9996" width="11.7109375" style="14" customWidth="1"/>
    <col min="9997" max="9997" width="11.42578125" style="14" customWidth="1"/>
    <col min="9998" max="9998" width="12.7109375" style="14" customWidth="1"/>
    <col min="9999" max="9999" width="11.42578125" style="14" customWidth="1"/>
    <col min="10000" max="10000" width="10.7109375" style="14" customWidth="1"/>
    <col min="10001" max="10001" width="10.5703125" style="14" customWidth="1"/>
    <col min="10002" max="10002" width="11.28515625" style="14" customWidth="1"/>
    <col min="10003" max="10003" width="9.7109375" style="14" customWidth="1"/>
    <col min="10004" max="10004" width="12" style="14" customWidth="1"/>
    <col min="10005" max="10005" width="11.28515625" style="14" customWidth="1"/>
    <col min="10006" max="10243" width="9.140625" style="14"/>
    <col min="10244" max="10244" width="5.7109375" style="14" customWidth="1"/>
    <col min="10245" max="10245" width="13.140625" style="14" customWidth="1"/>
    <col min="10246" max="10246" width="12.28515625" style="14" customWidth="1"/>
    <col min="10247" max="10247" width="8.85546875" style="14" customWidth="1"/>
    <col min="10248" max="10248" width="10.85546875" style="14" customWidth="1"/>
    <col min="10249" max="10249" width="2.85546875" style="14" customWidth="1"/>
    <col min="10250" max="10250" width="12.140625" style="14" customWidth="1"/>
    <col min="10251" max="10251" width="10.140625" style="14" customWidth="1"/>
    <col min="10252" max="10252" width="11.7109375" style="14" customWidth="1"/>
    <col min="10253" max="10253" width="11.42578125" style="14" customWidth="1"/>
    <col min="10254" max="10254" width="12.7109375" style="14" customWidth="1"/>
    <col min="10255" max="10255" width="11.42578125" style="14" customWidth="1"/>
    <col min="10256" max="10256" width="10.7109375" style="14" customWidth="1"/>
    <col min="10257" max="10257" width="10.5703125" style="14" customWidth="1"/>
    <col min="10258" max="10258" width="11.28515625" style="14" customWidth="1"/>
    <col min="10259" max="10259" width="9.7109375" style="14" customWidth="1"/>
    <col min="10260" max="10260" width="12" style="14" customWidth="1"/>
    <col min="10261" max="10261" width="11.28515625" style="14" customWidth="1"/>
    <col min="10262" max="10499" width="9.140625" style="14"/>
    <col min="10500" max="10500" width="5.7109375" style="14" customWidth="1"/>
    <col min="10501" max="10501" width="13.140625" style="14" customWidth="1"/>
    <col min="10502" max="10502" width="12.28515625" style="14" customWidth="1"/>
    <col min="10503" max="10503" width="8.85546875" style="14" customWidth="1"/>
    <col min="10504" max="10504" width="10.85546875" style="14" customWidth="1"/>
    <col min="10505" max="10505" width="2.85546875" style="14" customWidth="1"/>
    <col min="10506" max="10506" width="12.140625" style="14" customWidth="1"/>
    <col min="10507" max="10507" width="10.140625" style="14" customWidth="1"/>
    <col min="10508" max="10508" width="11.7109375" style="14" customWidth="1"/>
    <col min="10509" max="10509" width="11.42578125" style="14" customWidth="1"/>
    <col min="10510" max="10510" width="12.7109375" style="14" customWidth="1"/>
    <col min="10511" max="10511" width="11.42578125" style="14" customWidth="1"/>
    <col min="10512" max="10512" width="10.7109375" style="14" customWidth="1"/>
    <col min="10513" max="10513" width="10.5703125" style="14" customWidth="1"/>
    <col min="10514" max="10514" width="11.28515625" style="14" customWidth="1"/>
    <col min="10515" max="10515" width="9.7109375" style="14" customWidth="1"/>
    <col min="10516" max="10516" width="12" style="14" customWidth="1"/>
    <col min="10517" max="10517" width="11.28515625" style="14" customWidth="1"/>
    <col min="10518" max="10755" width="9.140625" style="14"/>
    <col min="10756" max="10756" width="5.7109375" style="14" customWidth="1"/>
    <col min="10757" max="10757" width="13.140625" style="14" customWidth="1"/>
    <col min="10758" max="10758" width="12.28515625" style="14" customWidth="1"/>
    <col min="10759" max="10759" width="8.85546875" style="14" customWidth="1"/>
    <col min="10760" max="10760" width="10.85546875" style="14" customWidth="1"/>
    <col min="10761" max="10761" width="2.85546875" style="14" customWidth="1"/>
    <col min="10762" max="10762" width="12.140625" style="14" customWidth="1"/>
    <col min="10763" max="10763" width="10.140625" style="14" customWidth="1"/>
    <col min="10764" max="10764" width="11.7109375" style="14" customWidth="1"/>
    <col min="10765" max="10765" width="11.42578125" style="14" customWidth="1"/>
    <col min="10766" max="10766" width="12.7109375" style="14" customWidth="1"/>
    <col min="10767" max="10767" width="11.42578125" style="14" customWidth="1"/>
    <col min="10768" max="10768" width="10.7109375" style="14" customWidth="1"/>
    <col min="10769" max="10769" width="10.5703125" style="14" customWidth="1"/>
    <col min="10770" max="10770" width="11.28515625" style="14" customWidth="1"/>
    <col min="10771" max="10771" width="9.7109375" style="14" customWidth="1"/>
    <col min="10772" max="10772" width="12" style="14" customWidth="1"/>
    <col min="10773" max="10773" width="11.28515625" style="14" customWidth="1"/>
    <col min="10774" max="11011" width="9.140625" style="14"/>
    <col min="11012" max="11012" width="5.7109375" style="14" customWidth="1"/>
    <col min="11013" max="11013" width="13.140625" style="14" customWidth="1"/>
    <col min="11014" max="11014" width="12.28515625" style="14" customWidth="1"/>
    <col min="11015" max="11015" width="8.85546875" style="14" customWidth="1"/>
    <col min="11016" max="11016" width="10.85546875" style="14" customWidth="1"/>
    <col min="11017" max="11017" width="2.85546875" style="14" customWidth="1"/>
    <col min="11018" max="11018" width="12.140625" style="14" customWidth="1"/>
    <col min="11019" max="11019" width="10.140625" style="14" customWidth="1"/>
    <col min="11020" max="11020" width="11.7109375" style="14" customWidth="1"/>
    <col min="11021" max="11021" width="11.42578125" style="14" customWidth="1"/>
    <col min="11022" max="11022" width="12.7109375" style="14" customWidth="1"/>
    <col min="11023" max="11023" width="11.42578125" style="14" customWidth="1"/>
    <col min="11024" max="11024" width="10.7109375" style="14" customWidth="1"/>
    <col min="11025" max="11025" width="10.5703125" style="14" customWidth="1"/>
    <col min="11026" max="11026" width="11.28515625" style="14" customWidth="1"/>
    <col min="11027" max="11027" width="9.7109375" style="14" customWidth="1"/>
    <col min="11028" max="11028" width="12" style="14" customWidth="1"/>
    <col min="11029" max="11029" width="11.28515625" style="14" customWidth="1"/>
    <col min="11030" max="11267" width="9.140625" style="14"/>
    <col min="11268" max="11268" width="5.7109375" style="14" customWidth="1"/>
    <col min="11269" max="11269" width="13.140625" style="14" customWidth="1"/>
    <col min="11270" max="11270" width="12.28515625" style="14" customWidth="1"/>
    <col min="11271" max="11271" width="8.85546875" style="14" customWidth="1"/>
    <col min="11272" max="11272" width="10.85546875" style="14" customWidth="1"/>
    <col min="11273" max="11273" width="2.85546875" style="14" customWidth="1"/>
    <col min="11274" max="11274" width="12.140625" style="14" customWidth="1"/>
    <col min="11275" max="11275" width="10.140625" style="14" customWidth="1"/>
    <col min="11276" max="11276" width="11.7109375" style="14" customWidth="1"/>
    <col min="11277" max="11277" width="11.42578125" style="14" customWidth="1"/>
    <col min="11278" max="11278" width="12.7109375" style="14" customWidth="1"/>
    <col min="11279" max="11279" width="11.42578125" style="14" customWidth="1"/>
    <col min="11280" max="11280" width="10.7109375" style="14" customWidth="1"/>
    <col min="11281" max="11281" width="10.5703125" style="14" customWidth="1"/>
    <col min="11282" max="11282" width="11.28515625" style="14" customWidth="1"/>
    <col min="11283" max="11283" width="9.7109375" style="14" customWidth="1"/>
    <col min="11284" max="11284" width="12" style="14" customWidth="1"/>
    <col min="11285" max="11285" width="11.28515625" style="14" customWidth="1"/>
    <col min="11286" max="11523" width="9.140625" style="14"/>
    <col min="11524" max="11524" width="5.7109375" style="14" customWidth="1"/>
    <col min="11525" max="11525" width="13.140625" style="14" customWidth="1"/>
    <col min="11526" max="11526" width="12.28515625" style="14" customWidth="1"/>
    <col min="11527" max="11527" width="8.85546875" style="14" customWidth="1"/>
    <col min="11528" max="11528" width="10.85546875" style="14" customWidth="1"/>
    <col min="11529" max="11529" width="2.85546875" style="14" customWidth="1"/>
    <col min="11530" max="11530" width="12.140625" style="14" customWidth="1"/>
    <col min="11531" max="11531" width="10.140625" style="14" customWidth="1"/>
    <col min="11532" max="11532" width="11.7109375" style="14" customWidth="1"/>
    <col min="11533" max="11533" width="11.42578125" style="14" customWidth="1"/>
    <col min="11534" max="11534" width="12.7109375" style="14" customWidth="1"/>
    <col min="11535" max="11535" width="11.42578125" style="14" customWidth="1"/>
    <col min="11536" max="11536" width="10.7109375" style="14" customWidth="1"/>
    <col min="11537" max="11537" width="10.5703125" style="14" customWidth="1"/>
    <col min="11538" max="11538" width="11.28515625" style="14" customWidth="1"/>
    <col min="11539" max="11539" width="9.7109375" style="14" customWidth="1"/>
    <col min="11540" max="11540" width="12" style="14" customWidth="1"/>
    <col min="11541" max="11541" width="11.28515625" style="14" customWidth="1"/>
    <col min="11542" max="11779" width="9.140625" style="14"/>
    <col min="11780" max="11780" width="5.7109375" style="14" customWidth="1"/>
    <col min="11781" max="11781" width="13.140625" style="14" customWidth="1"/>
    <col min="11782" max="11782" width="12.28515625" style="14" customWidth="1"/>
    <col min="11783" max="11783" width="8.85546875" style="14" customWidth="1"/>
    <col min="11784" max="11784" width="10.85546875" style="14" customWidth="1"/>
    <col min="11785" max="11785" width="2.85546875" style="14" customWidth="1"/>
    <col min="11786" max="11786" width="12.140625" style="14" customWidth="1"/>
    <col min="11787" max="11787" width="10.140625" style="14" customWidth="1"/>
    <col min="11788" max="11788" width="11.7109375" style="14" customWidth="1"/>
    <col min="11789" max="11789" width="11.42578125" style="14" customWidth="1"/>
    <col min="11790" max="11790" width="12.7109375" style="14" customWidth="1"/>
    <col min="11791" max="11791" width="11.42578125" style="14" customWidth="1"/>
    <col min="11792" max="11792" width="10.7109375" style="14" customWidth="1"/>
    <col min="11793" max="11793" width="10.5703125" style="14" customWidth="1"/>
    <col min="11794" max="11794" width="11.28515625" style="14" customWidth="1"/>
    <col min="11795" max="11795" width="9.7109375" style="14" customWidth="1"/>
    <col min="11796" max="11796" width="12" style="14" customWidth="1"/>
    <col min="11797" max="11797" width="11.28515625" style="14" customWidth="1"/>
    <col min="11798" max="12035" width="9.140625" style="14"/>
    <col min="12036" max="12036" width="5.7109375" style="14" customWidth="1"/>
    <col min="12037" max="12037" width="13.140625" style="14" customWidth="1"/>
    <col min="12038" max="12038" width="12.28515625" style="14" customWidth="1"/>
    <col min="12039" max="12039" width="8.85546875" style="14" customWidth="1"/>
    <col min="12040" max="12040" width="10.85546875" style="14" customWidth="1"/>
    <col min="12041" max="12041" width="2.85546875" style="14" customWidth="1"/>
    <col min="12042" max="12042" width="12.140625" style="14" customWidth="1"/>
    <col min="12043" max="12043" width="10.140625" style="14" customWidth="1"/>
    <col min="12044" max="12044" width="11.7109375" style="14" customWidth="1"/>
    <col min="12045" max="12045" width="11.42578125" style="14" customWidth="1"/>
    <col min="12046" max="12046" width="12.7109375" style="14" customWidth="1"/>
    <col min="12047" max="12047" width="11.42578125" style="14" customWidth="1"/>
    <col min="12048" max="12048" width="10.7109375" style="14" customWidth="1"/>
    <col min="12049" max="12049" width="10.5703125" style="14" customWidth="1"/>
    <col min="12050" max="12050" width="11.28515625" style="14" customWidth="1"/>
    <col min="12051" max="12051" width="9.7109375" style="14" customWidth="1"/>
    <col min="12052" max="12052" width="12" style="14" customWidth="1"/>
    <col min="12053" max="12053" width="11.28515625" style="14" customWidth="1"/>
    <col min="12054" max="12291" width="9.140625" style="14"/>
    <col min="12292" max="12292" width="5.7109375" style="14" customWidth="1"/>
    <col min="12293" max="12293" width="13.140625" style="14" customWidth="1"/>
    <col min="12294" max="12294" width="12.28515625" style="14" customWidth="1"/>
    <col min="12295" max="12295" width="8.85546875" style="14" customWidth="1"/>
    <col min="12296" max="12296" width="10.85546875" style="14" customWidth="1"/>
    <col min="12297" max="12297" width="2.85546875" style="14" customWidth="1"/>
    <col min="12298" max="12298" width="12.140625" style="14" customWidth="1"/>
    <col min="12299" max="12299" width="10.140625" style="14" customWidth="1"/>
    <col min="12300" max="12300" width="11.7109375" style="14" customWidth="1"/>
    <col min="12301" max="12301" width="11.42578125" style="14" customWidth="1"/>
    <col min="12302" max="12302" width="12.7109375" style="14" customWidth="1"/>
    <col min="12303" max="12303" width="11.42578125" style="14" customWidth="1"/>
    <col min="12304" max="12304" width="10.7109375" style="14" customWidth="1"/>
    <col min="12305" max="12305" width="10.5703125" style="14" customWidth="1"/>
    <col min="12306" max="12306" width="11.28515625" style="14" customWidth="1"/>
    <col min="12307" max="12307" width="9.7109375" style="14" customWidth="1"/>
    <col min="12308" max="12308" width="12" style="14" customWidth="1"/>
    <col min="12309" max="12309" width="11.28515625" style="14" customWidth="1"/>
    <col min="12310" max="12547" width="9.140625" style="14"/>
    <col min="12548" max="12548" width="5.7109375" style="14" customWidth="1"/>
    <col min="12549" max="12549" width="13.140625" style="14" customWidth="1"/>
    <col min="12550" max="12550" width="12.28515625" style="14" customWidth="1"/>
    <col min="12551" max="12551" width="8.85546875" style="14" customWidth="1"/>
    <col min="12552" max="12552" width="10.85546875" style="14" customWidth="1"/>
    <col min="12553" max="12553" width="2.85546875" style="14" customWidth="1"/>
    <col min="12554" max="12554" width="12.140625" style="14" customWidth="1"/>
    <col min="12555" max="12555" width="10.140625" style="14" customWidth="1"/>
    <col min="12556" max="12556" width="11.7109375" style="14" customWidth="1"/>
    <col min="12557" max="12557" width="11.42578125" style="14" customWidth="1"/>
    <col min="12558" max="12558" width="12.7109375" style="14" customWidth="1"/>
    <col min="12559" max="12559" width="11.42578125" style="14" customWidth="1"/>
    <col min="12560" max="12560" width="10.7109375" style="14" customWidth="1"/>
    <col min="12561" max="12561" width="10.5703125" style="14" customWidth="1"/>
    <col min="12562" max="12562" width="11.28515625" style="14" customWidth="1"/>
    <col min="12563" max="12563" width="9.7109375" style="14" customWidth="1"/>
    <col min="12564" max="12564" width="12" style="14" customWidth="1"/>
    <col min="12565" max="12565" width="11.28515625" style="14" customWidth="1"/>
    <col min="12566" max="12803" width="9.140625" style="14"/>
    <col min="12804" max="12804" width="5.7109375" style="14" customWidth="1"/>
    <col min="12805" max="12805" width="13.140625" style="14" customWidth="1"/>
    <col min="12806" max="12806" width="12.28515625" style="14" customWidth="1"/>
    <col min="12807" max="12807" width="8.85546875" style="14" customWidth="1"/>
    <col min="12808" max="12808" width="10.85546875" style="14" customWidth="1"/>
    <col min="12809" max="12809" width="2.85546875" style="14" customWidth="1"/>
    <col min="12810" max="12810" width="12.140625" style="14" customWidth="1"/>
    <col min="12811" max="12811" width="10.140625" style="14" customWidth="1"/>
    <col min="12812" max="12812" width="11.7109375" style="14" customWidth="1"/>
    <col min="12813" max="12813" width="11.42578125" style="14" customWidth="1"/>
    <col min="12814" max="12814" width="12.7109375" style="14" customWidth="1"/>
    <col min="12815" max="12815" width="11.42578125" style="14" customWidth="1"/>
    <col min="12816" max="12816" width="10.7109375" style="14" customWidth="1"/>
    <col min="12817" max="12817" width="10.5703125" style="14" customWidth="1"/>
    <col min="12818" max="12818" width="11.28515625" style="14" customWidth="1"/>
    <col min="12819" max="12819" width="9.7109375" style="14" customWidth="1"/>
    <col min="12820" max="12820" width="12" style="14" customWidth="1"/>
    <col min="12821" max="12821" width="11.28515625" style="14" customWidth="1"/>
    <col min="12822" max="13059" width="9.140625" style="14"/>
    <col min="13060" max="13060" width="5.7109375" style="14" customWidth="1"/>
    <col min="13061" max="13061" width="13.140625" style="14" customWidth="1"/>
    <col min="13062" max="13062" width="12.28515625" style="14" customWidth="1"/>
    <col min="13063" max="13063" width="8.85546875" style="14" customWidth="1"/>
    <col min="13064" max="13064" width="10.85546875" style="14" customWidth="1"/>
    <col min="13065" max="13065" width="2.85546875" style="14" customWidth="1"/>
    <col min="13066" max="13066" width="12.140625" style="14" customWidth="1"/>
    <col min="13067" max="13067" width="10.140625" style="14" customWidth="1"/>
    <col min="13068" max="13068" width="11.7109375" style="14" customWidth="1"/>
    <col min="13069" max="13069" width="11.42578125" style="14" customWidth="1"/>
    <col min="13070" max="13070" width="12.7109375" style="14" customWidth="1"/>
    <col min="13071" max="13071" width="11.42578125" style="14" customWidth="1"/>
    <col min="13072" max="13072" width="10.7109375" style="14" customWidth="1"/>
    <col min="13073" max="13073" width="10.5703125" style="14" customWidth="1"/>
    <col min="13074" max="13074" width="11.28515625" style="14" customWidth="1"/>
    <col min="13075" max="13075" width="9.7109375" style="14" customWidth="1"/>
    <col min="13076" max="13076" width="12" style="14" customWidth="1"/>
    <col min="13077" max="13077" width="11.28515625" style="14" customWidth="1"/>
    <col min="13078" max="13315" width="9.140625" style="14"/>
    <col min="13316" max="13316" width="5.7109375" style="14" customWidth="1"/>
    <col min="13317" max="13317" width="13.140625" style="14" customWidth="1"/>
    <col min="13318" max="13318" width="12.28515625" style="14" customWidth="1"/>
    <col min="13319" max="13319" width="8.85546875" style="14" customWidth="1"/>
    <col min="13320" max="13320" width="10.85546875" style="14" customWidth="1"/>
    <col min="13321" max="13321" width="2.85546875" style="14" customWidth="1"/>
    <col min="13322" max="13322" width="12.140625" style="14" customWidth="1"/>
    <col min="13323" max="13323" width="10.140625" style="14" customWidth="1"/>
    <col min="13324" max="13324" width="11.7109375" style="14" customWidth="1"/>
    <col min="13325" max="13325" width="11.42578125" style="14" customWidth="1"/>
    <col min="13326" max="13326" width="12.7109375" style="14" customWidth="1"/>
    <col min="13327" max="13327" width="11.42578125" style="14" customWidth="1"/>
    <col min="13328" max="13328" width="10.7109375" style="14" customWidth="1"/>
    <col min="13329" max="13329" width="10.5703125" style="14" customWidth="1"/>
    <col min="13330" max="13330" width="11.28515625" style="14" customWidth="1"/>
    <col min="13331" max="13331" width="9.7109375" style="14" customWidth="1"/>
    <col min="13332" max="13332" width="12" style="14" customWidth="1"/>
    <col min="13333" max="13333" width="11.28515625" style="14" customWidth="1"/>
    <col min="13334" max="13571" width="9.140625" style="14"/>
    <col min="13572" max="13572" width="5.7109375" style="14" customWidth="1"/>
    <col min="13573" max="13573" width="13.140625" style="14" customWidth="1"/>
    <col min="13574" max="13574" width="12.28515625" style="14" customWidth="1"/>
    <col min="13575" max="13575" width="8.85546875" style="14" customWidth="1"/>
    <col min="13576" max="13576" width="10.85546875" style="14" customWidth="1"/>
    <col min="13577" max="13577" width="2.85546875" style="14" customWidth="1"/>
    <col min="13578" max="13578" width="12.140625" style="14" customWidth="1"/>
    <col min="13579" max="13579" width="10.140625" style="14" customWidth="1"/>
    <col min="13580" max="13580" width="11.7109375" style="14" customWidth="1"/>
    <col min="13581" max="13581" width="11.42578125" style="14" customWidth="1"/>
    <col min="13582" max="13582" width="12.7109375" style="14" customWidth="1"/>
    <col min="13583" max="13583" width="11.42578125" style="14" customWidth="1"/>
    <col min="13584" max="13584" width="10.7109375" style="14" customWidth="1"/>
    <col min="13585" max="13585" width="10.5703125" style="14" customWidth="1"/>
    <col min="13586" max="13586" width="11.28515625" style="14" customWidth="1"/>
    <col min="13587" max="13587" width="9.7109375" style="14" customWidth="1"/>
    <col min="13588" max="13588" width="12" style="14" customWidth="1"/>
    <col min="13589" max="13589" width="11.28515625" style="14" customWidth="1"/>
    <col min="13590" max="13827" width="9.140625" style="14"/>
    <col min="13828" max="13828" width="5.7109375" style="14" customWidth="1"/>
    <col min="13829" max="13829" width="13.140625" style="14" customWidth="1"/>
    <col min="13830" max="13830" width="12.28515625" style="14" customWidth="1"/>
    <col min="13831" max="13831" width="8.85546875" style="14" customWidth="1"/>
    <col min="13832" max="13832" width="10.85546875" style="14" customWidth="1"/>
    <col min="13833" max="13833" width="2.85546875" style="14" customWidth="1"/>
    <col min="13834" max="13834" width="12.140625" style="14" customWidth="1"/>
    <col min="13835" max="13835" width="10.140625" style="14" customWidth="1"/>
    <col min="13836" max="13836" width="11.7109375" style="14" customWidth="1"/>
    <col min="13837" max="13837" width="11.42578125" style="14" customWidth="1"/>
    <col min="13838" max="13838" width="12.7109375" style="14" customWidth="1"/>
    <col min="13839" max="13839" width="11.42578125" style="14" customWidth="1"/>
    <col min="13840" max="13840" width="10.7109375" style="14" customWidth="1"/>
    <col min="13841" max="13841" width="10.5703125" style="14" customWidth="1"/>
    <col min="13842" max="13842" width="11.28515625" style="14" customWidth="1"/>
    <col min="13843" max="13843" width="9.7109375" style="14" customWidth="1"/>
    <col min="13844" max="13844" width="12" style="14" customWidth="1"/>
    <col min="13845" max="13845" width="11.28515625" style="14" customWidth="1"/>
    <col min="13846" max="14083" width="9.140625" style="14"/>
    <col min="14084" max="14084" width="5.7109375" style="14" customWidth="1"/>
    <col min="14085" max="14085" width="13.140625" style="14" customWidth="1"/>
    <col min="14086" max="14086" width="12.28515625" style="14" customWidth="1"/>
    <col min="14087" max="14087" width="8.85546875" style="14" customWidth="1"/>
    <col min="14088" max="14088" width="10.85546875" style="14" customWidth="1"/>
    <col min="14089" max="14089" width="2.85546875" style="14" customWidth="1"/>
    <col min="14090" max="14090" width="12.140625" style="14" customWidth="1"/>
    <col min="14091" max="14091" width="10.140625" style="14" customWidth="1"/>
    <col min="14092" max="14092" width="11.7109375" style="14" customWidth="1"/>
    <col min="14093" max="14093" width="11.42578125" style="14" customWidth="1"/>
    <col min="14094" max="14094" width="12.7109375" style="14" customWidth="1"/>
    <col min="14095" max="14095" width="11.42578125" style="14" customWidth="1"/>
    <col min="14096" max="14096" width="10.7109375" style="14" customWidth="1"/>
    <col min="14097" max="14097" width="10.5703125" style="14" customWidth="1"/>
    <col min="14098" max="14098" width="11.28515625" style="14" customWidth="1"/>
    <col min="14099" max="14099" width="9.7109375" style="14" customWidth="1"/>
    <col min="14100" max="14100" width="12" style="14" customWidth="1"/>
    <col min="14101" max="14101" width="11.28515625" style="14" customWidth="1"/>
    <col min="14102" max="14339" width="9.140625" style="14"/>
    <col min="14340" max="14340" width="5.7109375" style="14" customWidth="1"/>
    <col min="14341" max="14341" width="13.140625" style="14" customWidth="1"/>
    <col min="14342" max="14342" width="12.28515625" style="14" customWidth="1"/>
    <col min="14343" max="14343" width="8.85546875" style="14" customWidth="1"/>
    <col min="14344" max="14344" width="10.85546875" style="14" customWidth="1"/>
    <col min="14345" max="14345" width="2.85546875" style="14" customWidth="1"/>
    <col min="14346" max="14346" width="12.140625" style="14" customWidth="1"/>
    <col min="14347" max="14347" width="10.140625" style="14" customWidth="1"/>
    <col min="14348" max="14348" width="11.7109375" style="14" customWidth="1"/>
    <col min="14349" max="14349" width="11.42578125" style="14" customWidth="1"/>
    <col min="14350" max="14350" width="12.7109375" style="14" customWidth="1"/>
    <col min="14351" max="14351" width="11.42578125" style="14" customWidth="1"/>
    <col min="14352" max="14352" width="10.7109375" style="14" customWidth="1"/>
    <col min="14353" max="14353" width="10.5703125" style="14" customWidth="1"/>
    <col min="14354" max="14354" width="11.28515625" style="14" customWidth="1"/>
    <col min="14355" max="14355" width="9.7109375" style="14" customWidth="1"/>
    <col min="14356" max="14356" width="12" style="14" customWidth="1"/>
    <col min="14357" max="14357" width="11.28515625" style="14" customWidth="1"/>
    <col min="14358" max="14595" width="9.140625" style="14"/>
    <col min="14596" max="14596" width="5.7109375" style="14" customWidth="1"/>
    <col min="14597" max="14597" width="13.140625" style="14" customWidth="1"/>
    <col min="14598" max="14598" width="12.28515625" style="14" customWidth="1"/>
    <col min="14599" max="14599" width="8.85546875" style="14" customWidth="1"/>
    <col min="14600" max="14600" width="10.85546875" style="14" customWidth="1"/>
    <col min="14601" max="14601" width="2.85546875" style="14" customWidth="1"/>
    <col min="14602" max="14602" width="12.140625" style="14" customWidth="1"/>
    <col min="14603" max="14603" width="10.140625" style="14" customWidth="1"/>
    <col min="14604" max="14604" width="11.7109375" style="14" customWidth="1"/>
    <col min="14605" max="14605" width="11.42578125" style="14" customWidth="1"/>
    <col min="14606" max="14606" width="12.7109375" style="14" customWidth="1"/>
    <col min="14607" max="14607" width="11.42578125" style="14" customWidth="1"/>
    <col min="14608" max="14608" width="10.7109375" style="14" customWidth="1"/>
    <col min="14609" max="14609" width="10.5703125" style="14" customWidth="1"/>
    <col min="14610" max="14610" width="11.28515625" style="14" customWidth="1"/>
    <col min="14611" max="14611" width="9.7109375" style="14" customWidth="1"/>
    <col min="14612" max="14612" width="12" style="14" customWidth="1"/>
    <col min="14613" max="14613" width="11.28515625" style="14" customWidth="1"/>
    <col min="14614" max="14851" width="9.140625" style="14"/>
    <col min="14852" max="14852" width="5.7109375" style="14" customWidth="1"/>
    <col min="14853" max="14853" width="13.140625" style="14" customWidth="1"/>
    <col min="14854" max="14854" width="12.28515625" style="14" customWidth="1"/>
    <col min="14855" max="14855" width="8.85546875" style="14" customWidth="1"/>
    <col min="14856" max="14856" width="10.85546875" style="14" customWidth="1"/>
    <col min="14857" max="14857" width="2.85546875" style="14" customWidth="1"/>
    <col min="14858" max="14858" width="12.140625" style="14" customWidth="1"/>
    <col min="14859" max="14859" width="10.140625" style="14" customWidth="1"/>
    <col min="14860" max="14860" width="11.7109375" style="14" customWidth="1"/>
    <col min="14861" max="14861" width="11.42578125" style="14" customWidth="1"/>
    <col min="14862" max="14862" width="12.7109375" style="14" customWidth="1"/>
    <col min="14863" max="14863" width="11.42578125" style="14" customWidth="1"/>
    <col min="14864" max="14864" width="10.7109375" style="14" customWidth="1"/>
    <col min="14865" max="14865" width="10.5703125" style="14" customWidth="1"/>
    <col min="14866" max="14866" width="11.28515625" style="14" customWidth="1"/>
    <col min="14867" max="14867" width="9.7109375" style="14" customWidth="1"/>
    <col min="14868" max="14868" width="12" style="14" customWidth="1"/>
    <col min="14869" max="14869" width="11.28515625" style="14" customWidth="1"/>
    <col min="14870" max="15107" width="9.140625" style="14"/>
    <col min="15108" max="15108" width="5.7109375" style="14" customWidth="1"/>
    <col min="15109" max="15109" width="13.140625" style="14" customWidth="1"/>
    <col min="15110" max="15110" width="12.28515625" style="14" customWidth="1"/>
    <col min="15111" max="15111" width="8.85546875" style="14" customWidth="1"/>
    <col min="15112" max="15112" width="10.85546875" style="14" customWidth="1"/>
    <col min="15113" max="15113" width="2.85546875" style="14" customWidth="1"/>
    <col min="15114" max="15114" width="12.140625" style="14" customWidth="1"/>
    <col min="15115" max="15115" width="10.140625" style="14" customWidth="1"/>
    <col min="15116" max="15116" width="11.7109375" style="14" customWidth="1"/>
    <col min="15117" max="15117" width="11.42578125" style="14" customWidth="1"/>
    <col min="15118" max="15118" width="12.7109375" style="14" customWidth="1"/>
    <col min="15119" max="15119" width="11.42578125" style="14" customWidth="1"/>
    <col min="15120" max="15120" width="10.7109375" style="14" customWidth="1"/>
    <col min="15121" max="15121" width="10.5703125" style="14" customWidth="1"/>
    <col min="15122" max="15122" width="11.28515625" style="14" customWidth="1"/>
    <col min="15123" max="15123" width="9.7109375" style="14" customWidth="1"/>
    <col min="15124" max="15124" width="12" style="14" customWidth="1"/>
    <col min="15125" max="15125" width="11.28515625" style="14" customWidth="1"/>
    <col min="15126" max="15363" width="9.140625" style="14"/>
    <col min="15364" max="15364" width="5.7109375" style="14" customWidth="1"/>
    <col min="15365" max="15365" width="13.140625" style="14" customWidth="1"/>
    <col min="15366" max="15366" width="12.28515625" style="14" customWidth="1"/>
    <col min="15367" max="15367" width="8.85546875" style="14" customWidth="1"/>
    <col min="15368" max="15368" width="10.85546875" style="14" customWidth="1"/>
    <col min="15369" max="15369" width="2.85546875" style="14" customWidth="1"/>
    <col min="15370" max="15370" width="12.140625" style="14" customWidth="1"/>
    <col min="15371" max="15371" width="10.140625" style="14" customWidth="1"/>
    <col min="15372" max="15372" width="11.7109375" style="14" customWidth="1"/>
    <col min="15373" max="15373" width="11.42578125" style="14" customWidth="1"/>
    <col min="15374" max="15374" width="12.7109375" style="14" customWidth="1"/>
    <col min="15375" max="15375" width="11.42578125" style="14" customWidth="1"/>
    <col min="15376" max="15376" width="10.7109375" style="14" customWidth="1"/>
    <col min="15377" max="15377" width="10.5703125" style="14" customWidth="1"/>
    <col min="15378" max="15378" width="11.28515625" style="14" customWidth="1"/>
    <col min="15379" max="15379" width="9.7109375" style="14" customWidth="1"/>
    <col min="15380" max="15380" width="12" style="14" customWidth="1"/>
    <col min="15381" max="15381" width="11.28515625" style="14" customWidth="1"/>
    <col min="15382" max="15619" width="9.140625" style="14"/>
    <col min="15620" max="15620" width="5.7109375" style="14" customWidth="1"/>
    <col min="15621" max="15621" width="13.140625" style="14" customWidth="1"/>
    <col min="15622" max="15622" width="12.28515625" style="14" customWidth="1"/>
    <col min="15623" max="15623" width="8.85546875" style="14" customWidth="1"/>
    <col min="15624" max="15624" width="10.85546875" style="14" customWidth="1"/>
    <col min="15625" max="15625" width="2.85546875" style="14" customWidth="1"/>
    <col min="15626" max="15626" width="12.140625" style="14" customWidth="1"/>
    <col min="15627" max="15627" width="10.140625" style="14" customWidth="1"/>
    <col min="15628" max="15628" width="11.7109375" style="14" customWidth="1"/>
    <col min="15629" max="15629" width="11.42578125" style="14" customWidth="1"/>
    <col min="15630" max="15630" width="12.7109375" style="14" customWidth="1"/>
    <col min="15631" max="15631" width="11.42578125" style="14" customWidth="1"/>
    <col min="15632" max="15632" width="10.7109375" style="14" customWidth="1"/>
    <col min="15633" max="15633" width="10.5703125" style="14" customWidth="1"/>
    <col min="15634" max="15634" width="11.28515625" style="14" customWidth="1"/>
    <col min="15635" max="15635" width="9.7109375" style="14" customWidth="1"/>
    <col min="15636" max="15636" width="12" style="14" customWidth="1"/>
    <col min="15637" max="15637" width="11.28515625" style="14" customWidth="1"/>
    <col min="15638" max="15875" width="9.140625" style="14"/>
    <col min="15876" max="15876" width="5.7109375" style="14" customWidth="1"/>
    <col min="15877" max="15877" width="13.140625" style="14" customWidth="1"/>
    <col min="15878" max="15878" width="12.28515625" style="14" customWidth="1"/>
    <col min="15879" max="15879" width="8.85546875" style="14" customWidth="1"/>
    <col min="15880" max="15880" width="10.85546875" style="14" customWidth="1"/>
    <col min="15881" max="15881" width="2.85546875" style="14" customWidth="1"/>
    <col min="15882" max="15882" width="12.140625" style="14" customWidth="1"/>
    <col min="15883" max="15883" width="10.140625" style="14" customWidth="1"/>
    <col min="15884" max="15884" width="11.7109375" style="14" customWidth="1"/>
    <col min="15885" max="15885" width="11.42578125" style="14" customWidth="1"/>
    <col min="15886" max="15886" width="12.7109375" style="14" customWidth="1"/>
    <col min="15887" max="15887" width="11.42578125" style="14" customWidth="1"/>
    <col min="15888" max="15888" width="10.7109375" style="14" customWidth="1"/>
    <col min="15889" max="15889" width="10.5703125" style="14" customWidth="1"/>
    <col min="15890" max="15890" width="11.28515625" style="14" customWidth="1"/>
    <col min="15891" max="15891" width="9.7109375" style="14" customWidth="1"/>
    <col min="15892" max="15892" width="12" style="14" customWidth="1"/>
    <col min="15893" max="15893" width="11.28515625" style="14" customWidth="1"/>
    <col min="15894" max="16131" width="9.140625" style="14"/>
    <col min="16132" max="16132" width="5.7109375" style="14" customWidth="1"/>
    <col min="16133" max="16133" width="13.140625" style="14" customWidth="1"/>
    <col min="16134" max="16134" width="12.28515625" style="14" customWidth="1"/>
    <col min="16135" max="16135" width="8.85546875" style="14" customWidth="1"/>
    <col min="16136" max="16136" width="10.85546875" style="14" customWidth="1"/>
    <col min="16137" max="16137" width="2.85546875" style="14" customWidth="1"/>
    <col min="16138" max="16138" width="12.140625" style="14" customWidth="1"/>
    <col min="16139" max="16139" width="10.140625" style="14" customWidth="1"/>
    <col min="16140" max="16140" width="11.7109375" style="14" customWidth="1"/>
    <col min="16141" max="16141" width="11.42578125" style="14" customWidth="1"/>
    <col min="16142" max="16142" width="12.7109375" style="14" customWidth="1"/>
    <col min="16143" max="16143" width="11.42578125" style="14" customWidth="1"/>
    <col min="16144" max="16144" width="10.7109375" style="14" customWidth="1"/>
    <col min="16145" max="16145" width="10.5703125" style="14" customWidth="1"/>
    <col min="16146" max="16146" width="11.28515625" style="14" customWidth="1"/>
    <col min="16147" max="16147" width="9.7109375" style="14" customWidth="1"/>
    <col min="16148" max="16148" width="12" style="14" customWidth="1"/>
    <col min="16149" max="16149" width="11.28515625" style="14" customWidth="1"/>
    <col min="16150" max="16384" width="9.140625" style="14"/>
  </cols>
  <sheetData>
    <row r="1" spans="4:19" ht="12.75" thickBot="1" x14ac:dyDescent="0.25"/>
    <row r="2" spans="4:19" ht="12" customHeight="1" thickBot="1" x14ac:dyDescent="0.25">
      <c r="Q2" s="633" t="s">
        <v>0</v>
      </c>
      <c r="R2" s="634"/>
      <c r="S2" s="635"/>
    </row>
    <row r="3" spans="4:19" ht="13.5" thickBot="1" x14ac:dyDescent="0.25">
      <c r="I3" s="636" t="s">
        <v>1</v>
      </c>
      <c r="J3" s="637"/>
      <c r="K3" s="637"/>
      <c r="L3" s="637"/>
      <c r="M3" s="637"/>
      <c r="N3" s="637"/>
      <c r="O3" s="638"/>
      <c r="Q3" s="611">
        <f>'AGUILAR ESQUIVEL CARLOS'!Q3</f>
        <v>45</v>
      </c>
      <c r="R3" s="639"/>
      <c r="S3" s="612"/>
    </row>
    <row r="4" spans="4:19" ht="13.5" thickBot="1" x14ac:dyDescent="0.25">
      <c r="I4" s="640" t="s">
        <v>2</v>
      </c>
      <c r="J4" s="641"/>
      <c r="K4" s="641"/>
      <c r="L4" s="641"/>
      <c r="M4" s="641"/>
      <c r="N4" s="641"/>
      <c r="O4" s="642"/>
      <c r="Q4" s="18"/>
      <c r="R4" s="18"/>
      <c r="S4" s="18"/>
    </row>
    <row r="5" spans="4:19" ht="13.5" thickBot="1" x14ac:dyDescent="0.25">
      <c r="I5" s="643" t="s">
        <v>3</v>
      </c>
      <c r="J5" s="644"/>
      <c r="K5" s="644"/>
      <c r="L5" s="644"/>
      <c r="M5" s="644"/>
      <c r="N5" s="644"/>
      <c r="O5" s="645"/>
      <c r="Q5" s="611" t="s">
        <v>4</v>
      </c>
      <c r="R5" s="639"/>
      <c r="S5" s="612"/>
    </row>
    <row r="6" spans="4:19" ht="13.5" thickBot="1" x14ac:dyDescent="0.25">
      <c r="I6" s="650" t="s">
        <v>5</v>
      </c>
      <c r="J6" s="651"/>
      <c r="K6" s="651"/>
      <c r="L6" s="651"/>
      <c r="M6" s="651"/>
      <c r="N6" s="651"/>
      <c r="O6" s="652"/>
      <c r="Q6" s="653">
        <f>+'MORALES LOPEZ DE LARA MARIANO'!Q6+1</f>
        <v>117</v>
      </c>
      <c r="R6" s="654"/>
      <c r="S6" s="655"/>
    </row>
    <row r="7" spans="4:19" ht="9" customHeight="1" x14ac:dyDescent="0.2"/>
    <row r="8" spans="4:19" ht="6.75" customHeight="1" thickBot="1" x14ac:dyDescent="0.25"/>
    <row r="9" spans="4:19" ht="13.5" thickBot="1" x14ac:dyDescent="0.25">
      <c r="I9" s="611" t="s">
        <v>6</v>
      </c>
      <c r="J9" s="639"/>
      <c r="K9" s="639"/>
      <c r="L9" s="639"/>
      <c r="M9" s="639"/>
      <c r="N9" s="639"/>
      <c r="O9" s="612"/>
    </row>
    <row r="10" spans="4:19" ht="11.25" customHeight="1" thickBot="1" x14ac:dyDescent="0.25"/>
    <row r="11" spans="4:19" ht="12.75" x14ac:dyDescent="0.2">
      <c r="D11" s="1" t="s">
        <v>306</v>
      </c>
      <c r="E11" s="2" t="s">
        <v>312</v>
      </c>
      <c r="F11" s="2"/>
      <c r="G11" s="2"/>
      <c r="H11" s="2"/>
      <c r="I11" s="2"/>
      <c r="J11" s="2"/>
      <c r="K11" s="3" t="s">
        <v>8</v>
      </c>
      <c r="L11" s="656" t="str">
        <f>'AGUILAR ESQUIVEL CARLOS'!L11</f>
        <v>SEMANA #45 PERIODO DEL 27 de oct AL 02 de nov DEL 2025</v>
      </c>
      <c r="M11" s="656"/>
      <c r="N11" s="656"/>
      <c r="O11" s="656"/>
      <c r="P11" s="656"/>
      <c r="Q11" s="656"/>
      <c r="R11" s="656"/>
      <c r="S11" s="659"/>
    </row>
    <row r="12" spans="4:19" ht="12.75" x14ac:dyDescent="0.2">
      <c r="D12" s="4"/>
      <c r="E12" s="130"/>
      <c r="F12" s="130"/>
      <c r="G12" s="130"/>
      <c r="H12" s="130"/>
      <c r="I12" s="130"/>
      <c r="J12" s="130"/>
      <c r="K12" s="6"/>
      <c r="L12" s="5"/>
      <c r="M12" s="5"/>
      <c r="N12" s="5"/>
      <c r="O12" s="5"/>
      <c r="P12" s="5"/>
      <c r="Q12" s="5"/>
      <c r="R12" s="5"/>
      <c r="S12" s="374"/>
    </row>
    <row r="13" spans="4:19" ht="12.75" x14ac:dyDescent="0.2">
      <c r="D13" s="4" t="s">
        <v>9</v>
      </c>
      <c r="E13" s="624" t="s">
        <v>340</v>
      </c>
      <c r="F13" s="624"/>
      <c r="G13" s="5"/>
      <c r="H13" s="130"/>
      <c r="I13" s="130"/>
      <c r="J13" s="130"/>
      <c r="K13" s="130"/>
      <c r="L13" s="130"/>
      <c r="M13" s="130"/>
      <c r="N13" s="130"/>
      <c r="O13" s="130"/>
      <c r="P13" s="130"/>
      <c r="Q13" s="130"/>
      <c r="R13" s="130"/>
      <c r="S13" s="256"/>
    </row>
    <row r="14" spans="4:19" ht="9.75" customHeight="1" x14ac:dyDescent="0.2">
      <c r="D14" s="623"/>
      <c r="E14" s="624"/>
      <c r="F14" s="130"/>
      <c r="G14" s="130"/>
      <c r="H14" s="130"/>
      <c r="I14" s="130"/>
      <c r="J14" s="130"/>
      <c r="K14" s="130"/>
      <c r="L14" s="130"/>
      <c r="M14" s="130"/>
      <c r="N14" s="130"/>
      <c r="O14" s="130"/>
      <c r="P14" s="130"/>
      <c r="Q14" s="130"/>
      <c r="R14" s="130"/>
      <c r="S14" s="256"/>
    </row>
    <row r="15" spans="4:19" ht="12.75" x14ac:dyDescent="0.2">
      <c r="D15" s="625" t="s">
        <v>10</v>
      </c>
      <c r="E15" s="626"/>
      <c r="F15" s="130">
        <v>329130</v>
      </c>
      <c r="G15" s="130"/>
      <c r="H15" s="130"/>
      <c r="I15" s="6" t="s">
        <v>11</v>
      </c>
      <c r="J15" s="6"/>
      <c r="K15" s="130"/>
      <c r="L15" s="130"/>
      <c r="M15" s="130"/>
      <c r="N15" s="130"/>
      <c r="O15" s="6" t="s">
        <v>12</v>
      </c>
      <c r="P15" s="7"/>
      <c r="Q15" s="7"/>
      <c r="R15" s="7"/>
      <c r="S15" s="8"/>
    </row>
    <row r="16" spans="4:19" ht="12.75" x14ac:dyDescent="0.2">
      <c r="D16" s="625" t="s">
        <v>13</v>
      </c>
      <c r="E16" s="626"/>
      <c r="F16" s="130">
        <v>329904</v>
      </c>
      <c r="G16" s="130"/>
      <c r="H16" s="130"/>
      <c r="I16" s="6" t="s">
        <v>14</v>
      </c>
      <c r="J16" s="6"/>
      <c r="K16" s="130"/>
      <c r="L16" s="130"/>
      <c r="M16" s="130"/>
      <c r="N16" s="130"/>
      <c r="O16" s="6" t="s">
        <v>15</v>
      </c>
      <c r="P16" s="130"/>
      <c r="Q16" s="130"/>
      <c r="R16" s="130"/>
      <c r="S16" s="256"/>
    </row>
    <row r="17" spans="3:22" ht="13.5" thickBot="1" x14ac:dyDescent="0.25">
      <c r="D17" s="627" t="s">
        <v>16</v>
      </c>
      <c r="E17" s="628"/>
      <c r="F17" s="257">
        <f>SUM(J20:J34)</f>
        <v>3100</v>
      </c>
      <c r="G17" s="257"/>
      <c r="H17" s="257"/>
      <c r="I17" s="9" t="s">
        <v>17</v>
      </c>
      <c r="J17" s="257">
        <f>SUM(K20:K34)</f>
        <v>975.44</v>
      </c>
      <c r="K17" s="257"/>
      <c r="L17" s="257"/>
      <c r="M17" s="257"/>
      <c r="N17" s="257"/>
      <c r="O17" s="9" t="s">
        <v>18</v>
      </c>
      <c r="P17" s="10">
        <f>+F17/J17</f>
        <v>3.1780529812187317</v>
      </c>
      <c r="Q17" s="257"/>
      <c r="R17" s="257"/>
      <c r="S17" s="258"/>
    </row>
    <row r="18" spans="3:22" ht="7.5" customHeight="1" thickBot="1" x14ac:dyDescent="0.25"/>
    <row r="19" spans="3:22" ht="33" customHeight="1" thickBot="1" x14ac:dyDescent="0.25">
      <c r="C19" s="243" t="s">
        <v>19</v>
      </c>
      <c r="D19" s="33" t="s">
        <v>20</v>
      </c>
      <c r="E19" s="34" t="s">
        <v>21</v>
      </c>
      <c r="F19" s="34" t="s">
        <v>22</v>
      </c>
      <c r="G19" s="34" t="s">
        <v>23</v>
      </c>
      <c r="H19" s="34" t="s">
        <v>24</v>
      </c>
      <c r="I19" s="34" t="s">
        <v>25</v>
      </c>
      <c r="J19" s="34" t="s">
        <v>26</v>
      </c>
      <c r="K19" s="34" t="s">
        <v>27</v>
      </c>
      <c r="L19" s="34" t="s">
        <v>28</v>
      </c>
      <c r="M19" s="34" t="s">
        <v>285</v>
      </c>
      <c r="N19" s="34" t="s">
        <v>29</v>
      </c>
      <c r="O19" s="34" t="s">
        <v>30</v>
      </c>
      <c r="P19" s="33" t="s">
        <v>31</v>
      </c>
      <c r="Q19" s="34" t="s">
        <v>219</v>
      </c>
      <c r="R19" s="34" t="s">
        <v>184</v>
      </c>
      <c r="S19" s="34" t="s">
        <v>33</v>
      </c>
      <c r="T19" s="35" t="s">
        <v>220</v>
      </c>
      <c r="U19" s="448" t="s">
        <v>351</v>
      </c>
      <c r="V19" s="305" t="s">
        <v>355</v>
      </c>
    </row>
    <row r="20" spans="3:22" x14ac:dyDescent="0.2">
      <c r="C20" s="176">
        <v>46110</v>
      </c>
      <c r="D20" s="43" t="s">
        <v>587</v>
      </c>
      <c r="E20" s="42">
        <v>45958</v>
      </c>
      <c r="F20" s="42">
        <v>45959</v>
      </c>
      <c r="G20" s="43">
        <v>2</v>
      </c>
      <c r="H20" s="236" t="str">
        <f>IF(G20=1,KILOMETRAJE!C$4,IF(G20=2,KILOMETRAJE!C$5,IF(G20=3,KILOMETRAJE!C$6,IF(G20=4,KILOMETRAJE!C$7,IF(G20=5,KILOMETRAJE!C$8,IF(G20=6,KILOMETRAJE!C$9,IF(G20=7,KILOMETRAJE!C$10,IF(G20=8,KILOMETRAJE!C$11,IF(G20=9,KILOMETRAJE!C$12,IF(G20=10,KILOMETRAJE!C$13,IF(G20=11,KILOMETRAJE!C$14,IF(G20=12,KILOMETRAJE!C$15,IF(G20=13,KILOMETRAJE!C$16,IF(G20=14,KILOMETRAJE!C$17,IF(G20=15,KILOMETRAJE!C$18,IF(G20=16,KILOMETRAJE!C$19,IF(G20=17,KILOMETRAJE!C$20,IF(G20=18,KILOMETRAJE!C$21,IF(G20=19,KILOMETRAJE!C$22,IF(G20=20,KILOMETRAJE!C$23,IF(G20=21,KILOMETRAJE!C$24,IF(G20=22,KILOMETRAJE!C$25,IF(G20=23,KILOMETRAJE!C$26,IF(G20=24,KILOMETRAJE!C$27,IF(G20=25,KILOMETRAJE!C$28,IF(G20=26,KILOMETRAJE!C$29,IF(G20=27,KILOMETRAJE!C$30,IF(G20=28,KILOMETRAJE!C$31,IF(G20=29,KILOMETRAJE!C$32,IF(G20=30,KILOMETRAJE!C$33,IF(G20=31,KILOMETRAJE!C$34,IF(G20=32,KILOMETRAJE!C$35,IF(G20=33,KILOMETRAJE!C$36,IF(G20=34,KILOMETRAJE!C$37,IF(G20=35,KILOMETRAJE!C$38,IF(G20=36,KILOMETRAJE!C$39,IF(G20=37,KILOMETRAJE!C$40,IF(G20=38,KILOMETRAJE!C$41,IF(G20=39,KILOMETRAJE!C$42,IF(G20=40,KILOMETRAJE!C$43,IF(G20=41,KILOMETRAJE!C$44,IF(G20=42,KILOMETRAJE!C$45,IF(G20=43,KILOMETRAJE!C$46,IF(G20=44,KILOMETRAJE!C$47,IF(G20=45,KILOMETRAJE!C$48,IF(G20=46,KILOMETRAJE!C$49,IF(G20=47,KILOMETRAJE!C$50,IF(G20=48,KILOMETRAJE!C$51,IF(G20=49,KILOMETRAJE!C$52,IF(G20=50,KILOMETRAJE!C$53,IF(G20=51,KILOMETRAJE!C$54,IF(G20=52,KILOMETRAJE!C$55,IF(G20=53,KILOMETRAJE!C$56,IF(G20=54,KILOMETRAJE!C$57,IF(G20=55,KILOMETRAJE!C$58,IF(G20=56,KILOMETRAJE!C$59,IF(G20=57,KILOMETRAJE!C$60,IF(G20=58,KILOMETRAJE!C$61,IF(G20=59,KILOMETRAJE!C$62,IF(G20=60,KILOMETRAJE!C$63,IF(G20=61,KILOMETRAJE!C$64,IF(G20=62,KILOMETRAJE!C$65,IF(G20=63,KILOMETRAJE!C$66)))))))))))))))))))))))))))))))))))))))))))))))))))))))))))))))</f>
        <v>JRZ</v>
      </c>
      <c r="I20" s="236" t="str">
        <f>IF(G20=1,KILOMETRAJE!E$4,IF(G20=2,KILOMETRAJE!E$5,IF(G20=3,KILOMETRAJE!E$6,IF(G20=4,KILOMETRAJE!E$7,IF(G20=5,KILOMETRAJE!E$8,IF(G20=6,KILOMETRAJE!E$9,IF(G20=7,KILOMETRAJE!E$10,IF(G20=8,KILOMETRAJE!E$11,IF(G20=9,KILOMETRAJE!E$12,IF(G20=10,KILOMETRAJE!E$13,IF(G20=11,KILOMETRAJE!E$14,IF(G20=12,KILOMETRAJE!E$15,IF(G20=13,KILOMETRAJE!E$16,IF(G20=14,KILOMETRAJE!E$17,IF(G20=15,KILOMETRAJE!E$18,IF(G20=16,KILOMETRAJE!E$19,IF(G20=17,KILOMETRAJE!E$20,IF(G20=18,KILOMETRAJE!E$21,IF(G20=19,KILOMETRAJE!E$22,IF(G20=20,KILOMETRAJE!E$23,IF(G20=21,KILOMETRAJE!E$24,IF(G20=22,KILOMETRAJE!E$25,IF(G20=23,KILOMETRAJE!E$26,IF(G20=24,KILOMETRAJE!E$27,IF(G20=25,KILOMETRAJE!E$28,IF(G20=26,KILOMETRAJE!E$29,IF(G20=27,KILOMETRAJE!E$30,IF(G20=28,KILOMETRAJE!E$31,IF(G20=29,KILOMETRAJE!E$32,IF(G20=30,KILOMETRAJE!E$33,IF(G20=31,KILOMETRAJE!E$34,IF(G20=32,KILOMETRAJE!E$35,IF(G20=33,KILOMETRAJE!E$36,IF(G20=34,KILOMETRAJE!E$37,IF(G20=35,KILOMETRAJE!E$38,IF(G20=36,KILOMETRAJE!E$39,IF(G20=37,KILOMETRAJE!E$40,IF(G20=38,KILOMETRAJE!E$41,IF(G20=39,KILOMETRAJE!E$42,IF(G20=40,KILOMETRAJE!E$43,IF(G20=41,KILOMETRAJE!E$44,IF(G20=42,KILOMETRAJE!E$45,IF(G20=43,KILOMETRAJE!E$46,IF(G20=44,KILOMETRAJE!E$47,IF(G20=45,KILOMETRAJE!E$48,IF(G20=46,KILOMETRAJE!E$49,IF(G20=47,KILOMETRAJE!E$50,IF(G20=48,KILOMETRAJE!E$51,IF(G20=49,KILOMETRAJE!E$52,IF(G20=50,KILOMETRAJE!E$53,IF(G20=51,KILOMETRAJE!E$54,IF(G20=52,KILOMETRAJE!E$55,IF(G20=53,KILOMETRAJE!E$56,IF(G20=54,KILOMETRAJE!E$57,IF(G20=55,KILOMETRAJE!E$58,IF(G20=56,KILOMETRAJE!E$59,IF(G20=57,KILOMETRAJE!E$60,IF(G20=58,KILOMETRAJE!E$61,IF(G20=59,KILOMETRAJE!E$62,IF(G20=60,KILOMETRAJE!E$63,IF(G20=61,KILOMETRAJE!E$64,IF(G20=62,KILOMETRAJE!E$65,IF(G20=63,KILOMETRAJE!E$66)))))))))))))))))))))))))))))))))))))))))))))))))))))))))))))))</f>
        <v>CHIH.</v>
      </c>
      <c r="J20" s="237">
        <f>IF(G20=1,[2]KILOMETRAJE!G$4,IF(G20=2,[2]KILOMETRAJE!G$5,IF(G20=3,[2]KILOMETRAJE!G$6,IF(G20=4,[2]KILOMETRAJE!G$7,IF(G20=5,[2]KILOMETRAJE!G$8,IF(G20=6,[2]KILOMETRAJE!G$9,IF(G20=7,[2]KILOMETRAJE!G$10,IF(G20=8,[2]KILOMETRAJE!G$11,IF(G20=9,[2]KILOMETRAJE!G$12,IF(G20=10,[2]KILOMETRAJE!G$13,IF(G20=11,[2]KILOMETRAJE!G$14,IF(G20=12,[2]KILOMETRAJE!G$15,IF(G20=13,[2]KILOMETRAJE!G$16,IF(G20=14,[2]KILOMETRAJE!G$17,IF(G20=15,[2]KILOMETRAJE!G$18,IF(G20=16,[2]KILOMETRAJE!G$19,IF(G20=17,[2]KILOMETRAJE!G$20,IF(G20=18,[2]KILOMETRAJE!G$21,IF(G20=19,[2]KILOMETRAJE!G$22,IF(G20=20,[2]KILOMETRAJE!G$23,IF(G20=21,[2]KILOMETRAJE!G$24,IF(G20=22,[2]KILOMETRAJE!G$25,IF(G20=23,[2]KILOMETRAJE!G$26,IF(G20=24,[2]KILOMETRAJE!G$27,IF(G20=25,[2]KILOMETRAJE!G$28,IF(G20=26,[2]KILOMETRAJE!G$29,IF(G20=27,[2]KILOMETRAJE!G$30,IF(G20=28,[2]KILOMETRAJE!G$31,IF(G20=29,[2]KILOMETRAJE!G$32,IF(G20=30,[2]KILOMETRAJE!G$33,IF(G20=31,[2]KILOMETRAJE!G$34,IF(G20=32,[2]KILOMETRAJE!G$35,IF(G20=33,[2]KILOMETRAJE!G$36,IF(G20=34,[2]KILOMETRAJE!G$37,IF(G20=35,[2]KILOMETRAJE!G$38,IF(G20=36,[2]KILOMETRAJE!G$39,IF(G20=37,[2]KILOMETRAJE!G$40,IF(G20=38,[2]KILOMETRAJE!G$41,IF(G20=39,[2]KILOMETRAJE!G$42,IF(G20=40,[2]KILOMETRAJE!G$43,IF(G20=41,[2]KILOMETRAJE!G$44,IF(G20=42,[2]KILOMETRAJE!G$45,IF(G20=43,[2]KILOMETRAJE!G$46,IF(G20=44,[2]KILOMETRAJE!G$47,IF(G20=45,[2]KILOMETRAJE!G$48,IF(G20=46,[2]KILOMETRAJE!G$49,IF(G20=47,[2]KILOMETRAJE!G$50,IF(G20=48,[2]KILOMETRAJE!G$51,IF(G20=49,[2]KILOMETRAJE!G$52,IF(G20=50,[2]KILOMETRAJE!G$53,IF(G20=51,[2]KILOMETRAJE!G$54,IF(G20=52,[2]KILOMETRAJE!G$55,IF(G20=53,[2]KILOMETRAJE!G$56,IF(G20=54,[2]KILOMETRAJE!G$57,IF(G20=55,[2]KILOMETRAJE!G$58,IF(G20=56,[2]KILOMETRAJE!G$59,IF(G20=57,[2]KILOMETRAJE!G$60,IF(G20=58,[2]KILOMETRAJE!G$61,IF(G20=59,[2]KILOMETRAJE!G$62,IF(G20=60,[2]KILOMETRAJE!G$63,IF(G20=61,[2]KILOMETRAJE!G$64,IF(G20=62,[2]KILOMETRAJE!G$65,IF(G20=63,[2]KILOMETRAJE!G$66)))))))))))))))))))))))))))))))))))))))))))))))))))))))))))))))</f>
        <v>375</v>
      </c>
      <c r="K20" s="24"/>
      <c r="L20" s="44"/>
      <c r="M20" s="348">
        <v>962</v>
      </c>
      <c r="N20" s="24">
        <v>1</v>
      </c>
      <c r="O20" s="24" t="s">
        <v>584</v>
      </c>
      <c r="P20" s="24" t="s">
        <v>198</v>
      </c>
      <c r="Q20" s="45">
        <f t="shared" ref="Q20:Q21" si="0">((((IF(N20=1,((J20)*0.29333)))+(IF(N20=2,((J20)*0.146666)))+(IF(N20=3,((J20)*0.146666)))))+(IF(N20=4,((J20-40)*0.29333)))+(IF(N20=5,((J20-50)*0.29333)))+(IF(N20=6,((J20-90)*0.29333))))</f>
        <v>109.99874999999999</v>
      </c>
      <c r="R20" s="187"/>
      <c r="S20" s="49"/>
      <c r="T20" s="455"/>
      <c r="U20" s="24"/>
      <c r="V20" s="79"/>
    </row>
    <row r="21" spans="3:22" ht="12.75" thickBot="1" x14ac:dyDescent="0.25">
      <c r="C21" s="101"/>
      <c r="D21" s="25" t="s">
        <v>588</v>
      </c>
      <c r="E21" s="25">
        <v>45959</v>
      </c>
      <c r="F21" s="25">
        <v>45959</v>
      </c>
      <c r="G21" s="62">
        <v>3</v>
      </c>
      <c r="H21" s="27" t="str">
        <f>IF(G21=1,KILOMETRAJE!C$4,IF(G21=2,KILOMETRAJE!C$5,IF(G21=3,KILOMETRAJE!C$6,IF(G21=4,KILOMETRAJE!C$7,IF(G21=5,KILOMETRAJE!C$8,IF(G21=6,KILOMETRAJE!C$9,IF(G21=7,KILOMETRAJE!C$10,IF(G21=8,KILOMETRAJE!C$11,IF(G21=9,KILOMETRAJE!C$12,IF(G21=10,KILOMETRAJE!C$13,IF(G21=11,KILOMETRAJE!C$14,IF(G21=12,KILOMETRAJE!C$15,IF(G21=13,KILOMETRAJE!C$16,IF(G21=14,KILOMETRAJE!C$17,IF(G21=15,KILOMETRAJE!C$18,IF(G21=16,KILOMETRAJE!C$19,IF(G21=17,KILOMETRAJE!C$20,IF(G21=18,KILOMETRAJE!C$21,IF(G21=19,KILOMETRAJE!C$22,IF(G21=20,KILOMETRAJE!C$23,IF(G21=21,KILOMETRAJE!C$24,IF(G21=22,KILOMETRAJE!C$25,IF(G21=23,KILOMETRAJE!C$26,IF(G21=24,KILOMETRAJE!C$27,IF(G21=25,KILOMETRAJE!C$28,IF(G21=26,KILOMETRAJE!C$29,IF(G21=27,KILOMETRAJE!C$30,IF(G21=28,KILOMETRAJE!C$31,IF(G21=29,KILOMETRAJE!C$32,IF(G21=30,KILOMETRAJE!C$33,IF(G21=31,KILOMETRAJE!C$34,IF(G21=32,KILOMETRAJE!C$35,IF(G21=33,KILOMETRAJE!C$36,IF(G21=34,KILOMETRAJE!C$37,IF(G21=35,KILOMETRAJE!C$38,IF(G21=36,KILOMETRAJE!C$39,IF(G21=37,KILOMETRAJE!C$40,IF(G21=38,KILOMETRAJE!C$41,IF(G21=39,KILOMETRAJE!C$42,IF(G21=40,KILOMETRAJE!C$43,IF(G21=41,KILOMETRAJE!C$44,IF(G21=42,KILOMETRAJE!C$45,IF(G21=43,KILOMETRAJE!C$46,IF(G21=44,KILOMETRAJE!C$47,IF(G21=45,KILOMETRAJE!C$48,IF(G21=46,KILOMETRAJE!C$49,IF(G21=47,KILOMETRAJE!C$50,IF(G21=48,KILOMETRAJE!C$51,IF(G21=49,KILOMETRAJE!C$52,IF(G21=50,KILOMETRAJE!C$53,IF(G21=51,KILOMETRAJE!C$54,IF(G21=52,KILOMETRAJE!C$55,IF(G21=53,KILOMETRAJE!C$56,IF(G21=54,KILOMETRAJE!C$57,IF(G21=55,KILOMETRAJE!C$58,IF(G21=56,KILOMETRAJE!C$59,IF(G21=57,KILOMETRAJE!C$60,IF(G21=58,KILOMETRAJE!C$61,IF(G21=59,KILOMETRAJE!C$62,IF(G21=60,KILOMETRAJE!C$63,IF(G21=61,KILOMETRAJE!C$64,IF(G21=62,KILOMETRAJE!C$65,IF(G21=63,KILOMETRAJE!C$66)))))))))))))))))))))))))))))))))))))))))))))))))))))))))))))))</f>
        <v xml:space="preserve">CHIH. </v>
      </c>
      <c r="I21" s="27" t="str">
        <f>IF(G21=1,KILOMETRAJE!E$4,IF(G21=2,KILOMETRAJE!E$5,IF(G21=3,KILOMETRAJE!E$6,IF(G21=4,KILOMETRAJE!E$7,IF(G21=5,KILOMETRAJE!E$8,IF(G21=6,KILOMETRAJE!E$9,IF(G21=7,KILOMETRAJE!E$10,IF(G21=8,KILOMETRAJE!E$11,IF(G21=9,KILOMETRAJE!E$12,IF(G21=10,KILOMETRAJE!E$13,IF(G21=11,KILOMETRAJE!E$14,IF(G21=12,KILOMETRAJE!E$15,IF(G21=13,KILOMETRAJE!E$16,IF(G21=14,KILOMETRAJE!E$17,IF(G21=15,KILOMETRAJE!E$18,IF(G21=16,KILOMETRAJE!E$19,IF(G21=17,KILOMETRAJE!E$20,IF(G21=18,KILOMETRAJE!E$21,IF(G21=19,KILOMETRAJE!E$22,IF(G21=20,KILOMETRAJE!E$23,IF(G21=21,KILOMETRAJE!E$24,IF(G21=22,KILOMETRAJE!E$25,IF(G21=23,KILOMETRAJE!E$26,IF(G21=24,KILOMETRAJE!E$27,IF(G21=25,KILOMETRAJE!E$28,IF(G21=26,KILOMETRAJE!E$29,IF(G21=27,KILOMETRAJE!E$30,IF(G21=28,KILOMETRAJE!E$31,IF(G21=29,KILOMETRAJE!E$32,IF(G21=30,KILOMETRAJE!E$33,IF(G21=31,KILOMETRAJE!E$34,IF(G21=32,KILOMETRAJE!E$35,IF(G21=33,KILOMETRAJE!E$36,IF(G21=34,KILOMETRAJE!E$37,IF(G21=35,KILOMETRAJE!E$38,IF(G21=36,KILOMETRAJE!E$39,IF(G21=37,KILOMETRAJE!E$40,IF(G21=38,KILOMETRAJE!E$41,IF(G21=39,KILOMETRAJE!E$42,IF(G21=40,KILOMETRAJE!E$43,IF(G21=41,KILOMETRAJE!E$44,IF(G21=42,KILOMETRAJE!E$45,IF(G21=43,KILOMETRAJE!E$46,IF(G21=44,KILOMETRAJE!E$47,IF(G21=45,KILOMETRAJE!E$48,IF(G21=46,KILOMETRAJE!E$49,IF(G21=47,KILOMETRAJE!E$50,IF(G21=48,KILOMETRAJE!E$51,IF(G21=49,KILOMETRAJE!E$52,IF(G21=50,KILOMETRAJE!E$53,IF(G21=51,KILOMETRAJE!E$54,IF(G21=52,KILOMETRAJE!E$55,IF(G21=53,KILOMETRAJE!E$56,IF(G21=54,KILOMETRAJE!E$57,IF(G21=55,KILOMETRAJE!E$58,IF(G21=56,KILOMETRAJE!E$59,IF(G21=57,KILOMETRAJE!E$60,IF(G21=58,KILOMETRAJE!E$61,IF(G21=59,KILOMETRAJE!E$62,IF(G21=60,KILOMETRAJE!E$63,IF(G21=61,KILOMETRAJE!E$64,IF(G21=62,KILOMETRAJE!E$65,IF(G21=63,KILOMETRAJE!E$66)))))))))))))))))))))))))))))))))))))))))))))))))))))))))))))))</f>
        <v>JRZ</v>
      </c>
      <c r="J21" s="31">
        <f>IF(G21=1,[2]KILOMETRAJE!G$4,IF(G21=2,[2]KILOMETRAJE!G$5,IF(G21=3,[2]KILOMETRAJE!G$6,IF(G21=4,[2]KILOMETRAJE!G$7,IF(G21=5,[2]KILOMETRAJE!G$8,IF(G21=6,[2]KILOMETRAJE!G$9,IF(G21=7,[2]KILOMETRAJE!G$10,IF(G21=8,[2]KILOMETRAJE!G$11,IF(G21=9,[2]KILOMETRAJE!G$12,IF(G21=10,[2]KILOMETRAJE!G$13,IF(G21=11,[2]KILOMETRAJE!G$14,IF(G21=12,[2]KILOMETRAJE!G$15,IF(G21=13,[2]KILOMETRAJE!G$16,IF(G21=14,[2]KILOMETRAJE!G$17,IF(G21=15,[2]KILOMETRAJE!G$18,IF(G21=16,[2]KILOMETRAJE!G$19,IF(G21=17,[2]KILOMETRAJE!G$20,IF(G21=18,[2]KILOMETRAJE!G$21,IF(G21=19,[2]KILOMETRAJE!G$22,IF(G21=20,[2]KILOMETRAJE!G$23,IF(G21=21,[2]KILOMETRAJE!G$24,IF(G21=22,[2]KILOMETRAJE!G$25,IF(G21=23,[2]KILOMETRAJE!G$26,IF(G21=24,[2]KILOMETRAJE!G$27,IF(G21=25,[2]KILOMETRAJE!G$28,IF(G21=26,[2]KILOMETRAJE!G$29,IF(G21=27,[2]KILOMETRAJE!G$30,IF(G21=28,[2]KILOMETRAJE!G$31,IF(G21=29,[2]KILOMETRAJE!G$32,IF(G21=30,[2]KILOMETRAJE!G$33,IF(G21=31,[2]KILOMETRAJE!G$34,IF(G21=32,[2]KILOMETRAJE!G$35,IF(G21=33,[2]KILOMETRAJE!G$36,IF(G21=34,[2]KILOMETRAJE!G$37,IF(G21=35,[2]KILOMETRAJE!G$38,IF(G21=36,[2]KILOMETRAJE!G$39,IF(G21=37,[2]KILOMETRAJE!G$40,IF(G21=38,[2]KILOMETRAJE!G$41,IF(G21=39,[2]KILOMETRAJE!G$42,IF(G21=40,[2]KILOMETRAJE!G$43,IF(G21=41,[2]KILOMETRAJE!G$44,IF(G21=42,[2]KILOMETRAJE!G$45,IF(G21=43,[2]KILOMETRAJE!G$46,IF(G21=44,[2]KILOMETRAJE!G$47,IF(G21=45,[2]KILOMETRAJE!G$48,IF(G21=46,[2]KILOMETRAJE!G$49,IF(G21=47,[2]KILOMETRAJE!G$50,IF(G21=48,[2]KILOMETRAJE!G$51,IF(G21=49,[2]KILOMETRAJE!G$52,IF(G21=50,[2]KILOMETRAJE!G$53,IF(G21=51,[2]KILOMETRAJE!G$54,IF(G21=52,[2]KILOMETRAJE!G$55,IF(G21=53,[2]KILOMETRAJE!G$56,IF(G21=54,[2]KILOMETRAJE!G$57,IF(G21=55,[2]KILOMETRAJE!G$58,IF(G21=56,[2]KILOMETRAJE!G$59,IF(G21=57,[2]KILOMETRAJE!G$60,IF(G21=58,[2]KILOMETRAJE!G$61,IF(G21=59,[2]KILOMETRAJE!G$62,IF(G21=60,[2]KILOMETRAJE!G$63,IF(G21=61,[2]KILOMETRAJE!G$64,IF(G21=62,[2]KILOMETRAJE!G$65,IF(G21=63,[2]KILOMETRAJE!G$66)))))))))))))))))))))))))))))))))))))))))))))))))))))))))))))))</f>
        <v>375</v>
      </c>
      <c r="K21" s="27">
        <v>245.04</v>
      </c>
      <c r="L21" s="28">
        <f>SUM(J20:J21)/K21</f>
        <v>3.0607247796278161</v>
      </c>
      <c r="M21" s="349">
        <v>1200</v>
      </c>
      <c r="N21" s="27">
        <v>1</v>
      </c>
      <c r="O21" s="27" t="s">
        <v>383</v>
      </c>
      <c r="P21" s="27" t="s">
        <v>191</v>
      </c>
      <c r="Q21" s="29">
        <f t="shared" si="0"/>
        <v>109.99874999999999</v>
      </c>
      <c r="R21" s="190">
        <f>+LOOKUP(P42,UNIDADES!B$3:B$59,UNIDADES!C$3:C$59)</f>
        <v>2.3734099999999998</v>
      </c>
      <c r="S21" s="50">
        <f>+((SUM(J20:J21))/R21)-K21</f>
        <v>70.961028056677975</v>
      </c>
      <c r="T21" s="456">
        <f>+S21*14.85</f>
        <v>1053.7712666416678</v>
      </c>
      <c r="U21" s="27"/>
      <c r="V21" s="55"/>
    </row>
    <row r="22" spans="3:22" x14ac:dyDescent="0.2">
      <c r="C22" s="238">
        <v>46131</v>
      </c>
      <c r="D22" s="36" t="s">
        <v>591</v>
      </c>
      <c r="E22" s="37">
        <v>45959</v>
      </c>
      <c r="F22" s="37">
        <v>45960</v>
      </c>
      <c r="G22" s="36">
        <v>1</v>
      </c>
      <c r="H22" s="236" t="str">
        <f>IF(G22=1,KILOMETRAJE!C$4,IF(G22=2,KILOMETRAJE!C$5,IF(G22=3,KILOMETRAJE!C$6,IF(G22=4,KILOMETRAJE!C$7,IF(G22=5,KILOMETRAJE!C$8,IF(G22=6,KILOMETRAJE!C$9,IF(G22=7,KILOMETRAJE!C$10,IF(G22=8,KILOMETRAJE!C$11,IF(G22=9,KILOMETRAJE!C$12,IF(G22=10,KILOMETRAJE!C$13,IF(G22=11,KILOMETRAJE!C$14,IF(G22=12,KILOMETRAJE!C$15,IF(G22=13,KILOMETRAJE!C$16,IF(G22=14,KILOMETRAJE!C$17,IF(G22=15,KILOMETRAJE!C$18,IF(G22=16,KILOMETRAJE!C$19,IF(G22=17,KILOMETRAJE!C$20,IF(G22=18,KILOMETRAJE!C$21,IF(G22=19,KILOMETRAJE!C$22,IF(G22=20,KILOMETRAJE!C$23,IF(G22=21,KILOMETRAJE!C$24,IF(G22=22,KILOMETRAJE!C$25,IF(G22=23,KILOMETRAJE!C$26,IF(G22=24,KILOMETRAJE!C$27,IF(G22=25,KILOMETRAJE!C$28,IF(G22=26,KILOMETRAJE!C$29,IF(G22=27,KILOMETRAJE!C$30,IF(G22=28,KILOMETRAJE!C$31,IF(G22=29,KILOMETRAJE!C$32,IF(G22=30,KILOMETRAJE!C$33,IF(G22=31,KILOMETRAJE!C$34,IF(G22=32,KILOMETRAJE!C$35,IF(G22=33,KILOMETRAJE!C$36,IF(G22=34,KILOMETRAJE!C$37,IF(G22=35,KILOMETRAJE!C$38,IF(G22=36,KILOMETRAJE!C$39,IF(G22=37,KILOMETRAJE!C$40,IF(G22=38,KILOMETRAJE!C$41,IF(G22=39,KILOMETRAJE!C$42,IF(G22=40,KILOMETRAJE!C$43,IF(G22=41,KILOMETRAJE!C$44,IF(G22=42,KILOMETRAJE!C$45,IF(G22=43,KILOMETRAJE!C$46,IF(G22=44,KILOMETRAJE!C$47,IF(G22=45,KILOMETRAJE!C$48,IF(G22=46,KILOMETRAJE!C$49,IF(G22=47,KILOMETRAJE!C$50,IF(G22=48,KILOMETRAJE!C$51,IF(G22=49,KILOMETRAJE!C$52,IF(G22=50,KILOMETRAJE!C$53,IF(G22=51,KILOMETRAJE!C$54,IF(G22=52,KILOMETRAJE!C$55,IF(G22=53,KILOMETRAJE!C$56,IF(G22=54,KILOMETRAJE!C$57,IF(G22=55,KILOMETRAJE!C$58,IF(G22=56,KILOMETRAJE!C$59,IF(G22=57,KILOMETRAJE!C$60,IF(G22=58,KILOMETRAJE!C$61,IF(G22=59,KILOMETRAJE!C$62,IF(G22=60,KILOMETRAJE!C$63,IF(G22=61,KILOMETRAJE!C$64,IF(G22=62,KILOMETRAJE!C$65,IF(G22=63,KILOMETRAJE!C$66)))))))))))))))))))))))))))))))))))))))))))))))))))))))))))))))</f>
        <v>JRZ</v>
      </c>
      <c r="I22" s="236" t="str">
        <f>IF(G22=1,KILOMETRAJE!E$4,IF(G22=2,KILOMETRAJE!E$5,IF(G22=3,KILOMETRAJE!E$6,IF(G22=4,KILOMETRAJE!E$7,IF(G22=5,KILOMETRAJE!E$8,IF(G22=6,KILOMETRAJE!E$9,IF(G22=7,KILOMETRAJE!E$10,IF(G22=8,KILOMETRAJE!E$11,IF(G22=9,KILOMETRAJE!E$12,IF(G22=10,KILOMETRAJE!E$13,IF(G22=11,KILOMETRAJE!E$14,IF(G22=12,KILOMETRAJE!E$15,IF(G22=13,KILOMETRAJE!E$16,IF(G22=14,KILOMETRAJE!E$17,IF(G22=15,KILOMETRAJE!E$18,IF(G22=16,KILOMETRAJE!E$19,IF(G22=17,KILOMETRAJE!E$20,IF(G22=18,KILOMETRAJE!E$21,IF(G22=19,KILOMETRAJE!E$22,IF(G22=20,KILOMETRAJE!E$23,IF(G22=21,KILOMETRAJE!E$24,IF(G22=22,KILOMETRAJE!E$25,IF(G22=23,KILOMETRAJE!E$26,IF(G22=24,KILOMETRAJE!E$27,IF(G22=25,KILOMETRAJE!E$28,IF(G22=26,KILOMETRAJE!E$29,IF(G22=27,KILOMETRAJE!E$30,IF(G22=28,KILOMETRAJE!E$31,IF(G22=29,KILOMETRAJE!E$32,IF(G22=30,KILOMETRAJE!E$33,IF(G22=31,KILOMETRAJE!E$34,IF(G22=32,KILOMETRAJE!E$35,IF(G22=33,KILOMETRAJE!E$36,IF(G22=34,KILOMETRAJE!E$37,IF(G22=35,KILOMETRAJE!E$38,IF(G22=36,KILOMETRAJE!E$39,IF(G22=37,KILOMETRAJE!E$40,IF(G22=38,KILOMETRAJE!E$41,IF(G22=39,KILOMETRAJE!E$42,IF(G22=40,KILOMETRAJE!E$43,IF(G22=41,KILOMETRAJE!E$44,IF(G22=42,KILOMETRAJE!E$45,IF(G22=43,KILOMETRAJE!E$46,IF(G22=44,KILOMETRAJE!E$47,IF(G22=45,KILOMETRAJE!E$48,IF(G22=46,KILOMETRAJE!E$49,IF(G22=47,KILOMETRAJE!E$50,IF(G22=48,KILOMETRAJE!E$51,IF(G22=49,KILOMETRAJE!E$52,IF(G22=50,KILOMETRAJE!E$53,IF(G22=51,KILOMETRAJE!E$54,IF(G22=52,KILOMETRAJE!E$55,IF(G22=53,KILOMETRAJE!E$56,IF(G22=54,KILOMETRAJE!E$57,IF(G22=55,KILOMETRAJE!E$58,IF(G22=56,KILOMETRAJE!E$59,IF(G22=57,KILOMETRAJE!E$60,IF(G22=58,KILOMETRAJE!E$61,IF(G22=59,KILOMETRAJE!E$62,IF(G22=60,KILOMETRAJE!E$63,IF(G22=61,KILOMETRAJE!E$64,IF(G22=62,KILOMETRAJE!E$65,IF(G22=63,KILOMETRAJE!E$66)))))))))))))))))))))))))))))))))))))))))))))))))))))))))))))))</f>
        <v>CHIH.(HAW)</v>
      </c>
      <c r="J22" s="237">
        <f>IF(G22=1,[2]KILOMETRAJE!G$4,IF(G22=2,[2]KILOMETRAJE!G$5,IF(G22=3,[2]KILOMETRAJE!G$6,IF(G22=4,[2]KILOMETRAJE!G$7,IF(G22=5,[2]KILOMETRAJE!G$8,IF(G22=6,[2]KILOMETRAJE!G$9,IF(G22=7,[2]KILOMETRAJE!G$10,IF(G22=8,[2]KILOMETRAJE!G$11,IF(G22=9,[2]KILOMETRAJE!G$12,IF(G22=10,[2]KILOMETRAJE!G$13,IF(G22=11,[2]KILOMETRAJE!G$14,IF(G22=12,[2]KILOMETRAJE!G$15,IF(G22=13,[2]KILOMETRAJE!G$16,IF(G22=14,[2]KILOMETRAJE!G$17,IF(G22=15,[2]KILOMETRAJE!G$18,IF(G22=16,[2]KILOMETRAJE!G$19,IF(G22=17,[2]KILOMETRAJE!G$20,IF(G22=18,[2]KILOMETRAJE!G$21,IF(G22=19,[2]KILOMETRAJE!G$22,IF(G22=20,[2]KILOMETRAJE!G$23,IF(G22=21,[2]KILOMETRAJE!G$24,IF(G22=22,[2]KILOMETRAJE!G$25,IF(G22=23,[2]KILOMETRAJE!G$26,IF(G22=24,[2]KILOMETRAJE!G$27,IF(G22=25,[2]KILOMETRAJE!G$28,IF(G22=26,[2]KILOMETRAJE!G$29,IF(G22=27,[2]KILOMETRAJE!G$30,IF(G22=28,[2]KILOMETRAJE!G$31,IF(G22=29,[2]KILOMETRAJE!G$32,IF(G22=30,[2]KILOMETRAJE!G$33,IF(G22=31,[2]KILOMETRAJE!G$34,IF(G22=32,[2]KILOMETRAJE!G$35,IF(G22=33,[2]KILOMETRAJE!G$36,IF(G22=34,[2]KILOMETRAJE!G$37,IF(G22=35,[2]KILOMETRAJE!G$38,IF(G22=36,[2]KILOMETRAJE!G$39,IF(G22=37,[2]KILOMETRAJE!G$40,IF(G22=38,[2]KILOMETRAJE!G$41,IF(G22=39,[2]KILOMETRAJE!G$42,IF(G22=40,[2]KILOMETRAJE!G$43,IF(G22=41,[2]KILOMETRAJE!G$44,IF(G22=42,[2]KILOMETRAJE!G$45,IF(G22=43,[2]KILOMETRAJE!G$46,IF(G22=44,[2]KILOMETRAJE!G$47,IF(G22=45,[2]KILOMETRAJE!G$48,IF(G22=46,[2]KILOMETRAJE!G$49,IF(G22=47,[2]KILOMETRAJE!G$50,IF(G22=48,[2]KILOMETRAJE!G$51,IF(G22=49,[2]KILOMETRAJE!G$52,IF(G22=50,[2]KILOMETRAJE!G$53,IF(G22=51,[2]KILOMETRAJE!G$54,IF(G22=52,[2]KILOMETRAJE!G$55,IF(G22=53,[2]KILOMETRAJE!G$56,IF(G22=54,[2]KILOMETRAJE!G$57,IF(G22=55,[2]KILOMETRAJE!G$58,IF(G22=56,[2]KILOMETRAJE!G$59,IF(G22=57,[2]KILOMETRAJE!G$60,IF(G22=58,[2]KILOMETRAJE!G$61,IF(G22=59,[2]KILOMETRAJE!G$62,IF(G22=60,[2]KILOMETRAJE!G$63,IF(G22=61,[2]KILOMETRAJE!G$64,IF(G22=62,[2]KILOMETRAJE!G$65,IF(G22=63,[2]KILOMETRAJE!G$66)))))))))))))))))))))))))))))))))))))))))))))))))))))))))))))))</f>
        <v>425</v>
      </c>
      <c r="K22" s="24"/>
      <c r="L22" s="44"/>
      <c r="M22" s="348">
        <v>8965</v>
      </c>
      <c r="N22" s="24">
        <v>5</v>
      </c>
      <c r="O22" s="24" t="s">
        <v>564</v>
      </c>
      <c r="P22" s="24" t="s">
        <v>199</v>
      </c>
      <c r="Q22" s="45">
        <f t="shared" ref="Q22:Q27" si="1">((((IF(N22=1,((J22)*0.29333)))+(IF(N22=2,((J22)*0.146666)))+(IF(N22=3,((J22)*0.146666)))))+(IF(N22=4,((J22-40)*0.29333)))+(IF(N22=5,((J22-50)*0.29333)))+(IF(N22=6,((J22-90)*0.29333))))</f>
        <v>109.99874999999999</v>
      </c>
      <c r="R22" s="187"/>
      <c r="S22" s="49"/>
      <c r="T22" s="455"/>
      <c r="U22" s="24"/>
      <c r="V22" s="79"/>
    </row>
    <row r="23" spans="3:22" ht="12.75" thickBot="1" x14ac:dyDescent="0.25">
      <c r="C23" s="101"/>
      <c r="D23" s="62" t="s">
        <v>589</v>
      </c>
      <c r="E23" s="25">
        <v>45960</v>
      </c>
      <c r="F23" s="25">
        <v>45960</v>
      </c>
      <c r="G23" s="62">
        <v>3</v>
      </c>
      <c r="H23" s="27" t="str">
        <f>IF(G23=1,KILOMETRAJE!C$4,IF(G23=2,KILOMETRAJE!C$5,IF(G23=3,KILOMETRAJE!C$6,IF(G23=4,KILOMETRAJE!C$7,IF(G23=5,KILOMETRAJE!C$8,IF(G23=6,KILOMETRAJE!C$9,IF(G23=7,KILOMETRAJE!C$10,IF(G23=8,KILOMETRAJE!C$11,IF(G23=9,KILOMETRAJE!C$12,IF(G23=10,KILOMETRAJE!C$13,IF(G23=11,KILOMETRAJE!C$14,IF(G23=12,KILOMETRAJE!C$15,IF(G23=13,KILOMETRAJE!C$16,IF(G23=14,KILOMETRAJE!C$17,IF(G23=15,KILOMETRAJE!C$18,IF(G23=16,KILOMETRAJE!C$19,IF(G23=17,KILOMETRAJE!C$20,IF(G23=18,KILOMETRAJE!C$21,IF(G23=19,KILOMETRAJE!C$22,IF(G23=20,KILOMETRAJE!C$23,IF(G23=21,KILOMETRAJE!C$24,IF(G23=22,KILOMETRAJE!C$25,IF(G23=23,KILOMETRAJE!C$26,IF(G23=24,KILOMETRAJE!C$27,IF(G23=25,KILOMETRAJE!C$28,IF(G23=26,KILOMETRAJE!C$29,IF(G23=27,KILOMETRAJE!C$30,IF(G23=28,KILOMETRAJE!C$31,IF(G23=29,KILOMETRAJE!C$32,IF(G23=30,KILOMETRAJE!C$33,IF(G23=31,KILOMETRAJE!C$34,IF(G23=32,KILOMETRAJE!C$35,IF(G23=33,KILOMETRAJE!C$36,IF(G23=34,KILOMETRAJE!C$37,IF(G23=35,KILOMETRAJE!C$38,IF(G23=36,KILOMETRAJE!C$39,IF(G23=37,KILOMETRAJE!C$40,IF(G23=38,KILOMETRAJE!C$41,IF(G23=39,KILOMETRAJE!C$42,IF(G23=40,KILOMETRAJE!C$43,IF(G23=41,KILOMETRAJE!C$44,IF(G23=42,KILOMETRAJE!C$45,IF(G23=43,KILOMETRAJE!C$46,IF(G23=44,KILOMETRAJE!C$47,IF(G23=45,KILOMETRAJE!C$48,IF(G23=46,KILOMETRAJE!C$49,IF(G23=47,KILOMETRAJE!C$50,IF(G23=48,KILOMETRAJE!C$51,IF(G23=49,KILOMETRAJE!C$52,IF(G23=50,KILOMETRAJE!C$53,IF(G23=51,KILOMETRAJE!C$54,IF(G23=52,KILOMETRAJE!C$55,IF(G23=53,KILOMETRAJE!C$56,IF(G23=54,KILOMETRAJE!C$57,IF(G23=55,KILOMETRAJE!C$58,IF(G23=56,KILOMETRAJE!C$59,IF(G23=57,KILOMETRAJE!C$60,IF(G23=58,KILOMETRAJE!C$61,IF(G23=59,KILOMETRAJE!C$62,IF(G23=60,KILOMETRAJE!C$63,IF(G23=61,KILOMETRAJE!C$64,IF(G23=62,KILOMETRAJE!C$65,IF(G23=63,KILOMETRAJE!C$66)))))))))))))))))))))))))))))))))))))))))))))))))))))))))))))))</f>
        <v xml:space="preserve">CHIH. </v>
      </c>
      <c r="I23" s="27" t="str">
        <f>IF(G23=1,KILOMETRAJE!E$4,IF(G23=2,KILOMETRAJE!E$5,IF(G23=3,KILOMETRAJE!E$6,IF(G23=4,KILOMETRAJE!E$7,IF(G23=5,KILOMETRAJE!E$8,IF(G23=6,KILOMETRAJE!E$9,IF(G23=7,KILOMETRAJE!E$10,IF(G23=8,KILOMETRAJE!E$11,IF(G23=9,KILOMETRAJE!E$12,IF(G23=10,KILOMETRAJE!E$13,IF(G23=11,KILOMETRAJE!E$14,IF(G23=12,KILOMETRAJE!E$15,IF(G23=13,KILOMETRAJE!E$16,IF(G23=14,KILOMETRAJE!E$17,IF(G23=15,KILOMETRAJE!E$18,IF(G23=16,KILOMETRAJE!E$19,IF(G23=17,KILOMETRAJE!E$20,IF(G23=18,KILOMETRAJE!E$21,IF(G23=19,KILOMETRAJE!E$22,IF(G23=20,KILOMETRAJE!E$23,IF(G23=21,KILOMETRAJE!E$24,IF(G23=22,KILOMETRAJE!E$25,IF(G23=23,KILOMETRAJE!E$26,IF(G23=24,KILOMETRAJE!E$27,IF(G23=25,KILOMETRAJE!E$28,IF(G23=26,KILOMETRAJE!E$29,IF(G23=27,KILOMETRAJE!E$30,IF(G23=28,KILOMETRAJE!E$31,IF(G23=29,KILOMETRAJE!E$32,IF(G23=30,KILOMETRAJE!E$33,IF(G23=31,KILOMETRAJE!E$34,IF(G23=32,KILOMETRAJE!E$35,IF(G23=33,KILOMETRAJE!E$36,IF(G23=34,KILOMETRAJE!E$37,IF(G23=35,KILOMETRAJE!E$38,IF(G23=36,KILOMETRAJE!E$39,IF(G23=37,KILOMETRAJE!E$40,IF(G23=38,KILOMETRAJE!E$41,IF(G23=39,KILOMETRAJE!E$42,IF(G23=40,KILOMETRAJE!E$43,IF(G23=41,KILOMETRAJE!E$44,IF(G23=42,KILOMETRAJE!E$45,IF(G23=43,KILOMETRAJE!E$46,IF(G23=44,KILOMETRAJE!E$47,IF(G23=45,KILOMETRAJE!E$48,IF(G23=46,KILOMETRAJE!E$49,IF(G23=47,KILOMETRAJE!E$50,IF(G23=48,KILOMETRAJE!E$51,IF(G23=49,KILOMETRAJE!E$52,IF(G23=50,KILOMETRAJE!E$53,IF(G23=51,KILOMETRAJE!E$54,IF(G23=52,KILOMETRAJE!E$55,IF(G23=53,KILOMETRAJE!E$56,IF(G23=54,KILOMETRAJE!E$57,IF(G23=55,KILOMETRAJE!E$58,IF(G23=56,KILOMETRAJE!E$59,IF(G23=57,KILOMETRAJE!E$60,IF(G23=58,KILOMETRAJE!E$61,IF(G23=59,KILOMETRAJE!E$62,IF(G23=60,KILOMETRAJE!E$63,IF(G23=61,KILOMETRAJE!E$64,IF(G23=62,KILOMETRAJE!E$65,IF(G23=63,KILOMETRAJE!E$66)))))))))))))))))))))))))))))))))))))))))))))))))))))))))))))))</f>
        <v>JRZ</v>
      </c>
      <c r="J23" s="31">
        <f>IF(G23=1,[2]KILOMETRAJE!G$4,IF(G23=2,[2]KILOMETRAJE!G$5,IF(G23=3,[2]KILOMETRAJE!G$6,IF(G23=4,[2]KILOMETRAJE!G$7,IF(G23=5,[2]KILOMETRAJE!G$8,IF(G23=6,[2]KILOMETRAJE!G$9,IF(G23=7,[2]KILOMETRAJE!G$10,IF(G23=8,[2]KILOMETRAJE!G$11,IF(G23=9,[2]KILOMETRAJE!G$12,IF(G23=10,[2]KILOMETRAJE!G$13,IF(G23=11,[2]KILOMETRAJE!G$14,IF(G23=12,[2]KILOMETRAJE!G$15,IF(G23=13,[2]KILOMETRAJE!G$16,IF(G23=14,[2]KILOMETRAJE!G$17,IF(G23=15,[2]KILOMETRAJE!G$18,IF(G23=16,[2]KILOMETRAJE!G$19,IF(G23=17,[2]KILOMETRAJE!G$20,IF(G23=18,[2]KILOMETRAJE!G$21,IF(G23=19,[2]KILOMETRAJE!G$22,IF(G23=20,[2]KILOMETRAJE!G$23,IF(G23=21,[2]KILOMETRAJE!G$24,IF(G23=22,[2]KILOMETRAJE!G$25,IF(G23=23,[2]KILOMETRAJE!G$26,IF(G23=24,[2]KILOMETRAJE!G$27,IF(G23=25,[2]KILOMETRAJE!G$28,IF(G23=26,[2]KILOMETRAJE!G$29,IF(G23=27,[2]KILOMETRAJE!G$30,IF(G23=28,[2]KILOMETRAJE!G$31,IF(G23=29,[2]KILOMETRAJE!G$32,IF(G23=30,[2]KILOMETRAJE!G$33,IF(G23=31,[2]KILOMETRAJE!G$34,IF(G23=32,[2]KILOMETRAJE!G$35,IF(G23=33,[2]KILOMETRAJE!G$36,IF(G23=34,[2]KILOMETRAJE!G$37,IF(G23=35,[2]KILOMETRAJE!G$38,IF(G23=36,[2]KILOMETRAJE!G$39,IF(G23=37,[2]KILOMETRAJE!G$40,IF(G23=38,[2]KILOMETRAJE!G$41,IF(G23=39,[2]KILOMETRAJE!G$42,IF(G23=40,[2]KILOMETRAJE!G$43,IF(G23=41,[2]KILOMETRAJE!G$44,IF(G23=42,[2]KILOMETRAJE!G$45,IF(G23=43,[2]KILOMETRAJE!G$46,IF(G23=44,[2]KILOMETRAJE!G$47,IF(G23=45,[2]KILOMETRAJE!G$48,IF(G23=46,[2]KILOMETRAJE!G$49,IF(G23=47,[2]KILOMETRAJE!G$50,IF(G23=48,[2]KILOMETRAJE!G$51,IF(G23=49,[2]KILOMETRAJE!G$52,IF(G23=50,[2]KILOMETRAJE!G$53,IF(G23=51,[2]KILOMETRAJE!G$54,IF(G23=52,[2]KILOMETRAJE!G$55,IF(G23=53,[2]KILOMETRAJE!G$56,IF(G23=54,[2]KILOMETRAJE!G$57,IF(G23=55,[2]KILOMETRAJE!G$58,IF(G23=56,[2]KILOMETRAJE!G$59,IF(G23=57,[2]KILOMETRAJE!G$60,IF(G23=58,[2]KILOMETRAJE!G$61,IF(G23=59,[2]KILOMETRAJE!G$62,IF(G23=60,[2]KILOMETRAJE!G$63,IF(G23=61,[2]KILOMETRAJE!G$64,IF(G23=62,[2]KILOMETRAJE!G$65,IF(G23=63,[2]KILOMETRAJE!G$66)))))))))))))))))))))))))))))))))))))))))))))))))))))))))))))))</f>
        <v>375</v>
      </c>
      <c r="K23" s="27">
        <v>250.04</v>
      </c>
      <c r="L23" s="28">
        <f>SUM(J22:J23)/K23</f>
        <v>3.1994880819068952</v>
      </c>
      <c r="M23" s="349">
        <v>7985</v>
      </c>
      <c r="N23" s="27">
        <v>1</v>
      </c>
      <c r="O23" s="27" t="s">
        <v>595</v>
      </c>
      <c r="P23" s="27" t="s">
        <v>201</v>
      </c>
      <c r="Q23" s="29">
        <f t="shared" si="1"/>
        <v>109.99874999999999</v>
      </c>
      <c r="R23" s="190">
        <f>+LOOKUP(P44,UNIDADES!B$3:B$59,UNIDADES!C$3:C$59)</f>
        <v>2.3734099999999998</v>
      </c>
      <c r="S23" s="50">
        <f>+((SUM(J22:J23))/R23)-K23</f>
        <v>87.02776326045651</v>
      </c>
      <c r="T23" s="456">
        <f>+S23*14.85</f>
        <v>1292.3622844177792</v>
      </c>
      <c r="U23" s="27"/>
      <c r="V23" s="55"/>
    </row>
    <row r="24" spans="3:22" x14ac:dyDescent="0.2">
      <c r="C24" s="176">
        <v>46158</v>
      </c>
      <c r="D24" s="43" t="s">
        <v>590</v>
      </c>
      <c r="E24" s="42">
        <v>45960</v>
      </c>
      <c r="F24" s="42">
        <v>45961</v>
      </c>
      <c r="G24" s="43">
        <v>2</v>
      </c>
      <c r="H24" s="236" t="str">
        <f>IF(G24=1,KILOMETRAJE!C$4,IF(G24=2,KILOMETRAJE!C$5,IF(G24=3,KILOMETRAJE!C$6,IF(G24=4,KILOMETRAJE!C$7,IF(G24=5,KILOMETRAJE!C$8,IF(G24=6,KILOMETRAJE!C$9,IF(G24=7,KILOMETRAJE!C$10,IF(G24=8,KILOMETRAJE!C$11,IF(G24=9,KILOMETRAJE!C$12,IF(G24=10,KILOMETRAJE!C$13,IF(G24=11,KILOMETRAJE!C$14,IF(G24=12,KILOMETRAJE!C$15,IF(G24=13,KILOMETRAJE!C$16,IF(G24=14,KILOMETRAJE!C$17,IF(G24=15,KILOMETRAJE!C$18,IF(G24=16,KILOMETRAJE!C$19,IF(G24=17,KILOMETRAJE!C$20,IF(G24=18,KILOMETRAJE!C$21,IF(G24=19,KILOMETRAJE!C$22,IF(G24=20,KILOMETRAJE!C$23,IF(G24=21,KILOMETRAJE!C$24,IF(G24=22,KILOMETRAJE!C$25,IF(G24=23,KILOMETRAJE!C$26,IF(G24=24,KILOMETRAJE!C$27,IF(G24=25,KILOMETRAJE!C$28,IF(G24=26,KILOMETRAJE!C$29,IF(G24=27,KILOMETRAJE!C$30,IF(G24=28,KILOMETRAJE!C$31,IF(G24=29,KILOMETRAJE!C$32,IF(G24=30,KILOMETRAJE!C$33,IF(G24=31,KILOMETRAJE!C$34,IF(G24=32,KILOMETRAJE!C$35,IF(G24=33,KILOMETRAJE!C$36,IF(G24=34,KILOMETRAJE!C$37,IF(G24=35,KILOMETRAJE!C$38,IF(G24=36,KILOMETRAJE!C$39,IF(G24=37,KILOMETRAJE!C$40,IF(G24=38,KILOMETRAJE!C$41,IF(G24=39,KILOMETRAJE!C$42,IF(G24=40,KILOMETRAJE!C$43,IF(G24=41,KILOMETRAJE!C$44,IF(G24=42,KILOMETRAJE!C$45,IF(G24=43,KILOMETRAJE!C$46,IF(G24=44,KILOMETRAJE!C$47,IF(G24=45,KILOMETRAJE!C$48,IF(G24=46,KILOMETRAJE!C$49,IF(G24=47,KILOMETRAJE!C$50,IF(G24=48,KILOMETRAJE!C$51,IF(G24=49,KILOMETRAJE!C$52,IF(G24=50,KILOMETRAJE!C$53,IF(G24=51,KILOMETRAJE!C$54,IF(G24=52,KILOMETRAJE!C$55,IF(G24=53,KILOMETRAJE!C$56,IF(G24=54,KILOMETRAJE!C$57,IF(G24=55,KILOMETRAJE!C$58,IF(G24=56,KILOMETRAJE!C$59,IF(G24=57,KILOMETRAJE!C$60,IF(G24=58,KILOMETRAJE!C$61,IF(G24=59,KILOMETRAJE!C$62,IF(G24=60,KILOMETRAJE!C$63,IF(G24=61,KILOMETRAJE!C$64,IF(G24=62,KILOMETRAJE!C$65,IF(G24=63,KILOMETRAJE!C$66)))))))))))))))))))))))))))))))))))))))))))))))))))))))))))))))</f>
        <v>JRZ</v>
      </c>
      <c r="I24" s="236" t="str">
        <f>IF(G24=1,KILOMETRAJE!E$4,IF(G24=2,KILOMETRAJE!E$5,IF(G24=3,KILOMETRAJE!E$6,IF(G24=4,KILOMETRAJE!E$7,IF(G24=5,KILOMETRAJE!E$8,IF(G24=6,KILOMETRAJE!E$9,IF(G24=7,KILOMETRAJE!E$10,IF(G24=8,KILOMETRAJE!E$11,IF(G24=9,KILOMETRAJE!E$12,IF(G24=10,KILOMETRAJE!E$13,IF(G24=11,KILOMETRAJE!E$14,IF(G24=12,KILOMETRAJE!E$15,IF(G24=13,KILOMETRAJE!E$16,IF(G24=14,KILOMETRAJE!E$17,IF(G24=15,KILOMETRAJE!E$18,IF(G24=16,KILOMETRAJE!E$19,IF(G24=17,KILOMETRAJE!E$20,IF(G24=18,KILOMETRAJE!E$21,IF(G24=19,KILOMETRAJE!E$22,IF(G24=20,KILOMETRAJE!E$23,IF(G24=21,KILOMETRAJE!E$24,IF(G24=22,KILOMETRAJE!E$25,IF(G24=23,KILOMETRAJE!E$26,IF(G24=24,KILOMETRAJE!E$27,IF(G24=25,KILOMETRAJE!E$28,IF(G24=26,KILOMETRAJE!E$29,IF(G24=27,KILOMETRAJE!E$30,IF(G24=28,KILOMETRAJE!E$31,IF(G24=29,KILOMETRAJE!E$32,IF(G24=30,KILOMETRAJE!E$33,IF(G24=31,KILOMETRAJE!E$34,IF(G24=32,KILOMETRAJE!E$35,IF(G24=33,KILOMETRAJE!E$36,IF(G24=34,KILOMETRAJE!E$37,IF(G24=35,KILOMETRAJE!E$38,IF(G24=36,KILOMETRAJE!E$39,IF(G24=37,KILOMETRAJE!E$40,IF(G24=38,KILOMETRAJE!E$41,IF(G24=39,KILOMETRAJE!E$42,IF(G24=40,KILOMETRAJE!E$43,IF(G24=41,KILOMETRAJE!E$44,IF(G24=42,KILOMETRAJE!E$45,IF(G24=43,KILOMETRAJE!E$46,IF(G24=44,KILOMETRAJE!E$47,IF(G24=45,KILOMETRAJE!E$48,IF(G24=46,KILOMETRAJE!E$49,IF(G24=47,KILOMETRAJE!E$50,IF(G24=48,KILOMETRAJE!E$51,IF(G24=49,KILOMETRAJE!E$52,IF(G24=50,KILOMETRAJE!E$53,IF(G24=51,KILOMETRAJE!E$54,IF(G24=52,KILOMETRAJE!E$55,IF(G24=53,KILOMETRAJE!E$56,IF(G24=54,KILOMETRAJE!E$57,IF(G24=55,KILOMETRAJE!E$58,IF(G24=56,KILOMETRAJE!E$59,IF(G24=57,KILOMETRAJE!E$60,IF(G24=58,KILOMETRAJE!E$61,IF(G24=59,KILOMETRAJE!E$62,IF(G24=60,KILOMETRAJE!E$63,IF(G24=61,KILOMETRAJE!E$64,IF(G24=62,KILOMETRAJE!E$65,IF(G24=63,KILOMETRAJE!E$66)))))))))))))))))))))))))))))))))))))))))))))))))))))))))))))))</f>
        <v>CHIH.</v>
      </c>
      <c r="J24" s="237">
        <f>IF(G24=1,[2]KILOMETRAJE!G$4,IF(G24=2,[2]KILOMETRAJE!G$5,IF(G24=3,[2]KILOMETRAJE!G$6,IF(G24=4,[2]KILOMETRAJE!G$7,IF(G24=5,[2]KILOMETRAJE!G$8,IF(G24=6,[2]KILOMETRAJE!G$9,IF(G24=7,[2]KILOMETRAJE!G$10,IF(G24=8,[2]KILOMETRAJE!G$11,IF(G24=9,[2]KILOMETRAJE!G$12,IF(G24=10,[2]KILOMETRAJE!G$13,IF(G24=11,[2]KILOMETRAJE!G$14,IF(G24=12,[2]KILOMETRAJE!G$15,IF(G24=13,[2]KILOMETRAJE!G$16,IF(G24=14,[2]KILOMETRAJE!G$17,IF(G24=15,[2]KILOMETRAJE!G$18,IF(G24=16,[2]KILOMETRAJE!G$19,IF(G24=17,[2]KILOMETRAJE!G$20,IF(G24=18,[2]KILOMETRAJE!G$21,IF(G24=19,[2]KILOMETRAJE!G$22,IF(G24=20,[2]KILOMETRAJE!G$23,IF(G24=21,[2]KILOMETRAJE!G$24,IF(G24=22,[2]KILOMETRAJE!G$25,IF(G24=23,[2]KILOMETRAJE!G$26,IF(G24=24,[2]KILOMETRAJE!G$27,IF(G24=25,[2]KILOMETRAJE!G$28,IF(G24=26,[2]KILOMETRAJE!G$29,IF(G24=27,[2]KILOMETRAJE!G$30,IF(G24=28,[2]KILOMETRAJE!G$31,IF(G24=29,[2]KILOMETRAJE!G$32,IF(G24=30,[2]KILOMETRAJE!G$33,IF(G24=31,[2]KILOMETRAJE!G$34,IF(G24=32,[2]KILOMETRAJE!G$35,IF(G24=33,[2]KILOMETRAJE!G$36,IF(G24=34,[2]KILOMETRAJE!G$37,IF(G24=35,[2]KILOMETRAJE!G$38,IF(G24=36,[2]KILOMETRAJE!G$39,IF(G24=37,[2]KILOMETRAJE!G$40,IF(G24=38,[2]KILOMETRAJE!G$41,IF(G24=39,[2]KILOMETRAJE!G$42,IF(G24=40,[2]KILOMETRAJE!G$43,IF(G24=41,[2]KILOMETRAJE!G$44,IF(G24=42,[2]KILOMETRAJE!G$45,IF(G24=43,[2]KILOMETRAJE!G$46,IF(G24=44,[2]KILOMETRAJE!G$47,IF(G24=45,[2]KILOMETRAJE!G$48,IF(G24=46,[2]KILOMETRAJE!G$49,IF(G24=47,[2]KILOMETRAJE!G$50,IF(G24=48,[2]KILOMETRAJE!G$51,IF(G24=49,[2]KILOMETRAJE!G$52,IF(G24=50,[2]KILOMETRAJE!G$53,IF(G24=51,[2]KILOMETRAJE!G$54,IF(G24=52,[2]KILOMETRAJE!G$55,IF(G24=53,[2]KILOMETRAJE!G$56,IF(G24=54,[2]KILOMETRAJE!G$57,IF(G24=55,[2]KILOMETRAJE!G$58,IF(G24=56,[2]KILOMETRAJE!G$59,IF(G24=57,[2]KILOMETRAJE!G$60,IF(G24=58,[2]KILOMETRAJE!G$61,IF(G24=59,[2]KILOMETRAJE!G$62,IF(G24=60,[2]KILOMETRAJE!G$63,IF(G24=61,[2]KILOMETRAJE!G$64,IF(G24=62,[2]KILOMETRAJE!G$65,IF(G24=63,[2]KILOMETRAJE!G$66)))))))))))))))))))))))))))))))))))))))))))))))))))))))))))))))</f>
        <v>375</v>
      </c>
      <c r="K24" s="24"/>
      <c r="L24" s="44"/>
      <c r="M24" s="348">
        <v>0</v>
      </c>
      <c r="N24" s="24">
        <v>2</v>
      </c>
      <c r="O24" s="24" t="s">
        <v>571</v>
      </c>
      <c r="P24" s="24" t="s">
        <v>202</v>
      </c>
      <c r="Q24" s="45">
        <f t="shared" si="1"/>
        <v>54.999749999999999</v>
      </c>
      <c r="R24" s="187"/>
      <c r="S24" s="49"/>
      <c r="T24" s="455"/>
      <c r="U24" s="11"/>
      <c r="V24" s="11"/>
    </row>
    <row r="25" spans="3:22" ht="12.75" thickBot="1" x14ac:dyDescent="0.25">
      <c r="C25" s="101"/>
      <c r="D25" s="62" t="s">
        <v>592</v>
      </c>
      <c r="E25" s="25">
        <v>45961</v>
      </c>
      <c r="F25" s="25">
        <v>45961</v>
      </c>
      <c r="G25" s="62">
        <v>3</v>
      </c>
      <c r="H25" s="27" t="str">
        <f>IF(G25=1,KILOMETRAJE!C$4,IF(G25=2,KILOMETRAJE!C$5,IF(G25=3,KILOMETRAJE!C$6,IF(G25=4,KILOMETRAJE!C$7,IF(G25=5,KILOMETRAJE!C$8,IF(G25=6,KILOMETRAJE!C$9,IF(G25=7,KILOMETRAJE!C$10,IF(G25=8,KILOMETRAJE!C$11,IF(G25=9,KILOMETRAJE!C$12,IF(G25=10,KILOMETRAJE!C$13,IF(G25=11,KILOMETRAJE!C$14,IF(G25=12,KILOMETRAJE!C$15,IF(G25=13,KILOMETRAJE!C$16,IF(G25=14,KILOMETRAJE!C$17,IF(G25=15,KILOMETRAJE!C$18,IF(G25=16,KILOMETRAJE!C$19,IF(G25=17,KILOMETRAJE!C$20,IF(G25=18,KILOMETRAJE!C$21,IF(G25=19,KILOMETRAJE!C$22,IF(G25=20,KILOMETRAJE!C$23,IF(G25=21,KILOMETRAJE!C$24,IF(G25=22,KILOMETRAJE!C$25,IF(G25=23,KILOMETRAJE!C$26,IF(G25=24,KILOMETRAJE!C$27,IF(G25=25,KILOMETRAJE!C$28,IF(G25=26,KILOMETRAJE!C$29,IF(G25=27,KILOMETRAJE!C$30,IF(G25=28,KILOMETRAJE!C$31,IF(G25=29,KILOMETRAJE!C$32,IF(G25=30,KILOMETRAJE!C$33,IF(G25=31,KILOMETRAJE!C$34,IF(G25=32,KILOMETRAJE!C$35,IF(G25=33,KILOMETRAJE!C$36,IF(G25=34,KILOMETRAJE!C$37,IF(G25=35,KILOMETRAJE!C$38,IF(G25=36,KILOMETRAJE!C$39,IF(G25=37,KILOMETRAJE!C$40,IF(G25=38,KILOMETRAJE!C$41,IF(G25=39,KILOMETRAJE!C$42,IF(G25=40,KILOMETRAJE!C$43,IF(G25=41,KILOMETRAJE!C$44,IF(G25=42,KILOMETRAJE!C$45,IF(G25=43,KILOMETRAJE!C$46,IF(G25=44,KILOMETRAJE!C$47,IF(G25=45,KILOMETRAJE!C$48,IF(G25=46,KILOMETRAJE!C$49,IF(G25=47,KILOMETRAJE!C$50,IF(G25=48,KILOMETRAJE!C$51,IF(G25=49,KILOMETRAJE!C$52,IF(G25=50,KILOMETRAJE!C$53,IF(G25=51,KILOMETRAJE!C$54,IF(G25=52,KILOMETRAJE!C$55,IF(G25=53,KILOMETRAJE!C$56,IF(G25=54,KILOMETRAJE!C$57,IF(G25=55,KILOMETRAJE!C$58,IF(G25=56,KILOMETRAJE!C$59,IF(G25=57,KILOMETRAJE!C$60,IF(G25=58,KILOMETRAJE!C$61,IF(G25=59,KILOMETRAJE!C$62,IF(G25=60,KILOMETRAJE!C$63,IF(G25=61,KILOMETRAJE!C$64,IF(G25=62,KILOMETRAJE!C$65,IF(G25=63,KILOMETRAJE!C$66)))))))))))))))))))))))))))))))))))))))))))))))))))))))))))))))</f>
        <v xml:space="preserve">CHIH. </v>
      </c>
      <c r="I25" s="27" t="str">
        <f>IF(G25=1,KILOMETRAJE!E$4,IF(G25=2,KILOMETRAJE!E$5,IF(G25=3,KILOMETRAJE!E$6,IF(G25=4,KILOMETRAJE!E$7,IF(G25=5,KILOMETRAJE!E$8,IF(G25=6,KILOMETRAJE!E$9,IF(G25=7,KILOMETRAJE!E$10,IF(G25=8,KILOMETRAJE!E$11,IF(G25=9,KILOMETRAJE!E$12,IF(G25=10,KILOMETRAJE!E$13,IF(G25=11,KILOMETRAJE!E$14,IF(G25=12,KILOMETRAJE!E$15,IF(G25=13,KILOMETRAJE!E$16,IF(G25=14,KILOMETRAJE!E$17,IF(G25=15,KILOMETRAJE!E$18,IF(G25=16,KILOMETRAJE!E$19,IF(G25=17,KILOMETRAJE!E$20,IF(G25=18,KILOMETRAJE!E$21,IF(G25=19,KILOMETRAJE!E$22,IF(G25=20,KILOMETRAJE!E$23,IF(G25=21,KILOMETRAJE!E$24,IF(G25=22,KILOMETRAJE!E$25,IF(G25=23,KILOMETRAJE!E$26,IF(G25=24,KILOMETRAJE!E$27,IF(G25=25,KILOMETRAJE!E$28,IF(G25=26,KILOMETRAJE!E$29,IF(G25=27,KILOMETRAJE!E$30,IF(G25=28,KILOMETRAJE!E$31,IF(G25=29,KILOMETRAJE!E$32,IF(G25=30,KILOMETRAJE!E$33,IF(G25=31,KILOMETRAJE!E$34,IF(G25=32,KILOMETRAJE!E$35,IF(G25=33,KILOMETRAJE!E$36,IF(G25=34,KILOMETRAJE!E$37,IF(G25=35,KILOMETRAJE!E$38,IF(G25=36,KILOMETRAJE!E$39,IF(G25=37,KILOMETRAJE!E$40,IF(G25=38,KILOMETRAJE!E$41,IF(G25=39,KILOMETRAJE!E$42,IF(G25=40,KILOMETRAJE!E$43,IF(G25=41,KILOMETRAJE!E$44,IF(G25=42,KILOMETRAJE!E$45,IF(G25=43,KILOMETRAJE!E$46,IF(G25=44,KILOMETRAJE!E$47,IF(G25=45,KILOMETRAJE!E$48,IF(G25=46,KILOMETRAJE!E$49,IF(G25=47,KILOMETRAJE!E$50,IF(G25=48,KILOMETRAJE!E$51,IF(G25=49,KILOMETRAJE!E$52,IF(G25=50,KILOMETRAJE!E$53,IF(G25=51,KILOMETRAJE!E$54,IF(G25=52,KILOMETRAJE!E$55,IF(G25=53,KILOMETRAJE!E$56,IF(G25=54,KILOMETRAJE!E$57,IF(G25=55,KILOMETRAJE!E$58,IF(G25=56,KILOMETRAJE!E$59,IF(G25=57,KILOMETRAJE!E$60,IF(G25=58,KILOMETRAJE!E$61,IF(G25=59,KILOMETRAJE!E$62,IF(G25=60,KILOMETRAJE!E$63,IF(G25=61,KILOMETRAJE!E$64,IF(G25=62,KILOMETRAJE!E$65,IF(G25=63,KILOMETRAJE!E$66)))))))))))))))))))))))))))))))))))))))))))))))))))))))))))))))</f>
        <v>JRZ</v>
      </c>
      <c r="J25" s="31">
        <f>IF(G25=1,[2]KILOMETRAJE!G$4,IF(G25=2,[2]KILOMETRAJE!G$5,IF(G25=3,[2]KILOMETRAJE!G$6,IF(G25=4,[2]KILOMETRAJE!G$7,IF(G25=5,[2]KILOMETRAJE!G$8,IF(G25=6,[2]KILOMETRAJE!G$9,IF(G25=7,[2]KILOMETRAJE!G$10,IF(G25=8,[2]KILOMETRAJE!G$11,IF(G25=9,[2]KILOMETRAJE!G$12,IF(G25=10,[2]KILOMETRAJE!G$13,IF(G25=11,[2]KILOMETRAJE!G$14,IF(G25=12,[2]KILOMETRAJE!G$15,IF(G25=13,[2]KILOMETRAJE!G$16,IF(G25=14,[2]KILOMETRAJE!G$17,IF(G25=15,[2]KILOMETRAJE!G$18,IF(G25=16,[2]KILOMETRAJE!G$19,IF(G25=17,[2]KILOMETRAJE!G$20,IF(G25=18,[2]KILOMETRAJE!G$21,IF(G25=19,[2]KILOMETRAJE!G$22,IF(G25=20,[2]KILOMETRAJE!G$23,IF(G25=21,[2]KILOMETRAJE!G$24,IF(G25=22,[2]KILOMETRAJE!G$25,IF(G25=23,[2]KILOMETRAJE!G$26,IF(G25=24,[2]KILOMETRAJE!G$27,IF(G25=25,[2]KILOMETRAJE!G$28,IF(G25=26,[2]KILOMETRAJE!G$29,IF(G25=27,[2]KILOMETRAJE!G$30,IF(G25=28,[2]KILOMETRAJE!G$31,IF(G25=29,[2]KILOMETRAJE!G$32,IF(G25=30,[2]KILOMETRAJE!G$33,IF(G25=31,[2]KILOMETRAJE!G$34,IF(G25=32,[2]KILOMETRAJE!G$35,IF(G25=33,[2]KILOMETRAJE!G$36,IF(G25=34,[2]KILOMETRAJE!G$37,IF(G25=35,[2]KILOMETRAJE!G$38,IF(G25=36,[2]KILOMETRAJE!G$39,IF(G25=37,[2]KILOMETRAJE!G$40,IF(G25=38,[2]KILOMETRAJE!G$41,IF(G25=39,[2]KILOMETRAJE!G$42,IF(G25=40,[2]KILOMETRAJE!G$43,IF(G25=41,[2]KILOMETRAJE!G$44,IF(G25=42,[2]KILOMETRAJE!G$45,IF(G25=43,[2]KILOMETRAJE!G$46,IF(G25=44,[2]KILOMETRAJE!G$47,IF(G25=45,[2]KILOMETRAJE!G$48,IF(G25=46,[2]KILOMETRAJE!G$49,IF(G25=47,[2]KILOMETRAJE!G$50,IF(G25=48,[2]KILOMETRAJE!G$51,IF(G25=49,[2]KILOMETRAJE!G$52,IF(G25=50,[2]KILOMETRAJE!G$53,IF(G25=51,[2]KILOMETRAJE!G$54,IF(G25=52,[2]KILOMETRAJE!G$55,IF(G25=53,[2]KILOMETRAJE!G$56,IF(G25=54,[2]KILOMETRAJE!G$57,IF(G25=55,[2]KILOMETRAJE!G$58,IF(G25=56,[2]KILOMETRAJE!G$59,IF(G25=57,[2]KILOMETRAJE!G$60,IF(G25=58,[2]KILOMETRAJE!G$61,IF(G25=59,[2]KILOMETRAJE!G$62,IF(G25=60,[2]KILOMETRAJE!G$63,IF(G25=61,[2]KILOMETRAJE!G$64,IF(G25=62,[2]KILOMETRAJE!G$65,IF(G25=63,[2]KILOMETRAJE!G$66)))))))))))))))))))))))))))))))))))))))))))))))))))))))))))))))</f>
        <v>375</v>
      </c>
      <c r="K25" s="27">
        <v>220.36</v>
      </c>
      <c r="L25" s="28">
        <f>SUM(J24:J25)/K25</f>
        <v>3.4035215102559446</v>
      </c>
      <c r="M25" s="349">
        <v>1230</v>
      </c>
      <c r="N25" s="27">
        <v>1</v>
      </c>
      <c r="O25" s="27" t="s">
        <v>596</v>
      </c>
      <c r="P25" s="27" t="s">
        <v>247</v>
      </c>
      <c r="Q25" s="29">
        <f t="shared" si="1"/>
        <v>109.99874999999999</v>
      </c>
      <c r="R25" s="190">
        <f>+LOOKUP(P44,UNIDADES!B$3:B$59,UNIDADES!C$3:C$59)</f>
        <v>2.3734099999999998</v>
      </c>
      <c r="S25" s="50">
        <f>+((SUM(J24:J25))/R25)-K25</f>
        <v>95.641028056677953</v>
      </c>
      <c r="T25" s="456">
        <f>+S25*14.85</f>
        <v>1420.2692666416676</v>
      </c>
      <c r="U25" s="11"/>
      <c r="V25" s="11"/>
    </row>
    <row r="26" spans="3:22" x14ac:dyDescent="0.2">
      <c r="C26" s="238">
        <v>46173</v>
      </c>
      <c r="D26" s="36" t="s">
        <v>593</v>
      </c>
      <c r="E26" s="37">
        <v>45961</v>
      </c>
      <c r="F26" s="37">
        <v>45962</v>
      </c>
      <c r="G26" s="36">
        <v>1</v>
      </c>
      <c r="H26" s="236" t="str">
        <f>IF(G26=1,KILOMETRAJE!C$4,IF(G26=2,KILOMETRAJE!C$5,IF(G26=3,KILOMETRAJE!C$6,IF(G26=4,KILOMETRAJE!C$7,IF(G26=5,KILOMETRAJE!C$8,IF(G26=6,KILOMETRAJE!C$9,IF(G26=7,KILOMETRAJE!C$10,IF(G26=8,KILOMETRAJE!C$11,IF(G26=9,KILOMETRAJE!C$12,IF(G26=10,KILOMETRAJE!C$13,IF(G26=11,KILOMETRAJE!C$14,IF(G26=12,KILOMETRAJE!C$15,IF(G26=13,KILOMETRAJE!C$16,IF(G26=14,KILOMETRAJE!C$17,IF(G26=15,KILOMETRAJE!C$18,IF(G26=16,KILOMETRAJE!C$19,IF(G26=17,KILOMETRAJE!C$20,IF(G26=18,KILOMETRAJE!C$21,IF(G26=19,KILOMETRAJE!C$22,IF(G26=20,KILOMETRAJE!C$23,IF(G26=21,KILOMETRAJE!C$24,IF(G26=22,KILOMETRAJE!C$25,IF(G26=23,KILOMETRAJE!C$26,IF(G26=24,KILOMETRAJE!C$27,IF(G26=25,KILOMETRAJE!C$28,IF(G26=26,KILOMETRAJE!C$29,IF(G26=27,KILOMETRAJE!C$30,IF(G26=28,KILOMETRAJE!C$31,IF(G26=29,KILOMETRAJE!C$32,IF(G26=30,KILOMETRAJE!C$33,IF(G26=31,KILOMETRAJE!C$34,IF(G26=32,KILOMETRAJE!C$35,IF(G26=33,KILOMETRAJE!C$36,IF(G26=34,KILOMETRAJE!C$37,IF(G26=35,KILOMETRAJE!C$38,IF(G26=36,KILOMETRAJE!C$39,IF(G26=37,KILOMETRAJE!C$40,IF(G26=38,KILOMETRAJE!C$41,IF(G26=39,KILOMETRAJE!C$42,IF(G26=40,KILOMETRAJE!C$43,IF(G26=41,KILOMETRAJE!C$44,IF(G26=42,KILOMETRAJE!C$45,IF(G26=43,KILOMETRAJE!C$46,IF(G26=44,KILOMETRAJE!C$47,IF(G26=45,KILOMETRAJE!C$48,IF(G26=46,KILOMETRAJE!C$49,IF(G26=47,KILOMETRAJE!C$50,IF(G26=48,KILOMETRAJE!C$51,IF(G26=49,KILOMETRAJE!C$52,IF(G26=50,KILOMETRAJE!C$53,IF(G26=51,KILOMETRAJE!C$54,IF(G26=52,KILOMETRAJE!C$55,IF(G26=53,KILOMETRAJE!C$56,IF(G26=54,KILOMETRAJE!C$57,IF(G26=55,KILOMETRAJE!C$58,IF(G26=56,KILOMETRAJE!C$59,IF(G26=57,KILOMETRAJE!C$60,IF(G26=58,KILOMETRAJE!C$61,IF(G26=59,KILOMETRAJE!C$62,IF(G26=60,KILOMETRAJE!C$63,IF(G26=61,KILOMETRAJE!C$64,IF(G26=62,KILOMETRAJE!C$65,IF(G26=63,KILOMETRAJE!C$66)))))))))))))))))))))))))))))))))))))))))))))))))))))))))))))))</f>
        <v>JRZ</v>
      </c>
      <c r="I26" s="236" t="str">
        <f>IF(G26=1,KILOMETRAJE!E$4,IF(G26=2,KILOMETRAJE!E$5,IF(G26=3,KILOMETRAJE!E$6,IF(G26=4,KILOMETRAJE!E$7,IF(G26=5,KILOMETRAJE!E$8,IF(G26=6,KILOMETRAJE!E$9,IF(G26=7,KILOMETRAJE!E$10,IF(G26=8,KILOMETRAJE!E$11,IF(G26=9,KILOMETRAJE!E$12,IF(G26=10,KILOMETRAJE!E$13,IF(G26=11,KILOMETRAJE!E$14,IF(G26=12,KILOMETRAJE!E$15,IF(G26=13,KILOMETRAJE!E$16,IF(G26=14,KILOMETRAJE!E$17,IF(G26=15,KILOMETRAJE!E$18,IF(G26=16,KILOMETRAJE!E$19,IF(G26=17,KILOMETRAJE!E$20,IF(G26=18,KILOMETRAJE!E$21,IF(G26=19,KILOMETRAJE!E$22,IF(G26=20,KILOMETRAJE!E$23,IF(G26=21,KILOMETRAJE!E$24,IF(G26=22,KILOMETRAJE!E$25,IF(G26=23,KILOMETRAJE!E$26,IF(G26=24,KILOMETRAJE!E$27,IF(G26=25,KILOMETRAJE!E$28,IF(G26=26,KILOMETRAJE!E$29,IF(G26=27,KILOMETRAJE!E$30,IF(G26=28,KILOMETRAJE!E$31,IF(G26=29,KILOMETRAJE!E$32,IF(G26=30,KILOMETRAJE!E$33,IF(G26=31,KILOMETRAJE!E$34,IF(G26=32,KILOMETRAJE!E$35,IF(G26=33,KILOMETRAJE!E$36,IF(G26=34,KILOMETRAJE!E$37,IF(G26=35,KILOMETRAJE!E$38,IF(G26=36,KILOMETRAJE!E$39,IF(G26=37,KILOMETRAJE!E$40,IF(G26=38,KILOMETRAJE!E$41,IF(G26=39,KILOMETRAJE!E$42,IF(G26=40,KILOMETRAJE!E$43,IF(G26=41,KILOMETRAJE!E$44,IF(G26=42,KILOMETRAJE!E$45,IF(G26=43,KILOMETRAJE!E$46,IF(G26=44,KILOMETRAJE!E$47,IF(G26=45,KILOMETRAJE!E$48,IF(G26=46,KILOMETRAJE!E$49,IF(G26=47,KILOMETRAJE!E$50,IF(G26=48,KILOMETRAJE!E$51,IF(G26=49,KILOMETRAJE!E$52,IF(G26=50,KILOMETRAJE!E$53,IF(G26=51,KILOMETRAJE!E$54,IF(G26=52,KILOMETRAJE!E$55,IF(G26=53,KILOMETRAJE!E$56,IF(G26=54,KILOMETRAJE!E$57,IF(G26=55,KILOMETRAJE!E$58,IF(G26=56,KILOMETRAJE!E$59,IF(G26=57,KILOMETRAJE!E$60,IF(G26=58,KILOMETRAJE!E$61,IF(G26=59,KILOMETRAJE!E$62,IF(G26=60,KILOMETRAJE!E$63,IF(G26=61,KILOMETRAJE!E$64,IF(G26=62,KILOMETRAJE!E$65,IF(G26=63,KILOMETRAJE!E$66)))))))))))))))))))))))))))))))))))))))))))))))))))))))))))))))</f>
        <v>CHIH.(HAW)</v>
      </c>
      <c r="J26" s="237">
        <f>IF(G26=1,[2]KILOMETRAJE!G$4,IF(G26=2,[2]KILOMETRAJE!G$5,IF(G26=3,[2]KILOMETRAJE!G$6,IF(G26=4,[2]KILOMETRAJE!G$7,IF(G26=5,[2]KILOMETRAJE!G$8,IF(G26=6,[2]KILOMETRAJE!G$9,IF(G26=7,[2]KILOMETRAJE!G$10,IF(G26=8,[2]KILOMETRAJE!G$11,IF(G26=9,[2]KILOMETRAJE!G$12,IF(G26=10,[2]KILOMETRAJE!G$13,IF(G26=11,[2]KILOMETRAJE!G$14,IF(G26=12,[2]KILOMETRAJE!G$15,IF(G26=13,[2]KILOMETRAJE!G$16,IF(G26=14,[2]KILOMETRAJE!G$17,IF(G26=15,[2]KILOMETRAJE!G$18,IF(G26=16,[2]KILOMETRAJE!G$19,IF(G26=17,[2]KILOMETRAJE!G$20,IF(G26=18,[2]KILOMETRAJE!G$21,IF(G26=19,[2]KILOMETRAJE!G$22,IF(G26=20,[2]KILOMETRAJE!G$23,IF(G26=21,[2]KILOMETRAJE!G$24,IF(G26=22,[2]KILOMETRAJE!G$25,IF(G26=23,[2]KILOMETRAJE!G$26,IF(G26=24,[2]KILOMETRAJE!G$27,IF(G26=25,[2]KILOMETRAJE!G$28,IF(G26=26,[2]KILOMETRAJE!G$29,IF(G26=27,[2]KILOMETRAJE!G$30,IF(G26=28,[2]KILOMETRAJE!G$31,IF(G26=29,[2]KILOMETRAJE!G$32,IF(G26=30,[2]KILOMETRAJE!G$33,IF(G26=31,[2]KILOMETRAJE!G$34,IF(G26=32,[2]KILOMETRAJE!G$35,IF(G26=33,[2]KILOMETRAJE!G$36,IF(G26=34,[2]KILOMETRAJE!G$37,IF(G26=35,[2]KILOMETRAJE!G$38,IF(G26=36,[2]KILOMETRAJE!G$39,IF(G26=37,[2]KILOMETRAJE!G$40,IF(G26=38,[2]KILOMETRAJE!G$41,IF(G26=39,[2]KILOMETRAJE!G$42,IF(G26=40,[2]KILOMETRAJE!G$43,IF(G26=41,[2]KILOMETRAJE!G$44,IF(G26=42,[2]KILOMETRAJE!G$45,IF(G26=43,[2]KILOMETRAJE!G$46,IF(G26=44,[2]KILOMETRAJE!G$47,IF(G26=45,[2]KILOMETRAJE!G$48,IF(G26=46,[2]KILOMETRAJE!G$49,IF(G26=47,[2]KILOMETRAJE!G$50,IF(G26=48,[2]KILOMETRAJE!G$51,IF(G26=49,[2]KILOMETRAJE!G$52,IF(G26=50,[2]KILOMETRAJE!G$53,IF(G26=51,[2]KILOMETRAJE!G$54,IF(G26=52,[2]KILOMETRAJE!G$55,IF(G26=53,[2]KILOMETRAJE!G$56,IF(G26=54,[2]KILOMETRAJE!G$57,IF(G26=55,[2]KILOMETRAJE!G$58,IF(G26=56,[2]KILOMETRAJE!G$59,IF(G26=57,[2]KILOMETRAJE!G$60,IF(G26=58,[2]KILOMETRAJE!G$61,IF(G26=59,[2]KILOMETRAJE!G$62,IF(G26=60,[2]KILOMETRAJE!G$63,IF(G26=61,[2]KILOMETRAJE!G$64,IF(G26=62,[2]KILOMETRAJE!G$65,IF(G26=63,[2]KILOMETRAJE!G$66)))))))))))))))))))))))))))))))))))))))))))))))))))))))))))))))</f>
        <v>425</v>
      </c>
      <c r="K26" s="24"/>
      <c r="L26" s="44"/>
      <c r="M26" s="348">
        <v>9656</v>
      </c>
      <c r="N26" s="24">
        <v>5</v>
      </c>
      <c r="O26" s="24" t="s">
        <v>597</v>
      </c>
      <c r="P26" s="24" t="s">
        <v>198</v>
      </c>
      <c r="Q26" s="45">
        <f t="shared" si="1"/>
        <v>109.99874999999999</v>
      </c>
      <c r="R26" s="187"/>
      <c r="S26" s="49"/>
      <c r="T26" s="455"/>
      <c r="U26" s="11"/>
      <c r="V26" s="11"/>
    </row>
    <row r="27" spans="3:22" ht="12.75" thickBot="1" x14ac:dyDescent="0.25">
      <c r="C27" s="101"/>
      <c r="D27" s="62" t="s">
        <v>594</v>
      </c>
      <c r="E27" s="25">
        <v>45962</v>
      </c>
      <c r="F27" s="25">
        <v>45962</v>
      </c>
      <c r="G27" s="62">
        <v>3</v>
      </c>
      <c r="H27" s="27" t="str">
        <f>IF(G27=1,KILOMETRAJE!C$4,IF(G27=2,KILOMETRAJE!C$5,IF(G27=3,KILOMETRAJE!C$6,IF(G27=4,KILOMETRAJE!C$7,IF(G27=5,KILOMETRAJE!C$8,IF(G27=6,KILOMETRAJE!C$9,IF(G27=7,KILOMETRAJE!C$10,IF(G27=8,KILOMETRAJE!C$11,IF(G27=9,KILOMETRAJE!C$12,IF(G27=10,KILOMETRAJE!C$13,IF(G27=11,KILOMETRAJE!C$14,IF(G27=12,KILOMETRAJE!C$15,IF(G27=13,KILOMETRAJE!C$16,IF(G27=14,KILOMETRAJE!C$17,IF(G27=15,KILOMETRAJE!C$18,IF(G27=16,KILOMETRAJE!C$19,IF(G27=17,KILOMETRAJE!C$20,IF(G27=18,KILOMETRAJE!C$21,IF(G27=19,KILOMETRAJE!C$22,IF(G27=20,KILOMETRAJE!C$23,IF(G27=21,KILOMETRAJE!C$24,IF(G27=22,KILOMETRAJE!C$25,IF(G27=23,KILOMETRAJE!C$26,IF(G27=24,KILOMETRAJE!C$27,IF(G27=25,KILOMETRAJE!C$28,IF(G27=26,KILOMETRAJE!C$29,IF(G27=27,KILOMETRAJE!C$30,IF(G27=28,KILOMETRAJE!C$31,IF(G27=29,KILOMETRAJE!C$32,IF(G27=30,KILOMETRAJE!C$33,IF(G27=31,KILOMETRAJE!C$34,IF(G27=32,KILOMETRAJE!C$35,IF(G27=33,KILOMETRAJE!C$36,IF(G27=34,KILOMETRAJE!C$37,IF(G27=35,KILOMETRAJE!C$38,IF(G27=36,KILOMETRAJE!C$39,IF(G27=37,KILOMETRAJE!C$40,IF(G27=38,KILOMETRAJE!C$41,IF(G27=39,KILOMETRAJE!C$42,IF(G27=40,KILOMETRAJE!C$43,IF(G27=41,KILOMETRAJE!C$44,IF(G27=42,KILOMETRAJE!C$45,IF(G27=43,KILOMETRAJE!C$46,IF(G27=44,KILOMETRAJE!C$47,IF(G27=45,KILOMETRAJE!C$48,IF(G27=46,KILOMETRAJE!C$49,IF(G27=47,KILOMETRAJE!C$50,IF(G27=48,KILOMETRAJE!C$51,IF(G27=49,KILOMETRAJE!C$52,IF(G27=50,KILOMETRAJE!C$53,IF(G27=51,KILOMETRAJE!C$54,IF(G27=52,KILOMETRAJE!C$55,IF(G27=53,KILOMETRAJE!C$56,IF(G27=54,KILOMETRAJE!C$57,IF(G27=55,KILOMETRAJE!C$58,IF(G27=56,KILOMETRAJE!C$59,IF(G27=57,KILOMETRAJE!C$60,IF(G27=58,KILOMETRAJE!C$61,IF(G27=59,KILOMETRAJE!C$62,IF(G27=60,KILOMETRAJE!C$63,IF(G27=61,KILOMETRAJE!C$64,IF(G27=62,KILOMETRAJE!C$65,IF(G27=63,KILOMETRAJE!C$66)))))))))))))))))))))))))))))))))))))))))))))))))))))))))))))))</f>
        <v xml:space="preserve">CHIH. </v>
      </c>
      <c r="I27" s="27" t="str">
        <f>IF(G27=1,KILOMETRAJE!E$4,IF(G27=2,KILOMETRAJE!E$5,IF(G27=3,KILOMETRAJE!E$6,IF(G27=4,KILOMETRAJE!E$7,IF(G27=5,KILOMETRAJE!E$8,IF(G27=6,KILOMETRAJE!E$9,IF(G27=7,KILOMETRAJE!E$10,IF(G27=8,KILOMETRAJE!E$11,IF(G27=9,KILOMETRAJE!E$12,IF(G27=10,KILOMETRAJE!E$13,IF(G27=11,KILOMETRAJE!E$14,IF(G27=12,KILOMETRAJE!E$15,IF(G27=13,KILOMETRAJE!E$16,IF(G27=14,KILOMETRAJE!E$17,IF(G27=15,KILOMETRAJE!E$18,IF(G27=16,KILOMETRAJE!E$19,IF(G27=17,KILOMETRAJE!E$20,IF(G27=18,KILOMETRAJE!E$21,IF(G27=19,KILOMETRAJE!E$22,IF(G27=20,KILOMETRAJE!E$23,IF(G27=21,KILOMETRAJE!E$24,IF(G27=22,KILOMETRAJE!E$25,IF(G27=23,KILOMETRAJE!E$26,IF(G27=24,KILOMETRAJE!E$27,IF(G27=25,KILOMETRAJE!E$28,IF(G27=26,KILOMETRAJE!E$29,IF(G27=27,KILOMETRAJE!E$30,IF(G27=28,KILOMETRAJE!E$31,IF(G27=29,KILOMETRAJE!E$32,IF(G27=30,KILOMETRAJE!E$33,IF(G27=31,KILOMETRAJE!E$34,IF(G27=32,KILOMETRAJE!E$35,IF(G27=33,KILOMETRAJE!E$36,IF(G27=34,KILOMETRAJE!E$37,IF(G27=35,KILOMETRAJE!E$38,IF(G27=36,KILOMETRAJE!E$39,IF(G27=37,KILOMETRAJE!E$40,IF(G27=38,KILOMETRAJE!E$41,IF(G27=39,KILOMETRAJE!E$42,IF(G27=40,KILOMETRAJE!E$43,IF(G27=41,KILOMETRAJE!E$44,IF(G27=42,KILOMETRAJE!E$45,IF(G27=43,KILOMETRAJE!E$46,IF(G27=44,KILOMETRAJE!E$47,IF(G27=45,KILOMETRAJE!E$48,IF(G27=46,KILOMETRAJE!E$49,IF(G27=47,KILOMETRAJE!E$50,IF(G27=48,KILOMETRAJE!E$51,IF(G27=49,KILOMETRAJE!E$52,IF(G27=50,KILOMETRAJE!E$53,IF(G27=51,KILOMETRAJE!E$54,IF(G27=52,KILOMETRAJE!E$55,IF(G27=53,KILOMETRAJE!E$56,IF(G27=54,KILOMETRAJE!E$57,IF(G27=55,KILOMETRAJE!E$58,IF(G27=56,KILOMETRAJE!E$59,IF(G27=57,KILOMETRAJE!E$60,IF(G27=58,KILOMETRAJE!E$61,IF(G27=59,KILOMETRAJE!E$62,IF(G27=60,KILOMETRAJE!E$63,IF(G27=61,KILOMETRAJE!E$64,IF(G27=62,KILOMETRAJE!E$65,IF(G27=63,KILOMETRAJE!E$66)))))))))))))))))))))))))))))))))))))))))))))))))))))))))))))))</f>
        <v>JRZ</v>
      </c>
      <c r="J27" s="31">
        <f>IF(G27=1,[2]KILOMETRAJE!G$4,IF(G27=2,[2]KILOMETRAJE!G$5,IF(G27=3,[2]KILOMETRAJE!G$6,IF(G27=4,[2]KILOMETRAJE!G$7,IF(G27=5,[2]KILOMETRAJE!G$8,IF(G27=6,[2]KILOMETRAJE!G$9,IF(G27=7,[2]KILOMETRAJE!G$10,IF(G27=8,[2]KILOMETRAJE!G$11,IF(G27=9,[2]KILOMETRAJE!G$12,IF(G27=10,[2]KILOMETRAJE!G$13,IF(G27=11,[2]KILOMETRAJE!G$14,IF(G27=12,[2]KILOMETRAJE!G$15,IF(G27=13,[2]KILOMETRAJE!G$16,IF(G27=14,[2]KILOMETRAJE!G$17,IF(G27=15,[2]KILOMETRAJE!G$18,IF(G27=16,[2]KILOMETRAJE!G$19,IF(G27=17,[2]KILOMETRAJE!G$20,IF(G27=18,[2]KILOMETRAJE!G$21,IF(G27=19,[2]KILOMETRAJE!G$22,IF(G27=20,[2]KILOMETRAJE!G$23,IF(G27=21,[2]KILOMETRAJE!G$24,IF(G27=22,[2]KILOMETRAJE!G$25,IF(G27=23,[2]KILOMETRAJE!G$26,IF(G27=24,[2]KILOMETRAJE!G$27,IF(G27=25,[2]KILOMETRAJE!G$28,IF(G27=26,[2]KILOMETRAJE!G$29,IF(G27=27,[2]KILOMETRAJE!G$30,IF(G27=28,[2]KILOMETRAJE!G$31,IF(G27=29,[2]KILOMETRAJE!G$32,IF(G27=30,[2]KILOMETRAJE!G$33,IF(G27=31,[2]KILOMETRAJE!G$34,IF(G27=32,[2]KILOMETRAJE!G$35,IF(G27=33,[2]KILOMETRAJE!G$36,IF(G27=34,[2]KILOMETRAJE!G$37,IF(G27=35,[2]KILOMETRAJE!G$38,IF(G27=36,[2]KILOMETRAJE!G$39,IF(G27=37,[2]KILOMETRAJE!G$40,IF(G27=38,[2]KILOMETRAJE!G$41,IF(G27=39,[2]KILOMETRAJE!G$42,IF(G27=40,[2]KILOMETRAJE!G$43,IF(G27=41,[2]KILOMETRAJE!G$44,IF(G27=42,[2]KILOMETRAJE!G$45,IF(G27=43,[2]KILOMETRAJE!G$46,IF(G27=44,[2]KILOMETRAJE!G$47,IF(G27=45,[2]KILOMETRAJE!G$48,IF(G27=46,[2]KILOMETRAJE!G$49,IF(G27=47,[2]KILOMETRAJE!G$50,IF(G27=48,[2]KILOMETRAJE!G$51,IF(G27=49,[2]KILOMETRAJE!G$52,IF(G27=50,[2]KILOMETRAJE!G$53,IF(G27=51,[2]KILOMETRAJE!G$54,IF(G27=52,[2]KILOMETRAJE!G$55,IF(G27=53,[2]KILOMETRAJE!G$56,IF(G27=54,[2]KILOMETRAJE!G$57,IF(G27=55,[2]KILOMETRAJE!G$58,IF(G27=56,[2]KILOMETRAJE!G$59,IF(G27=57,[2]KILOMETRAJE!G$60,IF(G27=58,[2]KILOMETRAJE!G$61,IF(G27=59,[2]KILOMETRAJE!G$62,IF(G27=60,[2]KILOMETRAJE!G$63,IF(G27=61,[2]KILOMETRAJE!G$64,IF(G27=62,[2]KILOMETRAJE!G$65,IF(G27=63,[2]KILOMETRAJE!G$66)))))))))))))))))))))))))))))))))))))))))))))))))))))))))))))))</f>
        <v>375</v>
      </c>
      <c r="K27" s="27">
        <v>260</v>
      </c>
      <c r="L27" s="28">
        <f>SUM(J26:J27)/K27</f>
        <v>3.0769230769230771</v>
      </c>
      <c r="M27" s="349">
        <v>1898</v>
      </c>
      <c r="N27" s="27">
        <v>1</v>
      </c>
      <c r="O27" s="27" t="s">
        <v>598</v>
      </c>
      <c r="P27" s="27" t="s">
        <v>200</v>
      </c>
      <c r="Q27" s="29">
        <f t="shared" si="1"/>
        <v>109.99874999999999</v>
      </c>
      <c r="R27" s="190">
        <f>+LOOKUP(P45,UNIDADES!B$3:B$59,UNIDADES!C$3:C$59)</f>
        <v>2.3734099999999998</v>
      </c>
      <c r="S27" s="50">
        <f>+((SUM(J26:J27))/R27)-K27</f>
        <v>77.067763260456502</v>
      </c>
      <c r="T27" s="456">
        <f>+S27*14.85</f>
        <v>1144.456284417779</v>
      </c>
      <c r="U27" s="11"/>
      <c r="V27" s="11"/>
    </row>
    <row r="28" spans="3:22" hidden="1" x14ac:dyDescent="0.2">
      <c r="C28" s="261"/>
      <c r="D28" s="96"/>
      <c r="E28" s="97"/>
      <c r="F28" s="97"/>
      <c r="G28" s="96"/>
      <c r="H28" s="98"/>
      <c r="I28" s="98"/>
      <c r="J28" s="99"/>
      <c r="K28" s="98"/>
      <c r="L28" s="100"/>
      <c r="M28" s="377"/>
      <c r="N28" s="98"/>
      <c r="O28" s="98"/>
      <c r="P28" s="98"/>
      <c r="Q28" s="93"/>
      <c r="R28" s="233"/>
      <c r="S28" s="447"/>
      <c r="T28" s="469"/>
      <c r="U28" s="473"/>
      <c r="V28" s="473"/>
    </row>
    <row r="29" spans="3:22" hidden="1" x14ac:dyDescent="0.2">
      <c r="C29" s="344"/>
      <c r="D29" s="61"/>
      <c r="E29" s="12"/>
      <c r="F29" s="12"/>
      <c r="G29" s="61"/>
      <c r="H29" s="363"/>
      <c r="I29" s="11"/>
      <c r="J29" s="22"/>
      <c r="K29" s="11"/>
      <c r="L29" s="23"/>
      <c r="M29" s="23"/>
      <c r="N29" s="11"/>
      <c r="O29" s="11"/>
      <c r="P29" s="11"/>
      <c r="Q29" s="13"/>
      <c r="R29" s="339"/>
      <c r="S29" s="195"/>
      <c r="T29" s="457"/>
      <c r="U29" s="473"/>
      <c r="V29" s="473"/>
    </row>
    <row r="30" spans="3:22" ht="12.75" hidden="1" thickBot="1" x14ac:dyDescent="0.25">
      <c r="C30" s="101"/>
      <c r="D30" s="62"/>
      <c r="E30" s="25"/>
      <c r="F30" s="25"/>
      <c r="G30" s="62"/>
      <c r="H30" s="26"/>
      <c r="I30" s="27"/>
      <c r="J30" s="31"/>
      <c r="K30" s="27"/>
      <c r="L30" s="28"/>
      <c r="M30" s="28"/>
      <c r="N30" s="27"/>
      <c r="O30" s="27"/>
      <c r="P30" s="27"/>
      <c r="Q30" s="29"/>
      <c r="R30" s="190"/>
      <c r="S30" s="19"/>
      <c r="T30" s="456"/>
      <c r="U30" s="11"/>
      <c r="V30" s="11"/>
    </row>
    <row r="31" spans="3:22" hidden="1" x14ac:dyDescent="0.2">
      <c r="C31" s="238"/>
      <c r="D31" s="36"/>
      <c r="E31" s="37"/>
      <c r="F31" s="37"/>
      <c r="G31" s="36"/>
      <c r="H31" s="47"/>
      <c r="I31" s="38"/>
      <c r="J31" s="39"/>
      <c r="K31" s="38"/>
      <c r="L31" s="48"/>
      <c r="M31" s="44"/>
      <c r="N31" s="38"/>
      <c r="O31" s="38"/>
      <c r="P31" s="38"/>
      <c r="Q31" s="40"/>
      <c r="R31" s="191"/>
      <c r="S31" s="186"/>
      <c r="T31" s="458"/>
      <c r="U31" s="11"/>
      <c r="V31" s="11"/>
    </row>
    <row r="32" spans="3:22" ht="12.75" hidden="1" thickBot="1" x14ac:dyDescent="0.25">
      <c r="C32" s="101"/>
      <c r="D32" s="62"/>
      <c r="E32" s="25"/>
      <c r="F32" s="25"/>
      <c r="G32" s="62"/>
      <c r="H32" s="26"/>
      <c r="I32" s="27"/>
      <c r="J32" s="31"/>
      <c r="K32" s="27"/>
      <c r="L32" s="28"/>
      <c r="M32" s="28"/>
      <c r="N32" s="27"/>
      <c r="O32" s="27"/>
      <c r="P32" s="27"/>
      <c r="Q32" s="29"/>
      <c r="R32" s="190"/>
      <c r="S32" s="19"/>
      <c r="T32" s="30"/>
      <c r="U32" s="481"/>
      <c r="V32" s="481"/>
    </row>
    <row r="33" spans="3:23" hidden="1" x14ac:dyDescent="0.2">
      <c r="C33" s="176"/>
      <c r="D33" s="43"/>
      <c r="E33" s="42"/>
      <c r="F33" s="42"/>
      <c r="G33" s="43"/>
      <c r="H33" s="65"/>
      <c r="I33" s="24"/>
      <c r="J33" s="51"/>
      <c r="K33" s="24"/>
      <c r="L33" s="44"/>
      <c r="M33" s="44"/>
      <c r="N33" s="24"/>
      <c r="O33" s="24"/>
      <c r="P33" s="24"/>
      <c r="Q33" s="45"/>
      <c r="R33" s="192"/>
      <c r="S33" s="52"/>
      <c r="T33" s="46"/>
      <c r="U33" s="481"/>
      <c r="V33" s="481"/>
    </row>
    <row r="34" spans="3:23" ht="12.75" hidden="1" thickBot="1" x14ac:dyDescent="0.25">
      <c r="C34" s="101"/>
      <c r="D34" s="62"/>
      <c r="E34" s="25"/>
      <c r="F34" s="25"/>
      <c r="G34" s="62"/>
      <c r="H34" s="26"/>
      <c r="I34" s="27"/>
      <c r="J34" s="31"/>
      <c r="K34" s="27"/>
      <c r="L34" s="28"/>
      <c r="M34" s="28"/>
      <c r="N34" s="27"/>
      <c r="O34" s="27"/>
      <c r="P34" s="27"/>
      <c r="Q34" s="29"/>
      <c r="R34" s="190"/>
      <c r="S34" s="19"/>
      <c r="T34" s="30"/>
      <c r="U34" s="481"/>
      <c r="V34" s="481"/>
    </row>
    <row r="35" spans="3:23" ht="12.75" thickBot="1" x14ac:dyDescent="0.25">
      <c r="I35" s="15"/>
      <c r="R35" s="193"/>
      <c r="S35" s="15"/>
    </row>
    <row r="36" spans="3:23" x14ac:dyDescent="0.2">
      <c r="E36" s="629" t="s">
        <v>291</v>
      </c>
      <c r="F36" s="646">
        <f>+'AGUILAR ESQUIVEL CARLOS'!F34</f>
        <v>45957</v>
      </c>
      <c r="G36" s="647"/>
      <c r="H36" s="16">
        <f>F36+1</f>
        <v>45958</v>
      </c>
      <c r="I36" s="16">
        <f>+H36+1</f>
        <v>45959</v>
      </c>
      <c r="J36" s="16">
        <f>+I36+1</f>
        <v>45960</v>
      </c>
      <c r="K36" s="16">
        <f>+J36+1</f>
        <v>45961</v>
      </c>
      <c r="L36" s="16">
        <f>+K36+2</f>
        <v>45963</v>
      </c>
      <c r="M36" s="17" t="s">
        <v>35</v>
      </c>
    </row>
    <row r="37" spans="3:23" ht="12.75" thickBot="1" x14ac:dyDescent="0.25">
      <c r="E37" s="630"/>
      <c r="F37" s="648"/>
      <c r="G37" s="649"/>
      <c r="H37" s="29"/>
      <c r="I37" s="29"/>
      <c r="J37" s="29"/>
      <c r="K37" s="29"/>
      <c r="L37" s="29"/>
      <c r="M37" s="30">
        <f>SUM(F37:L37)</f>
        <v>0</v>
      </c>
    </row>
    <row r="38" spans="3:23" ht="13.5" thickBot="1" x14ac:dyDescent="0.25">
      <c r="I38" s="15"/>
      <c r="N38" s="20"/>
      <c r="O38" s="611" t="s">
        <v>38</v>
      </c>
      <c r="P38" s="612"/>
      <c r="Q38" s="381">
        <f>+F51-L48</f>
        <v>5735.850102118894</v>
      </c>
      <c r="R38"/>
      <c r="S38"/>
    </row>
    <row r="39" spans="3:23" ht="13.5" thickBot="1" x14ac:dyDescent="0.25">
      <c r="C39" s="608" t="s">
        <v>36</v>
      </c>
      <c r="D39" s="609"/>
      <c r="E39" s="609"/>
      <c r="F39" s="609"/>
      <c r="G39" s="610"/>
      <c r="I39" s="620" t="s">
        <v>37</v>
      </c>
      <c r="J39" s="621"/>
      <c r="K39" s="621"/>
      <c r="L39" s="622"/>
      <c r="M39" s="298"/>
      <c r="Q39" s="675"/>
      <c r="R39" s="675"/>
      <c r="S39" s="675"/>
    </row>
    <row r="40" spans="3:23" ht="12.75" thickBot="1" x14ac:dyDescent="0.25">
      <c r="C40" s="616" t="s">
        <v>219</v>
      </c>
      <c r="D40" s="617"/>
      <c r="E40" s="617"/>
      <c r="F40" s="618">
        <f>SUM(Q19:Q35)</f>
        <v>824.99099999999987</v>
      </c>
      <c r="G40" s="619"/>
      <c r="I40" s="114" t="s">
        <v>125</v>
      </c>
      <c r="J40" s="68" t="s">
        <v>126</v>
      </c>
      <c r="K40" s="68" t="s">
        <v>70</v>
      </c>
      <c r="L40" s="115" t="s">
        <v>127</v>
      </c>
      <c r="M40" s="346"/>
    </row>
    <row r="41" spans="3:23" ht="13.5" customHeight="1" thickBot="1" x14ac:dyDescent="0.25">
      <c r="C41" s="602" t="s">
        <v>220</v>
      </c>
      <c r="D41" s="603"/>
      <c r="E41" s="603"/>
      <c r="F41" s="604">
        <f>SUM(T19:T35)</f>
        <v>4910.859102118894</v>
      </c>
      <c r="G41" s="605"/>
      <c r="I41" s="328"/>
      <c r="J41" s="428"/>
      <c r="K41" s="43"/>
      <c r="L41" s="119"/>
      <c r="M41" s="346"/>
      <c r="O41" s="74" t="s">
        <v>70</v>
      </c>
      <c r="P41" s="75" t="s">
        <v>71</v>
      </c>
      <c r="Q41" s="76" t="s">
        <v>72</v>
      </c>
      <c r="R41" s="64"/>
      <c r="S41" s="77" t="s">
        <v>73</v>
      </c>
      <c r="T41" s="75" t="s">
        <v>74</v>
      </c>
      <c r="U41" s="74" t="s">
        <v>145</v>
      </c>
      <c r="V41" s="75" t="s">
        <v>146</v>
      </c>
      <c r="W41" s="75" t="s">
        <v>284</v>
      </c>
    </row>
    <row r="42" spans="3:23" ht="12.75" thickBot="1" x14ac:dyDescent="0.25">
      <c r="C42" s="602" t="s">
        <v>34</v>
      </c>
      <c r="D42" s="603"/>
      <c r="E42" s="603"/>
      <c r="F42" s="604">
        <f>+M37</f>
        <v>0</v>
      </c>
      <c r="G42" s="605"/>
      <c r="I42" s="94"/>
      <c r="J42" s="117"/>
      <c r="K42" s="61"/>
      <c r="L42" s="111"/>
      <c r="M42" s="346"/>
      <c r="O42" s="78">
        <v>46110</v>
      </c>
      <c r="P42" s="79" t="s">
        <v>599</v>
      </c>
      <c r="Q42" s="80">
        <v>1029373</v>
      </c>
      <c r="R42" s="80"/>
      <c r="S42" s="24">
        <v>1031050</v>
      </c>
      <c r="T42" s="79">
        <f>+S42-Q42</f>
        <v>1677</v>
      </c>
      <c r="U42" s="137">
        <f>SUM(J20:J21)</f>
        <v>750</v>
      </c>
      <c r="V42" s="79">
        <f>+K21</f>
        <v>245.04</v>
      </c>
      <c r="W42" s="353">
        <f>(SUM(M20:M21)/2)</f>
        <v>1081</v>
      </c>
    </row>
    <row r="43" spans="3:23" x14ac:dyDescent="0.2">
      <c r="C43" s="602" t="s">
        <v>186</v>
      </c>
      <c r="D43" s="603"/>
      <c r="E43" s="603"/>
      <c r="F43" s="604">
        <v>0</v>
      </c>
      <c r="G43" s="605"/>
      <c r="I43" s="94"/>
      <c r="J43" s="117"/>
      <c r="K43" s="61"/>
      <c r="L43" s="111"/>
      <c r="M43" s="346"/>
      <c r="O43" s="32">
        <v>46131</v>
      </c>
      <c r="P43" s="53" t="s">
        <v>599</v>
      </c>
      <c r="Q43" s="24">
        <v>1031050</v>
      </c>
      <c r="R43" s="63"/>
      <c r="S43" s="63">
        <v>1038613</v>
      </c>
      <c r="T43" s="53">
        <f>+S43-Q43</f>
        <v>7563</v>
      </c>
      <c r="U43" s="136">
        <f>SUM(J22:J23)</f>
        <v>800</v>
      </c>
      <c r="V43" s="53">
        <f>+K23</f>
        <v>250.04</v>
      </c>
      <c r="W43" s="354">
        <f>(SUM(M22:M23)/2)</f>
        <v>8475</v>
      </c>
    </row>
    <row r="44" spans="3:23" x14ac:dyDescent="0.2">
      <c r="C44" s="602" t="s">
        <v>39</v>
      </c>
      <c r="D44" s="603"/>
      <c r="E44" s="603"/>
      <c r="F44" s="604"/>
      <c r="G44" s="605"/>
      <c r="I44" s="94"/>
      <c r="J44" s="117"/>
      <c r="K44" s="61"/>
      <c r="L44" s="111"/>
      <c r="M44" s="346"/>
      <c r="O44" s="32">
        <v>46158</v>
      </c>
      <c r="P44" s="53" t="s">
        <v>599</v>
      </c>
      <c r="Q44" s="11">
        <v>1038613</v>
      </c>
      <c r="R44" s="63"/>
      <c r="S44" s="11">
        <v>1045775</v>
      </c>
      <c r="T44" s="53">
        <f>+S44-Q44</f>
        <v>7162</v>
      </c>
      <c r="U44" s="136">
        <f>SUM(J24:J25)</f>
        <v>750</v>
      </c>
      <c r="V44" s="53">
        <f>+K25</f>
        <v>220.36</v>
      </c>
      <c r="W44" s="354">
        <f>(SUM(M24:M25)/2)</f>
        <v>615</v>
      </c>
    </row>
    <row r="45" spans="3:23" x14ac:dyDescent="0.2">
      <c r="C45" s="602" t="s">
        <v>116</v>
      </c>
      <c r="D45" s="603"/>
      <c r="E45" s="603"/>
      <c r="F45" s="604"/>
      <c r="G45" s="605"/>
      <c r="I45" s="94"/>
      <c r="J45" s="117"/>
      <c r="K45" s="61"/>
      <c r="L45" s="111"/>
      <c r="M45" s="346"/>
      <c r="O45" s="32">
        <v>46173</v>
      </c>
      <c r="P45" s="53" t="s">
        <v>599</v>
      </c>
      <c r="Q45" s="63">
        <v>104577</v>
      </c>
      <c r="R45" s="63"/>
      <c r="S45" s="11">
        <v>105349</v>
      </c>
      <c r="T45" s="53">
        <f t="shared" ref="T45:T47" si="2">+S45-Q45</f>
        <v>772</v>
      </c>
      <c r="U45" s="136">
        <f>SUM(J26:J27)</f>
        <v>800</v>
      </c>
      <c r="V45" s="53">
        <f>+K27</f>
        <v>260</v>
      </c>
      <c r="W45" s="354">
        <f>(SUM(M26:M27)/2)</f>
        <v>5777</v>
      </c>
    </row>
    <row r="46" spans="3:23" x14ac:dyDescent="0.2">
      <c r="C46" s="602" t="s">
        <v>40</v>
      </c>
      <c r="D46" s="603"/>
      <c r="E46" s="603"/>
      <c r="F46" s="604"/>
      <c r="G46" s="605"/>
      <c r="I46" s="94"/>
      <c r="J46" s="117"/>
      <c r="K46" s="61"/>
      <c r="L46" s="111"/>
      <c r="M46" s="346"/>
      <c r="O46" s="32"/>
      <c r="P46" s="53"/>
      <c r="Q46" s="63"/>
      <c r="R46" s="95"/>
      <c r="S46" s="11"/>
      <c r="T46" s="53">
        <f t="shared" si="2"/>
        <v>0</v>
      </c>
      <c r="U46" s="136">
        <f>SUM(J28:J30)</f>
        <v>0</v>
      </c>
      <c r="V46" s="53">
        <f>+K30</f>
        <v>0</v>
      </c>
      <c r="W46" s="354">
        <f>(SUM(M28:M30)/2)</f>
        <v>0</v>
      </c>
    </row>
    <row r="47" spans="3:23" ht="12.75" thickBot="1" x14ac:dyDescent="0.25">
      <c r="C47" s="602" t="s">
        <v>124</v>
      </c>
      <c r="D47" s="603"/>
      <c r="E47" s="603"/>
      <c r="F47" s="604">
        <v>0</v>
      </c>
      <c r="G47" s="605"/>
      <c r="I47" s="282"/>
      <c r="J47" s="285"/>
      <c r="K47" s="62"/>
      <c r="L47" s="283"/>
      <c r="M47" s="346"/>
      <c r="O47" s="32"/>
      <c r="P47" s="53"/>
      <c r="Q47" s="63"/>
      <c r="R47" s="95"/>
      <c r="S47" s="11"/>
      <c r="T47" s="53">
        <f t="shared" si="2"/>
        <v>0</v>
      </c>
      <c r="U47" s="136">
        <f>SUM(J31:J32)</f>
        <v>0</v>
      </c>
      <c r="V47" s="53">
        <f>+K32</f>
        <v>0</v>
      </c>
      <c r="W47" s="354">
        <f>(SUM(M31:M32)/2)</f>
        <v>0</v>
      </c>
    </row>
    <row r="48" spans="3:23" ht="13.5" customHeight="1" thickBot="1" x14ac:dyDescent="0.25">
      <c r="C48" s="602" t="s">
        <v>224</v>
      </c>
      <c r="D48" s="603"/>
      <c r="E48" s="603"/>
      <c r="F48" s="606"/>
      <c r="G48" s="607"/>
      <c r="I48" s="597" t="s">
        <v>41</v>
      </c>
      <c r="J48" s="598"/>
      <c r="K48" s="632"/>
      <c r="L48" s="284">
        <f>SUM(L41:L47)</f>
        <v>0</v>
      </c>
      <c r="M48" s="347"/>
      <c r="O48" s="113"/>
      <c r="P48" s="264"/>
      <c r="Q48" s="265"/>
      <c r="R48" s="83"/>
      <c r="S48" s="81"/>
      <c r="T48" s="82">
        <f>+S48-Q48</f>
        <v>0</v>
      </c>
      <c r="U48" s="138">
        <f>SUM(J33:J34)</f>
        <v>0</v>
      </c>
      <c r="V48" s="55">
        <f>+K34</f>
        <v>0</v>
      </c>
      <c r="W48" s="355">
        <f>(SUM(M33:M34)/2)</f>
        <v>0</v>
      </c>
    </row>
    <row r="49" spans="3:22" ht="13.5" customHeight="1" x14ac:dyDescent="0.2">
      <c r="C49" s="602" t="s">
        <v>110</v>
      </c>
      <c r="D49" s="603"/>
      <c r="E49" s="603"/>
      <c r="F49" s="606"/>
      <c r="G49" s="607"/>
      <c r="R49" s="21"/>
      <c r="S49" s="21"/>
      <c r="T49" s="21"/>
      <c r="U49" s="139"/>
      <c r="V49" s="271"/>
    </row>
    <row r="50" spans="3:22" ht="13.5" customHeight="1" thickBot="1" x14ac:dyDescent="0.25">
      <c r="C50" s="593" t="s">
        <v>315</v>
      </c>
      <c r="D50" s="594"/>
      <c r="E50" s="594"/>
      <c r="F50" s="595"/>
      <c r="G50" s="596"/>
      <c r="R50" s="21"/>
      <c r="S50" s="21"/>
      <c r="T50" s="21"/>
      <c r="U50" s="139"/>
      <c r="V50" s="271"/>
    </row>
    <row r="51" spans="3:22" ht="13.5" thickBot="1" x14ac:dyDescent="0.25">
      <c r="C51" s="597" t="s">
        <v>42</v>
      </c>
      <c r="D51" s="598"/>
      <c r="E51" s="599"/>
      <c r="F51" s="600">
        <f>SUM(F40:G50)</f>
        <v>5735.850102118894</v>
      </c>
      <c r="G51" s="601"/>
      <c r="R51" s="21"/>
      <c r="S51" s="21"/>
      <c r="T51" s="21"/>
      <c r="U51" s="139"/>
      <c r="V51" s="271"/>
    </row>
    <row r="52" spans="3:22" ht="13.5" customHeight="1" thickBot="1" x14ac:dyDescent="0.25">
      <c r="P52" s="588" t="s">
        <v>48</v>
      </c>
      <c r="Q52" s="589"/>
      <c r="R52" s="590"/>
      <c r="S52" s="21"/>
      <c r="T52" s="21"/>
      <c r="U52" s="139"/>
      <c r="V52" s="271"/>
    </row>
    <row r="53" spans="3:22" ht="12.75" customHeight="1" x14ac:dyDescent="0.2">
      <c r="C53" s="246" t="s">
        <v>43</v>
      </c>
      <c r="D53" s="247"/>
      <c r="E53" s="247"/>
      <c r="F53" s="247"/>
      <c r="G53" s="247"/>
      <c r="H53" s="247"/>
      <c r="I53" s="247"/>
      <c r="J53" s="247"/>
      <c r="K53" s="247"/>
      <c r="L53" s="248"/>
      <c r="M53" s="251"/>
      <c r="P53" s="78">
        <v>1</v>
      </c>
      <c r="Q53" s="584" t="s">
        <v>49</v>
      </c>
      <c r="R53" s="585"/>
      <c r="S53" s="21"/>
      <c r="T53" s="21"/>
      <c r="U53" s="249"/>
    </row>
    <row r="54" spans="3:22" ht="12.75" customHeight="1" x14ac:dyDescent="0.2">
      <c r="C54" s="250"/>
      <c r="D54" s="251"/>
      <c r="E54" s="251"/>
      <c r="F54" s="251"/>
      <c r="G54" s="251"/>
      <c r="H54" s="251"/>
      <c r="I54" s="251"/>
      <c r="J54" s="251"/>
      <c r="K54" s="251"/>
      <c r="L54" s="252"/>
      <c r="M54" s="251"/>
      <c r="P54" s="32">
        <v>2</v>
      </c>
      <c r="Q54" s="586" t="s">
        <v>135</v>
      </c>
      <c r="R54" s="587"/>
      <c r="S54" s="21"/>
      <c r="T54" s="249"/>
    </row>
    <row r="55" spans="3:22" ht="12.75" thickBot="1" x14ac:dyDescent="0.25">
      <c r="C55" s="253"/>
      <c r="D55" s="254"/>
      <c r="E55" s="254"/>
      <c r="F55" s="254"/>
      <c r="G55" s="254"/>
      <c r="H55" s="254"/>
      <c r="I55" s="254"/>
      <c r="J55" s="254"/>
      <c r="K55" s="254"/>
      <c r="L55" s="255"/>
      <c r="M55" s="251"/>
      <c r="P55" s="32">
        <v>3</v>
      </c>
      <c r="Q55" s="586" t="s">
        <v>130</v>
      </c>
      <c r="R55" s="587"/>
      <c r="S55" s="21"/>
      <c r="T55" s="249"/>
    </row>
    <row r="56" spans="3:22" x14ac:dyDescent="0.2">
      <c r="P56" s="32">
        <v>4</v>
      </c>
      <c r="Q56" s="586" t="s">
        <v>228</v>
      </c>
      <c r="R56" s="587"/>
      <c r="S56" s="21"/>
      <c r="T56" s="249"/>
    </row>
    <row r="57" spans="3:22" ht="12.75" thickBot="1" x14ac:dyDescent="0.25">
      <c r="P57" s="32">
        <v>5</v>
      </c>
      <c r="Q57" s="586" t="s">
        <v>229</v>
      </c>
      <c r="R57" s="587"/>
      <c r="S57" s="21"/>
    </row>
    <row r="58" spans="3:22" ht="14.25" customHeight="1" thickTop="1" thickBot="1" x14ac:dyDescent="0.25">
      <c r="D58" s="631" t="s">
        <v>44</v>
      </c>
      <c r="E58" s="631"/>
      <c r="F58" s="631"/>
      <c r="G58" s="631"/>
      <c r="H58" s="631"/>
      <c r="J58" s="631" t="s">
        <v>45</v>
      </c>
      <c r="K58" s="631"/>
      <c r="L58" s="631"/>
      <c r="M58" s="631"/>
      <c r="N58" s="631"/>
      <c r="P58" s="54">
        <v>6</v>
      </c>
      <c r="Q58" s="591" t="s">
        <v>230</v>
      </c>
      <c r="R58" s="592"/>
      <c r="S58" s="21"/>
      <c r="T58" s="21"/>
    </row>
    <row r="59" spans="3:22" x14ac:dyDescent="0.2">
      <c r="S59" s="21"/>
      <c r="T59" s="21"/>
    </row>
    <row r="60" spans="3:22" x14ac:dyDescent="0.2">
      <c r="P60" s="21"/>
      <c r="Q60" s="21"/>
      <c r="R60" s="21"/>
      <c r="S60" s="21"/>
      <c r="T60" s="21"/>
    </row>
  </sheetData>
  <mergeCells count="56">
    <mergeCell ref="P52:R52"/>
    <mergeCell ref="Q53:R53"/>
    <mergeCell ref="Q54:R54"/>
    <mergeCell ref="F47:G47"/>
    <mergeCell ref="D58:H58"/>
    <mergeCell ref="J58:N58"/>
    <mergeCell ref="I48:K48"/>
    <mergeCell ref="C48:E48"/>
    <mergeCell ref="F48:G48"/>
    <mergeCell ref="C49:E49"/>
    <mergeCell ref="F49:G49"/>
    <mergeCell ref="C50:E50"/>
    <mergeCell ref="F50:G50"/>
    <mergeCell ref="C51:E51"/>
    <mergeCell ref="F51:G51"/>
    <mergeCell ref="C47:E47"/>
    <mergeCell ref="F46:G46"/>
    <mergeCell ref="C46:E46"/>
    <mergeCell ref="C44:E44"/>
    <mergeCell ref="F44:G44"/>
    <mergeCell ref="C45:E45"/>
    <mergeCell ref="F45:G45"/>
    <mergeCell ref="C41:E41"/>
    <mergeCell ref="F41:G41"/>
    <mergeCell ref="C42:E42"/>
    <mergeCell ref="F42:G42"/>
    <mergeCell ref="C43:E43"/>
    <mergeCell ref="F43:G43"/>
    <mergeCell ref="O38:P38"/>
    <mergeCell ref="I6:O6"/>
    <mergeCell ref="Q6:S6"/>
    <mergeCell ref="I9:O9"/>
    <mergeCell ref="L11:S11"/>
    <mergeCell ref="E13:F13"/>
    <mergeCell ref="Q2:S2"/>
    <mergeCell ref="I3:O3"/>
    <mergeCell ref="Q3:S3"/>
    <mergeCell ref="I4:O4"/>
    <mergeCell ref="I5:O5"/>
    <mergeCell ref="Q5:S5"/>
    <mergeCell ref="Q55:R55"/>
    <mergeCell ref="Q56:R56"/>
    <mergeCell ref="Q57:R57"/>
    <mergeCell ref="Q58:R58"/>
    <mergeCell ref="D14:E14"/>
    <mergeCell ref="D15:E15"/>
    <mergeCell ref="D16:E16"/>
    <mergeCell ref="D17:E17"/>
    <mergeCell ref="E36:E37"/>
    <mergeCell ref="F36:G36"/>
    <mergeCell ref="F37:G37"/>
    <mergeCell ref="C39:G39"/>
    <mergeCell ref="I39:L39"/>
    <mergeCell ref="Q39:S39"/>
    <mergeCell ref="C40:E40"/>
    <mergeCell ref="F40:G40"/>
  </mergeCells>
  <pageMargins left="0.19685039370078741" right="0.19685039370078741" top="0.35433070866141736" bottom="0.35433070866141736" header="0.31496062992125984" footer="0.31496062992125984"/>
  <pageSetup paperSize="9" scale="74" orientation="landscape" horizontalDpi="300" verticalDpi="300" r:id="rId1"/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Hoja10">
    <pageSetUpPr fitToPage="1"/>
  </sheetPr>
  <dimension ref="B1:W58"/>
  <sheetViews>
    <sheetView topLeftCell="A4" zoomScaleNormal="100" workbookViewId="0">
      <selection activeCell="N45" sqref="N45"/>
    </sheetView>
  </sheetViews>
  <sheetFormatPr baseColWidth="10" defaultColWidth="9.140625" defaultRowHeight="12" x14ac:dyDescent="0.2"/>
  <cols>
    <col min="1" max="1" width="0.7109375" style="14" customWidth="1"/>
    <col min="2" max="2" width="5.140625" style="14" customWidth="1"/>
    <col min="3" max="3" width="11.85546875" style="14" customWidth="1"/>
    <col min="4" max="4" width="11.42578125" style="14" customWidth="1"/>
    <col min="5" max="5" width="7.85546875" style="14" customWidth="1"/>
    <col min="6" max="6" width="10.140625" style="14" customWidth="1"/>
    <col min="7" max="7" width="3.85546875" style="14" customWidth="1"/>
    <col min="8" max="8" width="12.140625" style="14" customWidth="1"/>
    <col min="9" max="10" width="10" style="14" customWidth="1"/>
    <col min="11" max="11" width="10.42578125" style="14" customWidth="1"/>
    <col min="12" max="13" width="12.5703125" style="14" customWidth="1"/>
    <col min="14" max="14" width="10.7109375" style="14" customWidth="1"/>
    <col min="15" max="15" width="10.28515625" style="14" customWidth="1"/>
    <col min="16" max="16" width="13.140625" style="14" bestFit="1" customWidth="1"/>
    <col min="17" max="17" width="12.140625" style="14" customWidth="1"/>
    <col min="18" max="18" width="10" style="14" hidden="1" customWidth="1"/>
    <col min="19" max="19" width="9.42578125" style="14" customWidth="1"/>
    <col min="20" max="20" width="11.5703125" style="14" bestFit="1" customWidth="1"/>
    <col min="21" max="21" width="10.28515625" style="14" customWidth="1"/>
    <col min="22" max="22" width="9.28515625" style="14" customWidth="1"/>
    <col min="23" max="23" width="10.28515625" style="14" customWidth="1"/>
    <col min="24" max="24" width="9.140625" style="14" customWidth="1"/>
    <col min="25" max="259" width="9.140625" style="14"/>
    <col min="260" max="260" width="5.7109375" style="14" customWidth="1"/>
    <col min="261" max="261" width="13.140625" style="14" customWidth="1"/>
    <col min="262" max="262" width="12.28515625" style="14" customWidth="1"/>
    <col min="263" max="263" width="8.85546875" style="14" customWidth="1"/>
    <col min="264" max="264" width="10.85546875" style="14" customWidth="1"/>
    <col min="265" max="265" width="2.85546875" style="14" customWidth="1"/>
    <col min="266" max="266" width="12.140625" style="14" customWidth="1"/>
    <col min="267" max="267" width="10.140625" style="14" customWidth="1"/>
    <col min="268" max="268" width="11.7109375" style="14" customWidth="1"/>
    <col min="269" max="269" width="11.42578125" style="14" customWidth="1"/>
    <col min="270" max="270" width="12.7109375" style="14" customWidth="1"/>
    <col min="271" max="271" width="11.42578125" style="14" customWidth="1"/>
    <col min="272" max="272" width="10.7109375" style="14" customWidth="1"/>
    <col min="273" max="273" width="10.5703125" style="14" customWidth="1"/>
    <col min="274" max="274" width="11.28515625" style="14" customWidth="1"/>
    <col min="275" max="275" width="9.7109375" style="14" customWidth="1"/>
    <col min="276" max="276" width="12" style="14" customWidth="1"/>
    <col min="277" max="277" width="11.28515625" style="14" customWidth="1"/>
    <col min="278" max="515" width="9.140625" style="14"/>
    <col min="516" max="516" width="5.7109375" style="14" customWidth="1"/>
    <col min="517" max="517" width="13.140625" style="14" customWidth="1"/>
    <col min="518" max="518" width="12.28515625" style="14" customWidth="1"/>
    <col min="519" max="519" width="8.85546875" style="14" customWidth="1"/>
    <col min="520" max="520" width="10.85546875" style="14" customWidth="1"/>
    <col min="521" max="521" width="2.85546875" style="14" customWidth="1"/>
    <col min="522" max="522" width="12.140625" style="14" customWidth="1"/>
    <col min="523" max="523" width="10.140625" style="14" customWidth="1"/>
    <col min="524" max="524" width="11.7109375" style="14" customWidth="1"/>
    <col min="525" max="525" width="11.42578125" style="14" customWidth="1"/>
    <col min="526" max="526" width="12.7109375" style="14" customWidth="1"/>
    <col min="527" max="527" width="11.42578125" style="14" customWidth="1"/>
    <col min="528" max="528" width="10.7109375" style="14" customWidth="1"/>
    <col min="529" max="529" width="10.5703125" style="14" customWidth="1"/>
    <col min="530" max="530" width="11.28515625" style="14" customWidth="1"/>
    <col min="531" max="531" width="9.7109375" style="14" customWidth="1"/>
    <col min="532" max="532" width="12" style="14" customWidth="1"/>
    <col min="533" max="533" width="11.28515625" style="14" customWidth="1"/>
    <col min="534" max="771" width="9.140625" style="14"/>
    <col min="772" max="772" width="5.7109375" style="14" customWidth="1"/>
    <col min="773" max="773" width="13.140625" style="14" customWidth="1"/>
    <col min="774" max="774" width="12.28515625" style="14" customWidth="1"/>
    <col min="775" max="775" width="8.85546875" style="14" customWidth="1"/>
    <col min="776" max="776" width="10.85546875" style="14" customWidth="1"/>
    <col min="777" max="777" width="2.85546875" style="14" customWidth="1"/>
    <col min="778" max="778" width="12.140625" style="14" customWidth="1"/>
    <col min="779" max="779" width="10.140625" style="14" customWidth="1"/>
    <col min="780" max="780" width="11.7109375" style="14" customWidth="1"/>
    <col min="781" max="781" width="11.42578125" style="14" customWidth="1"/>
    <col min="782" max="782" width="12.7109375" style="14" customWidth="1"/>
    <col min="783" max="783" width="11.42578125" style="14" customWidth="1"/>
    <col min="784" max="784" width="10.7109375" style="14" customWidth="1"/>
    <col min="785" max="785" width="10.5703125" style="14" customWidth="1"/>
    <col min="786" max="786" width="11.28515625" style="14" customWidth="1"/>
    <col min="787" max="787" width="9.7109375" style="14" customWidth="1"/>
    <col min="788" max="788" width="12" style="14" customWidth="1"/>
    <col min="789" max="789" width="11.28515625" style="14" customWidth="1"/>
    <col min="790" max="1027" width="9.140625" style="14"/>
    <col min="1028" max="1028" width="5.7109375" style="14" customWidth="1"/>
    <col min="1029" max="1029" width="13.140625" style="14" customWidth="1"/>
    <col min="1030" max="1030" width="12.28515625" style="14" customWidth="1"/>
    <col min="1031" max="1031" width="8.85546875" style="14" customWidth="1"/>
    <col min="1032" max="1032" width="10.85546875" style="14" customWidth="1"/>
    <col min="1033" max="1033" width="2.85546875" style="14" customWidth="1"/>
    <col min="1034" max="1034" width="12.140625" style="14" customWidth="1"/>
    <col min="1035" max="1035" width="10.140625" style="14" customWidth="1"/>
    <col min="1036" max="1036" width="11.7109375" style="14" customWidth="1"/>
    <col min="1037" max="1037" width="11.42578125" style="14" customWidth="1"/>
    <col min="1038" max="1038" width="12.7109375" style="14" customWidth="1"/>
    <col min="1039" max="1039" width="11.42578125" style="14" customWidth="1"/>
    <col min="1040" max="1040" width="10.7109375" style="14" customWidth="1"/>
    <col min="1041" max="1041" width="10.5703125" style="14" customWidth="1"/>
    <col min="1042" max="1042" width="11.28515625" style="14" customWidth="1"/>
    <col min="1043" max="1043" width="9.7109375" style="14" customWidth="1"/>
    <col min="1044" max="1044" width="12" style="14" customWidth="1"/>
    <col min="1045" max="1045" width="11.28515625" style="14" customWidth="1"/>
    <col min="1046" max="1283" width="9.140625" style="14"/>
    <col min="1284" max="1284" width="5.7109375" style="14" customWidth="1"/>
    <col min="1285" max="1285" width="13.140625" style="14" customWidth="1"/>
    <col min="1286" max="1286" width="12.28515625" style="14" customWidth="1"/>
    <col min="1287" max="1287" width="8.85546875" style="14" customWidth="1"/>
    <col min="1288" max="1288" width="10.85546875" style="14" customWidth="1"/>
    <col min="1289" max="1289" width="2.85546875" style="14" customWidth="1"/>
    <col min="1290" max="1290" width="12.140625" style="14" customWidth="1"/>
    <col min="1291" max="1291" width="10.140625" style="14" customWidth="1"/>
    <col min="1292" max="1292" width="11.7109375" style="14" customWidth="1"/>
    <col min="1293" max="1293" width="11.42578125" style="14" customWidth="1"/>
    <col min="1294" max="1294" width="12.7109375" style="14" customWidth="1"/>
    <col min="1295" max="1295" width="11.42578125" style="14" customWidth="1"/>
    <col min="1296" max="1296" width="10.7109375" style="14" customWidth="1"/>
    <col min="1297" max="1297" width="10.5703125" style="14" customWidth="1"/>
    <col min="1298" max="1298" width="11.28515625" style="14" customWidth="1"/>
    <col min="1299" max="1299" width="9.7109375" style="14" customWidth="1"/>
    <col min="1300" max="1300" width="12" style="14" customWidth="1"/>
    <col min="1301" max="1301" width="11.28515625" style="14" customWidth="1"/>
    <col min="1302" max="1539" width="9.140625" style="14"/>
    <col min="1540" max="1540" width="5.7109375" style="14" customWidth="1"/>
    <col min="1541" max="1541" width="13.140625" style="14" customWidth="1"/>
    <col min="1542" max="1542" width="12.28515625" style="14" customWidth="1"/>
    <col min="1543" max="1543" width="8.85546875" style="14" customWidth="1"/>
    <col min="1544" max="1544" width="10.85546875" style="14" customWidth="1"/>
    <col min="1545" max="1545" width="2.85546875" style="14" customWidth="1"/>
    <col min="1546" max="1546" width="12.140625" style="14" customWidth="1"/>
    <col min="1547" max="1547" width="10.140625" style="14" customWidth="1"/>
    <col min="1548" max="1548" width="11.7109375" style="14" customWidth="1"/>
    <col min="1549" max="1549" width="11.42578125" style="14" customWidth="1"/>
    <col min="1550" max="1550" width="12.7109375" style="14" customWidth="1"/>
    <col min="1551" max="1551" width="11.42578125" style="14" customWidth="1"/>
    <col min="1552" max="1552" width="10.7109375" style="14" customWidth="1"/>
    <col min="1553" max="1553" width="10.5703125" style="14" customWidth="1"/>
    <col min="1554" max="1554" width="11.28515625" style="14" customWidth="1"/>
    <col min="1555" max="1555" width="9.7109375" style="14" customWidth="1"/>
    <col min="1556" max="1556" width="12" style="14" customWidth="1"/>
    <col min="1557" max="1557" width="11.28515625" style="14" customWidth="1"/>
    <col min="1558" max="1795" width="9.140625" style="14"/>
    <col min="1796" max="1796" width="5.7109375" style="14" customWidth="1"/>
    <col min="1797" max="1797" width="13.140625" style="14" customWidth="1"/>
    <col min="1798" max="1798" width="12.28515625" style="14" customWidth="1"/>
    <col min="1799" max="1799" width="8.85546875" style="14" customWidth="1"/>
    <col min="1800" max="1800" width="10.85546875" style="14" customWidth="1"/>
    <col min="1801" max="1801" width="2.85546875" style="14" customWidth="1"/>
    <col min="1802" max="1802" width="12.140625" style="14" customWidth="1"/>
    <col min="1803" max="1803" width="10.140625" style="14" customWidth="1"/>
    <col min="1804" max="1804" width="11.7109375" style="14" customWidth="1"/>
    <col min="1805" max="1805" width="11.42578125" style="14" customWidth="1"/>
    <col min="1806" max="1806" width="12.7109375" style="14" customWidth="1"/>
    <col min="1807" max="1807" width="11.42578125" style="14" customWidth="1"/>
    <col min="1808" max="1808" width="10.7109375" style="14" customWidth="1"/>
    <col min="1809" max="1809" width="10.5703125" style="14" customWidth="1"/>
    <col min="1810" max="1810" width="11.28515625" style="14" customWidth="1"/>
    <col min="1811" max="1811" width="9.7109375" style="14" customWidth="1"/>
    <col min="1812" max="1812" width="12" style="14" customWidth="1"/>
    <col min="1813" max="1813" width="11.28515625" style="14" customWidth="1"/>
    <col min="1814" max="2051" width="9.140625" style="14"/>
    <col min="2052" max="2052" width="5.7109375" style="14" customWidth="1"/>
    <col min="2053" max="2053" width="13.140625" style="14" customWidth="1"/>
    <col min="2054" max="2054" width="12.28515625" style="14" customWidth="1"/>
    <col min="2055" max="2055" width="8.85546875" style="14" customWidth="1"/>
    <col min="2056" max="2056" width="10.85546875" style="14" customWidth="1"/>
    <col min="2057" max="2057" width="2.85546875" style="14" customWidth="1"/>
    <col min="2058" max="2058" width="12.140625" style="14" customWidth="1"/>
    <col min="2059" max="2059" width="10.140625" style="14" customWidth="1"/>
    <col min="2060" max="2060" width="11.7109375" style="14" customWidth="1"/>
    <col min="2061" max="2061" width="11.42578125" style="14" customWidth="1"/>
    <col min="2062" max="2062" width="12.7109375" style="14" customWidth="1"/>
    <col min="2063" max="2063" width="11.42578125" style="14" customWidth="1"/>
    <col min="2064" max="2064" width="10.7109375" style="14" customWidth="1"/>
    <col min="2065" max="2065" width="10.5703125" style="14" customWidth="1"/>
    <col min="2066" max="2066" width="11.28515625" style="14" customWidth="1"/>
    <col min="2067" max="2067" width="9.7109375" style="14" customWidth="1"/>
    <col min="2068" max="2068" width="12" style="14" customWidth="1"/>
    <col min="2069" max="2069" width="11.28515625" style="14" customWidth="1"/>
    <col min="2070" max="2307" width="9.140625" style="14"/>
    <col min="2308" max="2308" width="5.7109375" style="14" customWidth="1"/>
    <col min="2309" max="2309" width="13.140625" style="14" customWidth="1"/>
    <col min="2310" max="2310" width="12.28515625" style="14" customWidth="1"/>
    <col min="2311" max="2311" width="8.85546875" style="14" customWidth="1"/>
    <col min="2312" max="2312" width="10.85546875" style="14" customWidth="1"/>
    <col min="2313" max="2313" width="2.85546875" style="14" customWidth="1"/>
    <col min="2314" max="2314" width="12.140625" style="14" customWidth="1"/>
    <col min="2315" max="2315" width="10.140625" style="14" customWidth="1"/>
    <col min="2316" max="2316" width="11.7109375" style="14" customWidth="1"/>
    <col min="2317" max="2317" width="11.42578125" style="14" customWidth="1"/>
    <col min="2318" max="2318" width="12.7109375" style="14" customWidth="1"/>
    <col min="2319" max="2319" width="11.42578125" style="14" customWidth="1"/>
    <col min="2320" max="2320" width="10.7109375" style="14" customWidth="1"/>
    <col min="2321" max="2321" width="10.5703125" style="14" customWidth="1"/>
    <col min="2322" max="2322" width="11.28515625" style="14" customWidth="1"/>
    <col min="2323" max="2323" width="9.7109375" style="14" customWidth="1"/>
    <col min="2324" max="2324" width="12" style="14" customWidth="1"/>
    <col min="2325" max="2325" width="11.28515625" style="14" customWidth="1"/>
    <col min="2326" max="2563" width="9.140625" style="14"/>
    <col min="2564" max="2564" width="5.7109375" style="14" customWidth="1"/>
    <col min="2565" max="2565" width="13.140625" style="14" customWidth="1"/>
    <col min="2566" max="2566" width="12.28515625" style="14" customWidth="1"/>
    <col min="2567" max="2567" width="8.85546875" style="14" customWidth="1"/>
    <col min="2568" max="2568" width="10.85546875" style="14" customWidth="1"/>
    <col min="2569" max="2569" width="2.85546875" style="14" customWidth="1"/>
    <col min="2570" max="2570" width="12.140625" style="14" customWidth="1"/>
    <col min="2571" max="2571" width="10.140625" style="14" customWidth="1"/>
    <col min="2572" max="2572" width="11.7109375" style="14" customWidth="1"/>
    <col min="2573" max="2573" width="11.42578125" style="14" customWidth="1"/>
    <col min="2574" max="2574" width="12.7109375" style="14" customWidth="1"/>
    <col min="2575" max="2575" width="11.42578125" style="14" customWidth="1"/>
    <col min="2576" max="2576" width="10.7109375" style="14" customWidth="1"/>
    <col min="2577" max="2577" width="10.5703125" style="14" customWidth="1"/>
    <col min="2578" max="2578" width="11.28515625" style="14" customWidth="1"/>
    <col min="2579" max="2579" width="9.7109375" style="14" customWidth="1"/>
    <col min="2580" max="2580" width="12" style="14" customWidth="1"/>
    <col min="2581" max="2581" width="11.28515625" style="14" customWidth="1"/>
    <col min="2582" max="2819" width="9.140625" style="14"/>
    <col min="2820" max="2820" width="5.7109375" style="14" customWidth="1"/>
    <col min="2821" max="2821" width="13.140625" style="14" customWidth="1"/>
    <col min="2822" max="2822" width="12.28515625" style="14" customWidth="1"/>
    <col min="2823" max="2823" width="8.85546875" style="14" customWidth="1"/>
    <col min="2824" max="2824" width="10.85546875" style="14" customWidth="1"/>
    <col min="2825" max="2825" width="2.85546875" style="14" customWidth="1"/>
    <col min="2826" max="2826" width="12.140625" style="14" customWidth="1"/>
    <col min="2827" max="2827" width="10.140625" style="14" customWidth="1"/>
    <col min="2828" max="2828" width="11.7109375" style="14" customWidth="1"/>
    <col min="2829" max="2829" width="11.42578125" style="14" customWidth="1"/>
    <col min="2830" max="2830" width="12.7109375" style="14" customWidth="1"/>
    <col min="2831" max="2831" width="11.42578125" style="14" customWidth="1"/>
    <col min="2832" max="2832" width="10.7109375" style="14" customWidth="1"/>
    <col min="2833" max="2833" width="10.5703125" style="14" customWidth="1"/>
    <col min="2834" max="2834" width="11.28515625" style="14" customWidth="1"/>
    <col min="2835" max="2835" width="9.7109375" style="14" customWidth="1"/>
    <col min="2836" max="2836" width="12" style="14" customWidth="1"/>
    <col min="2837" max="2837" width="11.28515625" style="14" customWidth="1"/>
    <col min="2838" max="3075" width="9.140625" style="14"/>
    <col min="3076" max="3076" width="5.7109375" style="14" customWidth="1"/>
    <col min="3077" max="3077" width="13.140625" style="14" customWidth="1"/>
    <col min="3078" max="3078" width="12.28515625" style="14" customWidth="1"/>
    <col min="3079" max="3079" width="8.85546875" style="14" customWidth="1"/>
    <col min="3080" max="3080" width="10.85546875" style="14" customWidth="1"/>
    <col min="3081" max="3081" width="2.85546875" style="14" customWidth="1"/>
    <col min="3082" max="3082" width="12.140625" style="14" customWidth="1"/>
    <col min="3083" max="3083" width="10.140625" style="14" customWidth="1"/>
    <col min="3084" max="3084" width="11.7109375" style="14" customWidth="1"/>
    <col min="3085" max="3085" width="11.42578125" style="14" customWidth="1"/>
    <col min="3086" max="3086" width="12.7109375" style="14" customWidth="1"/>
    <col min="3087" max="3087" width="11.42578125" style="14" customWidth="1"/>
    <col min="3088" max="3088" width="10.7109375" style="14" customWidth="1"/>
    <col min="3089" max="3089" width="10.5703125" style="14" customWidth="1"/>
    <col min="3090" max="3090" width="11.28515625" style="14" customWidth="1"/>
    <col min="3091" max="3091" width="9.7109375" style="14" customWidth="1"/>
    <col min="3092" max="3092" width="12" style="14" customWidth="1"/>
    <col min="3093" max="3093" width="11.28515625" style="14" customWidth="1"/>
    <col min="3094" max="3331" width="9.140625" style="14"/>
    <col min="3332" max="3332" width="5.7109375" style="14" customWidth="1"/>
    <col min="3333" max="3333" width="13.140625" style="14" customWidth="1"/>
    <col min="3334" max="3334" width="12.28515625" style="14" customWidth="1"/>
    <col min="3335" max="3335" width="8.85546875" style="14" customWidth="1"/>
    <col min="3336" max="3336" width="10.85546875" style="14" customWidth="1"/>
    <col min="3337" max="3337" width="2.85546875" style="14" customWidth="1"/>
    <col min="3338" max="3338" width="12.140625" style="14" customWidth="1"/>
    <col min="3339" max="3339" width="10.140625" style="14" customWidth="1"/>
    <col min="3340" max="3340" width="11.7109375" style="14" customWidth="1"/>
    <col min="3341" max="3341" width="11.42578125" style="14" customWidth="1"/>
    <col min="3342" max="3342" width="12.7109375" style="14" customWidth="1"/>
    <col min="3343" max="3343" width="11.42578125" style="14" customWidth="1"/>
    <col min="3344" max="3344" width="10.7109375" style="14" customWidth="1"/>
    <col min="3345" max="3345" width="10.5703125" style="14" customWidth="1"/>
    <col min="3346" max="3346" width="11.28515625" style="14" customWidth="1"/>
    <col min="3347" max="3347" width="9.7109375" style="14" customWidth="1"/>
    <col min="3348" max="3348" width="12" style="14" customWidth="1"/>
    <col min="3349" max="3349" width="11.28515625" style="14" customWidth="1"/>
    <col min="3350" max="3587" width="9.140625" style="14"/>
    <col min="3588" max="3588" width="5.7109375" style="14" customWidth="1"/>
    <col min="3589" max="3589" width="13.140625" style="14" customWidth="1"/>
    <col min="3590" max="3590" width="12.28515625" style="14" customWidth="1"/>
    <col min="3591" max="3591" width="8.85546875" style="14" customWidth="1"/>
    <col min="3592" max="3592" width="10.85546875" style="14" customWidth="1"/>
    <col min="3593" max="3593" width="2.85546875" style="14" customWidth="1"/>
    <col min="3594" max="3594" width="12.140625" style="14" customWidth="1"/>
    <col min="3595" max="3595" width="10.140625" style="14" customWidth="1"/>
    <col min="3596" max="3596" width="11.7109375" style="14" customWidth="1"/>
    <col min="3597" max="3597" width="11.42578125" style="14" customWidth="1"/>
    <col min="3598" max="3598" width="12.7109375" style="14" customWidth="1"/>
    <col min="3599" max="3599" width="11.42578125" style="14" customWidth="1"/>
    <col min="3600" max="3600" width="10.7109375" style="14" customWidth="1"/>
    <col min="3601" max="3601" width="10.5703125" style="14" customWidth="1"/>
    <col min="3602" max="3602" width="11.28515625" style="14" customWidth="1"/>
    <col min="3603" max="3603" width="9.7109375" style="14" customWidth="1"/>
    <col min="3604" max="3604" width="12" style="14" customWidth="1"/>
    <col min="3605" max="3605" width="11.28515625" style="14" customWidth="1"/>
    <col min="3606" max="3843" width="9.140625" style="14"/>
    <col min="3844" max="3844" width="5.7109375" style="14" customWidth="1"/>
    <col min="3845" max="3845" width="13.140625" style="14" customWidth="1"/>
    <col min="3846" max="3846" width="12.28515625" style="14" customWidth="1"/>
    <col min="3847" max="3847" width="8.85546875" style="14" customWidth="1"/>
    <col min="3848" max="3848" width="10.85546875" style="14" customWidth="1"/>
    <col min="3849" max="3849" width="2.85546875" style="14" customWidth="1"/>
    <col min="3850" max="3850" width="12.140625" style="14" customWidth="1"/>
    <col min="3851" max="3851" width="10.140625" style="14" customWidth="1"/>
    <col min="3852" max="3852" width="11.7109375" style="14" customWidth="1"/>
    <col min="3853" max="3853" width="11.42578125" style="14" customWidth="1"/>
    <col min="3854" max="3854" width="12.7109375" style="14" customWidth="1"/>
    <col min="3855" max="3855" width="11.42578125" style="14" customWidth="1"/>
    <col min="3856" max="3856" width="10.7109375" style="14" customWidth="1"/>
    <col min="3857" max="3857" width="10.5703125" style="14" customWidth="1"/>
    <col min="3858" max="3858" width="11.28515625" style="14" customWidth="1"/>
    <col min="3859" max="3859" width="9.7109375" style="14" customWidth="1"/>
    <col min="3860" max="3860" width="12" style="14" customWidth="1"/>
    <col min="3861" max="3861" width="11.28515625" style="14" customWidth="1"/>
    <col min="3862" max="4099" width="9.140625" style="14"/>
    <col min="4100" max="4100" width="5.7109375" style="14" customWidth="1"/>
    <col min="4101" max="4101" width="13.140625" style="14" customWidth="1"/>
    <col min="4102" max="4102" width="12.28515625" style="14" customWidth="1"/>
    <col min="4103" max="4103" width="8.85546875" style="14" customWidth="1"/>
    <col min="4104" max="4104" width="10.85546875" style="14" customWidth="1"/>
    <col min="4105" max="4105" width="2.85546875" style="14" customWidth="1"/>
    <col min="4106" max="4106" width="12.140625" style="14" customWidth="1"/>
    <col min="4107" max="4107" width="10.140625" style="14" customWidth="1"/>
    <col min="4108" max="4108" width="11.7109375" style="14" customWidth="1"/>
    <col min="4109" max="4109" width="11.42578125" style="14" customWidth="1"/>
    <col min="4110" max="4110" width="12.7109375" style="14" customWidth="1"/>
    <col min="4111" max="4111" width="11.42578125" style="14" customWidth="1"/>
    <col min="4112" max="4112" width="10.7109375" style="14" customWidth="1"/>
    <col min="4113" max="4113" width="10.5703125" style="14" customWidth="1"/>
    <col min="4114" max="4114" width="11.28515625" style="14" customWidth="1"/>
    <col min="4115" max="4115" width="9.7109375" style="14" customWidth="1"/>
    <col min="4116" max="4116" width="12" style="14" customWidth="1"/>
    <col min="4117" max="4117" width="11.28515625" style="14" customWidth="1"/>
    <col min="4118" max="4355" width="9.140625" style="14"/>
    <col min="4356" max="4356" width="5.7109375" style="14" customWidth="1"/>
    <col min="4357" max="4357" width="13.140625" style="14" customWidth="1"/>
    <col min="4358" max="4358" width="12.28515625" style="14" customWidth="1"/>
    <col min="4359" max="4359" width="8.85546875" style="14" customWidth="1"/>
    <col min="4360" max="4360" width="10.85546875" style="14" customWidth="1"/>
    <col min="4361" max="4361" width="2.85546875" style="14" customWidth="1"/>
    <col min="4362" max="4362" width="12.140625" style="14" customWidth="1"/>
    <col min="4363" max="4363" width="10.140625" style="14" customWidth="1"/>
    <col min="4364" max="4364" width="11.7109375" style="14" customWidth="1"/>
    <col min="4365" max="4365" width="11.42578125" style="14" customWidth="1"/>
    <col min="4366" max="4366" width="12.7109375" style="14" customWidth="1"/>
    <col min="4367" max="4367" width="11.42578125" style="14" customWidth="1"/>
    <col min="4368" max="4368" width="10.7109375" style="14" customWidth="1"/>
    <col min="4369" max="4369" width="10.5703125" style="14" customWidth="1"/>
    <col min="4370" max="4370" width="11.28515625" style="14" customWidth="1"/>
    <col min="4371" max="4371" width="9.7109375" style="14" customWidth="1"/>
    <col min="4372" max="4372" width="12" style="14" customWidth="1"/>
    <col min="4373" max="4373" width="11.28515625" style="14" customWidth="1"/>
    <col min="4374" max="4611" width="9.140625" style="14"/>
    <col min="4612" max="4612" width="5.7109375" style="14" customWidth="1"/>
    <col min="4613" max="4613" width="13.140625" style="14" customWidth="1"/>
    <col min="4614" max="4614" width="12.28515625" style="14" customWidth="1"/>
    <col min="4615" max="4615" width="8.85546875" style="14" customWidth="1"/>
    <col min="4616" max="4616" width="10.85546875" style="14" customWidth="1"/>
    <col min="4617" max="4617" width="2.85546875" style="14" customWidth="1"/>
    <col min="4618" max="4618" width="12.140625" style="14" customWidth="1"/>
    <col min="4619" max="4619" width="10.140625" style="14" customWidth="1"/>
    <col min="4620" max="4620" width="11.7109375" style="14" customWidth="1"/>
    <col min="4621" max="4621" width="11.42578125" style="14" customWidth="1"/>
    <col min="4622" max="4622" width="12.7109375" style="14" customWidth="1"/>
    <col min="4623" max="4623" width="11.42578125" style="14" customWidth="1"/>
    <col min="4624" max="4624" width="10.7109375" style="14" customWidth="1"/>
    <col min="4625" max="4625" width="10.5703125" style="14" customWidth="1"/>
    <col min="4626" max="4626" width="11.28515625" style="14" customWidth="1"/>
    <col min="4627" max="4627" width="9.7109375" style="14" customWidth="1"/>
    <col min="4628" max="4628" width="12" style="14" customWidth="1"/>
    <col min="4629" max="4629" width="11.28515625" style="14" customWidth="1"/>
    <col min="4630" max="4867" width="9.140625" style="14"/>
    <col min="4868" max="4868" width="5.7109375" style="14" customWidth="1"/>
    <col min="4869" max="4869" width="13.140625" style="14" customWidth="1"/>
    <col min="4870" max="4870" width="12.28515625" style="14" customWidth="1"/>
    <col min="4871" max="4871" width="8.85546875" style="14" customWidth="1"/>
    <col min="4872" max="4872" width="10.85546875" style="14" customWidth="1"/>
    <col min="4873" max="4873" width="2.85546875" style="14" customWidth="1"/>
    <col min="4874" max="4874" width="12.140625" style="14" customWidth="1"/>
    <col min="4875" max="4875" width="10.140625" style="14" customWidth="1"/>
    <col min="4876" max="4876" width="11.7109375" style="14" customWidth="1"/>
    <col min="4877" max="4877" width="11.42578125" style="14" customWidth="1"/>
    <col min="4878" max="4878" width="12.7109375" style="14" customWidth="1"/>
    <col min="4879" max="4879" width="11.42578125" style="14" customWidth="1"/>
    <col min="4880" max="4880" width="10.7109375" style="14" customWidth="1"/>
    <col min="4881" max="4881" width="10.5703125" style="14" customWidth="1"/>
    <col min="4882" max="4882" width="11.28515625" style="14" customWidth="1"/>
    <col min="4883" max="4883" width="9.7109375" style="14" customWidth="1"/>
    <col min="4884" max="4884" width="12" style="14" customWidth="1"/>
    <col min="4885" max="4885" width="11.28515625" style="14" customWidth="1"/>
    <col min="4886" max="5123" width="9.140625" style="14"/>
    <col min="5124" max="5124" width="5.7109375" style="14" customWidth="1"/>
    <col min="5125" max="5125" width="13.140625" style="14" customWidth="1"/>
    <col min="5126" max="5126" width="12.28515625" style="14" customWidth="1"/>
    <col min="5127" max="5127" width="8.85546875" style="14" customWidth="1"/>
    <col min="5128" max="5128" width="10.85546875" style="14" customWidth="1"/>
    <col min="5129" max="5129" width="2.85546875" style="14" customWidth="1"/>
    <col min="5130" max="5130" width="12.140625" style="14" customWidth="1"/>
    <col min="5131" max="5131" width="10.140625" style="14" customWidth="1"/>
    <col min="5132" max="5132" width="11.7109375" style="14" customWidth="1"/>
    <col min="5133" max="5133" width="11.42578125" style="14" customWidth="1"/>
    <col min="5134" max="5134" width="12.7109375" style="14" customWidth="1"/>
    <col min="5135" max="5135" width="11.42578125" style="14" customWidth="1"/>
    <col min="5136" max="5136" width="10.7109375" style="14" customWidth="1"/>
    <col min="5137" max="5137" width="10.5703125" style="14" customWidth="1"/>
    <col min="5138" max="5138" width="11.28515625" style="14" customWidth="1"/>
    <col min="5139" max="5139" width="9.7109375" style="14" customWidth="1"/>
    <col min="5140" max="5140" width="12" style="14" customWidth="1"/>
    <col min="5141" max="5141" width="11.28515625" style="14" customWidth="1"/>
    <col min="5142" max="5379" width="9.140625" style="14"/>
    <col min="5380" max="5380" width="5.7109375" style="14" customWidth="1"/>
    <col min="5381" max="5381" width="13.140625" style="14" customWidth="1"/>
    <col min="5382" max="5382" width="12.28515625" style="14" customWidth="1"/>
    <col min="5383" max="5383" width="8.85546875" style="14" customWidth="1"/>
    <col min="5384" max="5384" width="10.85546875" style="14" customWidth="1"/>
    <col min="5385" max="5385" width="2.85546875" style="14" customWidth="1"/>
    <col min="5386" max="5386" width="12.140625" style="14" customWidth="1"/>
    <col min="5387" max="5387" width="10.140625" style="14" customWidth="1"/>
    <col min="5388" max="5388" width="11.7109375" style="14" customWidth="1"/>
    <col min="5389" max="5389" width="11.42578125" style="14" customWidth="1"/>
    <col min="5390" max="5390" width="12.7109375" style="14" customWidth="1"/>
    <col min="5391" max="5391" width="11.42578125" style="14" customWidth="1"/>
    <col min="5392" max="5392" width="10.7109375" style="14" customWidth="1"/>
    <col min="5393" max="5393" width="10.5703125" style="14" customWidth="1"/>
    <col min="5394" max="5394" width="11.28515625" style="14" customWidth="1"/>
    <col min="5395" max="5395" width="9.7109375" style="14" customWidth="1"/>
    <col min="5396" max="5396" width="12" style="14" customWidth="1"/>
    <col min="5397" max="5397" width="11.28515625" style="14" customWidth="1"/>
    <col min="5398" max="5635" width="9.140625" style="14"/>
    <col min="5636" max="5636" width="5.7109375" style="14" customWidth="1"/>
    <col min="5637" max="5637" width="13.140625" style="14" customWidth="1"/>
    <col min="5638" max="5638" width="12.28515625" style="14" customWidth="1"/>
    <col min="5639" max="5639" width="8.85546875" style="14" customWidth="1"/>
    <col min="5640" max="5640" width="10.85546875" style="14" customWidth="1"/>
    <col min="5641" max="5641" width="2.85546875" style="14" customWidth="1"/>
    <col min="5642" max="5642" width="12.140625" style="14" customWidth="1"/>
    <col min="5643" max="5643" width="10.140625" style="14" customWidth="1"/>
    <col min="5644" max="5644" width="11.7109375" style="14" customWidth="1"/>
    <col min="5645" max="5645" width="11.42578125" style="14" customWidth="1"/>
    <col min="5646" max="5646" width="12.7109375" style="14" customWidth="1"/>
    <col min="5647" max="5647" width="11.42578125" style="14" customWidth="1"/>
    <col min="5648" max="5648" width="10.7109375" style="14" customWidth="1"/>
    <col min="5649" max="5649" width="10.5703125" style="14" customWidth="1"/>
    <col min="5650" max="5650" width="11.28515625" style="14" customWidth="1"/>
    <col min="5651" max="5651" width="9.7109375" style="14" customWidth="1"/>
    <col min="5652" max="5652" width="12" style="14" customWidth="1"/>
    <col min="5653" max="5653" width="11.28515625" style="14" customWidth="1"/>
    <col min="5654" max="5891" width="9.140625" style="14"/>
    <col min="5892" max="5892" width="5.7109375" style="14" customWidth="1"/>
    <col min="5893" max="5893" width="13.140625" style="14" customWidth="1"/>
    <col min="5894" max="5894" width="12.28515625" style="14" customWidth="1"/>
    <col min="5895" max="5895" width="8.85546875" style="14" customWidth="1"/>
    <col min="5896" max="5896" width="10.85546875" style="14" customWidth="1"/>
    <col min="5897" max="5897" width="2.85546875" style="14" customWidth="1"/>
    <col min="5898" max="5898" width="12.140625" style="14" customWidth="1"/>
    <col min="5899" max="5899" width="10.140625" style="14" customWidth="1"/>
    <col min="5900" max="5900" width="11.7109375" style="14" customWidth="1"/>
    <col min="5901" max="5901" width="11.42578125" style="14" customWidth="1"/>
    <col min="5902" max="5902" width="12.7109375" style="14" customWidth="1"/>
    <col min="5903" max="5903" width="11.42578125" style="14" customWidth="1"/>
    <col min="5904" max="5904" width="10.7109375" style="14" customWidth="1"/>
    <col min="5905" max="5905" width="10.5703125" style="14" customWidth="1"/>
    <col min="5906" max="5906" width="11.28515625" style="14" customWidth="1"/>
    <col min="5907" max="5907" width="9.7109375" style="14" customWidth="1"/>
    <col min="5908" max="5908" width="12" style="14" customWidth="1"/>
    <col min="5909" max="5909" width="11.28515625" style="14" customWidth="1"/>
    <col min="5910" max="6147" width="9.140625" style="14"/>
    <col min="6148" max="6148" width="5.7109375" style="14" customWidth="1"/>
    <col min="6149" max="6149" width="13.140625" style="14" customWidth="1"/>
    <col min="6150" max="6150" width="12.28515625" style="14" customWidth="1"/>
    <col min="6151" max="6151" width="8.85546875" style="14" customWidth="1"/>
    <col min="6152" max="6152" width="10.85546875" style="14" customWidth="1"/>
    <col min="6153" max="6153" width="2.85546875" style="14" customWidth="1"/>
    <col min="6154" max="6154" width="12.140625" style="14" customWidth="1"/>
    <col min="6155" max="6155" width="10.140625" style="14" customWidth="1"/>
    <col min="6156" max="6156" width="11.7109375" style="14" customWidth="1"/>
    <col min="6157" max="6157" width="11.42578125" style="14" customWidth="1"/>
    <col min="6158" max="6158" width="12.7109375" style="14" customWidth="1"/>
    <col min="6159" max="6159" width="11.42578125" style="14" customWidth="1"/>
    <col min="6160" max="6160" width="10.7109375" style="14" customWidth="1"/>
    <col min="6161" max="6161" width="10.5703125" style="14" customWidth="1"/>
    <col min="6162" max="6162" width="11.28515625" style="14" customWidth="1"/>
    <col min="6163" max="6163" width="9.7109375" style="14" customWidth="1"/>
    <col min="6164" max="6164" width="12" style="14" customWidth="1"/>
    <col min="6165" max="6165" width="11.28515625" style="14" customWidth="1"/>
    <col min="6166" max="6403" width="9.140625" style="14"/>
    <col min="6404" max="6404" width="5.7109375" style="14" customWidth="1"/>
    <col min="6405" max="6405" width="13.140625" style="14" customWidth="1"/>
    <col min="6406" max="6406" width="12.28515625" style="14" customWidth="1"/>
    <col min="6407" max="6407" width="8.85546875" style="14" customWidth="1"/>
    <col min="6408" max="6408" width="10.85546875" style="14" customWidth="1"/>
    <col min="6409" max="6409" width="2.85546875" style="14" customWidth="1"/>
    <col min="6410" max="6410" width="12.140625" style="14" customWidth="1"/>
    <col min="6411" max="6411" width="10.140625" style="14" customWidth="1"/>
    <col min="6412" max="6412" width="11.7109375" style="14" customWidth="1"/>
    <col min="6413" max="6413" width="11.42578125" style="14" customWidth="1"/>
    <col min="6414" max="6414" width="12.7109375" style="14" customWidth="1"/>
    <col min="6415" max="6415" width="11.42578125" style="14" customWidth="1"/>
    <col min="6416" max="6416" width="10.7109375" style="14" customWidth="1"/>
    <col min="6417" max="6417" width="10.5703125" style="14" customWidth="1"/>
    <col min="6418" max="6418" width="11.28515625" style="14" customWidth="1"/>
    <col min="6419" max="6419" width="9.7109375" style="14" customWidth="1"/>
    <col min="6420" max="6420" width="12" style="14" customWidth="1"/>
    <col min="6421" max="6421" width="11.28515625" style="14" customWidth="1"/>
    <col min="6422" max="6659" width="9.140625" style="14"/>
    <col min="6660" max="6660" width="5.7109375" style="14" customWidth="1"/>
    <col min="6661" max="6661" width="13.140625" style="14" customWidth="1"/>
    <col min="6662" max="6662" width="12.28515625" style="14" customWidth="1"/>
    <col min="6663" max="6663" width="8.85546875" style="14" customWidth="1"/>
    <col min="6664" max="6664" width="10.85546875" style="14" customWidth="1"/>
    <col min="6665" max="6665" width="2.85546875" style="14" customWidth="1"/>
    <col min="6666" max="6666" width="12.140625" style="14" customWidth="1"/>
    <col min="6667" max="6667" width="10.140625" style="14" customWidth="1"/>
    <col min="6668" max="6668" width="11.7109375" style="14" customWidth="1"/>
    <col min="6669" max="6669" width="11.42578125" style="14" customWidth="1"/>
    <col min="6670" max="6670" width="12.7109375" style="14" customWidth="1"/>
    <col min="6671" max="6671" width="11.42578125" style="14" customWidth="1"/>
    <col min="6672" max="6672" width="10.7109375" style="14" customWidth="1"/>
    <col min="6673" max="6673" width="10.5703125" style="14" customWidth="1"/>
    <col min="6674" max="6674" width="11.28515625" style="14" customWidth="1"/>
    <col min="6675" max="6675" width="9.7109375" style="14" customWidth="1"/>
    <col min="6676" max="6676" width="12" style="14" customWidth="1"/>
    <col min="6677" max="6677" width="11.28515625" style="14" customWidth="1"/>
    <col min="6678" max="6915" width="9.140625" style="14"/>
    <col min="6916" max="6916" width="5.7109375" style="14" customWidth="1"/>
    <col min="6917" max="6917" width="13.140625" style="14" customWidth="1"/>
    <col min="6918" max="6918" width="12.28515625" style="14" customWidth="1"/>
    <col min="6919" max="6919" width="8.85546875" style="14" customWidth="1"/>
    <col min="6920" max="6920" width="10.85546875" style="14" customWidth="1"/>
    <col min="6921" max="6921" width="2.85546875" style="14" customWidth="1"/>
    <col min="6922" max="6922" width="12.140625" style="14" customWidth="1"/>
    <col min="6923" max="6923" width="10.140625" style="14" customWidth="1"/>
    <col min="6924" max="6924" width="11.7109375" style="14" customWidth="1"/>
    <col min="6925" max="6925" width="11.42578125" style="14" customWidth="1"/>
    <col min="6926" max="6926" width="12.7109375" style="14" customWidth="1"/>
    <col min="6927" max="6927" width="11.42578125" style="14" customWidth="1"/>
    <col min="6928" max="6928" width="10.7109375" style="14" customWidth="1"/>
    <col min="6929" max="6929" width="10.5703125" style="14" customWidth="1"/>
    <col min="6930" max="6930" width="11.28515625" style="14" customWidth="1"/>
    <col min="6931" max="6931" width="9.7109375" style="14" customWidth="1"/>
    <col min="6932" max="6932" width="12" style="14" customWidth="1"/>
    <col min="6933" max="6933" width="11.28515625" style="14" customWidth="1"/>
    <col min="6934" max="7171" width="9.140625" style="14"/>
    <col min="7172" max="7172" width="5.7109375" style="14" customWidth="1"/>
    <col min="7173" max="7173" width="13.140625" style="14" customWidth="1"/>
    <col min="7174" max="7174" width="12.28515625" style="14" customWidth="1"/>
    <col min="7175" max="7175" width="8.85546875" style="14" customWidth="1"/>
    <col min="7176" max="7176" width="10.85546875" style="14" customWidth="1"/>
    <col min="7177" max="7177" width="2.85546875" style="14" customWidth="1"/>
    <col min="7178" max="7178" width="12.140625" style="14" customWidth="1"/>
    <col min="7179" max="7179" width="10.140625" style="14" customWidth="1"/>
    <col min="7180" max="7180" width="11.7109375" style="14" customWidth="1"/>
    <col min="7181" max="7181" width="11.42578125" style="14" customWidth="1"/>
    <col min="7182" max="7182" width="12.7109375" style="14" customWidth="1"/>
    <col min="7183" max="7183" width="11.42578125" style="14" customWidth="1"/>
    <col min="7184" max="7184" width="10.7109375" style="14" customWidth="1"/>
    <col min="7185" max="7185" width="10.5703125" style="14" customWidth="1"/>
    <col min="7186" max="7186" width="11.28515625" style="14" customWidth="1"/>
    <col min="7187" max="7187" width="9.7109375" style="14" customWidth="1"/>
    <col min="7188" max="7188" width="12" style="14" customWidth="1"/>
    <col min="7189" max="7189" width="11.28515625" style="14" customWidth="1"/>
    <col min="7190" max="7427" width="9.140625" style="14"/>
    <col min="7428" max="7428" width="5.7109375" style="14" customWidth="1"/>
    <col min="7429" max="7429" width="13.140625" style="14" customWidth="1"/>
    <col min="7430" max="7430" width="12.28515625" style="14" customWidth="1"/>
    <col min="7431" max="7431" width="8.85546875" style="14" customWidth="1"/>
    <col min="7432" max="7432" width="10.85546875" style="14" customWidth="1"/>
    <col min="7433" max="7433" width="2.85546875" style="14" customWidth="1"/>
    <col min="7434" max="7434" width="12.140625" style="14" customWidth="1"/>
    <col min="7435" max="7435" width="10.140625" style="14" customWidth="1"/>
    <col min="7436" max="7436" width="11.7109375" style="14" customWidth="1"/>
    <col min="7437" max="7437" width="11.42578125" style="14" customWidth="1"/>
    <col min="7438" max="7438" width="12.7109375" style="14" customWidth="1"/>
    <col min="7439" max="7439" width="11.42578125" style="14" customWidth="1"/>
    <col min="7440" max="7440" width="10.7109375" style="14" customWidth="1"/>
    <col min="7441" max="7441" width="10.5703125" style="14" customWidth="1"/>
    <col min="7442" max="7442" width="11.28515625" style="14" customWidth="1"/>
    <col min="7443" max="7443" width="9.7109375" style="14" customWidth="1"/>
    <col min="7444" max="7444" width="12" style="14" customWidth="1"/>
    <col min="7445" max="7445" width="11.28515625" style="14" customWidth="1"/>
    <col min="7446" max="7683" width="9.140625" style="14"/>
    <col min="7684" max="7684" width="5.7109375" style="14" customWidth="1"/>
    <col min="7685" max="7685" width="13.140625" style="14" customWidth="1"/>
    <col min="7686" max="7686" width="12.28515625" style="14" customWidth="1"/>
    <col min="7687" max="7687" width="8.85546875" style="14" customWidth="1"/>
    <col min="7688" max="7688" width="10.85546875" style="14" customWidth="1"/>
    <col min="7689" max="7689" width="2.85546875" style="14" customWidth="1"/>
    <col min="7690" max="7690" width="12.140625" style="14" customWidth="1"/>
    <col min="7691" max="7691" width="10.140625" style="14" customWidth="1"/>
    <col min="7692" max="7692" width="11.7109375" style="14" customWidth="1"/>
    <col min="7693" max="7693" width="11.42578125" style="14" customWidth="1"/>
    <col min="7694" max="7694" width="12.7109375" style="14" customWidth="1"/>
    <col min="7695" max="7695" width="11.42578125" style="14" customWidth="1"/>
    <col min="7696" max="7696" width="10.7109375" style="14" customWidth="1"/>
    <col min="7697" max="7697" width="10.5703125" style="14" customWidth="1"/>
    <col min="7698" max="7698" width="11.28515625" style="14" customWidth="1"/>
    <col min="7699" max="7699" width="9.7109375" style="14" customWidth="1"/>
    <col min="7700" max="7700" width="12" style="14" customWidth="1"/>
    <col min="7701" max="7701" width="11.28515625" style="14" customWidth="1"/>
    <col min="7702" max="7939" width="9.140625" style="14"/>
    <col min="7940" max="7940" width="5.7109375" style="14" customWidth="1"/>
    <col min="7941" max="7941" width="13.140625" style="14" customWidth="1"/>
    <col min="7942" max="7942" width="12.28515625" style="14" customWidth="1"/>
    <col min="7943" max="7943" width="8.85546875" style="14" customWidth="1"/>
    <col min="7944" max="7944" width="10.85546875" style="14" customWidth="1"/>
    <col min="7945" max="7945" width="2.85546875" style="14" customWidth="1"/>
    <col min="7946" max="7946" width="12.140625" style="14" customWidth="1"/>
    <col min="7947" max="7947" width="10.140625" style="14" customWidth="1"/>
    <col min="7948" max="7948" width="11.7109375" style="14" customWidth="1"/>
    <col min="7949" max="7949" width="11.42578125" style="14" customWidth="1"/>
    <col min="7950" max="7950" width="12.7109375" style="14" customWidth="1"/>
    <col min="7951" max="7951" width="11.42578125" style="14" customWidth="1"/>
    <col min="7952" max="7952" width="10.7109375" style="14" customWidth="1"/>
    <col min="7953" max="7953" width="10.5703125" style="14" customWidth="1"/>
    <col min="7954" max="7954" width="11.28515625" style="14" customWidth="1"/>
    <col min="7955" max="7955" width="9.7109375" style="14" customWidth="1"/>
    <col min="7956" max="7956" width="12" style="14" customWidth="1"/>
    <col min="7957" max="7957" width="11.28515625" style="14" customWidth="1"/>
    <col min="7958" max="8195" width="9.140625" style="14"/>
    <col min="8196" max="8196" width="5.7109375" style="14" customWidth="1"/>
    <col min="8197" max="8197" width="13.140625" style="14" customWidth="1"/>
    <col min="8198" max="8198" width="12.28515625" style="14" customWidth="1"/>
    <col min="8199" max="8199" width="8.85546875" style="14" customWidth="1"/>
    <col min="8200" max="8200" width="10.85546875" style="14" customWidth="1"/>
    <col min="8201" max="8201" width="2.85546875" style="14" customWidth="1"/>
    <col min="8202" max="8202" width="12.140625" style="14" customWidth="1"/>
    <col min="8203" max="8203" width="10.140625" style="14" customWidth="1"/>
    <col min="8204" max="8204" width="11.7109375" style="14" customWidth="1"/>
    <col min="8205" max="8205" width="11.42578125" style="14" customWidth="1"/>
    <col min="8206" max="8206" width="12.7109375" style="14" customWidth="1"/>
    <col min="8207" max="8207" width="11.42578125" style="14" customWidth="1"/>
    <col min="8208" max="8208" width="10.7109375" style="14" customWidth="1"/>
    <col min="8209" max="8209" width="10.5703125" style="14" customWidth="1"/>
    <col min="8210" max="8210" width="11.28515625" style="14" customWidth="1"/>
    <col min="8211" max="8211" width="9.7109375" style="14" customWidth="1"/>
    <col min="8212" max="8212" width="12" style="14" customWidth="1"/>
    <col min="8213" max="8213" width="11.28515625" style="14" customWidth="1"/>
    <col min="8214" max="8451" width="9.140625" style="14"/>
    <col min="8452" max="8452" width="5.7109375" style="14" customWidth="1"/>
    <col min="8453" max="8453" width="13.140625" style="14" customWidth="1"/>
    <col min="8454" max="8454" width="12.28515625" style="14" customWidth="1"/>
    <col min="8455" max="8455" width="8.85546875" style="14" customWidth="1"/>
    <col min="8456" max="8456" width="10.85546875" style="14" customWidth="1"/>
    <col min="8457" max="8457" width="2.85546875" style="14" customWidth="1"/>
    <col min="8458" max="8458" width="12.140625" style="14" customWidth="1"/>
    <col min="8459" max="8459" width="10.140625" style="14" customWidth="1"/>
    <col min="8460" max="8460" width="11.7109375" style="14" customWidth="1"/>
    <col min="8461" max="8461" width="11.42578125" style="14" customWidth="1"/>
    <col min="8462" max="8462" width="12.7109375" style="14" customWidth="1"/>
    <col min="8463" max="8463" width="11.42578125" style="14" customWidth="1"/>
    <col min="8464" max="8464" width="10.7109375" style="14" customWidth="1"/>
    <col min="8465" max="8465" width="10.5703125" style="14" customWidth="1"/>
    <col min="8466" max="8466" width="11.28515625" style="14" customWidth="1"/>
    <col min="8467" max="8467" width="9.7109375" style="14" customWidth="1"/>
    <col min="8468" max="8468" width="12" style="14" customWidth="1"/>
    <col min="8469" max="8469" width="11.28515625" style="14" customWidth="1"/>
    <col min="8470" max="8707" width="9.140625" style="14"/>
    <col min="8708" max="8708" width="5.7109375" style="14" customWidth="1"/>
    <col min="8709" max="8709" width="13.140625" style="14" customWidth="1"/>
    <col min="8710" max="8710" width="12.28515625" style="14" customWidth="1"/>
    <col min="8711" max="8711" width="8.85546875" style="14" customWidth="1"/>
    <col min="8712" max="8712" width="10.85546875" style="14" customWidth="1"/>
    <col min="8713" max="8713" width="2.85546875" style="14" customWidth="1"/>
    <col min="8714" max="8714" width="12.140625" style="14" customWidth="1"/>
    <col min="8715" max="8715" width="10.140625" style="14" customWidth="1"/>
    <col min="8716" max="8716" width="11.7109375" style="14" customWidth="1"/>
    <col min="8717" max="8717" width="11.42578125" style="14" customWidth="1"/>
    <col min="8718" max="8718" width="12.7109375" style="14" customWidth="1"/>
    <col min="8719" max="8719" width="11.42578125" style="14" customWidth="1"/>
    <col min="8720" max="8720" width="10.7109375" style="14" customWidth="1"/>
    <col min="8721" max="8721" width="10.5703125" style="14" customWidth="1"/>
    <col min="8722" max="8722" width="11.28515625" style="14" customWidth="1"/>
    <col min="8723" max="8723" width="9.7109375" style="14" customWidth="1"/>
    <col min="8724" max="8724" width="12" style="14" customWidth="1"/>
    <col min="8725" max="8725" width="11.28515625" style="14" customWidth="1"/>
    <col min="8726" max="8963" width="9.140625" style="14"/>
    <col min="8964" max="8964" width="5.7109375" style="14" customWidth="1"/>
    <col min="8965" max="8965" width="13.140625" style="14" customWidth="1"/>
    <col min="8966" max="8966" width="12.28515625" style="14" customWidth="1"/>
    <col min="8967" max="8967" width="8.85546875" style="14" customWidth="1"/>
    <col min="8968" max="8968" width="10.85546875" style="14" customWidth="1"/>
    <col min="8969" max="8969" width="2.85546875" style="14" customWidth="1"/>
    <col min="8970" max="8970" width="12.140625" style="14" customWidth="1"/>
    <col min="8971" max="8971" width="10.140625" style="14" customWidth="1"/>
    <col min="8972" max="8972" width="11.7109375" style="14" customWidth="1"/>
    <col min="8973" max="8973" width="11.42578125" style="14" customWidth="1"/>
    <col min="8974" max="8974" width="12.7109375" style="14" customWidth="1"/>
    <col min="8975" max="8975" width="11.42578125" style="14" customWidth="1"/>
    <col min="8976" max="8976" width="10.7109375" style="14" customWidth="1"/>
    <col min="8977" max="8977" width="10.5703125" style="14" customWidth="1"/>
    <col min="8978" max="8978" width="11.28515625" style="14" customWidth="1"/>
    <col min="8979" max="8979" width="9.7109375" style="14" customWidth="1"/>
    <col min="8980" max="8980" width="12" style="14" customWidth="1"/>
    <col min="8981" max="8981" width="11.28515625" style="14" customWidth="1"/>
    <col min="8982" max="9219" width="9.140625" style="14"/>
    <col min="9220" max="9220" width="5.7109375" style="14" customWidth="1"/>
    <col min="9221" max="9221" width="13.140625" style="14" customWidth="1"/>
    <col min="9222" max="9222" width="12.28515625" style="14" customWidth="1"/>
    <col min="9223" max="9223" width="8.85546875" style="14" customWidth="1"/>
    <col min="9224" max="9224" width="10.85546875" style="14" customWidth="1"/>
    <col min="9225" max="9225" width="2.85546875" style="14" customWidth="1"/>
    <col min="9226" max="9226" width="12.140625" style="14" customWidth="1"/>
    <col min="9227" max="9227" width="10.140625" style="14" customWidth="1"/>
    <col min="9228" max="9228" width="11.7109375" style="14" customWidth="1"/>
    <col min="9229" max="9229" width="11.42578125" style="14" customWidth="1"/>
    <col min="9230" max="9230" width="12.7109375" style="14" customWidth="1"/>
    <col min="9231" max="9231" width="11.42578125" style="14" customWidth="1"/>
    <col min="9232" max="9232" width="10.7109375" style="14" customWidth="1"/>
    <col min="9233" max="9233" width="10.5703125" style="14" customWidth="1"/>
    <col min="9234" max="9234" width="11.28515625" style="14" customWidth="1"/>
    <col min="9235" max="9235" width="9.7109375" style="14" customWidth="1"/>
    <col min="9236" max="9236" width="12" style="14" customWidth="1"/>
    <col min="9237" max="9237" width="11.28515625" style="14" customWidth="1"/>
    <col min="9238" max="9475" width="9.140625" style="14"/>
    <col min="9476" max="9476" width="5.7109375" style="14" customWidth="1"/>
    <col min="9477" max="9477" width="13.140625" style="14" customWidth="1"/>
    <col min="9478" max="9478" width="12.28515625" style="14" customWidth="1"/>
    <col min="9479" max="9479" width="8.85546875" style="14" customWidth="1"/>
    <col min="9480" max="9480" width="10.85546875" style="14" customWidth="1"/>
    <col min="9481" max="9481" width="2.85546875" style="14" customWidth="1"/>
    <col min="9482" max="9482" width="12.140625" style="14" customWidth="1"/>
    <col min="9483" max="9483" width="10.140625" style="14" customWidth="1"/>
    <col min="9484" max="9484" width="11.7109375" style="14" customWidth="1"/>
    <col min="9485" max="9485" width="11.42578125" style="14" customWidth="1"/>
    <col min="9486" max="9486" width="12.7109375" style="14" customWidth="1"/>
    <col min="9487" max="9487" width="11.42578125" style="14" customWidth="1"/>
    <col min="9488" max="9488" width="10.7109375" style="14" customWidth="1"/>
    <col min="9489" max="9489" width="10.5703125" style="14" customWidth="1"/>
    <col min="9490" max="9490" width="11.28515625" style="14" customWidth="1"/>
    <col min="9491" max="9491" width="9.7109375" style="14" customWidth="1"/>
    <col min="9492" max="9492" width="12" style="14" customWidth="1"/>
    <col min="9493" max="9493" width="11.28515625" style="14" customWidth="1"/>
    <col min="9494" max="9731" width="9.140625" style="14"/>
    <col min="9732" max="9732" width="5.7109375" style="14" customWidth="1"/>
    <col min="9733" max="9733" width="13.140625" style="14" customWidth="1"/>
    <col min="9734" max="9734" width="12.28515625" style="14" customWidth="1"/>
    <col min="9735" max="9735" width="8.85546875" style="14" customWidth="1"/>
    <col min="9736" max="9736" width="10.85546875" style="14" customWidth="1"/>
    <col min="9737" max="9737" width="2.85546875" style="14" customWidth="1"/>
    <col min="9738" max="9738" width="12.140625" style="14" customWidth="1"/>
    <col min="9739" max="9739" width="10.140625" style="14" customWidth="1"/>
    <col min="9740" max="9740" width="11.7109375" style="14" customWidth="1"/>
    <col min="9741" max="9741" width="11.42578125" style="14" customWidth="1"/>
    <col min="9742" max="9742" width="12.7109375" style="14" customWidth="1"/>
    <col min="9743" max="9743" width="11.42578125" style="14" customWidth="1"/>
    <col min="9744" max="9744" width="10.7109375" style="14" customWidth="1"/>
    <col min="9745" max="9745" width="10.5703125" style="14" customWidth="1"/>
    <col min="9746" max="9746" width="11.28515625" style="14" customWidth="1"/>
    <col min="9747" max="9747" width="9.7109375" style="14" customWidth="1"/>
    <col min="9748" max="9748" width="12" style="14" customWidth="1"/>
    <col min="9749" max="9749" width="11.28515625" style="14" customWidth="1"/>
    <col min="9750" max="9987" width="9.140625" style="14"/>
    <col min="9988" max="9988" width="5.7109375" style="14" customWidth="1"/>
    <col min="9989" max="9989" width="13.140625" style="14" customWidth="1"/>
    <col min="9990" max="9990" width="12.28515625" style="14" customWidth="1"/>
    <col min="9991" max="9991" width="8.85546875" style="14" customWidth="1"/>
    <col min="9992" max="9992" width="10.85546875" style="14" customWidth="1"/>
    <col min="9993" max="9993" width="2.85546875" style="14" customWidth="1"/>
    <col min="9994" max="9994" width="12.140625" style="14" customWidth="1"/>
    <col min="9995" max="9995" width="10.140625" style="14" customWidth="1"/>
    <col min="9996" max="9996" width="11.7109375" style="14" customWidth="1"/>
    <col min="9997" max="9997" width="11.42578125" style="14" customWidth="1"/>
    <col min="9998" max="9998" width="12.7109375" style="14" customWidth="1"/>
    <col min="9999" max="9999" width="11.42578125" style="14" customWidth="1"/>
    <col min="10000" max="10000" width="10.7109375" style="14" customWidth="1"/>
    <col min="10001" max="10001" width="10.5703125" style="14" customWidth="1"/>
    <col min="10002" max="10002" width="11.28515625" style="14" customWidth="1"/>
    <col min="10003" max="10003" width="9.7109375" style="14" customWidth="1"/>
    <col min="10004" max="10004" width="12" style="14" customWidth="1"/>
    <col min="10005" max="10005" width="11.28515625" style="14" customWidth="1"/>
    <col min="10006" max="10243" width="9.140625" style="14"/>
    <col min="10244" max="10244" width="5.7109375" style="14" customWidth="1"/>
    <col min="10245" max="10245" width="13.140625" style="14" customWidth="1"/>
    <col min="10246" max="10246" width="12.28515625" style="14" customWidth="1"/>
    <col min="10247" max="10247" width="8.85546875" style="14" customWidth="1"/>
    <col min="10248" max="10248" width="10.85546875" style="14" customWidth="1"/>
    <col min="10249" max="10249" width="2.85546875" style="14" customWidth="1"/>
    <col min="10250" max="10250" width="12.140625" style="14" customWidth="1"/>
    <col min="10251" max="10251" width="10.140625" style="14" customWidth="1"/>
    <col min="10252" max="10252" width="11.7109375" style="14" customWidth="1"/>
    <col min="10253" max="10253" width="11.42578125" style="14" customWidth="1"/>
    <col min="10254" max="10254" width="12.7109375" style="14" customWidth="1"/>
    <col min="10255" max="10255" width="11.42578125" style="14" customWidth="1"/>
    <col min="10256" max="10256" width="10.7109375" style="14" customWidth="1"/>
    <col min="10257" max="10257" width="10.5703125" style="14" customWidth="1"/>
    <col min="10258" max="10258" width="11.28515625" style="14" customWidth="1"/>
    <col min="10259" max="10259" width="9.7109375" style="14" customWidth="1"/>
    <col min="10260" max="10260" width="12" style="14" customWidth="1"/>
    <col min="10261" max="10261" width="11.28515625" style="14" customWidth="1"/>
    <col min="10262" max="10499" width="9.140625" style="14"/>
    <col min="10500" max="10500" width="5.7109375" style="14" customWidth="1"/>
    <col min="10501" max="10501" width="13.140625" style="14" customWidth="1"/>
    <col min="10502" max="10502" width="12.28515625" style="14" customWidth="1"/>
    <col min="10503" max="10503" width="8.85546875" style="14" customWidth="1"/>
    <col min="10504" max="10504" width="10.85546875" style="14" customWidth="1"/>
    <col min="10505" max="10505" width="2.85546875" style="14" customWidth="1"/>
    <col min="10506" max="10506" width="12.140625" style="14" customWidth="1"/>
    <col min="10507" max="10507" width="10.140625" style="14" customWidth="1"/>
    <col min="10508" max="10508" width="11.7109375" style="14" customWidth="1"/>
    <col min="10509" max="10509" width="11.42578125" style="14" customWidth="1"/>
    <col min="10510" max="10510" width="12.7109375" style="14" customWidth="1"/>
    <col min="10511" max="10511" width="11.42578125" style="14" customWidth="1"/>
    <col min="10512" max="10512" width="10.7109375" style="14" customWidth="1"/>
    <col min="10513" max="10513" width="10.5703125" style="14" customWidth="1"/>
    <col min="10514" max="10514" width="11.28515625" style="14" customWidth="1"/>
    <col min="10515" max="10515" width="9.7109375" style="14" customWidth="1"/>
    <col min="10516" max="10516" width="12" style="14" customWidth="1"/>
    <col min="10517" max="10517" width="11.28515625" style="14" customWidth="1"/>
    <col min="10518" max="10755" width="9.140625" style="14"/>
    <col min="10756" max="10756" width="5.7109375" style="14" customWidth="1"/>
    <col min="10757" max="10757" width="13.140625" style="14" customWidth="1"/>
    <col min="10758" max="10758" width="12.28515625" style="14" customWidth="1"/>
    <col min="10759" max="10759" width="8.85546875" style="14" customWidth="1"/>
    <col min="10760" max="10760" width="10.85546875" style="14" customWidth="1"/>
    <col min="10761" max="10761" width="2.85546875" style="14" customWidth="1"/>
    <col min="10762" max="10762" width="12.140625" style="14" customWidth="1"/>
    <col min="10763" max="10763" width="10.140625" style="14" customWidth="1"/>
    <col min="10764" max="10764" width="11.7109375" style="14" customWidth="1"/>
    <col min="10765" max="10765" width="11.42578125" style="14" customWidth="1"/>
    <col min="10766" max="10766" width="12.7109375" style="14" customWidth="1"/>
    <col min="10767" max="10767" width="11.42578125" style="14" customWidth="1"/>
    <col min="10768" max="10768" width="10.7109375" style="14" customWidth="1"/>
    <col min="10769" max="10769" width="10.5703125" style="14" customWidth="1"/>
    <col min="10770" max="10770" width="11.28515625" style="14" customWidth="1"/>
    <col min="10771" max="10771" width="9.7109375" style="14" customWidth="1"/>
    <col min="10772" max="10772" width="12" style="14" customWidth="1"/>
    <col min="10773" max="10773" width="11.28515625" style="14" customWidth="1"/>
    <col min="10774" max="11011" width="9.140625" style="14"/>
    <col min="11012" max="11012" width="5.7109375" style="14" customWidth="1"/>
    <col min="11013" max="11013" width="13.140625" style="14" customWidth="1"/>
    <col min="11014" max="11014" width="12.28515625" style="14" customWidth="1"/>
    <col min="11015" max="11015" width="8.85546875" style="14" customWidth="1"/>
    <col min="11016" max="11016" width="10.85546875" style="14" customWidth="1"/>
    <col min="11017" max="11017" width="2.85546875" style="14" customWidth="1"/>
    <col min="11018" max="11018" width="12.140625" style="14" customWidth="1"/>
    <col min="11019" max="11019" width="10.140625" style="14" customWidth="1"/>
    <col min="11020" max="11020" width="11.7109375" style="14" customWidth="1"/>
    <col min="11021" max="11021" width="11.42578125" style="14" customWidth="1"/>
    <col min="11022" max="11022" width="12.7109375" style="14" customWidth="1"/>
    <col min="11023" max="11023" width="11.42578125" style="14" customWidth="1"/>
    <col min="11024" max="11024" width="10.7109375" style="14" customWidth="1"/>
    <col min="11025" max="11025" width="10.5703125" style="14" customWidth="1"/>
    <col min="11026" max="11026" width="11.28515625" style="14" customWidth="1"/>
    <col min="11027" max="11027" width="9.7109375" style="14" customWidth="1"/>
    <col min="11028" max="11028" width="12" style="14" customWidth="1"/>
    <col min="11029" max="11029" width="11.28515625" style="14" customWidth="1"/>
    <col min="11030" max="11267" width="9.140625" style="14"/>
    <col min="11268" max="11268" width="5.7109375" style="14" customWidth="1"/>
    <col min="11269" max="11269" width="13.140625" style="14" customWidth="1"/>
    <col min="11270" max="11270" width="12.28515625" style="14" customWidth="1"/>
    <col min="11271" max="11271" width="8.85546875" style="14" customWidth="1"/>
    <col min="11272" max="11272" width="10.85546875" style="14" customWidth="1"/>
    <col min="11273" max="11273" width="2.85546875" style="14" customWidth="1"/>
    <col min="11274" max="11274" width="12.140625" style="14" customWidth="1"/>
    <col min="11275" max="11275" width="10.140625" style="14" customWidth="1"/>
    <col min="11276" max="11276" width="11.7109375" style="14" customWidth="1"/>
    <col min="11277" max="11277" width="11.42578125" style="14" customWidth="1"/>
    <col min="11278" max="11278" width="12.7109375" style="14" customWidth="1"/>
    <col min="11279" max="11279" width="11.42578125" style="14" customWidth="1"/>
    <col min="11280" max="11280" width="10.7109375" style="14" customWidth="1"/>
    <col min="11281" max="11281" width="10.5703125" style="14" customWidth="1"/>
    <col min="11282" max="11282" width="11.28515625" style="14" customWidth="1"/>
    <col min="11283" max="11283" width="9.7109375" style="14" customWidth="1"/>
    <col min="11284" max="11284" width="12" style="14" customWidth="1"/>
    <col min="11285" max="11285" width="11.28515625" style="14" customWidth="1"/>
    <col min="11286" max="11523" width="9.140625" style="14"/>
    <col min="11524" max="11524" width="5.7109375" style="14" customWidth="1"/>
    <col min="11525" max="11525" width="13.140625" style="14" customWidth="1"/>
    <col min="11526" max="11526" width="12.28515625" style="14" customWidth="1"/>
    <col min="11527" max="11527" width="8.85546875" style="14" customWidth="1"/>
    <col min="11528" max="11528" width="10.85546875" style="14" customWidth="1"/>
    <col min="11529" max="11529" width="2.85546875" style="14" customWidth="1"/>
    <col min="11530" max="11530" width="12.140625" style="14" customWidth="1"/>
    <col min="11531" max="11531" width="10.140625" style="14" customWidth="1"/>
    <col min="11532" max="11532" width="11.7109375" style="14" customWidth="1"/>
    <col min="11533" max="11533" width="11.42578125" style="14" customWidth="1"/>
    <col min="11534" max="11534" width="12.7109375" style="14" customWidth="1"/>
    <col min="11535" max="11535" width="11.42578125" style="14" customWidth="1"/>
    <col min="11536" max="11536" width="10.7109375" style="14" customWidth="1"/>
    <col min="11537" max="11537" width="10.5703125" style="14" customWidth="1"/>
    <col min="11538" max="11538" width="11.28515625" style="14" customWidth="1"/>
    <col min="11539" max="11539" width="9.7109375" style="14" customWidth="1"/>
    <col min="11540" max="11540" width="12" style="14" customWidth="1"/>
    <col min="11541" max="11541" width="11.28515625" style="14" customWidth="1"/>
    <col min="11542" max="11779" width="9.140625" style="14"/>
    <col min="11780" max="11780" width="5.7109375" style="14" customWidth="1"/>
    <col min="11781" max="11781" width="13.140625" style="14" customWidth="1"/>
    <col min="11782" max="11782" width="12.28515625" style="14" customWidth="1"/>
    <col min="11783" max="11783" width="8.85546875" style="14" customWidth="1"/>
    <col min="11784" max="11784" width="10.85546875" style="14" customWidth="1"/>
    <col min="11785" max="11785" width="2.85546875" style="14" customWidth="1"/>
    <col min="11786" max="11786" width="12.140625" style="14" customWidth="1"/>
    <col min="11787" max="11787" width="10.140625" style="14" customWidth="1"/>
    <col min="11788" max="11788" width="11.7109375" style="14" customWidth="1"/>
    <col min="11789" max="11789" width="11.42578125" style="14" customWidth="1"/>
    <col min="11790" max="11790" width="12.7109375" style="14" customWidth="1"/>
    <col min="11791" max="11791" width="11.42578125" style="14" customWidth="1"/>
    <col min="11792" max="11792" width="10.7109375" style="14" customWidth="1"/>
    <col min="11793" max="11793" width="10.5703125" style="14" customWidth="1"/>
    <col min="11794" max="11794" width="11.28515625" style="14" customWidth="1"/>
    <col min="11795" max="11795" width="9.7109375" style="14" customWidth="1"/>
    <col min="11796" max="11796" width="12" style="14" customWidth="1"/>
    <col min="11797" max="11797" width="11.28515625" style="14" customWidth="1"/>
    <col min="11798" max="12035" width="9.140625" style="14"/>
    <col min="12036" max="12036" width="5.7109375" style="14" customWidth="1"/>
    <col min="12037" max="12037" width="13.140625" style="14" customWidth="1"/>
    <col min="12038" max="12038" width="12.28515625" style="14" customWidth="1"/>
    <col min="12039" max="12039" width="8.85546875" style="14" customWidth="1"/>
    <col min="12040" max="12040" width="10.85546875" style="14" customWidth="1"/>
    <col min="12041" max="12041" width="2.85546875" style="14" customWidth="1"/>
    <col min="12042" max="12042" width="12.140625" style="14" customWidth="1"/>
    <col min="12043" max="12043" width="10.140625" style="14" customWidth="1"/>
    <col min="12044" max="12044" width="11.7109375" style="14" customWidth="1"/>
    <col min="12045" max="12045" width="11.42578125" style="14" customWidth="1"/>
    <col min="12046" max="12046" width="12.7109375" style="14" customWidth="1"/>
    <col min="12047" max="12047" width="11.42578125" style="14" customWidth="1"/>
    <col min="12048" max="12048" width="10.7109375" style="14" customWidth="1"/>
    <col min="12049" max="12049" width="10.5703125" style="14" customWidth="1"/>
    <col min="12050" max="12050" width="11.28515625" style="14" customWidth="1"/>
    <col min="12051" max="12051" width="9.7109375" style="14" customWidth="1"/>
    <col min="12052" max="12052" width="12" style="14" customWidth="1"/>
    <col min="12053" max="12053" width="11.28515625" style="14" customWidth="1"/>
    <col min="12054" max="12291" width="9.140625" style="14"/>
    <col min="12292" max="12292" width="5.7109375" style="14" customWidth="1"/>
    <col min="12293" max="12293" width="13.140625" style="14" customWidth="1"/>
    <col min="12294" max="12294" width="12.28515625" style="14" customWidth="1"/>
    <col min="12295" max="12295" width="8.85546875" style="14" customWidth="1"/>
    <col min="12296" max="12296" width="10.85546875" style="14" customWidth="1"/>
    <col min="12297" max="12297" width="2.85546875" style="14" customWidth="1"/>
    <col min="12298" max="12298" width="12.140625" style="14" customWidth="1"/>
    <col min="12299" max="12299" width="10.140625" style="14" customWidth="1"/>
    <col min="12300" max="12300" width="11.7109375" style="14" customWidth="1"/>
    <col min="12301" max="12301" width="11.42578125" style="14" customWidth="1"/>
    <col min="12302" max="12302" width="12.7109375" style="14" customWidth="1"/>
    <col min="12303" max="12303" width="11.42578125" style="14" customWidth="1"/>
    <col min="12304" max="12304" width="10.7109375" style="14" customWidth="1"/>
    <col min="12305" max="12305" width="10.5703125" style="14" customWidth="1"/>
    <col min="12306" max="12306" width="11.28515625" style="14" customWidth="1"/>
    <col min="12307" max="12307" width="9.7109375" style="14" customWidth="1"/>
    <col min="12308" max="12308" width="12" style="14" customWidth="1"/>
    <col min="12309" max="12309" width="11.28515625" style="14" customWidth="1"/>
    <col min="12310" max="12547" width="9.140625" style="14"/>
    <col min="12548" max="12548" width="5.7109375" style="14" customWidth="1"/>
    <col min="12549" max="12549" width="13.140625" style="14" customWidth="1"/>
    <col min="12550" max="12550" width="12.28515625" style="14" customWidth="1"/>
    <col min="12551" max="12551" width="8.85546875" style="14" customWidth="1"/>
    <col min="12552" max="12552" width="10.85546875" style="14" customWidth="1"/>
    <col min="12553" max="12553" width="2.85546875" style="14" customWidth="1"/>
    <col min="12554" max="12554" width="12.140625" style="14" customWidth="1"/>
    <col min="12555" max="12555" width="10.140625" style="14" customWidth="1"/>
    <col min="12556" max="12556" width="11.7109375" style="14" customWidth="1"/>
    <col min="12557" max="12557" width="11.42578125" style="14" customWidth="1"/>
    <col min="12558" max="12558" width="12.7109375" style="14" customWidth="1"/>
    <col min="12559" max="12559" width="11.42578125" style="14" customWidth="1"/>
    <col min="12560" max="12560" width="10.7109375" style="14" customWidth="1"/>
    <col min="12561" max="12561" width="10.5703125" style="14" customWidth="1"/>
    <col min="12562" max="12562" width="11.28515625" style="14" customWidth="1"/>
    <col min="12563" max="12563" width="9.7109375" style="14" customWidth="1"/>
    <col min="12564" max="12564" width="12" style="14" customWidth="1"/>
    <col min="12565" max="12565" width="11.28515625" style="14" customWidth="1"/>
    <col min="12566" max="12803" width="9.140625" style="14"/>
    <col min="12804" max="12804" width="5.7109375" style="14" customWidth="1"/>
    <col min="12805" max="12805" width="13.140625" style="14" customWidth="1"/>
    <col min="12806" max="12806" width="12.28515625" style="14" customWidth="1"/>
    <col min="12807" max="12807" width="8.85546875" style="14" customWidth="1"/>
    <col min="12808" max="12808" width="10.85546875" style="14" customWidth="1"/>
    <col min="12809" max="12809" width="2.85546875" style="14" customWidth="1"/>
    <col min="12810" max="12810" width="12.140625" style="14" customWidth="1"/>
    <col min="12811" max="12811" width="10.140625" style="14" customWidth="1"/>
    <col min="12812" max="12812" width="11.7109375" style="14" customWidth="1"/>
    <col min="12813" max="12813" width="11.42578125" style="14" customWidth="1"/>
    <col min="12814" max="12814" width="12.7109375" style="14" customWidth="1"/>
    <col min="12815" max="12815" width="11.42578125" style="14" customWidth="1"/>
    <col min="12816" max="12816" width="10.7109375" style="14" customWidth="1"/>
    <col min="12817" max="12817" width="10.5703125" style="14" customWidth="1"/>
    <col min="12818" max="12818" width="11.28515625" style="14" customWidth="1"/>
    <col min="12819" max="12819" width="9.7109375" style="14" customWidth="1"/>
    <col min="12820" max="12820" width="12" style="14" customWidth="1"/>
    <col min="12821" max="12821" width="11.28515625" style="14" customWidth="1"/>
    <col min="12822" max="13059" width="9.140625" style="14"/>
    <col min="13060" max="13060" width="5.7109375" style="14" customWidth="1"/>
    <col min="13061" max="13061" width="13.140625" style="14" customWidth="1"/>
    <col min="13062" max="13062" width="12.28515625" style="14" customWidth="1"/>
    <col min="13063" max="13063" width="8.85546875" style="14" customWidth="1"/>
    <col min="13064" max="13064" width="10.85546875" style="14" customWidth="1"/>
    <col min="13065" max="13065" width="2.85546875" style="14" customWidth="1"/>
    <col min="13066" max="13066" width="12.140625" style="14" customWidth="1"/>
    <col min="13067" max="13067" width="10.140625" style="14" customWidth="1"/>
    <col min="13068" max="13068" width="11.7109375" style="14" customWidth="1"/>
    <col min="13069" max="13069" width="11.42578125" style="14" customWidth="1"/>
    <col min="13070" max="13070" width="12.7109375" style="14" customWidth="1"/>
    <col min="13071" max="13071" width="11.42578125" style="14" customWidth="1"/>
    <col min="13072" max="13072" width="10.7109375" style="14" customWidth="1"/>
    <col min="13073" max="13073" width="10.5703125" style="14" customWidth="1"/>
    <col min="13074" max="13074" width="11.28515625" style="14" customWidth="1"/>
    <col min="13075" max="13075" width="9.7109375" style="14" customWidth="1"/>
    <col min="13076" max="13076" width="12" style="14" customWidth="1"/>
    <col min="13077" max="13077" width="11.28515625" style="14" customWidth="1"/>
    <col min="13078" max="13315" width="9.140625" style="14"/>
    <col min="13316" max="13316" width="5.7109375" style="14" customWidth="1"/>
    <col min="13317" max="13317" width="13.140625" style="14" customWidth="1"/>
    <col min="13318" max="13318" width="12.28515625" style="14" customWidth="1"/>
    <col min="13319" max="13319" width="8.85546875" style="14" customWidth="1"/>
    <col min="13320" max="13320" width="10.85546875" style="14" customWidth="1"/>
    <col min="13321" max="13321" width="2.85546875" style="14" customWidth="1"/>
    <col min="13322" max="13322" width="12.140625" style="14" customWidth="1"/>
    <col min="13323" max="13323" width="10.140625" style="14" customWidth="1"/>
    <col min="13324" max="13324" width="11.7109375" style="14" customWidth="1"/>
    <col min="13325" max="13325" width="11.42578125" style="14" customWidth="1"/>
    <col min="13326" max="13326" width="12.7109375" style="14" customWidth="1"/>
    <col min="13327" max="13327" width="11.42578125" style="14" customWidth="1"/>
    <col min="13328" max="13328" width="10.7109375" style="14" customWidth="1"/>
    <col min="13329" max="13329" width="10.5703125" style="14" customWidth="1"/>
    <col min="13330" max="13330" width="11.28515625" style="14" customWidth="1"/>
    <col min="13331" max="13331" width="9.7109375" style="14" customWidth="1"/>
    <col min="13332" max="13332" width="12" style="14" customWidth="1"/>
    <col min="13333" max="13333" width="11.28515625" style="14" customWidth="1"/>
    <col min="13334" max="13571" width="9.140625" style="14"/>
    <col min="13572" max="13572" width="5.7109375" style="14" customWidth="1"/>
    <col min="13573" max="13573" width="13.140625" style="14" customWidth="1"/>
    <col min="13574" max="13574" width="12.28515625" style="14" customWidth="1"/>
    <col min="13575" max="13575" width="8.85546875" style="14" customWidth="1"/>
    <col min="13576" max="13576" width="10.85546875" style="14" customWidth="1"/>
    <col min="13577" max="13577" width="2.85546875" style="14" customWidth="1"/>
    <col min="13578" max="13578" width="12.140625" style="14" customWidth="1"/>
    <col min="13579" max="13579" width="10.140625" style="14" customWidth="1"/>
    <col min="13580" max="13580" width="11.7109375" style="14" customWidth="1"/>
    <col min="13581" max="13581" width="11.42578125" style="14" customWidth="1"/>
    <col min="13582" max="13582" width="12.7109375" style="14" customWidth="1"/>
    <col min="13583" max="13583" width="11.42578125" style="14" customWidth="1"/>
    <col min="13584" max="13584" width="10.7109375" style="14" customWidth="1"/>
    <col min="13585" max="13585" width="10.5703125" style="14" customWidth="1"/>
    <col min="13586" max="13586" width="11.28515625" style="14" customWidth="1"/>
    <col min="13587" max="13587" width="9.7109375" style="14" customWidth="1"/>
    <col min="13588" max="13588" width="12" style="14" customWidth="1"/>
    <col min="13589" max="13589" width="11.28515625" style="14" customWidth="1"/>
    <col min="13590" max="13827" width="9.140625" style="14"/>
    <col min="13828" max="13828" width="5.7109375" style="14" customWidth="1"/>
    <col min="13829" max="13829" width="13.140625" style="14" customWidth="1"/>
    <col min="13830" max="13830" width="12.28515625" style="14" customWidth="1"/>
    <col min="13831" max="13831" width="8.85546875" style="14" customWidth="1"/>
    <col min="13832" max="13832" width="10.85546875" style="14" customWidth="1"/>
    <col min="13833" max="13833" width="2.85546875" style="14" customWidth="1"/>
    <col min="13834" max="13834" width="12.140625" style="14" customWidth="1"/>
    <col min="13835" max="13835" width="10.140625" style="14" customWidth="1"/>
    <col min="13836" max="13836" width="11.7109375" style="14" customWidth="1"/>
    <col min="13837" max="13837" width="11.42578125" style="14" customWidth="1"/>
    <col min="13838" max="13838" width="12.7109375" style="14" customWidth="1"/>
    <col min="13839" max="13839" width="11.42578125" style="14" customWidth="1"/>
    <col min="13840" max="13840" width="10.7109375" style="14" customWidth="1"/>
    <col min="13841" max="13841" width="10.5703125" style="14" customWidth="1"/>
    <col min="13842" max="13842" width="11.28515625" style="14" customWidth="1"/>
    <col min="13843" max="13843" width="9.7109375" style="14" customWidth="1"/>
    <col min="13844" max="13844" width="12" style="14" customWidth="1"/>
    <col min="13845" max="13845" width="11.28515625" style="14" customWidth="1"/>
    <col min="13846" max="14083" width="9.140625" style="14"/>
    <col min="14084" max="14084" width="5.7109375" style="14" customWidth="1"/>
    <col min="14085" max="14085" width="13.140625" style="14" customWidth="1"/>
    <col min="14086" max="14086" width="12.28515625" style="14" customWidth="1"/>
    <col min="14087" max="14087" width="8.85546875" style="14" customWidth="1"/>
    <col min="14088" max="14088" width="10.85546875" style="14" customWidth="1"/>
    <col min="14089" max="14089" width="2.85546875" style="14" customWidth="1"/>
    <col min="14090" max="14090" width="12.140625" style="14" customWidth="1"/>
    <col min="14091" max="14091" width="10.140625" style="14" customWidth="1"/>
    <col min="14092" max="14092" width="11.7109375" style="14" customWidth="1"/>
    <col min="14093" max="14093" width="11.42578125" style="14" customWidth="1"/>
    <col min="14094" max="14094" width="12.7109375" style="14" customWidth="1"/>
    <col min="14095" max="14095" width="11.42578125" style="14" customWidth="1"/>
    <col min="14096" max="14096" width="10.7109375" style="14" customWidth="1"/>
    <col min="14097" max="14097" width="10.5703125" style="14" customWidth="1"/>
    <col min="14098" max="14098" width="11.28515625" style="14" customWidth="1"/>
    <col min="14099" max="14099" width="9.7109375" style="14" customWidth="1"/>
    <col min="14100" max="14100" width="12" style="14" customWidth="1"/>
    <col min="14101" max="14101" width="11.28515625" style="14" customWidth="1"/>
    <col min="14102" max="14339" width="9.140625" style="14"/>
    <col min="14340" max="14340" width="5.7109375" style="14" customWidth="1"/>
    <col min="14341" max="14341" width="13.140625" style="14" customWidth="1"/>
    <col min="14342" max="14342" width="12.28515625" style="14" customWidth="1"/>
    <col min="14343" max="14343" width="8.85546875" style="14" customWidth="1"/>
    <col min="14344" max="14344" width="10.85546875" style="14" customWidth="1"/>
    <col min="14345" max="14345" width="2.85546875" style="14" customWidth="1"/>
    <col min="14346" max="14346" width="12.140625" style="14" customWidth="1"/>
    <col min="14347" max="14347" width="10.140625" style="14" customWidth="1"/>
    <col min="14348" max="14348" width="11.7109375" style="14" customWidth="1"/>
    <col min="14349" max="14349" width="11.42578125" style="14" customWidth="1"/>
    <col min="14350" max="14350" width="12.7109375" style="14" customWidth="1"/>
    <col min="14351" max="14351" width="11.42578125" style="14" customWidth="1"/>
    <col min="14352" max="14352" width="10.7109375" style="14" customWidth="1"/>
    <col min="14353" max="14353" width="10.5703125" style="14" customWidth="1"/>
    <col min="14354" max="14354" width="11.28515625" style="14" customWidth="1"/>
    <col min="14355" max="14355" width="9.7109375" style="14" customWidth="1"/>
    <col min="14356" max="14356" width="12" style="14" customWidth="1"/>
    <col min="14357" max="14357" width="11.28515625" style="14" customWidth="1"/>
    <col min="14358" max="14595" width="9.140625" style="14"/>
    <col min="14596" max="14596" width="5.7109375" style="14" customWidth="1"/>
    <col min="14597" max="14597" width="13.140625" style="14" customWidth="1"/>
    <col min="14598" max="14598" width="12.28515625" style="14" customWidth="1"/>
    <col min="14599" max="14599" width="8.85546875" style="14" customWidth="1"/>
    <col min="14600" max="14600" width="10.85546875" style="14" customWidth="1"/>
    <col min="14601" max="14601" width="2.85546875" style="14" customWidth="1"/>
    <col min="14602" max="14602" width="12.140625" style="14" customWidth="1"/>
    <col min="14603" max="14603" width="10.140625" style="14" customWidth="1"/>
    <col min="14604" max="14604" width="11.7109375" style="14" customWidth="1"/>
    <col min="14605" max="14605" width="11.42578125" style="14" customWidth="1"/>
    <col min="14606" max="14606" width="12.7109375" style="14" customWidth="1"/>
    <col min="14607" max="14607" width="11.42578125" style="14" customWidth="1"/>
    <col min="14608" max="14608" width="10.7109375" style="14" customWidth="1"/>
    <col min="14609" max="14609" width="10.5703125" style="14" customWidth="1"/>
    <col min="14610" max="14610" width="11.28515625" style="14" customWidth="1"/>
    <col min="14611" max="14611" width="9.7109375" style="14" customWidth="1"/>
    <col min="14612" max="14612" width="12" style="14" customWidth="1"/>
    <col min="14613" max="14613" width="11.28515625" style="14" customWidth="1"/>
    <col min="14614" max="14851" width="9.140625" style="14"/>
    <col min="14852" max="14852" width="5.7109375" style="14" customWidth="1"/>
    <col min="14853" max="14853" width="13.140625" style="14" customWidth="1"/>
    <col min="14854" max="14854" width="12.28515625" style="14" customWidth="1"/>
    <col min="14855" max="14855" width="8.85546875" style="14" customWidth="1"/>
    <col min="14856" max="14856" width="10.85546875" style="14" customWidth="1"/>
    <col min="14857" max="14857" width="2.85546875" style="14" customWidth="1"/>
    <col min="14858" max="14858" width="12.140625" style="14" customWidth="1"/>
    <col min="14859" max="14859" width="10.140625" style="14" customWidth="1"/>
    <col min="14860" max="14860" width="11.7109375" style="14" customWidth="1"/>
    <col min="14861" max="14861" width="11.42578125" style="14" customWidth="1"/>
    <col min="14862" max="14862" width="12.7109375" style="14" customWidth="1"/>
    <col min="14863" max="14863" width="11.42578125" style="14" customWidth="1"/>
    <col min="14864" max="14864" width="10.7109375" style="14" customWidth="1"/>
    <col min="14865" max="14865" width="10.5703125" style="14" customWidth="1"/>
    <col min="14866" max="14866" width="11.28515625" style="14" customWidth="1"/>
    <col min="14867" max="14867" width="9.7109375" style="14" customWidth="1"/>
    <col min="14868" max="14868" width="12" style="14" customWidth="1"/>
    <col min="14869" max="14869" width="11.28515625" style="14" customWidth="1"/>
    <col min="14870" max="15107" width="9.140625" style="14"/>
    <col min="15108" max="15108" width="5.7109375" style="14" customWidth="1"/>
    <col min="15109" max="15109" width="13.140625" style="14" customWidth="1"/>
    <col min="15110" max="15110" width="12.28515625" style="14" customWidth="1"/>
    <col min="15111" max="15111" width="8.85546875" style="14" customWidth="1"/>
    <col min="15112" max="15112" width="10.85546875" style="14" customWidth="1"/>
    <col min="15113" max="15113" width="2.85546875" style="14" customWidth="1"/>
    <col min="15114" max="15114" width="12.140625" style="14" customWidth="1"/>
    <col min="15115" max="15115" width="10.140625" style="14" customWidth="1"/>
    <col min="15116" max="15116" width="11.7109375" style="14" customWidth="1"/>
    <col min="15117" max="15117" width="11.42578125" style="14" customWidth="1"/>
    <col min="15118" max="15118" width="12.7109375" style="14" customWidth="1"/>
    <col min="15119" max="15119" width="11.42578125" style="14" customWidth="1"/>
    <col min="15120" max="15120" width="10.7109375" style="14" customWidth="1"/>
    <col min="15121" max="15121" width="10.5703125" style="14" customWidth="1"/>
    <col min="15122" max="15122" width="11.28515625" style="14" customWidth="1"/>
    <col min="15123" max="15123" width="9.7109375" style="14" customWidth="1"/>
    <col min="15124" max="15124" width="12" style="14" customWidth="1"/>
    <col min="15125" max="15125" width="11.28515625" style="14" customWidth="1"/>
    <col min="15126" max="15363" width="9.140625" style="14"/>
    <col min="15364" max="15364" width="5.7109375" style="14" customWidth="1"/>
    <col min="15365" max="15365" width="13.140625" style="14" customWidth="1"/>
    <col min="15366" max="15366" width="12.28515625" style="14" customWidth="1"/>
    <col min="15367" max="15367" width="8.85546875" style="14" customWidth="1"/>
    <col min="15368" max="15368" width="10.85546875" style="14" customWidth="1"/>
    <col min="15369" max="15369" width="2.85546875" style="14" customWidth="1"/>
    <col min="15370" max="15370" width="12.140625" style="14" customWidth="1"/>
    <col min="15371" max="15371" width="10.140625" style="14" customWidth="1"/>
    <col min="15372" max="15372" width="11.7109375" style="14" customWidth="1"/>
    <col min="15373" max="15373" width="11.42578125" style="14" customWidth="1"/>
    <col min="15374" max="15374" width="12.7109375" style="14" customWidth="1"/>
    <col min="15375" max="15375" width="11.42578125" style="14" customWidth="1"/>
    <col min="15376" max="15376" width="10.7109375" style="14" customWidth="1"/>
    <col min="15377" max="15377" width="10.5703125" style="14" customWidth="1"/>
    <col min="15378" max="15378" width="11.28515625" style="14" customWidth="1"/>
    <col min="15379" max="15379" width="9.7109375" style="14" customWidth="1"/>
    <col min="15380" max="15380" width="12" style="14" customWidth="1"/>
    <col min="15381" max="15381" width="11.28515625" style="14" customWidth="1"/>
    <col min="15382" max="15619" width="9.140625" style="14"/>
    <col min="15620" max="15620" width="5.7109375" style="14" customWidth="1"/>
    <col min="15621" max="15621" width="13.140625" style="14" customWidth="1"/>
    <col min="15622" max="15622" width="12.28515625" style="14" customWidth="1"/>
    <col min="15623" max="15623" width="8.85546875" style="14" customWidth="1"/>
    <col min="15624" max="15624" width="10.85546875" style="14" customWidth="1"/>
    <col min="15625" max="15625" width="2.85546875" style="14" customWidth="1"/>
    <col min="15626" max="15626" width="12.140625" style="14" customWidth="1"/>
    <col min="15627" max="15627" width="10.140625" style="14" customWidth="1"/>
    <col min="15628" max="15628" width="11.7109375" style="14" customWidth="1"/>
    <col min="15629" max="15629" width="11.42578125" style="14" customWidth="1"/>
    <col min="15630" max="15630" width="12.7109375" style="14" customWidth="1"/>
    <col min="15631" max="15631" width="11.42578125" style="14" customWidth="1"/>
    <col min="15632" max="15632" width="10.7109375" style="14" customWidth="1"/>
    <col min="15633" max="15633" width="10.5703125" style="14" customWidth="1"/>
    <col min="15634" max="15634" width="11.28515625" style="14" customWidth="1"/>
    <col min="15635" max="15635" width="9.7109375" style="14" customWidth="1"/>
    <col min="15636" max="15636" width="12" style="14" customWidth="1"/>
    <col min="15637" max="15637" width="11.28515625" style="14" customWidth="1"/>
    <col min="15638" max="15875" width="9.140625" style="14"/>
    <col min="15876" max="15876" width="5.7109375" style="14" customWidth="1"/>
    <col min="15877" max="15877" width="13.140625" style="14" customWidth="1"/>
    <col min="15878" max="15878" width="12.28515625" style="14" customWidth="1"/>
    <col min="15879" max="15879" width="8.85546875" style="14" customWidth="1"/>
    <col min="15880" max="15880" width="10.85546875" style="14" customWidth="1"/>
    <col min="15881" max="15881" width="2.85546875" style="14" customWidth="1"/>
    <col min="15882" max="15882" width="12.140625" style="14" customWidth="1"/>
    <col min="15883" max="15883" width="10.140625" style="14" customWidth="1"/>
    <col min="15884" max="15884" width="11.7109375" style="14" customWidth="1"/>
    <col min="15885" max="15885" width="11.42578125" style="14" customWidth="1"/>
    <col min="15886" max="15886" width="12.7109375" style="14" customWidth="1"/>
    <col min="15887" max="15887" width="11.42578125" style="14" customWidth="1"/>
    <col min="15888" max="15888" width="10.7109375" style="14" customWidth="1"/>
    <col min="15889" max="15889" width="10.5703125" style="14" customWidth="1"/>
    <col min="15890" max="15890" width="11.28515625" style="14" customWidth="1"/>
    <col min="15891" max="15891" width="9.7109375" style="14" customWidth="1"/>
    <col min="15892" max="15892" width="12" style="14" customWidth="1"/>
    <col min="15893" max="15893" width="11.28515625" style="14" customWidth="1"/>
    <col min="15894" max="16131" width="9.140625" style="14"/>
    <col min="16132" max="16132" width="5.7109375" style="14" customWidth="1"/>
    <col min="16133" max="16133" width="13.140625" style="14" customWidth="1"/>
    <col min="16134" max="16134" width="12.28515625" style="14" customWidth="1"/>
    <col min="16135" max="16135" width="8.85546875" style="14" customWidth="1"/>
    <col min="16136" max="16136" width="10.85546875" style="14" customWidth="1"/>
    <col min="16137" max="16137" width="2.85546875" style="14" customWidth="1"/>
    <col min="16138" max="16138" width="12.140625" style="14" customWidth="1"/>
    <col min="16139" max="16139" width="10.140625" style="14" customWidth="1"/>
    <col min="16140" max="16140" width="11.7109375" style="14" customWidth="1"/>
    <col min="16141" max="16141" width="11.42578125" style="14" customWidth="1"/>
    <col min="16142" max="16142" width="12.7109375" style="14" customWidth="1"/>
    <col min="16143" max="16143" width="11.42578125" style="14" customWidth="1"/>
    <col min="16144" max="16144" width="10.7109375" style="14" customWidth="1"/>
    <col min="16145" max="16145" width="10.5703125" style="14" customWidth="1"/>
    <col min="16146" max="16146" width="11.28515625" style="14" customWidth="1"/>
    <col min="16147" max="16147" width="9.7109375" style="14" customWidth="1"/>
    <col min="16148" max="16148" width="12" style="14" customWidth="1"/>
    <col min="16149" max="16149" width="11.28515625" style="14" customWidth="1"/>
    <col min="16150" max="16384" width="9.140625" style="14"/>
  </cols>
  <sheetData>
    <row r="1" spans="4:19" ht="12.75" thickBot="1" x14ac:dyDescent="0.25"/>
    <row r="2" spans="4:19" ht="12" customHeight="1" thickBot="1" x14ac:dyDescent="0.25">
      <c r="Q2" s="633" t="s">
        <v>0</v>
      </c>
      <c r="R2" s="634"/>
      <c r="S2" s="635"/>
    </row>
    <row r="3" spans="4:19" ht="13.5" thickBot="1" x14ac:dyDescent="0.25">
      <c r="I3" s="636" t="s">
        <v>1</v>
      </c>
      <c r="J3" s="637"/>
      <c r="K3" s="637"/>
      <c r="L3" s="637"/>
      <c r="M3" s="637"/>
      <c r="N3" s="637"/>
      <c r="O3" s="638"/>
      <c r="Q3" s="611">
        <f>'AGUILAR ESQUIVEL CARLOS'!Q3</f>
        <v>45</v>
      </c>
      <c r="R3" s="639"/>
      <c r="S3" s="612"/>
    </row>
    <row r="4" spans="4:19" ht="13.5" thickBot="1" x14ac:dyDescent="0.25">
      <c r="I4" s="640" t="s">
        <v>2</v>
      </c>
      <c r="J4" s="641"/>
      <c r="K4" s="641"/>
      <c r="L4" s="641"/>
      <c r="M4" s="641"/>
      <c r="N4" s="641"/>
      <c r="O4" s="642"/>
      <c r="Q4" s="18"/>
      <c r="R4" s="18"/>
      <c r="S4" s="18"/>
    </row>
    <row r="5" spans="4:19" ht="13.5" thickBot="1" x14ac:dyDescent="0.25">
      <c r="I5" s="643" t="s">
        <v>3</v>
      </c>
      <c r="J5" s="644"/>
      <c r="K5" s="644"/>
      <c r="L5" s="644"/>
      <c r="M5" s="644"/>
      <c r="N5" s="644"/>
      <c r="O5" s="645"/>
      <c r="Q5" s="611" t="s">
        <v>4</v>
      </c>
      <c r="R5" s="639"/>
      <c r="S5" s="612"/>
    </row>
    <row r="6" spans="4:19" ht="13.5" thickBot="1" x14ac:dyDescent="0.25">
      <c r="I6" s="650" t="s">
        <v>5</v>
      </c>
      <c r="J6" s="651"/>
      <c r="K6" s="651"/>
      <c r="L6" s="651"/>
      <c r="M6" s="651"/>
      <c r="N6" s="651"/>
      <c r="O6" s="652"/>
      <c r="Q6" s="653">
        <f>+'BURGOS TORRES RIGOBERTO'!Q6+1</f>
        <v>107</v>
      </c>
      <c r="R6" s="654"/>
      <c r="S6" s="655"/>
    </row>
    <row r="7" spans="4:19" ht="9" customHeight="1" x14ac:dyDescent="0.2"/>
    <row r="8" spans="4:19" ht="6.75" customHeight="1" thickBot="1" x14ac:dyDescent="0.25"/>
    <row r="9" spans="4:19" ht="13.5" thickBot="1" x14ac:dyDescent="0.25">
      <c r="I9" s="611" t="s">
        <v>6</v>
      </c>
      <c r="J9" s="639"/>
      <c r="K9" s="639"/>
      <c r="L9" s="639"/>
      <c r="M9" s="639"/>
      <c r="N9" s="639"/>
      <c r="O9" s="612"/>
    </row>
    <row r="10" spans="4:19" ht="11.25" customHeight="1" thickBot="1" x14ac:dyDescent="0.25"/>
    <row r="11" spans="4:19" ht="12.75" x14ac:dyDescent="0.2">
      <c r="D11" s="1" t="s">
        <v>7</v>
      </c>
      <c r="E11" s="2" t="s">
        <v>119</v>
      </c>
      <c r="F11" s="2"/>
      <c r="G11" s="2"/>
      <c r="H11" s="2"/>
      <c r="I11" s="2"/>
      <c r="J11" s="2"/>
      <c r="K11" s="3" t="s">
        <v>8</v>
      </c>
      <c r="L11" s="656" t="str">
        <f>'REYES LARA DANTE'!L11</f>
        <v>SEMANA #45 PERIODO DEL 27 de oct AL 02 de nov DEL 2025</v>
      </c>
      <c r="M11" s="656"/>
      <c r="N11" s="656"/>
      <c r="O11" s="656"/>
      <c r="P11" s="656"/>
      <c r="Q11" s="656"/>
      <c r="R11" s="656"/>
      <c r="S11" s="659"/>
    </row>
    <row r="12" spans="4:19" ht="12.75" x14ac:dyDescent="0.2">
      <c r="D12" s="4" t="s">
        <v>9</v>
      </c>
      <c r="E12" s="624" t="s">
        <v>63</v>
      </c>
      <c r="F12" s="624"/>
      <c r="G12" s="5"/>
      <c r="H12" s="130"/>
      <c r="I12" s="130"/>
      <c r="J12" s="130"/>
      <c r="K12" s="130"/>
      <c r="L12" s="130"/>
      <c r="M12" s="130"/>
      <c r="N12" s="130"/>
      <c r="O12" s="130"/>
      <c r="P12" s="130"/>
      <c r="Q12" s="130"/>
      <c r="R12" s="130"/>
      <c r="S12" s="256"/>
    </row>
    <row r="13" spans="4:19" ht="9.75" customHeight="1" x14ac:dyDescent="0.2">
      <c r="D13" s="623"/>
      <c r="E13" s="624"/>
      <c r="F13" s="130"/>
      <c r="G13" s="130"/>
      <c r="H13" s="130"/>
      <c r="I13" s="130"/>
      <c r="J13" s="130"/>
      <c r="K13" s="130"/>
      <c r="L13" s="130"/>
      <c r="M13" s="130"/>
      <c r="N13" s="130"/>
      <c r="O13" s="130"/>
      <c r="P13" s="130"/>
      <c r="Q13" s="130"/>
      <c r="R13" s="130"/>
      <c r="S13" s="256"/>
    </row>
    <row r="14" spans="4:19" ht="12.75" x14ac:dyDescent="0.2">
      <c r="D14" s="625" t="s">
        <v>10</v>
      </c>
      <c r="E14" s="626"/>
      <c r="F14" s="130">
        <v>152597</v>
      </c>
      <c r="G14" s="130"/>
      <c r="H14" s="130"/>
      <c r="I14" s="6" t="s">
        <v>11</v>
      </c>
      <c r="J14" s="6"/>
      <c r="K14" s="130"/>
      <c r="L14" s="130"/>
      <c r="M14" s="130"/>
      <c r="N14" s="130"/>
      <c r="O14" s="6" t="s">
        <v>12</v>
      </c>
      <c r="P14" s="7"/>
      <c r="Q14" s="7"/>
      <c r="R14" s="7"/>
      <c r="S14" s="8"/>
    </row>
    <row r="15" spans="4:19" ht="12.75" x14ac:dyDescent="0.2">
      <c r="D15" s="625" t="s">
        <v>13</v>
      </c>
      <c r="E15" s="626"/>
      <c r="F15" s="130">
        <v>153341</v>
      </c>
      <c r="G15" s="130"/>
      <c r="H15" s="130"/>
      <c r="I15" s="6" t="s">
        <v>14</v>
      </c>
      <c r="J15" s="6"/>
      <c r="K15" s="130"/>
      <c r="L15" s="130"/>
      <c r="M15" s="130"/>
      <c r="N15" s="130"/>
      <c r="O15" s="6" t="s">
        <v>15</v>
      </c>
      <c r="P15" s="130"/>
      <c r="Q15" s="130"/>
      <c r="R15" s="130"/>
      <c r="S15" s="256"/>
    </row>
    <row r="16" spans="4:19" ht="13.5" thickBot="1" x14ac:dyDescent="0.25">
      <c r="D16" s="627" t="s">
        <v>16</v>
      </c>
      <c r="E16" s="628"/>
      <c r="F16" s="266">
        <f>SUM(J19:J29)</f>
        <v>790</v>
      </c>
      <c r="G16" s="257"/>
      <c r="H16" s="257"/>
      <c r="I16" s="9" t="s">
        <v>17</v>
      </c>
      <c r="J16" s="257">
        <f>SUM(K19:K29)</f>
        <v>245.01</v>
      </c>
      <c r="K16" s="257"/>
      <c r="L16" s="257"/>
      <c r="M16" s="257"/>
      <c r="N16" s="257"/>
      <c r="O16" s="9" t="s">
        <v>18</v>
      </c>
      <c r="P16" s="10">
        <f>+F16/J16</f>
        <v>3.2243581894616549</v>
      </c>
      <c r="Q16" s="257"/>
      <c r="R16" s="257"/>
      <c r="S16" s="258"/>
    </row>
    <row r="17" spans="2:22" ht="7.5" customHeight="1" thickBot="1" x14ac:dyDescent="0.25"/>
    <row r="18" spans="2:22" ht="33" customHeight="1" thickBot="1" x14ac:dyDescent="0.25">
      <c r="C18" s="243" t="s">
        <v>19</v>
      </c>
      <c r="D18" s="33" t="s">
        <v>20</v>
      </c>
      <c r="E18" s="34" t="s">
        <v>21</v>
      </c>
      <c r="F18" s="34" t="s">
        <v>22</v>
      </c>
      <c r="G18" s="34" t="s">
        <v>23</v>
      </c>
      <c r="H18" s="34" t="s">
        <v>24</v>
      </c>
      <c r="I18" s="34" t="s">
        <v>25</v>
      </c>
      <c r="J18" s="34" t="s">
        <v>26</v>
      </c>
      <c r="K18" s="34" t="s">
        <v>27</v>
      </c>
      <c r="L18" s="34" t="s">
        <v>28</v>
      </c>
      <c r="M18" s="34" t="s">
        <v>285</v>
      </c>
      <c r="N18" s="34" t="s">
        <v>29</v>
      </c>
      <c r="O18" s="34" t="s">
        <v>30</v>
      </c>
      <c r="P18" s="33" t="s">
        <v>31</v>
      </c>
      <c r="Q18" s="34" t="s">
        <v>219</v>
      </c>
      <c r="R18" s="34" t="s">
        <v>184</v>
      </c>
      <c r="S18" s="34" t="s">
        <v>33</v>
      </c>
      <c r="T18" s="454" t="s">
        <v>220</v>
      </c>
      <c r="U18" s="448" t="s">
        <v>351</v>
      </c>
      <c r="V18" s="305" t="s">
        <v>354</v>
      </c>
    </row>
    <row r="19" spans="2:22" x14ac:dyDescent="0.2">
      <c r="B19" s="14" t="s">
        <v>416</v>
      </c>
      <c r="C19" s="176">
        <v>46143</v>
      </c>
      <c r="D19" s="43" t="s">
        <v>526</v>
      </c>
      <c r="E19" s="42">
        <v>45960</v>
      </c>
      <c r="F19" s="42">
        <v>45961</v>
      </c>
      <c r="G19" s="43">
        <v>4</v>
      </c>
      <c r="H19" s="236" t="str">
        <f>IF(G19=1,KILOMETRAJE!C$4,IF(G19=2,KILOMETRAJE!C$5,IF(G19=3,KILOMETRAJE!C$6,IF(G19=4,KILOMETRAJE!C$7,IF(G19=5,KILOMETRAJE!C$8,IF(G19=6,KILOMETRAJE!C$9,IF(G19=7,KILOMETRAJE!C$10,IF(G19=8,KILOMETRAJE!C$11,IF(G19=9,KILOMETRAJE!C$12,IF(G19=10,KILOMETRAJE!C$13,IF(G19=11,KILOMETRAJE!C$14,IF(G19=12,KILOMETRAJE!C$15,IF(G19=13,KILOMETRAJE!C$16,IF(G19=14,KILOMETRAJE!C$17,IF(G19=15,KILOMETRAJE!C$18,IF(G19=16,KILOMETRAJE!C$19,IF(G19=17,KILOMETRAJE!C$20,IF(G19=18,KILOMETRAJE!C$21,IF(G19=19,KILOMETRAJE!C$22,IF(G19=20,KILOMETRAJE!C$23,IF(G19=21,KILOMETRAJE!C$24,IF(G19=22,KILOMETRAJE!C$25,IF(G19=23,KILOMETRAJE!C$26,IF(G19=24,KILOMETRAJE!C$27,IF(G19=25,KILOMETRAJE!C$28,IF(G19=26,KILOMETRAJE!C$29,IF(G19=27,KILOMETRAJE!C$30,IF(G19=28,KILOMETRAJE!C$31,IF(G19=29,KILOMETRAJE!C$32,IF(G19=30,KILOMETRAJE!C$33,IF(G19=31,KILOMETRAJE!C$34,IF(G19=32,KILOMETRAJE!C$35,IF(G19=33,KILOMETRAJE!C$36,IF(G19=34,KILOMETRAJE!C$37,IF(G19=35,KILOMETRAJE!C$38,IF(G19=36,KILOMETRAJE!C$39,IF(G19=37,KILOMETRAJE!C$40,IF(G19=38,KILOMETRAJE!C$41,IF(G19=39,KILOMETRAJE!C$42,IF(G19=40,KILOMETRAJE!C$43,IF(G19=41,KILOMETRAJE!C$44,IF(G19=42,KILOMETRAJE!C$45,IF(G19=43,KILOMETRAJE!C$46,IF(G19=44,KILOMETRAJE!C$47,IF(G19=45,KILOMETRAJE!C$48,IF(G19=46,KILOMETRAJE!C$49,IF(G19=47,KILOMETRAJE!C$50,IF(G19=48,KILOMETRAJE!C$51,IF(G19=49,KILOMETRAJE!C$52,IF(G19=50,KILOMETRAJE!C$53,IF(G19=51,KILOMETRAJE!C$54,IF(G19=52,KILOMETRAJE!C$55,IF(G19=53,KILOMETRAJE!C$56,IF(G19=54,KILOMETRAJE!C$57,IF(G19=55,KILOMETRAJE!C$58,IF(G19=56,KILOMETRAJE!C$59,IF(G19=57,KILOMETRAJE!C$60,IF(G19=58,KILOMETRAJE!C$61,IF(G19=59,KILOMETRAJE!C$62,IF(G19=60,KILOMETRAJE!C$63,IF(G19=61,KILOMETRAJE!C$64,IF(G19=62,KILOMETRAJE!C$65,IF(G19=63,KILOMETRAJE!C$66)))))))))))))))))))))))))))))))))))))))))))))))))))))))))))))))</f>
        <v xml:space="preserve">ELP. </v>
      </c>
      <c r="I19" s="236" t="str">
        <f>IF(G19=1,KILOMETRAJE!E$4,IF(G19=2,KILOMETRAJE!E$5,IF(G19=3,KILOMETRAJE!E$6,IF(G19=4,KILOMETRAJE!E$7,IF(G19=5,KILOMETRAJE!E$8,IF(G19=6,KILOMETRAJE!E$9,IF(G19=7,KILOMETRAJE!E$10,IF(G19=8,KILOMETRAJE!E$11,IF(G19=9,KILOMETRAJE!E$12,IF(G19=10,KILOMETRAJE!E$13,IF(G19=11,KILOMETRAJE!E$14,IF(G19=12,KILOMETRAJE!E$15,IF(G19=13,KILOMETRAJE!E$16,IF(G19=14,KILOMETRAJE!E$17,IF(G19=15,KILOMETRAJE!E$18,IF(G19=16,KILOMETRAJE!E$19,IF(G19=17,KILOMETRAJE!E$20,IF(G19=18,KILOMETRAJE!E$21,IF(G19=19,KILOMETRAJE!E$22,IF(G19=20,KILOMETRAJE!E$23,IF(G19=21,KILOMETRAJE!E$24,IF(G19=22,KILOMETRAJE!E$25,IF(G19=23,KILOMETRAJE!E$26,IF(G19=24,KILOMETRAJE!E$27,IF(G19=25,KILOMETRAJE!E$28,IF(G19=26,KILOMETRAJE!E$29,IF(G19=27,KILOMETRAJE!E$30,IF(G19=28,KILOMETRAJE!E$31,IF(G19=29,KILOMETRAJE!E$32,IF(G19=30,KILOMETRAJE!E$33,IF(G19=31,KILOMETRAJE!E$34,IF(G19=32,KILOMETRAJE!E$35,IF(G19=33,KILOMETRAJE!E$36,IF(G19=34,KILOMETRAJE!E$37,IF(G19=35,KILOMETRAJE!E$38,IF(G19=36,KILOMETRAJE!E$39,IF(G19=37,KILOMETRAJE!E$40,IF(G19=38,KILOMETRAJE!E$41,IF(G19=39,KILOMETRAJE!E$42,IF(G19=40,KILOMETRAJE!E$43,IF(G19=41,KILOMETRAJE!E$44,IF(G19=42,KILOMETRAJE!E$45,IF(G19=43,KILOMETRAJE!E$46,IF(G19=44,KILOMETRAJE!E$47,IF(G19=45,KILOMETRAJE!E$48,IF(G19=46,KILOMETRAJE!E$49,IF(G19=47,KILOMETRAJE!E$50,IF(G19=48,KILOMETRAJE!E$51,IF(G19=49,KILOMETRAJE!E$52,IF(G19=50,KILOMETRAJE!E$53,IF(G19=51,KILOMETRAJE!E$54,IF(G19=52,KILOMETRAJE!E$55,IF(G19=53,KILOMETRAJE!E$56,IF(G19=54,KILOMETRAJE!E$57,IF(G19=55,KILOMETRAJE!E$58,IF(G19=56,KILOMETRAJE!E$59,IF(G19=57,KILOMETRAJE!E$60,IF(G19=58,KILOMETRAJE!E$61,IF(G19=59,KILOMETRAJE!E$62,IF(G19=60,KILOMETRAJE!E$63,IF(G19=61,KILOMETRAJE!E$64,IF(G19=62,KILOMETRAJE!E$65,IF(G19=63,KILOMETRAJE!E$66)))))))))))))))))))))))))))))))))))))))))))))))))))))))))))))))</f>
        <v>CHIH.</v>
      </c>
      <c r="J19" s="441">
        <f>IF(G19=1,KILOMETRAJE!G$4,IF(G19=2,KILOMETRAJE!G$5,IF(G19=3,KILOMETRAJE!G$6,IF(G19=4,KILOMETRAJE!G$7,IF(G19=5,KILOMETRAJE!G$8,IF(G19=6,KILOMETRAJE!G$9,IF(G19=7,KILOMETRAJE!G$10,IF(G19=8,KILOMETRAJE!G$11,IF(G19=9,KILOMETRAJE!G$12,IF(G19=10,KILOMETRAJE!G$13,IF(G19=11,KILOMETRAJE!G$14,IF(G19=12,KILOMETRAJE!G$15,IF(G19=13,KILOMETRAJE!G$16,IF(G19=14,KILOMETRAJE!G$17,IF(G19=15,KILOMETRAJE!G$18,IF(G19=16,KILOMETRAJE!G$19,IF(G19=17,KILOMETRAJE!G$20,IF(G19=18,KILOMETRAJE!G$21,IF(G19=19,KILOMETRAJE!G$22,IF(G19=20,KILOMETRAJE!G$23,IF(G19=21,KILOMETRAJE!G$24,IF(G19=22,KILOMETRAJE!G$25,IF(G19=23,KILOMETRAJE!G$26,IF(G19=24,KILOMETRAJE!G$27,IF(G19=25,KILOMETRAJE!G$28,IF(G19=26,KILOMETRAJE!G$29,IF(G19=27,KILOMETRAJE!G$30,IF(G19=28,KILOMETRAJE!G$31,IF(G19=29,KILOMETRAJE!G$32,IF(G19=30,KILOMETRAJE!G$33,IF(G19=31,KILOMETRAJE!G$34,IF(G19=32,KILOMETRAJE!G$35,IF(G19=33,KILOMETRAJE!G$36,IF(G19=34,KILOMETRAJE!G$37,IF(G19=35,KILOMETRAJE!G$38,IF(G19=36,KILOMETRAJE!G$39,IF(G19=37,KILOMETRAJE!G$40,IF(G19=38,KILOMETRAJE!G$41,IF(G19=39,KILOMETRAJE!G$42,IF(G19=40,KILOMETRAJE!G$43,IF(G19=41,KILOMETRAJE!G$44,IF(G19=42,KILOMETRAJE!G$45,IF(G19=43,KILOMETRAJE!G$46,IF(G19=44,KILOMETRAJE!G$47,IF(G19=45,KILOMETRAJE!G$48,IF(G19=46,KILOMETRAJE!G$49,IF(G19=47,KILOMETRAJE!G$50,IF(G19=48,KILOMETRAJE!G$51,IF(G19=49,KILOMETRAJE!G$52,IF(G19=50,KILOMETRAJE!G$53,IF(G19=51,KILOMETRAJE!G$54,IF(G19=52,KILOMETRAJE!G$55,IF(G19=53,KILOMETRAJE!G$56,IF(G19=54,KILOMETRAJE!G$57,IF(G19=55,KILOMETRAJE!G$58,IF(G19=56,KILOMETRAJE!G$59,IF(G19=57,KILOMETRAJE!G$60,IF(G19=58,KILOMETRAJE!G$61,IF(G19=59,KILOMETRAJE!G$62,IF(G19=60,KILOMETRAJE!G$63,IF(G19=61,KILOMETRAJE!G$64,IF(G19=62,KILOMETRAJE!G$65,IF(G19=63,KILOMETRAJE!G$66)))))))))))))))))))))))))))))))))))))))))))))))))))))))))))))))</f>
        <v>415</v>
      </c>
      <c r="K19" s="24"/>
      <c r="L19" s="44"/>
      <c r="M19" s="348">
        <v>12530</v>
      </c>
      <c r="N19" s="24">
        <v>4</v>
      </c>
      <c r="O19" s="24" t="s">
        <v>528</v>
      </c>
      <c r="P19" s="24" t="s">
        <v>199</v>
      </c>
      <c r="Q19" s="45">
        <f t="shared" ref="Q19:Q20" si="0">((((IF(N19=1,((J19)*0.29333)))+(IF(N19=2,((J19)*0.146666)))+(IF(N19=3,((J19)*0.146666)))))+(IF(N19=4,((J19-40)*0.29333)))+(IF(N19=5,((J19-50)*0.29333)))+(IF(N19=6,((J19-90)*0.29333))))</f>
        <v>109.99874999999999</v>
      </c>
      <c r="R19" s="191"/>
      <c r="S19" s="52"/>
      <c r="T19" s="455"/>
      <c r="U19" s="118"/>
      <c r="V19" s="17"/>
    </row>
    <row r="20" spans="2:22" ht="12.75" thickBot="1" x14ac:dyDescent="0.25">
      <c r="C20" s="101"/>
      <c r="D20" s="25" t="s">
        <v>527</v>
      </c>
      <c r="E20" s="25">
        <v>45962</v>
      </c>
      <c r="F20" s="25">
        <v>45962</v>
      </c>
      <c r="G20" s="62">
        <v>3</v>
      </c>
      <c r="H20" s="27" t="str">
        <f>IF(G20=1,KILOMETRAJE!C$4,IF(G20=2,KILOMETRAJE!C$5,IF(G20=3,KILOMETRAJE!C$6,IF(G20=4,KILOMETRAJE!C$7,IF(G20=5,KILOMETRAJE!C$8,IF(G20=6,KILOMETRAJE!C$9,IF(G20=7,KILOMETRAJE!C$10,IF(G20=8,KILOMETRAJE!C$11,IF(G20=9,KILOMETRAJE!C$12,IF(G20=10,KILOMETRAJE!C$13,IF(G20=11,KILOMETRAJE!C$14,IF(G20=12,KILOMETRAJE!C$15,IF(G20=13,KILOMETRAJE!C$16,IF(G20=14,KILOMETRAJE!C$17,IF(G20=15,KILOMETRAJE!C$18,IF(G20=16,KILOMETRAJE!C$19,IF(G20=17,KILOMETRAJE!C$20,IF(G20=18,KILOMETRAJE!C$21,IF(G20=19,KILOMETRAJE!C$22,IF(G20=20,KILOMETRAJE!C$23,IF(G20=21,KILOMETRAJE!C$24,IF(G20=22,KILOMETRAJE!C$25,IF(G20=23,KILOMETRAJE!C$26,IF(G20=24,KILOMETRAJE!C$27,IF(G20=25,KILOMETRAJE!C$28,IF(G20=26,KILOMETRAJE!C$29,IF(G20=27,KILOMETRAJE!C$30,IF(G20=28,KILOMETRAJE!C$31,IF(G20=29,KILOMETRAJE!C$32,IF(G20=30,KILOMETRAJE!C$33,IF(G20=31,KILOMETRAJE!C$34,IF(G20=32,KILOMETRAJE!C$35,IF(G20=33,KILOMETRAJE!C$36,IF(G20=34,KILOMETRAJE!C$37,IF(G20=35,KILOMETRAJE!C$38,IF(G20=36,KILOMETRAJE!C$39,IF(G20=37,KILOMETRAJE!C$40,IF(G20=38,KILOMETRAJE!C$41,IF(G20=39,KILOMETRAJE!C$42,IF(G20=40,KILOMETRAJE!C$43,IF(G20=41,KILOMETRAJE!C$44,IF(G20=42,KILOMETRAJE!C$45,IF(G20=43,KILOMETRAJE!C$46,IF(G20=44,KILOMETRAJE!C$47,IF(G20=45,KILOMETRAJE!C$48,IF(G20=46,KILOMETRAJE!C$49,IF(G20=47,KILOMETRAJE!C$50,IF(G20=48,KILOMETRAJE!C$51,IF(G20=49,KILOMETRAJE!C$52,IF(G20=50,KILOMETRAJE!C$53,IF(G20=51,KILOMETRAJE!C$54,IF(G20=52,KILOMETRAJE!C$55,IF(G20=53,KILOMETRAJE!C$56,IF(G20=54,KILOMETRAJE!C$57,IF(G20=55,KILOMETRAJE!C$58,IF(G20=56,KILOMETRAJE!C$59,IF(G20=57,KILOMETRAJE!C$60,IF(G20=58,KILOMETRAJE!C$61,IF(G20=59,KILOMETRAJE!C$62,IF(G20=60,KILOMETRAJE!C$63,IF(G20=61,KILOMETRAJE!C$64,IF(G20=62,KILOMETRAJE!C$65,IF(G20=63,KILOMETRAJE!C$66)))))))))))))))))))))))))))))))))))))))))))))))))))))))))))))))</f>
        <v xml:space="preserve">CHIH. </v>
      </c>
      <c r="I20" s="27" t="str">
        <f>IF(G20=1,KILOMETRAJE!E$4,IF(G20=2,KILOMETRAJE!E$5,IF(G20=3,KILOMETRAJE!E$6,IF(G20=4,KILOMETRAJE!E$7,IF(G20=5,KILOMETRAJE!E$8,IF(G20=6,KILOMETRAJE!E$9,IF(G20=7,KILOMETRAJE!E$10,IF(G20=8,KILOMETRAJE!E$11,IF(G20=9,KILOMETRAJE!E$12,IF(G20=10,KILOMETRAJE!E$13,IF(G20=11,KILOMETRAJE!E$14,IF(G20=12,KILOMETRAJE!E$15,IF(G20=13,KILOMETRAJE!E$16,IF(G20=14,KILOMETRAJE!E$17,IF(G20=15,KILOMETRAJE!E$18,IF(G20=16,KILOMETRAJE!E$19,IF(G20=17,KILOMETRAJE!E$20,IF(G20=18,KILOMETRAJE!E$21,IF(G20=19,KILOMETRAJE!E$22,IF(G20=20,KILOMETRAJE!E$23,IF(G20=21,KILOMETRAJE!E$24,IF(G20=22,KILOMETRAJE!E$25,IF(G20=23,KILOMETRAJE!E$26,IF(G20=24,KILOMETRAJE!E$27,IF(G20=25,KILOMETRAJE!E$28,IF(G20=26,KILOMETRAJE!E$29,IF(G20=27,KILOMETRAJE!E$30,IF(G20=28,KILOMETRAJE!E$31,IF(G20=29,KILOMETRAJE!E$32,IF(G20=30,KILOMETRAJE!E$33,IF(G20=31,KILOMETRAJE!E$34,IF(G20=32,KILOMETRAJE!E$35,IF(G20=33,KILOMETRAJE!E$36,IF(G20=34,KILOMETRAJE!E$37,IF(G20=35,KILOMETRAJE!E$38,IF(G20=36,KILOMETRAJE!E$39,IF(G20=37,KILOMETRAJE!E$40,IF(G20=38,KILOMETRAJE!E$41,IF(G20=39,KILOMETRAJE!E$42,IF(G20=40,KILOMETRAJE!E$43,IF(G20=41,KILOMETRAJE!E$44,IF(G20=42,KILOMETRAJE!E$45,IF(G20=43,KILOMETRAJE!E$46,IF(G20=44,KILOMETRAJE!E$47,IF(G20=45,KILOMETRAJE!E$48,IF(G20=46,KILOMETRAJE!E$49,IF(G20=47,KILOMETRAJE!E$50,IF(G20=48,KILOMETRAJE!E$51,IF(G20=49,KILOMETRAJE!E$52,IF(G20=50,KILOMETRAJE!E$53,IF(G20=51,KILOMETRAJE!E$54,IF(G20=52,KILOMETRAJE!E$55,IF(G20=53,KILOMETRAJE!E$56,IF(G20=54,KILOMETRAJE!E$57,IF(G20=55,KILOMETRAJE!E$58,IF(G20=56,KILOMETRAJE!E$59,IF(G20=57,KILOMETRAJE!E$60,IF(G20=58,KILOMETRAJE!E$61,IF(G20=59,KILOMETRAJE!E$62,IF(G20=60,KILOMETRAJE!E$63,IF(G20=61,KILOMETRAJE!E$64,IF(G20=62,KILOMETRAJE!E$65,IF(G20=63,KILOMETRAJE!E$66)))))))))))))))))))))))))))))))))))))))))))))))))))))))))))))))</f>
        <v>JRZ</v>
      </c>
      <c r="J20" s="31">
        <f>IF(G20=1,KILOMETRAJE!G$4,IF(G20=2,KILOMETRAJE!G$5,IF(G20=3,KILOMETRAJE!G$6,IF(G20=4,KILOMETRAJE!G$7,IF(G20=5,KILOMETRAJE!G$8,IF(G20=6,KILOMETRAJE!G$9,IF(G20=7,KILOMETRAJE!G$10,IF(G20=8,KILOMETRAJE!G$11,IF(G20=9,KILOMETRAJE!G$12,IF(G20=10,KILOMETRAJE!G$13,IF(G20=11,KILOMETRAJE!G$14,IF(G20=12,KILOMETRAJE!G$15,IF(G20=13,KILOMETRAJE!G$16,IF(G20=14,KILOMETRAJE!G$17,IF(G20=15,KILOMETRAJE!G$18,IF(G20=16,KILOMETRAJE!G$19,IF(G20=17,KILOMETRAJE!G$20,IF(G20=18,KILOMETRAJE!G$21,IF(G20=19,KILOMETRAJE!G$22,IF(G20=20,KILOMETRAJE!G$23,IF(G20=21,KILOMETRAJE!G$24,IF(G20=22,KILOMETRAJE!G$25,IF(G20=23,KILOMETRAJE!G$26,IF(G20=24,KILOMETRAJE!G$27,IF(G20=25,KILOMETRAJE!G$28,IF(G20=26,KILOMETRAJE!G$29,IF(G20=27,KILOMETRAJE!G$30,IF(G20=28,KILOMETRAJE!G$31,IF(G20=29,KILOMETRAJE!G$32,IF(G20=30,KILOMETRAJE!G$33,IF(G20=31,KILOMETRAJE!G$34,IF(G20=32,KILOMETRAJE!G$35,IF(G20=33,KILOMETRAJE!G$36,IF(G20=34,KILOMETRAJE!G$37,IF(G20=35,KILOMETRAJE!G$38,IF(G20=36,KILOMETRAJE!G$39,IF(G20=37,KILOMETRAJE!G$40,IF(G20=38,KILOMETRAJE!G$41,IF(G20=39,KILOMETRAJE!G$42,IF(G20=40,KILOMETRAJE!G$43,IF(G20=41,KILOMETRAJE!G$44,IF(G20=42,KILOMETRAJE!G$45,IF(G20=43,KILOMETRAJE!G$46,IF(G20=44,KILOMETRAJE!G$47,IF(G20=45,KILOMETRAJE!G$48,IF(G20=46,KILOMETRAJE!G$49,IF(G20=47,KILOMETRAJE!G$50,IF(G20=48,KILOMETRAJE!G$51,IF(G20=49,KILOMETRAJE!G$52,IF(G20=50,KILOMETRAJE!G$53,IF(G20=51,KILOMETRAJE!G$54,IF(G20=52,KILOMETRAJE!G$55,IF(G20=53,KILOMETRAJE!G$56,IF(G20=54,KILOMETRAJE!G$57,IF(G20=55,KILOMETRAJE!G$58,IF(G20=56,KILOMETRAJE!G$59,IF(G20=57,KILOMETRAJE!G$60,IF(G20=58,KILOMETRAJE!G$61,IF(G20=59,KILOMETRAJE!G$62,IF(G20=60,KILOMETRAJE!G$63,IF(G20=61,KILOMETRAJE!G$64,IF(G20=62,KILOMETRAJE!G$65,IF(G20=63,KILOMETRAJE!G$66)))))))))))))))))))))))))))))))))))))))))))))))))))))))))))))))</f>
        <v>375</v>
      </c>
      <c r="K20" s="27">
        <v>245.01</v>
      </c>
      <c r="L20" s="28">
        <f>SUM(J19:J20)/K20</f>
        <v>3.2243581894616549</v>
      </c>
      <c r="M20" s="349">
        <v>8329</v>
      </c>
      <c r="N20" s="27">
        <v>1</v>
      </c>
      <c r="O20" s="27" t="s">
        <v>427</v>
      </c>
      <c r="P20" s="319" t="s">
        <v>194</v>
      </c>
      <c r="Q20" s="336">
        <f t="shared" si="0"/>
        <v>109.99874999999999</v>
      </c>
      <c r="R20" s="190">
        <f>+LOOKUP(P40,UNIDADES!B$3:B$59,UNIDADES!C$3:C$59)</f>
        <v>2.3734099999999998</v>
      </c>
      <c r="S20" s="19">
        <f>+((SUM(J19:J20)-40)/R20)-K20</f>
        <v>70.991028056677976</v>
      </c>
      <c r="T20" s="456">
        <f>+S20*14.85</f>
        <v>1054.2167666416678</v>
      </c>
      <c r="U20" s="480"/>
      <c r="V20" s="417"/>
    </row>
    <row r="21" spans="2:22" hidden="1" x14ac:dyDescent="0.2">
      <c r="C21" s="238"/>
      <c r="D21" s="36"/>
      <c r="E21" s="37"/>
      <c r="F21" s="37"/>
      <c r="G21" s="36"/>
      <c r="H21" s="259"/>
      <c r="I21" s="259"/>
      <c r="J21" s="39"/>
      <c r="K21" s="38"/>
      <c r="L21" s="48"/>
      <c r="M21" s="350"/>
      <c r="N21" s="38"/>
      <c r="O21" s="38"/>
      <c r="P21" s="38"/>
      <c r="Q21" s="40"/>
      <c r="R21" s="192"/>
      <c r="S21" s="186"/>
      <c r="T21" s="458"/>
      <c r="U21" s="310"/>
      <c r="V21" s="479"/>
    </row>
    <row r="22" spans="2:22" ht="12.75" hidden="1" thickBot="1" x14ac:dyDescent="0.25">
      <c r="C22" s="101"/>
      <c r="D22" s="25"/>
      <c r="E22" s="25"/>
      <c r="F22" s="25"/>
      <c r="G22" s="62"/>
      <c r="H22" s="27"/>
      <c r="I22" s="27"/>
      <c r="J22" s="31"/>
      <c r="K22" s="27"/>
      <c r="L22" s="28"/>
      <c r="M22" s="349"/>
      <c r="N22" s="27"/>
      <c r="O22" s="27"/>
      <c r="P22" s="27"/>
      <c r="Q22" s="29"/>
      <c r="R22" s="190"/>
      <c r="S22" s="19"/>
      <c r="T22" s="456"/>
      <c r="U22" s="114"/>
      <c r="V22" s="478"/>
    </row>
    <row r="23" spans="2:22" hidden="1" x14ac:dyDescent="0.2">
      <c r="C23" s="238"/>
      <c r="D23" s="37"/>
      <c r="E23" s="37"/>
      <c r="F23" s="37"/>
      <c r="G23" s="36"/>
      <c r="H23" s="236"/>
      <c r="I23" s="236"/>
      <c r="J23" s="51"/>
      <c r="K23" s="24"/>
      <c r="L23" s="44"/>
      <c r="M23" s="348"/>
      <c r="N23" s="24"/>
      <c r="O23" s="24"/>
      <c r="P23" s="24"/>
      <c r="Q23" s="45"/>
      <c r="R23" s="191"/>
      <c r="S23" s="52"/>
      <c r="T23" s="455"/>
      <c r="U23" s="118"/>
      <c r="V23" s="17"/>
    </row>
    <row r="24" spans="2:22" ht="12.75" hidden="1" thickBot="1" x14ac:dyDescent="0.25">
      <c r="C24" s="239"/>
      <c r="D24" s="68"/>
      <c r="E24" s="69"/>
      <c r="F24" s="69"/>
      <c r="G24" s="68"/>
      <c r="H24" s="27"/>
      <c r="I24" s="27"/>
      <c r="J24" s="31"/>
      <c r="K24" s="27"/>
      <c r="L24" s="28"/>
      <c r="M24" s="349"/>
      <c r="N24" s="27"/>
      <c r="O24" s="27"/>
      <c r="P24" s="27"/>
      <c r="Q24" s="29"/>
      <c r="R24" s="190"/>
      <c r="S24" s="19"/>
      <c r="T24" s="456"/>
      <c r="U24" s="282"/>
      <c r="V24" s="417"/>
    </row>
    <row r="25" spans="2:22" hidden="1" x14ac:dyDescent="0.2">
      <c r="C25" s="176"/>
      <c r="D25" s="43"/>
      <c r="E25" s="42"/>
      <c r="F25" s="42"/>
      <c r="G25" s="43"/>
      <c r="H25" s="236"/>
      <c r="I25" s="236"/>
      <c r="J25" s="51"/>
      <c r="K25" s="24"/>
      <c r="L25" s="44"/>
      <c r="M25" s="348"/>
      <c r="N25" s="24"/>
      <c r="O25" s="24"/>
      <c r="P25" s="24"/>
      <c r="Q25" s="45"/>
      <c r="R25" s="191"/>
      <c r="S25" s="52"/>
      <c r="T25" s="455"/>
      <c r="U25" s="118"/>
      <c r="V25" s="17"/>
    </row>
    <row r="26" spans="2:22" ht="12.75" hidden="1" thickBot="1" x14ac:dyDescent="0.25">
      <c r="C26" s="101"/>
      <c r="D26" s="62"/>
      <c r="E26" s="25"/>
      <c r="F26" s="25"/>
      <c r="G26" s="62"/>
      <c r="H26" s="27"/>
      <c r="I26" s="27"/>
      <c r="J26" s="31"/>
      <c r="K26" s="27"/>
      <c r="L26" s="28"/>
      <c r="M26" s="349"/>
      <c r="N26" s="27"/>
      <c r="O26" s="27"/>
      <c r="P26" s="27"/>
      <c r="Q26" s="29"/>
      <c r="R26" s="190"/>
      <c r="S26" s="19"/>
      <c r="T26" s="456"/>
      <c r="U26" s="282"/>
      <c r="V26" s="417"/>
    </row>
    <row r="27" spans="2:22" hidden="1" x14ac:dyDescent="0.2">
      <c r="C27" s="238"/>
      <c r="D27" s="36"/>
      <c r="E27" s="37"/>
      <c r="F27" s="37"/>
      <c r="G27" s="36"/>
      <c r="H27" s="38"/>
      <c r="I27" s="38"/>
      <c r="J27" s="39"/>
      <c r="K27" s="38"/>
      <c r="L27" s="48"/>
      <c r="M27" s="348"/>
      <c r="N27" s="38"/>
      <c r="O27" s="38"/>
      <c r="P27" s="38"/>
      <c r="Q27" s="40"/>
      <c r="R27" s="192"/>
      <c r="S27" s="186"/>
      <c r="T27" s="458"/>
      <c r="U27" s="310"/>
      <c r="V27" s="479"/>
    </row>
    <row r="28" spans="2:22" ht="12.75" hidden="1" thickBot="1" x14ac:dyDescent="0.25">
      <c r="C28" s="101"/>
      <c r="D28" s="62"/>
      <c r="E28" s="25"/>
      <c r="F28" s="25"/>
      <c r="G28" s="62"/>
      <c r="H28" s="27"/>
      <c r="I28" s="27"/>
      <c r="J28" s="31"/>
      <c r="K28" s="27"/>
      <c r="L28" s="28"/>
      <c r="M28" s="349"/>
      <c r="N28" s="27"/>
      <c r="O28" s="27"/>
      <c r="P28" s="27"/>
      <c r="Q28" s="29"/>
      <c r="R28" s="190"/>
      <c r="S28" s="19"/>
      <c r="T28" s="456"/>
      <c r="U28" s="94"/>
      <c r="V28" s="415"/>
    </row>
    <row r="29" spans="2:22" hidden="1" x14ac:dyDescent="0.2">
      <c r="C29" s="238"/>
      <c r="D29" s="36"/>
      <c r="E29" s="37"/>
      <c r="F29" s="37"/>
      <c r="G29" s="36"/>
      <c r="H29" s="38"/>
      <c r="I29" s="38"/>
      <c r="J29" s="39"/>
      <c r="K29" s="38"/>
      <c r="L29" s="48"/>
      <c r="M29" s="350"/>
      <c r="N29" s="38"/>
      <c r="O29" s="38"/>
      <c r="P29" s="38"/>
      <c r="Q29" s="40"/>
      <c r="R29" s="192"/>
      <c r="S29" s="186"/>
      <c r="T29" s="458"/>
      <c r="U29" s="94"/>
      <c r="V29" s="415"/>
    </row>
    <row r="30" spans="2:22" ht="12.75" hidden="1" thickBot="1" x14ac:dyDescent="0.25">
      <c r="C30" s="101"/>
      <c r="D30" s="62"/>
      <c r="E30" s="25"/>
      <c r="F30" s="25"/>
      <c r="G30" s="62"/>
      <c r="H30" s="27"/>
      <c r="I30" s="27"/>
      <c r="J30" s="31"/>
      <c r="K30" s="27"/>
      <c r="L30" s="28"/>
      <c r="M30" s="349"/>
      <c r="N30" s="27"/>
      <c r="O30" s="27"/>
      <c r="P30" s="27"/>
      <c r="Q30" s="29"/>
      <c r="R30" s="190"/>
      <c r="S30" s="19"/>
      <c r="T30" s="456"/>
      <c r="U30" s="94"/>
      <c r="V30" s="415"/>
    </row>
    <row r="31" spans="2:22" hidden="1" x14ac:dyDescent="0.2">
      <c r="C31" s="176"/>
      <c r="D31" s="43"/>
      <c r="E31" s="42"/>
      <c r="F31" s="42"/>
      <c r="G31" s="43"/>
      <c r="H31" s="24"/>
      <c r="I31" s="24"/>
      <c r="J31" s="51"/>
      <c r="K31" s="24"/>
      <c r="L31" s="44"/>
      <c r="M31" s="350"/>
      <c r="N31" s="24"/>
      <c r="O31" s="24"/>
      <c r="P31" s="24"/>
      <c r="Q31" s="45"/>
      <c r="R31" s="192"/>
      <c r="S31" s="52"/>
      <c r="T31" s="455"/>
      <c r="U31" s="94"/>
      <c r="V31" s="415"/>
    </row>
    <row r="32" spans="2:22" ht="12.75" hidden="1" thickBot="1" x14ac:dyDescent="0.25">
      <c r="C32" s="101"/>
      <c r="D32" s="62"/>
      <c r="E32" s="25"/>
      <c r="F32" s="25"/>
      <c r="G32" s="62"/>
      <c r="H32" s="27"/>
      <c r="I32" s="27"/>
      <c r="J32" s="31"/>
      <c r="K32" s="27"/>
      <c r="L32" s="28"/>
      <c r="M32" s="349"/>
      <c r="N32" s="27"/>
      <c r="O32" s="27"/>
      <c r="P32" s="27"/>
      <c r="Q32" s="29"/>
      <c r="R32" s="190"/>
      <c r="S32" s="19"/>
      <c r="T32" s="456"/>
      <c r="U32" s="282"/>
      <c r="V32" s="417"/>
    </row>
    <row r="33" spans="3:23" ht="12.75" thickBot="1" x14ac:dyDescent="0.25">
      <c r="I33" s="15"/>
      <c r="R33" s="193"/>
      <c r="S33" s="15"/>
    </row>
    <row r="34" spans="3:23" x14ac:dyDescent="0.2">
      <c r="E34" s="629" t="s">
        <v>34</v>
      </c>
      <c r="F34" s="646">
        <f>+'AGUILAR ESQUIVEL CARLOS'!F34</f>
        <v>45957</v>
      </c>
      <c r="G34" s="647"/>
      <c r="H34" s="16">
        <f>+F34+1</f>
        <v>45958</v>
      </c>
      <c r="I34" s="16">
        <f>+H34+1</f>
        <v>45959</v>
      </c>
      <c r="J34" s="16">
        <f>+I34+1</f>
        <v>45960</v>
      </c>
      <c r="K34" s="16">
        <f>+J34+1</f>
        <v>45961</v>
      </c>
      <c r="L34" s="16">
        <f>+K34+2</f>
        <v>45963</v>
      </c>
      <c r="M34" s="17" t="s">
        <v>35</v>
      </c>
    </row>
    <row r="35" spans="3:23" ht="12.75" thickBot="1" x14ac:dyDescent="0.25">
      <c r="E35" s="630"/>
      <c r="F35" s="648"/>
      <c r="G35" s="649"/>
      <c r="H35" s="29"/>
      <c r="I35" s="29"/>
      <c r="J35" s="29"/>
      <c r="K35" s="29">
        <v>1325</v>
      </c>
      <c r="L35" s="29"/>
      <c r="M35" s="30">
        <f>SUM(F35:L35)</f>
        <v>1325</v>
      </c>
    </row>
    <row r="36" spans="3:23" ht="12.75" thickBot="1" x14ac:dyDescent="0.25">
      <c r="I36" s="15"/>
    </row>
    <row r="37" spans="3:23" ht="13.5" thickBot="1" x14ac:dyDescent="0.25">
      <c r="C37" s="608" t="s">
        <v>36</v>
      </c>
      <c r="D37" s="609"/>
      <c r="E37" s="609"/>
      <c r="F37" s="609"/>
      <c r="G37" s="610"/>
      <c r="I37" s="620" t="s">
        <v>37</v>
      </c>
      <c r="J37" s="621"/>
      <c r="K37" s="621"/>
      <c r="L37" s="622"/>
      <c r="M37" s="298"/>
      <c r="O37" s="611" t="s">
        <v>38</v>
      </c>
      <c r="P37" s="612"/>
      <c r="Q37" s="613">
        <f>+F49-L46</f>
        <v>2849.2142666416676</v>
      </c>
      <c r="R37" s="614"/>
      <c r="S37" s="615"/>
    </row>
    <row r="38" spans="3:23" ht="12.75" thickBot="1" x14ac:dyDescent="0.25">
      <c r="C38" s="616" t="s">
        <v>219</v>
      </c>
      <c r="D38" s="617"/>
      <c r="E38" s="617"/>
      <c r="F38" s="618">
        <f>SUM(Q18:Q34)</f>
        <v>219.99749999999997</v>
      </c>
      <c r="G38" s="619"/>
      <c r="I38" s="114" t="s">
        <v>125</v>
      </c>
      <c r="J38" s="68" t="s">
        <v>126</v>
      </c>
      <c r="K38" s="68" t="s">
        <v>70</v>
      </c>
      <c r="L38" s="115" t="s">
        <v>127</v>
      </c>
      <c r="M38" s="346"/>
    </row>
    <row r="39" spans="3:23" ht="13.5" customHeight="1" thickBot="1" x14ac:dyDescent="0.25">
      <c r="C39" s="602" t="s">
        <v>220</v>
      </c>
      <c r="D39" s="603"/>
      <c r="E39" s="603"/>
      <c r="F39" s="604">
        <f>SUM(T18:T33)</f>
        <v>1054.2167666416678</v>
      </c>
      <c r="G39" s="605"/>
      <c r="I39" s="328"/>
      <c r="J39" s="329"/>
      <c r="K39" s="43"/>
      <c r="L39" s="119"/>
      <c r="M39" s="346"/>
      <c r="O39" s="74" t="s">
        <v>70</v>
      </c>
      <c r="P39" s="75" t="s">
        <v>71</v>
      </c>
      <c r="Q39" s="76" t="s">
        <v>72</v>
      </c>
      <c r="R39" s="64"/>
      <c r="S39" s="77" t="s">
        <v>73</v>
      </c>
      <c r="T39" s="75" t="s">
        <v>74</v>
      </c>
      <c r="U39" s="74" t="s">
        <v>145</v>
      </c>
      <c r="V39" s="75" t="s">
        <v>146</v>
      </c>
      <c r="W39" s="75" t="s">
        <v>284</v>
      </c>
    </row>
    <row r="40" spans="3:23" x14ac:dyDescent="0.2">
      <c r="C40" s="602" t="s">
        <v>34</v>
      </c>
      <c r="D40" s="603"/>
      <c r="E40" s="603"/>
      <c r="F40" s="604">
        <f>+M35</f>
        <v>1325</v>
      </c>
      <c r="G40" s="605"/>
      <c r="I40" s="94"/>
      <c r="J40" s="117"/>
      <c r="K40" s="117"/>
      <c r="L40" s="111"/>
      <c r="M40" s="346"/>
      <c r="O40" s="78">
        <v>46143</v>
      </c>
      <c r="P40" s="79" t="s">
        <v>63</v>
      </c>
      <c r="Q40" s="80">
        <v>557287</v>
      </c>
      <c r="R40" s="80"/>
      <c r="S40" s="63">
        <v>558027</v>
      </c>
      <c r="T40" s="53">
        <f>+S40-Q40</f>
        <v>740</v>
      </c>
      <c r="U40" s="137">
        <f>SUM(J19:J20)</f>
        <v>790</v>
      </c>
      <c r="V40" s="79">
        <f>+K20</f>
        <v>245.01</v>
      </c>
      <c r="W40" s="353">
        <f>(SUM(M19:M20)/2)</f>
        <v>10429.5</v>
      </c>
    </row>
    <row r="41" spans="3:23" x14ac:dyDescent="0.2">
      <c r="C41" s="602" t="s">
        <v>186</v>
      </c>
      <c r="D41" s="603"/>
      <c r="E41" s="603"/>
      <c r="F41" s="604"/>
      <c r="G41" s="605"/>
      <c r="I41" s="94"/>
      <c r="J41" s="117"/>
      <c r="K41" s="61"/>
      <c r="L41" s="111"/>
      <c r="M41" s="346"/>
      <c r="O41" s="32"/>
      <c r="P41" s="53"/>
      <c r="Q41" s="63"/>
      <c r="R41" s="63"/>
      <c r="S41" s="11"/>
      <c r="T41" s="53">
        <f>+S41-Q41</f>
        <v>0</v>
      </c>
      <c r="U41" s="136">
        <f>SUM(J21:J22)</f>
        <v>0</v>
      </c>
      <c r="V41" s="53">
        <f>+K22</f>
        <v>0</v>
      </c>
      <c r="W41" s="354">
        <f>(SUM(M21:M22)/2)</f>
        <v>0</v>
      </c>
    </row>
    <row r="42" spans="3:23" x14ac:dyDescent="0.2">
      <c r="C42" s="602" t="s">
        <v>39</v>
      </c>
      <c r="D42" s="603"/>
      <c r="E42" s="603"/>
      <c r="F42" s="604"/>
      <c r="G42" s="605"/>
      <c r="I42" s="94"/>
      <c r="J42" s="117"/>
      <c r="K42" s="61"/>
      <c r="L42" s="111"/>
      <c r="M42" s="346"/>
      <c r="O42" s="32"/>
      <c r="P42" s="53"/>
      <c r="Q42" s="63"/>
      <c r="R42" s="63"/>
      <c r="S42" s="11"/>
      <c r="T42" s="53">
        <f>+S42-Q42</f>
        <v>0</v>
      </c>
      <c r="U42" s="136">
        <f>SUM(J23:J24)</f>
        <v>0</v>
      </c>
      <c r="V42" s="53">
        <f>+K24</f>
        <v>0</v>
      </c>
      <c r="W42" s="354">
        <f>(SUM(M23:M24)/2)</f>
        <v>0</v>
      </c>
    </row>
    <row r="43" spans="3:23" x14ac:dyDescent="0.2">
      <c r="C43" s="602" t="s">
        <v>116</v>
      </c>
      <c r="D43" s="603"/>
      <c r="E43" s="603"/>
      <c r="F43" s="604">
        <v>250</v>
      </c>
      <c r="G43" s="605"/>
      <c r="I43" s="94"/>
      <c r="J43" s="117"/>
      <c r="K43" s="61"/>
      <c r="L43" s="111"/>
      <c r="M43" s="346"/>
      <c r="O43" s="32"/>
      <c r="P43" s="53"/>
      <c r="Q43" s="63"/>
      <c r="R43" s="63"/>
      <c r="S43" s="11"/>
      <c r="T43" s="53">
        <f t="shared" ref="T43:T45" si="1">+S43-Q43</f>
        <v>0</v>
      </c>
      <c r="U43" s="136">
        <f>SUM(J25:J26)</f>
        <v>0</v>
      </c>
      <c r="V43" s="53">
        <f>+K26</f>
        <v>0</v>
      </c>
      <c r="W43" s="354">
        <f>(SUM(M25:M26)/2)</f>
        <v>0</v>
      </c>
    </row>
    <row r="44" spans="3:23" x14ac:dyDescent="0.2">
      <c r="C44" s="602" t="s">
        <v>40</v>
      </c>
      <c r="D44" s="603"/>
      <c r="E44" s="603"/>
      <c r="F44" s="604"/>
      <c r="G44" s="605"/>
      <c r="I44" s="94"/>
      <c r="J44" s="117"/>
      <c r="K44" s="61"/>
      <c r="L44" s="111"/>
      <c r="M44" s="346"/>
      <c r="O44" s="32"/>
      <c r="P44" s="53"/>
      <c r="Q44" s="63"/>
      <c r="R44" s="95"/>
      <c r="S44" s="11"/>
      <c r="T44" s="53">
        <f t="shared" si="1"/>
        <v>0</v>
      </c>
      <c r="U44" s="136">
        <f>SUM(J27:J28)</f>
        <v>0</v>
      </c>
      <c r="V44" s="53">
        <f>+K28</f>
        <v>0</v>
      </c>
      <c r="W44" s="354">
        <f>(SUM(M27:M28)/2)</f>
        <v>0</v>
      </c>
    </row>
    <row r="45" spans="3:23" ht="12.75" thickBot="1" x14ac:dyDescent="0.25">
      <c r="C45" s="602" t="s">
        <v>350</v>
      </c>
      <c r="D45" s="603"/>
      <c r="E45" s="603"/>
      <c r="F45" s="604"/>
      <c r="G45" s="605"/>
      <c r="I45" s="282"/>
      <c r="J45" s="285"/>
      <c r="K45" s="62"/>
      <c r="L45" s="283"/>
      <c r="M45" s="346"/>
      <c r="O45" s="32"/>
      <c r="P45" s="53"/>
      <c r="Q45" s="63"/>
      <c r="R45" s="95"/>
      <c r="S45" s="11"/>
      <c r="T45" s="53">
        <f t="shared" si="1"/>
        <v>0</v>
      </c>
      <c r="U45" s="136">
        <f>SUM(J29:J30)</f>
        <v>0</v>
      </c>
      <c r="V45" s="53">
        <f>+K30</f>
        <v>0</v>
      </c>
      <c r="W45" s="354">
        <f>(SUM(M29:M30)/2)</f>
        <v>0</v>
      </c>
    </row>
    <row r="46" spans="3:23" ht="13.5" customHeight="1" thickBot="1" x14ac:dyDescent="0.25">
      <c r="C46" s="602" t="s">
        <v>317</v>
      </c>
      <c r="D46" s="603"/>
      <c r="E46" s="603"/>
      <c r="F46" s="606"/>
      <c r="G46" s="607"/>
      <c r="I46" s="597" t="s">
        <v>41</v>
      </c>
      <c r="J46" s="598"/>
      <c r="K46" s="632"/>
      <c r="L46" s="284">
        <f>SUM(L39:L45)</f>
        <v>0</v>
      </c>
      <c r="M46" s="347"/>
      <c r="O46" s="113"/>
      <c r="P46" s="264"/>
      <c r="Q46" s="265"/>
      <c r="R46" s="83"/>
      <c r="S46" s="81"/>
      <c r="T46" s="82"/>
      <c r="U46" s="138">
        <f>SUM(J31:J32)</f>
        <v>0</v>
      </c>
      <c r="V46" s="55">
        <f>+K32</f>
        <v>0</v>
      </c>
      <c r="W46" s="355">
        <f>(SUM(M31:M32)/2)</f>
        <v>0</v>
      </c>
    </row>
    <row r="47" spans="3:23" ht="13.5" customHeight="1" x14ac:dyDescent="0.2">
      <c r="C47" s="602" t="s">
        <v>243</v>
      </c>
      <c r="D47" s="603"/>
      <c r="E47" s="603"/>
      <c r="F47" s="606"/>
      <c r="G47" s="607"/>
      <c r="R47" s="21"/>
      <c r="S47" s="21"/>
      <c r="T47" s="21"/>
      <c r="U47" s="139"/>
      <c r="V47" s="271"/>
    </row>
    <row r="48" spans="3:23" ht="13.5" customHeight="1" thickBot="1" x14ac:dyDescent="0.25">
      <c r="C48" s="593" t="s">
        <v>316</v>
      </c>
      <c r="D48" s="594"/>
      <c r="E48" s="594"/>
      <c r="F48" s="595"/>
      <c r="G48" s="596"/>
      <c r="R48" s="21"/>
      <c r="S48" s="21"/>
      <c r="T48" s="21"/>
      <c r="U48" s="139"/>
      <c r="V48" s="271"/>
    </row>
    <row r="49" spans="3:22" ht="13.5" thickBot="1" x14ac:dyDescent="0.25">
      <c r="C49" s="597" t="s">
        <v>42</v>
      </c>
      <c r="D49" s="598"/>
      <c r="E49" s="599"/>
      <c r="F49" s="600">
        <f>SUM(F38:G48)</f>
        <v>2849.2142666416676</v>
      </c>
      <c r="G49" s="601"/>
      <c r="R49" s="21"/>
      <c r="S49" s="21"/>
      <c r="T49" s="21"/>
      <c r="U49" s="139"/>
      <c r="V49" s="271"/>
    </row>
    <row r="50" spans="3:22" ht="13.5" customHeight="1" thickBot="1" x14ac:dyDescent="0.25">
      <c r="P50" s="588" t="s">
        <v>48</v>
      </c>
      <c r="Q50" s="589"/>
      <c r="R50" s="590"/>
      <c r="S50" s="21"/>
      <c r="T50" s="21"/>
      <c r="U50" s="139"/>
      <c r="V50" s="271"/>
    </row>
    <row r="51" spans="3:22" ht="12.75" customHeight="1" x14ac:dyDescent="0.2">
      <c r="C51" s="246" t="s">
        <v>43</v>
      </c>
      <c r="D51" s="247"/>
      <c r="E51" s="247"/>
      <c r="F51" s="247"/>
      <c r="G51" s="247"/>
      <c r="H51" s="247"/>
      <c r="I51" s="247"/>
      <c r="J51" s="247"/>
      <c r="K51" s="247"/>
      <c r="L51" s="248"/>
      <c r="M51" s="251"/>
      <c r="P51" s="78">
        <v>1</v>
      </c>
      <c r="Q51" s="584" t="s">
        <v>49</v>
      </c>
      <c r="R51" s="585"/>
      <c r="S51" s="21"/>
      <c r="T51" s="21"/>
      <c r="U51" s="249"/>
    </row>
    <row r="52" spans="3:22" ht="12.75" customHeight="1" x14ac:dyDescent="0.2">
      <c r="C52" s="250"/>
      <c r="D52" s="251"/>
      <c r="E52" s="251"/>
      <c r="F52" s="251"/>
      <c r="G52" s="251"/>
      <c r="H52" s="251"/>
      <c r="I52" s="251"/>
      <c r="J52" s="251"/>
      <c r="K52" s="251"/>
      <c r="L52" s="252"/>
      <c r="M52" s="251"/>
      <c r="P52" s="32">
        <v>2</v>
      </c>
      <c r="Q52" s="586" t="s">
        <v>135</v>
      </c>
      <c r="R52" s="587"/>
      <c r="S52" s="21"/>
      <c r="T52" s="249"/>
    </row>
    <row r="53" spans="3:22" ht="12.75" thickBot="1" x14ac:dyDescent="0.25">
      <c r="C53" s="253"/>
      <c r="D53" s="254"/>
      <c r="E53" s="254"/>
      <c r="F53" s="254"/>
      <c r="G53" s="254"/>
      <c r="H53" s="254"/>
      <c r="I53" s="254"/>
      <c r="J53" s="254"/>
      <c r="K53" s="254"/>
      <c r="L53" s="255"/>
      <c r="M53" s="251"/>
      <c r="P53" s="32">
        <v>3</v>
      </c>
      <c r="Q53" s="586" t="s">
        <v>130</v>
      </c>
      <c r="R53" s="587"/>
      <c r="S53" s="21"/>
      <c r="T53" s="249"/>
    </row>
    <row r="54" spans="3:22" x14ac:dyDescent="0.2">
      <c r="P54" s="32">
        <v>4</v>
      </c>
      <c r="Q54" s="586" t="s">
        <v>228</v>
      </c>
      <c r="R54" s="587"/>
      <c r="S54" s="21"/>
      <c r="T54" s="249"/>
    </row>
    <row r="55" spans="3:22" ht="12.75" thickBot="1" x14ac:dyDescent="0.25">
      <c r="P55" s="32">
        <v>5</v>
      </c>
      <c r="Q55" s="586" t="s">
        <v>229</v>
      </c>
      <c r="R55" s="587"/>
      <c r="S55" s="21"/>
    </row>
    <row r="56" spans="3:22" ht="14.25" customHeight="1" thickTop="1" thickBot="1" x14ac:dyDescent="0.25">
      <c r="D56" s="631" t="s">
        <v>44</v>
      </c>
      <c r="E56" s="631"/>
      <c r="F56" s="631"/>
      <c r="G56" s="631"/>
      <c r="H56" s="631"/>
      <c r="J56" s="631" t="s">
        <v>45</v>
      </c>
      <c r="K56" s="631"/>
      <c r="L56" s="631"/>
      <c r="M56" s="631"/>
      <c r="N56" s="631"/>
      <c r="P56" s="54">
        <v>6</v>
      </c>
      <c r="Q56" s="591" t="s">
        <v>230</v>
      </c>
      <c r="R56" s="592"/>
      <c r="S56" s="21"/>
      <c r="T56" s="21"/>
    </row>
    <row r="57" spans="3:22" x14ac:dyDescent="0.2">
      <c r="S57" s="21"/>
      <c r="T57" s="21"/>
    </row>
    <row r="58" spans="3:22" x14ac:dyDescent="0.2">
      <c r="P58" s="21"/>
      <c r="Q58" s="21"/>
      <c r="R58" s="21"/>
      <c r="S58" s="21"/>
      <c r="T58" s="21"/>
    </row>
  </sheetData>
  <mergeCells count="56">
    <mergeCell ref="Q53:R53"/>
    <mergeCell ref="F48:G48"/>
    <mergeCell ref="C46:E46"/>
    <mergeCell ref="P50:R50"/>
    <mergeCell ref="Q51:R51"/>
    <mergeCell ref="Q52:R52"/>
    <mergeCell ref="D14:E14"/>
    <mergeCell ref="D15:E15"/>
    <mergeCell ref="D16:E16"/>
    <mergeCell ref="F34:G34"/>
    <mergeCell ref="F35:G35"/>
    <mergeCell ref="E34:E35"/>
    <mergeCell ref="O37:P37"/>
    <mergeCell ref="Q37:S37"/>
    <mergeCell ref="C39:E39"/>
    <mergeCell ref="F39:G39"/>
    <mergeCell ref="C40:E40"/>
    <mergeCell ref="F40:G40"/>
    <mergeCell ref="C38:E38"/>
    <mergeCell ref="F38:G38"/>
    <mergeCell ref="C37:G37"/>
    <mergeCell ref="I37:L37"/>
    <mergeCell ref="D13:E13"/>
    <mergeCell ref="Q2:S2"/>
    <mergeCell ref="I3:O3"/>
    <mergeCell ref="Q3:S3"/>
    <mergeCell ref="I4:O4"/>
    <mergeCell ref="I5:O5"/>
    <mergeCell ref="Q5:S5"/>
    <mergeCell ref="I6:O6"/>
    <mergeCell ref="Q6:S6"/>
    <mergeCell ref="I9:O9"/>
    <mergeCell ref="L11:S11"/>
    <mergeCell ref="E12:F12"/>
    <mergeCell ref="C43:E43"/>
    <mergeCell ref="C41:E41"/>
    <mergeCell ref="F41:G41"/>
    <mergeCell ref="C42:E42"/>
    <mergeCell ref="F42:G42"/>
    <mergeCell ref="F43:G43"/>
    <mergeCell ref="Q54:R54"/>
    <mergeCell ref="Q55:R55"/>
    <mergeCell ref="Q56:R56"/>
    <mergeCell ref="F44:G44"/>
    <mergeCell ref="C45:E45"/>
    <mergeCell ref="F45:G45"/>
    <mergeCell ref="C44:E44"/>
    <mergeCell ref="I46:K46"/>
    <mergeCell ref="C49:E49"/>
    <mergeCell ref="F49:G49"/>
    <mergeCell ref="D56:H56"/>
    <mergeCell ref="J56:N56"/>
    <mergeCell ref="F46:G46"/>
    <mergeCell ref="C47:E47"/>
    <mergeCell ref="F47:G47"/>
    <mergeCell ref="C48:E48"/>
  </mergeCells>
  <pageMargins left="0.19685039370078741" right="0.19685039370078741" top="0.35433070866141736" bottom="0.35433070866141736" header="0.31496062992125984" footer="0.31496062992125984"/>
  <pageSetup paperSize="9" scale="79" orientation="landscape" horizontalDpi="300" verticalDpi="300" r:id="rId1"/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Hoja22">
    <pageSetUpPr fitToPage="1"/>
  </sheetPr>
  <dimension ref="B1:X58"/>
  <sheetViews>
    <sheetView topLeftCell="A11" zoomScaleNormal="100" workbookViewId="0">
      <selection activeCell="M51" sqref="M51"/>
    </sheetView>
  </sheetViews>
  <sheetFormatPr baseColWidth="10" defaultColWidth="9.140625" defaultRowHeight="12" x14ac:dyDescent="0.2"/>
  <cols>
    <col min="1" max="1" width="2.7109375" style="14" customWidth="1"/>
    <col min="2" max="2" width="5.42578125" style="14" customWidth="1"/>
    <col min="3" max="3" width="11.5703125" style="14" customWidth="1"/>
    <col min="4" max="4" width="12" style="14" bestFit="1" customWidth="1"/>
    <col min="5" max="5" width="7.7109375" style="14" bestFit="1" customWidth="1"/>
    <col min="6" max="6" width="8.5703125" style="14" bestFit="1" customWidth="1"/>
    <col min="7" max="7" width="3" style="14" bestFit="1" customWidth="1"/>
    <col min="8" max="8" width="9.85546875" style="14" bestFit="1" customWidth="1"/>
    <col min="9" max="9" width="12.140625" style="14" customWidth="1"/>
    <col min="10" max="10" width="9.85546875" style="14" bestFit="1" customWidth="1"/>
    <col min="11" max="11" width="10.5703125" style="14" customWidth="1"/>
    <col min="12" max="12" width="13.42578125" style="14" customWidth="1"/>
    <col min="13" max="13" width="11" style="14" bestFit="1" customWidth="1"/>
    <col min="14" max="14" width="8" style="14" bestFit="1" customWidth="1"/>
    <col min="15" max="15" width="15.28515625" style="14" bestFit="1" customWidth="1"/>
    <col min="16" max="16" width="11.5703125" style="14" bestFit="1" customWidth="1"/>
    <col min="17" max="17" width="11.42578125" style="14" bestFit="1" customWidth="1"/>
    <col min="18" max="18" width="9.85546875" style="14" hidden="1" customWidth="1"/>
    <col min="19" max="19" width="10.28515625" style="14" bestFit="1" customWidth="1"/>
    <col min="20" max="20" width="11.28515625" style="14" bestFit="1" customWidth="1"/>
    <col min="21" max="21" width="9.85546875" style="14" customWidth="1"/>
    <col min="22" max="22" width="9.42578125" style="14" customWidth="1"/>
    <col min="23" max="23" width="10.85546875" style="14" customWidth="1"/>
    <col min="24" max="24" width="10.5703125" style="14" customWidth="1"/>
    <col min="25" max="25" width="9.140625" style="14"/>
    <col min="26" max="26" width="17.85546875" style="14" customWidth="1"/>
    <col min="27" max="259" width="9.140625" style="14"/>
    <col min="260" max="260" width="5.7109375" style="14" customWidth="1"/>
    <col min="261" max="261" width="13.140625" style="14" customWidth="1"/>
    <col min="262" max="262" width="12.28515625" style="14" customWidth="1"/>
    <col min="263" max="263" width="8.85546875" style="14" customWidth="1"/>
    <col min="264" max="264" width="10.85546875" style="14" customWidth="1"/>
    <col min="265" max="265" width="2.85546875" style="14" customWidth="1"/>
    <col min="266" max="266" width="12.140625" style="14" customWidth="1"/>
    <col min="267" max="267" width="10.140625" style="14" customWidth="1"/>
    <col min="268" max="268" width="11.7109375" style="14" customWidth="1"/>
    <col min="269" max="269" width="11.42578125" style="14" customWidth="1"/>
    <col min="270" max="270" width="12.7109375" style="14" customWidth="1"/>
    <col min="271" max="271" width="11.42578125" style="14" customWidth="1"/>
    <col min="272" max="272" width="10.7109375" style="14" customWidth="1"/>
    <col min="273" max="273" width="10.5703125" style="14" customWidth="1"/>
    <col min="274" max="274" width="11.28515625" style="14" customWidth="1"/>
    <col min="275" max="275" width="9.7109375" style="14" customWidth="1"/>
    <col min="276" max="276" width="12" style="14" customWidth="1"/>
    <col min="277" max="277" width="11.28515625" style="14" customWidth="1"/>
    <col min="278" max="515" width="9.140625" style="14"/>
    <col min="516" max="516" width="5.7109375" style="14" customWidth="1"/>
    <col min="517" max="517" width="13.140625" style="14" customWidth="1"/>
    <col min="518" max="518" width="12.28515625" style="14" customWidth="1"/>
    <col min="519" max="519" width="8.85546875" style="14" customWidth="1"/>
    <col min="520" max="520" width="10.85546875" style="14" customWidth="1"/>
    <col min="521" max="521" width="2.85546875" style="14" customWidth="1"/>
    <col min="522" max="522" width="12.140625" style="14" customWidth="1"/>
    <col min="523" max="523" width="10.140625" style="14" customWidth="1"/>
    <col min="524" max="524" width="11.7109375" style="14" customWidth="1"/>
    <col min="525" max="525" width="11.42578125" style="14" customWidth="1"/>
    <col min="526" max="526" width="12.7109375" style="14" customWidth="1"/>
    <col min="527" max="527" width="11.42578125" style="14" customWidth="1"/>
    <col min="528" max="528" width="10.7109375" style="14" customWidth="1"/>
    <col min="529" max="529" width="10.5703125" style="14" customWidth="1"/>
    <col min="530" max="530" width="11.28515625" style="14" customWidth="1"/>
    <col min="531" max="531" width="9.7109375" style="14" customWidth="1"/>
    <col min="532" max="532" width="12" style="14" customWidth="1"/>
    <col min="533" max="533" width="11.28515625" style="14" customWidth="1"/>
    <col min="534" max="771" width="9.140625" style="14"/>
    <col min="772" max="772" width="5.7109375" style="14" customWidth="1"/>
    <col min="773" max="773" width="13.140625" style="14" customWidth="1"/>
    <col min="774" max="774" width="12.28515625" style="14" customWidth="1"/>
    <col min="775" max="775" width="8.85546875" style="14" customWidth="1"/>
    <col min="776" max="776" width="10.85546875" style="14" customWidth="1"/>
    <col min="777" max="777" width="2.85546875" style="14" customWidth="1"/>
    <col min="778" max="778" width="12.140625" style="14" customWidth="1"/>
    <col min="779" max="779" width="10.140625" style="14" customWidth="1"/>
    <col min="780" max="780" width="11.7109375" style="14" customWidth="1"/>
    <col min="781" max="781" width="11.42578125" style="14" customWidth="1"/>
    <col min="782" max="782" width="12.7109375" style="14" customWidth="1"/>
    <col min="783" max="783" width="11.42578125" style="14" customWidth="1"/>
    <col min="784" max="784" width="10.7109375" style="14" customWidth="1"/>
    <col min="785" max="785" width="10.5703125" style="14" customWidth="1"/>
    <col min="786" max="786" width="11.28515625" style="14" customWidth="1"/>
    <col min="787" max="787" width="9.7109375" style="14" customWidth="1"/>
    <col min="788" max="788" width="12" style="14" customWidth="1"/>
    <col min="789" max="789" width="11.28515625" style="14" customWidth="1"/>
    <col min="790" max="1027" width="9.140625" style="14"/>
    <col min="1028" max="1028" width="5.7109375" style="14" customWidth="1"/>
    <col min="1029" max="1029" width="13.140625" style="14" customWidth="1"/>
    <col min="1030" max="1030" width="12.28515625" style="14" customWidth="1"/>
    <col min="1031" max="1031" width="8.85546875" style="14" customWidth="1"/>
    <col min="1032" max="1032" width="10.85546875" style="14" customWidth="1"/>
    <col min="1033" max="1033" width="2.85546875" style="14" customWidth="1"/>
    <col min="1034" max="1034" width="12.140625" style="14" customWidth="1"/>
    <col min="1035" max="1035" width="10.140625" style="14" customWidth="1"/>
    <col min="1036" max="1036" width="11.7109375" style="14" customWidth="1"/>
    <col min="1037" max="1037" width="11.42578125" style="14" customWidth="1"/>
    <col min="1038" max="1038" width="12.7109375" style="14" customWidth="1"/>
    <col min="1039" max="1039" width="11.42578125" style="14" customWidth="1"/>
    <col min="1040" max="1040" width="10.7109375" style="14" customWidth="1"/>
    <col min="1041" max="1041" width="10.5703125" style="14" customWidth="1"/>
    <col min="1042" max="1042" width="11.28515625" style="14" customWidth="1"/>
    <col min="1043" max="1043" width="9.7109375" style="14" customWidth="1"/>
    <col min="1044" max="1044" width="12" style="14" customWidth="1"/>
    <col min="1045" max="1045" width="11.28515625" style="14" customWidth="1"/>
    <col min="1046" max="1283" width="9.140625" style="14"/>
    <col min="1284" max="1284" width="5.7109375" style="14" customWidth="1"/>
    <col min="1285" max="1285" width="13.140625" style="14" customWidth="1"/>
    <col min="1286" max="1286" width="12.28515625" style="14" customWidth="1"/>
    <col min="1287" max="1287" width="8.85546875" style="14" customWidth="1"/>
    <col min="1288" max="1288" width="10.85546875" style="14" customWidth="1"/>
    <col min="1289" max="1289" width="2.85546875" style="14" customWidth="1"/>
    <col min="1290" max="1290" width="12.140625" style="14" customWidth="1"/>
    <col min="1291" max="1291" width="10.140625" style="14" customWidth="1"/>
    <col min="1292" max="1292" width="11.7109375" style="14" customWidth="1"/>
    <col min="1293" max="1293" width="11.42578125" style="14" customWidth="1"/>
    <col min="1294" max="1294" width="12.7109375" style="14" customWidth="1"/>
    <col min="1295" max="1295" width="11.42578125" style="14" customWidth="1"/>
    <col min="1296" max="1296" width="10.7109375" style="14" customWidth="1"/>
    <col min="1297" max="1297" width="10.5703125" style="14" customWidth="1"/>
    <col min="1298" max="1298" width="11.28515625" style="14" customWidth="1"/>
    <col min="1299" max="1299" width="9.7109375" style="14" customWidth="1"/>
    <col min="1300" max="1300" width="12" style="14" customWidth="1"/>
    <col min="1301" max="1301" width="11.28515625" style="14" customWidth="1"/>
    <col min="1302" max="1539" width="9.140625" style="14"/>
    <col min="1540" max="1540" width="5.7109375" style="14" customWidth="1"/>
    <col min="1541" max="1541" width="13.140625" style="14" customWidth="1"/>
    <col min="1542" max="1542" width="12.28515625" style="14" customWidth="1"/>
    <col min="1543" max="1543" width="8.85546875" style="14" customWidth="1"/>
    <col min="1544" max="1544" width="10.85546875" style="14" customWidth="1"/>
    <col min="1545" max="1545" width="2.85546875" style="14" customWidth="1"/>
    <col min="1546" max="1546" width="12.140625" style="14" customWidth="1"/>
    <col min="1547" max="1547" width="10.140625" style="14" customWidth="1"/>
    <col min="1548" max="1548" width="11.7109375" style="14" customWidth="1"/>
    <col min="1549" max="1549" width="11.42578125" style="14" customWidth="1"/>
    <col min="1550" max="1550" width="12.7109375" style="14" customWidth="1"/>
    <col min="1551" max="1551" width="11.42578125" style="14" customWidth="1"/>
    <col min="1552" max="1552" width="10.7109375" style="14" customWidth="1"/>
    <col min="1553" max="1553" width="10.5703125" style="14" customWidth="1"/>
    <col min="1554" max="1554" width="11.28515625" style="14" customWidth="1"/>
    <col min="1555" max="1555" width="9.7109375" style="14" customWidth="1"/>
    <col min="1556" max="1556" width="12" style="14" customWidth="1"/>
    <col min="1557" max="1557" width="11.28515625" style="14" customWidth="1"/>
    <col min="1558" max="1795" width="9.140625" style="14"/>
    <col min="1796" max="1796" width="5.7109375" style="14" customWidth="1"/>
    <col min="1797" max="1797" width="13.140625" style="14" customWidth="1"/>
    <col min="1798" max="1798" width="12.28515625" style="14" customWidth="1"/>
    <col min="1799" max="1799" width="8.85546875" style="14" customWidth="1"/>
    <col min="1800" max="1800" width="10.85546875" style="14" customWidth="1"/>
    <col min="1801" max="1801" width="2.85546875" style="14" customWidth="1"/>
    <col min="1802" max="1802" width="12.140625" style="14" customWidth="1"/>
    <col min="1803" max="1803" width="10.140625" style="14" customWidth="1"/>
    <col min="1804" max="1804" width="11.7109375" style="14" customWidth="1"/>
    <col min="1805" max="1805" width="11.42578125" style="14" customWidth="1"/>
    <col min="1806" max="1806" width="12.7109375" style="14" customWidth="1"/>
    <col min="1807" max="1807" width="11.42578125" style="14" customWidth="1"/>
    <col min="1808" max="1808" width="10.7109375" style="14" customWidth="1"/>
    <col min="1809" max="1809" width="10.5703125" style="14" customWidth="1"/>
    <col min="1810" max="1810" width="11.28515625" style="14" customWidth="1"/>
    <col min="1811" max="1811" width="9.7109375" style="14" customWidth="1"/>
    <col min="1812" max="1812" width="12" style="14" customWidth="1"/>
    <col min="1813" max="1813" width="11.28515625" style="14" customWidth="1"/>
    <col min="1814" max="2051" width="9.140625" style="14"/>
    <col min="2052" max="2052" width="5.7109375" style="14" customWidth="1"/>
    <col min="2053" max="2053" width="13.140625" style="14" customWidth="1"/>
    <col min="2054" max="2054" width="12.28515625" style="14" customWidth="1"/>
    <col min="2055" max="2055" width="8.85546875" style="14" customWidth="1"/>
    <col min="2056" max="2056" width="10.85546875" style="14" customWidth="1"/>
    <col min="2057" max="2057" width="2.85546875" style="14" customWidth="1"/>
    <col min="2058" max="2058" width="12.140625" style="14" customWidth="1"/>
    <col min="2059" max="2059" width="10.140625" style="14" customWidth="1"/>
    <col min="2060" max="2060" width="11.7109375" style="14" customWidth="1"/>
    <col min="2061" max="2061" width="11.42578125" style="14" customWidth="1"/>
    <col min="2062" max="2062" width="12.7109375" style="14" customWidth="1"/>
    <col min="2063" max="2063" width="11.42578125" style="14" customWidth="1"/>
    <col min="2064" max="2064" width="10.7109375" style="14" customWidth="1"/>
    <col min="2065" max="2065" width="10.5703125" style="14" customWidth="1"/>
    <col min="2066" max="2066" width="11.28515625" style="14" customWidth="1"/>
    <col min="2067" max="2067" width="9.7109375" style="14" customWidth="1"/>
    <col min="2068" max="2068" width="12" style="14" customWidth="1"/>
    <col min="2069" max="2069" width="11.28515625" style="14" customWidth="1"/>
    <col min="2070" max="2307" width="9.140625" style="14"/>
    <col min="2308" max="2308" width="5.7109375" style="14" customWidth="1"/>
    <col min="2309" max="2309" width="13.140625" style="14" customWidth="1"/>
    <col min="2310" max="2310" width="12.28515625" style="14" customWidth="1"/>
    <col min="2311" max="2311" width="8.85546875" style="14" customWidth="1"/>
    <col min="2312" max="2312" width="10.85546875" style="14" customWidth="1"/>
    <col min="2313" max="2313" width="2.85546875" style="14" customWidth="1"/>
    <col min="2314" max="2314" width="12.140625" style="14" customWidth="1"/>
    <col min="2315" max="2315" width="10.140625" style="14" customWidth="1"/>
    <col min="2316" max="2316" width="11.7109375" style="14" customWidth="1"/>
    <col min="2317" max="2317" width="11.42578125" style="14" customWidth="1"/>
    <col min="2318" max="2318" width="12.7109375" style="14" customWidth="1"/>
    <col min="2319" max="2319" width="11.42578125" style="14" customWidth="1"/>
    <col min="2320" max="2320" width="10.7109375" style="14" customWidth="1"/>
    <col min="2321" max="2321" width="10.5703125" style="14" customWidth="1"/>
    <col min="2322" max="2322" width="11.28515625" style="14" customWidth="1"/>
    <col min="2323" max="2323" width="9.7109375" style="14" customWidth="1"/>
    <col min="2324" max="2324" width="12" style="14" customWidth="1"/>
    <col min="2325" max="2325" width="11.28515625" style="14" customWidth="1"/>
    <col min="2326" max="2563" width="9.140625" style="14"/>
    <col min="2564" max="2564" width="5.7109375" style="14" customWidth="1"/>
    <col min="2565" max="2565" width="13.140625" style="14" customWidth="1"/>
    <col min="2566" max="2566" width="12.28515625" style="14" customWidth="1"/>
    <col min="2567" max="2567" width="8.85546875" style="14" customWidth="1"/>
    <col min="2568" max="2568" width="10.85546875" style="14" customWidth="1"/>
    <col min="2569" max="2569" width="2.85546875" style="14" customWidth="1"/>
    <col min="2570" max="2570" width="12.140625" style="14" customWidth="1"/>
    <col min="2571" max="2571" width="10.140625" style="14" customWidth="1"/>
    <col min="2572" max="2572" width="11.7109375" style="14" customWidth="1"/>
    <col min="2573" max="2573" width="11.42578125" style="14" customWidth="1"/>
    <col min="2574" max="2574" width="12.7109375" style="14" customWidth="1"/>
    <col min="2575" max="2575" width="11.42578125" style="14" customWidth="1"/>
    <col min="2576" max="2576" width="10.7109375" style="14" customWidth="1"/>
    <col min="2577" max="2577" width="10.5703125" style="14" customWidth="1"/>
    <col min="2578" max="2578" width="11.28515625" style="14" customWidth="1"/>
    <col min="2579" max="2579" width="9.7109375" style="14" customWidth="1"/>
    <col min="2580" max="2580" width="12" style="14" customWidth="1"/>
    <col min="2581" max="2581" width="11.28515625" style="14" customWidth="1"/>
    <col min="2582" max="2819" width="9.140625" style="14"/>
    <col min="2820" max="2820" width="5.7109375" style="14" customWidth="1"/>
    <col min="2821" max="2821" width="13.140625" style="14" customWidth="1"/>
    <col min="2822" max="2822" width="12.28515625" style="14" customWidth="1"/>
    <col min="2823" max="2823" width="8.85546875" style="14" customWidth="1"/>
    <col min="2824" max="2824" width="10.85546875" style="14" customWidth="1"/>
    <col min="2825" max="2825" width="2.85546875" style="14" customWidth="1"/>
    <col min="2826" max="2826" width="12.140625" style="14" customWidth="1"/>
    <col min="2827" max="2827" width="10.140625" style="14" customWidth="1"/>
    <col min="2828" max="2828" width="11.7109375" style="14" customWidth="1"/>
    <col min="2829" max="2829" width="11.42578125" style="14" customWidth="1"/>
    <col min="2830" max="2830" width="12.7109375" style="14" customWidth="1"/>
    <col min="2831" max="2831" width="11.42578125" style="14" customWidth="1"/>
    <col min="2832" max="2832" width="10.7109375" style="14" customWidth="1"/>
    <col min="2833" max="2833" width="10.5703125" style="14" customWidth="1"/>
    <col min="2834" max="2834" width="11.28515625" style="14" customWidth="1"/>
    <col min="2835" max="2835" width="9.7109375" style="14" customWidth="1"/>
    <col min="2836" max="2836" width="12" style="14" customWidth="1"/>
    <col min="2837" max="2837" width="11.28515625" style="14" customWidth="1"/>
    <col min="2838" max="3075" width="9.140625" style="14"/>
    <col min="3076" max="3076" width="5.7109375" style="14" customWidth="1"/>
    <col min="3077" max="3077" width="13.140625" style="14" customWidth="1"/>
    <col min="3078" max="3078" width="12.28515625" style="14" customWidth="1"/>
    <col min="3079" max="3079" width="8.85546875" style="14" customWidth="1"/>
    <col min="3080" max="3080" width="10.85546875" style="14" customWidth="1"/>
    <col min="3081" max="3081" width="2.85546875" style="14" customWidth="1"/>
    <col min="3082" max="3082" width="12.140625" style="14" customWidth="1"/>
    <col min="3083" max="3083" width="10.140625" style="14" customWidth="1"/>
    <col min="3084" max="3084" width="11.7109375" style="14" customWidth="1"/>
    <col min="3085" max="3085" width="11.42578125" style="14" customWidth="1"/>
    <col min="3086" max="3086" width="12.7109375" style="14" customWidth="1"/>
    <col min="3087" max="3087" width="11.42578125" style="14" customWidth="1"/>
    <col min="3088" max="3088" width="10.7109375" style="14" customWidth="1"/>
    <col min="3089" max="3089" width="10.5703125" style="14" customWidth="1"/>
    <col min="3090" max="3090" width="11.28515625" style="14" customWidth="1"/>
    <col min="3091" max="3091" width="9.7109375" style="14" customWidth="1"/>
    <col min="3092" max="3092" width="12" style="14" customWidth="1"/>
    <col min="3093" max="3093" width="11.28515625" style="14" customWidth="1"/>
    <col min="3094" max="3331" width="9.140625" style="14"/>
    <col min="3332" max="3332" width="5.7109375" style="14" customWidth="1"/>
    <col min="3333" max="3333" width="13.140625" style="14" customWidth="1"/>
    <col min="3334" max="3334" width="12.28515625" style="14" customWidth="1"/>
    <col min="3335" max="3335" width="8.85546875" style="14" customWidth="1"/>
    <col min="3336" max="3336" width="10.85546875" style="14" customWidth="1"/>
    <col min="3337" max="3337" width="2.85546875" style="14" customWidth="1"/>
    <col min="3338" max="3338" width="12.140625" style="14" customWidth="1"/>
    <col min="3339" max="3339" width="10.140625" style="14" customWidth="1"/>
    <col min="3340" max="3340" width="11.7109375" style="14" customWidth="1"/>
    <col min="3341" max="3341" width="11.42578125" style="14" customWidth="1"/>
    <col min="3342" max="3342" width="12.7109375" style="14" customWidth="1"/>
    <col min="3343" max="3343" width="11.42578125" style="14" customWidth="1"/>
    <col min="3344" max="3344" width="10.7109375" style="14" customWidth="1"/>
    <col min="3345" max="3345" width="10.5703125" style="14" customWidth="1"/>
    <col min="3346" max="3346" width="11.28515625" style="14" customWidth="1"/>
    <col min="3347" max="3347" width="9.7109375" style="14" customWidth="1"/>
    <col min="3348" max="3348" width="12" style="14" customWidth="1"/>
    <col min="3349" max="3349" width="11.28515625" style="14" customWidth="1"/>
    <col min="3350" max="3587" width="9.140625" style="14"/>
    <col min="3588" max="3588" width="5.7109375" style="14" customWidth="1"/>
    <col min="3589" max="3589" width="13.140625" style="14" customWidth="1"/>
    <col min="3590" max="3590" width="12.28515625" style="14" customWidth="1"/>
    <col min="3591" max="3591" width="8.85546875" style="14" customWidth="1"/>
    <col min="3592" max="3592" width="10.85546875" style="14" customWidth="1"/>
    <col min="3593" max="3593" width="2.85546875" style="14" customWidth="1"/>
    <col min="3594" max="3594" width="12.140625" style="14" customWidth="1"/>
    <col min="3595" max="3595" width="10.140625" style="14" customWidth="1"/>
    <col min="3596" max="3596" width="11.7109375" style="14" customWidth="1"/>
    <col min="3597" max="3597" width="11.42578125" style="14" customWidth="1"/>
    <col min="3598" max="3598" width="12.7109375" style="14" customWidth="1"/>
    <col min="3599" max="3599" width="11.42578125" style="14" customWidth="1"/>
    <col min="3600" max="3600" width="10.7109375" style="14" customWidth="1"/>
    <col min="3601" max="3601" width="10.5703125" style="14" customWidth="1"/>
    <col min="3602" max="3602" width="11.28515625" style="14" customWidth="1"/>
    <col min="3603" max="3603" width="9.7109375" style="14" customWidth="1"/>
    <col min="3604" max="3604" width="12" style="14" customWidth="1"/>
    <col min="3605" max="3605" width="11.28515625" style="14" customWidth="1"/>
    <col min="3606" max="3843" width="9.140625" style="14"/>
    <col min="3844" max="3844" width="5.7109375" style="14" customWidth="1"/>
    <col min="3845" max="3845" width="13.140625" style="14" customWidth="1"/>
    <col min="3846" max="3846" width="12.28515625" style="14" customWidth="1"/>
    <col min="3847" max="3847" width="8.85546875" style="14" customWidth="1"/>
    <col min="3848" max="3848" width="10.85546875" style="14" customWidth="1"/>
    <col min="3849" max="3849" width="2.85546875" style="14" customWidth="1"/>
    <col min="3850" max="3850" width="12.140625" style="14" customWidth="1"/>
    <col min="3851" max="3851" width="10.140625" style="14" customWidth="1"/>
    <col min="3852" max="3852" width="11.7109375" style="14" customWidth="1"/>
    <col min="3853" max="3853" width="11.42578125" style="14" customWidth="1"/>
    <col min="3854" max="3854" width="12.7109375" style="14" customWidth="1"/>
    <col min="3855" max="3855" width="11.42578125" style="14" customWidth="1"/>
    <col min="3856" max="3856" width="10.7109375" style="14" customWidth="1"/>
    <col min="3857" max="3857" width="10.5703125" style="14" customWidth="1"/>
    <col min="3858" max="3858" width="11.28515625" style="14" customWidth="1"/>
    <col min="3859" max="3859" width="9.7109375" style="14" customWidth="1"/>
    <col min="3860" max="3860" width="12" style="14" customWidth="1"/>
    <col min="3861" max="3861" width="11.28515625" style="14" customWidth="1"/>
    <col min="3862" max="4099" width="9.140625" style="14"/>
    <col min="4100" max="4100" width="5.7109375" style="14" customWidth="1"/>
    <col min="4101" max="4101" width="13.140625" style="14" customWidth="1"/>
    <col min="4102" max="4102" width="12.28515625" style="14" customWidth="1"/>
    <col min="4103" max="4103" width="8.85546875" style="14" customWidth="1"/>
    <col min="4104" max="4104" width="10.85546875" style="14" customWidth="1"/>
    <col min="4105" max="4105" width="2.85546875" style="14" customWidth="1"/>
    <col min="4106" max="4106" width="12.140625" style="14" customWidth="1"/>
    <col min="4107" max="4107" width="10.140625" style="14" customWidth="1"/>
    <col min="4108" max="4108" width="11.7109375" style="14" customWidth="1"/>
    <col min="4109" max="4109" width="11.42578125" style="14" customWidth="1"/>
    <col min="4110" max="4110" width="12.7109375" style="14" customWidth="1"/>
    <col min="4111" max="4111" width="11.42578125" style="14" customWidth="1"/>
    <col min="4112" max="4112" width="10.7109375" style="14" customWidth="1"/>
    <col min="4113" max="4113" width="10.5703125" style="14" customWidth="1"/>
    <col min="4114" max="4114" width="11.28515625" style="14" customWidth="1"/>
    <col min="4115" max="4115" width="9.7109375" style="14" customWidth="1"/>
    <col min="4116" max="4116" width="12" style="14" customWidth="1"/>
    <col min="4117" max="4117" width="11.28515625" style="14" customWidth="1"/>
    <col min="4118" max="4355" width="9.140625" style="14"/>
    <col min="4356" max="4356" width="5.7109375" style="14" customWidth="1"/>
    <col min="4357" max="4357" width="13.140625" style="14" customWidth="1"/>
    <col min="4358" max="4358" width="12.28515625" style="14" customWidth="1"/>
    <col min="4359" max="4359" width="8.85546875" style="14" customWidth="1"/>
    <col min="4360" max="4360" width="10.85546875" style="14" customWidth="1"/>
    <col min="4361" max="4361" width="2.85546875" style="14" customWidth="1"/>
    <col min="4362" max="4362" width="12.140625" style="14" customWidth="1"/>
    <col min="4363" max="4363" width="10.140625" style="14" customWidth="1"/>
    <col min="4364" max="4364" width="11.7109375" style="14" customWidth="1"/>
    <col min="4365" max="4365" width="11.42578125" style="14" customWidth="1"/>
    <col min="4366" max="4366" width="12.7109375" style="14" customWidth="1"/>
    <col min="4367" max="4367" width="11.42578125" style="14" customWidth="1"/>
    <col min="4368" max="4368" width="10.7109375" style="14" customWidth="1"/>
    <col min="4369" max="4369" width="10.5703125" style="14" customWidth="1"/>
    <col min="4370" max="4370" width="11.28515625" style="14" customWidth="1"/>
    <col min="4371" max="4371" width="9.7109375" style="14" customWidth="1"/>
    <col min="4372" max="4372" width="12" style="14" customWidth="1"/>
    <col min="4373" max="4373" width="11.28515625" style="14" customWidth="1"/>
    <col min="4374" max="4611" width="9.140625" style="14"/>
    <col min="4612" max="4612" width="5.7109375" style="14" customWidth="1"/>
    <col min="4613" max="4613" width="13.140625" style="14" customWidth="1"/>
    <col min="4614" max="4614" width="12.28515625" style="14" customWidth="1"/>
    <col min="4615" max="4615" width="8.85546875" style="14" customWidth="1"/>
    <col min="4616" max="4616" width="10.85546875" style="14" customWidth="1"/>
    <col min="4617" max="4617" width="2.85546875" style="14" customWidth="1"/>
    <col min="4618" max="4618" width="12.140625" style="14" customWidth="1"/>
    <col min="4619" max="4619" width="10.140625" style="14" customWidth="1"/>
    <col min="4620" max="4620" width="11.7109375" style="14" customWidth="1"/>
    <col min="4621" max="4621" width="11.42578125" style="14" customWidth="1"/>
    <col min="4622" max="4622" width="12.7109375" style="14" customWidth="1"/>
    <col min="4623" max="4623" width="11.42578125" style="14" customWidth="1"/>
    <col min="4624" max="4624" width="10.7109375" style="14" customWidth="1"/>
    <col min="4625" max="4625" width="10.5703125" style="14" customWidth="1"/>
    <col min="4626" max="4626" width="11.28515625" style="14" customWidth="1"/>
    <col min="4627" max="4627" width="9.7109375" style="14" customWidth="1"/>
    <col min="4628" max="4628" width="12" style="14" customWidth="1"/>
    <col min="4629" max="4629" width="11.28515625" style="14" customWidth="1"/>
    <col min="4630" max="4867" width="9.140625" style="14"/>
    <col min="4868" max="4868" width="5.7109375" style="14" customWidth="1"/>
    <col min="4869" max="4869" width="13.140625" style="14" customWidth="1"/>
    <col min="4870" max="4870" width="12.28515625" style="14" customWidth="1"/>
    <col min="4871" max="4871" width="8.85546875" style="14" customWidth="1"/>
    <col min="4872" max="4872" width="10.85546875" style="14" customWidth="1"/>
    <col min="4873" max="4873" width="2.85546875" style="14" customWidth="1"/>
    <col min="4874" max="4874" width="12.140625" style="14" customWidth="1"/>
    <col min="4875" max="4875" width="10.140625" style="14" customWidth="1"/>
    <col min="4876" max="4876" width="11.7109375" style="14" customWidth="1"/>
    <col min="4877" max="4877" width="11.42578125" style="14" customWidth="1"/>
    <col min="4878" max="4878" width="12.7109375" style="14" customWidth="1"/>
    <col min="4879" max="4879" width="11.42578125" style="14" customWidth="1"/>
    <col min="4880" max="4880" width="10.7109375" style="14" customWidth="1"/>
    <col min="4881" max="4881" width="10.5703125" style="14" customWidth="1"/>
    <col min="4882" max="4882" width="11.28515625" style="14" customWidth="1"/>
    <col min="4883" max="4883" width="9.7109375" style="14" customWidth="1"/>
    <col min="4884" max="4884" width="12" style="14" customWidth="1"/>
    <col min="4885" max="4885" width="11.28515625" style="14" customWidth="1"/>
    <col min="4886" max="5123" width="9.140625" style="14"/>
    <col min="5124" max="5124" width="5.7109375" style="14" customWidth="1"/>
    <col min="5125" max="5125" width="13.140625" style="14" customWidth="1"/>
    <col min="5126" max="5126" width="12.28515625" style="14" customWidth="1"/>
    <col min="5127" max="5127" width="8.85546875" style="14" customWidth="1"/>
    <col min="5128" max="5128" width="10.85546875" style="14" customWidth="1"/>
    <col min="5129" max="5129" width="2.85546875" style="14" customWidth="1"/>
    <col min="5130" max="5130" width="12.140625" style="14" customWidth="1"/>
    <col min="5131" max="5131" width="10.140625" style="14" customWidth="1"/>
    <col min="5132" max="5132" width="11.7109375" style="14" customWidth="1"/>
    <col min="5133" max="5133" width="11.42578125" style="14" customWidth="1"/>
    <col min="5134" max="5134" width="12.7109375" style="14" customWidth="1"/>
    <col min="5135" max="5135" width="11.42578125" style="14" customWidth="1"/>
    <col min="5136" max="5136" width="10.7109375" style="14" customWidth="1"/>
    <col min="5137" max="5137" width="10.5703125" style="14" customWidth="1"/>
    <col min="5138" max="5138" width="11.28515625" style="14" customWidth="1"/>
    <col min="5139" max="5139" width="9.7109375" style="14" customWidth="1"/>
    <col min="5140" max="5140" width="12" style="14" customWidth="1"/>
    <col min="5141" max="5141" width="11.28515625" style="14" customWidth="1"/>
    <col min="5142" max="5379" width="9.140625" style="14"/>
    <col min="5380" max="5380" width="5.7109375" style="14" customWidth="1"/>
    <col min="5381" max="5381" width="13.140625" style="14" customWidth="1"/>
    <col min="5382" max="5382" width="12.28515625" style="14" customWidth="1"/>
    <col min="5383" max="5383" width="8.85546875" style="14" customWidth="1"/>
    <col min="5384" max="5384" width="10.85546875" style="14" customWidth="1"/>
    <col min="5385" max="5385" width="2.85546875" style="14" customWidth="1"/>
    <col min="5386" max="5386" width="12.140625" style="14" customWidth="1"/>
    <col min="5387" max="5387" width="10.140625" style="14" customWidth="1"/>
    <col min="5388" max="5388" width="11.7109375" style="14" customWidth="1"/>
    <col min="5389" max="5389" width="11.42578125" style="14" customWidth="1"/>
    <col min="5390" max="5390" width="12.7109375" style="14" customWidth="1"/>
    <col min="5391" max="5391" width="11.42578125" style="14" customWidth="1"/>
    <col min="5392" max="5392" width="10.7109375" style="14" customWidth="1"/>
    <col min="5393" max="5393" width="10.5703125" style="14" customWidth="1"/>
    <col min="5394" max="5394" width="11.28515625" style="14" customWidth="1"/>
    <col min="5395" max="5395" width="9.7109375" style="14" customWidth="1"/>
    <col min="5396" max="5396" width="12" style="14" customWidth="1"/>
    <col min="5397" max="5397" width="11.28515625" style="14" customWidth="1"/>
    <col min="5398" max="5635" width="9.140625" style="14"/>
    <col min="5636" max="5636" width="5.7109375" style="14" customWidth="1"/>
    <col min="5637" max="5637" width="13.140625" style="14" customWidth="1"/>
    <col min="5638" max="5638" width="12.28515625" style="14" customWidth="1"/>
    <col min="5639" max="5639" width="8.85546875" style="14" customWidth="1"/>
    <col min="5640" max="5640" width="10.85546875" style="14" customWidth="1"/>
    <col min="5641" max="5641" width="2.85546875" style="14" customWidth="1"/>
    <col min="5642" max="5642" width="12.140625" style="14" customWidth="1"/>
    <col min="5643" max="5643" width="10.140625" style="14" customWidth="1"/>
    <col min="5644" max="5644" width="11.7109375" style="14" customWidth="1"/>
    <col min="5645" max="5645" width="11.42578125" style="14" customWidth="1"/>
    <col min="5646" max="5646" width="12.7109375" style="14" customWidth="1"/>
    <col min="5647" max="5647" width="11.42578125" style="14" customWidth="1"/>
    <col min="5648" max="5648" width="10.7109375" style="14" customWidth="1"/>
    <col min="5649" max="5649" width="10.5703125" style="14" customWidth="1"/>
    <col min="5650" max="5650" width="11.28515625" style="14" customWidth="1"/>
    <col min="5651" max="5651" width="9.7109375" style="14" customWidth="1"/>
    <col min="5652" max="5652" width="12" style="14" customWidth="1"/>
    <col min="5653" max="5653" width="11.28515625" style="14" customWidth="1"/>
    <col min="5654" max="5891" width="9.140625" style="14"/>
    <col min="5892" max="5892" width="5.7109375" style="14" customWidth="1"/>
    <col min="5893" max="5893" width="13.140625" style="14" customWidth="1"/>
    <col min="5894" max="5894" width="12.28515625" style="14" customWidth="1"/>
    <col min="5895" max="5895" width="8.85546875" style="14" customWidth="1"/>
    <col min="5896" max="5896" width="10.85546875" style="14" customWidth="1"/>
    <col min="5897" max="5897" width="2.85546875" style="14" customWidth="1"/>
    <col min="5898" max="5898" width="12.140625" style="14" customWidth="1"/>
    <col min="5899" max="5899" width="10.140625" style="14" customWidth="1"/>
    <col min="5900" max="5900" width="11.7109375" style="14" customWidth="1"/>
    <col min="5901" max="5901" width="11.42578125" style="14" customWidth="1"/>
    <col min="5902" max="5902" width="12.7109375" style="14" customWidth="1"/>
    <col min="5903" max="5903" width="11.42578125" style="14" customWidth="1"/>
    <col min="5904" max="5904" width="10.7109375" style="14" customWidth="1"/>
    <col min="5905" max="5905" width="10.5703125" style="14" customWidth="1"/>
    <col min="5906" max="5906" width="11.28515625" style="14" customWidth="1"/>
    <col min="5907" max="5907" width="9.7109375" style="14" customWidth="1"/>
    <col min="5908" max="5908" width="12" style="14" customWidth="1"/>
    <col min="5909" max="5909" width="11.28515625" style="14" customWidth="1"/>
    <col min="5910" max="6147" width="9.140625" style="14"/>
    <col min="6148" max="6148" width="5.7109375" style="14" customWidth="1"/>
    <col min="6149" max="6149" width="13.140625" style="14" customWidth="1"/>
    <col min="6150" max="6150" width="12.28515625" style="14" customWidth="1"/>
    <col min="6151" max="6151" width="8.85546875" style="14" customWidth="1"/>
    <col min="6152" max="6152" width="10.85546875" style="14" customWidth="1"/>
    <col min="6153" max="6153" width="2.85546875" style="14" customWidth="1"/>
    <col min="6154" max="6154" width="12.140625" style="14" customWidth="1"/>
    <col min="6155" max="6155" width="10.140625" style="14" customWidth="1"/>
    <col min="6156" max="6156" width="11.7109375" style="14" customWidth="1"/>
    <col min="6157" max="6157" width="11.42578125" style="14" customWidth="1"/>
    <col min="6158" max="6158" width="12.7109375" style="14" customWidth="1"/>
    <col min="6159" max="6159" width="11.42578125" style="14" customWidth="1"/>
    <col min="6160" max="6160" width="10.7109375" style="14" customWidth="1"/>
    <col min="6161" max="6161" width="10.5703125" style="14" customWidth="1"/>
    <col min="6162" max="6162" width="11.28515625" style="14" customWidth="1"/>
    <col min="6163" max="6163" width="9.7109375" style="14" customWidth="1"/>
    <col min="6164" max="6164" width="12" style="14" customWidth="1"/>
    <col min="6165" max="6165" width="11.28515625" style="14" customWidth="1"/>
    <col min="6166" max="6403" width="9.140625" style="14"/>
    <col min="6404" max="6404" width="5.7109375" style="14" customWidth="1"/>
    <col min="6405" max="6405" width="13.140625" style="14" customWidth="1"/>
    <col min="6406" max="6406" width="12.28515625" style="14" customWidth="1"/>
    <col min="6407" max="6407" width="8.85546875" style="14" customWidth="1"/>
    <col min="6408" max="6408" width="10.85546875" style="14" customWidth="1"/>
    <col min="6409" max="6409" width="2.85546875" style="14" customWidth="1"/>
    <col min="6410" max="6410" width="12.140625" style="14" customWidth="1"/>
    <col min="6411" max="6411" width="10.140625" style="14" customWidth="1"/>
    <col min="6412" max="6412" width="11.7109375" style="14" customWidth="1"/>
    <col min="6413" max="6413" width="11.42578125" style="14" customWidth="1"/>
    <col min="6414" max="6414" width="12.7109375" style="14" customWidth="1"/>
    <col min="6415" max="6415" width="11.42578125" style="14" customWidth="1"/>
    <col min="6416" max="6416" width="10.7109375" style="14" customWidth="1"/>
    <col min="6417" max="6417" width="10.5703125" style="14" customWidth="1"/>
    <col min="6418" max="6418" width="11.28515625" style="14" customWidth="1"/>
    <col min="6419" max="6419" width="9.7109375" style="14" customWidth="1"/>
    <col min="6420" max="6420" width="12" style="14" customWidth="1"/>
    <col min="6421" max="6421" width="11.28515625" style="14" customWidth="1"/>
    <col min="6422" max="6659" width="9.140625" style="14"/>
    <col min="6660" max="6660" width="5.7109375" style="14" customWidth="1"/>
    <col min="6661" max="6661" width="13.140625" style="14" customWidth="1"/>
    <col min="6662" max="6662" width="12.28515625" style="14" customWidth="1"/>
    <col min="6663" max="6663" width="8.85546875" style="14" customWidth="1"/>
    <col min="6664" max="6664" width="10.85546875" style="14" customWidth="1"/>
    <col min="6665" max="6665" width="2.85546875" style="14" customWidth="1"/>
    <col min="6666" max="6666" width="12.140625" style="14" customWidth="1"/>
    <col min="6667" max="6667" width="10.140625" style="14" customWidth="1"/>
    <col min="6668" max="6668" width="11.7109375" style="14" customWidth="1"/>
    <col min="6669" max="6669" width="11.42578125" style="14" customWidth="1"/>
    <col min="6670" max="6670" width="12.7109375" style="14" customWidth="1"/>
    <col min="6671" max="6671" width="11.42578125" style="14" customWidth="1"/>
    <col min="6672" max="6672" width="10.7109375" style="14" customWidth="1"/>
    <col min="6673" max="6673" width="10.5703125" style="14" customWidth="1"/>
    <col min="6674" max="6674" width="11.28515625" style="14" customWidth="1"/>
    <col min="6675" max="6675" width="9.7109375" style="14" customWidth="1"/>
    <col min="6676" max="6676" width="12" style="14" customWidth="1"/>
    <col min="6677" max="6677" width="11.28515625" style="14" customWidth="1"/>
    <col min="6678" max="6915" width="9.140625" style="14"/>
    <col min="6916" max="6916" width="5.7109375" style="14" customWidth="1"/>
    <col min="6917" max="6917" width="13.140625" style="14" customWidth="1"/>
    <col min="6918" max="6918" width="12.28515625" style="14" customWidth="1"/>
    <col min="6919" max="6919" width="8.85546875" style="14" customWidth="1"/>
    <col min="6920" max="6920" width="10.85546875" style="14" customWidth="1"/>
    <col min="6921" max="6921" width="2.85546875" style="14" customWidth="1"/>
    <col min="6922" max="6922" width="12.140625" style="14" customWidth="1"/>
    <col min="6923" max="6923" width="10.140625" style="14" customWidth="1"/>
    <col min="6924" max="6924" width="11.7109375" style="14" customWidth="1"/>
    <col min="6925" max="6925" width="11.42578125" style="14" customWidth="1"/>
    <col min="6926" max="6926" width="12.7109375" style="14" customWidth="1"/>
    <col min="6927" max="6927" width="11.42578125" style="14" customWidth="1"/>
    <col min="6928" max="6928" width="10.7109375" style="14" customWidth="1"/>
    <col min="6929" max="6929" width="10.5703125" style="14" customWidth="1"/>
    <col min="6930" max="6930" width="11.28515625" style="14" customWidth="1"/>
    <col min="6931" max="6931" width="9.7109375" style="14" customWidth="1"/>
    <col min="6932" max="6932" width="12" style="14" customWidth="1"/>
    <col min="6933" max="6933" width="11.28515625" style="14" customWidth="1"/>
    <col min="6934" max="7171" width="9.140625" style="14"/>
    <col min="7172" max="7172" width="5.7109375" style="14" customWidth="1"/>
    <col min="7173" max="7173" width="13.140625" style="14" customWidth="1"/>
    <col min="7174" max="7174" width="12.28515625" style="14" customWidth="1"/>
    <col min="7175" max="7175" width="8.85546875" style="14" customWidth="1"/>
    <col min="7176" max="7176" width="10.85546875" style="14" customWidth="1"/>
    <col min="7177" max="7177" width="2.85546875" style="14" customWidth="1"/>
    <col min="7178" max="7178" width="12.140625" style="14" customWidth="1"/>
    <col min="7179" max="7179" width="10.140625" style="14" customWidth="1"/>
    <col min="7180" max="7180" width="11.7109375" style="14" customWidth="1"/>
    <col min="7181" max="7181" width="11.42578125" style="14" customWidth="1"/>
    <col min="7182" max="7182" width="12.7109375" style="14" customWidth="1"/>
    <col min="7183" max="7183" width="11.42578125" style="14" customWidth="1"/>
    <col min="7184" max="7184" width="10.7109375" style="14" customWidth="1"/>
    <col min="7185" max="7185" width="10.5703125" style="14" customWidth="1"/>
    <col min="7186" max="7186" width="11.28515625" style="14" customWidth="1"/>
    <col min="7187" max="7187" width="9.7109375" style="14" customWidth="1"/>
    <col min="7188" max="7188" width="12" style="14" customWidth="1"/>
    <col min="7189" max="7189" width="11.28515625" style="14" customWidth="1"/>
    <col min="7190" max="7427" width="9.140625" style="14"/>
    <col min="7428" max="7428" width="5.7109375" style="14" customWidth="1"/>
    <col min="7429" max="7429" width="13.140625" style="14" customWidth="1"/>
    <col min="7430" max="7430" width="12.28515625" style="14" customWidth="1"/>
    <col min="7431" max="7431" width="8.85546875" style="14" customWidth="1"/>
    <col min="7432" max="7432" width="10.85546875" style="14" customWidth="1"/>
    <col min="7433" max="7433" width="2.85546875" style="14" customWidth="1"/>
    <col min="7434" max="7434" width="12.140625" style="14" customWidth="1"/>
    <col min="7435" max="7435" width="10.140625" style="14" customWidth="1"/>
    <col min="7436" max="7436" width="11.7109375" style="14" customWidth="1"/>
    <col min="7437" max="7437" width="11.42578125" style="14" customWidth="1"/>
    <col min="7438" max="7438" width="12.7109375" style="14" customWidth="1"/>
    <col min="7439" max="7439" width="11.42578125" style="14" customWidth="1"/>
    <col min="7440" max="7440" width="10.7109375" style="14" customWidth="1"/>
    <col min="7441" max="7441" width="10.5703125" style="14" customWidth="1"/>
    <col min="7442" max="7442" width="11.28515625" style="14" customWidth="1"/>
    <col min="7443" max="7443" width="9.7109375" style="14" customWidth="1"/>
    <col min="7444" max="7444" width="12" style="14" customWidth="1"/>
    <col min="7445" max="7445" width="11.28515625" style="14" customWidth="1"/>
    <col min="7446" max="7683" width="9.140625" style="14"/>
    <col min="7684" max="7684" width="5.7109375" style="14" customWidth="1"/>
    <col min="7685" max="7685" width="13.140625" style="14" customWidth="1"/>
    <col min="7686" max="7686" width="12.28515625" style="14" customWidth="1"/>
    <col min="7687" max="7687" width="8.85546875" style="14" customWidth="1"/>
    <col min="7688" max="7688" width="10.85546875" style="14" customWidth="1"/>
    <col min="7689" max="7689" width="2.85546875" style="14" customWidth="1"/>
    <col min="7690" max="7690" width="12.140625" style="14" customWidth="1"/>
    <col min="7691" max="7691" width="10.140625" style="14" customWidth="1"/>
    <col min="7692" max="7692" width="11.7109375" style="14" customWidth="1"/>
    <col min="7693" max="7693" width="11.42578125" style="14" customWidth="1"/>
    <col min="7694" max="7694" width="12.7109375" style="14" customWidth="1"/>
    <col min="7695" max="7695" width="11.42578125" style="14" customWidth="1"/>
    <col min="7696" max="7696" width="10.7109375" style="14" customWidth="1"/>
    <col min="7697" max="7697" width="10.5703125" style="14" customWidth="1"/>
    <col min="7698" max="7698" width="11.28515625" style="14" customWidth="1"/>
    <col min="7699" max="7699" width="9.7109375" style="14" customWidth="1"/>
    <col min="7700" max="7700" width="12" style="14" customWidth="1"/>
    <col min="7701" max="7701" width="11.28515625" style="14" customWidth="1"/>
    <col min="7702" max="7939" width="9.140625" style="14"/>
    <col min="7940" max="7940" width="5.7109375" style="14" customWidth="1"/>
    <col min="7941" max="7941" width="13.140625" style="14" customWidth="1"/>
    <col min="7942" max="7942" width="12.28515625" style="14" customWidth="1"/>
    <col min="7943" max="7943" width="8.85546875" style="14" customWidth="1"/>
    <col min="7944" max="7944" width="10.85546875" style="14" customWidth="1"/>
    <col min="7945" max="7945" width="2.85546875" style="14" customWidth="1"/>
    <col min="7946" max="7946" width="12.140625" style="14" customWidth="1"/>
    <col min="7947" max="7947" width="10.140625" style="14" customWidth="1"/>
    <col min="7948" max="7948" width="11.7109375" style="14" customWidth="1"/>
    <col min="7949" max="7949" width="11.42578125" style="14" customWidth="1"/>
    <col min="7950" max="7950" width="12.7109375" style="14" customWidth="1"/>
    <col min="7951" max="7951" width="11.42578125" style="14" customWidth="1"/>
    <col min="7952" max="7952" width="10.7109375" style="14" customWidth="1"/>
    <col min="7953" max="7953" width="10.5703125" style="14" customWidth="1"/>
    <col min="7954" max="7954" width="11.28515625" style="14" customWidth="1"/>
    <col min="7955" max="7955" width="9.7109375" style="14" customWidth="1"/>
    <col min="7956" max="7956" width="12" style="14" customWidth="1"/>
    <col min="7957" max="7957" width="11.28515625" style="14" customWidth="1"/>
    <col min="7958" max="8195" width="9.140625" style="14"/>
    <col min="8196" max="8196" width="5.7109375" style="14" customWidth="1"/>
    <col min="8197" max="8197" width="13.140625" style="14" customWidth="1"/>
    <col min="8198" max="8198" width="12.28515625" style="14" customWidth="1"/>
    <col min="8199" max="8199" width="8.85546875" style="14" customWidth="1"/>
    <col min="8200" max="8200" width="10.85546875" style="14" customWidth="1"/>
    <col min="8201" max="8201" width="2.85546875" style="14" customWidth="1"/>
    <col min="8202" max="8202" width="12.140625" style="14" customWidth="1"/>
    <col min="8203" max="8203" width="10.140625" style="14" customWidth="1"/>
    <col min="8204" max="8204" width="11.7109375" style="14" customWidth="1"/>
    <col min="8205" max="8205" width="11.42578125" style="14" customWidth="1"/>
    <col min="8206" max="8206" width="12.7109375" style="14" customWidth="1"/>
    <col min="8207" max="8207" width="11.42578125" style="14" customWidth="1"/>
    <col min="8208" max="8208" width="10.7109375" style="14" customWidth="1"/>
    <col min="8209" max="8209" width="10.5703125" style="14" customWidth="1"/>
    <col min="8210" max="8210" width="11.28515625" style="14" customWidth="1"/>
    <col min="8211" max="8211" width="9.7109375" style="14" customWidth="1"/>
    <col min="8212" max="8212" width="12" style="14" customWidth="1"/>
    <col min="8213" max="8213" width="11.28515625" style="14" customWidth="1"/>
    <col min="8214" max="8451" width="9.140625" style="14"/>
    <col min="8452" max="8452" width="5.7109375" style="14" customWidth="1"/>
    <col min="8453" max="8453" width="13.140625" style="14" customWidth="1"/>
    <col min="8454" max="8454" width="12.28515625" style="14" customWidth="1"/>
    <col min="8455" max="8455" width="8.85546875" style="14" customWidth="1"/>
    <col min="8456" max="8456" width="10.85546875" style="14" customWidth="1"/>
    <col min="8457" max="8457" width="2.85546875" style="14" customWidth="1"/>
    <col min="8458" max="8458" width="12.140625" style="14" customWidth="1"/>
    <col min="8459" max="8459" width="10.140625" style="14" customWidth="1"/>
    <col min="8460" max="8460" width="11.7109375" style="14" customWidth="1"/>
    <col min="8461" max="8461" width="11.42578125" style="14" customWidth="1"/>
    <col min="8462" max="8462" width="12.7109375" style="14" customWidth="1"/>
    <col min="8463" max="8463" width="11.42578125" style="14" customWidth="1"/>
    <col min="8464" max="8464" width="10.7109375" style="14" customWidth="1"/>
    <col min="8465" max="8465" width="10.5703125" style="14" customWidth="1"/>
    <col min="8466" max="8466" width="11.28515625" style="14" customWidth="1"/>
    <col min="8467" max="8467" width="9.7109375" style="14" customWidth="1"/>
    <col min="8468" max="8468" width="12" style="14" customWidth="1"/>
    <col min="8469" max="8469" width="11.28515625" style="14" customWidth="1"/>
    <col min="8470" max="8707" width="9.140625" style="14"/>
    <col min="8708" max="8708" width="5.7109375" style="14" customWidth="1"/>
    <col min="8709" max="8709" width="13.140625" style="14" customWidth="1"/>
    <col min="8710" max="8710" width="12.28515625" style="14" customWidth="1"/>
    <col min="8711" max="8711" width="8.85546875" style="14" customWidth="1"/>
    <col min="8712" max="8712" width="10.85546875" style="14" customWidth="1"/>
    <col min="8713" max="8713" width="2.85546875" style="14" customWidth="1"/>
    <col min="8714" max="8714" width="12.140625" style="14" customWidth="1"/>
    <col min="8715" max="8715" width="10.140625" style="14" customWidth="1"/>
    <col min="8716" max="8716" width="11.7109375" style="14" customWidth="1"/>
    <col min="8717" max="8717" width="11.42578125" style="14" customWidth="1"/>
    <col min="8718" max="8718" width="12.7109375" style="14" customWidth="1"/>
    <col min="8719" max="8719" width="11.42578125" style="14" customWidth="1"/>
    <col min="8720" max="8720" width="10.7109375" style="14" customWidth="1"/>
    <col min="8721" max="8721" width="10.5703125" style="14" customWidth="1"/>
    <col min="8722" max="8722" width="11.28515625" style="14" customWidth="1"/>
    <col min="8723" max="8723" width="9.7109375" style="14" customWidth="1"/>
    <col min="8724" max="8724" width="12" style="14" customWidth="1"/>
    <col min="8725" max="8725" width="11.28515625" style="14" customWidth="1"/>
    <col min="8726" max="8963" width="9.140625" style="14"/>
    <col min="8964" max="8964" width="5.7109375" style="14" customWidth="1"/>
    <col min="8965" max="8965" width="13.140625" style="14" customWidth="1"/>
    <col min="8966" max="8966" width="12.28515625" style="14" customWidth="1"/>
    <col min="8967" max="8967" width="8.85546875" style="14" customWidth="1"/>
    <col min="8968" max="8968" width="10.85546875" style="14" customWidth="1"/>
    <col min="8969" max="8969" width="2.85546875" style="14" customWidth="1"/>
    <col min="8970" max="8970" width="12.140625" style="14" customWidth="1"/>
    <col min="8971" max="8971" width="10.140625" style="14" customWidth="1"/>
    <col min="8972" max="8972" width="11.7109375" style="14" customWidth="1"/>
    <col min="8973" max="8973" width="11.42578125" style="14" customWidth="1"/>
    <col min="8974" max="8974" width="12.7109375" style="14" customWidth="1"/>
    <col min="8975" max="8975" width="11.42578125" style="14" customWidth="1"/>
    <col min="8976" max="8976" width="10.7109375" style="14" customWidth="1"/>
    <col min="8977" max="8977" width="10.5703125" style="14" customWidth="1"/>
    <col min="8978" max="8978" width="11.28515625" style="14" customWidth="1"/>
    <col min="8979" max="8979" width="9.7109375" style="14" customWidth="1"/>
    <col min="8980" max="8980" width="12" style="14" customWidth="1"/>
    <col min="8981" max="8981" width="11.28515625" style="14" customWidth="1"/>
    <col min="8982" max="9219" width="9.140625" style="14"/>
    <col min="9220" max="9220" width="5.7109375" style="14" customWidth="1"/>
    <col min="9221" max="9221" width="13.140625" style="14" customWidth="1"/>
    <col min="9222" max="9222" width="12.28515625" style="14" customWidth="1"/>
    <col min="9223" max="9223" width="8.85546875" style="14" customWidth="1"/>
    <col min="9224" max="9224" width="10.85546875" style="14" customWidth="1"/>
    <col min="9225" max="9225" width="2.85546875" style="14" customWidth="1"/>
    <col min="9226" max="9226" width="12.140625" style="14" customWidth="1"/>
    <col min="9227" max="9227" width="10.140625" style="14" customWidth="1"/>
    <col min="9228" max="9228" width="11.7109375" style="14" customWidth="1"/>
    <col min="9229" max="9229" width="11.42578125" style="14" customWidth="1"/>
    <col min="9230" max="9230" width="12.7109375" style="14" customWidth="1"/>
    <col min="9231" max="9231" width="11.42578125" style="14" customWidth="1"/>
    <col min="9232" max="9232" width="10.7109375" style="14" customWidth="1"/>
    <col min="9233" max="9233" width="10.5703125" style="14" customWidth="1"/>
    <col min="9234" max="9234" width="11.28515625" style="14" customWidth="1"/>
    <col min="9235" max="9235" width="9.7109375" style="14" customWidth="1"/>
    <col min="9236" max="9236" width="12" style="14" customWidth="1"/>
    <col min="9237" max="9237" width="11.28515625" style="14" customWidth="1"/>
    <col min="9238" max="9475" width="9.140625" style="14"/>
    <col min="9476" max="9476" width="5.7109375" style="14" customWidth="1"/>
    <col min="9477" max="9477" width="13.140625" style="14" customWidth="1"/>
    <col min="9478" max="9478" width="12.28515625" style="14" customWidth="1"/>
    <col min="9479" max="9479" width="8.85546875" style="14" customWidth="1"/>
    <col min="9480" max="9480" width="10.85546875" style="14" customWidth="1"/>
    <col min="9481" max="9481" width="2.85546875" style="14" customWidth="1"/>
    <col min="9482" max="9482" width="12.140625" style="14" customWidth="1"/>
    <col min="9483" max="9483" width="10.140625" style="14" customWidth="1"/>
    <col min="9484" max="9484" width="11.7109375" style="14" customWidth="1"/>
    <col min="9485" max="9485" width="11.42578125" style="14" customWidth="1"/>
    <col min="9486" max="9486" width="12.7109375" style="14" customWidth="1"/>
    <col min="9487" max="9487" width="11.42578125" style="14" customWidth="1"/>
    <col min="9488" max="9488" width="10.7109375" style="14" customWidth="1"/>
    <col min="9489" max="9489" width="10.5703125" style="14" customWidth="1"/>
    <col min="9490" max="9490" width="11.28515625" style="14" customWidth="1"/>
    <col min="9491" max="9491" width="9.7109375" style="14" customWidth="1"/>
    <col min="9492" max="9492" width="12" style="14" customWidth="1"/>
    <col min="9493" max="9493" width="11.28515625" style="14" customWidth="1"/>
    <col min="9494" max="9731" width="9.140625" style="14"/>
    <col min="9732" max="9732" width="5.7109375" style="14" customWidth="1"/>
    <col min="9733" max="9733" width="13.140625" style="14" customWidth="1"/>
    <col min="9734" max="9734" width="12.28515625" style="14" customWidth="1"/>
    <col min="9735" max="9735" width="8.85546875" style="14" customWidth="1"/>
    <col min="9736" max="9736" width="10.85546875" style="14" customWidth="1"/>
    <col min="9737" max="9737" width="2.85546875" style="14" customWidth="1"/>
    <col min="9738" max="9738" width="12.140625" style="14" customWidth="1"/>
    <col min="9739" max="9739" width="10.140625" style="14" customWidth="1"/>
    <col min="9740" max="9740" width="11.7109375" style="14" customWidth="1"/>
    <col min="9741" max="9741" width="11.42578125" style="14" customWidth="1"/>
    <col min="9742" max="9742" width="12.7109375" style="14" customWidth="1"/>
    <col min="9743" max="9743" width="11.42578125" style="14" customWidth="1"/>
    <col min="9744" max="9744" width="10.7109375" style="14" customWidth="1"/>
    <col min="9745" max="9745" width="10.5703125" style="14" customWidth="1"/>
    <col min="9746" max="9746" width="11.28515625" style="14" customWidth="1"/>
    <col min="9747" max="9747" width="9.7109375" style="14" customWidth="1"/>
    <col min="9748" max="9748" width="12" style="14" customWidth="1"/>
    <col min="9749" max="9749" width="11.28515625" style="14" customWidth="1"/>
    <col min="9750" max="9987" width="9.140625" style="14"/>
    <col min="9988" max="9988" width="5.7109375" style="14" customWidth="1"/>
    <col min="9989" max="9989" width="13.140625" style="14" customWidth="1"/>
    <col min="9990" max="9990" width="12.28515625" style="14" customWidth="1"/>
    <col min="9991" max="9991" width="8.85546875" style="14" customWidth="1"/>
    <col min="9992" max="9992" width="10.85546875" style="14" customWidth="1"/>
    <col min="9993" max="9993" width="2.85546875" style="14" customWidth="1"/>
    <col min="9994" max="9994" width="12.140625" style="14" customWidth="1"/>
    <col min="9995" max="9995" width="10.140625" style="14" customWidth="1"/>
    <col min="9996" max="9996" width="11.7109375" style="14" customWidth="1"/>
    <col min="9997" max="9997" width="11.42578125" style="14" customWidth="1"/>
    <col min="9998" max="9998" width="12.7109375" style="14" customWidth="1"/>
    <col min="9999" max="9999" width="11.42578125" style="14" customWidth="1"/>
    <col min="10000" max="10000" width="10.7109375" style="14" customWidth="1"/>
    <col min="10001" max="10001" width="10.5703125" style="14" customWidth="1"/>
    <col min="10002" max="10002" width="11.28515625" style="14" customWidth="1"/>
    <col min="10003" max="10003" width="9.7109375" style="14" customWidth="1"/>
    <col min="10004" max="10004" width="12" style="14" customWidth="1"/>
    <col min="10005" max="10005" width="11.28515625" style="14" customWidth="1"/>
    <col min="10006" max="10243" width="9.140625" style="14"/>
    <col min="10244" max="10244" width="5.7109375" style="14" customWidth="1"/>
    <col min="10245" max="10245" width="13.140625" style="14" customWidth="1"/>
    <col min="10246" max="10246" width="12.28515625" style="14" customWidth="1"/>
    <col min="10247" max="10247" width="8.85546875" style="14" customWidth="1"/>
    <col min="10248" max="10248" width="10.85546875" style="14" customWidth="1"/>
    <col min="10249" max="10249" width="2.85546875" style="14" customWidth="1"/>
    <col min="10250" max="10250" width="12.140625" style="14" customWidth="1"/>
    <col min="10251" max="10251" width="10.140625" style="14" customWidth="1"/>
    <col min="10252" max="10252" width="11.7109375" style="14" customWidth="1"/>
    <col min="10253" max="10253" width="11.42578125" style="14" customWidth="1"/>
    <col min="10254" max="10254" width="12.7109375" style="14" customWidth="1"/>
    <col min="10255" max="10255" width="11.42578125" style="14" customWidth="1"/>
    <col min="10256" max="10256" width="10.7109375" style="14" customWidth="1"/>
    <col min="10257" max="10257" width="10.5703125" style="14" customWidth="1"/>
    <col min="10258" max="10258" width="11.28515625" style="14" customWidth="1"/>
    <col min="10259" max="10259" width="9.7109375" style="14" customWidth="1"/>
    <col min="10260" max="10260" width="12" style="14" customWidth="1"/>
    <col min="10261" max="10261" width="11.28515625" style="14" customWidth="1"/>
    <col min="10262" max="10499" width="9.140625" style="14"/>
    <col min="10500" max="10500" width="5.7109375" style="14" customWidth="1"/>
    <col min="10501" max="10501" width="13.140625" style="14" customWidth="1"/>
    <col min="10502" max="10502" width="12.28515625" style="14" customWidth="1"/>
    <col min="10503" max="10503" width="8.85546875" style="14" customWidth="1"/>
    <col min="10504" max="10504" width="10.85546875" style="14" customWidth="1"/>
    <col min="10505" max="10505" width="2.85546875" style="14" customWidth="1"/>
    <col min="10506" max="10506" width="12.140625" style="14" customWidth="1"/>
    <col min="10507" max="10507" width="10.140625" style="14" customWidth="1"/>
    <col min="10508" max="10508" width="11.7109375" style="14" customWidth="1"/>
    <col min="10509" max="10509" width="11.42578125" style="14" customWidth="1"/>
    <col min="10510" max="10510" width="12.7109375" style="14" customWidth="1"/>
    <col min="10511" max="10511" width="11.42578125" style="14" customWidth="1"/>
    <col min="10512" max="10512" width="10.7109375" style="14" customWidth="1"/>
    <col min="10513" max="10513" width="10.5703125" style="14" customWidth="1"/>
    <col min="10514" max="10514" width="11.28515625" style="14" customWidth="1"/>
    <col min="10515" max="10515" width="9.7109375" style="14" customWidth="1"/>
    <col min="10516" max="10516" width="12" style="14" customWidth="1"/>
    <col min="10517" max="10517" width="11.28515625" style="14" customWidth="1"/>
    <col min="10518" max="10755" width="9.140625" style="14"/>
    <col min="10756" max="10756" width="5.7109375" style="14" customWidth="1"/>
    <col min="10757" max="10757" width="13.140625" style="14" customWidth="1"/>
    <col min="10758" max="10758" width="12.28515625" style="14" customWidth="1"/>
    <col min="10759" max="10759" width="8.85546875" style="14" customWidth="1"/>
    <col min="10760" max="10760" width="10.85546875" style="14" customWidth="1"/>
    <col min="10761" max="10761" width="2.85546875" style="14" customWidth="1"/>
    <col min="10762" max="10762" width="12.140625" style="14" customWidth="1"/>
    <col min="10763" max="10763" width="10.140625" style="14" customWidth="1"/>
    <col min="10764" max="10764" width="11.7109375" style="14" customWidth="1"/>
    <col min="10765" max="10765" width="11.42578125" style="14" customWidth="1"/>
    <col min="10766" max="10766" width="12.7109375" style="14" customWidth="1"/>
    <col min="10767" max="10767" width="11.42578125" style="14" customWidth="1"/>
    <col min="10768" max="10768" width="10.7109375" style="14" customWidth="1"/>
    <col min="10769" max="10769" width="10.5703125" style="14" customWidth="1"/>
    <col min="10770" max="10770" width="11.28515625" style="14" customWidth="1"/>
    <col min="10771" max="10771" width="9.7109375" style="14" customWidth="1"/>
    <col min="10772" max="10772" width="12" style="14" customWidth="1"/>
    <col min="10773" max="10773" width="11.28515625" style="14" customWidth="1"/>
    <col min="10774" max="11011" width="9.140625" style="14"/>
    <col min="11012" max="11012" width="5.7109375" style="14" customWidth="1"/>
    <col min="11013" max="11013" width="13.140625" style="14" customWidth="1"/>
    <col min="11014" max="11014" width="12.28515625" style="14" customWidth="1"/>
    <col min="11015" max="11015" width="8.85546875" style="14" customWidth="1"/>
    <col min="11016" max="11016" width="10.85546875" style="14" customWidth="1"/>
    <col min="11017" max="11017" width="2.85546875" style="14" customWidth="1"/>
    <col min="11018" max="11018" width="12.140625" style="14" customWidth="1"/>
    <col min="11019" max="11019" width="10.140625" style="14" customWidth="1"/>
    <col min="11020" max="11020" width="11.7109375" style="14" customWidth="1"/>
    <col min="11021" max="11021" width="11.42578125" style="14" customWidth="1"/>
    <col min="11022" max="11022" width="12.7109375" style="14" customWidth="1"/>
    <col min="11023" max="11023" width="11.42578125" style="14" customWidth="1"/>
    <col min="11024" max="11024" width="10.7109375" style="14" customWidth="1"/>
    <col min="11025" max="11025" width="10.5703125" style="14" customWidth="1"/>
    <col min="11026" max="11026" width="11.28515625" style="14" customWidth="1"/>
    <col min="11027" max="11027" width="9.7109375" style="14" customWidth="1"/>
    <col min="11028" max="11028" width="12" style="14" customWidth="1"/>
    <col min="11029" max="11029" width="11.28515625" style="14" customWidth="1"/>
    <col min="11030" max="11267" width="9.140625" style="14"/>
    <col min="11268" max="11268" width="5.7109375" style="14" customWidth="1"/>
    <col min="11269" max="11269" width="13.140625" style="14" customWidth="1"/>
    <col min="11270" max="11270" width="12.28515625" style="14" customWidth="1"/>
    <col min="11271" max="11271" width="8.85546875" style="14" customWidth="1"/>
    <col min="11272" max="11272" width="10.85546875" style="14" customWidth="1"/>
    <col min="11273" max="11273" width="2.85546875" style="14" customWidth="1"/>
    <col min="11274" max="11274" width="12.140625" style="14" customWidth="1"/>
    <col min="11275" max="11275" width="10.140625" style="14" customWidth="1"/>
    <col min="11276" max="11276" width="11.7109375" style="14" customWidth="1"/>
    <col min="11277" max="11277" width="11.42578125" style="14" customWidth="1"/>
    <col min="11278" max="11278" width="12.7109375" style="14" customWidth="1"/>
    <col min="11279" max="11279" width="11.42578125" style="14" customWidth="1"/>
    <col min="11280" max="11280" width="10.7109375" style="14" customWidth="1"/>
    <col min="11281" max="11281" width="10.5703125" style="14" customWidth="1"/>
    <col min="11282" max="11282" width="11.28515625" style="14" customWidth="1"/>
    <col min="11283" max="11283" width="9.7109375" style="14" customWidth="1"/>
    <col min="11284" max="11284" width="12" style="14" customWidth="1"/>
    <col min="11285" max="11285" width="11.28515625" style="14" customWidth="1"/>
    <col min="11286" max="11523" width="9.140625" style="14"/>
    <col min="11524" max="11524" width="5.7109375" style="14" customWidth="1"/>
    <col min="11525" max="11525" width="13.140625" style="14" customWidth="1"/>
    <col min="11526" max="11526" width="12.28515625" style="14" customWidth="1"/>
    <col min="11527" max="11527" width="8.85546875" style="14" customWidth="1"/>
    <col min="11528" max="11528" width="10.85546875" style="14" customWidth="1"/>
    <col min="11529" max="11529" width="2.85546875" style="14" customWidth="1"/>
    <col min="11530" max="11530" width="12.140625" style="14" customWidth="1"/>
    <col min="11531" max="11531" width="10.140625" style="14" customWidth="1"/>
    <col min="11532" max="11532" width="11.7109375" style="14" customWidth="1"/>
    <col min="11533" max="11533" width="11.42578125" style="14" customWidth="1"/>
    <col min="11534" max="11534" width="12.7109375" style="14" customWidth="1"/>
    <col min="11535" max="11535" width="11.42578125" style="14" customWidth="1"/>
    <col min="11536" max="11536" width="10.7109375" style="14" customWidth="1"/>
    <col min="11537" max="11537" width="10.5703125" style="14" customWidth="1"/>
    <col min="11538" max="11538" width="11.28515625" style="14" customWidth="1"/>
    <col min="11539" max="11539" width="9.7109375" style="14" customWidth="1"/>
    <col min="11540" max="11540" width="12" style="14" customWidth="1"/>
    <col min="11541" max="11541" width="11.28515625" style="14" customWidth="1"/>
    <col min="11542" max="11779" width="9.140625" style="14"/>
    <col min="11780" max="11780" width="5.7109375" style="14" customWidth="1"/>
    <col min="11781" max="11781" width="13.140625" style="14" customWidth="1"/>
    <col min="11782" max="11782" width="12.28515625" style="14" customWidth="1"/>
    <col min="11783" max="11783" width="8.85546875" style="14" customWidth="1"/>
    <col min="11784" max="11784" width="10.85546875" style="14" customWidth="1"/>
    <col min="11785" max="11785" width="2.85546875" style="14" customWidth="1"/>
    <col min="11786" max="11786" width="12.140625" style="14" customWidth="1"/>
    <col min="11787" max="11787" width="10.140625" style="14" customWidth="1"/>
    <col min="11788" max="11788" width="11.7109375" style="14" customWidth="1"/>
    <col min="11789" max="11789" width="11.42578125" style="14" customWidth="1"/>
    <col min="11790" max="11790" width="12.7109375" style="14" customWidth="1"/>
    <col min="11791" max="11791" width="11.42578125" style="14" customWidth="1"/>
    <col min="11792" max="11792" width="10.7109375" style="14" customWidth="1"/>
    <col min="11793" max="11793" width="10.5703125" style="14" customWidth="1"/>
    <col min="11794" max="11794" width="11.28515625" style="14" customWidth="1"/>
    <col min="11795" max="11795" width="9.7109375" style="14" customWidth="1"/>
    <col min="11796" max="11796" width="12" style="14" customWidth="1"/>
    <col min="11797" max="11797" width="11.28515625" style="14" customWidth="1"/>
    <col min="11798" max="12035" width="9.140625" style="14"/>
    <col min="12036" max="12036" width="5.7109375" style="14" customWidth="1"/>
    <col min="12037" max="12037" width="13.140625" style="14" customWidth="1"/>
    <col min="12038" max="12038" width="12.28515625" style="14" customWidth="1"/>
    <col min="12039" max="12039" width="8.85546875" style="14" customWidth="1"/>
    <col min="12040" max="12040" width="10.85546875" style="14" customWidth="1"/>
    <col min="12041" max="12041" width="2.85546875" style="14" customWidth="1"/>
    <col min="12042" max="12042" width="12.140625" style="14" customWidth="1"/>
    <col min="12043" max="12043" width="10.140625" style="14" customWidth="1"/>
    <col min="12044" max="12044" width="11.7109375" style="14" customWidth="1"/>
    <col min="12045" max="12045" width="11.42578125" style="14" customWidth="1"/>
    <col min="12046" max="12046" width="12.7109375" style="14" customWidth="1"/>
    <col min="12047" max="12047" width="11.42578125" style="14" customWidth="1"/>
    <col min="12048" max="12048" width="10.7109375" style="14" customWidth="1"/>
    <col min="12049" max="12049" width="10.5703125" style="14" customWidth="1"/>
    <col min="12050" max="12050" width="11.28515625" style="14" customWidth="1"/>
    <col min="12051" max="12051" width="9.7109375" style="14" customWidth="1"/>
    <col min="12052" max="12052" width="12" style="14" customWidth="1"/>
    <col min="12053" max="12053" width="11.28515625" style="14" customWidth="1"/>
    <col min="12054" max="12291" width="9.140625" style="14"/>
    <col min="12292" max="12292" width="5.7109375" style="14" customWidth="1"/>
    <col min="12293" max="12293" width="13.140625" style="14" customWidth="1"/>
    <col min="12294" max="12294" width="12.28515625" style="14" customWidth="1"/>
    <col min="12295" max="12295" width="8.85546875" style="14" customWidth="1"/>
    <col min="12296" max="12296" width="10.85546875" style="14" customWidth="1"/>
    <col min="12297" max="12297" width="2.85546875" style="14" customWidth="1"/>
    <col min="12298" max="12298" width="12.140625" style="14" customWidth="1"/>
    <col min="12299" max="12299" width="10.140625" style="14" customWidth="1"/>
    <col min="12300" max="12300" width="11.7109375" style="14" customWidth="1"/>
    <col min="12301" max="12301" width="11.42578125" style="14" customWidth="1"/>
    <col min="12302" max="12302" width="12.7109375" style="14" customWidth="1"/>
    <col min="12303" max="12303" width="11.42578125" style="14" customWidth="1"/>
    <col min="12304" max="12304" width="10.7109375" style="14" customWidth="1"/>
    <col min="12305" max="12305" width="10.5703125" style="14" customWidth="1"/>
    <col min="12306" max="12306" width="11.28515625" style="14" customWidth="1"/>
    <col min="12307" max="12307" width="9.7109375" style="14" customWidth="1"/>
    <col min="12308" max="12308" width="12" style="14" customWidth="1"/>
    <col min="12309" max="12309" width="11.28515625" style="14" customWidth="1"/>
    <col min="12310" max="12547" width="9.140625" style="14"/>
    <col min="12548" max="12548" width="5.7109375" style="14" customWidth="1"/>
    <col min="12549" max="12549" width="13.140625" style="14" customWidth="1"/>
    <col min="12550" max="12550" width="12.28515625" style="14" customWidth="1"/>
    <col min="12551" max="12551" width="8.85546875" style="14" customWidth="1"/>
    <col min="12552" max="12552" width="10.85546875" style="14" customWidth="1"/>
    <col min="12553" max="12553" width="2.85546875" style="14" customWidth="1"/>
    <col min="12554" max="12554" width="12.140625" style="14" customWidth="1"/>
    <col min="12555" max="12555" width="10.140625" style="14" customWidth="1"/>
    <col min="12556" max="12556" width="11.7109375" style="14" customWidth="1"/>
    <col min="12557" max="12557" width="11.42578125" style="14" customWidth="1"/>
    <col min="12558" max="12558" width="12.7109375" style="14" customWidth="1"/>
    <col min="12559" max="12559" width="11.42578125" style="14" customWidth="1"/>
    <col min="12560" max="12560" width="10.7109375" style="14" customWidth="1"/>
    <col min="12561" max="12561" width="10.5703125" style="14" customWidth="1"/>
    <col min="12562" max="12562" width="11.28515625" style="14" customWidth="1"/>
    <col min="12563" max="12563" width="9.7109375" style="14" customWidth="1"/>
    <col min="12564" max="12564" width="12" style="14" customWidth="1"/>
    <col min="12565" max="12565" width="11.28515625" style="14" customWidth="1"/>
    <col min="12566" max="12803" width="9.140625" style="14"/>
    <col min="12804" max="12804" width="5.7109375" style="14" customWidth="1"/>
    <col min="12805" max="12805" width="13.140625" style="14" customWidth="1"/>
    <col min="12806" max="12806" width="12.28515625" style="14" customWidth="1"/>
    <col min="12807" max="12807" width="8.85546875" style="14" customWidth="1"/>
    <col min="12808" max="12808" width="10.85546875" style="14" customWidth="1"/>
    <col min="12809" max="12809" width="2.85546875" style="14" customWidth="1"/>
    <col min="12810" max="12810" width="12.140625" style="14" customWidth="1"/>
    <col min="12811" max="12811" width="10.140625" style="14" customWidth="1"/>
    <col min="12812" max="12812" width="11.7109375" style="14" customWidth="1"/>
    <col min="12813" max="12813" width="11.42578125" style="14" customWidth="1"/>
    <col min="12814" max="12814" width="12.7109375" style="14" customWidth="1"/>
    <col min="12815" max="12815" width="11.42578125" style="14" customWidth="1"/>
    <col min="12816" max="12816" width="10.7109375" style="14" customWidth="1"/>
    <col min="12817" max="12817" width="10.5703125" style="14" customWidth="1"/>
    <col min="12818" max="12818" width="11.28515625" style="14" customWidth="1"/>
    <col min="12819" max="12819" width="9.7109375" style="14" customWidth="1"/>
    <col min="12820" max="12820" width="12" style="14" customWidth="1"/>
    <col min="12821" max="12821" width="11.28515625" style="14" customWidth="1"/>
    <col min="12822" max="13059" width="9.140625" style="14"/>
    <col min="13060" max="13060" width="5.7109375" style="14" customWidth="1"/>
    <col min="13061" max="13061" width="13.140625" style="14" customWidth="1"/>
    <col min="13062" max="13062" width="12.28515625" style="14" customWidth="1"/>
    <col min="13063" max="13063" width="8.85546875" style="14" customWidth="1"/>
    <col min="13064" max="13064" width="10.85546875" style="14" customWidth="1"/>
    <col min="13065" max="13065" width="2.85546875" style="14" customWidth="1"/>
    <col min="13066" max="13066" width="12.140625" style="14" customWidth="1"/>
    <col min="13067" max="13067" width="10.140625" style="14" customWidth="1"/>
    <col min="13068" max="13068" width="11.7109375" style="14" customWidth="1"/>
    <col min="13069" max="13069" width="11.42578125" style="14" customWidth="1"/>
    <col min="13070" max="13070" width="12.7109375" style="14" customWidth="1"/>
    <col min="13071" max="13071" width="11.42578125" style="14" customWidth="1"/>
    <col min="13072" max="13072" width="10.7109375" style="14" customWidth="1"/>
    <col min="13073" max="13073" width="10.5703125" style="14" customWidth="1"/>
    <col min="13074" max="13074" width="11.28515625" style="14" customWidth="1"/>
    <col min="13075" max="13075" width="9.7109375" style="14" customWidth="1"/>
    <col min="13076" max="13076" width="12" style="14" customWidth="1"/>
    <col min="13077" max="13077" width="11.28515625" style="14" customWidth="1"/>
    <col min="13078" max="13315" width="9.140625" style="14"/>
    <col min="13316" max="13316" width="5.7109375" style="14" customWidth="1"/>
    <col min="13317" max="13317" width="13.140625" style="14" customWidth="1"/>
    <col min="13318" max="13318" width="12.28515625" style="14" customWidth="1"/>
    <col min="13319" max="13319" width="8.85546875" style="14" customWidth="1"/>
    <col min="13320" max="13320" width="10.85546875" style="14" customWidth="1"/>
    <col min="13321" max="13321" width="2.85546875" style="14" customWidth="1"/>
    <col min="13322" max="13322" width="12.140625" style="14" customWidth="1"/>
    <col min="13323" max="13323" width="10.140625" style="14" customWidth="1"/>
    <col min="13324" max="13324" width="11.7109375" style="14" customWidth="1"/>
    <col min="13325" max="13325" width="11.42578125" style="14" customWidth="1"/>
    <col min="13326" max="13326" width="12.7109375" style="14" customWidth="1"/>
    <col min="13327" max="13327" width="11.42578125" style="14" customWidth="1"/>
    <col min="13328" max="13328" width="10.7109375" style="14" customWidth="1"/>
    <col min="13329" max="13329" width="10.5703125" style="14" customWidth="1"/>
    <col min="13330" max="13330" width="11.28515625" style="14" customWidth="1"/>
    <col min="13331" max="13331" width="9.7109375" style="14" customWidth="1"/>
    <col min="13332" max="13332" width="12" style="14" customWidth="1"/>
    <col min="13333" max="13333" width="11.28515625" style="14" customWidth="1"/>
    <col min="13334" max="13571" width="9.140625" style="14"/>
    <col min="13572" max="13572" width="5.7109375" style="14" customWidth="1"/>
    <col min="13573" max="13573" width="13.140625" style="14" customWidth="1"/>
    <col min="13574" max="13574" width="12.28515625" style="14" customWidth="1"/>
    <col min="13575" max="13575" width="8.85546875" style="14" customWidth="1"/>
    <col min="13576" max="13576" width="10.85546875" style="14" customWidth="1"/>
    <col min="13577" max="13577" width="2.85546875" style="14" customWidth="1"/>
    <col min="13578" max="13578" width="12.140625" style="14" customWidth="1"/>
    <col min="13579" max="13579" width="10.140625" style="14" customWidth="1"/>
    <col min="13580" max="13580" width="11.7109375" style="14" customWidth="1"/>
    <col min="13581" max="13581" width="11.42578125" style="14" customWidth="1"/>
    <col min="13582" max="13582" width="12.7109375" style="14" customWidth="1"/>
    <col min="13583" max="13583" width="11.42578125" style="14" customWidth="1"/>
    <col min="13584" max="13584" width="10.7109375" style="14" customWidth="1"/>
    <col min="13585" max="13585" width="10.5703125" style="14" customWidth="1"/>
    <col min="13586" max="13586" width="11.28515625" style="14" customWidth="1"/>
    <col min="13587" max="13587" width="9.7109375" style="14" customWidth="1"/>
    <col min="13588" max="13588" width="12" style="14" customWidth="1"/>
    <col min="13589" max="13589" width="11.28515625" style="14" customWidth="1"/>
    <col min="13590" max="13827" width="9.140625" style="14"/>
    <col min="13828" max="13828" width="5.7109375" style="14" customWidth="1"/>
    <col min="13829" max="13829" width="13.140625" style="14" customWidth="1"/>
    <col min="13830" max="13830" width="12.28515625" style="14" customWidth="1"/>
    <col min="13831" max="13831" width="8.85546875" style="14" customWidth="1"/>
    <col min="13832" max="13832" width="10.85546875" style="14" customWidth="1"/>
    <col min="13833" max="13833" width="2.85546875" style="14" customWidth="1"/>
    <col min="13834" max="13834" width="12.140625" style="14" customWidth="1"/>
    <col min="13835" max="13835" width="10.140625" style="14" customWidth="1"/>
    <col min="13836" max="13836" width="11.7109375" style="14" customWidth="1"/>
    <col min="13837" max="13837" width="11.42578125" style="14" customWidth="1"/>
    <col min="13838" max="13838" width="12.7109375" style="14" customWidth="1"/>
    <col min="13839" max="13839" width="11.42578125" style="14" customWidth="1"/>
    <col min="13840" max="13840" width="10.7109375" style="14" customWidth="1"/>
    <col min="13841" max="13841" width="10.5703125" style="14" customWidth="1"/>
    <col min="13842" max="13842" width="11.28515625" style="14" customWidth="1"/>
    <col min="13843" max="13843" width="9.7109375" style="14" customWidth="1"/>
    <col min="13844" max="13844" width="12" style="14" customWidth="1"/>
    <col min="13845" max="13845" width="11.28515625" style="14" customWidth="1"/>
    <col min="13846" max="14083" width="9.140625" style="14"/>
    <col min="14084" max="14084" width="5.7109375" style="14" customWidth="1"/>
    <col min="14085" max="14085" width="13.140625" style="14" customWidth="1"/>
    <col min="14086" max="14086" width="12.28515625" style="14" customWidth="1"/>
    <col min="14087" max="14087" width="8.85546875" style="14" customWidth="1"/>
    <col min="14088" max="14088" width="10.85546875" style="14" customWidth="1"/>
    <col min="14089" max="14089" width="2.85546875" style="14" customWidth="1"/>
    <col min="14090" max="14090" width="12.140625" style="14" customWidth="1"/>
    <col min="14091" max="14091" width="10.140625" style="14" customWidth="1"/>
    <col min="14092" max="14092" width="11.7109375" style="14" customWidth="1"/>
    <col min="14093" max="14093" width="11.42578125" style="14" customWidth="1"/>
    <col min="14094" max="14094" width="12.7109375" style="14" customWidth="1"/>
    <col min="14095" max="14095" width="11.42578125" style="14" customWidth="1"/>
    <col min="14096" max="14096" width="10.7109375" style="14" customWidth="1"/>
    <col min="14097" max="14097" width="10.5703125" style="14" customWidth="1"/>
    <col min="14098" max="14098" width="11.28515625" style="14" customWidth="1"/>
    <col min="14099" max="14099" width="9.7109375" style="14" customWidth="1"/>
    <col min="14100" max="14100" width="12" style="14" customWidth="1"/>
    <col min="14101" max="14101" width="11.28515625" style="14" customWidth="1"/>
    <col min="14102" max="14339" width="9.140625" style="14"/>
    <col min="14340" max="14340" width="5.7109375" style="14" customWidth="1"/>
    <col min="14341" max="14341" width="13.140625" style="14" customWidth="1"/>
    <col min="14342" max="14342" width="12.28515625" style="14" customWidth="1"/>
    <col min="14343" max="14343" width="8.85546875" style="14" customWidth="1"/>
    <col min="14344" max="14344" width="10.85546875" style="14" customWidth="1"/>
    <col min="14345" max="14345" width="2.85546875" style="14" customWidth="1"/>
    <col min="14346" max="14346" width="12.140625" style="14" customWidth="1"/>
    <col min="14347" max="14347" width="10.140625" style="14" customWidth="1"/>
    <col min="14348" max="14348" width="11.7109375" style="14" customWidth="1"/>
    <col min="14349" max="14349" width="11.42578125" style="14" customWidth="1"/>
    <col min="14350" max="14350" width="12.7109375" style="14" customWidth="1"/>
    <col min="14351" max="14351" width="11.42578125" style="14" customWidth="1"/>
    <col min="14352" max="14352" width="10.7109375" style="14" customWidth="1"/>
    <col min="14353" max="14353" width="10.5703125" style="14" customWidth="1"/>
    <col min="14354" max="14354" width="11.28515625" style="14" customWidth="1"/>
    <col min="14355" max="14355" width="9.7109375" style="14" customWidth="1"/>
    <col min="14356" max="14356" width="12" style="14" customWidth="1"/>
    <col min="14357" max="14357" width="11.28515625" style="14" customWidth="1"/>
    <col min="14358" max="14595" width="9.140625" style="14"/>
    <col min="14596" max="14596" width="5.7109375" style="14" customWidth="1"/>
    <col min="14597" max="14597" width="13.140625" style="14" customWidth="1"/>
    <col min="14598" max="14598" width="12.28515625" style="14" customWidth="1"/>
    <col min="14599" max="14599" width="8.85546875" style="14" customWidth="1"/>
    <col min="14600" max="14600" width="10.85546875" style="14" customWidth="1"/>
    <col min="14601" max="14601" width="2.85546875" style="14" customWidth="1"/>
    <col min="14602" max="14602" width="12.140625" style="14" customWidth="1"/>
    <col min="14603" max="14603" width="10.140625" style="14" customWidth="1"/>
    <col min="14604" max="14604" width="11.7109375" style="14" customWidth="1"/>
    <col min="14605" max="14605" width="11.42578125" style="14" customWidth="1"/>
    <col min="14606" max="14606" width="12.7109375" style="14" customWidth="1"/>
    <col min="14607" max="14607" width="11.42578125" style="14" customWidth="1"/>
    <col min="14608" max="14608" width="10.7109375" style="14" customWidth="1"/>
    <col min="14609" max="14609" width="10.5703125" style="14" customWidth="1"/>
    <col min="14610" max="14610" width="11.28515625" style="14" customWidth="1"/>
    <col min="14611" max="14611" width="9.7109375" style="14" customWidth="1"/>
    <col min="14612" max="14612" width="12" style="14" customWidth="1"/>
    <col min="14613" max="14613" width="11.28515625" style="14" customWidth="1"/>
    <col min="14614" max="14851" width="9.140625" style="14"/>
    <col min="14852" max="14852" width="5.7109375" style="14" customWidth="1"/>
    <col min="14853" max="14853" width="13.140625" style="14" customWidth="1"/>
    <col min="14854" max="14854" width="12.28515625" style="14" customWidth="1"/>
    <col min="14855" max="14855" width="8.85546875" style="14" customWidth="1"/>
    <col min="14856" max="14856" width="10.85546875" style="14" customWidth="1"/>
    <col min="14857" max="14857" width="2.85546875" style="14" customWidth="1"/>
    <col min="14858" max="14858" width="12.140625" style="14" customWidth="1"/>
    <col min="14859" max="14859" width="10.140625" style="14" customWidth="1"/>
    <col min="14860" max="14860" width="11.7109375" style="14" customWidth="1"/>
    <col min="14861" max="14861" width="11.42578125" style="14" customWidth="1"/>
    <col min="14862" max="14862" width="12.7109375" style="14" customWidth="1"/>
    <col min="14863" max="14863" width="11.42578125" style="14" customWidth="1"/>
    <col min="14864" max="14864" width="10.7109375" style="14" customWidth="1"/>
    <col min="14865" max="14865" width="10.5703125" style="14" customWidth="1"/>
    <col min="14866" max="14866" width="11.28515625" style="14" customWidth="1"/>
    <col min="14867" max="14867" width="9.7109375" style="14" customWidth="1"/>
    <col min="14868" max="14868" width="12" style="14" customWidth="1"/>
    <col min="14869" max="14869" width="11.28515625" style="14" customWidth="1"/>
    <col min="14870" max="15107" width="9.140625" style="14"/>
    <col min="15108" max="15108" width="5.7109375" style="14" customWidth="1"/>
    <col min="15109" max="15109" width="13.140625" style="14" customWidth="1"/>
    <col min="15110" max="15110" width="12.28515625" style="14" customWidth="1"/>
    <col min="15111" max="15111" width="8.85546875" style="14" customWidth="1"/>
    <col min="15112" max="15112" width="10.85546875" style="14" customWidth="1"/>
    <col min="15113" max="15113" width="2.85546875" style="14" customWidth="1"/>
    <col min="15114" max="15114" width="12.140625" style="14" customWidth="1"/>
    <col min="15115" max="15115" width="10.140625" style="14" customWidth="1"/>
    <col min="15116" max="15116" width="11.7109375" style="14" customWidth="1"/>
    <col min="15117" max="15117" width="11.42578125" style="14" customWidth="1"/>
    <col min="15118" max="15118" width="12.7109375" style="14" customWidth="1"/>
    <col min="15119" max="15119" width="11.42578125" style="14" customWidth="1"/>
    <col min="15120" max="15120" width="10.7109375" style="14" customWidth="1"/>
    <col min="15121" max="15121" width="10.5703125" style="14" customWidth="1"/>
    <col min="15122" max="15122" width="11.28515625" style="14" customWidth="1"/>
    <col min="15123" max="15123" width="9.7109375" style="14" customWidth="1"/>
    <col min="15124" max="15124" width="12" style="14" customWidth="1"/>
    <col min="15125" max="15125" width="11.28515625" style="14" customWidth="1"/>
    <col min="15126" max="15363" width="9.140625" style="14"/>
    <col min="15364" max="15364" width="5.7109375" style="14" customWidth="1"/>
    <col min="15365" max="15365" width="13.140625" style="14" customWidth="1"/>
    <col min="15366" max="15366" width="12.28515625" style="14" customWidth="1"/>
    <col min="15367" max="15367" width="8.85546875" style="14" customWidth="1"/>
    <col min="15368" max="15368" width="10.85546875" style="14" customWidth="1"/>
    <col min="15369" max="15369" width="2.85546875" style="14" customWidth="1"/>
    <col min="15370" max="15370" width="12.140625" style="14" customWidth="1"/>
    <col min="15371" max="15371" width="10.140625" style="14" customWidth="1"/>
    <col min="15372" max="15372" width="11.7109375" style="14" customWidth="1"/>
    <col min="15373" max="15373" width="11.42578125" style="14" customWidth="1"/>
    <col min="15374" max="15374" width="12.7109375" style="14" customWidth="1"/>
    <col min="15375" max="15375" width="11.42578125" style="14" customWidth="1"/>
    <col min="15376" max="15376" width="10.7109375" style="14" customWidth="1"/>
    <col min="15377" max="15377" width="10.5703125" style="14" customWidth="1"/>
    <col min="15378" max="15378" width="11.28515625" style="14" customWidth="1"/>
    <col min="15379" max="15379" width="9.7109375" style="14" customWidth="1"/>
    <col min="15380" max="15380" width="12" style="14" customWidth="1"/>
    <col min="15381" max="15381" width="11.28515625" style="14" customWidth="1"/>
    <col min="15382" max="15619" width="9.140625" style="14"/>
    <col min="15620" max="15620" width="5.7109375" style="14" customWidth="1"/>
    <col min="15621" max="15621" width="13.140625" style="14" customWidth="1"/>
    <col min="15622" max="15622" width="12.28515625" style="14" customWidth="1"/>
    <col min="15623" max="15623" width="8.85546875" style="14" customWidth="1"/>
    <col min="15624" max="15624" width="10.85546875" style="14" customWidth="1"/>
    <col min="15625" max="15625" width="2.85546875" style="14" customWidth="1"/>
    <col min="15626" max="15626" width="12.140625" style="14" customWidth="1"/>
    <col min="15627" max="15627" width="10.140625" style="14" customWidth="1"/>
    <col min="15628" max="15628" width="11.7109375" style="14" customWidth="1"/>
    <col min="15629" max="15629" width="11.42578125" style="14" customWidth="1"/>
    <col min="15630" max="15630" width="12.7109375" style="14" customWidth="1"/>
    <col min="15631" max="15631" width="11.42578125" style="14" customWidth="1"/>
    <col min="15632" max="15632" width="10.7109375" style="14" customWidth="1"/>
    <col min="15633" max="15633" width="10.5703125" style="14" customWidth="1"/>
    <col min="15634" max="15634" width="11.28515625" style="14" customWidth="1"/>
    <col min="15635" max="15635" width="9.7109375" style="14" customWidth="1"/>
    <col min="15636" max="15636" width="12" style="14" customWidth="1"/>
    <col min="15637" max="15637" width="11.28515625" style="14" customWidth="1"/>
    <col min="15638" max="15875" width="9.140625" style="14"/>
    <col min="15876" max="15876" width="5.7109375" style="14" customWidth="1"/>
    <col min="15877" max="15877" width="13.140625" style="14" customWidth="1"/>
    <col min="15878" max="15878" width="12.28515625" style="14" customWidth="1"/>
    <col min="15879" max="15879" width="8.85546875" style="14" customWidth="1"/>
    <col min="15880" max="15880" width="10.85546875" style="14" customWidth="1"/>
    <col min="15881" max="15881" width="2.85546875" style="14" customWidth="1"/>
    <col min="15882" max="15882" width="12.140625" style="14" customWidth="1"/>
    <col min="15883" max="15883" width="10.140625" style="14" customWidth="1"/>
    <col min="15884" max="15884" width="11.7109375" style="14" customWidth="1"/>
    <col min="15885" max="15885" width="11.42578125" style="14" customWidth="1"/>
    <col min="15886" max="15886" width="12.7109375" style="14" customWidth="1"/>
    <col min="15887" max="15887" width="11.42578125" style="14" customWidth="1"/>
    <col min="15888" max="15888" width="10.7109375" style="14" customWidth="1"/>
    <col min="15889" max="15889" width="10.5703125" style="14" customWidth="1"/>
    <col min="15890" max="15890" width="11.28515625" style="14" customWidth="1"/>
    <col min="15891" max="15891" width="9.7109375" style="14" customWidth="1"/>
    <col min="15892" max="15892" width="12" style="14" customWidth="1"/>
    <col min="15893" max="15893" width="11.28515625" style="14" customWidth="1"/>
    <col min="15894" max="16131" width="9.140625" style="14"/>
    <col min="16132" max="16132" width="5.7109375" style="14" customWidth="1"/>
    <col min="16133" max="16133" width="13.140625" style="14" customWidth="1"/>
    <col min="16134" max="16134" width="12.28515625" style="14" customWidth="1"/>
    <col min="16135" max="16135" width="8.85546875" style="14" customWidth="1"/>
    <col min="16136" max="16136" width="10.85546875" style="14" customWidth="1"/>
    <col min="16137" max="16137" width="2.85546875" style="14" customWidth="1"/>
    <col min="16138" max="16138" width="12.140625" style="14" customWidth="1"/>
    <col min="16139" max="16139" width="10.140625" style="14" customWidth="1"/>
    <col min="16140" max="16140" width="11.7109375" style="14" customWidth="1"/>
    <col min="16141" max="16141" width="11.42578125" style="14" customWidth="1"/>
    <col min="16142" max="16142" width="12.7109375" style="14" customWidth="1"/>
    <col min="16143" max="16143" width="11.42578125" style="14" customWidth="1"/>
    <col min="16144" max="16144" width="10.7109375" style="14" customWidth="1"/>
    <col min="16145" max="16145" width="10.5703125" style="14" customWidth="1"/>
    <col min="16146" max="16146" width="11.28515625" style="14" customWidth="1"/>
    <col min="16147" max="16147" width="9.7109375" style="14" customWidth="1"/>
    <col min="16148" max="16148" width="12" style="14" customWidth="1"/>
    <col min="16149" max="16149" width="11.28515625" style="14" customWidth="1"/>
    <col min="16150" max="16384" width="9.140625" style="14"/>
  </cols>
  <sheetData>
    <row r="1" spans="4:19" ht="12.75" thickBot="1" x14ac:dyDescent="0.25"/>
    <row r="2" spans="4:19" ht="12" customHeight="1" thickBot="1" x14ac:dyDescent="0.25">
      <c r="Q2" s="633" t="s">
        <v>0</v>
      </c>
      <c r="R2" s="634"/>
      <c r="S2" s="635"/>
    </row>
    <row r="3" spans="4:19" ht="13.5" thickBot="1" x14ac:dyDescent="0.25">
      <c r="I3" s="636" t="s">
        <v>1</v>
      </c>
      <c r="J3" s="637"/>
      <c r="K3" s="637"/>
      <c r="L3" s="637"/>
      <c r="M3" s="637"/>
      <c r="N3" s="637"/>
      <c r="O3" s="638"/>
      <c r="Q3" s="611">
        <f>'AGUILAR ESQUIVEL CARLOS'!Q3</f>
        <v>45</v>
      </c>
      <c r="R3" s="639"/>
      <c r="S3" s="612"/>
    </row>
    <row r="4" spans="4:19" ht="13.5" thickBot="1" x14ac:dyDescent="0.25">
      <c r="I4" s="640" t="s">
        <v>2</v>
      </c>
      <c r="J4" s="641"/>
      <c r="K4" s="641"/>
      <c r="L4" s="641"/>
      <c r="M4" s="641"/>
      <c r="N4" s="641"/>
      <c r="O4" s="642"/>
      <c r="Q4" s="18"/>
      <c r="R4" s="18"/>
      <c r="S4" s="18"/>
    </row>
    <row r="5" spans="4:19" ht="13.5" thickBot="1" x14ac:dyDescent="0.25">
      <c r="I5" s="643" t="s">
        <v>3</v>
      </c>
      <c r="J5" s="644"/>
      <c r="K5" s="644"/>
      <c r="L5" s="644"/>
      <c r="M5" s="644"/>
      <c r="N5" s="644"/>
      <c r="O5" s="645"/>
      <c r="Q5" s="611" t="s">
        <v>4</v>
      </c>
      <c r="R5" s="639"/>
      <c r="S5" s="612"/>
    </row>
    <row r="6" spans="4:19" ht="13.5" thickBot="1" x14ac:dyDescent="0.25">
      <c r="I6" s="650" t="s">
        <v>5</v>
      </c>
      <c r="J6" s="651"/>
      <c r="K6" s="651"/>
      <c r="L6" s="651"/>
      <c r="M6" s="651"/>
      <c r="N6" s="651"/>
      <c r="O6" s="652"/>
      <c r="Q6" s="653">
        <f>+'MORALES LECHUGA GONZALO'!Q6</f>
        <v>118</v>
      </c>
      <c r="R6" s="654"/>
      <c r="S6" s="655"/>
    </row>
    <row r="7" spans="4:19" ht="9" customHeight="1" x14ac:dyDescent="0.2"/>
    <row r="8" spans="4:19" ht="6.75" customHeight="1" thickBot="1" x14ac:dyDescent="0.25"/>
    <row r="9" spans="4:19" ht="13.5" thickBot="1" x14ac:dyDescent="0.25">
      <c r="I9" s="611" t="s">
        <v>6</v>
      </c>
      <c r="J9" s="639"/>
      <c r="K9" s="639"/>
      <c r="L9" s="639"/>
      <c r="M9" s="639"/>
      <c r="N9" s="639"/>
      <c r="O9" s="612"/>
    </row>
    <row r="10" spans="4:19" ht="11.25" customHeight="1" thickBot="1" x14ac:dyDescent="0.25"/>
    <row r="11" spans="4:19" ht="12.75" x14ac:dyDescent="0.2">
      <c r="D11" s="1" t="s">
        <v>7</v>
      </c>
      <c r="E11" s="676" t="s">
        <v>59</v>
      </c>
      <c r="F11" s="676"/>
      <c r="G11" s="676"/>
      <c r="H11" s="676"/>
      <c r="I11" s="2"/>
      <c r="J11" s="2"/>
      <c r="K11" s="3" t="s">
        <v>8</v>
      </c>
      <c r="L11" s="656" t="str">
        <f>'AGUILAR ESQUIVEL CARLOS'!L11</f>
        <v>SEMANA #45 PERIODO DEL 27 de oct AL 02 de nov DEL 2025</v>
      </c>
      <c r="M11" s="656"/>
      <c r="N11" s="656"/>
      <c r="O11" s="656"/>
      <c r="P11" s="656"/>
      <c r="Q11" s="656"/>
      <c r="R11" s="656"/>
      <c r="S11" s="659"/>
    </row>
    <row r="12" spans="4:19" ht="12.75" x14ac:dyDescent="0.2">
      <c r="D12" s="4" t="s">
        <v>9</v>
      </c>
      <c r="E12" s="624" t="s">
        <v>153</v>
      </c>
      <c r="F12" s="624"/>
      <c r="G12" s="624"/>
      <c r="H12" s="624"/>
      <c r="I12" s="130"/>
      <c r="J12" s="130"/>
      <c r="K12" s="130"/>
      <c r="L12" s="130"/>
      <c r="M12" s="130"/>
      <c r="N12" s="130"/>
      <c r="O12" s="130"/>
      <c r="P12" s="130"/>
      <c r="Q12" s="130"/>
      <c r="R12" s="130"/>
      <c r="S12" s="256"/>
    </row>
    <row r="13" spans="4:19" ht="9.75" customHeight="1" x14ac:dyDescent="0.2">
      <c r="D13" s="623"/>
      <c r="E13" s="624"/>
      <c r="F13" s="130"/>
      <c r="G13" s="130"/>
      <c r="H13" s="130"/>
      <c r="I13" s="130"/>
      <c r="J13" s="130"/>
      <c r="K13" s="130"/>
      <c r="L13" s="130"/>
      <c r="M13" s="130"/>
      <c r="N13" s="130"/>
      <c r="O13" s="130"/>
      <c r="P13" s="130"/>
      <c r="Q13" s="130"/>
      <c r="R13" s="130"/>
      <c r="S13" s="256"/>
    </row>
    <row r="14" spans="4:19" ht="12.75" x14ac:dyDescent="0.2">
      <c r="D14" s="625" t="s">
        <v>10</v>
      </c>
      <c r="E14" s="626"/>
      <c r="F14" s="130">
        <v>329130</v>
      </c>
      <c r="G14" s="130"/>
      <c r="H14" s="130"/>
      <c r="I14" s="6" t="s">
        <v>11</v>
      </c>
      <c r="J14" s="6"/>
      <c r="K14" s="130"/>
      <c r="L14" s="130"/>
      <c r="M14" s="130"/>
      <c r="N14" s="7" t="s">
        <v>12</v>
      </c>
      <c r="O14" s="6"/>
      <c r="P14" s="7"/>
      <c r="Q14" s="7"/>
      <c r="R14" s="7"/>
      <c r="S14" s="8"/>
    </row>
    <row r="15" spans="4:19" ht="12.75" x14ac:dyDescent="0.2">
      <c r="D15" s="625" t="s">
        <v>13</v>
      </c>
      <c r="E15" s="626"/>
      <c r="F15" s="130">
        <v>329904</v>
      </c>
      <c r="G15" s="130"/>
      <c r="H15" s="130"/>
      <c r="I15" s="6" t="s">
        <v>14</v>
      </c>
      <c r="J15" s="6"/>
      <c r="K15" s="130"/>
      <c r="L15" s="130"/>
      <c r="M15" s="130"/>
      <c r="N15" s="130"/>
      <c r="O15" s="6" t="s">
        <v>15</v>
      </c>
      <c r="P15" s="130"/>
      <c r="Q15" s="130"/>
      <c r="R15" s="130"/>
      <c r="S15" s="256"/>
    </row>
    <row r="16" spans="4:19" ht="13.5" thickBot="1" x14ac:dyDescent="0.25">
      <c r="D16" s="627" t="s">
        <v>16</v>
      </c>
      <c r="E16" s="628"/>
      <c r="F16" s="257">
        <f>SUM(J19:J32)</f>
        <v>4550</v>
      </c>
      <c r="G16" s="257"/>
      <c r="H16" s="257"/>
      <c r="I16" s="9" t="s">
        <v>17</v>
      </c>
      <c r="J16" s="257">
        <f>SUM(K19:K30)</f>
        <v>1119.2800000000002</v>
      </c>
      <c r="K16" s="257"/>
      <c r="L16" s="257"/>
      <c r="M16" s="257"/>
      <c r="N16" s="257"/>
      <c r="O16" s="9" t="s">
        <v>18</v>
      </c>
      <c r="P16" s="10">
        <f>+F16/J16</f>
        <v>4.0651132871131432</v>
      </c>
      <c r="Q16" s="257"/>
      <c r="R16" s="257"/>
      <c r="S16" s="258"/>
    </row>
    <row r="17" spans="2:24" ht="7.5" customHeight="1" thickBot="1" x14ac:dyDescent="0.25"/>
    <row r="18" spans="2:24" ht="33" customHeight="1" thickBot="1" x14ac:dyDescent="0.25">
      <c r="C18" s="243" t="s">
        <v>19</v>
      </c>
      <c r="D18" s="33" t="s">
        <v>20</v>
      </c>
      <c r="E18" s="34" t="s">
        <v>21</v>
      </c>
      <c r="F18" s="34" t="s">
        <v>22</v>
      </c>
      <c r="G18" s="34" t="s">
        <v>23</v>
      </c>
      <c r="H18" s="34" t="s">
        <v>24</v>
      </c>
      <c r="I18" s="34" t="s">
        <v>25</v>
      </c>
      <c r="J18" s="34" t="s">
        <v>26</v>
      </c>
      <c r="K18" s="34" t="s">
        <v>27</v>
      </c>
      <c r="L18" s="34" t="s">
        <v>28</v>
      </c>
      <c r="M18" s="34" t="s">
        <v>285</v>
      </c>
      <c r="N18" s="34" t="s">
        <v>29</v>
      </c>
      <c r="O18" s="34" t="s">
        <v>30</v>
      </c>
      <c r="P18" s="33" t="s">
        <v>31</v>
      </c>
      <c r="Q18" s="34" t="s">
        <v>219</v>
      </c>
      <c r="R18" s="34" t="s">
        <v>184</v>
      </c>
      <c r="S18" s="34" t="s">
        <v>33</v>
      </c>
      <c r="T18" s="454" t="s">
        <v>220</v>
      </c>
      <c r="U18" s="448" t="s">
        <v>351</v>
      </c>
      <c r="V18" s="305" t="s">
        <v>354</v>
      </c>
    </row>
    <row r="19" spans="2:24" x14ac:dyDescent="0.2">
      <c r="B19" s="14" t="s">
        <v>553</v>
      </c>
      <c r="C19" s="176">
        <v>46491</v>
      </c>
      <c r="D19" s="43" t="s">
        <v>551</v>
      </c>
      <c r="E19" s="42">
        <v>45957</v>
      </c>
      <c r="F19" s="42">
        <v>45958</v>
      </c>
      <c r="G19" s="43">
        <v>1</v>
      </c>
      <c r="H19" s="65" t="str">
        <f>IF(G19=1,KILOMETRAJE!C$4,IF(G19=2,KILOMETRAJE!C$5,IF(G19=3,KILOMETRAJE!C$6,IF(G19=4,KILOMETRAJE!C$7,IF(G19=5,KILOMETRAJE!C$8,IF(G19=6,KILOMETRAJE!C$9,IF(G19=7,KILOMETRAJE!C$10,IF(G19=8,KILOMETRAJE!C$11,IF(G19=9,KILOMETRAJE!C$12,IF(G19=10,KILOMETRAJE!C$13,IF(G19=11,KILOMETRAJE!C$14,IF(G19=12,KILOMETRAJE!C$15,IF(G19=13,KILOMETRAJE!C$16,IF(G19=14,KILOMETRAJE!C$17,IF(G19=15,KILOMETRAJE!C$18,IF(G19=16,KILOMETRAJE!C$19,IF(G19=17,KILOMETRAJE!C$20,IF(G19=18,KILOMETRAJE!C$21,IF(G19=19,KILOMETRAJE!C$22,IF(G19=20,KILOMETRAJE!C$23,IF(G19=21,KILOMETRAJE!C$24,IF(G19=22,KILOMETRAJE!C$25,IF(G19=23,KILOMETRAJE!C$26,IF(G19=24,KILOMETRAJE!C$27,IF(G19=25,KILOMETRAJE!C$28,IF(G19=26,KILOMETRAJE!C$29,IF(G19=27,KILOMETRAJE!C$30,IF(G19=28,KILOMETRAJE!C$31,IF(G19=29,KILOMETRAJE!C$32,IF(G19=30,KILOMETRAJE!C$33,IF(G19=31,KILOMETRAJE!C$34,IF(G19=32,KILOMETRAJE!C$35,IF(G19=33,KILOMETRAJE!C$36,IF(G19=34,KILOMETRAJE!C$37,IF(G19=35,KILOMETRAJE!C$38,IF(G19=36,KILOMETRAJE!C$39,IF(G19=37,KILOMETRAJE!C$40,IF(G19=38,KILOMETRAJE!C$41,IF(G19=39,KILOMETRAJE!C$42,IF(G19=40,KILOMETRAJE!C$43,IF(G19=41,KILOMETRAJE!C$44,IF(G19=42,KILOMETRAJE!C$45,IF(G19=43,KILOMETRAJE!C$46,IF(G19=44,KILOMETRAJE!C$47,IF(G19=45,KILOMETRAJE!C$48,IF(G19=46,KILOMETRAJE!C$49,IF(G19=47,KILOMETRAJE!C$50,IF(G19=48,KILOMETRAJE!C$51,IF(G19=49,KILOMETRAJE!C$52,IF(G19=50,KILOMETRAJE!C$53,IF(G19=51,KILOMETRAJE!C$54,IF(G19=52,KILOMETRAJE!C$55,IF(G19=53,KILOMETRAJE!C$56,IF(G19=54,KILOMETRAJE!C$57,IF(G19=55,KILOMETRAJE!C$58,IF(G19=56,KILOMETRAJE!C$59,IF(G19=57,KILOMETRAJE!C$60,IF(G19=58,KILOMETRAJE!C$61,IF(G19=59,KILOMETRAJE!C$62,IF(G19=60,KILOMETRAJE!C$63,IF(G19=61,KILOMETRAJE!C$64,IF(G19=62,KILOMETRAJE!C$65,IF(G19=63,KILOMETRAJE!C$66)))))))))))))))))))))))))))))))))))))))))))))))))))))))))))))))</f>
        <v>JRZ</v>
      </c>
      <c r="I19" s="24" t="str">
        <f>IF(G19=1,KILOMETRAJE!E$4,IF(G19=2,KILOMETRAJE!E$5,IF(G19=3,KILOMETRAJE!E$6,IF(G19=4,KILOMETRAJE!E$7,IF(G19=5,KILOMETRAJE!E$8,IF(G19=6,KILOMETRAJE!E$9,IF(G19=7,KILOMETRAJE!E$10,IF(G19=8,KILOMETRAJE!E$11,IF(G19=9,KILOMETRAJE!E$12,IF(G19=10,KILOMETRAJE!E$13,IF(G19=11,KILOMETRAJE!E$14,IF(G19=12,KILOMETRAJE!E$15,IF(G19=13,KILOMETRAJE!E$16,IF(G19=14,KILOMETRAJE!E$17,IF(G19=15,KILOMETRAJE!E$18,IF(G19=16,KILOMETRAJE!E$19,IF(G19=17,KILOMETRAJE!E$20,IF(G19=18,KILOMETRAJE!E$21,IF(G19=19,KILOMETRAJE!E$22,IF(G19=20,KILOMETRAJE!E$23,IF(G19=21,KILOMETRAJE!E$24,IF(G19=22,KILOMETRAJE!E$25,IF(G19=23,KILOMETRAJE!E$26,IF(G19=24,KILOMETRAJE!E$27,IF(G19=25,KILOMETRAJE!E$28,IF(G19=26,KILOMETRAJE!E$29,IF(G19=27,KILOMETRAJE!E$30,IF(G19=28,KILOMETRAJE!E$31,IF(G19=29,KILOMETRAJE!E$32,IF(G19=30,KILOMETRAJE!E$33,IF(G19=31,KILOMETRAJE!E$34,IF(G19=32,KILOMETRAJE!E$35,IF(G19=33,KILOMETRAJE!E$36,IF(G19=34,KILOMETRAJE!E$37,IF(G19=35,KILOMETRAJE!E$38,IF(G19=36,KILOMETRAJE!E$39,IF(G19=37,KILOMETRAJE!E$40,IF(G19=38,KILOMETRAJE!E$41,IF(G19=39,KILOMETRAJE!E$42,IF(G19=40,KILOMETRAJE!E$43,IF(G19=41,KILOMETRAJE!E$44,IF(G19=42,KILOMETRAJE!E$45,IF(G19=43,KILOMETRAJE!E$46,IF(G19=44,KILOMETRAJE!E$47,IF(G19=45,KILOMETRAJE!E$48,IF(G19=46,KILOMETRAJE!E$49,IF(G19=47,KILOMETRAJE!E$50,IF(G19=48,KILOMETRAJE!E$51,IF(G19=49,KILOMETRAJE!E$52,IF(G19=50,KILOMETRAJE!E$53,IF(G19=51,KILOMETRAJE!E$54,IF(G19=52,KILOMETRAJE!E$55,IF(G19=53,KILOMETRAJE!E$56,IF(G19=54,KILOMETRAJE!E$57,IF(G19=55,KILOMETRAJE!E$58,IF(G19=56,KILOMETRAJE!E$59,IF(G19=57,KILOMETRAJE!E$60,IF(G19=58,KILOMETRAJE!E$61,IF(G19=59,KILOMETRAJE!E$62,IF(G19=60,KILOMETRAJE!E$63,IF(G19=61,KILOMETRAJE!E$64,IF(G19=62,KILOMETRAJE!E$65,IF(G19=63,KILOMETRAJE!E$66)))))))))))))))))))))))))))))))))))))))))))))))))))))))))))))))</f>
        <v>CHIH.(HAW)</v>
      </c>
      <c r="J19" s="51">
        <f>IF(G19=1,KILOMETRAJE!G$4,IF(G19=2,KILOMETRAJE!G$5,IF(G19=3,KILOMETRAJE!G$6,IF(G19=4,KILOMETRAJE!G$7,IF(G19=5,KILOMETRAJE!G$8,IF(G19=6,KILOMETRAJE!G$9,IF(G19=7,KILOMETRAJE!G$10,IF(G19=8,KILOMETRAJE!G$11,IF(G19=9,KILOMETRAJE!G$12,IF(G19=10,KILOMETRAJE!G$13,IF(G19=11,KILOMETRAJE!G$14,IF(G19=12,KILOMETRAJE!G$15,IF(G19=13,KILOMETRAJE!G$16,IF(G19=14,KILOMETRAJE!G$17,IF(G19=15,KILOMETRAJE!G$18,IF(G19=16,KILOMETRAJE!G$19,IF(G19=17,KILOMETRAJE!G$20,IF(G19=18,KILOMETRAJE!G$21,IF(G19=19,KILOMETRAJE!G$22,IF(G19=20,KILOMETRAJE!G$23,IF(G19=21,KILOMETRAJE!G$24,IF(G19=22,KILOMETRAJE!G$25,IF(G19=23,KILOMETRAJE!G$26,IF(G19=24,KILOMETRAJE!G$27,IF(G19=25,KILOMETRAJE!G$28,IF(G19=26,KILOMETRAJE!G$29,IF(G19=27,KILOMETRAJE!G$30,IF(G19=28,KILOMETRAJE!G$31,IF(G19=29,KILOMETRAJE!G$32,IF(G19=30,KILOMETRAJE!G$33,IF(G19=31,KILOMETRAJE!G$34,IF(G19=32,KILOMETRAJE!G$35,IF(G19=33,KILOMETRAJE!G$36,IF(G19=34,KILOMETRAJE!G$37,IF(G19=35,KILOMETRAJE!G$38,IF(G19=36,KILOMETRAJE!G$39,IF(G19=37,KILOMETRAJE!G$40,IF(G19=38,KILOMETRAJE!G$41,IF(G19=39,KILOMETRAJE!G$42,IF(G19=40,KILOMETRAJE!G$43,IF(G19=41,KILOMETRAJE!G$44,IF(G19=42,KILOMETRAJE!G$45,IF(G19=43,KILOMETRAJE!G$46,IF(G19=44,KILOMETRAJE!G$47,IF(G19=45,KILOMETRAJE!G$48,IF(G19=46,KILOMETRAJE!G$49,IF(G19=47,KILOMETRAJE!G$50,IF(G19=48,KILOMETRAJE!G$51,IF(G19=49,KILOMETRAJE!G$52,IF(G19=50,KILOMETRAJE!G$53,IF(G19=51,KILOMETRAJE!G$54,IF(G19=52,KILOMETRAJE!G$55,IF(G19=53,KILOMETRAJE!G$56,IF(G19=54,KILOMETRAJE!G$57,IF(G19=55,KILOMETRAJE!G$58,IF(G19=56,KILOMETRAJE!G$59,IF(G19=57,KILOMETRAJE!G$60,IF(G19=58,KILOMETRAJE!G$61,IF(G19=59,KILOMETRAJE!G$62,IF(G19=60,KILOMETRAJE!G$63,IF(G19=61,KILOMETRAJE!G$64,IF(G19=62,KILOMETRAJE!G$65,IF(G19=63,KILOMETRAJE!G$66)))))))))))))))))))))))))))))))))))))))))))))))))))))))))))))))</f>
        <v>425</v>
      </c>
      <c r="K19" s="24"/>
      <c r="L19" s="44"/>
      <c r="M19" s="348">
        <v>1000</v>
      </c>
      <c r="N19" s="24">
        <v>5</v>
      </c>
      <c r="O19" s="24" t="s">
        <v>564</v>
      </c>
      <c r="P19" s="24" t="s">
        <v>198</v>
      </c>
      <c r="Q19" s="45">
        <f t="shared" ref="Q19:Q20" si="0">((((IF(N19=1,((J19)*0.29333)))+(IF(N19=2,((J19)*0.146666)))+(IF(N19=3,((J19)*0.146666)))))+(IF(N19=4,((J19-40)*0.29333)))+(IF(N19=5,((J19-50)*0.29333)))+(IF(N19=6,((J19-90)*0.29333))))</f>
        <v>109.99874999999999</v>
      </c>
      <c r="R19" s="191"/>
      <c r="S19" s="52"/>
      <c r="T19" s="455"/>
      <c r="U19" s="237"/>
      <c r="V19" s="475"/>
      <c r="W19" s="278"/>
      <c r="X19" s="278"/>
    </row>
    <row r="20" spans="2:24" ht="13.5" customHeight="1" thickBot="1" x14ac:dyDescent="0.25">
      <c r="C20" s="261"/>
      <c r="D20" s="96" t="s">
        <v>552</v>
      </c>
      <c r="E20" s="97">
        <v>45958</v>
      </c>
      <c r="F20" s="97">
        <v>45958</v>
      </c>
      <c r="G20" s="96">
        <v>3</v>
      </c>
      <c r="H20" s="362" t="str">
        <f>IF(G20=1,KILOMETRAJE!C$4,IF(G20=2,KILOMETRAJE!C$5,IF(G20=3,KILOMETRAJE!C$6,IF(G20=4,KILOMETRAJE!C$7,IF(G20=5,KILOMETRAJE!C$8,IF(G20=6,KILOMETRAJE!C$9,IF(G20=7,KILOMETRAJE!C$10,IF(G20=8,KILOMETRAJE!C$11,IF(G20=9,KILOMETRAJE!C$12,IF(G20=10,KILOMETRAJE!C$13,IF(G20=11,KILOMETRAJE!C$14,IF(G20=12,KILOMETRAJE!C$15,IF(G20=13,KILOMETRAJE!C$16,IF(G20=14,KILOMETRAJE!C$17,IF(G20=15,KILOMETRAJE!C$18,IF(G20=16,KILOMETRAJE!C$19,IF(G20=17,KILOMETRAJE!C$20,IF(G20=18,KILOMETRAJE!C$21,IF(G20=19,KILOMETRAJE!C$22,IF(G20=20,KILOMETRAJE!C$23,IF(G20=21,KILOMETRAJE!C$24,IF(G20=22,KILOMETRAJE!C$25,IF(G20=23,KILOMETRAJE!C$26,IF(G20=24,KILOMETRAJE!C$27,IF(G20=25,KILOMETRAJE!C$28,IF(G20=26,KILOMETRAJE!C$29,IF(G20=27,KILOMETRAJE!C$30,IF(G20=28,KILOMETRAJE!C$31,IF(G20=29,KILOMETRAJE!C$32,IF(G20=30,KILOMETRAJE!C$33,IF(G20=31,KILOMETRAJE!C$34,IF(G20=32,KILOMETRAJE!C$35,IF(G20=33,KILOMETRAJE!C$36,IF(G20=34,KILOMETRAJE!C$37,IF(G20=35,KILOMETRAJE!C$38,IF(G20=36,KILOMETRAJE!C$39,IF(G20=37,KILOMETRAJE!C$40,IF(G20=38,KILOMETRAJE!C$41,IF(G20=39,KILOMETRAJE!C$42,IF(G20=40,KILOMETRAJE!C$43,IF(G20=41,KILOMETRAJE!C$44,IF(G20=42,KILOMETRAJE!C$45,IF(G20=43,KILOMETRAJE!C$46,IF(G20=44,KILOMETRAJE!C$47,IF(G20=45,KILOMETRAJE!C$48,IF(G20=46,KILOMETRAJE!C$49,IF(G20=47,KILOMETRAJE!C$50,IF(G20=48,KILOMETRAJE!C$51,IF(G20=49,KILOMETRAJE!C$52,IF(G20=50,KILOMETRAJE!C$53,IF(G20=51,KILOMETRAJE!C$54,IF(G20=52,KILOMETRAJE!C$55,IF(G20=53,KILOMETRAJE!C$56,IF(G20=54,KILOMETRAJE!C$57,IF(G20=55,KILOMETRAJE!C$58,IF(G20=56,KILOMETRAJE!C$59,IF(G20=57,KILOMETRAJE!C$60,IF(G20=58,KILOMETRAJE!C$61,IF(G20=59,KILOMETRAJE!C$62,IF(G20=60,KILOMETRAJE!C$63,IF(G20=61,KILOMETRAJE!C$64,IF(G20=62,KILOMETRAJE!C$65,IF(G20=63,KILOMETRAJE!C$66)))))))))))))))))))))))))))))))))))))))))))))))))))))))))))))))</f>
        <v xml:space="preserve">CHIH. </v>
      </c>
      <c r="I20" s="70" t="str">
        <f>IF(G20=1,KILOMETRAJE!E$4,IF(G20=2,KILOMETRAJE!E$5,IF(G20=3,KILOMETRAJE!E$6,IF(G20=4,KILOMETRAJE!E$7,IF(G20=5,KILOMETRAJE!E$8,IF(G20=6,KILOMETRAJE!E$9,IF(G20=7,KILOMETRAJE!E$10,IF(G20=8,KILOMETRAJE!E$11,IF(G20=9,KILOMETRAJE!E$12,IF(G20=10,KILOMETRAJE!E$13,IF(G20=11,KILOMETRAJE!E$14,IF(G20=12,KILOMETRAJE!E$15,IF(G20=13,KILOMETRAJE!E$16,IF(G20=14,KILOMETRAJE!E$17,IF(G20=15,KILOMETRAJE!E$18,IF(G20=16,KILOMETRAJE!E$19,IF(G20=17,KILOMETRAJE!E$20,IF(G20=18,KILOMETRAJE!E$21,IF(G20=19,KILOMETRAJE!E$22,IF(G20=20,KILOMETRAJE!E$23,IF(G20=21,KILOMETRAJE!E$24,IF(G20=22,KILOMETRAJE!E$25,IF(G20=23,KILOMETRAJE!E$26,IF(G20=24,KILOMETRAJE!E$27,IF(G20=25,KILOMETRAJE!E$28,IF(G20=26,KILOMETRAJE!E$29,IF(G20=27,KILOMETRAJE!E$30,IF(G20=28,KILOMETRAJE!E$31,IF(G20=29,KILOMETRAJE!E$32,IF(G20=30,KILOMETRAJE!E$33,IF(G20=31,KILOMETRAJE!E$34,IF(G20=32,KILOMETRAJE!E$35,IF(G20=33,KILOMETRAJE!E$36,IF(G20=34,KILOMETRAJE!E$37,IF(G20=35,KILOMETRAJE!E$38,IF(G20=36,KILOMETRAJE!E$39,IF(G20=37,KILOMETRAJE!E$40,IF(G20=38,KILOMETRAJE!E$41,IF(G20=39,KILOMETRAJE!E$42,IF(G20=40,KILOMETRAJE!E$43,IF(G20=41,KILOMETRAJE!E$44,IF(G20=42,KILOMETRAJE!E$45,IF(G20=43,KILOMETRAJE!E$46,IF(G20=44,KILOMETRAJE!E$47,IF(G20=45,KILOMETRAJE!E$48,IF(G20=46,KILOMETRAJE!E$49,IF(G20=47,KILOMETRAJE!E$50,IF(G20=48,KILOMETRAJE!E$51,IF(G20=49,KILOMETRAJE!E$52,IF(G20=50,KILOMETRAJE!E$53,IF(G20=51,KILOMETRAJE!E$54,IF(G20=52,KILOMETRAJE!E$55,IF(G20=53,KILOMETRAJE!E$56,IF(G20=54,KILOMETRAJE!E$57,IF(G20=55,KILOMETRAJE!E$58,IF(G20=56,KILOMETRAJE!E$59,IF(G20=57,KILOMETRAJE!E$60,IF(G20=58,KILOMETRAJE!E$61,IF(G20=59,KILOMETRAJE!E$62,IF(G20=60,KILOMETRAJE!E$63,IF(G20=61,KILOMETRAJE!E$64,IF(G20=62,KILOMETRAJE!E$65,IF(G20=63,KILOMETRAJE!E$66)))))))))))))))))))))))))))))))))))))))))))))))))))))))))))))))</f>
        <v>JRZ</v>
      </c>
      <c r="J20" s="71">
        <f>IF(G20=1,KILOMETRAJE!G$4,IF(G20=2,KILOMETRAJE!G$5,IF(G20=3,KILOMETRAJE!G$6,IF(G20=4,KILOMETRAJE!G$7,IF(G20=5,KILOMETRAJE!G$8,IF(G20=6,KILOMETRAJE!G$9,IF(G20=7,KILOMETRAJE!G$10,IF(G20=8,KILOMETRAJE!G$11,IF(G20=9,KILOMETRAJE!G$12,IF(G20=10,KILOMETRAJE!G$13,IF(G20=11,KILOMETRAJE!G$14,IF(G20=12,KILOMETRAJE!G$15,IF(G20=13,KILOMETRAJE!G$16,IF(G20=14,KILOMETRAJE!G$17,IF(G20=15,KILOMETRAJE!G$18,IF(G20=16,KILOMETRAJE!G$19,IF(G20=17,KILOMETRAJE!G$20,IF(G20=18,KILOMETRAJE!G$21,IF(G20=19,KILOMETRAJE!G$22,IF(G20=20,KILOMETRAJE!G$23,IF(G20=21,KILOMETRAJE!G$24,IF(G20=22,KILOMETRAJE!G$25,IF(G20=23,KILOMETRAJE!G$26,IF(G20=24,KILOMETRAJE!G$27,IF(G20=25,KILOMETRAJE!G$28,IF(G20=26,KILOMETRAJE!G$29,IF(G20=27,KILOMETRAJE!G$30,IF(G20=28,KILOMETRAJE!G$31,IF(G20=29,KILOMETRAJE!G$32,IF(G20=30,KILOMETRAJE!G$33,IF(G20=31,KILOMETRAJE!G$34,IF(G20=32,KILOMETRAJE!G$35,IF(G20=33,KILOMETRAJE!G$36,IF(G20=34,KILOMETRAJE!G$37,IF(G20=35,KILOMETRAJE!G$38,IF(G20=36,KILOMETRAJE!G$39,IF(G20=37,KILOMETRAJE!G$40,IF(G20=38,KILOMETRAJE!G$41,IF(G20=39,KILOMETRAJE!G$42,IF(G20=40,KILOMETRAJE!G$43,IF(G20=41,KILOMETRAJE!G$44,IF(G20=42,KILOMETRAJE!G$45,IF(G20=43,KILOMETRAJE!G$46,IF(G20=44,KILOMETRAJE!G$47,IF(G20=45,KILOMETRAJE!G$48,IF(G20=46,KILOMETRAJE!G$49,IF(G20=47,KILOMETRAJE!G$50,IF(G20=48,KILOMETRAJE!G$51,IF(G20=49,KILOMETRAJE!G$52,IF(G20=50,KILOMETRAJE!G$53,IF(G20=51,KILOMETRAJE!G$54,IF(G20=52,KILOMETRAJE!G$55,IF(G20=53,KILOMETRAJE!G$56,IF(G20=54,KILOMETRAJE!G$57,IF(G20=55,KILOMETRAJE!G$58,IF(G20=56,KILOMETRAJE!G$59,IF(G20=57,KILOMETRAJE!G$60,IF(G20=58,KILOMETRAJE!G$61,IF(G20=59,KILOMETRAJE!G$62,IF(G20=60,KILOMETRAJE!G$63,IF(G20=61,KILOMETRAJE!G$64,IF(G20=62,KILOMETRAJE!G$65,IF(G20=63,KILOMETRAJE!G$66)))))))))))))))))))))))))))))))))))))))))))))))))))))))))))))))</f>
        <v>375</v>
      </c>
      <c r="K20" s="70">
        <v>194</v>
      </c>
      <c r="L20" s="72">
        <f>SUM(J19:J20)/K20</f>
        <v>4.1237113402061851</v>
      </c>
      <c r="M20" s="370">
        <v>2000</v>
      </c>
      <c r="N20" s="70">
        <v>1</v>
      </c>
      <c r="O20" s="98" t="s">
        <v>565</v>
      </c>
      <c r="P20" s="98" t="s">
        <v>198</v>
      </c>
      <c r="Q20" s="67">
        <f t="shared" si="0"/>
        <v>109.99874999999999</v>
      </c>
      <c r="R20" s="197">
        <f>+LOOKUP(P40,UNIDADES!B$3:B$59,UNIDADES!C$3:C$59)</f>
        <v>2.4509799999999999</v>
      </c>
      <c r="S20" s="194">
        <f>+((SUM(J19:J20))/R20)-K20</f>
        <v>132.40005222400839</v>
      </c>
      <c r="T20" s="461">
        <f>+S20*14.85</f>
        <v>1966.1407755265245</v>
      </c>
      <c r="U20" s="485"/>
      <c r="V20" s="486"/>
      <c r="W20" s="278"/>
      <c r="X20" s="278"/>
    </row>
    <row r="21" spans="2:24" ht="11.25" customHeight="1" x14ac:dyDescent="0.2">
      <c r="B21" s="14" t="s">
        <v>553</v>
      </c>
      <c r="C21" s="176">
        <v>46107</v>
      </c>
      <c r="D21" s="320" t="s">
        <v>554</v>
      </c>
      <c r="E21" s="42">
        <v>45958</v>
      </c>
      <c r="F21" s="42">
        <v>45959</v>
      </c>
      <c r="G21" s="43">
        <v>2</v>
      </c>
      <c r="H21" s="65" t="str">
        <f>IF(G21=1,KILOMETRAJE!C$4,IF(G21=2,KILOMETRAJE!C$5,IF(G21=3,KILOMETRAJE!C$6,IF(G21=4,KILOMETRAJE!C$7,IF(G21=5,KILOMETRAJE!C$8,IF(G21=6,KILOMETRAJE!C$9,IF(G21=7,KILOMETRAJE!C$10,IF(G21=8,KILOMETRAJE!C$11,IF(G21=9,KILOMETRAJE!C$12,IF(G21=10,KILOMETRAJE!C$13,IF(G21=11,KILOMETRAJE!C$14,IF(G21=12,KILOMETRAJE!C$15,IF(G21=13,KILOMETRAJE!C$16,IF(G21=14,KILOMETRAJE!C$17,IF(G21=15,KILOMETRAJE!C$18,IF(G21=16,KILOMETRAJE!C$19,IF(G21=17,KILOMETRAJE!C$20,IF(G21=18,KILOMETRAJE!C$21,IF(G21=19,KILOMETRAJE!C$22,IF(G21=20,KILOMETRAJE!C$23,IF(G21=21,KILOMETRAJE!C$24,IF(G21=22,KILOMETRAJE!C$25,IF(G21=23,KILOMETRAJE!C$26,IF(G21=24,KILOMETRAJE!C$27,IF(G21=25,KILOMETRAJE!C$28,IF(G21=26,KILOMETRAJE!C$29,IF(G21=27,KILOMETRAJE!C$30,IF(G21=28,KILOMETRAJE!C$31,IF(G21=29,KILOMETRAJE!C$32,IF(G21=30,KILOMETRAJE!C$33,IF(G21=31,KILOMETRAJE!C$34,IF(G21=32,KILOMETRAJE!C$35,IF(G21=33,KILOMETRAJE!C$36,IF(G21=34,KILOMETRAJE!C$37,IF(G21=35,KILOMETRAJE!C$38,IF(G21=36,KILOMETRAJE!C$39,IF(G21=37,KILOMETRAJE!C$40,IF(G21=38,KILOMETRAJE!C$41,IF(G21=39,KILOMETRAJE!C$42,IF(G21=40,KILOMETRAJE!C$43,IF(G21=41,KILOMETRAJE!C$44,IF(G21=42,KILOMETRAJE!C$45,IF(G21=43,KILOMETRAJE!C$46,IF(G21=44,KILOMETRAJE!C$47,IF(G21=45,KILOMETRAJE!C$48,IF(G21=46,KILOMETRAJE!C$49,IF(G21=47,KILOMETRAJE!C$50,IF(G21=48,KILOMETRAJE!C$51,IF(G21=49,KILOMETRAJE!C$52,IF(G21=50,KILOMETRAJE!C$53,IF(G21=51,KILOMETRAJE!C$54,IF(G21=52,KILOMETRAJE!C$55,IF(G21=53,KILOMETRAJE!C$56,IF(G21=54,KILOMETRAJE!C$57,IF(G21=55,KILOMETRAJE!C$58,IF(G21=56,KILOMETRAJE!C$59,IF(G21=57,KILOMETRAJE!C$60,IF(G21=58,KILOMETRAJE!C$61,IF(G21=59,KILOMETRAJE!C$62,IF(G21=60,KILOMETRAJE!C$63,IF(G21=61,KILOMETRAJE!C$64,IF(G21=62,KILOMETRAJE!C$65,IF(G21=63,KILOMETRAJE!C$66)))))))))))))))))))))))))))))))))))))))))))))))))))))))))))))))</f>
        <v>JRZ</v>
      </c>
      <c r="I21" s="24" t="str">
        <f>IF(G21=1,KILOMETRAJE!E$4,IF(G21=2,KILOMETRAJE!E$5,IF(G21=3,KILOMETRAJE!E$6,IF(G21=4,KILOMETRAJE!E$7,IF(G21=5,KILOMETRAJE!E$8,IF(G21=6,KILOMETRAJE!E$9,IF(G21=7,KILOMETRAJE!E$10,IF(G21=8,KILOMETRAJE!E$11,IF(G21=9,KILOMETRAJE!E$12,IF(G21=10,KILOMETRAJE!E$13,IF(G21=11,KILOMETRAJE!E$14,IF(G21=12,KILOMETRAJE!E$15,IF(G21=13,KILOMETRAJE!E$16,IF(G21=14,KILOMETRAJE!E$17,IF(G21=15,KILOMETRAJE!E$18,IF(G21=16,KILOMETRAJE!E$19,IF(G21=17,KILOMETRAJE!E$20,IF(G21=18,KILOMETRAJE!E$21,IF(G21=19,KILOMETRAJE!E$22,IF(G21=20,KILOMETRAJE!E$23,IF(G21=21,KILOMETRAJE!E$24,IF(G21=22,KILOMETRAJE!E$25,IF(G21=23,KILOMETRAJE!E$26,IF(G21=24,KILOMETRAJE!E$27,IF(G21=25,KILOMETRAJE!E$28,IF(G21=26,KILOMETRAJE!E$29,IF(G21=27,KILOMETRAJE!E$30,IF(G21=28,KILOMETRAJE!E$31,IF(G21=29,KILOMETRAJE!E$32,IF(G21=30,KILOMETRAJE!E$33,IF(G21=31,KILOMETRAJE!E$34,IF(G21=32,KILOMETRAJE!E$35,IF(G21=33,KILOMETRAJE!E$36,IF(G21=34,KILOMETRAJE!E$37,IF(G21=35,KILOMETRAJE!E$38,IF(G21=36,KILOMETRAJE!E$39,IF(G21=37,KILOMETRAJE!E$40,IF(G21=38,KILOMETRAJE!E$41,IF(G21=39,KILOMETRAJE!E$42,IF(G21=40,KILOMETRAJE!E$43,IF(G21=41,KILOMETRAJE!E$44,IF(G21=42,KILOMETRAJE!E$45,IF(G21=43,KILOMETRAJE!E$46,IF(G21=44,KILOMETRAJE!E$47,IF(G21=45,KILOMETRAJE!E$48,IF(G21=46,KILOMETRAJE!E$49,IF(G21=47,KILOMETRAJE!E$50,IF(G21=48,KILOMETRAJE!E$51,IF(G21=49,KILOMETRAJE!E$52,IF(G21=50,KILOMETRAJE!E$53,IF(G21=51,KILOMETRAJE!E$54,IF(G21=52,KILOMETRAJE!E$55,IF(G21=53,KILOMETRAJE!E$56,IF(G21=54,KILOMETRAJE!E$57,IF(G21=55,KILOMETRAJE!E$58,IF(G21=56,KILOMETRAJE!E$59,IF(G21=57,KILOMETRAJE!E$60,IF(G21=58,KILOMETRAJE!E$61,IF(G21=59,KILOMETRAJE!E$62,IF(G21=60,KILOMETRAJE!E$63,IF(G21=61,KILOMETRAJE!E$64,IF(G21=62,KILOMETRAJE!E$65,IF(G21=63,KILOMETRAJE!E$66)))))))))))))))))))))))))))))))))))))))))))))))))))))))))))))))</f>
        <v>CHIH.</v>
      </c>
      <c r="J21" s="51">
        <f>IF(G21=1,KILOMETRAJE!G$4,IF(G21=2,KILOMETRAJE!G$5,IF(G21=3,KILOMETRAJE!G$6,IF(G21=4,KILOMETRAJE!G$7,IF(G21=5,KILOMETRAJE!G$8,IF(G21=6,KILOMETRAJE!G$9,IF(G21=7,KILOMETRAJE!G$10,IF(G21=8,KILOMETRAJE!G$11,IF(G21=9,KILOMETRAJE!G$12,IF(G21=10,KILOMETRAJE!G$13,IF(G21=11,KILOMETRAJE!G$14,IF(G21=12,KILOMETRAJE!G$15,IF(G21=13,KILOMETRAJE!G$16,IF(G21=14,KILOMETRAJE!G$17,IF(G21=15,KILOMETRAJE!G$18,IF(G21=16,KILOMETRAJE!G$19,IF(G21=17,KILOMETRAJE!G$20,IF(G21=18,KILOMETRAJE!G$21,IF(G21=19,KILOMETRAJE!G$22,IF(G21=20,KILOMETRAJE!G$23,IF(G21=21,KILOMETRAJE!G$24,IF(G21=22,KILOMETRAJE!G$25,IF(G21=23,KILOMETRAJE!G$26,IF(G21=24,KILOMETRAJE!G$27,IF(G21=25,KILOMETRAJE!G$28,IF(G21=26,KILOMETRAJE!G$29,IF(G21=27,KILOMETRAJE!G$30,IF(G21=28,KILOMETRAJE!G$31,IF(G21=29,KILOMETRAJE!G$32,IF(G21=30,KILOMETRAJE!G$33,IF(G21=31,KILOMETRAJE!G$34,IF(G21=32,KILOMETRAJE!G$35,IF(G21=33,KILOMETRAJE!G$36,IF(G21=34,KILOMETRAJE!G$37,IF(G21=35,KILOMETRAJE!G$38,IF(G21=36,KILOMETRAJE!G$39,IF(G21=37,KILOMETRAJE!G$40,IF(G21=38,KILOMETRAJE!G$41,IF(G21=39,KILOMETRAJE!G$42,IF(G21=40,KILOMETRAJE!G$43,IF(G21=41,KILOMETRAJE!G$44,IF(G21=42,KILOMETRAJE!G$45,IF(G21=43,KILOMETRAJE!G$46,IF(G21=44,KILOMETRAJE!G$47,IF(G21=45,KILOMETRAJE!G$48,IF(G21=46,KILOMETRAJE!G$49,IF(G21=47,KILOMETRAJE!G$50,IF(G21=48,KILOMETRAJE!G$51,IF(G21=49,KILOMETRAJE!G$52,IF(G21=50,KILOMETRAJE!G$53,IF(G21=51,KILOMETRAJE!G$54,IF(G21=52,KILOMETRAJE!G$55,IF(G21=53,KILOMETRAJE!G$56,IF(G21=54,KILOMETRAJE!G$57,IF(G21=55,KILOMETRAJE!G$58,IF(G21=56,KILOMETRAJE!G$59,IF(G21=57,KILOMETRAJE!G$60,IF(G21=58,KILOMETRAJE!G$61,IF(G21=59,KILOMETRAJE!G$62,IF(G21=60,KILOMETRAJE!G$63,IF(G21=61,KILOMETRAJE!G$64,IF(G21=62,KILOMETRAJE!G$65,IF(G21=63,KILOMETRAJE!G$66)))))))))))))))))))))))))))))))))))))))))))))))))))))))))))))))</f>
        <v>375</v>
      </c>
      <c r="K21" s="24"/>
      <c r="L21" s="44"/>
      <c r="M21" s="348">
        <v>1565</v>
      </c>
      <c r="N21" s="24">
        <v>1</v>
      </c>
      <c r="O21" s="24" t="s">
        <v>548</v>
      </c>
      <c r="P21" s="24" t="s">
        <v>199</v>
      </c>
      <c r="Q21" s="45">
        <f t="shared" ref="Q21:Q30" si="1">((((IF(N21=1,((J21)*0.29333)))+(IF(N21=2,((J21)*0.146666)))+(IF(N21=3,((J21)*0.146666)))))+(IF(N21=4,((J21-40)*0.29333)))+(IF(N21=5,((J21-50)*0.29333)))+(IF(N21=6,((J21-90)*0.29333))))</f>
        <v>109.99874999999999</v>
      </c>
      <c r="R21" s="191"/>
      <c r="S21" s="52"/>
      <c r="T21" s="455"/>
      <c r="U21" s="237"/>
      <c r="V21" s="475"/>
      <c r="W21" s="278"/>
      <c r="X21" s="278"/>
    </row>
    <row r="22" spans="2:24" ht="13.5" customHeight="1" thickBot="1" x14ac:dyDescent="0.25">
      <c r="B22" s="14" t="s">
        <v>553</v>
      </c>
      <c r="C22" s="101"/>
      <c r="D22" s="62" t="s">
        <v>555</v>
      </c>
      <c r="E22" s="25">
        <v>45959</v>
      </c>
      <c r="F22" s="25">
        <v>45959</v>
      </c>
      <c r="G22" s="57">
        <v>3</v>
      </c>
      <c r="H22" s="26" t="str">
        <f>IF(G22=1,KILOMETRAJE!C$4,IF(G22=2,KILOMETRAJE!C$5,IF(G22=3,KILOMETRAJE!C$6,IF(G22=4,KILOMETRAJE!C$7,IF(G22=5,KILOMETRAJE!C$8,IF(G22=6,KILOMETRAJE!C$9,IF(G22=7,KILOMETRAJE!C$10,IF(G22=8,KILOMETRAJE!C$11,IF(G22=9,KILOMETRAJE!C$12,IF(G22=10,KILOMETRAJE!C$13,IF(G22=11,KILOMETRAJE!C$14,IF(G22=12,KILOMETRAJE!C$15,IF(G22=13,KILOMETRAJE!C$16,IF(G22=14,KILOMETRAJE!C$17,IF(G22=15,KILOMETRAJE!C$18,IF(G22=16,KILOMETRAJE!C$19,IF(G22=17,KILOMETRAJE!C$20,IF(G22=18,KILOMETRAJE!C$21,IF(G22=19,KILOMETRAJE!C$22,IF(G22=20,KILOMETRAJE!C$23,IF(G22=21,KILOMETRAJE!C$24,IF(G22=22,KILOMETRAJE!C$25,IF(G22=23,KILOMETRAJE!C$26,IF(G22=24,KILOMETRAJE!C$27,IF(G22=25,KILOMETRAJE!C$28,IF(G22=26,KILOMETRAJE!C$29,IF(G22=27,KILOMETRAJE!C$30,IF(G22=28,KILOMETRAJE!C$31,IF(G22=29,KILOMETRAJE!C$32,IF(G22=30,KILOMETRAJE!C$33,IF(G22=31,KILOMETRAJE!C$34,IF(G22=32,KILOMETRAJE!C$35,IF(G22=33,KILOMETRAJE!C$36,IF(G22=34,KILOMETRAJE!C$37,IF(G22=35,KILOMETRAJE!C$38,IF(G22=36,KILOMETRAJE!C$39,IF(G22=37,KILOMETRAJE!C$40,IF(G22=38,KILOMETRAJE!C$41,IF(G22=39,KILOMETRAJE!C$42,IF(G22=40,KILOMETRAJE!C$43,IF(G22=41,KILOMETRAJE!C$44,IF(G22=42,KILOMETRAJE!C$45,IF(G22=43,KILOMETRAJE!C$46,IF(G22=44,KILOMETRAJE!C$47,IF(G22=45,KILOMETRAJE!C$48,IF(G22=46,KILOMETRAJE!C$49,IF(G22=47,KILOMETRAJE!C$50,IF(G22=48,KILOMETRAJE!C$51,IF(G22=49,KILOMETRAJE!C$52,IF(G22=50,KILOMETRAJE!C$53,IF(G22=51,KILOMETRAJE!C$54,IF(G22=52,KILOMETRAJE!C$55,IF(G22=53,KILOMETRAJE!C$56,IF(G22=54,KILOMETRAJE!C$57,IF(G22=55,KILOMETRAJE!C$58,IF(G22=56,KILOMETRAJE!C$59,IF(G22=57,KILOMETRAJE!C$60,IF(G22=58,KILOMETRAJE!C$61,IF(G22=59,KILOMETRAJE!C$62,IF(G22=60,KILOMETRAJE!C$63,IF(G22=61,KILOMETRAJE!C$64,IF(G22=62,KILOMETRAJE!C$65,IF(G22=63,KILOMETRAJE!C$66)))))))))))))))))))))))))))))))))))))))))))))))))))))))))))))))</f>
        <v xml:space="preserve">CHIH. </v>
      </c>
      <c r="I22" s="27" t="str">
        <f>IF(G22=1,KILOMETRAJE!E$4,IF(G22=2,KILOMETRAJE!E$5,IF(G22=3,KILOMETRAJE!E$6,IF(G22=4,KILOMETRAJE!E$7,IF(G22=5,KILOMETRAJE!E$8,IF(G22=6,KILOMETRAJE!E$9,IF(G22=7,KILOMETRAJE!E$10,IF(G22=8,KILOMETRAJE!E$11,IF(G22=9,KILOMETRAJE!E$12,IF(G22=10,KILOMETRAJE!E$13,IF(G22=11,KILOMETRAJE!E$14,IF(G22=12,KILOMETRAJE!E$15,IF(G22=13,KILOMETRAJE!E$16,IF(G22=14,KILOMETRAJE!E$17,IF(G22=15,KILOMETRAJE!E$18,IF(G22=16,KILOMETRAJE!E$19,IF(G22=17,KILOMETRAJE!E$20,IF(G22=18,KILOMETRAJE!E$21,IF(G22=19,KILOMETRAJE!E$22,IF(G22=20,KILOMETRAJE!E$23,IF(G22=21,KILOMETRAJE!E$24,IF(G22=22,KILOMETRAJE!E$25,IF(G22=23,KILOMETRAJE!E$26,IF(G22=24,KILOMETRAJE!E$27,IF(G22=25,KILOMETRAJE!E$28,IF(G22=26,KILOMETRAJE!E$29,IF(G22=27,KILOMETRAJE!E$30,IF(G22=28,KILOMETRAJE!E$31,IF(G22=29,KILOMETRAJE!E$32,IF(G22=30,KILOMETRAJE!E$33,IF(G22=31,KILOMETRAJE!E$34,IF(G22=32,KILOMETRAJE!E$35,IF(G22=33,KILOMETRAJE!E$36,IF(G22=34,KILOMETRAJE!E$37,IF(G22=35,KILOMETRAJE!E$38,IF(G22=36,KILOMETRAJE!E$39,IF(G22=37,KILOMETRAJE!E$40,IF(G22=38,KILOMETRAJE!E$41,IF(G22=39,KILOMETRAJE!E$42,IF(G22=40,KILOMETRAJE!E$43,IF(G22=41,KILOMETRAJE!E$44,IF(G22=42,KILOMETRAJE!E$45,IF(G22=43,KILOMETRAJE!E$46,IF(G22=44,KILOMETRAJE!E$47,IF(G22=45,KILOMETRAJE!E$48,IF(G22=46,KILOMETRAJE!E$49,IF(G22=47,KILOMETRAJE!E$50,IF(G22=48,KILOMETRAJE!E$51,IF(G22=49,KILOMETRAJE!E$52,IF(G22=50,KILOMETRAJE!E$53,IF(G22=51,KILOMETRAJE!E$54,IF(G22=52,KILOMETRAJE!E$55,IF(G22=53,KILOMETRAJE!E$56,IF(G22=54,KILOMETRAJE!E$57,IF(G22=55,KILOMETRAJE!E$58,IF(G22=56,KILOMETRAJE!E$59,IF(G22=57,KILOMETRAJE!E$60,IF(G22=58,KILOMETRAJE!E$61,IF(G22=59,KILOMETRAJE!E$62,IF(G22=60,KILOMETRAJE!E$63,IF(G22=61,KILOMETRAJE!E$64,IF(G22=62,KILOMETRAJE!E$65,IF(G22=63,KILOMETRAJE!E$66)))))))))))))))))))))))))))))))))))))))))))))))))))))))))))))))</f>
        <v>JRZ</v>
      </c>
      <c r="J22" s="31">
        <f>IF(G22=1,KILOMETRAJE!G$4,IF(G22=2,KILOMETRAJE!G$5,IF(G22=3,KILOMETRAJE!G$6,IF(G22=4,KILOMETRAJE!G$7,IF(G22=5,KILOMETRAJE!G$8,IF(G22=6,KILOMETRAJE!G$9,IF(G22=7,KILOMETRAJE!G$10,IF(G22=8,KILOMETRAJE!G$11,IF(G22=9,KILOMETRAJE!G$12,IF(G22=10,KILOMETRAJE!G$13,IF(G22=11,KILOMETRAJE!G$14,IF(G22=12,KILOMETRAJE!G$15,IF(G22=13,KILOMETRAJE!G$16,IF(G22=14,KILOMETRAJE!G$17,IF(G22=15,KILOMETRAJE!G$18,IF(G22=16,KILOMETRAJE!G$19,IF(G22=17,KILOMETRAJE!G$20,IF(G22=18,KILOMETRAJE!G$21,IF(G22=19,KILOMETRAJE!G$22,IF(G22=20,KILOMETRAJE!G$23,IF(G22=21,KILOMETRAJE!G$24,IF(G22=22,KILOMETRAJE!G$25,IF(G22=23,KILOMETRAJE!G$26,IF(G22=24,KILOMETRAJE!G$27,IF(G22=25,KILOMETRAJE!G$28,IF(G22=26,KILOMETRAJE!G$29,IF(G22=27,KILOMETRAJE!G$30,IF(G22=28,KILOMETRAJE!G$31,IF(G22=29,KILOMETRAJE!G$32,IF(G22=30,KILOMETRAJE!G$33,IF(G22=31,KILOMETRAJE!G$34,IF(G22=32,KILOMETRAJE!G$35,IF(G22=33,KILOMETRAJE!G$36,IF(G22=34,KILOMETRAJE!G$37,IF(G22=35,KILOMETRAJE!G$38,IF(G22=36,KILOMETRAJE!G$39,IF(G22=37,KILOMETRAJE!G$40,IF(G22=38,KILOMETRAJE!G$41,IF(G22=39,KILOMETRAJE!G$42,IF(G22=40,KILOMETRAJE!G$43,IF(G22=41,KILOMETRAJE!G$44,IF(G22=42,KILOMETRAJE!G$45,IF(G22=43,KILOMETRAJE!G$46,IF(G22=44,KILOMETRAJE!G$47,IF(G22=45,KILOMETRAJE!G$48,IF(G22=46,KILOMETRAJE!G$49,IF(G22=47,KILOMETRAJE!G$50,IF(G22=48,KILOMETRAJE!G$51,IF(G22=49,KILOMETRAJE!G$52,IF(G22=50,KILOMETRAJE!G$53,IF(G22=51,KILOMETRAJE!G$54,IF(G22=52,KILOMETRAJE!G$55,IF(G22=53,KILOMETRAJE!G$56,IF(G22=54,KILOMETRAJE!G$57,IF(G22=55,KILOMETRAJE!G$58,IF(G22=56,KILOMETRAJE!G$59,IF(G22=57,KILOMETRAJE!G$60,IF(G22=58,KILOMETRAJE!G$61,IF(G22=59,KILOMETRAJE!G$62,IF(G22=60,KILOMETRAJE!G$63,IF(G22=61,KILOMETRAJE!G$64,IF(G22=62,KILOMETRAJE!G$65,IF(G22=63,KILOMETRAJE!G$66)))))))))))))))))))))))))))))))))))))))))))))))))))))))))))))))</f>
        <v>375</v>
      </c>
      <c r="K22" s="27">
        <v>190</v>
      </c>
      <c r="L22" s="28">
        <f>SUM(J21:J22)/K22</f>
        <v>3.9473684210526314</v>
      </c>
      <c r="M22" s="349">
        <v>1666</v>
      </c>
      <c r="N22" s="27">
        <v>1</v>
      </c>
      <c r="O22" s="319" t="s">
        <v>566</v>
      </c>
      <c r="P22" s="319" t="s">
        <v>198</v>
      </c>
      <c r="Q22" s="29">
        <f t="shared" si="1"/>
        <v>109.99874999999999</v>
      </c>
      <c r="R22" s="190">
        <f>+LOOKUP(P42,UNIDADES!B$3:B$59,UNIDADES!C$3:C$59)</f>
        <v>2.4509799999999999</v>
      </c>
      <c r="S22" s="19">
        <f>+((SUM(J21:J22))/R22)-K22</f>
        <v>116.00004896000786</v>
      </c>
      <c r="T22" s="456">
        <f>+S22*14.85</f>
        <v>1722.6007270561167</v>
      </c>
      <c r="U22" s="242"/>
      <c r="V22" s="476"/>
      <c r="W22" s="462"/>
      <c r="X22" s="278"/>
    </row>
    <row r="23" spans="2:24" x14ac:dyDescent="0.2">
      <c r="C23" s="238">
        <v>46133</v>
      </c>
      <c r="D23" s="474" t="s">
        <v>556</v>
      </c>
      <c r="E23" s="37">
        <v>45959</v>
      </c>
      <c r="F23" s="37">
        <v>45960</v>
      </c>
      <c r="G23" s="36">
        <v>2</v>
      </c>
      <c r="H23" s="65" t="str">
        <f>IF(G23=1,KILOMETRAJE!C$4,IF(G23=2,KILOMETRAJE!C$5,IF(G23=3,KILOMETRAJE!C$6,IF(G23=4,KILOMETRAJE!C$7,IF(G23=5,KILOMETRAJE!C$8,IF(G23=6,KILOMETRAJE!C$9,IF(G23=7,KILOMETRAJE!C$10,IF(G23=8,KILOMETRAJE!C$11,IF(G23=9,KILOMETRAJE!C$12,IF(G23=10,KILOMETRAJE!C$13,IF(G23=11,KILOMETRAJE!C$14,IF(G23=12,KILOMETRAJE!C$15,IF(G23=13,KILOMETRAJE!C$16,IF(G23=14,KILOMETRAJE!C$17,IF(G23=15,KILOMETRAJE!C$18,IF(G23=16,KILOMETRAJE!C$19,IF(G23=17,KILOMETRAJE!C$20,IF(G23=18,KILOMETRAJE!C$21,IF(G23=19,KILOMETRAJE!C$22,IF(G23=20,KILOMETRAJE!C$23,IF(G23=21,KILOMETRAJE!C$24,IF(G23=22,KILOMETRAJE!C$25,IF(G23=23,KILOMETRAJE!C$26,IF(G23=24,KILOMETRAJE!C$27,IF(G23=25,KILOMETRAJE!C$28,IF(G23=26,KILOMETRAJE!C$29,IF(G23=27,KILOMETRAJE!C$30,IF(G23=28,KILOMETRAJE!C$31,IF(G23=29,KILOMETRAJE!C$32,IF(G23=30,KILOMETRAJE!C$33,IF(G23=31,KILOMETRAJE!C$34,IF(G23=32,KILOMETRAJE!C$35,IF(G23=33,KILOMETRAJE!C$36,IF(G23=34,KILOMETRAJE!C$37,IF(G23=35,KILOMETRAJE!C$38,IF(G23=36,KILOMETRAJE!C$39,IF(G23=37,KILOMETRAJE!C$40,IF(G23=38,KILOMETRAJE!C$41,IF(G23=39,KILOMETRAJE!C$42,IF(G23=40,KILOMETRAJE!C$43,IF(G23=41,KILOMETRAJE!C$44,IF(G23=42,KILOMETRAJE!C$45,IF(G23=43,KILOMETRAJE!C$46,IF(G23=44,KILOMETRAJE!C$47,IF(G23=45,KILOMETRAJE!C$48,IF(G23=46,KILOMETRAJE!C$49,IF(G23=47,KILOMETRAJE!C$50,IF(G23=48,KILOMETRAJE!C$51,IF(G23=49,KILOMETRAJE!C$52,IF(G23=50,KILOMETRAJE!C$53,IF(G23=51,KILOMETRAJE!C$54,IF(G23=52,KILOMETRAJE!C$55,IF(G23=53,KILOMETRAJE!C$56,IF(G23=54,KILOMETRAJE!C$57,IF(G23=55,KILOMETRAJE!C$58,IF(G23=56,KILOMETRAJE!C$59,IF(G23=57,KILOMETRAJE!C$60,IF(G23=58,KILOMETRAJE!C$61,IF(G23=59,KILOMETRAJE!C$62,IF(G23=60,KILOMETRAJE!C$63,IF(G23=61,KILOMETRAJE!C$64,IF(G23=62,KILOMETRAJE!C$65,IF(G23=63,KILOMETRAJE!C$66)))))))))))))))))))))))))))))))))))))))))))))))))))))))))))))))</f>
        <v>JRZ</v>
      </c>
      <c r="I23" s="24" t="str">
        <f>IF(G23=1,KILOMETRAJE!E$4,IF(G23=2,KILOMETRAJE!E$5,IF(G23=3,KILOMETRAJE!E$6,IF(G23=4,KILOMETRAJE!E$7,IF(G23=5,KILOMETRAJE!E$8,IF(G23=6,KILOMETRAJE!E$9,IF(G23=7,KILOMETRAJE!E$10,IF(G23=8,KILOMETRAJE!E$11,IF(G23=9,KILOMETRAJE!E$12,IF(G23=10,KILOMETRAJE!E$13,IF(G23=11,KILOMETRAJE!E$14,IF(G23=12,KILOMETRAJE!E$15,IF(G23=13,KILOMETRAJE!E$16,IF(G23=14,KILOMETRAJE!E$17,IF(G23=15,KILOMETRAJE!E$18,IF(G23=16,KILOMETRAJE!E$19,IF(G23=17,KILOMETRAJE!E$20,IF(G23=18,KILOMETRAJE!E$21,IF(G23=19,KILOMETRAJE!E$22,IF(G23=20,KILOMETRAJE!E$23,IF(G23=21,KILOMETRAJE!E$24,IF(G23=22,KILOMETRAJE!E$25,IF(G23=23,KILOMETRAJE!E$26,IF(G23=24,KILOMETRAJE!E$27,IF(G23=25,KILOMETRAJE!E$28,IF(G23=26,KILOMETRAJE!E$29,IF(G23=27,KILOMETRAJE!E$30,IF(G23=28,KILOMETRAJE!E$31,IF(G23=29,KILOMETRAJE!E$32,IF(G23=30,KILOMETRAJE!E$33,IF(G23=31,KILOMETRAJE!E$34,IF(G23=32,KILOMETRAJE!E$35,IF(G23=33,KILOMETRAJE!E$36,IF(G23=34,KILOMETRAJE!E$37,IF(G23=35,KILOMETRAJE!E$38,IF(G23=36,KILOMETRAJE!E$39,IF(G23=37,KILOMETRAJE!E$40,IF(G23=38,KILOMETRAJE!E$41,IF(G23=39,KILOMETRAJE!E$42,IF(G23=40,KILOMETRAJE!E$43,IF(G23=41,KILOMETRAJE!E$44,IF(G23=42,KILOMETRAJE!E$45,IF(G23=43,KILOMETRAJE!E$46,IF(G23=44,KILOMETRAJE!E$47,IF(G23=45,KILOMETRAJE!E$48,IF(G23=46,KILOMETRAJE!E$49,IF(G23=47,KILOMETRAJE!E$50,IF(G23=48,KILOMETRAJE!E$51,IF(G23=49,KILOMETRAJE!E$52,IF(G23=50,KILOMETRAJE!E$53,IF(G23=51,KILOMETRAJE!E$54,IF(G23=52,KILOMETRAJE!E$55,IF(G23=53,KILOMETRAJE!E$56,IF(G23=54,KILOMETRAJE!E$57,IF(G23=55,KILOMETRAJE!E$58,IF(G23=56,KILOMETRAJE!E$59,IF(G23=57,KILOMETRAJE!E$60,IF(G23=58,KILOMETRAJE!E$61,IF(G23=59,KILOMETRAJE!E$62,IF(G23=60,KILOMETRAJE!E$63,IF(G23=61,KILOMETRAJE!E$64,IF(G23=62,KILOMETRAJE!E$65,IF(G23=63,KILOMETRAJE!E$66)))))))))))))))))))))))))))))))))))))))))))))))))))))))))))))))</f>
        <v>CHIH.</v>
      </c>
      <c r="J23" s="51">
        <f>IF(G23=1,KILOMETRAJE!G$4,IF(G23=2,KILOMETRAJE!G$5,IF(G23=3,KILOMETRAJE!G$6,IF(G23=4,KILOMETRAJE!G$7,IF(G23=5,KILOMETRAJE!G$8,IF(G23=6,KILOMETRAJE!G$9,IF(G23=7,KILOMETRAJE!G$10,IF(G23=8,KILOMETRAJE!G$11,IF(G23=9,KILOMETRAJE!G$12,IF(G23=10,KILOMETRAJE!G$13,IF(G23=11,KILOMETRAJE!G$14,IF(G23=12,KILOMETRAJE!G$15,IF(G23=13,KILOMETRAJE!G$16,IF(G23=14,KILOMETRAJE!G$17,IF(G23=15,KILOMETRAJE!G$18,IF(G23=16,KILOMETRAJE!G$19,IF(G23=17,KILOMETRAJE!G$20,IF(G23=18,KILOMETRAJE!G$21,IF(G23=19,KILOMETRAJE!G$22,IF(G23=20,KILOMETRAJE!G$23,IF(G23=21,KILOMETRAJE!G$24,IF(G23=22,KILOMETRAJE!G$25,IF(G23=23,KILOMETRAJE!G$26,IF(G23=24,KILOMETRAJE!G$27,IF(G23=25,KILOMETRAJE!G$28,IF(G23=26,KILOMETRAJE!G$29,IF(G23=27,KILOMETRAJE!G$30,IF(G23=28,KILOMETRAJE!G$31,IF(G23=29,KILOMETRAJE!G$32,IF(G23=30,KILOMETRAJE!G$33,IF(G23=31,KILOMETRAJE!G$34,IF(G23=32,KILOMETRAJE!G$35,IF(G23=33,KILOMETRAJE!G$36,IF(G23=34,KILOMETRAJE!G$37,IF(G23=35,KILOMETRAJE!G$38,IF(G23=36,KILOMETRAJE!G$39,IF(G23=37,KILOMETRAJE!G$40,IF(G23=38,KILOMETRAJE!G$41,IF(G23=39,KILOMETRAJE!G$42,IF(G23=40,KILOMETRAJE!G$43,IF(G23=41,KILOMETRAJE!G$44,IF(G23=42,KILOMETRAJE!G$45,IF(G23=43,KILOMETRAJE!G$46,IF(G23=44,KILOMETRAJE!G$47,IF(G23=45,KILOMETRAJE!G$48,IF(G23=46,KILOMETRAJE!G$49,IF(G23=47,KILOMETRAJE!G$50,IF(G23=48,KILOMETRAJE!G$51,IF(G23=49,KILOMETRAJE!G$52,IF(G23=50,KILOMETRAJE!G$53,IF(G23=51,KILOMETRAJE!G$54,IF(G23=52,KILOMETRAJE!G$55,IF(G23=53,KILOMETRAJE!G$56,IF(G23=54,KILOMETRAJE!G$57,IF(G23=55,KILOMETRAJE!G$58,IF(G23=56,KILOMETRAJE!G$59,IF(G23=57,KILOMETRAJE!G$60,IF(G23=58,KILOMETRAJE!G$61,IF(G23=59,KILOMETRAJE!G$62,IF(G23=60,KILOMETRAJE!G$63,IF(G23=61,KILOMETRAJE!G$64,IF(G23=62,KILOMETRAJE!G$65,IF(G23=63,KILOMETRAJE!G$66)))))))))))))))))))))))))))))))))))))))))))))))))))))))))))))))</f>
        <v>375</v>
      </c>
      <c r="K23" s="24"/>
      <c r="L23" s="44"/>
      <c r="M23" s="348">
        <v>5600</v>
      </c>
      <c r="N23" s="24">
        <v>1</v>
      </c>
      <c r="O23" s="24" t="s">
        <v>567</v>
      </c>
      <c r="P23" s="24" t="s">
        <v>247</v>
      </c>
      <c r="Q23" s="45">
        <f t="shared" si="1"/>
        <v>109.99874999999999</v>
      </c>
      <c r="R23" s="191"/>
      <c r="S23" s="52"/>
      <c r="T23" s="455"/>
      <c r="U23" s="237"/>
      <c r="V23" s="475"/>
      <c r="W23" s="278"/>
      <c r="X23" s="278"/>
    </row>
    <row r="24" spans="2:24" ht="13.5" customHeight="1" thickBot="1" x14ac:dyDescent="0.25">
      <c r="C24" s="101"/>
      <c r="D24" s="62" t="s">
        <v>557</v>
      </c>
      <c r="E24" s="25">
        <v>45960</v>
      </c>
      <c r="F24" s="25">
        <v>45960</v>
      </c>
      <c r="G24" s="57">
        <v>3</v>
      </c>
      <c r="H24" s="26" t="str">
        <f>IF(G24=1,KILOMETRAJE!C$4,IF(G24=2,KILOMETRAJE!C$5,IF(G24=3,KILOMETRAJE!C$6,IF(G24=4,KILOMETRAJE!C$7,IF(G24=5,KILOMETRAJE!C$8,IF(G24=6,KILOMETRAJE!C$9,IF(G24=7,KILOMETRAJE!C$10,IF(G24=8,KILOMETRAJE!C$11,IF(G24=9,KILOMETRAJE!C$12,IF(G24=10,KILOMETRAJE!C$13,IF(G24=11,KILOMETRAJE!C$14,IF(G24=12,KILOMETRAJE!C$15,IF(G24=13,KILOMETRAJE!C$16,IF(G24=14,KILOMETRAJE!C$17,IF(G24=15,KILOMETRAJE!C$18,IF(G24=16,KILOMETRAJE!C$19,IF(G24=17,KILOMETRAJE!C$20,IF(G24=18,KILOMETRAJE!C$21,IF(G24=19,KILOMETRAJE!C$22,IF(G24=20,KILOMETRAJE!C$23,IF(G24=21,KILOMETRAJE!C$24,IF(G24=22,KILOMETRAJE!C$25,IF(G24=23,KILOMETRAJE!C$26,IF(G24=24,KILOMETRAJE!C$27,IF(G24=25,KILOMETRAJE!C$28,IF(G24=26,KILOMETRAJE!C$29,IF(G24=27,KILOMETRAJE!C$30,IF(G24=28,KILOMETRAJE!C$31,IF(G24=29,KILOMETRAJE!C$32,IF(G24=30,KILOMETRAJE!C$33,IF(G24=31,KILOMETRAJE!C$34,IF(G24=32,KILOMETRAJE!C$35,IF(G24=33,KILOMETRAJE!C$36,IF(G24=34,KILOMETRAJE!C$37,IF(G24=35,KILOMETRAJE!C$38,IF(G24=36,KILOMETRAJE!C$39,IF(G24=37,KILOMETRAJE!C$40,IF(G24=38,KILOMETRAJE!C$41,IF(G24=39,KILOMETRAJE!C$42,IF(G24=40,KILOMETRAJE!C$43,IF(G24=41,KILOMETRAJE!C$44,IF(G24=42,KILOMETRAJE!C$45,IF(G24=43,KILOMETRAJE!C$46,IF(G24=44,KILOMETRAJE!C$47,IF(G24=45,KILOMETRAJE!C$48,IF(G24=46,KILOMETRAJE!C$49,IF(G24=47,KILOMETRAJE!C$50,IF(G24=48,KILOMETRAJE!C$51,IF(G24=49,KILOMETRAJE!C$52,IF(G24=50,KILOMETRAJE!C$53,IF(G24=51,KILOMETRAJE!C$54,IF(G24=52,KILOMETRAJE!C$55,IF(G24=53,KILOMETRAJE!C$56,IF(G24=54,KILOMETRAJE!C$57,IF(G24=55,KILOMETRAJE!C$58,IF(G24=56,KILOMETRAJE!C$59,IF(G24=57,KILOMETRAJE!C$60,IF(G24=58,KILOMETRAJE!C$61,IF(G24=59,KILOMETRAJE!C$62,IF(G24=60,KILOMETRAJE!C$63,IF(G24=61,KILOMETRAJE!C$64,IF(G24=62,KILOMETRAJE!C$65,IF(G24=63,KILOMETRAJE!C$66)))))))))))))))))))))))))))))))))))))))))))))))))))))))))))))))</f>
        <v xml:space="preserve">CHIH. </v>
      </c>
      <c r="I24" s="27" t="str">
        <f>IF(G24=1,KILOMETRAJE!E$4,IF(G24=2,KILOMETRAJE!E$5,IF(G24=3,KILOMETRAJE!E$6,IF(G24=4,KILOMETRAJE!E$7,IF(G24=5,KILOMETRAJE!E$8,IF(G24=6,KILOMETRAJE!E$9,IF(G24=7,KILOMETRAJE!E$10,IF(G24=8,KILOMETRAJE!E$11,IF(G24=9,KILOMETRAJE!E$12,IF(G24=10,KILOMETRAJE!E$13,IF(G24=11,KILOMETRAJE!E$14,IF(G24=12,KILOMETRAJE!E$15,IF(G24=13,KILOMETRAJE!E$16,IF(G24=14,KILOMETRAJE!E$17,IF(G24=15,KILOMETRAJE!E$18,IF(G24=16,KILOMETRAJE!E$19,IF(G24=17,KILOMETRAJE!E$20,IF(G24=18,KILOMETRAJE!E$21,IF(G24=19,KILOMETRAJE!E$22,IF(G24=20,KILOMETRAJE!E$23,IF(G24=21,KILOMETRAJE!E$24,IF(G24=22,KILOMETRAJE!E$25,IF(G24=23,KILOMETRAJE!E$26,IF(G24=24,KILOMETRAJE!E$27,IF(G24=25,KILOMETRAJE!E$28,IF(G24=26,KILOMETRAJE!E$29,IF(G24=27,KILOMETRAJE!E$30,IF(G24=28,KILOMETRAJE!E$31,IF(G24=29,KILOMETRAJE!E$32,IF(G24=30,KILOMETRAJE!E$33,IF(G24=31,KILOMETRAJE!E$34,IF(G24=32,KILOMETRAJE!E$35,IF(G24=33,KILOMETRAJE!E$36,IF(G24=34,KILOMETRAJE!E$37,IF(G24=35,KILOMETRAJE!E$38,IF(G24=36,KILOMETRAJE!E$39,IF(G24=37,KILOMETRAJE!E$40,IF(G24=38,KILOMETRAJE!E$41,IF(G24=39,KILOMETRAJE!E$42,IF(G24=40,KILOMETRAJE!E$43,IF(G24=41,KILOMETRAJE!E$44,IF(G24=42,KILOMETRAJE!E$45,IF(G24=43,KILOMETRAJE!E$46,IF(G24=44,KILOMETRAJE!E$47,IF(G24=45,KILOMETRAJE!E$48,IF(G24=46,KILOMETRAJE!E$49,IF(G24=47,KILOMETRAJE!E$50,IF(G24=48,KILOMETRAJE!E$51,IF(G24=49,KILOMETRAJE!E$52,IF(G24=50,KILOMETRAJE!E$53,IF(G24=51,KILOMETRAJE!E$54,IF(G24=52,KILOMETRAJE!E$55,IF(G24=53,KILOMETRAJE!E$56,IF(G24=54,KILOMETRAJE!E$57,IF(G24=55,KILOMETRAJE!E$58,IF(G24=56,KILOMETRAJE!E$59,IF(G24=57,KILOMETRAJE!E$60,IF(G24=58,KILOMETRAJE!E$61,IF(G24=59,KILOMETRAJE!E$62,IF(G24=60,KILOMETRAJE!E$63,IF(G24=61,KILOMETRAJE!E$64,IF(G24=62,KILOMETRAJE!E$65,IF(G24=63,KILOMETRAJE!E$66)))))))))))))))))))))))))))))))))))))))))))))))))))))))))))))))</f>
        <v>JRZ</v>
      </c>
      <c r="J24" s="31">
        <f>IF(G24=1,KILOMETRAJE!G$4,IF(G24=2,KILOMETRAJE!G$5,IF(G24=3,KILOMETRAJE!G$6,IF(G24=4,KILOMETRAJE!G$7,IF(G24=5,KILOMETRAJE!G$8,IF(G24=6,KILOMETRAJE!G$9,IF(G24=7,KILOMETRAJE!G$10,IF(G24=8,KILOMETRAJE!G$11,IF(G24=9,KILOMETRAJE!G$12,IF(G24=10,KILOMETRAJE!G$13,IF(G24=11,KILOMETRAJE!G$14,IF(G24=12,KILOMETRAJE!G$15,IF(G24=13,KILOMETRAJE!G$16,IF(G24=14,KILOMETRAJE!G$17,IF(G24=15,KILOMETRAJE!G$18,IF(G24=16,KILOMETRAJE!G$19,IF(G24=17,KILOMETRAJE!G$20,IF(G24=18,KILOMETRAJE!G$21,IF(G24=19,KILOMETRAJE!G$22,IF(G24=20,KILOMETRAJE!G$23,IF(G24=21,KILOMETRAJE!G$24,IF(G24=22,KILOMETRAJE!G$25,IF(G24=23,KILOMETRAJE!G$26,IF(G24=24,KILOMETRAJE!G$27,IF(G24=25,KILOMETRAJE!G$28,IF(G24=26,KILOMETRAJE!G$29,IF(G24=27,KILOMETRAJE!G$30,IF(G24=28,KILOMETRAJE!G$31,IF(G24=29,KILOMETRAJE!G$32,IF(G24=30,KILOMETRAJE!G$33,IF(G24=31,KILOMETRAJE!G$34,IF(G24=32,KILOMETRAJE!G$35,IF(G24=33,KILOMETRAJE!G$36,IF(G24=34,KILOMETRAJE!G$37,IF(G24=35,KILOMETRAJE!G$38,IF(G24=36,KILOMETRAJE!G$39,IF(G24=37,KILOMETRAJE!G$40,IF(G24=38,KILOMETRAJE!G$41,IF(G24=39,KILOMETRAJE!G$42,IF(G24=40,KILOMETRAJE!G$43,IF(G24=41,KILOMETRAJE!G$44,IF(G24=42,KILOMETRAJE!G$45,IF(G24=43,KILOMETRAJE!G$46,IF(G24=44,KILOMETRAJE!G$47,IF(G24=45,KILOMETRAJE!G$48,IF(G24=46,KILOMETRAJE!G$49,IF(G24=47,KILOMETRAJE!G$50,IF(G24=48,KILOMETRAJE!G$51,IF(G24=49,KILOMETRAJE!G$52,IF(G24=50,KILOMETRAJE!G$53,IF(G24=51,KILOMETRAJE!G$54,IF(G24=52,KILOMETRAJE!G$55,IF(G24=53,KILOMETRAJE!G$56,IF(G24=54,KILOMETRAJE!G$57,IF(G24=55,KILOMETRAJE!G$58,IF(G24=56,KILOMETRAJE!G$59,IF(G24=57,KILOMETRAJE!G$60,IF(G24=58,KILOMETRAJE!G$61,IF(G24=59,KILOMETRAJE!G$62,IF(G24=60,KILOMETRAJE!G$63,IF(G24=61,KILOMETRAJE!G$64,IF(G24=62,KILOMETRAJE!G$65,IF(G24=63,KILOMETRAJE!G$66)))))))))))))))))))))))))))))))))))))))))))))))))))))))))))))))</f>
        <v>375</v>
      </c>
      <c r="K24" s="27">
        <v>190.18</v>
      </c>
      <c r="L24" s="28">
        <f>SUM(J23:J24)/K24</f>
        <v>3.9436323483016089</v>
      </c>
      <c r="M24" s="349">
        <v>500</v>
      </c>
      <c r="N24" s="27">
        <v>1</v>
      </c>
      <c r="O24" s="319" t="s">
        <v>505</v>
      </c>
      <c r="P24" s="319" t="s">
        <v>194</v>
      </c>
      <c r="Q24" s="29">
        <f t="shared" si="1"/>
        <v>109.99874999999999</v>
      </c>
      <c r="R24" s="190">
        <f>+LOOKUP(P44,UNIDADES!B$3:B$59,UNIDADES!C$3:C$59)</f>
        <v>2.4509799999999999</v>
      </c>
      <c r="S24" s="19">
        <f>+((SUM(J23:J24))/R24)-K24</f>
        <v>115.82004896000785</v>
      </c>
      <c r="T24" s="456">
        <f>+S24*14.85</f>
        <v>1719.9277270561165</v>
      </c>
      <c r="U24" s="242"/>
      <c r="V24" s="476"/>
      <c r="W24" s="278"/>
      <c r="X24" s="278"/>
    </row>
    <row r="25" spans="2:24" x14ac:dyDescent="0.2">
      <c r="C25" s="176">
        <v>46156</v>
      </c>
      <c r="D25" s="320" t="s">
        <v>558</v>
      </c>
      <c r="E25" s="42">
        <v>45960</v>
      </c>
      <c r="F25" s="42">
        <v>45961</v>
      </c>
      <c r="G25" s="43">
        <v>2</v>
      </c>
      <c r="H25" s="65" t="str">
        <f>IF(G25=1,KILOMETRAJE!C$4,IF(G25=2,KILOMETRAJE!C$5,IF(G25=3,KILOMETRAJE!C$6,IF(G25=4,KILOMETRAJE!C$7,IF(G25=5,KILOMETRAJE!C$8,IF(G25=6,KILOMETRAJE!C$9,IF(G25=7,KILOMETRAJE!C$10,IF(G25=8,KILOMETRAJE!C$11,IF(G25=9,KILOMETRAJE!C$12,IF(G25=10,KILOMETRAJE!C$13,IF(G25=11,KILOMETRAJE!C$14,IF(G25=12,KILOMETRAJE!C$15,IF(G25=13,KILOMETRAJE!C$16,IF(G25=14,KILOMETRAJE!C$17,IF(G25=15,KILOMETRAJE!C$18,IF(G25=16,KILOMETRAJE!C$19,IF(G25=17,KILOMETRAJE!C$20,IF(G25=18,KILOMETRAJE!C$21,IF(G25=19,KILOMETRAJE!C$22,IF(G25=20,KILOMETRAJE!C$23,IF(G25=21,KILOMETRAJE!C$24,IF(G25=22,KILOMETRAJE!C$25,IF(G25=23,KILOMETRAJE!C$26,IF(G25=24,KILOMETRAJE!C$27,IF(G25=25,KILOMETRAJE!C$28,IF(G25=26,KILOMETRAJE!C$29,IF(G25=27,KILOMETRAJE!C$30,IF(G25=28,KILOMETRAJE!C$31,IF(G25=29,KILOMETRAJE!C$32,IF(G25=30,KILOMETRAJE!C$33,IF(G25=31,KILOMETRAJE!C$34,IF(G25=32,KILOMETRAJE!C$35,IF(G25=33,KILOMETRAJE!C$36,IF(G25=34,KILOMETRAJE!C$37,IF(G25=35,KILOMETRAJE!C$38,IF(G25=36,KILOMETRAJE!C$39,IF(G25=37,KILOMETRAJE!C$40,IF(G25=38,KILOMETRAJE!C$41,IF(G25=39,KILOMETRAJE!C$42,IF(G25=40,KILOMETRAJE!C$43,IF(G25=41,KILOMETRAJE!C$44,IF(G25=42,KILOMETRAJE!C$45,IF(G25=43,KILOMETRAJE!C$46,IF(G25=44,KILOMETRAJE!C$47,IF(G25=45,KILOMETRAJE!C$48,IF(G25=46,KILOMETRAJE!C$49,IF(G25=47,KILOMETRAJE!C$50,IF(G25=48,KILOMETRAJE!C$51,IF(G25=49,KILOMETRAJE!C$52,IF(G25=50,KILOMETRAJE!C$53,IF(G25=51,KILOMETRAJE!C$54,IF(G25=52,KILOMETRAJE!C$55,IF(G25=53,KILOMETRAJE!C$56,IF(G25=54,KILOMETRAJE!C$57,IF(G25=55,KILOMETRAJE!C$58,IF(G25=56,KILOMETRAJE!C$59,IF(G25=57,KILOMETRAJE!C$60,IF(G25=58,KILOMETRAJE!C$61,IF(G25=59,KILOMETRAJE!C$62,IF(G25=60,KILOMETRAJE!C$63,IF(G25=61,KILOMETRAJE!C$64,IF(G25=62,KILOMETRAJE!C$65,IF(G25=63,KILOMETRAJE!C$66)))))))))))))))))))))))))))))))))))))))))))))))))))))))))))))))</f>
        <v>JRZ</v>
      </c>
      <c r="I25" s="24" t="str">
        <f>IF(G25=1,KILOMETRAJE!E$4,IF(G25=2,KILOMETRAJE!E$5,IF(G25=3,KILOMETRAJE!E$6,IF(G25=4,KILOMETRAJE!E$7,IF(G25=5,KILOMETRAJE!E$8,IF(G25=6,KILOMETRAJE!E$9,IF(G25=7,KILOMETRAJE!E$10,IF(G25=8,KILOMETRAJE!E$11,IF(G25=9,KILOMETRAJE!E$12,IF(G25=10,KILOMETRAJE!E$13,IF(G25=11,KILOMETRAJE!E$14,IF(G25=12,KILOMETRAJE!E$15,IF(G25=13,KILOMETRAJE!E$16,IF(G25=14,KILOMETRAJE!E$17,IF(G25=15,KILOMETRAJE!E$18,IF(G25=16,KILOMETRAJE!E$19,IF(G25=17,KILOMETRAJE!E$20,IF(G25=18,KILOMETRAJE!E$21,IF(G25=19,KILOMETRAJE!E$22,IF(G25=20,KILOMETRAJE!E$23,IF(G25=21,KILOMETRAJE!E$24,IF(G25=22,KILOMETRAJE!E$25,IF(G25=23,KILOMETRAJE!E$26,IF(G25=24,KILOMETRAJE!E$27,IF(G25=25,KILOMETRAJE!E$28,IF(G25=26,KILOMETRAJE!E$29,IF(G25=27,KILOMETRAJE!E$30,IF(G25=28,KILOMETRAJE!E$31,IF(G25=29,KILOMETRAJE!E$32,IF(G25=30,KILOMETRAJE!E$33,IF(G25=31,KILOMETRAJE!E$34,IF(G25=32,KILOMETRAJE!E$35,IF(G25=33,KILOMETRAJE!E$36,IF(G25=34,KILOMETRAJE!E$37,IF(G25=35,KILOMETRAJE!E$38,IF(G25=36,KILOMETRAJE!E$39,IF(G25=37,KILOMETRAJE!E$40,IF(G25=38,KILOMETRAJE!E$41,IF(G25=39,KILOMETRAJE!E$42,IF(G25=40,KILOMETRAJE!E$43,IF(G25=41,KILOMETRAJE!E$44,IF(G25=42,KILOMETRAJE!E$45,IF(G25=43,KILOMETRAJE!E$46,IF(G25=44,KILOMETRAJE!E$47,IF(G25=45,KILOMETRAJE!E$48,IF(G25=46,KILOMETRAJE!E$49,IF(G25=47,KILOMETRAJE!E$50,IF(G25=48,KILOMETRAJE!E$51,IF(G25=49,KILOMETRAJE!E$52,IF(G25=50,KILOMETRAJE!E$53,IF(G25=51,KILOMETRAJE!E$54,IF(G25=52,KILOMETRAJE!E$55,IF(G25=53,KILOMETRAJE!E$56,IF(G25=54,KILOMETRAJE!E$57,IF(G25=55,KILOMETRAJE!E$58,IF(G25=56,KILOMETRAJE!E$59,IF(G25=57,KILOMETRAJE!E$60,IF(G25=58,KILOMETRAJE!E$61,IF(G25=59,KILOMETRAJE!E$62,IF(G25=60,KILOMETRAJE!E$63,IF(G25=61,KILOMETRAJE!E$64,IF(G25=62,KILOMETRAJE!E$65,IF(G25=63,KILOMETRAJE!E$66)))))))))))))))))))))))))))))))))))))))))))))))))))))))))))))))</f>
        <v>CHIH.</v>
      </c>
      <c r="J25" s="51">
        <f>IF(G25=1,KILOMETRAJE!G$4,IF(G25=2,KILOMETRAJE!G$5,IF(G25=3,KILOMETRAJE!G$6,IF(G25=4,KILOMETRAJE!G$7,IF(G25=5,KILOMETRAJE!G$8,IF(G25=6,KILOMETRAJE!G$9,IF(G25=7,KILOMETRAJE!G$10,IF(G25=8,KILOMETRAJE!G$11,IF(G25=9,KILOMETRAJE!G$12,IF(G25=10,KILOMETRAJE!G$13,IF(G25=11,KILOMETRAJE!G$14,IF(G25=12,KILOMETRAJE!G$15,IF(G25=13,KILOMETRAJE!G$16,IF(G25=14,KILOMETRAJE!G$17,IF(G25=15,KILOMETRAJE!G$18,IF(G25=16,KILOMETRAJE!G$19,IF(G25=17,KILOMETRAJE!G$20,IF(G25=18,KILOMETRAJE!G$21,IF(G25=19,KILOMETRAJE!G$22,IF(G25=20,KILOMETRAJE!G$23,IF(G25=21,KILOMETRAJE!G$24,IF(G25=22,KILOMETRAJE!G$25,IF(G25=23,KILOMETRAJE!G$26,IF(G25=24,KILOMETRAJE!G$27,IF(G25=25,KILOMETRAJE!G$28,IF(G25=26,KILOMETRAJE!G$29,IF(G25=27,KILOMETRAJE!G$30,IF(G25=28,KILOMETRAJE!G$31,IF(G25=29,KILOMETRAJE!G$32,IF(G25=30,KILOMETRAJE!G$33,IF(G25=31,KILOMETRAJE!G$34,IF(G25=32,KILOMETRAJE!G$35,IF(G25=33,KILOMETRAJE!G$36,IF(G25=34,KILOMETRAJE!G$37,IF(G25=35,KILOMETRAJE!G$38,IF(G25=36,KILOMETRAJE!G$39,IF(G25=37,KILOMETRAJE!G$40,IF(G25=38,KILOMETRAJE!G$41,IF(G25=39,KILOMETRAJE!G$42,IF(G25=40,KILOMETRAJE!G$43,IF(G25=41,KILOMETRAJE!G$44,IF(G25=42,KILOMETRAJE!G$45,IF(G25=43,KILOMETRAJE!G$46,IF(G25=44,KILOMETRAJE!G$47,IF(G25=45,KILOMETRAJE!G$48,IF(G25=46,KILOMETRAJE!G$49,IF(G25=47,KILOMETRAJE!G$50,IF(G25=48,KILOMETRAJE!G$51,IF(G25=49,KILOMETRAJE!G$52,IF(G25=50,KILOMETRAJE!G$53,IF(G25=51,KILOMETRAJE!G$54,IF(G25=52,KILOMETRAJE!G$55,IF(G25=53,KILOMETRAJE!G$56,IF(G25=54,KILOMETRAJE!G$57,IF(G25=55,KILOMETRAJE!G$58,IF(G25=56,KILOMETRAJE!G$59,IF(G25=57,KILOMETRAJE!G$60,IF(G25=58,KILOMETRAJE!G$61,IF(G25=59,KILOMETRAJE!G$62,IF(G25=60,KILOMETRAJE!G$63,IF(G25=61,KILOMETRAJE!G$64,IF(G25=62,KILOMETRAJE!G$65,IF(G25=63,KILOMETRAJE!G$66)))))))))))))))))))))))))))))))))))))))))))))))))))))))))))))))</f>
        <v>375</v>
      </c>
      <c r="K25" s="24"/>
      <c r="L25" s="44"/>
      <c r="M25" s="348"/>
      <c r="N25" s="24">
        <v>2</v>
      </c>
      <c r="O25" s="24" t="s">
        <v>568</v>
      </c>
      <c r="P25" s="24" t="s">
        <v>202</v>
      </c>
      <c r="Q25" s="45">
        <f t="shared" si="1"/>
        <v>54.999749999999999</v>
      </c>
      <c r="R25" s="191"/>
      <c r="S25" s="52"/>
      <c r="T25" s="455"/>
      <c r="U25" s="425"/>
      <c r="V25" s="425"/>
      <c r="W25" s="278"/>
      <c r="X25" s="278"/>
    </row>
    <row r="26" spans="2:24" ht="13.5" customHeight="1" thickBot="1" x14ac:dyDescent="0.25">
      <c r="B26" s="14" t="s">
        <v>553</v>
      </c>
      <c r="C26" s="101"/>
      <c r="D26" s="62" t="s">
        <v>559</v>
      </c>
      <c r="E26" s="25">
        <v>45961</v>
      </c>
      <c r="F26" s="25">
        <v>45961</v>
      </c>
      <c r="G26" s="57">
        <v>3</v>
      </c>
      <c r="H26" s="26" t="str">
        <f>IF(G26=1,KILOMETRAJE!C$4,IF(G26=2,KILOMETRAJE!C$5,IF(G26=3,KILOMETRAJE!C$6,IF(G26=4,KILOMETRAJE!C$7,IF(G26=5,KILOMETRAJE!C$8,IF(G26=6,KILOMETRAJE!C$9,IF(G26=7,KILOMETRAJE!C$10,IF(G26=8,KILOMETRAJE!C$11,IF(G26=9,KILOMETRAJE!C$12,IF(G26=10,KILOMETRAJE!C$13,IF(G26=11,KILOMETRAJE!C$14,IF(G26=12,KILOMETRAJE!C$15,IF(G26=13,KILOMETRAJE!C$16,IF(G26=14,KILOMETRAJE!C$17,IF(G26=15,KILOMETRAJE!C$18,IF(G26=16,KILOMETRAJE!C$19,IF(G26=17,KILOMETRAJE!C$20,IF(G26=18,KILOMETRAJE!C$21,IF(G26=19,KILOMETRAJE!C$22,IF(G26=20,KILOMETRAJE!C$23,IF(G26=21,KILOMETRAJE!C$24,IF(G26=22,KILOMETRAJE!C$25,IF(G26=23,KILOMETRAJE!C$26,IF(G26=24,KILOMETRAJE!C$27,IF(G26=25,KILOMETRAJE!C$28,IF(G26=26,KILOMETRAJE!C$29,IF(G26=27,KILOMETRAJE!C$30,IF(G26=28,KILOMETRAJE!C$31,IF(G26=29,KILOMETRAJE!C$32,IF(G26=30,KILOMETRAJE!C$33,IF(G26=31,KILOMETRAJE!C$34,IF(G26=32,KILOMETRAJE!C$35,IF(G26=33,KILOMETRAJE!C$36,IF(G26=34,KILOMETRAJE!C$37,IF(G26=35,KILOMETRAJE!C$38,IF(G26=36,KILOMETRAJE!C$39,IF(G26=37,KILOMETRAJE!C$40,IF(G26=38,KILOMETRAJE!C$41,IF(G26=39,KILOMETRAJE!C$42,IF(G26=40,KILOMETRAJE!C$43,IF(G26=41,KILOMETRAJE!C$44,IF(G26=42,KILOMETRAJE!C$45,IF(G26=43,KILOMETRAJE!C$46,IF(G26=44,KILOMETRAJE!C$47,IF(G26=45,KILOMETRAJE!C$48,IF(G26=46,KILOMETRAJE!C$49,IF(G26=47,KILOMETRAJE!C$50,IF(G26=48,KILOMETRAJE!C$51,IF(G26=49,KILOMETRAJE!C$52,IF(G26=50,KILOMETRAJE!C$53,IF(G26=51,KILOMETRAJE!C$54,IF(G26=52,KILOMETRAJE!C$55,IF(G26=53,KILOMETRAJE!C$56,IF(G26=54,KILOMETRAJE!C$57,IF(G26=55,KILOMETRAJE!C$58,IF(G26=56,KILOMETRAJE!C$59,IF(G26=57,KILOMETRAJE!C$60,IF(G26=58,KILOMETRAJE!C$61,IF(G26=59,KILOMETRAJE!C$62,IF(G26=60,KILOMETRAJE!C$63,IF(G26=61,KILOMETRAJE!C$64,IF(G26=62,KILOMETRAJE!C$65,IF(G26=63,KILOMETRAJE!C$66)))))))))))))))))))))))))))))))))))))))))))))))))))))))))))))))</f>
        <v xml:space="preserve">CHIH. </v>
      </c>
      <c r="I26" s="27" t="str">
        <f>IF(G26=1,KILOMETRAJE!E$4,IF(G26=2,KILOMETRAJE!E$5,IF(G26=3,KILOMETRAJE!E$6,IF(G26=4,KILOMETRAJE!E$7,IF(G26=5,KILOMETRAJE!E$8,IF(G26=6,KILOMETRAJE!E$9,IF(G26=7,KILOMETRAJE!E$10,IF(G26=8,KILOMETRAJE!E$11,IF(G26=9,KILOMETRAJE!E$12,IF(G26=10,KILOMETRAJE!E$13,IF(G26=11,KILOMETRAJE!E$14,IF(G26=12,KILOMETRAJE!E$15,IF(G26=13,KILOMETRAJE!E$16,IF(G26=14,KILOMETRAJE!E$17,IF(G26=15,KILOMETRAJE!E$18,IF(G26=16,KILOMETRAJE!E$19,IF(G26=17,KILOMETRAJE!E$20,IF(G26=18,KILOMETRAJE!E$21,IF(G26=19,KILOMETRAJE!E$22,IF(G26=20,KILOMETRAJE!E$23,IF(G26=21,KILOMETRAJE!E$24,IF(G26=22,KILOMETRAJE!E$25,IF(G26=23,KILOMETRAJE!E$26,IF(G26=24,KILOMETRAJE!E$27,IF(G26=25,KILOMETRAJE!E$28,IF(G26=26,KILOMETRAJE!E$29,IF(G26=27,KILOMETRAJE!E$30,IF(G26=28,KILOMETRAJE!E$31,IF(G26=29,KILOMETRAJE!E$32,IF(G26=30,KILOMETRAJE!E$33,IF(G26=31,KILOMETRAJE!E$34,IF(G26=32,KILOMETRAJE!E$35,IF(G26=33,KILOMETRAJE!E$36,IF(G26=34,KILOMETRAJE!E$37,IF(G26=35,KILOMETRAJE!E$38,IF(G26=36,KILOMETRAJE!E$39,IF(G26=37,KILOMETRAJE!E$40,IF(G26=38,KILOMETRAJE!E$41,IF(G26=39,KILOMETRAJE!E$42,IF(G26=40,KILOMETRAJE!E$43,IF(G26=41,KILOMETRAJE!E$44,IF(G26=42,KILOMETRAJE!E$45,IF(G26=43,KILOMETRAJE!E$46,IF(G26=44,KILOMETRAJE!E$47,IF(G26=45,KILOMETRAJE!E$48,IF(G26=46,KILOMETRAJE!E$49,IF(G26=47,KILOMETRAJE!E$50,IF(G26=48,KILOMETRAJE!E$51,IF(G26=49,KILOMETRAJE!E$52,IF(G26=50,KILOMETRAJE!E$53,IF(G26=51,KILOMETRAJE!E$54,IF(G26=52,KILOMETRAJE!E$55,IF(G26=53,KILOMETRAJE!E$56,IF(G26=54,KILOMETRAJE!E$57,IF(G26=55,KILOMETRAJE!E$58,IF(G26=56,KILOMETRAJE!E$59,IF(G26=57,KILOMETRAJE!E$60,IF(G26=58,KILOMETRAJE!E$61,IF(G26=59,KILOMETRAJE!E$62,IF(G26=60,KILOMETRAJE!E$63,IF(G26=61,KILOMETRAJE!E$64,IF(G26=62,KILOMETRAJE!E$65,IF(G26=63,KILOMETRAJE!E$66)))))))))))))))))))))))))))))))))))))))))))))))))))))))))))))))</f>
        <v>JRZ</v>
      </c>
      <c r="J26" s="31">
        <f>IF(G26=1,KILOMETRAJE!G$4,IF(G26=2,KILOMETRAJE!G$5,IF(G26=3,KILOMETRAJE!G$6,IF(G26=4,KILOMETRAJE!G$7,IF(G26=5,KILOMETRAJE!G$8,IF(G26=6,KILOMETRAJE!G$9,IF(G26=7,KILOMETRAJE!G$10,IF(G26=8,KILOMETRAJE!G$11,IF(G26=9,KILOMETRAJE!G$12,IF(G26=10,KILOMETRAJE!G$13,IF(G26=11,KILOMETRAJE!G$14,IF(G26=12,KILOMETRAJE!G$15,IF(G26=13,KILOMETRAJE!G$16,IF(G26=14,KILOMETRAJE!G$17,IF(G26=15,KILOMETRAJE!G$18,IF(G26=16,KILOMETRAJE!G$19,IF(G26=17,KILOMETRAJE!G$20,IF(G26=18,KILOMETRAJE!G$21,IF(G26=19,KILOMETRAJE!G$22,IF(G26=20,KILOMETRAJE!G$23,IF(G26=21,KILOMETRAJE!G$24,IF(G26=22,KILOMETRAJE!G$25,IF(G26=23,KILOMETRAJE!G$26,IF(G26=24,KILOMETRAJE!G$27,IF(G26=25,KILOMETRAJE!G$28,IF(G26=26,KILOMETRAJE!G$29,IF(G26=27,KILOMETRAJE!G$30,IF(G26=28,KILOMETRAJE!G$31,IF(G26=29,KILOMETRAJE!G$32,IF(G26=30,KILOMETRAJE!G$33,IF(G26=31,KILOMETRAJE!G$34,IF(G26=32,KILOMETRAJE!G$35,IF(G26=33,KILOMETRAJE!G$36,IF(G26=34,KILOMETRAJE!G$37,IF(G26=35,KILOMETRAJE!G$38,IF(G26=36,KILOMETRAJE!G$39,IF(G26=37,KILOMETRAJE!G$40,IF(G26=38,KILOMETRAJE!G$41,IF(G26=39,KILOMETRAJE!G$42,IF(G26=40,KILOMETRAJE!G$43,IF(G26=41,KILOMETRAJE!G$44,IF(G26=42,KILOMETRAJE!G$45,IF(G26=43,KILOMETRAJE!G$46,IF(G26=44,KILOMETRAJE!G$47,IF(G26=45,KILOMETRAJE!G$48,IF(G26=46,KILOMETRAJE!G$49,IF(G26=47,KILOMETRAJE!G$50,IF(G26=48,KILOMETRAJE!G$51,IF(G26=49,KILOMETRAJE!G$52,IF(G26=50,KILOMETRAJE!G$53,IF(G26=51,KILOMETRAJE!G$54,IF(G26=52,KILOMETRAJE!G$55,IF(G26=53,KILOMETRAJE!G$56,IF(G26=54,KILOMETRAJE!G$57,IF(G26=55,KILOMETRAJE!G$58,IF(G26=56,KILOMETRAJE!G$59,IF(G26=57,KILOMETRAJE!G$60,IF(G26=58,KILOMETRAJE!G$61,IF(G26=59,KILOMETRAJE!G$62,IF(G26=60,KILOMETRAJE!G$63,IF(G26=61,KILOMETRAJE!G$64,IF(G26=62,KILOMETRAJE!G$65,IF(G26=63,KILOMETRAJE!G$66)))))))))))))))))))))))))))))))))))))))))))))))))))))))))))))))</f>
        <v>375</v>
      </c>
      <c r="K26" s="27">
        <v>200.01</v>
      </c>
      <c r="L26" s="28">
        <f>SUM(J25:J26)/K26</f>
        <v>3.7498125093745314</v>
      </c>
      <c r="M26" s="349">
        <v>1256</v>
      </c>
      <c r="N26" s="27">
        <v>1</v>
      </c>
      <c r="O26" s="319" t="s">
        <v>569</v>
      </c>
      <c r="P26" s="319" t="s">
        <v>198</v>
      </c>
      <c r="Q26" s="29">
        <f t="shared" si="1"/>
        <v>109.99874999999999</v>
      </c>
      <c r="R26" s="190">
        <f>+LOOKUP(P44,UNIDADES!B$3:B$59,UNIDADES!C$3:C$59)</f>
        <v>2.4509799999999999</v>
      </c>
      <c r="S26" s="19">
        <f>+((SUM(J25:J26))/R26)-K26</f>
        <v>105.99004896000787</v>
      </c>
      <c r="T26" s="456">
        <f>+S26*14.85</f>
        <v>1573.9522270561167</v>
      </c>
      <c r="U26" s="425"/>
      <c r="V26" s="425"/>
      <c r="W26" s="278"/>
      <c r="X26" s="278"/>
    </row>
    <row r="27" spans="2:24" ht="12" customHeight="1" x14ac:dyDescent="0.2">
      <c r="C27" s="238">
        <v>46175</v>
      </c>
      <c r="D27" s="36" t="s">
        <v>560</v>
      </c>
      <c r="E27" s="37">
        <v>45961</v>
      </c>
      <c r="F27" s="37">
        <v>45962</v>
      </c>
      <c r="G27" s="36">
        <v>2</v>
      </c>
      <c r="H27" s="65" t="str">
        <f>IF(G27=1,KILOMETRAJE!C$4,IF(G27=2,KILOMETRAJE!C$5,IF(G27=3,KILOMETRAJE!C$6,IF(G27=4,KILOMETRAJE!C$7,IF(G27=5,KILOMETRAJE!C$8,IF(G27=6,KILOMETRAJE!C$9,IF(G27=7,KILOMETRAJE!C$10,IF(G27=8,KILOMETRAJE!C$11,IF(G27=9,KILOMETRAJE!C$12,IF(G27=10,KILOMETRAJE!C$13,IF(G27=11,KILOMETRAJE!C$14,IF(G27=12,KILOMETRAJE!C$15,IF(G27=13,KILOMETRAJE!C$16,IF(G27=14,KILOMETRAJE!C$17,IF(G27=15,KILOMETRAJE!C$18,IF(G27=16,KILOMETRAJE!C$19,IF(G27=17,KILOMETRAJE!C$20,IF(G27=18,KILOMETRAJE!C$21,IF(G27=19,KILOMETRAJE!C$22,IF(G27=20,KILOMETRAJE!C$23,IF(G27=21,KILOMETRAJE!C$24,IF(G27=22,KILOMETRAJE!C$25,IF(G27=23,KILOMETRAJE!C$26,IF(G27=24,KILOMETRAJE!C$27,IF(G27=25,KILOMETRAJE!C$28,IF(G27=26,KILOMETRAJE!C$29,IF(G27=27,KILOMETRAJE!C$30,IF(G27=28,KILOMETRAJE!C$31,IF(G27=29,KILOMETRAJE!C$32,IF(G27=30,KILOMETRAJE!C$33,IF(G27=31,KILOMETRAJE!C$34,IF(G27=32,KILOMETRAJE!C$35,IF(G27=33,KILOMETRAJE!C$36,IF(G27=34,KILOMETRAJE!C$37,IF(G27=35,KILOMETRAJE!C$38,IF(G27=36,KILOMETRAJE!C$39,IF(G27=37,KILOMETRAJE!C$40,IF(G27=38,KILOMETRAJE!C$41,IF(G27=39,KILOMETRAJE!C$42,IF(G27=40,KILOMETRAJE!C$43,IF(G27=41,KILOMETRAJE!C$44,IF(G27=42,KILOMETRAJE!C$45,IF(G27=43,KILOMETRAJE!C$46,IF(G27=44,KILOMETRAJE!C$47,IF(G27=45,KILOMETRAJE!C$48,IF(G27=46,KILOMETRAJE!C$49,IF(G27=47,KILOMETRAJE!C$50,IF(G27=48,KILOMETRAJE!C$51,IF(G27=49,KILOMETRAJE!C$52,IF(G27=50,KILOMETRAJE!C$53,IF(G27=51,KILOMETRAJE!C$54,IF(G27=52,KILOMETRAJE!C$55,IF(G27=53,KILOMETRAJE!C$56,IF(G27=54,KILOMETRAJE!C$57,IF(G27=55,KILOMETRAJE!C$58,IF(G27=56,KILOMETRAJE!C$59,IF(G27=57,KILOMETRAJE!C$60,IF(G27=58,KILOMETRAJE!C$61,IF(G27=59,KILOMETRAJE!C$62,IF(G27=60,KILOMETRAJE!C$63,IF(G27=61,KILOMETRAJE!C$64,IF(G27=62,KILOMETRAJE!C$65,IF(G27=63,KILOMETRAJE!C$66)))))))))))))))))))))))))))))))))))))))))))))))))))))))))))))))</f>
        <v>JRZ</v>
      </c>
      <c r="I27" s="24" t="str">
        <f>IF(G27=1,KILOMETRAJE!E$4,IF(G27=2,KILOMETRAJE!E$5,IF(G27=3,KILOMETRAJE!E$6,IF(G27=4,KILOMETRAJE!E$7,IF(G27=5,KILOMETRAJE!E$8,IF(G27=6,KILOMETRAJE!E$9,IF(G27=7,KILOMETRAJE!E$10,IF(G27=8,KILOMETRAJE!E$11,IF(G27=9,KILOMETRAJE!E$12,IF(G27=10,KILOMETRAJE!E$13,IF(G27=11,KILOMETRAJE!E$14,IF(G27=12,KILOMETRAJE!E$15,IF(G27=13,KILOMETRAJE!E$16,IF(G27=14,KILOMETRAJE!E$17,IF(G27=15,KILOMETRAJE!E$18,IF(G27=16,KILOMETRAJE!E$19,IF(G27=17,KILOMETRAJE!E$20,IF(G27=18,KILOMETRAJE!E$21,IF(G27=19,KILOMETRAJE!E$22,IF(G27=20,KILOMETRAJE!E$23,IF(G27=21,KILOMETRAJE!E$24,IF(G27=22,KILOMETRAJE!E$25,IF(G27=23,KILOMETRAJE!E$26,IF(G27=24,KILOMETRAJE!E$27,IF(G27=25,KILOMETRAJE!E$28,IF(G27=26,KILOMETRAJE!E$29,IF(G27=27,KILOMETRAJE!E$30,IF(G27=28,KILOMETRAJE!E$31,IF(G27=29,KILOMETRAJE!E$32,IF(G27=30,KILOMETRAJE!E$33,IF(G27=31,KILOMETRAJE!E$34,IF(G27=32,KILOMETRAJE!E$35,IF(G27=33,KILOMETRAJE!E$36,IF(G27=34,KILOMETRAJE!E$37,IF(G27=35,KILOMETRAJE!E$38,IF(G27=36,KILOMETRAJE!E$39,IF(G27=37,KILOMETRAJE!E$40,IF(G27=38,KILOMETRAJE!E$41,IF(G27=39,KILOMETRAJE!E$42,IF(G27=40,KILOMETRAJE!E$43,IF(G27=41,KILOMETRAJE!E$44,IF(G27=42,KILOMETRAJE!E$45,IF(G27=43,KILOMETRAJE!E$46,IF(G27=44,KILOMETRAJE!E$47,IF(G27=45,KILOMETRAJE!E$48,IF(G27=46,KILOMETRAJE!E$49,IF(G27=47,KILOMETRAJE!E$50,IF(G27=48,KILOMETRAJE!E$51,IF(G27=49,KILOMETRAJE!E$52,IF(G27=50,KILOMETRAJE!E$53,IF(G27=51,KILOMETRAJE!E$54,IF(G27=52,KILOMETRAJE!E$55,IF(G27=53,KILOMETRAJE!E$56,IF(G27=54,KILOMETRAJE!E$57,IF(G27=55,KILOMETRAJE!E$58,IF(G27=56,KILOMETRAJE!E$59,IF(G27=57,KILOMETRAJE!E$60,IF(G27=58,KILOMETRAJE!E$61,IF(G27=59,KILOMETRAJE!E$62,IF(G27=60,KILOMETRAJE!E$63,IF(G27=61,KILOMETRAJE!E$64,IF(G27=62,KILOMETRAJE!E$65,IF(G27=63,KILOMETRAJE!E$66)))))))))))))))))))))))))))))))))))))))))))))))))))))))))))))))</f>
        <v>CHIH.</v>
      </c>
      <c r="J27" s="51">
        <f>IF(G27=1,KILOMETRAJE!G$4,IF(G27=2,KILOMETRAJE!G$5,IF(G27=3,KILOMETRAJE!G$6,IF(G27=4,KILOMETRAJE!G$7,IF(G27=5,KILOMETRAJE!G$8,IF(G27=6,KILOMETRAJE!G$9,IF(G27=7,KILOMETRAJE!G$10,IF(G27=8,KILOMETRAJE!G$11,IF(G27=9,KILOMETRAJE!G$12,IF(G27=10,KILOMETRAJE!G$13,IF(G27=11,KILOMETRAJE!G$14,IF(G27=12,KILOMETRAJE!G$15,IF(G27=13,KILOMETRAJE!G$16,IF(G27=14,KILOMETRAJE!G$17,IF(G27=15,KILOMETRAJE!G$18,IF(G27=16,KILOMETRAJE!G$19,IF(G27=17,KILOMETRAJE!G$20,IF(G27=18,KILOMETRAJE!G$21,IF(G27=19,KILOMETRAJE!G$22,IF(G27=20,KILOMETRAJE!G$23,IF(G27=21,KILOMETRAJE!G$24,IF(G27=22,KILOMETRAJE!G$25,IF(G27=23,KILOMETRAJE!G$26,IF(G27=24,KILOMETRAJE!G$27,IF(G27=25,KILOMETRAJE!G$28,IF(G27=26,KILOMETRAJE!G$29,IF(G27=27,KILOMETRAJE!G$30,IF(G27=28,KILOMETRAJE!G$31,IF(G27=29,KILOMETRAJE!G$32,IF(G27=30,KILOMETRAJE!G$33,IF(G27=31,KILOMETRAJE!G$34,IF(G27=32,KILOMETRAJE!G$35,IF(G27=33,KILOMETRAJE!G$36,IF(G27=34,KILOMETRAJE!G$37,IF(G27=35,KILOMETRAJE!G$38,IF(G27=36,KILOMETRAJE!G$39,IF(G27=37,KILOMETRAJE!G$40,IF(G27=38,KILOMETRAJE!G$41,IF(G27=39,KILOMETRAJE!G$42,IF(G27=40,KILOMETRAJE!G$43,IF(G27=41,KILOMETRAJE!G$44,IF(G27=42,KILOMETRAJE!G$45,IF(G27=43,KILOMETRAJE!G$46,IF(G27=44,KILOMETRAJE!G$47,IF(G27=45,KILOMETRAJE!G$48,IF(G27=46,KILOMETRAJE!G$49,IF(G27=47,KILOMETRAJE!G$50,IF(G27=48,KILOMETRAJE!G$51,IF(G27=49,KILOMETRAJE!G$52,IF(G27=50,KILOMETRAJE!G$53,IF(G27=51,KILOMETRAJE!G$54,IF(G27=52,KILOMETRAJE!G$55,IF(G27=53,KILOMETRAJE!G$56,IF(G27=54,KILOMETRAJE!G$57,IF(G27=55,KILOMETRAJE!G$58,IF(G27=56,KILOMETRAJE!G$59,IF(G27=57,KILOMETRAJE!G$60,IF(G27=58,KILOMETRAJE!G$61,IF(G27=59,KILOMETRAJE!G$62,IF(G27=60,KILOMETRAJE!G$63,IF(G27=61,KILOMETRAJE!G$64,IF(G27=62,KILOMETRAJE!G$65,IF(G27=63,KILOMETRAJE!G$66)))))))))))))))))))))))))))))))))))))))))))))))))))))))))))))))</f>
        <v>375</v>
      </c>
      <c r="K27" s="24"/>
      <c r="L27" s="44"/>
      <c r="M27" s="348">
        <v>1699</v>
      </c>
      <c r="N27" s="24">
        <v>1</v>
      </c>
      <c r="O27" s="24" t="s">
        <v>570</v>
      </c>
      <c r="P27" s="24" t="s">
        <v>198</v>
      </c>
      <c r="Q27" s="45">
        <f t="shared" si="1"/>
        <v>109.99874999999999</v>
      </c>
      <c r="R27" s="191"/>
      <c r="S27" s="52"/>
      <c r="T27" s="455"/>
      <c r="U27" s="425"/>
      <c r="V27" s="425"/>
      <c r="W27" s="278"/>
      <c r="X27" s="278"/>
    </row>
    <row r="28" spans="2:24" ht="13.5" customHeight="1" thickBot="1" x14ac:dyDescent="0.25">
      <c r="C28" s="101"/>
      <c r="D28" s="62" t="s">
        <v>561</v>
      </c>
      <c r="E28" s="25">
        <v>45962</v>
      </c>
      <c r="F28" s="25">
        <v>45962</v>
      </c>
      <c r="G28" s="62">
        <v>3</v>
      </c>
      <c r="H28" s="26" t="str">
        <f>IF(G28=1,KILOMETRAJE!C$4,IF(G28=2,KILOMETRAJE!C$5,IF(G28=3,KILOMETRAJE!C$6,IF(G28=4,KILOMETRAJE!C$7,IF(G28=5,KILOMETRAJE!C$8,IF(G28=6,KILOMETRAJE!C$9,IF(G28=7,KILOMETRAJE!C$10,IF(G28=8,KILOMETRAJE!C$11,IF(G28=9,KILOMETRAJE!C$12,IF(G28=10,KILOMETRAJE!C$13,IF(G28=11,KILOMETRAJE!C$14,IF(G28=12,KILOMETRAJE!C$15,IF(G28=13,KILOMETRAJE!C$16,IF(G28=14,KILOMETRAJE!C$17,IF(G28=15,KILOMETRAJE!C$18,IF(G28=16,KILOMETRAJE!C$19,IF(G28=17,KILOMETRAJE!C$20,IF(G28=18,KILOMETRAJE!C$21,IF(G28=19,KILOMETRAJE!C$22,IF(G28=20,KILOMETRAJE!C$23,IF(G28=21,KILOMETRAJE!C$24,IF(G28=22,KILOMETRAJE!C$25,IF(G28=23,KILOMETRAJE!C$26,IF(G28=24,KILOMETRAJE!C$27,IF(G28=25,KILOMETRAJE!C$28,IF(G28=26,KILOMETRAJE!C$29,IF(G28=27,KILOMETRAJE!C$30,IF(G28=28,KILOMETRAJE!C$31,IF(G28=29,KILOMETRAJE!C$32,IF(G28=30,KILOMETRAJE!C$33,IF(G28=31,KILOMETRAJE!C$34,IF(G28=32,KILOMETRAJE!C$35,IF(G28=33,KILOMETRAJE!C$36,IF(G28=34,KILOMETRAJE!C$37,IF(G28=35,KILOMETRAJE!C$38,IF(G28=36,KILOMETRAJE!C$39,IF(G28=37,KILOMETRAJE!C$40,IF(G28=38,KILOMETRAJE!C$41,IF(G28=39,KILOMETRAJE!C$42,IF(G28=40,KILOMETRAJE!C$43,IF(G28=41,KILOMETRAJE!C$44,IF(G28=42,KILOMETRAJE!C$45,IF(G28=43,KILOMETRAJE!C$46,IF(G28=44,KILOMETRAJE!C$47,IF(G28=45,KILOMETRAJE!C$48,IF(G28=46,KILOMETRAJE!C$49,IF(G28=47,KILOMETRAJE!C$50,IF(G28=48,KILOMETRAJE!C$51,IF(G28=49,KILOMETRAJE!C$52,IF(G28=50,KILOMETRAJE!C$53,IF(G28=51,KILOMETRAJE!C$54,IF(G28=52,KILOMETRAJE!C$55,IF(G28=53,KILOMETRAJE!C$56,IF(G28=54,KILOMETRAJE!C$57,IF(G28=55,KILOMETRAJE!C$58,IF(G28=56,KILOMETRAJE!C$59,IF(G28=57,KILOMETRAJE!C$60,IF(G28=58,KILOMETRAJE!C$61,IF(G28=59,KILOMETRAJE!C$62,IF(G28=60,KILOMETRAJE!C$63,IF(G28=61,KILOMETRAJE!C$64,IF(G28=62,KILOMETRAJE!C$65,IF(G28=63,KILOMETRAJE!C$66)))))))))))))))))))))))))))))))))))))))))))))))))))))))))))))))</f>
        <v xml:space="preserve">CHIH. </v>
      </c>
      <c r="I28" s="27" t="str">
        <f>IF(G28=1,KILOMETRAJE!E$4,IF(G28=2,KILOMETRAJE!E$5,IF(G28=3,KILOMETRAJE!E$6,IF(G28=4,KILOMETRAJE!E$7,IF(G28=5,KILOMETRAJE!E$8,IF(G28=6,KILOMETRAJE!E$9,IF(G28=7,KILOMETRAJE!E$10,IF(G28=8,KILOMETRAJE!E$11,IF(G28=9,KILOMETRAJE!E$12,IF(G28=10,KILOMETRAJE!E$13,IF(G28=11,KILOMETRAJE!E$14,IF(G28=12,KILOMETRAJE!E$15,IF(G28=13,KILOMETRAJE!E$16,IF(G28=14,KILOMETRAJE!E$17,IF(G28=15,KILOMETRAJE!E$18,IF(G28=16,KILOMETRAJE!E$19,IF(G28=17,KILOMETRAJE!E$20,IF(G28=18,KILOMETRAJE!E$21,IF(G28=19,KILOMETRAJE!E$22,IF(G28=20,KILOMETRAJE!E$23,IF(G28=21,KILOMETRAJE!E$24,IF(G28=22,KILOMETRAJE!E$25,IF(G28=23,KILOMETRAJE!E$26,IF(G28=24,KILOMETRAJE!E$27,IF(G28=25,KILOMETRAJE!E$28,IF(G28=26,KILOMETRAJE!E$29,IF(G28=27,KILOMETRAJE!E$30,IF(G28=28,KILOMETRAJE!E$31,IF(G28=29,KILOMETRAJE!E$32,IF(G28=30,KILOMETRAJE!E$33,IF(G28=31,KILOMETRAJE!E$34,IF(G28=32,KILOMETRAJE!E$35,IF(G28=33,KILOMETRAJE!E$36,IF(G28=34,KILOMETRAJE!E$37,IF(G28=35,KILOMETRAJE!E$38,IF(G28=36,KILOMETRAJE!E$39,IF(G28=37,KILOMETRAJE!E$40,IF(G28=38,KILOMETRAJE!E$41,IF(G28=39,KILOMETRAJE!E$42,IF(G28=40,KILOMETRAJE!E$43,IF(G28=41,KILOMETRAJE!E$44,IF(G28=42,KILOMETRAJE!E$45,IF(G28=43,KILOMETRAJE!E$46,IF(G28=44,KILOMETRAJE!E$47,IF(G28=45,KILOMETRAJE!E$48,IF(G28=46,KILOMETRAJE!E$49,IF(G28=47,KILOMETRAJE!E$50,IF(G28=48,KILOMETRAJE!E$51,IF(G28=49,KILOMETRAJE!E$52,IF(G28=50,KILOMETRAJE!E$53,IF(G28=51,KILOMETRAJE!E$54,IF(G28=52,KILOMETRAJE!E$55,IF(G28=53,KILOMETRAJE!E$56,IF(G28=54,KILOMETRAJE!E$57,IF(G28=55,KILOMETRAJE!E$58,IF(G28=56,KILOMETRAJE!E$59,IF(G28=57,KILOMETRAJE!E$60,IF(G28=58,KILOMETRAJE!E$61,IF(G28=59,KILOMETRAJE!E$62,IF(G28=60,KILOMETRAJE!E$63,IF(G28=61,KILOMETRAJE!E$64,IF(G28=62,KILOMETRAJE!E$65,IF(G28=63,KILOMETRAJE!E$66)))))))))))))))))))))))))))))))))))))))))))))))))))))))))))))))</f>
        <v>JRZ</v>
      </c>
      <c r="J28" s="31">
        <f>IF(G28=1,KILOMETRAJE!G$4,IF(G28=2,KILOMETRAJE!G$5,IF(G28=3,KILOMETRAJE!G$6,IF(G28=4,KILOMETRAJE!G$7,IF(G28=5,KILOMETRAJE!G$8,IF(G28=6,KILOMETRAJE!G$9,IF(G28=7,KILOMETRAJE!G$10,IF(G28=8,KILOMETRAJE!G$11,IF(G28=9,KILOMETRAJE!G$12,IF(G28=10,KILOMETRAJE!G$13,IF(G28=11,KILOMETRAJE!G$14,IF(G28=12,KILOMETRAJE!G$15,IF(G28=13,KILOMETRAJE!G$16,IF(G28=14,KILOMETRAJE!G$17,IF(G28=15,KILOMETRAJE!G$18,IF(G28=16,KILOMETRAJE!G$19,IF(G28=17,KILOMETRAJE!G$20,IF(G28=18,KILOMETRAJE!G$21,IF(G28=19,KILOMETRAJE!G$22,IF(G28=20,KILOMETRAJE!G$23,IF(G28=21,KILOMETRAJE!G$24,IF(G28=22,KILOMETRAJE!G$25,IF(G28=23,KILOMETRAJE!G$26,IF(G28=24,KILOMETRAJE!G$27,IF(G28=25,KILOMETRAJE!G$28,IF(G28=26,KILOMETRAJE!G$29,IF(G28=27,KILOMETRAJE!G$30,IF(G28=28,KILOMETRAJE!G$31,IF(G28=29,KILOMETRAJE!G$32,IF(G28=30,KILOMETRAJE!G$33,IF(G28=31,KILOMETRAJE!G$34,IF(G28=32,KILOMETRAJE!G$35,IF(G28=33,KILOMETRAJE!G$36,IF(G28=34,KILOMETRAJE!G$37,IF(G28=35,KILOMETRAJE!G$38,IF(G28=36,KILOMETRAJE!G$39,IF(G28=37,KILOMETRAJE!G$40,IF(G28=38,KILOMETRAJE!G$41,IF(G28=39,KILOMETRAJE!G$42,IF(G28=40,KILOMETRAJE!G$43,IF(G28=41,KILOMETRAJE!G$44,IF(G28=42,KILOMETRAJE!G$45,IF(G28=43,KILOMETRAJE!G$46,IF(G28=44,KILOMETRAJE!G$47,IF(G28=45,KILOMETRAJE!G$48,IF(G28=46,KILOMETRAJE!G$49,IF(G28=47,KILOMETRAJE!G$50,IF(G28=48,KILOMETRAJE!G$51,IF(G28=49,KILOMETRAJE!G$52,IF(G28=50,KILOMETRAJE!G$53,IF(G28=51,KILOMETRAJE!G$54,IF(G28=52,KILOMETRAJE!G$55,IF(G28=53,KILOMETRAJE!G$56,IF(G28=54,KILOMETRAJE!G$57,IF(G28=55,KILOMETRAJE!G$58,IF(G28=56,KILOMETRAJE!G$59,IF(G28=57,KILOMETRAJE!G$60,IF(G28=58,KILOMETRAJE!G$61,IF(G28=59,KILOMETRAJE!G$62,IF(G28=60,KILOMETRAJE!G$63,IF(G28=61,KILOMETRAJE!G$64,IF(G28=62,KILOMETRAJE!G$65,IF(G28=63,KILOMETRAJE!G$66)))))))))))))))))))))))))))))))))))))))))))))))))))))))))))))))</f>
        <v>375</v>
      </c>
      <c r="K28" s="27">
        <v>185.09</v>
      </c>
      <c r="L28" s="28">
        <f>SUM(J27:J28)/K28</f>
        <v>4.0520827705440592</v>
      </c>
      <c r="M28" s="349">
        <v>18000</v>
      </c>
      <c r="N28" s="27">
        <v>1</v>
      </c>
      <c r="O28" s="319" t="s">
        <v>571</v>
      </c>
      <c r="P28" s="319" t="s">
        <v>195</v>
      </c>
      <c r="Q28" s="29">
        <f t="shared" si="1"/>
        <v>109.99874999999999</v>
      </c>
      <c r="R28" s="190">
        <f>+LOOKUP(P44,UNIDADES!B$3:B$59,UNIDADES!C$3:C$59)</f>
        <v>2.4509799999999999</v>
      </c>
      <c r="S28" s="19">
        <f>+((SUM(J27:J28))/R28)-K28</f>
        <v>120.91004896000786</v>
      </c>
      <c r="T28" s="456">
        <f>+S28*14.85</f>
        <v>1795.5142270561166</v>
      </c>
      <c r="U28" s="425"/>
      <c r="V28" s="425"/>
      <c r="W28" s="278"/>
      <c r="X28" s="278"/>
    </row>
    <row r="29" spans="2:24" x14ac:dyDescent="0.2">
      <c r="C29" s="176">
        <v>46193</v>
      </c>
      <c r="D29" s="43" t="s">
        <v>562</v>
      </c>
      <c r="E29" s="42">
        <v>45962</v>
      </c>
      <c r="F29" s="42">
        <v>45962</v>
      </c>
      <c r="G29" s="43">
        <v>2</v>
      </c>
      <c r="H29" s="65" t="str">
        <f>IF(G29=1,KILOMETRAJE!C$4,IF(G29=2,KILOMETRAJE!C$5,IF(G29=3,KILOMETRAJE!C$6,IF(G29=4,KILOMETRAJE!C$7,IF(G29=5,KILOMETRAJE!C$8,IF(G29=6,KILOMETRAJE!C$9,IF(G29=7,KILOMETRAJE!C$10,IF(G29=8,KILOMETRAJE!C$11,IF(G29=9,KILOMETRAJE!C$12,IF(G29=10,KILOMETRAJE!C$13,IF(G29=11,KILOMETRAJE!C$14,IF(G29=12,KILOMETRAJE!C$15,IF(G29=13,KILOMETRAJE!C$16,IF(G29=14,KILOMETRAJE!C$17,IF(G29=15,KILOMETRAJE!C$18,IF(G29=16,KILOMETRAJE!C$19,IF(G29=17,KILOMETRAJE!C$20,IF(G29=18,KILOMETRAJE!C$21,IF(G29=19,KILOMETRAJE!C$22,IF(G29=20,KILOMETRAJE!C$23,IF(G29=21,KILOMETRAJE!C$24,IF(G29=22,KILOMETRAJE!C$25,IF(G29=23,KILOMETRAJE!C$26,IF(G29=24,KILOMETRAJE!C$27,IF(G29=25,KILOMETRAJE!C$28,IF(G29=26,KILOMETRAJE!C$29,IF(G29=27,KILOMETRAJE!C$30,IF(G29=28,KILOMETRAJE!C$31,IF(G29=29,KILOMETRAJE!C$32,IF(G29=30,KILOMETRAJE!C$33,IF(G29=31,KILOMETRAJE!C$34,IF(G29=32,KILOMETRAJE!C$35,IF(G29=33,KILOMETRAJE!C$36,IF(G29=34,KILOMETRAJE!C$37,IF(G29=35,KILOMETRAJE!C$38,IF(G29=36,KILOMETRAJE!C$39,IF(G29=37,KILOMETRAJE!C$40,IF(G29=38,KILOMETRAJE!C$41,IF(G29=39,KILOMETRAJE!C$42,IF(G29=40,KILOMETRAJE!C$43,IF(G29=41,KILOMETRAJE!C$44,IF(G29=42,KILOMETRAJE!C$45,IF(G29=43,KILOMETRAJE!C$46,IF(G29=44,KILOMETRAJE!C$47,IF(G29=45,KILOMETRAJE!C$48,IF(G29=46,KILOMETRAJE!C$49,IF(G29=47,KILOMETRAJE!C$50,IF(G29=48,KILOMETRAJE!C$51,IF(G29=49,KILOMETRAJE!C$52,IF(G29=50,KILOMETRAJE!C$53,IF(G29=51,KILOMETRAJE!C$54,IF(G29=52,KILOMETRAJE!C$55,IF(G29=53,KILOMETRAJE!C$56,IF(G29=54,KILOMETRAJE!C$57,IF(G29=55,KILOMETRAJE!C$58,IF(G29=56,KILOMETRAJE!C$59,IF(G29=57,KILOMETRAJE!C$60,IF(G29=58,KILOMETRAJE!C$61,IF(G29=59,KILOMETRAJE!C$62,IF(G29=60,KILOMETRAJE!C$63,IF(G29=61,KILOMETRAJE!C$64,IF(G29=62,KILOMETRAJE!C$65,IF(G29=63,KILOMETRAJE!C$66)))))))))))))))))))))))))))))))))))))))))))))))))))))))))))))))</f>
        <v>JRZ</v>
      </c>
      <c r="I29" s="24" t="str">
        <f>IF(G29=1,KILOMETRAJE!E$4,IF(G29=2,KILOMETRAJE!E$5,IF(G29=3,KILOMETRAJE!E$6,IF(G29=4,KILOMETRAJE!E$7,IF(G29=5,KILOMETRAJE!E$8,IF(G29=6,KILOMETRAJE!E$9,IF(G29=7,KILOMETRAJE!E$10,IF(G29=8,KILOMETRAJE!E$11,IF(G29=9,KILOMETRAJE!E$12,IF(G29=10,KILOMETRAJE!E$13,IF(G29=11,KILOMETRAJE!E$14,IF(G29=12,KILOMETRAJE!E$15,IF(G29=13,KILOMETRAJE!E$16,IF(G29=14,KILOMETRAJE!E$17,IF(G29=15,KILOMETRAJE!E$18,IF(G29=16,KILOMETRAJE!E$19,IF(G29=17,KILOMETRAJE!E$20,IF(G29=18,KILOMETRAJE!E$21,IF(G29=19,KILOMETRAJE!E$22,IF(G29=20,KILOMETRAJE!E$23,IF(G29=21,KILOMETRAJE!E$24,IF(G29=22,KILOMETRAJE!E$25,IF(G29=23,KILOMETRAJE!E$26,IF(G29=24,KILOMETRAJE!E$27,IF(G29=25,KILOMETRAJE!E$28,IF(G29=26,KILOMETRAJE!E$29,IF(G29=27,KILOMETRAJE!E$30,IF(G29=28,KILOMETRAJE!E$31,IF(G29=29,KILOMETRAJE!E$32,IF(G29=30,KILOMETRAJE!E$33,IF(G29=31,KILOMETRAJE!E$34,IF(G29=32,KILOMETRAJE!E$35,IF(G29=33,KILOMETRAJE!E$36,IF(G29=34,KILOMETRAJE!E$37,IF(G29=35,KILOMETRAJE!E$38,IF(G29=36,KILOMETRAJE!E$39,IF(G29=37,KILOMETRAJE!E$40,IF(G29=38,KILOMETRAJE!E$41,IF(G29=39,KILOMETRAJE!E$42,IF(G29=40,KILOMETRAJE!E$43,IF(G29=41,KILOMETRAJE!E$44,IF(G29=42,KILOMETRAJE!E$45,IF(G29=43,KILOMETRAJE!E$46,IF(G29=44,KILOMETRAJE!E$47,IF(G29=45,KILOMETRAJE!E$48,IF(G29=46,KILOMETRAJE!E$49,IF(G29=47,KILOMETRAJE!E$50,IF(G29=48,KILOMETRAJE!E$51,IF(G29=49,KILOMETRAJE!E$52,IF(G29=50,KILOMETRAJE!E$53,IF(G29=51,KILOMETRAJE!E$54,IF(G29=52,KILOMETRAJE!E$55,IF(G29=53,KILOMETRAJE!E$56,IF(G29=54,KILOMETRAJE!E$57,IF(G29=55,KILOMETRAJE!E$58,IF(G29=56,KILOMETRAJE!E$59,IF(G29=57,KILOMETRAJE!E$60,IF(G29=58,KILOMETRAJE!E$61,IF(G29=59,KILOMETRAJE!E$62,IF(G29=60,KILOMETRAJE!E$63,IF(G29=61,KILOMETRAJE!E$64,IF(G29=62,KILOMETRAJE!E$65,IF(G29=63,KILOMETRAJE!E$66)))))))))))))))))))))))))))))))))))))))))))))))))))))))))))))))</f>
        <v>CHIH.</v>
      </c>
      <c r="J29" s="51">
        <f>IF(G29=1,KILOMETRAJE!G$4,IF(G29=2,KILOMETRAJE!G$5,IF(G29=3,KILOMETRAJE!G$6,IF(G29=4,KILOMETRAJE!G$7,IF(G29=5,KILOMETRAJE!G$8,IF(G29=6,KILOMETRAJE!G$9,IF(G29=7,KILOMETRAJE!G$10,IF(G29=8,KILOMETRAJE!G$11,IF(G29=9,KILOMETRAJE!G$12,IF(G29=10,KILOMETRAJE!G$13,IF(G29=11,KILOMETRAJE!G$14,IF(G29=12,KILOMETRAJE!G$15,IF(G29=13,KILOMETRAJE!G$16,IF(G29=14,KILOMETRAJE!G$17,IF(G29=15,KILOMETRAJE!G$18,IF(G29=16,KILOMETRAJE!G$19,IF(G29=17,KILOMETRAJE!G$20,IF(G29=18,KILOMETRAJE!G$21,IF(G29=19,KILOMETRAJE!G$22,IF(G29=20,KILOMETRAJE!G$23,IF(G29=21,KILOMETRAJE!G$24,IF(G29=22,KILOMETRAJE!G$25,IF(G29=23,KILOMETRAJE!G$26,IF(G29=24,KILOMETRAJE!G$27,IF(G29=25,KILOMETRAJE!G$28,IF(G29=26,KILOMETRAJE!G$29,IF(G29=27,KILOMETRAJE!G$30,IF(G29=28,KILOMETRAJE!G$31,IF(G29=29,KILOMETRAJE!G$32,IF(G29=30,KILOMETRAJE!G$33,IF(G29=31,KILOMETRAJE!G$34,IF(G29=32,KILOMETRAJE!G$35,IF(G29=33,KILOMETRAJE!G$36,IF(G29=34,KILOMETRAJE!G$37,IF(G29=35,KILOMETRAJE!G$38,IF(G29=36,KILOMETRAJE!G$39,IF(G29=37,KILOMETRAJE!G$40,IF(G29=38,KILOMETRAJE!G$41,IF(G29=39,KILOMETRAJE!G$42,IF(G29=40,KILOMETRAJE!G$43,IF(G29=41,KILOMETRAJE!G$44,IF(G29=42,KILOMETRAJE!G$45,IF(G29=43,KILOMETRAJE!G$46,IF(G29=44,KILOMETRAJE!G$47,IF(G29=45,KILOMETRAJE!G$48,IF(G29=46,KILOMETRAJE!G$49,IF(G29=47,KILOMETRAJE!G$50,IF(G29=48,KILOMETRAJE!G$51,IF(G29=49,KILOMETRAJE!G$52,IF(G29=50,KILOMETRAJE!G$53,IF(G29=51,KILOMETRAJE!G$54,IF(G29=52,KILOMETRAJE!G$55,IF(G29=53,KILOMETRAJE!G$56,IF(G29=54,KILOMETRAJE!G$57,IF(G29=55,KILOMETRAJE!G$58,IF(G29=56,KILOMETRAJE!G$59,IF(G29=57,KILOMETRAJE!G$60,IF(G29=58,KILOMETRAJE!G$61,IF(G29=59,KILOMETRAJE!G$62,IF(G29=60,KILOMETRAJE!G$63,IF(G29=61,KILOMETRAJE!G$64,IF(G29=62,KILOMETRAJE!G$65,IF(G29=63,KILOMETRAJE!G$66)))))))))))))))))))))))))))))))))))))))))))))))))))))))))))))))</f>
        <v>375</v>
      </c>
      <c r="K29" s="24"/>
      <c r="L29" s="44"/>
      <c r="M29" s="348"/>
      <c r="N29" s="24">
        <v>3</v>
      </c>
      <c r="O29" s="24"/>
      <c r="P29" s="24" t="s">
        <v>202</v>
      </c>
      <c r="Q29" s="45">
        <f t="shared" si="1"/>
        <v>54.999749999999999</v>
      </c>
      <c r="R29" s="191"/>
      <c r="S29" s="52"/>
      <c r="T29" s="455"/>
      <c r="U29" s="11"/>
      <c r="V29" s="11"/>
    </row>
    <row r="30" spans="2:24" ht="13.5" customHeight="1" thickBot="1" x14ac:dyDescent="0.25">
      <c r="B30" s="14" t="s">
        <v>553</v>
      </c>
      <c r="C30" s="101"/>
      <c r="D30" s="62" t="s">
        <v>563</v>
      </c>
      <c r="E30" s="25">
        <v>45962</v>
      </c>
      <c r="F30" s="25">
        <v>45963</v>
      </c>
      <c r="G30" s="62">
        <v>3</v>
      </c>
      <c r="H30" s="27" t="str">
        <f>IF(G30=1,KILOMETRAJE!C$4,IF(G30=2,KILOMETRAJE!C$5,IF(G30=3,KILOMETRAJE!C$6,IF(G30=4,KILOMETRAJE!C$7,IF(G30=5,KILOMETRAJE!C$8,IF(G30=6,KILOMETRAJE!C$9,IF(G30=7,KILOMETRAJE!C$10,IF(G30=8,KILOMETRAJE!C$11,IF(G30=9,KILOMETRAJE!C$12,IF(G30=10,KILOMETRAJE!C$13,IF(G30=11,KILOMETRAJE!C$14,IF(G30=12,KILOMETRAJE!C$15,IF(G30=13,KILOMETRAJE!C$16,IF(G30=14,KILOMETRAJE!C$17,IF(G30=15,KILOMETRAJE!C$18,IF(G30=16,KILOMETRAJE!C$19,IF(G30=17,KILOMETRAJE!C$20,IF(G30=18,KILOMETRAJE!C$21,IF(G30=19,KILOMETRAJE!C$22,IF(G30=20,KILOMETRAJE!C$23,IF(G30=21,KILOMETRAJE!C$24,IF(G30=22,KILOMETRAJE!C$25,IF(G30=23,KILOMETRAJE!C$26,IF(G30=24,KILOMETRAJE!C$27,IF(G30=25,KILOMETRAJE!C$28,IF(G30=26,KILOMETRAJE!C$29,IF(G30=27,KILOMETRAJE!C$30,IF(G30=28,KILOMETRAJE!C$31,IF(G30=29,KILOMETRAJE!C$32,IF(G30=30,KILOMETRAJE!C$33,IF(G30=31,KILOMETRAJE!C$34,IF(G30=32,KILOMETRAJE!C$35,IF(G30=33,KILOMETRAJE!C$36,IF(G30=34,KILOMETRAJE!C$37,IF(G30=35,KILOMETRAJE!C$38,IF(G30=36,KILOMETRAJE!C$39,IF(G30=37,KILOMETRAJE!C$40,IF(G30=38,KILOMETRAJE!C$41,IF(G30=39,KILOMETRAJE!C$42,IF(G30=40,KILOMETRAJE!C$43,IF(G30=41,KILOMETRAJE!C$44,IF(G30=42,KILOMETRAJE!C$45,IF(G30=43,KILOMETRAJE!C$46,IF(G30=44,KILOMETRAJE!C$47,IF(G30=45,KILOMETRAJE!C$48,IF(G30=46,KILOMETRAJE!C$49,IF(G30=47,KILOMETRAJE!C$50,IF(G30=48,KILOMETRAJE!C$51,IF(G30=49,KILOMETRAJE!C$52,IF(G30=50,KILOMETRAJE!C$53,IF(G30=51,KILOMETRAJE!C$54,IF(G30=52,KILOMETRAJE!C$55,IF(G30=53,KILOMETRAJE!C$56,IF(G30=54,KILOMETRAJE!C$57,IF(G30=55,KILOMETRAJE!C$58,IF(G30=56,KILOMETRAJE!C$59,IF(G30=57,KILOMETRAJE!C$60,IF(G30=58,KILOMETRAJE!C$61,IF(G30=59,KILOMETRAJE!C$62,IF(G30=60,KILOMETRAJE!C$63,IF(G30=61,KILOMETRAJE!C$64,IF(G30=62,KILOMETRAJE!C$65,IF(G30=63,KILOMETRAJE!C$66)))))))))))))))))))))))))))))))))))))))))))))))))))))))))))))))</f>
        <v xml:space="preserve">CHIH. </v>
      </c>
      <c r="I30" s="27" t="str">
        <f>IF(G30=1,KILOMETRAJE!E$4,IF(G30=2,KILOMETRAJE!E$5,IF(G30=3,KILOMETRAJE!E$6,IF(G30=4,KILOMETRAJE!E$7,IF(G30=5,KILOMETRAJE!E$8,IF(G30=6,KILOMETRAJE!E$9,IF(G30=7,KILOMETRAJE!E$10,IF(G30=8,KILOMETRAJE!E$11,IF(G30=9,KILOMETRAJE!E$12,IF(G30=10,KILOMETRAJE!E$13,IF(G30=11,KILOMETRAJE!E$14,IF(G30=12,KILOMETRAJE!E$15,IF(G30=13,KILOMETRAJE!E$16,IF(G30=14,KILOMETRAJE!E$17,IF(G30=15,KILOMETRAJE!E$18,IF(G30=16,KILOMETRAJE!E$19,IF(G30=17,KILOMETRAJE!E$20,IF(G30=18,KILOMETRAJE!E$21,IF(G30=19,KILOMETRAJE!E$22,IF(G30=20,KILOMETRAJE!E$23,IF(G30=21,KILOMETRAJE!E$24,IF(G30=22,KILOMETRAJE!E$25,IF(G30=23,KILOMETRAJE!E$26,IF(G30=24,KILOMETRAJE!E$27,IF(G30=25,KILOMETRAJE!E$28,IF(G30=26,KILOMETRAJE!E$29,IF(G30=27,KILOMETRAJE!E$30,IF(G30=28,KILOMETRAJE!E$31,IF(G30=29,KILOMETRAJE!E$32,IF(G30=30,KILOMETRAJE!E$33,IF(G30=31,KILOMETRAJE!E$34,IF(G30=32,KILOMETRAJE!E$35,IF(G30=33,KILOMETRAJE!E$36,IF(G30=34,KILOMETRAJE!E$37,IF(G30=35,KILOMETRAJE!E$38,IF(G30=36,KILOMETRAJE!E$39,IF(G30=37,KILOMETRAJE!E$40,IF(G30=38,KILOMETRAJE!E$41,IF(G30=39,KILOMETRAJE!E$42,IF(G30=40,KILOMETRAJE!E$43,IF(G30=41,KILOMETRAJE!E$44,IF(G30=42,KILOMETRAJE!E$45,IF(G30=43,KILOMETRAJE!E$46,IF(G30=44,KILOMETRAJE!E$47,IF(G30=45,KILOMETRAJE!E$48,IF(G30=46,KILOMETRAJE!E$49,IF(G30=47,KILOMETRAJE!E$50,IF(G30=48,KILOMETRAJE!E$51,IF(G30=49,KILOMETRAJE!E$52,IF(G30=50,KILOMETRAJE!E$53,IF(G30=51,KILOMETRAJE!E$54,IF(G30=52,KILOMETRAJE!E$55,IF(G30=53,KILOMETRAJE!E$56,IF(G30=54,KILOMETRAJE!E$57,IF(G30=55,KILOMETRAJE!E$58,IF(G30=56,KILOMETRAJE!E$59,IF(G30=57,KILOMETRAJE!E$60,IF(G30=58,KILOMETRAJE!E$61,IF(G30=59,KILOMETRAJE!E$62,IF(G30=60,KILOMETRAJE!E$63,IF(G30=61,KILOMETRAJE!E$64,IF(G30=62,KILOMETRAJE!E$65,IF(G30=63,KILOMETRAJE!E$66)))))))))))))))))))))))))))))))))))))))))))))))))))))))))))))))</f>
        <v>JRZ</v>
      </c>
      <c r="J30" s="31">
        <f>IF(G30=1,KILOMETRAJE!G$4,IF(G30=2,KILOMETRAJE!G$5,IF(G30=3,KILOMETRAJE!G$6,IF(G30=4,KILOMETRAJE!G$7,IF(G30=5,KILOMETRAJE!G$8,IF(G30=6,KILOMETRAJE!G$9,IF(G30=7,KILOMETRAJE!G$10,IF(G30=8,KILOMETRAJE!G$11,IF(G30=9,KILOMETRAJE!G$12,IF(G30=10,KILOMETRAJE!G$13,IF(G30=11,KILOMETRAJE!G$14,IF(G30=12,KILOMETRAJE!G$15,IF(G30=13,KILOMETRAJE!G$16,IF(G30=14,KILOMETRAJE!G$17,IF(G30=15,KILOMETRAJE!G$18,IF(G30=16,KILOMETRAJE!G$19,IF(G30=17,KILOMETRAJE!G$20,IF(G30=18,KILOMETRAJE!G$21,IF(G30=19,KILOMETRAJE!G$22,IF(G30=20,KILOMETRAJE!G$23,IF(G30=21,KILOMETRAJE!G$24,IF(G30=22,KILOMETRAJE!G$25,IF(G30=23,KILOMETRAJE!G$26,IF(G30=24,KILOMETRAJE!G$27,IF(G30=25,KILOMETRAJE!G$28,IF(G30=26,KILOMETRAJE!G$29,IF(G30=27,KILOMETRAJE!G$30,IF(G30=28,KILOMETRAJE!G$31,IF(G30=29,KILOMETRAJE!G$32,IF(G30=30,KILOMETRAJE!G$33,IF(G30=31,KILOMETRAJE!G$34,IF(G30=32,KILOMETRAJE!G$35,IF(G30=33,KILOMETRAJE!G$36,IF(G30=34,KILOMETRAJE!G$37,IF(G30=35,KILOMETRAJE!G$38,IF(G30=36,KILOMETRAJE!G$39,IF(G30=37,KILOMETRAJE!G$40,IF(G30=38,KILOMETRAJE!G$41,IF(G30=39,KILOMETRAJE!G$42,IF(G30=40,KILOMETRAJE!G$43,IF(G30=41,KILOMETRAJE!G$44,IF(G30=42,KILOMETRAJE!G$45,IF(G30=43,KILOMETRAJE!G$46,IF(G30=44,KILOMETRAJE!G$47,IF(G30=45,KILOMETRAJE!G$48,IF(G30=46,KILOMETRAJE!G$49,IF(G30=47,KILOMETRAJE!G$50,IF(G30=48,KILOMETRAJE!G$51,IF(G30=49,KILOMETRAJE!G$52,IF(G30=50,KILOMETRAJE!G$53,IF(G30=51,KILOMETRAJE!G$54,IF(G30=52,KILOMETRAJE!G$55,IF(G30=53,KILOMETRAJE!G$56,IF(G30=54,KILOMETRAJE!G$57,IF(G30=55,KILOMETRAJE!G$58,IF(G30=56,KILOMETRAJE!G$59,IF(G30=57,KILOMETRAJE!G$60,IF(G30=58,KILOMETRAJE!G$61,IF(G30=59,KILOMETRAJE!G$62,IF(G30=60,KILOMETRAJE!G$63,IF(G30=61,KILOMETRAJE!G$64,IF(G30=62,KILOMETRAJE!G$65,IF(G30=63,KILOMETRAJE!G$66)))))))))))))))))))))))))))))))))))))))))))))))))))))))))))))))</f>
        <v>375</v>
      </c>
      <c r="K30" s="27">
        <v>160</v>
      </c>
      <c r="L30" s="112">
        <f>SUM(J29:J30)/K30</f>
        <v>4.6875</v>
      </c>
      <c r="M30" s="349">
        <v>3000</v>
      </c>
      <c r="N30" s="27">
        <v>1</v>
      </c>
      <c r="O30" s="27" t="s">
        <v>479</v>
      </c>
      <c r="P30" s="27" t="s">
        <v>198</v>
      </c>
      <c r="Q30" s="29">
        <f t="shared" si="1"/>
        <v>109.99874999999999</v>
      </c>
      <c r="R30" s="190">
        <f>+LOOKUP(P45,UNIDADES!B$3:B$59,UNIDADES!C$3:C$59)</f>
        <v>2.4509799999999999</v>
      </c>
      <c r="S30" s="19">
        <f>+((SUM(J29:J30))/R30)-K30</f>
        <v>146.00004896000786</v>
      </c>
      <c r="T30" s="456">
        <f>+S30*14.85</f>
        <v>2168.1007270561167</v>
      </c>
      <c r="U30" s="11"/>
      <c r="V30" s="11"/>
    </row>
    <row r="31" spans="2:24" hidden="1" x14ac:dyDescent="0.2">
      <c r="C31" s="238"/>
      <c r="D31" s="36"/>
      <c r="E31" s="37"/>
      <c r="F31" s="37"/>
      <c r="G31" s="36"/>
      <c r="H31" s="38"/>
      <c r="I31" s="38"/>
      <c r="J31" s="39"/>
      <c r="K31" s="38"/>
      <c r="L31" s="201"/>
      <c r="M31" s="348"/>
      <c r="N31" s="38"/>
      <c r="O31" s="38"/>
      <c r="P31" s="38"/>
      <c r="Q31" s="40"/>
      <c r="R31" s="192"/>
      <c r="S31" s="186"/>
      <c r="T31" s="458"/>
      <c r="U31" s="11"/>
      <c r="V31" s="11"/>
    </row>
    <row r="32" spans="2:24" ht="13.5" hidden="1" customHeight="1" thickBot="1" x14ac:dyDescent="0.25">
      <c r="C32" s="101"/>
      <c r="D32" s="62"/>
      <c r="E32" s="25"/>
      <c r="F32" s="25"/>
      <c r="G32" s="62"/>
      <c r="H32" s="27"/>
      <c r="I32" s="27"/>
      <c r="J32" s="31"/>
      <c r="K32" s="27"/>
      <c r="L32" s="112"/>
      <c r="M32" s="349"/>
      <c r="N32" s="27"/>
      <c r="O32" s="27"/>
      <c r="P32" s="27"/>
      <c r="Q32" s="29"/>
      <c r="R32" s="190"/>
      <c r="S32" s="19"/>
      <c r="T32" s="456"/>
      <c r="U32" s="11"/>
      <c r="V32" s="11"/>
    </row>
    <row r="33" spans="3:23" ht="12.75" thickBot="1" x14ac:dyDescent="0.25">
      <c r="G33" s="14" t="s">
        <v>181</v>
      </c>
      <c r="I33" s="15"/>
      <c r="R33" s="193"/>
      <c r="S33" s="15"/>
    </row>
    <row r="34" spans="3:23" x14ac:dyDescent="0.2">
      <c r="E34" s="629" t="s">
        <v>34</v>
      </c>
      <c r="F34" s="646">
        <f>+'AGUILAR ESQUIVEL CARLOS'!F34</f>
        <v>45957</v>
      </c>
      <c r="G34" s="647"/>
      <c r="H34" s="16">
        <f>+F34+1</f>
        <v>45958</v>
      </c>
      <c r="I34" s="16">
        <f>+H34+1</f>
        <v>45959</v>
      </c>
      <c r="J34" s="16">
        <f>+I34+1</f>
        <v>45960</v>
      </c>
      <c r="K34" s="16">
        <f>+J34+1</f>
        <v>45961</v>
      </c>
      <c r="L34" s="16">
        <f>+K34+2</f>
        <v>45963</v>
      </c>
      <c r="M34" s="17" t="s">
        <v>35</v>
      </c>
    </row>
    <row r="35" spans="3:23" ht="12.75" thickBot="1" x14ac:dyDescent="0.25">
      <c r="E35" s="630"/>
      <c r="F35" s="648"/>
      <c r="G35" s="649"/>
      <c r="H35" s="29"/>
      <c r="I35" s="29"/>
      <c r="J35" s="29"/>
      <c r="K35" s="29"/>
      <c r="L35" s="29"/>
      <c r="M35" s="30">
        <f>SUM(F35:L35)</f>
        <v>0</v>
      </c>
    </row>
    <row r="36" spans="3:23" ht="12.75" thickBot="1" x14ac:dyDescent="0.25">
      <c r="I36" s="15"/>
    </row>
    <row r="37" spans="3:23" ht="13.5" thickBot="1" x14ac:dyDescent="0.25">
      <c r="C37" s="608" t="s">
        <v>36</v>
      </c>
      <c r="D37" s="609"/>
      <c r="E37" s="609"/>
      <c r="F37" s="609"/>
      <c r="G37" s="610"/>
      <c r="I37" s="620" t="s">
        <v>37</v>
      </c>
      <c r="J37" s="621"/>
      <c r="K37" s="621"/>
      <c r="L37" s="622"/>
      <c r="M37" s="298"/>
      <c r="O37" s="611" t="s">
        <v>38</v>
      </c>
      <c r="P37" s="612"/>
      <c r="Q37" s="613">
        <f>+F49-L46</f>
        <v>13456.223410807106</v>
      </c>
      <c r="R37" s="614"/>
      <c r="S37" s="615"/>
      <c r="T37" s="244"/>
    </row>
    <row r="38" spans="3:23" ht="12.75" thickBot="1" x14ac:dyDescent="0.25">
      <c r="C38" s="616" t="s">
        <v>219</v>
      </c>
      <c r="D38" s="617"/>
      <c r="E38" s="617"/>
      <c r="F38" s="618">
        <f>SUM(Q18:Q33)</f>
        <v>1209.9869999999999</v>
      </c>
      <c r="G38" s="619"/>
      <c r="I38" s="114" t="s">
        <v>125</v>
      </c>
      <c r="J38" s="68" t="s">
        <v>126</v>
      </c>
      <c r="K38" s="68" t="s">
        <v>70</v>
      </c>
      <c r="L38" s="115" t="s">
        <v>127</v>
      </c>
      <c r="M38" s="346"/>
    </row>
    <row r="39" spans="3:23" ht="13.5" customHeight="1" thickBot="1" x14ac:dyDescent="0.25">
      <c r="C39" s="602" t="s">
        <v>220</v>
      </c>
      <c r="D39" s="603"/>
      <c r="E39" s="603"/>
      <c r="F39" s="604">
        <f>SUM(T18:T33)</f>
        <v>10946.236410807107</v>
      </c>
      <c r="G39" s="605"/>
      <c r="I39" s="662"/>
      <c r="J39" s="665"/>
      <c r="K39" s="43"/>
      <c r="L39" s="119"/>
      <c r="M39" s="346"/>
      <c r="O39" s="74" t="s">
        <v>70</v>
      </c>
      <c r="P39" s="75" t="s">
        <v>71</v>
      </c>
      <c r="Q39" s="76" t="s">
        <v>72</v>
      </c>
      <c r="R39" s="64"/>
      <c r="S39" s="77" t="s">
        <v>73</v>
      </c>
      <c r="T39" s="75" t="s">
        <v>74</v>
      </c>
      <c r="U39" s="74" t="s">
        <v>145</v>
      </c>
      <c r="V39" s="75" t="s">
        <v>146</v>
      </c>
      <c r="W39" s="75" t="s">
        <v>284</v>
      </c>
    </row>
    <row r="40" spans="3:23" x14ac:dyDescent="0.2">
      <c r="C40" s="602" t="s">
        <v>34</v>
      </c>
      <c r="D40" s="603"/>
      <c r="E40" s="603"/>
      <c r="F40" s="604">
        <f>+M35</f>
        <v>0</v>
      </c>
      <c r="G40" s="605"/>
      <c r="I40" s="94"/>
      <c r="J40" s="117"/>
      <c r="K40" s="61"/>
      <c r="L40" s="111"/>
      <c r="M40" s="346"/>
      <c r="O40" s="78">
        <v>46491</v>
      </c>
      <c r="P40" s="79" t="s">
        <v>572</v>
      </c>
      <c r="Q40" s="80">
        <v>129840</v>
      </c>
      <c r="R40" s="80"/>
      <c r="S40" s="24">
        <v>130622</v>
      </c>
      <c r="T40" s="79">
        <f t="shared" ref="T40" si="2">+S40-Q40</f>
        <v>782</v>
      </c>
      <c r="U40" s="137">
        <f>SUM(J19:J20)</f>
        <v>800</v>
      </c>
      <c r="V40" s="79">
        <f>+K20</f>
        <v>194</v>
      </c>
      <c r="W40" s="353">
        <f>(SUM(M19:M20)/2)</f>
        <v>1500</v>
      </c>
    </row>
    <row r="41" spans="3:23" x14ac:dyDescent="0.2">
      <c r="C41" s="602" t="s">
        <v>186</v>
      </c>
      <c r="D41" s="603"/>
      <c r="E41" s="603"/>
      <c r="F41" s="604"/>
      <c r="G41" s="605"/>
      <c r="I41" s="94"/>
      <c r="J41" s="117"/>
      <c r="K41" s="61"/>
      <c r="L41" s="111"/>
      <c r="M41" s="346"/>
      <c r="O41" s="32">
        <v>46107</v>
      </c>
      <c r="P41" s="53" t="s">
        <v>572</v>
      </c>
      <c r="Q41" s="63">
        <v>130622</v>
      </c>
      <c r="R41" s="63"/>
      <c r="S41" s="11">
        <v>131353</v>
      </c>
      <c r="T41" s="53">
        <f>+S41-Q41</f>
        <v>731</v>
      </c>
      <c r="U41" s="136">
        <f>SUM(J21:J22)</f>
        <v>750</v>
      </c>
      <c r="V41" s="53">
        <f>+K22</f>
        <v>190</v>
      </c>
      <c r="W41" s="354">
        <f>(SUM(M21:M22)/2)</f>
        <v>1615.5</v>
      </c>
    </row>
    <row r="42" spans="3:23" x14ac:dyDescent="0.2">
      <c r="C42" s="602" t="s">
        <v>39</v>
      </c>
      <c r="D42" s="603"/>
      <c r="E42" s="603"/>
      <c r="F42" s="604"/>
      <c r="G42" s="605"/>
      <c r="I42" s="94"/>
      <c r="J42" s="117"/>
      <c r="K42" s="61"/>
      <c r="L42" s="111"/>
      <c r="M42" s="346"/>
      <c r="O42" s="32">
        <v>46133</v>
      </c>
      <c r="P42" s="53" t="s">
        <v>572</v>
      </c>
      <c r="Q42" s="63">
        <v>131353</v>
      </c>
      <c r="R42" s="63"/>
      <c r="S42" s="11">
        <v>132102</v>
      </c>
      <c r="T42" s="53">
        <f t="shared" ref="T42:T46" si="3">+S42-Q42</f>
        <v>749</v>
      </c>
      <c r="U42" s="136">
        <f>SUM(J23:J24)</f>
        <v>750</v>
      </c>
      <c r="V42" s="53">
        <f>+K24</f>
        <v>190.18</v>
      </c>
      <c r="W42" s="354">
        <f>(SUM(M23:M24)/2)</f>
        <v>3050</v>
      </c>
    </row>
    <row r="43" spans="3:23" x14ac:dyDescent="0.2">
      <c r="C43" s="602" t="s">
        <v>116</v>
      </c>
      <c r="D43" s="603"/>
      <c r="E43" s="603"/>
      <c r="F43" s="604">
        <v>1250</v>
      </c>
      <c r="G43" s="605"/>
      <c r="I43" s="94"/>
      <c r="J43" s="117"/>
      <c r="K43" s="61"/>
      <c r="L43" s="111"/>
      <c r="M43" s="346"/>
      <c r="O43" s="32">
        <v>46156</v>
      </c>
      <c r="P43" s="53" t="s">
        <v>572</v>
      </c>
      <c r="Q43" s="63">
        <v>132102</v>
      </c>
      <c r="R43" s="63"/>
      <c r="S43" s="11">
        <v>132833</v>
      </c>
      <c r="T43" s="53">
        <f t="shared" ref="T43" si="4">+S43-Q43</f>
        <v>731</v>
      </c>
      <c r="U43" s="136">
        <f>SUM(J25:J26)</f>
        <v>750</v>
      </c>
      <c r="V43" s="53">
        <f>+K26</f>
        <v>200.01</v>
      </c>
      <c r="W43" s="354">
        <f>(SUM(M25:M26)/2)</f>
        <v>628</v>
      </c>
    </row>
    <row r="44" spans="3:23" x14ac:dyDescent="0.2">
      <c r="C44" s="602" t="s">
        <v>40</v>
      </c>
      <c r="D44" s="603"/>
      <c r="E44" s="603"/>
      <c r="F44" s="604">
        <v>50</v>
      </c>
      <c r="G44" s="605"/>
      <c r="I44" s="94"/>
      <c r="J44" s="117"/>
      <c r="K44" s="61"/>
      <c r="L44" s="111"/>
      <c r="M44" s="346"/>
      <c r="O44" s="32">
        <v>46175</v>
      </c>
      <c r="P44" s="53" t="s">
        <v>572</v>
      </c>
      <c r="Q44" s="63">
        <v>132883</v>
      </c>
      <c r="R44" s="63"/>
      <c r="S44" s="11">
        <v>133553</v>
      </c>
      <c r="T44" s="53">
        <f t="shared" ref="T44" si="5">+S44-Q44</f>
        <v>670</v>
      </c>
      <c r="U44" s="136">
        <f>SUM(J27:J28)</f>
        <v>750</v>
      </c>
      <c r="V44" s="53">
        <f>+K28</f>
        <v>185.09</v>
      </c>
      <c r="W44" s="354">
        <f>(SUM(M27:M28)/2)</f>
        <v>9849.5</v>
      </c>
    </row>
    <row r="45" spans="3:23" ht="12.75" thickBot="1" x14ac:dyDescent="0.25">
      <c r="C45" s="602" t="s">
        <v>124</v>
      </c>
      <c r="D45" s="603"/>
      <c r="E45" s="603"/>
      <c r="F45" s="604"/>
      <c r="G45" s="605"/>
      <c r="I45" s="282"/>
      <c r="J45" s="285"/>
      <c r="K45" s="62"/>
      <c r="L45" s="283"/>
      <c r="M45" s="346"/>
      <c r="O45" s="32">
        <v>46193</v>
      </c>
      <c r="P45" s="53" t="s">
        <v>572</v>
      </c>
      <c r="Q45" s="63">
        <v>133553</v>
      </c>
      <c r="R45" s="95"/>
      <c r="S45" s="11">
        <v>134295</v>
      </c>
      <c r="T45" s="53">
        <f t="shared" si="3"/>
        <v>742</v>
      </c>
      <c r="U45" s="136">
        <f>SUM(J29:J30)</f>
        <v>750</v>
      </c>
      <c r="V45" s="53">
        <f>+K30</f>
        <v>160</v>
      </c>
      <c r="W45" s="354">
        <f>(SUM(M29:M30)/2)</f>
        <v>1500</v>
      </c>
    </row>
    <row r="46" spans="3:23" ht="13.5" customHeight="1" thickBot="1" x14ac:dyDescent="0.25">
      <c r="C46" s="602" t="s">
        <v>224</v>
      </c>
      <c r="D46" s="603"/>
      <c r="E46" s="603"/>
      <c r="F46" s="606">
        <v>0</v>
      </c>
      <c r="G46" s="607"/>
      <c r="I46" s="597" t="s">
        <v>41</v>
      </c>
      <c r="J46" s="598"/>
      <c r="K46" s="632"/>
      <c r="L46" s="284">
        <f>SUM(L39:L45)</f>
        <v>0</v>
      </c>
      <c r="M46" s="347"/>
      <c r="O46" s="113"/>
      <c r="P46" s="264"/>
      <c r="Q46" s="265"/>
      <c r="R46" s="83"/>
      <c r="S46" s="81"/>
      <c r="T46" s="82">
        <f t="shared" si="3"/>
        <v>0</v>
      </c>
      <c r="U46" s="138">
        <f>SUM(J31:J32)</f>
        <v>0</v>
      </c>
      <c r="V46" s="55">
        <f>+K32</f>
        <v>0</v>
      </c>
      <c r="W46" s="355">
        <f>(SUM(M31:M32)/2)</f>
        <v>0</v>
      </c>
    </row>
    <row r="47" spans="3:23" ht="13.5" customHeight="1" x14ac:dyDescent="0.2">
      <c r="C47" s="602" t="s">
        <v>243</v>
      </c>
      <c r="D47" s="603"/>
      <c r="E47" s="603"/>
      <c r="F47" s="606"/>
      <c r="G47" s="607"/>
      <c r="R47" s="21"/>
      <c r="S47" s="21"/>
      <c r="T47" s="21"/>
      <c r="U47" s="139"/>
      <c r="V47" s="271"/>
    </row>
    <row r="48" spans="3:23" ht="13.5" customHeight="1" thickBot="1" x14ac:dyDescent="0.25">
      <c r="C48" s="593" t="s">
        <v>315</v>
      </c>
      <c r="D48" s="594"/>
      <c r="E48" s="594"/>
      <c r="F48" s="595"/>
      <c r="G48" s="596"/>
      <c r="R48" s="21"/>
      <c r="S48" s="21"/>
      <c r="T48" s="21"/>
      <c r="U48" s="139"/>
      <c r="V48" s="271"/>
    </row>
    <row r="49" spans="3:22" ht="13.5" thickBot="1" x14ac:dyDescent="0.25">
      <c r="C49" s="597" t="s">
        <v>42</v>
      </c>
      <c r="D49" s="598"/>
      <c r="E49" s="599"/>
      <c r="F49" s="600">
        <f>SUM(F38:G48)</f>
        <v>13456.223410807106</v>
      </c>
      <c r="G49" s="601"/>
      <c r="H49" s="120"/>
      <c r="R49" s="21"/>
      <c r="S49" s="21"/>
      <c r="T49" s="21"/>
      <c r="U49" s="139"/>
      <c r="V49" s="271"/>
    </row>
    <row r="50" spans="3:22" ht="13.5" customHeight="1" thickBot="1" x14ac:dyDescent="0.25">
      <c r="P50" s="588" t="s">
        <v>48</v>
      </c>
      <c r="Q50" s="589"/>
      <c r="R50" s="590"/>
      <c r="S50" s="21"/>
      <c r="T50" s="21"/>
      <c r="U50" s="139"/>
      <c r="V50" s="271"/>
    </row>
    <row r="51" spans="3:22" ht="12.75" customHeight="1" x14ac:dyDescent="0.2">
      <c r="C51" s="246" t="s">
        <v>43</v>
      </c>
      <c r="D51" s="247"/>
      <c r="E51" s="247"/>
      <c r="F51" s="247"/>
      <c r="G51" s="247"/>
      <c r="H51" s="247"/>
      <c r="I51" s="247"/>
      <c r="J51" s="247"/>
      <c r="K51" s="247"/>
      <c r="L51" s="248"/>
      <c r="M51" s="251"/>
      <c r="P51" s="78">
        <v>1</v>
      </c>
      <c r="Q51" s="584" t="s">
        <v>49</v>
      </c>
      <c r="R51" s="585"/>
      <c r="S51" s="21"/>
      <c r="T51" s="21"/>
      <c r="U51" s="249"/>
    </row>
    <row r="52" spans="3:22" ht="12.75" customHeight="1" x14ac:dyDescent="0.2">
      <c r="C52" s="250"/>
      <c r="D52" s="251"/>
      <c r="E52" s="251"/>
      <c r="F52" s="251"/>
      <c r="G52" s="251"/>
      <c r="H52" s="251"/>
      <c r="I52" s="251"/>
      <c r="J52" s="251"/>
      <c r="K52" s="251"/>
      <c r="L52" s="252"/>
      <c r="M52" s="251"/>
      <c r="P52" s="32">
        <v>2</v>
      </c>
      <c r="Q52" s="586" t="s">
        <v>135</v>
      </c>
      <c r="R52" s="587"/>
      <c r="S52" s="21"/>
      <c r="T52" s="249"/>
    </row>
    <row r="53" spans="3:22" ht="12.75" thickBot="1" x14ac:dyDescent="0.25">
      <c r="C53" s="253"/>
      <c r="D53" s="254"/>
      <c r="E53" s="254"/>
      <c r="F53" s="254"/>
      <c r="G53" s="254"/>
      <c r="H53" s="254"/>
      <c r="I53" s="254"/>
      <c r="J53" s="254"/>
      <c r="K53" s="254"/>
      <c r="L53" s="255"/>
      <c r="M53" s="251"/>
      <c r="P53" s="32">
        <v>3</v>
      </c>
      <c r="Q53" s="586" t="s">
        <v>130</v>
      </c>
      <c r="R53" s="587"/>
      <c r="S53" s="21"/>
      <c r="T53" s="249"/>
    </row>
    <row r="54" spans="3:22" x14ac:dyDescent="0.2">
      <c r="P54" s="32">
        <v>4</v>
      </c>
      <c r="Q54" s="586" t="s">
        <v>228</v>
      </c>
      <c r="R54" s="587"/>
      <c r="S54" s="21"/>
      <c r="T54" s="249"/>
    </row>
    <row r="55" spans="3:22" ht="12.75" thickBot="1" x14ac:dyDescent="0.25">
      <c r="P55" s="32">
        <v>5</v>
      </c>
      <c r="Q55" s="586" t="s">
        <v>229</v>
      </c>
      <c r="R55" s="587"/>
      <c r="S55" s="21"/>
    </row>
    <row r="56" spans="3:22" ht="14.25" customHeight="1" thickTop="1" thickBot="1" x14ac:dyDescent="0.25">
      <c r="D56" s="631" t="s">
        <v>44</v>
      </c>
      <c r="E56" s="631"/>
      <c r="F56" s="631"/>
      <c r="G56" s="631"/>
      <c r="H56" s="631"/>
      <c r="J56" s="631" t="s">
        <v>45</v>
      </c>
      <c r="K56" s="631"/>
      <c r="L56" s="631"/>
      <c r="M56" s="631"/>
      <c r="N56" s="631"/>
      <c r="P56" s="54">
        <v>6</v>
      </c>
      <c r="Q56" s="591" t="s">
        <v>230</v>
      </c>
      <c r="R56" s="592"/>
      <c r="S56" s="21"/>
      <c r="T56" s="21"/>
    </row>
    <row r="57" spans="3:22" x14ac:dyDescent="0.2">
      <c r="S57" s="21"/>
      <c r="T57" s="21"/>
    </row>
    <row r="58" spans="3:22" x14ac:dyDescent="0.2">
      <c r="P58" s="21"/>
      <c r="Q58" s="21"/>
      <c r="R58" s="21"/>
      <c r="S58" s="21"/>
      <c r="T58" s="21"/>
    </row>
  </sheetData>
  <mergeCells count="58">
    <mergeCell ref="Q55:R55"/>
    <mergeCell ref="P50:R50"/>
    <mergeCell ref="Q51:R51"/>
    <mergeCell ref="Q52:R52"/>
    <mergeCell ref="Q53:R53"/>
    <mergeCell ref="Q54:R54"/>
    <mergeCell ref="C46:E46"/>
    <mergeCell ref="F46:G46"/>
    <mergeCell ref="D56:H56"/>
    <mergeCell ref="J56:N56"/>
    <mergeCell ref="I46:K46"/>
    <mergeCell ref="F47:G47"/>
    <mergeCell ref="C48:E48"/>
    <mergeCell ref="F48:G48"/>
    <mergeCell ref="C49:E49"/>
    <mergeCell ref="F49:G49"/>
    <mergeCell ref="C47:E47"/>
    <mergeCell ref="F43:G43"/>
    <mergeCell ref="C43:E43"/>
    <mergeCell ref="F44:G44"/>
    <mergeCell ref="C45:E45"/>
    <mergeCell ref="F45:G45"/>
    <mergeCell ref="C44:E44"/>
    <mergeCell ref="Q37:S37"/>
    <mergeCell ref="C37:G37"/>
    <mergeCell ref="C41:E41"/>
    <mergeCell ref="F41:G41"/>
    <mergeCell ref="C42:E42"/>
    <mergeCell ref="F42:G42"/>
    <mergeCell ref="C38:E38"/>
    <mergeCell ref="F38:G38"/>
    <mergeCell ref="C39:E39"/>
    <mergeCell ref="F39:G39"/>
    <mergeCell ref="C40:E40"/>
    <mergeCell ref="F40:G40"/>
    <mergeCell ref="I39:J39"/>
    <mergeCell ref="Q2:S2"/>
    <mergeCell ref="I3:O3"/>
    <mergeCell ref="Q3:S3"/>
    <mergeCell ref="I4:O4"/>
    <mergeCell ref="I5:O5"/>
    <mergeCell ref="Q5:S5"/>
    <mergeCell ref="E12:H12"/>
    <mergeCell ref="Q56:R56"/>
    <mergeCell ref="D13:E13"/>
    <mergeCell ref="I6:O6"/>
    <mergeCell ref="Q6:S6"/>
    <mergeCell ref="I9:O9"/>
    <mergeCell ref="E11:H11"/>
    <mergeCell ref="L11:S11"/>
    <mergeCell ref="D14:E14"/>
    <mergeCell ref="D15:E15"/>
    <mergeCell ref="D16:E16"/>
    <mergeCell ref="E34:E35"/>
    <mergeCell ref="F34:G34"/>
    <mergeCell ref="F35:G35"/>
    <mergeCell ref="I37:L37"/>
    <mergeCell ref="O37:P37"/>
  </mergeCells>
  <pageMargins left="0.19685039370078741" right="0" top="0.35433070866141736" bottom="0.35433070866141736" header="0.31496062992125984" footer="0.31496062992125984"/>
  <pageSetup paperSize="9" scale="79" orientation="landscape" horizontalDpi="300" verticalDpi="300" r:id="rId1"/>
  <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Hoja23">
    <pageSetUpPr fitToPage="1"/>
  </sheetPr>
  <dimension ref="C1:W58"/>
  <sheetViews>
    <sheetView topLeftCell="A11" zoomScale="112" zoomScaleNormal="112" workbookViewId="0">
      <selection activeCell="T20" sqref="T20"/>
    </sheetView>
  </sheetViews>
  <sheetFormatPr baseColWidth="10" defaultColWidth="9.140625" defaultRowHeight="12" x14ac:dyDescent="0.2"/>
  <cols>
    <col min="1" max="1" width="2.28515625" style="14" customWidth="1"/>
    <col min="2" max="2" width="2.7109375" style="14" customWidth="1"/>
    <col min="3" max="3" width="11.85546875" style="14" customWidth="1"/>
    <col min="4" max="4" width="11.42578125" style="14" customWidth="1"/>
    <col min="5" max="5" width="7.85546875" style="14" customWidth="1"/>
    <col min="6" max="6" width="8.85546875" style="14" customWidth="1"/>
    <col min="7" max="7" width="5" style="14" bestFit="1" customWidth="1"/>
    <col min="8" max="8" width="10.28515625" style="14" customWidth="1"/>
    <col min="9" max="9" width="10.7109375" style="14" customWidth="1"/>
    <col min="10" max="10" width="10" style="14" customWidth="1"/>
    <col min="11" max="11" width="10.42578125" style="14" customWidth="1"/>
    <col min="12" max="12" width="12.42578125" style="14" customWidth="1"/>
    <col min="13" max="13" width="11.140625" style="14" customWidth="1"/>
    <col min="14" max="14" width="8.42578125" style="14" customWidth="1"/>
    <col min="15" max="15" width="10.5703125" style="14" customWidth="1"/>
    <col min="16" max="16" width="11.85546875" style="14" customWidth="1"/>
    <col min="17" max="17" width="11.42578125" style="14" customWidth="1"/>
    <col min="18" max="18" width="9.85546875" style="14" hidden="1" customWidth="1"/>
    <col min="19" max="19" width="11" style="14" bestFit="1" customWidth="1"/>
    <col min="20" max="20" width="11.28515625" style="14" bestFit="1" customWidth="1"/>
    <col min="21" max="21" width="8.7109375" style="14" customWidth="1"/>
    <col min="22" max="22" width="10.140625" style="14" customWidth="1"/>
    <col min="23" max="23" width="12.140625" style="14" customWidth="1"/>
    <col min="24" max="259" width="9.140625" style="14"/>
    <col min="260" max="260" width="5.7109375" style="14" customWidth="1"/>
    <col min="261" max="261" width="13.140625" style="14" customWidth="1"/>
    <col min="262" max="262" width="12.28515625" style="14" customWidth="1"/>
    <col min="263" max="263" width="8.85546875" style="14" customWidth="1"/>
    <col min="264" max="264" width="10.85546875" style="14" customWidth="1"/>
    <col min="265" max="265" width="2.85546875" style="14" customWidth="1"/>
    <col min="266" max="266" width="12.140625" style="14" customWidth="1"/>
    <col min="267" max="267" width="10.140625" style="14" customWidth="1"/>
    <col min="268" max="268" width="11.7109375" style="14" customWidth="1"/>
    <col min="269" max="269" width="11.42578125" style="14" customWidth="1"/>
    <col min="270" max="270" width="12.7109375" style="14" customWidth="1"/>
    <col min="271" max="271" width="11.42578125" style="14" customWidth="1"/>
    <col min="272" max="272" width="10.7109375" style="14" customWidth="1"/>
    <col min="273" max="273" width="10.5703125" style="14" customWidth="1"/>
    <col min="274" max="274" width="11.28515625" style="14" customWidth="1"/>
    <col min="275" max="275" width="9.7109375" style="14" customWidth="1"/>
    <col min="276" max="276" width="12" style="14" customWidth="1"/>
    <col min="277" max="277" width="11.28515625" style="14" customWidth="1"/>
    <col min="278" max="515" width="9.140625" style="14"/>
    <col min="516" max="516" width="5.7109375" style="14" customWidth="1"/>
    <col min="517" max="517" width="13.140625" style="14" customWidth="1"/>
    <col min="518" max="518" width="12.28515625" style="14" customWidth="1"/>
    <col min="519" max="519" width="8.85546875" style="14" customWidth="1"/>
    <col min="520" max="520" width="10.85546875" style="14" customWidth="1"/>
    <col min="521" max="521" width="2.85546875" style="14" customWidth="1"/>
    <col min="522" max="522" width="12.140625" style="14" customWidth="1"/>
    <col min="523" max="523" width="10.140625" style="14" customWidth="1"/>
    <col min="524" max="524" width="11.7109375" style="14" customWidth="1"/>
    <col min="525" max="525" width="11.42578125" style="14" customWidth="1"/>
    <col min="526" max="526" width="12.7109375" style="14" customWidth="1"/>
    <col min="527" max="527" width="11.42578125" style="14" customWidth="1"/>
    <col min="528" max="528" width="10.7109375" style="14" customWidth="1"/>
    <col min="529" max="529" width="10.5703125" style="14" customWidth="1"/>
    <col min="530" max="530" width="11.28515625" style="14" customWidth="1"/>
    <col min="531" max="531" width="9.7109375" style="14" customWidth="1"/>
    <col min="532" max="532" width="12" style="14" customWidth="1"/>
    <col min="533" max="533" width="11.28515625" style="14" customWidth="1"/>
    <col min="534" max="771" width="9.140625" style="14"/>
    <col min="772" max="772" width="5.7109375" style="14" customWidth="1"/>
    <col min="773" max="773" width="13.140625" style="14" customWidth="1"/>
    <col min="774" max="774" width="12.28515625" style="14" customWidth="1"/>
    <col min="775" max="775" width="8.85546875" style="14" customWidth="1"/>
    <col min="776" max="776" width="10.85546875" style="14" customWidth="1"/>
    <col min="777" max="777" width="2.85546875" style="14" customWidth="1"/>
    <col min="778" max="778" width="12.140625" style="14" customWidth="1"/>
    <col min="779" max="779" width="10.140625" style="14" customWidth="1"/>
    <col min="780" max="780" width="11.7109375" style="14" customWidth="1"/>
    <col min="781" max="781" width="11.42578125" style="14" customWidth="1"/>
    <col min="782" max="782" width="12.7109375" style="14" customWidth="1"/>
    <col min="783" max="783" width="11.42578125" style="14" customWidth="1"/>
    <col min="784" max="784" width="10.7109375" style="14" customWidth="1"/>
    <col min="785" max="785" width="10.5703125" style="14" customWidth="1"/>
    <col min="786" max="786" width="11.28515625" style="14" customWidth="1"/>
    <col min="787" max="787" width="9.7109375" style="14" customWidth="1"/>
    <col min="788" max="788" width="12" style="14" customWidth="1"/>
    <col min="789" max="789" width="11.28515625" style="14" customWidth="1"/>
    <col min="790" max="1027" width="9.140625" style="14"/>
    <col min="1028" max="1028" width="5.7109375" style="14" customWidth="1"/>
    <col min="1029" max="1029" width="13.140625" style="14" customWidth="1"/>
    <col min="1030" max="1030" width="12.28515625" style="14" customWidth="1"/>
    <col min="1031" max="1031" width="8.85546875" style="14" customWidth="1"/>
    <col min="1032" max="1032" width="10.85546875" style="14" customWidth="1"/>
    <col min="1033" max="1033" width="2.85546875" style="14" customWidth="1"/>
    <col min="1034" max="1034" width="12.140625" style="14" customWidth="1"/>
    <col min="1035" max="1035" width="10.140625" style="14" customWidth="1"/>
    <col min="1036" max="1036" width="11.7109375" style="14" customWidth="1"/>
    <col min="1037" max="1037" width="11.42578125" style="14" customWidth="1"/>
    <col min="1038" max="1038" width="12.7109375" style="14" customWidth="1"/>
    <col min="1039" max="1039" width="11.42578125" style="14" customWidth="1"/>
    <col min="1040" max="1040" width="10.7109375" style="14" customWidth="1"/>
    <col min="1041" max="1041" width="10.5703125" style="14" customWidth="1"/>
    <col min="1042" max="1042" width="11.28515625" style="14" customWidth="1"/>
    <col min="1043" max="1043" width="9.7109375" style="14" customWidth="1"/>
    <col min="1044" max="1044" width="12" style="14" customWidth="1"/>
    <col min="1045" max="1045" width="11.28515625" style="14" customWidth="1"/>
    <col min="1046" max="1283" width="9.140625" style="14"/>
    <col min="1284" max="1284" width="5.7109375" style="14" customWidth="1"/>
    <col min="1285" max="1285" width="13.140625" style="14" customWidth="1"/>
    <col min="1286" max="1286" width="12.28515625" style="14" customWidth="1"/>
    <col min="1287" max="1287" width="8.85546875" style="14" customWidth="1"/>
    <col min="1288" max="1288" width="10.85546875" style="14" customWidth="1"/>
    <col min="1289" max="1289" width="2.85546875" style="14" customWidth="1"/>
    <col min="1290" max="1290" width="12.140625" style="14" customWidth="1"/>
    <col min="1291" max="1291" width="10.140625" style="14" customWidth="1"/>
    <col min="1292" max="1292" width="11.7109375" style="14" customWidth="1"/>
    <col min="1293" max="1293" width="11.42578125" style="14" customWidth="1"/>
    <col min="1294" max="1294" width="12.7109375" style="14" customWidth="1"/>
    <col min="1295" max="1295" width="11.42578125" style="14" customWidth="1"/>
    <col min="1296" max="1296" width="10.7109375" style="14" customWidth="1"/>
    <col min="1297" max="1297" width="10.5703125" style="14" customWidth="1"/>
    <col min="1298" max="1298" width="11.28515625" style="14" customWidth="1"/>
    <col min="1299" max="1299" width="9.7109375" style="14" customWidth="1"/>
    <col min="1300" max="1300" width="12" style="14" customWidth="1"/>
    <col min="1301" max="1301" width="11.28515625" style="14" customWidth="1"/>
    <col min="1302" max="1539" width="9.140625" style="14"/>
    <col min="1540" max="1540" width="5.7109375" style="14" customWidth="1"/>
    <col min="1541" max="1541" width="13.140625" style="14" customWidth="1"/>
    <col min="1542" max="1542" width="12.28515625" style="14" customWidth="1"/>
    <col min="1543" max="1543" width="8.85546875" style="14" customWidth="1"/>
    <col min="1544" max="1544" width="10.85546875" style="14" customWidth="1"/>
    <col min="1545" max="1545" width="2.85546875" style="14" customWidth="1"/>
    <col min="1546" max="1546" width="12.140625" style="14" customWidth="1"/>
    <col min="1547" max="1547" width="10.140625" style="14" customWidth="1"/>
    <col min="1548" max="1548" width="11.7109375" style="14" customWidth="1"/>
    <col min="1549" max="1549" width="11.42578125" style="14" customWidth="1"/>
    <col min="1550" max="1550" width="12.7109375" style="14" customWidth="1"/>
    <col min="1551" max="1551" width="11.42578125" style="14" customWidth="1"/>
    <col min="1552" max="1552" width="10.7109375" style="14" customWidth="1"/>
    <col min="1553" max="1553" width="10.5703125" style="14" customWidth="1"/>
    <col min="1554" max="1554" width="11.28515625" style="14" customWidth="1"/>
    <col min="1555" max="1555" width="9.7109375" style="14" customWidth="1"/>
    <col min="1556" max="1556" width="12" style="14" customWidth="1"/>
    <col min="1557" max="1557" width="11.28515625" style="14" customWidth="1"/>
    <col min="1558" max="1795" width="9.140625" style="14"/>
    <col min="1796" max="1796" width="5.7109375" style="14" customWidth="1"/>
    <col min="1797" max="1797" width="13.140625" style="14" customWidth="1"/>
    <col min="1798" max="1798" width="12.28515625" style="14" customWidth="1"/>
    <col min="1799" max="1799" width="8.85546875" style="14" customWidth="1"/>
    <col min="1800" max="1800" width="10.85546875" style="14" customWidth="1"/>
    <col min="1801" max="1801" width="2.85546875" style="14" customWidth="1"/>
    <col min="1802" max="1802" width="12.140625" style="14" customWidth="1"/>
    <col min="1803" max="1803" width="10.140625" style="14" customWidth="1"/>
    <col min="1804" max="1804" width="11.7109375" style="14" customWidth="1"/>
    <col min="1805" max="1805" width="11.42578125" style="14" customWidth="1"/>
    <col min="1806" max="1806" width="12.7109375" style="14" customWidth="1"/>
    <col min="1807" max="1807" width="11.42578125" style="14" customWidth="1"/>
    <col min="1808" max="1808" width="10.7109375" style="14" customWidth="1"/>
    <col min="1809" max="1809" width="10.5703125" style="14" customWidth="1"/>
    <col min="1810" max="1810" width="11.28515625" style="14" customWidth="1"/>
    <col min="1811" max="1811" width="9.7109375" style="14" customWidth="1"/>
    <col min="1812" max="1812" width="12" style="14" customWidth="1"/>
    <col min="1813" max="1813" width="11.28515625" style="14" customWidth="1"/>
    <col min="1814" max="2051" width="9.140625" style="14"/>
    <col min="2052" max="2052" width="5.7109375" style="14" customWidth="1"/>
    <col min="2053" max="2053" width="13.140625" style="14" customWidth="1"/>
    <col min="2054" max="2054" width="12.28515625" style="14" customWidth="1"/>
    <col min="2055" max="2055" width="8.85546875" style="14" customWidth="1"/>
    <col min="2056" max="2056" width="10.85546875" style="14" customWidth="1"/>
    <col min="2057" max="2057" width="2.85546875" style="14" customWidth="1"/>
    <col min="2058" max="2058" width="12.140625" style="14" customWidth="1"/>
    <col min="2059" max="2059" width="10.140625" style="14" customWidth="1"/>
    <col min="2060" max="2060" width="11.7109375" style="14" customWidth="1"/>
    <col min="2061" max="2061" width="11.42578125" style="14" customWidth="1"/>
    <col min="2062" max="2062" width="12.7109375" style="14" customWidth="1"/>
    <col min="2063" max="2063" width="11.42578125" style="14" customWidth="1"/>
    <col min="2064" max="2064" width="10.7109375" style="14" customWidth="1"/>
    <col min="2065" max="2065" width="10.5703125" style="14" customWidth="1"/>
    <col min="2066" max="2066" width="11.28515625" style="14" customWidth="1"/>
    <col min="2067" max="2067" width="9.7109375" style="14" customWidth="1"/>
    <col min="2068" max="2068" width="12" style="14" customWidth="1"/>
    <col min="2069" max="2069" width="11.28515625" style="14" customWidth="1"/>
    <col min="2070" max="2307" width="9.140625" style="14"/>
    <col min="2308" max="2308" width="5.7109375" style="14" customWidth="1"/>
    <col min="2309" max="2309" width="13.140625" style="14" customWidth="1"/>
    <col min="2310" max="2310" width="12.28515625" style="14" customWidth="1"/>
    <col min="2311" max="2311" width="8.85546875" style="14" customWidth="1"/>
    <col min="2312" max="2312" width="10.85546875" style="14" customWidth="1"/>
    <col min="2313" max="2313" width="2.85546875" style="14" customWidth="1"/>
    <col min="2314" max="2314" width="12.140625" style="14" customWidth="1"/>
    <col min="2315" max="2315" width="10.140625" style="14" customWidth="1"/>
    <col min="2316" max="2316" width="11.7109375" style="14" customWidth="1"/>
    <col min="2317" max="2317" width="11.42578125" style="14" customWidth="1"/>
    <col min="2318" max="2318" width="12.7109375" style="14" customWidth="1"/>
    <col min="2319" max="2319" width="11.42578125" style="14" customWidth="1"/>
    <col min="2320" max="2320" width="10.7109375" style="14" customWidth="1"/>
    <col min="2321" max="2321" width="10.5703125" style="14" customWidth="1"/>
    <col min="2322" max="2322" width="11.28515625" style="14" customWidth="1"/>
    <col min="2323" max="2323" width="9.7109375" style="14" customWidth="1"/>
    <col min="2324" max="2324" width="12" style="14" customWidth="1"/>
    <col min="2325" max="2325" width="11.28515625" style="14" customWidth="1"/>
    <col min="2326" max="2563" width="9.140625" style="14"/>
    <col min="2564" max="2564" width="5.7109375" style="14" customWidth="1"/>
    <col min="2565" max="2565" width="13.140625" style="14" customWidth="1"/>
    <col min="2566" max="2566" width="12.28515625" style="14" customWidth="1"/>
    <col min="2567" max="2567" width="8.85546875" style="14" customWidth="1"/>
    <col min="2568" max="2568" width="10.85546875" style="14" customWidth="1"/>
    <col min="2569" max="2569" width="2.85546875" style="14" customWidth="1"/>
    <col min="2570" max="2570" width="12.140625" style="14" customWidth="1"/>
    <col min="2571" max="2571" width="10.140625" style="14" customWidth="1"/>
    <col min="2572" max="2572" width="11.7109375" style="14" customWidth="1"/>
    <col min="2573" max="2573" width="11.42578125" style="14" customWidth="1"/>
    <col min="2574" max="2574" width="12.7109375" style="14" customWidth="1"/>
    <col min="2575" max="2575" width="11.42578125" style="14" customWidth="1"/>
    <col min="2576" max="2576" width="10.7109375" style="14" customWidth="1"/>
    <col min="2577" max="2577" width="10.5703125" style="14" customWidth="1"/>
    <col min="2578" max="2578" width="11.28515625" style="14" customWidth="1"/>
    <col min="2579" max="2579" width="9.7109375" style="14" customWidth="1"/>
    <col min="2580" max="2580" width="12" style="14" customWidth="1"/>
    <col min="2581" max="2581" width="11.28515625" style="14" customWidth="1"/>
    <col min="2582" max="2819" width="9.140625" style="14"/>
    <col min="2820" max="2820" width="5.7109375" style="14" customWidth="1"/>
    <col min="2821" max="2821" width="13.140625" style="14" customWidth="1"/>
    <col min="2822" max="2822" width="12.28515625" style="14" customWidth="1"/>
    <col min="2823" max="2823" width="8.85546875" style="14" customWidth="1"/>
    <col min="2824" max="2824" width="10.85546875" style="14" customWidth="1"/>
    <col min="2825" max="2825" width="2.85546875" style="14" customWidth="1"/>
    <col min="2826" max="2826" width="12.140625" style="14" customWidth="1"/>
    <col min="2827" max="2827" width="10.140625" style="14" customWidth="1"/>
    <col min="2828" max="2828" width="11.7109375" style="14" customWidth="1"/>
    <col min="2829" max="2829" width="11.42578125" style="14" customWidth="1"/>
    <col min="2830" max="2830" width="12.7109375" style="14" customWidth="1"/>
    <col min="2831" max="2831" width="11.42578125" style="14" customWidth="1"/>
    <col min="2832" max="2832" width="10.7109375" style="14" customWidth="1"/>
    <col min="2833" max="2833" width="10.5703125" style="14" customWidth="1"/>
    <col min="2834" max="2834" width="11.28515625" style="14" customWidth="1"/>
    <col min="2835" max="2835" width="9.7109375" style="14" customWidth="1"/>
    <col min="2836" max="2836" width="12" style="14" customWidth="1"/>
    <col min="2837" max="2837" width="11.28515625" style="14" customWidth="1"/>
    <col min="2838" max="3075" width="9.140625" style="14"/>
    <col min="3076" max="3076" width="5.7109375" style="14" customWidth="1"/>
    <col min="3077" max="3077" width="13.140625" style="14" customWidth="1"/>
    <col min="3078" max="3078" width="12.28515625" style="14" customWidth="1"/>
    <col min="3079" max="3079" width="8.85546875" style="14" customWidth="1"/>
    <col min="3080" max="3080" width="10.85546875" style="14" customWidth="1"/>
    <col min="3081" max="3081" width="2.85546875" style="14" customWidth="1"/>
    <col min="3082" max="3082" width="12.140625" style="14" customWidth="1"/>
    <col min="3083" max="3083" width="10.140625" style="14" customWidth="1"/>
    <col min="3084" max="3084" width="11.7109375" style="14" customWidth="1"/>
    <col min="3085" max="3085" width="11.42578125" style="14" customWidth="1"/>
    <col min="3086" max="3086" width="12.7109375" style="14" customWidth="1"/>
    <col min="3087" max="3087" width="11.42578125" style="14" customWidth="1"/>
    <col min="3088" max="3088" width="10.7109375" style="14" customWidth="1"/>
    <col min="3089" max="3089" width="10.5703125" style="14" customWidth="1"/>
    <col min="3090" max="3090" width="11.28515625" style="14" customWidth="1"/>
    <col min="3091" max="3091" width="9.7109375" style="14" customWidth="1"/>
    <col min="3092" max="3092" width="12" style="14" customWidth="1"/>
    <col min="3093" max="3093" width="11.28515625" style="14" customWidth="1"/>
    <col min="3094" max="3331" width="9.140625" style="14"/>
    <col min="3332" max="3332" width="5.7109375" style="14" customWidth="1"/>
    <col min="3333" max="3333" width="13.140625" style="14" customWidth="1"/>
    <col min="3334" max="3334" width="12.28515625" style="14" customWidth="1"/>
    <col min="3335" max="3335" width="8.85546875" style="14" customWidth="1"/>
    <col min="3336" max="3336" width="10.85546875" style="14" customWidth="1"/>
    <col min="3337" max="3337" width="2.85546875" style="14" customWidth="1"/>
    <col min="3338" max="3338" width="12.140625" style="14" customWidth="1"/>
    <col min="3339" max="3339" width="10.140625" style="14" customWidth="1"/>
    <col min="3340" max="3340" width="11.7109375" style="14" customWidth="1"/>
    <col min="3341" max="3341" width="11.42578125" style="14" customWidth="1"/>
    <col min="3342" max="3342" width="12.7109375" style="14" customWidth="1"/>
    <col min="3343" max="3343" width="11.42578125" style="14" customWidth="1"/>
    <col min="3344" max="3344" width="10.7109375" style="14" customWidth="1"/>
    <col min="3345" max="3345" width="10.5703125" style="14" customWidth="1"/>
    <col min="3346" max="3346" width="11.28515625" style="14" customWidth="1"/>
    <col min="3347" max="3347" width="9.7109375" style="14" customWidth="1"/>
    <col min="3348" max="3348" width="12" style="14" customWidth="1"/>
    <col min="3349" max="3349" width="11.28515625" style="14" customWidth="1"/>
    <col min="3350" max="3587" width="9.140625" style="14"/>
    <col min="3588" max="3588" width="5.7109375" style="14" customWidth="1"/>
    <col min="3589" max="3589" width="13.140625" style="14" customWidth="1"/>
    <col min="3590" max="3590" width="12.28515625" style="14" customWidth="1"/>
    <col min="3591" max="3591" width="8.85546875" style="14" customWidth="1"/>
    <col min="3592" max="3592" width="10.85546875" style="14" customWidth="1"/>
    <col min="3593" max="3593" width="2.85546875" style="14" customWidth="1"/>
    <col min="3594" max="3594" width="12.140625" style="14" customWidth="1"/>
    <col min="3595" max="3595" width="10.140625" style="14" customWidth="1"/>
    <col min="3596" max="3596" width="11.7109375" style="14" customWidth="1"/>
    <col min="3597" max="3597" width="11.42578125" style="14" customWidth="1"/>
    <col min="3598" max="3598" width="12.7109375" style="14" customWidth="1"/>
    <col min="3599" max="3599" width="11.42578125" style="14" customWidth="1"/>
    <col min="3600" max="3600" width="10.7109375" style="14" customWidth="1"/>
    <col min="3601" max="3601" width="10.5703125" style="14" customWidth="1"/>
    <col min="3602" max="3602" width="11.28515625" style="14" customWidth="1"/>
    <col min="3603" max="3603" width="9.7109375" style="14" customWidth="1"/>
    <col min="3604" max="3604" width="12" style="14" customWidth="1"/>
    <col min="3605" max="3605" width="11.28515625" style="14" customWidth="1"/>
    <col min="3606" max="3843" width="9.140625" style="14"/>
    <col min="3844" max="3844" width="5.7109375" style="14" customWidth="1"/>
    <col min="3845" max="3845" width="13.140625" style="14" customWidth="1"/>
    <col min="3846" max="3846" width="12.28515625" style="14" customWidth="1"/>
    <col min="3847" max="3847" width="8.85546875" style="14" customWidth="1"/>
    <col min="3848" max="3848" width="10.85546875" style="14" customWidth="1"/>
    <col min="3849" max="3849" width="2.85546875" style="14" customWidth="1"/>
    <col min="3850" max="3850" width="12.140625" style="14" customWidth="1"/>
    <col min="3851" max="3851" width="10.140625" style="14" customWidth="1"/>
    <col min="3852" max="3852" width="11.7109375" style="14" customWidth="1"/>
    <col min="3853" max="3853" width="11.42578125" style="14" customWidth="1"/>
    <col min="3854" max="3854" width="12.7109375" style="14" customWidth="1"/>
    <col min="3855" max="3855" width="11.42578125" style="14" customWidth="1"/>
    <col min="3856" max="3856" width="10.7109375" style="14" customWidth="1"/>
    <col min="3857" max="3857" width="10.5703125" style="14" customWidth="1"/>
    <col min="3858" max="3858" width="11.28515625" style="14" customWidth="1"/>
    <col min="3859" max="3859" width="9.7109375" style="14" customWidth="1"/>
    <col min="3860" max="3860" width="12" style="14" customWidth="1"/>
    <col min="3861" max="3861" width="11.28515625" style="14" customWidth="1"/>
    <col min="3862" max="4099" width="9.140625" style="14"/>
    <col min="4100" max="4100" width="5.7109375" style="14" customWidth="1"/>
    <col min="4101" max="4101" width="13.140625" style="14" customWidth="1"/>
    <col min="4102" max="4102" width="12.28515625" style="14" customWidth="1"/>
    <col min="4103" max="4103" width="8.85546875" style="14" customWidth="1"/>
    <col min="4104" max="4104" width="10.85546875" style="14" customWidth="1"/>
    <col min="4105" max="4105" width="2.85546875" style="14" customWidth="1"/>
    <col min="4106" max="4106" width="12.140625" style="14" customWidth="1"/>
    <col min="4107" max="4107" width="10.140625" style="14" customWidth="1"/>
    <col min="4108" max="4108" width="11.7109375" style="14" customWidth="1"/>
    <col min="4109" max="4109" width="11.42578125" style="14" customWidth="1"/>
    <col min="4110" max="4110" width="12.7109375" style="14" customWidth="1"/>
    <col min="4111" max="4111" width="11.42578125" style="14" customWidth="1"/>
    <col min="4112" max="4112" width="10.7109375" style="14" customWidth="1"/>
    <col min="4113" max="4113" width="10.5703125" style="14" customWidth="1"/>
    <col min="4114" max="4114" width="11.28515625" style="14" customWidth="1"/>
    <col min="4115" max="4115" width="9.7109375" style="14" customWidth="1"/>
    <col min="4116" max="4116" width="12" style="14" customWidth="1"/>
    <col min="4117" max="4117" width="11.28515625" style="14" customWidth="1"/>
    <col min="4118" max="4355" width="9.140625" style="14"/>
    <col min="4356" max="4356" width="5.7109375" style="14" customWidth="1"/>
    <col min="4357" max="4357" width="13.140625" style="14" customWidth="1"/>
    <col min="4358" max="4358" width="12.28515625" style="14" customWidth="1"/>
    <col min="4359" max="4359" width="8.85546875" style="14" customWidth="1"/>
    <col min="4360" max="4360" width="10.85546875" style="14" customWidth="1"/>
    <col min="4361" max="4361" width="2.85546875" style="14" customWidth="1"/>
    <col min="4362" max="4362" width="12.140625" style="14" customWidth="1"/>
    <col min="4363" max="4363" width="10.140625" style="14" customWidth="1"/>
    <col min="4364" max="4364" width="11.7109375" style="14" customWidth="1"/>
    <col min="4365" max="4365" width="11.42578125" style="14" customWidth="1"/>
    <col min="4366" max="4366" width="12.7109375" style="14" customWidth="1"/>
    <col min="4367" max="4367" width="11.42578125" style="14" customWidth="1"/>
    <col min="4368" max="4368" width="10.7109375" style="14" customWidth="1"/>
    <col min="4369" max="4369" width="10.5703125" style="14" customWidth="1"/>
    <col min="4370" max="4370" width="11.28515625" style="14" customWidth="1"/>
    <col min="4371" max="4371" width="9.7109375" style="14" customWidth="1"/>
    <col min="4372" max="4372" width="12" style="14" customWidth="1"/>
    <col min="4373" max="4373" width="11.28515625" style="14" customWidth="1"/>
    <col min="4374" max="4611" width="9.140625" style="14"/>
    <col min="4612" max="4612" width="5.7109375" style="14" customWidth="1"/>
    <col min="4613" max="4613" width="13.140625" style="14" customWidth="1"/>
    <col min="4614" max="4614" width="12.28515625" style="14" customWidth="1"/>
    <col min="4615" max="4615" width="8.85546875" style="14" customWidth="1"/>
    <col min="4616" max="4616" width="10.85546875" style="14" customWidth="1"/>
    <col min="4617" max="4617" width="2.85546875" style="14" customWidth="1"/>
    <col min="4618" max="4618" width="12.140625" style="14" customWidth="1"/>
    <col min="4619" max="4619" width="10.140625" style="14" customWidth="1"/>
    <col min="4620" max="4620" width="11.7109375" style="14" customWidth="1"/>
    <col min="4621" max="4621" width="11.42578125" style="14" customWidth="1"/>
    <col min="4622" max="4622" width="12.7109375" style="14" customWidth="1"/>
    <col min="4623" max="4623" width="11.42578125" style="14" customWidth="1"/>
    <col min="4624" max="4624" width="10.7109375" style="14" customWidth="1"/>
    <col min="4625" max="4625" width="10.5703125" style="14" customWidth="1"/>
    <col min="4626" max="4626" width="11.28515625" style="14" customWidth="1"/>
    <col min="4627" max="4627" width="9.7109375" style="14" customWidth="1"/>
    <col min="4628" max="4628" width="12" style="14" customWidth="1"/>
    <col min="4629" max="4629" width="11.28515625" style="14" customWidth="1"/>
    <col min="4630" max="4867" width="9.140625" style="14"/>
    <col min="4868" max="4868" width="5.7109375" style="14" customWidth="1"/>
    <col min="4869" max="4869" width="13.140625" style="14" customWidth="1"/>
    <col min="4870" max="4870" width="12.28515625" style="14" customWidth="1"/>
    <col min="4871" max="4871" width="8.85546875" style="14" customWidth="1"/>
    <col min="4872" max="4872" width="10.85546875" style="14" customWidth="1"/>
    <col min="4873" max="4873" width="2.85546875" style="14" customWidth="1"/>
    <col min="4874" max="4874" width="12.140625" style="14" customWidth="1"/>
    <col min="4875" max="4875" width="10.140625" style="14" customWidth="1"/>
    <col min="4876" max="4876" width="11.7109375" style="14" customWidth="1"/>
    <col min="4877" max="4877" width="11.42578125" style="14" customWidth="1"/>
    <col min="4878" max="4878" width="12.7109375" style="14" customWidth="1"/>
    <col min="4879" max="4879" width="11.42578125" style="14" customWidth="1"/>
    <col min="4880" max="4880" width="10.7109375" style="14" customWidth="1"/>
    <col min="4881" max="4881" width="10.5703125" style="14" customWidth="1"/>
    <col min="4882" max="4882" width="11.28515625" style="14" customWidth="1"/>
    <col min="4883" max="4883" width="9.7109375" style="14" customWidth="1"/>
    <col min="4884" max="4884" width="12" style="14" customWidth="1"/>
    <col min="4885" max="4885" width="11.28515625" style="14" customWidth="1"/>
    <col min="4886" max="5123" width="9.140625" style="14"/>
    <col min="5124" max="5124" width="5.7109375" style="14" customWidth="1"/>
    <col min="5125" max="5125" width="13.140625" style="14" customWidth="1"/>
    <col min="5126" max="5126" width="12.28515625" style="14" customWidth="1"/>
    <col min="5127" max="5127" width="8.85546875" style="14" customWidth="1"/>
    <col min="5128" max="5128" width="10.85546875" style="14" customWidth="1"/>
    <col min="5129" max="5129" width="2.85546875" style="14" customWidth="1"/>
    <col min="5130" max="5130" width="12.140625" style="14" customWidth="1"/>
    <col min="5131" max="5131" width="10.140625" style="14" customWidth="1"/>
    <col min="5132" max="5132" width="11.7109375" style="14" customWidth="1"/>
    <col min="5133" max="5133" width="11.42578125" style="14" customWidth="1"/>
    <col min="5134" max="5134" width="12.7109375" style="14" customWidth="1"/>
    <col min="5135" max="5135" width="11.42578125" style="14" customWidth="1"/>
    <col min="5136" max="5136" width="10.7109375" style="14" customWidth="1"/>
    <col min="5137" max="5137" width="10.5703125" style="14" customWidth="1"/>
    <col min="5138" max="5138" width="11.28515625" style="14" customWidth="1"/>
    <col min="5139" max="5139" width="9.7109375" style="14" customWidth="1"/>
    <col min="5140" max="5140" width="12" style="14" customWidth="1"/>
    <col min="5141" max="5141" width="11.28515625" style="14" customWidth="1"/>
    <col min="5142" max="5379" width="9.140625" style="14"/>
    <col min="5380" max="5380" width="5.7109375" style="14" customWidth="1"/>
    <col min="5381" max="5381" width="13.140625" style="14" customWidth="1"/>
    <col min="5382" max="5382" width="12.28515625" style="14" customWidth="1"/>
    <col min="5383" max="5383" width="8.85546875" style="14" customWidth="1"/>
    <col min="5384" max="5384" width="10.85546875" style="14" customWidth="1"/>
    <col min="5385" max="5385" width="2.85546875" style="14" customWidth="1"/>
    <col min="5386" max="5386" width="12.140625" style="14" customWidth="1"/>
    <col min="5387" max="5387" width="10.140625" style="14" customWidth="1"/>
    <col min="5388" max="5388" width="11.7109375" style="14" customWidth="1"/>
    <col min="5389" max="5389" width="11.42578125" style="14" customWidth="1"/>
    <col min="5390" max="5390" width="12.7109375" style="14" customWidth="1"/>
    <col min="5391" max="5391" width="11.42578125" style="14" customWidth="1"/>
    <col min="5392" max="5392" width="10.7109375" style="14" customWidth="1"/>
    <col min="5393" max="5393" width="10.5703125" style="14" customWidth="1"/>
    <col min="5394" max="5394" width="11.28515625" style="14" customWidth="1"/>
    <col min="5395" max="5395" width="9.7109375" style="14" customWidth="1"/>
    <col min="5396" max="5396" width="12" style="14" customWidth="1"/>
    <col min="5397" max="5397" width="11.28515625" style="14" customWidth="1"/>
    <col min="5398" max="5635" width="9.140625" style="14"/>
    <col min="5636" max="5636" width="5.7109375" style="14" customWidth="1"/>
    <col min="5637" max="5637" width="13.140625" style="14" customWidth="1"/>
    <col min="5638" max="5638" width="12.28515625" style="14" customWidth="1"/>
    <col min="5639" max="5639" width="8.85546875" style="14" customWidth="1"/>
    <col min="5640" max="5640" width="10.85546875" style="14" customWidth="1"/>
    <col min="5641" max="5641" width="2.85546875" style="14" customWidth="1"/>
    <col min="5642" max="5642" width="12.140625" style="14" customWidth="1"/>
    <col min="5643" max="5643" width="10.140625" style="14" customWidth="1"/>
    <col min="5644" max="5644" width="11.7109375" style="14" customWidth="1"/>
    <col min="5645" max="5645" width="11.42578125" style="14" customWidth="1"/>
    <col min="5646" max="5646" width="12.7109375" style="14" customWidth="1"/>
    <col min="5647" max="5647" width="11.42578125" style="14" customWidth="1"/>
    <col min="5648" max="5648" width="10.7109375" style="14" customWidth="1"/>
    <col min="5649" max="5649" width="10.5703125" style="14" customWidth="1"/>
    <col min="5650" max="5650" width="11.28515625" style="14" customWidth="1"/>
    <col min="5651" max="5651" width="9.7109375" style="14" customWidth="1"/>
    <col min="5652" max="5652" width="12" style="14" customWidth="1"/>
    <col min="5653" max="5653" width="11.28515625" style="14" customWidth="1"/>
    <col min="5654" max="5891" width="9.140625" style="14"/>
    <col min="5892" max="5892" width="5.7109375" style="14" customWidth="1"/>
    <col min="5893" max="5893" width="13.140625" style="14" customWidth="1"/>
    <col min="5894" max="5894" width="12.28515625" style="14" customWidth="1"/>
    <col min="5895" max="5895" width="8.85546875" style="14" customWidth="1"/>
    <col min="5896" max="5896" width="10.85546875" style="14" customWidth="1"/>
    <col min="5897" max="5897" width="2.85546875" style="14" customWidth="1"/>
    <col min="5898" max="5898" width="12.140625" style="14" customWidth="1"/>
    <col min="5899" max="5899" width="10.140625" style="14" customWidth="1"/>
    <col min="5900" max="5900" width="11.7109375" style="14" customWidth="1"/>
    <col min="5901" max="5901" width="11.42578125" style="14" customWidth="1"/>
    <col min="5902" max="5902" width="12.7109375" style="14" customWidth="1"/>
    <col min="5903" max="5903" width="11.42578125" style="14" customWidth="1"/>
    <col min="5904" max="5904" width="10.7109375" style="14" customWidth="1"/>
    <col min="5905" max="5905" width="10.5703125" style="14" customWidth="1"/>
    <col min="5906" max="5906" width="11.28515625" style="14" customWidth="1"/>
    <col min="5907" max="5907" width="9.7109375" style="14" customWidth="1"/>
    <col min="5908" max="5908" width="12" style="14" customWidth="1"/>
    <col min="5909" max="5909" width="11.28515625" style="14" customWidth="1"/>
    <col min="5910" max="6147" width="9.140625" style="14"/>
    <col min="6148" max="6148" width="5.7109375" style="14" customWidth="1"/>
    <col min="6149" max="6149" width="13.140625" style="14" customWidth="1"/>
    <col min="6150" max="6150" width="12.28515625" style="14" customWidth="1"/>
    <col min="6151" max="6151" width="8.85546875" style="14" customWidth="1"/>
    <col min="6152" max="6152" width="10.85546875" style="14" customWidth="1"/>
    <col min="6153" max="6153" width="2.85546875" style="14" customWidth="1"/>
    <col min="6154" max="6154" width="12.140625" style="14" customWidth="1"/>
    <col min="6155" max="6155" width="10.140625" style="14" customWidth="1"/>
    <col min="6156" max="6156" width="11.7109375" style="14" customWidth="1"/>
    <col min="6157" max="6157" width="11.42578125" style="14" customWidth="1"/>
    <col min="6158" max="6158" width="12.7109375" style="14" customWidth="1"/>
    <col min="6159" max="6159" width="11.42578125" style="14" customWidth="1"/>
    <col min="6160" max="6160" width="10.7109375" style="14" customWidth="1"/>
    <col min="6161" max="6161" width="10.5703125" style="14" customWidth="1"/>
    <col min="6162" max="6162" width="11.28515625" style="14" customWidth="1"/>
    <col min="6163" max="6163" width="9.7109375" style="14" customWidth="1"/>
    <col min="6164" max="6164" width="12" style="14" customWidth="1"/>
    <col min="6165" max="6165" width="11.28515625" style="14" customWidth="1"/>
    <col min="6166" max="6403" width="9.140625" style="14"/>
    <col min="6404" max="6404" width="5.7109375" style="14" customWidth="1"/>
    <col min="6405" max="6405" width="13.140625" style="14" customWidth="1"/>
    <col min="6406" max="6406" width="12.28515625" style="14" customWidth="1"/>
    <col min="6407" max="6407" width="8.85546875" style="14" customWidth="1"/>
    <col min="6408" max="6408" width="10.85546875" style="14" customWidth="1"/>
    <col min="6409" max="6409" width="2.85546875" style="14" customWidth="1"/>
    <col min="6410" max="6410" width="12.140625" style="14" customWidth="1"/>
    <col min="6411" max="6411" width="10.140625" style="14" customWidth="1"/>
    <col min="6412" max="6412" width="11.7109375" style="14" customWidth="1"/>
    <col min="6413" max="6413" width="11.42578125" style="14" customWidth="1"/>
    <col min="6414" max="6414" width="12.7109375" style="14" customWidth="1"/>
    <col min="6415" max="6415" width="11.42578125" style="14" customWidth="1"/>
    <col min="6416" max="6416" width="10.7109375" style="14" customWidth="1"/>
    <col min="6417" max="6417" width="10.5703125" style="14" customWidth="1"/>
    <col min="6418" max="6418" width="11.28515625" style="14" customWidth="1"/>
    <col min="6419" max="6419" width="9.7109375" style="14" customWidth="1"/>
    <col min="6420" max="6420" width="12" style="14" customWidth="1"/>
    <col min="6421" max="6421" width="11.28515625" style="14" customWidth="1"/>
    <col min="6422" max="6659" width="9.140625" style="14"/>
    <col min="6660" max="6660" width="5.7109375" style="14" customWidth="1"/>
    <col min="6661" max="6661" width="13.140625" style="14" customWidth="1"/>
    <col min="6662" max="6662" width="12.28515625" style="14" customWidth="1"/>
    <col min="6663" max="6663" width="8.85546875" style="14" customWidth="1"/>
    <col min="6664" max="6664" width="10.85546875" style="14" customWidth="1"/>
    <col min="6665" max="6665" width="2.85546875" style="14" customWidth="1"/>
    <col min="6666" max="6666" width="12.140625" style="14" customWidth="1"/>
    <col min="6667" max="6667" width="10.140625" style="14" customWidth="1"/>
    <col min="6668" max="6668" width="11.7109375" style="14" customWidth="1"/>
    <col min="6669" max="6669" width="11.42578125" style="14" customWidth="1"/>
    <col min="6670" max="6670" width="12.7109375" style="14" customWidth="1"/>
    <col min="6671" max="6671" width="11.42578125" style="14" customWidth="1"/>
    <col min="6672" max="6672" width="10.7109375" style="14" customWidth="1"/>
    <col min="6673" max="6673" width="10.5703125" style="14" customWidth="1"/>
    <col min="6674" max="6674" width="11.28515625" style="14" customWidth="1"/>
    <col min="6675" max="6675" width="9.7109375" style="14" customWidth="1"/>
    <col min="6676" max="6676" width="12" style="14" customWidth="1"/>
    <col min="6677" max="6677" width="11.28515625" style="14" customWidth="1"/>
    <col min="6678" max="6915" width="9.140625" style="14"/>
    <col min="6916" max="6916" width="5.7109375" style="14" customWidth="1"/>
    <col min="6917" max="6917" width="13.140625" style="14" customWidth="1"/>
    <col min="6918" max="6918" width="12.28515625" style="14" customWidth="1"/>
    <col min="6919" max="6919" width="8.85546875" style="14" customWidth="1"/>
    <col min="6920" max="6920" width="10.85546875" style="14" customWidth="1"/>
    <col min="6921" max="6921" width="2.85546875" style="14" customWidth="1"/>
    <col min="6922" max="6922" width="12.140625" style="14" customWidth="1"/>
    <col min="6923" max="6923" width="10.140625" style="14" customWidth="1"/>
    <col min="6924" max="6924" width="11.7109375" style="14" customWidth="1"/>
    <col min="6925" max="6925" width="11.42578125" style="14" customWidth="1"/>
    <col min="6926" max="6926" width="12.7109375" style="14" customWidth="1"/>
    <col min="6927" max="6927" width="11.42578125" style="14" customWidth="1"/>
    <col min="6928" max="6928" width="10.7109375" style="14" customWidth="1"/>
    <col min="6929" max="6929" width="10.5703125" style="14" customWidth="1"/>
    <col min="6930" max="6930" width="11.28515625" style="14" customWidth="1"/>
    <col min="6931" max="6931" width="9.7109375" style="14" customWidth="1"/>
    <col min="6932" max="6932" width="12" style="14" customWidth="1"/>
    <col min="6933" max="6933" width="11.28515625" style="14" customWidth="1"/>
    <col min="6934" max="7171" width="9.140625" style="14"/>
    <col min="7172" max="7172" width="5.7109375" style="14" customWidth="1"/>
    <col min="7173" max="7173" width="13.140625" style="14" customWidth="1"/>
    <col min="7174" max="7174" width="12.28515625" style="14" customWidth="1"/>
    <col min="7175" max="7175" width="8.85546875" style="14" customWidth="1"/>
    <col min="7176" max="7176" width="10.85546875" style="14" customWidth="1"/>
    <col min="7177" max="7177" width="2.85546875" style="14" customWidth="1"/>
    <col min="7178" max="7178" width="12.140625" style="14" customWidth="1"/>
    <col min="7179" max="7179" width="10.140625" style="14" customWidth="1"/>
    <col min="7180" max="7180" width="11.7109375" style="14" customWidth="1"/>
    <col min="7181" max="7181" width="11.42578125" style="14" customWidth="1"/>
    <col min="7182" max="7182" width="12.7109375" style="14" customWidth="1"/>
    <col min="7183" max="7183" width="11.42578125" style="14" customWidth="1"/>
    <col min="7184" max="7184" width="10.7109375" style="14" customWidth="1"/>
    <col min="7185" max="7185" width="10.5703125" style="14" customWidth="1"/>
    <col min="7186" max="7186" width="11.28515625" style="14" customWidth="1"/>
    <col min="7187" max="7187" width="9.7109375" style="14" customWidth="1"/>
    <col min="7188" max="7188" width="12" style="14" customWidth="1"/>
    <col min="7189" max="7189" width="11.28515625" style="14" customWidth="1"/>
    <col min="7190" max="7427" width="9.140625" style="14"/>
    <col min="7428" max="7428" width="5.7109375" style="14" customWidth="1"/>
    <col min="7429" max="7429" width="13.140625" style="14" customWidth="1"/>
    <col min="7430" max="7430" width="12.28515625" style="14" customWidth="1"/>
    <col min="7431" max="7431" width="8.85546875" style="14" customWidth="1"/>
    <col min="7432" max="7432" width="10.85546875" style="14" customWidth="1"/>
    <col min="7433" max="7433" width="2.85546875" style="14" customWidth="1"/>
    <col min="7434" max="7434" width="12.140625" style="14" customWidth="1"/>
    <col min="7435" max="7435" width="10.140625" style="14" customWidth="1"/>
    <col min="7436" max="7436" width="11.7109375" style="14" customWidth="1"/>
    <col min="7437" max="7437" width="11.42578125" style="14" customWidth="1"/>
    <col min="7438" max="7438" width="12.7109375" style="14" customWidth="1"/>
    <col min="7439" max="7439" width="11.42578125" style="14" customWidth="1"/>
    <col min="7440" max="7440" width="10.7109375" style="14" customWidth="1"/>
    <col min="7441" max="7441" width="10.5703125" style="14" customWidth="1"/>
    <col min="7442" max="7442" width="11.28515625" style="14" customWidth="1"/>
    <col min="7443" max="7443" width="9.7109375" style="14" customWidth="1"/>
    <col min="7444" max="7444" width="12" style="14" customWidth="1"/>
    <col min="7445" max="7445" width="11.28515625" style="14" customWidth="1"/>
    <col min="7446" max="7683" width="9.140625" style="14"/>
    <col min="7684" max="7684" width="5.7109375" style="14" customWidth="1"/>
    <col min="7685" max="7685" width="13.140625" style="14" customWidth="1"/>
    <col min="7686" max="7686" width="12.28515625" style="14" customWidth="1"/>
    <col min="7687" max="7687" width="8.85546875" style="14" customWidth="1"/>
    <col min="7688" max="7688" width="10.85546875" style="14" customWidth="1"/>
    <col min="7689" max="7689" width="2.85546875" style="14" customWidth="1"/>
    <col min="7690" max="7690" width="12.140625" style="14" customWidth="1"/>
    <col min="7691" max="7691" width="10.140625" style="14" customWidth="1"/>
    <col min="7692" max="7692" width="11.7109375" style="14" customWidth="1"/>
    <col min="7693" max="7693" width="11.42578125" style="14" customWidth="1"/>
    <col min="7694" max="7694" width="12.7109375" style="14" customWidth="1"/>
    <col min="7695" max="7695" width="11.42578125" style="14" customWidth="1"/>
    <col min="7696" max="7696" width="10.7109375" style="14" customWidth="1"/>
    <col min="7697" max="7697" width="10.5703125" style="14" customWidth="1"/>
    <col min="7698" max="7698" width="11.28515625" style="14" customWidth="1"/>
    <col min="7699" max="7699" width="9.7109375" style="14" customWidth="1"/>
    <col min="7700" max="7700" width="12" style="14" customWidth="1"/>
    <col min="7701" max="7701" width="11.28515625" style="14" customWidth="1"/>
    <col min="7702" max="7939" width="9.140625" style="14"/>
    <col min="7940" max="7940" width="5.7109375" style="14" customWidth="1"/>
    <col min="7941" max="7941" width="13.140625" style="14" customWidth="1"/>
    <col min="7942" max="7942" width="12.28515625" style="14" customWidth="1"/>
    <col min="7943" max="7943" width="8.85546875" style="14" customWidth="1"/>
    <col min="7944" max="7944" width="10.85546875" style="14" customWidth="1"/>
    <col min="7945" max="7945" width="2.85546875" style="14" customWidth="1"/>
    <col min="7946" max="7946" width="12.140625" style="14" customWidth="1"/>
    <col min="7947" max="7947" width="10.140625" style="14" customWidth="1"/>
    <col min="7948" max="7948" width="11.7109375" style="14" customWidth="1"/>
    <col min="7949" max="7949" width="11.42578125" style="14" customWidth="1"/>
    <col min="7950" max="7950" width="12.7109375" style="14" customWidth="1"/>
    <col min="7951" max="7951" width="11.42578125" style="14" customWidth="1"/>
    <col min="7952" max="7952" width="10.7109375" style="14" customWidth="1"/>
    <col min="7953" max="7953" width="10.5703125" style="14" customWidth="1"/>
    <col min="7954" max="7954" width="11.28515625" style="14" customWidth="1"/>
    <col min="7955" max="7955" width="9.7109375" style="14" customWidth="1"/>
    <col min="7956" max="7956" width="12" style="14" customWidth="1"/>
    <col min="7957" max="7957" width="11.28515625" style="14" customWidth="1"/>
    <col min="7958" max="8195" width="9.140625" style="14"/>
    <col min="8196" max="8196" width="5.7109375" style="14" customWidth="1"/>
    <col min="8197" max="8197" width="13.140625" style="14" customWidth="1"/>
    <col min="8198" max="8198" width="12.28515625" style="14" customWidth="1"/>
    <col min="8199" max="8199" width="8.85546875" style="14" customWidth="1"/>
    <col min="8200" max="8200" width="10.85546875" style="14" customWidth="1"/>
    <col min="8201" max="8201" width="2.85546875" style="14" customWidth="1"/>
    <col min="8202" max="8202" width="12.140625" style="14" customWidth="1"/>
    <col min="8203" max="8203" width="10.140625" style="14" customWidth="1"/>
    <col min="8204" max="8204" width="11.7109375" style="14" customWidth="1"/>
    <col min="8205" max="8205" width="11.42578125" style="14" customWidth="1"/>
    <col min="8206" max="8206" width="12.7109375" style="14" customWidth="1"/>
    <col min="8207" max="8207" width="11.42578125" style="14" customWidth="1"/>
    <col min="8208" max="8208" width="10.7109375" style="14" customWidth="1"/>
    <col min="8209" max="8209" width="10.5703125" style="14" customWidth="1"/>
    <col min="8210" max="8210" width="11.28515625" style="14" customWidth="1"/>
    <col min="8211" max="8211" width="9.7109375" style="14" customWidth="1"/>
    <col min="8212" max="8212" width="12" style="14" customWidth="1"/>
    <col min="8213" max="8213" width="11.28515625" style="14" customWidth="1"/>
    <col min="8214" max="8451" width="9.140625" style="14"/>
    <col min="8452" max="8452" width="5.7109375" style="14" customWidth="1"/>
    <col min="8453" max="8453" width="13.140625" style="14" customWidth="1"/>
    <col min="8454" max="8454" width="12.28515625" style="14" customWidth="1"/>
    <col min="8455" max="8455" width="8.85546875" style="14" customWidth="1"/>
    <col min="8456" max="8456" width="10.85546875" style="14" customWidth="1"/>
    <col min="8457" max="8457" width="2.85546875" style="14" customWidth="1"/>
    <col min="8458" max="8458" width="12.140625" style="14" customWidth="1"/>
    <col min="8459" max="8459" width="10.140625" style="14" customWidth="1"/>
    <col min="8460" max="8460" width="11.7109375" style="14" customWidth="1"/>
    <col min="8461" max="8461" width="11.42578125" style="14" customWidth="1"/>
    <col min="8462" max="8462" width="12.7109375" style="14" customWidth="1"/>
    <col min="8463" max="8463" width="11.42578125" style="14" customWidth="1"/>
    <col min="8464" max="8464" width="10.7109375" style="14" customWidth="1"/>
    <col min="8465" max="8465" width="10.5703125" style="14" customWidth="1"/>
    <col min="8466" max="8466" width="11.28515625" style="14" customWidth="1"/>
    <col min="8467" max="8467" width="9.7109375" style="14" customWidth="1"/>
    <col min="8468" max="8468" width="12" style="14" customWidth="1"/>
    <col min="8469" max="8469" width="11.28515625" style="14" customWidth="1"/>
    <col min="8470" max="8707" width="9.140625" style="14"/>
    <col min="8708" max="8708" width="5.7109375" style="14" customWidth="1"/>
    <col min="8709" max="8709" width="13.140625" style="14" customWidth="1"/>
    <col min="8710" max="8710" width="12.28515625" style="14" customWidth="1"/>
    <col min="8711" max="8711" width="8.85546875" style="14" customWidth="1"/>
    <col min="8712" max="8712" width="10.85546875" style="14" customWidth="1"/>
    <col min="8713" max="8713" width="2.85546875" style="14" customWidth="1"/>
    <col min="8714" max="8714" width="12.140625" style="14" customWidth="1"/>
    <col min="8715" max="8715" width="10.140625" style="14" customWidth="1"/>
    <col min="8716" max="8716" width="11.7109375" style="14" customWidth="1"/>
    <col min="8717" max="8717" width="11.42578125" style="14" customWidth="1"/>
    <col min="8718" max="8718" width="12.7109375" style="14" customWidth="1"/>
    <col min="8719" max="8719" width="11.42578125" style="14" customWidth="1"/>
    <col min="8720" max="8720" width="10.7109375" style="14" customWidth="1"/>
    <col min="8721" max="8721" width="10.5703125" style="14" customWidth="1"/>
    <col min="8722" max="8722" width="11.28515625" style="14" customWidth="1"/>
    <col min="8723" max="8723" width="9.7109375" style="14" customWidth="1"/>
    <col min="8724" max="8724" width="12" style="14" customWidth="1"/>
    <col min="8725" max="8725" width="11.28515625" style="14" customWidth="1"/>
    <col min="8726" max="8963" width="9.140625" style="14"/>
    <col min="8964" max="8964" width="5.7109375" style="14" customWidth="1"/>
    <col min="8965" max="8965" width="13.140625" style="14" customWidth="1"/>
    <col min="8966" max="8966" width="12.28515625" style="14" customWidth="1"/>
    <col min="8967" max="8967" width="8.85546875" style="14" customWidth="1"/>
    <col min="8968" max="8968" width="10.85546875" style="14" customWidth="1"/>
    <col min="8969" max="8969" width="2.85546875" style="14" customWidth="1"/>
    <col min="8970" max="8970" width="12.140625" style="14" customWidth="1"/>
    <col min="8971" max="8971" width="10.140625" style="14" customWidth="1"/>
    <col min="8972" max="8972" width="11.7109375" style="14" customWidth="1"/>
    <col min="8973" max="8973" width="11.42578125" style="14" customWidth="1"/>
    <col min="8974" max="8974" width="12.7109375" style="14" customWidth="1"/>
    <col min="8975" max="8975" width="11.42578125" style="14" customWidth="1"/>
    <col min="8976" max="8976" width="10.7109375" style="14" customWidth="1"/>
    <col min="8977" max="8977" width="10.5703125" style="14" customWidth="1"/>
    <col min="8978" max="8978" width="11.28515625" style="14" customWidth="1"/>
    <col min="8979" max="8979" width="9.7109375" style="14" customWidth="1"/>
    <col min="8980" max="8980" width="12" style="14" customWidth="1"/>
    <col min="8981" max="8981" width="11.28515625" style="14" customWidth="1"/>
    <col min="8982" max="9219" width="9.140625" style="14"/>
    <col min="9220" max="9220" width="5.7109375" style="14" customWidth="1"/>
    <col min="9221" max="9221" width="13.140625" style="14" customWidth="1"/>
    <col min="9222" max="9222" width="12.28515625" style="14" customWidth="1"/>
    <col min="9223" max="9223" width="8.85546875" style="14" customWidth="1"/>
    <col min="9224" max="9224" width="10.85546875" style="14" customWidth="1"/>
    <col min="9225" max="9225" width="2.85546875" style="14" customWidth="1"/>
    <col min="9226" max="9226" width="12.140625" style="14" customWidth="1"/>
    <col min="9227" max="9227" width="10.140625" style="14" customWidth="1"/>
    <col min="9228" max="9228" width="11.7109375" style="14" customWidth="1"/>
    <col min="9229" max="9229" width="11.42578125" style="14" customWidth="1"/>
    <col min="9230" max="9230" width="12.7109375" style="14" customWidth="1"/>
    <col min="9231" max="9231" width="11.42578125" style="14" customWidth="1"/>
    <col min="9232" max="9232" width="10.7109375" style="14" customWidth="1"/>
    <col min="9233" max="9233" width="10.5703125" style="14" customWidth="1"/>
    <col min="9234" max="9234" width="11.28515625" style="14" customWidth="1"/>
    <col min="9235" max="9235" width="9.7109375" style="14" customWidth="1"/>
    <col min="9236" max="9236" width="12" style="14" customWidth="1"/>
    <col min="9237" max="9237" width="11.28515625" style="14" customWidth="1"/>
    <col min="9238" max="9475" width="9.140625" style="14"/>
    <col min="9476" max="9476" width="5.7109375" style="14" customWidth="1"/>
    <col min="9477" max="9477" width="13.140625" style="14" customWidth="1"/>
    <col min="9478" max="9478" width="12.28515625" style="14" customWidth="1"/>
    <col min="9479" max="9479" width="8.85546875" style="14" customWidth="1"/>
    <col min="9480" max="9480" width="10.85546875" style="14" customWidth="1"/>
    <col min="9481" max="9481" width="2.85546875" style="14" customWidth="1"/>
    <col min="9482" max="9482" width="12.140625" style="14" customWidth="1"/>
    <col min="9483" max="9483" width="10.140625" style="14" customWidth="1"/>
    <col min="9484" max="9484" width="11.7109375" style="14" customWidth="1"/>
    <col min="9485" max="9485" width="11.42578125" style="14" customWidth="1"/>
    <col min="9486" max="9486" width="12.7109375" style="14" customWidth="1"/>
    <col min="9487" max="9487" width="11.42578125" style="14" customWidth="1"/>
    <col min="9488" max="9488" width="10.7109375" style="14" customWidth="1"/>
    <col min="9489" max="9489" width="10.5703125" style="14" customWidth="1"/>
    <col min="9490" max="9490" width="11.28515625" style="14" customWidth="1"/>
    <col min="9491" max="9491" width="9.7109375" style="14" customWidth="1"/>
    <col min="9492" max="9492" width="12" style="14" customWidth="1"/>
    <col min="9493" max="9493" width="11.28515625" style="14" customWidth="1"/>
    <col min="9494" max="9731" width="9.140625" style="14"/>
    <col min="9732" max="9732" width="5.7109375" style="14" customWidth="1"/>
    <col min="9733" max="9733" width="13.140625" style="14" customWidth="1"/>
    <col min="9734" max="9734" width="12.28515625" style="14" customWidth="1"/>
    <col min="9735" max="9735" width="8.85546875" style="14" customWidth="1"/>
    <col min="9736" max="9736" width="10.85546875" style="14" customWidth="1"/>
    <col min="9737" max="9737" width="2.85546875" style="14" customWidth="1"/>
    <col min="9738" max="9738" width="12.140625" style="14" customWidth="1"/>
    <col min="9739" max="9739" width="10.140625" style="14" customWidth="1"/>
    <col min="9740" max="9740" width="11.7109375" style="14" customWidth="1"/>
    <col min="9741" max="9741" width="11.42578125" style="14" customWidth="1"/>
    <col min="9742" max="9742" width="12.7109375" style="14" customWidth="1"/>
    <col min="9743" max="9743" width="11.42578125" style="14" customWidth="1"/>
    <col min="9744" max="9744" width="10.7109375" style="14" customWidth="1"/>
    <col min="9745" max="9745" width="10.5703125" style="14" customWidth="1"/>
    <col min="9746" max="9746" width="11.28515625" style="14" customWidth="1"/>
    <col min="9747" max="9747" width="9.7109375" style="14" customWidth="1"/>
    <col min="9748" max="9748" width="12" style="14" customWidth="1"/>
    <col min="9749" max="9749" width="11.28515625" style="14" customWidth="1"/>
    <col min="9750" max="9987" width="9.140625" style="14"/>
    <col min="9988" max="9988" width="5.7109375" style="14" customWidth="1"/>
    <col min="9989" max="9989" width="13.140625" style="14" customWidth="1"/>
    <col min="9990" max="9990" width="12.28515625" style="14" customWidth="1"/>
    <col min="9991" max="9991" width="8.85546875" style="14" customWidth="1"/>
    <col min="9992" max="9992" width="10.85546875" style="14" customWidth="1"/>
    <col min="9993" max="9993" width="2.85546875" style="14" customWidth="1"/>
    <col min="9994" max="9994" width="12.140625" style="14" customWidth="1"/>
    <col min="9995" max="9995" width="10.140625" style="14" customWidth="1"/>
    <col min="9996" max="9996" width="11.7109375" style="14" customWidth="1"/>
    <col min="9997" max="9997" width="11.42578125" style="14" customWidth="1"/>
    <col min="9998" max="9998" width="12.7109375" style="14" customWidth="1"/>
    <col min="9999" max="9999" width="11.42578125" style="14" customWidth="1"/>
    <col min="10000" max="10000" width="10.7109375" style="14" customWidth="1"/>
    <col min="10001" max="10001" width="10.5703125" style="14" customWidth="1"/>
    <col min="10002" max="10002" width="11.28515625" style="14" customWidth="1"/>
    <col min="10003" max="10003" width="9.7109375" style="14" customWidth="1"/>
    <col min="10004" max="10004" width="12" style="14" customWidth="1"/>
    <col min="10005" max="10005" width="11.28515625" style="14" customWidth="1"/>
    <col min="10006" max="10243" width="9.140625" style="14"/>
    <col min="10244" max="10244" width="5.7109375" style="14" customWidth="1"/>
    <col min="10245" max="10245" width="13.140625" style="14" customWidth="1"/>
    <col min="10246" max="10246" width="12.28515625" style="14" customWidth="1"/>
    <col min="10247" max="10247" width="8.85546875" style="14" customWidth="1"/>
    <col min="10248" max="10248" width="10.85546875" style="14" customWidth="1"/>
    <col min="10249" max="10249" width="2.85546875" style="14" customWidth="1"/>
    <col min="10250" max="10250" width="12.140625" style="14" customWidth="1"/>
    <col min="10251" max="10251" width="10.140625" style="14" customWidth="1"/>
    <col min="10252" max="10252" width="11.7109375" style="14" customWidth="1"/>
    <col min="10253" max="10253" width="11.42578125" style="14" customWidth="1"/>
    <col min="10254" max="10254" width="12.7109375" style="14" customWidth="1"/>
    <col min="10255" max="10255" width="11.42578125" style="14" customWidth="1"/>
    <col min="10256" max="10256" width="10.7109375" style="14" customWidth="1"/>
    <col min="10257" max="10257" width="10.5703125" style="14" customWidth="1"/>
    <col min="10258" max="10258" width="11.28515625" style="14" customWidth="1"/>
    <col min="10259" max="10259" width="9.7109375" style="14" customWidth="1"/>
    <col min="10260" max="10260" width="12" style="14" customWidth="1"/>
    <col min="10261" max="10261" width="11.28515625" style="14" customWidth="1"/>
    <col min="10262" max="10499" width="9.140625" style="14"/>
    <col min="10500" max="10500" width="5.7109375" style="14" customWidth="1"/>
    <col min="10501" max="10501" width="13.140625" style="14" customWidth="1"/>
    <col min="10502" max="10502" width="12.28515625" style="14" customWidth="1"/>
    <col min="10503" max="10503" width="8.85546875" style="14" customWidth="1"/>
    <col min="10504" max="10504" width="10.85546875" style="14" customWidth="1"/>
    <col min="10505" max="10505" width="2.85546875" style="14" customWidth="1"/>
    <col min="10506" max="10506" width="12.140625" style="14" customWidth="1"/>
    <col min="10507" max="10507" width="10.140625" style="14" customWidth="1"/>
    <col min="10508" max="10508" width="11.7109375" style="14" customWidth="1"/>
    <col min="10509" max="10509" width="11.42578125" style="14" customWidth="1"/>
    <col min="10510" max="10510" width="12.7109375" style="14" customWidth="1"/>
    <col min="10511" max="10511" width="11.42578125" style="14" customWidth="1"/>
    <col min="10512" max="10512" width="10.7109375" style="14" customWidth="1"/>
    <col min="10513" max="10513" width="10.5703125" style="14" customWidth="1"/>
    <col min="10514" max="10514" width="11.28515625" style="14" customWidth="1"/>
    <col min="10515" max="10515" width="9.7109375" style="14" customWidth="1"/>
    <col min="10516" max="10516" width="12" style="14" customWidth="1"/>
    <col min="10517" max="10517" width="11.28515625" style="14" customWidth="1"/>
    <col min="10518" max="10755" width="9.140625" style="14"/>
    <col min="10756" max="10756" width="5.7109375" style="14" customWidth="1"/>
    <col min="10757" max="10757" width="13.140625" style="14" customWidth="1"/>
    <col min="10758" max="10758" width="12.28515625" style="14" customWidth="1"/>
    <col min="10759" max="10759" width="8.85546875" style="14" customWidth="1"/>
    <col min="10760" max="10760" width="10.85546875" style="14" customWidth="1"/>
    <col min="10761" max="10761" width="2.85546875" style="14" customWidth="1"/>
    <col min="10762" max="10762" width="12.140625" style="14" customWidth="1"/>
    <col min="10763" max="10763" width="10.140625" style="14" customWidth="1"/>
    <col min="10764" max="10764" width="11.7109375" style="14" customWidth="1"/>
    <col min="10765" max="10765" width="11.42578125" style="14" customWidth="1"/>
    <col min="10766" max="10766" width="12.7109375" style="14" customWidth="1"/>
    <col min="10767" max="10767" width="11.42578125" style="14" customWidth="1"/>
    <col min="10768" max="10768" width="10.7109375" style="14" customWidth="1"/>
    <col min="10769" max="10769" width="10.5703125" style="14" customWidth="1"/>
    <col min="10770" max="10770" width="11.28515625" style="14" customWidth="1"/>
    <col min="10771" max="10771" width="9.7109375" style="14" customWidth="1"/>
    <col min="10772" max="10772" width="12" style="14" customWidth="1"/>
    <col min="10773" max="10773" width="11.28515625" style="14" customWidth="1"/>
    <col min="10774" max="11011" width="9.140625" style="14"/>
    <col min="11012" max="11012" width="5.7109375" style="14" customWidth="1"/>
    <col min="11013" max="11013" width="13.140625" style="14" customWidth="1"/>
    <col min="11014" max="11014" width="12.28515625" style="14" customWidth="1"/>
    <col min="11015" max="11015" width="8.85546875" style="14" customWidth="1"/>
    <col min="11016" max="11016" width="10.85546875" style="14" customWidth="1"/>
    <col min="11017" max="11017" width="2.85546875" style="14" customWidth="1"/>
    <col min="11018" max="11018" width="12.140625" style="14" customWidth="1"/>
    <col min="11019" max="11019" width="10.140625" style="14" customWidth="1"/>
    <col min="11020" max="11020" width="11.7109375" style="14" customWidth="1"/>
    <col min="11021" max="11021" width="11.42578125" style="14" customWidth="1"/>
    <col min="11022" max="11022" width="12.7109375" style="14" customWidth="1"/>
    <col min="11023" max="11023" width="11.42578125" style="14" customWidth="1"/>
    <col min="11024" max="11024" width="10.7109375" style="14" customWidth="1"/>
    <col min="11025" max="11025" width="10.5703125" style="14" customWidth="1"/>
    <col min="11026" max="11026" width="11.28515625" style="14" customWidth="1"/>
    <col min="11027" max="11027" width="9.7109375" style="14" customWidth="1"/>
    <col min="11028" max="11028" width="12" style="14" customWidth="1"/>
    <col min="11029" max="11029" width="11.28515625" style="14" customWidth="1"/>
    <col min="11030" max="11267" width="9.140625" style="14"/>
    <col min="11268" max="11268" width="5.7109375" style="14" customWidth="1"/>
    <col min="11269" max="11269" width="13.140625" style="14" customWidth="1"/>
    <col min="11270" max="11270" width="12.28515625" style="14" customWidth="1"/>
    <col min="11271" max="11271" width="8.85546875" style="14" customWidth="1"/>
    <col min="11272" max="11272" width="10.85546875" style="14" customWidth="1"/>
    <col min="11273" max="11273" width="2.85546875" style="14" customWidth="1"/>
    <col min="11274" max="11274" width="12.140625" style="14" customWidth="1"/>
    <col min="11275" max="11275" width="10.140625" style="14" customWidth="1"/>
    <col min="11276" max="11276" width="11.7109375" style="14" customWidth="1"/>
    <col min="11277" max="11277" width="11.42578125" style="14" customWidth="1"/>
    <col min="11278" max="11278" width="12.7109375" style="14" customWidth="1"/>
    <col min="11279" max="11279" width="11.42578125" style="14" customWidth="1"/>
    <col min="11280" max="11280" width="10.7109375" style="14" customWidth="1"/>
    <col min="11281" max="11281" width="10.5703125" style="14" customWidth="1"/>
    <col min="11282" max="11282" width="11.28515625" style="14" customWidth="1"/>
    <col min="11283" max="11283" width="9.7109375" style="14" customWidth="1"/>
    <col min="11284" max="11284" width="12" style="14" customWidth="1"/>
    <col min="11285" max="11285" width="11.28515625" style="14" customWidth="1"/>
    <col min="11286" max="11523" width="9.140625" style="14"/>
    <col min="11524" max="11524" width="5.7109375" style="14" customWidth="1"/>
    <col min="11525" max="11525" width="13.140625" style="14" customWidth="1"/>
    <col min="11526" max="11526" width="12.28515625" style="14" customWidth="1"/>
    <col min="11527" max="11527" width="8.85546875" style="14" customWidth="1"/>
    <col min="11528" max="11528" width="10.85546875" style="14" customWidth="1"/>
    <col min="11529" max="11529" width="2.85546875" style="14" customWidth="1"/>
    <col min="11530" max="11530" width="12.140625" style="14" customWidth="1"/>
    <col min="11531" max="11531" width="10.140625" style="14" customWidth="1"/>
    <col min="11532" max="11532" width="11.7109375" style="14" customWidth="1"/>
    <col min="11533" max="11533" width="11.42578125" style="14" customWidth="1"/>
    <col min="11534" max="11534" width="12.7109375" style="14" customWidth="1"/>
    <col min="11535" max="11535" width="11.42578125" style="14" customWidth="1"/>
    <col min="11536" max="11536" width="10.7109375" style="14" customWidth="1"/>
    <col min="11537" max="11537" width="10.5703125" style="14" customWidth="1"/>
    <col min="11538" max="11538" width="11.28515625" style="14" customWidth="1"/>
    <col min="11539" max="11539" width="9.7109375" style="14" customWidth="1"/>
    <col min="11540" max="11540" width="12" style="14" customWidth="1"/>
    <col min="11541" max="11541" width="11.28515625" style="14" customWidth="1"/>
    <col min="11542" max="11779" width="9.140625" style="14"/>
    <col min="11780" max="11780" width="5.7109375" style="14" customWidth="1"/>
    <col min="11781" max="11781" width="13.140625" style="14" customWidth="1"/>
    <col min="11782" max="11782" width="12.28515625" style="14" customWidth="1"/>
    <col min="11783" max="11783" width="8.85546875" style="14" customWidth="1"/>
    <col min="11784" max="11784" width="10.85546875" style="14" customWidth="1"/>
    <col min="11785" max="11785" width="2.85546875" style="14" customWidth="1"/>
    <col min="11786" max="11786" width="12.140625" style="14" customWidth="1"/>
    <col min="11787" max="11787" width="10.140625" style="14" customWidth="1"/>
    <col min="11788" max="11788" width="11.7109375" style="14" customWidth="1"/>
    <col min="11789" max="11789" width="11.42578125" style="14" customWidth="1"/>
    <col min="11790" max="11790" width="12.7109375" style="14" customWidth="1"/>
    <col min="11791" max="11791" width="11.42578125" style="14" customWidth="1"/>
    <col min="11792" max="11792" width="10.7109375" style="14" customWidth="1"/>
    <col min="11793" max="11793" width="10.5703125" style="14" customWidth="1"/>
    <col min="11794" max="11794" width="11.28515625" style="14" customWidth="1"/>
    <col min="11795" max="11795" width="9.7109375" style="14" customWidth="1"/>
    <col min="11796" max="11796" width="12" style="14" customWidth="1"/>
    <col min="11797" max="11797" width="11.28515625" style="14" customWidth="1"/>
    <col min="11798" max="12035" width="9.140625" style="14"/>
    <col min="12036" max="12036" width="5.7109375" style="14" customWidth="1"/>
    <col min="12037" max="12037" width="13.140625" style="14" customWidth="1"/>
    <col min="12038" max="12038" width="12.28515625" style="14" customWidth="1"/>
    <col min="12039" max="12039" width="8.85546875" style="14" customWidth="1"/>
    <col min="12040" max="12040" width="10.85546875" style="14" customWidth="1"/>
    <col min="12041" max="12041" width="2.85546875" style="14" customWidth="1"/>
    <col min="12042" max="12042" width="12.140625" style="14" customWidth="1"/>
    <col min="12043" max="12043" width="10.140625" style="14" customWidth="1"/>
    <col min="12044" max="12044" width="11.7109375" style="14" customWidth="1"/>
    <col min="12045" max="12045" width="11.42578125" style="14" customWidth="1"/>
    <col min="12046" max="12046" width="12.7109375" style="14" customWidth="1"/>
    <col min="12047" max="12047" width="11.42578125" style="14" customWidth="1"/>
    <col min="12048" max="12048" width="10.7109375" style="14" customWidth="1"/>
    <col min="12049" max="12049" width="10.5703125" style="14" customWidth="1"/>
    <col min="12050" max="12050" width="11.28515625" style="14" customWidth="1"/>
    <col min="12051" max="12051" width="9.7109375" style="14" customWidth="1"/>
    <col min="12052" max="12052" width="12" style="14" customWidth="1"/>
    <col min="12053" max="12053" width="11.28515625" style="14" customWidth="1"/>
    <col min="12054" max="12291" width="9.140625" style="14"/>
    <col min="12292" max="12292" width="5.7109375" style="14" customWidth="1"/>
    <col min="12293" max="12293" width="13.140625" style="14" customWidth="1"/>
    <col min="12294" max="12294" width="12.28515625" style="14" customWidth="1"/>
    <col min="12295" max="12295" width="8.85546875" style="14" customWidth="1"/>
    <col min="12296" max="12296" width="10.85546875" style="14" customWidth="1"/>
    <col min="12297" max="12297" width="2.85546875" style="14" customWidth="1"/>
    <col min="12298" max="12298" width="12.140625" style="14" customWidth="1"/>
    <col min="12299" max="12299" width="10.140625" style="14" customWidth="1"/>
    <col min="12300" max="12300" width="11.7109375" style="14" customWidth="1"/>
    <col min="12301" max="12301" width="11.42578125" style="14" customWidth="1"/>
    <col min="12302" max="12302" width="12.7109375" style="14" customWidth="1"/>
    <col min="12303" max="12303" width="11.42578125" style="14" customWidth="1"/>
    <col min="12304" max="12304" width="10.7109375" style="14" customWidth="1"/>
    <col min="12305" max="12305" width="10.5703125" style="14" customWidth="1"/>
    <col min="12306" max="12306" width="11.28515625" style="14" customWidth="1"/>
    <col min="12307" max="12307" width="9.7109375" style="14" customWidth="1"/>
    <col min="12308" max="12308" width="12" style="14" customWidth="1"/>
    <col min="12309" max="12309" width="11.28515625" style="14" customWidth="1"/>
    <col min="12310" max="12547" width="9.140625" style="14"/>
    <col min="12548" max="12548" width="5.7109375" style="14" customWidth="1"/>
    <col min="12549" max="12549" width="13.140625" style="14" customWidth="1"/>
    <col min="12550" max="12550" width="12.28515625" style="14" customWidth="1"/>
    <col min="12551" max="12551" width="8.85546875" style="14" customWidth="1"/>
    <col min="12552" max="12552" width="10.85546875" style="14" customWidth="1"/>
    <col min="12553" max="12553" width="2.85546875" style="14" customWidth="1"/>
    <col min="12554" max="12554" width="12.140625" style="14" customWidth="1"/>
    <col min="12555" max="12555" width="10.140625" style="14" customWidth="1"/>
    <col min="12556" max="12556" width="11.7109375" style="14" customWidth="1"/>
    <col min="12557" max="12557" width="11.42578125" style="14" customWidth="1"/>
    <col min="12558" max="12558" width="12.7109375" style="14" customWidth="1"/>
    <col min="12559" max="12559" width="11.42578125" style="14" customWidth="1"/>
    <col min="12560" max="12560" width="10.7109375" style="14" customWidth="1"/>
    <col min="12561" max="12561" width="10.5703125" style="14" customWidth="1"/>
    <col min="12562" max="12562" width="11.28515625" style="14" customWidth="1"/>
    <col min="12563" max="12563" width="9.7109375" style="14" customWidth="1"/>
    <col min="12564" max="12564" width="12" style="14" customWidth="1"/>
    <col min="12565" max="12565" width="11.28515625" style="14" customWidth="1"/>
    <col min="12566" max="12803" width="9.140625" style="14"/>
    <col min="12804" max="12804" width="5.7109375" style="14" customWidth="1"/>
    <col min="12805" max="12805" width="13.140625" style="14" customWidth="1"/>
    <col min="12806" max="12806" width="12.28515625" style="14" customWidth="1"/>
    <col min="12807" max="12807" width="8.85546875" style="14" customWidth="1"/>
    <col min="12808" max="12808" width="10.85546875" style="14" customWidth="1"/>
    <col min="12809" max="12809" width="2.85546875" style="14" customWidth="1"/>
    <col min="12810" max="12810" width="12.140625" style="14" customWidth="1"/>
    <col min="12811" max="12811" width="10.140625" style="14" customWidth="1"/>
    <col min="12812" max="12812" width="11.7109375" style="14" customWidth="1"/>
    <col min="12813" max="12813" width="11.42578125" style="14" customWidth="1"/>
    <col min="12814" max="12814" width="12.7109375" style="14" customWidth="1"/>
    <col min="12815" max="12815" width="11.42578125" style="14" customWidth="1"/>
    <col min="12816" max="12816" width="10.7109375" style="14" customWidth="1"/>
    <col min="12817" max="12817" width="10.5703125" style="14" customWidth="1"/>
    <col min="12818" max="12818" width="11.28515625" style="14" customWidth="1"/>
    <col min="12819" max="12819" width="9.7109375" style="14" customWidth="1"/>
    <col min="12820" max="12820" width="12" style="14" customWidth="1"/>
    <col min="12821" max="12821" width="11.28515625" style="14" customWidth="1"/>
    <col min="12822" max="13059" width="9.140625" style="14"/>
    <col min="13060" max="13060" width="5.7109375" style="14" customWidth="1"/>
    <col min="13061" max="13061" width="13.140625" style="14" customWidth="1"/>
    <col min="13062" max="13062" width="12.28515625" style="14" customWidth="1"/>
    <col min="13063" max="13063" width="8.85546875" style="14" customWidth="1"/>
    <col min="13064" max="13064" width="10.85546875" style="14" customWidth="1"/>
    <col min="13065" max="13065" width="2.85546875" style="14" customWidth="1"/>
    <col min="13066" max="13066" width="12.140625" style="14" customWidth="1"/>
    <col min="13067" max="13067" width="10.140625" style="14" customWidth="1"/>
    <col min="13068" max="13068" width="11.7109375" style="14" customWidth="1"/>
    <col min="13069" max="13069" width="11.42578125" style="14" customWidth="1"/>
    <col min="13070" max="13070" width="12.7109375" style="14" customWidth="1"/>
    <col min="13071" max="13071" width="11.42578125" style="14" customWidth="1"/>
    <col min="13072" max="13072" width="10.7109375" style="14" customWidth="1"/>
    <col min="13073" max="13073" width="10.5703125" style="14" customWidth="1"/>
    <col min="13074" max="13074" width="11.28515625" style="14" customWidth="1"/>
    <col min="13075" max="13075" width="9.7109375" style="14" customWidth="1"/>
    <col min="13076" max="13076" width="12" style="14" customWidth="1"/>
    <col min="13077" max="13077" width="11.28515625" style="14" customWidth="1"/>
    <col min="13078" max="13315" width="9.140625" style="14"/>
    <col min="13316" max="13316" width="5.7109375" style="14" customWidth="1"/>
    <col min="13317" max="13317" width="13.140625" style="14" customWidth="1"/>
    <col min="13318" max="13318" width="12.28515625" style="14" customWidth="1"/>
    <col min="13319" max="13319" width="8.85546875" style="14" customWidth="1"/>
    <col min="13320" max="13320" width="10.85546875" style="14" customWidth="1"/>
    <col min="13321" max="13321" width="2.85546875" style="14" customWidth="1"/>
    <col min="13322" max="13322" width="12.140625" style="14" customWidth="1"/>
    <col min="13323" max="13323" width="10.140625" style="14" customWidth="1"/>
    <col min="13324" max="13324" width="11.7109375" style="14" customWidth="1"/>
    <col min="13325" max="13325" width="11.42578125" style="14" customWidth="1"/>
    <col min="13326" max="13326" width="12.7109375" style="14" customWidth="1"/>
    <col min="13327" max="13327" width="11.42578125" style="14" customWidth="1"/>
    <col min="13328" max="13328" width="10.7109375" style="14" customWidth="1"/>
    <col min="13329" max="13329" width="10.5703125" style="14" customWidth="1"/>
    <col min="13330" max="13330" width="11.28515625" style="14" customWidth="1"/>
    <col min="13331" max="13331" width="9.7109375" style="14" customWidth="1"/>
    <col min="13332" max="13332" width="12" style="14" customWidth="1"/>
    <col min="13333" max="13333" width="11.28515625" style="14" customWidth="1"/>
    <col min="13334" max="13571" width="9.140625" style="14"/>
    <col min="13572" max="13572" width="5.7109375" style="14" customWidth="1"/>
    <col min="13573" max="13573" width="13.140625" style="14" customWidth="1"/>
    <col min="13574" max="13574" width="12.28515625" style="14" customWidth="1"/>
    <col min="13575" max="13575" width="8.85546875" style="14" customWidth="1"/>
    <col min="13576" max="13576" width="10.85546875" style="14" customWidth="1"/>
    <col min="13577" max="13577" width="2.85546875" style="14" customWidth="1"/>
    <col min="13578" max="13578" width="12.140625" style="14" customWidth="1"/>
    <col min="13579" max="13579" width="10.140625" style="14" customWidth="1"/>
    <col min="13580" max="13580" width="11.7109375" style="14" customWidth="1"/>
    <col min="13581" max="13581" width="11.42578125" style="14" customWidth="1"/>
    <col min="13582" max="13582" width="12.7109375" style="14" customWidth="1"/>
    <col min="13583" max="13583" width="11.42578125" style="14" customWidth="1"/>
    <col min="13584" max="13584" width="10.7109375" style="14" customWidth="1"/>
    <col min="13585" max="13585" width="10.5703125" style="14" customWidth="1"/>
    <col min="13586" max="13586" width="11.28515625" style="14" customWidth="1"/>
    <col min="13587" max="13587" width="9.7109375" style="14" customWidth="1"/>
    <col min="13588" max="13588" width="12" style="14" customWidth="1"/>
    <col min="13589" max="13589" width="11.28515625" style="14" customWidth="1"/>
    <col min="13590" max="13827" width="9.140625" style="14"/>
    <col min="13828" max="13828" width="5.7109375" style="14" customWidth="1"/>
    <col min="13829" max="13829" width="13.140625" style="14" customWidth="1"/>
    <col min="13830" max="13830" width="12.28515625" style="14" customWidth="1"/>
    <col min="13831" max="13831" width="8.85546875" style="14" customWidth="1"/>
    <col min="13832" max="13832" width="10.85546875" style="14" customWidth="1"/>
    <col min="13833" max="13833" width="2.85546875" style="14" customWidth="1"/>
    <col min="13834" max="13834" width="12.140625" style="14" customWidth="1"/>
    <col min="13835" max="13835" width="10.140625" style="14" customWidth="1"/>
    <col min="13836" max="13836" width="11.7109375" style="14" customWidth="1"/>
    <col min="13837" max="13837" width="11.42578125" style="14" customWidth="1"/>
    <col min="13838" max="13838" width="12.7109375" style="14" customWidth="1"/>
    <col min="13839" max="13839" width="11.42578125" style="14" customWidth="1"/>
    <col min="13840" max="13840" width="10.7109375" style="14" customWidth="1"/>
    <col min="13841" max="13841" width="10.5703125" style="14" customWidth="1"/>
    <col min="13842" max="13842" width="11.28515625" style="14" customWidth="1"/>
    <col min="13843" max="13843" width="9.7109375" style="14" customWidth="1"/>
    <col min="13844" max="13844" width="12" style="14" customWidth="1"/>
    <col min="13845" max="13845" width="11.28515625" style="14" customWidth="1"/>
    <col min="13846" max="14083" width="9.140625" style="14"/>
    <col min="14084" max="14084" width="5.7109375" style="14" customWidth="1"/>
    <col min="14085" max="14085" width="13.140625" style="14" customWidth="1"/>
    <col min="14086" max="14086" width="12.28515625" style="14" customWidth="1"/>
    <col min="14087" max="14087" width="8.85546875" style="14" customWidth="1"/>
    <col min="14088" max="14088" width="10.85546875" style="14" customWidth="1"/>
    <col min="14089" max="14089" width="2.85546875" style="14" customWidth="1"/>
    <col min="14090" max="14090" width="12.140625" style="14" customWidth="1"/>
    <col min="14091" max="14091" width="10.140625" style="14" customWidth="1"/>
    <col min="14092" max="14092" width="11.7109375" style="14" customWidth="1"/>
    <col min="14093" max="14093" width="11.42578125" style="14" customWidth="1"/>
    <col min="14094" max="14094" width="12.7109375" style="14" customWidth="1"/>
    <col min="14095" max="14095" width="11.42578125" style="14" customWidth="1"/>
    <col min="14096" max="14096" width="10.7109375" style="14" customWidth="1"/>
    <col min="14097" max="14097" width="10.5703125" style="14" customWidth="1"/>
    <col min="14098" max="14098" width="11.28515625" style="14" customWidth="1"/>
    <col min="14099" max="14099" width="9.7109375" style="14" customWidth="1"/>
    <col min="14100" max="14100" width="12" style="14" customWidth="1"/>
    <col min="14101" max="14101" width="11.28515625" style="14" customWidth="1"/>
    <col min="14102" max="14339" width="9.140625" style="14"/>
    <col min="14340" max="14340" width="5.7109375" style="14" customWidth="1"/>
    <col min="14341" max="14341" width="13.140625" style="14" customWidth="1"/>
    <col min="14342" max="14342" width="12.28515625" style="14" customWidth="1"/>
    <col min="14343" max="14343" width="8.85546875" style="14" customWidth="1"/>
    <col min="14344" max="14344" width="10.85546875" style="14" customWidth="1"/>
    <col min="14345" max="14345" width="2.85546875" style="14" customWidth="1"/>
    <col min="14346" max="14346" width="12.140625" style="14" customWidth="1"/>
    <col min="14347" max="14347" width="10.140625" style="14" customWidth="1"/>
    <col min="14348" max="14348" width="11.7109375" style="14" customWidth="1"/>
    <col min="14349" max="14349" width="11.42578125" style="14" customWidth="1"/>
    <col min="14350" max="14350" width="12.7109375" style="14" customWidth="1"/>
    <col min="14351" max="14351" width="11.42578125" style="14" customWidth="1"/>
    <col min="14352" max="14352" width="10.7109375" style="14" customWidth="1"/>
    <col min="14353" max="14353" width="10.5703125" style="14" customWidth="1"/>
    <col min="14354" max="14354" width="11.28515625" style="14" customWidth="1"/>
    <col min="14355" max="14355" width="9.7109375" style="14" customWidth="1"/>
    <col min="14356" max="14356" width="12" style="14" customWidth="1"/>
    <col min="14357" max="14357" width="11.28515625" style="14" customWidth="1"/>
    <col min="14358" max="14595" width="9.140625" style="14"/>
    <col min="14596" max="14596" width="5.7109375" style="14" customWidth="1"/>
    <col min="14597" max="14597" width="13.140625" style="14" customWidth="1"/>
    <col min="14598" max="14598" width="12.28515625" style="14" customWidth="1"/>
    <col min="14599" max="14599" width="8.85546875" style="14" customWidth="1"/>
    <col min="14600" max="14600" width="10.85546875" style="14" customWidth="1"/>
    <col min="14601" max="14601" width="2.85546875" style="14" customWidth="1"/>
    <col min="14602" max="14602" width="12.140625" style="14" customWidth="1"/>
    <col min="14603" max="14603" width="10.140625" style="14" customWidth="1"/>
    <col min="14604" max="14604" width="11.7109375" style="14" customWidth="1"/>
    <col min="14605" max="14605" width="11.42578125" style="14" customWidth="1"/>
    <col min="14606" max="14606" width="12.7109375" style="14" customWidth="1"/>
    <col min="14607" max="14607" width="11.42578125" style="14" customWidth="1"/>
    <col min="14608" max="14608" width="10.7109375" style="14" customWidth="1"/>
    <col min="14609" max="14609" width="10.5703125" style="14" customWidth="1"/>
    <col min="14610" max="14610" width="11.28515625" style="14" customWidth="1"/>
    <col min="14611" max="14611" width="9.7109375" style="14" customWidth="1"/>
    <col min="14612" max="14612" width="12" style="14" customWidth="1"/>
    <col min="14613" max="14613" width="11.28515625" style="14" customWidth="1"/>
    <col min="14614" max="14851" width="9.140625" style="14"/>
    <col min="14852" max="14852" width="5.7109375" style="14" customWidth="1"/>
    <col min="14853" max="14853" width="13.140625" style="14" customWidth="1"/>
    <col min="14854" max="14854" width="12.28515625" style="14" customWidth="1"/>
    <col min="14855" max="14855" width="8.85546875" style="14" customWidth="1"/>
    <col min="14856" max="14856" width="10.85546875" style="14" customWidth="1"/>
    <col min="14857" max="14857" width="2.85546875" style="14" customWidth="1"/>
    <col min="14858" max="14858" width="12.140625" style="14" customWidth="1"/>
    <col min="14859" max="14859" width="10.140625" style="14" customWidth="1"/>
    <col min="14860" max="14860" width="11.7109375" style="14" customWidth="1"/>
    <col min="14861" max="14861" width="11.42578125" style="14" customWidth="1"/>
    <col min="14862" max="14862" width="12.7109375" style="14" customWidth="1"/>
    <col min="14863" max="14863" width="11.42578125" style="14" customWidth="1"/>
    <col min="14864" max="14864" width="10.7109375" style="14" customWidth="1"/>
    <col min="14865" max="14865" width="10.5703125" style="14" customWidth="1"/>
    <col min="14866" max="14866" width="11.28515625" style="14" customWidth="1"/>
    <col min="14867" max="14867" width="9.7109375" style="14" customWidth="1"/>
    <col min="14868" max="14868" width="12" style="14" customWidth="1"/>
    <col min="14869" max="14869" width="11.28515625" style="14" customWidth="1"/>
    <col min="14870" max="15107" width="9.140625" style="14"/>
    <col min="15108" max="15108" width="5.7109375" style="14" customWidth="1"/>
    <col min="15109" max="15109" width="13.140625" style="14" customWidth="1"/>
    <col min="15110" max="15110" width="12.28515625" style="14" customWidth="1"/>
    <col min="15111" max="15111" width="8.85546875" style="14" customWidth="1"/>
    <col min="15112" max="15112" width="10.85546875" style="14" customWidth="1"/>
    <col min="15113" max="15113" width="2.85546875" style="14" customWidth="1"/>
    <col min="15114" max="15114" width="12.140625" style="14" customWidth="1"/>
    <col min="15115" max="15115" width="10.140625" style="14" customWidth="1"/>
    <col min="15116" max="15116" width="11.7109375" style="14" customWidth="1"/>
    <col min="15117" max="15117" width="11.42578125" style="14" customWidth="1"/>
    <col min="15118" max="15118" width="12.7109375" style="14" customWidth="1"/>
    <col min="15119" max="15119" width="11.42578125" style="14" customWidth="1"/>
    <col min="15120" max="15120" width="10.7109375" style="14" customWidth="1"/>
    <col min="15121" max="15121" width="10.5703125" style="14" customWidth="1"/>
    <col min="15122" max="15122" width="11.28515625" style="14" customWidth="1"/>
    <col min="15123" max="15123" width="9.7109375" style="14" customWidth="1"/>
    <col min="15124" max="15124" width="12" style="14" customWidth="1"/>
    <col min="15125" max="15125" width="11.28515625" style="14" customWidth="1"/>
    <col min="15126" max="15363" width="9.140625" style="14"/>
    <col min="15364" max="15364" width="5.7109375" style="14" customWidth="1"/>
    <col min="15365" max="15365" width="13.140625" style="14" customWidth="1"/>
    <col min="15366" max="15366" width="12.28515625" style="14" customWidth="1"/>
    <col min="15367" max="15367" width="8.85546875" style="14" customWidth="1"/>
    <col min="15368" max="15368" width="10.85546875" style="14" customWidth="1"/>
    <col min="15369" max="15369" width="2.85546875" style="14" customWidth="1"/>
    <col min="15370" max="15370" width="12.140625" style="14" customWidth="1"/>
    <col min="15371" max="15371" width="10.140625" style="14" customWidth="1"/>
    <col min="15372" max="15372" width="11.7109375" style="14" customWidth="1"/>
    <col min="15373" max="15373" width="11.42578125" style="14" customWidth="1"/>
    <col min="15374" max="15374" width="12.7109375" style="14" customWidth="1"/>
    <col min="15375" max="15375" width="11.42578125" style="14" customWidth="1"/>
    <col min="15376" max="15376" width="10.7109375" style="14" customWidth="1"/>
    <col min="15377" max="15377" width="10.5703125" style="14" customWidth="1"/>
    <col min="15378" max="15378" width="11.28515625" style="14" customWidth="1"/>
    <col min="15379" max="15379" width="9.7109375" style="14" customWidth="1"/>
    <col min="15380" max="15380" width="12" style="14" customWidth="1"/>
    <col min="15381" max="15381" width="11.28515625" style="14" customWidth="1"/>
    <col min="15382" max="15619" width="9.140625" style="14"/>
    <col min="15620" max="15620" width="5.7109375" style="14" customWidth="1"/>
    <col min="15621" max="15621" width="13.140625" style="14" customWidth="1"/>
    <col min="15622" max="15622" width="12.28515625" style="14" customWidth="1"/>
    <col min="15623" max="15623" width="8.85546875" style="14" customWidth="1"/>
    <col min="15624" max="15624" width="10.85546875" style="14" customWidth="1"/>
    <col min="15625" max="15625" width="2.85546875" style="14" customWidth="1"/>
    <col min="15626" max="15626" width="12.140625" style="14" customWidth="1"/>
    <col min="15627" max="15627" width="10.140625" style="14" customWidth="1"/>
    <col min="15628" max="15628" width="11.7109375" style="14" customWidth="1"/>
    <col min="15629" max="15629" width="11.42578125" style="14" customWidth="1"/>
    <col min="15630" max="15630" width="12.7109375" style="14" customWidth="1"/>
    <col min="15631" max="15631" width="11.42578125" style="14" customWidth="1"/>
    <col min="15632" max="15632" width="10.7109375" style="14" customWidth="1"/>
    <col min="15633" max="15633" width="10.5703125" style="14" customWidth="1"/>
    <col min="15634" max="15634" width="11.28515625" style="14" customWidth="1"/>
    <col min="15635" max="15635" width="9.7109375" style="14" customWidth="1"/>
    <col min="15636" max="15636" width="12" style="14" customWidth="1"/>
    <col min="15637" max="15637" width="11.28515625" style="14" customWidth="1"/>
    <col min="15638" max="15875" width="9.140625" style="14"/>
    <col min="15876" max="15876" width="5.7109375" style="14" customWidth="1"/>
    <col min="15877" max="15877" width="13.140625" style="14" customWidth="1"/>
    <col min="15878" max="15878" width="12.28515625" style="14" customWidth="1"/>
    <col min="15879" max="15879" width="8.85546875" style="14" customWidth="1"/>
    <col min="15880" max="15880" width="10.85546875" style="14" customWidth="1"/>
    <col min="15881" max="15881" width="2.85546875" style="14" customWidth="1"/>
    <col min="15882" max="15882" width="12.140625" style="14" customWidth="1"/>
    <col min="15883" max="15883" width="10.140625" style="14" customWidth="1"/>
    <col min="15884" max="15884" width="11.7109375" style="14" customWidth="1"/>
    <col min="15885" max="15885" width="11.42578125" style="14" customWidth="1"/>
    <col min="15886" max="15886" width="12.7109375" style="14" customWidth="1"/>
    <col min="15887" max="15887" width="11.42578125" style="14" customWidth="1"/>
    <col min="15888" max="15888" width="10.7109375" style="14" customWidth="1"/>
    <col min="15889" max="15889" width="10.5703125" style="14" customWidth="1"/>
    <col min="15890" max="15890" width="11.28515625" style="14" customWidth="1"/>
    <col min="15891" max="15891" width="9.7109375" style="14" customWidth="1"/>
    <col min="15892" max="15892" width="12" style="14" customWidth="1"/>
    <col min="15893" max="15893" width="11.28515625" style="14" customWidth="1"/>
    <col min="15894" max="16131" width="9.140625" style="14"/>
    <col min="16132" max="16132" width="5.7109375" style="14" customWidth="1"/>
    <col min="16133" max="16133" width="13.140625" style="14" customWidth="1"/>
    <col min="16134" max="16134" width="12.28515625" style="14" customWidth="1"/>
    <col min="16135" max="16135" width="8.85546875" style="14" customWidth="1"/>
    <col min="16136" max="16136" width="10.85546875" style="14" customWidth="1"/>
    <col min="16137" max="16137" width="2.85546875" style="14" customWidth="1"/>
    <col min="16138" max="16138" width="12.140625" style="14" customWidth="1"/>
    <col min="16139" max="16139" width="10.140625" style="14" customWidth="1"/>
    <col min="16140" max="16140" width="11.7109375" style="14" customWidth="1"/>
    <col min="16141" max="16141" width="11.42578125" style="14" customWidth="1"/>
    <col min="16142" max="16142" width="12.7109375" style="14" customWidth="1"/>
    <col min="16143" max="16143" width="11.42578125" style="14" customWidth="1"/>
    <col min="16144" max="16144" width="10.7109375" style="14" customWidth="1"/>
    <col min="16145" max="16145" width="10.5703125" style="14" customWidth="1"/>
    <col min="16146" max="16146" width="11.28515625" style="14" customWidth="1"/>
    <col min="16147" max="16147" width="9.7109375" style="14" customWidth="1"/>
    <col min="16148" max="16148" width="12" style="14" customWidth="1"/>
    <col min="16149" max="16149" width="11.28515625" style="14" customWidth="1"/>
    <col min="16150" max="16384" width="9.140625" style="14"/>
  </cols>
  <sheetData>
    <row r="1" spans="4:19" ht="12.75" thickBot="1" x14ac:dyDescent="0.25"/>
    <row r="2" spans="4:19" ht="12" customHeight="1" thickBot="1" x14ac:dyDescent="0.25">
      <c r="Q2" s="633" t="s">
        <v>0</v>
      </c>
      <c r="R2" s="634"/>
      <c r="S2" s="635"/>
    </row>
    <row r="3" spans="4:19" ht="13.5" thickBot="1" x14ac:dyDescent="0.25">
      <c r="I3" s="636" t="s">
        <v>1</v>
      </c>
      <c r="J3" s="637"/>
      <c r="K3" s="637"/>
      <c r="L3" s="637"/>
      <c r="M3" s="637"/>
      <c r="N3" s="637"/>
      <c r="O3" s="638"/>
      <c r="Q3" s="611">
        <f>'REYES LARA DANTE'!Q3</f>
        <v>45</v>
      </c>
      <c r="R3" s="639"/>
      <c r="S3" s="612"/>
    </row>
    <row r="4" spans="4:19" ht="13.5" thickBot="1" x14ac:dyDescent="0.25">
      <c r="I4" s="640" t="s">
        <v>2</v>
      </c>
      <c r="J4" s="641"/>
      <c r="K4" s="641"/>
      <c r="L4" s="641"/>
      <c r="M4" s="641"/>
      <c r="N4" s="641"/>
      <c r="O4" s="642"/>
      <c r="Q4" s="18"/>
      <c r="R4" s="18"/>
      <c r="S4" s="18"/>
    </row>
    <row r="5" spans="4:19" ht="13.5" thickBot="1" x14ac:dyDescent="0.25">
      <c r="I5" s="643" t="s">
        <v>287</v>
      </c>
      <c r="J5" s="644"/>
      <c r="K5" s="644"/>
      <c r="L5" s="644"/>
      <c r="M5" s="644"/>
      <c r="N5" s="644"/>
      <c r="O5" s="645"/>
      <c r="Q5" s="611" t="s">
        <v>4</v>
      </c>
      <c r="R5" s="639"/>
      <c r="S5" s="612"/>
    </row>
    <row r="6" spans="4:19" ht="13.5" thickBot="1" x14ac:dyDescent="0.25">
      <c r="I6" s="650" t="s">
        <v>5</v>
      </c>
      <c r="J6" s="651"/>
      <c r="K6" s="651"/>
      <c r="L6" s="651"/>
      <c r="M6" s="651"/>
      <c r="N6" s="651"/>
      <c r="O6" s="652"/>
      <c r="Q6" s="653">
        <f>+'LIRA ARCEO JOEL EDUARDO'!Q6+1</f>
        <v>120</v>
      </c>
      <c r="R6" s="654"/>
      <c r="S6" s="655"/>
    </row>
    <row r="7" spans="4:19" ht="9" customHeight="1" x14ac:dyDescent="0.2"/>
    <row r="8" spans="4:19" ht="6.75" customHeight="1" thickBot="1" x14ac:dyDescent="0.25"/>
    <row r="9" spans="4:19" ht="13.5" thickBot="1" x14ac:dyDescent="0.25">
      <c r="I9" s="611" t="s">
        <v>6</v>
      </c>
      <c r="J9" s="639"/>
      <c r="K9" s="639"/>
      <c r="L9" s="639"/>
      <c r="M9" s="639"/>
      <c r="N9" s="639"/>
      <c r="O9" s="612"/>
    </row>
    <row r="10" spans="4:19" ht="11.25" customHeight="1" thickBot="1" x14ac:dyDescent="0.25"/>
    <row r="11" spans="4:19" ht="12.75" x14ac:dyDescent="0.2">
      <c r="D11" s="1" t="s">
        <v>7</v>
      </c>
      <c r="E11" s="2" t="s">
        <v>182</v>
      </c>
      <c r="F11" s="2"/>
      <c r="G11" s="2"/>
      <c r="H11" s="2"/>
      <c r="I11" s="2"/>
      <c r="J11" s="2"/>
      <c r="K11" s="3" t="s">
        <v>8</v>
      </c>
      <c r="L11" s="656" t="str">
        <f>'AGUILAR ESQUIVEL CARLOS'!L11</f>
        <v>SEMANA #45 PERIODO DEL 27 de oct AL 02 de nov DEL 2025</v>
      </c>
      <c r="M11" s="656"/>
      <c r="N11" s="656"/>
      <c r="O11" s="656"/>
      <c r="P11" s="656"/>
      <c r="Q11" s="656"/>
      <c r="R11" s="656"/>
      <c r="S11" s="659"/>
    </row>
    <row r="12" spans="4:19" ht="12.75" x14ac:dyDescent="0.2">
      <c r="D12" s="4" t="s">
        <v>9</v>
      </c>
      <c r="E12" s="624" t="s">
        <v>262</v>
      </c>
      <c r="F12" s="624"/>
      <c r="G12" s="5"/>
      <c r="H12" s="130"/>
      <c r="I12" s="130"/>
      <c r="J12" s="130"/>
      <c r="K12" s="130"/>
      <c r="L12" s="130"/>
      <c r="M12" s="130"/>
      <c r="N12" s="130"/>
      <c r="O12" s="130"/>
      <c r="P12" s="130"/>
      <c r="Q12" s="130"/>
      <c r="R12" s="130"/>
      <c r="S12" s="256"/>
    </row>
    <row r="13" spans="4:19" ht="9.75" customHeight="1" x14ac:dyDescent="0.2">
      <c r="D13" s="623"/>
      <c r="E13" s="624"/>
      <c r="F13" s="130"/>
      <c r="G13" s="130"/>
      <c r="H13" s="130"/>
      <c r="I13" s="130"/>
      <c r="J13" s="130"/>
      <c r="K13" s="130"/>
      <c r="L13" s="130"/>
      <c r="M13" s="130"/>
      <c r="N13" s="130"/>
      <c r="O13" s="130"/>
      <c r="P13" s="130"/>
      <c r="Q13" s="130"/>
      <c r="R13" s="130"/>
      <c r="S13" s="256"/>
    </row>
    <row r="14" spans="4:19" ht="12.75" x14ac:dyDescent="0.2">
      <c r="D14" s="625" t="s">
        <v>10</v>
      </c>
      <c r="E14" s="626"/>
      <c r="F14" s="130">
        <v>329130</v>
      </c>
      <c r="G14" s="130"/>
      <c r="H14" s="130"/>
      <c r="I14" s="6" t="s">
        <v>11</v>
      </c>
      <c r="J14" s="6"/>
      <c r="K14" s="130"/>
      <c r="L14" s="130"/>
      <c r="M14" s="130"/>
      <c r="N14" s="130"/>
      <c r="O14" s="6" t="s">
        <v>12</v>
      </c>
      <c r="P14" s="7"/>
      <c r="Q14" s="7"/>
      <c r="R14" s="7"/>
      <c r="S14" s="8"/>
    </row>
    <row r="15" spans="4:19" ht="12.75" x14ac:dyDescent="0.2">
      <c r="D15" s="625" t="s">
        <v>13</v>
      </c>
      <c r="E15" s="626"/>
      <c r="F15" s="130">
        <v>329904</v>
      </c>
      <c r="G15" s="130"/>
      <c r="H15" s="130"/>
      <c r="I15" s="6" t="s">
        <v>14</v>
      </c>
      <c r="J15" s="6"/>
      <c r="K15" s="130"/>
      <c r="L15" s="130"/>
      <c r="M15" s="130"/>
      <c r="N15" s="130"/>
      <c r="O15" s="6" t="s">
        <v>15</v>
      </c>
      <c r="P15" s="130"/>
      <c r="Q15" s="130"/>
      <c r="R15" s="130"/>
      <c r="S15" s="256"/>
    </row>
    <row r="16" spans="4:19" ht="13.5" thickBot="1" x14ac:dyDescent="0.25">
      <c r="D16" s="627" t="s">
        <v>16</v>
      </c>
      <c r="E16" s="628"/>
      <c r="F16" s="257">
        <f>SUM(J19:J32)</f>
        <v>4084</v>
      </c>
      <c r="G16" s="257"/>
      <c r="H16" s="257"/>
      <c r="I16" s="9" t="s">
        <v>17</v>
      </c>
      <c r="J16" s="257">
        <f>SUM(K19:K32)</f>
        <v>1297.4000000000001</v>
      </c>
      <c r="K16" s="257"/>
      <c r="L16" s="257"/>
      <c r="M16" s="257"/>
      <c r="N16" s="257"/>
      <c r="O16" s="9" t="s">
        <v>18</v>
      </c>
      <c r="P16" s="10">
        <f>+F16/J16</f>
        <v>3.1478341297980572</v>
      </c>
      <c r="Q16" s="257"/>
      <c r="R16" s="257"/>
      <c r="S16" s="258"/>
    </row>
    <row r="17" spans="3:22" ht="7.5" customHeight="1" thickBot="1" x14ac:dyDescent="0.25"/>
    <row r="18" spans="3:22" ht="33" customHeight="1" thickBot="1" x14ac:dyDescent="0.25">
      <c r="C18" s="243" t="s">
        <v>19</v>
      </c>
      <c r="D18" s="33" t="s">
        <v>20</v>
      </c>
      <c r="E18" s="34" t="s">
        <v>21</v>
      </c>
      <c r="F18" s="34" t="s">
        <v>22</v>
      </c>
      <c r="G18" s="34" t="s">
        <v>23</v>
      </c>
      <c r="H18" s="34" t="s">
        <v>24</v>
      </c>
      <c r="I18" s="34" t="s">
        <v>25</v>
      </c>
      <c r="J18" s="34" t="s">
        <v>26</v>
      </c>
      <c r="K18" s="34" t="s">
        <v>27</v>
      </c>
      <c r="L18" s="34" t="s">
        <v>28</v>
      </c>
      <c r="M18" s="34" t="s">
        <v>285</v>
      </c>
      <c r="N18" s="34" t="s">
        <v>29</v>
      </c>
      <c r="O18" s="34" t="s">
        <v>30</v>
      </c>
      <c r="P18" s="33" t="s">
        <v>31</v>
      </c>
      <c r="Q18" s="34" t="s">
        <v>219</v>
      </c>
      <c r="R18" s="34" t="s">
        <v>184</v>
      </c>
      <c r="S18" s="34" t="s">
        <v>33</v>
      </c>
      <c r="T18" s="35" t="s">
        <v>220</v>
      </c>
      <c r="U18" s="448" t="s">
        <v>351</v>
      </c>
      <c r="V18" s="305" t="s">
        <v>355</v>
      </c>
    </row>
    <row r="19" spans="3:22" x14ac:dyDescent="0.2">
      <c r="C19" s="176">
        <v>46121</v>
      </c>
      <c r="D19" s="43" t="s">
        <v>628</v>
      </c>
      <c r="E19" s="42">
        <v>45958</v>
      </c>
      <c r="F19" s="42">
        <v>45959</v>
      </c>
      <c r="G19" s="43">
        <v>15</v>
      </c>
      <c r="H19" s="236" t="str">
        <f>IF(G19=1,KILOMETRAJE!C$4,IF(G19=2,KILOMETRAJE!C$5,IF(G19=3,KILOMETRAJE!C$6,IF(G19=4,KILOMETRAJE!C$7,IF(G19=5,KILOMETRAJE!C$8,IF(G19=6,KILOMETRAJE!C$9,IF(G19=7,KILOMETRAJE!C$10,IF(G19=8,KILOMETRAJE!C$11,IF(G19=9,KILOMETRAJE!C$12,IF(G19=10,KILOMETRAJE!C$13,IF(G19=11,KILOMETRAJE!C$14,IF(G19=12,KILOMETRAJE!C$15,IF(G19=13,KILOMETRAJE!C$16,IF(G19=14,KILOMETRAJE!C$17,IF(G19=15,KILOMETRAJE!C$18,IF(G19=16,KILOMETRAJE!C$19,IF(G19=17,KILOMETRAJE!C$20,IF(G19=18,KILOMETRAJE!C$21,IF(G19=19,KILOMETRAJE!C$22,IF(G19=20,KILOMETRAJE!C$23,IF(G19=21,KILOMETRAJE!C$24,IF(G19=22,KILOMETRAJE!C$25,IF(G19=23,KILOMETRAJE!C$26,IF(G19=24,KILOMETRAJE!C$27,IF(G19=25,KILOMETRAJE!C$28,IF(G19=26,KILOMETRAJE!C$29,IF(G19=27,KILOMETRAJE!C$30,IF(G19=28,KILOMETRAJE!C$31,IF(G19=29,KILOMETRAJE!C$32,IF(G19=30,KILOMETRAJE!C$33,IF(G19=31,KILOMETRAJE!C$34,IF(G19=32,KILOMETRAJE!C$35,IF(G19=33,KILOMETRAJE!C$36,IF(G19=34,KILOMETRAJE!C$37,IF(G19=35,KILOMETRAJE!C$38,IF(G19=36,KILOMETRAJE!C$39,IF(G19=37,KILOMETRAJE!C$40,IF(G19=38,KILOMETRAJE!C$41,IF(G19=39,KILOMETRAJE!C$42,IF(G19=40,KILOMETRAJE!C$43,IF(G19=41,KILOMETRAJE!C$44,IF(G19=42,KILOMETRAJE!C$45,IF(G19=43,KILOMETRAJE!C$46,IF(G19=44,KILOMETRAJE!C$47,IF(G19=45,KILOMETRAJE!C$48,IF(G19=46,KILOMETRAJE!C$49,IF(G19=47,KILOMETRAJE!C$50,IF(G19=48,KILOMETRAJE!C$51,IF(G19=49,KILOMETRAJE!C$52,IF(G19=50,KILOMETRAJE!C$53,IF(G19=51,KILOMETRAJE!C$54,IF(G19=52,KILOMETRAJE!C$55,IF(G19=53,KILOMETRAJE!C$56,IF(G19=54,KILOMETRAJE!C$57,IF(G19=55,KILOMETRAJE!C$58,IF(G19=56,KILOMETRAJE!C$59,IF(G19=57,KILOMETRAJE!C$60,IF(G19=58,KILOMETRAJE!C$61,IF(G19=59,KILOMETRAJE!C$62,IF(G19=60,KILOMETRAJE!C$63,IF(G19=61,KILOMETRAJE!C$64,IF(G19=62,KILOMETRAJE!C$65,IF(G19=63,KILOMETRAJE!C$66)))))))))))))))))))))))))))))))))))))))))))))))))))))))))))))))</f>
        <v>JRZ</v>
      </c>
      <c r="I19" s="236" t="str">
        <f>IF(G19=1,KILOMETRAJE!E$4,IF(G19=2,KILOMETRAJE!E$5,IF(G19=3,KILOMETRAJE!E$6,IF(G19=4,KILOMETRAJE!E$7,IF(G19=5,KILOMETRAJE!E$8,IF(G19=6,KILOMETRAJE!E$9,IF(G19=7,KILOMETRAJE!E$10,IF(G19=8,KILOMETRAJE!E$11,IF(G19=9,KILOMETRAJE!E$12,IF(G19=10,KILOMETRAJE!E$13,IF(G19=11,KILOMETRAJE!E$14,IF(G19=12,KILOMETRAJE!E$15,IF(G19=13,KILOMETRAJE!E$16,IF(G19=14,KILOMETRAJE!E$17,IF(G19=15,KILOMETRAJE!E$18,IF(G19=16,KILOMETRAJE!E$19,IF(G19=17,KILOMETRAJE!E$20,IF(G19=18,KILOMETRAJE!E$21,IF(G19=19,KILOMETRAJE!E$22,IF(G19=20,KILOMETRAJE!E$23,IF(G19=21,KILOMETRAJE!E$24,IF(G19=22,KILOMETRAJE!E$25,IF(G19=23,KILOMETRAJE!E$26,IF(G19=24,KILOMETRAJE!E$27,IF(G19=25,KILOMETRAJE!E$28,IF(G19=26,KILOMETRAJE!E$29,IF(G19=27,KILOMETRAJE!E$30,IF(G19=28,KILOMETRAJE!E$31,IF(G19=29,KILOMETRAJE!E$32,IF(G19=30,KILOMETRAJE!E$33,IF(G19=31,KILOMETRAJE!E$34,IF(G19=32,KILOMETRAJE!E$35,IF(G19=33,KILOMETRAJE!E$36,IF(G19=34,KILOMETRAJE!E$37,IF(G19=35,KILOMETRAJE!E$38,IF(G19=36,KILOMETRAJE!E$39,IF(G19=37,KILOMETRAJE!E$40,IF(G19=38,KILOMETRAJE!E$41,IF(G19=39,KILOMETRAJE!E$42,IF(G19=40,KILOMETRAJE!E$43,IF(G19=41,KILOMETRAJE!E$44,IF(G19=42,KILOMETRAJE!E$45,IF(G19=43,KILOMETRAJE!E$46,IF(G19=44,KILOMETRAJE!E$47,IF(G19=45,KILOMETRAJE!E$48,IF(G19=46,KILOMETRAJE!E$49,IF(G19=47,KILOMETRAJE!E$50,IF(G19=48,KILOMETRAJE!E$51,IF(G19=49,KILOMETRAJE!E$52,IF(G19=50,KILOMETRAJE!E$53,IF(G19=51,KILOMETRAJE!E$54,IF(G19=52,KILOMETRAJE!E$55,IF(G19=53,KILOMETRAJE!E$56,IF(G19=54,KILOMETRAJE!E$57,IF(G19=55,KILOMETRAJE!E$58,IF(G19=56,KILOMETRAJE!E$59,IF(G19=57,KILOMETRAJE!E$60,IF(G19=58,KILOMETRAJE!E$61,IF(G19=59,KILOMETRAJE!E$62,IF(G19=60,KILOMETRAJE!E$63,IF(G19=61,KILOMETRAJE!E$64,IF(G19=62,KILOMETRAJE!E$65,IF(G19=63,KILOMETRAJE!E$66)))))))))))))))))))))))))))))))))))))))))))))))))))))))))))))))</f>
        <v>OBRG</v>
      </c>
      <c r="J19" s="237">
        <f>IF(G19=1,KILOMETRAJE!G$4,IF(G19=2,KILOMETRAJE!G$5,IF(G19=3,KILOMETRAJE!G$6,IF(G19=4,KILOMETRAJE!G$7,IF(G19=5,KILOMETRAJE!G$8,IF(G19=6,KILOMETRAJE!G$9,IF(G19=7,KILOMETRAJE!G$10,IF(G19=8,KILOMETRAJE!G$11,IF(G19=9,KILOMETRAJE!G$12,IF(G19=10,KILOMETRAJE!G$13,IF(G19=11,KILOMETRAJE!G$14,IF(G19=12,KILOMETRAJE!G$15,IF(G19=13,KILOMETRAJE!G$16,IF(G19=14,KILOMETRAJE!G$17,IF(G19=15,KILOMETRAJE!G$18,IF(G19=16,KILOMETRAJE!G$19,IF(G19=17,KILOMETRAJE!G$20,IF(G19=18,KILOMETRAJE!G$21,IF(G19=19,KILOMETRAJE!G$22,IF(G19=20,KILOMETRAJE!G$23,IF(G19=21,KILOMETRAJE!G$24,IF(G19=22,KILOMETRAJE!G$25,IF(G19=23,KILOMETRAJE!G$26,IF(G19=24,KILOMETRAJE!G$27,IF(G19=25,KILOMETRAJE!G$28,IF(G19=26,KILOMETRAJE!G$29,IF(G19=27,KILOMETRAJE!G$30,IF(G19=28,KILOMETRAJE!G$31,IF(G19=29,KILOMETRAJE!G$32,IF(G19=30,KILOMETRAJE!G$33,IF(G19=31,KILOMETRAJE!G$34,IF(G19=32,KILOMETRAJE!G$35,IF(G19=33,KILOMETRAJE!G$36,IF(G19=34,KILOMETRAJE!G$37,IF(G19=35,KILOMETRAJE!G$38,IF(G19=36,KILOMETRAJE!G$39,IF(G19=37,KILOMETRAJE!G$40,IF(G19=38,KILOMETRAJE!G$41,IF(G19=39,KILOMETRAJE!G$42,IF(G19=40,KILOMETRAJE!G$43,IF(G19=41,KILOMETRAJE!G$44,IF(G19=42,KILOMETRAJE!G$45,IF(G19=43,KILOMETRAJE!G$46,IF(G19=44,KILOMETRAJE!G$47,IF(G19=45,KILOMETRAJE!G$48,IF(G19=46,KILOMETRAJE!G$49,IF(G19=47,KILOMETRAJE!G$50,IF(G19=48,KILOMETRAJE!G$51,IF(G19=49,KILOMETRAJE!G$52,IF(G19=50,KILOMETRAJE!G$53,IF(G19=51,KILOMETRAJE!G$54,IF(G19=52,KILOMETRAJE!G$55,IF(G19=53,KILOMETRAJE!G$56,IF(G19=54,KILOMETRAJE!G$57,IF(G19=55,KILOMETRAJE!G$58,IF(G19=56,KILOMETRAJE!G$59,IF(G19=57,KILOMETRAJE!G$60,IF(G19=58,KILOMETRAJE!G$61,IF(G19=59,KILOMETRAJE!G$62,IF(G19=60,KILOMETRAJE!G$63,IF(G19=61,KILOMETRAJE!G$64,IF(G19=62,KILOMETRAJE!G$65,IF(G19=63,KILOMETRAJE!G$66)))))))))))))))))))))))))))))))))))))))))))))))))))))))))))))))</f>
        <v>1021</v>
      </c>
      <c r="K19" s="24"/>
      <c r="L19" s="44"/>
      <c r="M19" s="371">
        <v>15432</v>
      </c>
      <c r="N19" s="24">
        <v>1</v>
      </c>
      <c r="O19" s="24" t="s">
        <v>630</v>
      </c>
      <c r="P19" s="24" t="s">
        <v>200</v>
      </c>
      <c r="Q19" s="45">
        <v>306.3</v>
      </c>
      <c r="R19" s="191"/>
      <c r="S19" s="52"/>
      <c r="T19" s="46"/>
      <c r="U19" s="468"/>
      <c r="V19" s="468"/>
    </row>
    <row r="20" spans="3:22" ht="12.75" thickBot="1" x14ac:dyDescent="0.25">
      <c r="C20" s="239"/>
      <c r="D20" s="68" t="s">
        <v>629</v>
      </c>
      <c r="E20" s="69">
        <v>45959</v>
      </c>
      <c r="F20" s="69">
        <v>45960</v>
      </c>
      <c r="G20" s="68">
        <v>16</v>
      </c>
      <c r="H20" s="70" t="str">
        <f>IF(G20=1,KILOMETRAJE!C$4,IF(G20=2,KILOMETRAJE!C$5,IF(G20=3,KILOMETRAJE!C$6,IF(G20=4,KILOMETRAJE!C$7,IF(G20=5,KILOMETRAJE!C$8,IF(G20=6,KILOMETRAJE!C$9,IF(G20=7,KILOMETRAJE!C$10,IF(G20=8,KILOMETRAJE!C$11,IF(G20=9,KILOMETRAJE!C$12,IF(G20=10,KILOMETRAJE!C$13,IF(G20=11,KILOMETRAJE!C$14,IF(G20=12,KILOMETRAJE!C$15,IF(G20=13,KILOMETRAJE!C$16,IF(G20=14,KILOMETRAJE!C$17,IF(G20=15,KILOMETRAJE!C$18,IF(G20=16,KILOMETRAJE!C$19,IF(G20=17,KILOMETRAJE!C$20,IF(G20=18,KILOMETRAJE!C$21,IF(G20=19,KILOMETRAJE!C$22,IF(G20=20,KILOMETRAJE!C$23,IF(G20=21,KILOMETRAJE!C$24,IF(G20=22,KILOMETRAJE!C$25,IF(G20=23,KILOMETRAJE!C$26,IF(G20=24,KILOMETRAJE!C$27,IF(G20=25,KILOMETRAJE!C$28,IF(G20=26,KILOMETRAJE!C$29,IF(G20=27,KILOMETRAJE!C$30,IF(G20=28,KILOMETRAJE!C$31,IF(G20=29,KILOMETRAJE!C$32,IF(G20=30,KILOMETRAJE!C$33,IF(G20=31,KILOMETRAJE!C$34,IF(G20=32,KILOMETRAJE!C$35,IF(G20=33,KILOMETRAJE!C$36,IF(G20=34,KILOMETRAJE!C$37,IF(G20=35,KILOMETRAJE!C$38,IF(G20=36,KILOMETRAJE!C$39,IF(G20=37,KILOMETRAJE!C$40,IF(G20=38,KILOMETRAJE!C$41,IF(G20=39,KILOMETRAJE!C$42,IF(G20=40,KILOMETRAJE!C$43,IF(G20=41,KILOMETRAJE!C$44,IF(G20=42,KILOMETRAJE!C$45,IF(G20=43,KILOMETRAJE!C$46,IF(G20=44,KILOMETRAJE!C$47,IF(G20=45,KILOMETRAJE!C$48,IF(G20=46,KILOMETRAJE!C$49,IF(G20=47,KILOMETRAJE!C$50,IF(G20=48,KILOMETRAJE!C$51,IF(G20=49,KILOMETRAJE!C$52,IF(G20=50,KILOMETRAJE!C$53,IF(G20=51,KILOMETRAJE!C$54,IF(G20=52,KILOMETRAJE!C$55,IF(G20=53,KILOMETRAJE!C$56,IF(G20=54,KILOMETRAJE!C$57,IF(G20=55,KILOMETRAJE!C$58,IF(G20=56,KILOMETRAJE!C$59,IF(G20=57,KILOMETRAJE!C$60,IF(G20=58,KILOMETRAJE!C$61,IF(G20=59,KILOMETRAJE!C$62,IF(G20=60,KILOMETRAJE!C$63,IF(G20=61,KILOMETRAJE!C$64,IF(G20=62,KILOMETRAJE!C$65,IF(G20=63,KILOMETRAJE!C$66)))))))))))))))))))))))))))))))))))))))))))))))))))))))))))))))</f>
        <v>OBRG</v>
      </c>
      <c r="I20" s="70" t="str">
        <f>IF(G20=1,KILOMETRAJE!E$4,IF(G20=2,KILOMETRAJE!E$5,IF(G20=3,KILOMETRAJE!E$6,IF(G20=4,KILOMETRAJE!E$7,IF(G20=5,KILOMETRAJE!E$8,IF(G20=6,KILOMETRAJE!E$9,IF(G20=7,KILOMETRAJE!E$10,IF(G20=8,KILOMETRAJE!E$11,IF(G20=9,KILOMETRAJE!E$12,IF(G20=10,KILOMETRAJE!E$13,IF(G20=11,KILOMETRAJE!E$14,IF(G20=12,KILOMETRAJE!E$15,IF(G20=13,KILOMETRAJE!E$16,IF(G20=14,KILOMETRAJE!E$17,IF(G20=15,KILOMETRAJE!E$18,IF(G20=16,KILOMETRAJE!E$19,IF(G20=17,KILOMETRAJE!E$20,IF(G20=18,KILOMETRAJE!E$21,IF(G20=19,KILOMETRAJE!E$22,IF(G20=20,KILOMETRAJE!E$23,IF(G20=21,KILOMETRAJE!E$24,IF(G20=22,KILOMETRAJE!E$25,IF(G20=23,KILOMETRAJE!E$26,IF(G20=24,KILOMETRAJE!E$27,IF(G20=25,KILOMETRAJE!E$28,IF(G20=26,KILOMETRAJE!E$29,IF(G20=27,KILOMETRAJE!E$30,IF(G20=28,KILOMETRAJE!E$31,IF(G20=29,KILOMETRAJE!E$32,IF(G20=30,KILOMETRAJE!E$33,IF(G20=31,KILOMETRAJE!E$34,IF(G20=32,KILOMETRAJE!E$35,IF(G20=33,KILOMETRAJE!E$36,IF(G20=34,KILOMETRAJE!E$37,IF(G20=35,KILOMETRAJE!E$38,IF(G20=36,KILOMETRAJE!E$39,IF(G20=37,KILOMETRAJE!E$40,IF(G20=38,KILOMETRAJE!E$41,IF(G20=39,KILOMETRAJE!E$42,IF(G20=40,KILOMETRAJE!E$43,IF(G20=41,KILOMETRAJE!E$44,IF(G20=42,KILOMETRAJE!E$45,IF(G20=43,KILOMETRAJE!E$46,IF(G20=44,KILOMETRAJE!E$47,IF(G20=45,KILOMETRAJE!E$48,IF(G20=46,KILOMETRAJE!E$49,IF(G20=47,KILOMETRAJE!E$50,IF(G20=48,KILOMETRAJE!E$51,IF(G20=49,KILOMETRAJE!E$52,IF(G20=50,KILOMETRAJE!E$53,IF(G20=51,KILOMETRAJE!E$54,IF(G20=52,KILOMETRAJE!E$55,IF(G20=53,KILOMETRAJE!E$56,IF(G20=54,KILOMETRAJE!E$57,IF(G20=55,KILOMETRAJE!E$58,IF(G20=56,KILOMETRAJE!E$59,IF(G20=57,KILOMETRAJE!E$60,IF(G20=58,KILOMETRAJE!E$61,IF(G20=59,KILOMETRAJE!E$62,IF(G20=60,KILOMETRAJE!E$63,IF(G20=61,KILOMETRAJE!E$64,IF(G20=62,KILOMETRAJE!E$65,IF(G20=63,KILOMETRAJE!E$66)))))))))))))))))))))))))))))))))))))))))))))))))))))))))))))))</f>
        <v>JRZ</v>
      </c>
      <c r="J20" s="71">
        <f>IF(G20=1,KILOMETRAJE!G$4,IF(G20=2,KILOMETRAJE!G$5,IF(G20=3,KILOMETRAJE!G$6,IF(G20=4,KILOMETRAJE!G$7,IF(G20=5,KILOMETRAJE!G$8,IF(G20=6,KILOMETRAJE!G$9,IF(G20=7,KILOMETRAJE!G$10,IF(G20=8,KILOMETRAJE!G$11,IF(G20=9,KILOMETRAJE!G$12,IF(G20=10,KILOMETRAJE!G$13,IF(G20=11,KILOMETRAJE!G$14,IF(G20=12,KILOMETRAJE!G$15,IF(G20=13,KILOMETRAJE!G$16,IF(G20=14,KILOMETRAJE!G$17,IF(G20=15,KILOMETRAJE!G$18,IF(G20=16,KILOMETRAJE!G$19,IF(G20=17,KILOMETRAJE!G$20,IF(G20=18,KILOMETRAJE!G$21,IF(G20=19,KILOMETRAJE!G$22,IF(G20=20,KILOMETRAJE!G$23,IF(G20=21,KILOMETRAJE!G$24,IF(G20=22,KILOMETRAJE!G$25,IF(G20=23,KILOMETRAJE!G$26,IF(G20=24,KILOMETRAJE!G$27,IF(G20=25,KILOMETRAJE!G$28,IF(G20=26,KILOMETRAJE!G$29,IF(G20=27,KILOMETRAJE!G$30,IF(G20=28,KILOMETRAJE!G$31,IF(G20=29,KILOMETRAJE!G$32,IF(G20=30,KILOMETRAJE!G$33,IF(G20=31,KILOMETRAJE!G$34,IF(G20=32,KILOMETRAJE!G$35,IF(G20=33,KILOMETRAJE!G$36,IF(G20=34,KILOMETRAJE!G$37,IF(G20=35,KILOMETRAJE!G$38,IF(G20=36,KILOMETRAJE!G$39,IF(G20=37,KILOMETRAJE!G$40,IF(G20=38,KILOMETRAJE!G$41,IF(G20=39,KILOMETRAJE!G$42,IF(G20=40,KILOMETRAJE!G$43,IF(G20=41,KILOMETRAJE!G$44,IF(G20=42,KILOMETRAJE!G$45,IF(G20=43,KILOMETRAJE!G$46,IF(G20=44,KILOMETRAJE!G$47,IF(G20=45,KILOMETRAJE!G$48,IF(G20=46,KILOMETRAJE!G$49,IF(G20=47,KILOMETRAJE!G$50,IF(G20=48,KILOMETRAJE!G$51,IF(G20=49,KILOMETRAJE!G$52,IF(G20=50,KILOMETRAJE!G$53,IF(G20=51,KILOMETRAJE!G$54,IF(G20=52,KILOMETRAJE!G$55,IF(G20=53,KILOMETRAJE!G$56,IF(G20=54,KILOMETRAJE!G$57,IF(G20=55,KILOMETRAJE!G$58,IF(G20=56,KILOMETRAJE!G$59,IF(G20=57,KILOMETRAJE!G$60,IF(G20=58,KILOMETRAJE!G$61,IF(G20=59,KILOMETRAJE!G$62,IF(G20=60,KILOMETRAJE!G$63,IF(G20=61,KILOMETRAJE!G$64,IF(G20=62,KILOMETRAJE!G$65,IF(G20=63,KILOMETRAJE!G$66)))))))))))))))))))))))))))))))))))))))))))))))))))))))))))))))</f>
        <v>1021</v>
      </c>
      <c r="K20" s="70">
        <v>633.41</v>
      </c>
      <c r="L20" s="72">
        <f>SUM(J19:J20)/K20</f>
        <v>3.2238202743878372</v>
      </c>
      <c r="M20" s="377">
        <v>14655</v>
      </c>
      <c r="N20" s="70">
        <v>1</v>
      </c>
      <c r="O20" s="70" t="s">
        <v>631</v>
      </c>
      <c r="P20" s="70" t="s">
        <v>200</v>
      </c>
      <c r="Q20" s="67">
        <v>306.3</v>
      </c>
      <c r="R20" s="197">
        <v>2.7</v>
      </c>
      <c r="S20" s="194">
        <f>+((SUM(J19:J20))/R20)-K20</f>
        <v>122.88629629629622</v>
      </c>
      <c r="T20" s="73">
        <f>+S20*18.06</f>
        <v>2219.3265111111095</v>
      </c>
      <c r="U20" s="490"/>
      <c r="V20" s="490"/>
    </row>
    <row r="21" spans="3:22" x14ac:dyDescent="0.2">
      <c r="C21" s="176">
        <v>46160</v>
      </c>
      <c r="D21" s="43" t="s">
        <v>632</v>
      </c>
      <c r="E21" s="42">
        <v>45960</v>
      </c>
      <c r="F21" s="42">
        <v>45961</v>
      </c>
      <c r="G21" s="43">
        <v>15</v>
      </c>
      <c r="H21" s="236" t="str">
        <f>IF(G21=1,KILOMETRAJE!C$4,IF(G21=2,KILOMETRAJE!C$5,IF(G21=3,KILOMETRAJE!C$6,IF(G21=4,KILOMETRAJE!C$7,IF(G21=5,KILOMETRAJE!C$8,IF(G21=6,KILOMETRAJE!C$9,IF(G21=7,KILOMETRAJE!C$10,IF(G21=8,KILOMETRAJE!C$11,IF(G21=9,KILOMETRAJE!C$12,IF(G21=10,KILOMETRAJE!C$13,IF(G21=11,KILOMETRAJE!C$14,IF(G21=12,KILOMETRAJE!C$15,IF(G21=13,KILOMETRAJE!C$16,IF(G21=14,KILOMETRAJE!C$17,IF(G21=15,KILOMETRAJE!C$18,IF(G21=16,KILOMETRAJE!C$19,IF(G21=17,KILOMETRAJE!C$20,IF(G21=18,KILOMETRAJE!C$21,IF(G21=19,KILOMETRAJE!C$22,IF(G21=20,KILOMETRAJE!C$23,IF(G21=21,KILOMETRAJE!C$24,IF(G21=22,KILOMETRAJE!C$25,IF(G21=23,KILOMETRAJE!C$26,IF(G21=24,KILOMETRAJE!C$27,IF(G21=25,KILOMETRAJE!C$28,IF(G21=26,KILOMETRAJE!C$29,IF(G21=27,KILOMETRAJE!C$30,IF(G21=28,KILOMETRAJE!C$31,IF(G21=29,KILOMETRAJE!C$32,IF(G21=30,KILOMETRAJE!C$33,IF(G21=31,KILOMETRAJE!C$34,IF(G21=32,KILOMETRAJE!C$35,IF(G21=33,KILOMETRAJE!C$36,IF(G21=34,KILOMETRAJE!C$37,IF(G21=35,KILOMETRAJE!C$38,IF(G21=36,KILOMETRAJE!C$39,IF(G21=37,KILOMETRAJE!C$40,IF(G21=38,KILOMETRAJE!C$41,IF(G21=39,KILOMETRAJE!C$42,IF(G21=40,KILOMETRAJE!C$43,IF(G21=41,KILOMETRAJE!C$44,IF(G21=42,KILOMETRAJE!C$45,IF(G21=43,KILOMETRAJE!C$46,IF(G21=44,KILOMETRAJE!C$47,IF(G21=45,KILOMETRAJE!C$48,IF(G21=46,KILOMETRAJE!C$49,IF(G21=47,KILOMETRAJE!C$50,IF(G21=48,KILOMETRAJE!C$51,IF(G21=49,KILOMETRAJE!C$52,IF(G21=50,KILOMETRAJE!C$53,IF(G21=51,KILOMETRAJE!C$54,IF(G21=52,KILOMETRAJE!C$55,IF(G21=53,KILOMETRAJE!C$56,IF(G21=54,KILOMETRAJE!C$57,IF(G21=55,KILOMETRAJE!C$58,IF(G21=56,KILOMETRAJE!C$59,IF(G21=57,KILOMETRAJE!C$60,IF(G21=58,KILOMETRAJE!C$61,IF(G21=59,KILOMETRAJE!C$62,IF(G21=60,KILOMETRAJE!C$63,IF(G21=61,KILOMETRAJE!C$64,IF(G21=62,KILOMETRAJE!C$65,IF(G21=63,KILOMETRAJE!C$66)))))))))))))))))))))))))))))))))))))))))))))))))))))))))))))))</f>
        <v>JRZ</v>
      </c>
      <c r="I21" s="236" t="str">
        <f>IF(G21=1,KILOMETRAJE!E$4,IF(G21=2,KILOMETRAJE!E$5,IF(G21=3,KILOMETRAJE!E$6,IF(G21=4,KILOMETRAJE!E$7,IF(G21=5,KILOMETRAJE!E$8,IF(G21=6,KILOMETRAJE!E$9,IF(G21=7,KILOMETRAJE!E$10,IF(G21=8,KILOMETRAJE!E$11,IF(G21=9,KILOMETRAJE!E$12,IF(G21=10,KILOMETRAJE!E$13,IF(G21=11,KILOMETRAJE!E$14,IF(G21=12,KILOMETRAJE!E$15,IF(G21=13,KILOMETRAJE!E$16,IF(G21=14,KILOMETRAJE!E$17,IF(G21=15,KILOMETRAJE!E$18,IF(G21=16,KILOMETRAJE!E$19,IF(G21=17,KILOMETRAJE!E$20,IF(G21=18,KILOMETRAJE!E$21,IF(G21=19,KILOMETRAJE!E$22,IF(G21=20,KILOMETRAJE!E$23,IF(G21=21,KILOMETRAJE!E$24,IF(G21=22,KILOMETRAJE!E$25,IF(G21=23,KILOMETRAJE!E$26,IF(G21=24,KILOMETRAJE!E$27,IF(G21=25,KILOMETRAJE!E$28,IF(G21=26,KILOMETRAJE!E$29,IF(G21=27,KILOMETRAJE!E$30,IF(G21=28,KILOMETRAJE!E$31,IF(G21=29,KILOMETRAJE!E$32,IF(G21=30,KILOMETRAJE!E$33,IF(G21=31,KILOMETRAJE!E$34,IF(G21=32,KILOMETRAJE!E$35,IF(G21=33,KILOMETRAJE!E$36,IF(G21=34,KILOMETRAJE!E$37,IF(G21=35,KILOMETRAJE!E$38,IF(G21=36,KILOMETRAJE!E$39,IF(G21=37,KILOMETRAJE!E$40,IF(G21=38,KILOMETRAJE!E$41,IF(G21=39,KILOMETRAJE!E$42,IF(G21=40,KILOMETRAJE!E$43,IF(G21=41,KILOMETRAJE!E$44,IF(G21=42,KILOMETRAJE!E$45,IF(G21=43,KILOMETRAJE!E$46,IF(G21=44,KILOMETRAJE!E$47,IF(G21=45,KILOMETRAJE!E$48,IF(G21=46,KILOMETRAJE!E$49,IF(G21=47,KILOMETRAJE!E$50,IF(G21=48,KILOMETRAJE!E$51,IF(G21=49,KILOMETRAJE!E$52,IF(G21=50,KILOMETRAJE!E$53,IF(G21=51,KILOMETRAJE!E$54,IF(G21=52,KILOMETRAJE!E$55,IF(G21=53,KILOMETRAJE!E$56,IF(G21=54,KILOMETRAJE!E$57,IF(G21=55,KILOMETRAJE!E$58,IF(G21=56,KILOMETRAJE!E$59,IF(G21=57,KILOMETRAJE!E$60,IF(G21=58,KILOMETRAJE!E$61,IF(G21=59,KILOMETRAJE!E$62,IF(G21=60,KILOMETRAJE!E$63,IF(G21=61,KILOMETRAJE!E$64,IF(G21=62,KILOMETRAJE!E$65,IF(G21=63,KILOMETRAJE!E$66)))))))))))))))))))))))))))))))))))))))))))))))))))))))))))))))</f>
        <v>OBRG</v>
      </c>
      <c r="J21" s="237">
        <f>IF(G21=1,KILOMETRAJE!G$4,IF(G21=2,KILOMETRAJE!G$5,IF(G21=3,KILOMETRAJE!G$6,IF(G21=4,KILOMETRAJE!G$7,IF(G21=5,KILOMETRAJE!G$8,IF(G21=6,KILOMETRAJE!G$9,IF(G21=7,KILOMETRAJE!G$10,IF(G21=8,KILOMETRAJE!G$11,IF(G21=9,KILOMETRAJE!G$12,IF(G21=10,KILOMETRAJE!G$13,IF(G21=11,KILOMETRAJE!G$14,IF(G21=12,KILOMETRAJE!G$15,IF(G21=13,KILOMETRAJE!G$16,IF(G21=14,KILOMETRAJE!G$17,IF(G21=15,KILOMETRAJE!G$18,IF(G21=16,KILOMETRAJE!G$19,IF(G21=17,KILOMETRAJE!G$20,IF(G21=18,KILOMETRAJE!G$21,IF(G21=19,KILOMETRAJE!G$22,IF(G21=20,KILOMETRAJE!G$23,IF(G21=21,KILOMETRAJE!G$24,IF(G21=22,KILOMETRAJE!G$25,IF(G21=23,KILOMETRAJE!G$26,IF(G21=24,KILOMETRAJE!G$27,IF(G21=25,KILOMETRAJE!G$28,IF(G21=26,KILOMETRAJE!G$29,IF(G21=27,KILOMETRAJE!G$30,IF(G21=28,KILOMETRAJE!G$31,IF(G21=29,KILOMETRAJE!G$32,IF(G21=30,KILOMETRAJE!G$33,IF(G21=31,KILOMETRAJE!G$34,IF(G21=32,KILOMETRAJE!G$35,IF(G21=33,KILOMETRAJE!G$36,IF(G21=34,KILOMETRAJE!G$37,IF(G21=35,KILOMETRAJE!G$38,IF(G21=36,KILOMETRAJE!G$39,IF(G21=37,KILOMETRAJE!G$40,IF(G21=38,KILOMETRAJE!G$41,IF(G21=39,KILOMETRAJE!G$42,IF(G21=40,KILOMETRAJE!G$43,IF(G21=41,KILOMETRAJE!G$44,IF(G21=42,KILOMETRAJE!G$45,IF(G21=43,KILOMETRAJE!G$46,IF(G21=44,KILOMETRAJE!G$47,IF(G21=45,KILOMETRAJE!G$48,IF(G21=46,KILOMETRAJE!G$49,IF(G21=47,KILOMETRAJE!G$50,IF(G21=48,KILOMETRAJE!G$51,IF(G21=49,KILOMETRAJE!G$52,IF(G21=50,KILOMETRAJE!G$53,IF(G21=51,KILOMETRAJE!G$54,IF(G21=52,KILOMETRAJE!G$55,IF(G21=53,KILOMETRAJE!G$56,IF(G21=54,KILOMETRAJE!G$57,IF(G21=55,KILOMETRAJE!G$58,IF(G21=56,KILOMETRAJE!G$59,IF(G21=57,KILOMETRAJE!G$60,IF(G21=58,KILOMETRAJE!G$61,IF(G21=59,KILOMETRAJE!G$62,IF(G21=60,KILOMETRAJE!G$63,IF(G21=61,KILOMETRAJE!G$64,IF(G21=62,KILOMETRAJE!G$65,IF(G21=63,KILOMETRAJE!G$66)))))))))))))))))))))))))))))))))))))))))))))))))))))))))))))))</f>
        <v>1021</v>
      </c>
      <c r="K21" s="24"/>
      <c r="L21" s="44"/>
      <c r="M21" s="348">
        <v>15432</v>
      </c>
      <c r="N21" s="24">
        <v>1</v>
      </c>
      <c r="O21" s="24" t="s">
        <v>634</v>
      </c>
      <c r="P21" s="24" t="s">
        <v>200</v>
      </c>
      <c r="Q21" s="45">
        <v>306.3</v>
      </c>
      <c r="R21" s="191"/>
      <c r="S21" s="52"/>
      <c r="T21" s="45"/>
      <c r="U21" s="492"/>
      <c r="V21" s="493"/>
    </row>
    <row r="22" spans="3:22" x14ac:dyDescent="0.2">
      <c r="C22" s="380"/>
      <c r="D22" s="61" t="s">
        <v>633</v>
      </c>
      <c r="E22" s="12">
        <v>45962</v>
      </c>
      <c r="F22" s="12">
        <v>45963</v>
      </c>
      <c r="G22" s="61">
        <v>16</v>
      </c>
      <c r="H22" s="424" t="str">
        <f>IF(G22=1,KILOMETRAJE!C$4,IF(G22=2,KILOMETRAJE!C$5,IF(G22=3,KILOMETRAJE!C$6,IF(G22=4,KILOMETRAJE!C$7,IF(G22=5,KILOMETRAJE!C$8,IF(G22=6,KILOMETRAJE!C$9,IF(G22=7,KILOMETRAJE!C$10,IF(G22=8,KILOMETRAJE!C$11,IF(G22=9,KILOMETRAJE!C$12,IF(G22=10,KILOMETRAJE!C$13,IF(G22=11,KILOMETRAJE!C$14,IF(G22=12,KILOMETRAJE!C$15,IF(G22=13,KILOMETRAJE!C$16,IF(G22=14,KILOMETRAJE!C$17,IF(G22=15,KILOMETRAJE!C$18,IF(G22=16,KILOMETRAJE!C$19,IF(G22=17,KILOMETRAJE!C$20,IF(G22=18,KILOMETRAJE!C$21,IF(G22=19,KILOMETRAJE!C$22,IF(G22=20,KILOMETRAJE!C$23,IF(G22=21,KILOMETRAJE!C$24,IF(G22=22,KILOMETRAJE!C$25,IF(G22=23,KILOMETRAJE!C$26,IF(G22=24,KILOMETRAJE!C$27,IF(G22=25,KILOMETRAJE!C$28,IF(G22=26,KILOMETRAJE!C$29,IF(G22=27,KILOMETRAJE!C$30,IF(G22=28,KILOMETRAJE!C$31,IF(G22=29,KILOMETRAJE!C$32,IF(G22=30,KILOMETRAJE!C$33,IF(G22=31,KILOMETRAJE!C$34,IF(G22=32,KILOMETRAJE!C$35,IF(G22=33,KILOMETRAJE!C$36,IF(G22=34,KILOMETRAJE!C$37,IF(G22=35,KILOMETRAJE!C$38,IF(G22=36,KILOMETRAJE!C$39,IF(G22=37,KILOMETRAJE!C$40,IF(G22=38,KILOMETRAJE!C$41,IF(G22=39,KILOMETRAJE!C$42,IF(G22=40,KILOMETRAJE!C$43,IF(G22=41,KILOMETRAJE!C$44,IF(G22=42,KILOMETRAJE!C$45,IF(G22=43,KILOMETRAJE!C$46,IF(G22=44,KILOMETRAJE!C$47,IF(G22=45,KILOMETRAJE!C$48,IF(G22=46,KILOMETRAJE!C$49,IF(G22=47,KILOMETRAJE!C$50,IF(G22=48,KILOMETRAJE!C$51,IF(G22=49,KILOMETRAJE!C$52,IF(G22=50,KILOMETRAJE!C$53,IF(G22=51,KILOMETRAJE!C$54,IF(G22=52,KILOMETRAJE!C$55,IF(G22=53,KILOMETRAJE!C$56,IF(G22=54,KILOMETRAJE!C$57,IF(G22=55,KILOMETRAJE!C$58,IF(G22=56,KILOMETRAJE!C$59,IF(G22=57,KILOMETRAJE!C$60,IF(G22=58,KILOMETRAJE!C$61,IF(G22=59,KILOMETRAJE!C$62,IF(G22=60,KILOMETRAJE!C$63,IF(G22=61,KILOMETRAJE!C$64,IF(G22=62,KILOMETRAJE!C$65,IF(G22=63,KILOMETRAJE!C$66)))))))))))))))))))))))))))))))))))))))))))))))))))))))))))))))</f>
        <v>OBRG</v>
      </c>
      <c r="I22" s="424" t="str">
        <f>IF(G22=1,KILOMETRAJE!E$4,IF(G22=2,KILOMETRAJE!E$5,IF(G22=3,KILOMETRAJE!E$6,IF(G22=4,KILOMETRAJE!E$7,IF(G22=5,KILOMETRAJE!E$8,IF(G22=6,KILOMETRAJE!E$9,IF(G22=7,KILOMETRAJE!E$10,IF(G22=8,KILOMETRAJE!E$11,IF(G22=9,KILOMETRAJE!E$12,IF(G22=10,KILOMETRAJE!E$13,IF(G22=11,KILOMETRAJE!E$14,IF(G22=12,KILOMETRAJE!E$15,IF(G22=13,KILOMETRAJE!E$16,IF(G22=14,KILOMETRAJE!E$17,IF(G22=15,KILOMETRAJE!E$18,IF(G22=16,KILOMETRAJE!E$19,IF(G22=17,KILOMETRAJE!E$20,IF(G22=18,KILOMETRAJE!E$21,IF(G22=19,KILOMETRAJE!E$22,IF(G22=20,KILOMETRAJE!E$23,IF(G22=21,KILOMETRAJE!E$24,IF(G22=22,KILOMETRAJE!E$25,IF(G22=23,KILOMETRAJE!E$26,IF(G22=24,KILOMETRAJE!E$27,IF(G22=25,KILOMETRAJE!E$28,IF(G22=26,KILOMETRAJE!E$29,IF(G22=27,KILOMETRAJE!E$30,IF(G22=28,KILOMETRAJE!E$31,IF(G22=29,KILOMETRAJE!E$32,IF(G22=30,KILOMETRAJE!E$33,IF(G22=31,KILOMETRAJE!E$34,IF(G22=32,KILOMETRAJE!E$35,IF(G22=33,KILOMETRAJE!E$36,IF(G22=34,KILOMETRAJE!E$37,IF(G22=35,KILOMETRAJE!E$38,IF(G22=36,KILOMETRAJE!E$39,IF(G22=37,KILOMETRAJE!E$40,IF(G22=38,KILOMETRAJE!E$41,IF(G22=39,KILOMETRAJE!E$42,IF(G22=40,KILOMETRAJE!E$43,IF(G22=41,KILOMETRAJE!E$44,IF(G22=42,KILOMETRAJE!E$45,IF(G22=43,KILOMETRAJE!E$46,IF(G22=44,KILOMETRAJE!E$47,IF(G22=45,KILOMETRAJE!E$48,IF(G22=46,KILOMETRAJE!E$49,IF(G22=47,KILOMETRAJE!E$50,IF(G22=48,KILOMETRAJE!E$51,IF(G22=49,KILOMETRAJE!E$52,IF(G22=50,KILOMETRAJE!E$53,IF(G22=51,KILOMETRAJE!E$54,IF(G22=52,KILOMETRAJE!E$55,IF(G22=53,KILOMETRAJE!E$56,IF(G22=54,KILOMETRAJE!E$57,IF(G22=55,KILOMETRAJE!E$58,IF(G22=56,KILOMETRAJE!E$59,IF(G22=57,KILOMETRAJE!E$60,IF(G22=58,KILOMETRAJE!E$61,IF(G22=59,KILOMETRAJE!E$62,IF(G22=60,KILOMETRAJE!E$63,IF(G22=61,KILOMETRAJE!E$64,IF(G22=62,KILOMETRAJE!E$65,IF(G22=63,KILOMETRAJE!E$66)))))))))))))))))))))))))))))))))))))))))))))))))))))))))))))))</f>
        <v>JRZ</v>
      </c>
      <c r="J22" s="425">
        <f>IF(G22=1,KILOMETRAJE!G$4,IF(G22=2,KILOMETRAJE!G$5,IF(G22=3,KILOMETRAJE!G$6,IF(G22=4,KILOMETRAJE!G$7,IF(G22=5,KILOMETRAJE!G$8,IF(G22=6,KILOMETRAJE!G$9,IF(G22=7,KILOMETRAJE!G$10,IF(G22=8,KILOMETRAJE!G$11,IF(G22=9,KILOMETRAJE!G$12,IF(G22=10,KILOMETRAJE!G$13,IF(G22=11,KILOMETRAJE!G$14,IF(G22=12,KILOMETRAJE!G$15,IF(G22=13,KILOMETRAJE!G$16,IF(G22=14,KILOMETRAJE!G$17,IF(G22=15,KILOMETRAJE!G$18,IF(G22=16,KILOMETRAJE!G$19,IF(G22=17,KILOMETRAJE!G$20,IF(G22=18,KILOMETRAJE!G$21,IF(G22=19,KILOMETRAJE!G$22,IF(G22=20,KILOMETRAJE!G$23,IF(G22=21,KILOMETRAJE!G$24,IF(G22=22,KILOMETRAJE!G$25,IF(G22=23,KILOMETRAJE!G$26,IF(G22=24,KILOMETRAJE!G$27,IF(G22=25,KILOMETRAJE!G$28,IF(G22=26,KILOMETRAJE!G$29,IF(G22=27,KILOMETRAJE!G$30,IF(G22=28,KILOMETRAJE!G$31,IF(G22=29,KILOMETRAJE!G$32,IF(G22=30,KILOMETRAJE!G$33,IF(G22=31,KILOMETRAJE!G$34,IF(G22=32,KILOMETRAJE!G$35,IF(G22=33,KILOMETRAJE!G$36,IF(G22=34,KILOMETRAJE!G$37,IF(G22=35,KILOMETRAJE!G$38,IF(G22=36,KILOMETRAJE!G$39,IF(G22=37,KILOMETRAJE!G$40,IF(G22=38,KILOMETRAJE!G$41,IF(G22=39,KILOMETRAJE!G$42,IF(G22=40,KILOMETRAJE!G$43,IF(G22=41,KILOMETRAJE!G$44,IF(G22=42,KILOMETRAJE!G$45,IF(G22=43,KILOMETRAJE!G$46,IF(G22=44,KILOMETRAJE!G$47,IF(G22=45,KILOMETRAJE!G$48,IF(G22=46,KILOMETRAJE!G$49,IF(G22=47,KILOMETRAJE!G$50,IF(G22=48,KILOMETRAJE!G$51,IF(G22=49,KILOMETRAJE!G$52,IF(G22=50,KILOMETRAJE!G$53,IF(G22=51,KILOMETRAJE!G$54,IF(G22=52,KILOMETRAJE!G$55,IF(G22=53,KILOMETRAJE!G$56,IF(G22=54,KILOMETRAJE!G$57,IF(G22=55,KILOMETRAJE!G$58,IF(G22=56,KILOMETRAJE!G$59,IF(G22=57,KILOMETRAJE!G$60,IF(G22=58,KILOMETRAJE!G$61,IF(G22=59,KILOMETRAJE!G$62,IF(G22=60,KILOMETRAJE!G$63,IF(G22=61,KILOMETRAJE!G$64,IF(G22=62,KILOMETRAJE!G$65,IF(G22=63,KILOMETRAJE!G$66)))))))))))))))))))))))))))))))))))))))))))))))))))))))))))))))</f>
        <v>1021</v>
      </c>
      <c r="K22" s="11">
        <v>663.99</v>
      </c>
      <c r="L22" s="23">
        <f>SUM(J21:J22)/K22</f>
        <v>3.0753475202939802</v>
      </c>
      <c r="M22" s="371">
        <v>14655</v>
      </c>
      <c r="N22" s="11">
        <v>1</v>
      </c>
      <c r="O22" s="11" t="s">
        <v>630</v>
      </c>
      <c r="P22" s="11" t="s">
        <v>200</v>
      </c>
      <c r="Q22" s="13">
        <v>306.3</v>
      </c>
      <c r="R22" s="339">
        <v>2.7</v>
      </c>
      <c r="S22" s="195">
        <f>+((SUM(J21:J22))/R22)-K22</f>
        <v>92.306296296296182</v>
      </c>
      <c r="T22" s="13">
        <f>+S22*17.26</f>
        <v>1593.2066740740722</v>
      </c>
      <c r="U22" s="468"/>
      <c r="V22" s="555"/>
    </row>
    <row r="23" spans="3:22" ht="11.25" hidden="1" customHeight="1" thickBot="1" x14ac:dyDescent="0.25">
      <c r="C23" s="101"/>
      <c r="D23" s="62"/>
      <c r="E23" s="25"/>
      <c r="F23" s="25"/>
      <c r="G23" s="62"/>
      <c r="H23" s="241"/>
      <c r="I23" s="241"/>
      <c r="J23" s="242"/>
      <c r="K23" s="27"/>
      <c r="L23" s="28"/>
      <c r="M23" s="349"/>
      <c r="N23" s="27"/>
      <c r="O23" s="27"/>
      <c r="P23" s="27"/>
      <c r="Q23" s="29"/>
      <c r="R23" s="190"/>
      <c r="S23" s="19"/>
      <c r="T23" s="29"/>
      <c r="U23" s="494"/>
      <c r="V23" s="495"/>
    </row>
    <row r="24" spans="3:22" ht="12.75" hidden="1" thickBot="1" x14ac:dyDescent="0.25">
      <c r="C24" s="240"/>
      <c r="D24" s="57"/>
      <c r="E24" s="58"/>
      <c r="F24" s="58"/>
      <c r="G24" s="57"/>
      <c r="H24" s="319"/>
      <c r="I24" s="319"/>
      <c r="J24" s="334"/>
      <c r="K24" s="319"/>
      <c r="L24" s="335"/>
      <c r="M24" s="385"/>
      <c r="N24" s="319"/>
      <c r="O24" s="319"/>
      <c r="P24" s="319"/>
      <c r="Q24" s="336"/>
      <c r="R24" s="337"/>
      <c r="S24" s="338"/>
      <c r="T24" s="552"/>
      <c r="U24" s="491"/>
      <c r="V24" s="491"/>
    </row>
    <row r="25" spans="3:22" hidden="1" x14ac:dyDescent="0.2">
      <c r="C25" s="176"/>
      <c r="D25" s="43"/>
      <c r="E25" s="42"/>
      <c r="F25" s="42"/>
      <c r="G25" s="43"/>
      <c r="H25" s="65"/>
      <c r="I25" s="24"/>
      <c r="J25" s="51"/>
      <c r="K25" s="24"/>
      <c r="L25" s="44"/>
      <c r="M25" s="348"/>
      <c r="N25" s="24"/>
      <c r="O25" s="24"/>
      <c r="P25" s="24"/>
      <c r="Q25" s="45"/>
      <c r="R25" s="191"/>
      <c r="S25" s="52"/>
      <c r="T25" s="46"/>
      <c r="U25" s="468"/>
      <c r="V25" s="468"/>
    </row>
    <row r="26" spans="3:22" ht="12.75" hidden="1" thickBot="1" x14ac:dyDescent="0.25">
      <c r="C26" s="101"/>
      <c r="D26" s="25"/>
      <c r="E26" s="25"/>
      <c r="F26" s="25"/>
      <c r="G26" s="62"/>
      <c r="H26" s="26"/>
      <c r="I26" s="27"/>
      <c r="J26" s="31"/>
      <c r="K26" s="27"/>
      <c r="L26" s="28"/>
      <c r="M26" s="349"/>
      <c r="N26" s="27"/>
      <c r="O26" s="27"/>
      <c r="P26" s="27"/>
      <c r="Q26" s="29"/>
      <c r="R26" s="190"/>
      <c r="S26" s="19"/>
      <c r="T26" s="30"/>
      <c r="U26" s="471"/>
      <c r="V26" s="471"/>
    </row>
    <row r="27" spans="3:22" hidden="1" x14ac:dyDescent="0.2">
      <c r="C27" s="176"/>
      <c r="D27" s="43"/>
      <c r="E27" s="42"/>
      <c r="F27" s="42"/>
      <c r="G27" s="43"/>
      <c r="H27" s="65"/>
      <c r="I27" s="24"/>
      <c r="J27" s="51"/>
      <c r="K27" s="24"/>
      <c r="L27" s="44"/>
      <c r="M27" s="348"/>
      <c r="N27" s="24"/>
      <c r="O27" s="24"/>
      <c r="P27" s="24"/>
      <c r="Q27" s="45"/>
      <c r="R27" s="191"/>
      <c r="S27" s="52"/>
      <c r="T27" s="46"/>
      <c r="U27" s="471"/>
      <c r="V27" s="471"/>
    </row>
    <row r="28" spans="3:22" ht="12.75" hidden="1" thickBot="1" x14ac:dyDescent="0.25">
      <c r="C28" s="101"/>
      <c r="D28" s="62"/>
      <c r="E28" s="25"/>
      <c r="F28" s="25"/>
      <c r="G28" s="62"/>
      <c r="H28" s="26"/>
      <c r="I28" s="27"/>
      <c r="J28" s="31"/>
      <c r="K28" s="27"/>
      <c r="L28" s="28"/>
      <c r="M28" s="349"/>
      <c r="N28" s="27"/>
      <c r="O28" s="27"/>
      <c r="P28" s="27"/>
      <c r="Q28" s="29"/>
      <c r="R28" s="190"/>
      <c r="S28" s="19"/>
      <c r="T28" s="30"/>
      <c r="U28" s="468"/>
      <c r="V28" s="468"/>
    </row>
    <row r="29" spans="3:22" hidden="1" x14ac:dyDescent="0.2">
      <c r="C29" s="372"/>
      <c r="D29" s="36"/>
      <c r="E29" s="37"/>
      <c r="F29" s="37"/>
      <c r="G29" s="36"/>
      <c r="H29" s="47"/>
      <c r="I29" s="38"/>
      <c r="J29" s="39"/>
      <c r="K29" s="38"/>
      <c r="L29" s="48"/>
      <c r="M29" s="350"/>
      <c r="N29" s="38"/>
      <c r="O29" s="38"/>
      <c r="P29" s="38"/>
      <c r="Q29" s="40"/>
      <c r="R29" s="192"/>
      <c r="S29" s="186"/>
      <c r="T29" s="40"/>
      <c r="U29" s="468"/>
      <c r="V29" s="468"/>
    </row>
    <row r="30" spans="3:22" hidden="1" x14ac:dyDescent="0.2">
      <c r="C30" s="344"/>
      <c r="D30" s="61"/>
      <c r="E30" s="12"/>
      <c r="F30" s="12"/>
      <c r="G30" s="61"/>
      <c r="H30" s="363"/>
      <c r="I30" s="11"/>
      <c r="J30" s="22"/>
      <c r="K30" s="11"/>
      <c r="L30" s="23"/>
      <c r="M30" s="371"/>
      <c r="N30" s="11"/>
      <c r="O30" s="11"/>
      <c r="P30" s="11"/>
      <c r="Q30" s="13"/>
      <c r="R30" s="339"/>
      <c r="S30" s="195"/>
      <c r="T30" s="13"/>
    </row>
    <row r="31" spans="3:22" hidden="1" x14ac:dyDescent="0.2">
      <c r="C31" s="238"/>
      <c r="D31" s="36"/>
      <c r="E31" s="37"/>
      <c r="F31" s="37"/>
      <c r="G31" s="36"/>
      <c r="H31" s="47"/>
      <c r="I31" s="38"/>
      <c r="J31" s="39"/>
      <c r="K31" s="38"/>
      <c r="L31" s="48"/>
      <c r="M31" s="350"/>
      <c r="N31" s="38"/>
      <c r="O31" s="38"/>
      <c r="P31" s="38"/>
      <c r="Q31" s="40"/>
      <c r="R31" s="192"/>
      <c r="S31" s="186"/>
      <c r="T31" s="41"/>
    </row>
    <row r="32" spans="3:22" ht="12.75" hidden="1" thickBot="1" x14ac:dyDescent="0.25">
      <c r="C32" s="101"/>
      <c r="D32" s="62"/>
      <c r="E32" s="25"/>
      <c r="F32" s="25"/>
      <c r="G32" s="62"/>
      <c r="H32" s="26"/>
      <c r="I32" s="27"/>
      <c r="J32" s="31"/>
      <c r="K32" s="27"/>
      <c r="L32" s="28"/>
      <c r="M32" s="349"/>
      <c r="N32" s="27"/>
      <c r="O32" s="27"/>
      <c r="P32" s="27"/>
      <c r="Q32" s="29"/>
      <c r="R32" s="190"/>
      <c r="S32" s="19"/>
      <c r="T32" s="30"/>
    </row>
    <row r="33" spans="3:23" ht="12.75" thickBot="1" x14ac:dyDescent="0.25">
      <c r="I33" s="15"/>
      <c r="R33" s="193"/>
      <c r="S33" s="15"/>
    </row>
    <row r="34" spans="3:23" x14ac:dyDescent="0.2">
      <c r="E34" s="629" t="s">
        <v>34</v>
      </c>
      <c r="F34" s="646">
        <f>+'AGUILAR ESQUIVEL CARLOS'!F34</f>
        <v>45957</v>
      </c>
      <c r="G34" s="647"/>
      <c r="H34" s="16">
        <f>+F34+1</f>
        <v>45958</v>
      </c>
      <c r="I34" s="16">
        <f>+H34+1</f>
        <v>45959</v>
      </c>
      <c r="J34" s="16">
        <f>+I34+1</f>
        <v>45960</v>
      </c>
      <c r="K34" s="16">
        <f>+J34+1</f>
        <v>45961</v>
      </c>
      <c r="L34" s="16">
        <f>+K34+2</f>
        <v>45963</v>
      </c>
      <c r="M34" s="17" t="s">
        <v>35</v>
      </c>
    </row>
    <row r="35" spans="3:23" ht="12.75" thickBot="1" x14ac:dyDescent="0.25">
      <c r="E35" s="630"/>
      <c r="F35" s="648"/>
      <c r="G35" s="649"/>
      <c r="H35" s="29"/>
      <c r="I35" s="29"/>
      <c r="J35" s="29"/>
      <c r="K35" s="29"/>
      <c r="L35" s="29"/>
      <c r="M35" s="30">
        <f>SUM(F35:L35)</f>
        <v>0</v>
      </c>
    </row>
    <row r="36" spans="3:23" ht="12.75" thickBot="1" x14ac:dyDescent="0.25">
      <c r="I36" s="15"/>
    </row>
    <row r="37" spans="3:23" ht="13.5" thickBot="1" x14ac:dyDescent="0.25">
      <c r="C37" s="608" t="s">
        <v>36</v>
      </c>
      <c r="D37" s="609"/>
      <c r="E37" s="609"/>
      <c r="F37" s="609"/>
      <c r="G37" s="610"/>
      <c r="I37" s="620" t="s">
        <v>37</v>
      </c>
      <c r="J37" s="621"/>
      <c r="K37" s="621"/>
      <c r="L37" s="622"/>
      <c r="M37" s="298"/>
      <c r="O37" s="611" t="s">
        <v>38</v>
      </c>
      <c r="P37" s="612"/>
      <c r="Q37" s="613">
        <f>+F49-L46</f>
        <v>6337.7331851851814</v>
      </c>
      <c r="R37" s="614"/>
      <c r="S37" s="615"/>
    </row>
    <row r="38" spans="3:23" ht="12.75" thickBot="1" x14ac:dyDescent="0.25">
      <c r="C38" s="616" t="s">
        <v>219</v>
      </c>
      <c r="D38" s="617"/>
      <c r="E38" s="617"/>
      <c r="F38" s="618">
        <f>SUM(Q18:Q33)</f>
        <v>1225.2</v>
      </c>
      <c r="G38" s="619"/>
      <c r="I38" s="114" t="s">
        <v>125</v>
      </c>
      <c r="J38" s="68" t="s">
        <v>126</v>
      </c>
      <c r="K38" s="68" t="s">
        <v>70</v>
      </c>
      <c r="L38" s="115" t="s">
        <v>127</v>
      </c>
      <c r="M38" s="346"/>
    </row>
    <row r="39" spans="3:23" ht="13.5" customHeight="1" thickBot="1" x14ac:dyDescent="0.25">
      <c r="C39" s="602" t="s">
        <v>220</v>
      </c>
      <c r="D39" s="603"/>
      <c r="E39" s="603"/>
      <c r="F39" s="604">
        <f>SUM(T18:T33)</f>
        <v>3812.5331851851815</v>
      </c>
      <c r="G39" s="605"/>
      <c r="I39" s="328" t="s">
        <v>638</v>
      </c>
      <c r="J39" s="427">
        <v>45958</v>
      </c>
      <c r="K39" s="548"/>
      <c r="L39" s="409">
        <v>500</v>
      </c>
      <c r="M39" s="346"/>
      <c r="O39" s="74" t="s">
        <v>70</v>
      </c>
      <c r="P39" s="75" t="s">
        <v>71</v>
      </c>
      <c r="Q39" s="76" t="s">
        <v>72</v>
      </c>
      <c r="R39" s="64"/>
      <c r="S39" s="77" t="s">
        <v>73</v>
      </c>
      <c r="T39" s="75" t="s">
        <v>74</v>
      </c>
      <c r="U39" s="74" t="s">
        <v>145</v>
      </c>
      <c r="V39" s="75" t="s">
        <v>146</v>
      </c>
      <c r="W39" s="75" t="s">
        <v>284</v>
      </c>
    </row>
    <row r="40" spans="3:23" x14ac:dyDescent="0.2">
      <c r="C40" s="602" t="s">
        <v>34</v>
      </c>
      <c r="D40" s="603"/>
      <c r="E40" s="603"/>
      <c r="F40" s="604">
        <f>+M35</f>
        <v>0</v>
      </c>
      <c r="G40" s="605"/>
      <c r="I40" s="380" t="s">
        <v>638</v>
      </c>
      <c r="J40" s="408">
        <v>45960</v>
      </c>
      <c r="K40" s="415"/>
      <c r="L40" s="407">
        <v>500</v>
      </c>
      <c r="M40" s="346"/>
      <c r="O40" s="32">
        <v>46121</v>
      </c>
      <c r="P40" s="53" t="s">
        <v>262</v>
      </c>
      <c r="Q40" s="63">
        <v>351053</v>
      </c>
      <c r="R40" s="63"/>
      <c r="S40" s="11">
        <v>355102</v>
      </c>
      <c r="T40" s="79">
        <f t="shared" ref="T40:T45" si="0">+S40-Q40</f>
        <v>4049</v>
      </c>
      <c r="U40" s="137">
        <f>SUM(J19:J20)</f>
        <v>2042</v>
      </c>
      <c r="V40" s="79">
        <f>+K20</f>
        <v>633.41</v>
      </c>
      <c r="W40" s="353">
        <f>(SUM(M19:M20)/2)</f>
        <v>15043.5</v>
      </c>
    </row>
    <row r="41" spans="3:23" x14ac:dyDescent="0.2">
      <c r="C41" s="602" t="s">
        <v>186</v>
      </c>
      <c r="D41" s="603"/>
      <c r="E41" s="603"/>
      <c r="F41" s="604">
        <v>0</v>
      </c>
      <c r="G41" s="605"/>
      <c r="I41" s="94"/>
      <c r="J41" s="117"/>
      <c r="K41" s="415"/>
      <c r="L41" s="407"/>
      <c r="M41" s="346"/>
      <c r="O41" s="32">
        <v>46160</v>
      </c>
      <c r="P41" s="53" t="s">
        <v>262</v>
      </c>
      <c r="Q41" s="11">
        <v>353104</v>
      </c>
      <c r="R41" s="63"/>
      <c r="S41" s="11">
        <v>355159</v>
      </c>
      <c r="T41" s="53">
        <f t="shared" si="0"/>
        <v>2055</v>
      </c>
      <c r="U41" s="136">
        <f>SUM(J21:J23)</f>
        <v>2042</v>
      </c>
      <c r="V41" s="53">
        <v>663.99</v>
      </c>
      <c r="W41" s="354">
        <f>(SUM(M21:M22)/2)</f>
        <v>15043.5</v>
      </c>
    </row>
    <row r="42" spans="3:23" x14ac:dyDescent="0.2">
      <c r="C42" s="602" t="s">
        <v>39</v>
      </c>
      <c r="D42" s="603"/>
      <c r="E42" s="603"/>
      <c r="F42" s="604"/>
      <c r="G42" s="605"/>
      <c r="I42" s="94"/>
      <c r="J42" s="117"/>
      <c r="K42" s="415"/>
      <c r="L42" s="407"/>
      <c r="M42" s="346"/>
      <c r="O42" s="32"/>
      <c r="P42" s="53"/>
      <c r="Q42" s="63"/>
      <c r="R42" s="63"/>
      <c r="S42" s="11"/>
      <c r="T42" s="53">
        <f t="shared" si="0"/>
        <v>0</v>
      </c>
      <c r="U42" s="136">
        <f>SUM(N33:N34)</f>
        <v>0</v>
      </c>
      <c r="V42" s="53">
        <f>+K24</f>
        <v>0</v>
      </c>
      <c r="W42" s="354">
        <f>(SUM(M23:M24)/2)</f>
        <v>0</v>
      </c>
    </row>
    <row r="43" spans="3:23" x14ac:dyDescent="0.2">
      <c r="C43" s="602" t="s">
        <v>116</v>
      </c>
      <c r="D43" s="603"/>
      <c r="E43" s="603"/>
      <c r="F43" s="604"/>
      <c r="G43" s="605"/>
      <c r="I43" s="94"/>
      <c r="J43" s="117"/>
      <c r="K43" s="415"/>
      <c r="L43" s="407"/>
      <c r="M43" s="346"/>
      <c r="O43" s="32"/>
      <c r="P43" s="53"/>
      <c r="Q43" s="63"/>
      <c r="R43" s="63"/>
      <c r="S43" s="11"/>
      <c r="T43" s="53">
        <f t="shared" si="0"/>
        <v>0</v>
      </c>
      <c r="U43" s="136">
        <f>SUM(J25:J26)</f>
        <v>0</v>
      </c>
      <c r="V43" s="53">
        <f>+K26</f>
        <v>0</v>
      </c>
      <c r="W43" s="354">
        <f>(SUM(M25:M26)/2)</f>
        <v>0</v>
      </c>
    </row>
    <row r="44" spans="3:23" x14ac:dyDescent="0.2">
      <c r="C44" s="602" t="s">
        <v>40</v>
      </c>
      <c r="D44" s="603"/>
      <c r="E44" s="603"/>
      <c r="F44" s="604"/>
      <c r="G44" s="605"/>
      <c r="I44" s="94"/>
      <c r="J44" s="117"/>
      <c r="K44" s="415"/>
      <c r="L44" s="407"/>
      <c r="M44" s="346"/>
      <c r="O44" s="32"/>
      <c r="P44" s="53"/>
      <c r="Q44" s="63"/>
      <c r="R44" s="95"/>
      <c r="S44" s="11"/>
      <c r="T44" s="53">
        <f t="shared" si="0"/>
        <v>0</v>
      </c>
      <c r="U44" s="136">
        <f>SUM(J27:J28)</f>
        <v>0</v>
      </c>
      <c r="V44" s="53">
        <f>+K28</f>
        <v>0</v>
      </c>
      <c r="W44" s="354">
        <f>(SUM(M27:M28)/2)</f>
        <v>0</v>
      </c>
    </row>
    <row r="45" spans="3:23" ht="12.75" thickBot="1" x14ac:dyDescent="0.25">
      <c r="C45" s="602"/>
      <c r="D45" s="603"/>
      <c r="E45" s="603"/>
      <c r="F45" s="604"/>
      <c r="G45" s="605"/>
      <c r="I45" s="282"/>
      <c r="J45" s="285"/>
      <c r="K45" s="417"/>
      <c r="L45" s="410"/>
      <c r="M45" s="346"/>
      <c r="O45" s="32"/>
      <c r="P45" s="53"/>
      <c r="Q45" s="63"/>
      <c r="R45" s="95"/>
      <c r="S45" s="11"/>
      <c r="T45" s="53">
        <f t="shared" si="0"/>
        <v>0</v>
      </c>
      <c r="U45" s="136">
        <f>SUM(J29:J30)</f>
        <v>0</v>
      </c>
      <c r="V45" s="53">
        <f>+K30</f>
        <v>0</v>
      </c>
      <c r="W45" s="354">
        <f>(SUM(M29:M30)/2)</f>
        <v>0</v>
      </c>
    </row>
    <row r="46" spans="3:23" ht="13.5" customHeight="1" thickBot="1" x14ac:dyDescent="0.25">
      <c r="C46" s="602" t="s">
        <v>319</v>
      </c>
      <c r="D46" s="603"/>
      <c r="E46" s="603"/>
      <c r="F46" s="606">
        <v>1000</v>
      </c>
      <c r="G46" s="607"/>
      <c r="I46" s="597" t="s">
        <v>41</v>
      </c>
      <c r="J46" s="598"/>
      <c r="K46" s="632"/>
      <c r="L46" s="284">
        <f>SUM(L39:L45)</f>
        <v>1000</v>
      </c>
      <c r="M46" s="347"/>
      <c r="O46" s="54"/>
      <c r="P46" s="264"/>
      <c r="Q46" s="265"/>
      <c r="R46" s="83"/>
      <c r="S46" s="81"/>
      <c r="T46" s="82">
        <f>+S46-Q46</f>
        <v>0</v>
      </c>
      <c r="U46" s="138">
        <f>SUM(J31:J32)</f>
        <v>0</v>
      </c>
      <c r="V46" s="55">
        <f>+K32</f>
        <v>0</v>
      </c>
      <c r="W46" s="355">
        <f>(SUM(M31:M32)/2)</f>
        <v>0</v>
      </c>
    </row>
    <row r="47" spans="3:23" ht="13.5" customHeight="1" x14ac:dyDescent="0.2">
      <c r="C47" s="602" t="s">
        <v>309</v>
      </c>
      <c r="D47" s="603"/>
      <c r="E47" s="603"/>
      <c r="F47" s="606">
        <v>1300</v>
      </c>
      <c r="G47" s="607"/>
      <c r="R47" s="21"/>
      <c r="S47" s="21"/>
      <c r="T47" s="21"/>
      <c r="U47" s="139"/>
      <c r="V47" s="271"/>
    </row>
    <row r="48" spans="3:23" ht="13.5" customHeight="1" thickBot="1" x14ac:dyDescent="0.25">
      <c r="C48" s="593" t="s">
        <v>635</v>
      </c>
      <c r="D48" s="594"/>
      <c r="E48" s="594"/>
      <c r="F48" s="595"/>
      <c r="G48" s="596"/>
      <c r="R48" s="21"/>
      <c r="S48" s="21"/>
      <c r="T48" s="21"/>
      <c r="U48" s="139"/>
      <c r="V48" s="271"/>
    </row>
    <row r="49" spans="3:22" ht="13.5" thickBot="1" x14ac:dyDescent="0.25">
      <c r="C49" s="597" t="s">
        <v>42</v>
      </c>
      <c r="D49" s="598"/>
      <c r="E49" s="599"/>
      <c r="F49" s="600">
        <f>SUM(F38:G48)</f>
        <v>7337.7331851851814</v>
      </c>
      <c r="G49" s="601"/>
      <c r="R49" s="21"/>
      <c r="S49" s="21"/>
      <c r="T49" s="21"/>
      <c r="U49" s="139"/>
      <c r="V49" s="271"/>
    </row>
    <row r="50" spans="3:22" ht="13.5" customHeight="1" thickBot="1" x14ac:dyDescent="0.25">
      <c r="P50" s="588" t="s">
        <v>48</v>
      </c>
      <c r="Q50" s="589"/>
      <c r="R50" s="590"/>
      <c r="S50" s="21"/>
      <c r="T50" s="21"/>
      <c r="U50" s="139"/>
      <c r="V50" s="271"/>
    </row>
    <row r="51" spans="3:22" ht="12.75" customHeight="1" x14ac:dyDescent="0.2">
      <c r="C51" s="246" t="s">
        <v>43</v>
      </c>
      <c r="D51" s="247"/>
      <c r="E51" s="247"/>
      <c r="F51" s="247"/>
      <c r="G51" s="247"/>
      <c r="H51" s="247"/>
      <c r="I51" s="247"/>
      <c r="J51" s="247"/>
      <c r="K51" s="247"/>
      <c r="L51" s="248"/>
      <c r="M51" s="251"/>
      <c r="P51" s="78">
        <v>1</v>
      </c>
      <c r="Q51" s="584" t="s">
        <v>49</v>
      </c>
      <c r="R51" s="585"/>
      <c r="S51" s="21"/>
      <c r="T51" s="21"/>
      <c r="U51" s="249"/>
    </row>
    <row r="52" spans="3:22" ht="12.75" customHeight="1" x14ac:dyDescent="0.2">
      <c r="C52" s="250"/>
      <c r="D52" s="251"/>
      <c r="E52" s="251"/>
      <c r="F52" s="251"/>
      <c r="G52" s="251"/>
      <c r="H52" s="251"/>
      <c r="I52" s="251"/>
      <c r="J52" s="251"/>
      <c r="K52" s="251"/>
      <c r="L52" s="252"/>
      <c r="M52" s="251"/>
      <c r="P52" s="32">
        <v>2</v>
      </c>
      <c r="Q52" s="586" t="s">
        <v>135</v>
      </c>
      <c r="R52" s="587"/>
      <c r="S52" s="21"/>
      <c r="T52" s="249"/>
    </row>
    <row r="53" spans="3:22" ht="12.75" thickBot="1" x14ac:dyDescent="0.25">
      <c r="C53" s="253"/>
      <c r="D53" s="254"/>
      <c r="E53" s="254"/>
      <c r="F53" s="254"/>
      <c r="G53" s="254"/>
      <c r="H53" s="254"/>
      <c r="I53" s="254"/>
      <c r="J53" s="254"/>
      <c r="K53" s="254"/>
      <c r="L53" s="255"/>
      <c r="M53" s="251"/>
      <c r="P53" s="32">
        <v>3</v>
      </c>
      <c r="Q53" s="586" t="s">
        <v>130</v>
      </c>
      <c r="R53" s="587"/>
      <c r="S53" s="21"/>
      <c r="T53" s="249"/>
    </row>
    <row r="54" spans="3:22" x14ac:dyDescent="0.2">
      <c r="P54" s="32">
        <v>4</v>
      </c>
      <c r="Q54" s="586" t="s">
        <v>228</v>
      </c>
      <c r="R54" s="587"/>
      <c r="S54" s="21"/>
      <c r="T54" s="249"/>
    </row>
    <row r="55" spans="3:22" ht="12.75" thickBot="1" x14ac:dyDescent="0.25">
      <c r="P55" s="32">
        <v>5</v>
      </c>
      <c r="Q55" s="586" t="s">
        <v>229</v>
      </c>
      <c r="R55" s="587"/>
      <c r="S55" s="21"/>
    </row>
    <row r="56" spans="3:22" ht="14.25" customHeight="1" thickTop="1" thickBot="1" x14ac:dyDescent="0.25">
      <c r="D56" s="631" t="s">
        <v>44</v>
      </c>
      <c r="E56" s="631"/>
      <c r="F56" s="631"/>
      <c r="G56" s="631"/>
      <c r="H56" s="631"/>
      <c r="J56" s="631" t="s">
        <v>45</v>
      </c>
      <c r="K56" s="631"/>
      <c r="L56" s="631"/>
      <c r="M56" s="631"/>
      <c r="N56" s="631"/>
      <c r="P56" s="54">
        <v>6</v>
      </c>
      <c r="Q56" s="591" t="s">
        <v>230</v>
      </c>
      <c r="R56" s="592"/>
      <c r="S56" s="21"/>
      <c r="T56" s="21"/>
    </row>
    <row r="57" spans="3:22" x14ac:dyDescent="0.2">
      <c r="S57" s="21"/>
      <c r="T57" s="21"/>
      <c r="V57" s="245"/>
    </row>
    <row r="58" spans="3:22" x14ac:dyDescent="0.2">
      <c r="P58" s="21"/>
      <c r="Q58" s="21"/>
      <c r="R58" s="21"/>
      <c r="S58" s="21"/>
      <c r="T58" s="21"/>
      <c r="V58" s="245"/>
    </row>
  </sheetData>
  <mergeCells count="56">
    <mergeCell ref="C47:E47"/>
    <mergeCell ref="F47:G47"/>
    <mergeCell ref="C48:E48"/>
    <mergeCell ref="F48:G48"/>
    <mergeCell ref="C49:E49"/>
    <mergeCell ref="F49:G49"/>
    <mergeCell ref="I46:K46"/>
    <mergeCell ref="C45:E45"/>
    <mergeCell ref="F45:G45"/>
    <mergeCell ref="C46:E46"/>
    <mergeCell ref="F46:G46"/>
    <mergeCell ref="P50:R50"/>
    <mergeCell ref="Q51:R51"/>
    <mergeCell ref="Q52:R52"/>
    <mergeCell ref="D56:H56"/>
    <mergeCell ref="J56:N56"/>
    <mergeCell ref="Q53:R53"/>
    <mergeCell ref="Q54:R54"/>
    <mergeCell ref="Q55:R55"/>
    <mergeCell ref="Q56:R56"/>
    <mergeCell ref="F41:G41"/>
    <mergeCell ref="C44:E44"/>
    <mergeCell ref="C43:E43"/>
    <mergeCell ref="I37:L37"/>
    <mergeCell ref="C37:G37"/>
    <mergeCell ref="C39:E39"/>
    <mergeCell ref="F39:G39"/>
    <mergeCell ref="C40:E40"/>
    <mergeCell ref="F40:G40"/>
    <mergeCell ref="C42:E42"/>
    <mergeCell ref="F42:G42"/>
    <mergeCell ref="F43:G43"/>
    <mergeCell ref="F44:G44"/>
    <mergeCell ref="C41:E41"/>
    <mergeCell ref="I6:O6"/>
    <mergeCell ref="Q6:S6"/>
    <mergeCell ref="I9:O9"/>
    <mergeCell ref="L11:S11"/>
    <mergeCell ref="E12:F12"/>
    <mergeCell ref="Q2:S2"/>
    <mergeCell ref="I3:O3"/>
    <mergeCell ref="Q3:S3"/>
    <mergeCell ref="I4:O4"/>
    <mergeCell ref="I5:O5"/>
    <mergeCell ref="Q5:S5"/>
    <mergeCell ref="D13:E13"/>
    <mergeCell ref="O37:P37"/>
    <mergeCell ref="Q37:S37"/>
    <mergeCell ref="C38:E38"/>
    <mergeCell ref="F38:G38"/>
    <mergeCell ref="D14:E14"/>
    <mergeCell ref="D15:E15"/>
    <mergeCell ref="D16:E16"/>
    <mergeCell ref="E34:E35"/>
    <mergeCell ref="F34:G34"/>
    <mergeCell ref="F35:G35"/>
  </mergeCells>
  <pageMargins left="0.19685039370078741" right="0.19685039370078741" top="0.35433070866141736" bottom="0.35433070866141736" header="0.31496062992125984" footer="0.31496062992125984"/>
  <pageSetup paperSize="9" scale="81" orientation="landscape" horizontalDpi="300" verticalDpi="300" r:id="rId1"/>
  <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Hoja5">
    <pageSetUpPr fitToPage="1"/>
  </sheetPr>
  <dimension ref="C1:W60"/>
  <sheetViews>
    <sheetView topLeftCell="A6" zoomScaleNormal="100" workbookViewId="0">
      <selection activeCell="M46" sqref="M46"/>
    </sheetView>
  </sheetViews>
  <sheetFormatPr baseColWidth="10" defaultColWidth="9.140625" defaultRowHeight="12" x14ac:dyDescent="0.2"/>
  <cols>
    <col min="1" max="1" width="2.42578125" style="14" customWidth="1"/>
    <col min="2" max="2" width="2.7109375" style="14" customWidth="1"/>
    <col min="3" max="3" width="11.85546875" style="14" customWidth="1"/>
    <col min="4" max="4" width="12" style="14" bestFit="1" customWidth="1"/>
    <col min="5" max="5" width="12.140625" style="14" customWidth="1"/>
    <col min="6" max="6" width="9.140625" style="14" bestFit="1" customWidth="1"/>
    <col min="7" max="7" width="3" style="14" bestFit="1" customWidth="1"/>
    <col min="8" max="8" width="9.85546875" style="14" bestFit="1" customWidth="1"/>
    <col min="9" max="9" width="13.140625" style="14" customWidth="1"/>
    <col min="10" max="10" width="9.85546875" style="14" bestFit="1" customWidth="1"/>
    <col min="11" max="11" width="11.28515625" style="14" customWidth="1"/>
    <col min="12" max="13" width="12" style="14" customWidth="1"/>
    <col min="14" max="14" width="10.28515625" style="14" customWidth="1"/>
    <col min="15" max="15" width="11" style="14" customWidth="1"/>
    <col min="16" max="16" width="12.28515625" style="14" customWidth="1"/>
    <col min="17" max="17" width="12.140625" style="14" customWidth="1"/>
    <col min="18" max="18" width="10" style="14" hidden="1" customWidth="1"/>
    <col min="19" max="19" width="11" style="14" bestFit="1" customWidth="1"/>
    <col min="20" max="20" width="11.5703125" style="14" bestFit="1" customWidth="1"/>
    <col min="21" max="21" width="10.28515625" style="14" customWidth="1"/>
    <col min="22" max="22" width="9.28515625" style="14" customWidth="1"/>
    <col min="23" max="23" width="10" style="14" customWidth="1"/>
    <col min="24" max="24" width="9.140625" style="14" customWidth="1"/>
    <col min="25" max="259" width="9.140625" style="14"/>
    <col min="260" max="260" width="5.7109375" style="14" customWidth="1"/>
    <col min="261" max="261" width="13.140625" style="14" customWidth="1"/>
    <col min="262" max="262" width="12.28515625" style="14" customWidth="1"/>
    <col min="263" max="263" width="8.85546875" style="14" customWidth="1"/>
    <col min="264" max="264" width="10.85546875" style="14" customWidth="1"/>
    <col min="265" max="265" width="2.85546875" style="14" customWidth="1"/>
    <col min="266" max="266" width="12.140625" style="14" customWidth="1"/>
    <col min="267" max="267" width="10.140625" style="14" customWidth="1"/>
    <col min="268" max="268" width="11.7109375" style="14" customWidth="1"/>
    <col min="269" max="269" width="11.42578125" style="14" customWidth="1"/>
    <col min="270" max="270" width="12.7109375" style="14" customWidth="1"/>
    <col min="271" max="271" width="11.42578125" style="14" customWidth="1"/>
    <col min="272" max="272" width="10.7109375" style="14" customWidth="1"/>
    <col min="273" max="273" width="10.5703125" style="14" customWidth="1"/>
    <col min="274" max="274" width="11.28515625" style="14" customWidth="1"/>
    <col min="275" max="275" width="9.7109375" style="14" customWidth="1"/>
    <col min="276" max="276" width="12" style="14" customWidth="1"/>
    <col min="277" max="277" width="11.28515625" style="14" customWidth="1"/>
    <col min="278" max="515" width="9.140625" style="14"/>
    <col min="516" max="516" width="5.7109375" style="14" customWidth="1"/>
    <col min="517" max="517" width="13.140625" style="14" customWidth="1"/>
    <col min="518" max="518" width="12.28515625" style="14" customWidth="1"/>
    <col min="519" max="519" width="8.85546875" style="14" customWidth="1"/>
    <col min="520" max="520" width="10.85546875" style="14" customWidth="1"/>
    <col min="521" max="521" width="2.85546875" style="14" customWidth="1"/>
    <col min="522" max="522" width="12.140625" style="14" customWidth="1"/>
    <col min="523" max="523" width="10.140625" style="14" customWidth="1"/>
    <col min="524" max="524" width="11.7109375" style="14" customWidth="1"/>
    <col min="525" max="525" width="11.42578125" style="14" customWidth="1"/>
    <col min="526" max="526" width="12.7109375" style="14" customWidth="1"/>
    <col min="527" max="527" width="11.42578125" style="14" customWidth="1"/>
    <col min="528" max="528" width="10.7109375" style="14" customWidth="1"/>
    <col min="529" max="529" width="10.5703125" style="14" customWidth="1"/>
    <col min="530" max="530" width="11.28515625" style="14" customWidth="1"/>
    <col min="531" max="531" width="9.7109375" style="14" customWidth="1"/>
    <col min="532" max="532" width="12" style="14" customWidth="1"/>
    <col min="533" max="533" width="11.28515625" style="14" customWidth="1"/>
    <col min="534" max="771" width="9.140625" style="14"/>
    <col min="772" max="772" width="5.7109375" style="14" customWidth="1"/>
    <col min="773" max="773" width="13.140625" style="14" customWidth="1"/>
    <col min="774" max="774" width="12.28515625" style="14" customWidth="1"/>
    <col min="775" max="775" width="8.85546875" style="14" customWidth="1"/>
    <col min="776" max="776" width="10.85546875" style="14" customWidth="1"/>
    <col min="777" max="777" width="2.85546875" style="14" customWidth="1"/>
    <col min="778" max="778" width="12.140625" style="14" customWidth="1"/>
    <col min="779" max="779" width="10.140625" style="14" customWidth="1"/>
    <col min="780" max="780" width="11.7109375" style="14" customWidth="1"/>
    <col min="781" max="781" width="11.42578125" style="14" customWidth="1"/>
    <col min="782" max="782" width="12.7109375" style="14" customWidth="1"/>
    <col min="783" max="783" width="11.42578125" style="14" customWidth="1"/>
    <col min="784" max="784" width="10.7109375" style="14" customWidth="1"/>
    <col min="785" max="785" width="10.5703125" style="14" customWidth="1"/>
    <col min="786" max="786" width="11.28515625" style="14" customWidth="1"/>
    <col min="787" max="787" width="9.7109375" style="14" customWidth="1"/>
    <col min="788" max="788" width="12" style="14" customWidth="1"/>
    <col min="789" max="789" width="11.28515625" style="14" customWidth="1"/>
    <col min="790" max="1027" width="9.140625" style="14"/>
    <col min="1028" max="1028" width="5.7109375" style="14" customWidth="1"/>
    <col min="1029" max="1029" width="13.140625" style="14" customWidth="1"/>
    <col min="1030" max="1030" width="12.28515625" style="14" customWidth="1"/>
    <col min="1031" max="1031" width="8.85546875" style="14" customWidth="1"/>
    <col min="1032" max="1032" width="10.85546875" style="14" customWidth="1"/>
    <col min="1033" max="1033" width="2.85546875" style="14" customWidth="1"/>
    <col min="1034" max="1034" width="12.140625" style="14" customWidth="1"/>
    <col min="1035" max="1035" width="10.140625" style="14" customWidth="1"/>
    <col min="1036" max="1036" width="11.7109375" style="14" customWidth="1"/>
    <col min="1037" max="1037" width="11.42578125" style="14" customWidth="1"/>
    <col min="1038" max="1038" width="12.7109375" style="14" customWidth="1"/>
    <col min="1039" max="1039" width="11.42578125" style="14" customWidth="1"/>
    <col min="1040" max="1040" width="10.7109375" style="14" customWidth="1"/>
    <col min="1041" max="1041" width="10.5703125" style="14" customWidth="1"/>
    <col min="1042" max="1042" width="11.28515625" style="14" customWidth="1"/>
    <col min="1043" max="1043" width="9.7109375" style="14" customWidth="1"/>
    <col min="1044" max="1044" width="12" style="14" customWidth="1"/>
    <col min="1045" max="1045" width="11.28515625" style="14" customWidth="1"/>
    <col min="1046" max="1283" width="9.140625" style="14"/>
    <col min="1284" max="1284" width="5.7109375" style="14" customWidth="1"/>
    <col min="1285" max="1285" width="13.140625" style="14" customWidth="1"/>
    <col min="1286" max="1286" width="12.28515625" style="14" customWidth="1"/>
    <col min="1287" max="1287" width="8.85546875" style="14" customWidth="1"/>
    <col min="1288" max="1288" width="10.85546875" style="14" customWidth="1"/>
    <col min="1289" max="1289" width="2.85546875" style="14" customWidth="1"/>
    <col min="1290" max="1290" width="12.140625" style="14" customWidth="1"/>
    <col min="1291" max="1291" width="10.140625" style="14" customWidth="1"/>
    <col min="1292" max="1292" width="11.7109375" style="14" customWidth="1"/>
    <col min="1293" max="1293" width="11.42578125" style="14" customWidth="1"/>
    <col min="1294" max="1294" width="12.7109375" style="14" customWidth="1"/>
    <col min="1295" max="1295" width="11.42578125" style="14" customWidth="1"/>
    <col min="1296" max="1296" width="10.7109375" style="14" customWidth="1"/>
    <col min="1297" max="1297" width="10.5703125" style="14" customWidth="1"/>
    <col min="1298" max="1298" width="11.28515625" style="14" customWidth="1"/>
    <col min="1299" max="1299" width="9.7109375" style="14" customWidth="1"/>
    <col min="1300" max="1300" width="12" style="14" customWidth="1"/>
    <col min="1301" max="1301" width="11.28515625" style="14" customWidth="1"/>
    <col min="1302" max="1539" width="9.140625" style="14"/>
    <col min="1540" max="1540" width="5.7109375" style="14" customWidth="1"/>
    <col min="1541" max="1541" width="13.140625" style="14" customWidth="1"/>
    <col min="1542" max="1542" width="12.28515625" style="14" customWidth="1"/>
    <col min="1543" max="1543" width="8.85546875" style="14" customWidth="1"/>
    <col min="1544" max="1544" width="10.85546875" style="14" customWidth="1"/>
    <col min="1545" max="1545" width="2.85546875" style="14" customWidth="1"/>
    <col min="1546" max="1546" width="12.140625" style="14" customWidth="1"/>
    <col min="1547" max="1547" width="10.140625" style="14" customWidth="1"/>
    <col min="1548" max="1548" width="11.7109375" style="14" customWidth="1"/>
    <col min="1549" max="1549" width="11.42578125" style="14" customWidth="1"/>
    <col min="1550" max="1550" width="12.7109375" style="14" customWidth="1"/>
    <col min="1551" max="1551" width="11.42578125" style="14" customWidth="1"/>
    <col min="1552" max="1552" width="10.7109375" style="14" customWidth="1"/>
    <col min="1553" max="1553" width="10.5703125" style="14" customWidth="1"/>
    <col min="1554" max="1554" width="11.28515625" style="14" customWidth="1"/>
    <col min="1555" max="1555" width="9.7109375" style="14" customWidth="1"/>
    <col min="1556" max="1556" width="12" style="14" customWidth="1"/>
    <col min="1557" max="1557" width="11.28515625" style="14" customWidth="1"/>
    <col min="1558" max="1795" width="9.140625" style="14"/>
    <col min="1796" max="1796" width="5.7109375" style="14" customWidth="1"/>
    <col min="1797" max="1797" width="13.140625" style="14" customWidth="1"/>
    <col min="1798" max="1798" width="12.28515625" style="14" customWidth="1"/>
    <col min="1799" max="1799" width="8.85546875" style="14" customWidth="1"/>
    <col min="1800" max="1800" width="10.85546875" style="14" customWidth="1"/>
    <col min="1801" max="1801" width="2.85546875" style="14" customWidth="1"/>
    <col min="1802" max="1802" width="12.140625" style="14" customWidth="1"/>
    <col min="1803" max="1803" width="10.140625" style="14" customWidth="1"/>
    <col min="1804" max="1804" width="11.7109375" style="14" customWidth="1"/>
    <col min="1805" max="1805" width="11.42578125" style="14" customWidth="1"/>
    <col min="1806" max="1806" width="12.7109375" style="14" customWidth="1"/>
    <col min="1807" max="1807" width="11.42578125" style="14" customWidth="1"/>
    <col min="1808" max="1808" width="10.7109375" style="14" customWidth="1"/>
    <col min="1809" max="1809" width="10.5703125" style="14" customWidth="1"/>
    <col min="1810" max="1810" width="11.28515625" style="14" customWidth="1"/>
    <col min="1811" max="1811" width="9.7109375" style="14" customWidth="1"/>
    <col min="1812" max="1812" width="12" style="14" customWidth="1"/>
    <col min="1813" max="1813" width="11.28515625" style="14" customWidth="1"/>
    <col min="1814" max="2051" width="9.140625" style="14"/>
    <col min="2052" max="2052" width="5.7109375" style="14" customWidth="1"/>
    <col min="2053" max="2053" width="13.140625" style="14" customWidth="1"/>
    <col min="2054" max="2054" width="12.28515625" style="14" customWidth="1"/>
    <col min="2055" max="2055" width="8.85546875" style="14" customWidth="1"/>
    <col min="2056" max="2056" width="10.85546875" style="14" customWidth="1"/>
    <col min="2057" max="2057" width="2.85546875" style="14" customWidth="1"/>
    <col min="2058" max="2058" width="12.140625" style="14" customWidth="1"/>
    <col min="2059" max="2059" width="10.140625" style="14" customWidth="1"/>
    <col min="2060" max="2060" width="11.7109375" style="14" customWidth="1"/>
    <col min="2061" max="2061" width="11.42578125" style="14" customWidth="1"/>
    <col min="2062" max="2062" width="12.7109375" style="14" customWidth="1"/>
    <col min="2063" max="2063" width="11.42578125" style="14" customWidth="1"/>
    <col min="2064" max="2064" width="10.7109375" style="14" customWidth="1"/>
    <col min="2065" max="2065" width="10.5703125" style="14" customWidth="1"/>
    <col min="2066" max="2066" width="11.28515625" style="14" customWidth="1"/>
    <col min="2067" max="2067" width="9.7109375" style="14" customWidth="1"/>
    <col min="2068" max="2068" width="12" style="14" customWidth="1"/>
    <col min="2069" max="2069" width="11.28515625" style="14" customWidth="1"/>
    <col min="2070" max="2307" width="9.140625" style="14"/>
    <col min="2308" max="2308" width="5.7109375" style="14" customWidth="1"/>
    <col min="2309" max="2309" width="13.140625" style="14" customWidth="1"/>
    <col min="2310" max="2310" width="12.28515625" style="14" customWidth="1"/>
    <col min="2311" max="2311" width="8.85546875" style="14" customWidth="1"/>
    <col min="2312" max="2312" width="10.85546875" style="14" customWidth="1"/>
    <col min="2313" max="2313" width="2.85546875" style="14" customWidth="1"/>
    <col min="2314" max="2314" width="12.140625" style="14" customWidth="1"/>
    <col min="2315" max="2315" width="10.140625" style="14" customWidth="1"/>
    <col min="2316" max="2316" width="11.7109375" style="14" customWidth="1"/>
    <col min="2317" max="2317" width="11.42578125" style="14" customWidth="1"/>
    <col min="2318" max="2318" width="12.7109375" style="14" customWidth="1"/>
    <col min="2319" max="2319" width="11.42578125" style="14" customWidth="1"/>
    <col min="2320" max="2320" width="10.7109375" style="14" customWidth="1"/>
    <col min="2321" max="2321" width="10.5703125" style="14" customWidth="1"/>
    <col min="2322" max="2322" width="11.28515625" style="14" customWidth="1"/>
    <col min="2323" max="2323" width="9.7109375" style="14" customWidth="1"/>
    <col min="2324" max="2324" width="12" style="14" customWidth="1"/>
    <col min="2325" max="2325" width="11.28515625" style="14" customWidth="1"/>
    <col min="2326" max="2563" width="9.140625" style="14"/>
    <col min="2564" max="2564" width="5.7109375" style="14" customWidth="1"/>
    <col min="2565" max="2565" width="13.140625" style="14" customWidth="1"/>
    <col min="2566" max="2566" width="12.28515625" style="14" customWidth="1"/>
    <col min="2567" max="2567" width="8.85546875" style="14" customWidth="1"/>
    <col min="2568" max="2568" width="10.85546875" style="14" customWidth="1"/>
    <col min="2569" max="2569" width="2.85546875" style="14" customWidth="1"/>
    <col min="2570" max="2570" width="12.140625" style="14" customWidth="1"/>
    <col min="2571" max="2571" width="10.140625" style="14" customWidth="1"/>
    <col min="2572" max="2572" width="11.7109375" style="14" customWidth="1"/>
    <col min="2573" max="2573" width="11.42578125" style="14" customWidth="1"/>
    <col min="2574" max="2574" width="12.7109375" style="14" customWidth="1"/>
    <col min="2575" max="2575" width="11.42578125" style="14" customWidth="1"/>
    <col min="2576" max="2576" width="10.7109375" style="14" customWidth="1"/>
    <col min="2577" max="2577" width="10.5703125" style="14" customWidth="1"/>
    <col min="2578" max="2578" width="11.28515625" style="14" customWidth="1"/>
    <col min="2579" max="2579" width="9.7109375" style="14" customWidth="1"/>
    <col min="2580" max="2580" width="12" style="14" customWidth="1"/>
    <col min="2581" max="2581" width="11.28515625" style="14" customWidth="1"/>
    <col min="2582" max="2819" width="9.140625" style="14"/>
    <col min="2820" max="2820" width="5.7109375" style="14" customWidth="1"/>
    <col min="2821" max="2821" width="13.140625" style="14" customWidth="1"/>
    <col min="2822" max="2822" width="12.28515625" style="14" customWidth="1"/>
    <col min="2823" max="2823" width="8.85546875" style="14" customWidth="1"/>
    <col min="2824" max="2824" width="10.85546875" style="14" customWidth="1"/>
    <col min="2825" max="2825" width="2.85546875" style="14" customWidth="1"/>
    <col min="2826" max="2826" width="12.140625" style="14" customWidth="1"/>
    <col min="2827" max="2827" width="10.140625" style="14" customWidth="1"/>
    <col min="2828" max="2828" width="11.7109375" style="14" customWidth="1"/>
    <col min="2829" max="2829" width="11.42578125" style="14" customWidth="1"/>
    <col min="2830" max="2830" width="12.7109375" style="14" customWidth="1"/>
    <col min="2831" max="2831" width="11.42578125" style="14" customWidth="1"/>
    <col min="2832" max="2832" width="10.7109375" style="14" customWidth="1"/>
    <col min="2833" max="2833" width="10.5703125" style="14" customWidth="1"/>
    <col min="2834" max="2834" width="11.28515625" style="14" customWidth="1"/>
    <col min="2835" max="2835" width="9.7109375" style="14" customWidth="1"/>
    <col min="2836" max="2836" width="12" style="14" customWidth="1"/>
    <col min="2837" max="2837" width="11.28515625" style="14" customWidth="1"/>
    <col min="2838" max="3075" width="9.140625" style="14"/>
    <col min="3076" max="3076" width="5.7109375" style="14" customWidth="1"/>
    <col min="3077" max="3077" width="13.140625" style="14" customWidth="1"/>
    <col min="3078" max="3078" width="12.28515625" style="14" customWidth="1"/>
    <col min="3079" max="3079" width="8.85546875" style="14" customWidth="1"/>
    <col min="3080" max="3080" width="10.85546875" style="14" customWidth="1"/>
    <col min="3081" max="3081" width="2.85546875" style="14" customWidth="1"/>
    <col min="3082" max="3082" width="12.140625" style="14" customWidth="1"/>
    <col min="3083" max="3083" width="10.140625" style="14" customWidth="1"/>
    <col min="3084" max="3084" width="11.7109375" style="14" customWidth="1"/>
    <col min="3085" max="3085" width="11.42578125" style="14" customWidth="1"/>
    <col min="3086" max="3086" width="12.7109375" style="14" customWidth="1"/>
    <col min="3087" max="3087" width="11.42578125" style="14" customWidth="1"/>
    <col min="3088" max="3088" width="10.7109375" style="14" customWidth="1"/>
    <col min="3089" max="3089" width="10.5703125" style="14" customWidth="1"/>
    <col min="3090" max="3090" width="11.28515625" style="14" customWidth="1"/>
    <col min="3091" max="3091" width="9.7109375" style="14" customWidth="1"/>
    <col min="3092" max="3092" width="12" style="14" customWidth="1"/>
    <col min="3093" max="3093" width="11.28515625" style="14" customWidth="1"/>
    <col min="3094" max="3331" width="9.140625" style="14"/>
    <col min="3332" max="3332" width="5.7109375" style="14" customWidth="1"/>
    <col min="3333" max="3333" width="13.140625" style="14" customWidth="1"/>
    <col min="3334" max="3334" width="12.28515625" style="14" customWidth="1"/>
    <col min="3335" max="3335" width="8.85546875" style="14" customWidth="1"/>
    <col min="3336" max="3336" width="10.85546875" style="14" customWidth="1"/>
    <col min="3337" max="3337" width="2.85546875" style="14" customWidth="1"/>
    <col min="3338" max="3338" width="12.140625" style="14" customWidth="1"/>
    <col min="3339" max="3339" width="10.140625" style="14" customWidth="1"/>
    <col min="3340" max="3340" width="11.7109375" style="14" customWidth="1"/>
    <col min="3341" max="3341" width="11.42578125" style="14" customWidth="1"/>
    <col min="3342" max="3342" width="12.7109375" style="14" customWidth="1"/>
    <col min="3343" max="3343" width="11.42578125" style="14" customWidth="1"/>
    <col min="3344" max="3344" width="10.7109375" style="14" customWidth="1"/>
    <col min="3345" max="3345" width="10.5703125" style="14" customWidth="1"/>
    <col min="3346" max="3346" width="11.28515625" style="14" customWidth="1"/>
    <col min="3347" max="3347" width="9.7109375" style="14" customWidth="1"/>
    <col min="3348" max="3348" width="12" style="14" customWidth="1"/>
    <col min="3349" max="3349" width="11.28515625" style="14" customWidth="1"/>
    <col min="3350" max="3587" width="9.140625" style="14"/>
    <col min="3588" max="3588" width="5.7109375" style="14" customWidth="1"/>
    <col min="3589" max="3589" width="13.140625" style="14" customWidth="1"/>
    <col min="3590" max="3590" width="12.28515625" style="14" customWidth="1"/>
    <col min="3591" max="3591" width="8.85546875" style="14" customWidth="1"/>
    <col min="3592" max="3592" width="10.85546875" style="14" customWidth="1"/>
    <col min="3593" max="3593" width="2.85546875" style="14" customWidth="1"/>
    <col min="3594" max="3594" width="12.140625" style="14" customWidth="1"/>
    <col min="3595" max="3595" width="10.140625" style="14" customWidth="1"/>
    <col min="3596" max="3596" width="11.7109375" style="14" customWidth="1"/>
    <col min="3597" max="3597" width="11.42578125" style="14" customWidth="1"/>
    <col min="3598" max="3598" width="12.7109375" style="14" customWidth="1"/>
    <col min="3599" max="3599" width="11.42578125" style="14" customWidth="1"/>
    <col min="3600" max="3600" width="10.7109375" style="14" customWidth="1"/>
    <col min="3601" max="3601" width="10.5703125" style="14" customWidth="1"/>
    <col min="3602" max="3602" width="11.28515625" style="14" customWidth="1"/>
    <col min="3603" max="3603" width="9.7109375" style="14" customWidth="1"/>
    <col min="3604" max="3604" width="12" style="14" customWidth="1"/>
    <col min="3605" max="3605" width="11.28515625" style="14" customWidth="1"/>
    <col min="3606" max="3843" width="9.140625" style="14"/>
    <col min="3844" max="3844" width="5.7109375" style="14" customWidth="1"/>
    <col min="3845" max="3845" width="13.140625" style="14" customWidth="1"/>
    <col min="3846" max="3846" width="12.28515625" style="14" customWidth="1"/>
    <col min="3847" max="3847" width="8.85546875" style="14" customWidth="1"/>
    <col min="3848" max="3848" width="10.85546875" style="14" customWidth="1"/>
    <col min="3849" max="3849" width="2.85546875" style="14" customWidth="1"/>
    <col min="3850" max="3850" width="12.140625" style="14" customWidth="1"/>
    <col min="3851" max="3851" width="10.140625" style="14" customWidth="1"/>
    <col min="3852" max="3852" width="11.7109375" style="14" customWidth="1"/>
    <col min="3853" max="3853" width="11.42578125" style="14" customWidth="1"/>
    <col min="3854" max="3854" width="12.7109375" style="14" customWidth="1"/>
    <col min="3855" max="3855" width="11.42578125" style="14" customWidth="1"/>
    <col min="3856" max="3856" width="10.7109375" style="14" customWidth="1"/>
    <col min="3857" max="3857" width="10.5703125" style="14" customWidth="1"/>
    <col min="3858" max="3858" width="11.28515625" style="14" customWidth="1"/>
    <col min="3859" max="3859" width="9.7109375" style="14" customWidth="1"/>
    <col min="3860" max="3860" width="12" style="14" customWidth="1"/>
    <col min="3861" max="3861" width="11.28515625" style="14" customWidth="1"/>
    <col min="3862" max="4099" width="9.140625" style="14"/>
    <col min="4100" max="4100" width="5.7109375" style="14" customWidth="1"/>
    <col min="4101" max="4101" width="13.140625" style="14" customWidth="1"/>
    <col min="4102" max="4102" width="12.28515625" style="14" customWidth="1"/>
    <col min="4103" max="4103" width="8.85546875" style="14" customWidth="1"/>
    <col min="4104" max="4104" width="10.85546875" style="14" customWidth="1"/>
    <col min="4105" max="4105" width="2.85546875" style="14" customWidth="1"/>
    <col min="4106" max="4106" width="12.140625" style="14" customWidth="1"/>
    <col min="4107" max="4107" width="10.140625" style="14" customWidth="1"/>
    <col min="4108" max="4108" width="11.7109375" style="14" customWidth="1"/>
    <col min="4109" max="4109" width="11.42578125" style="14" customWidth="1"/>
    <col min="4110" max="4110" width="12.7109375" style="14" customWidth="1"/>
    <col min="4111" max="4111" width="11.42578125" style="14" customWidth="1"/>
    <col min="4112" max="4112" width="10.7109375" style="14" customWidth="1"/>
    <col min="4113" max="4113" width="10.5703125" style="14" customWidth="1"/>
    <col min="4114" max="4114" width="11.28515625" style="14" customWidth="1"/>
    <col min="4115" max="4115" width="9.7109375" style="14" customWidth="1"/>
    <col min="4116" max="4116" width="12" style="14" customWidth="1"/>
    <col min="4117" max="4117" width="11.28515625" style="14" customWidth="1"/>
    <col min="4118" max="4355" width="9.140625" style="14"/>
    <col min="4356" max="4356" width="5.7109375" style="14" customWidth="1"/>
    <col min="4357" max="4357" width="13.140625" style="14" customWidth="1"/>
    <col min="4358" max="4358" width="12.28515625" style="14" customWidth="1"/>
    <col min="4359" max="4359" width="8.85546875" style="14" customWidth="1"/>
    <col min="4360" max="4360" width="10.85546875" style="14" customWidth="1"/>
    <col min="4361" max="4361" width="2.85546875" style="14" customWidth="1"/>
    <col min="4362" max="4362" width="12.140625" style="14" customWidth="1"/>
    <col min="4363" max="4363" width="10.140625" style="14" customWidth="1"/>
    <col min="4364" max="4364" width="11.7109375" style="14" customWidth="1"/>
    <col min="4365" max="4365" width="11.42578125" style="14" customWidth="1"/>
    <col min="4366" max="4366" width="12.7109375" style="14" customWidth="1"/>
    <col min="4367" max="4367" width="11.42578125" style="14" customWidth="1"/>
    <col min="4368" max="4368" width="10.7109375" style="14" customWidth="1"/>
    <col min="4369" max="4369" width="10.5703125" style="14" customWidth="1"/>
    <col min="4370" max="4370" width="11.28515625" style="14" customWidth="1"/>
    <col min="4371" max="4371" width="9.7109375" style="14" customWidth="1"/>
    <col min="4372" max="4372" width="12" style="14" customWidth="1"/>
    <col min="4373" max="4373" width="11.28515625" style="14" customWidth="1"/>
    <col min="4374" max="4611" width="9.140625" style="14"/>
    <col min="4612" max="4612" width="5.7109375" style="14" customWidth="1"/>
    <col min="4613" max="4613" width="13.140625" style="14" customWidth="1"/>
    <col min="4614" max="4614" width="12.28515625" style="14" customWidth="1"/>
    <col min="4615" max="4615" width="8.85546875" style="14" customWidth="1"/>
    <col min="4616" max="4616" width="10.85546875" style="14" customWidth="1"/>
    <col min="4617" max="4617" width="2.85546875" style="14" customWidth="1"/>
    <col min="4618" max="4618" width="12.140625" style="14" customWidth="1"/>
    <col min="4619" max="4619" width="10.140625" style="14" customWidth="1"/>
    <col min="4620" max="4620" width="11.7109375" style="14" customWidth="1"/>
    <col min="4621" max="4621" width="11.42578125" style="14" customWidth="1"/>
    <col min="4622" max="4622" width="12.7109375" style="14" customWidth="1"/>
    <col min="4623" max="4623" width="11.42578125" style="14" customWidth="1"/>
    <col min="4624" max="4624" width="10.7109375" style="14" customWidth="1"/>
    <col min="4625" max="4625" width="10.5703125" style="14" customWidth="1"/>
    <col min="4626" max="4626" width="11.28515625" style="14" customWidth="1"/>
    <col min="4627" max="4627" width="9.7109375" style="14" customWidth="1"/>
    <col min="4628" max="4628" width="12" style="14" customWidth="1"/>
    <col min="4629" max="4629" width="11.28515625" style="14" customWidth="1"/>
    <col min="4630" max="4867" width="9.140625" style="14"/>
    <col min="4868" max="4868" width="5.7109375" style="14" customWidth="1"/>
    <col min="4869" max="4869" width="13.140625" style="14" customWidth="1"/>
    <col min="4870" max="4870" width="12.28515625" style="14" customWidth="1"/>
    <col min="4871" max="4871" width="8.85546875" style="14" customWidth="1"/>
    <col min="4872" max="4872" width="10.85546875" style="14" customWidth="1"/>
    <col min="4873" max="4873" width="2.85546875" style="14" customWidth="1"/>
    <col min="4874" max="4874" width="12.140625" style="14" customWidth="1"/>
    <col min="4875" max="4875" width="10.140625" style="14" customWidth="1"/>
    <col min="4876" max="4876" width="11.7109375" style="14" customWidth="1"/>
    <col min="4877" max="4877" width="11.42578125" style="14" customWidth="1"/>
    <col min="4878" max="4878" width="12.7109375" style="14" customWidth="1"/>
    <col min="4879" max="4879" width="11.42578125" style="14" customWidth="1"/>
    <col min="4880" max="4880" width="10.7109375" style="14" customWidth="1"/>
    <col min="4881" max="4881" width="10.5703125" style="14" customWidth="1"/>
    <col min="4882" max="4882" width="11.28515625" style="14" customWidth="1"/>
    <col min="4883" max="4883" width="9.7109375" style="14" customWidth="1"/>
    <col min="4884" max="4884" width="12" style="14" customWidth="1"/>
    <col min="4885" max="4885" width="11.28515625" style="14" customWidth="1"/>
    <col min="4886" max="5123" width="9.140625" style="14"/>
    <col min="5124" max="5124" width="5.7109375" style="14" customWidth="1"/>
    <col min="5125" max="5125" width="13.140625" style="14" customWidth="1"/>
    <col min="5126" max="5126" width="12.28515625" style="14" customWidth="1"/>
    <col min="5127" max="5127" width="8.85546875" style="14" customWidth="1"/>
    <col min="5128" max="5128" width="10.85546875" style="14" customWidth="1"/>
    <col min="5129" max="5129" width="2.85546875" style="14" customWidth="1"/>
    <col min="5130" max="5130" width="12.140625" style="14" customWidth="1"/>
    <col min="5131" max="5131" width="10.140625" style="14" customWidth="1"/>
    <col min="5132" max="5132" width="11.7109375" style="14" customWidth="1"/>
    <col min="5133" max="5133" width="11.42578125" style="14" customWidth="1"/>
    <col min="5134" max="5134" width="12.7109375" style="14" customWidth="1"/>
    <col min="5135" max="5135" width="11.42578125" style="14" customWidth="1"/>
    <col min="5136" max="5136" width="10.7109375" style="14" customWidth="1"/>
    <col min="5137" max="5137" width="10.5703125" style="14" customWidth="1"/>
    <col min="5138" max="5138" width="11.28515625" style="14" customWidth="1"/>
    <col min="5139" max="5139" width="9.7109375" style="14" customWidth="1"/>
    <col min="5140" max="5140" width="12" style="14" customWidth="1"/>
    <col min="5141" max="5141" width="11.28515625" style="14" customWidth="1"/>
    <col min="5142" max="5379" width="9.140625" style="14"/>
    <col min="5380" max="5380" width="5.7109375" style="14" customWidth="1"/>
    <col min="5381" max="5381" width="13.140625" style="14" customWidth="1"/>
    <col min="5382" max="5382" width="12.28515625" style="14" customWidth="1"/>
    <col min="5383" max="5383" width="8.85546875" style="14" customWidth="1"/>
    <col min="5384" max="5384" width="10.85546875" style="14" customWidth="1"/>
    <col min="5385" max="5385" width="2.85546875" style="14" customWidth="1"/>
    <col min="5386" max="5386" width="12.140625" style="14" customWidth="1"/>
    <col min="5387" max="5387" width="10.140625" style="14" customWidth="1"/>
    <col min="5388" max="5388" width="11.7109375" style="14" customWidth="1"/>
    <col min="5389" max="5389" width="11.42578125" style="14" customWidth="1"/>
    <col min="5390" max="5390" width="12.7109375" style="14" customWidth="1"/>
    <col min="5391" max="5391" width="11.42578125" style="14" customWidth="1"/>
    <col min="5392" max="5392" width="10.7109375" style="14" customWidth="1"/>
    <col min="5393" max="5393" width="10.5703125" style="14" customWidth="1"/>
    <col min="5394" max="5394" width="11.28515625" style="14" customWidth="1"/>
    <col min="5395" max="5395" width="9.7109375" style="14" customWidth="1"/>
    <col min="5396" max="5396" width="12" style="14" customWidth="1"/>
    <col min="5397" max="5397" width="11.28515625" style="14" customWidth="1"/>
    <col min="5398" max="5635" width="9.140625" style="14"/>
    <col min="5636" max="5636" width="5.7109375" style="14" customWidth="1"/>
    <col min="5637" max="5637" width="13.140625" style="14" customWidth="1"/>
    <col min="5638" max="5638" width="12.28515625" style="14" customWidth="1"/>
    <col min="5639" max="5639" width="8.85546875" style="14" customWidth="1"/>
    <col min="5640" max="5640" width="10.85546875" style="14" customWidth="1"/>
    <col min="5641" max="5641" width="2.85546875" style="14" customWidth="1"/>
    <col min="5642" max="5642" width="12.140625" style="14" customWidth="1"/>
    <col min="5643" max="5643" width="10.140625" style="14" customWidth="1"/>
    <col min="5644" max="5644" width="11.7109375" style="14" customWidth="1"/>
    <col min="5645" max="5645" width="11.42578125" style="14" customWidth="1"/>
    <col min="5646" max="5646" width="12.7109375" style="14" customWidth="1"/>
    <col min="5647" max="5647" width="11.42578125" style="14" customWidth="1"/>
    <col min="5648" max="5648" width="10.7109375" style="14" customWidth="1"/>
    <col min="5649" max="5649" width="10.5703125" style="14" customWidth="1"/>
    <col min="5650" max="5650" width="11.28515625" style="14" customWidth="1"/>
    <col min="5651" max="5651" width="9.7109375" style="14" customWidth="1"/>
    <col min="5652" max="5652" width="12" style="14" customWidth="1"/>
    <col min="5653" max="5653" width="11.28515625" style="14" customWidth="1"/>
    <col min="5654" max="5891" width="9.140625" style="14"/>
    <col min="5892" max="5892" width="5.7109375" style="14" customWidth="1"/>
    <col min="5893" max="5893" width="13.140625" style="14" customWidth="1"/>
    <col min="5894" max="5894" width="12.28515625" style="14" customWidth="1"/>
    <col min="5895" max="5895" width="8.85546875" style="14" customWidth="1"/>
    <col min="5896" max="5896" width="10.85546875" style="14" customWidth="1"/>
    <col min="5897" max="5897" width="2.85546875" style="14" customWidth="1"/>
    <col min="5898" max="5898" width="12.140625" style="14" customWidth="1"/>
    <col min="5899" max="5899" width="10.140625" style="14" customWidth="1"/>
    <col min="5900" max="5900" width="11.7109375" style="14" customWidth="1"/>
    <col min="5901" max="5901" width="11.42578125" style="14" customWidth="1"/>
    <col min="5902" max="5902" width="12.7109375" style="14" customWidth="1"/>
    <col min="5903" max="5903" width="11.42578125" style="14" customWidth="1"/>
    <col min="5904" max="5904" width="10.7109375" style="14" customWidth="1"/>
    <col min="5905" max="5905" width="10.5703125" style="14" customWidth="1"/>
    <col min="5906" max="5906" width="11.28515625" style="14" customWidth="1"/>
    <col min="5907" max="5907" width="9.7109375" style="14" customWidth="1"/>
    <col min="5908" max="5908" width="12" style="14" customWidth="1"/>
    <col min="5909" max="5909" width="11.28515625" style="14" customWidth="1"/>
    <col min="5910" max="6147" width="9.140625" style="14"/>
    <col min="6148" max="6148" width="5.7109375" style="14" customWidth="1"/>
    <col min="6149" max="6149" width="13.140625" style="14" customWidth="1"/>
    <col min="6150" max="6150" width="12.28515625" style="14" customWidth="1"/>
    <col min="6151" max="6151" width="8.85546875" style="14" customWidth="1"/>
    <col min="6152" max="6152" width="10.85546875" style="14" customWidth="1"/>
    <col min="6153" max="6153" width="2.85546875" style="14" customWidth="1"/>
    <col min="6154" max="6154" width="12.140625" style="14" customWidth="1"/>
    <col min="6155" max="6155" width="10.140625" style="14" customWidth="1"/>
    <col min="6156" max="6156" width="11.7109375" style="14" customWidth="1"/>
    <col min="6157" max="6157" width="11.42578125" style="14" customWidth="1"/>
    <col min="6158" max="6158" width="12.7109375" style="14" customWidth="1"/>
    <col min="6159" max="6159" width="11.42578125" style="14" customWidth="1"/>
    <col min="6160" max="6160" width="10.7109375" style="14" customWidth="1"/>
    <col min="6161" max="6161" width="10.5703125" style="14" customWidth="1"/>
    <col min="6162" max="6162" width="11.28515625" style="14" customWidth="1"/>
    <col min="6163" max="6163" width="9.7109375" style="14" customWidth="1"/>
    <col min="6164" max="6164" width="12" style="14" customWidth="1"/>
    <col min="6165" max="6165" width="11.28515625" style="14" customWidth="1"/>
    <col min="6166" max="6403" width="9.140625" style="14"/>
    <col min="6404" max="6404" width="5.7109375" style="14" customWidth="1"/>
    <col min="6405" max="6405" width="13.140625" style="14" customWidth="1"/>
    <col min="6406" max="6406" width="12.28515625" style="14" customWidth="1"/>
    <col min="6407" max="6407" width="8.85546875" style="14" customWidth="1"/>
    <col min="6408" max="6408" width="10.85546875" style="14" customWidth="1"/>
    <col min="6409" max="6409" width="2.85546875" style="14" customWidth="1"/>
    <col min="6410" max="6410" width="12.140625" style="14" customWidth="1"/>
    <col min="6411" max="6411" width="10.140625" style="14" customWidth="1"/>
    <col min="6412" max="6412" width="11.7109375" style="14" customWidth="1"/>
    <col min="6413" max="6413" width="11.42578125" style="14" customWidth="1"/>
    <col min="6414" max="6414" width="12.7109375" style="14" customWidth="1"/>
    <col min="6415" max="6415" width="11.42578125" style="14" customWidth="1"/>
    <col min="6416" max="6416" width="10.7109375" style="14" customWidth="1"/>
    <col min="6417" max="6417" width="10.5703125" style="14" customWidth="1"/>
    <col min="6418" max="6418" width="11.28515625" style="14" customWidth="1"/>
    <col min="6419" max="6419" width="9.7109375" style="14" customWidth="1"/>
    <col min="6420" max="6420" width="12" style="14" customWidth="1"/>
    <col min="6421" max="6421" width="11.28515625" style="14" customWidth="1"/>
    <col min="6422" max="6659" width="9.140625" style="14"/>
    <col min="6660" max="6660" width="5.7109375" style="14" customWidth="1"/>
    <col min="6661" max="6661" width="13.140625" style="14" customWidth="1"/>
    <col min="6662" max="6662" width="12.28515625" style="14" customWidth="1"/>
    <col min="6663" max="6663" width="8.85546875" style="14" customWidth="1"/>
    <col min="6664" max="6664" width="10.85546875" style="14" customWidth="1"/>
    <col min="6665" max="6665" width="2.85546875" style="14" customWidth="1"/>
    <col min="6666" max="6666" width="12.140625" style="14" customWidth="1"/>
    <col min="6667" max="6667" width="10.140625" style="14" customWidth="1"/>
    <col min="6668" max="6668" width="11.7109375" style="14" customWidth="1"/>
    <col min="6669" max="6669" width="11.42578125" style="14" customWidth="1"/>
    <col min="6670" max="6670" width="12.7109375" style="14" customWidth="1"/>
    <col min="6671" max="6671" width="11.42578125" style="14" customWidth="1"/>
    <col min="6672" max="6672" width="10.7109375" style="14" customWidth="1"/>
    <col min="6673" max="6673" width="10.5703125" style="14" customWidth="1"/>
    <col min="6674" max="6674" width="11.28515625" style="14" customWidth="1"/>
    <col min="6675" max="6675" width="9.7109375" style="14" customWidth="1"/>
    <col min="6676" max="6676" width="12" style="14" customWidth="1"/>
    <col min="6677" max="6677" width="11.28515625" style="14" customWidth="1"/>
    <col min="6678" max="6915" width="9.140625" style="14"/>
    <col min="6916" max="6916" width="5.7109375" style="14" customWidth="1"/>
    <col min="6917" max="6917" width="13.140625" style="14" customWidth="1"/>
    <col min="6918" max="6918" width="12.28515625" style="14" customWidth="1"/>
    <col min="6919" max="6919" width="8.85546875" style="14" customWidth="1"/>
    <col min="6920" max="6920" width="10.85546875" style="14" customWidth="1"/>
    <col min="6921" max="6921" width="2.85546875" style="14" customWidth="1"/>
    <col min="6922" max="6922" width="12.140625" style="14" customWidth="1"/>
    <col min="6923" max="6923" width="10.140625" style="14" customWidth="1"/>
    <col min="6924" max="6924" width="11.7109375" style="14" customWidth="1"/>
    <col min="6925" max="6925" width="11.42578125" style="14" customWidth="1"/>
    <col min="6926" max="6926" width="12.7109375" style="14" customWidth="1"/>
    <col min="6927" max="6927" width="11.42578125" style="14" customWidth="1"/>
    <col min="6928" max="6928" width="10.7109375" style="14" customWidth="1"/>
    <col min="6929" max="6929" width="10.5703125" style="14" customWidth="1"/>
    <col min="6930" max="6930" width="11.28515625" style="14" customWidth="1"/>
    <col min="6931" max="6931" width="9.7109375" style="14" customWidth="1"/>
    <col min="6932" max="6932" width="12" style="14" customWidth="1"/>
    <col min="6933" max="6933" width="11.28515625" style="14" customWidth="1"/>
    <col min="6934" max="7171" width="9.140625" style="14"/>
    <col min="7172" max="7172" width="5.7109375" style="14" customWidth="1"/>
    <col min="7173" max="7173" width="13.140625" style="14" customWidth="1"/>
    <col min="7174" max="7174" width="12.28515625" style="14" customWidth="1"/>
    <col min="7175" max="7175" width="8.85546875" style="14" customWidth="1"/>
    <col min="7176" max="7176" width="10.85546875" style="14" customWidth="1"/>
    <col min="7177" max="7177" width="2.85546875" style="14" customWidth="1"/>
    <col min="7178" max="7178" width="12.140625" style="14" customWidth="1"/>
    <col min="7179" max="7179" width="10.140625" style="14" customWidth="1"/>
    <col min="7180" max="7180" width="11.7109375" style="14" customWidth="1"/>
    <col min="7181" max="7181" width="11.42578125" style="14" customWidth="1"/>
    <col min="7182" max="7182" width="12.7109375" style="14" customWidth="1"/>
    <col min="7183" max="7183" width="11.42578125" style="14" customWidth="1"/>
    <col min="7184" max="7184" width="10.7109375" style="14" customWidth="1"/>
    <col min="7185" max="7185" width="10.5703125" style="14" customWidth="1"/>
    <col min="7186" max="7186" width="11.28515625" style="14" customWidth="1"/>
    <col min="7187" max="7187" width="9.7109375" style="14" customWidth="1"/>
    <col min="7188" max="7188" width="12" style="14" customWidth="1"/>
    <col min="7189" max="7189" width="11.28515625" style="14" customWidth="1"/>
    <col min="7190" max="7427" width="9.140625" style="14"/>
    <col min="7428" max="7428" width="5.7109375" style="14" customWidth="1"/>
    <col min="7429" max="7429" width="13.140625" style="14" customWidth="1"/>
    <col min="7430" max="7430" width="12.28515625" style="14" customWidth="1"/>
    <col min="7431" max="7431" width="8.85546875" style="14" customWidth="1"/>
    <col min="7432" max="7432" width="10.85546875" style="14" customWidth="1"/>
    <col min="7433" max="7433" width="2.85546875" style="14" customWidth="1"/>
    <col min="7434" max="7434" width="12.140625" style="14" customWidth="1"/>
    <col min="7435" max="7435" width="10.140625" style="14" customWidth="1"/>
    <col min="7436" max="7436" width="11.7109375" style="14" customWidth="1"/>
    <col min="7437" max="7437" width="11.42578125" style="14" customWidth="1"/>
    <col min="7438" max="7438" width="12.7109375" style="14" customWidth="1"/>
    <col min="7439" max="7439" width="11.42578125" style="14" customWidth="1"/>
    <col min="7440" max="7440" width="10.7109375" style="14" customWidth="1"/>
    <col min="7441" max="7441" width="10.5703125" style="14" customWidth="1"/>
    <col min="7442" max="7442" width="11.28515625" style="14" customWidth="1"/>
    <col min="7443" max="7443" width="9.7109375" style="14" customWidth="1"/>
    <col min="7444" max="7444" width="12" style="14" customWidth="1"/>
    <col min="7445" max="7445" width="11.28515625" style="14" customWidth="1"/>
    <col min="7446" max="7683" width="9.140625" style="14"/>
    <col min="7684" max="7684" width="5.7109375" style="14" customWidth="1"/>
    <col min="7685" max="7685" width="13.140625" style="14" customWidth="1"/>
    <col min="7686" max="7686" width="12.28515625" style="14" customWidth="1"/>
    <col min="7687" max="7687" width="8.85546875" style="14" customWidth="1"/>
    <col min="7688" max="7688" width="10.85546875" style="14" customWidth="1"/>
    <col min="7689" max="7689" width="2.85546875" style="14" customWidth="1"/>
    <col min="7690" max="7690" width="12.140625" style="14" customWidth="1"/>
    <col min="7691" max="7691" width="10.140625" style="14" customWidth="1"/>
    <col min="7692" max="7692" width="11.7109375" style="14" customWidth="1"/>
    <col min="7693" max="7693" width="11.42578125" style="14" customWidth="1"/>
    <col min="7694" max="7694" width="12.7109375" style="14" customWidth="1"/>
    <col min="7695" max="7695" width="11.42578125" style="14" customWidth="1"/>
    <col min="7696" max="7696" width="10.7109375" style="14" customWidth="1"/>
    <col min="7697" max="7697" width="10.5703125" style="14" customWidth="1"/>
    <col min="7698" max="7698" width="11.28515625" style="14" customWidth="1"/>
    <col min="7699" max="7699" width="9.7109375" style="14" customWidth="1"/>
    <col min="7700" max="7700" width="12" style="14" customWidth="1"/>
    <col min="7701" max="7701" width="11.28515625" style="14" customWidth="1"/>
    <col min="7702" max="7939" width="9.140625" style="14"/>
    <col min="7940" max="7940" width="5.7109375" style="14" customWidth="1"/>
    <col min="7941" max="7941" width="13.140625" style="14" customWidth="1"/>
    <col min="7942" max="7942" width="12.28515625" style="14" customWidth="1"/>
    <col min="7943" max="7943" width="8.85546875" style="14" customWidth="1"/>
    <col min="7944" max="7944" width="10.85546875" style="14" customWidth="1"/>
    <col min="7945" max="7945" width="2.85546875" style="14" customWidth="1"/>
    <col min="7946" max="7946" width="12.140625" style="14" customWidth="1"/>
    <col min="7947" max="7947" width="10.140625" style="14" customWidth="1"/>
    <col min="7948" max="7948" width="11.7109375" style="14" customWidth="1"/>
    <col min="7949" max="7949" width="11.42578125" style="14" customWidth="1"/>
    <col min="7950" max="7950" width="12.7109375" style="14" customWidth="1"/>
    <col min="7951" max="7951" width="11.42578125" style="14" customWidth="1"/>
    <col min="7952" max="7952" width="10.7109375" style="14" customWidth="1"/>
    <col min="7953" max="7953" width="10.5703125" style="14" customWidth="1"/>
    <col min="7954" max="7954" width="11.28515625" style="14" customWidth="1"/>
    <col min="7955" max="7955" width="9.7109375" style="14" customWidth="1"/>
    <col min="7956" max="7956" width="12" style="14" customWidth="1"/>
    <col min="7957" max="7957" width="11.28515625" style="14" customWidth="1"/>
    <col min="7958" max="8195" width="9.140625" style="14"/>
    <col min="8196" max="8196" width="5.7109375" style="14" customWidth="1"/>
    <col min="8197" max="8197" width="13.140625" style="14" customWidth="1"/>
    <col min="8198" max="8198" width="12.28515625" style="14" customWidth="1"/>
    <col min="8199" max="8199" width="8.85546875" style="14" customWidth="1"/>
    <col min="8200" max="8200" width="10.85546875" style="14" customWidth="1"/>
    <col min="8201" max="8201" width="2.85546875" style="14" customWidth="1"/>
    <col min="8202" max="8202" width="12.140625" style="14" customWidth="1"/>
    <col min="8203" max="8203" width="10.140625" style="14" customWidth="1"/>
    <col min="8204" max="8204" width="11.7109375" style="14" customWidth="1"/>
    <col min="8205" max="8205" width="11.42578125" style="14" customWidth="1"/>
    <col min="8206" max="8206" width="12.7109375" style="14" customWidth="1"/>
    <col min="8207" max="8207" width="11.42578125" style="14" customWidth="1"/>
    <col min="8208" max="8208" width="10.7109375" style="14" customWidth="1"/>
    <col min="8209" max="8209" width="10.5703125" style="14" customWidth="1"/>
    <col min="8210" max="8210" width="11.28515625" style="14" customWidth="1"/>
    <col min="8211" max="8211" width="9.7109375" style="14" customWidth="1"/>
    <col min="8212" max="8212" width="12" style="14" customWidth="1"/>
    <col min="8213" max="8213" width="11.28515625" style="14" customWidth="1"/>
    <col min="8214" max="8451" width="9.140625" style="14"/>
    <col min="8452" max="8452" width="5.7109375" style="14" customWidth="1"/>
    <col min="8453" max="8453" width="13.140625" style="14" customWidth="1"/>
    <col min="8454" max="8454" width="12.28515625" style="14" customWidth="1"/>
    <col min="8455" max="8455" width="8.85546875" style="14" customWidth="1"/>
    <col min="8456" max="8456" width="10.85546875" style="14" customWidth="1"/>
    <col min="8457" max="8457" width="2.85546875" style="14" customWidth="1"/>
    <col min="8458" max="8458" width="12.140625" style="14" customWidth="1"/>
    <col min="8459" max="8459" width="10.140625" style="14" customWidth="1"/>
    <col min="8460" max="8460" width="11.7109375" style="14" customWidth="1"/>
    <col min="8461" max="8461" width="11.42578125" style="14" customWidth="1"/>
    <col min="8462" max="8462" width="12.7109375" style="14" customWidth="1"/>
    <col min="8463" max="8463" width="11.42578125" style="14" customWidth="1"/>
    <col min="8464" max="8464" width="10.7109375" style="14" customWidth="1"/>
    <col min="8465" max="8465" width="10.5703125" style="14" customWidth="1"/>
    <col min="8466" max="8466" width="11.28515625" style="14" customWidth="1"/>
    <col min="8467" max="8467" width="9.7109375" style="14" customWidth="1"/>
    <col min="8468" max="8468" width="12" style="14" customWidth="1"/>
    <col min="8469" max="8469" width="11.28515625" style="14" customWidth="1"/>
    <col min="8470" max="8707" width="9.140625" style="14"/>
    <col min="8708" max="8708" width="5.7109375" style="14" customWidth="1"/>
    <col min="8709" max="8709" width="13.140625" style="14" customWidth="1"/>
    <col min="8710" max="8710" width="12.28515625" style="14" customWidth="1"/>
    <col min="8711" max="8711" width="8.85546875" style="14" customWidth="1"/>
    <col min="8712" max="8712" width="10.85546875" style="14" customWidth="1"/>
    <col min="8713" max="8713" width="2.85546875" style="14" customWidth="1"/>
    <col min="8714" max="8714" width="12.140625" style="14" customWidth="1"/>
    <col min="8715" max="8715" width="10.140625" style="14" customWidth="1"/>
    <col min="8716" max="8716" width="11.7109375" style="14" customWidth="1"/>
    <col min="8717" max="8717" width="11.42578125" style="14" customWidth="1"/>
    <col min="8718" max="8718" width="12.7109375" style="14" customWidth="1"/>
    <col min="8719" max="8719" width="11.42578125" style="14" customWidth="1"/>
    <col min="8720" max="8720" width="10.7109375" style="14" customWidth="1"/>
    <col min="8721" max="8721" width="10.5703125" style="14" customWidth="1"/>
    <col min="8722" max="8722" width="11.28515625" style="14" customWidth="1"/>
    <col min="8723" max="8723" width="9.7109375" style="14" customWidth="1"/>
    <col min="8724" max="8724" width="12" style="14" customWidth="1"/>
    <col min="8725" max="8725" width="11.28515625" style="14" customWidth="1"/>
    <col min="8726" max="8963" width="9.140625" style="14"/>
    <col min="8964" max="8964" width="5.7109375" style="14" customWidth="1"/>
    <col min="8965" max="8965" width="13.140625" style="14" customWidth="1"/>
    <col min="8966" max="8966" width="12.28515625" style="14" customWidth="1"/>
    <col min="8967" max="8967" width="8.85546875" style="14" customWidth="1"/>
    <col min="8968" max="8968" width="10.85546875" style="14" customWidth="1"/>
    <col min="8969" max="8969" width="2.85546875" style="14" customWidth="1"/>
    <col min="8970" max="8970" width="12.140625" style="14" customWidth="1"/>
    <col min="8971" max="8971" width="10.140625" style="14" customWidth="1"/>
    <col min="8972" max="8972" width="11.7109375" style="14" customWidth="1"/>
    <col min="8973" max="8973" width="11.42578125" style="14" customWidth="1"/>
    <col min="8974" max="8974" width="12.7109375" style="14" customWidth="1"/>
    <col min="8975" max="8975" width="11.42578125" style="14" customWidth="1"/>
    <col min="8976" max="8976" width="10.7109375" style="14" customWidth="1"/>
    <col min="8977" max="8977" width="10.5703125" style="14" customWidth="1"/>
    <col min="8978" max="8978" width="11.28515625" style="14" customWidth="1"/>
    <col min="8979" max="8979" width="9.7109375" style="14" customWidth="1"/>
    <col min="8980" max="8980" width="12" style="14" customWidth="1"/>
    <col min="8981" max="8981" width="11.28515625" style="14" customWidth="1"/>
    <col min="8982" max="9219" width="9.140625" style="14"/>
    <col min="9220" max="9220" width="5.7109375" style="14" customWidth="1"/>
    <col min="9221" max="9221" width="13.140625" style="14" customWidth="1"/>
    <col min="9222" max="9222" width="12.28515625" style="14" customWidth="1"/>
    <col min="9223" max="9223" width="8.85546875" style="14" customWidth="1"/>
    <col min="9224" max="9224" width="10.85546875" style="14" customWidth="1"/>
    <col min="9225" max="9225" width="2.85546875" style="14" customWidth="1"/>
    <col min="9226" max="9226" width="12.140625" style="14" customWidth="1"/>
    <col min="9227" max="9227" width="10.140625" style="14" customWidth="1"/>
    <col min="9228" max="9228" width="11.7109375" style="14" customWidth="1"/>
    <col min="9229" max="9229" width="11.42578125" style="14" customWidth="1"/>
    <col min="9230" max="9230" width="12.7109375" style="14" customWidth="1"/>
    <col min="9231" max="9231" width="11.42578125" style="14" customWidth="1"/>
    <col min="9232" max="9232" width="10.7109375" style="14" customWidth="1"/>
    <col min="9233" max="9233" width="10.5703125" style="14" customWidth="1"/>
    <col min="9234" max="9234" width="11.28515625" style="14" customWidth="1"/>
    <col min="9235" max="9235" width="9.7109375" style="14" customWidth="1"/>
    <col min="9236" max="9236" width="12" style="14" customWidth="1"/>
    <col min="9237" max="9237" width="11.28515625" style="14" customWidth="1"/>
    <col min="9238" max="9475" width="9.140625" style="14"/>
    <col min="9476" max="9476" width="5.7109375" style="14" customWidth="1"/>
    <col min="9477" max="9477" width="13.140625" style="14" customWidth="1"/>
    <col min="9478" max="9478" width="12.28515625" style="14" customWidth="1"/>
    <col min="9479" max="9479" width="8.85546875" style="14" customWidth="1"/>
    <col min="9480" max="9480" width="10.85546875" style="14" customWidth="1"/>
    <col min="9481" max="9481" width="2.85546875" style="14" customWidth="1"/>
    <col min="9482" max="9482" width="12.140625" style="14" customWidth="1"/>
    <col min="9483" max="9483" width="10.140625" style="14" customWidth="1"/>
    <col min="9484" max="9484" width="11.7109375" style="14" customWidth="1"/>
    <col min="9485" max="9485" width="11.42578125" style="14" customWidth="1"/>
    <col min="9486" max="9486" width="12.7109375" style="14" customWidth="1"/>
    <col min="9487" max="9487" width="11.42578125" style="14" customWidth="1"/>
    <col min="9488" max="9488" width="10.7109375" style="14" customWidth="1"/>
    <col min="9489" max="9489" width="10.5703125" style="14" customWidth="1"/>
    <col min="9490" max="9490" width="11.28515625" style="14" customWidth="1"/>
    <col min="9491" max="9491" width="9.7109375" style="14" customWidth="1"/>
    <col min="9492" max="9492" width="12" style="14" customWidth="1"/>
    <col min="9493" max="9493" width="11.28515625" style="14" customWidth="1"/>
    <col min="9494" max="9731" width="9.140625" style="14"/>
    <col min="9732" max="9732" width="5.7109375" style="14" customWidth="1"/>
    <col min="9733" max="9733" width="13.140625" style="14" customWidth="1"/>
    <col min="9734" max="9734" width="12.28515625" style="14" customWidth="1"/>
    <col min="9735" max="9735" width="8.85546875" style="14" customWidth="1"/>
    <col min="9736" max="9736" width="10.85546875" style="14" customWidth="1"/>
    <col min="9737" max="9737" width="2.85546875" style="14" customWidth="1"/>
    <col min="9738" max="9738" width="12.140625" style="14" customWidth="1"/>
    <col min="9739" max="9739" width="10.140625" style="14" customWidth="1"/>
    <col min="9740" max="9740" width="11.7109375" style="14" customWidth="1"/>
    <col min="9741" max="9741" width="11.42578125" style="14" customWidth="1"/>
    <col min="9742" max="9742" width="12.7109375" style="14" customWidth="1"/>
    <col min="9743" max="9743" width="11.42578125" style="14" customWidth="1"/>
    <col min="9744" max="9744" width="10.7109375" style="14" customWidth="1"/>
    <col min="9745" max="9745" width="10.5703125" style="14" customWidth="1"/>
    <col min="9746" max="9746" width="11.28515625" style="14" customWidth="1"/>
    <col min="9747" max="9747" width="9.7109375" style="14" customWidth="1"/>
    <col min="9748" max="9748" width="12" style="14" customWidth="1"/>
    <col min="9749" max="9749" width="11.28515625" style="14" customWidth="1"/>
    <col min="9750" max="9987" width="9.140625" style="14"/>
    <col min="9988" max="9988" width="5.7109375" style="14" customWidth="1"/>
    <col min="9989" max="9989" width="13.140625" style="14" customWidth="1"/>
    <col min="9990" max="9990" width="12.28515625" style="14" customWidth="1"/>
    <col min="9991" max="9991" width="8.85546875" style="14" customWidth="1"/>
    <col min="9992" max="9992" width="10.85546875" style="14" customWidth="1"/>
    <col min="9993" max="9993" width="2.85546875" style="14" customWidth="1"/>
    <col min="9994" max="9994" width="12.140625" style="14" customWidth="1"/>
    <col min="9995" max="9995" width="10.140625" style="14" customWidth="1"/>
    <col min="9996" max="9996" width="11.7109375" style="14" customWidth="1"/>
    <col min="9997" max="9997" width="11.42578125" style="14" customWidth="1"/>
    <col min="9998" max="9998" width="12.7109375" style="14" customWidth="1"/>
    <col min="9999" max="9999" width="11.42578125" style="14" customWidth="1"/>
    <col min="10000" max="10000" width="10.7109375" style="14" customWidth="1"/>
    <col min="10001" max="10001" width="10.5703125" style="14" customWidth="1"/>
    <col min="10002" max="10002" width="11.28515625" style="14" customWidth="1"/>
    <col min="10003" max="10003" width="9.7109375" style="14" customWidth="1"/>
    <col min="10004" max="10004" width="12" style="14" customWidth="1"/>
    <col min="10005" max="10005" width="11.28515625" style="14" customWidth="1"/>
    <col min="10006" max="10243" width="9.140625" style="14"/>
    <col min="10244" max="10244" width="5.7109375" style="14" customWidth="1"/>
    <col min="10245" max="10245" width="13.140625" style="14" customWidth="1"/>
    <col min="10246" max="10246" width="12.28515625" style="14" customWidth="1"/>
    <col min="10247" max="10247" width="8.85546875" style="14" customWidth="1"/>
    <col min="10248" max="10248" width="10.85546875" style="14" customWidth="1"/>
    <col min="10249" max="10249" width="2.85546875" style="14" customWidth="1"/>
    <col min="10250" max="10250" width="12.140625" style="14" customWidth="1"/>
    <col min="10251" max="10251" width="10.140625" style="14" customWidth="1"/>
    <col min="10252" max="10252" width="11.7109375" style="14" customWidth="1"/>
    <col min="10253" max="10253" width="11.42578125" style="14" customWidth="1"/>
    <col min="10254" max="10254" width="12.7109375" style="14" customWidth="1"/>
    <col min="10255" max="10255" width="11.42578125" style="14" customWidth="1"/>
    <col min="10256" max="10256" width="10.7109375" style="14" customWidth="1"/>
    <col min="10257" max="10257" width="10.5703125" style="14" customWidth="1"/>
    <col min="10258" max="10258" width="11.28515625" style="14" customWidth="1"/>
    <col min="10259" max="10259" width="9.7109375" style="14" customWidth="1"/>
    <col min="10260" max="10260" width="12" style="14" customWidth="1"/>
    <col min="10261" max="10261" width="11.28515625" style="14" customWidth="1"/>
    <col min="10262" max="10499" width="9.140625" style="14"/>
    <col min="10500" max="10500" width="5.7109375" style="14" customWidth="1"/>
    <col min="10501" max="10501" width="13.140625" style="14" customWidth="1"/>
    <col min="10502" max="10502" width="12.28515625" style="14" customWidth="1"/>
    <col min="10503" max="10503" width="8.85546875" style="14" customWidth="1"/>
    <col min="10504" max="10504" width="10.85546875" style="14" customWidth="1"/>
    <col min="10505" max="10505" width="2.85546875" style="14" customWidth="1"/>
    <col min="10506" max="10506" width="12.140625" style="14" customWidth="1"/>
    <col min="10507" max="10507" width="10.140625" style="14" customWidth="1"/>
    <col min="10508" max="10508" width="11.7109375" style="14" customWidth="1"/>
    <col min="10509" max="10509" width="11.42578125" style="14" customWidth="1"/>
    <col min="10510" max="10510" width="12.7109375" style="14" customWidth="1"/>
    <col min="10511" max="10511" width="11.42578125" style="14" customWidth="1"/>
    <col min="10512" max="10512" width="10.7109375" style="14" customWidth="1"/>
    <col min="10513" max="10513" width="10.5703125" style="14" customWidth="1"/>
    <col min="10514" max="10514" width="11.28515625" style="14" customWidth="1"/>
    <col min="10515" max="10515" width="9.7109375" style="14" customWidth="1"/>
    <col min="10516" max="10516" width="12" style="14" customWidth="1"/>
    <col min="10517" max="10517" width="11.28515625" style="14" customWidth="1"/>
    <col min="10518" max="10755" width="9.140625" style="14"/>
    <col min="10756" max="10756" width="5.7109375" style="14" customWidth="1"/>
    <col min="10757" max="10757" width="13.140625" style="14" customWidth="1"/>
    <col min="10758" max="10758" width="12.28515625" style="14" customWidth="1"/>
    <col min="10759" max="10759" width="8.85546875" style="14" customWidth="1"/>
    <col min="10760" max="10760" width="10.85546875" style="14" customWidth="1"/>
    <col min="10761" max="10761" width="2.85546875" style="14" customWidth="1"/>
    <col min="10762" max="10762" width="12.140625" style="14" customWidth="1"/>
    <col min="10763" max="10763" width="10.140625" style="14" customWidth="1"/>
    <col min="10764" max="10764" width="11.7109375" style="14" customWidth="1"/>
    <col min="10765" max="10765" width="11.42578125" style="14" customWidth="1"/>
    <col min="10766" max="10766" width="12.7109375" style="14" customWidth="1"/>
    <col min="10767" max="10767" width="11.42578125" style="14" customWidth="1"/>
    <col min="10768" max="10768" width="10.7109375" style="14" customWidth="1"/>
    <col min="10769" max="10769" width="10.5703125" style="14" customWidth="1"/>
    <col min="10770" max="10770" width="11.28515625" style="14" customWidth="1"/>
    <col min="10771" max="10771" width="9.7109375" style="14" customWidth="1"/>
    <col min="10772" max="10772" width="12" style="14" customWidth="1"/>
    <col min="10773" max="10773" width="11.28515625" style="14" customWidth="1"/>
    <col min="10774" max="11011" width="9.140625" style="14"/>
    <col min="11012" max="11012" width="5.7109375" style="14" customWidth="1"/>
    <col min="11013" max="11013" width="13.140625" style="14" customWidth="1"/>
    <col min="11014" max="11014" width="12.28515625" style="14" customWidth="1"/>
    <col min="11015" max="11015" width="8.85546875" style="14" customWidth="1"/>
    <col min="11016" max="11016" width="10.85546875" style="14" customWidth="1"/>
    <col min="11017" max="11017" width="2.85546875" style="14" customWidth="1"/>
    <col min="11018" max="11018" width="12.140625" style="14" customWidth="1"/>
    <col min="11019" max="11019" width="10.140625" style="14" customWidth="1"/>
    <col min="11020" max="11020" width="11.7109375" style="14" customWidth="1"/>
    <col min="11021" max="11021" width="11.42578125" style="14" customWidth="1"/>
    <col min="11022" max="11022" width="12.7109375" style="14" customWidth="1"/>
    <col min="11023" max="11023" width="11.42578125" style="14" customWidth="1"/>
    <col min="11024" max="11024" width="10.7109375" style="14" customWidth="1"/>
    <col min="11025" max="11025" width="10.5703125" style="14" customWidth="1"/>
    <col min="11026" max="11026" width="11.28515625" style="14" customWidth="1"/>
    <col min="11027" max="11027" width="9.7109375" style="14" customWidth="1"/>
    <col min="11028" max="11028" width="12" style="14" customWidth="1"/>
    <col min="11029" max="11029" width="11.28515625" style="14" customWidth="1"/>
    <col min="11030" max="11267" width="9.140625" style="14"/>
    <col min="11268" max="11268" width="5.7109375" style="14" customWidth="1"/>
    <col min="11269" max="11269" width="13.140625" style="14" customWidth="1"/>
    <col min="11270" max="11270" width="12.28515625" style="14" customWidth="1"/>
    <col min="11271" max="11271" width="8.85546875" style="14" customWidth="1"/>
    <col min="11272" max="11272" width="10.85546875" style="14" customWidth="1"/>
    <col min="11273" max="11273" width="2.85546875" style="14" customWidth="1"/>
    <col min="11274" max="11274" width="12.140625" style="14" customWidth="1"/>
    <col min="11275" max="11275" width="10.140625" style="14" customWidth="1"/>
    <col min="11276" max="11276" width="11.7109375" style="14" customWidth="1"/>
    <col min="11277" max="11277" width="11.42578125" style="14" customWidth="1"/>
    <col min="11278" max="11278" width="12.7109375" style="14" customWidth="1"/>
    <col min="11279" max="11279" width="11.42578125" style="14" customWidth="1"/>
    <col min="11280" max="11280" width="10.7109375" style="14" customWidth="1"/>
    <col min="11281" max="11281" width="10.5703125" style="14" customWidth="1"/>
    <col min="11282" max="11282" width="11.28515625" style="14" customWidth="1"/>
    <col min="11283" max="11283" width="9.7109375" style="14" customWidth="1"/>
    <col min="11284" max="11284" width="12" style="14" customWidth="1"/>
    <col min="11285" max="11285" width="11.28515625" style="14" customWidth="1"/>
    <col min="11286" max="11523" width="9.140625" style="14"/>
    <col min="11524" max="11524" width="5.7109375" style="14" customWidth="1"/>
    <col min="11525" max="11525" width="13.140625" style="14" customWidth="1"/>
    <col min="11526" max="11526" width="12.28515625" style="14" customWidth="1"/>
    <col min="11527" max="11527" width="8.85546875" style="14" customWidth="1"/>
    <col min="11528" max="11528" width="10.85546875" style="14" customWidth="1"/>
    <col min="11529" max="11529" width="2.85546875" style="14" customWidth="1"/>
    <col min="11530" max="11530" width="12.140625" style="14" customWidth="1"/>
    <col min="11531" max="11531" width="10.140625" style="14" customWidth="1"/>
    <col min="11532" max="11532" width="11.7109375" style="14" customWidth="1"/>
    <col min="11533" max="11533" width="11.42578125" style="14" customWidth="1"/>
    <col min="11534" max="11534" width="12.7109375" style="14" customWidth="1"/>
    <col min="11535" max="11535" width="11.42578125" style="14" customWidth="1"/>
    <col min="11536" max="11536" width="10.7109375" style="14" customWidth="1"/>
    <col min="11537" max="11537" width="10.5703125" style="14" customWidth="1"/>
    <col min="11538" max="11538" width="11.28515625" style="14" customWidth="1"/>
    <col min="11539" max="11539" width="9.7109375" style="14" customWidth="1"/>
    <col min="11540" max="11540" width="12" style="14" customWidth="1"/>
    <col min="11541" max="11541" width="11.28515625" style="14" customWidth="1"/>
    <col min="11542" max="11779" width="9.140625" style="14"/>
    <col min="11780" max="11780" width="5.7109375" style="14" customWidth="1"/>
    <col min="11781" max="11781" width="13.140625" style="14" customWidth="1"/>
    <col min="11782" max="11782" width="12.28515625" style="14" customWidth="1"/>
    <col min="11783" max="11783" width="8.85546875" style="14" customWidth="1"/>
    <col min="11784" max="11784" width="10.85546875" style="14" customWidth="1"/>
    <col min="11785" max="11785" width="2.85546875" style="14" customWidth="1"/>
    <col min="11786" max="11786" width="12.140625" style="14" customWidth="1"/>
    <col min="11787" max="11787" width="10.140625" style="14" customWidth="1"/>
    <col min="11788" max="11788" width="11.7109375" style="14" customWidth="1"/>
    <col min="11789" max="11789" width="11.42578125" style="14" customWidth="1"/>
    <col min="11790" max="11790" width="12.7109375" style="14" customWidth="1"/>
    <col min="11791" max="11791" width="11.42578125" style="14" customWidth="1"/>
    <col min="11792" max="11792" width="10.7109375" style="14" customWidth="1"/>
    <col min="11793" max="11793" width="10.5703125" style="14" customWidth="1"/>
    <col min="11794" max="11794" width="11.28515625" style="14" customWidth="1"/>
    <col min="11795" max="11795" width="9.7109375" style="14" customWidth="1"/>
    <col min="11796" max="11796" width="12" style="14" customWidth="1"/>
    <col min="11797" max="11797" width="11.28515625" style="14" customWidth="1"/>
    <col min="11798" max="12035" width="9.140625" style="14"/>
    <col min="12036" max="12036" width="5.7109375" style="14" customWidth="1"/>
    <col min="12037" max="12037" width="13.140625" style="14" customWidth="1"/>
    <col min="12038" max="12038" width="12.28515625" style="14" customWidth="1"/>
    <col min="12039" max="12039" width="8.85546875" style="14" customWidth="1"/>
    <col min="12040" max="12040" width="10.85546875" style="14" customWidth="1"/>
    <col min="12041" max="12041" width="2.85546875" style="14" customWidth="1"/>
    <col min="12042" max="12042" width="12.140625" style="14" customWidth="1"/>
    <col min="12043" max="12043" width="10.140625" style="14" customWidth="1"/>
    <col min="12044" max="12044" width="11.7109375" style="14" customWidth="1"/>
    <col min="12045" max="12045" width="11.42578125" style="14" customWidth="1"/>
    <col min="12046" max="12046" width="12.7109375" style="14" customWidth="1"/>
    <col min="12047" max="12047" width="11.42578125" style="14" customWidth="1"/>
    <col min="12048" max="12048" width="10.7109375" style="14" customWidth="1"/>
    <col min="12049" max="12049" width="10.5703125" style="14" customWidth="1"/>
    <col min="12050" max="12050" width="11.28515625" style="14" customWidth="1"/>
    <col min="12051" max="12051" width="9.7109375" style="14" customWidth="1"/>
    <col min="12052" max="12052" width="12" style="14" customWidth="1"/>
    <col min="12053" max="12053" width="11.28515625" style="14" customWidth="1"/>
    <col min="12054" max="12291" width="9.140625" style="14"/>
    <col min="12292" max="12292" width="5.7109375" style="14" customWidth="1"/>
    <col min="12293" max="12293" width="13.140625" style="14" customWidth="1"/>
    <col min="12294" max="12294" width="12.28515625" style="14" customWidth="1"/>
    <col min="12295" max="12295" width="8.85546875" style="14" customWidth="1"/>
    <col min="12296" max="12296" width="10.85546875" style="14" customWidth="1"/>
    <col min="12297" max="12297" width="2.85546875" style="14" customWidth="1"/>
    <col min="12298" max="12298" width="12.140625" style="14" customWidth="1"/>
    <col min="12299" max="12299" width="10.140625" style="14" customWidth="1"/>
    <col min="12300" max="12300" width="11.7109375" style="14" customWidth="1"/>
    <col min="12301" max="12301" width="11.42578125" style="14" customWidth="1"/>
    <col min="12302" max="12302" width="12.7109375" style="14" customWidth="1"/>
    <col min="12303" max="12303" width="11.42578125" style="14" customWidth="1"/>
    <col min="12304" max="12304" width="10.7109375" style="14" customWidth="1"/>
    <col min="12305" max="12305" width="10.5703125" style="14" customWidth="1"/>
    <col min="12306" max="12306" width="11.28515625" style="14" customWidth="1"/>
    <col min="12307" max="12307" width="9.7109375" style="14" customWidth="1"/>
    <col min="12308" max="12308" width="12" style="14" customWidth="1"/>
    <col min="12309" max="12309" width="11.28515625" style="14" customWidth="1"/>
    <col min="12310" max="12547" width="9.140625" style="14"/>
    <col min="12548" max="12548" width="5.7109375" style="14" customWidth="1"/>
    <col min="12549" max="12549" width="13.140625" style="14" customWidth="1"/>
    <col min="12550" max="12550" width="12.28515625" style="14" customWidth="1"/>
    <col min="12551" max="12551" width="8.85546875" style="14" customWidth="1"/>
    <col min="12552" max="12552" width="10.85546875" style="14" customWidth="1"/>
    <col min="12553" max="12553" width="2.85546875" style="14" customWidth="1"/>
    <col min="12554" max="12554" width="12.140625" style="14" customWidth="1"/>
    <col min="12555" max="12555" width="10.140625" style="14" customWidth="1"/>
    <col min="12556" max="12556" width="11.7109375" style="14" customWidth="1"/>
    <col min="12557" max="12557" width="11.42578125" style="14" customWidth="1"/>
    <col min="12558" max="12558" width="12.7109375" style="14" customWidth="1"/>
    <col min="12559" max="12559" width="11.42578125" style="14" customWidth="1"/>
    <col min="12560" max="12560" width="10.7109375" style="14" customWidth="1"/>
    <col min="12561" max="12561" width="10.5703125" style="14" customWidth="1"/>
    <col min="12562" max="12562" width="11.28515625" style="14" customWidth="1"/>
    <col min="12563" max="12563" width="9.7109375" style="14" customWidth="1"/>
    <col min="12564" max="12564" width="12" style="14" customWidth="1"/>
    <col min="12565" max="12565" width="11.28515625" style="14" customWidth="1"/>
    <col min="12566" max="12803" width="9.140625" style="14"/>
    <col min="12804" max="12804" width="5.7109375" style="14" customWidth="1"/>
    <col min="12805" max="12805" width="13.140625" style="14" customWidth="1"/>
    <col min="12806" max="12806" width="12.28515625" style="14" customWidth="1"/>
    <col min="12807" max="12807" width="8.85546875" style="14" customWidth="1"/>
    <col min="12808" max="12808" width="10.85546875" style="14" customWidth="1"/>
    <col min="12809" max="12809" width="2.85546875" style="14" customWidth="1"/>
    <col min="12810" max="12810" width="12.140625" style="14" customWidth="1"/>
    <col min="12811" max="12811" width="10.140625" style="14" customWidth="1"/>
    <col min="12812" max="12812" width="11.7109375" style="14" customWidth="1"/>
    <col min="12813" max="12813" width="11.42578125" style="14" customWidth="1"/>
    <col min="12814" max="12814" width="12.7109375" style="14" customWidth="1"/>
    <col min="12815" max="12815" width="11.42578125" style="14" customWidth="1"/>
    <col min="12816" max="12816" width="10.7109375" style="14" customWidth="1"/>
    <col min="12817" max="12817" width="10.5703125" style="14" customWidth="1"/>
    <col min="12818" max="12818" width="11.28515625" style="14" customWidth="1"/>
    <col min="12819" max="12819" width="9.7109375" style="14" customWidth="1"/>
    <col min="12820" max="12820" width="12" style="14" customWidth="1"/>
    <col min="12821" max="12821" width="11.28515625" style="14" customWidth="1"/>
    <col min="12822" max="13059" width="9.140625" style="14"/>
    <col min="13060" max="13060" width="5.7109375" style="14" customWidth="1"/>
    <col min="13061" max="13061" width="13.140625" style="14" customWidth="1"/>
    <col min="13062" max="13062" width="12.28515625" style="14" customWidth="1"/>
    <col min="13063" max="13063" width="8.85546875" style="14" customWidth="1"/>
    <col min="13064" max="13064" width="10.85546875" style="14" customWidth="1"/>
    <col min="13065" max="13065" width="2.85546875" style="14" customWidth="1"/>
    <col min="13066" max="13066" width="12.140625" style="14" customWidth="1"/>
    <col min="13067" max="13067" width="10.140625" style="14" customWidth="1"/>
    <col min="13068" max="13068" width="11.7109375" style="14" customWidth="1"/>
    <col min="13069" max="13069" width="11.42578125" style="14" customWidth="1"/>
    <col min="13070" max="13070" width="12.7109375" style="14" customWidth="1"/>
    <col min="13071" max="13071" width="11.42578125" style="14" customWidth="1"/>
    <col min="13072" max="13072" width="10.7109375" style="14" customWidth="1"/>
    <col min="13073" max="13073" width="10.5703125" style="14" customWidth="1"/>
    <col min="13074" max="13074" width="11.28515625" style="14" customWidth="1"/>
    <col min="13075" max="13075" width="9.7109375" style="14" customWidth="1"/>
    <col min="13076" max="13076" width="12" style="14" customWidth="1"/>
    <col min="13077" max="13077" width="11.28515625" style="14" customWidth="1"/>
    <col min="13078" max="13315" width="9.140625" style="14"/>
    <col min="13316" max="13316" width="5.7109375" style="14" customWidth="1"/>
    <col min="13317" max="13317" width="13.140625" style="14" customWidth="1"/>
    <col min="13318" max="13318" width="12.28515625" style="14" customWidth="1"/>
    <col min="13319" max="13319" width="8.85546875" style="14" customWidth="1"/>
    <col min="13320" max="13320" width="10.85546875" style="14" customWidth="1"/>
    <col min="13321" max="13321" width="2.85546875" style="14" customWidth="1"/>
    <col min="13322" max="13322" width="12.140625" style="14" customWidth="1"/>
    <col min="13323" max="13323" width="10.140625" style="14" customWidth="1"/>
    <col min="13324" max="13324" width="11.7109375" style="14" customWidth="1"/>
    <col min="13325" max="13325" width="11.42578125" style="14" customWidth="1"/>
    <col min="13326" max="13326" width="12.7109375" style="14" customWidth="1"/>
    <col min="13327" max="13327" width="11.42578125" style="14" customWidth="1"/>
    <col min="13328" max="13328" width="10.7109375" style="14" customWidth="1"/>
    <col min="13329" max="13329" width="10.5703125" style="14" customWidth="1"/>
    <col min="13330" max="13330" width="11.28515625" style="14" customWidth="1"/>
    <col min="13331" max="13331" width="9.7109375" style="14" customWidth="1"/>
    <col min="13332" max="13332" width="12" style="14" customWidth="1"/>
    <col min="13333" max="13333" width="11.28515625" style="14" customWidth="1"/>
    <col min="13334" max="13571" width="9.140625" style="14"/>
    <col min="13572" max="13572" width="5.7109375" style="14" customWidth="1"/>
    <col min="13573" max="13573" width="13.140625" style="14" customWidth="1"/>
    <col min="13574" max="13574" width="12.28515625" style="14" customWidth="1"/>
    <col min="13575" max="13575" width="8.85546875" style="14" customWidth="1"/>
    <col min="13576" max="13576" width="10.85546875" style="14" customWidth="1"/>
    <col min="13577" max="13577" width="2.85546875" style="14" customWidth="1"/>
    <col min="13578" max="13578" width="12.140625" style="14" customWidth="1"/>
    <col min="13579" max="13579" width="10.140625" style="14" customWidth="1"/>
    <col min="13580" max="13580" width="11.7109375" style="14" customWidth="1"/>
    <col min="13581" max="13581" width="11.42578125" style="14" customWidth="1"/>
    <col min="13582" max="13582" width="12.7109375" style="14" customWidth="1"/>
    <col min="13583" max="13583" width="11.42578125" style="14" customWidth="1"/>
    <col min="13584" max="13584" width="10.7109375" style="14" customWidth="1"/>
    <col min="13585" max="13585" width="10.5703125" style="14" customWidth="1"/>
    <col min="13586" max="13586" width="11.28515625" style="14" customWidth="1"/>
    <col min="13587" max="13587" width="9.7109375" style="14" customWidth="1"/>
    <col min="13588" max="13588" width="12" style="14" customWidth="1"/>
    <col min="13589" max="13589" width="11.28515625" style="14" customWidth="1"/>
    <col min="13590" max="13827" width="9.140625" style="14"/>
    <col min="13828" max="13828" width="5.7109375" style="14" customWidth="1"/>
    <col min="13829" max="13829" width="13.140625" style="14" customWidth="1"/>
    <col min="13830" max="13830" width="12.28515625" style="14" customWidth="1"/>
    <col min="13831" max="13831" width="8.85546875" style="14" customWidth="1"/>
    <col min="13832" max="13832" width="10.85546875" style="14" customWidth="1"/>
    <col min="13833" max="13833" width="2.85546875" style="14" customWidth="1"/>
    <col min="13834" max="13834" width="12.140625" style="14" customWidth="1"/>
    <col min="13835" max="13835" width="10.140625" style="14" customWidth="1"/>
    <col min="13836" max="13836" width="11.7109375" style="14" customWidth="1"/>
    <col min="13837" max="13837" width="11.42578125" style="14" customWidth="1"/>
    <col min="13838" max="13838" width="12.7109375" style="14" customWidth="1"/>
    <col min="13839" max="13839" width="11.42578125" style="14" customWidth="1"/>
    <col min="13840" max="13840" width="10.7109375" style="14" customWidth="1"/>
    <col min="13841" max="13841" width="10.5703125" style="14" customWidth="1"/>
    <col min="13842" max="13842" width="11.28515625" style="14" customWidth="1"/>
    <col min="13843" max="13843" width="9.7109375" style="14" customWidth="1"/>
    <col min="13844" max="13844" width="12" style="14" customWidth="1"/>
    <col min="13845" max="13845" width="11.28515625" style="14" customWidth="1"/>
    <col min="13846" max="14083" width="9.140625" style="14"/>
    <col min="14084" max="14084" width="5.7109375" style="14" customWidth="1"/>
    <col min="14085" max="14085" width="13.140625" style="14" customWidth="1"/>
    <col min="14086" max="14086" width="12.28515625" style="14" customWidth="1"/>
    <col min="14087" max="14087" width="8.85546875" style="14" customWidth="1"/>
    <col min="14088" max="14088" width="10.85546875" style="14" customWidth="1"/>
    <col min="14089" max="14089" width="2.85546875" style="14" customWidth="1"/>
    <col min="14090" max="14090" width="12.140625" style="14" customWidth="1"/>
    <col min="14091" max="14091" width="10.140625" style="14" customWidth="1"/>
    <col min="14092" max="14092" width="11.7109375" style="14" customWidth="1"/>
    <col min="14093" max="14093" width="11.42578125" style="14" customWidth="1"/>
    <col min="14094" max="14094" width="12.7109375" style="14" customWidth="1"/>
    <col min="14095" max="14095" width="11.42578125" style="14" customWidth="1"/>
    <col min="14096" max="14096" width="10.7109375" style="14" customWidth="1"/>
    <col min="14097" max="14097" width="10.5703125" style="14" customWidth="1"/>
    <col min="14098" max="14098" width="11.28515625" style="14" customWidth="1"/>
    <col min="14099" max="14099" width="9.7109375" style="14" customWidth="1"/>
    <col min="14100" max="14100" width="12" style="14" customWidth="1"/>
    <col min="14101" max="14101" width="11.28515625" style="14" customWidth="1"/>
    <col min="14102" max="14339" width="9.140625" style="14"/>
    <col min="14340" max="14340" width="5.7109375" style="14" customWidth="1"/>
    <col min="14341" max="14341" width="13.140625" style="14" customWidth="1"/>
    <col min="14342" max="14342" width="12.28515625" style="14" customWidth="1"/>
    <col min="14343" max="14343" width="8.85546875" style="14" customWidth="1"/>
    <col min="14344" max="14344" width="10.85546875" style="14" customWidth="1"/>
    <col min="14345" max="14345" width="2.85546875" style="14" customWidth="1"/>
    <col min="14346" max="14346" width="12.140625" style="14" customWidth="1"/>
    <col min="14347" max="14347" width="10.140625" style="14" customWidth="1"/>
    <col min="14348" max="14348" width="11.7109375" style="14" customWidth="1"/>
    <col min="14349" max="14349" width="11.42578125" style="14" customWidth="1"/>
    <col min="14350" max="14350" width="12.7109375" style="14" customWidth="1"/>
    <col min="14351" max="14351" width="11.42578125" style="14" customWidth="1"/>
    <col min="14352" max="14352" width="10.7109375" style="14" customWidth="1"/>
    <col min="14353" max="14353" width="10.5703125" style="14" customWidth="1"/>
    <col min="14354" max="14354" width="11.28515625" style="14" customWidth="1"/>
    <col min="14355" max="14355" width="9.7109375" style="14" customWidth="1"/>
    <col min="14356" max="14356" width="12" style="14" customWidth="1"/>
    <col min="14357" max="14357" width="11.28515625" style="14" customWidth="1"/>
    <col min="14358" max="14595" width="9.140625" style="14"/>
    <col min="14596" max="14596" width="5.7109375" style="14" customWidth="1"/>
    <col min="14597" max="14597" width="13.140625" style="14" customWidth="1"/>
    <col min="14598" max="14598" width="12.28515625" style="14" customWidth="1"/>
    <col min="14599" max="14599" width="8.85546875" style="14" customWidth="1"/>
    <col min="14600" max="14600" width="10.85546875" style="14" customWidth="1"/>
    <col min="14601" max="14601" width="2.85546875" style="14" customWidth="1"/>
    <col min="14602" max="14602" width="12.140625" style="14" customWidth="1"/>
    <col min="14603" max="14603" width="10.140625" style="14" customWidth="1"/>
    <col min="14604" max="14604" width="11.7109375" style="14" customWidth="1"/>
    <col min="14605" max="14605" width="11.42578125" style="14" customWidth="1"/>
    <col min="14606" max="14606" width="12.7109375" style="14" customWidth="1"/>
    <col min="14607" max="14607" width="11.42578125" style="14" customWidth="1"/>
    <col min="14608" max="14608" width="10.7109375" style="14" customWidth="1"/>
    <col min="14609" max="14609" width="10.5703125" style="14" customWidth="1"/>
    <col min="14610" max="14610" width="11.28515625" style="14" customWidth="1"/>
    <col min="14611" max="14611" width="9.7109375" style="14" customWidth="1"/>
    <col min="14612" max="14612" width="12" style="14" customWidth="1"/>
    <col min="14613" max="14613" width="11.28515625" style="14" customWidth="1"/>
    <col min="14614" max="14851" width="9.140625" style="14"/>
    <col min="14852" max="14852" width="5.7109375" style="14" customWidth="1"/>
    <col min="14853" max="14853" width="13.140625" style="14" customWidth="1"/>
    <col min="14854" max="14854" width="12.28515625" style="14" customWidth="1"/>
    <col min="14855" max="14855" width="8.85546875" style="14" customWidth="1"/>
    <col min="14856" max="14856" width="10.85546875" style="14" customWidth="1"/>
    <col min="14857" max="14857" width="2.85546875" style="14" customWidth="1"/>
    <col min="14858" max="14858" width="12.140625" style="14" customWidth="1"/>
    <col min="14859" max="14859" width="10.140625" style="14" customWidth="1"/>
    <col min="14860" max="14860" width="11.7109375" style="14" customWidth="1"/>
    <col min="14861" max="14861" width="11.42578125" style="14" customWidth="1"/>
    <col min="14862" max="14862" width="12.7109375" style="14" customWidth="1"/>
    <col min="14863" max="14863" width="11.42578125" style="14" customWidth="1"/>
    <col min="14864" max="14864" width="10.7109375" style="14" customWidth="1"/>
    <col min="14865" max="14865" width="10.5703125" style="14" customWidth="1"/>
    <col min="14866" max="14866" width="11.28515625" style="14" customWidth="1"/>
    <col min="14867" max="14867" width="9.7109375" style="14" customWidth="1"/>
    <col min="14868" max="14868" width="12" style="14" customWidth="1"/>
    <col min="14869" max="14869" width="11.28515625" style="14" customWidth="1"/>
    <col min="14870" max="15107" width="9.140625" style="14"/>
    <col min="15108" max="15108" width="5.7109375" style="14" customWidth="1"/>
    <col min="15109" max="15109" width="13.140625" style="14" customWidth="1"/>
    <col min="15110" max="15110" width="12.28515625" style="14" customWidth="1"/>
    <col min="15111" max="15111" width="8.85546875" style="14" customWidth="1"/>
    <col min="15112" max="15112" width="10.85546875" style="14" customWidth="1"/>
    <col min="15113" max="15113" width="2.85546875" style="14" customWidth="1"/>
    <col min="15114" max="15114" width="12.140625" style="14" customWidth="1"/>
    <col min="15115" max="15115" width="10.140625" style="14" customWidth="1"/>
    <col min="15116" max="15116" width="11.7109375" style="14" customWidth="1"/>
    <col min="15117" max="15117" width="11.42578125" style="14" customWidth="1"/>
    <col min="15118" max="15118" width="12.7109375" style="14" customWidth="1"/>
    <col min="15119" max="15119" width="11.42578125" style="14" customWidth="1"/>
    <col min="15120" max="15120" width="10.7109375" style="14" customWidth="1"/>
    <col min="15121" max="15121" width="10.5703125" style="14" customWidth="1"/>
    <col min="15122" max="15122" width="11.28515625" style="14" customWidth="1"/>
    <col min="15123" max="15123" width="9.7109375" style="14" customWidth="1"/>
    <col min="15124" max="15124" width="12" style="14" customWidth="1"/>
    <col min="15125" max="15125" width="11.28515625" style="14" customWidth="1"/>
    <col min="15126" max="15363" width="9.140625" style="14"/>
    <col min="15364" max="15364" width="5.7109375" style="14" customWidth="1"/>
    <col min="15365" max="15365" width="13.140625" style="14" customWidth="1"/>
    <col min="15366" max="15366" width="12.28515625" style="14" customWidth="1"/>
    <col min="15367" max="15367" width="8.85546875" style="14" customWidth="1"/>
    <col min="15368" max="15368" width="10.85546875" style="14" customWidth="1"/>
    <col min="15369" max="15369" width="2.85546875" style="14" customWidth="1"/>
    <col min="15370" max="15370" width="12.140625" style="14" customWidth="1"/>
    <col min="15371" max="15371" width="10.140625" style="14" customWidth="1"/>
    <col min="15372" max="15372" width="11.7109375" style="14" customWidth="1"/>
    <col min="15373" max="15373" width="11.42578125" style="14" customWidth="1"/>
    <col min="15374" max="15374" width="12.7109375" style="14" customWidth="1"/>
    <col min="15375" max="15375" width="11.42578125" style="14" customWidth="1"/>
    <col min="15376" max="15376" width="10.7109375" style="14" customWidth="1"/>
    <col min="15377" max="15377" width="10.5703125" style="14" customWidth="1"/>
    <col min="15378" max="15378" width="11.28515625" style="14" customWidth="1"/>
    <col min="15379" max="15379" width="9.7109375" style="14" customWidth="1"/>
    <col min="15380" max="15380" width="12" style="14" customWidth="1"/>
    <col min="15381" max="15381" width="11.28515625" style="14" customWidth="1"/>
    <col min="15382" max="15619" width="9.140625" style="14"/>
    <col min="15620" max="15620" width="5.7109375" style="14" customWidth="1"/>
    <col min="15621" max="15621" width="13.140625" style="14" customWidth="1"/>
    <col min="15622" max="15622" width="12.28515625" style="14" customWidth="1"/>
    <col min="15623" max="15623" width="8.85546875" style="14" customWidth="1"/>
    <col min="15624" max="15624" width="10.85546875" style="14" customWidth="1"/>
    <col min="15625" max="15625" width="2.85546875" style="14" customWidth="1"/>
    <col min="15626" max="15626" width="12.140625" style="14" customWidth="1"/>
    <col min="15627" max="15627" width="10.140625" style="14" customWidth="1"/>
    <col min="15628" max="15628" width="11.7109375" style="14" customWidth="1"/>
    <col min="15629" max="15629" width="11.42578125" style="14" customWidth="1"/>
    <col min="15630" max="15630" width="12.7109375" style="14" customWidth="1"/>
    <col min="15631" max="15631" width="11.42578125" style="14" customWidth="1"/>
    <col min="15632" max="15632" width="10.7109375" style="14" customWidth="1"/>
    <col min="15633" max="15633" width="10.5703125" style="14" customWidth="1"/>
    <col min="15634" max="15634" width="11.28515625" style="14" customWidth="1"/>
    <col min="15635" max="15635" width="9.7109375" style="14" customWidth="1"/>
    <col min="15636" max="15636" width="12" style="14" customWidth="1"/>
    <col min="15637" max="15637" width="11.28515625" style="14" customWidth="1"/>
    <col min="15638" max="15875" width="9.140625" style="14"/>
    <col min="15876" max="15876" width="5.7109375" style="14" customWidth="1"/>
    <col min="15877" max="15877" width="13.140625" style="14" customWidth="1"/>
    <col min="15878" max="15878" width="12.28515625" style="14" customWidth="1"/>
    <col min="15879" max="15879" width="8.85546875" style="14" customWidth="1"/>
    <col min="15880" max="15880" width="10.85546875" style="14" customWidth="1"/>
    <col min="15881" max="15881" width="2.85546875" style="14" customWidth="1"/>
    <col min="15882" max="15882" width="12.140625" style="14" customWidth="1"/>
    <col min="15883" max="15883" width="10.140625" style="14" customWidth="1"/>
    <col min="15884" max="15884" width="11.7109375" style="14" customWidth="1"/>
    <col min="15885" max="15885" width="11.42578125" style="14" customWidth="1"/>
    <col min="15886" max="15886" width="12.7109375" style="14" customWidth="1"/>
    <col min="15887" max="15887" width="11.42578125" style="14" customWidth="1"/>
    <col min="15888" max="15888" width="10.7109375" style="14" customWidth="1"/>
    <col min="15889" max="15889" width="10.5703125" style="14" customWidth="1"/>
    <col min="15890" max="15890" width="11.28515625" style="14" customWidth="1"/>
    <col min="15891" max="15891" width="9.7109375" style="14" customWidth="1"/>
    <col min="15892" max="15892" width="12" style="14" customWidth="1"/>
    <col min="15893" max="15893" width="11.28515625" style="14" customWidth="1"/>
    <col min="15894" max="16131" width="9.140625" style="14"/>
    <col min="16132" max="16132" width="5.7109375" style="14" customWidth="1"/>
    <col min="16133" max="16133" width="13.140625" style="14" customWidth="1"/>
    <col min="16134" max="16134" width="12.28515625" style="14" customWidth="1"/>
    <col min="16135" max="16135" width="8.85546875" style="14" customWidth="1"/>
    <col min="16136" max="16136" width="10.85546875" style="14" customWidth="1"/>
    <col min="16137" max="16137" width="2.85546875" style="14" customWidth="1"/>
    <col min="16138" max="16138" width="12.140625" style="14" customWidth="1"/>
    <col min="16139" max="16139" width="10.140625" style="14" customWidth="1"/>
    <col min="16140" max="16140" width="11.7109375" style="14" customWidth="1"/>
    <col min="16141" max="16141" width="11.42578125" style="14" customWidth="1"/>
    <col min="16142" max="16142" width="12.7109375" style="14" customWidth="1"/>
    <col min="16143" max="16143" width="11.42578125" style="14" customWidth="1"/>
    <col min="16144" max="16144" width="10.7109375" style="14" customWidth="1"/>
    <col min="16145" max="16145" width="10.5703125" style="14" customWidth="1"/>
    <col min="16146" max="16146" width="11.28515625" style="14" customWidth="1"/>
    <col min="16147" max="16147" width="9.7109375" style="14" customWidth="1"/>
    <col min="16148" max="16148" width="12" style="14" customWidth="1"/>
    <col min="16149" max="16149" width="11.28515625" style="14" customWidth="1"/>
    <col min="16150" max="16384" width="9.140625" style="14"/>
  </cols>
  <sheetData>
    <row r="1" spans="4:19" ht="12.75" thickBot="1" x14ac:dyDescent="0.25"/>
    <row r="2" spans="4:19" ht="9" customHeight="1" thickBot="1" x14ac:dyDescent="0.25">
      <c r="Q2" s="633" t="s">
        <v>0</v>
      </c>
      <c r="R2" s="634"/>
      <c r="S2" s="635"/>
    </row>
    <row r="3" spans="4:19" ht="12.75" customHeight="1" thickBot="1" x14ac:dyDescent="0.25">
      <c r="I3" s="636" t="s">
        <v>1</v>
      </c>
      <c r="J3" s="637"/>
      <c r="K3" s="637"/>
      <c r="L3" s="637"/>
      <c r="M3" s="637"/>
      <c r="N3" s="637"/>
      <c r="O3" s="638"/>
      <c r="Q3" s="611">
        <f>'REYES LARA DANTE'!Q3</f>
        <v>45</v>
      </c>
      <c r="R3" s="639"/>
      <c r="S3" s="612"/>
    </row>
    <row r="4" spans="4:19" ht="12.75" customHeight="1" thickBot="1" x14ac:dyDescent="0.25">
      <c r="I4" s="640" t="s">
        <v>2</v>
      </c>
      <c r="J4" s="641"/>
      <c r="K4" s="641"/>
      <c r="L4" s="641"/>
      <c r="M4" s="641"/>
      <c r="N4" s="641"/>
      <c r="O4" s="642"/>
      <c r="Q4" s="18"/>
      <c r="R4" s="18"/>
      <c r="S4" s="18"/>
    </row>
    <row r="5" spans="4:19" ht="13.5" thickBot="1" x14ac:dyDescent="0.25">
      <c r="I5" s="643" t="s">
        <v>3</v>
      </c>
      <c r="J5" s="644"/>
      <c r="K5" s="644"/>
      <c r="L5" s="644"/>
      <c r="M5" s="644"/>
      <c r="N5" s="644"/>
      <c r="O5" s="645"/>
      <c r="Q5" s="611" t="s">
        <v>4</v>
      </c>
      <c r="R5" s="639"/>
      <c r="S5" s="612"/>
    </row>
    <row r="6" spans="4:19" ht="13.5" thickBot="1" x14ac:dyDescent="0.25">
      <c r="I6" s="650" t="s">
        <v>5</v>
      </c>
      <c r="J6" s="651"/>
      <c r="K6" s="651"/>
      <c r="L6" s="651"/>
      <c r="M6" s="651"/>
      <c r="N6" s="651"/>
      <c r="O6" s="652"/>
      <c r="Q6" s="653">
        <f>+'ORTIZ RAMIREZ HECTOR MANUEL'!Q6+1</f>
        <v>121</v>
      </c>
      <c r="R6" s="654"/>
      <c r="S6" s="655"/>
    </row>
    <row r="7" spans="4:19" ht="9" customHeight="1" x14ac:dyDescent="0.2"/>
    <row r="8" spans="4:19" ht="6.75" customHeight="1" thickBot="1" x14ac:dyDescent="0.25"/>
    <row r="9" spans="4:19" ht="13.5" thickBot="1" x14ac:dyDescent="0.25">
      <c r="I9" s="611" t="s">
        <v>6</v>
      </c>
      <c r="J9" s="639"/>
      <c r="K9" s="639"/>
      <c r="L9" s="639"/>
      <c r="M9" s="639"/>
      <c r="N9" s="639"/>
      <c r="O9" s="612"/>
    </row>
    <row r="10" spans="4:19" ht="9" customHeight="1" thickBot="1" x14ac:dyDescent="0.25"/>
    <row r="11" spans="4:19" ht="12.75" x14ac:dyDescent="0.2">
      <c r="D11" s="1" t="s">
        <v>7</v>
      </c>
      <c r="E11" s="2" t="s">
        <v>187</v>
      </c>
      <c r="F11" s="2"/>
      <c r="G11" s="2"/>
      <c r="H11" s="2"/>
      <c r="I11" s="2"/>
      <c r="J11" s="2"/>
      <c r="K11" s="3" t="s">
        <v>8</v>
      </c>
      <c r="L11" s="656" t="str">
        <f>'AGUILAR ESQUIVEL CARLOS'!L11</f>
        <v>SEMANA #45 PERIODO DEL 27 de oct AL 02 de nov DEL 2025</v>
      </c>
      <c r="M11" s="656"/>
      <c r="N11" s="656"/>
      <c r="O11" s="656"/>
      <c r="P11" s="656"/>
      <c r="Q11" s="656"/>
      <c r="R11" s="656"/>
      <c r="S11" s="659"/>
    </row>
    <row r="12" spans="4:19" ht="12.75" x14ac:dyDescent="0.2">
      <c r="D12" s="4" t="s">
        <v>9</v>
      </c>
      <c r="E12" s="624" t="s">
        <v>334</v>
      </c>
      <c r="F12" s="624"/>
      <c r="G12" s="5"/>
      <c r="H12" s="130"/>
      <c r="I12" s="130"/>
      <c r="J12" s="130"/>
      <c r="K12" s="130"/>
      <c r="L12" s="130"/>
      <c r="M12" s="130"/>
      <c r="N12" s="130"/>
      <c r="O12" s="130"/>
      <c r="P12" s="130"/>
      <c r="Q12" s="130"/>
      <c r="R12" s="130"/>
      <c r="S12" s="256"/>
    </row>
    <row r="13" spans="4:19" ht="3" customHeight="1" x14ac:dyDescent="0.2">
      <c r="D13" s="623"/>
      <c r="E13" s="624"/>
      <c r="F13" s="130"/>
      <c r="G13" s="130"/>
      <c r="H13" s="130"/>
      <c r="I13" s="130"/>
      <c r="J13" s="130"/>
      <c r="K13" s="130"/>
      <c r="L13" s="130"/>
      <c r="M13" s="130"/>
      <c r="N13" s="130"/>
      <c r="O13" s="130"/>
      <c r="P13" s="130"/>
      <c r="Q13" s="130"/>
      <c r="R13" s="130"/>
      <c r="S13" s="256"/>
    </row>
    <row r="14" spans="4:19" ht="12.75" x14ac:dyDescent="0.2">
      <c r="D14" s="625" t="s">
        <v>10</v>
      </c>
      <c r="E14" s="626"/>
      <c r="F14" s="130">
        <v>105625</v>
      </c>
      <c r="G14" s="130"/>
      <c r="H14" s="130"/>
      <c r="I14" s="6" t="s">
        <v>11</v>
      </c>
      <c r="J14" s="6"/>
      <c r="K14" s="130"/>
      <c r="L14" s="130"/>
      <c r="M14" s="130"/>
      <c r="N14" s="130"/>
      <c r="O14" s="6" t="s">
        <v>12</v>
      </c>
      <c r="P14" s="7"/>
      <c r="Q14" s="7"/>
      <c r="R14" s="7"/>
      <c r="S14" s="8"/>
    </row>
    <row r="15" spans="4:19" ht="12.75" x14ac:dyDescent="0.2">
      <c r="D15" s="625" t="s">
        <v>13</v>
      </c>
      <c r="E15" s="626"/>
      <c r="F15" s="130">
        <v>106338</v>
      </c>
      <c r="G15" s="130"/>
      <c r="H15" s="130"/>
      <c r="I15" s="6" t="s">
        <v>14</v>
      </c>
      <c r="J15" s="6"/>
      <c r="K15" s="130"/>
      <c r="L15" s="130"/>
      <c r="M15" s="130"/>
      <c r="N15" s="130"/>
      <c r="O15" s="6" t="s">
        <v>15</v>
      </c>
      <c r="P15" s="130"/>
      <c r="Q15" s="130"/>
      <c r="R15" s="130"/>
      <c r="S15" s="256"/>
    </row>
    <row r="16" spans="4:19" ht="13.5" thickBot="1" x14ac:dyDescent="0.25">
      <c r="D16" s="627" t="s">
        <v>16</v>
      </c>
      <c r="E16" s="628"/>
      <c r="F16" s="257">
        <f>SUM(J19:J32)</f>
        <v>3166</v>
      </c>
      <c r="G16" s="257"/>
      <c r="H16" s="257"/>
      <c r="I16" s="9" t="s">
        <v>17</v>
      </c>
      <c r="J16" s="257">
        <f>SUM(K19:K32)</f>
        <v>893.12</v>
      </c>
      <c r="K16" s="257"/>
      <c r="L16" s="257"/>
      <c r="M16" s="257"/>
      <c r="N16" s="257"/>
      <c r="O16" s="9" t="s">
        <v>18</v>
      </c>
      <c r="P16" s="10">
        <f>+F16/J16</f>
        <v>3.5448763883912577</v>
      </c>
      <c r="Q16" s="257"/>
      <c r="R16" s="257"/>
      <c r="S16" s="258"/>
    </row>
    <row r="17" spans="3:23" ht="7.5" customHeight="1" thickBot="1" x14ac:dyDescent="0.25"/>
    <row r="18" spans="3:23" ht="33" customHeight="1" thickBot="1" x14ac:dyDescent="0.25">
      <c r="C18" s="243" t="s">
        <v>19</v>
      </c>
      <c r="D18" s="33" t="s">
        <v>20</v>
      </c>
      <c r="E18" s="34" t="s">
        <v>21</v>
      </c>
      <c r="F18" s="34" t="s">
        <v>22</v>
      </c>
      <c r="G18" s="34" t="s">
        <v>23</v>
      </c>
      <c r="H18" s="34" t="s">
        <v>24</v>
      </c>
      <c r="I18" s="34" t="s">
        <v>25</v>
      </c>
      <c r="J18" s="34" t="s">
        <v>26</v>
      </c>
      <c r="K18" s="34" t="s">
        <v>27</v>
      </c>
      <c r="L18" s="34" t="s">
        <v>28</v>
      </c>
      <c r="M18" s="34" t="s">
        <v>285</v>
      </c>
      <c r="N18" s="34" t="s">
        <v>29</v>
      </c>
      <c r="O18" s="34" t="s">
        <v>30</v>
      </c>
      <c r="P18" s="33" t="s">
        <v>31</v>
      </c>
      <c r="Q18" s="34" t="s">
        <v>219</v>
      </c>
      <c r="R18" s="34" t="s">
        <v>184</v>
      </c>
      <c r="S18" s="34" t="s">
        <v>33</v>
      </c>
      <c r="T18" s="35" t="s">
        <v>220</v>
      </c>
      <c r="U18" s="448" t="s">
        <v>351</v>
      </c>
      <c r="V18" s="305" t="s">
        <v>354</v>
      </c>
    </row>
    <row r="19" spans="3:23" x14ac:dyDescent="0.2">
      <c r="C19" s="176">
        <v>46126</v>
      </c>
      <c r="D19" s="43" t="s">
        <v>503</v>
      </c>
      <c r="E19" s="42">
        <v>45957</v>
      </c>
      <c r="F19" s="42">
        <v>45958</v>
      </c>
      <c r="G19" s="43">
        <v>2</v>
      </c>
      <c r="H19" s="236" t="str">
        <f>IF(G19=1,KILOMETRAJE!C$4,IF(G19=2,KILOMETRAJE!C$5,IF(G19=3,KILOMETRAJE!C$6,IF(G19=4,KILOMETRAJE!C$7,IF(G19=5,KILOMETRAJE!C$8,IF(G19=6,KILOMETRAJE!C$9,IF(G19=7,KILOMETRAJE!C$10,IF(G19=8,KILOMETRAJE!C$11,IF(G19=9,KILOMETRAJE!C$12,IF(G19=10,KILOMETRAJE!C$13,IF(G19=11,KILOMETRAJE!C$14,IF(G19=12,KILOMETRAJE!C$15,IF(G19=13,KILOMETRAJE!C$16,IF(G19=14,KILOMETRAJE!C$17,IF(G19=15,KILOMETRAJE!C$18,IF(G19=16,KILOMETRAJE!C$19,IF(G19=17,KILOMETRAJE!C$20,IF(G19=18,KILOMETRAJE!C$21,IF(G19=19,KILOMETRAJE!C$22,IF(G19=20,KILOMETRAJE!C$23,IF(G19=21,KILOMETRAJE!C$24,IF(G19=22,KILOMETRAJE!C$25,IF(G19=23,KILOMETRAJE!C$26,IF(G19=24,KILOMETRAJE!C$27,IF(G19=25,KILOMETRAJE!C$28,IF(G19=26,KILOMETRAJE!C$29,IF(G19=27,KILOMETRAJE!C$30,IF(G19=28,KILOMETRAJE!C$31,IF(G19=29,KILOMETRAJE!C$32,IF(G19=30,KILOMETRAJE!C$33,IF(G19=31,KILOMETRAJE!C$34,IF(G19=32,KILOMETRAJE!C$35,IF(G19=33,KILOMETRAJE!C$36,IF(G19=34,KILOMETRAJE!C$37,IF(G19=35,KILOMETRAJE!C$38,IF(G19=36,KILOMETRAJE!C$39,IF(G19=37,KILOMETRAJE!C$40,IF(G19=38,KILOMETRAJE!C$41,IF(G19=39,KILOMETRAJE!C$42,IF(G19=40,KILOMETRAJE!C$43,IF(G19=41,KILOMETRAJE!C$44,IF(G19=42,KILOMETRAJE!C$45,IF(G19=43,KILOMETRAJE!C$46,IF(G19=44,KILOMETRAJE!C$47,IF(G19=45,KILOMETRAJE!C$48,IF(G19=46,KILOMETRAJE!C$49,IF(G19=47,KILOMETRAJE!C$50,IF(G19=48,KILOMETRAJE!C$51,IF(G19=49,KILOMETRAJE!C$52,IF(G19=50,KILOMETRAJE!C$53,IF(G19=51,KILOMETRAJE!C$54,IF(G19=52,KILOMETRAJE!C$55,IF(G19=53,KILOMETRAJE!C$56,IF(G19=54,KILOMETRAJE!C$57,IF(G19=55,KILOMETRAJE!C$58,IF(G19=56,KILOMETRAJE!C$59,IF(G19=57,KILOMETRAJE!C$60,IF(G19=58,KILOMETRAJE!C$61,IF(G19=59,KILOMETRAJE!C$62,IF(G19=60,KILOMETRAJE!C$63,IF(G19=61,KILOMETRAJE!C$64,IF(G19=62,KILOMETRAJE!C$65,IF(G19=63,KILOMETRAJE!C$66)))))))))))))))))))))))))))))))))))))))))))))))))))))))))))))))</f>
        <v>JRZ</v>
      </c>
      <c r="I19" s="236" t="str">
        <f>IF(G19=1,KILOMETRAJE!E$4,IF(G19=2,KILOMETRAJE!E$5,IF(G19=3,KILOMETRAJE!E$6,IF(G19=4,KILOMETRAJE!E$7,IF(G19=5,KILOMETRAJE!E$8,IF(G19=6,KILOMETRAJE!E$9,IF(G19=7,KILOMETRAJE!E$10,IF(G19=8,KILOMETRAJE!E$11,IF(G19=9,KILOMETRAJE!E$12,IF(G19=10,KILOMETRAJE!E$13,IF(G19=11,KILOMETRAJE!E$14,IF(G19=12,KILOMETRAJE!E$15,IF(G19=13,KILOMETRAJE!E$16,IF(G19=14,KILOMETRAJE!E$17,IF(G19=15,KILOMETRAJE!E$18,IF(G19=16,KILOMETRAJE!E$19,IF(G19=17,KILOMETRAJE!E$20,IF(G19=18,KILOMETRAJE!E$21,IF(G19=19,KILOMETRAJE!E$22,IF(G19=20,KILOMETRAJE!E$23,IF(G19=21,KILOMETRAJE!E$24,IF(G19=22,KILOMETRAJE!E$25,IF(G19=23,KILOMETRAJE!E$26,IF(G19=24,KILOMETRAJE!E$27,IF(G19=25,KILOMETRAJE!E$28,IF(G19=26,KILOMETRAJE!E$29,IF(G19=27,KILOMETRAJE!E$30,IF(G19=28,KILOMETRAJE!E$31,IF(G19=29,KILOMETRAJE!E$32,IF(G19=30,KILOMETRAJE!E$33,IF(G19=31,KILOMETRAJE!E$34,IF(G19=32,KILOMETRAJE!E$35,IF(G19=33,KILOMETRAJE!E$36,IF(G19=34,KILOMETRAJE!E$37,IF(G19=35,KILOMETRAJE!E$38,IF(G19=36,KILOMETRAJE!E$39,IF(G19=37,KILOMETRAJE!E$40,IF(G19=38,KILOMETRAJE!E$41,IF(G19=39,KILOMETRAJE!E$42,IF(G19=40,KILOMETRAJE!E$43,IF(G19=41,KILOMETRAJE!E$44,IF(G19=42,KILOMETRAJE!E$45,IF(G19=43,KILOMETRAJE!E$46,IF(G19=44,KILOMETRAJE!E$47,IF(G19=45,KILOMETRAJE!E$48,IF(G19=46,KILOMETRAJE!E$49,IF(G19=47,KILOMETRAJE!E$50,IF(G19=48,KILOMETRAJE!E$51,IF(G19=49,KILOMETRAJE!E$52,IF(G19=50,KILOMETRAJE!E$53,IF(G19=51,KILOMETRAJE!E$54,IF(G19=52,KILOMETRAJE!E$55,IF(G19=53,KILOMETRAJE!E$56,IF(G19=54,KILOMETRAJE!E$57,IF(G19=55,KILOMETRAJE!E$58,IF(G19=56,KILOMETRAJE!E$59,IF(G19=57,KILOMETRAJE!E$60,IF(G19=58,KILOMETRAJE!E$61,IF(G19=59,KILOMETRAJE!E$62,IF(G19=60,KILOMETRAJE!E$63,IF(G19=61,KILOMETRAJE!E$64,IF(G19=62,KILOMETRAJE!E$65,IF(G19=63,KILOMETRAJE!E$66)))))))))))))))))))))))))))))))))))))))))))))))))))))))))))))))</f>
        <v>CHIH.</v>
      </c>
      <c r="J19" s="237">
        <f>IF(G19=1,KILOMETRAJE!G$4,IF(G19=2,KILOMETRAJE!G$5,IF(G19=3,KILOMETRAJE!G$6,IF(G19=4,KILOMETRAJE!G$7,IF(G19=5,KILOMETRAJE!G$8,IF(G19=6,KILOMETRAJE!G$9,IF(G19=7,KILOMETRAJE!G$10,IF(G19=8,KILOMETRAJE!G$11,IF(G19=9,KILOMETRAJE!G$12,IF(G19=10,KILOMETRAJE!G$13,IF(G19=11,KILOMETRAJE!G$14,IF(G19=12,KILOMETRAJE!G$15,IF(G19=13,KILOMETRAJE!G$16,IF(G19=14,KILOMETRAJE!G$17,IF(G19=15,KILOMETRAJE!G$18,IF(G19=16,KILOMETRAJE!G$19,IF(G19=17,KILOMETRAJE!G$20,IF(G19=18,KILOMETRAJE!G$21,IF(G19=19,KILOMETRAJE!G$22,IF(G19=20,KILOMETRAJE!G$23,IF(G19=21,KILOMETRAJE!G$24,IF(G19=22,KILOMETRAJE!G$25,IF(G19=23,KILOMETRAJE!G$26,IF(G19=24,KILOMETRAJE!G$27,IF(G19=25,KILOMETRAJE!G$28,IF(G19=26,KILOMETRAJE!G$29,IF(G19=27,KILOMETRAJE!G$30,IF(G19=28,KILOMETRAJE!G$31,IF(G19=29,KILOMETRAJE!G$32,IF(G19=30,KILOMETRAJE!G$33,IF(G19=31,KILOMETRAJE!G$34,IF(G19=32,KILOMETRAJE!G$35,IF(G19=33,KILOMETRAJE!G$36,IF(G19=34,KILOMETRAJE!G$37,IF(G19=35,KILOMETRAJE!G$38,IF(G19=36,KILOMETRAJE!G$39,IF(G19=37,KILOMETRAJE!G$40,IF(G19=38,KILOMETRAJE!G$41,IF(G19=39,KILOMETRAJE!G$42,IF(G19=40,KILOMETRAJE!G$43,IF(G19=41,KILOMETRAJE!G$44,IF(G19=42,KILOMETRAJE!G$45,IF(G19=43,KILOMETRAJE!G$46,IF(G19=44,KILOMETRAJE!G$47,IF(G19=45,KILOMETRAJE!G$48,IF(G19=46,KILOMETRAJE!G$49,IF(G19=47,KILOMETRAJE!G$50,IF(G19=48,KILOMETRAJE!G$51,IF(G19=49,KILOMETRAJE!G$52,IF(G19=50,KILOMETRAJE!G$53,IF(G19=51,KILOMETRAJE!G$54,IF(G19=52,KILOMETRAJE!G$55,IF(G19=53,KILOMETRAJE!G$56,IF(G19=54,KILOMETRAJE!G$57,IF(G19=55,KILOMETRAJE!G$58,IF(G19=56,KILOMETRAJE!G$59,IF(G19=57,KILOMETRAJE!G$60,IF(G19=58,KILOMETRAJE!G$61,IF(G19=59,KILOMETRAJE!G$62,IF(G19=60,KILOMETRAJE!G$63,IF(G19=61,KILOMETRAJE!G$64,IF(G19=62,KILOMETRAJE!G$65,IF(G19=63,KILOMETRAJE!G$66)))))))))))))))))))))))))))))))))))))))))))))))))))))))))))))))</f>
        <v>375</v>
      </c>
      <c r="K19" s="24"/>
      <c r="L19" s="65"/>
      <c r="M19" s="348">
        <v>1948</v>
      </c>
      <c r="N19" s="24">
        <v>1</v>
      </c>
      <c r="O19" s="24" t="s">
        <v>511</v>
      </c>
      <c r="P19" s="24" t="s">
        <v>191</v>
      </c>
      <c r="Q19" s="45">
        <f t="shared" ref="Q19:Q20" si="0">((((IF(N19=1,((J19)*0.29333)))+(IF(N19=2,((J19)*0.146666)))+(IF(N19=3,((J19)*0.146666)))))+(IF(N19=4,((J19-40)*0.29333)))+(IF(N19=5,((J19-50)*0.29333)))+(IF(N19=6,((J19-90)*0.29333))))</f>
        <v>109.99874999999999</v>
      </c>
      <c r="R19" s="191"/>
      <c r="S19" s="52"/>
      <c r="T19" s="455"/>
      <c r="U19" s="24" t="s">
        <v>500</v>
      </c>
      <c r="V19" s="79" t="s">
        <v>500</v>
      </c>
    </row>
    <row r="20" spans="3:23" ht="12.75" thickBot="1" x14ac:dyDescent="0.25">
      <c r="C20" s="101"/>
      <c r="D20" s="62" t="s">
        <v>504</v>
      </c>
      <c r="E20" s="25">
        <v>45958</v>
      </c>
      <c r="F20" s="25">
        <v>45958</v>
      </c>
      <c r="G20" s="62">
        <v>3</v>
      </c>
      <c r="H20" s="27" t="str">
        <f>IF(G20=1,KILOMETRAJE!C$4,IF(G20=2,KILOMETRAJE!C$5,IF(G20=3,KILOMETRAJE!C$6,IF(G20=4,KILOMETRAJE!C$7,IF(G20=5,KILOMETRAJE!C$8,IF(G20=6,KILOMETRAJE!C$9,IF(G20=7,KILOMETRAJE!C$10,IF(G20=8,KILOMETRAJE!C$11,IF(G20=9,KILOMETRAJE!C$12,IF(G20=10,KILOMETRAJE!C$13,IF(G20=11,KILOMETRAJE!C$14,IF(G20=12,KILOMETRAJE!C$15,IF(G20=13,KILOMETRAJE!C$16,IF(G20=14,KILOMETRAJE!C$17,IF(G20=15,KILOMETRAJE!C$18,IF(G20=16,KILOMETRAJE!C$19,IF(G20=17,KILOMETRAJE!C$20,IF(G20=18,KILOMETRAJE!C$21,IF(G20=19,KILOMETRAJE!C$22,IF(G20=20,KILOMETRAJE!C$23,IF(G20=21,KILOMETRAJE!C$24,IF(G20=22,KILOMETRAJE!C$25,IF(G20=23,KILOMETRAJE!C$26,IF(G20=24,KILOMETRAJE!C$27,IF(G20=25,KILOMETRAJE!C$28,IF(G20=26,KILOMETRAJE!C$29,IF(G20=27,KILOMETRAJE!C$30,IF(G20=28,KILOMETRAJE!C$31,IF(G20=29,KILOMETRAJE!C$32,IF(G20=30,KILOMETRAJE!C$33,IF(G20=31,KILOMETRAJE!C$34,IF(G20=32,KILOMETRAJE!C$35,IF(G20=33,KILOMETRAJE!C$36,IF(G20=34,KILOMETRAJE!C$37,IF(G20=35,KILOMETRAJE!C$38,IF(G20=36,KILOMETRAJE!C$39,IF(G20=37,KILOMETRAJE!C$40,IF(G20=38,KILOMETRAJE!C$41,IF(G20=39,KILOMETRAJE!C$42,IF(G20=40,KILOMETRAJE!C$43,IF(G20=41,KILOMETRAJE!C$44,IF(G20=42,KILOMETRAJE!C$45,IF(G20=43,KILOMETRAJE!C$46,IF(G20=44,KILOMETRAJE!C$47,IF(G20=45,KILOMETRAJE!C$48,IF(G20=46,KILOMETRAJE!C$49,IF(G20=47,KILOMETRAJE!C$50,IF(G20=48,KILOMETRAJE!C$51,IF(G20=49,KILOMETRAJE!C$52,IF(G20=50,KILOMETRAJE!C$53,IF(G20=51,KILOMETRAJE!C$54,IF(G20=52,KILOMETRAJE!C$55,IF(G20=53,KILOMETRAJE!C$56,IF(G20=54,KILOMETRAJE!C$57,IF(G20=55,KILOMETRAJE!C$58,IF(G20=56,KILOMETRAJE!C$59,IF(G20=57,KILOMETRAJE!C$60,IF(G20=58,KILOMETRAJE!C$61,IF(G20=59,KILOMETRAJE!C$62,IF(G20=60,KILOMETRAJE!C$63,IF(G20=61,KILOMETRAJE!C$64,IF(G20=62,KILOMETRAJE!C$65,IF(G20=63,KILOMETRAJE!C$66)))))))))))))))))))))))))))))))))))))))))))))))))))))))))))))))</f>
        <v xml:space="preserve">CHIH. </v>
      </c>
      <c r="I20" s="27" t="str">
        <f>IF(G20=1,KILOMETRAJE!E$4,IF(G20=2,KILOMETRAJE!E$5,IF(G20=3,KILOMETRAJE!E$6,IF(G20=4,KILOMETRAJE!E$7,IF(G20=5,KILOMETRAJE!E$8,IF(G20=6,KILOMETRAJE!E$9,IF(G20=7,KILOMETRAJE!E$10,IF(G20=8,KILOMETRAJE!E$11,IF(G20=9,KILOMETRAJE!E$12,IF(G20=10,KILOMETRAJE!E$13,IF(G20=11,KILOMETRAJE!E$14,IF(G20=12,KILOMETRAJE!E$15,IF(G20=13,KILOMETRAJE!E$16,IF(G20=14,KILOMETRAJE!E$17,IF(G20=15,KILOMETRAJE!E$18,IF(G20=16,KILOMETRAJE!E$19,IF(G20=17,KILOMETRAJE!E$20,IF(G20=18,KILOMETRAJE!E$21,IF(G20=19,KILOMETRAJE!E$22,IF(G20=20,KILOMETRAJE!E$23,IF(G20=21,KILOMETRAJE!E$24,IF(G20=22,KILOMETRAJE!E$25,IF(G20=23,KILOMETRAJE!E$26,IF(G20=24,KILOMETRAJE!E$27,IF(G20=25,KILOMETRAJE!E$28,IF(G20=26,KILOMETRAJE!E$29,IF(G20=27,KILOMETRAJE!E$30,IF(G20=28,KILOMETRAJE!E$31,IF(G20=29,KILOMETRAJE!E$32,IF(G20=30,KILOMETRAJE!E$33,IF(G20=31,KILOMETRAJE!E$34,IF(G20=32,KILOMETRAJE!E$35,IF(G20=33,KILOMETRAJE!E$36,IF(G20=34,KILOMETRAJE!E$37,IF(G20=35,KILOMETRAJE!E$38,IF(G20=36,KILOMETRAJE!E$39,IF(G20=37,KILOMETRAJE!E$40,IF(G20=38,KILOMETRAJE!E$41,IF(G20=39,KILOMETRAJE!E$42,IF(G20=40,KILOMETRAJE!E$43,IF(G20=41,KILOMETRAJE!E$44,IF(G20=42,KILOMETRAJE!E$45,IF(G20=43,KILOMETRAJE!E$46,IF(G20=44,KILOMETRAJE!E$47,IF(G20=45,KILOMETRAJE!E$48,IF(G20=46,KILOMETRAJE!E$49,IF(G20=47,KILOMETRAJE!E$50,IF(G20=48,KILOMETRAJE!E$51,IF(G20=49,KILOMETRAJE!E$52,IF(G20=50,KILOMETRAJE!E$53,IF(G20=51,KILOMETRAJE!E$54,IF(G20=52,KILOMETRAJE!E$55,IF(G20=53,KILOMETRAJE!E$56,IF(G20=54,KILOMETRAJE!E$57,IF(G20=55,KILOMETRAJE!E$58,IF(G20=56,KILOMETRAJE!E$59,IF(G20=57,KILOMETRAJE!E$60,IF(G20=58,KILOMETRAJE!E$61,IF(G20=59,KILOMETRAJE!E$62,IF(G20=60,KILOMETRAJE!E$63,IF(G20=61,KILOMETRAJE!E$64,IF(G20=62,KILOMETRAJE!E$65,IF(G20=63,KILOMETRAJE!E$66)))))))))))))))))))))))))))))))))))))))))))))))))))))))))))))))</f>
        <v>JRZ</v>
      </c>
      <c r="J20" s="31">
        <f>IF(G20=1,KILOMETRAJE!G$4,IF(G20=2,KILOMETRAJE!G$5,IF(G20=3,KILOMETRAJE!G$6,IF(G20=4,KILOMETRAJE!G$7,IF(G20=5,KILOMETRAJE!G$8,IF(G20=6,KILOMETRAJE!G$9,IF(G20=7,KILOMETRAJE!G$10,IF(G20=8,KILOMETRAJE!G$11,IF(G20=9,KILOMETRAJE!G$12,IF(G20=10,KILOMETRAJE!G$13,IF(G20=11,KILOMETRAJE!G$14,IF(G20=12,KILOMETRAJE!G$15,IF(G20=13,KILOMETRAJE!G$16,IF(G20=14,KILOMETRAJE!G$17,IF(G20=15,KILOMETRAJE!G$18,IF(G20=16,KILOMETRAJE!G$19,IF(G20=17,KILOMETRAJE!G$20,IF(G20=18,KILOMETRAJE!G$21,IF(G20=19,KILOMETRAJE!G$22,IF(G20=20,KILOMETRAJE!G$23,IF(G20=21,KILOMETRAJE!G$24,IF(G20=22,KILOMETRAJE!G$25,IF(G20=23,KILOMETRAJE!G$26,IF(G20=24,KILOMETRAJE!G$27,IF(G20=25,KILOMETRAJE!G$28,IF(G20=26,KILOMETRAJE!G$29,IF(G20=27,KILOMETRAJE!G$30,IF(G20=28,KILOMETRAJE!G$31,IF(G20=29,KILOMETRAJE!G$32,IF(G20=30,KILOMETRAJE!G$33,IF(G20=31,KILOMETRAJE!G$34,IF(G20=32,KILOMETRAJE!G$35,IF(G20=33,KILOMETRAJE!G$36,IF(G20=34,KILOMETRAJE!G$37,IF(G20=35,KILOMETRAJE!G$38,IF(G20=36,KILOMETRAJE!G$39,IF(G20=37,KILOMETRAJE!G$40,IF(G20=38,KILOMETRAJE!G$41,IF(G20=39,KILOMETRAJE!G$42,IF(G20=40,KILOMETRAJE!G$43,IF(G20=41,KILOMETRAJE!G$44,IF(G20=42,KILOMETRAJE!G$45,IF(G20=43,KILOMETRAJE!G$46,IF(G20=44,KILOMETRAJE!G$47,IF(G20=45,KILOMETRAJE!G$48,IF(G20=46,KILOMETRAJE!G$49,IF(G20=47,KILOMETRAJE!G$50,IF(G20=48,KILOMETRAJE!G$51,IF(G20=49,KILOMETRAJE!G$52,IF(G20=50,KILOMETRAJE!G$53,IF(G20=51,KILOMETRAJE!G$54,IF(G20=52,KILOMETRAJE!G$55,IF(G20=53,KILOMETRAJE!G$56,IF(G20=54,KILOMETRAJE!G$57,IF(G20=55,KILOMETRAJE!G$58,IF(G20=56,KILOMETRAJE!G$59,IF(G20=57,KILOMETRAJE!G$60,IF(G20=58,KILOMETRAJE!G$61,IF(G20=59,KILOMETRAJE!G$62,IF(G20=60,KILOMETRAJE!G$63,IF(G20=61,KILOMETRAJE!G$64,IF(G20=62,KILOMETRAJE!G$65,IF(G20=63,KILOMETRAJE!G$66)))))))))))))))))))))))))))))))))))))))))))))))))))))))))))))))</f>
        <v>375</v>
      </c>
      <c r="K20" s="27">
        <v>235.09</v>
      </c>
      <c r="L20" s="26">
        <f>SUM(J19:J20)/K20</f>
        <v>3.190267557105789</v>
      </c>
      <c r="M20" s="349">
        <v>921</v>
      </c>
      <c r="N20" s="27">
        <v>1</v>
      </c>
      <c r="O20" s="27" t="s">
        <v>512</v>
      </c>
      <c r="P20" s="27" t="s">
        <v>191</v>
      </c>
      <c r="Q20" s="29">
        <f t="shared" si="0"/>
        <v>109.99874999999999</v>
      </c>
      <c r="R20" s="190">
        <f>+LOOKUP(P40,UNIDADES!B$3:B$59,UNIDADES!C$3:C$59)</f>
        <v>2.3734099999999998</v>
      </c>
      <c r="S20" s="19">
        <f>+((SUM(J19:J20))/R20)-K20</f>
        <v>80.911028056677964</v>
      </c>
      <c r="T20" s="456">
        <f>+S20*14.85</f>
        <v>1201.5287666416677</v>
      </c>
      <c r="U20" s="27">
        <v>57</v>
      </c>
      <c r="V20" s="55">
        <v>58</v>
      </c>
      <c r="W20" s="244"/>
    </row>
    <row r="21" spans="3:23" x14ac:dyDescent="0.2">
      <c r="C21" s="176">
        <v>46153</v>
      </c>
      <c r="D21" s="43" t="s">
        <v>506</v>
      </c>
      <c r="E21" s="42">
        <v>45959</v>
      </c>
      <c r="F21" s="42">
        <v>45960</v>
      </c>
      <c r="G21" s="43">
        <v>2</v>
      </c>
      <c r="H21" s="236" t="str">
        <f>IF(G21=1,KILOMETRAJE!C$4,IF(G21=2,KILOMETRAJE!C$5,IF(G21=3,KILOMETRAJE!C$6,IF(G21=4,KILOMETRAJE!C$7,IF(G21=5,KILOMETRAJE!C$8,IF(G21=6,KILOMETRAJE!C$9,IF(G21=7,KILOMETRAJE!C$10,IF(G21=8,KILOMETRAJE!C$11,IF(G21=9,KILOMETRAJE!C$12,IF(G21=10,KILOMETRAJE!C$13,IF(G21=11,KILOMETRAJE!C$14,IF(G21=12,KILOMETRAJE!C$15,IF(G21=13,KILOMETRAJE!C$16,IF(G21=14,KILOMETRAJE!C$17,IF(G21=15,KILOMETRAJE!C$18,IF(G21=16,KILOMETRAJE!C$19,IF(G21=17,KILOMETRAJE!C$20,IF(G21=18,KILOMETRAJE!C$21,IF(G21=19,KILOMETRAJE!C$22,IF(G21=20,KILOMETRAJE!C$23,IF(G21=21,KILOMETRAJE!C$24,IF(G21=22,KILOMETRAJE!C$25,IF(G21=23,KILOMETRAJE!C$26,IF(G21=24,KILOMETRAJE!C$27,IF(G21=25,KILOMETRAJE!C$28,IF(G21=26,KILOMETRAJE!C$29,IF(G21=27,KILOMETRAJE!C$30,IF(G21=28,KILOMETRAJE!C$31,IF(G21=29,KILOMETRAJE!C$32,IF(G21=30,KILOMETRAJE!C$33,IF(G21=31,KILOMETRAJE!C$34,IF(G21=32,KILOMETRAJE!C$35,IF(G21=33,KILOMETRAJE!C$36,IF(G21=34,KILOMETRAJE!C$37,IF(G21=35,KILOMETRAJE!C$38,IF(G21=36,KILOMETRAJE!C$39,IF(G21=37,KILOMETRAJE!C$40,IF(G21=38,KILOMETRAJE!C$41,IF(G21=39,KILOMETRAJE!C$42,IF(G21=40,KILOMETRAJE!C$43,IF(G21=41,KILOMETRAJE!C$44,IF(G21=42,KILOMETRAJE!C$45,IF(G21=43,KILOMETRAJE!C$46,IF(G21=44,KILOMETRAJE!C$47,IF(G21=45,KILOMETRAJE!C$48,IF(G21=46,KILOMETRAJE!C$49,IF(G21=47,KILOMETRAJE!C$50,IF(G21=48,KILOMETRAJE!C$51,IF(G21=49,KILOMETRAJE!C$52,IF(G21=50,KILOMETRAJE!C$53,IF(G21=51,KILOMETRAJE!C$54,IF(G21=52,KILOMETRAJE!C$55,IF(G21=53,KILOMETRAJE!C$56,IF(G21=54,KILOMETRAJE!C$57,IF(G21=55,KILOMETRAJE!C$58,IF(G21=56,KILOMETRAJE!C$59,IF(G21=57,KILOMETRAJE!C$60,IF(G21=58,KILOMETRAJE!C$61,IF(G21=59,KILOMETRAJE!C$62,IF(G21=60,KILOMETRAJE!C$63,IF(G21=61,KILOMETRAJE!C$64,IF(G21=62,KILOMETRAJE!C$65,IF(G21=63,KILOMETRAJE!C$66)))))))))))))))))))))))))))))))))))))))))))))))))))))))))))))))</f>
        <v>JRZ</v>
      </c>
      <c r="I21" s="236" t="str">
        <f>IF(G21=1,KILOMETRAJE!E$4,IF(G21=2,KILOMETRAJE!E$5,IF(G21=3,KILOMETRAJE!E$6,IF(G21=4,KILOMETRAJE!E$7,IF(G21=5,KILOMETRAJE!E$8,IF(G21=6,KILOMETRAJE!E$9,IF(G21=7,KILOMETRAJE!E$10,IF(G21=8,KILOMETRAJE!E$11,IF(G21=9,KILOMETRAJE!E$12,IF(G21=10,KILOMETRAJE!E$13,IF(G21=11,KILOMETRAJE!E$14,IF(G21=12,KILOMETRAJE!E$15,IF(G21=13,KILOMETRAJE!E$16,IF(G21=14,KILOMETRAJE!E$17,IF(G21=15,KILOMETRAJE!E$18,IF(G21=16,KILOMETRAJE!E$19,IF(G21=17,KILOMETRAJE!E$20,IF(G21=18,KILOMETRAJE!E$21,IF(G21=19,KILOMETRAJE!E$22,IF(G21=20,KILOMETRAJE!E$23,IF(G21=21,KILOMETRAJE!E$24,IF(G21=22,KILOMETRAJE!E$25,IF(G21=23,KILOMETRAJE!E$26,IF(G21=24,KILOMETRAJE!E$27,IF(G21=25,KILOMETRAJE!E$28,IF(G21=26,KILOMETRAJE!E$29,IF(G21=27,KILOMETRAJE!E$30,IF(G21=28,KILOMETRAJE!E$31,IF(G21=29,KILOMETRAJE!E$32,IF(G21=30,KILOMETRAJE!E$33,IF(G21=31,KILOMETRAJE!E$34,IF(G21=32,KILOMETRAJE!E$35,IF(G21=33,KILOMETRAJE!E$36,IF(G21=34,KILOMETRAJE!E$37,IF(G21=35,KILOMETRAJE!E$38,IF(G21=36,KILOMETRAJE!E$39,IF(G21=37,KILOMETRAJE!E$40,IF(G21=38,KILOMETRAJE!E$41,IF(G21=39,KILOMETRAJE!E$42,IF(G21=40,KILOMETRAJE!E$43,IF(G21=41,KILOMETRAJE!E$44,IF(G21=42,KILOMETRAJE!E$45,IF(G21=43,KILOMETRAJE!E$46,IF(G21=44,KILOMETRAJE!E$47,IF(G21=45,KILOMETRAJE!E$48,IF(G21=46,KILOMETRAJE!E$49,IF(G21=47,KILOMETRAJE!E$50,IF(G21=48,KILOMETRAJE!E$51,IF(G21=49,KILOMETRAJE!E$52,IF(G21=50,KILOMETRAJE!E$53,IF(G21=51,KILOMETRAJE!E$54,IF(G21=52,KILOMETRAJE!E$55,IF(G21=53,KILOMETRAJE!E$56,IF(G21=54,KILOMETRAJE!E$57,IF(G21=55,KILOMETRAJE!E$58,IF(G21=56,KILOMETRAJE!E$59,IF(G21=57,KILOMETRAJE!E$60,IF(G21=58,KILOMETRAJE!E$61,IF(G21=59,KILOMETRAJE!E$62,IF(G21=60,KILOMETRAJE!E$63,IF(G21=61,KILOMETRAJE!E$64,IF(G21=62,KILOMETRAJE!E$65,IF(G21=63,KILOMETRAJE!E$66)))))))))))))))))))))))))))))))))))))))))))))))))))))))))))))))</f>
        <v>CHIH.</v>
      </c>
      <c r="J21" s="237">
        <f>IF(G21=1,KILOMETRAJE!G$4,IF(G21=2,KILOMETRAJE!G$5,IF(G21=3,KILOMETRAJE!G$6,IF(G21=4,KILOMETRAJE!G$7,IF(G21=5,KILOMETRAJE!G$8,IF(G21=6,KILOMETRAJE!G$9,IF(G21=7,KILOMETRAJE!G$10,IF(G21=8,KILOMETRAJE!G$11,IF(G21=9,KILOMETRAJE!G$12,IF(G21=10,KILOMETRAJE!G$13,IF(G21=11,KILOMETRAJE!G$14,IF(G21=12,KILOMETRAJE!G$15,IF(G21=13,KILOMETRAJE!G$16,IF(G21=14,KILOMETRAJE!G$17,IF(G21=15,KILOMETRAJE!G$18,IF(G21=16,KILOMETRAJE!G$19,IF(G21=17,KILOMETRAJE!G$20,IF(G21=18,KILOMETRAJE!G$21,IF(G21=19,KILOMETRAJE!G$22,IF(G21=20,KILOMETRAJE!G$23,IF(G21=21,KILOMETRAJE!G$24,IF(G21=22,KILOMETRAJE!G$25,IF(G21=23,KILOMETRAJE!G$26,IF(G21=24,KILOMETRAJE!G$27,IF(G21=25,KILOMETRAJE!G$28,IF(G21=26,KILOMETRAJE!G$29,IF(G21=27,KILOMETRAJE!G$30,IF(G21=28,KILOMETRAJE!G$31,IF(G21=29,KILOMETRAJE!G$32,IF(G21=30,KILOMETRAJE!G$33,IF(G21=31,KILOMETRAJE!G$34,IF(G21=32,KILOMETRAJE!G$35,IF(G21=33,KILOMETRAJE!G$36,IF(G21=34,KILOMETRAJE!G$37,IF(G21=35,KILOMETRAJE!G$38,IF(G21=36,KILOMETRAJE!G$39,IF(G21=37,KILOMETRAJE!G$40,IF(G21=38,KILOMETRAJE!G$41,IF(G21=39,KILOMETRAJE!G$42,IF(G21=40,KILOMETRAJE!G$43,IF(G21=41,KILOMETRAJE!G$44,IF(G21=42,KILOMETRAJE!G$45,IF(G21=43,KILOMETRAJE!G$46,IF(G21=44,KILOMETRAJE!G$47,IF(G21=45,KILOMETRAJE!G$48,IF(G21=46,KILOMETRAJE!G$49,IF(G21=47,KILOMETRAJE!G$50,IF(G21=48,KILOMETRAJE!G$51,IF(G21=49,KILOMETRAJE!G$52,IF(G21=50,KILOMETRAJE!G$53,IF(G21=51,KILOMETRAJE!G$54,IF(G21=52,KILOMETRAJE!G$55,IF(G21=53,KILOMETRAJE!G$56,IF(G21=54,KILOMETRAJE!G$57,IF(G21=55,KILOMETRAJE!G$58,IF(G21=56,KILOMETRAJE!G$59,IF(G21=57,KILOMETRAJE!G$60,IF(G21=58,KILOMETRAJE!G$61,IF(G21=59,KILOMETRAJE!G$62,IF(G21=60,KILOMETRAJE!G$63,IF(G21=61,KILOMETRAJE!G$64,IF(G21=62,KILOMETRAJE!G$65,IF(G21=63,KILOMETRAJE!G$66)))))))))))))))))))))))))))))))))))))))))))))))))))))))))))))))</f>
        <v>375</v>
      </c>
      <c r="K21" s="24"/>
      <c r="L21" s="65"/>
      <c r="M21" s="348">
        <v>5875</v>
      </c>
      <c r="N21" s="24">
        <v>1</v>
      </c>
      <c r="O21" s="24" t="s">
        <v>513</v>
      </c>
      <c r="P21" s="24" t="s">
        <v>193</v>
      </c>
      <c r="Q21" s="45">
        <f t="shared" ref="Q21:Q24" si="1">((((IF(N21=1,((J21)*0.29333)))+(IF(N21=2,((J21)*0.146666)))+(IF(N21=3,((J21)*0.146666)))))+(IF(N21=4,((J21-40)*0.29333)))+(IF(N21=5,((J21-50)*0.29333)))+(IF(N21=6,((J21-90)*0.29333))))</f>
        <v>109.99874999999999</v>
      </c>
      <c r="R21" s="191"/>
      <c r="S21" s="52"/>
      <c r="T21" s="455"/>
      <c r="U21" s="24" t="s">
        <v>500</v>
      </c>
      <c r="V21" s="79" t="s">
        <v>500</v>
      </c>
    </row>
    <row r="22" spans="3:23" ht="12.75" thickBot="1" x14ac:dyDescent="0.25">
      <c r="C22" s="101"/>
      <c r="D22" s="62" t="s">
        <v>507</v>
      </c>
      <c r="E22" s="25">
        <v>45960</v>
      </c>
      <c r="F22" s="25">
        <v>45960</v>
      </c>
      <c r="G22" s="62">
        <v>3</v>
      </c>
      <c r="H22" s="27" t="str">
        <f>IF(G22=1,KILOMETRAJE!C$4,IF(G22=2,KILOMETRAJE!C$5,IF(G22=3,KILOMETRAJE!C$6,IF(G22=4,KILOMETRAJE!C$7,IF(G22=5,KILOMETRAJE!C$8,IF(G22=6,KILOMETRAJE!C$9,IF(G22=7,KILOMETRAJE!C$10,IF(G22=8,KILOMETRAJE!C$11,IF(G22=9,KILOMETRAJE!C$12,IF(G22=10,KILOMETRAJE!C$13,IF(G22=11,KILOMETRAJE!C$14,IF(G22=12,KILOMETRAJE!C$15,IF(G22=13,KILOMETRAJE!C$16,IF(G22=14,KILOMETRAJE!C$17,IF(G22=15,KILOMETRAJE!C$18,IF(G22=16,KILOMETRAJE!C$19,IF(G22=17,KILOMETRAJE!C$20,IF(G22=18,KILOMETRAJE!C$21,IF(G22=19,KILOMETRAJE!C$22,IF(G22=20,KILOMETRAJE!C$23,IF(G22=21,KILOMETRAJE!C$24,IF(G22=22,KILOMETRAJE!C$25,IF(G22=23,KILOMETRAJE!C$26,IF(G22=24,KILOMETRAJE!C$27,IF(G22=25,KILOMETRAJE!C$28,IF(G22=26,KILOMETRAJE!C$29,IF(G22=27,KILOMETRAJE!C$30,IF(G22=28,KILOMETRAJE!C$31,IF(G22=29,KILOMETRAJE!C$32,IF(G22=30,KILOMETRAJE!C$33,IF(G22=31,KILOMETRAJE!C$34,IF(G22=32,KILOMETRAJE!C$35,IF(G22=33,KILOMETRAJE!C$36,IF(G22=34,KILOMETRAJE!C$37,IF(G22=35,KILOMETRAJE!C$38,IF(G22=36,KILOMETRAJE!C$39,IF(G22=37,KILOMETRAJE!C$40,IF(G22=38,KILOMETRAJE!C$41,IF(G22=39,KILOMETRAJE!C$42,IF(G22=40,KILOMETRAJE!C$43,IF(G22=41,KILOMETRAJE!C$44,IF(G22=42,KILOMETRAJE!C$45,IF(G22=43,KILOMETRAJE!C$46,IF(G22=44,KILOMETRAJE!C$47,IF(G22=45,KILOMETRAJE!C$48,IF(G22=46,KILOMETRAJE!C$49,IF(G22=47,KILOMETRAJE!C$50,IF(G22=48,KILOMETRAJE!C$51,IF(G22=49,KILOMETRAJE!C$52,IF(G22=50,KILOMETRAJE!C$53,IF(G22=51,KILOMETRAJE!C$54,IF(G22=52,KILOMETRAJE!C$55,IF(G22=53,KILOMETRAJE!C$56,IF(G22=54,KILOMETRAJE!C$57,IF(G22=55,KILOMETRAJE!C$58,IF(G22=56,KILOMETRAJE!C$59,IF(G22=57,KILOMETRAJE!C$60,IF(G22=58,KILOMETRAJE!C$61,IF(G22=59,KILOMETRAJE!C$62,IF(G22=60,KILOMETRAJE!C$63,IF(G22=61,KILOMETRAJE!C$64,IF(G22=62,KILOMETRAJE!C$65,IF(G22=63,KILOMETRAJE!C$66)))))))))))))))))))))))))))))))))))))))))))))))))))))))))))))))</f>
        <v xml:space="preserve">CHIH. </v>
      </c>
      <c r="I22" s="27" t="str">
        <f>IF(G22=1,KILOMETRAJE!E$4,IF(G22=2,KILOMETRAJE!E$5,IF(G22=3,KILOMETRAJE!E$6,IF(G22=4,KILOMETRAJE!E$7,IF(G22=5,KILOMETRAJE!E$8,IF(G22=6,KILOMETRAJE!E$9,IF(G22=7,KILOMETRAJE!E$10,IF(G22=8,KILOMETRAJE!E$11,IF(G22=9,KILOMETRAJE!E$12,IF(G22=10,KILOMETRAJE!E$13,IF(G22=11,KILOMETRAJE!E$14,IF(G22=12,KILOMETRAJE!E$15,IF(G22=13,KILOMETRAJE!E$16,IF(G22=14,KILOMETRAJE!E$17,IF(G22=15,KILOMETRAJE!E$18,IF(G22=16,KILOMETRAJE!E$19,IF(G22=17,KILOMETRAJE!E$20,IF(G22=18,KILOMETRAJE!E$21,IF(G22=19,KILOMETRAJE!E$22,IF(G22=20,KILOMETRAJE!E$23,IF(G22=21,KILOMETRAJE!E$24,IF(G22=22,KILOMETRAJE!E$25,IF(G22=23,KILOMETRAJE!E$26,IF(G22=24,KILOMETRAJE!E$27,IF(G22=25,KILOMETRAJE!E$28,IF(G22=26,KILOMETRAJE!E$29,IF(G22=27,KILOMETRAJE!E$30,IF(G22=28,KILOMETRAJE!E$31,IF(G22=29,KILOMETRAJE!E$32,IF(G22=30,KILOMETRAJE!E$33,IF(G22=31,KILOMETRAJE!E$34,IF(G22=32,KILOMETRAJE!E$35,IF(G22=33,KILOMETRAJE!E$36,IF(G22=34,KILOMETRAJE!E$37,IF(G22=35,KILOMETRAJE!E$38,IF(G22=36,KILOMETRAJE!E$39,IF(G22=37,KILOMETRAJE!E$40,IF(G22=38,KILOMETRAJE!E$41,IF(G22=39,KILOMETRAJE!E$42,IF(G22=40,KILOMETRAJE!E$43,IF(G22=41,KILOMETRAJE!E$44,IF(G22=42,KILOMETRAJE!E$45,IF(G22=43,KILOMETRAJE!E$46,IF(G22=44,KILOMETRAJE!E$47,IF(G22=45,KILOMETRAJE!E$48,IF(G22=46,KILOMETRAJE!E$49,IF(G22=47,KILOMETRAJE!E$50,IF(G22=48,KILOMETRAJE!E$51,IF(G22=49,KILOMETRAJE!E$52,IF(G22=50,KILOMETRAJE!E$53,IF(G22=51,KILOMETRAJE!E$54,IF(G22=52,KILOMETRAJE!E$55,IF(G22=53,KILOMETRAJE!E$56,IF(G22=54,KILOMETRAJE!E$57,IF(G22=55,KILOMETRAJE!E$58,IF(G22=56,KILOMETRAJE!E$59,IF(G22=57,KILOMETRAJE!E$60,IF(G22=58,KILOMETRAJE!E$61,IF(G22=59,KILOMETRAJE!E$62,IF(G22=60,KILOMETRAJE!E$63,IF(G22=61,KILOMETRAJE!E$64,IF(G22=62,KILOMETRAJE!E$65,IF(G22=63,KILOMETRAJE!E$66)))))))))))))))))))))))))))))))))))))))))))))))))))))))))))))))</f>
        <v>JRZ</v>
      </c>
      <c r="J22" s="31">
        <f>IF(G22=1,KILOMETRAJE!G$4,IF(G22=2,KILOMETRAJE!G$5,IF(G22=3,KILOMETRAJE!G$6,IF(G22=4,KILOMETRAJE!G$7,IF(G22=5,KILOMETRAJE!G$8,IF(G22=6,KILOMETRAJE!G$9,IF(G22=7,KILOMETRAJE!G$10,IF(G22=8,KILOMETRAJE!G$11,IF(G22=9,KILOMETRAJE!G$12,IF(G22=10,KILOMETRAJE!G$13,IF(G22=11,KILOMETRAJE!G$14,IF(G22=12,KILOMETRAJE!G$15,IF(G22=13,KILOMETRAJE!G$16,IF(G22=14,KILOMETRAJE!G$17,IF(G22=15,KILOMETRAJE!G$18,IF(G22=16,KILOMETRAJE!G$19,IF(G22=17,KILOMETRAJE!G$20,IF(G22=18,KILOMETRAJE!G$21,IF(G22=19,KILOMETRAJE!G$22,IF(G22=20,KILOMETRAJE!G$23,IF(G22=21,KILOMETRAJE!G$24,IF(G22=22,KILOMETRAJE!G$25,IF(G22=23,KILOMETRAJE!G$26,IF(G22=24,KILOMETRAJE!G$27,IF(G22=25,KILOMETRAJE!G$28,IF(G22=26,KILOMETRAJE!G$29,IF(G22=27,KILOMETRAJE!G$30,IF(G22=28,KILOMETRAJE!G$31,IF(G22=29,KILOMETRAJE!G$32,IF(G22=30,KILOMETRAJE!G$33,IF(G22=31,KILOMETRAJE!G$34,IF(G22=32,KILOMETRAJE!G$35,IF(G22=33,KILOMETRAJE!G$36,IF(G22=34,KILOMETRAJE!G$37,IF(G22=35,KILOMETRAJE!G$38,IF(G22=36,KILOMETRAJE!G$39,IF(G22=37,KILOMETRAJE!G$40,IF(G22=38,KILOMETRAJE!G$41,IF(G22=39,KILOMETRAJE!G$42,IF(G22=40,KILOMETRAJE!G$43,IF(G22=41,KILOMETRAJE!G$44,IF(G22=42,KILOMETRAJE!G$45,IF(G22=43,KILOMETRAJE!G$46,IF(G22=44,KILOMETRAJE!G$47,IF(G22=45,KILOMETRAJE!G$48,IF(G22=46,KILOMETRAJE!G$49,IF(G22=47,KILOMETRAJE!G$50,IF(G22=48,KILOMETRAJE!G$51,IF(G22=49,KILOMETRAJE!G$52,IF(G22=50,KILOMETRAJE!G$53,IF(G22=51,KILOMETRAJE!G$54,IF(G22=52,KILOMETRAJE!G$55,IF(G22=53,KILOMETRAJE!G$56,IF(G22=54,KILOMETRAJE!G$57,IF(G22=55,KILOMETRAJE!G$58,IF(G22=56,KILOMETRAJE!G$59,IF(G22=57,KILOMETRAJE!G$60,IF(G22=58,KILOMETRAJE!G$61,IF(G22=59,KILOMETRAJE!G$62,IF(G22=60,KILOMETRAJE!G$63,IF(G22=61,KILOMETRAJE!G$64,IF(G22=62,KILOMETRAJE!G$65,IF(G22=63,KILOMETRAJE!G$66)))))))))))))))))))))))))))))))))))))))))))))))))))))))))))))))</f>
        <v>375</v>
      </c>
      <c r="K22" s="27">
        <v>212.01</v>
      </c>
      <c r="L22" s="26">
        <f>SUM(J21:J22)/K22</f>
        <v>3.5375689825951606</v>
      </c>
      <c r="M22" s="349">
        <v>6082</v>
      </c>
      <c r="N22" s="27">
        <v>1</v>
      </c>
      <c r="O22" s="27" t="s">
        <v>514</v>
      </c>
      <c r="P22" s="27" t="s">
        <v>247</v>
      </c>
      <c r="Q22" s="29">
        <f t="shared" si="1"/>
        <v>109.99874999999999</v>
      </c>
      <c r="R22" s="190">
        <f>+LOOKUP(P42,UNIDADES!B$3:B$59,UNIDADES!C$3:C$59)</f>
        <v>2.3734099999999998</v>
      </c>
      <c r="S22" s="19">
        <f>+((SUM(J21:J22))/R22)-K22</f>
        <v>103.99102805667798</v>
      </c>
      <c r="T22" s="456">
        <f>+S22*14.85</f>
        <v>1544.2667666416678</v>
      </c>
      <c r="U22" s="27">
        <v>57</v>
      </c>
      <c r="V22" s="55">
        <v>58</v>
      </c>
      <c r="W22" s="244"/>
    </row>
    <row r="23" spans="3:23" x14ac:dyDescent="0.2">
      <c r="C23" s="238">
        <v>46168</v>
      </c>
      <c r="D23" s="36" t="s">
        <v>508</v>
      </c>
      <c r="E23" s="37">
        <v>45960</v>
      </c>
      <c r="F23" s="37">
        <v>45961</v>
      </c>
      <c r="G23" s="36">
        <v>2</v>
      </c>
      <c r="H23" s="236" t="str">
        <f>IF(G23=1,KILOMETRAJE!C$4,IF(G23=2,KILOMETRAJE!C$5,IF(G23=3,KILOMETRAJE!C$6,IF(G23=4,KILOMETRAJE!C$7,IF(G23=5,KILOMETRAJE!C$8,IF(G23=6,KILOMETRAJE!C$9,IF(G23=7,KILOMETRAJE!C$10,IF(G23=8,KILOMETRAJE!C$11,IF(G23=9,KILOMETRAJE!C$12,IF(G23=10,KILOMETRAJE!C$13,IF(G23=11,KILOMETRAJE!C$14,IF(G23=12,KILOMETRAJE!C$15,IF(G23=13,KILOMETRAJE!C$16,IF(G23=14,KILOMETRAJE!C$17,IF(G23=15,KILOMETRAJE!C$18,IF(G23=16,KILOMETRAJE!C$19,IF(G23=17,KILOMETRAJE!C$20,IF(G23=18,KILOMETRAJE!C$21,IF(G23=19,KILOMETRAJE!C$22,IF(G23=20,KILOMETRAJE!C$23,IF(G23=21,KILOMETRAJE!C$24,IF(G23=22,KILOMETRAJE!C$25,IF(G23=23,KILOMETRAJE!C$26,IF(G23=24,KILOMETRAJE!C$27,IF(G23=25,KILOMETRAJE!C$28,IF(G23=26,KILOMETRAJE!C$29,IF(G23=27,KILOMETRAJE!C$30,IF(G23=28,KILOMETRAJE!C$31,IF(G23=29,KILOMETRAJE!C$32,IF(G23=30,KILOMETRAJE!C$33,IF(G23=31,KILOMETRAJE!C$34,IF(G23=32,KILOMETRAJE!C$35,IF(G23=33,KILOMETRAJE!C$36,IF(G23=34,KILOMETRAJE!C$37,IF(G23=35,KILOMETRAJE!C$38,IF(G23=36,KILOMETRAJE!C$39,IF(G23=37,KILOMETRAJE!C$40,IF(G23=38,KILOMETRAJE!C$41,IF(G23=39,KILOMETRAJE!C$42,IF(G23=40,KILOMETRAJE!C$43,IF(G23=41,KILOMETRAJE!C$44,IF(G23=42,KILOMETRAJE!C$45,IF(G23=43,KILOMETRAJE!C$46,IF(G23=44,KILOMETRAJE!C$47,IF(G23=45,KILOMETRAJE!C$48,IF(G23=46,KILOMETRAJE!C$49,IF(G23=47,KILOMETRAJE!C$50,IF(G23=48,KILOMETRAJE!C$51,IF(G23=49,KILOMETRAJE!C$52,IF(G23=50,KILOMETRAJE!C$53,IF(G23=51,KILOMETRAJE!C$54,IF(G23=52,KILOMETRAJE!C$55,IF(G23=53,KILOMETRAJE!C$56,IF(G23=54,KILOMETRAJE!C$57,IF(G23=55,KILOMETRAJE!C$58,IF(G23=56,KILOMETRAJE!C$59,IF(G23=57,KILOMETRAJE!C$60,IF(G23=58,KILOMETRAJE!C$61,IF(G23=59,KILOMETRAJE!C$62,IF(G23=60,KILOMETRAJE!C$63,IF(G23=61,KILOMETRAJE!C$64,IF(G23=62,KILOMETRAJE!C$65,IF(G23=63,KILOMETRAJE!C$66)))))))))))))))))))))))))))))))))))))))))))))))))))))))))))))))</f>
        <v>JRZ</v>
      </c>
      <c r="I23" s="236" t="s">
        <v>510</v>
      </c>
      <c r="J23" s="237">
        <v>83</v>
      </c>
      <c r="K23" s="24"/>
      <c r="L23" s="65"/>
      <c r="M23" s="348">
        <v>6411</v>
      </c>
      <c r="N23" s="24">
        <v>1</v>
      </c>
      <c r="O23" s="24" t="s">
        <v>412</v>
      </c>
      <c r="P23" s="24" t="s">
        <v>191</v>
      </c>
      <c r="Q23" s="45">
        <f t="shared" si="1"/>
        <v>24.34639</v>
      </c>
      <c r="R23" s="191"/>
      <c r="S23" s="52"/>
      <c r="T23" s="455"/>
      <c r="U23" s="24" t="s">
        <v>500</v>
      </c>
      <c r="V23" s="79" t="s">
        <v>500</v>
      </c>
    </row>
    <row r="24" spans="3:23" ht="13.5" customHeight="1" thickBot="1" x14ac:dyDescent="0.25">
      <c r="C24" s="239"/>
      <c r="D24" s="68" t="s">
        <v>509</v>
      </c>
      <c r="E24" s="69">
        <v>45961</v>
      </c>
      <c r="F24" s="69">
        <v>45961</v>
      </c>
      <c r="G24" s="68">
        <v>3</v>
      </c>
      <c r="H24" s="27" t="s">
        <v>510</v>
      </c>
      <c r="I24" s="27" t="str">
        <f>IF(G24=1,KILOMETRAJE!E$4,IF(G24=2,KILOMETRAJE!E$5,IF(G24=3,KILOMETRAJE!E$6,IF(G24=4,KILOMETRAJE!E$7,IF(G24=5,KILOMETRAJE!E$8,IF(G24=6,KILOMETRAJE!E$9,IF(G24=7,KILOMETRAJE!E$10,IF(G24=8,KILOMETRAJE!E$11,IF(G24=9,KILOMETRAJE!E$12,IF(G24=10,KILOMETRAJE!E$13,IF(G24=11,KILOMETRAJE!E$14,IF(G24=12,KILOMETRAJE!E$15,IF(G24=13,KILOMETRAJE!E$16,IF(G24=14,KILOMETRAJE!E$17,IF(G24=15,KILOMETRAJE!E$18,IF(G24=16,KILOMETRAJE!E$19,IF(G24=17,KILOMETRAJE!E$20,IF(G24=18,KILOMETRAJE!E$21,IF(G24=19,KILOMETRAJE!E$22,IF(G24=20,KILOMETRAJE!E$23,IF(G24=21,KILOMETRAJE!E$24,IF(G24=22,KILOMETRAJE!E$25,IF(G24=23,KILOMETRAJE!E$26,IF(G24=24,KILOMETRAJE!E$27,IF(G24=25,KILOMETRAJE!E$28,IF(G24=26,KILOMETRAJE!E$29,IF(G24=27,KILOMETRAJE!E$30,IF(G24=28,KILOMETRAJE!E$31,IF(G24=29,KILOMETRAJE!E$32,IF(G24=30,KILOMETRAJE!E$33,IF(G24=31,KILOMETRAJE!E$34,IF(G24=32,KILOMETRAJE!E$35,IF(G24=33,KILOMETRAJE!E$36,IF(G24=34,KILOMETRAJE!E$37,IF(G24=35,KILOMETRAJE!E$38,IF(G24=36,KILOMETRAJE!E$39,IF(G24=37,KILOMETRAJE!E$40,IF(G24=38,KILOMETRAJE!E$41,IF(G24=39,KILOMETRAJE!E$42,IF(G24=40,KILOMETRAJE!E$43,IF(G24=41,KILOMETRAJE!E$44,IF(G24=42,KILOMETRAJE!E$45,IF(G24=43,KILOMETRAJE!E$46,IF(G24=44,KILOMETRAJE!E$47,IF(G24=45,KILOMETRAJE!E$48,IF(G24=46,KILOMETRAJE!E$49,IF(G24=47,KILOMETRAJE!E$50,IF(G24=48,KILOMETRAJE!E$51,IF(G24=49,KILOMETRAJE!E$52,IF(G24=50,KILOMETRAJE!E$53,IF(G24=51,KILOMETRAJE!E$54,IF(G24=52,KILOMETRAJE!E$55,IF(G24=53,KILOMETRAJE!E$56,IF(G24=54,KILOMETRAJE!E$57,IF(G24=55,KILOMETRAJE!E$58,IF(G24=56,KILOMETRAJE!E$59,IF(G24=57,KILOMETRAJE!E$60,IF(G24=58,KILOMETRAJE!E$61,IF(G24=59,KILOMETRAJE!E$62,IF(G24=60,KILOMETRAJE!E$63,IF(G24=61,KILOMETRAJE!E$64,IF(G24=62,KILOMETRAJE!E$65,IF(G24=63,KILOMETRAJE!E$66)))))))))))))))))))))))))))))))))))))))))))))))))))))))))))))))</f>
        <v>JRZ</v>
      </c>
      <c r="J24" s="31">
        <v>83</v>
      </c>
      <c r="K24" s="27">
        <v>60</v>
      </c>
      <c r="L24" s="26">
        <f>SUM(J23:J24)/K24</f>
        <v>2.7666666666666666</v>
      </c>
      <c r="M24" s="349">
        <v>6137</v>
      </c>
      <c r="N24" s="27">
        <v>1</v>
      </c>
      <c r="O24" s="27" t="s">
        <v>411</v>
      </c>
      <c r="P24" s="27" t="s">
        <v>201</v>
      </c>
      <c r="Q24" s="29">
        <f t="shared" si="1"/>
        <v>24.34639</v>
      </c>
      <c r="R24" s="190">
        <f>+LOOKUP(P42,UNIDADES!B$3:B$59,UNIDADES!C$3:C$59)</f>
        <v>2.3734099999999998</v>
      </c>
      <c r="S24" s="19">
        <f>+((SUM(J23:J24))/R24)-K24</f>
        <v>9.9415608765447274</v>
      </c>
      <c r="T24" s="456">
        <f>+S24*14.85</f>
        <v>147.63217901668921</v>
      </c>
      <c r="U24" s="27">
        <v>57</v>
      </c>
      <c r="V24" s="55">
        <v>58</v>
      </c>
      <c r="W24" s="244"/>
    </row>
    <row r="25" spans="3:23" x14ac:dyDescent="0.2">
      <c r="C25" s="176">
        <v>46489</v>
      </c>
      <c r="D25" s="43"/>
      <c r="E25" s="42">
        <v>45961</v>
      </c>
      <c r="F25" s="42">
        <v>45962</v>
      </c>
      <c r="G25" s="43">
        <v>2</v>
      </c>
      <c r="H25" s="236" t="str">
        <f>IF(G25=1,KILOMETRAJE!C$4,IF(G25=2,KILOMETRAJE!C$5,IF(G25=3,KILOMETRAJE!C$6,IF(G25=4,KILOMETRAJE!C$7,IF(G25=5,KILOMETRAJE!C$8,IF(G25=6,KILOMETRAJE!C$9,IF(G25=7,KILOMETRAJE!C$10,IF(G25=8,KILOMETRAJE!C$11,IF(G25=9,KILOMETRAJE!C$12,IF(G25=10,KILOMETRAJE!C$13,IF(G25=11,KILOMETRAJE!C$14,IF(G25=12,KILOMETRAJE!C$15,IF(G25=13,KILOMETRAJE!C$16,IF(G25=14,KILOMETRAJE!C$17,IF(G25=15,KILOMETRAJE!C$18,IF(G25=16,KILOMETRAJE!C$19,IF(G25=17,KILOMETRAJE!C$20,IF(G25=18,KILOMETRAJE!C$21,IF(G25=19,KILOMETRAJE!C$22,IF(G25=20,KILOMETRAJE!C$23,IF(G25=21,KILOMETRAJE!C$24,IF(G25=22,KILOMETRAJE!C$25,IF(G25=23,KILOMETRAJE!C$26,IF(G25=24,KILOMETRAJE!C$27,IF(G25=25,KILOMETRAJE!C$28,IF(G25=26,KILOMETRAJE!C$29,IF(G25=27,KILOMETRAJE!C$30,IF(G25=28,KILOMETRAJE!C$31,IF(G25=29,KILOMETRAJE!C$32,IF(G25=30,KILOMETRAJE!C$33,IF(G25=31,KILOMETRAJE!C$34,IF(G25=32,KILOMETRAJE!C$35,IF(G25=33,KILOMETRAJE!C$36,IF(G25=34,KILOMETRAJE!C$37,IF(G25=35,KILOMETRAJE!C$38,IF(G25=36,KILOMETRAJE!C$39,IF(G25=37,KILOMETRAJE!C$40,IF(G25=38,KILOMETRAJE!C$41,IF(G25=39,KILOMETRAJE!C$42,IF(G25=40,KILOMETRAJE!C$43,IF(G25=41,KILOMETRAJE!C$44,IF(G25=42,KILOMETRAJE!C$45,IF(G25=43,KILOMETRAJE!C$46,IF(G25=44,KILOMETRAJE!C$47,IF(G25=45,KILOMETRAJE!C$48,IF(G25=46,KILOMETRAJE!C$49,IF(G25=47,KILOMETRAJE!C$50,IF(G25=48,KILOMETRAJE!C$51,IF(G25=49,KILOMETRAJE!C$52,IF(G25=50,KILOMETRAJE!C$53,IF(G25=51,KILOMETRAJE!C$54,IF(G25=52,KILOMETRAJE!C$55,IF(G25=53,KILOMETRAJE!C$56,IF(G25=54,KILOMETRAJE!C$57,IF(G25=55,KILOMETRAJE!C$58,IF(G25=56,KILOMETRAJE!C$59,IF(G25=57,KILOMETRAJE!C$60,IF(G25=58,KILOMETRAJE!C$61,IF(G25=59,KILOMETRAJE!C$62,IF(G25=60,KILOMETRAJE!C$63,IF(G25=61,KILOMETRAJE!C$64,IF(G25=62,KILOMETRAJE!C$65,IF(G25=63,KILOMETRAJE!C$66)))))))))))))))))))))))))))))))))))))))))))))))))))))))))))))))</f>
        <v>JRZ</v>
      </c>
      <c r="I25" s="236" t="str">
        <f>IF(G25=1,KILOMETRAJE!E$4,IF(G25=2,KILOMETRAJE!E$5,IF(G25=3,KILOMETRAJE!E$6,IF(G25=4,KILOMETRAJE!E$7,IF(G25=5,KILOMETRAJE!E$8,IF(G25=6,KILOMETRAJE!E$9,IF(G25=7,KILOMETRAJE!E$10,IF(G25=8,KILOMETRAJE!E$11,IF(G25=9,KILOMETRAJE!E$12,IF(G25=10,KILOMETRAJE!E$13,IF(G25=11,KILOMETRAJE!E$14,IF(G25=12,KILOMETRAJE!E$15,IF(G25=13,KILOMETRAJE!E$16,IF(G25=14,KILOMETRAJE!E$17,IF(G25=15,KILOMETRAJE!E$18,IF(G25=16,KILOMETRAJE!E$19,IF(G25=17,KILOMETRAJE!E$20,IF(G25=18,KILOMETRAJE!E$21,IF(G25=19,KILOMETRAJE!E$22,IF(G25=20,KILOMETRAJE!E$23,IF(G25=21,KILOMETRAJE!E$24,IF(G25=22,KILOMETRAJE!E$25,IF(G25=23,KILOMETRAJE!E$26,IF(G25=24,KILOMETRAJE!E$27,IF(G25=25,KILOMETRAJE!E$28,IF(G25=26,KILOMETRAJE!E$29,IF(G25=27,KILOMETRAJE!E$30,IF(G25=28,KILOMETRAJE!E$31,IF(G25=29,KILOMETRAJE!E$32,IF(G25=30,KILOMETRAJE!E$33,IF(G25=31,KILOMETRAJE!E$34,IF(G25=32,KILOMETRAJE!E$35,IF(G25=33,KILOMETRAJE!E$36,IF(G25=34,KILOMETRAJE!E$37,IF(G25=35,KILOMETRAJE!E$38,IF(G25=36,KILOMETRAJE!E$39,IF(G25=37,KILOMETRAJE!E$40,IF(G25=38,KILOMETRAJE!E$41,IF(G25=39,KILOMETRAJE!E$42,IF(G25=40,KILOMETRAJE!E$43,IF(G25=41,KILOMETRAJE!E$44,IF(G25=42,KILOMETRAJE!E$45,IF(G25=43,KILOMETRAJE!E$46,IF(G25=44,KILOMETRAJE!E$47,IF(G25=45,KILOMETRAJE!E$48,IF(G25=46,KILOMETRAJE!E$49,IF(G25=47,KILOMETRAJE!E$50,IF(G25=48,KILOMETRAJE!E$51,IF(G25=49,KILOMETRAJE!E$52,IF(G25=50,KILOMETRAJE!E$53,IF(G25=51,KILOMETRAJE!E$54,IF(G25=52,KILOMETRAJE!E$55,IF(G25=53,KILOMETRAJE!E$56,IF(G25=54,KILOMETRAJE!E$57,IF(G25=55,KILOMETRAJE!E$58,IF(G25=56,KILOMETRAJE!E$59,IF(G25=57,KILOMETRAJE!E$60,IF(G25=58,KILOMETRAJE!E$61,IF(G25=59,KILOMETRAJE!E$62,IF(G25=60,KILOMETRAJE!E$63,IF(G25=61,KILOMETRAJE!E$64,IF(G25=62,KILOMETRAJE!E$65,IF(G25=63,KILOMETRAJE!E$66)))))))))))))))))))))))))))))))))))))))))))))))))))))))))))))))</f>
        <v>CHIH.</v>
      </c>
      <c r="J25" s="237">
        <f>IF(G25=1,KILOMETRAJE!G$4,IF(G25=2,KILOMETRAJE!G$5,IF(G25=3,KILOMETRAJE!G$6,IF(G25=4,KILOMETRAJE!G$7,IF(G25=5,KILOMETRAJE!G$8,IF(G25=6,KILOMETRAJE!G$9,IF(G25=7,KILOMETRAJE!G$10,IF(G25=8,KILOMETRAJE!G$11,IF(G25=9,KILOMETRAJE!G$12,IF(G25=10,KILOMETRAJE!G$13,IF(G25=11,KILOMETRAJE!G$14,IF(G25=12,KILOMETRAJE!G$15,IF(G25=13,KILOMETRAJE!G$16,IF(G25=14,KILOMETRAJE!G$17,IF(G25=15,KILOMETRAJE!G$18,IF(G25=16,KILOMETRAJE!G$19,IF(G25=17,KILOMETRAJE!G$20,IF(G25=18,KILOMETRAJE!G$21,IF(G25=19,KILOMETRAJE!G$22,IF(G25=20,KILOMETRAJE!G$23,IF(G25=21,KILOMETRAJE!G$24,IF(G25=22,KILOMETRAJE!G$25,IF(G25=23,KILOMETRAJE!G$26,IF(G25=24,KILOMETRAJE!G$27,IF(G25=25,KILOMETRAJE!G$28,IF(G25=26,KILOMETRAJE!G$29,IF(G25=27,KILOMETRAJE!G$30,IF(G25=28,KILOMETRAJE!G$31,IF(G25=29,KILOMETRAJE!G$32,IF(G25=30,KILOMETRAJE!G$33,IF(G25=31,KILOMETRAJE!G$34,IF(G25=32,KILOMETRAJE!G$35,IF(G25=33,KILOMETRAJE!G$36,IF(G25=34,KILOMETRAJE!G$37,IF(G25=35,KILOMETRAJE!G$38,IF(G25=36,KILOMETRAJE!G$39,IF(G25=37,KILOMETRAJE!G$40,IF(G25=38,KILOMETRAJE!G$41,IF(G25=39,KILOMETRAJE!G$42,IF(G25=40,KILOMETRAJE!G$43,IF(G25=41,KILOMETRAJE!G$44,IF(G25=42,KILOMETRAJE!G$45,IF(G25=43,KILOMETRAJE!G$46,IF(G25=44,KILOMETRAJE!G$47,IF(G25=45,KILOMETRAJE!G$48,IF(G25=46,KILOMETRAJE!G$49,IF(G25=47,KILOMETRAJE!G$50,IF(G25=48,KILOMETRAJE!G$51,IF(G25=49,KILOMETRAJE!G$52,IF(G25=50,KILOMETRAJE!G$53,IF(G25=51,KILOMETRAJE!G$54,IF(G25=52,KILOMETRAJE!G$55,IF(G25=53,KILOMETRAJE!G$56,IF(G25=54,KILOMETRAJE!G$57,IF(G25=55,KILOMETRAJE!G$58,IF(G25=56,KILOMETRAJE!G$59,IF(G25=57,KILOMETRAJE!G$60,IF(G25=58,KILOMETRAJE!G$61,IF(G25=59,KILOMETRAJE!G$62,IF(G25=60,KILOMETRAJE!G$63,IF(G25=61,KILOMETRAJE!G$64,IF(G25=62,KILOMETRAJE!G$65,IF(G25=63,KILOMETRAJE!G$66)))))))))))))))))))))))))))))))))))))))))))))))))))))))))))))))</f>
        <v>375</v>
      </c>
      <c r="K25" s="24"/>
      <c r="L25" s="65"/>
      <c r="M25" s="348"/>
      <c r="N25" s="24">
        <v>3</v>
      </c>
      <c r="O25" s="24"/>
      <c r="P25" s="24" t="s">
        <v>202</v>
      </c>
      <c r="Q25" s="45">
        <f t="shared" ref="Q25:Q26" si="2">((((IF(N25=1,((J25)*0.29333)))+(IF(N25=2,((J25)*0.146666)))+(IF(N25=3,((J25)*0.146666)))))+(IF(N25=4,((J25-40)*0.29333)))+(IF(N25=5,((J25-50)*0.29333)))+(IF(N25=6,((J25-90)*0.29333))))</f>
        <v>54.999749999999999</v>
      </c>
      <c r="R25" s="191"/>
      <c r="S25" s="52"/>
      <c r="T25" s="455"/>
      <c r="U25" s="24" t="s">
        <v>500</v>
      </c>
      <c r="V25" s="79" t="s">
        <v>500</v>
      </c>
    </row>
    <row r="26" spans="3:23" ht="13.5" customHeight="1" thickBot="1" x14ac:dyDescent="0.25">
      <c r="C26" s="101"/>
      <c r="D26" s="62"/>
      <c r="E26" s="25">
        <v>45962</v>
      </c>
      <c r="F26" s="25">
        <v>45962</v>
      </c>
      <c r="G26" s="62">
        <v>3</v>
      </c>
      <c r="H26" s="27" t="str">
        <f>IF(G26=1,KILOMETRAJE!C$4,IF(G26=2,KILOMETRAJE!C$5,IF(G26=3,KILOMETRAJE!C$6,IF(G26=4,KILOMETRAJE!C$7,IF(G26=5,KILOMETRAJE!C$8,IF(G26=6,KILOMETRAJE!C$9,IF(G26=7,KILOMETRAJE!C$10,IF(G26=8,KILOMETRAJE!C$11,IF(G26=9,KILOMETRAJE!C$12,IF(G26=10,KILOMETRAJE!C$13,IF(G26=11,KILOMETRAJE!C$14,IF(G26=12,KILOMETRAJE!C$15,IF(G26=13,KILOMETRAJE!C$16,IF(G26=14,KILOMETRAJE!C$17,IF(G26=15,KILOMETRAJE!C$18,IF(G26=16,KILOMETRAJE!C$19,IF(G26=17,KILOMETRAJE!C$20,IF(G26=18,KILOMETRAJE!C$21,IF(G26=19,KILOMETRAJE!C$22,IF(G26=20,KILOMETRAJE!C$23,IF(G26=21,KILOMETRAJE!C$24,IF(G26=22,KILOMETRAJE!C$25,IF(G26=23,KILOMETRAJE!C$26,IF(G26=24,KILOMETRAJE!C$27,IF(G26=25,KILOMETRAJE!C$28,IF(G26=26,KILOMETRAJE!C$29,IF(G26=27,KILOMETRAJE!C$30,IF(G26=28,KILOMETRAJE!C$31,IF(G26=29,KILOMETRAJE!C$32,IF(G26=30,KILOMETRAJE!C$33,IF(G26=31,KILOMETRAJE!C$34,IF(G26=32,KILOMETRAJE!C$35,IF(G26=33,KILOMETRAJE!C$36,IF(G26=34,KILOMETRAJE!C$37,IF(G26=35,KILOMETRAJE!C$38,IF(G26=36,KILOMETRAJE!C$39,IF(G26=37,KILOMETRAJE!C$40,IF(G26=38,KILOMETRAJE!C$41,IF(G26=39,KILOMETRAJE!C$42,IF(G26=40,KILOMETRAJE!C$43,IF(G26=41,KILOMETRAJE!C$44,IF(G26=42,KILOMETRAJE!C$45,IF(G26=43,KILOMETRAJE!C$46,IF(G26=44,KILOMETRAJE!C$47,IF(G26=45,KILOMETRAJE!C$48,IF(G26=46,KILOMETRAJE!C$49,IF(G26=47,KILOMETRAJE!C$50,IF(G26=48,KILOMETRAJE!C$51,IF(G26=49,KILOMETRAJE!C$52,IF(G26=50,KILOMETRAJE!C$53,IF(G26=51,KILOMETRAJE!C$54,IF(G26=52,KILOMETRAJE!C$55,IF(G26=53,KILOMETRAJE!C$56,IF(G26=54,KILOMETRAJE!C$57,IF(G26=55,KILOMETRAJE!C$58,IF(G26=56,KILOMETRAJE!C$59,IF(G26=57,KILOMETRAJE!C$60,IF(G26=58,KILOMETRAJE!C$61,IF(G26=59,KILOMETRAJE!C$62,IF(G26=60,KILOMETRAJE!C$63,IF(G26=61,KILOMETRAJE!C$64,IF(G26=62,KILOMETRAJE!C$65,IF(G26=63,KILOMETRAJE!C$66)))))))))))))))))))))))))))))))))))))))))))))))))))))))))))))))</f>
        <v xml:space="preserve">CHIH. </v>
      </c>
      <c r="I26" s="27" t="str">
        <f>IF(G26=1,KILOMETRAJE!E$4,IF(G26=2,KILOMETRAJE!E$5,IF(G26=3,KILOMETRAJE!E$6,IF(G26=4,KILOMETRAJE!E$7,IF(G26=5,KILOMETRAJE!E$8,IF(G26=6,KILOMETRAJE!E$9,IF(G26=7,KILOMETRAJE!E$10,IF(G26=8,KILOMETRAJE!E$11,IF(G26=9,KILOMETRAJE!E$12,IF(G26=10,KILOMETRAJE!E$13,IF(G26=11,KILOMETRAJE!E$14,IF(G26=12,KILOMETRAJE!E$15,IF(G26=13,KILOMETRAJE!E$16,IF(G26=14,KILOMETRAJE!E$17,IF(G26=15,KILOMETRAJE!E$18,IF(G26=16,KILOMETRAJE!E$19,IF(G26=17,KILOMETRAJE!E$20,IF(G26=18,KILOMETRAJE!E$21,IF(G26=19,KILOMETRAJE!E$22,IF(G26=20,KILOMETRAJE!E$23,IF(G26=21,KILOMETRAJE!E$24,IF(G26=22,KILOMETRAJE!E$25,IF(G26=23,KILOMETRAJE!E$26,IF(G26=24,KILOMETRAJE!E$27,IF(G26=25,KILOMETRAJE!E$28,IF(G26=26,KILOMETRAJE!E$29,IF(G26=27,KILOMETRAJE!E$30,IF(G26=28,KILOMETRAJE!E$31,IF(G26=29,KILOMETRAJE!E$32,IF(G26=30,KILOMETRAJE!E$33,IF(G26=31,KILOMETRAJE!E$34,IF(G26=32,KILOMETRAJE!E$35,IF(G26=33,KILOMETRAJE!E$36,IF(G26=34,KILOMETRAJE!E$37,IF(G26=35,KILOMETRAJE!E$38,IF(G26=36,KILOMETRAJE!E$39,IF(G26=37,KILOMETRAJE!E$40,IF(G26=38,KILOMETRAJE!E$41,IF(G26=39,KILOMETRAJE!E$42,IF(G26=40,KILOMETRAJE!E$43,IF(G26=41,KILOMETRAJE!E$44,IF(G26=42,KILOMETRAJE!E$45,IF(G26=43,KILOMETRAJE!E$46,IF(G26=44,KILOMETRAJE!E$47,IF(G26=45,KILOMETRAJE!E$48,IF(G26=46,KILOMETRAJE!E$49,IF(G26=47,KILOMETRAJE!E$50,IF(G26=48,KILOMETRAJE!E$51,IF(G26=49,KILOMETRAJE!E$52,IF(G26=50,KILOMETRAJE!E$53,IF(G26=51,KILOMETRAJE!E$54,IF(G26=52,KILOMETRAJE!E$55,IF(G26=53,KILOMETRAJE!E$56,IF(G26=54,KILOMETRAJE!E$57,IF(G26=55,KILOMETRAJE!E$58,IF(G26=56,KILOMETRAJE!E$59,IF(G26=57,KILOMETRAJE!E$60,IF(G26=58,KILOMETRAJE!E$61,IF(G26=59,KILOMETRAJE!E$62,IF(G26=60,KILOMETRAJE!E$63,IF(G26=61,KILOMETRAJE!E$64,IF(G26=62,KILOMETRAJE!E$65,IF(G26=63,KILOMETRAJE!E$66)))))))))))))))))))))))))))))))))))))))))))))))))))))))))))))))</f>
        <v>JRZ</v>
      </c>
      <c r="J26" s="31">
        <f>IF(G26=1,KILOMETRAJE!G$4,IF(G26=2,KILOMETRAJE!G$5,IF(G26=3,KILOMETRAJE!G$6,IF(G26=4,KILOMETRAJE!G$7,IF(G26=5,KILOMETRAJE!G$8,IF(G26=6,KILOMETRAJE!G$9,IF(G26=7,KILOMETRAJE!G$10,IF(G26=8,KILOMETRAJE!G$11,IF(G26=9,KILOMETRAJE!G$12,IF(G26=10,KILOMETRAJE!G$13,IF(G26=11,KILOMETRAJE!G$14,IF(G26=12,KILOMETRAJE!G$15,IF(G26=13,KILOMETRAJE!G$16,IF(G26=14,KILOMETRAJE!G$17,IF(G26=15,KILOMETRAJE!G$18,IF(G26=16,KILOMETRAJE!G$19,IF(G26=17,KILOMETRAJE!G$20,IF(G26=18,KILOMETRAJE!G$21,IF(G26=19,KILOMETRAJE!G$22,IF(G26=20,KILOMETRAJE!G$23,IF(G26=21,KILOMETRAJE!G$24,IF(G26=22,KILOMETRAJE!G$25,IF(G26=23,KILOMETRAJE!G$26,IF(G26=24,KILOMETRAJE!G$27,IF(G26=25,KILOMETRAJE!G$28,IF(G26=26,KILOMETRAJE!G$29,IF(G26=27,KILOMETRAJE!G$30,IF(G26=28,KILOMETRAJE!G$31,IF(G26=29,KILOMETRAJE!G$32,IF(G26=30,KILOMETRAJE!G$33,IF(G26=31,KILOMETRAJE!G$34,IF(G26=32,KILOMETRAJE!G$35,IF(G26=33,KILOMETRAJE!G$36,IF(G26=34,KILOMETRAJE!G$37,IF(G26=35,KILOMETRAJE!G$38,IF(G26=36,KILOMETRAJE!G$39,IF(G26=37,KILOMETRAJE!G$40,IF(G26=38,KILOMETRAJE!G$41,IF(G26=39,KILOMETRAJE!G$42,IF(G26=40,KILOMETRAJE!G$43,IF(G26=41,KILOMETRAJE!G$44,IF(G26=42,KILOMETRAJE!G$45,IF(G26=43,KILOMETRAJE!G$46,IF(G26=44,KILOMETRAJE!G$47,IF(G26=45,KILOMETRAJE!G$48,IF(G26=46,KILOMETRAJE!G$49,IF(G26=47,KILOMETRAJE!G$50,IF(G26=48,KILOMETRAJE!G$51,IF(G26=49,KILOMETRAJE!G$52,IF(G26=50,KILOMETRAJE!G$53,IF(G26=51,KILOMETRAJE!G$54,IF(G26=52,KILOMETRAJE!G$55,IF(G26=53,KILOMETRAJE!G$56,IF(G26=54,KILOMETRAJE!G$57,IF(G26=55,KILOMETRAJE!G$58,IF(G26=56,KILOMETRAJE!G$59,IF(G26=57,KILOMETRAJE!G$60,IF(G26=58,KILOMETRAJE!G$61,IF(G26=59,KILOMETRAJE!G$62,IF(G26=60,KILOMETRAJE!G$63,IF(G26=61,KILOMETRAJE!G$64,IF(G26=62,KILOMETRAJE!G$65,IF(G26=63,KILOMETRAJE!G$66)))))))))))))))))))))))))))))))))))))))))))))))))))))))))))))))</f>
        <v>375</v>
      </c>
      <c r="K26" s="27">
        <v>206</v>
      </c>
      <c r="L26" s="26">
        <f>SUM(J25:J26)/K26</f>
        <v>3.6407766990291264</v>
      </c>
      <c r="M26" s="349">
        <v>10296</v>
      </c>
      <c r="N26" s="27">
        <v>1</v>
      </c>
      <c r="O26" s="27" t="s">
        <v>513</v>
      </c>
      <c r="P26" s="27" t="s">
        <v>200</v>
      </c>
      <c r="Q26" s="29">
        <f t="shared" si="2"/>
        <v>109.99874999999999</v>
      </c>
      <c r="R26" s="190">
        <f>+LOOKUP(P43,UNIDADES!B$3:B$59,UNIDADES!C$3:C$59)</f>
        <v>2.3734099999999998</v>
      </c>
      <c r="S26" s="19">
        <f>+((SUM(J25:J26))/R26)-K26</f>
        <v>110.00102805667797</v>
      </c>
      <c r="T26" s="456">
        <f>+S26*14.85</f>
        <v>1633.5152666416677</v>
      </c>
      <c r="U26" s="27">
        <v>57</v>
      </c>
      <c r="V26" s="55">
        <v>58</v>
      </c>
    </row>
    <row r="27" spans="3:23" x14ac:dyDescent="0.2">
      <c r="C27" s="238">
        <v>46181</v>
      </c>
      <c r="D27" s="36"/>
      <c r="E27" s="37">
        <v>45962</v>
      </c>
      <c r="F27" s="37">
        <v>45963</v>
      </c>
      <c r="G27" s="36">
        <v>2</v>
      </c>
      <c r="H27" s="259" t="str">
        <f>IF(G27=1,KILOMETRAJE!C$4,IF(G27=2,KILOMETRAJE!C$5,IF(G27=3,KILOMETRAJE!C$6,IF(G27=4,KILOMETRAJE!C$7,IF(G27=5,KILOMETRAJE!C$8,IF(G27=6,KILOMETRAJE!C$9,IF(G27=7,KILOMETRAJE!C$10,IF(G27=8,KILOMETRAJE!C$11,IF(G27=9,KILOMETRAJE!C$12,IF(G27=10,KILOMETRAJE!C$13,IF(G27=11,KILOMETRAJE!C$14,IF(G27=12,KILOMETRAJE!C$15,IF(G27=13,KILOMETRAJE!C$16,IF(G27=14,KILOMETRAJE!C$17,IF(G27=15,KILOMETRAJE!C$18,IF(G27=16,KILOMETRAJE!C$19,IF(G27=17,KILOMETRAJE!C$20,IF(G27=18,KILOMETRAJE!C$21,IF(G27=19,KILOMETRAJE!C$22,IF(G27=20,KILOMETRAJE!C$23,IF(G27=21,KILOMETRAJE!C$24,IF(G27=22,KILOMETRAJE!C$25,IF(G27=23,KILOMETRAJE!C$26,IF(G27=24,KILOMETRAJE!C$27,IF(G27=25,KILOMETRAJE!C$28,IF(G27=26,KILOMETRAJE!C$29,IF(G27=27,KILOMETRAJE!C$30,IF(G27=28,KILOMETRAJE!C$31,IF(G27=29,KILOMETRAJE!C$32,IF(G27=30,KILOMETRAJE!C$33,IF(G27=31,KILOMETRAJE!C$34,IF(G27=32,KILOMETRAJE!C$35,IF(G27=33,KILOMETRAJE!C$36,IF(G27=34,KILOMETRAJE!C$37,IF(G27=35,KILOMETRAJE!C$38,IF(G27=36,KILOMETRAJE!C$39,IF(G27=37,KILOMETRAJE!C$40,IF(G27=38,KILOMETRAJE!C$41,IF(G27=39,KILOMETRAJE!C$42,IF(G27=40,KILOMETRAJE!C$43,IF(G27=41,KILOMETRAJE!C$44,IF(G27=42,KILOMETRAJE!C$45,IF(G27=43,KILOMETRAJE!C$46,IF(G27=44,KILOMETRAJE!C$47,IF(G27=45,KILOMETRAJE!C$48,IF(G27=46,KILOMETRAJE!C$49,IF(G27=47,KILOMETRAJE!C$50,IF(G27=48,KILOMETRAJE!C$51,IF(G27=49,KILOMETRAJE!C$52,IF(G27=50,KILOMETRAJE!C$53,IF(G27=51,KILOMETRAJE!C$54,IF(G27=52,KILOMETRAJE!C$55,IF(G27=53,KILOMETRAJE!C$56,IF(G27=54,KILOMETRAJE!C$57,IF(G27=55,KILOMETRAJE!C$58,IF(G27=56,KILOMETRAJE!C$59,IF(G27=57,KILOMETRAJE!C$60,IF(G27=58,KILOMETRAJE!C$61,IF(G27=59,KILOMETRAJE!C$62,IF(G27=60,KILOMETRAJE!C$63,IF(G27=61,KILOMETRAJE!C$64,IF(G27=62,KILOMETRAJE!C$65,IF(G27=63,KILOMETRAJE!C$66)))))))))))))))))))))))))))))))))))))))))))))))))))))))))))))))</f>
        <v>JRZ</v>
      </c>
      <c r="I27" s="259" t="str">
        <f>IF(G27=1,KILOMETRAJE!E$4,IF(G27=2,KILOMETRAJE!E$5,IF(G27=3,KILOMETRAJE!E$6,IF(G27=4,KILOMETRAJE!E$7,IF(G27=5,KILOMETRAJE!E$8,IF(G27=6,KILOMETRAJE!E$9,IF(G27=7,KILOMETRAJE!E$10,IF(G27=8,KILOMETRAJE!E$11,IF(G27=9,KILOMETRAJE!E$12,IF(G27=10,KILOMETRAJE!E$13,IF(G27=11,KILOMETRAJE!E$14,IF(G27=12,KILOMETRAJE!E$15,IF(G27=13,KILOMETRAJE!E$16,IF(G27=14,KILOMETRAJE!E$17,IF(G27=15,KILOMETRAJE!E$18,IF(G27=16,KILOMETRAJE!E$19,IF(G27=17,KILOMETRAJE!E$20,IF(G27=18,KILOMETRAJE!E$21,IF(G27=19,KILOMETRAJE!E$22,IF(G27=20,KILOMETRAJE!E$23,IF(G27=21,KILOMETRAJE!E$24,IF(G27=22,KILOMETRAJE!E$25,IF(G27=23,KILOMETRAJE!E$26,IF(G27=24,KILOMETRAJE!E$27,IF(G27=25,KILOMETRAJE!E$28,IF(G27=26,KILOMETRAJE!E$29,IF(G27=27,KILOMETRAJE!E$30,IF(G27=28,KILOMETRAJE!E$31,IF(G27=29,KILOMETRAJE!E$32,IF(G27=30,KILOMETRAJE!E$33,IF(G27=31,KILOMETRAJE!E$34,IF(G27=32,KILOMETRAJE!E$35,IF(G27=33,KILOMETRAJE!E$36,IF(G27=34,KILOMETRAJE!E$37,IF(G27=35,KILOMETRAJE!E$38,IF(G27=36,KILOMETRAJE!E$39,IF(G27=37,KILOMETRAJE!E$40,IF(G27=38,KILOMETRAJE!E$41,IF(G27=39,KILOMETRAJE!E$42,IF(G27=40,KILOMETRAJE!E$43,IF(G27=41,KILOMETRAJE!E$44,IF(G27=42,KILOMETRAJE!E$45,IF(G27=43,KILOMETRAJE!E$46,IF(G27=44,KILOMETRAJE!E$47,IF(G27=45,KILOMETRAJE!E$48,IF(G27=46,KILOMETRAJE!E$49,IF(G27=47,KILOMETRAJE!E$50,IF(G27=48,KILOMETRAJE!E$51,IF(G27=49,KILOMETRAJE!E$52,IF(G27=50,KILOMETRAJE!E$53,IF(G27=51,KILOMETRAJE!E$54,IF(G27=52,KILOMETRAJE!E$55,IF(G27=53,KILOMETRAJE!E$56,IF(G27=54,KILOMETRAJE!E$57,IF(G27=55,KILOMETRAJE!E$58,IF(G27=56,KILOMETRAJE!E$59,IF(G27=57,KILOMETRAJE!E$60,IF(G27=58,KILOMETRAJE!E$61,IF(G27=59,KILOMETRAJE!E$62,IF(G27=60,KILOMETRAJE!E$63,IF(G27=61,KILOMETRAJE!E$64,IF(G27=62,KILOMETRAJE!E$65,IF(G27=63,KILOMETRAJE!E$66)))))))))))))))))))))))))))))))))))))))))))))))))))))))))))))))</f>
        <v>CHIH.</v>
      </c>
      <c r="J27" s="260">
        <f>IF(G27=1,KILOMETRAJE!G$4,IF(G27=2,KILOMETRAJE!G$5,IF(G27=3,KILOMETRAJE!G$6,IF(G27=4,KILOMETRAJE!G$7,IF(G27=5,KILOMETRAJE!G$8,IF(G27=6,KILOMETRAJE!G$9,IF(G27=7,KILOMETRAJE!G$10,IF(G27=8,KILOMETRAJE!G$11,IF(G27=9,KILOMETRAJE!G$12,IF(G27=10,KILOMETRAJE!G$13,IF(G27=11,KILOMETRAJE!G$14,IF(G27=12,KILOMETRAJE!G$15,IF(G27=13,KILOMETRAJE!G$16,IF(G27=14,KILOMETRAJE!G$17,IF(G27=15,KILOMETRAJE!G$18,IF(G27=16,KILOMETRAJE!G$19,IF(G27=17,KILOMETRAJE!G$20,IF(G27=18,KILOMETRAJE!G$21,IF(G27=19,KILOMETRAJE!G$22,IF(G27=20,KILOMETRAJE!G$23,IF(G27=21,KILOMETRAJE!G$24,IF(G27=22,KILOMETRAJE!G$25,IF(G27=23,KILOMETRAJE!G$26,IF(G27=24,KILOMETRAJE!G$27,IF(G27=25,KILOMETRAJE!G$28,IF(G27=26,KILOMETRAJE!G$29,IF(G27=27,KILOMETRAJE!G$30,IF(G27=28,KILOMETRAJE!G$31,IF(G27=29,KILOMETRAJE!G$32,IF(G27=30,KILOMETRAJE!G$33,IF(G27=31,KILOMETRAJE!G$34,IF(G27=32,KILOMETRAJE!G$35,IF(G27=33,KILOMETRAJE!G$36,IF(G27=34,KILOMETRAJE!G$37,IF(G27=35,KILOMETRAJE!G$38,IF(G27=36,KILOMETRAJE!G$39,IF(G27=37,KILOMETRAJE!G$40,IF(G27=38,KILOMETRAJE!G$41,IF(G27=39,KILOMETRAJE!G$42,IF(G27=40,KILOMETRAJE!G$43,IF(G27=41,KILOMETRAJE!G$44,IF(G27=42,KILOMETRAJE!G$45,IF(G27=43,KILOMETRAJE!G$46,IF(G27=44,KILOMETRAJE!G$47,IF(G27=45,KILOMETRAJE!G$48,IF(G27=46,KILOMETRAJE!G$49,IF(G27=47,KILOMETRAJE!G$50,IF(G27=48,KILOMETRAJE!G$51,IF(G27=49,KILOMETRAJE!G$52,IF(G27=50,KILOMETRAJE!G$53,IF(G27=51,KILOMETRAJE!G$54,IF(G27=52,KILOMETRAJE!G$55,IF(G27=53,KILOMETRAJE!G$56,IF(G27=54,KILOMETRAJE!G$57,IF(G27=55,KILOMETRAJE!G$58,IF(G27=56,KILOMETRAJE!G$59,IF(G27=57,KILOMETRAJE!G$60,IF(G27=58,KILOMETRAJE!G$61,IF(G27=59,KILOMETRAJE!G$62,IF(G27=60,KILOMETRAJE!G$63,IF(G27=61,KILOMETRAJE!G$64,IF(G27=62,KILOMETRAJE!G$65,IF(G27=63,KILOMETRAJE!G$66)))))))))))))))))))))))))))))))))))))))))))))))))))))))))))))))</f>
        <v>375</v>
      </c>
      <c r="K27" s="38"/>
      <c r="L27" s="47"/>
      <c r="M27" s="350"/>
      <c r="N27" s="38">
        <v>3</v>
      </c>
      <c r="O27" s="38"/>
      <c r="P27" s="38" t="s">
        <v>202</v>
      </c>
      <c r="Q27" s="40">
        <f t="shared" ref="Q27:Q28" si="3">((((IF(N27=1,((J27)*0.29333)))+(IF(N27=2,((J27)*0.146666)))+(IF(N27=3,((J27)*0.146666)))))+(IF(N27=4,((J27-40)*0.29333)))+(IF(N27=5,((J27-50)*0.29333)))+(IF(N27=6,((J27-90)*0.29333))))</f>
        <v>54.999749999999999</v>
      </c>
      <c r="R27" s="192"/>
      <c r="S27" s="186"/>
      <c r="T27" s="458"/>
      <c r="U27" s="522" t="s">
        <v>500</v>
      </c>
      <c r="V27" s="522" t="s">
        <v>500</v>
      </c>
    </row>
    <row r="28" spans="3:23" ht="12.75" thickBot="1" x14ac:dyDescent="0.25">
      <c r="C28" s="101"/>
      <c r="D28" s="62"/>
      <c r="E28" s="25">
        <v>45963</v>
      </c>
      <c r="F28" s="25">
        <v>45659</v>
      </c>
      <c r="G28" s="62">
        <v>3</v>
      </c>
      <c r="H28" s="241" t="str">
        <f>IF(G28=1,KILOMETRAJE!C$4,IF(G28=2,KILOMETRAJE!C$5,IF(G28=3,KILOMETRAJE!C$6,IF(G28=4,KILOMETRAJE!C$7,IF(G28=5,KILOMETRAJE!C$8,IF(G28=6,KILOMETRAJE!C$9,IF(G28=7,KILOMETRAJE!C$10,IF(G28=8,KILOMETRAJE!C$11,IF(G28=9,KILOMETRAJE!C$12,IF(G28=10,KILOMETRAJE!C$13,IF(G28=11,KILOMETRAJE!C$14,IF(G28=12,KILOMETRAJE!C$15,IF(G28=13,KILOMETRAJE!C$16,IF(G28=14,KILOMETRAJE!C$17,IF(G28=15,KILOMETRAJE!C$18,IF(G28=16,KILOMETRAJE!C$19,IF(G28=17,KILOMETRAJE!C$20,IF(G28=18,KILOMETRAJE!C$21,IF(G28=19,KILOMETRAJE!C$22,IF(G28=20,KILOMETRAJE!C$23,IF(G28=21,KILOMETRAJE!C$24,IF(G28=22,KILOMETRAJE!C$25,IF(G28=23,KILOMETRAJE!C$26,IF(G28=24,KILOMETRAJE!C$27,IF(G28=25,KILOMETRAJE!C$28,IF(G28=26,KILOMETRAJE!C$29,IF(G28=27,KILOMETRAJE!C$30,IF(G28=28,KILOMETRAJE!C$31,IF(G28=29,KILOMETRAJE!C$32,IF(G28=30,KILOMETRAJE!C$33,IF(G28=31,KILOMETRAJE!C$34,IF(G28=32,KILOMETRAJE!C$35,IF(G28=33,KILOMETRAJE!C$36,IF(G28=34,KILOMETRAJE!C$37,IF(G28=35,KILOMETRAJE!C$38,IF(G28=36,KILOMETRAJE!C$39,IF(G28=37,KILOMETRAJE!C$40,IF(G28=38,KILOMETRAJE!C$41,IF(G28=39,KILOMETRAJE!C$42,IF(G28=40,KILOMETRAJE!C$43,IF(G28=41,KILOMETRAJE!C$44,IF(G28=42,KILOMETRAJE!C$45,IF(G28=43,KILOMETRAJE!C$46,IF(G28=44,KILOMETRAJE!C$47,IF(G28=45,KILOMETRAJE!C$48,IF(G28=46,KILOMETRAJE!C$49,IF(G28=47,KILOMETRAJE!C$50,IF(G28=48,KILOMETRAJE!C$51,IF(G28=49,KILOMETRAJE!C$52,IF(G28=50,KILOMETRAJE!C$53,IF(G28=51,KILOMETRAJE!C$54,IF(G28=52,KILOMETRAJE!C$55,IF(G28=53,KILOMETRAJE!C$56,IF(G28=54,KILOMETRAJE!C$57,IF(G28=55,KILOMETRAJE!C$58,IF(G28=56,KILOMETRAJE!C$59,IF(G28=57,KILOMETRAJE!C$60,IF(G28=58,KILOMETRAJE!C$61,IF(G28=59,KILOMETRAJE!C$62,IF(G28=60,KILOMETRAJE!C$63,IF(G28=61,KILOMETRAJE!C$64,IF(G28=62,KILOMETRAJE!C$65,IF(G28=63,KILOMETRAJE!C$66)))))))))))))))))))))))))))))))))))))))))))))))))))))))))))))))</f>
        <v xml:space="preserve">CHIH. </v>
      </c>
      <c r="I28" s="241" t="str">
        <f>IF(G28=1,KILOMETRAJE!E$4,IF(G28=2,KILOMETRAJE!E$5,IF(G28=3,KILOMETRAJE!E$6,IF(G28=4,KILOMETRAJE!E$7,IF(G28=5,KILOMETRAJE!E$8,IF(G28=6,KILOMETRAJE!E$9,IF(G28=7,KILOMETRAJE!E$10,IF(G28=8,KILOMETRAJE!E$11,IF(G28=9,KILOMETRAJE!E$12,IF(G28=10,KILOMETRAJE!E$13,IF(G28=11,KILOMETRAJE!E$14,IF(G28=12,KILOMETRAJE!E$15,IF(G28=13,KILOMETRAJE!E$16,IF(G28=14,KILOMETRAJE!E$17,IF(G28=15,KILOMETRAJE!E$18,IF(G28=16,KILOMETRAJE!E$19,IF(G28=17,KILOMETRAJE!E$20,IF(G28=18,KILOMETRAJE!E$21,IF(G28=19,KILOMETRAJE!E$22,IF(G28=20,KILOMETRAJE!E$23,IF(G28=21,KILOMETRAJE!E$24,IF(G28=22,KILOMETRAJE!E$25,IF(G28=23,KILOMETRAJE!E$26,IF(G28=24,KILOMETRAJE!E$27,IF(G28=25,KILOMETRAJE!E$28,IF(G28=26,KILOMETRAJE!E$29,IF(G28=27,KILOMETRAJE!E$30,IF(G28=28,KILOMETRAJE!E$31,IF(G28=29,KILOMETRAJE!E$32,IF(G28=30,KILOMETRAJE!E$33,IF(G28=31,KILOMETRAJE!E$34,IF(G28=32,KILOMETRAJE!E$35,IF(G28=33,KILOMETRAJE!E$36,IF(G28=34,KILOMETRAJE!E$37,IF(G28=35,KILOMETRAJE!E$38,IF(G28=36,KILOMETRAJE!E$39,IF(G28=37,KILOMETRAJE!E$40,IF(G28=38,KILOMETRAJE!E$41,IF(G28=39,KILOMETRAJE!E$42,IF(G28=40,KILOMETRAJE!E$43,IF(G28=41,KILOMETRAJE!E$44,IF(G28=42,KILOMETRAJE!E$45,IF(G28=43,KILOMETRAJE!E$46,IF(G28=44,KILOMETRAJE!E$47,IF(G28=45,KILOMETRAJE!E$48,IF(G28=46,KILOMETRAJE!E$49,IF(G28=47,KILOMETRAJE!E$50,IF(G28=48,KILOMETRAJE!E$51,IF(G28=49,KILOMETRAJE!E$52,IF(G28=50,KILOMETRAJE!E$53,IF(G28=51,KILOMETRAJE!E$54,IF(G28=52,KILOMETRAJE!E$55,IF(G28=53,KILOMETRAJE!E$56,IF(G28=54,KILOMETRAJE!E$57,IF(G28=55,KILOMETRAJE!E$58,IF(G28=56,KILOMETRAJE!E$59,IF(G28=57,KILOMETRAJE!E$60,IF(G28=58,KILOMETRAJE!E$61,IF(G28=59,KILOMETRAJE!E$62,IF(G28=60,KILOMETRAJE!E$63,IF(G28=61,KILOMETRAJE!E$64,IF(G28=62,KILOMETRAJE!E$65,IF(G28=63,KILOMETRAJE!E$66)))))))))))))))))))))))))))))))))))))))))))))))))))))))))))))))</f>
        <v>JRZ</v>
      </c>
      <c r="J28" s="242">
        <f>IF(G28=1,KILOMETRAJE!G$4,IF(G28=2,KILOMETRAJE!G$5,IF(G28=3,KILOMETRAJE!G$6,IF(G28=4,KILOMETRAJE!G$7,IF(G28=5,KILOMETRAJE!G$8,IF(G28=6,KILOMETRAJE!G$9,IF(G28=7,KILOMETRAJE!G$10,IF(G28=8,KILOMETRAJE!G$11,IF(G28=9,KILOMETRAJE!G$12,IF(G28=10,KILOMETRAJE!G$13,IF(G28=11,KILOMETRAJE!G$14,IF(G28=12,KILOMETRAJE!G$15,IF(G28=13,KILOMETRAJE!G$16,IF(G28=14,KILOMETRAJE!G$17,IF(G28=15,KILOMETRAJE!G$18,IF(G28=16,KILOMETRAJE!G$19,IF(G28=17,KILOMETRAJE!G$20,IF(G28=18,KILOMETRAJE!G$21,IF(G28=19,KILOMETRAJE!G$22,IF(G28=20,KILOMETRAJE!G$23,IF(G28=21,KILOMETRAJE!G$24,IF(G28=22,KILOMETRAJE!G$25,IF(G28=23,KILOMETRAJE!G$26,IF(G28=24,KILOMETRAJE!G$27,IF(G28=25,KILOMETRAJE!G$28,IF(G28=26,KILOMETRAJE!G$29,IF(G28=27,KILOMETRAJE!G$30,IF(G28=28,KILOMETRAJE!G$31,IF(G28=29,KILOMETRAJE!G$32,IF(G28=30,KILOMETRAJE!G$33,IF(G28=31,KILOMETRAJE!G$34,IF(G28=32,KILOMETRAJE!G$35,IF(G28=33,KILOMETRAJE!G$36,IF(G28=34,KILOMETRAJE!G$37,IF(G28=35,KILOMETRAJE!G$38,IF(G28=36,KILOMETRAJE!G$39,IF(G28=37,KILOMETRAJE!G$40,IF(G28=38,KILOMETRAJE!G$41,IF(G28=39,KILOMETRAJE!G$42,IF(G28=40,KILOMETRAJE!G$43,IF(G28=41,KILOMETRAJE!G$44,IF(G28=42,KILOMETRAJE!G$45,IF(G28=43,KILOMETRAJE!G$46,IF(G28=44,KILOMETRAJE!G$47,IF(G28=45,KILOMETRAJE!G$48,IF(G28=46,KILOMETRAJE!G$49,IF(G28=47,KILOMETRAJE!G$50,IF(G28=48,KILOMETRAJE!G$51,IF(G28=49,KILOMETRAJE!G$52,IF(G28=50,KILOMETRAJE!G$53,IF(G28=51,KILOMETRAJE!G$54,IF(G28=52,KILOMETRAJE!G$55,IF(G28=53,KILOMETRAJE!G$56,IF(G28=54,KILOMETRAJE!G$57,IF(G28=55,KILOMETRAJE!G$58,IF(G28=56,KILOMETRAJE!G$59,IF(G28=57,KILOMETRAJE!G$60,IF(G28=58,KILOMETRAJE!G$61,IF(G28=59,KILOMETRAJE!G$62,IF(G28=60,KILOMETRAJE!G$63,IF(G28=61,KILOMETRAJE!G$64,IF(G28=62,KILOMETRAJE!G$65,IF(G28=63,KILOMETRAJE!G$66)))))))))))))))))))))))))))))))))))))))))))))))))))))))))))))))</f>
        <v>375</v>
      </c>
      <c r="K28" s="27">
        <v>180.02</v>
      </c>
      <c r="L28" s="26">
        <f>SUM(J27:J28)/K28</f>
        <v>4.1662037551383175</v>
      </c>
      <c r="M28" s="349">
        <v>10296</v>
      </c>
      <c r="N28" s="27">
        <v>1</v>
      </c>
      <c r="O28" s="27" t="s">
        <v>513</v>
      </c>
      <c r="P28" s="27" t="s">
        <v>200</v>
      </c>
      <c r="Q28" s="29">
        <f t="shared" si="3"/>
        <v>109.99874999999999</v>
      </c>
      <c r="R28" s="190">
        <f>+LOOKUP(P44,UNIDADES!B$3:B$59,UNIDADES!C$3:C$59)</f>
        <v>2.3734099999999998</v>
      </c>
      <c r="S28" s="19">
        <f>+((SUM(J27:J28))/R28)-K28</f>
        <v>135.98102805667796</v>
      </c>
      <c r="T28" s="456">
        <f>+S28*14.85</f>
        <v>2019.3182666416676</v>
      </c>
      <c r="U28" s="473"/>
      <c r="V28" s="473"/>
    </row>
    <row r="29" spans="3:23" hidden="1" x14ac:dyDescent="0.2">
      <c r="C29" s="238"/>
      <c r="D29" s="36"/>
      <c r="E29" s="37"/>
      <c r="F29" s="37"/>
      <c r="G29" s="36"/>
      <c r="H29" s="259"/>
      <c r="I29" s="259"/>
      <c r="J29" s="260"/>
      <c r="K29" s="38"/>
      <c r="L29" s="47"/>
      <c r="M29" s="350"/>
      <c r="N29" s="38"/>
      <c r="O29" s="38"/>
      <c r="P29" s="38"/>
      <c r="Q29" s="40"/>
      <c r="R29" s="192"/>
      <c r="S29" s="186"/>
      <c r="T29" s="458"/>
      <c r="U29" s="11"/>
      <c r="V29" s="11"/>
    </row>
    <row r="30" spans="3:23" ht="12.75" hidden="1" thickBot="1" x14ac:dyDescent="0.25">
      <c r="C30" s="101"/>
      <c r="D30" s="62"/>
      <c r="E30" s="25"/>
      <c r="F30" s="25"/>
      <c r="G30" s="62"/>
      <c r="H30" s="241"/>
      <c r="I30" s="241"/>
      <c r="J30" s="242"/>
      <c r="K30" s="27"/>
      <c r="L30" s="26"/>
      <c r="M30" s="349"/>
      <c r="N30" s="27"/>
      <c r="O30" s="27"/>
      <c r="P30" s="27"/>
      <c r="Q30" s="29"/>
      <c r="R30" s="190"/>
      <c r="S30" s="19"/>
      <c r="T30" s="456"/>
      <c r="U30" s="11"/>
      <c r="V30" s="11"/>
    </row>
    <row r="31" spans="3:23" hidden="1" x14ac:dyDescent="0.2">
      <c r="C31" s="176"/>
      <c r="D31" s="43"/>
      <c r="E31" s="42"/>
      <c r="F31" s="42"/>
      <c r="G31" s="43"/>
      <c r="H31" s="236"/>
      <c r="I31" s="236"/>
      <c r="J31" s="237"/>
      <c r="K31" s="24"/>
      <c r="L31" s="65"/>
      <c r="M31" s="350"/>
      <c r="N31" s="24"/>
      <c r="O31" s="24"/>
      <c r="P31" s="24"/>
      <c r="Q31" s="45"/>
      <c r="R31" s="191"/>
      <c r="S31" s="52"/>
      <c r="T31" s="455"/>
      <c r="U31" s="477"/>
      <c r="V31" s="477"/>
    </row>
    <row r="32" spans="3:23" ht="12.75" hidden="1" thickBot="1" x14ac:dyDescent="0.25">
      <c r="C32" s="101"/>
      <c r="D32" s="62"/>
      <c r="E32" s="25"/>
      <c r="F32" s="25"/>
      <c r="G32" s="62"/>
      <c r="H32" s="27"/>
      <c r="I32" s="27"/>
      <c r="J32" s="31"/>
      <c r="K32" s="27"/>
      <c r="L32" s="26"/>
      <c r="M32" s="349"/>
      <c r="N32" s="27"/>
      <c r="O32" s="27"/>
      <c r="P32" s="27"/>
      <c r="Q32" s="29"/>
      <c r="R32" s="190"/>
      <c r="S32" s="19"/>
      <c r="T32" s="456"/>
      <c r="U32" s="477"/>
      <c r="V32" s="477"/>
    </row>
    <row r="33" spans="3:23" ht="10.5" customHeight="1" thickBot="1" x14ac:dyDescent="0.25">
      <c r="I33" s="15"/>
      <c r="R33" s="193"/>
      <c r="S33" s="15"/>
    </row>
    <row r="34" spans="3:23" x14ac:dyDescent="0.2">
      <c r="E34" s="629" t="s">
        <v>34</v>
      </c>
      <c r="F34" s="646">
        <f>+'AGUILAR ESQUIVEL CARLOS'!F34</f>
        <v>45957</v>
      </c>
      <c r="G34" s="647"/>
      <c r="H34" s="16">
        <f>+F34+1</f>
        <v>45958</v>
      </c>
      <c r="I34" s="16">
        <f>+H34+1</f>
        <v>45959</v>
      </c>
      <c r="J34" s="16">
        <f>+I34+1</f>
        <v>45960</v>
      </c>
      <c r="K34" s="16">
        <f>+J34+1</f>
        <v>45961</v>
      </c>
      <c r="L34" s="16">
        <f>+K34+2</f>
        <v>45963</v>
      </c>
      <c r="M34" s="17" t="s">
        <v>35</v>
      </c>
    </row>
    <row r="35" spans="3:23" ht="12.75" thickBot="1" x14ac:dyDescent="0.25">
      <c r="E35" s="630"/>
      <c r="F35" s="648"/>
      <c r="G35" s="649"/>
      <c r="H35" s="29"/>
      <c r="I35" s="29"/>
      <c r="J35" s="29"/>
      <c r="K35" s="29"/>
      <c r="L35" s="29"/>
      <c r="M35" s="30">
        <f>SUM(F35:L35)</f>
        <v>0</v>
      </c>
    </row>
    <row r="36" spans="3:23" ht="7.5" customHeight="1" thickBot="1" x14ac:dyDescent="0.25">
      <c r="I36" s="15"/>
    </row>
    <row r="37" spans="3:23" ht="13.5" thickBot="1" x14ac:dyDescent="0.25">
      <c r="C37" s="608" t="s">
        <v>36</v>
      </c>
      <c r="D37" s="609"/>
      <c r="E37" s="609"/>
      <c r="F37" s="609"/>
      <c r="G37" s="610"/>
      <c r="I37" s="620" t="s">
        <v>37</v>
      </c>
      <c r="J37" s="621"/>
      <c r="K37" s="621"/>
      <c r="L37" s="622"/>
      <c r="M37" s="298"/>
      <c r="O37" s="611" t="s">
        <v>38</v>
      </c>
      <c r="P37" s="612"/>
      <c r="Q37" s="613">
        <f>+F49-L46</f>
        <v>7414.9460255833601</v>
      </c>
      <c r="R37" s="614"/>
      <c r="S37" s="615"/>
    </row>
    <row r="38" spans="3:23" ht="12.75" thickBot="1" x14ac:dyDescent="0.25">
      <c r="C38" s="616" t="s">
        <v>219</v>
      </c>
      <c r="D38" s="617"/>
      <c r="E38" s="617"/>
      <c r="F38" s="618">
        <f>SUM(Q18:Q33)</f>
        <v>818.68477999999982</v>
      </c>
      <c r="G38" s="619"/>
      <c r="I38" s="114" t="s">
        <v>125</v>
      </c>
      <c r="J38" s="68" t="s">
        <v>126</v>
      </c>
      <c r="K38" s="68" t="s">
        <v>70</v>
      </c>
      <c r="L38" s="115" t="s">
        <v>127</v>
      </c>
      <c r="M38" s="346"/>
    </row>
    <row r="39" spans="3:23" ht="13.5" customHeight="1" thickBot="1" x14ac:dyDescent="0.25">
      <c r="C39" s="602" t="s">
        <v>220</v>
      </c>
      <c r="D39" s="603"/>
      <c r="E39" s="603"/>
      <c r="F39" s="604">
        <f>SUM(T18:T33)</f>
        <v>6546.2612455833605</v>
      </c>
      <c r="G39" s="605"/>
      <c r="I39" s="176"/>
      <c r="J39" s="412"/>
      <c r="K39" s="79"/>
      <c r="L39" s="409"/>
      <c r="M39" s="346"/>
      <c r="O39" s="74" t="s">
        <v>70</v>
      </c>
      <c r="P39" s="75" t="s">
        <v>71</v>
      </c>
      <c r="Q39" s="76" t="s">
        <v>72</v>
      </c>
      <c r="R39" s="64"/>
      <c r="S39" s="77" t="s">
        <v>73</v>
      </c>
      <c r="T39" s="75" t="s">
        <v>74</v>
      </c>
      <c r="U39" s="74" t="s">
        <v>145</v>
      </c>
      <c r="V39" s="75" t="s">
        <v>146</v>
      </c>
      <c r="W39" s="75" t="s">
        <v>284</v>
      </c>
    </row>
    <row r="40" spans="3:23" x14ac:dyDescent="0.2">
      <c r="C40" s="602" t="s">
        <v>34</v>
      </c>
      <c r="D40" s="603"/>
      <c r="E40" s="603"/>
      <c r="F40" s="604">
        <f>+M35</f>
        <v>0</v>
      </c>
      <c r="G40" s="605"/>
      <c r="I40" s="94"/>
      <c r="J40" s="117"/>
      <c r="K40" s="53"/>
      <c r="L40" s="407"/>
      <c r="M40" s="346"/>
      <c r="O40" s="78">
        <v>46489</v>
      </c>
      <c r="P40" s="79" t="s">
        <v>77</v>
      </c>
      <c r="Q40" s="80">
        <v>111430</v>
      </c>
      <c r="R40" s="80"/>
      <c r="S40" s="63">
        <v>112156</v>
      </c>
      <c r="T40" s="79">
        <f>+S40-Q40</f>
        <v>726</v>
      </c>
      <c r="U40" s="137">
        <f>SUM(J19:J20)</f>
        <v>750</v>
      </c>
      <c r="V40" s="79">
        <f>+K20</f>
        <v>235.09</v>
      </c>
      <c r="W40" s="353">
        <f>(SUM(M19:M20)/2)</f>
        <v>1434.5</v>
      </c>
    </row>
    <row r="41" spans="3:23" x14ac:dyDescent="0.2">
      <c r="C41" s="602" t="s">
        <v>186</v>
      </c>
      <c r="D41" s="603"/>
      <c r="E41" s="603"/>
      <c r="F41" s="604"/>
      <c r="G41" s="605"/>
      <c r="I41" s="94"/>
      <c r="J41" s="117"/>
      <c r="K41" s="53"/>
      <c r="L41" s="407"/>
      <c r="M41" s="346"/>
      <c r="O41" s="32">
        <v>46153</v>
      </c>
      <c r="P41" s="53" t="s">
        <v>77</v>
      </c>
      <c r="Q41" s="63">
        <v>112873</v>
      </c>
      <c r="R41" s="63"/>
      <c r="S41" s="11">
        <v>113576</v>
      </c>
      <c r="T41" s="53">
        <f t="shared" ref="T41" si="4">+S41-Q41</f>
        <v>703</v>
      </c>
      <c r="U41" s="136">
        <f>SUM(J21:J22)</f>
        <v>750</v>
      </c>
      <c r="V41" s="53">
        <f>+K22</f>
        <v>212.01</v>
      </c>
      <c r="W41" s="354">
        <f>(SUM(M21:M22)/2)</f>
        <v>5978.5</v>
      </c>
    </row>
    <row r="42" spans="3:23" x14ac:dyDescent="0.2">
      <c r="C42" s="602" t="s">
        <v>39</v>
      </c>
      <c r="D42" s="603"/>
      <c r="E42" s="603"/>
      <c r="F42" s="604"/>
      <c r="G42" s="605"/>
      <c r="I42" s="94"/>
      <c r="J42" s="117"/>
      <c r="K42" s="53"/>
      <c r="L42" s="407"/>
      <c r="M42" s="346"/>
      <c r="O42" s="32">
        <v>46168</v>
      </c>
      <c r="P42" s="53" t="s">
        <v>77</v>
      </c>
      <c r="Q42" s="11">
        <v>113576</v>
      </c>
      <c r="R42" s="63"/>
      <c r="S42" s="63">
        <v>113741</v>
      </c>
      <c r="T42" s="53">
        <f>+S42-Q42</f>
        <v>165</v>
      </c>
      <c r="U42" s="136">
        <f>SUM(J23:J24)</f>
        <v>166</v>
      </c>
      <c r="V42" s="53">
        <f>+K24</f>
        <v>60</v>
      </c>
      <c r="W42" s="354">
        <f>(SUM(M23:M24)/2)</f>
        <v>6274</v>
      </c>
    </row>
    <row r="43" spans="3:23" x14ac:dyDescent="0.2">
      <c r="C43" s="602" t="s">
        <v>116</v>
      </c>
      <c r="D43" s="603"/>
      <c r="E43" s="603"/>
      <c r="F43" s="604"/>
      <c r="G43" s="605"/>
      <c r="I43" s="94"/>
      <c r="J43" s="117"/>
      <c r="K43" s="415"/>
      <c r="L43" s="407"/>
      <c r="M43" s="346"/>
      <c r="O43" s="32">
        <v>46181</v>
      </c>
      <c r="P43" s="53" t="s">
        <v>77</v>
      </c>
      <c r="Q43" s="63">
        <v>113757</v>
      </c>
      <c r="R43" s="63"/>
      <c r="S43" s="11">
        <v>114451</v>
      </c>
      <c r="T43" s="53">
        <f t="shared" ref="T43:T45" si="5">+S43-Q43</f>
        <v>694</v>
      </c>
      <c r="U43" s="136">
        <f>SUM(J25:J26)</f>
        <v>750</v>
      </c>
      <c r="V43" s="53">
        <f>+K26</f>
        <v>206</v>
      </c>
      <c r="W43" s="354">
        <f>(SUM(M25:M26)/2)</f>
        <v>5148</v>
      </c>
    </row>
    <row r="44" spans="3:23" x14ac:dyDescent="0.2">
      <c r="C44" s="602" t="s">
        <v>40</v>
      </c>
      <c r="D44" s="603"/>
      <c r="E44" s="603"/>
      <c r="F44" s="604">
        <v>50</v>
      </c>
      <c r="G44" s="605"/>
      <c r="I44" s="94"/>
      <c r="J44" s="117"/>
      <c r="K44" s="415"/>
      <c r="L44" s="407"/>
      <c r="M44" s="346"/>
      <c r="O44" s="32">
        <v>46126</v>
      </c>
      <c r="P44" s="53" t="s">
        <v>77</v>
      </c>
      <c r="Q44" s="63"/>
      <c r="R44" s="95"/>
      <c r="S44" s="11"/>
      <c r="T44" s="53">
        <f t="shared" si="5"/>
        <v>0</v>
      </c>
      <c r="U44" s="136">
        <f>SUM(J27:J28)</f>
        <v>750</v>
      </c>
      <c r="V44" s="53">
        <f>+K28</f>
        <v>180.02</v>
      </c>
      <c r="W44" s="354">
        <f>(SUM(M27:M28)/2)</f>
        <v>5148</v>
      </c>
    </row>
    <row r="45" spans="3:23" ht="12.75" thickBot="1" x14ac:dyDescent="0.25">
      <c r="C45" s="602" t="s">
        <v>124</v>
      </c>
      <c r="D45" s="603"/>
      <c r="E45" s="603"/>
      <c r="F45" s="604"/>
      <c r="G45" s="605"/>
      <c r="I45" s="282"/>
      <c r="J45" s="285"/>
      <c r="K45" s="417"/>
      <c r="L45" s="410"/>
      <c r="M45" s="346"/>
      <c r="O45" s="32"/>
      <c r="P45" s="53"/>
      <c r="Q45" s="63"/>
      <c r="R45" s="95"/>
      <c r="S45" s="11"/>
      <c r="T45" s="53">
        <f t="shared" si="5"/>
        <v>0</v>
      </c>
      <c r="U45" s="136">
        <f>SUM(J29:J30)</f>
        <v>0</v>
      </c>
      <c r="V45" s="53">
        <f>+K30</f>
        <v>0</v>
      </c>
      <c r="W45" s="354">
        <f>(SUM(M29:M30)/2)</f>
        <v>0</v>
      </c>
    </row>
    <row r="46" spans="3:23" ht="13.5" customHeight="1" thickBot="1" x14ac:dyDescent="0.25">
      <c r="C46" s="602" t="s">
        <v>224</v>
      </c>
      <c r="D46" s="603"/>
      <c r="E46" s="603"/>
      <c r="F46" s="606">
        <v>0</v>
      </c>
      <c r="G46" s="607"/>
      <c r="I46" s="597" t="s">
        <v>41</v>
      </c>
      <c r="J46" s="598"/>
      <c r="K46" s="632"/>
      <c r="L46" s="284">
        <f>SUM(L39:L45)</f>
        <v>0</v>
      </c>
      <c r="M46" s="347"/>
      <c r="O46" s="113"/>
      <c r="P46" s="264"/>
      <c r="Q46" s="265"/>
      <c r="R46" s="83"/>
      <c r="S46" s="81"/>
      <c r="T46" s="82">
        <f t="shared" ref="T46" si="6">+S46-Q46</f>
        <v>0</v>
      </c>
      <c r="U46" s="138">
        <f>SUM(J31:J32)</f>
        <v>0</v>
      </c>
      <c r="V46" s="55">
        <f>+K32</f>
        <v>0</v>
      </c>
      <c r="W46" s="355">
        <f>(SUM(M31:M32)/2)</f>
        <v>0</v>
      </c>
    </row>
    <row r="47" spans="3:23" ht="13.5" customHeight="1" x14ac:dyDescent="0.2">
      <c r="C47" s="602" t="s">
        <v>110</v>
      </c>
      <c r="D47" s="603"/>
      <c r="E47" s="603"/>
      <c r="F47" s="606">
        <v>0</v>
      </c>
      <c r="G47" s="607"/>
      <c r="R47" s="21"/>
      <c r="S47" s="21"/>
      <c r="T47" s="21"/>
      <c r="U47" s="139"/>
      <c r="V47" s="271"/>
    </row>
    <row r="48" spans="3:23" ht="13.5" customHeight="1" thickBot="1" x14ac:dyDescent="0.25">
      <c r="C48" s="593" t="s">
        <v>315</v>
      </c>
      <c r="D48" s="594"/>
      <c r="E48" s="594"/>
      <c r="F48" s="595"/>
      <c r="G48" s="596"/>
      <c r="R48" s="21"/>
      <c r="S48" s="21"/>
      <c r="T48" s="21"/>
      <c r="U48" s="139"/>
      <c r="V48" s="271"/>
    </row>
    <row r="49" spans="3:22" ht="13.5" thickBot="1" x14ac:dyDescent="0.25">
      <c r="C49" s="597" t="s">
        <v>42</v>
      </c>
      <c r="D49" s="598"/>
      <c r="E49" s="599"/>
      <c r="F49" s="600">
        <f>SUM(F38:G48)</f>
        <v>7414.9460255833601</v>
      </c>
      <c r="G49" s="601"/>
      <c r="R49" s="21"/>
      <c r="S49" s="21"/>
      <c r="T49" s="21"/>
      <c r="U49" s="139"/>
      <c r="V49" s="271"/>
    </row>
    <row r="50" spans="3:22" ht="13.5" customHeight="1" thickBot="1" x14ac:dyDescent="0.25">
      <c r="P50" s="588" t="s">
        <v>48</v>
      </c>
      <c r="Q50" s="589"/>
      <c r="R50" s="590"/>
      <c r="S50" s="21"/>
      <c r="T50" s="21"/>
      <c r="U50" s="139"/>
      <c r="V50" s="271"/>
    </row>
    <row r="51" spans="3:22" ht="12.75" customHeight="1" x14ac:dyDescent="0.2">
      <c r="C51" s="246" t="s">
        <v>43</v>
      </c>
      <c r="D51" s="247"/>
      <c r="E51" s="247"/>
      <c r="F51" s="247"/>
      <c r="G51" s="247"/>
      <c r="H51" s="247"/>
      <c r="I51" s="247"/>
      <c r="J51" s="247"/>
      <c r="K51" s="247"/>
      <c r="L51" s="248"/>
      <c r="M51" s="251"/>
      <c r="P51" s="78">
        <v>1</v>
      </c>
      <c r="Q51" s="584" t="s">
        <v>49</v>
      </c>
      <c r="R51" s="585"/>
      <c r="S51" s="21"/>
      <c r="T51" s="21"/>
      <c r="U51" s="249"/>
    </row>
    <row r="52" spans="3:22" ht="12.75" customHeight="1" x14ac:dyDescent="0.2">
      <c r="C52" s="250"/>
      <c r="D52" s="251"/>
      <c r="E52" s="251"/>
      <c r="F52" s="251"/>
      <c r="G52" s="251"/>
      <c r="H52" s="251"/>
      <c r="I52" s="251"/>
      <c r="J52" s="251"/>
      <c r="K52" s="251"/>
      <c r="L52" s="252"/>
      <c r="M52" s="251"/>
      <c r="P52" s="32">
        <v>2</v>
      </c>
      <c r="Q52" s="586" t="s">
        <v>135</v>
      </c>
      <c r="R52" s="587"/>
      <c r="S52" s="21"/>
      <c r="T52" s="249"/>
    </row>
    <row r="53" spans="3:22" ht="12.75" thickBot="1" x14ac:dyDescent="0.25">
      <c r="C53" s="253"/>
      <c r="D53" s="254"/>
      <c r="E53" s="254"/>
      <c r="F53" s="254"/>
      <c r="G53" s="254"/>
      <c r="H53" s="254"/>
      <c r="I53" s="254"/>
      <c r="J53" s="254"/>
      <c r="K53" s="254"/>
      <c r="L53" s="255"/>
      <c r="M53" s="251"/>
      <c r="P53" s="32">
        <v>3</v>
      </c>
      <c r="Q53" s="586" t="s">
        <v>130</v>
      </c>
      <c r="R53" s="587"/>
      <c r="S53" s="21"/>
      <c r="T53" s="249"/>
    </row>
    <row r="54" spans="3:22" x14ac:dyDescent="0.2">
      <c r="P54" s="32">
        <v>4</v>
      </c>
      <c r="Q54" s="586" t="s">
        <v>228</v>
      </c>
      <c r="R54" s="587"/>
      <c r="S54" s="21"/>
      <c r="T54" s="249"/>
    </row>
    <row r="55" spans="3:22" ht="12.75" thickBot="1" x14ac:dyDescent="0.25">
      <c r="P55" s="32">
        <v>5</v>
      </c>
      <c r="Q55" s="586" t="s">
        <v>229</v>
      </c>
      <c r="R55" s="587"/>
      <c r="S55" s="21"/>
    </row>
    <row r="56" spans="3:22" ht="14.25" customHeight="1" thickTop="1" thickBot="1" x14ac:dyDescent="0.25">
      <c r="D56" s="631" t="s">
        <v>44</v>
      </c>
      <c r="E56" s="631"/>
      <c r="F56" s="631"/>
      <c r="G56" s="631"/>
      <c r="H56" s="631"/>
      <c r="J56" s="631" t="s">
        <v>45</v>
      </c>
      <c r="K56" s="631"/>
      <c r="L56" s="631"/>
      <c r="M56" s="631"/>
      <c r="N56" s="631"/>
      <c r="P56" s="54">
        <v>6</v>
      </c>
      <c r="Q56" s="591" t="s">
        <v>230</v>
      </c>
      <c r="R56" s="592"/>
      <c r="S56" s="21"/>
      <c r="T56" s="21"/>
    </row>
    <row r="57" spans="3:22" x14ac:dyDescent="0.2">
      <c r="S57" s="21"/>
      <c r="T57" s="21"/>
    </row>
    <row r="58" spans="3:22" x14ac:dyDescent="0.2">
      <c r="P58" s="21"/>
      <c r="Q58" s="21"/>
      <c r="R58" s="21"/>
      <c r="S58" s="21"/>
      <c r="T58" s="21"/>
    </row>
    <row r="59" spans="3:22" x14ac:dyDescent="0.2">
      <c r="P59" s="21"/>
      <c r="Q59" s="21"/>
      <c r="R59" s="21"/>
      <c r="S59" s="21"/>
      <c r="T59" s="21"/>
    </row>
    <row r="60" spans="3:22" ht="15" customHeight="1" x14ac:dyDescent="0.2">
      <c r="P60" s="21"/>
      <c r="Q60" s="21"/>
      <c r="R60" s="21"/>
      <c r="S60" s="21"/>
      <c r="T60" s="21"/>
    </row>
  </sheetData>
  <mergeCells count="56">
    <mergeCell ref="F49:G49"/>
    <mergeCell ref="I46:K46"/>
    <mergeCell ref="Q2:S2"/>
    <mergeCell ref="I3:O3"/>
    <mergeCell ref="Q3:S3"/>
    <mergeCell ref="I4:O4"/>
    <mergeCell ref="I5:O5"/>
    <mergeCell ref="Q5:S5"/>
    <mergeCell ref="F34:G34"/>
    <mergeCell ref="F35:G35"/>
    <mergeCell ref="I6:O6"/>
    <mergeCell ref="Q6:S6"/>
    <mergeCell ref="I9:O9"/>
    <mergeCell ref="L11:S11"/>
    <mergeCell ref="E12:F12"/>
    <mergeCell ref="D13:E13"/>
    <mergeCell ref="D14:E14"/>
    <mergeCell ref="D15:E15"/>
    <mergeCell ref="D16:E16"/>
    <mergeCell ref="E34:E35"/>
    <mergeCell ref="C37:G37"/>
    <mergeCell ref="O37:P37"/>
    <mergeCell ref="Q37:S37"/>
    <mergeCell ref="C38:E38"/>
    <mergeCell ref="F38:G38"/>
    <mergeCell ref="I37:L37"/>
    <mergeCell ref="C39:E39"/>
    <mergeCell ref="F39:G39"/>
    <mergeCell ref="C40:E40"/>
    <mergeCell ref="F40:G40"/>
    <mergeCell ref="C41:E41"/>
    <mergeCell ref="F41:G41"/>
    <mergeCell ref="F42:G42"/>
    <mergeCell ref="F43:G43"/>
    <mergeCell ref="F44:G44"/>
    <mergeCell ref="C44:E44"/>
    <mergeCell ref="D56:H56"/>
    <mergeCell ref="F48:G48"/>
    <mergeCell ref="C48:E48"/>
    <mergeCell ref="C43:E43"/>
    <mergeCell ref="F46:G46"/>
    <mergeCell ref="C46:E46"/>
    <mergeCell ref="F45:G45"/>
    <mergeCell ref="C45:E45"/>
    <mergeCell ref="C47:E47"/>
    <mergeCell ref="F47:G47"/>
    <mergeCell ref="C42:E42"/>
    <mergeCell ref="C49:E49"/>
    <mergeCell ref="J56:N56"/>
    <mergeCell ref="P50:R50"/>
    <mergeCell ref="Q51:R51"/>
    <mergeCell ref="Q52:R52"/>
    <mergeCell ref="Q53:R53"/>
    <mergeCell ref="Q54:R54"/>
    <mergeCell ref="Q55:R55"/>
    <mergeCell ref="Q56:R56"/>
  </mergeCells>
  <phoneticPr fontId="20" type="noConversion"/>
  <pageMargins left="0.19685039370078741" right="0.19685039370078741" top="0.35433070866141736" bottom="0.35433070866141736" header="0.31496062992125984" footer="0.31496062992125984"/>
  <pageSetup paperSize="9" scale="77" orientation="landscape" horizontalDpi="300" verticalDpi="300" r:id="rId1"/>
  <drawing r:id="rId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Hoja4">
    <pageSetUpPr fitToPage="1"/>
  </sheetPr>
  <dimension ref="C1:W57"/>
  <sheetViews>
    <sheetView topLeftCell="A6" zoomScaleNormal="100" workbookViewId="0">
      <selection activeCell="M44" sqref="M44"/>
    </sheetView>
  </sheetViews>
  <sheetFormatPr baseColWidth="10" defaultColWidth="9.140625" defaultRowHeight="12" x14ac:dyDescent="0.2"/>
  <cols>
    <col min="1" max="1" width="3.7109375" style="14" customWidth="1"/>
    <col min="2" max="2" width="5.7109375" style="14" customWidth="1"/>
    <col min="3" max="3" width="12" style="14" customWidth="1"/>
    <col min="4" max="4" width="11.42578125" style="14" customWidth="1"/>
    <col min="5" max="5" width="7.85546875" style="14" customWidth="1"/>
    <col min="6" max="6" width="9.140625" style="14" bestFit="1" customWidth="1"/>
    <col min="7" max="7" width="2.7109375" style="14" customWidth="1"/>
    <col min="8" max="8" width="10.5703125" style="14" customWidth="1"/>
    <col min="9" max="9" width="10.140625" style="14" customWidth="1"/>
    <col min="10" max="10" width="10" style="14" customWidth="1"/>
    <col min="11" max="11" width="10.42578125" style="14" customWidth="1"/>
    <col min="12" max="12" width="12.85546875" style="14" customWidth="1"/>
    <col min="13" max="13" width="10" style="14" customWidth="1"/>
    <col min="14" max="14" width="9.85546875" style="14" customWidth="1"/>
    <col min="15" max="15" width="10.42578125" style="14" customWidth="1"/>
    <col min="16" max="16" width="11.85546875" style="14" customWidth="1"/>
    <col min="17" max="17" width="12.140625" style="14" customWidth="1"/>
    <col min="18" max="18" width="10" style="14" hidden="1" customWidth="1"/>
    <col min="19" max="19" width="10" style="14" customWidth="1"/>
    <col min="20" max="20" width="11.5703125" style="14" bestFit="1" customWidth="1"/>
    <col min="21" max="21" width="9.85546875" style="14" customWidth="1"/>
    <col min="22" max="22" width="9.28515625" style="14" customWidth="1"/>
    <col min="23" max="23" width="12.42578125" style="14" customWidth="1"/>
    <col min="24" max="24" width="9.140625" style="14" customWidth="1"/>
    <col min="25" max="259" width="9.140625" style="14"/>
    <col min="260" max="260" width="5.7109375" style="14" customWidth="1"/>
    <col min="261" max="261" width="13.140625" style="14" customWidth="1"/>
    <col min="262" max="262" width="12.28515625" style="14" customWidth="1"/>
    <col min="263" max="263" width="8.85546875" style="14" customWidth="1"/>
    <col min="264" max="264" width="10.85546875" style="14" customWidth="1"/>
    <col min="265" max="265" width="2.85546875" style="14" customWidth="1"/>
    <col min="266" max="266" width="12.140625" style="14" customWidth="1"/>
    <col min="267" max="267" width="10.140625" style="14" customWidth="1"/>
    <col min="268" max="268" width="11.7109375" style="14" customWidth="1"/>
    <col min="269" max="269" width="11.42578125" style="14" customWidth="1"/>
    <col min="270" max="270" width="12.7109375" style="14" customWidth="1"/>
    <col min="271" max="271" width="11.42578125" style="14" customWidth="1"/>
    <col min="272" max="272" width="10.7109375" style="14" customWidth="1"/>
    <col min="273" max="273" width="10.5703125" style="14" customWidth="1"/>
    <col min="274" max="274" width="11.28515625" style="14" customWidth="1"/>
    <col min="275" max="275" width="9.7109375" style="14" customWidth="1"/>
    <col min="276" max="276" width="12" style="14" customWidth="1"/>
    <col min="277" max="277" width="11.28515625" style="14" customWidth="1"/>
    <col min="278" max="515" width="9.140625" style="14"/>
    <col min="516" max="516" width="5.7109375" style="14" customWidth="1"/>
    <col min="517" max="517" width="13.140625" style="14" customWidth="1"/>
    <col min="518" max="518" width="12.28515625" style="14" customWidth="1"/>
    <col min="519" max="519" width="8.85546875" style="14" customWidth="1"/>
    <col min="520" max="520" width="10.85546875" style="14" customWidth="1"/>
    <col min="521" max="521" width="2.85546875" style="14" customWidth="1"/>
    <col min="522" max="522" width="12.140625" style="14" customWidth="1"/>
    <col min="523" max="523" width="10.140625" style="14" customWidth="1"/>
    <col min="524" max="524" width="11.7109375" style="14" customWidth="1"/>
    <col min="525" max="525" width="11.42578125" style="14" customWidth="1"/>
    <col min="526" max="526" width="12.7109375" style="14" customWidth="1"/>
    <col min="527" max="527" width="11.42578125" style="14" customWidth="1"/>
    <col min="528" max="528" width="10.7109375" style="14" customWidth="1"/>
    <col min="529" max="529" width="10.5703125" style="14" customWidth="1"/>
    <col min="530" max="530" width="11.28515625" style="14" customWidth="1"/>
    <col min="531" max="531" width="9.7109375" style="14" customWidth="1"/>
    <col min="532" max="532" width="12" style="14" customWidth="1"/>
    <col min="533" max="533" width="11.28515625" style="14" customWidth="1"/>
    <col min="534" max="771" width="9.140625" style="14"/>
    <col min="772" max="772" width="5.7109375" style="14" customWidth="1"/>
    <col min="773" max="773" width="13.140625" style="14" customWidth="1"/>
    <col min="774" max="774" width="12.28515625" style="14" customWidth="1"/>
    <col min="775" max="775" width="8.85546875" style="14" customWidth="1"/>
    <col min="776" max="776" width="10.85546875" style="14" customWidth="1"/>
    <col min="777" max="777" width="2.85546875" style="14" customWidth="1"/>
    <col min="778" max="778" width="12.140625" style="14" customWidth="1"/>
    <col min="779" max="779" width="10.140625" style="14" customWidth="1"/>
    <col min="780" max="780" width="11.7109375" style="14" customWidth="1"/>
    <col min="781" max="781" width="11.42578125" style="14" customWidth="1"/>
    <col min="782" max="782" width="12.7109375" style="14" customWidth="1"/>
    <col min="783" max="783" width="11.42578125" style="14" customWidth="1"/>
    <col min="784" max="784" width="10.7109375" style="14" customWidth="1"/>
    <col min="785" max="785" width="10.5703125" style="14" customWidth="1"/>
    <col min="786" max="786" width="11.28515625" style="14" customWidth="1"/>
    <col min="787" max="787" width="9.7109375" style="14" customWidth="1"/>
    <col min="788" max="788" width="12" style="14" customWidth="1"/>
    <col min="789" max="789" width="11.28515625" style="14" customWidth="1"/>
    <col min="790" max="1027" width="9.140625" style="14"/>
    <col min="1028" max="1028" width="5.7109375" style="14" customWidth="1"/>
    <col min="1029" max="1029" width="13.140625" style="14" customWidth="1"/>
    <col min="1030" max="1030" width="12.28515625" style="14" customWidth="1"/>
    <col min="1031" max="1031" width="8.85546875" style="14" customWidth="1"/>
    <col min="1032" max="1032" width="10.85546875" style="14" customWidth="1"/>
    <col min="1033" max="1033" width="2.85546875" style="14" customWidth="1"/>
    <col min="1034" max="1034" width="12.140625" style="14" customWidth="1"/>
    <col min="1035" max="1035" width="10.140625" style="14" customWidth="1"/>
    <col min="1036" max="1036" width="11.7109375" style="14" customWidth="1"/>
    <col min="1037" max="1037" width="11.42578125" style="14" customWidth="1"/>
    <col min="1038" max="1038" width="12.7109375" style="14" customWidth="1"/>
    <col min="1039" max="1039" width="11.42578125" style="14" customWidth="1"/>
    <col min="1040" max="1040" width="10.7109375" style="14" customWidth="1"/>
    <col min="1041" max="1041" width="10.5703125" style="14" customWidth="1"/>
    <col min="1042" max="1042" width="11.28515625" style="14" customWidth="1"/>
    <col min="1043" max="1043" width="9.7109375" style="14" customWidth="1"/>
    <col min="1044" max="1044" width="12" style="14" customWidth="1"/>
    <col min="1045" max="1045" width="11.28515625" style="14" customWidth="1"/>
    <col min="1046" max="1283" width="9.140625" style="14"/>
    <col min="1284" max="1284" width="5.7109375" style="14" customWidth="1"/>
    <col min="1285" max="1285" width="13.140625" style="14" customWidth="1"/>
    <col min="1286" max="1286" width="12.28515625" style="14" customWidth="1"/>
    <col min="1287" max="1287" width="8.85546875" style="14" customWidth="1"/>
    <col min="1288" max="1288" width="10.85546875" style="14" customWidth="1"/>
    <col min="1289" max="1289" width="2.85546875" style="14" customWidth="1"/>
    <col min="1290" max="1290" width="12.140625" style="14" customWidth="1"/>
    <col min="1291" max="1291" width="10.140625" style="14" customWidth="1"/>
    <col min="1292" max="1292" width="11.7109375" style="14" customWidth="1"/>
    <col min="1293" max="1293" width="11.42578125" style="14" customWidth="1"/>
    <col min="1294" max="1294" width="12.7109375" style="14" customWidth="1"/>
    <col min="1295" max="1295" width="11.42578125" style="14" customWidth="1"/>
    <col min="1296" max="1296" width="10.7109375" style="14" customWidth="1"/>
    <col min="1297" max="1297" width="10.5703125" style="14" customWidth="1"/>
    <col min="1298" max="1298" width="11.28515625" style="14" customWidth="1"/>
    <col min="1299" max="1299" width="9.7109375" style="14" customWidth="1"/>
    <col min="1300" max="1300" width="12" style="14" customWidth="1"/>
    <col min="1301" max="1301" width="11.28515625" style="14" customWidth="1"/>
    <col min="1302" max="1539" width="9.140625" style="14"/>
    <col min="1540" max="1540" width="5.7109375" style="14" customWidth="1"/>
    <col min="1541" max="1541" width="13.140625" style="14" customWidth="1"/>
    <col min="1542" max="1542" width="12.28515625" style="14" customWidth="1"/>
    <col min="1543" max="1543" width="8.85546875" style="14" customWidth="1"/>
    <col min="1544" max="1544" width="10.85546875" style="14" customWidth="1"/>
    <col min="1545" max="1545" width="2.85546875" style="14" customWidth="1"/>
    <col min="1546" max="1546" width="12.140625" style="14" customWidth="1"/>
    <col min="1547" max="1547" width="10.140625" style="14" customWidth="1"/>
    <col min="1548" max="1548" width="11.7109375" style="14" customWidth="1"/>
    <col min="1549" max="1549" width="11.42578125" style="14" customWidth="1"/>
    <col min="1550" max="1550" width="12.7109375" style="14" customWidth="1"/>
    <col min="1551" max="1551" width="11.42578125" style="14" customWidth="1"/>
    <col min="1552" max="1552" width="10.7109375" style="14" customWidth="1"/>
    <col min="1553" max="1553" width="10.5703125" style="14" customWidth="1"/>
    <col min="1554" max="1554" width="11.28515625" style="14" customWidth="1"/>
    <col min="1555" max="1555" width="9.7109375" style="14" customWidth="1"/>
    <col min="1556" max="1556" width="12" style="14" customWidth="1"/>
    <col min="1557" max="1557" width="11.28515625" style="14" customWidth="1"/>
    <col min="1558" max="1795" width="9.140625" style="14"/>
    <col min="1796" max="1796" width="5.7109375" style="14" customWidth="1"/>
    <col min="1797" max="1797" width="13.140625" style="14" customWidth="1"/>
    <col min="1798" max="1798" width="12.28515625" style="14" customWidth="1"/>
    <col min="1799" max="1799" width="8.85546875" style="14" customWidth="1"/>
    <col min="1800" max="1800" width="10.85546875" style="14" customWidth="1"/>
    <col min="1801" max="1801" width="2.85546875" style="14" customWidth="1"/>
    <col min="1802" max="1802" width="12.140625" style="14" customWidth="1"/>
    <col min="1803" max="1803" width="10.140625" style="14" customWidth="1"/>
    <col min="1804" max="1804" width="11.7109375" style="14" customWidth="1"/>
    <col min="1805" max="1805" width="11.42578125" style="14" customWidth="1"/>
    <col min="1806" max="1806" width="12.7109375" style="14" customWidth="1"/>
    <col min="1807" max="1807" width="11.42578125" style="14" customWidth="1"/>
    <col min="1808" max="1808" width="10.7109375" style="14" customWidth="1"/>
    <col min="1809" max="1809" width="10.5703125" style="14" customWidth="1"/>
    <col min="1810" max="1810" width="11.28515625" style="14" customWidth="1"/>
    <col min="1811" max="1811" width="9.7109375" style="14" customWidth="1"/>
    <col min="1812" max="1812" width="12" style="14" customWidth="1"/>
    <col min="1813" max="1813" width="11.28515625" style="14" customWidth="1"/>
    <col min="1814" max="2051" width="9.140625" style="14"/>
    <col min="2052" max="2052" width="5.7109375" style="14" customWidth="1"/>
    <col min="2053" max="2053" width="13.140625" style="14" customWidth="1"/>
    <col min="2054" max="2054" width="12.28515625" style="14" customWidth="1"/>
    <col min="2055" max="2055" width="8.85546875" style="14" customWidth="1"/>
    <col min="2056" max="2056" width="10.85546875" style="14" customWidth="1"/>
    <col min="2057" max="2057" width="2.85546875" style="14" customWidth="1"/>
    <col min="2058" max="2058" width="12.140625" style="14" customWidth="1"/>
    <col min="2059" max="2059" width="10.140625" style="14" customWidth="1"/>
    <col min="2060" max="2060" width="11.7109375" style="14" customWidth="1"/>
    <col min="2061" max="2061" width="11.42578125" style="14" customWidth="1"/>
    <col min="2062" max="2062" width="12.7109375" style="14" customWidth="1"/>
    <col min="2063" max="2063" width="11.42578125" style="14" customWidth="1"/>
    <col min="2064" max="2064" width="10.7109375" style="14" customWidth="1"/>
    <col min="2065" max="2065" width="10.5703125" style="14" customWidth="1"/>
    <col min="2066" max="2066" width="11.28515625" style="14" customWidth="1"/>
    <col min="2067" max="2067" width="9.7109375" style="14" customWidth="1"/>
    <col min="2068" max="2068" width="12" style="14" customWidth="1"/>
    <col min="2069" max="2069" width="11.28515625" style="14" customWidth="1"/>
    <col min="2070" max="2307" width="9.140625" style="14"/>
    <col min="2308" max="2308" width="5.7109375" style="14" customWidth="1"/>
    <col min="2309" max="2309" width="13.140625" style="14" customWidth="1"/>
    <col min="2310" max="2310" width="12.28515625" style="14" customWidth="1"/>
    <col min="2311" max="2311" width="8.85546875" style="14" customWidth="1"/>
    <col min="2312" max="2312" width="10.85546875" style="14" customWidth="1"/>
    <col min="2313" max="2313" width="2.85546875" style="14" customWidth="1"/>
    <col min="2314" max="2314" width="12.140625" style="14" customWidth="1"/>
    <col min="2315" max="2315" width="10.140625" style="14" customWidth="1"/>
    <col min="2316" max="2316" width="11.7109375" style="14" customWidth="1"/>
    <col min="2317" max="2317" width="11.42578125" style="14" customWidth="1"/>
    <col min="2318" max="2318" width="12.7109375" style="14" customWidth="1"/>
    <col min="2319" max="2319" width="11.42578125" style="14" customWidth="1"/>
    <col min="2320" max="2320" width="10.7109375" style="14" customWidth="1"/>
    <col min="2321" max="2321" width="10.5703125" style="14" customWidth="1"/>
    <col min="2322" max="2322" width="11.28515625" style="14" customWidth="1"/>
    <col min="2323" max="2323" width="9.7109375" style="14" customWidth="1"/>
    <col min="2324" max="2324" width="12" style="14" customWidth="1"/>
    <col min="2325" max="2325" width="11.28515625" style="14" customWidth="1"/>
    <col min="2326" max="2563" width="9.140625" style="14"/>
    <col min="2564" max="2564" width="5.7109375" style="14" customWidth="1"/>
    <col min="2565" max="2565" width="13.140625" style="14" customWidth="1"/>
    <col min="2566" max="2566" width="12.28515625" style="14" customWidth="1"/>
    <col min="2567" max="2567" width="8.85546875" style="14" customWidth="1"/>
    <col min="2568" max="2568" width="10.85546875" style="14" customWidth="1"/>
    <col min="2569" max="2569" width="2.85546875" style="14" customWidth="1"/>
    <col min="2570" max="2570" width="12.140625" style="14" customWidth="1"/>
    <col min="2571" max="2571" width="10.140625" style="14" customWidth="1"/>
    <col min="2572" max="2572" width="11.7109375" style="14" customWidth="1"/>
    <col min="2573" max="2573" width="11.42578125" style="14" customWidth="1"/>
    <col min="2574" max="2574" width="12.7109375" style="14" customWidth="1"/>
    <col min="2575" max="2575" width="11.42578125" style="14" customWidth="1"/>
    <col min="2576" max="2576" width="10.7109375" style="14" customWidth="1"/>
    <col min="2577" max="2577" width="10.5703125" style="14" customWidth="1"/>
    <col min="2578" max="2578" width="11.28515625" style="14" customWidth="1"/>
    <col min="2579" max="2579" width="9.7109375" style="14" customWidth="1"/>
    <col min="2580" max="2580" width="12" style="14" customWidth="1"/>
    <col min="2581" max="2581" width="11.28515625" style="14" customWidth="1"/>
    <col min="2582" max="2819" width="9.140625" style="14"/>
    <col min="2820" max="2820" width="5.7109375" style="14" customWidth="1"/>
    <col min="2821" max="2821" width="13.140625" style="14" customWidth="1"/>
    <col min="2822" max="2822" width="12.28515625" style="14" customWidth="1"/>
    <col min="2823" max="2823" width="8.85546875" style="14" customWidth="1"/>
    <col min="2824" max="2824" width="10.85546875" style="14" customWidth="1"/>
    <col min="2825" max="2825" width="2.85546875" style="14" customWidth="1"/>
    <col min="2826" max="2826" width="12.140625" style="14" customWidth="1"/>
    <col min="2827" max="2827" width="10.140625" style="14" customWidth="1"/>
    <col min="2828" max="2828" width="11.7109375" style="14" customWidth="1"/>
    <col min="2829" max="2829" width="11.42578125" style="14" customWidth="1"/>
    <col min="2830" max="2830" width="12.7109375" style="14" customWidth="1"/>
    <col min="2831" max="2831" width="11.42578125" style="14" customWidth="1"/>
    <col min="2832" max="2832" width="10.7109375" style="14" customWidth="1"/>
    <col min="2833" max="2833" width="10.5703125" style="14" customWidth="1"/>
    <col min="2834" max="2834" width="11.28515625" style="14" customWidth="1"/>
    <col min="2835" max="2835" width="9.7109375" style="14" customWidth="1"/>
    <col min="2836" max="2836" width="12" style="14" customWidth="1"/>
    <col min="2837" max="2837" width="11.28515625" style="14" customWidth="1"/>
    <col min="2838" max="3075" width="9.140625" style="14"/>
    <col min="3076" max="3076" width="5.7109375" style="14" customWidth="1"/>
    <col min="3077" max="3077" width="13.140625" style="14" customWidth="1"/>
    <col min="3078" max="3078" width="12.28515625" style="14" customWidth="1"/>
    <col min="3079" max="3079" width="8.85546875" style="14" customWidth="1"/>
    <col min="3080" max="3080" width="10.85546875" style="14" customWidth="1"/>
    <col min="3081" max="3081" width="2.85546875" style="14" customWidth="1"/>
    <col min="3082" max="3082" width="12.140625" style="14" customWidth="1"/>
    <col min="3083" max="3083" width="10.140625" style="14" customWidth="1"/>
    <col min="3084" max="3084" width="11.7109375" style="14" customWidth="1"/>
    <col min="3085" max="3085" width="11.42578125" style="14" customWidth="1"/>
    <col min="3086" max="3086" width="12.7109375" style="14" customWidth="1"/>
    <col min="3087" max="3087" width="11.42578125" style="14" customWidth="1"/>
    <col min="3088" max="3088" width="10.7109375" style="14" customWidth="1"/>
    <col min="3089" max="3089" width="10.5703125" style="14" customWidth="1"/>
    <col min="3090" max="3090" width="11.28515625" style="14" customWidth="1"/>
    <col min="3091" max="3091" width="9.7109375" style="14" customWidth="1"/>
    <col min="3092" max="3092" width="12" style="14" customWidth="1"/>
    <col min="3093" max="3093" width="11.28515625" style="14" customWidth="1"/>
    <col min="3094" max="3331" width="9.140625" style="14"/>
    <col min="3332" max="3332" width="5.7109375" style="14" customWidth="1"/>
    <col min="3333" max="3333" width="13.140625" style="14" customWidth="1"/>
    <col min="3334" max="3334" width="12.28515625" style="14" customWidth="1"/>
    <col min="3335" max="3335" width="8.85546875" style="14" customWidth="1"/>
    <col min="3336" max="3336" width="10.85546875" style="14" customWidth="1"/>
    <col min="3337" max="3337" width="2.85546875" style="14" customWidth="1"/>
    <col min="3338" max="3338" width="12.140625" style="14" customWidth="1"/>
    <col min="3339" max="3339" width="10.140625" style="14" customWidth="1"/>
    <col min="3340" max="3340" width="11.7109375" style="14" customWidth="1"/>
    <col min="3341" max="3341" width="11.42578125" style="14" customWidth="1"/>
    <col min="3342" max="3342" width="12.7109375" style="14" customWidth="1"/>
    <col min="3343" max="3343" width="11.42578125" style="14" customWidth="1"/>
    <col min="3344" max="3344" width="10.7109375" style="14" customWidth="1"/>
    <col min="3345" max="3345" width="10.5703125" style="14" customWidth="1"/>
    <col min="3346" max="3346" width="11.28515625" style="14" customWidth="1"/>
    <col min="3347" max="3347" width="9.7109375" style="14" customWidth="1"/>
    <col min="3348" max="3348" width="12" style="14" customWidth="1"/>
    <col min="3349" max="3349" width="11.28515625" style="14" customWidth="1"/>
    <col min="3350" max="3587" width="9.140625" style="14"/>
    <col min="3588" max="3588" width="5.7109375" style="14" customWidth="1"/>
    <col min="3589" max="3589" width="13.140625" style="14" customWidth="1"/>
    <col min="3590" max="3590" width="12.28515625" style="14" customWidth="1"/>
    <col min="3591" max="3591" width="8.85546875" style="14" customWidth="1"/>
    <col min="3592" max="3592" width="10.85546875" style="14" customWidth="1"/>
    <col min="3593" max="3593" width="2.85546875" style="14" customWidth="1"/>
    <col min="3594" max="3594" width="12.140625" style="14" customWidth="1"/>
    <col min="3595" max="3595" width="10.140625" style="14" customWidth="1"/>
    <col min="3596" max="3596" width="11.7109375" style="14" customWidth="1"/>
    <col min="3597" max="3597" width="11.42578125" style="14" customWidth="1"/>
    <col min="3598" max="3598" width="12.7109375" style="14" customWidth="1"/>
    <col min="3599" max="3599" width="11.42578125" style="14" customWidth="1"/>
    <col min="3600" max="3600" width="10.7109375" style="14" customWidth="1"/>
    <col min="3601" max="3601" width="10.5703125" style="14" customWidth="1"/>
    <col min="3602" max="3602" width="11.28515625" style="14" customWidth="1"/>
    <col min="3603" max="3603" width="9.7109375" style="14" customWidth="1"/>
    <col min="3604" max="3604" width="12" style="14" customWidth="1"/>
    <col min="3605" max="3605" width="11.28515625" style="14" customWidth="1"/>
    <col min="3606" max="3843" width="9.140625" style="14"/>
    <col min="3844" max="3844" width="5.7109375" style="14" customWidth="1"/>
    <col min="3845" max="3845" width="13.140625" style="14" customWidth="1"/>
    <col min="3846" max="3846" width="12.28515625" style="14" customWidth="1"/>
    <col min="3847" max="3847" width="8.85546875" style="14" customWidth="1"/>
    <col min="3848" max="3848" width="10.85546875" style="14" customWidth="1"/>
    <col min="3849" max="3849" width="2.85546875" style="14" customWidth="1"/>
    <col min="3850" max="3850" width="12.140625" style="14" customWidth="1"/>
    <col min="3851" max="3851" width="10.140625" style="14" customWidth="1"/>
    <col min="3852" max="3852" width="11.7109375" style="14" customWidth="1"/>
    <col min="3853" max="3853" width="11.42578125" style="14" customWidth="1"/>
    <col min="3854" max="3854" width="12.7109375" style="14" customWidth="1"/>
    <col min="3855" max="3855" width="11.42578125" style="14" customWidth="1"/>
    <col min="3856" max="3856" width="10.7109375" style="14" customWidth="1"/>
    <col min="3857" max="3857" width="10.5703125" style="14" customWidth="1"/>
    <col min="3858" max="3858" width="11.28515625" style="14" customWidth="1"/>
    <col min="3859" max="3859" width="9.7109375" style="14" customWidth="1"/>
    <col min="3860" max="3860" width="12" style="14" customWidth="1"/>
    <col min="3861" max="3861" width="11.28515625" style="14" customWidth="1"/>
    <col min="3862" max="4099" width="9.140625" style="14"/>
    <col min="4100" max="4100" width="5.7109375" style="14" customWidth="1"/>
    <col min="4101" max="4101" width="13.140625" style="14" customWidth="1"/>
    <col min="4102" max="4102" width="12.28515625" style="14" customWidth="1"/>
    <col min="4103" max="4103" width="8.85546875" style="14" customWidth="1"/>
    <col min="4104" max="4104" width="10.85546875" style="14" customWidth="1"/>
    <col min="4105" max="4105" width="2.85546875" style="14" customWidth="1"/>
    <col min="4106" max="4106" width="12.140625" style="14" customWidth="1"/>
    <col min="4107" max="4107" width="10.140625" style="14" customWidth="1"/>
    <col min="4108" max="4108" width="11.7109375" style="14" customWidth="1"/>
    <col min="4109" max="4109" width="11.42578125" style="14" customWidth="1"/>
    <col min="4110" max="4110" width="12.7109375" style="14" customWidth="1"/>
    <col min="4111" max="4111" width="11.42578125" style="14" customWidth="1"/>
    <col min="4112" max="4112" width="10.7109375" style="14" customWidth="1"/>
    <col min="4113" max="4113" width="10.5703125" style="14" customWidth="1"/>
    <col min="4114" max="4114" width="11.28515625" style="14" customWidth="1"/>
    <col min="4115" max="4115" width="9.7109375" style="14" customWidth="1"/>
    <col min="4116" max="4116" width="12" style="14" customWidth="1"/>
    <col min="4117" max="4117" width="11.28515625" style="14" customWidth="1"/>
    <col min="4118" max="4355" width="9.140625" style="14"/>
    <col min="4356" max="4356" width="5.7109375" style="14" customWidth="1"/>
    <col min="4357" max="4357" width="13.140625" style="14" customWidth="1"/>
    <col min="4358" max="4358" width="12.28515625" style="14" customWidth="1"/>
    <col min="4359" max="4359" width="8.85546875" style="14" customWidth="1"/>
    <col min="4360" max="4360" width="10.85546875" style="14" customWidth="1"/>
    <col min="4361" max="4361" width="2.85546875" style="14" customWidth="1"/>
    <col min="4362" max="4362" width="12.140625" style="14" customWidth="1"/>
    <col min="4363" max="4363" width="10.140625" style="14" customWidth="1"/>
    <col min="4364" max="4364" width="11.7109375" style="14" customWidth="1"/>
    <col min="4365" max="4365" width="11.42578125" style="14" customWidth="1"/>
    <col min="4366" max="4366" width="12.7109375" style="14" customWidth="1"/>
    <col min="4367" max="4367" width="11.42578125" style="14" customWidth="1"/>
    <col min="4368" max="4368" width="10.7109375" style="14" customWidth="1"/>
    <col min="4369" max="4369" width="10.5703125" style="14" customWidth="1"/>
    <col min="4370" max="4370" width="11.28515625" style="14" customWidth="1"/>
    <col min="4371" max="4371" width="9.7109375" style="14" customWidth="1"/>
    <col min="4372" max="4372" width="12" style="14" customWidth="1"/>
    <col min="4373" max="4373" width="11.28515625" style="14" customWidth="1"/>
    <col min="4374" max="4611" width="9.140625" style="14"/>
    <col min="4612" max="4612" width="5.7109375" style="14" customWidth="1"/>
    <col min="4613" max="4613" width="13.140625" style="14" customWidth="1"/>
    <col min="4614" max="4614" width="12.28515625" style="14" customWidth="1"/>
    <col min="4615" max="4615" width="8.85546875" style="14" customWidth="1"/>
    <col min="4616" max="4616" width="10.85546875" style="14" customWidth="1"/>
    <col min="4617" max="4617" width="2.85546875" style="14" customWidth="1"/>
    <col min="4618" max="4618" width="12.140625" style="14" customWidth="1"/>
    <col min="4619" max="4619" width="10.140625" style="14" customWidth="1"/>
    <col min="4620" max="4620" width="11.7109375" style="14" customWidth="1"/>
    <col min="4621" max="4621" width="11.42578125" style="14" customWidth="1"/>
    <col min="4622" max="4622" width="12.7109375" style="14" customWidth="1"/>
    <col min="4623" max="4623" width="11.42578125" style="14" customWidth="1"/>
    <col min="4624" max="4624" width="10.7109375" style="14" customWidth="1"/>
    <col min="4625" max="4625" width="10.5703125" style="14" customWidth="1"/>
    <col min="4626" max="4626" width="11.28515625" style="14" customWidth="1"/>
    <col min="4627" max="4627" width="9.7109375" style="14" customWidth="1"/>
    <col min="4628" max="4628" width="12" style="14" customWidth="1"/>
    <col min="4629" max="4629" width="11.28515625" style="14" customWidth="1"/>
    <col min="4630" max="4867" width="9.140625" style="14"/>
    <col min="4868" max="4868" width="5.7109375" style="14" customWidth="1"/>
    <col min="4869" max="4869" width="13.140625" style="14" customWidth="1"/>
    <col min="4870" max="4870" width="12.28515625" style="14" customWidth="1"/>
    <col min="4871" max="4871" width="8.85546875" style="14" customWidth="1"/>
    <col min="4872" max="4872" width="10.85546875" style="14" customWidth="1"/>
    <col min="4873" max="4873" width="2.85546875" style="14" customWidth="1"/>
    <col min="4874" max="4874" width="12.140625" style="14" customWidth="1"/>
    <col min="4875" max="4875" width="10.140625" style="14" customWidth="1"/>
    <col min="4876" max="4876" width="11.7109375" style="14" customWidth="1"/>
    <col min="4877" max="4877" width="11.42578125" style="14" customWidth="1"/>
    <col min="4878" max="4878" width="12.7109375" style="14" customWidth="1"/>
    <col min="4879" max="4879" width="11.42578125" style="14" customWidth="1"/>
    <col min="4880" max="4880" width="10.7109375" style="14" customWidth="1"/>
    <col min="4881" max="4881" width="10.5703125" style="14" customWidth="1"/>
    <col min="4882" max="4882" width="11.28515625" style="14" customWidth="1"/>
    <col min="4883" max="4883" width="9.7109375" style="14" customWidth="1"/>
    <col min="4884" max="4884" width="12" style="14" customWidth="1"/>
    <col min="4885" max="4885" width="11.28515625" style="14" customWidth="1"/>
    <col min="4886" max="5123" width="9.140625" style="14"/>
    <col min="5124" max="5124" width="5.7109375" style="14" customWidth="1"/>
    <col min="5125" max="5125" width="13.140625" style="14" customWidth="1"/>
    <col min="5126" max="5126" width="12.28515625" style="14" customWidth="1"/>
    <col min="5127" max="5127" width="8.85546875" style="14" customWidth="1"/>
    <col min="5128" max="5128" width="10.85546875" style="14" customWidth="1"/>
    <col min="5129" max="5129" width="2.85546875" style="14" customWidth="1"/>
    <col min="5130" max="5130" width="12.140625" style="14" customWidth="1"/>
    <col min="5131" max="5131" width="10.140625" style="14" customWidth="1"/>
    <col min="5132" max="5132" width="11.7109375" style="14" customWidth="1"/>
    <col min="5133" max="5133" width="11.42578125" style="14" customWidth="1"/>
    <col min="5134" max="5134" width="12.7109375" style="14" customWidth="1"/>
    <col min="5135" max="5135" width="11.42578125" style="14" customWidth="1"/>
    <col min="5136" max="5136" width="10.7109375" style="14" customWidth="1"/>
    <col min="5137" max="5137" width="10.5703125" style="14" customWidth="1"/>
    <col min="5138" max="5138" width="11.28515625" style="14" customWidth="1"/>
    <col min="5139" max="5139" width="9.7109375" style="14" customWidth="1"/>
    <col min="5140" max="5140" width="12" style="14" customWidth="1"/>
    <col min="5141" max="5141" width="11.28515625" style="14" customWidth="1"/>
    <col min="5142" max="5379" width="9.140625" style="14"/>
    <col min="5380" max="5380" width="5.7109375" style="14" customWidth="1"/>
    <col min="5381" max="5381" width="13.140625" style="14" customWidth="1"/>
    <col min="5382" max="5382" width="12.28515625" style="14" customWidth="1"/>
    <col min="5383" max="5383" width="8.85546875" style="14" customWidth="1"/>
    <col min="5384" max="5384" width="10.85546875" style="14" customWidth="1"/>
    <col min="5385" max="5385" width="2.85546875" style="14" customWidth="1"/>
    <col min="5386" max="5386" width="12.140625" style="14" customWidth="1"/>
    <col min="5387" max="5387" width="10.140625" style="14" customWidth="1"/>
    <col min="5388" max="5388" width="11.7109375" style="14" customWidth="1"/>
    <col min="5389" max="5389" width="11.42578125" style="14" customWidth="1"/>
    <col min="5390" max="5390" width="12.7109375" style="14" customWidth="1"/>
    <col min="5391" max="5391" width="11.42578125" style="14" customWidth="1"/>
    <col min="5392" max="5392" width="10.7109375" style="14" customWidth="1"/>
    <col min="5393" max="5393" width="10.5703125" style="14" customWidth="1"/>
    <col min="5394" max="5394" width="11.28515625" style="14" customWidth="1"/>
    <col min="5395" max="5395" width="9.7109375" style="14" customWidth="1"/>
    <col min="5396" max="5396" width="12" style="14" customWidth="1"/>
    <col min="5397" max="5397" width="11.28515625" style="14" customWidth="1"/>
    <col min="5398" max="5635" width="9.140625" style="14"/>
    <col min="5636" max="5636" width="5.7109375" style="14" customWidth="1"/>
    <col min="5637" max="5637" width="13.140625" style="14" customWidth="1"/>
    <col min="5638" max="5638" width="12.28515625" style="14" customWidth="1"/>
    <col min="5639" max="5639" width="8.85546875" style="14" customWidth="1"/>
    <col min="5640" max="5640" width="10.85546875" style="14" customWidth="1"/>
    <col min="5641" max="5641" width="2.85546875" style="14" customWidth="1"/>
    <col min="5642" max="5642" width="12.140625" style="14" customWidth="1"/>
    <col min="5643" max="5643" width="10.140625" style="14" customWidth="1"/>
    <col min="5644" max="5644" width="11.7109375" style="14" customWidth="1"/>
    <col min="5645" max="5645" width="11.42578125" style="14" customWidth="1"/>
    <col min="5646" max="5646" width="12.7109375" style="14" customWidth="1"/>
    <col min="5647" max="5647" width="11.42578125" style="14" customWidth="1"/>
    <col min="5648" max="5648" width="10.7109375" style="14" customWidth="1"/>
    <col min="5649" max="5649" width="10.5703125" style="14" customWidth="1"/>
    <col min="5650" max="5650" width="11.28515625" style="14" customWidth="1"/>
    <col min="5651" max="5651" width="9.7109375" style="14" customWidth="1"/>
    <col min="5652" max="5652" width="12" style="14" customWidth="1"/>
    <col min="5653" max="5653" width="11.28515625" style="14" customWidth="1"/>
    <col min="5654" max="5891" width="9.140625" style="14"/>
    <col min="5892" max="5892" width="5.7109375" style="14" customWidth="1"/>
    <col min="5893" max="5893" width="13.140625" style="14" customWidth="1"/>
    <col min="5894" max="5894" width="12.28515625" style="14" customWidth="1"/>
    <col min="5895" max="5895" width="8.85546875" style="14" customWidth="1"/>
    <col min="5896" max="5896" width="10.85546875" style="14" customWidth="1"/>
    <col min="5897" max="5897" width="2.85546875" style="14" customWidth="1"/>
    <col min="5898" max="5898" width="12.140625" style="14" customWidth="1"/>
    <col min="5899" max="5899" width="10.140625" style="14" customWidth="1"/>
    <col min="5900" max="5900" width="11.7109375" style="14" customWidth="1"/>
    <col min="5901" max="5901" width="11.42578125" style="14" customWidth="1"/>
    <col min="5902" max="5902" width="12.7109375" style="14" customWidth="1"/>
    <col min="5903" max="5903" width="11.42578125" style="14" customWidth="1"/>
    <col min="5904" max="5904" width="10.7109375" style="14" customWidth="1"/>
    <col min="5905" max="5905" width="10.5703125" style="14" customWidth="1"/>
    <col min="5906" max="5906" width="11.28515625" style="14" customWidth="1"/>
    <col min="5907" max="5907" width="9.7109375" style="14" customWidth="1"/>
    <col min="5908" max="5908" width="12" style="14" customWidth="1"/>
    <col min="5909" max="5909" width="11.28515625" style="14" customWidth="1"/>
    <col min="5910" max="6147" width="9.140625" style="14"/>
    <col min="6148" max="6148" width="5.7109375" style="14" customWidth="1"/>
    <col min="6149" max="6149" width="13.140625" style="14" customWidth="1"/>
    <col min="6150" max="6150" width="12.28515625" style="14" customWidth="1"/>
    <col min="6151" max="6151" width="8.85546875" style="14" customWidth="1"/>
    <col min="6152" max="6152" width="10.85546875" style="14" customWidth="1"/>
    <col min="6153" max="6153" width="2.85546875" style="14" customWidth="1"/>
    <col min="6154" max="6154" width="12.140625" style="14" customWidth="1"/>
    <col min="6155" max="6155" width="10.140625" style="14" customWidth="1"/>
    <col min="6156" max="6156" width="11.7109375" style="14" customWidth="1"/>
    <col min="6157" max="6157" width="11.42578125" style="14" customWidth="1"/>
    <col min="6158" max="6158" width="12.7109375" style="14" customWidth="1"/>
    <col min="6159" max="6159" width="11.42578125" style="14" customWidth="1"/>
    <col min="6160" max="6160" width="10.7109375" style="14" customWidth="1"/>
    <col min="6161" max="6161" width="10.5703125" style="14" customWidth="1"/>
    <col min="6162" max="6162" width="11.28515625" style="14" customWidth="1"/>
    <col min="6163" max="6163" width="9.7109375" style="14" customWidth="1"/>
    <col min="6164" max="6164" width="12" style="14" customWidth="1"/>
    <col min="6165" max="6165" width="11.28515625" style="14" customWidth="1"/>
    <col min="6166" max="6403" width="9.140625" style="14"/>
    <col min="6404" max="6404" width="5.7109375" style="14" customWidth="1"/>
    <col min="6405" max="6405" width="13.140625" style="14" customWidth="1"/>
    <col min="6406" max="6406" width="12.28515625" style="14" customWidth="1"/>
    <col min="6407" max="6407" width="8.85546875" style="14" customWidth="1"/>
    <col min="6408" max="6408" width="10.85546875" style="14" customWidth="1"/>
    <col min="6409" max="6409" width="2.85546875" style="14" customWidth="1"/>
    <col min="6410" max="6410" width="12.140625" style="14" customWidth="1"/>
    <col min="6411" max="6411" width="10.140625" style="14" customWidth="1"/>
    <col min="6412" max="6412" width="11.7109375" style="14" customWidth="1"/>
    <col min="6413" max="6413" width="11.42578125" style="14" customWidth="1"/>
    <col min="6414" max="6414" width="12.7109375" style="14" customWidth="1"/>
    <col min="6415" max="6415" width="11.42578125" style="14" customWidth="1"/>
    <col min="6416" max="6416" width="10.7109375" style="14" customWidth="1"/>
    <col min="6417" max="6417" width="10.5703125" style="14" customWidth="1"/>
    <col min="6418" max="6418" width="11.28515625" style="14" customWidth="1"/>
    <col min="6419" max="6419" width="9.7109375" style="14" customWidth="1"/>
    <col min="6420" max="6420" width="12" style="14" customWidth="1"/>
    <col min="6421" max="6421" width="11.28515625" style="14" customWidth="1"/>
    <col min="6422" max="6659" width="9.140625" style="14"/>
    <col min="6660" max="6660" width="5.7109375" style="14" customWidth="1"/>
    <col min="6661" max="6661" width="13.140625" style="14" customWidth="1"/>
    <col min="6662" max="6662" width="12.28515625" style="14" customWidth="1"/>
    <col min="6663" max="6663" width="8.85546875" style="14" customWidth="1"/>
    <col min="6664" max="6664" width="10.85546875" style="14" customWidth="1"/>
    <col min="6665" max="6665" width="2.85546875" style="14" customWidth="1"/>
    <col min="6666" max="6666" width="12.140625" style="14" customWidth="1"/>
    <col min="6667" max="6667" width="10.140625" style="14" customWidth="1"/>
    <col min="6668" max="6668" width="11.7109375" style="14" customWidth="1"/>
    <col min="6669" max="6669" width="11.42578125" style="14" customWidth="1"/>
    <col min="6670" max="6670" width="12.7109375" style="14" customWidth="1"/>
    <col min="6671" max="6671" width="11.42578125" style="14" customWidth="1"/>
    <col min="6672" max="6672" width="10.7109375" style="14" customWidth="1"/>
    <col min="6673" max="6673" width="10.5703125" style="14" customWidth="1"/>
    <col min="6674" max="6674" width="11.28515625" style="14" customWidth="1"/>
    <col min="6675" max="6675" width="9.7109375" style="14" customWidth="1"/>
    <col min="6676" max="6676" width="12" style="14" customWidth="1"/>
    <col min="6677" max="6677" width="11.28515625" style="14" customWidth="1"/>
    <col min="6678" max="6915" width="9.140625" style="14"/>
    <col min="6916" max="6916" width="5.7109375" style="14" customWidth="1"/>
    <col min="6917" max="6917" width="13.140625" style="14" customWidth="1"/>
    <col min="6918" max="6918" width="12.28515625" style="14" customWidth="1"/>
    <col min="6919" max="6919" width="8.85546875" style="14" customWidth="1"/>
    <col min="6920" max="6920" width="10.85546875" style="14" customWidth="1"/>
    <col min="6921" max="6921" width="2.85546875" style="14" customWidth="1"/>
    <col min="6922" max="6922" width="12.140625" style="14" customWidth="1"/>
    <col min="6923" max="6923" width="10.140625" style="14" customWidth="1"/>
    <col min="6924" max="6924" width="11.7109375" style="14" customWidth="1"/>
    <col min="6925" max="6925" width="11.42578125" style="14" customWidth="1"/>
    <col min="6926" max="6926" width="12.7109375" style="14" customWidth="1"/>
    <col min="6927" max="6927" width="11.42578125" style="14" customWidth="1"/>
    <col min="6928" max="6928" width="10.7109375" style="14" customWidth="1"/>
    <col min="6929" max="6929" width="10.5703125" style="14" customWidth="1"/>
    <col min="6930" max="6930" width="11.28515625" style="14" customWidth="1"/>
    <col min="6931" max="6931" width="9.7109375" style="14" customWidth="1"/>
    <col min="6932" max="6932" width="12" style="14" customWidth="1"/>
    <col min="6933" max="6933" width="11.28515625" style="14" customWidth="1"/>
    <col min="6934" max="7171" width="9.140625" style="14"/>
    <col min="7172" max="7172" width="5.7109375" style="14" customWidth="1"/>
    <col min="7173" max="7173" width="13.140625" style="14" customWidth="1"/>
    <col min="7174" max="7174" width="12.28515625" style="14" customWidth="1"/>
    <col min="7175" max="7175" width="8.85546875" style="14" customWidth="1"/>
    <col min="7176" max="7176" width="10.85546875" style="14" customWidth="1"/>
    <col min="7177" max="7177" width="2.85546875" style="14" customWidth="1"/>
    <col min="7178" max="7178" width="12.140625" style="14" customWidth="1"/>
    <col min="7179" max="7179" width="10.140625" style="14" customWidth="1"/>
    <col min="7180" max="7180" width="11.7109375" style="14" customWidth="1"/>
    <col min="7181" max="7181" width="11.42578125" style="14" customWidth="1"/>
    <col min="7182" max="7182" width="12.7109375" style="14" customWidth="1"/>
    <col min="7183" max="7183" width="11.42578125" style="14" customWidth="1"/>
    <col min="7184" max="7184" width="10.7109375" style="14" customWidth="1"/>
    <col min="7185" max="7185" width="10.5703125" style="14" customWidth="1"/>
    <col min="7186" max="7186" width="11.28515625" style="14" customWidth="1"/>
    <col min="7187" max="7187" width="9.7109375" style="14" customWidth="1"/>
    <col min="7188" max="7188" width="12" style="14" customWidth="1"/>
    <col min="7189" max="7189" width="11.28515625" style="14" customWidth="1"/>
    <col min="7190" max="7427" width="9.140625" style="14"/>
    <col min="7428" max="7428" width="5.7109375" style="14" customWidth="1"/>
    <col min="7429" max="7429" width="13.140625" style="14" customWidth="1"/>
    <col min="7430" max="7430" width="12.28515625" style="14" customWidth="1"/>
    <col min="7431" max="7431" width="8.85546875" style="14" customWidth="1"/>
    <col min="7432" max="7432" width="10.85546875" style="14" customWidth="1"/>
    <col min="7433" max="7433" width="2.85546875" style="14" customWidth="1"/>
    <col min="7434" max="7434" width="12.140625" style="14" customWidth="1"/>
    <col min="7435" max="7435" width="10.140625" style="14" customWidth="1"/>
    <col min="7436" max="7436" width="11.7109375" style="14" customWidth="1"/>
    <col min="7437" max="7437" width="11.42578125" style="14" customWidth="1"/>
    <col min="7438" max="7438" width="12.7109375" style="14" customWidth="1"/>
    <col min="7439" max="7439" width="11.42578125" style="14" customWidth="1"/>
    <col min="7440" max="7440" width="10.7109375" style="14" customWidth="1"/>
    <col min="7441" max="7441" width="10.5703125" style="14" customWidth="1"/>
    <col min="7442" max="7442" width="11.28515625" style="14" customWidth="1"/>
    <col min="7443" max="7443" width="9.7109375" style="14" customWidth="1"/>
    <col min="7444" max="7444" width="12" style="14" customWidth="1"/>
    <col min="7445" max="7445" width="11.28515625" style="14" customWidth="1"/>
    <col min="7446" max="7683" width="9.140625" style="14"/>
    <col min="7684" max="7684" width="5.7109375" style="14" customWidth="1"/>
    <col min="7685" max="7685" width="13.140625" style="14" customWidth="1"/>
    <col min="7686" max="7686" width="12.28515625" style="14" customWidth="1"/>
    <col min="7687" max="7687" width="8.85546875" style="14" customWidth="1"/>
    <col min="7688" max="7688" width="10.85546875" style="14" customWidth="1"/>
    <col min="7689" max="7689" width="2.85546875" style="14" customWidth="1"/>
    <col min="7690" max="7690" width="12.140625" style="14" customWidth="1"/>
    <col min="7691" max="7691" width="10.140625" style="14" customWidth="1"/>
    <col min="7692" max="7692" width="11.7109375" style="14" customWidth="1"/>
    <col min="7693" max="7693" width="11.42578125" style="14" customWidth="1"/>
    <col min="7694" max="7694" width="12.7109375" style="14" customWidth="1"/>
    <col min="7695" max="7695" width="11.42578125" style="14" customWidth="1"/>
    <col min="7696" max="7696" width="10.7109375" style="14" customWidth="1"/>
    <col min="7697" max="7697" width="10.5703125" style="14" customWidth="1"/>
    <col min="7698" max="7698" width="11.28515625" style="14" customWidth="1"/>
    <col min="7699" max="7699" width="9.7109375" style="14" customWidth="1"/>
    <col min="7700" max="7700" width="12" style="14" customWidth="1"/>
    <col min="7701" max="7701" width="11.28515625" style="14" customWidth="1"/>
    <col min="7702" max="7939" width="9.140625" style="14"/>
    <col min="7940" max="7940" width="5.7109375" style="14" customWidth="1"/>
    <col min="7941" max="7941" width="13.140625" style="14" customWidth="1"/>
    <col min="7942" max="7942" width="12.28515625" style="14" customWidth="1"/>
    <col min="7943" max="7943" width="8.85546875" style="14" customWidth="1"/>
    <col min="7944" max="7944" width="10.85546875" style="14" customWidth="1"/>
    <col min="7945" max="7945" width="2.85546875" style="14" customWidth="1"/>
    <col min="7946" max="7946" width="12.140625" style="14" customWidth="1"/>
    <col min="7947" max="7947" width="10.140625" style="14" customWidth="1"/>
    <col min="7948" max="7948" width="11.7109375" style="14" customWidth="1"/>
    <col min="7949" max="7949" width="11.42578125" style="14" customWidth="1"/>
    <col min="7950" max="7950" width="12.7109375" style="14" customWidth="1"/>
    <col min="7951" max="7951" width="11.42578125" style="14" customWidth="1"/>
    <col min="7952" max="7952" width="10.7109375" style="14" customWidth="1"/>
    <col min="7953" max="7953" width="10.5703125" style="14" customWidth="1"/>
    <col min="7954" max="7954" width="11.28515625" style="14" customWidth="1"/>
    <col min="7955" max="7955" width="9.7109375" style="14" customWidth="1"/>
    <col min="7956" max="7956" width="12" style="14" customWidth="1"/>
    <col min="7957" max="7957" width="11.28515625" style="14" customWidth="1"/>
    <col min="7958" max="8195" width="9.140625" style="14"/>
    <col min="8196" max="8196" width="5.7109375" style="14" customWidth="1"/>
    <col min="8197" max="8197" width="13.140625" style="14" customWidth="1"/>
    <col min="8198" max="8198" width="12.28515625" style="14" customWidth="1"/>
    <col min="8199" max="8199" width="8.85546875" style="14" customWidth="1"/>
    <col min="8200" max="8200" width="10.85546875" style="14" customWidth="1"/>
    <col min="8201" max="8201" width="2.85546875" style="14" customWidth="1"/>
    <col min="8202" max="8202" width="12.140625" style="14" customWidth="1"/>
    <col min="8203" max="8203" width="10.140625" style="14" customWidth="1"/>
    <col min="8204" max="8204" width="11.7109375" style="14" customWidth="1"/>
    <col min="8205" max="8205" width="11.42578125" style="14" customWidth="1"/>
    <col min="8206" max="8206" width="12.7109375" style="14" customWidth="1"/>
    <col min="8207" max="8207" width="11.42578125" style="14" customWidth="1"/>
    <col min="8208" max="8208" width="10.7109375" style="14" customWidth="1"/>
    <col min="8209" max="8209" width="10.5703125" style="14" customWidth="1"/>
    <col min="8210" max="8210" width="11.28515625" style="14" customWidth="1"/>
    <col min="8211" max="8211" width="9.7109375" style="14" customWidth="1"/>
    <col min="8212" max="8212" width="12" style="14" customWidth="1"/>
    <col min="8213" max="8213" width="11.28515625" style="14" customWidth="1"/>
    <col min="8214" max="8451" width="9.140625" style="14"/>
    <col min="8452" max="8452" width="5.7109375" style="14" customWidth="1"/>
    <col min="8453" max="8453" width="13.140625" style="14" customWidth="1"/>
    <col min="8454" max="8454" width="12.28515625" style="14" customWidth="1"/>
    <col min="8455" max="8455" width="8.85546875" style="14" customWidth="1"/>
    <col min="8456" max="8456" width="10.85546875" style="14" customWidth="1"/>
    <col min="8457" max="8457" width="2.85546875" style="14" customWidth="1"/>
    <col min="8458" max="8458" width="12.140625" style="14" customWidth="1"/>
    <col min="8459" max="8459" width="10.140625" style="14" customWidth="1"/>
    <col min="8460" max="8460" width="11.7109375" style="14" customWidth="1"/>
    <col min="8461" max="8461" width="11.42578125" style="14" customWidth="1"/>
    <col min="8462" max="8462" width="12.7109375" style="14" customWidth="1"/>
    <col min="8463" max="8463" width="11.42578125" style="14" customWidth="1"/>
    <col min="8464" max="8464" width="10.7109375" style="14" customWidth="1"/>
    <col min="8465" max="8465" width="10.5703125" style="14" customWidth="1"/>
    <col min="8466" max="8466" width="11.28515625" style="14" customWidth="1"/>
    <col min="8467" max="8467" width="9.7109375" style="14" customWidth="1"/>
    <col min="8468" max="8468" width="12" style="14" customWidth="1"/>
    <col min="8469" max="8469" width="11.28515625" style="14" customWidth="1"/>
    <col min="8470" max="8707" width="9.140625" style="14"/>
    <col min="8708" max="8708" width="5.7109375" style="14" customWidth="1"/>
    <col min="8709" max="8709" width="13.140625" style="14" customWidth="1"/>
    <col min="8710" max="8710" width="12.28515625" style="14" customWidth="1"/>
    <col min="8711" max="8711" width="8.85546875" style="14" customWidth="1"/>
    <col min="8712" max="8712" width="10.85546875" style="14" customWidth="1"/>
    <col min="8713" max="8713" width="2.85546875" style="14" customWidth="1"/>
    <col min="8714" max="8714" width="12.140625" style="14" customWidth="1"/>
    <col min="8715" max="8715" width="10.140625" style="14" customWidth="1"/>
    <col min="8716" max="8716" width="11.7109375" style="14" customWidth="1"/>
    <col min="8717" max="8717" width="11.42578125" style="14" customWidth="1"/>
    <col min="8718" max="8718" width="12.7109375" style="14" customWidth="1"/>
    <col min="8719" max="8719" width="11.42578125" style="14" customWidth="1"/>
    <col min="8720" max="8720" width="10.7109375" style="14" customWidth="1"/>
    <col min="8721" max="8721" width="10.5703125" style="14" customWidth="1"/>
    <col min="8722" max="8722" width="11.28515625" style="14" customWidth="1"/>
    <col min="8723" max="8723" width="9.7109375" style="14" customWidth="1"/>
    <col min="8724" max="8724" width="12" style="14" customWidth="1"/>
    <col min="8725" max="8725" width="11.28515625" style="14" customWidth="1"/>
    <col min="8726" max="8963" width="9.140625" style="14"/>
    <col min="8964" max="8964" width="5.7109375" style="14" customWidth="1"/>
    <col min="8965" max="8965" width="13.140625" style="14" customWidth="1"/>
    <col min="8966" max="8966" width="12.28515625" style="14" customWidth="1"/>
    <col min="8967" max="8967" width="8.85546875" style="14" customWidth="1"/>
    <col min="8968" max="8968" width="10.85546875" style="14" customWidth="1"/>
    <col min="8969" max="8969" width="2.85546875" style="14" customWidth="1"/>
    <col min="8970" max="8970" width="12.140625" style="14" customWidth="1"/>
    <col min="8971" max="8971" width="10.140625" style="14" customWidth="1"/>
    <col min="8972" max="8972" width="11.7109375" style="14" customWidth="1"/>
    <col min="8973" max="8973" width="11.42578125" style="14" customWidth="1"/>
    <col min="8974" max="8974" width="12.7109375" style="14" customWidth="1"/>
    <col min="8975" max="8975" width="11.42578125" style="14" customWidth="1"/>
    <col min="8976" max="8976" width="10.7109375" style="14" customWidth="1"/>
    <col min="8977" max="8977" width="10.5703125" style="14" customWidth="1"/>
    <col min="8978" max="8978" width="11.28515625" style="14" customWidth="1"/>
    <col min="8979" max="8979" width="9.7109375" style="14" customWidth="1"/>
    <col min="8980" max="8980" width="12" style="14" customWidth="1"/>
    <col min="8981" max="8981" width="11.28515625" style="14" customWidth="1"/>
    <col min="8982" max="9219" width="9.140625" style="14"/>
    <col min="9220" max="9220" width="5.7109375" style="14" customWidth="1"/>
    <col min="9221" max="9221" width="13.140625" style="14" customWidth="1"/>
    <col min="9222" max="9222" width="12.28515625" style="14" customWidth="1"/>
    <col min="9223" max="9223" width="8.85546875" style="14" customWidth="1"/>
    <col min="9224" max="9224" width="10.85546875" style="14" customWidth="1"/>
    <col min="9225" max="9225" width="2.85546875" style="14" customWidth="1"/>
    <col min="9226" max="9226" width="12.140625" style="14" customWidth="1"/>
    <col min="9227" max="9227" width="10.140625" style="14" customWidth="1"/>
    <col min="9228" max="9228" width="11.7109375" style="14" customWidth="1"/>
    <col min="9229" max="9229" width="11.42578125" style="14" customWidth="1"/>
    <col min="9230" max="9230" width="12.7109375" style="14" customWidth="1"/>
    <col min="9231" max="9231" width="11.42578125" style="14" customWidth="1"/>
    <col min="9232" max="9232" width="10.7109375" style="14" customWidth="1"/>
    <col min="9233" max="9233" width="10.5703125" style="14" customWidth="1"/>
    <col min="9234" max="9234" width="11.28515625" style="14" customWidth="1"/>
    <col min="9235" max="9235" width="9.7109375" style="14" customWidth="1"/>
    <col min="9236" max="9236" width="12" style="14" customWidth="1"/>
    <col min="9237" max="9237" width="11.28515625" style="14" customWidth="1"/>
    <col min="9238" max="9475" width="9.140625" style="14"/>
    <col min="9476" max="9476" width="5.7109375" style="14" customWidth="1"/>
    <col min="9477" max="9477" width="13.140625" style="14" customWidth="1"/>
    <col min="9478" max="9478" width="12.28515625" style="14" customWidth="1"/>
    <col min="9479" max="9479" width="8.85546875" style="14" customWidth="1"/>
    <col min="9480" max="9480" width="10.85546875" style="14" customWidth="1"/>
    <col min="9481" max="9481" width="2.85546875" style="14" customWidth="1"/>
    <col min="9482" max="9482" width="12.140625" style="14" customWidth="1"/>
    <col min="9483" max="9483" width="10.140625" style="14" customWidth="1"/>
    <col min="9484" max="9484" width="11.7109375" style="14" customWidth="1"/>
    <col min="9485" max="9485" width="11.42578125" style="14" customWidth="1"/>
    <col min="9486" max="9486" width="12.7109375" style="14" customWidth="1"/>
    <col min="9487" max="9487" width="11.42578125" style="14" customWidth="1"/>
    <col min="9488" max="9488" width="10.7109375" style="14" customWidth="1"/>
    <col min="9489" max="9489" width="10.5703125" style="14" customWidth="1"/>
    <col min="9490" max="9490" width="11.28515625" style="14" customWidth="1"/>
    <col min="9491" max="9491" width="9.7109375" style="14" customWidth="1"/>
    <col min="9492" max="9492" width="12" style="14" customWidth="1"/>
    <col min="9493" max="9493" width="11.28515625" style="14" customWidth="1"/>
    <col min="9494" max="9731" width="9.140625" style="14"/>
    <col min="9732" max="9732" width="5.7109375" style="14" customWidth="1"/>
    <col min="9733" max="9733" width="13.140625" style="14" customWidth="1"/>
    <col min="9734" max="9734" width="12.28515625" style="14" customWidth="1"/>
    <col min="9735" max="9735" width="8.85546875" style="14" customWidth="1"/>
    <col min="9736" max="9736" width="10.85546875" style="14" customWidth="1"/>
    <col min="9737" max="9737" width="2.85546875" style="14" customWidth="1"/>
    <col min="9738" max="9738" width="12.140625" style="14" customWidth="1"/>
    <col min="9739" max="9739" width="10.140625" style="14" customWidth="1"/>
    <col min="9740" max="9740" width="11.7109375" style="14" customWidth="1"/>
    <col min="9741" max="9741" width="11.42578125" style="14" customWidth="1"/>
    <col min="9742" max="9742" width="12.7109375" style="14" customWidth="1"/>
    <col min="9743" max="9743" width="11.42578125" style="14" customWidth="1"/>
    <col min="9744" max="9744" width="10.7109375" style="14" customWidth="1"/>
    <col min="9745" max="9745" width="10.5703125" style="14" customWidth="1"/>
    <col min="9746" max="9746" width="11.28515625" style="14" customWidth="1"/>
    <col min="9747" max="9747" width="9.7109375" style="14" customWidth="1"/>
    <col min="9748" max="9748" width="12" style="14" customWidth="1"/>
    <col min="9749" max="9749" width="11.28515625" style="14" customWidth="1"/>
    <col min="9750" max="9987" width="9.140625" style="14"/>
    <col min="9988" max="9988" width="5.7109375" style="14" customWidth="1"/>
    <col min="9989" max="9989" width="13.140625" style="14" customWidth="1"/>
    <col min="9990" max="9990" width="12.28515625" style="14" customWidth="1"/>
    <col min="9991" max="9991" width="8.85546875" style="14" customWidth="1"/>
    <col min="9992" max="9992" width="10.85546875" style="14" customWidth="1"/>
    <col min="9993" max="9993" width="2.85546875" style="14" customWidth="1"/>
    <col min="9994" max="9994" width="12.140625" style="14" customWidth="1"/>
    <col min="9995" max="9995" width="10.140625" style="14" customWidth="1"/>
    <col min="9996" max="9996" width="11.7109375" style="14" customWidth="1"/>
    <col min="9997" max="9997" width="11.42578125" style="14" customWidth="1"/>
    <col min="9998" max="9998" width="12.7109375" style="14" customWidth="1"/>
    <col min="9999" max="9999" width="11.42578125" style="14" customWidth="1"/>
    <col min="10000" max="10000" width="10.7109375" style="14" customWidth="1"/>
    <col min="10001" max="10001" width="10.5703125" style="14" customWidth="1"/>
    <col min="10002" max="10002" width="11.28515625" style="14" customWidth="1"/>
    <col min="10003" max="10003" width="9.7109375" style="14" customWidth="1"/>
    <col min="10004" max="10004" width="12" style="14" customWidth="1"/>
    <col min="10005" max="10005" width="11.28515625" style="14" customWidth="1"/>
    <col min="10006" max="10243" width="9.140625" style="14"/>
    <col min="10244" max="10244" width="5.7109375" style="14" customWidth="1"/>
    <col min="10245" max="10245" width="13.140625" style="14" customWidth="1"/>
    <col min="10246" max="10246" width="12.28515625" style="14" customWidth="1"/>
    <col min="10247" max="10247" width="8.85546875" style="14" customWidth="1"/>
    <col min="10248" max="10248" width="10.85546875" style="14" customWidth="1"/>
    <col min="10249" max="10249" width="2.85546875" style="14" customWidth="1"/>
    <col min="10250" max="10250" width="12.140625" style="14" customWidth="1"/>
    <col min="10251" max="10251" width="10.140625" style="14" customWidth="1"/>
    <col min="10252" max="10252" width="11.7109375" style="14" customWidth="1"/>
    <col min="10253" max="10253" width="11.42578125" style="14" customWidth="1"/>
    <col min="10254" max="10254" width="12.7109375" style="14" customWidth="1"/>
    <col min="10255" max="10255" width="11.42578125" style="14" customWidth="1"/>
    <col min="10256" max="10256" width="10.7109375" style="14" customWidth="1"/>
    <col min="10257" max="10257" width="10.5703125" style="14" customWidth="1"/>
    <col min="10258" max="10258" width="11.28515625" style="14" customWidth="1"/>
    <col min="10259" max="10259" width="9.7109375" style="14" customWidth="1"/>
    <col min="10260" max="10260" width="12" style="14" customWidth="1"/>
    <col min="10261" max="10261" width="11.28515625" style="14" customWidth="1"/>
    <col min="10262" max="10499" width="9.140625" style="14"/>
    <col min="10500" max="10500" width="5.7109375" style="14" customWidth="1"/>
    <col min="10501" max="10501" width="13.140625" style="14" customWidth="1"/>
    <col min="10502" max="10502" width="12.28515625" style="14" customWidth="1"/>
    <col min="10503" max="10503" width="8.85546875" style="14" customWidth="1"/>
    <col min="10504" max="10504" width="10.85546875" style="14" customWidth="1"/>
    <col min="10505" max="10505" width="2.85546875" style="14" customWidth="1"/>
    <col min="10506" max="10506" width="12.140625" style="14" customWidth="1"/>
    <col min="10507" max="10507" width="10.140625" style="14" customWidth="1"/>
    <col min="10508" max="10508" width="11.7109375" style="14" customWidth="1"/>
    <col min="10509" max="10509" width="11.42578125" style="14" customWidth="1"/>
    <col min="10510" max="10510" width="12.7109375" style="14" customWidth="1"/>
    <col min="10511" max="10511" width="11.42578125" style="14" customWidth="1"/>
    <col min="10512" max="10512" width="10.7109375" style="14" customWidth="1"/>
    <col min="10513" max="10513" width="10.5703125" style="14" customWidth="1"/>
    <col min="10514" max="10514" width="11.28515625" style="14" customWidth="1"/>
    <col min="10515" max="10515" width="9.7109375" style="14" customWidth="1"/>
    <col min="10516" max="10516" width="12" style="14" customWidth="1"/>
    <col min="10517" max="10517" width="11.28515625" style="14" customWidth="1"/>
    <col min="10518" max="10755" width="9.140625" style="14"/>
    <col min="10756" max="10756" width="5.7109375" style="14" customWidth="1"/>
    <col min="10757" max="10757" width="13.140625" style="14" customWidth="1"/>
    <col min="10758" max="10758" width="12.28515625" style="14" customWidth="1"/>
    <col min="10759" max="10759" width="8.85546875" style="14" customWidth="1"/>
    <col min="10760" max="10760" width="10.85546875" style="14" customWidth="1"/>
    <col min="10761" max="10761" width="2.85546875" style="14" customWidth="1"/>
    <col min="10762" max="10762" width="12.140625" style="14" customWidth="1"/>
    <col min="10763" max="10763" width="10.140625" style="14" customWidth="1"/>
    <col min="10764" max="10764" width="11.7109375" style="14" customWidth="1"/>
    <col min="10765" max="10765" width="11.42578125" style="14" customWidth="1"/>
    <col min="10766" max="10766" width="12.7109375" style="14" customWidth="1"/>
    <col min="10767" max="10767" width="11.42578125" style="14" customWidth="1"/>
    <col min="10768" max="10768" width="10.7109375" style="14" customWidth="1"/>
    <col min="10769" max="10769" width="10.5703125" style="14" customWidth="1"/>
    <col min="10770" max="10770" width="11.28515625" style="14" customWidth="1"/>
    <col min="10771" max="10771" width="9.7109375" style="14" customWidth="1"/>
    <col min="10772" max="10772" width="12" style="14" customWidth="1"/>
    <col min="10773" max="10773" width="11.28515625" style="14" customWidth="1"/>
    <col min="10774" max="11011" width="9.140625" style="14"/>
    <col min="11012" max="11012" width="5.7109375" style="14" customWidth="1"/>
    <col min="11013" max="11013" width="13.140625" style="14" customWidth="1"/>
    <col min="11014" max="11014" width="12.28515625" style="14" customWidth="1"/>
    <col min="11015" max="11015" width="8.85546875" style="14" customWidth="1"/>
    <col min="11016" max="11016" width="10.85546875" style="14" customWidth="1"/>
    <col min="11017" max="11017" width="2.85546875" style="14" customWidth="1"/>
    <col min="11018" max="11018" width="12.140625" style="14" customWidth="1"/>
    <col min="11019" max="11019" width="10.140625" style="14" customWidth="1"/>
    <col min="11020" max="11020" width="11.7109375" style="14" customWidth="1"/>
    <col min="11021" max="11021" width="11.42578125" style="14" customWidth="1"/>
    <col min="11022" max="11022" width="12.7109375" style="14" customWidth="1"/>
    <col min="11023" max="11023" width="11.42578125" style="14" customWidth="1"/>
    <col min="11024" max="11024" width="10.7109375" style="14" customWidth="1"/>
    <col min="11025" max="11025" width="10.5703125" style="14" customWidth="1"/>
    <col min="11026" max="11026" width="11.28515625" style="14" customWidth="1"/>
    <col min="11027" max="11027" width="9.7109375" style="14" customWidth="1"/>
    <col min="11028" max="11028" width="12" style="14" customWidth="1"/>
    <col min="11029" max="11029" width="11.28515625" style="14" customWidth="1"/>
    <col min="11030" max="11267" width="9.140625" style="14"/>
    <col min="11268" max="11268" width="5.7109375" style="14" customWidth="1"/>
    <col min="11269" max="11269" width="13.140625" style="14" customWidth="1"/>
    <col min="11270" max="11270" width="12.28515625" style="14" customWidth="1"/>
    <col min="11271" max="11271" width="8.85546875" style="14" customWidth="1"/>
    <col min="11272" max="11272" width="10.85546875" style="14" customWidth="1"/>
    <col min="11273" max="11273" width="2.85546875" style="14" customWidth="1"/>
    <col min="11274" max="11274" width="12.140625" style="14" customWidth="1"/>
    <col min="11275" max="11275" width="10.140625" style="14" customWidth="1"/>
    <col min="11276" max="11276" width="11.7109375" style="14" customWidth="1"/>
    <col min="11277" max="11277" width="11.42578125" style="14" customWidth="1"/>
    <col min="11278" max="11278" width="12.7109375" style="14" customWidth="1"/>
    <col min="11279" max="11279" width="11.42578125" style="14" customWidth="1"/>
    <col min="11280" max="11280" width="10.7109375" style="14" customWidth="1"/>
    <col min="11281" max="11281" width="10.5703125" style="14" customWidth="1"/>
    <col min="11282" max="11282" width="11.28515625" style="14" customWidth="1"/>
    <col min="11283" max="11283" width="9.7109375" style="14" customWidth="1"/>
    <col min="11284" max="11284" width="12" style="14" customWidth="1"/>
    <col min="11285" max="11285" width="11.28515625" style="14" customWidth="1"/>
    <col min="11286" max="11523" width="9.140625" style="14"/>
    <col min="11524" max="11524" width="5.7109375" style="14" customWidth="1"/>
    <col min="11525" max="11525" width="13.140625" style="14" customWidth="1"/>
    <col min="11526" max="11526" width="12.28515625" style="14" customWidth="1"/>
    <col min="11527" max="11527" width="8.85546875" style="14" customWidth="1"/>
    <col min="11528" max="11528" width="10.85546875" style="14" customWidth="1"/>
    <col min="11529" max="11529" width="2.85546875" style="14" customWidth="1"/>
    <col min="11530" max="11530" width="12.140625" style="14" customWidth="1"/>
    <col min="11531" max="11531" width="10.140625" style="14" customWidth="1"/>
    <col min="11532" max="11532" width="11.7109375" style="14" customWidth="1"/>
    <col min="11533" max="11533" width="11.42578125" style="14" customWidth="1"/>
    <col min="11534" max="11534" width="12.7109375" style="14" customWidth="1"/>
    <col min="11535" max="11535" width="11.42578125" style="14" customWidth="1"/>
    <col min="11536" max="11536" width="10.7109375" style="14" customWidth="1"/>
    <col min="11537" max="11537" width="10.5703125" style="14" customWidth="1"/>
    <col min="11538" max="11538" width="11.28515625" style="14" customWidth="1"/>
    <col min="11539" max="11539" width="9.7109375" style="14" customWidth="1"/>
    <col min="11540" max="11540" width="12" style="14" customWidth="1"/>
    <col min="11541" max="11541" width="11.28515625" style="14" customWidth="1"/>
    <col min="11542" max="11779" width="9.140625" style="14"/>
    <col min="11780" max="11780" width="5.7109375" style="14" customWidth="1"/>
    <col min="11781" max="11781" width="13.140625" style="14" customWidth="1"/>
    <col min="11782" max="11782" width="12.28515625" style="14" customWidth="1"/>
    <col min="11783" max="11783" width="8.85546875" style="14" customWidth="1"/>
    <col min="11784" max="11784" width="10.85546875" style="14" customWidth="1"/>
    <col min="11785" max="11785" width="2.85546875" style="14" customWidth="1"/>
    <col min="11786" max="11786" width="12.140625" style="14" customWidth="1"/>
    <col min="11787" max="11787" width="10.140625" style="14" customWidth="1"/>
    <col min="11788" max="11788" width="11.7109375" style="14" customWidth="1"/>
    <col min="11789" max="11789" width="11.42578125" style="14" customWidth="1"/>
    <col min="11790" max="11790" width="12.7109375" style="14" customWidth="1"/>
    <col min="11791" max="11791" width="11.42578125" style="14" customWidth="1"/>
    <col min="11792" max="11792" width="10.7109375" style="14" customWidth="1"/>
    <col min="11793" max="11793" width="10.5703125" style="14" customWidth="1"/>
    <col min="11794" max="11794" width="11.28515625" style="14" customWidth="1"/>
    <col min="11795" max="11795" width="9.7109375" style="14" customWidth="1"/>
    <col min="11796" max="11796" width="12" style="14" customWidth="1"/>
    <col min="11797" max="11797" width="11.28515625" style="14" customWidth="1"/>
    <col min="11798" max="12035" width="9.140625" style="14"/>
    <col min="12036" max="12036" width="5.7109375" style="14" customWidth="1"/>
    <col min="12037" max="12037" width="13.140625" style="14" customWidth="1"/>
    <col min="12038" max="12038" width="12.28515625" style="14" customWidth="1"/>
    <col min="12039" max="12039" width="8.85546875" style="14" customWidth="1"/>
    <col min="12040" max="12040" width="10.85546875" style="14" customWidth="1"/>
    <col min="12041" max="12041" width="2.85546875" style="14" customWidth="1"/>
    <col min="12042" max="12042" width="12.140625" style="14" customWidth="1"/>
    <col min="12043" max="12043" width="10.140625" style="14" customWidth="1"/>
    <col min="12044" max="12044" width="11.7109375" style="14" customWidth="1"/>
    <col min="12045" max="12045" width="11.42578125" style="14" customWidth="1"/>
    <col min="12046" max="12046" width="12.7109375" style="14" customWidth="1"/>
    <col min="12047" max="12047" width="11.42578125" style="14" customWidth="1"/>
    <col min="12048" max="12048" width="10.7109375" style="14" customWidth="1"/>
    <col min="12049" max="12049" width="10.5703125" style="14" customWidth="1"/>
    <col min="12050" max="12050" width="11.28515625" style="14" customWidth="1"/>
    <col min="12051" max="12051" width="9.7109375" style="14" customWidth="1"/>
    <col min="12052" max="12052" width="12" style="14" customWidth="1"/>
    <col min="12053" max="12053" width="11.28515625" style="14" customWidth="1"/>
    <col min="12054" max="12291" width="9.140625" style="14"/>
    <col min="12292" max="12292" width="5.7109375" style="14" customWidth="1"/>
    <col min="12293" max="12293" width="13.140625" style="14" customWidth="1"/>
    <col min="12294" max="12294" width="12.28515625" style="14" customWidth="1"/>
    <col min="12295" max="12295" width="8.85546875" style="14" customWidth="1"/>
    <col min="12296" max="12296" width="10.85546875" style="14" customWidth="1"/>
    <col min="12297" max="12297" width="2.85546875" style="14" customWidth="1"/>
    <col min="12298" max="12298" width="12.140625" style="14" customWidth="1"/>
    <col min="12299" max="12299" width="10.140625" style="14" customWidth="1"/>
    <col min="12300" max="12300" width="11.7109375" style="14" customWidth="1"/>
    <col min="12301" max="12301" width="11.42578125" style="14" customWidth="1"/>
    <col min="12302" max="12302" width="12.7109375" style="14" customWidth="1"/>
    <col min="12303" max="12303" width="11.42578125" style="14" customWidth="1"/>
    <col min="12304" max="12304" width="10.7109375" style="14" customWidth="1"/>
    <col min="12305" max="12305" width="10.5703125" style="14" customWidth="1"/>
    <col min="12306" max="12306" width="11.28515625" style="14" customWidth="1"/>
    <col min="12307" max="12307" width="9.7109375" style="14" customWidth="1"/>
    <col min="12308" max="12308" width="12" style="14" customWidth="1"/>
    <col min="12309" max="12309" width="11.28515625" style="14" customWidth="1"/>
    <col min="12310" max="12547" width="9.140625" style="14"/>
    <col min="12548" max="12548" width="5.7109375" style="14" customWidth="1"/>
    <col min="12549" max="12549" width="13.140625" style="14" customWidth="1"/>
    <col min="12550" max="12550" width="12.28515625" style="14" customWidth="1"/>
    <col min="12551" max="12551" width="8.85546875" style="14" customWidth="1"/>
    <col min="12552" max="12552" width="10.85546875" style="14" customWidth="1"/>
    <col min="12553" max="12553" width="2.85546875" style="14" customWidth="1"/>
    <col min="12554" max="12554" width="12.140625" style="14" customWidth="1"/>
    <col min="12555" max="12555" width="10.140625" style="14" customWidth="1"/>
    <col min="12556" max="12556" width="11.7109375" style="14" customWidth="1"/>
    <col min="12557" max="12557" width="11.42578125" style="14" customWidth="1"/>
    <col min="12558" max="12558" width="12.7109375" style="14" customWidth="1"/>
    <col min="12559" max="12559" width="11.42578125" style="14" customWidth="1"/>
    <col min="12560" max="12560" width="10.7109375" style="14" customWidth="1"/>
    <col min="12561" max="12561" width="10.5703125" style="14" customWidth="1"/>
    <col min="12562" max="12562" width="11.28515625" style="14" customWidth="1"/>
    <col min="12563" max="12563" width="9.7109375" style="14" customWidth="1"/>
    <col min="12564" max="12564" width="12" style="14" customWidth="1"/>
    <col min="12565" max="12565" width="11.28515625" style="14" customWidth="1"/>
    <col min="12566" max="12803" width="9.140625" style="14"/>
    <col min="12804" max="12804" width="5.7109375" style="14" customWidth="1"/>
    <col min="12805" max="12805" width="13.140625" style="14" customWidth="1"/>
    <col min="12806" max="12806" width="12.28515625" style="14" customWidth="1"/>
    <col min="12807" max="12807" width="8.85546875" style="14" customWidth="1"/>
    <col min="12808" max="12808" width="10.85546875" style="14" customWidth="1"/>
    <col min="12809" max="12809" width="2.85546875" style="14" customWidth="1"/>
    <col min="12810" max="12810" width="12.140625" style="14" customWidth="1"/>
    <col min="12811" max="12811" width="10.140625" style="14" customWidth="1"/>
    <col min="12812" max="12812" width="11.7109375" style="14" customWidth="1"/>
    <col min="12813" max="12813" width="11.42578125" style="14" customWidth="1"/>
    <col min="12814" max="12814" width="12.7109375" style="14" customWidth="1"/>
    <col min="12815" max="12815" width="11.42578125" style="14" customWidth="1"/>
    <col min="12816" max="12816" width="10.7109375" style="14" customWidth="1"/>
    <col min="12817" max="12817" width="10.5703125" style="14" customWidth="1"/>
    <col min="12818" max="12818" width="11.28515625" style="14" customWidth="1"/>
    <col min="12819" max="12819" width="9.7109375" style="14" customWidth="1"/>
    <col min="12820" max="12820" width="12" style="14" customWidth="1"/>
    <col min="12821" max="12821" width="11.28515625" style="14" customWidth="1"/>
    <col min="12822" max="13059" width="9.140625" style="14"/>
    <col min="13060" max="13060" width="5.7109375" style="14" customWidth="1"/>
    <col min="13061" max="13061" width="13.140625" style="14" customWidth="1"/>
    <col min="13062" max="13062" width="12.28515625" style="14" customWidth="1"/>
    <col min="13063" max="13063" width="8.85546875" style="14" customWidth="1"/>
    <col min="13064" max="13064" width="10.85546875" style="14" customWidth="1"/>
    <col min="13065" max="13065" width="2.85546875" style="14" customWidth="1"/>
    <col min="13066" max="13066" width="12.140625" style="14" customWidth="1"/>
    <col min="13067" max="13067" width="10.140625" style="14" customWidth="1"/>
    <col min="13068" max="13068" width="11.7109375" style="14" customWidth="1"/>
    <col min="13069" max="13069" width="11.42578125" style="14" customWidth="1"/>
    <col min="13070" max="13070" width="12.7109375" style="14" customWidth="1"/>
    <col min="13071" max="13071" width="11.42578125" style="14" customWidth="1"/>
    <col min="13072" max="13072" width="10.7109375" style="14" customWidth="1"/>
    <col min="13073" max="13073" width="10.5703125" style="14" customWidth="1"/>
    <col min="13074" max="13074" width="11.28515625" style="14" customWidth="1"/>
    <col min="13075" max="13075" width="9.7109375" style="14" customWidth="1"/>
    <col min="13076" max="13076" width="12" style="14" customWidth="1"/>
    <col min="13077" max="13077" width="11.28515625" style="14" customWidth="1"/>
    <col min="13078" max="13315" width="9.140625" style="14"/>
    <col min="13316" max="13316" width="5.7109375" style="14" customWidth="1"/>
    <col min="13317" max="13317" width="13.140625" style="14" customWidth="1"/>
    <col min="13318" max="13318" width="12.28515625" style="14" customWidth="1"/>
    <col min="13319" max="13319" width="8.85546875" style="14" customWidth="1"/>
    <col min="13320" max="13320" width="10.85546875" style="14" customWidth="1"/>
    <col min="13321" max="13321" width="2.85546875" style="14" customWidth="1"/>
    <col min="13322" max="13322" width="12.140625" style="14" customWidth="1"/>
    <col min="13323" max="13323" width="10.140625" style="14" customWidth="1"/>
    <col min="13324" max="13324" width="11.7109375" style="14" customWidth="1"/>
    <col min="13325" max="13325" width="11.42578125" style="14" customWidth="1"/>
    <col min="13326" max="13326" width="12.7109375" style="14" customWidth="1"/>
    <col min="13327" max="13327" width="11.42578125" style="14" customWidth="1"/>
    <col min="13328" max="13328" width="10.7109375" style="14" customWidth="1"/>
    <col min="13329" max="13329" width="10.5703125" style="14" customWidth="1"/>
    <col min="13330" max="13330" width="11.28515625" style="14" customWidth="1"/>
    <col min="13331" max="13331" width="9.7109375" style="14" customWidth="1"/>
    <col min="13332" max="13332" width="12" style="14" customWidth="1"/>
    <col min="13333" max="13333" width="11.28515625" style="14" customWidth="1"/>
    <col min="13334" max="13571" width="9.140625" style="14"/>
    <col min="13572" max="13572" width="5.7109375" style="14" customWidth="1"/>
    <col min="13573" max="13573" width="13.140625" style="14" customWidth="1"/>
    <col min="13574" max="13574" width="12.28515625" style="14" customWidth="1"/>
    <col min="13575" max="13575" width="8.85546875" style="14" customWidth="1"/>
    <col min="13576" max="13576" width="10.85546875" style="14" customWidth="1"/>
    <col min="13577" max="13577" width="2.85546875" style="14" customWidth="1"/>
    <col min="13578" max="13578" width="12.140625" style="14" customWidth="1"/>
    <col min="13579" max="13579" width="10.140625" style="14" customWidth="1"/>
    <col min="13580" max="13580" width="11.7109375" style="14" customWidth="1"/>
    <col min="13581" max="13581" width="11.42578125" style="14" customWidth="1"/>
    <col min="13582" max="13582" width="12.7109375" style="14" customWidth="1"/>
    <col min="13583" max="13583" width="11.42578125" style="14" customWidth="1"/>
    <col min="13584" max="13584" width="10.7109375" style="14" customWidth="1"/>
    <col min="13585" max="13585" width="10.5703125" style="14" customWidth="1"/>
    <col min="13586" max="13586" width="11.28515625" style="14" customWidth="1"/>
    <col min="13587" max="13587" width="9.7109375" style="14" customWidth="1"/>
    <col min="13588" max="13588" width="12" style="14" customWidth="1"/>
    <col min="13589" max="13589" width="11.28515625" style="14" customWidth="1"/>
    <col min="13590" max="13827" width="9.140625" style="14"/>
    <col min="13828" max="13828" width="5.7109375" style="14" customWidth="1"/>
    <col min="13829" max="13829" width="13.140625" style="14" customWidth="1"/>
    <col min="13830" max="13830" width="12.28515625" style="14" customWidth="1"/>
    <col min="13831" max="13831" width="8.85546875" style="14" customWidth="1"/>
    <col min="13832" max="13832" width="10.85546875" style="14" customWidth="1"/>
    <col min="13833" max="13833" width="2.85546875" style="14" customWidth="1"/>
    <col min="13834" max="13834" width="12.140625" style="14" customWidth="1"/>
    <col min="13835" max="13835" width="10.140625" style="14" customWidth="1"/>
    <col min="13836" max="13836" width="11.7109375" style="14" customWidth="1"/>
    <col min="13837" max="13837" width="11.42578125" style="14" customWidth="1"/>
    <col min="13838" max="13838" width="12.7109375" style="14" customWidth="1"/>
    <col min="13839" max="13839" width="11.42578125" style="14" customWidth="1"/>
    <col min="13840" max="13840" width="10.7109375" style="14" customWidth="1"/>
    <col min="13841" max="13841" width="10.5703125" style="14" customWidth="1"/>
    <col min="13842" max="13842" width="11.28515625" style="14" customWidth="1"/>
    <col min="13843" max="13843" width="9.7109375" style="14" customWidth="1"/>
    <col min="13844" max="13844" width="12" style="14" customWidth="1"/>
    <col min="13845" max="13845" width="11.28515625" style="14" customWidth="1"/>
    <col min="13846" max="14083" width="9.140625" style="14"/>
    <col min="14084" max="14084" width="5.7109375" style="14" customWidth="1"/>
    <col min="14085" max="14085" width="13.140625" style="14" customWidth="1"/>
    <col min="14086" max="14086" width="12.28515625" style="14" customWidth="1"/>
    <col min="14087" max="14087" width="8.85546875" style="14" customWidth="1"/>
    <col min="14088" max="14088" width="10.85546875" style="14" customWidth="1"/>
    <col min="14089" max="14089" width="2.85546875" style="14" customWidth="1"/>
    <col min="14090" max="14090" width="12.140625" style="14" customWidth="1"/>
    <col min="14091" max="14091" width="10.140625" style="14" customWidth="1"/>
    <col min="14092" max="14092" width="11.7109375" style="14" customWidth="1"/>
    <col min="14093" max="14093" width="11.42578125" style="14" customWidth="1"/>
    <col min="14094" max="14094" width="12.7109375" style="14" customWidth="1"/>
    <col min="14095" max="14095" width="11.42578125" style="14" customWidth="1"/>
    <col min="14096" max="14096" width="10.7109375" style="14" customWidth="1"/>
    <col min="14097" max="14097" width="10.5703125" style="14" customWidth="1"/>
    <col min="14098" max="14098" width="11.28515625" style="14" customWidth="1"/>
    <col min="14099" max="14099" width="9.7109375" style="14" customWidth="1"/>
    <col min="14100" max="14100" width="12" style="14" customWidth="1"/>
    <col min="14101" max="14101" width="11.28515625" style="14" customWidth="1"/>
    <col min="14102" max="14339" width="9.140625" style="14"/>
    <col min="14340" max="14340" width="5.7109375" style="14" customWidth="1"/>
    <col min="14341" max="14341" width="13.140625" style="14" customWidth="1"/>
    <col min="14342" max="14342" width="12.28515625" style="14" customWidth="1"/>
    <col min="14343" max="14343" width="8.85546875" style="14" customWidth="1"/>
    <col min="14344" max="14344" width="10.85546875" style="14" customWidth="1"/>
    <col min="14345" max="14345" width="2.85546875" style="14" customWidth="1"/>
    <col min="14346" max="14346" width="12.140625" style="14" customWidth="1"/>
    <col min="14347" max="14347" width="10.140625" style="14" customWidth="1"/>
    <col min="14348" max="14348" width="11.7109375" style="14" customWidth="1"/>
    <col min="14349" max="14349" width="11.42578125" style="14" customWidth="1"/>
    <col min="14350" max="14350" width="12.7109375" style="14" customWidth="1"/>
    <col min="14351" max="14351" width="11.42578125" style="14" customWidth="1"/>
    <col min="14352" max="14352" width="10.7109375" style="14" customWidth="1"/>
    <col min="14353" max="14353" width="10.5703125" style="14" customWidth="1"/>
    <col min="14354" max="14354" width="11.28515625" style="14" customWidth="1"/>
    <col min="14355" max="14355" width="9.7109375" style="14" customWidth="1"/>
    <col min="14356" max="14356" width="12" style="14" customWidth="1"/>
    <col min="14357" max="14357" width="11.28515625" style="14" customWidth="1"/>
    <col min="14358" max="14595" width="9.140625" style="14"/>
    <col min="14596" max="14596" width="5.7109375" style="14" customWidth="1"/>
    <col min="14597" max="14597" width="13.140625" style="14" customWidth="1"/>
    <col min="14598" max="14598" width="12.28515625" style="14" customWidth="1"/>
    <col min="14599" max="14599" width="8.85546875" style="14" customWidth="1"/>
    <col min="14600" max="14600" width="10.85546875" style="14" customWidth="1"/>
    <col min="14601" max="14601" width="2.85546875" style="14" customWidth="1"/>
    <col min="14602" max="14602" width="12.140625" style="14" customWidth="1"/>
    <col min="14603" max="14603" width="10.140625" style="14" customWidth="1"/>
    <col min="14604" max="14604" width="11.7109375" style="14" customWidth="1"/>
    <col min="14605" max="14605" width="11.42578125" style="14" customWidth="1"/>
    <col min="14606" max="14606" width="12.7109375" style="14" customWidth="1"/>
    <col min="14607" max="14607" width="11.42578125" style="14" customWidth="1"/>
    <col min="14608" max="14608" width="10.7109375" style="14" customWidth="1"/>
    <col min="14609" max="14609" width="10.5703125" style="14" customWidth="1"/>
    <col min="14610" max="14610" width="11.28515625" style="14" customWidth="1"/>
    <col min="14611" max="14611" width="9.7109375" style="14" customWidth="1"/>
    <col min="14612" max="14612" width="12" style="14" customWidth="1"/>
    <col min="14613" max="14613" width="11.28515625" style="14" customWidth="1"/>
    <col min="14614" max="14851" width="9.140625" style="14"/>
    <col min="14852" max="14852" width="5.7109375" style="14" customWidth="1"/>
    <col min="14853" max="14853" width="13.140625" style="14" customWidth="1"/>
    <col min="14854" max="14854" width="12.28515625" style="14" customWidth="1"/>
    <col min="14855" max="14855" width="8.85546875" style="14" customWidth="1"/>
    <col min="14856" max="14856" width="10.85546875" style="14" customWidth="1"/>
    <col min="14857" max="14857" width="2.85546875" style="14" customWidth="1"/>
    <col min="14858" max="14858" width="12.140625" style="14" customWidth="1"/>
    <col min="14859" max="14859" width="10.140625" style="14" customWidth="1"/>
    <col min="14860" max="14860" width="11.7109375" style="14" customWidth="1"/>
    <col min="14861" max="14861" width="11.42578125" style="14" customWidth="1"/>
    <col min="14862" max="14862" width="12.7109375" style="14" customWidth="1"/>
    <col min="14863" max="14863" width="11.42578125" style="14" customWidth="1"/>
    <col min="14864" max="14864" width="10.7109375" style="14" customWidth="1"/>
    <col min="14865" max="14865" width="10.5703125" style="14" customWidth="1"/>
    <col min="14866" max="14866" width="11.28515625" style="14" customWidth="1"/>
    <col min="14867" max="14867" width="9.7109375" style="14" customWidth="1"/>
    <col min="14868" max="14868" width="12" style="14" customWidth="1"/>
    <col min="14869" max="14869" width="11.28515625" style="14" customWidth="1"/>
    <col min="14870" max="15107" width="9.140625" style="14"/>
    <col min="15108" max="15108" width="5.7109375" style="14" customWidth="1"/>
    <col min="15109" max="15109" width="13.140625" style="14" customWidth="1"/>
    <col min="15110" max="15110" width="12.28515625" style="14" customWidth="1"/>
    <col min="15111" max="15111" width="8.85546875" style="14" customWidth="1"/>
    <col min="15112" max="15112" width="10.85546875" style="14" customWidth="1"/>
    <col min="15113" max="15113" width="2.85546875" style="14" customWidth="1"/>
    <col min="15114" max="15114" width="12.140625" style="14" customWidth="1"/>
    <col min="15115" max="15115" width="10.140625" style="14" customWidth="1"/>
    <col min="15116" max="15116" width="11.7109375" style="14" customWidth="1"/>
    <col min="15117" max="15117" width="11.42578125" style="14" customWidth="1"/>
    <col min="15118" max="15118" width="12.7109375" style="14" customWidth="1"/>
    <col min="15119" max="15119" width="11.42578125" style="14" customWidth="1"/>
    <col min="15120" max="15120" width="10.7109375" style="14" customWidth="1"/>
    <col min="15121" max="15121" width="10.5703125" style="14" customWidth="1"/>
    <col min="15122" max="15122" width="11.28515625" style="14" customWidth="1"/>
    <col min="15123" max="15123" width="9.7109375" style="14" customWidth="1"/>
    <col min="15124" max="15124" width="12" style="14" customWidth="1"/>
    <col min="15125" max="15125" width="11.28515625" style="14" customWidth="1"/>
    <col min="15126" max="15363" width="9.140625" style="14"/>
    <col min="15364" max="15364" width="5.7109375" style="14" customWidth="1"/>
    <col min="15365" max="15365" width="13.140625" style="14" customWidth="1"/>
    <col min="15366" max="15366" width="12.28515625" style="14" customWidth="1"/>
    <col min="15367" max="15367" width="8.85546875" style="14" customWidth="1"/>
    <col min="15368" max="15368" width="10.85546875" style="14" customWidth="1"/>
    <col min="15369" max="15369" width="2.85546875" style="14" customWidth="1"/>
    <col min="15370" max="15370" width="12.140625" style="14" customWidth="1"/>
    <col min="15371" max="15371" width="10.140625" style="14" customWidth="1"/>
    <col min="15372" max="15372" width="11.7109375" style="14" customWidth="1"/>
    <col min="15373" max="15373" width="11.42578125" style="14" customWidth="1"/>
    <col min="15374" max="15374" width="12.7109375" style="14" customWidth="1"/>
    <col min="15375" max="15375" width="11.42578125" style="14" customWidth="1"/>
    <col min="15376" max="15376" width="10.7109375" style="14" customWidth="1"/>
    <col min="15377" max="15377" width="10.5703125" style="14" customWidth="1"/>
    <col min="15378" max="15378" width="11.28515625" style="14" customWidth="1"/>
    <col min="15379" max="15379" width="9.7109375" style="14" customWidth="1"/>
    <col min="15380" max="15380" width="12" style="14" customWidth="1"/>
    <col min="15381" max="15381" width="11.28515625" style="14" customWidth="1"/>
    <col min="15382" max="15619" width="9.140625" style="14"/>
    <col min="15620" max="15620" width="5.7109375" style="14" customWidth="1"/>
    <col min="15621" max="15621" width="13.140625" style="14" customWidth="1"/>
    <col min="15622" max="15622" width="12.28515625" style="14" customWidth="1"/>
    <col min="15623" max="15623" width="8.85546875" style="14" customWidth="1"/>
    <col min="15624" max="15624" width="10.85546875" style="14" customWidth="1"/>
    <col min="15625" max="15625" width="2.85546875" style="14" customWidth="1"/>
    <col min="15626" max="15626" width="12.140625" style="14" customWidth="1"/>
    <col min="15627" max="15627" width="10.140625" style="14" customWidth="1"/>
    <col min="15628" max="15628" width="11.7109375" style="14" customWidth="1"/>
    <col min="15629" max="15629" width="11.42578125" style="14" customWidth="1"/>
    <col min="15630" max="15630" width="12.7109375" style="14" customWidth="1"/>
    <col min="15631" max="15631" width="11.42578125" style="14" customWidth="1"/>
    <col min="15632" max="15632" width="10.7109375" style="14" customWidth="1"/>
    <col min="15633" max="15633" width="10.5703125" style="14" customWidth="1"/>
    <col min="15634" max="15634" width="11.28515625" style="14" customWidth="1"/>
    <col min="15635" max="15635" width="9.7109375" style="14" customWidth="1"/>
    <col min="15636" max="15636" width="12" style="14" customWidth="1"/>
    <col min="15637" max="15637" width="11.28515625" style="14" customWidth="1"/>
    <col min="15638" max="15875" width="9.140625" style="14"/>
    <col min="15876" max="15876" width="5.7109375" style="14" customWidth="1"/>
    <col min="15877" max="15877" width="13.140625" style="14" customWidth="1"/>
    <col min="15878" max="15878" width="12.28515625" style="14" customWidth="1"/>
    <col min="15879" max="15879" width="8.85546875" style="14" customWidth="1"/>
    <col min="15880" max="15880" width="10.85546875" style="14" customWidth="1"/>
    <col min="15881" max="15881" width="2.85546875" style="14" customWidth="1"/>
    <col min="15882" max="15882" width="12.140625" style="14" customWidth="1"/>
    <col min="15883" max="15883" width="10.140625" style="14" customWidth="1"/>
    <col min="15884" max="15884" width="11.7109375" style="14" customWidth="1"/>
    <col min="15885" max="15885" width="11.42578125" style="14" customWidth="1"/>
    <col min="15886" max="15886" width="12.7109375" style="14" customWidth="1"/>
    <col min="15887" max="15887" width="11.42578125" style="14" customWidth="1"/>
    <col min="15888" max="15888" width="10.7109375" style="14" customWidth="1"/>
    <col min="15889" max="15889" width="10.5703125" style="14" customWidth="1"/>
    <col min="15890" max="15890" width="11.28515625" style="14" customWidth="1"/>
    <col min="15891" max="15891" width="9.7109375" style="14" customWidth="1"/>
    <col min="15892" max="15892" width="12" style="14" customWidth="1"/>
    <col min="15893" max="15893" width="11.28515625" style="14" customWidth="1"/>
    <col min="15894" max="16131" width="9.140625" style="14"/>
    <col min="16132" max="16132" width="5.7109375" style="14" customWidth="1"/>
    <col min="16133" max="16133" width="13.140625" style="14" customWidth="1"/>
    <col min="16134" max="16134" width="12.28515625" style="14" customWidth="1"/>
    <col min="16135" max="16135" width="8.85546875" style="14" customWidth="1"/>
    <col min="16136" max="16136" width="10.85546875" style="14" customWidth="1"/>
    <col min="16137" max="16137" width="2.85546875" style="14" customWidth="1"/>
    <col min="16138" max="16138" width="12.140625" style="14" customWidth="1"/>
    <col min="16139" max="16139" width="10.140625" style="14" customWidth="1"/>
    <col min="16140" max="16140" width="11.7109375" style="14" customWidth="1"/>
    <col min="16141" max="16141" width="11.42578125" style="14" customWidth="1"/>
    <col min="16142" max="16142" width="12.7109375" style="14" customWidth="1"/>
    <col min="16143" max="16143" width="11.42578125" style="14" customWidth="1"/>
    <col min="16144" max="16144" width="10.7109375" style="14" customWidth="1"/>
    <col min="16145" max="16145" width="10.5703125" style="14" customWidth="1"/>
    <col min="16146" max="16146" width="11.28515625" style="14" customWidth="1"/>
    <col min="16147" max="16147" width="9.7109375" style="14" customWidth="1"/>
    <col min="16148" max="16148" width="12" style="14" customWidth="1"/>
    <col min="16149" max="16149" width="11.28515625" style="14" customWidth="1"/>
    <col min="16150" max="16384" width="9.140625" style="14"/>
  </cols>
  <sheetData>
    <row r="1" spans="4:19" ht="12.75" thickBot="1" x14ac:dyDescent="0.25"/>
    <row r="2" spans="4:19" ht="12" customHeight="1" thickBot="1" x14ac:dyDescent="0.25">
      <c r="Q2" s="633" t="s">
        <v>0</v>
      </c>
      <c r="R2" s="634"/>
      <c r="S2" s="635"/>
    </row>
    <row r="3" spans="4:19" ht="13.5" thickBot="1" x14ac:dyDescent="0.25">
      <c r="I3" s="636" t="s">
        <v>1</v>
      </c>
      <c r="J3" s="637"/>
      <c r="K3" s="637"/>
      <c r="L3" s="637"/>
      <c r="M3" s="637"/>
      <c r="N3" s="637"/>
      <c r="O3" s="638"/>
      <c r="Q3" s="611">
        <f>+'AGUILAR RODRIGUEZ JORGE ALONSO'!Q3</f>
        <v>45</v>
      </c>
      <c r="R3" s="639"/>
      <c r="S3" s="612"/>
    </row>
    <row r="4" spans="4:19" ht="13.5" thickBot="1" x14ac:dyDescent="0.25">
      <c r="I4" s="640" t="s">
        <v>2</v>
      </c>
      <c r="J4" s="641"/>
      <c r="K4" s="641"/>
      <c r="L4" s="641"/>
      <c r="M4" s="641"/>
      <c r="N4" s="641"/>
      <c r="O4" s="642"/>
      <c r="Q4" s="18"/>
      <c r="R4" s="18"/>
      <c r="S4" s="18"/>
    </row>
    <row r="5" spans="4:19" ht="13.5" thickBot="1" x14ac:dyDescent="0.25">
      <c r="I5" s="643" t="s">
        <v>3</v>
      </c>
      <c r="J5" s="644"/>
      <c r="K5" s="644"/>
      <c r="L5" s="644"/>
      <c r="M5" s="644"/>
      <c r="N5" s="644"/>
      <c r="O5" s="645"/>
      <c r="Q5" s="611" t="s">
        <v>4</v>
      </c>
      <c r="R5" s="639"/>
      <c r="S5" s="612"/>
    </row>
    <row r="6" spans="4:19" ht="13.5" thickBot="1" x14ac:dyDescent="0.25">
      <c r="I6" s="650" t="s">
        <v>5</v>
      </c>
      <c r="J6" s="651"/>
      <c r="K6" s="651"/>
      <c r="L6" s="651"/>
      <c r="M6" s="651"/>
      <c r="N6" s="651"/>
      <c r="O6" s="652"/>
      <c r="Q6" s="653">
        <f>+'AGUILAR RODRIGUEZ JORGE ALONSO'!Q6+1</f>
        <v>102</v>
      </c>
      <c r="R6" s="654"/>
      <c r="S6" s="655"/>
    </row>
    <row r="7" spans="4:19" ht="9" customHeight="1" x14ac:dyDescent="0.2"/>
    <row r="8" spans="4:19" ht="6.75" customHeight="1" thickBot="1" x14ac:dyDescent="0.25"/>
    <row r="9" spans="4:19" ht="13.5" thickBot="1" x14ac:dyDescent="0.25">
      <c r="I9" s="611" t="s">
        <v>6</v>
      </c>
      <c r="J9" s="639"/>
      <c r="K9" s="639"/>
      <c r="L9" s="639"/>
      <c r="M9" s="639"/>
      <c r="N9" s="639"/>
      <c r="O9" s="612"/>
    </row>
    <row r="10" spans="4:19" ht="11.25" customHeight="1" thickBot="1" x14ac:dyDescent="0.25"/>
    <row r="11" spans="4:19" ht="12.75" x14ac:dyDescent="0.2">
      <c r="D11" s="1" t="s">
        <v>7</v>
      </c>
      <c r="E11" s="2" t="s">
        <v>278</v>
      </c>
      <c r="F11" s="2"/>
      <c r="G11" s="2"/>
      <c r="H11" s="2"/>
      <c r="I11" s="2"/>
      <c r="J11" s="2"/>
      <c r="K11" s="3" t="s">
        <v>8</v>
      </c>
      <c r="L11" s="656" t="str">
        <f>+NOMINA!B3</f>
        <v>SEMANA #45 PERIODO DEL 27 de oct AL 02 de nov DEL 2025</v>
      </c>
      <c r="M11" s="656"/>
      <c r="N11" s="656"/>
      <c r="O11" s="656"/>
      <c r="P11" s="656"/>
      <c r="Q11" s="656"/>
      <c r="R11" s="656"/>
      <c r="S11" s="659"/>
    </row>
    <row r="12" spans="4:19" ht="12.75" x14ac:dyDescent="0.2">
      <c r="D12" s="4" t="s">
        <v>9</v>
      </c>
      <c r="E12" s="624" t="s">
        <v>123</v>
      </c>
      <c r="F12" s="624"/>
      <c r="G12" s="5"/>
      <c r="H12" s="130"/>
      <c r="I12" s="130"/>
      <c r="J12" s="130"/>
      <c r="K12" s="130"/>
      <c r="L12" s="130"/>
      <c r="M12" s="130"/>
      <c r="N12" s="130"/>
      <c r="O12" s="130"/>
      <c r="P12" s="130"/>
      <c r="Q12" s="130"/>
      <c r="R12" s="130"/>
      <c r="S12" s="256"/>
    </row>
    <row r="13" spans="4:19" ht="9.75" customHeight="1" x14ac:dyDescent="0.2">
      <c r="D13" s="623"/>
      <c r="E13" s="624"/>
      <c r="F13" s="130"/>
      <c r="G13" s="130"/>
      <c r="H13" s="130"/>
      <c r="I13" s="130"/>
      <c r="J13" s="130"/>
      <c r="K13" s="130"/>
      <c r="L13" s="130"/>
      <c r="M13" s="130"/>
      <c r="N13" s="130"/>
      <c r="O13" s="130"/>
      <c r="P13" s="130"/>
      <c r="Q13" s="130"/>
      <c r="R13" s="130"/>
      <c r="S13" s="256"/>
    </row>
    <row r="14" spans="4:19" ht="12.75" x14ac:dyDescent="0.2">
      <c r="D14" s="625" t="s">
        <v>10</v>
      </c>
      <c r="E14" s="626"/>
      <c r="F14" s="130">
        <v>195494</v>
      </c>
      <c r="G14" s="130"/>
      <c r="H14" s="130"/>
      <c r="I14" s="6" t="s">
        <v>11</v>
      </c>
      <c r="J14" s="6"/>
      <c r="K14" s="130"/>
      <c r="L14" s="130"/>
      <c r="M14" s="130"/>
      <c r="N14" s="130"/>
      <c r="O14" s="6" t="s">
        <v>12</v>
      </c>
      <c r="P14" s="7"/>
      <c r="Q14" s="7"/>
      <c r="R14" s="7"/>
      <c r="S14" s="8"/>
    </row>
    <row r="15" spans="4:19" ht="12.75" x14ac:dyDescent="0.2">
      <c r="D15" s="625" t="s">
        <v>13</v>
      </c>
      <c r="E15" s="626"/>
      <c r="F15" s="130">
        <v>196225</v>
      </c>
      <c r="G15" s="130"/>
      <c r="H15" s="130"/>
      <c r="I15" s="6" t="s">
        <v>14</v>
      </c>
      <c r="J15" s="6"/>
      <c r="K15" s="130"/>
      <c r="L15" s="130"/>
      <c r="M15" s="130"/>
      <c r="N15" s="130"/>
      <c r="O15" s="6" t="s">
        <v>15</v>
      </c>
      <c r="P15" s="130"/>
      <c r="Q15" s="130"/>
      <c r="R15" s="130"/>
      <c r="S15" s="256"/>
    </row>
    <row r="16" spans="4:19" ht="13.5" thickBot="1" x14ac:dyDescent="0.25">
      <c r="D16" s="627" t="s">
        <v>16</v>
      </c>
      <c r="E16" s="628"/>
      <c r="F16" s="257">
        <f>SUM(J19:J32)</f>
        <v>3050</v>
      </c>
      <c r="G16" s="257"/>
      <c r="H16" s="257"/>
      <c r="I16" s="9" t="s">
        <v>17</v>
      </c>
      <c r="J16" s="257">
        <f>SUM(K19:K32)</f>
        <v>901.05</v>
      </c>
      <c r="K16" s="257"/>
      <c r="L16" s="257"/>
      <c r="M16" s="257"/>
      <c r="N16" s="257"/>
      <c r="O16" s="9" t="s">
        <v>18</v>
      </c>
      <c r="P16" s="10">
        <f>+F16/J16</f>
        <v>3.3849397924643472</v>
      </c>
      <c r="Q16" s="257"/>
      <c r="R16" s="257"/>
      <c r="S16" s="258"/>
    </row>
    <row r="17" spans="3:22" ht="7.5" customHeight="1" thickBot="1" x14ac:dyDescent="0.25"/>
    <row r="18" spans="3:22" ht="33" customHeight="1" thickBot="1" x14ac:dyDescent="0.25">
      <c r="C18" s="243" t="s">
        <v>19</v>
      </c>
      <c r="D18" s="33" t="s">
        <v>20</v>
      </c>
      <c r="E18" s="34" t="s">
        <v>21</v>
      </c>
      <c r="F18" s="34" t="s">
        <v>22</v>
      </c>
      <c r="G18" s="34" t="s">
        <v>23</v>
      </c>
      <c r="H18" s="34" t="s">
        <v>24</v>
      </c>
      <c r="I18" s="34" t="s">
        <v>25</v>
      </c>
      <c r="J18" s="34" t="s">
        <v>26</v>
      </c>
      <c r="K18" s="34" t="s">
        <v>27</v>
      </c>
      <c r="L18" s="34" t="s">
        <v>28</v>
      </c>
      <c r="M18" s="34" t="s">
        <v>285</v>
      </c>
      <c r="N18" s="34" t="s">
        <v>29</v>
      </c>
      <c r="O18" s="34" t="s">
        <v>30</v>
      </c>
      <c r="P18" s="33" t="s">
        <v>31</v>
      </c>
      <c r="Q18" s="34" t="s">
        <v>219</v>
      </c>
      <c r="R18" s="34" t="s">
        <v>184</v>
      </c>
      <c r="S18" s="34" t="s">
        <v>33</v>
      </c>
      <c r="T18" s="454" t="s">
        <v>220</v>
      </c>
      <c r="U18" s="448" t="s">
        <v>351</v>
      </c>
      <c r="V18" s="305" t="s">
        <v>354</v>
      </c>
    </row>
    <row r="19" spans="3:22" x14ac:dyDescent="0.2">
      <c r="C19" s="176">
        <v>46492</v>
      </c>
      <c r="D19" s="43" t="s">
        <v>609</v>
      </c>
      <c r="E19" s="42">
        <v>45957</v>
      </c>
      <c r="F19" s="42">
        <v>45958</v>
      </c>
      <c r="G19" s="43">
        <v>2</v>
      </c>
      <c r="H19" s="236" t="str">
        <f>IF(G19=1,KILOMETRAJE!C$4,IF(G19=2,KILOMETRAJE!C$5,IF(G19=3,KILOMETRAJE!C$6,IF(G19=4,KILOMETRAJE!C$7,IF(G19=5,KILOMETRAJE!C$8,IF(G19=6,KILOMETRAJE!C$9,IF(G19=7,KILOMETRAJE!C$10,IF(G19=8,KILOMETRAJE!C$11,IF(G19=9,KILOMETRAJE!C$12,IF(G19=10,KILOMETRAJE!C$13,IF(G19=11,KILOMETRAJE!C$14,IF(G19=12,KILOMETRAJE!C$15,IF(G19=13,KILOMETRAJE!C$16,IF(G19=14,KILOMETRAJE!C$17,IF(G19=15,KILOMETRAJE!C$18,IF(G19=16,KILOMETRAJE!C$19,IF(G19=17,KILOMETRAJE!C$20,IF(G19=18,KILOMETRAJE!C$21,IF(G19=19,KILOMETRAJE!C$22,IF(G19=20,KILOMETRAJE!C$23,IF(G19=21,KILOMETRAJE!C$24,IF(G19=22,KILOMETRAJE!C$25,IF(G19=23,KILOMETRAJE!C$26,IF(G19=24,KILOMETRAJE!C$27,IF(G19=25,KILOMETRAJE!C$28,IF(G19=26,KILOMETRAJE!C$29,IF(G19=27,KILOMETRAJE!C$30,IF(G19=28,KILOMETRAJE!C$31,IF(G19=29,KILOMETRAJE!C$32,IF(G19=30,KILOMETRAJE!C$33,IF(G19=31,KILOMETRAJE!C$34,IF(G19=32,KILOMETRAJE!C$35,IF(G19=33,KILOMETRAJE!C$36,IF(G19=34,KILOMETRAJE!C$37,IF(G19=35,KILOMETRAJE!C$38,IF(G19=36,KILOMETRAJE!C$39,IF(G19=37,KILOMETRAJE!C$40,IF(G19=38,KILOMETRAJE!C$41,IF(G19=39,KILOMETRAJE!C$42,IF(G19=40,KILOMETRAJE!C$43,IF(G19=41,KILOMETRAJE!C$44,IF(G19=42,KILOMETRAJE!C$45,IF(G19=43,KILOMETRAJE!C$46,IF(G19=44,KILOMETRAJE!C$47,IF(G19=45,KILOMETRAJE!C$48,IF(G19=46,KILOMETRAJE!C$49,IF(G19=47,KILOMETRAJE!C$50,IF(G19=48,KILOMETRAJE!C$51,IF(G19=49,KILOMETRAJE!C$52,IF(G19=50,KILOMETRAJE!C$53,IF(G19=51,KILOMETRAJE!C$54,IF(G19=52,KILOMETRAJE!C$55,IF(G19=53,KILOMETRAJE!C$56,IF(G19=54,KILOMETRAJE!C$57,IF(G19=55,KILOMETRAJE!C$58,IF(G19=56,KILOMETRAJE!C$59,IF(G19=57,KILOMETRAJE!C$60,IF(G19=58,KILOMETRAJE!C$61,IF(G19=59,KILOMETRAJE!C$62,IF(G19=60,KILOMETRAJE!C$63,IF(G19=61,KILOMETRAJE!C$64,IF(G19=62,KILOMETRAJE!C$65,IF(G19=63,KILOMETRAJE!C$66)))))))))))))))))))))))))))))))))))))))))))))))))))))))))))))))</f>
        <v>JRZ</v>
      </c>
      <c r="I19" s="236" t="str">
        <f>IF(G19=1,KILOMETRAJE!E$4,IF(G19=2,KILOMETRAJE!E$5,IF(G19=3,KILOMETRAJE!E$6,IF(G19=4,KILOMETRAJE!E$7,IF(G19=5,KILOMETRAJE!E$8,IF(G19=6,KILOMETRAJE!E$9,IF(G19=7,KILOMETRAJE!E$10,IF(G19=8,KILOMETRAJE!E$11,IF(G19=9,KILOMETRAJE!E$12,IF(G19=10,KILOMETRAJE!E$13,IF(G19=11,KILOMETRAJE!E$14,IF(G19=12,KILOMETRAJE!E$15,IF(G19=13,KILOMETRAJE!E$16,IF(G19=14,KILOMETRAJE!E$17,IF(G19=15,KILOMETRAJE!E$18,IF(G19=16,KILOMETRAJE!E$19,IF(G19=17,KILOMETRAJE!E$20,IF(G19=18,KILOMETRAJE!E$21,IF(G19=19,KILOMETRAJE!E$22,IF(G19=20,KILOMETRAJE!E$23,IF(G19=21,KILOMETRAJE!E$24,IF(G19=22,KILOMETRAJE!E$25,IF(G19=23,KILOMETRAJE!E$26,IF(G19=24,KILOMETRAJE!E$27,IF(G19=25,KILOMETRAJE!E$28,IF(G19=26,KILOMETRAJE!E$29,IF(G19=27,KILOMETRAJE!E$30,IF(G19=28,KILOMETRAJE!E$31,IF(G19=29,KILOMETRAJE!E$32,IF(G19=30,KILOMETRAJE!E$33,IF(G19=31,KILOMETRAJE!E$34,IF(G19=32,KILOMETRAJE!E$35,IF(G19=33,KILOMETRAJE!E$36,IF(G19=34,KILOMETRAJE!E$37,IF(G19=35,KILOMETRAJE!E$38,IF(G19=36,KILOMETRAJE!E$39,IF(G19=37,KILOMETRAJE!E$40,IF(G19=38,KILOMETRAJE!E$41,IF(G19=39,KILOMETRAJE!E$42,IF(G19=40,KILOMETRAJE!E$43,IF(G19=41,KILOMETRAJE!E$44,IF(G19=42,KILOMETRAJE!E$45,IF(G19=43,KILOMETRAJE!E$46,IF(G19=44,KILOMETRAJE!E$47,IF(G19=45,KILOMETRAJE!E$48,IF(G19=46,KILOMETRAJE!E$49,IF(G19=47,KILOMETRAJE!E$50,IF(G19=48,KILOMETRAJE!E$51,IF(G19=49,KILOMETRAJE!E$52,IF(G19=50,KILOMETRAJE!E$53,IF(G19=51,KILOMETRAJE!E$54,IF(G19=52,KILOMETRAJE!E$55,IF(G19=53,KILOMETRAJE!E$56,IF(G19=54,KILOMETRAJE!E$57,IF(G19=55,KILOMETRAJE!E$58,IF(G19=56,KILOMETRAJE!E$59,IF(G19=57,KILOMETRAJE!E$60,IF(G19=58,KILOMETRAJE!E$61,IF(G19=59,KILOMETRAJE!E$62,IF(G19=60,KILOMETRAJE!E$63,IF(G19=61,KILOMETRAJE!E$64,IF(G19=62,KILOMETRAJE!E$65,IF(G19=63,KILOMETRAJE!E$66)))))))))))))))))))))))))))))))))))))))))))))))))))))))))))))))</f>
        <v>CHIH.</v>
      </c>
      <c r="J19" s="237">
        <f>IF(G19=1,KILOMETRAJE!G$4,IF(G19=2,KILOMETRAJE!G$5,IF(G19=3,KILOMETRAJE!G$6,IF(G19=4,KILOMETRAJE!G$7,IF(G19=5,KILOMETRAJE!G$8,IF(G19=6,KILOMETRAJE!G$9,IF(G19=7,KILOMETRAJE!G$10,IF(G19=8,KILOMETRAJE!G$11,IF(G19=9,KILOMETRAJE!G$12,IF(G19=10,KILOMETRAJE!G$13,IF(G19=11,KILOMETRAJE!G$14,IF(G19=12,KILOMETRAJE!G$15,IF(G19=13,KILOMETRAJE!G$16,IF(G19=14,KILOMETRAJE!G$17,IF(G19=15,KILOMETRAJE!G$18,IF(G19=16,KILOMETRAJE!G$19,IF(G19=17,KILOMETRAJE!G$20,IF(G19=18,KILOMETRAJE!G$21,IF(G19=19,KILOMETRAJE!G$22,IF(G19=20,KILOMETRAJE!G$23,IF(G19=21,KILOMETRAJE!G$24,IF(G19=22,KILOMETRAJE!G$25,IF(G19=23,KILOMETRAJE!G$26,IF(G19=24,KILOMETRAJE!G$27,IF(G19=25,KILOMETRAJE!G$28,IF(G19=26,KILOMETRAJE!G$29,IF(G19=27,KILOMETRAJE!G$30,IF(G19=28,KILOMETRAJE!G$31,IF(G19=29,KILOMETRAJE!G$32,IF(G19=30,KILOMETRAJE!G$33,IF(G19=31,KILOMETRAJE!G$34,IF(G19=32,KILOMETRAJE!G$35,IF(G19=33,KILOMETRAJE!G$36,IF(G19=34,KILOMETRAJE!G$37,IF(G19=35,KILOMETRAJE!G$38,IF(G19=36,KILOMETRAJE!G$39,IF(G19=37,KILOMETRAJE!G$40,IF(G19=38,KILOMETRAJE!G$41,IF(G19=39,KILOMETRAJE!G$42,IF(G19=40,KILOMETRAJE!G$43,IF(G19=41,KILOMETRAJE!G$44,IF(G19=42,KILOMETRAJE!G$45,IF(G19=43,KILOMETRAJE!G$46,IF(G19=44,KILOMETRAJE!G$47,IF(G19=45,KILOMETRAJE!G$48,IF(G19=46,KILOMETRAJE!G$49,IF(G19=47,KILOMETRAJE!G$50,IF(G19=48,KILOMETRAJE!G$51,IF(G19=49,KILOMETRAJE!G$52,IF(G19=50,KILOMETRAJE!G$53,IF(G19=51,KILOMETRAJE!G$54,IF(G19=52,KILOMETRAJE!G$55,IF(G19=53,KILOMETRAJE!G$56,IF(G19=54,KILOMETRAJE!G$57,IF(G19=55,KILOMETRAJE!G$58,IF(G19=56,KILOMETRAJE!G$59,IF(G19=57,KILOMETRAJE!G$60,IF(G19=58,KILOMETRAJE!G$61,IF(G19=59,KILOMETRAJE!G$62,IF(G19=60,KILOMETRAJE!G$63,IF(G19=61,KILOMETRAJE!G$64,IF(G19=62,KILOMETRAJE!G$65,IF(G19=63,KILOMETRAJE!G$66)))))))))))))))))))))))))))))))))))))))))))))))))))))))))))))))</f>
        <v>375</v>
      </c>
      <c r="K19" s="348"/>
      <c r="L19" s="44"/>
      <c r="M19" s="348">
        <v>6365</v>
      </c>
      <c r="N19" s="24">
        <v>1</v>
      </c>
      <c r="O19" s="24" t="s">
        <v>596</v>
      </c>
      <c r="P19" s="24" t="s">
        <v>247</v>
      </c>
      <c r="Q19" s="45">
        <f t="shared" ref="Q19:Q20" si="0">((((IF(N19=1,((J19)*0.29333)))+(IF(N19=2,((J19)*0.146666)))+(IF(N19=3,((J19)*0.146666)))))+(IF(N19=4,((J19-40)*0.29333)))+(IF(N19=5,((J19-50)*0.29333)))+(IF(N19=6,((J19-90)*0.29333))))</f>
        <v>109.99874999999999</v>
      </c>
      <c r="R19" s="191"/>
      <c r="S19" s="52"/>
      <c r="T19" s="455"/>
      <c r="U19" s="24"/>
      <c r="V19" s="79"/>
    </row>
    <row r="20" spans="3:22" ht="12" customHeight="1" thickBot="1" x14ac:dyDescent="0.25">
      <c r="C20" s="101"/>
      <c r="D20" s="62" t="s">
        <v>610</v>
      </c>
      <c r="E20" s="25">
        <v>45958</v>
      </c>
      <c r="F20" s="25">
        <v>45958</v>
      </c>
      <c r="G20" s="62">
        <v>3</v>
      </c>
      <c r="H20" s="27" t="str">
        <f>IF(G20=1,KILOMETRAJE!C$4,IF(G20=2,KILOMETRAJE!C$5,IF(G20=3,KILOMETRAJE!C$6,IF(G20=4,KILOMETRAJE!C$7,IF(G20=5,KILOMETRAJE!C$8,IF(G20=6,KILOMETRAJE!C$9,IF(G20=7,KILOMETRAJE!C$10,IF(G20=8,KILOMETRAJE!C$11,IF(G20=9,KILOMETRAJE!C$12,IF(G20=10,KILOMETRAJE!C$13,IF(G20=11,KILOMETRAJE!C$14,IF(G20=12,KILOMETRAJE!C$15,IF(G20=13,KILOMETRAJE!C$16,IF(G20=14,KILOMETRAJE!C$17,IF(G20=15,KILOMETRAJE!C$18,IF(G20=16,KILOMETRAJE!C$19,IF(G20=17,KILOMETRAJE!C$20,IF(G20=18,KILOMETRAJE!C$21,IF(G20=19,KILOMETRAJE!C$22,IF(G20=20,KILOMETRAJE!C$23,IF(G20=21,KILOMETRAJE!C$24,IF(G20=22,KILOMETRAJE!C$25,IF(G20=23,KILOMETRAJE!C$26,IF(G20=24,KILOMETRAJE!C$27,IF(G20=25,KILOMETRAJE!C$28,IF(G20=26,KILOMETRAJE!C$29,IF(G20=27,KILOMETRAJE!C$30,IF(G20=28,KILOMETRAJE!C$31,IF(G20=29,KILOMETRAJE!C$32,IF(G20=30,KILOMETRAJE!C$33,IF(G20=31,KILOMETRAJE!C$34,IF(G20=32,KILOMETRAJE!C$35,IF(G20=33,KILOMETRAJE!C$36,IF(G20=34,KILOMETRAJE!C$37,IF(G20=35,KILOMETRAJE!C$38,IF(G20=36,KILOMETRAJE!C$39,IF(G20=37,KILOMETRAJE!C$40,IF(G20=38,KILOMETRAJE!C$41,IF(G20=39,KILOMETRAJE!C$42,IF(G20=40,KILOMETRAJE!C$43,IF(G20=41,KILOMETRAJE!C$44,IF(G20=42,KILOMETRAJE!C$45,IF(G20=43,KILOMETRAJE!C$46,IF(G20=44,KILOMETRAJE!C$47,IF(G20=45,KILOMETRAJE!C$48,IF(G20=46,KILOMETRAJE!C$49,IF(G20=47,KILOMETRAJE!C$50,IF(G20=48,KILOMETRAJE!C$51,IF(G20=49,KILOMETRAJE!C$52,IF(G20=50,KILOMETRAJE!C$53,IF(G20=51,KILOMETRAJE!C$54,IF(G20=52,KILOMETRAJE!C$55,IF(G20=53,KILOMETRAJE!C$56,IF(G20=54,KILOMETRAJE!C$57,IF(G20=55,KILOMETRAJE!C$58,IF(G20=56,KILOMETRAJE!C$59,IF(G20=57,KILOMETRAJE!C$60,IF(G20=58,KILOMETRAJE!C$61,IF(G20=59,KILOMETRAJE!C$62,IF(G20=60,KILOMETRAJE!C$63,IF(G20=61,KILOMETRAJE!C$64,IF(G20=62,KILOMETRAJE!C$65,IF(G20=63,KILOMETRAJE!C$66)))))))))))))))))))))))))))))))))))))))))))))))))))))))))))))))</f>
        <v xml:space="preserve">CHIH. </v>
      </c>
      <c r="I20" s="27" t="str">
        <f>IF(G20=1,KILOMETRAJE!E$4,IF(G20=2,KILOMETRAJE!E$5,IF(G20=3,KILOMETRAJE!E$6,IF(G20=4,KILOMETRAJE!E$7,IF(G20=5,KILOMETRAJE!E$8,IF(G20=6,KILOMETRAJE!E$9,IF(G20=7,KILOMETRAJE!E$10,IF(G20=8,KILOMETRAJE!E$11,IF(G20=9,KILOMETRAJE!E$12,IF(G20=10,KILOMETRAJE!E$13,IF(G20=11,KILOMETRAJE!E$14,IF(G20=12,KILOMETRAJE!E$15,IF(G20=13,KILOMETRAJE!E$16,IF(G20=14,KILOMETRAJE!E$17,IF(G20=15,KILOMETRAJE!E$18,IF(G20=16,KILOMETRAJE!E$19,IF(G20=17,KILOMETRAJE!E$20,IF(G20=18,KILOMETRAJE!E$21,IF(G20=19,KILOMETRAJE!E$22,IF(G20=20,KILOMETRAJE!E$23,IF(G20=21,KILOMETRAJE!E$24,IF(G20=22,KILOMETRAJE!E$25,IF(G20=23,KILOMETRAJE!E$26,IF(G20=24,KILOMETRAJE!E$27,IF(G20=25,KILOMETRAJE!E$28,IF(G20=26,KILOMETRAJE!E$29,IF(G20=27,KILOMETRAJE!E$30,IF(G20=28,KILOMETRAJE!E$31,IF(G20=29,KILOMETRAJE!E$32,IF(G20=30,KILOMETRAJE!E$33,IF(G20=31,KILOMETRAJE!E$34,IF(G20=32,KILOMETRAJE!E$35,IF(G20=33,KILOMETRAJE!E$36,IF(G20=34,KILOMETRAJE!E$37,IF(G20=35,KILOMETRAJE!E$38,IF(G20=36,KILOMETRAJE!E$39,IF(G20=37,KILOMETRAJE!E$40,IF(G20=38,KILOMETRAJE!E$41,IF(G20=39,KILOMETRAJE!E$42,IF(G20=40,KILOMETRAJE!E$43,IF(G20=41,KILOMETRAJE!E$44,IF(G20=42,KILOMETRAJE!E$45,IF(G20=43,KILOMETRAJE!E$46,IF(G20=44,KILOMETRAJE!E$47,IF(G20=45,KILOMETRAJE!E$48,IF(G20=46,KILOMETRAJE!E$49,IF(G20=47,KILOMETRAJE!E$50,IF(G20=48,KILOMETRAJE!E$51,IF(G20=49,KILOMETRAJE!E$52,IF(G20=50,KILOMETRAJE!E$53,IF(G20=51,KILOMETRAJE!E$54,IF(G20=52,KILOMETRAJE!E$55,IF(G20=53,KILOMETRAJE!E$56,IF(G20=54,KILOMETRAJE!E$57,IF(G20=55,KILOMETRAJE!E$58,IF(G20=56,KILOMETRAJE!E$59,IF(G20=57,KILOMETRAJE!E$60,IF(G20=58,KILOMETRAJE!E$61,IF(G20=59,KILOMETRAJE!E$62,IF(G20=60,KILOMETRAJE!E$63,IF(G20=61,KILOMETRAJE!E$64,IF(G20=62,KILOMETRAJE!E$65,IF(G20=63,KILOMETRAJE!E$66)))))))))))))))))))))))))))))))))))))))))))))))))))))))))))))))</f>
        <v>JRZ</v>
      </c>
      <c r="J20" s="31">
        <f>IF(G20=1,KILOMETRAJE!G$4,IF(G20=2,KILOMETRAJE!G$5,IF(G20=3,KILOMETRAJE!G$6,IF(G20=4,KILOMETRAJE!G$7,IF(G20=5,KILOMETRAJE!G$8,IF(G20=6,KILOMETRAJE!G$9,IF(G20=7,KILOMETRAJE!G$10,IF(G20=8,KILOMETRAJE!G$11,IF(G20=9,KILOMETRAJE!G$12,IF(G20=10,KILOMETRAJE!G$13,IF(G20=11,KILOMETRAJE!G$14,IF(G20=12,KILOMETRAJE!G$15,IF(G20=13,KILOMETRAJE!G$16,IF(G20=14,KILOMETRAJE!G$17,IF(G20=15,KILOMETRAJE!G$18,IF(G20=16,KILOMETRAJE!G$19,IF(G20=17,KILOMETRAJE!G$20,IF(G20=18,KILOMETRAJE!G$21,IF(G20=19,KILOMETRAJE!G$22,IF(G20=20,KILOMETRAJE!G$23,IF(G20=21,KILOMETRAJE!G$24,IF(G20=22,KILOMETRAJE!G$25,IF(G20=23,KILOMETRAJE!G$26,IF(G20=24,KILOMETRAJE!G$27,IF(G20=25,KILOMETRAJE!G$28,IF(G20=26,KILOMETRAJE!G$29,IF(G20=27,KILOMETRAJE!G$30,IF(G20=28,KILOMETRAJE!G$31,IF(G20=29,KILOMETRAJE!G$32,IF(G20=30,KILOMETRAJE!G$33,IF(G20=31,KILOMETRAJE!G$34,IF(G20=32,KILOMETRAJE!G$35,IF(G20=33,KILOMETRAJE!G$36,IF(G20=34,KILOMETRAJE!G$37,IF(G20=35,KILOMETRAJE!G$38,IF(G20=36,KILOMETRAJE!G$39,IF(G20=37,KILOMETRAJE!G$40,IF(G20=38,KILOMETRAJE!G$41,IF(G20=39,KILOMETRAJE!G$42,IF(G20=40,KILOMETRAJE!G$43,IF(G20=41,KILOMETRAJE!G$44,IF(G20=42,KILOMETRAJE!G$45,IF(G20=43,KILOMETRAJE!G$46,IF(G20=44,KILOMETRAJE!G$47,IF(G20=45,KILOMETRAJE!G$48,IF(G20=46,KILOMETRAJE!G$49,IF(G20=47,KILOMETRAJE!G$50,IF(G20=48,KILOMETRAJE!G$51,IF(G20=49,KILOMETRAJE!G$52,IF(G20=50,KILOMETRAJE!G$53,IF(G20=51,KILOMETRAJE!G$54,IF(G20=52,KILOMETRAJE!G$55,IF(G20=53,KILOMETRAJE!G$56,IF(G20=54,KILOMETRAJE!G$57,IF(G20=55,KILOMETRAJE!G$58,IF(G20=56,KILOMETRAJE!G$59,IF(G20=57,KILOMETRAJE!G$60,IF(G20=58,KILOMETRAJE!G$61,IF(G20=59,KILOMETRAJE!G$62,IF(G20=60,KILOMETRAJE!G$63,IF(G20=61,KILOMETRAJE!G$64,IF(G20=62,KILOMETRAJE!G$65,IF(G20=63,KILOMETRAJE!G$66)))))))))))))))))))))))))))))))))))))))))))))))))))))))))))))))</f>
        <v>375</v>
      </c>
      <c r="K20" s="349">
        <v>226</v>
      </c>
      <c r="L20" s="349">
        <f>SUM(J19:J20)/K20</f>
        <v>3.3185840707964602</v>
      </c>
      <c r="M20" s="349">
        <v>265</v>
      </c>
      <c r="N20" s="27">
        <v>1</v>
      </c>
      <c r="O20" s="27" t="s">
        <v>528</v>
      </c>
      <c r="P20" s="27" t="s">
        <v>199</v>
      </c>
      <c r="Q20" s="29">
        <f t="shared" si="0"/>
        <v>109.99874999999999</v>
      </c>
      <c r="R20" s="190">
        <f>+LOOKUP(P40,UNIDADES!B$3:B$59,UNIDADES!C$3:C$59)</f>
        <v>2.3734099999999998</v>
      </c>
      <c r="S20" s="19">
        <f>+((SUM(J19:J20))/R20)-K20</f>
        <v>90.001028056677967</v>
      </c>
      <c r="T20" s="456">
        <f>+S20*14.85</f>
        <v>1336.5152666416677</v>
      </c>
      <c r="U20" s="27"/>
      <c r="V20" s="55"/>
    </row>
    <row r="21" spans="3:22" x14ac:dyDescent="0.2">
      <c r="C21" s="176">
        <v>46127</v>
      </c>
      <c r="D21" s="43" t="s">
        <v>611</v>
      </c>
      <c r="E21" s="42">
        <v>45959</v>
      </c>
      <c r="F21" s="42">
        <v>45960</v>
      </c>
      <c r="G21" s="43">
        <v>2</v>
      </c>
      <c r="H21" s="236" t="str">
        <f>IF(G21=1,KILOMETRAJE!C$4,IF(G21=2,KILOMETRAJE!C$5,IF(G21=3,KILOMETRAJE!C$6,IF(G21=4,KILOMETRAJE!C$7,IF(G21=5,KILOMETRAJE!C$8,IF(G21=6,KILOMETRAJE!C$9,IF(G21=7,KILOMETRAJE!C$10,IF(G21=8,KILOMETRAJE!C$11,IF(G21=9,KILOMETRAJE!C$12,IF(G21=10,KILOMETRAJE!C$13,IF(G21=11,KILOMETRAJE!C$14,IF(G21=12,KILOMETRAJE!C$15,IF(G21=13,KILOMETRAJE!C$16,IF(G21=14,KILOMETRAJE!C$17,IF(G21=15,KILOMETRAJE!C$18,IF(G21=16,KILOMETRAJE!C$19,IF(G21=17,KILOMETRAJE!C$20,IF(G21=18,KILOMETRAJE!C$21,IF(G21=19,KILOMETRAJE!C$22,IF(G21=20,KILOMETRAJE!C$23,IF(G21=21,KILOMETRAJE!C$24,IF(G21=22,KILOMETRAJE!C$25,IF(G21=23,KILOMETRAJE!C$26,IF(G21=24,KILOMETRAJE!C$27,IF(G21=25,KILOMETRAJE!C$28,IF(G21=26,KILOMETRAJE!C$29,IF(G21=27,KILOMETRAJE!C$30,IF(G21=28,KILOMETRAJE!C$31,IF(G21=29,KILOMETRAJE!C$32,IF(G21=30,KILOMETRAJE!C$33,IF(G21=31,KILOMETRAJE!C$34,IF(G21=32,KILOMETRAJE!C$35,IF(G21=33,KILOMETRAJE!C$36,IF(G21=34,KILOMETRAJE!C$37,IF(G21=35,KILOMETRAJE!C$38,IF(G21=36,KILOMETRAJE!C$39,IF(G21=37,KILOMETRAJE!C$40,IF(G21=38,KILOMETRAJE!C$41,IF(G21=39,KILOMETRAJE!C$42,IF(G21=40,KILOMETRAJE!C$43,IF(G21=41,KILOMETRAJE!C$44,IF(G21=42,KILOMETRAJE!C$45,IF(G21=43,KILOMETRAJE!C$46,IF(G21=44,KILOMETRAJE!C$47,IF(G21=45,KILOMETRAJE!C$48,IF(G21=46,KILOMETRAJE!C$49,IF(G21=47,KILOMETRAJE!C$50,IF(G21=48,KILOMETRAJE!C$51,IF(G21=49,KILOMETRAJE!C$52,IF(G21=50,KILOMETRAJE!C$53,IF(G21=51,KILOMETRAJE!C$54,IF(G21=52,KILOMETRAJE!C$55,IF(G21=53,KILOMETRAJE!C$56,IF(G21=54,KILOMETRAJE!C$57,IF(G21=55,KILOMETRAJE!C$58,IF(G21=56,KILOMETRAJE!C$59,IF(G21=57,KILOMETRAJE!C$60,IF(G21=58,KILOMETRAJE!C$61,IF(G21=59,KILOMETRAJE!C$62,IF(G21=60,KILOMETRAJE!C$63,IF(G21=61,KILOMETRAJE!C$64,IF(G21=62,KILOMETRAJE!C$65,IF(G21=63,KILOMETRAJE!C$66)))))))))))))))))))))))))))))))))))))))))))))))))))))))))))))))</f>
        <v>JRZ</v>
      </c>
      <c r="I21" s="236" t="str">
        <f>IF(G21=1,KILOMETRAJE!E$4,IF(G21=2,KILOMETRAJE!E$5,IF(G21=3,KILOMETRAJE!E$6,IF(G21=4,KILOMETRAJE!E$7,IF(G21=5,KILOMETRAJE!E$8,IF(G21=6,KILOMETRAJE!E$9,IF(G21=7,KILOMETRAJE!E$10,IF(G21=8,KILOMETRAJE!E$11,IF(G21=9,KILOMETRAJE!E$12,IF(G21=10,KILOMETRAJE!E$13,IF(G21=11,KILOMETRAJE!E$14,IF(G21=12,KILOMETRAJE!E$15,IF(G21=13,KILOMETRAJE!E$16,IF(G21=14,KILOMETRAJE!E$17,IF(G21=15,KILOMETRAJE!E$18,IF(G21=16,KILOMETRAJE!E$19,IF(G21=17,KILOMETRAJE!E$20,IF(G21=18,KILOMETRAJE!E$21,IF(G21=19,KILOMETRAJE!E$22,IF(G21=20,KILOMETRAJE!E$23,IF(G21=21,KILOMETRAJE!E$24,IF(G21=22,KILOMETRAJE!E$25,IF(G21=23,KILOMETRAJE!E$26,IF(G21=24,KILOMETRAJE!E$27,IF(G21=25,KILOMETRAJE!E$28,IF(G21=26,KILOMETRAJE!E$29,IF(G21=27,KILOMETRAJE!E$30,IF(G21=28,KILOMETRAJE!E$31,IF(G21=29,KILOMETRAJE!E$32,IF(G21=30,KILOMETRAJE!E$33,IF(G21=31,KILOMETRAJE!E$34,IF(G21=32,KILOMETRAJE!E$35,IF(G21=33,KILOMETRAJE!E$36,IF(G21=34,KILOMETRAJE!E$37,IF(G21=35,KILOMETRAJE!E$38,IF(G21=36,KILOMETRAJE!E$39,IF(G21=37,KILOMETRAJE!E$40,IF(G21=38,KILOMETRAJE!E$41,IF(G21=39,KILOMETRAJE!E$42,IF(G21=40,KILOMETRAJE!E$43,IF(G21=41,KILOMETRAJE!E$44,IF(G21=42,KILOMETRAJE!E$45,IF(G21=43,KILOMETRAJE!E$46,IF(G21=44,KILOMETRAJE!E$47,IF(G21=45,KILOMETRAJE!E$48,IF(G21=46,KILOMETRAJE!E$49,IF(G21=47,KILOMETRAJE!E$50,IF(G21=48,KILOMETRAJE!E$51,IF(G21=49,KILOMETRAJE!E$52,IF(G21=50,KILOMETRAJE!E$53,IF(G21=51,KILOMETRAJE!E$54,IF(G21=52,KILOMETRAJE!E$55,IF(G21=53,KILOMETRAJE!E$56,IF(G21=54,KILOMETRAJE!E$57,IF(G21=55,KILOMETRAJE!E$58,IF(G21=56,KILOMETRAJE!E$59,IF(G21=57,KILOMETRAJE!E$60,IF(G21=58,KILOMETRAJE!E$61,IF(G21=59,KILOMETRAJE!E$62,IF(G21=60,KILOMETRAJE!E$63,IF(G21=61,KILOMETRAJE!E$64,IF(G21=62,KILOMETRAJE!E$65,IF(G21=63,KILOMETRAJE!E$66)))))))))))))))))))))))))))))))))))))))))))))))))))))))))))))))</f>
        <v>CHIH.</v>
      </c>
      <c r="J21" s="237">
        <f>IF(G21=1,KILOMETRAJE!G$4,IF(G21=2,KILOMETRAJE!G$5,IF(G21=3,KILOMETRAJE!G$6,IF(G21=4,KILOMETRAJE!G$7,IF(G21=5,KILOMETRAJE!G$8,IF(G21=6,KILOMETRAJE!G$9,IF(G21=7,KILOMETRAJE!G$10,IF(G21=8,KILOMETRAJE!G$11,IF(G21=9,KILOMETRAJE!G$12,IF(G21=10,KILOMETRAJE!G$13,IF(G21=11,KILOMETRAJE!G$14,IF(G21=12,KILOMETRAJE!G$15,IF(G21=13,KILOMETRAJE!G$16,IF(G21=14,KILOMETRAJE!G$17,IF(G21=15,KILOMETRAJE!G$18,IF(G21=16,KILOMETRAJE!G$19,IF(G21=17,KILOMETRAJE!G$20,IF(G21=18,KILOMETRAJE!G$21,IF(G21=19,KILOMETRAJE!G$22,IF(G21=20,KILOMETRAJE!G$23,IF(G21=21,KILOMETRAJE!G$24,IF(G21=22,KILOMETRAJE!G$25,IF(G21=23,KILOMETRAJE!G$26,IF(G21=24,KILOMETRAJE!G$27,IF(G21=25,KILOMETRAJE!G$28,IF(G21=26,KILOMETRAJE!G$29,IF(G21=27,KILOMETRAJE!G$30,IF(G21=28,KILOMETRAJE!G$31,IF(G21=29,KILOMETRAJE!G$32,IF(G21=30,KILOMETRAJE!G$33,IF(G21=31,KILOMETRAJE!G$34,IF(G21=32,KILOMETRAJE!G$35,IF(G21=33,KILOMETRAJE!G$36,IF(G21=34,KILOMETRAJE!G$37,IF(G21=35,KILOMETRAJE!G$38,IF(G21=36,KILOMETRAJE!G$39,IF(G21=37,KILOMETRAJE!G$40,IF(G21=38,KILOMETRAJE!G$41,IF(G21=39,KILOMETRAJE!G$42,IF(G21=40,KILOMETRAJE!G$43,IF(G21=41,KILOMETRAJE!G$44,IF(G21=42,KILOMETRAJE!G$45,IF(G21=43,KILOMETRAJE!G$46,IF(G21=44,KILOMETRAJE!G$47,IF(G21=45,KILOMETRAJE!G$48,IF(G21=46,KILOMETRAJE!G$49,IF(G21=47,KILOMETRAJE!G$50,IF(G21=48,KILOMETRAJE!G$51,IF(G21=49,KILOMETRAJE!G$52,IF(G21=50,KILOMETRAJE!G$53,IF(G21=51,KILOMETRAJE!G$54,IF(G21=52,KILOMETRAJE!G$55,IF(G21=53,KILOMETRAJE!G$56,IF(G21=54,KILOMETRAJE!G$57,IF(G21=55,KILOMETRAJE!G$58,IF(G21=56,KILOMETRAJE!G$59,IF(G21=57,KILOMETRAJE!G$60,IF(G21=58,KILOMETRAJE!G$61,IF(G21=59,KILOMETRAJE!G$62,IF(G21=60,KILOMETRAJE!G$63,IF(G21=61,KILOMETRAJE!G$64,IF(G21=62,KILOMETRAJE!G$65,IF(G21=63,KILOMETRAJE!G$66)))))))))))))))))))))))))))))))))))))))))))))))))))))))))))))))</f>
        <v>375</v>
      </c>
      <c r="K21" s="348"/>
      <c r="L21" s="44"/>
      <c r="M21" s="348">
        <v>3623</v>
      </c>
      <c r="N21" s="24">
        <v>1</v>
      </c>
      <c r="O21" s="24" t="s">
        <v>430</v>
      </c>
      <c r="P21" s="24" t="s">
        <v>194</v>
      </c>
      <c r="Q21" s="45">
        <f t="shared" ref="Q21:Q26" si="1">((((IF(N21=1,((J21)*0.29333)))+(IF(N21=2,((J21)*0.146666)))+(IF(N21=3,((J21)*0.146666)))))+(IF(N21=4,((J21-40)*0.29333)))+(IF(N21=5,((J21-50)*0.29333)))+(IF(N21=6,((J21-90)*0.29333))))</f>
        <v>109.99874999999999</v>
      </c>
      <c r="R21" s="191"/>
      <c r="S21" s="52"/>
      <c r="T21" s="455"/>
      <c r="U21" s="24"/>
      <c r="V21" s="79"/>
    </row>
    <row r="22" spans="3:22" ht="13.5" customHeight="1" thickBot="1" x14ac:dyDescent="0.25">
      <c r="C22" s="101"/>
      <c r="D22" s="62" t="s">
        <v>612</v>
      </c>
      <c r="E22" s="25">
        <v>45960</v>
      </c>
      <c r="F22" s="25">
        <v>45960</v>
      </c>
      <c r="G22" s="62">
        <v>3</v>
      </c>
      <c r="H22" s="27" t="str">
        <f>IF(G22=1,KILOMETRAJE!C$4,IF(G22=2,KILOMETRAJE!C$5,IF(G22=3,KILOMETRAJE!C$6,IF(G22=4,KILOMETRAJE!C$7,IF(G22=5,KILOMETRAJE!C$8,IF(G22=6,KILOMETRAJE!C$9,IF(G22=7,KILOMETRAJE!C$10,IF(G22=8,KILOMETRAJE!C$11,IF(G22=9,KILOMETRAJE!C$12,IF(G22=10,KILOMETRAJE!C$13,IF(G22=11,KILOMETRAJE!C$14,IF(G22=12,KILOMETRAJE!C$15,IF(G22=13,KILOMETRAJE!C$16,IF(G22=14,KILOMETRAJE!C$17,IF(G22=15,KILOMETRAJE!C$18,IF(G22=16,KILOMETRAJE!C$19,IF(G22=17,KILOMETRAJE!C$20,IF(G22=18,KILOMETRAJE!C$21,IF(G22=19,KILOMETRAJE!C$22,IF(G22=20,KILOMETRAJE!C$23,IF(G22=21,KILOMETRAJE!C$24,IF(G22=22,KILOMETRAJE!C$25,IF(G22=23,KILOMETRAJE!C$26,IF(G22=24,KILOMETRAJE!C$27,IF(G22=25,KILOMETRAJE!C$28,IF(G22=26,KILOMETRAJE!C$29,IF(G22=27,KILOMETRAJE!C$30,IF(G22=28,KILOMETRAJE!C$31,IF(G22=29,KILOMETRAJE!C$32,IF(G22=30,KILOMETRAJE!C$33,IF(G22=31,KILOMETRAJE!C$34,IF(G22=32,KILOMETRAJE!C$35,IF(G22=33,KILOMETRAJE!C$36,IF(G22=34,KILOMETRAJE!C$37,IF(G22=35,KILOMETRAJE!C$38,IF(G22=36,KILOMETRAJE!C$39,IF(G22=37,KILOMETRAJE!C$40,IF(G22=38,KILOMETRAJE!C$41,IF(G22=39,KILOMETRAJE!C$42,IF(G22=40,KILOMETRAJE!C$43,IF(G22=41,KILOMETRAJE!C$44,IF(G22=42,KILOMETRAJE!C$45,IF(G22=43,KILOMETRAJE!C$46,IF(G22=44,KILOMETRAJE!C$47,IF(G22=45,KILOMETRAJE!C$48,IF(G22=46,KILOMETRAJE!C$49,IF(G22=47,KILOMETRAJE!C$50,IF(G22=48,KILOMETRAJE!C$51,IF(G22=49,KILOMETRAJE!C$52,IF(G22=50,KILOMETRAJE!C$53,IF(G22=51,KILOMETRAJE!C$54,IF(G22=52,KILOMETRAJE!C$55,IF(G22=53,KILOMETRAJE!C$56,IF(G22=54,KILOMETRAJE!C$57,IF(G22=55,KILOMETRAJE!C$58,IF(G22=56,KILOMETRAJE!C$59,IF(G22=57,KILOMETRAJE!C$60,IF(G22=58,KILOMETRAJE!C$61,IF(G22=59,KILOMETRAJE!C$62,IF(G22=60,KILOMETRAJE!C$63,IF(G22=61,KILOMETRAJE!C$64,IF(G22=62,KILOMETRAJE!C$65,IF(G22=63,KILOMETRAJE!C$66)))))))))))))))))))))))))))))))))))))))))))))))))))))))))))))))</f>
        <v xml:space="preserve">CHIH. </v>
      </c>
      <c r="I22" s="27" t="str">
        <f>IF(G22=1,KILOMETRAJE!E$4,IF(G22=2,KILOMETRAJE!E$5,IF(G22=3,KILOMETRAJE!E$6,IF(G22=4,KILOMETRAJE!E$7,IF(G22=5,KILOMETRAJE!E$8,IF(G22=6,KILOMETRAJE!E$9,IF(G22=7,KILOMETRAJE!E$10,IF(G22=8,KILOMETRAJE!E$11,IF(G22=9,KILOMETRAJE!E$12,IF(G22=10,KILOMETRAJE!E$13,IF(G22=11,KILOMETRAJE!E$14,IF(G22=12,KILOMETRAJE!E$15,IF(G22=13,KILOMETRAJE!E$16,IF(G22=14,KILOMETRAJE!E$17,IF(G22=15,KILOMETRAJE!E$18,IF(G22=16,KILOMETRAJE!E$19,IF(G22=17,KILOMETRAJE!E$20,IF(G22=18,KILOMETRAJE!E$21,IF(G22=19,KILOMETRAJE!E$22,IF(G22=20,KILOMETRAJE!E$23,IF(G22=21,KILOMETRAJE!E$24,IF(G22=22,KILOMETRAJE!E$25,IF(G22=23,KILOMETRAJE!E$26,IF(G22=24,KILOMETRAJE!E$27,IF(G22=25,KILOMETRAJE!E$28,IF(G22=26,KILOMETRAJE!E$29,IF(G22=27,KILOMETRAJE!E$30,IF(G22=28,KILOMETRAJE!E$31,IF(G22=29,KILOMETRAJE!E$32,IF(G22=30,KILOMETRAJE!E$33,IF(G22=31,KILOMETRAJE!E$34,IF(G22=32,KILOMETRAJE!E$35,IF(G22=33,KILOMETRAJE!E$36,IF(G22=34,KILOMETRAJE!E$37,IF(G22=35,KILOMETRAJE!E$38,IF(G22=36,KILOMETRAJE!E$39,IF(G22=37,KILOMETRAJE!E$40,IF(G22=38,KILOMETRAJE!E$41,IF(G22=39,KILOMETRAJE!E$42,IF(G22=40,KILOMETRAJE!E$43,IF(G22=41,KILOMETRAJE!E$44,IF(G22=42,KILOMETRAJE!E$45,IF(G22=43,KILOMETRAJE!E$46,IF(G22=44,KILOMETRAJE!E$47,IF(G22=45,KILOMETRAJE!E$48,IF(G22=46,KILOMETRAJE!E$49,IF(G22=47,KILOMETRAJE!E$50,IF(G22=48,KILOMETRAJE!E$51,IF(G22=49,KILOMETRAJE!E$52,IF(G22=50,KILOMETRAJE!E$53,IF(G22=51,KILOMETRAJE!E$54,IF(G22=52,KILOMETRAJE!E$55,IF(G22=53,KILOMETRAJE!E$56,IF(G22=54,KILOMETRAJE!E$57,IF(G22=55,KILOMETRAJE!E$58,IF(G22=56,KILOMETRAJE!E$59,IF(G22=57,KILOMETRAJE!E$60,IF(G22=58,KILOMETRAJE!E$61,IF(G22=59,KILOMETRAJE!E$62,IF(G22=60,KILOMETRAJE!E$63,IF(G22=61,KILOMETRAJE!E$64,IF(G22=62,KILOMETRAJE!E$65,IF(G22=63,KILOMETRAJE!E$66)))))))))))))))))))))))))))))))))))))))))))))))))))))))))))))))</f>
        <v>JRZ</v>
      </c>
      <c r="J22" s="31">
        <f>IF(G22=1,KILOMETRAJE!G$4,IF(G22=2,KILOMETRAJE!G$5,IF(G22=3,KILOMETRAJE!G$6,IF(G22=4,KILOMETRAJE!G$7,IF(G22=5,KILOMETRAJE!G$8,IF(G22=6,KILOMETRAJE!G$9,IF(G22=7,KILOMETRAJE!G$10,IF(G22=8,KILOMETRAJE!G$11,IF(G22=9,KILOMETRAJE!G$12,IF(G22=10,KILOMETRAJE!G$13,IF(G22=11,KILOMETRAJE!G$14,IF(G22=12,KILOMETRAJE!G$15,IF(G22=13,KILOMETRAJE!G$16,IF(G22=14,KILOMETRAJE!G$17,IF(G22=15,KILOMETRAJE!G$18,IF(G22=16,KILOMETRAJE!G$19,IF(G22=17,KILOMETRAJE!G$20,IF(G22=18,KILOMETRAJE!G$21,IF(G22=19,KILOMETRAJE!G$22,IF(G22=20,KILOMETRAJE!G$23,IF(G22=21,KILOMETRAJE!G$24,IF(G22=22,KILOMETRAJE!G$25,IF(G22=23,KILOMETRAJE!G$26,IF(G22=24,KILOMETRAJE!G$27,IF(G22=25,KILOMETRAJE!G$28,IF(G22=26,KILOMETRAJE!G$29,IF(G22=27,KILOMETRAJE!G$30,IF(G22=28,KILOMETRAJE!G$31,IF(G22=29,KILOMETRAJE!G$32,IF(G22=30,KILOMETRAJE!G$33,IF(G22=31,KILOMETRAJE!G$34,IF(G22=32,KILOMETRAJE!G$35,IF(G22=33,KILOMETRAJE!G$36,IF(G22=34,KILOMETRAJE!G$37,IF(G22=35,KILOMETRAJE!G$38,IF(G22=36,KILOMETRAJE!G$39,IF(G22=37,KILOMETRAJE!G$40,IF(G22=38,KILOMETRAJE!G$41,IF(G22=39,KILOMETRAJE!G$42,IF(G22=40,KILOMETRAJE!G$43,IF(G22=41,KILOMETRAJE!G$44,IF(G22=42,KILOMETRAJE!G$45,IF(G22=43,KILOMETRAJE!G$46,IF(G22=44,KILOMETRAJE!G$47,IF(G22=45,KILOMETRAJE!G$48,IF(G22=46,KILOMETRAJE!G$49,IF(G22=47,KILOMETRAJE!G$50,IF(G22=48,KILOMETRAJE!G$51,IF(G22=49,KILOMETRAJE!G$52,IF(G22=50,KILOMETRAJE!G$53,IF(G22=51,KILOMETRAJE!G$54,IF(G22=52,KILOMETRAJE!G$55,IF(G22=53,KILOMETRAJE!G$56,IF(G22=54,KILOMETRAJE!G$57,IF(G22=55,KILOMETRAJE!G$58,IF(G22=56,KILOMETRAJE!G$59,IF(G22=57,KILOMETRAJE!G$60,IF(G22=58,KILOMETRAJE!G$61,IF(G22=59,KILOMETRAJE!G$62,IF(G22=60,KILOMETRAJE!G$63,IF(G22=61,KILOMETRAJE!G$64,IF(G22=62,KILOMETRAJE!G$65,IF(G22=63,KILOMETRAJE!G$66)))))))))))))))))))))))))))))))))))))))))))))))))))))))))))))))</f>
        <v>375</v>
      </c>
      <c r="K22" s="349">
        <v>213</v>
      </c>
      <c r="L22" s="349">
        <f>SUM(J21:J22)/K22</f>
        <v>3.5211267605633805</v>
      </c>
      <c r="M22" s="349">
        <v>1233</v>
      </c>
      <c r="N22" s="27">
        <v>1</v>
      </c>
      <c r="O22" s="27" t="s">
        <v>617</v>
      </c>
      <c r="P22" s="27" t="s">
        <v>200</v>
      </c>
      <c r="Q22" s="29">
        <f t="shared" si="1"/>
        <v>109.99874999999999</v>
      </c>
      <c r="R22" s="190">
        <f>+LOOKUP(P42,UNIDADES!B$3:B$59,UNIDADES!C$3:C$59)</f>
        <v>2.3734099999999998</v>
      </c>
      <c r="S22" s="19">
        <f>+((SUM(J21:J22))/R22)-K22</f>
        <v>103.00102805667797</v>
      </c>
      <c r="T22" s="456">
        <f>+S22*14.85</f>
        <v>1529.5652666416677</v>
      </c>
      <c r="U22" s="27"/>
      <c r="V22" s="55"/>
    </row>
    <row r="23" spans="3:22" x14ac:dyDescent="0.2">
      <c r="C23" s="238">
        <v>46154</v>
      </c>
      <c r="D23" s="36" t="s">
        <v>613</v>
      </c>
      <c r="E23" s="37">
        <v>45960</v>
      </c>
      <c r="F23" s="37">
        <v>45961</v>
      </c>
      <c r="G23" s="36">
        <v>1</v>
      </c>
      <c r="H23" s="259" t="str">
        <f>IF(G23=1,KILOMETRAJE!C$4,IF(G23=2,KILOMETRAJE!C$5,IF(G23=3,KILOMETRAJE!C$6,IF(G23=4,KILOMETRAJE!C$7,IF(G23=5,KILOMETRAJE!C$8,IF(G23=6,KILOMETRAJE!C$9,IF(G23=7,KILOMETRAJE!C$10,IF(G23=8,KILOMETRAJE!C$11,IF(G23=9,KILOMETRAJE!C$12,IF(G23=10,KILOMETRAJE!C$13,IF(G23=11,KILOMETRAJE!C$14,IF(G23=12,KILOMETRAJE!C$15,IF(G23=13,KILOMETRAJE!C$16,IF(G23=14,KILOMETRAJE!C$17,IF(G23=15,KILOMETRAJE!C$18,IF(G23=16,KILOMETRAJE!C$19,IF(G23=17,KILOMETRAJE!C$20,IF(G23=18,KILOMETRAJE!C$21,IF(G23=19,KILOMETRAJE!C$22,IF(G23=20,KILOMETRAJE!C$23,IF(G23=21,KILOMETRAJE!C$24,IF(G23=22,KILOMETRAJE!C$25,IF(G23=23,KILOMETRAJE!C$26,IF(G23=24,KILOMETRAJE!C$27,IF(G23=25,KILOMETRAJE!C$28,IF(G23=26,KILOMETRAJE!C$29,IF(G23=27,KILOMETRAJE!C$30,IF(G23=28,KILOMETRAJE!C$31,IF(G23=29,KILOMETRAJE!C$32,IF(G23=30,KILOMETRAJE!C$33,IF(G23=31,KILOMETRAJE!C$34,IF(G23=32,KILOMETRAJE!C$35,IF(G23=33,KILOMETRAJE!C$36,IF(G23=34,KILOMETRAJE!C$37,IF(G23=35,KILOMETRAJE!C$38,IF(G23=36,KILOMETRAJE!C$39,IF(G23=37,KILOMETRAJE!C$40,IF(G23=38,KILOMETRAJE!C$41,IF(G23=39,KILOMETRAJE!C$42,IF(G23=40,KILOMETRAJE!C$43,IF(G23=41,KILOMETRAJE!C$44,IF(G23=42,KILOMETRAJE!C$45,IF(G23=43,KILOMETRAJE!C$46,IF(G23=44,KILOMETRAJE!C$47,IF(G23=45,KILOMETRAJE!C$48,IF(G23=46,KILOMETRAJE!C$49,IF(G23=47,KILOMETRAJE!C$50,IF(G23=48,KILOMETRAJE!C$51,IF(G23=49,KILOMETRAJE!C$52,IF(G23=50,KILOMETRAJE!C$53,IF(G23=51,KILOMETRAJE!C$54,IF(G23=52,KILOMETRAJE!C$55,IF(G23=53,KILOMETRAJE!C$56,IF(G23=54,KILOMETRAJE!C$57,IF(G23=55,KILOMETRAJE!C$58,IF(G23=56,KILOMETRAJE!C$59,IF(G23=57,KILOMETRAJE!C$60,IF(G23=58,KILOMETRAJE!C$61,IF(G23=59,KILOMETRAJE!C$62,IF(G23=60,KILOMETRAJE!C$63,IF(G23=61,KILOMETRAJE!C$64,IF(G23=62,KILOMETRAJE!C$65,IF(G23=63,KILOMETRAJE!C$66)))))))))))))))))))))))))))))))))))))))))))))))))))))))))))))))</f>
        <v>JRZ</v>
      </c>
      <c r="I23" s="259" t="str">
        <f>IF(G23=1,KILOMETRAJE!E$4,IF(G23=2,KILOMETRAJE!E$5,IF(G23=3,KILOMETRAJE!E$6,IF(G23=4,KILOMETRAJE!E$7,IF(G23=5,KILOMETRAJE!E$8,IF(G23=6,KILOMETRAJE!E$9,IF(G23=7,KILOMETRAJE!E$10,IF(G23=8,KILOMETRAJE!E$11,IF(G23=9,KILOMETRAJE!E$12,IF(G23=10,KILOMETRAJE!E$13,IF(G23=11,KILOMETRAJE!E$14,IF(G23=12,KILOMETRAJE!E$15,IF(G23=13,KILOMETRAJE!E$16,IF(G23=14,KILOMETRAJE!E$17,IF(G23=15,KILOMETRAJE!E$18,IF(G23=16,KILOMETRAJE!E$19,IF(G23=17,KILOMETRAJE!E$20,IF(G23=18,KILOMETRAJE!E$21,IF(G23=19,KILOMETRAJE!E$22,IF(G23=20,KILOMETRAJE!E$23,IF(G23=21,KILOMETRAJE!E$24,IF(G23=22,KILOMETRAJE!E$25,IF(G23=23,KILOMETRAJE!E$26,IF(G23=24,KILOMETRAJE!E$27,IF(G23=25,KILOMETRAJE!E$28,IF(G23=26,KILOMETRAJE!E$29,IF(G23=27,KILOMETRAJE!E$30,IF(G23=28,KILOMETRAJE!E$31,IF(G23=29,KILOMETRAJE!E$32,IF(G23=30,KILOMETRAJE!E$33,IF(G23=31,KILOMETRAJE!E$34,IF(G23=32,KILOMETRAJE!E$35,IF(G23=33,KILOMETRAJE!E$36,IF(G23=34,KILOMETRAJE!E$37,IF(G23=35,KILOMETRAJE!E$38,IF(G23=36,KILOMETRAJE!E$39,IF(G23=37,KILOMETRAJE!E$40,IF(G23=38,KILOMETRAJE!E$41,IF(G23=39,KILOMETRAJE!E$42,IF(G23=40,KILOMETRAJE!E$43,IF(G23=41,KILOMETRAJE!E$44,IF(G23=42,KILOMETRAJE!E$45,IF(G23=43,KILOMETRAJE!E$46,IF(G23=44,KILOMETRAJE!E$47,IF(G23=45,KILOMETRAJE!E$48,IF(G23=46,KILOMETRAJE!E$49,IF(G23=47,KILOMETRAJE!E$50,IF(G23=48,KILOMETRAJE!E$51,IF(G23=49,KILOMETRAJE!E$52,IF(G23=50,KILOMETRAJE!E$53,IF(G23=51,KILOMETRAJE!E$54,IF(G23=52,KILOMETRAJE!E$55,IF(G23=53,KILOMETRAJE!E$56,IF(G23=54,KILOMETRAJE!E$57,IF(G23=55,KILOMETRAJE!E$58,IF(G23=56,KILOMETRAJE!E$59,IF(G23=57,KILOMETRAJE!E$60,IF(G23=58,KILOMETRAJE!E$61,IF(G23=59,KILOMETRAJE!E$62,IF(G23=60,KILOMETRAJE!E$63,IF(G23=61,KILOMETRAJE!E$64,IF(G23=62,KILOMETRAJE!E$65,IF(G23=63,KILOMETRAJE!E$66)))))))))))))))))))))))))))))))))))))))))))))))))))))))))))))))</f>
        <v>CHIH.(HAW)</v>
      </c>
      <c r="J23" s="260">
        <f>IF(G23=1,KILOMETRAJE!G$4,IF(G23=2,KILOMETRAJE!G$5,IF(G23=3,KILOMETRAJE!G$6,IF(G23=4,KILOMETRAJE!G$7,IF(G23=5,KILOMETRAJE!G$8,IF(G23=6,KILOMETRAJE!G$9,IF(G23=7,KILOMETRAJE!G$10,IF(G23=8,KILOMETRAJE!G$11,IF(G23=9,KILOMETRAJE!G$12,IF(G23=10,KILOMETRAJE!G$13,IF(G23=11,KILOMETRAJE!G$14,IF(G23=12,KILOMETRAJE!G$15,IF(G23=13,KILOMETRAJE!G$16,IF(G23=14,KILOMETRAJE!G$17,IF(G23=15,KILOMETRAJE!G$18,IF(G23=16,KILOMETRAJE!G$19,IF(G23=17,KILOMETRAJE!G$20,IF(G23=18,KILOMETRAJE!G$21,IF(G23=19,KILOMETRAJE!G$22,IF(G23=20,KILOMETRAJE!G$23,IF(G23=21,KILOMETRAJE!G$24,IF(G23=22,KILOMETRAJE!G$25,IF(G23=23,KILOMETRAJE!G$26,IF(G23=24,KILOMETRAJE!G$27,IF(G23=25,KILOMETRAJE!G$28,IF(G23=26,KILOMETRAJE!G$29,IF(G23=27,KILOMETRAJE!G$30,IF(G23=28,KILOMETRAJE!G$31,IF(G23=29,KILOMETRAJE!G$32,IF(G23=30,KILOMETRAJE!G$33,IF(G23=31,KILOMETRAJE!G$34,IF(G23=32,KILOMETRAJE!G$35,IF(G23=33,KILOMETRAJE!G$36,IF(G23=34,KILOMETRAJE!G$37,IF(G23=35,KILOMETRAJE!G$38,IF(G23=36,KILOMETRAJE!G$39,IF(G23=37,KILOMETRAJE!G$40,IF(G23=38,KILOMETRAJE!G$41,IF(G23=39,KILOMETRAJE!G$42,IF(G23=40,KILOMETRAJE!G$43,IF(G23=41,KILOMETRAJE!G$44,IF(G23=42,KILOMETRAJE!G$45,IF(G23=43,KILOMETRAJE!G$46,IF(G23=44,KILOMETRAJE!G$47,IF(G23=45,KILOMETRAJE!G$48,IF(G23=46,KILOMETRAJE!G$49,IF(G23=47,KILOMETRAJE!G$50,IF(G23=48,KILOMETRAJE!G$51,IF(G23=49,KILOMETRAJE!G$52,IF(G23=50,KILOMETRAJE!G$53,IF(G23=51,KILOMETRAJE!G$54,IF(G23=52,KILOMETRAJE!G$55,IF(G23=53,KILOMETRAJE!G$56,IF(G23=54,KILOMETRAJE!G$57,IF(G23=55,KILOMETRAJE!G$58,IF(G23=56,KILOMETRAJE!G$59,IF(G23=57,KILOMETRAJE!G$60,IF(G23=58,KILOMETRAJE!G$61,IF(G23=59,KILOMETRAJE!G$62,IF(G23=60,KILOMETRAJE!G$63,IF(G23=61,KILOMETRAJE!G$64,IF(G23=62,KILOMETRAJE!G$65,IF(G23=63,KILOMETRAJE!G$66)))))))))))))))))))))))))))))))))))))))))))))))))))))))))))))))</f>
        <v>425</v>
      </c>
      <c r="K23" s="350"/>
      <c r="L23" s="350"/>
      <c r="M23" s="350">
        <v>6953</v>
      </c>
      <c r="N23" s="38">
        <v>5</v>
      </c>
      <c r="O23" s="38" t="s">
        <v>418</v>
      </c>
      <c r="P23" s="38" t="s">
        <v>199</v>
      </c>
      <c r="Q23" s="40">
        <f t="shared" si="1"/>
        <v>109.99874999999999</v>
      </c>
      <c r="R23" s="192"/>
      <c r="S23" s="186"/>
      <c r="T23" s="458"/>
      <c r="U23" s="38"/>
      <c r="V23" s="38"/>
    </row>
    <row r="24" spans="3:22" ht="13.5" customHeight="1" thickBot="1" x14ac:dyDescent="0.25">
      <c r="C24" s="239"/>
      <c r="D24" s="68" t="s">
        <v>614</v>
      </c>
      <c r="E24" s="69">
        <v>45961</v>
      </c>
      <c r="F24" s="69">
        <v>45961</v>
      </c>
      <c r="G24" s="68">
        <v>3</v>
      </c>
      <c r="H24" s="70" t="str">
        <f>IF(G24=1,KILOMETRAJE!C$4,IF(G24=2,KILOMETRAJE!C$5,IF(G24=3,KILOMETRAJE!C$6,IF(G24=4,KILOMETRAJE!C$7,IF(G24=5,KILOMETRAJE!C$8,IF(G24=6,KILOMETRAJE!C$9,IF(G24=7,KILOMETRAJE!C$10,IF(G24=8,KILOMETRAJE!C$11,IF(G24=9,KILOMETRAJE!C$12,IF(G24=10,KILOMETRAJE!C$13,IF(G24=11,KILOMETRAJE!C$14,IF(G24=12,KILOMETRAJE!C$15,IF(G24=13,KILOMETRAJE!C$16,IF(G24=14,KILOMETRAJE!C$17,IF(G24=15,KILOMETRAJE!C$18,IF(G24=16,KILOMETRAJE!C$19,IF(G24=17,KILOMETRAJE!C$20,IF(G24=18,KILOMETRAJE!C$21,IF(G24=19,KILOMETRAJE!C$22,IF(G24=20,KILOMETRAJE!C$23,IF(G24=21,KILOMETRAJE!C$24,IF(G24=22,KILOMETRAJE!C$25,IF(G24=23,KILOMETRAJE!C$26,IF(G24=24,KILOMETRAJE!C$27,IF(G24=25,KILOMETRAJE!C$28,IF(G24=26,KILOMETRAJE!C$29,IF(G24=27,KILOMETRAJE!C$30,IF(G24=28,KILOMETRAJE!C$31,IF(G24=29,KILOMETRAJE!C$32,IF(G24=30,KILOMETRAJE!C$33,IF(G24=31,KILOMETRAJE!C$34,IF(G24=32,KILOMETRAJE!C$35,IF(G24=33,KILOMETRAJE!C$36,IF(G24=34,KILOMETRAJE!C$37,IF(G24=35,KILOMETRAJE!C$38,IF(G24=36,KILOMETRAJE!C$39,IF(G24=37,KILOMETRAJE!C$40,IF(G24=38,KILOMETRAJE!C$41,IF(G24=39,KILOMETRAJE!C$42,IF(G24=40,KILOMETRAJE!C$43,IF(G24=41,KILOMETRAJE!C$44,IF(G24=42,KILOMETRAJE!C$45,IF(G24=43,KILOMETRAJE!C$46,IF(G24=44,KILOMETRAJE!C$47,IF(G24=45,KILOMETRAJE!C$48,IF(G24=46,KILOMETRAJE!C$49,IF(G24=47,KILOMETRAJE!C$50,IF(G24=48,KILOMETRAJE!C$51,IF(G24=49,KILOMETRAJE!C$52,IF(G24=50,KILOMETRAJE!C$53,IF(G24=51,KILOMETRAJE!C$54,IF(G24=52,KILOMETRAJE!C$55,IF(G24=53,KILOMETRAJE!C$56,IF(G24=54,KILOMETRAJE!C$57,IF(G24=55,KILOMETRAJE!C$58,IF(G24=56,KILOMETRAJE!C$59,IF(G24=57,KILOMETRAJE!C$60,IF(G24=58,KILOMETRAJE!C$61,IF(G24=59,KILOMETRAJE!C$62,IF(G24=60,KILOMETRAJE!C$63,IF(G24=61,KILOMETRAJE!C$64,IF(G24=62,KILOMETRAJE!C$65,IF(G24=63,KILOMETRAJE!C$66)))))))))))))))))))))))))))))))))))))))))))))))))))))))))))))))</f>
        <v xml:space="preserve">CHIH. </v>
      </c>
      <c r="I24" s="70" t="str">
        <f>IF(G24=1,KILOMETRAJE!E$4,IF(G24=2,KILOMETRAJE!E$5,IF(G24=3,KILOMETRAJE!E$6,IF(G24=4,KILOMETRAJE!E$7,IF(G24=5,KILOMETRAJE!E$8,IF(G24=6,KILOMETRAJE!E$9,IF(G24=7,KILOMETRAJE!E$10,IF(G24=8,KILOMETRAJE!E$11,IF(G24=9,KILOMETRAJE!E$12,IF(G24=10,KILOMETRAJE!E$13,IF(G24=11,KILOMETRAJE!E$14,IF(G24=12,KILOMETRAJE!E$15,IF(G24=13,KILOMETRAJE!E$16,IF(G24=14,KILOMETRAJE!E$17,IF(G24=15,KILOMETRAJE!E$18,IF(G24=16,KILOMETRAJE!E$19,IF(G24=17,KILOMETRAJE!E$20,IF(G24=18,KILOMETRAJE!E$21,IF(G24=19,KILOMETRAJE!E$22,IF(G24=20,KILOMETRAJE!E$23,IF(G24=21,KILOMETRAJE!E$24,IF(G24=22,KILOMETRAJE!E$25,IF(G24=23,KILOMETRAJE!E$26,IF(G24=24,KILOMETRAJE!E$27,IF(G24=25,KILOMETRAJE!E$28,IF(G24=26,KILOMETRAJE!E$29,IF(G24=27,KILOMETRAJE!E$30,IF(G24=28,KILOMETRAJE!E$31,IF(G24=29,KILOMETRAJE!E$32,IF(G24=30,KILOMETRAJE!E$33,IF(G24=31,KILOMETRAJE!E$34,IF(G24=32,KILOMETRAJE!E$35,IF(G24=33,KILOMETRAJE!E$36,IF(G24=34,KILOMETRAJE!E$37,IF(G24=35,KILOMETRAJE!E$38,IF(G24=36,KILOMETRAJE!E$39,IF(G24=37,KILOMETRAJE!E$40,IF(G24=38,KILOMETRAJE!E$41,IF(G24=39,KILOMETRAJE!E$42,IF(G24=40,KILOMETRAJE!E$43,IF(G24=41,KILOMETRAJE!E$44,IF(G24=42,KILOMETRAJE!E$45,IF(G24=43,KILOMETRAJE!E$46,IF(G24=44,KILOMETRAJE!E$47,IF(G24=45,KILOMETRAJE!E$48,IF(G24=46,KILOMETRAJE!E$49,IF(G24=47,KILOMETRAJE!E$50,IF(G24=48,KILOMETRAJE!E$51,IF(G24=49,KILOMETRAJE!E$52,IF(G24=50,KILOMETRAJE!E$53,IF(G24=51,KILOMETRAJE!E$54,IF(G24=52,KILOMETRAJE!E$55,IF(G24=53,KILOMETRAJE!E$56,IF(G24=54,KILOMETRAJE!E$57,IF(G24=55,KILOMETRAJE!E$58,IF(G24=56,KILOMETRAJE!E$59,IF(G24=57,KILOMETRAJE!E$60,IF(G24=58,KILOMETRAJE!E$61,IF(G24=59,KILOMETRAJE!E$62,IF(G24=60,KILOMETRAJE!E$63,IF(G24=61,KILOMETRAJE!E$64,IF(G24=62,KILOMETRAJE!E$65,IF(G24=63,KILOMETRAJE!E$66)))))))))))))))))))))))))))))))))))))))))))))))))))))))))))))))</f>
        <v>JRZ</v>
      </c>
      <c r="J24" s="71">
        <f>IF(G24=1,KILOMETRAJE!G$4,IF(G24=2,KILOMETRAJE!G$5,IF(G24=3,KILOMETRAJE!G$6,IF(G24=4,KILOMETRAJE!G$7,IF(G24=5,KILOMETRAJE!G$8,IF(G24=6,KILOMETRAJE!G$9,IF(G24=7,KILOMETRAJE!G$10,IF(G24=8,KILOMETRAJE!G$11,IF(G24=9,KILOMETRAJE!G$12,IF(G24=10,KILOMETRAJE!G$13,IF(G24=11,KILOMETRAJE!G$14,IF(G24=12,KILOMETRAJE!G$15,IF(G24=13,KILOMETRAJE!G$16,IF(G24=14,KILOMETRAJE!G$17,IF(G24=15,KILOMETRAJE!G$18,IF(G24=16,KILOMETRAJE!G$19,IF(G24=17,KILOMETRAJE!G$20,IF(G24=18,KILOMETRAJE!G$21,IF(G24=19,KILOMETRAJE!G$22,IF(G24=20,KILOMETRAJE!G$23,IF(G24=21,KILOMETRAJE!G$24,IF(G24=22,KILOMETRAJE!G$25,IF(G24=23,KILOMETRAJE!G$26,IF(G24=24,KILOMETRAJE!G$27,IF(G24=25,KILOMETRAJE!G$28,IF(G24=26,KILOMETRAJE!G$29,IF(G24=27,KILOMETRAJE!G$30,IF(G24=28,KILOMETRAJE!G$31,IF(G24=29,KILOMETRAJE!G$32,IF(G24=30,KILOMETRAJE!G$33,IF(G24=31,KILOMETRAJE!G$34,IF(G24=32,KILOMETRAJE!G$35,IF(G24=33,KILOMETRAJE!G$36,IF(G24=34,KILOMETRAJE!G$37,IF(G24=35,KILOMETRAJE!G$38,IF(G24=36,KILOMETRAJE!G$39,IF(G24=37,KILOMETRAJE!G$40,IF(G24=38,KILOMETRAJE!G$41,IF(G24=39,KILOMETRAJE!G$42,IF(G24=40,KILOMETRAJE!G$43,IF(G24=41,KILOMETRAJE!G$44,IF(G24=42,KILOMETRAJE!G$45,IF(G24=43,KILOMETRAJE!G$46,IF(G24=44,KILOMETRAJE!G$47,IF(G24=45,KILOMETRAJE!G$48,IF(G24=46,KILOMETRAJE!G$49,IF(G24=47,KILOMETRAJE!G$50,IF(G24=48,KILOMETRAJE!G$51,IF(G24=49,KILOMETRAJE!G$52,IF(G24=50,KILOMETRAJE!G$53,IF(G24=51,KILOMETRAJE!G$54,IF(G24=52,KILOMETRAJE!G$55,IF(G24=53,KILOMETRAJE!G$56,IF(G24=54,KILOMETRAJE!G$57,IF(G24=55,KILOMETRAJE!G$58,IF(G24=56,KILOMETRAJE!G$59,IF(G24=57,KILOMETRAJE!G$60,IF(G24=58,KILOMETRAJE!G$61,IF(G24=59,KILOMETRAJE!G$62,IF(G24=60,KILOMETRAJE!G$63,IF(G24=61,KILOMETRAJE!G$64,IF(G24=62,KILOMETRAJE!G$65,IF(G24=63,KILOMETRAJE!G$66)))))))))))))))))))))))))))))))))))))))))))))))))))))))))))))))</f>
        <v>375</v>
      </c>
      <c r="K24" s="370">
        <v>226.05</v>
      </c>
      <c r="L24" s="370">
        <f>SUM(J23:J24)/K24</f>
        <v>3.5390400353904004</v>
      </c>
      <c r="M24" s="370">
        <v>8986</v>
      </c>
      <c r="N24" s="70">
        <v>1</v>
      </c>
      <c r="O24" s="70" t="s">
        <v>537</v>
      </c>
      <c r="P24" s="70" t="s">
        <v>247</v>
      </c>
      <c r="Q24" s="67">
        <f t="shared" si="1"/>
        <v>109.99874999999999</v>
      </c>
      <c r="R24" s="197">
        <f>+LOOKUP(P42,UNIDADES!B$3:B$59,UNIDADES!C$3:C$59)</f>
        <v>2.3734099999999998</v>
      </c>
      <c r="S24" s="194">
        <f>+((SUM(J23:J24))/R24)-K24</f>
        <v>111.01776326045649</v>
      </c>
      <c r="T24" s="461">
        <f>+S24*14.85</f>
        <v>1648.6137844177788</v>
      </c>
      <c r="U24" s="70"/>
      <c r="V24" s="70"/>
    </row>
    <row r="25" spans="3:22" x14ac:dyDescent="0.2">
      <c r="C25" s="176">
        <v>46174</v>
      </c>
      <c r="D25" s="43" t="s">
        <v>615</v>
      </c>
      <c r="E25" s="42">
        <v>45961</v>
      </c>
      <c r="F25" s="42">
        <v>45962</v>
      </c>
      <c r="G25" s="43">
        <v>2</v>
      </c>
      <c r="H25" s="236" t="str">
        <f>IF(G25=1,KILOMETRAJE!C$4,IF(G25=2,KILOMETRAJE!C$5,IF(G25=3,KILOMETRAJE!C$6,IF(G25=4,KILOMETRAJE!C$7,IF(G25=5,KILOMETRAJE!C$8,IF(G25=6,KILOMETRAJE!C$9,IF(G25=7,KILOMETRAJE!C$10,IF(G25=8,KILOMETRAJE!C$11,IF(G25=9,KILOMETRAJE!C$12,IF(G25=10,KILOMETRAJE!C$13,IF(G25=11,KILOMETRAJE!C$14,IF(G25=12,KILOMETRAJE!C$15,IF(G25=13,KILOMETRAJE!C$16,IF(G25=14,KILOMETRAJE!C$17,IF(G25=15,KILOMETRAJE!C$18,IF(G25=16,KILOMETRAJE!C$19,IF(G25=17,KILOMETRAJE!C$20,IF(G25=18,KILOMETRAJE!C$21,IF(G25=19,KILOMETRAJE!C$22,IF(G25=20,KILOMETRAJE!C$23,IF(G25=21,KILOMETRAJE!C$24,IF(G25=22,KILOMETRAJE!C$25,IF(G25=23,KILOMETRAJE!C$26,IF(G25=24,KILOMETRAJE!C$27,IF(G25=25,KILOMETRAJE!C$28,IF(G25=26,KILOMETRAJE!C$29,IF(G25=27,KILOMETRAJE!C$30,IF(G25=28,KILOMETRAJE!C$31,IF(G25=29,KILOMETRAJE!C$32,IF(G25=30,KILOMETRAJE!C$33,IF(G25=31,KILOMETRAJE!C$34,IF(G25=32,KILOMETRAJE!C$35,IF(G25=33,KILOMETRAJE!C$36,IF(G25=34,KILOMETRAJE!C$37,IF(G25=35,KILOMETRAJE!C$38,IF(G25=36,KILOMETRAJE!C$39,IF(G25=37,KILOMETRAJE!C$40,IF(G25=38,KILOMETRAJE!C$41,IF(G25=39,KILOMETRAJE!C$42,IF(G25=40,KILOMETRAJE!C$43,IF(G25=41,KILOMETRAJE!C$44,IF(G25=42,KILOMETRAJE!C$45,IF(G25=43,KILOMETRAJE!C$46,IF(G25=44,KILOMETRAJE!C$47,IF(G25=45,KILOMETRAJE!C$48,IF(G25=46,KILOMETRAJE!C$49,IF(G25=47,KILOMETRAJE!C$50,IF(G25=48,KILOMETRAJE!C$51,IF(G25=49,KILOMETRAJE!C$52,IF(G25=50,KILOMETRAJE!C$53,IF(G25=51,KILOMETRAJE!C$54,IF(G25=52,KILOMETRAJE!C$55,IF(G25=53,KILOMETRAJE!C$56,IF(G25=54,KILOMETRAJE!C$57,IF(G25=55,KILOMETRAJE!C$58,IF(G25=56,KILOMETRAJE!C$59,IF(G25=57,KILOMETRAJE!C$60,IF(G25=58,KILOMETRAJE!C$61,IF(G25=59,KILOMETRAJE!C$62,IF(G25=60,KILOMETRAJE!C$63,IF(G25=61,KILOMETRAJE!C$64,IF(G25=62,KILOMETRAJE!C$65,IF(G25=63,KILOMETRAJE!C$66)))))))))))))))))))))))))))))))))))))))))))))))))))))))))))))))</f>
        <v>JRZ</v>
      </c>
      <c r="I25" s="236" t="str">
        <f>IF(G25=1,KILOMETRAJE!E$4,IF(G25=2,KILOMETRAJE!E$5,IF(G25=3,KILOMETRAJE!E$6,IF(G25=4,KILOMETRAJE!E$7,IF(G25=5,KILOMETRAJE!E$8,IF(G25=6,KILOMETRAJE!E$9,IF(G25=7,KILOMETRAJE!E$10,IF(G25=8,KILOMETRAJE!E$11,IF(G25=9,KILOMETRAJE!E$12,IF(G25=10,KILOMETRAJE!E$13,IF(G25=11,KILOMETRAJE!E$14,IF(G25=12,KILOMETRAJE!E$15,IF(G25=13,KILOMETRAJE!E$16,IF(G25=14,KILOMETRAJE!E$17,IF(G25=15,KILOMETRAJE!E$18,IF(G25=16,KILOMETRAJE!E$19,IF(G25=17,KILOMETRAJE!E$20,IF(G25=18,KILOMETRAJE!E$21,IF(G25=19,KILOMETRAJE!E$22,IF(G25=20,KILOMETRAJE!E$23,IF(G25=21,KILOMETRAJE!E$24,IF(G25=22,KILOMETRAJE!E$25,IF(G25=23,KILOMETRAJE!E$26,IF(G25=24,KILOMETRAJE!E$27,IF(G25=25,KILOMETRAJE!E$28,IF(G25=26,KILOMETRAJE!E$29,IF(G25=27,KILOMETRAJE!E$30,IF(G25=28,KILOMETRAJE!E$31,IF(G25=29,KILOMETRAJE!E$32,IF(G25=30,KILOMETRAJE!E$33,IF(G25=31,KILOMETRAJE!E$34,IF(G25=32,KILOMETRAJE!E$35,IF(G25=33,KILOMETRAJE!E$36,IF(G25=34,KILOMETRAJE!E$37,IF(G25=35,KILOMETRAJE!E$38,IF(G25=36,KILOMETRAJE!E$39,IF(G25=37,KILOMETRAJE!E$40,IF(G25=38,KILOMETRAJE!E$41,IF(G25=39,KILOMETRAJE!E$42,IF(G25=40,KILOMETRAJE!E$43,IF(G25=41,KILOMETRAJE!E$44,IF(G25=42,KILOMETRAJE!E$45,IF(G25=43,KILOMETRAJE!E$46,IF(G25=44,KILOMETRAJE!E$47,IF(G25=45,KILOMETRAJE!E$48,IF(G25=46,KILOMETRAJE!E$49,IF(G25=47,KILOMETRAJE!E$50,IF(G25=48,KILOMETRAJE!E$51,IF(G25=49,KILOMETRAJE!E$52,IF(G25=50,KILOMETRAJE!E$53,IF(G25=51,KILOMETRAJE!E$54,IF(G25=52,KILOMETRAJE!E$55,IF(G25=53,KILOMETRAJE!E$56,IF(G25=54,KILOMETRAJE!E$57,IF(G25=55,KILOMETRAJE!E$58,IF(G25=56,KILOMETRAJE!E$59,IF(G25=57,KILOMETRAJE!E$60,IF(G25=58,KILOMETRAJE!E$61,IF(G25=59,KILOMETRAJE!E$62,IF(G25=60,KILOMETRAJE!E$63,IF(G25=61,KILOMETRAJE!E$64,IF(G25=62,KILOMETRAJE!E$65,IF(G25=63,KILOMETRAJE!E$66)))))))))))))))))))))))))))))))))))))))))))))))))))))))))))))))</f>
        <v>CHIH.</v>
      </c>
      <c r="J25" s="237">
        <f>IF(G25=1,KILOMETRAJE!G$4,IF(G25=2,KILOMETRAJE!G$5,IF(G25=3,KILOMETRAJE!G$6,IF(G25=4,KILOMETRAJE!G$7,IF(G25=5,KILOMETRAJE!G$8,IF(G25=6,KILOMETRAJE!G$9,IF(G25=7,KILOMETRAJE!G$10,IF(G25=8,KILOMETRAJE!G$11,IF(G25=9,KILOMETRAJE!G$12,IF(G25=10,KILOMETRAJE!G$13,IF(G25=11,KILOMETRAJE!G$14,IF(G25=12,KILOMETRAJE!G$15,IF(G25=13,KILOMETRAJE!G$16,IF(G25=14,KILOMETRAJE!G$17,IF(G25=15,KILOMETRAJE!G$18,IF(G25=16,KILOMETRAJE!G$19,IF(G25=17,KILOMETRAJE!G$20,IF(G25=18,KILOMETRAJE!G$21,IF(G25=19,KILOMETRAJE!G$22,IF(G25=20,KILOMETRAJE!G$23,IF(G25=21,KILOMETRAJE!G$24,IF(G25=22,KILOMETRAJE!G$25,IF(G25=23,KILOMETRAJE!G$26,IF(G25=24,KILOMETRAJE!G$27,IF(G25=25,KILOMETRAJE!G$28,IF(G25=26,KILOMETRAJE!G$29,IF(G25=27,KILOMETRAJE!G$30,IF(G25=28,KILOMETRAJE!G$31,IF(G25=29,KILOMETRAJE!G$32,IF(G25=30,KILOMETRAJE!G$33,IF(G25=31,KILOMETRAJE!G$34,IF(G25=32,KILOMETRAJE!G$35,IF(G25=33,KILOMETRAJE!G$36,IF(G25=34,KILOMETRAJE!G$37,IF(G25=35,KILOMETRAJE!G$38,IF(G25=36,KILOMETRAJE!G$39,IF(G25=37,KILOMETRAJE!G$40,IF(G25=38,KILOMETRAJE!G$41,IF(G25=39,KILOMETRAJE!G$42,IF(G25=40,KILOMETRAJE!G$43,IF(G25=41,KILOMETRAJE!G$44,IF(G25=42,KILOMETRAJE!G$45,IF(G25=43,KILOMETRAJE!G$46,IF(G25=44,KILOMETRAJE!G$47,IF(G25=45,KILOMETRAJE!G$48,IF(G25=46,KILOMETRAJE!G$49,IF(G25=47,KILOMETRAJE!G$50,IF(G25=48,KILOMETRAJE!G$51,IF(G25=49,KILOMETRAJE!G$52,IF(G25=50,KILOMETRAJE!G$53,IF(G25=51,KILOMETRAJE!G$54,IF(G25=52,KILOMETRAJE!G$55,IF(G25=53,KILOMETRAJE!G$56,IF(G25=54,KILOMETRAJE!G$57,IF(G25=55,KILOMETRAJE!G$58,IF(G25=56,KILOMETRAJE!G$59,IF(G25=57,KILOMETRAJE!G$60,IF(G25=58,KILOMETRAJE!G$61,IF(G25=59,KILOMETRAJE!G$62,IF(G25=60,KILOMETRAJE!G$63,IF(G25=61,KILOMETRAJE!G$64,IF(G25=62,KILOMETRAJE!G$65,IF(G25=63,KILOMETRAJE!G$66)))))))))))))))))))))))))))))))))))))))))))))))))))))))))))))))</f>
        <v>375</v>
      </c>
      <c r="K25" s="348"/>
      <c r="L25" s="348"/>
      <c r="M25" s="348">
        <v>1363</v>
      </c>
      <c r="N25" s="24">
        <v>1</v>
      </c>
      <c r="O25" s="24" t="s">
        <v>499</v>
      </c>
      <c r="P25" s="24" t="s">
        <v>191</v>
      </c>
      <c r="Q25" s="45">
        <f t="shared" si="1"/>
        <v>109.99874999999999</v>
      </c>
      <c r="R25" s="191"/>
      <c r="S25" s="52"/>
      <c r="T25" s="455"/>
      <c r="U25" s="24"/>
      <c r="V25" s="79"/>
    </row>
    <row r="26" spans="3:22" ht="13.5" customHeight="1" thickBot="1" x14ac:dyDescent="0.25">
      <c r="C26" s="101"/>
      <c r="D26" s="62" t="s">
        <v>616</v>
      </c>
      <c r="E26" s="25">
        <v>45962</v>
      </c>
      <c r="F26" s="25">
        <v>45962</v>
      </c>
      <c r="G26" s="62">
        <v>3</v>
      </c>
      <c r="H26" s="27" t="str">
        <f>IF(G26=1,KILOMETRAJE!C$4,IF(G26=2,KILOMETRAJE!C$5,IF(G26=3,KILOMETRAJE!C$6,IF(G26=4,KILOMETRAJE!C$7,IF(G26=5,KILOMETRAJE!C$8,IF(G26=6,KILOMETRAJE!C$9,IF(G26=7,KILOMETRAJE!C$10,IF(G26=8,KILOMETRAJE!C$11,IF(G26=9,KILOMETRAJE!C$12,IF(G26=10,KILOMETRAJE!C$13,IF(G26=11,KILOMETRAJE!C$14,IF(G26=12,KILOMETRAJE!C$15,IF(G26=13,KILOMETRAJE!C$16,IF(G26=14,KILOMETRAJE!C$17,IF(G26=15,KILOMETRAJE!C$18,IF(G26=16,KILOMETRAJE!C$19,IF(G26=17,KILOMETRAJE!C$20,IF(G26=18,KILOMETRAJE!C$21,IF(G26=19,KILOMETRAJE!C$22,IF(G26=20,KILOMETRAJE!C$23,IF(G26=21,KILOMETRAJE!C$24,IF(G26=22,KILOMETRAJE!C$25,IF(G26=23,KILOMETRAJE!C$26,IF(G26=24,KILOMETRAJE!C$27,IF(G26=25,KILOMETRAJE!C$28,IF(G26=26,KILOMETRAJE!C$29,IF(G26=27,KILOMETRAJE!C$30,IF(G26=28,KILOMETRAJE!C$31,IF(G26=29,KILOMETRAJE!C$32,IF(G26=30,KILOMETRAJE!C$33,IF(G26=31,KILOMETRAJE!C$34,IF(G26=32,KILOMETRAJE!C$35,IF(G26=33,KILOMETRAJE!C$36,IF(G26=34,KILOMETRAJE!C$37,IF(G26=35,KILOMETRAJE!C$38,IF(G26=36,KILOMETRAJE!C$39,IF(G26=37,KILOMETRAJE!C$40,IF(G26=38,KILOMETRAJE!C$41,IF(G26=39,KILOMETRAJE!C$42,IF(G26=40,KILOMETRAJE!C$43,IF(G26=41,KILOMETRAJE!C$44,IF(G26=42,KILOMETRAJE!C$45,IF(G26=43,KILOMETRAJE!C$46,IF(G26=44,KILOMETRAJE!C$47,IF(G26=45,KILOMETRAJE!C$48,IF(G26=46,KILOMETRAJE!C$49,IF(G26=47,KILOMETRAJE!C$50,IF(G26=48,KILOMETRAJE!C$51,IF(G26=49,KILOMETRAJE!C$52,IF(G26=50,KILOMETRAJE!C$53,IF(G26=51,KILOMETRAJE!C$54,IF(G26=52,KILOMETRAJE!C$55,IF(G26=53,KILOMETRAJE!C$56,IF(G26=54,KILOMETRAJE!C$57,IF(G26=55,KILOMETRAJE!C$58,IF(G26=56,KILOMETRAJE!C$59,IF(G26=57,KILOMETRAJE!C$60,IF(G26=58,KILOMETRAJE!C$61,IF(G26=59,KILOMETRAJE!C$62,IF(G26=60,KILOMETRAJE!C$63,IF(G26=61,KILOMETRAJE!C$64,IF(G26=62,KILOMETRAJE!C$65,IF(G26=63,KILOMETRAJE!C$66)))))))))))))))))))))))))))))))))))))))))))))))))))))))))))))))</f>
        <v xml:space="preserve">CHIH. </v>
      </c>
      <c r="I26" s="27" t="str">
        <f>IF(G26=1,KILOMETRAJE!E$4,IF(G26=2,KILOMETRAJE!E$5,IF(G26=3,KILOMETRAJE!E$6,IF(G26=4,KILOMETRAJE!E$7,IF(G26=5,KILOMETRAJE!E$8,IF(G26=6,KILOMETRAJE!E$9,IF(G26=7,KILOMETRAJE!E$10,IF(G26=8,KILOMETRAJE!E$11,IF(G26=9,KILOMETRAJE!E$12,IF(G26=10,KILOMETRAJE!E$13,IF(G26=11,KILOMETRAJE!E$14,IF(G26=12,KILOMETRAJE!E$15,IF(G26=13,KILOMETRAJE!E$16,IF(G26=14,KILOMETRAJE!E$17,IF(G26=15,KILOMETRAJE!E$18,IF(G26=16,KILOMETRAJE!E$19,IF(G26=17,KILOMETRAJE!E$20,IF(G26=18,KILOMETRAJE!E$21,IF(G26=19,KILOMETRAJE!E$22,IF(G26=20,KILOMETRAJE!E$23,IF(G26=21,KILOMETRAJE!E$24,IF(G26=22,KILOMETRAJE!E$25,IF(G26=23,KILOMETRAJE!E$26,IF(G26=24,KILOMETRAJE!E$27,IF(G26=25,KILOMETRAJE!E$28,IF(G26=26,KILOMETRAJE!E$29,IF(G26=27,KILOMETRAJE!E$30,IF(G26=28,KILOMETRAJE!E$31,IF(G26=29,KILOMETRAJE!E$32,IF(G26=30,KILOMETRAJE!E$33,IF(G26=31,KILOMETRAJE!E$34,IF(G26=32,KILOMETRAJE!E$35,IF(G26=33,KILOMETRAJE!E$36,IF(G26=34,KILOMETRAJE!E$37,IF(G26=35,KILOMETRAJE!E$38,IF(G26=36,KILOMETRAJE!E$39,IF(G26=37,KILOMETRAJE!E$40,IF(G26=38,KILOMETRAJE!E$41,IF(G26=39,KILOMETRAJE!E$42,IF(G26=40,KILOMETRAJE!E$43,IF(G26=41,KILOMETRAJE!E$44,IF(G26=42,KILOMETRAJE!E$45,IF(G26=43,KILOMETRAJE!E$46,IF(G26=44,KILOMETRAJE!E$47,IF(G26=45,KILOMETRAJE!E$48,IF(G26=46,KILOMETRAJE!E$49,IF(G26=47,KILOMETRAJE!E$50,IF(G26=48,KILOMETRAJE!E$51,IF(G26=49,KILOMETRAJE!E$52,IF(G26=50,KILOMETRAJE!E$53,IF(G26=51,KILOMETRAJE!E$54,IF(G26=52,KILOMETRAJE!E$55,IF(G26=53,KILOMETRAJE!E$56,IF(G26=54,KILOMETRAJE!E$57,IF(G26=55,KILOMETRAJE!E$58,IF(G26=56,KILOMETRAJE!E$59,IF(G26=57,KILOMETRAJE!E$60,IF(G26=58,KILOMETRAJE!E$61,IF(G26=59,KILOMETRAJE!E$62,IF(G26=60,KILOMETRAJE!E$63,IF(G26=61,KILOMETRAJE!E$64,IF(G26=62,KILOMETRAJE!E$65,IF(G26=63,KILOMETRAJE!E$66)))))))))))))))))))))))))))))))))))))))))))))))))))))))))))))))</f>
        <v>JRZ</v>
      </c>
      <c r="J26" s="31">
        <f>IF(G26=1,KILOMETRAJE!G$4,IF(G26=2,KILOMETRAJE!G$5,IF(G26=3,KILOMETRAJE!G$6,IF(G26=4,KILOMETRAJE!G$7,IF(G26=5,KILOMETRAJE!G$8,IF(G26=6,KILOMETRAJE!G$9,IF(G26=7,KILOMETRAJE!G$10,IF(G26=8,KILOMETRAJE!G$11,IF(G26=9,KILOMETRAJE!G$12,IF(G26=10,KILOMETRAJE!G$13,IF(G26=11,KILOMETRAJE!G$14,IF(G26=12,KILOMETRAJE!G$15,IF(G26=13,KILOMETRAJE!G$16,IF(G26=14,KILOMETRAJE!G$17,IF(G26=15,KILOMETRAJE!G$18,IF(G26=16,KILOMETRAJE!G$19,IF(G26=17,KILOMETRAJE!G$20,IF(G26=18,KILOMETRAJE!G$21,IF(G26=19,KILOMETRAJE!G$22,IF(G26=20,KILOMETRAJE!G$23,IF(G26=21,KILOMETRAJE!G$24,IF(G26=22,KILOMETRAJE!G$25,IF(G26=23,KILOMETRAJE!G$26,IF(G26=24,KILOMETRAJE!G$27,IF(G26=25,KILOMETRAJE!G$28,IF(G26=26,KILOMETRAJE!G$29,IF(G26=27,KILOMETRAJE!G$30,IF(G26=28,KILOMETRAJE!G$31,IF(G26=29,KILOMETRAJE!G$32,IF(G26=30,KILOMETRAJE!G$33,IF(G26=31,KILOMETRAJE!G$34,IF(G26=32,KILOMETRAJE!G$35,IF(G26=33,KILOMETRAJE!G$36,IF(G26=34,KILOMETRAJE!G$37,IF(G26=35,KILOMETRAJE!G$38,IF(G26=36,KILOMETRAJE!G$39,IF(G26=37,KILOMETRAJE!G$40,IF(G26=38,KILOMETRAJE!G$41,IF(G26=39,KILOMETRAJE!G$42,IF(G26=40,KILOMETRAJE!G$43,IF(G26=41,KILOMETRAJE!G$44,IF(G26=42,KILOMETRAJE!G$45,IF(G26=43,KILOMETRAJE!G$46,IF(G26=44,KILOMETRAJE!G$47,IF(G26=45,KILOMETRAJE!G$48,IF(G26=46,KILOMETRAJE!G$49,IF(G26=47,KILOMETRAJE!G$50,IF(G26=48,KILOMETRAJE!G$51,IF(G26=49,KILOMETRAJE!G$52,IF(G26=50,KILOMETRAJE!G$53,IF(G26=51,KILOMETRAJE!G$54,IF(G26=52,KILOMETRAJE!G$55,IF(G26=53,KILOMETRAJE!G$56,IF(G26=54,KILOMETRAJE!G$57,IF(G26=55,KILOMETRAJE!G$58,IF(G26=56,KILOMETRAJE!G$59,IF(G26=57,KILOMETRAJE!G$60,IF(G26=58,KILOMETRAJE!G$61,IF(G26=59,KILOMETRAJE!G$62,IF(G26=60,KILOMETRAJE!G$63,IF(G26=61,KILOMETRAJE!G$64,IF(G26=62,KILOMETRAJE!G$65,IF(G26=63,KILOMETRAJE!G$66)))))))))))))))))))))))))))))))))))))))))))))))))))))))))))))))</f>
        <v>375</v>
      </c>
      <c r="K26" s="349">
        <v>236</v>
      </c>
      <c r="L26" s="349">
        <f>SUM(J25:J26)/K26</f>
        <v>3.1779661016949152</v>
      </c>
      <c r="M26" s="349">
        <v>1565</v>
      </c>
      <c r="N26" s="27">
        <v>1</v>
      </c>
      <c r="O26" s="27" t="s">
        <v>538</v>
      </c>
      <c r="P26" s="27" t="s">
        <v>201</v>
      </c>
      <c r="Q26" s="29">
        <f t="shared" si="1"/>
        <v>109.99874999999999</v>
      </c>
      <c r="R26" s="190">
        <f>+LOOKUP(P43,UNIDADES!B$3:B$59,UNIDADES!C$3:C$59)</f>
        <v>2.3734099999999998</v>
      </c>
      <c r="S26" s="19">
        <f>+((SUM(J25:J26))/R26)-K26</f>
        <v>80.001028056677967</v>
      </c>
      <c r="T26" s="456">
        <f>+S26*14.85</f>
        <v>1188.0152666416677</v>
      </c>
      <c r="U26" s="27"/>
      <c r="V26" s="55"/>
    </row>
    <row r="27" spans="3:22" hidden="1" x14ac:dyDescent="0.2">
      <c r="C27" s="238"/>
      <c r="D27" s="36"/>
      <c r="E27" s="37"/>
      <c r="F27" s="37"/>
      <c r="G27" s="36"/>
      <c r="H27" s="38"/>
      <c r="I27" s="38"/>
      <c r="J27" s="39"/>
      <c r="K27" s="350"/>
      <c r="L27" s="48"/>
      <c r="M27" s="350"/>
      <c r="N27" s="39"/>
      <c r="O27" s="38"/>
      <c r="P27" s="38"/>
      <c r="Q27" s="40"/>
      <c r="R27" s="192"/>
      <c r="S27" s="186"/>
      <c r="T27" s="458"/>
      <c r="U27" s="38"/>
      <c r="V27" s="38"/>
    </row>
    <row r="28" spans="3:22" ht="13.5" hidden="1" customHeight="1" thickBot="1" x14ac:dyDescent="0.25">
      <c r="C28" s="101"/>
      <c r="D28" s="62"/>
      <c r="E28" s="25"/>
      <c r="F28" s="25"/>
      <c r="G28" s="62"/>
      <c r="H28" s="27"/>
      <c r="I28" s="27"/>
      <c r="J28" s="31"/>
      <c r="K28" s="349"/>
      <c r="L28" s="28"/>
      <c r="M28" s="349"/>
      <c r="N28" s="27"/>
      <c r="O28" s="27"/>
      <c r="P28" s="27"/>
      <c r="Q28" s="29"/>
      <c r="R28" s="190"/>
      <c r="S28" s="19"/>
      <c r="T28" s="456"/>
      <c r="U28" s="11"/>
      <c r="V28" s="11"/>
    </row>
    <row r="29" spans="3:22" hidden="1" x14ac:dyDescent="0.2">
      <c r="C29" s="176"/>
      <c r="D29" s="43"/>
      <c r="E29" s="42"/>
      <c r="F29" s="42"/>
      <c r="G29" s="43"/>
      <c r="H29" s="24"/>
      <c r="I29" s="24"/>
      <c r="J29" s="51"/>
      <c r="K29" s="348"/>
      <c r="L29" s="44"/>
      <c r="M29" s="348"/>
      <c r="N29" s="24"/>
      <c r="O29" s="24"/>
      <c r="P29" s="24"/>
      <c r="Q29" s="45"/>
      <c r="R29" s="191"/>
      <c r="S29" s="52"/>
      <c r="T29" s="455"/>
      <c r="U29" s="11"/>
      <c r="V29" s="11"/>
    </row>
    <row r="30" spans="3:22" ht="13.5" hidden="1" customHeight="1" thickBot="1" x14ac:dyDescent="0.25">
      <c r="C30" s="101"/>
      <c r="D30" s="62"/>
      <c r="E30" s="25"/>
      <c r="F30" s="25"/>
      <c r="G30" s="62"/>
      <c r="H30" s="27"/>
      <c r="I30" s="27"/>
      <c r="J30" s="31"/>
      <c r="K30" s="349"/>
      <c r="L30" s="28"/>
      <c r="M30" s="349"/>
      <c r="N30" s="27"/>
      <c r="O30" s="27"/>
      <c r="P30" s="27"/>
      <c r="Q30" s="29"/>
      <c r="R30" s="190"/>
      <c r="S30" s="19"/>
      <c r="T30" s="456"/>
      <c r="U30" s="11"/>
      <c r="V30" s="11"/>
    </row>
    <row r="31" spans="3:22" hidden="1" x14ac:dyDescent="0.2">
      <c r="C31" s="238"/>
      <c r="D31" s="36"/>
      <c r="E31" s="37"/>
      <c r="F31" s="37"/>
      <c r="G31" s="36"/>
      <c r="H31" s="38"/>
      <c r="I31" s="38"/>
      <c r="J31" s="39"/>
      <c r="K31" s="350"/>
      <c r="L31" s="48"/>
      <c r="M31" s="348"/>
      <c r="N31" s="38"/>
      <c r="O31" s="38"/>
      <c r="P31" s="38"/>
      <c r="Q31" s="40"/>
      <c r="R31" s="192"/>
      <c r="S31" s="186"/>
      <c r="T31" s="458"/>
      <c r="U31" s="11"/>
      <c r="V31" s="11"/>
    </row>
    <row r="32" spans="3:22" ht="13.5" hidden="1" customHeight="1" thickBot="1" x14ac:dyDescent="0.25">
      <c r="C32" s="101"/>
      <c r="D32" s="62"/>
      <c r="E32" s="25"/>
      <c r="F32" s="25"/>
      <c r="G32" s="62"/>
      <c r="H32" s="27"/>
      <c r="I32" s="27"/>
      <c r="J32" s="31"/>
      <c r="K32" s="349"/>
      <c r="L32" s="28"/>
      <c r="M32" s="349"/>
      <c r="N32" s="27"/>
      <c r="O32" s="27"/>
      <c r="P32" s="27"/>
      <c r="Q32" s="29"/>
      <c r="R32" s="190"/>
      <c r="S32" s="19"/>
      <c r="T32" s="456"/>
      <c r="U32" s="11"/>
      <c r="V32" s="11"/>
    </row>
    <row r="33" spans="3:23" ht="12.75" thickBot="1" x14ac:dyDescent="0.25">
      <c r="I33" s="15"/>
      <c r="R33" s="193"/>
      <c r="S33" s="15"/>
    </row>
    <row r="34" spans="3:23" x14ac:dyDescent="0.2">
      <c r="E34" s="629" t="s">
        <v>34</v>
      </c>
      <c r="F34" s="646">
        <f>+'AGUILAR ESQUIVEL CARLOS'!F34</f>
        <v>45957</v>
      </c>
      <c r="G34" s="647"/>
      <c r="H34" s="16">
        <f>+F34+1</f>
        <v>45958</v>
      </c>
      <c r="I34" s="16">
        <f>+H34+1</f>
        <v>45959</v>
      </c>
      <c r="J34" s="16">
        <f>+I34+1</f>
        <v>45960</v>
      </c>
      <c r="K34" s="16">
        <f>+J34+1</f>
        <v>45961</v>
      </c>
      <c r="L34" s="16">
        <f>+K34+2</f>
        <v>45963</v>
      </c>
      <c r="M34" s="17" t="s">
        <v>35</v>
      </c>
      <c r="R34" s="450"/>
      <c r="S34" s="450"/>
      <c r="T34" s="450"/>
    </row>
    <row r="35" spans="3:23" ht="12.75" thickBot="1" x14ac:dyDescent="0.25">
      <c r="E35" s="630"/>
      <c r="F35" s="648"/>
      <c r="G35" s="649"/>
      <c r="H35" s="29"/>
      <c r="I35" s="29"/>
      <c r="J35" s="29"/>
      <c r="K35" s="29">
        <v>125</v>
      </c>
      <c r="L35" s="29"/>
      <c r="M35" s="30">
        <f>SUM(F35:L35)</f>
        <v>125</v>
      </c>
      <c r="O35" s="403"/>
    </row>
    <row r="36" spans="3:23" ht="12.75" thickBot="1" x14ac:dyDescent="0.25">
      <c r="I36" s="15"/>
    </row>
    <row r="37" spans="3:23" ht="13.5" thickBot="1" x14ac:dyDescent="0.25">
      <c r="C37" s="608" t="s">
        <v>36</v>
      </c>
      <c r="D37" s="609"/>
      <c r="E37" s="609"/>
      <c r="F37" s="609"/>
      <c r="G37" s="610"/>
      <c r="I37" s="620" t="s">
        <v>37</v>
      </c>
      <c r="J37" s="621"/>
      <c r="K37" s="621"/>
      <c r="L37" s="622"/>
      <c r="M37" s="298"/>
      <c r="O37" s="611" t="s">
        <v>38</v>
      </c>
      <c r="P37" s="612"/>
      <c r="Q37" s="613">
        <f>+F49-L46</f>
        <v>6707.6995843427821</v>
      </c>
      <c r="R37" s="614"/>
      <c r="S37" s="615"/>
      <c r="T37" s="244"/>
    </row>
    <row r="38" spans="3:23" ht="12.75" thickBot="1" x14ac:dyDescent="0.25">
      <c r="C38" s="616" t="s">
        <v>219</v>
      </c>
      <c r="D38" s="617"/>
      <c r="E38" s="617"/>
      <c r="F38" s="618">
        <f>SUM(Q18:Q33)</f>
        <v>879.9899999999999</v>
      </c>
      <c r="G38" s="619"/>
      <c r="I38" s="114" t="s">
        <v>125</v>
      </c>
      <c r="J38" s="68" t="s">
        <v>126</v>
      </c>
      <c r="K38" s="68" t="s">
        <v>70</v>
      </c>
      <c r="L38" s="283" t="s">
        <v>127</v>
      </c>
      <c r="M38" s="346"/>
    </row>
    <row r="39" spans="3:23" ht="13.5" customHeight="1" thickBot="1" x14ac:dyDescent="0.25">
      <c r="C39" s="602" t="s">
        <v>220</v>
      </c>
      <c r="D39" s="603"/>
      <c r="E39" s="603"/>
      <c r="F39" s="604">
        <f>SUM(T18:T33)</f>
        <v>5702.7095843427824</v>
      </c>
      <c r="G39" s="605"/>
      <c r="I39" s="176"/>
      <c r="J39" s="412"/>
      <c r="K39" s="418"/>
      <c r="L39" s="409"/>
      <c r="M39" s="346"/>
      <c r="O39" s="74" t="s">
        <v>70</v>
      </c>
      <c r="P39" s="75" t="s">
        <v>71</v>
      </c>
      <c r="Q39" s="76" t="s">
        <v>72</v>
      </c>
      <c r="R39" s="64"/>
      <c r="S39" s="77" t="s">
        <v>73</v>
      </c>
      <c r="T39" s="75" t="s">
        <v>74</v>
      </c>
      <c r="U39" s="74" t="s">
        <v>145</v>
      </c>
      <c r="V39" s="75" t="s">
        <v>146</v>
      </c>
      <c r="W39" s="75" t="s">
        <v>284</v>
      </c>
    </row>
    <row r="40" spans="3:23" x14ac:dyDescent="0.2">
      <c r="C40" s="602" t="s">
        <v>34</v>
      </c>
      <c r="D40" s="603"/>
      <c r="E40" s="603"/>
      <c r="F40" s="604">
        <f>+M35</f>
        <v>125</v>
      </c>
      <c r="G40" s="605"/>
      <c r="I40" s="380"/>
      <c r="J40" s="117"/>
      <c r="K40" s="415"/>
      <c r="L40" s="407"/>
      <c r="M40" s="346"/>
      <c r="O40" s="78">
        <v>46492</v>
      </c>
      <c r="P40" s="79" t="s">
        <v>123</v>
      </c>
      <c r="Q40" s="80">
        <v>436198</v>
      </c>
      <c r="R40" s="80"/>
      <c r="S40" s="63">
        <v>436910</v>
      </c>
      <c r="T40" s="79">
        <f t="shared" ref="T40" si="2">+S40-Q40</f>
        <v>712</v>
      </c>
      <c r="U40" s="137">
        <f>SUM(J19:J20)</f>
        <v>750</v>
      </c>
      <c r="V40" s="79">
        <f>+K20</f>
        <v>226</v>
      </c>
      <c r="W40" s="353">
        <f>(SUM(M19:M20)/2)</f>
        <v>3315</v>
      </c>
    </row>
    <row r="41" spans="3:23" x14ac:dyDescent="0.2">
      <c r="C41" s="602" t="s">
        <v>234</v>
      </c>
      <c r="D41" s="603"/>
      <c r="E41" s="603"/>
      <c r="F41" s="604">
        <v>0</v>
      </c>
      <c r="G41" s="605"/>
      <c r="I41" s="94"/>
      <c r="J41" s="117"/>
      <c r="K41" s="415"/>
      <c r="L41" s="407"/>
      <c r="M41" s="346"/>
      <c r="O41" s="32">
        <v>46127</v>
      </c>
      <c r="P41" s="53" t="s">
        <v>123</v>
      </c>
      <c r="Q41" s="63">
        <v>436916</v>
      </c>
      <c r="R41" s="63"/>
      <c r="S41" s="11">
        <v>437607</v>
      </c>
      <c r="T41" s="53">
        <f>+S41-Q41</f>
        <v>691</v>
      </c>
      <c r="U41" s="136">
        <f>SUM(J21:J22)</f>
        <v>750</v>
      </c>
      <c r="V41" s="53">
        <f>+K22</f>
        <v>213</v>
      </c>
      <c r="W41" s="354">
        <f>(SUM(M21:M22)/2)</f>
        <v>2428</v>
      </c>
    </row>
    <row r="42" spans="3:23" x14ac:dyDescent="0.2">
      <c r="C42" s="602" t="s">
        <v>39</v>
      </c>
      <c r="D42" s="603"/>
      <c r="E42" s="603"/>
      <c r="F42" s="604"/>
      <c r="G42" s="605"/>
      <c r="I42" s="94"/>
      <c r="J42" s="117"/>
      <c r="K42" s="415"/>
      <c r="L42" s="407"/>
      <c r="M42" s="346"/>
      <c r="O42" s="32">
        <v>46154</v>
      </c>
      <c r="P42" s="53" t="s">
        <v>123</v>
      </c>
      <c r="Q42" s="63">
        <v>437607</v>
      </c>
      <c r="R42" s="63"/>
      <c r="S42" s="63">
        <v>438342</v>
      </c>
      <c r="T42" s="53">
        <f t="shared" ref="T42:T46" si="3">+S42-Q42</f>
        <v>735</v>
      </c>
      <c r="U42" s="136">
        <f>SUM(J23:J24)</f>
        <v>800</v>
      </c>
      <c r="V42" s="53">
        <f>+K24</f>
        <v>226.05</v>
      </c>
      <c r="W42" s="354">
        <f>(SUM(M23:M24)/2)</f>
        <v>7969.5</v>
      </c>
    </row>
    <row r="43" spans="3:23" x14ac:dyDescent="0.2">
      <c r="C43" s="602" t="s">
        <v>116</v>
      </c>
      <c r="D43" s="603"/>
      <c r="E43" s="603"/>
      <c r="F43" s="604"/>
      <c r="G43" s="605"/>
      <c r="I43" s="94"/>
      <c r="J43" s="117"/>
      <c r="K43" s="415"/>
      <c r="L43" s="407"/>
      <c r="M43" s="346"/>
      <c r="O43" s="32">
        <v>46174</v>
      </c>
      <c r="P43" s="53" t="s">
        <v>123</v>
      </c>
      <c r="Q43" s="63">
        <v>438342</v>
      </c>
      <c r="R43" s="63"/>
      <c r="S43" s="11">
        <v>439059</v>
      </c>
      <c r="T43" s="53">
        <f t="shared" si="3"/>
        <v>717</v>
      </c>
      <c r="U43" s="136">
        <f>SUM(J25:J26)</f>
        <v>750</v>
      </c>
      <c r="V43" s="53">
        <f>+K26</f>
        <v>236</v>
      </c>
      <c r="W43" s="354">
        <f>(SUM(M25:M26)/2)</f>
        <v>1464</v>
      </c>
    </row>
    <row r="44" spans="3:23" x14ac:dyDescent="0.2">
      <c r="C44" s="602" t="s">
        <v>40</v>
      </c>
      <c r="D44" s="603"/>
      <c r="E44" s="603"/>
      <c r="F44" s="604"/>
      <c r="G44" s="605"/>
      <c r="I44" s="94"/>
      <c r="J44" s="117"/>
      <c r="K44" s="415"/>
      <c r="L44" s="407"/>
      <c r="M44" s="346"/>
      <c r="O44" s="32"/>
      <c r="P44" s="53"/>
      <c r="Q44" s="63"/>
      <c r="R44" s="95"/>
      <c r="S44" s="11"/>
      <c r="T44" s="53">
        <f t="shared" si="3"/>
        <v>0</v>
      </c>
      <c r="U44" s="136">
        <f>SUM(J27:J28)</f>
        <v>0</v>
      </c>
      <c r="V44" s="53">
        <f>+K28</f>
        <v>0</v>
      </c>
      <c r="W44" s="354">
        <f>(SUM(M27:M28)/2)</f>
        <v>0</v>
      </c>
    </row>
    <row r="45" spans="3:23" ht="12.75" thickBot="1" x14ac:dyDescent="0.25">
      <c r="C45" s="602" t="s">
        <v>330</v>
      </c>
      <c r="D45" s="603"/>
      <c r="E45" s="603"/>
      <c r="F45" s="604"/>
      <c r="G45" s="605"/>
      <c r="I45" s="282"/>
      <c r="J45" s="285"/>
      <c r="K45" s="417"/>
      <c r="L45" s="410"/>
      <c r="M45" s="346"/>
      <c r="O45" s="32"/>
      <c r="P45" s="53"/>
      <c r="Q45" s="63"/>
      <c r="R45" s="95"/>
      <c r="S45" s="11"/>
      <c r="T45" s="53">
        <f t="shared" si="3"/>
        <v>0</v>
      </c>
      <c r="U45" s="136">
        <f>SUM(J29:J30)</f>
        <v>0</v>
      </c>
      <c r="V45" s="53">
        <f>+K30</f>
        <v>0</v>
      </c>
      <c r="W45" s="354">
        <f>(SUM(M29:M30)/2)</f>
        <v>0</v>
      </c>
    </row>
    <row r="46" spans="3:23" ht="13.5" customHeight="1" thickBot="1" x14ac:dyDescent="0.25">
      <c r="C46" s="602" t="s">
        <v>224</v>
      </c>
      <c r="D46" s="603"/>
      <c r="E46" s="603"/>
      <c r="F46" s="606">
        <v>0</v>
      </c>
      <c r="G46" s="607"/>
      <c r="I46" s="597" t="s">
        <v>41</v>
      </c>
      <c r="J46" s="598"/>
      <c r="K46" s="632"/>
      <c r="L46" s="284">
        <f>SUM(L39:L45)</f>
        <v>0</v>
      </c>
      <c r="M46" s="347"/>
      <c r="O46" s="32"/>
      <c r="P46" s="53"/>
      <c r="Q46" s="63"/>
      <c r="R46" s="83"/>
      <c r="S46" s="11"/>
      <c r="T46" s="53">
        <f t="shared" si="3"/>
        <v>0</v>
      </c>
      <c r="U46" s="138">
        <f>SUM(J31:J32)</f>
        <v>0</v>
      </c>
      <c r="V46" s="55">
        <f>+K32</f>
        <v>0</v>
      </c>
      <c r="W46" s="355">
        <f>(SUM(M31:M32)/2)</f>
        <v>0</v>
      </c>
    </row>
    <row r="47" spans="3:23" ht="13.5" customHeight="1" x14ac:dyDescent="0.2">
      <c r="C47" s="602" t="s">
        <v>293</v>
      </c>
      <c r="D47" s="603"/>
      <c r="E47" s="603"/>
      <c r="F47" s="606"/>
      <c r="G47" s="607"/>
      <c r="R47" s="21"/>
      <c r="S47" s="21"/>
      <c r="T47" s="21"/>
      <c r="U47" s="139"/>
      <c r="V47" s="271"/>
    </row>
    <row r="48" spans="3:23" ht="13.5" customHeight="1" thickBot="1" x14ac:dyDescent="0.25">
      <c r="C48" s="593" t="s">
        <v>345</v>
      </c>
      <c r="D48" s="594"/>
      <c r="E48" s="594"/>
      <c r="F48" s="595"/>
      <c r="G48" s="596"/>
      <c r="R48" s="21"/>
      <c r="S48" s="21"/>
      <c r="T48" s="21"/>
      <c r="U48" s="139"/>
      <c r="V48" s="271"/>
    </row>
    <row r="49" spans="3:22" ht="13.5" thickBot="1" x14ac:dyDescent="0.25">
      <c r="C49" s="597" t="s">
        <v>42</v>
      </c>
      <c r="D49" s="598"/>
      <c r="E49" s="599"/>
      <c r="F49" s="600">
        <f>SUM(F38:G48)</f>
        <v>6707.6995843427821</v>
      </c>
      <c r="G49" s="601"/>
      <c r="H49" s="120"/>
      <c r="R49" s="21"/>
      <c r="S49" s="21"/>
      <c r="T49" s="21"/>
      <c r="U49" s="139"/>
      <c r="V49" s="271"/>
    </row>
    <row r="50" spans="3:22" ht="13.5" customHeight="1" thickBot="1" x14ac:dyDescent="0.25">
      <c r="P50" s="588" t="s">
        <v>48</v>
      </c>
      <c r="Q50" s="589"/>
      <c r="R50" s="590"/>
      <c r="S50" s="21"/>
      <c r="T50" s="21"/>
      <c r="U50" s="139"/>
      <c r="V50" s="271"/>
    </row>
    <row r="51" spans="3:22" ht="12.75" customHeight="1" x14ac:dyDescent="0.2">
      <c r="C51" s="246" t="s">
        <v>43</v>
      </c>
      <c r="D51" s="247"/>
      <c r="E51" s="247"/>
      <c r="F51" s="247"/>
      <c r="G51" s="247"/>
      <c r="H51" s="247"/>
      <c r="I51" s="247"/>
      <c r="J51" s="247"/>
      <c r="K51" s="247"/>
      <c r="L51" s="248"/>
      <c r="M51" s="251"/>
      <c r="P51" s="78">
        <v>1</v>
      </c>
      <c r="Q51" s="584" t="s">
        <v>49</v>
      </c>
      <c r="R51" s="585"/>
      <c r="S51" s="21"/>
      <c r="T51" s="21"/>
      <c r="U51" s="249"/>
    </row>
    <row r="52" spans="3:22" ht="12.75" customHeight="1" x14ac:dyDescent="0.2">
      <c r="C52" s="250"/>
      <c r="D52" s="251"/>
      <c r="E52" s="251"/>
      <c r="F52" s="251"/>
      <c r="G52" s="251"/>
      <c r="H52" s="251"/>
      <c r="I52" s="251"/>
      <c r="J52" s="251"/>
      <c r="K52" s="251"/>
      <c r="L52" s="252"/>
      <c r="M52" s="251"/>
      <c r="P52" s="32">
        <v>2</v>
      </c>
      <c r="Q52" s="586" t="s">
        <v>135</v>
      </c>
      <c r="R52" s="587"/>
      <c r="S52" s="21"/>
      <c r="T52" s="249"/>
    </row>
    <row r="53" spans="3:22" ht="12.75" thickBot="1" x14ac:dyDescent="0.25">
      <c r="C53" s="253"/>
      <c r="D53" s="254"/>
      <c r="E53" s="254"/>
      <c r="F53" s="254"/>
      <c r="G53" s="254"/>
      <c r="H53" s="254"/>
      <c r="I53" s="254"/>
      <c r="J53" s="254"/>
      <c r="K53" s="254"/>
      <c r="L53" s="255"/>
      <c r="M53" s="251"/>
      <c r="P53" s="32">
        <v>3</v>
      </c>
      <c r="Q53" s="586" t="s">
        <v>130</v>
      </c>
      <c r="R53" s="587"/>
      <c r="S53" s="21"/>
      <c r="T53" s="249"/>
    </row>
    <row r="54" spans="3:22" x14ac:dyDescent="0.2">
      <c r="P54" s="32">
        <v>4</v>
      </c>
      <c r="Q54" s="586" t="s">
        <v>228</v>
      </c>
      <c r="R54" s="587"/>
      <c r="S54" s="21"/>
      <c r="T54" s="249"/>
    </row>
    <row r="55" spans="3:22" ht="12.75" thickBot="1" x14ac:dyDescent="0.25">
      <c r="P55" s="32">
        <v>5</v>
      </c>
      <c r="Q55" s="586" t="s">
        <v>229</v>
      </c>
      <c r="R55" s="587"/>
      <c r="S55" s="21"/>
    </row>
    <row r="56" spans="3:22" ht="14.25" customHeight="1" thickTop="1" thickBot="1" x14ac:dyDescent="0.25">
      <c r="D56" s="631" t="s">
        <v>44</v>
      </c>
      <c r="E56" s="631"/>
      <c r="F56" s="631"/>
      <c r="G56" s="631"/>
      <c r="H56" s="631"/>
      <c r="J56" s="631" t="s">
        <v>45</v>
      </c>
      <c r="K56" s="631"/>
      <c r="L56" s="631"/>
      <c r="M56" s="631"/>
      <c r="N56" s="631"/>
      <c r="P56" s="54">
        <v>6</v>
      </c>
      <c r="Q56" s="591" t="s">
        <v>230</v>
      </c>
      <c r="R56" s="592"/>
      <c r="S56" s="21"/>
      <c r="T56" s="21"/>
    </row>
    <row r="57" spans="3:22" x14ac:dyDescent="0.2">
      <c r="S57" s="21"/>
      <c r="T57" s="21"/>
    </row>
  </sheetData>
  <mergeCells count="56">
    <mergeCell ref="P50:R50"/>
    <mergeCell ref="Q51:R51"/>
    <mergeCell ref="Q52:R52"/>
    <mergeCell ref="Q53:R53"/>
    <mergeCell ref="C49:E49"/>
    <mergeCell ref="F49:G49"/>
    <mergeCell ref="D56:H56"/>
    <mergeCell ref="J56:N56"/>
    <mergeCell ref="C46:E46"/>
    <mergeCell ref="F46:G46"/>
    <mergeCell ref="C47:E47"/>
    <mergeCell ref="F47:G47"/>
    <mergeCell ref="C48:E48"/>
    <mergeCell ref="F48:G48"/>
    <mergeCell ref="F44:G44"/>
    <mergeCell ref="C45:E45"/>
    <mergeCell ref="F45:G45"/>
    <mergeCell ref="C44:E44"/>
    <mergeCell ref="I46:K46"/>
    <mergeCell ref="C42:E42"/>
    <mergeCell ref="F42:G42"/>
    <mergeCell ref="F41:G41"/>
    <mergeCell ref="C41:E41"/>
    <mergeCell ref="C43:E43"/>
    <mergeCell ref="F43:G43"/>
    <mergeCell ref="C39:E39"/>
    <mergeCell ref="F39:G39"/>
    <mergeCell ref="C40:E40"/>
    <mergeCell ref="F40:G40"/>
    <mergeCell ref="C37:G37"/>
    <mergeCell ref="I6:O6"/>
    <mergeCell ref="Q6:S6"/>
    <mergeCell ref="I9:O9"/>
    <mergeCell ref="L11:S11"/>
    <mergeCell ref="Q2:S2"/>
    <mergeCell ref="I3:O3"/>
    <mergeCell ref="Q3:S3"/>
    <mergeCell ref="I4:O4"/>
    <mergeCell ref="I5:O5"/>
    <mergeCell ref="Q5:S5"/>
    <mergeCell ref="Q54:R54"/>
    <mergeCell ref="Q55:R55"/>
    <mergeCell ref="Q56:R56"/>
    <mergeCell ref="E12:F12"/>
    <mergeCell ref="D13:E13"/>
    <mergeCell ref="D14:E14"/>
    <mergeCell ref="D15:E15"/>
    <mergeCell ref="D16:E16"/>
    <mergeCell ref="E34:E35"/>
    <mergeCell ref="O37:P37"/>
    <mergeCell ref="F34:G34"/>
    <mergeCell ref="F35:G35"/>
    <mergeCell ref="Q37:S37"/>
    <mergeCell ref="C38:E38"/>
    <mergeCell ref="F38:G38"/>
    <mergeCell ref="I37:L37"/>
  </mergeCells>
  <phoneticPr fontId="31" type="noConversion"/>
  <pageMargins left="0.19685039370078741" right="0.19685039370078741" top="0.35433070866141736" bottom="0.35433070866141736" header="0.31496062992125984" footer="0.31496062992125984"/>
  <pageSetup paperSize="9" scale="80" orientation="landscape" horizontalDpi="300" verticalDpi="300" r:id="rId1"/>
  <drawing r:id="rId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Hoja14">
    <pageSetUpPr fitToPage="1"/>
  </sheetPr>
  <dimension ref="C1:Z79"/>
  <sheetViews>
    <sheetView tabSelected="1" topLeftCell="A6" zoomScaleNormal="100" workbookViewId="0">
      <selection activeCell="M45" sqref="M45"/>
    </sheetView>
  </sheetViews>
  <sheetFormatPr baseColWidth="10" defaultColWidth="9.140625" defaultRowHeight="12" x14ac:dyDescent="0.2"/>
  <cols>
    <col min="1" max="1" width="9.140625" style="14" customWidth="1"/>
    <col min="2" max="2" width="5.7109375" style="14" customWidth="1"/>
    <col min="3" max="3" width="12" style="14" customWidth="1"/>
    <col min="4" max="4" width="11.42578125" style="14" customWidth="1"/>
    <col min="5" max="5" width="7.85546875" style="14" customWidth="1"/>
    <col min="6" max="6" width="8.85546875" style="14" customWidth="1"/>
    <col min="7" max="7" width="3" style="14" bestFit="1" customWidth="1"/>
    <col min="8" max="8" width="10" style="14" customWidth="1"/>
    <col min="9" max="9" width="9.5703125" style="14" customWidth="1"/>
    <col min="10" max="10" width="10.7109375" style="14" customWidth="1"/>
    <col min="11" max="11" width="9.7109375" style="14" customWidth="1"/>
    <col min="12" max="12" width="13.140625" style="14" customWidth="1"/>
    <col min="13" max="13" width="10.42578125" style="14" customWidth="1"/>
    <col min="14" max="14" width="10.7109375" style="14" customWidth="1"/>
    <col min="15" max="15" width="10.140625" style="14" customWidth="1"/>
    <col min="16" max="16" width="12.42578125" style="14" bestFit="1" customWidth="1"/>
    <col min="17" max="17" width="12.140625" style="14" customWidth="1"/>
    <col min="18" max="18" width="12.42578125" style="14" hidden="1" customWidth="1"/>
    <col min="19" max="19" width="11" style="14" bestFit="1" customWidth="1"/>
    <col min="20" max="20" width="11.5703125" style="14" customWidth="1"/>
    <col min="21" max="21" width="10.28515625" style="14" customWidth="1"/>
    <col min="22" max="22" width="10.7109375" style="14" customWidth="1"/>
    <col min="23" max="23" width="10.140625" style="14" customWidth="1"/>
    <col min="24" max="25" width="9.140625" style="14"/>
    <col min="26" max="26" width="11" style="14" bestFit="1" customWidth="1"/>
    <col min="27" max="259" width="9.140625" style="14"/>
    <col min="260" max="260" width="5.7109375" style="14" customWidth="1"/>
    <col min="261" max="261" width="13.140625" style="14" customWidth="1"/>
    <col min="262" max="262" width="12.28515625" style="14" customWidth="1"/>
    <col min="263" max="263" width="8.85546875" style="14" customWidth="1"/>
    <col min="264" max="264" width="10.85546875" style="14" customWidth="1"/>
    <col min="265" max="265" width="2.85546875" style="14" customWidth="1"/>
    <col min="266" max="266" width="12.140625" style="14" customWidth="1"/>
    <col min="267" max="267" width="10.140625" style="14" customWidth="1"/>
    <col min="268" max="268" width="11.7109375" style="14" customWidth="1"/>
    <col min="269" max="269" width="11.42578125" style="14" customWidth="1"/>
    <col min="270" max="270" width="12.7109375" style="14" customWidth="1"/>
    <col min="271" max="271" width="11.42578125" style="14" customWidth="1"/>
    <col min="272" max="272" width="10.7109375" style="14" customWidth="1"/>
    <col min="273" max="273" width="10.5703125" style="14" customWidth="1"/>
    <col min="274" max="274" width="11.28515625" style="14" customWidth="1"/>
    <col min="275" max="275" width="9.7109375" style="14" customWidth="1"/>
    <col min="276" max="276" width="12" style="14" customWidth="1"/>
    <col min="277" max="277" width="11.28515625" style="14" customWidth="1"/>
    <col min="278" max="515" width="9.140625" style="14"/>
    <col min="516" max="516" width="5.7109375" style="14" customWidth="1"/>
    <col min="517" max="517" width="13.140625" style="14" customWidth="1"/>
    <col min="518" max="518" width="12.28515625" style="14" customWidth="1"/>
    <col min="519" max="519" width="8.85546875" style="14" customWidth="1"/>
    <col min="520" max="520" width="10.85546875" style="14" customWidth="1"/>
    <col min="521" max="521" width="2.85546875" style="14" customWidth="1"/>
    <col min="522" max="522" width="12.140625" style="14" customWidth="1"/>
    <col min="523" max="523" width="10.140625" style="14" customWidth="1"/>
    <col min="524" max="524" width="11.7109375" style="14" customWidth="1"/>
    <col min="525" max="525" width="11.42578125" style="14" customWidth="1"/>
    <col min="526" max="526" width="12.7109375" style="14" customWidth="1"/>
    <col min="527" max="527" width="11.42578125" style="14" customWidth="1"/>
    <col min="528" max="528" width="10.7109375" style="14" customWidth="1"/>
    <col min="529" max="529" width="10.5703125" style="14" customWidth="1"/>
    <col min="530" max="530" width="11.28515625" style="14" customWidth="1"/>
    <col min="531" max="531" width="9.7109375" style="14" customWidth="1"/>
    <col min="532" max="532" width="12" style="14" customWidth="1"/>
    <col min="533" max="533" width="11.28515625" style="14" customWidth="1"/>
    <col min="534" max="771" width="9.140625" style="14"/>
    <col min="772" max="772" width="5.7109375" style="14" customWidth="1"/>
    <col min="773" max="773" width="13.140625" style="14" customWidth="1"/>
    <col min="774" max="774" width="12.28515625" style="14" customWidth="1"/>
    <col min="775" max="775" width="8.85546875" style="14" customWidth="1"/>
    <col min="776" max="776" width="10.85546875" style="14" customWidth="1"/>
    <col min="777" max="777" width="2.85546875" style="14" customWidth="1"/>
    <col min="778" max="778" width="12.140625" style="14" customWidth="1"/>
    <col min="779" max="779" width="10.140625" style="14" customWidth="1"/>
    <col min="780" max="780" width="11.7109375" style="14" customWidth="1"/>
    <col min="781" max="781" width="11.42578125" style="14" customWidth="1"/>
    <col min="782" max="782" width="12.7109375" style="14" customWidth="1"/>
    <col min="783" max="783" width="11.42578125" style="14" customWidth="1"/>
    <col min="784" max="784" width="10.7109375" style="14" customWidth="1"/>
    <col min="785" max="785" width="10.5703125" style="14" customWidth="1"/>
    <col min="786" max="786" width="11.28515625" style="14" customWidth="1"/>
    <col min="787" max="787" width="9.7109375" style="14" customWidth="1"/>
    <col min="788" max="788" width="12" style="14" customWidth="1"/>
    <col min="789" max="789" width="11.28515625" style="14" customWidth="1"/>
    <col min="790" max="1027" width="9.140625" style="14"/>
    <col min="1028" max="1028" width="5.7109375" style="14" customWidth="1"/>
    <col min="1029" max="1029" width="13.140625" style="14" customWidth="1"/>
    <col min="1030" max="1030" width="12.28515625" style="14" customWidth="1"/>
    <col min="1031" max="1031" width="8.85546875" style="14" customWidth="1"/>
    <col min="1032" max="1032" width="10.85546875" style="14" customWidth="1"/>
    <col min="1033" max="1033" width="2.85546875" style="14" customWidth="1"/>
    <col min="1034" max="1034" width="12.140625" style="14" customWidth="1"/>
    <col min="1035" max="1035" width="10.140625" style="14" customWidth="1"/>
    <col min="1036" max="1036" width="11.7109375" style="14" customWidth="1"/>
    <col min="1037" max="1037" width="11.42578125" style="14" customWidth="1"/>
    <col min="1038" max="1038" width="12.7109375" style="14" customWidth="1"/>
    <col min="1039" max="1039" width="11.42578125" style="14" customWidth="1"/>
    <col min="1040" max="1040" width="10.7109375" style="14" customWidth="1"/>
    <col min="1041" max="1041" width="10.5703125" style="14" customWidth="1"/>
    <col min="1042" max="1042" width="11.28515625" style="14" customWidth="1"/>
    <col min="1043" max="1043" width="9.7109375" style="14" customWidth="1"/>
    <col min="1044" max="1044" width="12" style="14" customWidth="1"/>
    <col min="1045" max="1045" width="11.28515625" style="14" customWidth="1"/>
    <col min="1046" max="1283" width="9.140625" style="14"/>
    <col min="1284" max="1284" width="5.7109375" style="14" customWidth="1"/>
    <col min="1285" max="1285" width="13.140625" style="14" customWidth="1"/>
    <col min="1286" max="1286" width="12.28515625" style="14" customWidth="1"/>
    <col min="1287" max="1287" width="8.85546875" style="14" customWidth="1"/>
    <col min="1288" max="1288" width="10.85546875" style="14" customWidth="1"/>
    <col min="1289" max="1289" width="2.85546875" style="14" customWidth="1"/>
    <col min="1290" max="1290" width="12.140625" style="14" customWidth="1"/>
    <col min="1291" max="1291" width="10.140625" style="14" customWidth="1"/>
    <col min="1292" max="1292" width="11.7109375" style="14" customWidth="1"/>
    <col min="1293" max="1293" width="11.42578125" style="14" customWidth="1"/>
    <col min="1294" max="1294" width="12.7109375" style="14" customWidth="1"/>
    <col min="1295" max="1295" width="11.42578125" style="14" customWidth="1"/>
    <col min="1296" max="1296" width="10.7109375" style="14" customWidth="1"/>
    <col min="1297" max="1297" width="10.5703125" style="14" customWidth="1"/>
    <col min="1298" max="1298" width="11.28515625" style="14" customWidth="1"/>
    <col min="1299" max="1299" width="9.7109375" style="14" customWidth="1"/>
    <col min="1300" max="1300" width="12" style="14" customWidth="1"/>
    <col min="1301" max="1301" width="11.28515625" style="14" customWidth="1"/>
    <col min="1302" max="1539" width="9.140625" style="14"/>
    <col min="1540" max="1540" width="5.7109375" style="14" customWidth="1"/>
    <col min="1541" max="1541" width="13.140625" style="14" customWidth="1"/>
    <col min="1542" max="1542" width="12.28515625" style="14" customWidth="1"/>
    <col min="1543" max="1543" width="8.85546875" style="14" customWidth="1"/>
    <col min="1544" max="1544" width="10.85546875" style="14" customWidth="1"/>
    <col min="1545" max="1545" width="2.85546875" style="14" customWidth="1"/>
    <col min="1546" max="1546" width="12.140625" style="14" customWidth="1"/>
    <col min="1547" max="1547" width="10.140625" style="14" customWidth="1"/>
    <col min="1548" max="1548" width="11.7109375" style="14" customWidth="1"/>
    <col min="1549" max="1549" width="11.42578125" style="14" customWidth="1"/>
    <col min="1550" max="1550" width="12.7109375" style="14" customWidth="1"/>
    <col min="1551" max="1551" width="11.42578125" style="14" customWidth="1"/>
    <col min="1552" max="1552" width="10.7109375" style="14" customWidth="1"/>
    <col min="1553" max="1553" width="10.5703125" style="14" customWidth="1"/>
    <col min="1554" max="1554" width="11.28515625" style="14" customWidth="1"/>
    <col min="1555" max="1555" width="9.7109375" style="14" customWidth="1"/>
    <col min="1556" max="1556" width="12" style="14" customWidth="1"/>
    <col min="1557" max="1557" width="11.28515625" style="14" customWidth="1"/>
    <col min="1558" max="1795" width="9.140625" style="14"/>
    <col min="1796" max="1796" width="5.7109375" style="14" customWidth="1"/>
    <col min="1797" max="1797" width="13.140625" style="14" customWidth="1"/>
    <col min="1798" max="1798" width="12.28515625" style="14" customWidth="1"/>
    <col min="1799" max="1799" width="8.85546875" style="14" customWidth="1"/>
    <col min="1800" max="1800" width="10.85546875" style="14" customWidth="1"/>
    <col min="1801" max="1801" width="2.85546875" style="14" customWidth="1"/>
    <col min="1802" max="1802" width="12.140625" style="14" customWidth="1"/>
    <col min="1803" max="1803" width="10.140625" style="14" customWidth="1"/>
    <col min="1804" max="1804" width="11.7109375" style="14" customWidth="1"/>
    <col min="1805" max="1805" width="11.42578125" style="14" customWidth="1"/>
    <col min="1806" max="1806" width="12.7109375" style="14" customWidth="1"/>
    <col min="1807" max="1807" width="11.42578125" style="14" customWidth="1"/>
    <col min="1808" max="1808" width="10.7109375" style="14" customWidth="1"/>
    <col min="1809" max="1809" width="10.5703125" style="14" customWidth="1"/>
    <col min="1810" max="1810" width="11.28515625" style="14" customWidth="1"/>
    <col min="1811" max="1811" width="9.7109375" style="14" customWidth="1"/>
    <col min="1812" max="1812" width="12" style="14" customWidth="1"/>
    <col min="1813" max="1813" width="11.28515625" style="14" customWidth="1"/>
    <col min="1814" max="2051" width="9.140625" style="14"/>
    <col min="2052" max="2052" width="5.7109375" style="14" customWidth="1"/>
    <col min="2053" max="2053" width="13.140625" style="14" customWidth="1"/>
    <col min="2054" max="2054" width="12.28515625" style="14" customWidth="1"/>
    <col min="2055" max="2055" width="8.85546875" style="14" customWidth="1"/>
    <col min="2056" max="2056" width="10.85546875" style="14" customWidth="1"/>
    <col min="2057" max="2057" width="2.85546875" style="14" customWidth="1"/>
    <col min="2058" max="2058" width="12.140625" style="14" customWidth="1"/>
    <col min="2059" max="2059" width="10.140625" style="14" customWidth="1"/>
    <col min="2060" max="2060" width="11.7109375" style="14" customWidth="1"/>
    <col min="2061" max="2061" width="11.42578125" style="14" customWidth="1"/>
    <col min="2062" max="2062" width="12.7109375" style="14" customWidth="1"/>
    <col min="2063" max="2063" width="11.42578125" style="14" customWidth="1"/>
    <col min="2064" max="2064" width="10.7109375" style="14" customWidth="1"/>
    <col min="2065" max="2065" width="10.5703125" style="14" customWidth="1"/>
    <col min="2066" max="2066" width="11.28515625" style="14" customWidth="1"/>
    <col min="2067" max="2067" width="9.7109375" style="14" customWidth="1"/>
    <col min="2068" max="2068" width="12" style="14" customWidth="1"/>
    <col min="2069" max="2069" width="11.28515625" style="14" customWidth="1"/>
    <col min="2070" max="2307" width="9.140625" style="14"/>
    <col min="2308" max="2308" width="5.7109375" style="14" customWidth="1"/>
    <col min="2309" max="2309" width="13.140625" style="14" customWidth="1"/>
    <col min="2310" max="2310" width="12.28515625" style="14" customWidth="1"/>
    <col min="2311" max="2311" width="8.85546875" style="14" customWidth="1"/>
    <col min="2312" max="2312" width="10.85546875" style="14" customWidth="1"/>
    <col min="2313" max="2313" width="2.85546875" style="14" customWidth="1"/>
    <col min="2314" max="2314" width="12.140625" style="14" customWidth="1"/>
    <col min="2315" max="2315" width="10.140625" style="14" customWidth="1"/>
    <col min="2316" max="2316" width="11.7109375" style="14" customWidth="1"/>
    <col min="2317" max="2317" width="11.42578125" style="14" customWidth="1"/>
    <col min="2318" max="2318" width="12.7109375" style="14" customWidth="1"/>
    <col min="2319" max="2319" width="11.42578125" style="14" customWidth="1"/>
    <col min="2320" max="2320" width="10.7109375" style="14" customWidth="1"/>
    <col min="2321" max="2321" width="10.5703125" style="14" customWidth="1"/>
    <col min="2322" max="2322" width="11.28515625" style="14" customWidth="1"/>
    <col min="2323" max="2323" width="9.7109375" style="14" customWidth="1"/>
    <col min="2324" max="2324" width="12" style="14" customWidth="1"/>
    <col min="2325" max="2325" width="11.28515625" style="14" customWidth="1"/>
    <col min="2326" max="2563" width="9.140625" style="14"/>
    <col min="2564" max="2564" width="5.7109375" style="14" customWidth="1"/>
    <col min="2565" max="2565" width="13.140625" style="14" customWidth="1"/>
    <col min="2566" max="2566" width="12.28515625" style="14" customWidth="1"/>
    <col min="2567" max="2567" width="8.85546875" style="14" customWidth="1"/>
    <col min="2568" max="2568" width="10.85546875" style="14" customWidth="1"/>
    <col min="2569" max="2569" width="2.85546875" style="14" customWidth="1"/>
    <col min="2570" max="2570" width="12.140625" style="14" customWidth="1"/>
    <col min="2571" max="2571" width="10.140625" style="14" customWidth="1"/>
    <col min="2572" max="2572" width="11.7109375" style="14" customWidth="1"/>
    <col min="2573" max="2573" width="11.42578125" style="14" customWidth="1"/>
    <col min="2574" max="2574" width="12.7109375" style="14" customWidth="1"/>
    <col min="2575" max="2575" width="11.42578125" style="14" customWidth="1"/>
    <col min="2576" max="2576" width="10.7109375" style="14" customWidth="1"/>
    <col min="2577" max="2577" width="10.5703125" style="14" customWidth="1"/>
    <col min="2578" max="2578" width="11.28515625" style="14" customWidth="1"/>
    <col min="2579" max="2579" width="9.7109375" style="14" customWidth="1"/>
    <col min="2580" max="2580" width="12" style="14" customWidth="1"/>
    <col min="2581" max="2581" width="11.28515625" style="14" customWidth="1"/>
    <col min="2582" max="2819" width="9.140625" style="14"/>
    <col min="2820" max="2820" width="5.7109375" style="14" customWidth="1"/>
    <col min="2821" max="2821" width="13.140625" style="14" customWidth="1"/>
    <col min="2822" max="2822" width="12.28515625" style="14" customWidth="1"/>
    <col min="2823" max="2823" width="8.85546875" style="14" customWidth="1"/>
    <col min="2824" max="2824" width="10.85546875" style="14" customWidth="1"/>
    <col min="2825" max="2825" width="2.85546875" style="14" customWidth="1"/>
    <col min="2826" max="2826" width="12.140625" style="14" customWidth="1"/>
    <col min="2827" max="2827" width="10.140625" style="14" customWidth="1"/>
    <col min="2828" max="2828" width="11.7109375" style="14" customWidth="1"/>
    <col min="2829" max="2829" width="11.42578125" style="14" customWidth="1"/>
    <col min="2830" max="2830" width="12.7109375" style="14" customWidth="1"/>
    <col min="2831" max="2831" width="11.42578125" style="14" customWidth="1"/>
    <col min="2832" max="2832" width="10.7109375" style="14" customWidth="1"/>
    <col min="2833" max="2833" width="10.5703125" style="14" customWidth="1"/>
    <col min="2834" max="2834" width="11.28515625" style="14" customWidth="1"/>
    <col min="2835" max="2835" width="9.7109375" style="14" customWidth="1"/>
    <col min="2836" max="2836" width="12" style="14" customWidth="1"/>
    <col min="2837" max="2837" width="11.28515625" style="14" customWidth="1"/>
    <col min="2838" max="3075" width="9.140625" style="14"/>
    <col min="3076" max="3076" width="5.7109375" style="14" customWidth="1"/>
    <col min="3077" max="3077" width="13.140625" style="14" customWidth="1"/>
    <col min="3078" max="3078" width="12.28515625" style="14" customWidth="1"/>
    <col min="3079" max="3079" width="8.85546875" style="14" customWidth="1"/>
    <col min="3080" max="3080" width="10.85546875" style="14" customWidth="1"/>
    <col min="3081" max="3081" width="2.85546875" style="14" customWidth="1"/>
    <col min="3082" max="3082" width="12.140625" style="14" customWidth="1"/>
    <col min="3083" max="3083" width="10.140625" style="14" customWidth="1"/>
    <col min="3084" max="3084" width="11.7109375" style="14" customWidth="1"/>
    <col min="3085" max="3085" width="11.42578125" style="14" customWidth="1"/>
    <col min="3086" max="3086" width="12.7109375" style="14" customWidth="1"/>
    <col min="3087" max="3087" width="11.42578125" style="14" customWidth="1"/>
    <col min="3088" max="3088" width="10.7109375" style="14" customWidth="1"/>
    <col min="3089" max="3089" width="10.5703125" style="14" customWidth="1"/>
    <col min="3090" max="3090" width="11.28515625" style="14" customWidth="1"/>
    <col min="3091" max="3091" width="9.7109375" style="14" customWidth="1"/>
    <col min="3092" max="3092" width="12" style="14" customWidth="1"/>
    <col min="3093" max="3093" width="11.28515625" style="14" customWidth="1"/>
    <col min="3094" max="3331" width="9.140625" style="14"/>
    <col min="3332" max="3332" width="5.7109375" style="14" customWidth="1"/>
    <col min="3333" max="3333" width="13.140625" style="14" customWidth="1"/>
    <col min="3334" max="3334" width="12.28515625" style="14" customWidth="1"/>
    <col min="3335" max="3335" width="8.85546875" style="14" customWidth="1"/>
    <col min="3336" max="3336" width="10.85546875" style="14" customWidth="1"/>
    <col min="3337" max="3337" width="2.85546875" style="14" customWidth="1"/>
    <col min="3338" max="3338" width="12.140625" style="14" customWidth="1"/>
    <col min="3339" max="3339" width="10.140625" style="14" customWidth="1"/>
    <col min="3340" max="3340" width="11.7109375" style="14" customWidth="1"/>
    <col min="3341" max="3341" width="11.42578125" style="14" customWidth="1"/>
    <col min="3342" max="3342" width="12.7109375" style="14" customWidth="1"/>
    <col min="3343" max="3343" width="11.42578125" style="14" customWidth="1"/>
    <col min="3344" max="3344" width="10.7109375" style="14" customWidth="1"/>
    <col min="3345" max="3345" width="10.5703125" style="14" customWidth="1"/>
    <col min="3346" max="3346" width="11.28515625" style="14" customWidth="1"/>
    <col min="3347" max="3347" width="9.7109375" style="14" customWidth="1"/>
    <col min="3348" max="3348" width="12" style="14" customWidth="1"/>
    <col min="3349" max="3349" width="11.28515625" style="14" customWidth="1"/>
    <col min="3350" max="3587" width="9.140625" style="14"/>
    <col min="3588" max="3588" width="5.7109375" style="14" customWidth="1"/>
    <col min="3589" max="3589" width="13.140625" style="14" customWidth="1"/>
    <col min="3590" max="3590" width="12.28515625" style="14" customWidth="1"/>
    <col min="3591" max="3591" width="8.85546875" style="14" customWidth="1"/>
    <col min="3592" max="3592" width="10.85546875" style="14" customWidth="1"/>
    <col min="3593" max="3593" width="2.85546875" style="14" customWidth="1"/>
    <col min="3594" max="3594" width="12.140625" style="14" customWidth="1"/>
    <col min="3595" max="3595" width="10.140625" style="14" customWidth="1"/>
    <col min="3596" max="3596" width="11.7109375" style="14" customWidth="1"/>
    <col min="3597" max="3597" width="11.42578125" style="14" customWidth="1"/>
    <col min="3598" max="3598" width="12.7109375" style="14" customWidth="1"/>
    <col min="3599" max="3599" width="11.42578125" style="14" customWidth="1"/>
    <col min="3600" max="3600" width="10.7109375" style="14" customWidth="1"/>
    <col min="3601" max="3601" width="10.5703125" style="14" customWidth="1"/>
    <col min="3602" max="3602" width="11.28515625" style="14" customWidth="1"/>
    <col min="3603" max="3603" width="9.7109375" style="14" customWidth="1"/>
    <col min="3604" max="3604" width="12" style="14" customWidth="1"/>
    <col min="3605" max="3605" width="11.28515625" style="14" customWidth="1"/>
    <col min="3606" max="3843" width="9.140625" style="14"/>
    <col min="3844" max="3844" width="5.7109375" style="14" customWidth="1"/>
    <col min="3845" max="3845" width="13.140625" style="14" customWidth="1"/>
    <col min="3846" max="3846" width="12.28515625" style="14" customWidth="1"/>
    <col min="3847" max="3847" width="8.85546875" style="14" customWidth="1"/>
    <col min="3848" max="3848" width="10.85546875" style="14" customWidth="1"/>
    <col min="3849" max="3849" width="2.85546875" style="14" customWidth="1"/>
    <col min="3850" max="3850" width="12.140625" style="14" customWidth="1"/>
    <col min="3851" max="3851" width="10.140625" style="14" customWidth="1"/>
    <col min="3852" max="3852" width="11.7109375" style="14" customWidth="1"/>
    <col min="3853" max="3853" width="11.42578125" style="14" customWidth="1"/>
    <col min="3854" max="3854" width="12.7109375" style="14" customWidth="1"/>
    <col min="3855" max="3855" width="11.42578125" style="14" customWidth="1"/>
    <col min="3856" max="3856" width="10.7109375" style="14" customWidth="1"/>
    <col min="3857" max="3857" width="10.5703125" style="14" customWidth="1"/>
    <col min="3858" max="3858" width="11.28515625" style="14" customWidth="1"/>
    <col min="3859" max="3859" width="9.7109375" style="14" customWidth="1"/>
    <col min="3860" max="3860" width="12" style="14" customWidth="1"/>
    <col min="3861" max="3861" width="11.28515625" style="14" customWidth="1"/>
    <col min="3862" max="4099" width="9.140625" style="14"/>
    <col min="4100" max="4100" width="5.7109375" style="14" customWidth="1"/>
    <col min="4101" max="4101" width="13.140625" style="14" customWidth="1"/>
    <col min="4102" max="4102" width="12.28515625" style="14" customWidth="1"/>
    <col min="4103" max="4103" width="8.85546875" style="14" customWidth="1"/>
    <col min="4104" max="4104" width="10.85546875" style="14" customWidth="1"/>
    <col min="4105" max="4105" width="2.85546875" style="14" customWidth="1"/>
    <col min="4106" max="4106" width="12.140625" style="14" customWidth="1"/>
    <col min="4107" max="4107" width="10.140625" style="14" customWidth="1"/>
    <col min="4108" max="4108" width="11.7109375" style="14" customWidth="1"/>
    <col min="4109" max="4109" width="11.42578125" style="14" customWidth="1"/>
    <col min="4110" max="4110" width="12.7109375" style="14" customWidth="1"/>
    <col min="4111" max="4111" width="11.42578125" style="14" customWidth="1"/>
    <col min="4112" max="4112" width="10.7109375" style="14" customWidth="1"/>
    <col min="4113" max="4113" width="10.5703125" style="14" customWidth="1"/>
    <col min="4114" max="4114" width="11.28515625" style="14" customWidth="1"/>
    <col min="4115" max="4115" width="9.7109375" style="14" customWidth="1"/>
    <col min="4116" max="4116" width="12" style="14" customWidth="1"/>
    <col min="4117" max="4117" width="11.28515625" style="14" customWidth="1"/>
    <col min="4118" max="4355" width="9.140625" style="14"/>
    <col min="4356" max="4356" width="5.7109375" style="14" customWidth="1"/>
    <col min="4357" max="4357" width="13.140625" style="14" customWidth="1"/>
    <col min="4358" max="4358" width="12.28515625" style="14" customWidth="1"/>
    <col min="4359" max="4359" width="8.85546875" style="14" customWidth="1"/>
    <col min="4360" max="4360" width="10.85546875" style="14" customWidth="1"/>
    <col min="4361" max="4361" width="2.85546875" style="14" customWidth="1"/>
    <col min="4362" max="4362" width="12.140625" style="14" customWidth="1"/>
    <col min="4363" max="4363" width="10.140625" style="14" customWidth="1"/>
    <col min="4364" max="4364" width="11.7109375" style="14" customWidth="1"/>
    <col min="4365" max="4365" width="11.42578125" style="14" customWidth="1"/>
    <col min="4366" max="4366" width="12.7109375" style="14" customWidth="1"/>
    <col min="4367" max="4367" width="11.42578125" style="14" customWidth="1"/>
    <col min="4368" max="4368" width="10.7109375" style="14" customWidth="1"/>
    <col min="4369" max="4369" width="10.5703125" style="14" customWidth="1"/>
    <col min="4370" max="4370" width="11.28515625" style="14" customWidth="1"/>
    <col min="4371" max="4371" width="9.7109375" style="14" customWidth="1"/>
    <col min="4372" max="4372" width="12" style="14" customWidth="1"/>
    <col min="4373" max="4373" width="11.28515625" style="14" customWidth="1"/>
    <col min="4374" max="4611" width="9.140625" style="14"/>
    <col min="4612" max="4612" width="5.7109375" style="14" customWidth="1"/>
    <col min="4613" max="4613" width="13.140625" style="14" customWidth="1"/>
    <col min="4614" max="4614" width="12.28515625" style="14" customWidth="1"/>
    <col min="4615" max="4615" width="8.85546875" style="14" customWidth="1"/>
    <col min="4616" max="4616" width="10.85546875" style="14" customWidth="1"/>
    <col min="4617" max="4617" width="2.85546875" style="14" customWidth="1"/>
    <col min="4618" max="4618" width="12.140625" style="14" customWidth="1"/>
    <col min="4619" max="4619" width="10.140625" style="14" customWidth="1"/>
    <col min="4620" max="4620" width="11.7109375" style="14" customWidth="1"/>
    <col min="4621" max="4621" width="11.42578125" style="14" customWidth="1"/>
    <col min="4622" max="4622" width="12.7109375" style="14" customWidth="1"/>
    <col min="4623" max="4623" width="11.42578125" style="14" customWidth="1"/>
    <col min="4624" max="4624" width="10.7109375" style="14" customWidth="1"/>
    <col min="4625" max="4625" width="10.5703125" style="14" customWidth="1"/>
    <col min="4626" max="4626" width="11.28515625" style="14" customWidth="1"/>
    <col min="4627" max="4627" width="9.7109375" style="14" customWidth="1"/>
    <col min="4628" max="4628" width="12" style="14" customWidth="1"/>
    <col min="4629" max="4629" width="11.28515625" style="14" customWidth="1"/>
    <col min="4630" max="4867" width="9.140625" style="14"/>
    <col min="4868" max="4868" width="5.7109375" style="14" customWidth="1"/>
    <col min="4869" max="4869" width="13.140625" style="14" customWidth="1"/>
    <col min="4870" max="4870" width="12.28515625" style="14" customWidth="1"/>
    <col min="4871" max="4871" width="8.85546875" style="14" customWidth="1"/>
    <col min="4872" max="4872" width="10.85546875" style="14" customWidth="1"/>
    <col min="4873" max="4873" width="2.85546875" style="14" customWidth="1"/>
    <col min="4874" max="4874" width="12.140625" style="14" customWidth="1"/>
    <col min="4875" max="4875" width="10.140625" style="14" customWidth="1"/>
    <col min="4876" max="4876" width="11.7109375" style="14" customWidth="1"/>
    <col min="4877" max="4877" width="11.42578125" style="14" customWidth="1"/>
    <col min="4878" max="4878" width="12.7109375" style="14" customWidth="1"/>
    <col min="4879" max="4879" width="11.42578125" style="14" customWidth="1"/>
    <col min="4880" max="4880" width="10.7109375" style="14" customWidth="1"/>
    <col min="4881" max="4881" width="10.5703125" style="14" customWidth="1"/>
    <col min="4882" max="4882" width="11.28515625" style="14" customWidth="1"/>
    <col min="4883" max="4883" width="9.7109375" style="14" customWidth="1"/>
    <col min="4884" max="4884" width="12" style="14" customWidth="1"/>
    <col min="4885" max="4885" width="11.28515625" style="14" customWidth="1"/>
    <col min="4886" max="5123" width="9.140625" style="14"/>
    <col min="5124" max="5124" width="5.7109375" style="14" customWidth="1"/>
    <col min="5125" max="5125" width="13.140625" style="14" customWidth="1"/>
    <col min="5126" max="5126" width="12.28515625" style="14" customWidth="1"/>
    <col min="5127" max="5127" width="8.85546875" style="14" customWidth="1"/>
    <col min="5128" max="5128" width="10.85546875" style="14" customWidth="1"/>
    <col min="5129" max="5129" width="2.85546875" style="14" customWidth="1"/>
    <col min="5130" max="5130" width="12.140625" style="14" customWidth="1"/>
    <col min="5131" max="5131" width="10.140625" style="14" customWidth="1"/>
    <col min="5132" max="5132" width="11.7109375" style="14" customWidth="1"/>
    <col min="5133" max="5133" width="11.42578125" style="14" customWidth="1"/>
    <col min="5134" max="5134" width="12.7109375" style="14" customWidth="1"/>
    <col min="5135" max="5135" width="11.42578125" style="14" customWidth="1"/>
    <col min="5136" max="5136" width="10.7109375" style="14" customWidth="1"/>
    <col min="5137" max="5137" width="10.5703125" style="14" customWidth="1"/>
    <col min="5138" max="5138" width="11.28515625" style="14" customWidth="1"/>
    <col min="5139" max="5139" width="9.7109375" style="14" customWidth="1"/>
    <col min="5140" max="5140" width="12" style="14" customWidth="1"/>
    <col min="5141" max="5141" width="11.28515625" style="14" customWidth="1"/>
    <col min="5142" max="5379" width="9.140625" style="14"/>
    <col min="5380" max="5380" width="5.7109375" style="14" customWidth="1"/>
    <col min="5381" max="5381" width="13.140625" style="14" customWidth="1"/>
    <col min="5382" max="5382" width="12.28515625" style="14" customWidth="1"/>
    <col min="5383" max="5383" width="8.85546875" style="14" customWidth="1"/>
    <col min="5384" max="5384" width="10.85546875" style="14" customWidth="1"/>
    <col min="5385" max="5385" width="2.85546875" style="14" customWidth="1"/>
    <col min="5386" max="5386" width="12.140625" style="14" customWidth="1"/>
    <col min="5387" max="5387" width="10.140625" style="14" customWidth="1"/>
    <col min="5388" max="5388" width="11.7109375" style="14" customWidth="1"/>
    <col min="5389" max="5389" width="11.42578125" style="14" customWidth="1"/>
    <col min="5390" max="5390" width="12.7109375" style="14" customWidth="1"/>
    <col min="5391" max="5391" width="11.42578125" style="14" customWidth="1"/>
    <col min="5392" max="5392" width="10.7109375" style="14" customWidth="1"/>
    <col min="5393" max="5393" width="10.5703125" style="14" customWidth="1"/>
    <col min="5394" max="5394" width="11.28515625" style="14" customWidth="1"/>
    <col min="5395" max="5395" width="9.7109375" style="14" customWidth="1"/>
    <col min="5396" max="5396" width="12" style="14" customWidth="1"/>
    <col min="5397" max="5397" width="11.28515625" style="14" customWidth="1"/>
    <col min="5398" max="5635" width="9.140625" style="14"/>
    <col min="5636" max="5636" width="5.7109375" style="14" customWidth="1"/>
    <col min="5637" max="5637" width="13.140625" style="14" customWidth="1"/>
    <col min="5638" max="5638" width="12.28515625" style="14" customWidth="1"/>
    <col min="5639" max="5639" width="8.85546875" style="14" customWidth="1"/>
    <col min="5640" max="5640" width="10.85546875" style="14" customWidth="1"/>
    <col min="5641" max="5641" width="2.85546875" style="14" customWidth="1"/>
    <col min="5642" max="5642" width="12.140625" style="14" customWidth="1"/>
    <col min="5643" max="5643" width="10.140625" style="14" customWidth="1"/>
    <col min="5644" max="5644" width="11.7109375" style="14" customWidth="1"/>
    <col min="5645" max="5645" width="11.42578125" style="14" customWidth="1"/>
    <col min="5646" max="5646" width="12.7109375" style="14" customWidth="1"/>
    <col min="5647" max="5647" width="11.42578125" style="14" customWidth="1"/>
    <col min="5648" max="5648" width="10.7109375" style="14" customWidth="1"/>
    <col min="5649" max="5649" width="10.5703125" style="14" customWidth="1"/>
    <col min="5650" max="5650" width="11.28515625" style="14" customWidth="1"/>
    <col min="5651" max="5651" width="9.7109375" style="14" customWidth="1"/>
    <col min="5652" max="5652" width="12" style="14" customWidth="1"/>
    <col min="5653" max="5653" width="11.28515625" style="14" customWidth="1"/>
    <col min="5654" max="5891" width="9.140625" style="14"/>
    <col min="5892" max="5892" width="5.7109375" style="14" customWidth="1"/>
    <col min="5893" max="5893" width="13.140625" style="14" customWidth="1"/>
    <col min="5894" max="5894" width="12.28515625" style="14" customWidth="1"/>
    <col min="5895" max="5895" width="8.85546875" style="14" customWidth="1"/>
    <col min="5896" max="5896" width="10.85546875" style="14" customWidth="1"/>
    <col min="5897" max="5897" width="2.85546875" style="14" customWidth="1"/>
    <col min="5898" max="5898" width="12.140625" style="14" customWidth="1"/>
    <col min="5899" max="5899" width="10.140625" style="14" customWidth="1"/>
    <col min="5900" max="5900" width="11.7109375" style="14" customWidth="1"/>
    <col min="5901" max="5901" width="11.42578125" style="14" customWidth="1"/>
    <col min="5902" max="5902" width="12.7109375" style="14" customWidth="1"/>
    <col min="5903" max="5903" width="11.42578125" style="14" customWidth="1"/>
    <col min="5904" max="5904" width="10.7109375" style="14" customWidth="1"/>
    <col min="5905" max="5905" width="10.5703125" style="14" customWidth="1"/>
    <col min="5906" max="5906" width="11.28515625" style="14" customWidth="1"/>
    <col min="5907" max="5907" width="9.7109375" style="14" customWidth="1"/>
    <col min="5908" max="5908" width="12" style="14" customWidth="1"/>
    <col min="5909" max="5909" width="11.28515625" style="14" customWidth="1"/>
    <col min="5910" max="6147" width="9.140625" style="14"/>
    <col min="6148" max="6148" width="5.7109375" style="14" customWidth="1"/>
    <col min="6149" max="6149" width="13.140625" style="14" customWidth="1"/>
    <col min="6150" max="6150" width="12.28515625" style="14" customWidth="1"/>
    <col min="6151" max="6151" width="8.85546875" style="14" customWidth="1"/>
    <col min="6152" max="6152" width="10.85546875" style="14" customWidth="1"/>
    <col min="6153" max="6153" width="2.85546875" style="14" customWidth="1"/>
    <col min="6154" max="6154" width="12.140625" style="14" customWidth="1"/>
    <col min="6155" max="6155" width="10.140625" style="14" customWidth="1"/>
    <col min="6156" max="6156" width="11.7109375" style="14" customWidth="1"/>
    <col min="6157" max="6157" width="11.42578125" style="14" customWidth="1"/>
    <col min="6158" max="6158" width="12.7109375" style="14" customWidth="1"/>
    <col min="6159" max="6159" width="11.42578125" style="14" customWidth="1"/>
    <col min="6160" max="6160" width="10.7109375" style="14" customWidth="1"/>
    <col min="6161" max="6161" width="10.5703125" style="14" customWidth="1"/>
    <col min="6162" max="6162" width="11.28515625" style="14" customWidth="1"/>
    <col min="6163" max="6163" width="9.7109375" style="14" customWidth="1"/>
    <col min="6164" max="6164" width="12" style="14" customWidth="1"/>
    <col min="6165" max="6165" width="11.28515625" style="14" customWidth="1"/>
    <col min="6166" max="6403" width="9.140625" style="14"/>
    <col min="6404" max="6404" width="5.7109375" style="14" customWidth="1"/>
    <col min="6405" max="6405" width="13.140625" style="14" customWidth="1"/>
    <col min="6406" max="6406" width="12.28515625" style="14" customWidth="1"/>
    <col min="6407" max="6407" width="8.85546875" style="14" customWidth="1"/>
    <col min="6408" max="6408" width="10.85546875" style="14" customWidth="1"/>
    <col min="6409" max="6409" width="2.85546875" style="14" customWidth="1"/>
    <col min="6410" max="6410" width="12.140625" style="14" customWidth="1"/>
    <col min="6411" max="6411" width="10.140625" style="14" customWidth="1"/>
    <col min="6412" max="6412" width="11.7109375" style="14" customWidth="1"/>
    <col min="6413" max="6413" width="11.42578125" style="14" customWidth="1"/>
    <col min="6414" max="6414" width="12.7109375" style="14" customWidth="1"/>
    <col min="6415" max="6415" width="11.42578125" style="14" customWidth="1"/>
    <col min="6416" max="6416" width="10.7109375" style="14" customWidth="1"/>
    <col min="6417" max="6417" width="10.5703125" style="14" customWidth="1"/>
    <col min="6418" max="6418" width="11.28515625" style="14" customWidth="1"/>
    <col min="6419" max="6419" width="9.7109375" style="14" customWidth="1"/>
    <col min="6420" max="6420" width="12" style="14" customWidth="1"/>
    <col min="6421" max="6421" width="11.28515625" style="14" customWidth="1"/>
    <col min="6422" max="6659" width="9.140625" style="14"/>
    <col min="6660" max="6660" width="5.7109375" style="14" customWidth="1"/>
    <col min="6661" max="6661" width="13.140625" style="14" customWidth="1"/>
    <col min="6662" max="6662" width="12.28515625" style="14" customWidth="1"/>
    <col min="6663" max="6663" width="8.85546875" style="14" customWidth="1"/>
    <col min="6664" max="6664" width="10.85546875" style="14" customWidth="1"/>
    <col min="6665" max="6665" width="2.85546875" style="14" customWidth="1"/>
    <col min="6666" max="6666" width="12.140625" style="14" customWidth="1"/>
    <col min="6667" max="6667" width="10.140625" style="14" customWidth="1"/>
    <col min="6668" max="6668" width="11.7109375" style="14" customWidth="1"/>
    <col min="6669" max="6669" width="11.42578125" style="14" customWidth="1"/>
    <col min="6670" max="6670" width="12.7109375" style="14" customWidth="1"/>
    <col min="6671" max="6671" width="11.42578125" style="14" customWidth="1"/>
    <col min="6672" max="6672" width="10.7109375" style="14" customWidth="1"/>
    <col min="6673" max="6673" width="10.5703125" style="14" customWidth="1"/>
    <col min="6674" max="6674" width="11.28515625" style="14" customWidth="1"/>
    <col min="6675" max="6675" width="9.7109375" style="14" customWidth="1"/>
    <col min="6676" max="6676" width="12" style="14" customWidth="1"/>
    <col min="6677" max="6677" width="11.28515625" style="14" customWidth="1"/>
    <col min="6678" max="6915" width="9.140625" style="14"/>
    <col min="6916" max="6916" width="5.7109375" style="14" customWidth="1"/>
    <col min="6917" max="6917" width="13.140625" style="14" customWidth="1"/>
    <col min="6918" max="6918" width="12.28515625" style="14" customWidth="1"/>
    <col min="6919" max="6919" width="8.85546875" style="14" customWidth="1"/>
    <col min="6920" max="6920" width="10.85546875" style="14" customWidth="1"/>
    <col min="6921" max="6921" width="2.85546875" style="14" customWidth="1"/>
    <col min="6922" max="6922" width="12.140625" style="14" customWidth="1"/>
    <col min="6923" max="6923" width="10.140625" style="14" customWidth="1"/>
    <col min="6924" max="6924" width="11.7109375" style="14" customWidth="1"/>
    <col min="6925" max="6925" width="11.42578125" style="14" customWidth="1"/>
    <col min="6926" max="6926" width="12.7109375" style="14" customWidth="1"/>
    <col min="6927" max="6927" width="11.42578125" style="14" customWidth="1"/>
    <col min="6928" max="6928" width="10.7109375" style="14" customWidth="1"/>
    <col min="6929" max="6929" width="10.5703125" style="14" customWidth="1"/>
    <col min="6930" max="6930" width="11.28515625" style="14" customWidth="1"/>
    <col min="6931" max="6931" width="9.7109375" style="14" customWidth="1"/>
    <col min="6932" max="6932" width="12" style="14" customWidth="1"/>
    <col min="6933" max="6933" width="11.28515625" style="14" customWidth="1"/>
    <col min="6934" max="7171" width="9.140625" style="14"/>
    <col min="7172" max="7172" width="5.7109375" style="14" customWidth="1"/>
    <col min="7173" max="7173" width="13.140625" style="14" customWidth="1"/>
    <col min="7174" max="7174" width="12.28515625" style="14" customWidth="1"/>
    <col min="7175" max="7175" width="8.85546875" style="14" customWidth="1"/>
    <col min="7176" max="7176" width="10.85546875" style="14" customWidth="1"/>
    <col min="7177" max="7177" width="2.85546875" style="14" customWidth="1"/>
    <col min="7178" max="7178" width="12.140625" style="14" customWidth="1"/>
    <col min="7179" max="7179" width="10.140625" style="14" customWidth="1"/>
    <col min="7180" max="7180" width="11.7109375" style="14" customWidth="1"/>
    <col min="7181" max="7181" width="11.42578125" style="14" customWidth="1"/>
    <col min="7182" max="7182" width="12.7109375" style="14" customWidth="1"/>
    <col min="7183" max="7183" width="11.42578125" style="14" customWidth="1"/>
    <col min="7184" max="7184" width="10.7109375" style="14" customWidth="1"/>
    <col min="7185" max="7185" width="10.5703125" style="14" customWidth="1"/>
    <col min="7186" max="7186" width="11.28515625" style="14" customWidth="1"/>
    <col min="7187" max="7187" width="9.7109375" style="14" customWidth="1"/>
    <col min="7188" max="7188" width="12" style="14" customWidth="1"/>
    <col min="7189" max="7189" width="11.28515625" style="14" customWidth="1"/>
    <col min="7190" max="7427" width="9.140625" style="14"/>
    <col min="7428" max="7428" width="5.7109375" style="14" customWidth="1"/>
    <col min="7429" max="7429" width="13.140625" style="14" customWidth="1"/>
    <col min="7430" max="7430" width="12.28515625" style="14" customWidth="1"/>
    <col min="7431" max="7431" width="8.85546875" style="14" customWidth="1"/>
    <col min="7432" max="7432" width="10.85546875" style="14" customWidth="1"/>
    <col min="7433" max="7433" width="2.85546875" style="14" customWidth="1"/>
    <col min="7434" max="7434" width="12.140625" style="14" customWidth="1"/>
    <col min="7435" max="7435" width="10.140625" style="14" customWidth="1"/>
    <col min="7436" max="7436" width="11.7109375" style="14" customWidth="1"/>
    <col min="7437" max="7437" width="11.42578125" style="14" customWidth="1"/>
    <col min="7438" max="7438" width="12.7109375" style="14" customWidth="1"/>
    <col min="7439" max="7439" width="11.42578125" style="14" customWidth="1"/>
    <col min="7440" max="7440" width="10.7109375" style="14" customWidth="1"/>
    <col min="7441" max="7441" width="10.5703125" style="14" customWidth="1"/>
    <col min="7442" max="7442" width="11.28515625" style="14" customWidth="1"/>
    <col min="7443" max="7443" width="9.7109375" style="14" customWidth="1"/>
    <col min="7444" max="7444" width="12" style="14" customWidth="1"/>
    <col min="7445" max="7445" width="11.28515625" style="14" customWidth="1"/>
    <col min="7446" max="7683" width="9.140625" style="14"/>
    <col min="7684" max="7684" width="5.7109375" style="14" customWidth="1"/>
    <col min="7685" max="7685" width="13.140625" style="14" customWidth="1"/>
    <col min="7686" max="7686" width="12.28515625" style="14" customWidth="1"/>
    <col min="7687" max="7687" width="8.85546875" style="14" customWidth="1"/>
    <col min="7688" max="7688" width="10.85546875" style="14" customWidth="1"/>
    <col min="7689" max="7689" width="2.85546875" style="14" customWidth="1"/>
    <col min="7690" max="7690" width="12.140625" style="14" customWidth="1"/>
    <col min="7691" max="7691" width="10.140625" style="14" customWidth="1"/>
    <col min="7692" max="7692" width="11.7109375" style="14" customWidth="1"/>
    <col min="7693" max="7693" width="11.42578125" style="14" customWidth="1"/>
    <col min="7694" max="7694" width="12.7109375" style="14" customWidth="1"/>
    <col min="7695" max="7695" width="11.42578125" style="14" customWidth="1"/>
    <col min="7696" max="7696" width="10.7109375" style="14" customWidth="1"/>
    <col min="7697" max="7697" width="10.5703125" style="14" customWidth="1"/>
    <col min="7698" max="7698" width="11.28515625" style="14" customWidth="1"/>
    <col min="7699" max="7699" width="9.7109375" style="14" customWidth="1"/>
    <col min="7700" max="7700" width="12" style="14" customWidth="1"/>
    <col min="7701" max="7701" width="11.28515625" style="14" customWidth="1"/>
    <col min="7702" max="7939" width="9.140625" style="14"/>
    <col min="7940" max="7940" width="5.7109375" style="14" customWidth="1"/>
    <col min="7941" max="7941" width="13.140625" style="14" customWidth="1"/>
    <col min="7942" max="7942" width="12.28515625" style="14" customWidth="1"/>
    <col min="7943" max="7943" width="8.85546875" style="14" customWidth="1"/>
    <col min="7944" max="7944" width="10.85546875" style="14" customWidth="1"/>
    <col min="7945" max="7945" width="2.85546875" style="14" customWidth="1"/>
    <col min="7946" max="7946" width="12.140625" style="14" customWidth="1"/>
    <col min="7947" max="7947" width="10.140625" style="14" customWidth="1"/>
    <col min="7948" max="7948" width="11.7109375" style="14" customWidth="1"/>
    <col min="7949" max="7949" width="11.42578125" style="14" customWidth="1"/>
    <col min="7950" max="7950" width="12.7109375" style="14" customWidth="1"/>
    <col min="7951" max="7951" width="11.42578125" style="14" customWidth="1"/>
    <col min="7952" max="7952" width="10.7109375" style="14" customWidth="1"/>
    <col min="7953" max="7953" width="10.5703125" style="14" customWidth="1"/>
    <col min="7954" max="7954" width="11.28515625" style="14" customWidth="1"/>
    <col min="7955" max="7955" width="9.7109375" style="14" customWidth="1"/>
    <col min="7956" max="7956" width="12" style="14" customWidth="1"/>
    <col min="7957" max="7957" width="11.28515625" style="14" customWidth="1"/>
    <col min="7958" max="8195" width="9.140625" style="14"/>
    <col min="8196" max="8196" width="5.7109375" style="14" customWidth="1"/>
    <col min="8197" max="8197" width="13.140625" style="14" customWidth="1"/>
    <col min="8198" max="8198" width="12.28515625" style="14" customWidth="1"/>
    <col min="8199" max="8199" width="8.85546875" style="14" customWidth="1"/>
    <col min="8200" max="8200" width="10.85546875" style="14" customWidth="1"/>
    <col min="8201" max="8201" width="2.85546875" style="14" customWidth="1"/>
    <col min="8202" max="8202" width="12.140625" style="14" customWidth="1"/>
    <col min="8203" max="8203" width="10.140625" style="14" customWidth="1"/>
    <col min="8204" max="8204" width="11.7109375" style="14" customWidth="1"/>
    <col min="8205" max="8205" width="11.42578125" style="14" customWidth="1"/>
    <col min="8206" max="8206" width="12.7109375" style="14" customWidth="1"/>
    <col min="8207" max="8207" width="11.42578125" style="14" customWidth="1"/>
    <col min="8208" max="8208" width="10.7109375" style="14" customWidth="1"/>
    <col min="8209" max="8209" width="10.5703125" style="14" customWidth="1"/>
    <col min="8210" max="8210" width="11.28515625" style="14" customWidth="1"/>
    <col min="8211" max="8211" width="9.7109375" style="14" customWidth="1"/>
    <col min="8212" max="8212" width="12" style="14" customWidth="1"/>
    <col min="8213" max="8213" width="11.28515625" style="14" customWidth="1"/>
    <col min="8214" max="8451" width="9.140625" style="14"/>
    <col min="8452" max="8452" width="5.7109375" style="14" customWidth="1"/>
    <col min="8453" max="8453" width="13.140625" style="14" customWidth="1"/>
    <col min="8454" max="8454" width="12.28515625" style="14" customWidth="1"/>
    <col min="8455" max="8455" width="8.85546875" style="14" customWidth="1"/>
    <col min="8456" max="8456" width="10.85546875" style="14" customWidth="1"/>
    <col min="8457" max="8457" width="2.85546875" style="14" customWidth="1"/>
    <col min="8458" max="8458" width="12.140625" style="14" customWidth="1"/>
    <col min="8459" max="8459" width="10.140625" style="14" customWidth="1"/>
    <col min="8460" max="8460" width="11.7109375" style="14" customWidth="1"/>
    <col min="8461" max="8461" width="11.42578125" style="14" customWidth="1"/>
    <col min="8462" max="8462" width="12.7109375" style="14" customWidth="1"/>
    <col min="8463" max="8463" width="11.42578125" style="14" customWidth="1"/>
    <col min="8464" max="8464" width="10.7109375" style="14" customWidth="1"/>
    <col min="8465" max="8465" width="10.5703125" style="14" customWidth="1"/>
    <col min="8466" max="8466" width="11.28515625" style="14" customWidth="1"/>
    <col min="8467" max="8467" width="9.7109375" style="14" customWidth="1"/>
    <col min="8468" max="8468" width="12" style="14" customWidth="1"/>
    <col min="8469" max="8469" width="11.28515625" style="14" customWidth="1"/>
    <col min="8470" max="8707" width="9.140625" style="14"/>
    <col min="8708" max="8708" width="5.7109375" style="14" customWidth="1"/>
    <col min="8709" max="8709" width="13.140625" style="14" customWidth="1"/>
    <col min="8710" max="8710" width="12.28515625" style="14" customWidth="1"/>
    <col min="8711" max="8711" width="8.85546875" style="14" customWidth="1"/>
    <col min="8712" max="8712" width="10.85546875" style="14" customWidth="1"/>
    <col min="8713" max="8713" width="2.85546875" style="14" customWidth="1"/>
    <col min="8714" max="8714" width="12.140625" style="14" customWidth="1"/>
    <col min="8715" max="8715" width="10.140625" style="14" customWidth="1"/>
    <col min="8716" max="8716" width="11.7109375" style="14" customWidth="1"/>
    <col min="8717" max="8717" width="11.42578125" style="14" customWidth="1"/>
    <col min="8718" max="8718" width="12.7109375" style="14" customWidth="1"/>
    <col min="8719" max="8719" width="11.42578125" style="14" customWidth="1"/>
    <col min="8720" max="8720" width="10.7109375" style="14" customWidth="1"/>
    <col min="8721" max="8721" width="10.5703125" style="14" customWidth="1"/>
    <col min="8722" max="8722" width="11.28515625" style="14" customWidth="1"/>
    <col min="8723" max="8723" width="9.7109375" style="14" customWidth="1"/>
    <col min="8724" max="8724" width="12" style="14" customWidth="1"/>
    <col min="8725" max="8725" width="11.28515625" style="14" customWidth="1"/>
    <col min="8726" max="8963" width="9.140625" style="14"/>
    <col min="8964" max="8964" width="5.7109375" style="14" customWidth="1"/>
    <col min="8965" max="8965" width="13.140625" style="14" customWidth="1"/>
    <col min="8966" max="8966" width="12.28515625" style="14" customWidth="1"/>
    <col min="8967" max="8967" width="8.85546875" style="14" customWidth="1"/>
    <col min="8968" max="8968" width="10.85546875" style="14" customWidth="1"/>
    <col min="8969" max="8969" width="2.85546875" style="14" customWidth="1"/>
    <col min="8970" max="8970" width="12.140625" style="14" customWidth="1"/>
    <col min="8971" max="8971" width="10.140625" style="14" customWidth="1"/>
    <col min="8972" max="8972" width="11.7109375" style="14" customWidth="1"/>
    <col min="8973" max="8973" width="11.42578125" style="14" customWidth="1"/>
    <col min="8974" max="8974" width="12.7109375" style="14" customWidth="1"/>
    <col min="8975" max="8975" width="11.42578125" style="14" customWidth="1"/>
    <col min="8976" max="8976" width="10.7109375" style="14" customWidth="1"/>
    <col min="8977" max="8977" width="10.5703125" style="14" customWidth="1"/>
    <col min="8978" max="8978" width="11.28515625" style="14" customWidth="1"/>
    <col min="8979" max="8979" width="9.7109375" style="14" customWidth="1"/>
    <col min="8980" max="8980" width="12" style="14" customWidth="1"/>
    <col min="8981" max="8981" width="11.28515625" style="14" customWidth="1"/>
    <col min="8982" max="9219" width="9.140625" style="14"/>
    <col min="9220" max="9220" width="5.7109375" style="14" customWidth="1"/>
    <col min="9221" max="9221" width="13.140625" style="14" customWidth="1"/>
    <col min="9222" max="9222" width="12.28515625" style="14" customWidth="1"/>
    <col min="9223" max="9223" width="8.85546875" style="14" customWidth="1"/>
    <col min="9224" max="9224" width="10.85546875" style="14" customWidth="1"/>
    <col min="9225" max="9225" width="2.85546875" style="14" customWidth="1"/>
    <col min="9226" max="9226" width="12.140625" style="14" customWidth="1"/>
    <col min="9227" max="9227" width="10.140625" style="14" customWidth="1"/>
    <col min="9228" max="9228" width="11.7109375" style="14" customWidth="1"/>
    <col min="9229" max="9229" width="11.42578125" style="14" customWidth="1"/>
    <col min="9230" max="9230" width="12.7109375" style="14" customWidth="1"/>
    <col min="9231" max="9231" width="11.42578125" style="14" customWidth="1"/>
    <col min="9232" max="9232" width="10.7109375" style="14" customWidth="1"/>
    <col min="9233" max="9233" width="10.5703125" style="14" customWidth="1"/>
    <col min="9234" max="9234" width="11.28515625" style="14" customWidth="1"/>
    <col min="9235" max="9235" width="9.7109375" style="14" customWidth="1"/>
    <col min="9236" max="9236" width="12" style="14" customWidth="1"/>
    <col min="9237" max="9237" width="11.28515625" style="14" customWidth="1"/>
    <col min="9238" max="9475" width="9.140625" style="14"/>
    <col min="9476" max="9476" width="5.7109375" style="14" customWidth="1"/>
    <col min="9477" max="9477" width="13.140625" style="14" customWidth="1"/>
    <col min="9478" max="9478" width="12.28515625" style="14" customWidth="1"/>
    <col min="9479" max="9479" width="8.85546875" style="14" customWidth="1"/>
    <col min="9480" max="9480" width="10.85546875" style="14" customWidth="1"/>
    <col min="9481" max="9481" width="2.85546875" style="14" customWidth="1"/>
    <col min="9482" max="9482" width="12.140625" style="14" customWidth="1"/>
    <col min="9483" max="9483" width="10.140625" style="14" customWidth="1"/>
    <col min="9484" max="9484" width="11.7109375" style="14" customWidth="1"/>
    <col min="9485" max="9485" width="11.42578125" style="14" customWidth="1"/>
    <col min="9486" max="9486" width="12.7109375" style="14" customWidth="1"/>
    <col min="9487" max="9487" width="11.42578125" style="14" customWidth="1"/>
    <col min="9488" max="9488" width="10.7109375" style="14" customWidth="1"/>
    <col min="9489" max="9489" width="10.5703125" style="14" customWidth="1"/>
    <col min="9490" max="9490" width="11.28515625" style="14" customWidth="1"/>
    <col min="9491" max="9491" width="9.7109375" style="14" customWidth="1"/>
    <col min="9492" max="9492" width="12" style="14" customWidth="1"/>
    <col min="9493" max="9493" width="11.28515625" style="14" customWidth="1"/>
    <col min="9494" max="9731" width="9.140625" style="14"/>
    <col min="9732" max="9732" width="5.7109375" style="14" customWidth="1"/>
    <col min="9733" max="9733" width="13.140625" style="14" customWidth="1"/>
    <col min="9734" max="9734" width="12.28515625" style="14" customWidth="1"/>
    <col min="9735" max="9735" width="8.85546875" style="14" customWidth="1"/>
    <col min="9736" max="9736" width="10.85546875" style="14" customWidth="1"/>
    <col min="9737" max="9737" width="2.85546875" style="14" customWidth="1"/>
    <col min="9738" max="9738" width="12.140625" style="14" customWidth="1"/>
    <col min="9739" max="9739" width="10.140625" style="14" customWidth="1"/>
    <col min="9740" max="9740" width="11.7109375" style="14" customWidth="1"/>
    <col min="9741" max="9741" width="11.42578125" style="14" customWidth="1"/>
    <col min="9742" max="9742" width="12.7109375" style="14" customWidth="1"/>
    <col min="9743" max="9743" width="11.42578125" style="14" customWidth="1"/>
    <col min="9744" max="9744" width="10.7109375" style="14" customWidth="1"/>
    <col min="9745" max="9745" width="10.5703125" style="14" customWidth="1"/>
    <col min="9746" max="9746" width="11.28515625" style="14" customWidth="1"/>
    <col min="9747" max="9747" width="9.7109375" style="14" customWidth="1"/>
    <col min="9748" max="9748" width="12" style="14" customWidth="1"/>
    <col min="9749" max="9749" width="11.28515625" style="14" customWidth="1"/>
    <col min="9750" max="9987" width="9.140625" style="14"/>
    <col min="9988" max="9988" width="5.7109375" style="14" customWidth="1"/>
    <col min="9989" max="9989" width="13.140625" style="14" customWidth="1"/>
    <col min="9990" max="9990" width="12.28515625" style="14" customWidth="1"/>
    <col min="9991" max="9991" width="8.85546875" style="14" customWidth="1"/>
    <col min="9992" max="9992" width="10.85546875" style="14" customWidth="1"/>
    <col min="9993" max="9993" width="2.85546875" style="14" customWidth="1"/>
    <col min="9994" max="9994" width="12.140625" style="14" customWidth="1"/>
    <col min="9995" max="9995" width="10.140625" style="14" customWidth="1"/>
    <col min="9996" max="9996" width="11.7109375" style="14" customWidth="1"/>
    <col min="9997" max="9997" width="11.42578125" style="14" customWidth="1"/>
    <col min="9998" max="9998" width="12.7109375" style="14" customWidth="1"/>
    <col min="9999" max="9999" width="11.42578125" style="14" customWidth="1"/>
    <col min="10000" max="10000" width="10.7109375" style="14" customWidth="1"/>
    <col min="10001" max="10001" width="10.5703125" style="14" customWidth="1"/>
    <col min="10002" max="10002" width="11.28515625" style="14" customWidth="1"/>
    <col min="10003" max="10003" width="9.7109375" style="14" customWidth="1"/>
    <col min="10004" max="10004" width="12" style="14" customWidth="1"/>
    <col min="10005" max="10005" width="11.28515625" style="14" customWidth="1"/>
    <col min="10006" max="10243" width="9.140625" style="14"/>
    <col min="10244" max="10244" width="5.7109375" style="14" customWidth="1"/>
    <col min="10245" max="10245" width="13.140625" style="14" customWidth="1"/>
    <col min="10246" max="10246" width="12.28515625" style="14" customWidth="1"/>
    <col min="10247" max="10247" width="8.85546875" style="14" customWidth="1"/>
    <col min="10248" max="10248" width="10.85546875" style="14" customWidth="1"/>
    <col min="10249" max="10249" width="2.85546875" style="14" customWidth="1"/>
    <col min="10250" max="10250" width="12.140625" style="14" customWidth="1"/>
    <col min="10251" max="10251" width="10.140625" style="14" customWidth="1"/>
    <col min="10252" max="10252" width="11.7109375" style="14" customWidth="1"/>
    <col min="10253" max="10253" width="11.42578125" style="14" customWidth="1"/>
    <col min="10254" max="10254" width="12.7109375" style="14" customWidth="1"/>
    <col min="10255" max="10255" width="11.42578125" style="14" customWidth="1"/>
    <col min="10256" max="10256" width="10.7109375" style="14" customWidth="1"/>
    <col min="10257" max="10257" width="10.5703125" style="14" customWidth="1"/>
    <col min="10258" max="10258" width="11.28515625" style="14" customWidth="1"/>
    <col min="10259" max="10259" width="9.7109375" style="14" customWidth="1"/>
    <col min="10260" max="10260" width="12" style="14" customWidth="1"/>
    <col min="10261" max="10261" width="11.28515625" style="14" customWidth="1"/>
    <col min="10262" max="10499" width="9.140625" style="14"/>
    <col min="10500" max="10500" width="5.7109375" style="14" customWidth="1"/>
    <col min="10501" max="10501" width="13.140625" style="14" customWidth="1"/>
    <col min="10502" max="10502" width="12.28515625" style="14" customWidth="1"/>
    <col min="10503" max="10503" width="8.85546875" style="14" customWidth="1"/>
    <col min="10504" max="10504" width="10.85546875" style="14" customWidth="1"/>
    <col min="10505" max="10505" width="2.85546875" style="14" customWidth="1"/>
    <col min="10506" max="10506" width="12.140625" style="14" customWidth="1"/>
    <col min="10507" max="10507" width="10.140625" style="14" customWidth="1"/>
    <col min="10508" max="10508" width="11.7109375" style="14" customWidth="1"/>
    <col min="10509" max="10509" width="11.42578125" style="14" customWidth="1"/>
    <col min="10510" max="10510" width="12.7109375" style="14" customWidth="1"/>
    <col min="10511" max="10511" width="11.42578125" style="14" customWidth="1"/>
    <col min="10512" max="10512" width="10.7109375" style="14" customWidth="1"/>
    <col min="10513" max="10513" width="10.5703125" style="14" customWidth="1"/>
    <col min="10514" max="10514" width="11.28515625" style="14" customWidth="1"/>
    <col min="10515" max="10515" width="9.7109375" style="14" customWidth="1"/>
    <col min="10516" max="10516" width="12" style="14" customWidth="1"/>
    <col min="10517" max="10517" width="11.28515625" style="14" customWidth="1"/>
    <col min="10518" max="10755" width="9.140625" style="14"/>
    <col min="10756" max="10756" width="5.7109375" style="14" customWidth="1"/>
    <col min="10757" max="10757" width="13.140625" style="14" customWidth="1"/>
    <col min="10758" max="10758" width="12.28515625" style="14" customWidth="1"/>
    <col min="10759" max="10759" width="8.85546875" style="14" customWidth="1"/>
    <col min="10760" max="10760" width="10.85546875" style="14" customWidth="1"/>
    <col min="10761" max="10761" width="2.85546875" style="14" customWidth="1"/>
    <col min="10762" max="10762" width="12.140625" style="14" customWidth="1"/>
    <col min="10763" max="10763" width="10.140625" style="14" customWidth="1"/>
    <col min="10764" max="10764" width="11.7109375" style="14" customWidth="1"/>
    <col min="10765" max="10765" width="11.42578125" style="14" customWidth="1"/>
    <col min="10766" max="10766" width="12.7109375" style="14" customWidth="1"/>
    <col min="10767" max="10767" width="11.42578125" style="14" customWidth="1"/>
    <col min="10768" max="10768" width="10.7109375" style="14" customWidth="1"/>
    <col min="10769" max="10769" width="10.5703125" style="14" customWidth="1"/>
    <col min="10770" max="10770" width="11.28515625" style="14" customWidth="1"/>
    <col min="10771" max="10771" width="9.7109375" style="14" customWidth="1"/>
    <col min="10772" max="10772" width="12" style="14" customWidth="1"/>
    <col min="10773" max="10773" width="11.28515625" style="14" customWidth="1"/>
    <col min="10774" max="11011" width="9.140625" style="14"/>
    <col min="11012" max="11012" width="5.7109375" style="14" customWidth="1"/>
    <col min="11013" max="11013" width="13.140625" style="14" customWidth="1"/>
    <col min="11014" max="11014" width="12.28515625" style="14" customWidth="1"/>
    <col min="11015" max="11015" width="8.85546875" style="14" customWidth="1"/>
    <col min="11016" max="11016" width="10.85546875" style="14" customWidth="1"/>
    <col min="11017" max="11017" width="2.85546875" style="14" customWidth="1"/>
    <col min="11018" max="11018" width="12.140625" style="14" customWidth="1"/>
    <col min="11019" max="11019" width="10.140625" style="14" customWidth="1"/>
    <col min="11020" max="11020" width="11.7109375" style="14" customWidth="1"/>
    <col min="11021" max="11021" width="11.42578125" style="14" customWidth="1"/>
    <col min="11022" max="11022" width="12.7109375" style="14" customWidth="1"/>
    <col min="11023" max="11023" width="11.42578125" style="14" customWidth="1"/>
    <col min="11024" max="11024" width="10.7109375" style="14" customWidth="1"/>
    <col min="11025" max="11025" width="10.5703125" style="14" customWidth="1"/>
    <col min="11026" max="11026" width="11.28515625" style="14" customWidth="1"/>
    <col min="11027" max="11027" width="9.7109375" style="14" customWidth="1"/>
    <col min="11028" max="11028" width="12" style="14" customWidth="1"/>
    <col min="11029" max="11029" width="11.28515625" style="14" customWidth="1"/>
    <col min="11030" max="11267" width="9.140625" style="14"/>
    <col min="11268" max="11268" width="5.7109375" style="14" customWidth="1"/>
    <col min="11269" max="11269" width="13.140625" style="14" customWidth="1"/>
    <col min="11270" max="11270" width="12.28515625" style="14" customWidth="1"/>
    <col min="11271" max="11271" width="8.85546875" style="14" customWidth="1"/>
    <col min="11272" max="11272" width="10.85546875" style="14" customWidth="1"/>
    <col min="11273" max="11273" width="2.85546875" style="14" customWidth="1"/>
    <col min="11274" max="11274" width="12.140625" style="14" customWidth="1"/>
    <col min="11275" max="11275" width="10.140625" style="14" customWidth="1"/>
    <col min="11276" max="11276" width="11.7109375" style="14" customWidth="1"/>
    <col min="11277" max="11277" width="11.42578125" style="14" customWidth="1"/>
    <col min="11278" max="11278" width="12.7109375" style="14" customWidth="1"/>
    <col min="11279" max="11279" width="11.42578125" style="14" customWidth="1"/>
    <col min="11280" max="11280" width="10.7109375" style="14" customWidth="1"/>
    <col min="11281" max="11281" width="10.5703125" style="14" customWidth="1"/>
    <col min="11282" max="11282" width="11.28515625" style="14" customWidth="1"/>
    <col min="11283" max="11283" width="9.7109375" style="14" customWidth="1"/>
    <col min="11284" max="11284" width="12" style="14" customWidth="1"/>
    <col min="11285" max="11285" width="11.28515625" style="14" customWidth="1"/>
    <col min="11286" max="11523" width="9.140625" style="14"/>
    <col min="11524" max="11524" width="5.7109375" style="14" customWidth="1"/>
    <col min="11525" max="11525" width="13.140625" style="14" customWidth="1"/>
    <col min="11526" max="11526" width="12.28515625" style="14" customWidth="1"/>
    <col min="11527" max="11527" width="8.85546875" style="14" customWidth="1"/>
    <col min="11528" max="11528" width="10.85546875" style="14" customWidth="1"/>
    <col min="11529" max="11529" width="2.85546875" style="14" customWidth="1"/>
    <col min="11530" max="11530" width="12.140625" style="14" customWidth="1"/>
    <col min="11531" max="11531" width="10.140625" style="14" customWidth="1"/>
    <col min="11532" max="11532" width="11.7109375" style="14" customWidth="1"/>
    <col min="11533" max="11533" width="11.42578125" style="14" customWidth="1"/>
    <col min="11534" max="11534" width="12.7109375" style="14" customWidth="1"/>
    <col min="11535" max="11535" width="11.42578125" style="14" customWidth="1"/>
    <col min="11536" max="11536" width="10.7109375" style="14" customWidth="1"/>
    <col min="11537" max="11537" width="10.5703125" style="14" customWidth="1"/>
    <col min="11538" max="11538" width="11.28515625" style="14" customWidth="1"/>
    <col min="11539" max="11539" width="9.7109375" style="14" customWidth="1"/>
    <col min="11540" max="11540" width="12" style="14" customWidth="1"/>
    <col min="11541" max="11541" width="11.28515625" style="14" customWidth="1"/>
    <col min="11542" max="11779" width="9.140625" style="14"/>
    <col min="11780" max="11780" width="5.7109375" style="14" customWidth="1"/>
    <col min="11781" max="11781" width="13.140625" style="14" customWidth="1"/>
    <col min="11782" max="11782" width="12.28515625" style="14" customWidth="1"/>
    <col min="11783" max="11783" width="8.85546875" style="14" customWidth="1"/>
    <col min="11784" max="11784" width="10.85546875" style="14" customWidth="1"/>
    <col min="11785" max="11785" width="2.85546875" style="14" customWidth="1"/>
    <col min="11786" max="11786" width="12.140625" style="14" customWidth="1"/>
    <col min="11787" max="11787" width="10.140625" style="14" customWidth="1"/>
    <col min="11788" max="11788" width="11.7109375" style="14" customWidth="1"/>
    <col min="11789" max="11789" width="11.42578125" style="14" customWidth="1"/>
    <col min="11790" max="11790" width="12.7109375" style="14" customWidth="1"/>
    <col min="11791" max="11791" width="11.42578125" style="14" customWidth="1"/>
    <col min="11792" max="11792" width="10.7109375" style="14" customWidth="1"/>
    <col min="11793" max="11793" width="10.5703125" style="14" customWidth="1"/>
    <col min="11794" max="11794" width="11.28515625" style="14" customWidth="1"/>
    <col min="11795" max="11795" width="9.7109375" style="14" customWidth="1"/>
    <col min="11796" max="11796" width="12" style="14" customWidth="1"/>
    <col min="11797" max="11797" width="11.28515625" style="14" customWidth="1"/>
    <col min="11798" max="12035" width="9.140625" style="14"/>
    <col min="12036" max="12036" width="5.7109375" style="14" customWidth="1"/>
    <col min="12037" max="12037" width="13.140625" style="14" customWidth="1"/>
    <col min="12038" max="12038" width="12.28515625" style="14" customWidth="1"/>
    <col min="12039" max="12039" width="8.85546875" style="14" customWidth="1"/>
    <col min="12040" max="12040" width="10.85546875" style="14" customWidth="1"/>
    <col min="12041" max="12041" width="2.85546875" style="14" customWidth="1"/>
    <col min="12042" max="12042" width="12.140625" style="14" customWidth="1"/>
    <col min="12043" max="12043" width="10.140625" style="14" customWidth="1"/>
    <col min="12044" max="12044" width="11.7109375" style="14" customWidth="1"/>
    <col min="12045" max="12045" width="11.42578125" style="14" customWidth="1"/>
    <col min="12046" max="12046" width="12.7109375" style="14" customWidth="1"/>
    <col min="12047" max="12047" width="11.42578125" style="14" customWidth="1"/>
    <col min="12048" max="12048" width="10.7109375" style="14" customWidth="1"/>
    <col min="12049" max="12049" width="10.5703125" style="14" customWidth="1"/>
    <col min="12050" max="12050" width="11.28515625" style="14" customWidth="1"/>
    <col min="12051" max="12051" width="9.7109375" style="14" customWidth="1"/>
    <col min="12052" max="12052" width="12" style="14" customWidth="1"/>
    <col min="12053" max="12053" width="11.28515625" style="14" customWidth="1"/>
    <col min="12054" max="12291" width="9.140625" style="14"/>
    <col min="12292" max="12292" width="5.7109375" style="14" customWidth="1"/>
    <col min="12293" max="12293" width="13.140625" style="14" customWidth="1"/>
    <col min="12294" max="12294" width="12.28515625" style="14" customWidth="1"/>
    <col min="12295" max="12295" width="8.85546875" style="14" customWidth="1"/>
    <col min="12296" max="12296" width="10.85546875" style="14" customWidth="1"/>
    <col min="12297" max="12297" width="2.85546875" style="14" customWidth="1"/>
    <col min="12298" max="12298" width="12.140625" style="14" customWidth="1"/>
    <col min="12299" max="12299" width="10.140625" style="14" customWidth="1"/>
    <col min="12300" max="12300" width="11.7109375" style="14" customWidth="1"/>
    <col min="12301" max="12301" width="11.42578125" style="14" customWidth="1"/>
    <col min="12302" max="12302" width="12.7109375" style="14" customWidth="1"/>
    <col min="12303" max="12303" width="11.42578125" style="14" customWidth="1"/>
    <col min="12304" max="12304" width="10.7109375" style="14" customWidth="1"/>
    <col min="12305" max="12305" width="10.5703125" style="14" customWidth="1"/>
    <col min="12306" max="12306" width="11.28515625" style="14" customWidth="1"/>
    <col min="12307" max="12307" width="9.7109375" style="14" customWidth="1"/>
    <col min="12308" max="12308" width="12" style="14" customWidth="1"/>
    <col min="12309" max="12309" width="11.28515625" style="14" customWidth="1"/>
    <col min="12310" max="12547" width="9.140625" style="14"/>
    <col min="12548" max="12548" width="5.7109375" style="14" customWidth="1"/>
    <col min="12549" max="12549" width="13.140625" style="14" customWidth="1"/>
    <col min="12550" max="12550" width="12.28515625" style="14" customWidth="1"/>
    <col min="12551" max="12551" width="8.85546875" style="14" customWidth="1"/>
    <col min="12552" max="12552" width="10.85546875" style="14" customWidth="1"/>
    <col min="12553" max="12553" width="2.85546875" style="14" customWidth="1"/>
    <col min="12554" max="12554" width="12.140625" style="14" customWidth="1"/>
    <col min="12555" max="12555" width="10.140625" style="14" customWidth="1"/>
    <col min="12556" max="12556" width="11.7109375" style="14" customWidth="1"/>
    <col min="12557" max="12557" width="11.42578125" style="14" customWidth="1"/>
    <col min="12558" max="12558" width="12.7109375" style="14" customWidth="1"/>
    <col min="12559" max="12559" width="11.42578125" style="14" customWidth="1"/>
    <col min="12560" max="12560" width="10.7109375" style="14" customWidth="1"/>
    <col min="12561" max="12561" width="10.5703125" style="14" customWidth="1"/>
    <col min="12562" max="12562" width="11.28515625" style="14" customWidth="1"/>
    <col min="12563" max="12563" width="9.7109375" style="14" customWidth="1"/>
    <col min="12564" max="12564" width="12" style="14" customWidth="1"/>
    <col min="12565" max="12565" width="11.28515625" style="14" customWidth="1"/>
    <col min="12566" max="12803" width="9.140625" style="14"/>
    <col min="12804" max="12804" width="5.7109375" style="14" customWidth="1"/>
    <col min="12805" max="12805" width="13.140625" style="14" customWidth="1"/>
    <col min="12806" max="12806" width="12.28515625" style="14" customWidth="1"/>
    <col min="12807" max="12807" width="8.85546875" style="14" customWidth="1"/>
    <col min="12808" max="12808" width="10.85546875" style="14" customWidth="1"/>
    <col min="12809" max="12809" width="2.85546875" style="14" customWidth="1"/>
    <col min="12810" max="12810" width="12.140625" style="14" customWidth="1"/>
    <col min="12811" max="12811" width="10.140625" style="14" customWidth="1"/>
    <col min="12812" max="12812" width="11.7109375" style="14" customWidth="1"/>
    <col min="12813" max="12813" width="11.42578125" style="14" customWidth="1"/>
    <col min="12814" max="12814" width="12.7109375" style="14" customWidth="1"/>
    <col min="12815" max="12815" width="11.42578125" style="14" customWidth="1"/>
    <col min="12816" max="12816" width="10.7109375" style="14" customWidth="1"/>
    <col min="12817" max="12817" width="10.5703125" style="14" customWidth="1"/>
    <col min="12818" max="12818" width="11.28515625" style="14" customWidth="1"/>
    <col min="12819" max="12819" width="9.7109375" style="14" customWidth="1"/>
    <col min="12820" max="12820" width="12" style="14" customWidth="1"/>
    <col min="12821" max="12821" width="11.28515625" style="14" customWidth="1"/>
    <col min="12822" max="13059" width="9.140625" style="14"/>
    <col min="13060" max="13060" width="5.7109375" style="14" customWidth="1"/>
    <col min="13061" max="13061" width="13.140625" style="14" customWidth="1"/>
    <col min="13062" max="13062" width="12.28515625" style="14" customWidth="1"/>
    <col min="13063" max="13063" width="8.85546875" style="14" customWidth="1"/>
    <col min="13064" max="13064" width="10.85546875" style="14" customWidth="1"/>
    <col min="13065" max="13065" width="2.85546875" style="14" customWidth="1"/>
    <col min="13066" max="13066" width="12.140625" style="14" customWidth="1"/>
    <col min="13067" max="13067" width="10.140625" style="14" customWidth="1"/>
    <col min="13068" max="13068" width="11.7109375" style="14" customWidth="1"/>
    <col min="13069" max="13069" width="11.42578125" style="14" customWidth="1"/>
    <col min="13070" max="13070" width="12.7109375" style="14" customWidth="1"/>
    <col min="13071" max="13071" width="11.42578125" style="14" customWidth="1"/>
    <col min="13072" max="13072" width="10.7109375" style="14" customWidth="1"/>
    <col min="13073" max="13073" width="10.5703125" style="14" customWidth="1"/>
    <col min="13074" max="13074" width="11.28515625" style="14" customWidth="1"/>
    <col min="13075" max="13075" width="9.7109375" style="14" customWidth="1"/>
    <col min="13076" max="13076" width="12" style="14" customWidth="1"/>
    <col min="13077" max="13077" width="11.28515625" style="14" customWidth="1"/>
    <col min="13078" max="13315" width="9.140625" style="14"/>
    <col min="13316" max="13316" width="5.7109375" style="14" customWidth="1"/>
    <col min="13317" max="13317" width="13.140625" style="14" customWidth="1"/>
    <col min="13318" max="13318" width="12.28515625" style="14" customWidth="1"/>
    <col min="13319" max="13319" width="8.85546875" style="14" customWidth="1"/>
    <col min="13320" max="13320" width="10.85546875" style="14" customWidth="1"/>
    <col min="13321" max="13321" width="2.85546875" style="14" customWidth="1"/>
    <col min="13322" max="13322" width="12.140625" style="14" customWidth="1"/>
    <col min="13323" max="13323" width="10.140625" style="14" customWidth="1"/>
    <col min="13324" max="13324" width="11.7109375" style="14" customWidth="1"/>
    <col min="13325" max="13325" width="11.42578125" style="14" customWidth="1"/>
    <col min="13326" max="13326" width="12.7109375" style="14" customWidth="1"/>
    <col min="13327" max="13327" width="11.42578125" style="14" customWidth="1"/>
    <col min="13328" max="13328" width="10.7109375" style="14" customWidth="1"/>
    <col min="13329" max="13329" width="10.5703125" style="14" customWidth="1"/>
    <col min="13330" max="13330" width="11.28515625" style="14" customWidth="1"/>
    <col min="13331" max="13331" width="9.7109375" style="14" customWidth="1"/>
    <col min="13332" max="13332" width="12" style="14" customWidth="1"/>
    <col min="13333" max="13333" width="11.28515625" style="14" customWidth="1"/>
    <col min="13334" max="13571" width="9.140625" style="14"/>
    <col min="13572" max="13572" width="5.7109375" style="14" customWidth="1"/>
    <col min="13573" max="13573" width="13.140625" style="14" customWidth="1"/>
    <col min="13574" max="13574" width="12.28515625" style="14" customWidth="1"/>
    <col min="13575" max="13575" width="8.85546875" style="14" customWidth="1"/>
    <col min="13576" max="13576" width="10.85546875" style="14" customWidth="1"/>
    <col min="13577" max="13577" width="2.85546875" style="14" customWidth="1"/>
    <col min="13578" max="13578" width="12.140625" style="14" customWidth="1"/>
    <col min="13579" max="13579" width="10.140625" style="14" customWidth="1"/>
    <col min="13580" max="13580" width="11.7109375" style="14" customWidth="1"/>
    <col min="13581" max="13581" width="11.42578125" style="14" customWidth="1"/>
    <col min="13582" max="13582" width="12.7109375" style="14" customWidth="1"/>
    <col min="13583" max="13583" width="11.42578125" style="14" customWidth="1"/>
    <col min="13584" max="13584" width="10.7109375" style="14" customWidth="1"/>
    <col min="13585" max="13585" width="10.5703125" style="14" customWidth="1"/>
    <col min="13586" max="13586" width="11.28515625" style="14" customWidth="1"/>
    <col min="13587" max="13587" width="9.7109375" style="14" customWidth="1"/>
    <col min="13588" max="13588" width="12" style="14" customWidth="1"/>
    <col min="13589" max="13589" width="11.28515625" style="14" customWidth="1"/>
    <col min="13590" max="13827" width="9.140625" style="14"/>
    <col min="13828" max="13828" width="5.7109375" style="14" customWidth="1"/>
    <col min="13829" max="13829" width="13.140625" style="14" customWidth="1"/>
    <col min="13830" max="13830" width="12.28515625" style="14" customWidth="1"/>
    <col min="13831" max="13831" width="8.85546875" style="14" customWidth="1"/>
    <col min="13832" max="13832" width="10.85546875" style="14" customWidth="1"/>
    <col min="13833" max="13833" width="2.85546875" style="14" customWidth="1"/>
    <col min="13834" max="13834" width="12.140625" style="14" customWidth="1"/>
    <col min="13835" max="13835" width="10.140625" style="14" customWidth="1"/>
    <col min="13836" max="13836" width="11.7109375" style="14" customWidth="1"/>
    <col min="13837" max="13837" width="11.42578125" style="14" customWidth="1"/>
    <col min="13838" max="13838" width="12.7109375" style="14" customWidth="1"/>
    <col min="13839" max="13839" width="11.42578125" style="14" customWidth="1"/>
    <col min="13840" max="13840" width="10.7109375" style="14" customWidth="1"/>
    <col min="13841" max="13841" width="10.5703125" style="14" customWidth="1"/>
    <col min="13842" max="13842" width="11.28515625" style="14" customWidth="1"/>
    <col min="13843" max="13843" width="9.7109375" style="14" customWidth="1"/>
    <col min="13844" max="13844" width="12" style="14" customWidth="1"/>
    <col min="13845" max="13845" width="11.28515625" style="14" customWidth="1"/>
    <col min="13846" max="14083" width="9.140625" style="14"/>
    <col min="14084" max="14084" width="5.7109375" style="14" customWidth="1"/>
    <col min="14085" max="14085" width="13.140625" style="14" customWidth="1"/>
    <col min="14086" max="14086" width="12.28515625" style="14" customWidth="1"/>
    <col min="14087" max="14087" width="8.85546875" style="14" customWidth="1"/>
    <col min="14088" max="14088" width="10.85546875" style="14" customWidth="1"/>
    <col min="14089" max="14089" width="2.85546875" style="14" customWidth="1"/>
    <col min="14090" max="14090" width="12.140625" style="14" customWidth="1"/>
    <col min="14091" max="14091" width="10.140625" style="14" customWidth="1"/>
    <col min="14092" max="14092" width="11.7109375" style="14" customWidth="1"/>
    <col min="14093" max="14093" width="11.42578125" style="14" customWidth="1"/>
    <col min="14094" max="14094" width="12.7109375" style="14" customWidth="1"/>
    <col min="14095" max="14095" width="11.42578125" style="14" customWidth="1"/>
    <col min="14096" max="14096" width="10.7109375" style="14" customWidth="1"/>
    <col min="14097" max="14097" width="10.5703125" style="14" customWidth="1"/>
    <col min="14098" max="14098" width="11.28515625" style="14" customWidth="1"/>
    <col min="14099" max="14099" width="9.7109375" style="14" customWidth="1"/>
    <col min="14100" max="14100" width="12" style="14" customWidth="1"/>
    <col min="14101" max="14101" width="11.28515625" style="14" customWidth="1"/>
    <col min="14102" max="14339" width="9.140625" style="14"/>
    <col min="14340" max="14340" width="5.7109375" style="14" customWidth="1"/>
    <col min="14341" max="14341" width="13.140625" style="14" customWidth="1"/>
    <col min="14342" max="14342" width="12.28515625" style="14" customWidth="1"/>
    <col min="14343" max="14343" width="8.85546875" style="14" customWidth="1"/>
    <col min="14344" max="14344" width="10.85546875" style="14" customWidth="1"/>
    <col min="14345" max="14345" width="2.85546875" style="14" customWidth="1"/>
    <col min="14346" max="14346" width="12.140625" style="14" customWidth="1"/>
    <col min="14347" max="14347" width="10.140625" style="14" customWidth="1"/>
    <col min="14348" max="14348" width="11.7109375" style="14" customWidth="1"/>
    <col min="14349" max="14349" width="11.42578125" style="14" customWidth="1"/>
    <col min="14350" max="14350" width="12.7109375" style="14" customWidth="1"/>
    <col min="14351" max="14351" width="11.42578125" style="14" customWidth="1"/>
    <col min="14352" max="14352" width="10.7109375" style="14" customWidth="1"/>
    <col min="14353" max="14353" width="10.5703125" style="14" customWidth="1"/>
    <col min="14354" max="14354" width="11.28515625" style="14" customWidth="1"/>
    <col min="14355" max="14355" width="9.7109375" style="14" customWidth="1"/>
    <col min="14356" max="14356" width="12" style="14" customWidth="1"/>
    <col min="14357" max="14357" width="11.28515625" style="14" customWidth="1"/>
    <col min="14358" max="14595" width="9.140625" style="14"/>
    <col min="14596" max="14596" width="5.7109375" style="14" customWidth="1"/>
    <col min="14597" max="14597" width="13.140625" style="14" customWidth="1"/>
    <col min="14598" max="14598" width="12.28515625" style="14" customWidth="1"/>
    <col min="14599" max="14599" width="8.85546875" style="14" customWidth="1"/>
    <col min="14600" max="14600" width="10.85546875" style="14" customWidth="1"/>
    <col min="14601" max="14601" width="2.85546875" style="14" customWidth="1"/>
    <col min="14602" max="14602" width="12.140625" style="14" customWidth="1"/>
    <col min="14603" max="14603" width="10.140625" style="14" customWidth="1"/>
    <col min="14604" max="14604" width="11.7109375" style="14" customWidth="1"/>
    <col min="14605" max="14605" width="11.42578125" style="14" customWidth="1"/>
    <col min="14606" max="14606" width="12.7109375" style="14" customWidth="1"/>
    <col min="14607" max="14607" width="11.42578125" style="14" customWidth="1"/>
    <col min="14608" max="14608" width="10.7109375" style="14" customWidth="1"/>
    <col min="14609" max="14609" width="10.5703125" style="14" customWidth="1"/>
    <col min="14610" max="14610" width="11.28515625" style="14" customWidth="1"/>
    <col min="14611" max="14611" width="9.7109375" style="14" customWidth="1"/>
    <col min="14612" max="14612" width="12" style="14" customWidth="1"/>
    <col min="14613" max="14613" width="11.28515625" style="14" customWidth="1"/>
    <col min="14614" max="14851" width="9.140625" style="14"/>
    <col min="14852" max="14852" width="5.7109375" style="14" customWidth="1"/>
    <col min="14853" max="14853" width="13.140625" style="14" customWidth="1"/>
    <col min="14854" max="14854" width="12.28515625" style="14" customWidth="1"/>
    <col min="14855" max="14855" width="8.85546875" style="14" customWidth="1"/>
    <col min="14856" max="14856" width="10.85546875" style="14" customWidth="1"/>
    <col min="14857" max="14857" width="2.85546875" style="14" customWidth="1"/>
    <col min="14858" max="14858" width="12.140625" style="14" customWidth="1"/>
    <col min="14859" max="14859" width="10.140625" style="14" customWidth="1"/>
    <col min="14860" max="14860" width="11.7109375" style="14" customWidth="1"/>
    <col min="14861" max="14861" width="11.42578125" style="14" customWidth="1"/>
    <col min="14862" max="14862" width="12.7109375" style="14" customWidth="1"/>
    <col min="14863" max="14863" width="11.42578125" style="14" customWidth="1"/>
    <col min="14864" max="14864" width="10.7109375" style="14" customWidth="1"/>
    <col min="14865" max="14865" width="10.5703125" style="14" customWidth="1"/>
    <col min="14866" max="14866" width="11.28515625" style="14" customWidth="1"/>
    <col min="14867" max="14867" width="9.7109375" style="14" customWidth="1"/>
    <col min="14868" max="14868" width="12" style="14" customWidth="1"/>
    <col min="14869" max="14869" width="11.28515625" style="14" customWidth="1"/>
    <col min="14870" max="15107" width="9.140625" style="14"/>
    <col min="15108" max="15108" width="5.7109375" style="14" customWidth="1"/>
    <col min="15109" max="15109" width="13.140625" style="14" customWidth="1"/>
    <col min="15110" max="15110" width="12.28515625" style="14" customWidth="1"/>
    <col min="15111" max="15111" width="8.85546875" style="14" customWidth="1"/>
    <col min="15112" max="15112" width="10.85546875" style="14" customWidth="1"/>
    <col min="15113" max="15113" width="2.85546875" style="14" customWidth="1"/>
    <col min="15114" max="15114" width="12.140625" style="14" customWidth="1"/>
    <col min="15115" max="15115" width="10.140625" style="14" customWidth="1"/>
    <col min="15116" max="15116" width="11.7109375" style="14" customWidth="1"/>
    <col min="15117" max="15117" width="11.42578125" style="14" customWidth="1"/>
    <col min="15118" max="15118" width="12.7109375" style="14" customWidth="1"/>
    <col min="15119" max="15119" width="11.42578125" style="14" customWidth="1"/>
    <col min="15120" max="15120" width="10.7109375" style="14" customWidth="1"/>
    <col min="15121" max="15121" width="10.5703125" style="14" customWidth="1"/>
    <col min="15122" max="15122" width="11.28515625" style="14" customWidth="1"/>
    <col min="15123" max="15123" width="9.7109375" style="14" customWidth="1"/>
    <col min="15124" max="15124" width="12" style="14" customWidth="1"/>
    <col min="15125" max="15125" width="11.28515625" style="14" customWidth="1"/>
    <col min="15126" max="15363" width="9.140625" style="14"/>
    <col min="15364" max="15364" width="5.7109375" style="14" customWidth="1"/>
    <col min="15365" max="15365" width="13.140625" style="14" customWidth="1"/>
    <col min="15366" max="15366" width="12.28515625" style="14" customWidth="1"/>
    <col min="15367" max="15367" width="8.85546875" style="14" customWidth="1"/>
    <col min="15368" max="15368" width="10.85546875" style="14" customWidth="1"/>
    <col min="15369" max="15369" width="2.85546875" style="14" customWidth="1"/>
    <col min="15370" max="15370" width="12.140625" style="14" customWidth="1"/>
    <col min="15371" max="15371" width="10.140625" style="14" customWidth="1"/>
    <col min="15372" max="15372" width="11.7109375" style="14" customWidth="1"/>
    <col min="15373" max="15373" width="11.42578125" style="14" customWidth="1"/>
    <col min="15374" max="15374" width="12.7109375" style="14" customWidth="1"/>
    <col min="15375" max="15375" width="11.42578125" style="14" customWidth="1"/>
    <col min="15376" max="15376" width="10.7109375" style="14" customWidth="1"/>
    <col min="15377" max="15377" width="10.5703125" style="14" customWidth="1"/>
    <col min="15378" max="15378" width="11.28515625" style="14" customWidth="1"/>
    <col min="15379" max="15379" width="9.7109375" style="14" customWidth="1"/>
    <col min="15380" max="15380" width="12" style="14" customWidth="1"/>
    <col min="15381" max="15381" width="11.28515625" style="14" customWidth="1"/>
    <col min="15382" max="15619" width="9.140625" style="14"/>
    <col min="15620" max="15620" width="5.7109375" style="14" customWidth="1"/>
    <col min="15621" max="15621" width="13.140625" style="14" customWidth="1"/>
    <col min="15622" max="15622" width="12.28515625" style="14" customWidth="1"/>
    <col min="15623" max="15623" width="8.85546875" style="14" customWidth="1"/>
    <col min="15624" max="15624" width="10.85546875" style="14" customWidth="1"/>
    <col min="15625" max="15625" width="2.85546875" style="14" customWidth="1"/>
    <col min="15626" max="15626" width="12.140625" style="14" customWidth="1"/>
    <col min="15627" max="15627" width="10.140625" style="14" customWidth="1"/>
    <col min="15628" max="15628" width="11.7109375" style="14" customWidth="1"/>
    <col min="15629" max="15629" width="11.42578125" style="14" customWidth="1"/>
    <col min="15630" max="15630" width="12.7109375" style="14" customWidth="1"/>
    <col min="15631" max="15631" width="11.42578125" style="14" customWidth="1"/>
    <col min="15632" max="15632" width="10.7109375" style="14" customWidth="1"/>
    <col min="15633" max="15633" width="10.5703125" style="14" customWidth="1"/>
    <col min="15634" max="15634" width="11.28515625" style="14" customWidth="1"/>
    <col min="15635" max="15635" width="9.7109375" style="14" customWidth="1"/>
    <col min="15636" max="15636" width="12" style="14" customWidth="1"/>
    <col min="15637" max="15637" width="11.28515625" style="14" customWidth="1"/>
    <col min="15638" max="15875" width="9.140625" style="14"/>
    <col min="15876" max="15876" width="5.7109375" style="14" customWidth="1"/>
    <col min="15877" max="15877" width="13.140625" style="14" customWidth="1"/>
    <col min="15878" max="15878" width="12.28515625" style="14" customWidth="1"/>
    <col min="15879" max="15879" width="8.85546875" style="14" customWidth="1"/>
    <col min="15880" max="15880" width="10.85546875" style="14" customWidth="1"/>
    <col min="15881" max="15881" width="2.85546875" style="14" customWidth="1"/>
    <col min="15882" max="15882" width="12.140625" style="14" customWidth="1"/>
    <col min="15883" max="15883" width="10.140625" style="14" customWidth="1"/>
    <col min="15884" max="15884" width="11.7109375" style="14" customWidth="1"/>
    <col min="15885" max="15885" width="11.42578125" style="14" customWidth="1"/>
    <col min="15886" max="15886" width="12.7109375" style="14" customWidth="1"/>
    <col min="15887" max="15887" width="11.42578125" style="14" customWidth="1"/>
    <col min="15888" max="15888" width="10.7109375" style="14" customWidth="1"/>
    <col min="15889" max="15889" width="10.5703125" style="14" customWidth="1"/>
    <col min="15890" max="15890" width="11.28515625" style="14" customWidth="1"/>
    <col min="15891" max="15891" width="9.7109375" style="14" customWidth="1"/>
    <col min="15892" max="15892" width="12" style="14" customWidth="1"/>
    <col min="15893" max="15893" width="11.28515625" style="14" customWidth="1"/>
    <col min="15894" max="16131" width="9.140625" style="14"/>
    <col min="16132" max="16132" width="5.7109375" style="14" customWidth="1"/>
    <col min="16133" max="16133" width="13.140625" style="14" customWidth="1"/>
    <col min="16134" max="16134" width="12.28515625" style="14" customWidth="1"/>
    <col min="16135" max="16135" width="8.85546875" style="14" customWidth="1"/>
    <col min="16136" max="16136" width="10.85546875" style="14" customWidth="1"/>
    <col min="16137" max="16137" width="2.85546875" style="14" customWidth="1"/>
    <col min="16138" max="16138" width="12.140625" style="14" customWidth="1"/>
    <col min="16139" max="16139" width="10.140625" style="14" customWidth="1"/>
    <col min="16140" max="16140" width="11.7109375" style="14" customWidth="1"/>
    <col min="16141" max="16141" width="11.42578125" style="14" customWidth="1"/>
    <col min="16142" max="16142" width="12.7109375" style="14" customWidth="1"/>
    <col min="16143" max="16143" width="11.42578125" style="14" customWidth="1"/>
    <col min="16144" max="16144" width="10.7109375" style="14" customWidth="1"/>
    <col min="16145" max="16145" width="10.5703125" style="14" customWidth="1"/>
    <col min="16146" max="16146" width="11.28515625" style="14" customWidth="1"/>
    <col min="16147" max="16147" width="9.7109375" style="14" customWidth="1"/>
    <col min="16148" max="16148" width="12" style="14" customWidth="1"/>
    <col min="16149" max="16149" width="11.28515625" style="14" customWidth="1"/>
    <col min="16150" max="16384" width="9.140625" style="14"/>
  </cols>
  <sheetData>
    <row r="1" spans="4:19" ht="12.75" thickBot="1" x14ac:dyDescent="0.25"/>
    <row r="2" spans="4:19" ht="12" customHeight="1" thickBot="1" x14ac:dyDescent="0.25">
      <c r="Q2" s="633" t="s">
        <v>0</v>
      </c>
      <c r="R2" s="634"/>
      <c r="S2" s="635"/>
    </row>
    <row r="3" spans="4:19" ht="13.5" thickBot="1" x14ac:dyDescent="0.25">
      <c r="I3" s="636" t="s">
        <v>1</v>
      </c>
      <c r="J3" s="637"/>
      <c r="K3" s="637"/>
      <c r="L3" s="637"/>
      <c r="M3" s="637"/>
      <c r="N3" s="637"/>
      <c r="O3" s="638"/>
      <c r="Q3" s="611">
        <f>+'CARRERA REYES MARTIN SEBASTIAN'!Q3</f>
        <v>45</v>
      </c>
      <c r="R3" s="639"/>
      <c r="S3" s="612"/>
    </row>
    <row r="4" spans="4:19" ht="13.5" thickBot="1" x14ac:dyDescent="0.25">
      <c r="I4" s="640" t="s">
        <v>2</v>
      </c>
      <c r="J4" s="641"/>
      <c r="K4" s="641"/>
      <c r="L4" s="641"/>
      <c r="M4" s="641"/>
      <c r="N4" s="641"/>
      <c r="O4" s="642"/>
      <c r="Q4" s="18"/>
      <c r="R4" s="18"/>
      <c r="S4" s="18"/>
    </row>
    <row r="5" spans="4:19" ht="13.5" thickBot="1" x14ac:dyDescent="0.25">
      <c r="I5" s="643" t="s">
        <v>3</v>
      </c>
      <c r="J5" s="644"/>
      <c r="K5" s="644"/>
      <c r="L5" s="644"/>
      <c r="M5" s="644"/>
      <c r="N5" s="644"/>
      <c r="O5" s="645"/>
      <c r="Q5" s="611" t="s">
        <v>4</v>
      </c>
      <c r="R5" s="639"/>
      <c r="S5" s="612"/>
    </row>
    <row r="6" spans="4:19" ht="13.5" thickBot="1" x14ac:dyDescent="0.25">
      <c r="I6" s="650" t="s">
        <v>5</v>
      </c>
      <c r="J6" s="651"/>
      <c r="K6" s="651"/>
      <c r="L6" s="651"/>
      <c r="M6" s="651"/>
      <c r="N6" s="651"/>
      <c r="O6" s="652"/>
      <c r="Q6" s="653"/>
      <c r="R6" s="654"/>
      <c r="S6" s="655"/>
    </row>
    <row r="7" spans="4:19" ht="9" customHeight="1" x14ac:dyDescent="0.2"/>
    <row r="8" spans="4:19" ht="6.75" customHeight="1" thickBot="1" x14ac:dyDescent="0.25"/>
    <row r="9" spans="4:19" ht="13.5" thickBot="1" x14ac:dyDescent="0.25">
      <c r="I9" s="611" t="s">
        <v>6</v>
      </c>
      <c r="J9" s="639"/>
      <c r="K9" s="639"/>
      <c r="L9" s="639"/>
      <c r="M9" s="639"/>
      <c r="N9" s="639"/>
      <c r="O9" s="612"/>
    </row>
    <row r="10" spans="4:19" ht="11.25" customHeight="1" thickBot="1" x14ac:dyDescent="0.25"/>
    <row r="11" spans="4:19" ht="12.75" x14ac:dyDescent="0.2">
      <c r="D11" s="1" t="s">
        <v>7</v>
      </c>
      <c r="E11" s="2" t="s">
        <v>343</v>
      </c>
      <c r="F11" s="2"/>
      <c r="G11" s="2"/>
      <c r="H11" s="2"/>
      <c r="I11" s="2"/>
      <c r="J11" s="2"/>
      <c r="K11" s="3" t="s">
        <v>8</v>
      </c>
      <c r="L11" s="656" t="str">
        <f>'REYES LARA DANTE'!L11</f>
        <v>SEMANA #45 PERIODO DEL 27 de oct AL 02 de nov DEL 2025</v>
      </c>
      <c r="M11" s="656"/>
      <c r="N11" s="656"/>
      <c r="O11" s="656"/>
      <c r="P11" s="656"/>
      <c r="Q11" s="656"/>
      <c r="R11" s="656"/>
      <c r="S11" s="659"/>
    </row>
    <row r="12" spans="4:19" ht="12.75" x14ac:dyDescent="0.2">
      <c r="D12" s="4" t="s">
        <v>9</v>
      </c>
      <c r="E12" s="624" t="s">
        <v>158</v>
      </c>
      <c r="F12" s="624"/>
      <c r="G12" s="5"/>
      <c r="H12" s="130"/>
      <c r="I12" s="130"/>
      <c r="J12" s="130"/>
      <c r="K12" s="130"/>
      <c r="L12" s="130"/>
      <c r="M12" s="130"/>
      <c r="N12" s="130"/>
      <c r="O12" s="130"/>
      <c r="P12" s="130"/>
      <c r="Q12" s="130"/>
      <c r="R12" s="130"/>
      <c r="S12" s="256"/>
    </row>
    <row r="13" spans="4:19" ht="9.75" customHeight="1" x14ac:dyDescent="0.2">
      <c r="D13" s="623"/>
      <c r="E13" s="624"/>
      <c r="F13" s="130"/>
      <c r="G13" s="130"/>
      <c r="H13" s="130"/>
      <c r="I13" s="130"/>
      <c r="J13" s="130"/>
      <c r="K13" s="130"/>
      <c r="L13" s="130"/>
      <c r="M13" s="130"/>
      <c r="N13" s="130"/>
      <c r="O13" s="130"/>
      <c r="P13" s="130"/>
      <c r="Q13" s="130"/>
      <c r="R13" s="130"/>
      <c r="S13" s="256"/>
    </row>
    <row r="14" spans="4:19" ht="12.75" x14ac:dyDescent="0.2">
      <c r="D14" s="625" t="s">
        <v>10</v>
      </c>
      <c r="E14" s="626"/>
      <c r="F14" s="130"/>
      <c r="G14" s="130"/>
      <c r="H14" s="130"/>
      <c r="I14" s="6" t="s">
        <v>11</v>
      </c>
      <c r="J14" s="6"/>
      <c r="K14" s="130"/>
      <c r="L14" s="130"/>
      <c r="M14" s="130"/>
      <c r="N14" s="130"/>
      <c r="O14" s="6" t="s">
        <v>12</v>
      </c>
      <c r="P14" s="7"/>
      <c r="Q14" s="7"/>
      <c r="R14" s="7"/>
      <c r="S14" s="8"/>
    </row>
    <row r="15" spans="4:19" ht="12.75" x14ac:dyDescent="0.2">
      <c r="D15" s="625" t="s">
        <v>13</v>
      </c>
      <c r="E15" s="626"/>
      <c r="F15" s="130"/>
      <c r="G15" s="130"/>
      <c r="H15" s="130"/>
      <c r="I15" s="6" t="s">
        <v>14</v>
      </c>
      <c r="J15" s="6"/>
      <c r="K15" s="130"/>
      <c r="L15" s="130"/>
      <c r="M15" s="130"/>
      <c r="N15" s="130"/>
      <c r="O15" s="6" t="s">
        <v>15</v>
      </c>
      <c r="P15" s="130"/>
      <c r="Q15" s="130"/>
      <c r="R15" s="130"/>
      <c r="S15" s="256"/>
    </row>
    <row r="16" spans="4:19" ht="13.5" thickBot="1" x14ac:dyDescent="0.25">
      <c r="D16" s="627" t="s">
        <v>16</v>
      </c>
      <c r="E16" s="628"/>
      <c r="F16" s="257">
        <f>SUM(J19:J28)</f>
        <v>3000</v>
      </c>
      <c r="G16" s="257"/>
      <c r="H16" s="257"/>
      <c r="I16" s="9" t="s">
        <v>17</v>
      </c>
      <c r="J16" s="257">
        <f>SUM(K19:K28)</f>
        <v>967.45</v>
      </c>
      <c r="K16" s="257"/>
      <c r="L16" s="257"/>
      <c r="M16" s="257"/>
      <c r="N16" s="257"/>
      <c r="O16" s="9" t="s">
        <v>18</v>
      </c>
      <c r="P16" s="10">
        <f>+F16/J16</f>
        <v>3.100935448860406</v>
      </c>
      <c r="Q16" s="257"/>
      <c r="R16" s="257"/>
      <c r="S16" s="258"/>
    </row>
    <row r="17" spans="3:26" ht="7.5" customHeight="1" thickBot="1" x14ac:dyDescent="0.25"/>
    <row r="18" spans="3:26" ht="24.75" thickBot="1" x14ac:dyDescent="0.25">
      <c r="C18" s="243" t="s">
        <v>19</v>
      </c>
      <c r="D18" s="33" t="s">
        <v>20</v>
      </c>
      <c r="E18" s="34" t="s">
        <v>21</v>
      </c>
      <c r="F18" s="34" t="s">
        <v>22</v>
      </c>
      <c r="G18" s="34" t="s">
        <v>23</v>
      </c>
      <c r="H18" s="34" t="s">
        <v>24</v>
      </c>
      <c r="I18" s="34" t="s">
        <v>25</v>
      </c>
      <c r="J18" s="34" t="s">
        <v>26</v>
      </c>
      <c r="K18" s="34" t="s">
        <v>27</v>
      </c>
      <c r="L18" s="34" t="s">
        <v>28</v>
      </c>
      <c r="M18" s="34" t="s">
        <v>285</v>
      </c>
      <c r="N18" s="34" t="s">
        <v>29</v>
      </c>
      <c r="O18" s="34" t="s">
        <v>30</v>
      </c>
      <c r="P18" s="33" t="s">
        <v>31</v>
      </c>
      <c r="Q18" s="34" t="s">
        <v>219</v>
      </c>
      <c r="R18" s="34" t="s">
        <v>184</v>
      </c>
      <c r="S18" s="34" t="s">
        <v>33</v>
      </c>
      <c r="T18" s="35" t="s">
        <v>220</v>
      </c>
      <c r="U18" s="448" t="s">
        <v>351</v>
      </c>
      <c r="V18" s="305" t="s">
        <v>354</v>
      </c>
      <c r="Z18" s="244"/>
    </row>
    <row r="19" spans="3:26" x14ac:dyDescent="0.2">
      <c r="C19" s="176">
        <v>46488</v>
      </c>
      <c r="D19" s="43" t="s">
        <v>447</v>
      </c>
      <c r="E19" s="42">
        <v>45957</v>
      </c>
      <c r="F19" s="42">
        <v>45958</v>
      </c>
      <c r="G19" s="43">
        <v>2</v>
      </c>
      <c r="H19" s="236" t="str">
        <f>IF(G19=1,[3]KILOMETRAJE!C$4,IF(G19=2,[3]KILOMETRAJE!C$5,IF(G19=3,[3]KILOMETRAJE!C$6,IF(G19=4,[3]KILOMETRAJE!C$7,IF(G19=5,[3]KILOMETRAJE!C$8,IF(G19=6,[3]KILOMETRAJE!C$9,IF(G19=7,[3]KILOMETRAJE!C$10,IF(G19=8,[3]KILOMETRAJE!C$11,IF(G19=9,[3]KILOMETRAJE!C$12,IF(G19=10,[3]KILOMETRAJE!C$13,IF(G19=11,[3]KILOMETRAJE!C$14,IF(G19=12,[3]KILOMETRAJE!C$15,IF(G19=13,[3]KILOMETRAJE!C$16,IF(G19=14,[3]KILOMETRAJE!C$17,IF(G19=15,[3]KILOMETRAJE!C$18,IF(G19=16,[3]KILOMETRAJE!C$19,IF(G19=17,[3]KILOMETRAJE!C$20,IF(G19=18,[3]KILOMETRAJE!C$21,IF(G19=19,[3]KILOMETRAJE!C$22,IF(G19=20,[3]KILOMETRAJE!C$23,IF(G19=21,[3]KILOMETRAJE!C$24,IF(G19=22,[3]KILOMETRAJE!C$25,IF(G19=23,[3]KILOMETRAJE!C$26,IF(G19=24,[3]KILOMETRAJE!C$27,IF(G19=25,[3]KILOMETRAJE!C$28,IF(G19=26,[3]KILOMETRAJE!C$29,IF(G19=27,[3]KILOMETRAJE!C$30,IF(G19=28,[3]KILOMETRAJE!C$31,IF(G19=29,[3]KILOMETRAJE!C$32,IF(G19=30,[3]KILOMETRAJE!C$33,IF(G19=31,[3]KILOMETRAJE!C$34,IF(G19=32,[3]KILOMETRAJE!C$35,IF(G19=33,[3]KILOMETRAJE!C$36,IF(G19=34,[3]KILOMETRAJE!C$37,IF(G19=35,[3]KILOMETRAJE!C$38,IF(G19=36,[3]KILOMETRAJE!C$39,IF(G19=37,[3]KILOMETRAJE!C$40,IF(G19=38,[3]KILOMETRAJE!C$41,IF(G19=39,[3]KILOMETRAJE!C$42,IF(G19=40,[3]KILOMETRAJE!C$43,IF(G19=41,[3]KILOMETRAJE!C$44,IF(G19=42,[3]KILOMETRAJE!C$45,IF(G19=43,[3]KILOMETRAJE!C$46,IF(G19=44,[3]KILOMETRAJE!C$47,IF(G19=45,[3]KILOMETRAJE!C$48,IF(G19=46,[3]KILOMETRAJE!C$49,IF(G19=47,[3]KILOMETRAJE!C$50,IF(G19=48,[3]KILOMETRAJE!C$51,IF(G19=49,[3]KILOMETRAJE!C$52,IF(G19=50,[3]KILOMETRAJE!C$53,IF(G19=51,[3]KILOMETRAJE!C$54,IF(G19=52,[3]KILOMETRAJE!C$55,IF(G19=53,[3]KILOMETRAJE!C$56,IF(G19=54,[3]KILOMETRAJE!C$57,IF(G19=55,[3]KILOMETRAJE!C$58,IF(G19=56,[3]KILOMETRAJE!C$59,IF(G19=57,[3]KILOMETRAJE!C$60,IF(G19=58,[3]KILOMETRAJE!C$61,IF(G19=59,[3]KILOMETRAJE!C$62,IF(G19=60,[3]KILOMETRAJE!C$63,IF(G19=61,[3]KILOMETRAJE!C$64,IF(G19=62,[3]KILOMETRAJE!C$65,IF(G19=63,[3]KILOMETRAJE!C$66)))))))))))))))))))))))))))))))))))))))))))))))))))))))))))))))</f>
        <v>JRZ</v>
      </c>
      <c r="I19" s="236" t="str">
        <f>IF(G19=1,[3]KILOMETRAJE!E$4,IF(G19=2,[3]KILOMETRAJE!E$5,IF(G19=3,[3]KILOMETRAJE!E$6,IF(G19=4,[3]KILOMETRAJE!E$7,IF(G19=5,[3]KILOMETRAJE!E$8,IF(G19=6,[3]KILOMETRAJE!E$9,IF(G19=7,[3]KILOMETRAJE!E$10,IF(G19=8,[3]KILOMETRAJE!E$11,IF(G19=9,[3]KILOMETRAJE!E$12,IF(G19=10,[3]KILOMETRAJE!E$13,IF(G19=11,[3]KILOMETRAJE!E$14,IF(G19=12,[3]KILOMETRAJE!E$15,IF(G19=13,[3]KILOMETRAJE!E$16,IF(G19=14,[3]KILOMETRAJE!E$17,IF(G19=15,[3]KILOMETRAJE!E$18,IF(G19=16,[3]KILOMETRAJE!E$19,IF(G19=17,[3]KILOMETRAJE!E$20,IF(G19=18,[3]KILOMETRAJE!E$21,IF(G19=19,[3]KILOMETRAJE!E$22,IF(G19=20,[3]KILOMETRAJE!E$23,IF(G19=21,[3]KILOMETRAJE!E$24,IF(G19=22,[3]KILOMETRAJE!E$25,IF(G19=23,[3]KILOMETRAJE!E$26,IF(G19=24,[3]KILOMETRAJE!E$27,IF(G19=25,[3]KILOMETRAJE!E$28,IF(G19=26,[3]KILOMETRAJE!E$29,IF(G19=27,[3]KILOMETRAJE!E$30,IF(G19=28,[3]KILOMETRAJE!E$31,IF(G19=29,[3]KILOMETRAJE!E$32,IF(G19=30,[3]KILOMETRAJE!E$33,IF(G19=31,[3]KILOMETRAJE!E$34,IF(G19=32,[3]KILOMETRAJE!E$35,IF(G19=33,[3]KILOMETRAJE!E$36,IF(G19=34,[3]KILOMETRAJE!E$37,IF(G19=35,[3]KILOMETRAJE!E$38,IF(G19=36,[3]KILOMETRAJE!E$39,IF(G19=37,[3]KILOMETRAJE!E$40,IF(G19=38,[3]KILOMETRAJE!E$41,IF(G19=39,[3]KILOMETRAJE!E$42,IF(G19=40,[3]KILOMETRAJE!E$43,IF(G19=41,[3]KILOMETRAJE!E$44,IF(G19=42,[3]KILOMETRAJE!E$45,IF(G19=43,[3]KILOMETRAJE!E$46,IF(G19=44,[3]KILOMETRAJE!E$47,IF(G19=45,[3]KILOMETRAJE!E$48,IF(G19=46,[3]KILOMETRAJE!E$49,IF(G19=47,[3]KILOMETRAJE!E$50,IF(G19=48,[3]KILOMETRAJE!E$51,IF(G19=49,[3]KILOMETRAJE!E$52,IF(G19=50,[3]KILOMETRAJE!E$53,IF(G19=51,[3]KILOMETRAJE!E$54,IF(G19=52,[3]KILOMETRAJE!E$55,IF(G19=53,[3]KILOMETRAJE!E$56,IF(G19=54,[3]KILOMETRAJE!E$57,IF(G19=55,[3]KILOMETRAJE!E$58,IF(G19=56,[3]KILOMETRAJE!E$59,IF(G19=57,[3]KILOMETRAJE!E$60,IF(G19=58,[3]KILOMETRAJE!E$61,IF(G19=59,[3]KILOMETRAJE!E$62,IF(G19=60,[3]KILOMETRAJE!E$63,IF(G19=61,[3]KILOMETRAJE!E$64,IF(G19=62,[3]KILOMETRAJE!E$65,IF(G19=63,[3]KILOMETRAJE!E$66)))))))))))))))))))))))))))))))))))))))))))))))))))))))))))))))</f>
        <v>CHIH.</v>
      </c>
      <c r="J19" s="237">
        <f>IF(G19=1,[3]KILOMETRAJE!G$4,IF(G19=2,[3]KILOMETRAJE!G$5,IF(G19=3,[3]KILOMETRAJE!G$6,IF(G19=4,[3]KILOMETRAJE!G$7,IF(G19=5,[3]KILOMETRAJE!G$8,IF(G19=6,[3]KILOMETRAJE!G$9,IF(G19=7,[3]KILOMETRAJE!G$10,IF(G19=8,[3]KILOMETRAJE!G$11,IF(G19=9,[3]KILOMETRAJE!G$12,IF(G19=10,[3]KILOMETRAJE!G$13,IF(G19=11,[3]KILOMETRAJE!G$14,IF(G19=12,[3]KILOMETRAJE!G$15,IF(G19=13,[3]KILOMETRAJE!G$16,IF(G19=14,[3]KILOMETRAJE!G$17,IF(G19=15,[3]KILOMETRAJE!G$18,IF(G19=16,[3]KILOMETRAJE!G$19,IF(G19=17,[3]KILOMETRAJE!G$20,IF(G19=18,[3]KILOMETRAJE!G$21,IF(G19=19,[3]KILOMETRAJE!G$22,IF(G19=20,[3]KILOMETRAJE!G$23,IF(G19=21,[3]KILOMETRAJE!G$24,IF(G19=22,[3]KILOMETRAJE!G$25,IF(G19=23,[3]KILOMETRAJE!G$26,IF(G19=24,[3]KILOMETRAJE!G$27,IF(G19=25,[3]KILOMETRAJE!G$28,IF(G19=26,[3]KILOMETRAJE!G$29,IF(G19=27,[3]KILOMETRAJE!G$30,IF(G19=28,[3]KILOMETRAJE!G$31,IF(G19=29,[3]KILOMETRAJE!G$32,IF(G19=30,[3]KILOMETRAJE!G$33,IF(G19=31,[3]KILOMETRAJE!G$34,IF(G19=32,[3]KILOMETRAJE!G$35,IF(G19=33,[3]KILOMETRAJE!G$36,IF(G19=34,[3]KILOMETRAJE!G$37,IF(G19=35,[3]KILOMETRAJE!G$38,IF(G19=36,[3]KILOMETRAJE!G$39,IF(G19=37,[3]KILOMETRAJE!G$40,IF(G19=38,[3]KILOMETRAJE!G$41,IF(G19=39,[3]KILOMETRAJE!G$42,IF(G19=40,[3]KILOMETRAJE!G$43,IF(G19=41,[3]KILOMETRAJE!G$44,IF(G19=42,[3]KILOMETRAJE!G$45,IF(G19=43,[3]KILOMETRAJE!G$46,IF(G19=44,[3]KILOMETRAJE!G$47,IF(G19=45,[3]KILOMETRAJE!G$48,IF(G19=46,[3]KILOMETRAJE!G$49,IF(G19=47,[3]KILOMETRAJE!G$50,IF(G19=48,[3]KILOMETRAJE!G$51,IF(G19=49,[3]KILOMETRAJE!G$52,IF(G19=50,[3]KILOMETRAJE!G$53,IF(G19=51,[3]KILOMETRAJE!G$54,IF(G19=52,[3]KILOMETRAJE!G$55,IF(G19=53,[3]KILOMETRAJE!G$56,IF(G19=54,[3]KILOMETRAJE!G$57,IF(G19=55,[3]KILOMETRAJE!G$58,IF(G19=56,[3]KILOMETRAJE!G$59,IF(G19=57,[3]KILOMETRAJE!G$60,IF(G19=58,[3]KILOMETRAJE!G$61,IF(G19=59,[3]KILOMETRAJE!G$62,IF(G19=60,[3]KILOMETRAJE!G$63,IF(G19=61,[3]KILOMETRAJE!G$64,IF(G19=62,[3]KILOMETRAJE!G$65,IF(G19=63,[3]KILOMETRAJE!G$66)))))))))))))))))))))))))))))))))))))))))))))))))))))))))))))))</f>
        <v>375</v>
      </c>
      <c r="K19" s="24"/>
      <c r="L19" s="44"/>
      <c r="M19" s="348">
        <v>6447</v>
      </c>
      <c r="N19" s="24">
        <v>1</v>
      </c>
      <c r="O19" s="24" t="s">
        <v>449</v>
      </c>
      <c r="P19" s="24" t="s">
        <v>193</v>
      </c>
      <c r="Q19" s="45">
        <f t="shared" ref="Q19:Q22" si="0">((((IF(N19=1,((J19)*0.29333)))+(IF(N19=2,((J19)*0.146666)))+(IF(N19=3,((J19)*0.146666)))))+(IF(N19=4,((J19-40)*0.29333)))+(IF(N19=5,((J19-50)*0.29333)))+(IF(N19=6,((J19-90)*0.29333))))</f>
        <v>109.99874999999999</v>
      </c>
      <c r="R19" s="191"/>
      <c r="S19" s="52"/>
      <c r="T19" s="455"/>
      <c r="U19" s="11" t="s">
        <v>376</v>
      </c>
      <c r="V19" s="11" t="s">
        <v>352</v>
      </c>
    </row>
    <row r="20" spans="3:26" ht="12.75" thickBot="1" x14ac:dyDescent="0.25">
      <c r="C20" s="239"/>
      <c r="D20" s="68" t="s">
        <v>448</v>
      </c>
      <c r="E20" s="69">
        <v>45958</v>
      </c>
      <c r="F20" s="69">
        <v>45958</v>
      </c>
      <c r="G20" s="68">
        <v>3</v>
      </c>
      <c r="H20" s="70" t="str">
        <f>IF(G20=1,[3]KILOMETRAJE!C$4,IF(G20=2,[3]KILOMETRAJE!C$5,IF(G20=3,[3]KILOMETRAJE!C$6,IF(G20=4,[3]KILOMETRAJE!C$7,IF(G20=5,[3]KILOMETRAJE!C$8,IF(G20=6,[3]KILOMETRAJE!C$9,IF(G20=7,[3]KILOMETRAJE!C$10,IF(G20=8,[3]KILOMETRAJE!C$11,IF(G20=9,[3]KILOMETRAJE!C$12,IF(G20=10,[3]KILOMETRAJE!C$13,IF(G20=11,[3]KILOMETRAJE!C$14,IF(G20=12,[3]KILOMETRAJE!C$15,IF(G20=13,[3]KILOMETRAJE!C$16,IF(G20=14,[3]KILOMETRAJE!C$17,IF(G20=15,[3]KILOMETRAJE!C$18,IF(G20=16,[3]KILOMETRAJE!C$19,IF(G20=17,[3]KILOMETRAJE!C$20,IF(G20=18,[3]KILOMETRAJE!C$21,IF(G20=19,[3]KILOMETRAJE!C$22,IF(G20=20,[3]KILOMETRAJE!C$23,IF(G20=21,[3]KILOMETRAJE!C$24,IF(G20=22,[3]KILOMETRAJE!C$25,IF(G20=23,[3]KILOMETRAJE!C$26,IF(G20=24,[3]KILOMETRAJE!C$27,IF(G20=25,[3]KILOMETRAJE!C$28,IF(G20=26,[3]KILOMETRAJE!C$29,IF(G20=27,[3]KILOMETRAJE!C$30,IF(G20=28,[3]KILOMETRAJE!C$31,IF(G20=29,[3]KILOMETRAJE!C$32,IF(G20=30,[3]KILOMETRAJE!C$33,IF(G20=31,[3]KILOMETRAJE!C$34,IF(G20=32,[3]KILOMETRAJE!C$35,IF(G20=33,[3]KILOMETRAJE!C$36,IF(G20=34,[3]KILOMETRAJE!C$37,IF(G20=35,[3]KILOMETRAJE!C$38,IF(G20=36,[3]KILOMETRAJE!C$39,IF(G20=37,[3]KILOMETRAJE!C$40,IF(G20=38,[3]KILOMETRAJE!C$41,IF(G20=39,[3]KILOMETRAJE!C$42,IF(G20=40,[3]KILOMETRAJE!C$43,IF(G20=41,[3]KILOMETRAJE!C$44,IF(G20=42,[3]KILOMETRAJE!C$45,IF(G20=43,[3]KILOMETRAJE!C$46,IF(G20=44,[3]KILOMETRAJE!C$47,IF(G20=45,[3]KILOMETRAJE!C$48,IF(G20=46,[3]KILOMETRAJE!C$49,IF(G20=47,[3]KILOMETRAJE!C$50,IF(G20=48,[3]KILOMETRAJE!C$51,IF(G20=49,[3]KILOMETRAJE!C$52,IF(G20=50,[3]KILOMETRAJE!C$53,IF(G20=51,[3]KILOMETRAJE!C$54,IF(G20=52,[3]KILOMETRAJE!C$55,IF(G20=53,[3]KILOMETRAJE!C$56,IF(G20=54,[3]KILOMETRAJE!C$57,IF(G20=55,[3]KILOMETRAJE!C$58,IF(G20=56,[3]KILOMETRAJE!C$59,IF(G20=57,[3]KILOMETRAJE!C$60,IF(G20=58,[3]KILOMETRAJE!C$61,IF(G20=59,[3]KILOMETRAJE!C$62,IF(G20=60,[3]KILOMETRAJE!C$63,IF(G20=61,[3]KILOMETRAJE!C$64,IF(G20=62,[3]KILOMETRAJE!C$65,IF(G20=63,[3]KILOMETRAJE!C$66)))))))))))))))))))))))))))))))))))))))))))))))))))))))))))))))</f>
        <v xml:space="preserve">CHIH. </v>
      </c>
      <c r="I20" s="70" t="str">
        <f>IF(G20=1,[3]KILOMETRAJE!E$4,IF(G20=2,[3]KILOMETRAJE!E$5,IF(G20=3,[3]KILOMETRAJE!E$6,IF(G20=4,[3]KILOMETRAJE!E$7,IF(G20=5,[3]KILOMETRAJE!E$8,IF(G20=6,[3]KILOMETRAJE!E$9,IF(G20=7,[3]KILOMETRAJE!E$10,IF(G20=8,[3]KILOMETRAJE!E$11,IF(G20=9,[3]KILOMETRAJE!E$12,IF(G20=10,[3]KILOMETRAJE!E$13,IF(G20=11,[3]KILOMETRAJE!E$14,IF(G20=12,[3]KILOMETRAJE!E$15,IF(G20=13,[3]KILOMETRAJE!E$16,IF(G20=14,[3]KILOMETRAJE!E$17,IF(G20=15,[3]KILOMETRAJE!E$18,IF(G20=16,[3]KILOMETRAJE!E$19,IF(G20=17,[3]KILOMETRAJE!E$20,IF(G20=18,[3]KILOMETRAJE!E$21,IF(G20=19,[3]KILOMETRAJE!E$22,IF(G20=20,[3]KILOMETRAJE!E$23,IF(G20=21,[3]KILOMETRAJE!E$24,IF(G20=22,[3]KILOMETRAJE!E$25,IF(G20=23,[3]KILOMETRAJE!E$26,IF(G20=24,[3]KILOMETRAJE!E$27,IF(G20=25,[3]KILOMETRAJE!E$28,IF(G20=26,[3]KILOMETRAJE!E$29,IF(G20=27,[3]KILOMETRAJE!E$30,IF(G20=28,[3]KILOMETRAJE!E$31,IF(G20=29,[3]KILOMETRAJE!E$32,IF(G20=30,[3]KILOMETRAJE!E$33,IF(G20=31,[3]KILOMETRAJE!E$34,IF(G20=32,[3]KILOMETRAJE!E$35,IF(G20=33,[3]KILOMETRAJE!E$36,IF(G20=34,[3]KILOMETRAJE!E$37,IF(G20=35,[3]KILOMETRAJE!E$38,IF(G20=36,[3]KILOMETRAJE!E$39,IF(G20=37,[3]KILOMETRAJE!E$40,IF(G20=38,[3]KILOMETRAJE!E$41,IF(G20=39,[3]KILOMETRAJE!E$42,IF(G20=40,[3]KILOMETRAJE!E$43,IF(G20=41,[3]KILOMETRAJE!E$44,IF(G20=42,[3]KILOMETRAJE!E$45,IF(G20=43,[3]KILOMETRAJE!E$46,IF(G20=44,[3]KILOMETRAJE!E$47,IF(G20=45,[3]KILOMETRAJE!E$48,IF(G20=46,[3]KILOMETRAJE!E$49,IF(G20=47,[3]KILOMETRAJE!E$50,IF(G20=48,[3]KILOMETRAJE!E$51,IF(G20=49,[3]KILOMETRAJE!E$52,IF(G20=50,[3]KILOMETRAJE!E$53,IF(G20=51,[3]KILOMETRAJE!E$54,IF(G20=52,[3]KILOMETRAJE!E$55,IF(G20=53,[3]KILOMETRAJE!E$56,IF(G20=54,[3]KILOMETRAJE!E$57,IF(G20=55,[3]KILOMETRAJE!E$58,IF(G20=56,[3]KILOMETRAJE!E$59,IF(G20=57,[3]KILOMETRAJE!E$60,IF(G20=58,[3]KILOMETRAJE!E$61,IF(G20=59,[3]KILOMETRAJE!E$62,IF(G20=60,[3]KILOMETRAJE!E$63,IF(G20=61,[3]KILOMETRAJE!E$64,IF(G20=62,[3]KILOMETRAJE!E$65,IF(G20=63,[3]KILOMETRAJE!E$66)))))))))))))))))))))))))))))))))))))))))))))))))))))))))))))))</f>
        <v>JRZ</v>
      </c>
      <c r="J20" s="71">
        <f>IF(G20=1,[3]KILOMETRAJE!G$4,IF(G20=2,[3]KILOMETRAJE!G$5,IF(G20=3,[3]KILOMETRAJE!G$6,IF(G20=4,[3]KILOMETRAJE!G$7,IF(G20=5,[3]KILOMETRAJE!G$8,IF(G20=6,[3]KILOMETRAJE!G$9,IF(G20=7,[3]KILOMETRAJE!G$10,IF(G20=8,[3]KILOMETRAJE!G$11,IF(G20=9,[3]KILOMETRAJE!G$12,IF(G20=10,[3]KILOMETRAJE!G$13,IF(G20=11,[3]KILOMETRAJE!G$14,IF(G20=12,[3]KILOMETRAJE!G$15,IF(G20=13,[3]KILOMETRAJE!G$16,IF(G20=14,[3]KILOMETRAJE!G$17,IF(G20=15,[3]KILOMETRAJE!G$18,IF(G20=16,[3]KILOMETRAJE!G$19,IF(G20=17,[3]KILOMETRAJE!G$20,IF(G20=18,[3]KILOMETRAJE!G$21,IF(G20=19,[3]KILOMETRAJE!G$22,IF(G20=20,[3]KILOMETRAJE!G$23,IF(G20=21,[3]KILOMETRAJE!G$24,IF(G20=22,[3]KILOMETRAJE!G$25,IF(G20=23,[3]KILOMETRAJE!G$26,IF(G20=24,[3]KILOMETRAJE!G$27,IF(G20=25,[3]KILOMETRAJE!G$28,IF(G20=26,[3]KILOMETRAJE!G$29,IF(G20=27,[3]KILOMETRAJE!G$30,IF(G20=28,[3]KILOMETRAJE!G$31,IF(G20=29,[3]KILOMETRAJE!G$32,IF(G20=30,[3]KILOMETRAJE!G$33,IF(G20=31,[3]KILOMETRAJE!G$34,IF(G20=32,[3]KILOMETRAJE!G$35,IF(G20=33,[3]KILOMETRAJE!G$36,IF(G20=34,[3]KILOMETRAJE!G$37,IF(G20=35,[3]KILOMETRAJE!G$38,IF(G20=36,[3]KILOMETRAJE!G$39,IF(G20=37,[3]KILOMETRAJE!G$40,IF(G20=38,[3]KILOMETRAJE!G$41,IF(G20=39,[3]KILOMETRAJE!G$42,IF(G20=40,[3]KILOMETRAJE!G$43,IF(G20=41,[3]KILOMETRAJE!G$44,IF(G20=42,[3]KILOMETRAJE!G$45,IF(G20=43,[3]KILOMETRAJE!G$46,IF(G20=44,[3]KILOMETRAJE!G$47,IF(G20=45,[3]KILOMETRAJE!G$48,IF(G20=46,[3]KILOMETRAJE!G$49,IF(G20=47,[3]KILOMETRAJE!G$50,IF(G20=48,[3]KILOMETRAJE!G$51,IF(G20=49,[3]KILOMETRAJE!G$52,IF(G20=50,[3]KILOMETRAJE!G$53,IF(G20=51,[3]KILOMETRAJE!G$54,IF(G20=52,[3]KILOMETRAJE!G$55,IF(G20=53,[3]KILOMETRAJE!G$56,IF(G20=54,[3]KILOMETRAJE!G$57,IF(G20=55,[3]KILOMETRAJE!G$58,IF(G20=56,[3]KILOMETRAJE!G$59,IF(G20=57,[3]KILOMETRAJE!G$60,IF(G20=58,[3]KILOMETRAJE!G$61,IF(G20=59,[3]KILOMETRAJE!G$62,IF(G20=60,[3]KILOMETRAJE!G$63,IF(G20=61,[3]KILOMETRAJE!G$64,IF(G20=62,[3]KILOMETRAJE!G$65,IF(G20=63,[3]KILOMETRAJE!G$66)))))))))))))))))))))))))))))))))))))))))))))))))))))))))))))))</f>
        <v>375</v>
      </c>
      <c r="K20" s="70">
        <v>255.03</v>
      </c>
      <c r="L20" s="72">
        <f>SUM(J19:J20)/K20</f>
        <v>2.9408304905305256</v>
      </c>
      <c r="M20" s="370">
        <v>18000</v>
      </c>
      <c r="N20" s="70">
        <v>1</v>
      </c>
      <c r="O20" s="70" t="s">
        <v>450</v>
      </c>
      <c r="P20" s="70" t="s">
        <v>200</v>
      </c>
      <c r="Q20" s="67">
        <f t="shared" si="0"/>
        <v>109.99874999999999</v>
      </c>
      <c r="R20" s="197">
        <f>+LOOKUP(P40,[3]UNIDADES!B$3:B$59,[3]UNIDADES!C$3:C$59)</f>
        <v>2.4509799999999999</v>
      </c>
      <c r="S20" s="194">
        <f>+((SUM(J19:J20))/R20)-K20</f>
        <v>50.970048960007858</v>
      </c>
      <c r="T20" s="461">
        <f>+S20*14.85</f>
        <v>756.9052270561167</v>
      </c>
      <c r="U20" s="70">
        <v>59</v>
      </c>
      <c r="V20" s="70">
        <v>59</v>
      </c>
    </row>
    <row r="21" spans="3:26" x14ac:dyDescent="0.2">
      <c r="C21" s="433">
        <v>46111</v>
      </c>
      <c r="D21" s="77" t="s">
        <v>451</v>
      </c>
      <c r="E21" s="430">
        <v>45958</v>
      </c>
      <c r="F21" s="430">
        <v>45959</v>
      </c>
      <c r="G21" s="77">
        <v>2</v>
      </c>
      <c r="H21" s="434" t="str">
        <f>IF(G21=1,KILOMETRAJE!C$4,IF(G21=2,KILOMETRAJE!C$5,IF(G21=3,KILOMETRAJE!C$6,IF(G21=4,KILOMETRAJE!C$7,IF(G21=5,KILOMETRAJE!C$8,IF(G21=6,KILOMETRAJE!C$9,IF(G21=7,KILOMETRAJE!C$10,IF(G21=8,KILOMETRAJE!C$11,IF(G21=9,KILOMETRAJE!C$12,IF(G21=10,KILOMETRAJE!C$13,IF(G21=11,KILOMETRAJE!C$14,IF(G21=12,KILOMETRAJE!C$15,IF(G21=13,KILOMETRAJE!C$16,IF(G21=14,KILOMETRAJE!C$17,IF(G21=15,KILOMETRAJE!C$18,IF(G21=16,KILOMETRAJE!C$19,IF(G21=17,KILOMETRAJE!C$20,IF(G21=18,KILOMETRAJE!C$21,IF(G21=19,KILOMETRAJE!C$22,IF(G21=20,KILOMETRAJE!C$23,IF(G21=21,KILOMETRAJE!C$24,IF(G21=22,KILOMETRAJE!C$25,IF(G21=23,KILOMETRAJE!C$26,IF(G21=24,KILOMETRAJE!C$27,IF(G21=25,KILOMETRAJE!C$28,IF(G21=26,KILOMETRAJE!C$29,IF(G21=27,KILOMETRAJE!C$30,IF(G21=28,KILOMETRAJE!C$31,IF(G21=29,KILOMETRAJE!C$32,IF(G21=30,KILOMETRAJE!C$33,IF(G21=31,KILOMETRAJE!C$34,IF(G21=32,KILOMETRAJE!C$35,IF(G21=33,KILOMETRAJE!C$36,IF(G21=34,KILOMETRAJE!C$37,IF(G21=35,KILOMETRAJE!C$38,IF(G21=36,KILOMETRAJE!C$39,IF(G21=37,KILOMETRAJE!C$40,IF(G21=38,KILOMETRAJE!C$41,IF(G21=39,KILOMETRAJE!C$42,IF(G21=40,KILOMETRAJE!C$43,IF(G21=41,KILOMETRAJE!C$44,IF(G21=42,KILOMETRAJE!C$45,IF(G21=43,KILOMETRAJE!C$46,IF(G21=44,KILOMETRAJE!C$47,IF(G21=45,KILOMETRAJE!C$48,IF(G21=46,KILOMETRAJE!C$49,IF(G21=47,KILOMETRAJE!C$50,IF(G21=48,KILOMETRAJE!C$51,IF(G21=49,KILOMETRAJE!C$52,IF(G21=50,KILOMETRAJE!C$53,IF(G21=51,KILOMETRAJE!C$54,IF(G21=52,KILOMETRAJE!C$55,IF(G21=53,KILOMETRAJE!C$56,IF(G21=54,KILOMETRAJE!C$57,IF(G21=55,KILOMETRAJE!C$58,IF(G21=56,KILOMETRAJE!C$59,IF(G21=57,KILOMETRAJE!C$60,IF(G21=58,KILOMETRAJE!C$61,IF(G21=59,KILOMETRAJE!C$62,IF(G21=60,KILOMETRAJE!C$63,IF(G21=61,KILOMETRAJE!C$64,IF(G21=62,KILOMETRAJE!C$65,IF(G21=63,KILOMETRAJE!C$66)))))))))))))))))))))))))))))))))))))))))))))))))))))))))))))))</f>
        <v>JRZ</v>
      </c>
      <c r="I21" s="434" t="str">
        <f>IF(G21=1,KILOMETRAJE!E$4,IF(G21=2,KILOMETRAJE!E$5,IF(G21=3,KILOMETRAJE!E$6,IF(G21=4,KILOMETRAJE!E$7,IF(G21=5,KILOMETRAJE!E$8,IF(G21=6,KILOMETRAJE!E$9,IF(G21=7,KILOMETRAJE!E$10,IF(G21=8,KILOMETRAJE!E$11,IF(G21=9,KILOMETRAJE!E$12,IF(G21=10,KILOMETRAJE!E$13,IF(G21=11,KILOMETRAJE!E$14,IF(G21=12,KILOMETRAJE!E$15,IF(G21=13,KILOMETRAJE!E$16,IF(G21=14,KILOMETRAJE!E$17,IF(G21=15,KILOMETRAJE!E$18,IF(G21=16,KILOMETRAJE!E$19,IF(G21=17,KILOMETRAJE!E$20,IF(G21=18,KILOMETRAJE!E$21,IF(G21=19,KILOMETRAJE!E$22,IF(G21=20,KILOMETRAJE!E$23,IF(G21=21,KILOMETRAJE!E$24,IF(G21=22,KILOMETRAJE!E$25,IF(G21=23,KILOMETRAJE!E$26,IF(G21=24,KILOMETRAJE!E$27,IF(G21=25,KILOMETRAJE!E$28,IF(G21=26,KILOMETRAJE!E$29,IF(G21=27,KILOMETRAJE!E$30,IF(G21=28,KILOMETRAJE!E$31,IF(G21=29,KILOMETRAJE!E$32,IF(G21=30,KILOMETRAJE!E$33,IF(G21=31,KILOMETRAJE!E$34,IF(G21=32,KILOMETRAJE!E$35,IF(G21=33,KILOMETRAJE!E$36,IF(G21=34,KILOMETRAJE!E$37,IF(G21=35,KILOMETRAJE!E$38,IF(G21=36,KILOMETRAJE!E$39,IF(G21=37,KILOMETRAJE!E$40,IF(G21=38,KILOMETRAJE!E$41,IF(G21=39,KILOMETRAJE!E$42,IF(G21=40,KILOMETRAJE!E$43,IF(G21=41,KILOMETRAJE!E$44,IF(G21=42,KILOMETRAJE!E$45,IF(G21=43,KILOMETRAJE!E$46,IF(G21=44,KILOMETRAJE!E$47,IF(G21=45,KILOMETRAJE!E$48,IF(G21=46,KILOMETRAJE!E$49,IF(G21=47,KILOMETRAJE!E$50,IF(G21=48,KILOMETRAJE!E$51,IF(G21=49,KILOMETRAJE!E$52,IF(G21=50,KILOMETRAJE!E$53,IF(G21=51,KILOMETRAJE!E$54,IF(G21=52,KILOMETRAJE!E$55,IF(G21=53,KILOMETRAJE!E$56,IF(G21=54,KILOMETRAJE!E$57,IF(G21=55,KILOMETRAJE!E$58,IF(G21=56,KILOMETRAJE!E$59,IF(G21=57,KILOMETRAJE!E$60,IF(G21=58,KILOMETRAJE!E$61,IF(G21=59,KILOMETRAJE!E$62,IF(G21=60,KILOMETRAJE!E$63,IF(G21=61,KILOMETRAJE!E$64,IF(G21=62,KILOMETRAJE!E$65,IF(G21=63,KILOMETRAJE!E$66)))))))))))))))))))))))))))))))))))))))))))))))))))))))))))))))</f>
        <v>CHIH.</v>
      </c>
      <c r="J21" s="435">
        <f>IF(G21=1,KILOMETRAJE!G$4,IF(G21=2,KILOMETRAJE!G$5,IF(G21=3,KILOMETRAJE!G$6,IF(G21=4,KILOMETRAJE!G$7,IF(G21=5,KILOMETRAJE!G$8,IF(G21=6,KILOMETRAJE!G$9,IF(G21=7,KILOMETRAJE!G$10,IF(G21=8,KILOMETRAJE!G$11,IF(G21=9,KILOMETRAJE!G$12,IF(G21=10,KILOMETRAJE!G$13,IF(G21=11,KILOMETRAJE!G$14,IF(G21=12,KILOMETRAJE!G$15,IF(G21=13,KILOMETRAJE!G$16,IF(G21=14,KILOMETRAJE!G$17,IF(G21=15,KILOMETRAJE!G$18,IF(G21=16,KILOMETRAJE!G$19,IF(G21=17,KILOMETRAJE!G$20,IF(G21=18,KILOMETRAJE!G$21,IF(G21=19,KILOMETRAJE!G$22,IF(G21=20,KILOMETRAJE!G$23,IF(G21=21,KILOMETRAJE!G$24,IF(G21=22,KILOMETRAJE!G$25,IF(G21=23,KILOMETRAJE!G$26,IF(G21=24,KILOMETRAJE!G$27,IF(G21=25,KILOMETRAJE!G$28,IF(G21=26,KILOMETRAJE!G$29,IF(G21=27,KILOMETRAJE!G$30,IF(G21=28,KILOMETRAJE!G$31,IF(G21=29,KILOMETRAJE!G$32,IF(G21=30,KILOMETRAJE!G$33,IF(G21=31,KILOMETRAJE!G$34,IF(G21=32,KILOMETRAJE!G$35,IF(G21=33,KILOMETRAJE!G$36,IF(G21=34,KILOMETRAJE!G$37,IF(G21=35,KILOMETRAJE!G$38,IF(G21=36,KILOMETRAJE!G$39,IF(G21=37,KILOMETRAJE!G$40,IF(G21=38,KILOMETRAJE!G$41,IF(G21=39,KILOMETRAJE!G$42,IF(G21=40,KILOMETRAJE!G$43,IF(G21=41,KILOMETRAJE!G$44,IF(G21=42,KILOMETRAJE!G$45,IF(G21=43,KILOMETRAJE!G$46,IF(G21=44,KILOMETRAJE!G$47,IF(G21=45,KILOMETRAJE!G$48,IF(G21=46,KILOMETRAJE!G$49,IF(G21=47,KILOMETRAJE!G$50,IF(G21=48,KILOMETRAJE!G$51,IF(G21=49,KILOMETRAJE!G$52,IF(G21=50,KILOMETRAJE!G$53,IF(G21=51,KILOMETRAJE!G$54,IF(G21=52,KILOMETRAJE!G$55,IF(G21=53,KILOMETRAJE!G$56,IF(G21=54,KILOMETRAJE!G$57,IF(G21=55,KILOMETRAJE!G$58,IF(G21=56,KILOMETRAJE!G$59,IF(G21=57,KILOMETRAJE!G$60,IF(G21=58,KILOMETRAJE!G$61,IF(G21=59,KILOMETRAJE!G$62,IF(G21=60,KILOMETRAJE!G$63,IF(G21=61,KILOMETRAJE!G$64,IF(G21=62,KILOMETRAJE!G$65,IF(G21=63,KILOMETRAJE!G$66)))))))))))))))))))))))))))))))))))))))))))))))))))))))))))))))</f>
        <v>375</v>
      </c>
      <c r="K21" s="33"/>
      <c r="L21" s="436"/>
      <c r="M21" s="432">
        <v>2896</v>
      </c>
      <c r="N21" s="33">
        <v>1</v>
      </c>
      <c r="O21" s="33" t="s">
        <v>453</v>
      </c>
      <c r="P21" s="33" t="s">
        <v>199</v>
      </c>
      <c r="Q21" s="437">
        <f t="shared" si="0"/>
        <v>109.99874999999999</v>
      </c>
      <c r="R21" s="438"/>
      <c r="S21" s="439"/>
      <c r="T21" s="472"/>
      <c r="U21" s="24" t="s">
        <v>376</v>
      </c>
      <c r="V21" s="79" t="s">
        <v>376</v>
      </c>
    </row>
    <row r="22" spans="3:26" ht="12.75" thickBot="1" x14ac:dyDescent="0.25">
      <c r="C22" s="101"/>
      <c r="D22" s="62" t="s">
        <v>452</v>
      </c>
      <c r="E22" s="25">
        <v>45959</v>
      </c>
      <c r="F22" s="25">
        <v>45959</v>
      </c>
      <c r="G22" s="62">
        <v>3</v>
      </c>
      <c r="H22" s="27" t="str">
        <f>IF(G22=1,KILOMETRAJE!C$4,IF(G22=2,KILOMETRAJE!C$5,IF(G22=3,KILOMETRAJE!C$6,IF(G22=4,KILOMETRAJE!C$7,IF(G22=5,KILOMETRAJE!C$8,IF(G22=6,KILOMETRAJE!C$9,IF(G22=7,KILOMETRAJE!C$10,IF(G22=8,KILOMETRAJE!C$11,IF(G22=9,KILOMETRAJE!C$12,IF(G22=10,KILOMETRAJE!C$13,IF(G22=11,KILOMETRAJE!C$14,IF(G22=12,KILOMETRAJE!C$15,IF(G22=13,KILOMETRAJE!C$16,IF(G22=14,KILOMETRAJE!C$17,IF(G22=15,KILOMETRAJE!C$18,IF(G22=16,KILOMETRAJE!C$19,IF(G22=17,KILOMETRAJE!C$20,IF(G22=18,KILOMETRAJE!C$21,IF(G22=19,KILOMETRAJE!C$22,IF(G22=20,KILOMETRAJE!C$23,IF(G22=21,KILOMETRAJE!C$24,IF(G22=22,KILOMETRAJE!C$25,IF(G22=23,KILOMETRAJE!C$26,IF(G22=24,KILOMETRAJE!C$27,IF(G22=25,KILOMETRAJE!C$28,IF(G22=26,KILOMETRAJE!C$29,IF(G22=27,KILOMETRAJE!C$30,IF(G22=28,KILOMETRAJE!C$31,IF(G22=29,KILOMETRAJE!C$32,IF(G22=30,KILOMETRAJE!C$33,IF(G22=31,KILOMETRAJE!C$34,IF(G22=32,KILOMETRAJE!C$35,IF(G22=33,KILOMETRAJE!C$36,IF(G22=34,KILOMETRAJE!C$37,IF(G22=35,KILOMETRAJE!C$38,IF(G22=36,KILOMETRAJE!C$39,IF(G22=37,KILOMETRAJE!C$40,IF(G22=38,KILOMETRAJE!C$41,IF(G22=39,KILOMETRAJE!C$42,IF(G22=40,KILOMETRAJE!C$43,IF(G22=41,KILOMETRAJE!C$44,IF(G22=42,KILOMETRAJE!C$45,IF(G22=43,KILOMETRAJE!C$46,IF(G22=44,KILOMETRAJE!C$47,IF(G22=45,KILOMETRAJE!C$48,IF(G22=46,KILOMETRAJE!C$49,IF(G22=47,KILOMETRAJE!C$50,IF(G22=48,KILOMETRAJE!C$51,IF(G22=49,KILOMETRAJE!C$52,IF(G22=50,KILOMETRAJE!C$53,IF(G22=51,KILOMETRAJE!C$54,IF(G22=52,KILOMETRAJE!C$55,IF(G22=53,KILOMETRAJE!C$56,IF(G22=54,KILOMETRAJE!C$57,IF(G22=55,KILOMETRAJE!C$58,IF(G22=56,KILOMETRAJE!C$59,IF(G22=57,KILOMETRAJE!C$60,IF(G22=58,KILOMETRAJE!C$61,IF(G22=59,KILOMETRAJE!C$62,IF(G22=60,KILOMETRAJE!C$63,IF(G22=61,KILOMETRAJE!C$64,IF(G22=62,KILOMETRAJE!C$65,IF(G22=63,KILOMETRAJE!C$66)))))))))))))))))))))))))))))))))))))))))))))))))))))))))))))))</f>
        <v xml:space="preserve">CHIH. </v>
      </c>
      <c r="I22" s="27" t="str">
        <f>IF(G22=1,KILOMETRAJE!E$4,IF(G22=2,KILOMETRAJE!E$5,IF(G22=3,KILOMETRAJE!E$6,IF(G22=4,KILOMETRAJE!E$7,IF(G22=5,KILOMETRAJE!E$8,IF(G22=6,KILOMETRAJE!E$9,IF(G22=7,KILOMETRAJE!E$10,IF(G22=8,KILOMETRAJE!E$11,IF(G22=9,KILOMETRAJE!E$12,IF(G22=10,KILOMETRAJE!E$13,IF(G22=11,KILOMETRAJE!E$14,IF(G22=12,KILOMETRAJE!E$15,IF(G22=13,KILOMETRAJE!E$16,IF(G22=14,KILOMETRAJE!E$17,IF(G22=15,KILOMETRAJE!E$18,IF(G22=16,KILOMETRAJE!E$19,IF(G22=17,KILOMETRAJE!E$20,IF(G22=18,KILOMETRAJE!E$21,IF(G22=19,KILOMETRAJE!E$22,IF(G22=20,KILOMETRAJE!E$23,IF(G22=21,KILOMETRAJE!E$24,IF(G22=22,KILOMETRAJE!E$25,IF(G22=23,KILOMETRAJE!E$26,IF(G22=24,KILOMETRAJE!E$27,IF(G22=25,KILOMETRAJE!E$28,IF(G22=26,KILOMETRAJE!E$29,IF(G22=27,KILOMETRAJE!E$30,IF(G22=28,KILOMETRAJE!E$31,IF(G22=29,KILOMETRAJE!E$32,IF(G22=30,KILOMETRAJE!E$33,IF(G22=31,KILOMETRAJE!E$34,IF(G22=32,KILOMETRAJE!E$35,IF(G22=33,KILOMETRAJE!E$36,IF(G22=34,KILOMETRAJE!E$37,IF(G22=35,KILOMETRAJE!E$38,IF(G22=36,KILOMETRAJE!E$39,IF(G22=37,KILOMETRAJE!E$40,IF(G22=38,KILOMETRAJE!E$41,IF(G22=39,KILOMETRAJE!E$42,IF(G22=40,KILOMETRAJE!E$43,IF(G22=41,KILOMETRAJE!E$44,IF(G22=42,KILOMETRAJE!E$45,IF(G22=43,KILOMETRAJE!E$46,IF(G22=44,KILOMETRAJE!E$47,IF(G22=45,KILOMETRAJE!E$48,IF(G22=46,KILOMETRAJE!E$49,IF(G22=47,KILOMETRAJE!E$50,IF(G22=48,KILOMETRAJE!E$51,IF(G22=49,KILOMETRAJE!E$52,IF(G22=50,KILOMETRAJE!E$53,IF(G22=51,KILOMETRAJE!E$54,IF(G22=52,KILOMETRAJE!E$55,IF(G22=53,KILOMETRAJE!E$56,IF(G22=54,KILOMETRAJE!E$57,IF(G22=55,KILOMETRAJE!E$58,IF(G22=56,KILOMETRAJE!E$59,IF(G22=57,KILOMETRAJE!E$60,IF(G22=58,KILOMETRAJE!E$61,IF(G22=59,KILOMETRAJE!E$62,IF(G22=60,KILOMETRAJE!E$63,IF(G22=61,KILOMETRAJE!E$64,IF(G22=62,KILOMETRAJE!E$65,IF(G22=63,KILOMETRAJE!E$66)))))))))))))))))))))))))))))))))))))))))))))))))))))))))))))))</f>
        <v>JRZ</v>
      </c>
      <c r="J22" s="31">
        <f>IF(G22=1,KILOMETRAJE!G$4,IF(G22=2,KILOMETRAJE!G$5,IF(G22=3,KILOMETRAJE!G$6,IF(G22=4,KILOMETRAJE!G$7,IF(G22=5,KILOMETRAJE!G$8,IF(G22=6,KILOMETRAJE!G$9,IF(G22=7,KILOMETRAJE!G$10,IF(G22=8,KILOMETRAJE!G$11,IF(G22=9,KILOMETRAJE!G$12,IF(G22=10,KILOMETRAJE!G$13,IF(G22=11,KILOMETRAJE!G$14,IF(G22=12,KILOMETRAJE!G$15,IF(G22=13,KILOMETRAJE!G$16,IF(G22=14,KILOMETRAJE!G$17,IF(G22=15,KILOMETRAJE!G$18,IF(G22=16,KILOMETRAJE!G$19,IF(G22=17,KILOMETRAJE!G$20,IF(G22=18,KILOMETRAJE!G$21,IF(G22=19,KILOMETRAJE!G$22,IF(G22=20,KILOMETRAJE!G$23,IF(G22=21,KILOMETRAJE!G$24,IF(G22=22,KILOMETRAJE!G$25,IF(G22=23,KILOMETRAJE!G$26,IF(G22=24,KILOMETRAJE!G$27,IF(G22=25,KILOMETRAJE!G$28,IF(G22=26,KILOMETRAJE!G$29,IF(G22=27,KILOMETRAJE!G$30,IF(G22=28,KILOMETRAJE!G$31,IF(G22=29,KILOMETRAJE!G$32,IF(G22=30,KILOMETRAJE!G$33,IF(G22=31,KILOMETRAJE!G$34,IF(G22=32,KILOMETRAJE!G$35,IF(G22=33,KILOMETRAJE!G$36,IF(G22=34,KILOMETRAJE!G$37,IF(G22=35,KILOMETRAJE!G$38,IF(G22=36,KILOMETRAJE!G$39,IF(G22=37,KILOMETRAJE!G$40,IF(G22=38,KILOMETRAJE!G$41,IF(G22=39,KILOMETRAJE!G$42,IF(G22=40,KILOMETRAJE!G$43,IF(G22=41,KILOMETRAJE!G$44,IF(G22=42,KILOMETRAJE!G$45,IF(G22=43,KILOMETRAJE!G$46,IF(G22=44,KILOMETRAJE!G$47,IF(G22=45,KILOMETRAJE!G$48,IF(G22=46,KILOMETRAJE!G$49,IF(G22=47,KILOMETRAJE!G$50,IF(G22=48,KILOMETRAJE!G$51,IF(G22=49,KILOMETRAJE!G$52,IF(G22=50,KILOMETRAJE!G$53,IF(G22=51,KILOMETRAJE!G$54,IF(G22=52,KILOMETRAJE!G$55,IF(G22=53,KILOMETRAJE!G$56,IF(G22=54,KILOMETRAJE!G$57,IF(G22=55,KILOMETRAJE!G$58,IF(G22=56,KILOMETRAJE!G$59,IF(G22=57,KILOMETRAJE!G$60,IF(G22=58,KILOMETRAJE!G$61,IF(G22=59,KILOMETRAJE!G$62,IF(G22=60,KILOMETRAJE!G$63,IF(G22=61,KILOMETRAJE!G$64,IF(G22=62,KILOMETRAJE!G$65,IF(G22=63,KILOMETRAJE!G$66)))))))))))))))))))))))))))))))))))))))))))))))))))))))))))))))</f>
        <v>375</v>
      </c>
      <c r="K22" s="27">
        <v>239.39</v>
      </c>
      <c r="L22" s="28">
        <f>SUM(J21:J22)/K22</f>
        <v>3.1329629474915413</v>
      </c>
      <c r="M22" s="349">
        <v>341</v>
      </c>
      <c r="N22" s="27">
        <v>1</v>
      </c>
      <c r="O22" s="27" t="s">
        <v>454</v>
      </c>
      <c r="P22" s="27" t="s">
        <v>198</v>
      </c>
      <c r="Q22" s="29">
        <f t="shared" si="0"/>
        <v>109.99874999999999</v>
      </c>
      <c r="R22" s="190">
        <f>+LOOKUP(P41,UNIDADES!B$3:B$59,UNIDADES!C$3:C$59)</f>
        <v>2.4509799999999999</v>
      </c>
      <c r="S22" s="19">
        <f>+((SUM(J21:J22))/R22)-K22</f>
        <v>66.610048960007873</v>
      </c>
      <c r="T22" s="456">
        <f>+S22*14.85</f>
        <v>989.15922705611695</v>
      </c>
      <c r="U22" s="27">
        <v>59</v>
      </c>
      <c r="V22" s="55">
        <v>59</v>
      </c>
    </row>
    <row r="23" spans="3:26" x14ac:dyDescent="0.2">
      <c r="C23" s="238">
        <v>46151</v>
      </c>
      <c r="D23" s="36" t="s">
        <v>455</v>
      </c>
      <c r="E23" s="37">
        <v>45960</v>
      </c>
      <c r="F23" s="37">
        <v>45961</v>
      </c>
      <c r="G23" s="36">
        <v>2</v>
      </c>
      <c r="H23" s="434" t="str">
        <f>IF(G23=1,KILOMETRAJE!C$4,IF(G23=2,KILOMETRAJE!C$5,IF(G23=3,KILOMETRAJE!C$6,IF(G23=4,KILOMETRAJE!C$7,IF(G23=5,KILOMETRAJE!C$8,IF(G23=6,KILOMETRAJE!C$9,IF(G23=7,KILOMETRAJE!C$10,IF(G23=8,KILOMETRAJE!C$11,IF(G23=9,KILOMETRAJE!C$12,IF(G23=10,KILOMETRAJE!C$13,IF(G23=11,KILOMETRAJE!C$14,IF(G23=12,KILOMETRAJE!C$15,IF(G23=13,KILOMETRAJE!C$16,IF(G23=14,KILOMETRAJE!C$17,IF(G23=15,KILOMETRAJE!C$18,IF(G23=16,KILOMETRAJE!C$19,IF(G23=17,KILOMETRAJE!C$20,IF(G23=18,KILOMETRAJE!C$21,IF(G23=19,KILOMETRAJE!C$22,IF(G23=20,KILOMETRAJE!C$23,IF(G23=21,KILOMETRAJE!C$24,IF(G23=22,KILOMETRAJE!C$25,IF(G23=23,KILOMETRAJE!C$26,IF(G23=24,KILOMETRAJE!C$27,IF(G23=25,KILOMETRAJE!C$28,IF(G23=26,KILOMETRAJE!C$29,IF(G23=27,KILOMETRAJE!C$30,IF(G23=28,KILOMETRAJE!C$31,IF(G23=29,KILOMETRAJE!C$32,IF(G23=30,KILOMETRAJE!C$33,IF(G23=31,KILOMETRAJE!C$34,IF(G23=32,KILOMETRAJE!C$35,IF(G23=33,KILOMETRAJE!C$36,IF(G23=34,KILOMETRAJE!C$37,IF(G23=35,KILOMETRAJE!C$38,IF(G23=36,KILOMETRAJE!C$39,IF(G23=37,KILOMETRAJE!C$40,IF(G23=38,KILOMETRAJE!C$41,IF(G23=39,KILOMETRAJE!C$42,IF(G23=40,KILOMETRAJE!C$43,IF(G23=41,KILOMETRAJE!C$44,IF(G23=42,KILOMETRAJE!C$45,IF(G23=43,KILOMETRAJE!C$46,IF(G23=44,KILOMETRAJE!C$47,IF(G23=45,KILOMETRAJE!C$48,IF(G23=46,KILOMETRAJE!C$49,IF(G23=47,KILOMETRAJE!C$50,IF(G23=48,KILOMETRAJE!C$51,IF(G23=49,KILOMETRAJE!C$52,IF(G23=50,KILOMETRAJE!C$53,IF(G23=51,KILOMETRAJE!C$54,IF(G23=52,KILOMETRAJE!C$55,IF(G23=53,KILOMETRAJE!C$56,IF(G23=54,KILOMETRAJE!C$57,IF(G23=55,KILOMETRAJE!C$58,IF(G23=56,KILOMETRAJE!C$59,IF(G23=57,KILOMETRAJE!C$60,IF(G23=58,KILOMETRAJE!C$61,IF(G23=59,KILOMETRAJE!C$62,IF(G23=60,KILOMETRAJE!C$63,IF(G23=61,KILOMETRAJE!C$64,IF(G23=62,KILOMETRAJE!C$65,IF(G23=63,KILOMETRAJE!C$66)))))))))))))))))))))))))))))))))))))))))))))))))))))))))))))))</f>
        <v>JRZ</v>
      </c>
      <c r="I23" s="434" t="str">
        <f>IF(G23=1,KILOMETRAJE!E$4,IF(G23=2,KILOMETRAJE!E$5,IF(G23=3,KILOMETRAJE!E$6,IF(G23=4,KILOMETRAJE!E$7,IF(G23=5,KILOMETRAJE!E$8,IF(G23=6,KILOMETRAJE!E$9,IF(G23=7,KILOMETRAJE!E$10,IF(G23=8,KILOMETRAJE!E$11,IF(G23=9,KILOMETRAJE!E$12,IF(G23=10,KILOMETRAJE!E$13,IF(G23=11,KILOMETRAJE!E$14,IF(G23=12,KILOMETRAJE!E$15,IF(G23=13,KILOMETRAJE!E$16,IF(G23=14,KILOMETRAJE!E$17,IF(G23=15,KILOMETRAJE!E$18,IF(G23=16,KILOMETRAJE!E$19,IF(G23=17,KILOMETRAJE!E$20,IF(G23=18,KILOMETRAJE!E$21,IF(G23=19,KILOMETRAJE!E$22,IF(G23=20,KILOMETRAJE!E$23,IF(G23=21,KILOMETRAJE!E$24,IF(G23=22,KILOMETRAJE!E$25,IF(G23=23,KILOMETRAJE!E$26,IF(G23=24,KILOMETRAJE!E$27,IF(G23=25,KILOMETRAJE!E$28,IF(G23=26,KILOMETRAJE!E$29,IF(G23=27,KILOMETRAJE!E$30,IF(G23=28,KILOMETRAJE!E$31,IF(G23=29,KILOMETRAJE!E$32,IF(G23=30,KILOMETRAJE!E$33,IF(G23=31,KILOMETRAJE!E$34,IF(G23=32,KILOMETRAJE!E$35,IF(G23=33,KILOMETRAJE!E$36,IF(G23=34,KILOMETRAJE!E$37,IF(G23=35,KILOMETRAJE!E$38,IF(G23=36,KILOMETRAJE!E$39,IF(G23=37,KILOMETRAJE!E$40,IF(G23=38,KILOMETRAJE!E$41,IF(G23=39,KILOMETRAJE!E$42,IF(G23=40,KILOMETRAJE!E$43,IF(G23=41,KILOMETRAJE!E$44,IF(G23=42,KILOMETRAJE!E$45,IF(G23=43,KILOMETRAJE!E$46,IF(G23=44,KILOMETRAJE!E$47,IF(G23=45,KILOMETRAJE!E$48,IF(G23=46,KILOMETRAJE!E$49,IF(G23=47,KILOMETRAJE!E$50,IF(G23=48,KILOMETRAJE!E$51,IF(G23=49,KILOMETRAJE!E$52,IF(G23=50,KILOMETRAJE!E$53,IF(G23=51,KILOMETRAJE!E$54,IF(G23=52,KILOMETRAJE!E$55,IF(G23=53,KILOMETRAJE!E$56,IF(G23=54,KILOMETRAJE!E$57,IF(G23=55,KILOMETRAJE!E$58,IF(G23=56,KILOMETRAJE!E$59,IF(G23=57,KILOMETRAJE!E$60,IF(G23=58,KILOMETRAJE!E$61,IF(G23=59,KILOMETRAJE!E$62,IF(G23=60,KILOMETRAJE!E$63,IF(G23=61,KILOMETRAJE!E$64,IF(G23=62,KILOMETRAJE!E$65,IF(G23=63,KILOMETRAJE!E$66)))))))))))))))))))))))))))))))))))))))))))))))))))))))))))))))</f>
        <v>CHIH.</v>
      </c>
      <c r="J23" s="435">
        <f>IF(G23=1,KILOMETRAJE!G$4,IF(G23=2,KILOMETRAJE!G$5,IF(G23=3,KILOMETRAJE!G$6,IF(G23=4,KILOMETRAJE!G$7,IF(G23=5,KILOMETRAJE!G$8,IF(G23=6,KILOMETRAJE!G$9,IF(G23=7,KILOMETRAJE!G$10,IF(G23=8,KILOMETRAJE!G$11,IF(G23=9,KILOMETRAJE!G$12,IF(G23=10,KILOMETRAJE!G$13,IF(G23=11,KILOMETRAJE!G$14,IF(G23=12,KILOMETRAJE!G$15,IF(G23=13,KILOMETRAJE!G$16,IF(G23=14,KILOMETRAJE!G$17,IF(G23=15,KILOMETRAJE!G$18,IF(G23=16,KILOMETRAJE!G$19,IF(G23=17,KILOMETRAJE!G$20,IF(G23=18,KILOMETRAJE!G$21,IF(G23=19,KILOMETRAJE!G$22,IF(G23=20,KILOMETRAJE!G$23,IF(G23=21,KILOMETRAJE!G$24,IF(G23=22,KILOMETRAJE!G$25,IF(G23=23,KILOMETRAJE!G$26,IF(G23=24,KILOMETRAJE!G$27,IF(G23=25,KILOMETRAJE!G$28,IF(G23=26,KILOMETRAJE!G$29,IF(G23=27,KILOMETRAJE!G$30,IF(G23=28,KILOMETRAJE!G$31,IF(G23=29,KILOMETRAJE!G$32,IF(G23=30,KILOMETRAJE!G$33,IF(G23=31,KILOMETRAJE!G$34,IF(G23=32,KILOMETRAJE!G$35,IF(G23=33,KILOMETRAJE!G$36,IF(G23=34,KILOMETRAJE!G$37,IF(G23=35,KILOMETRAJE!G$38,IF(G23=36,KILOMETRAJE!G$39,IF(G23=37,KILOMETRAJE!G$40,IF(G23=38,KILOMETRAJE!G$41,IF(G23=39,KILOMETRAJE!G$42,IF(G23=40,KILOMETRAJE!G$43,IF(G23=41,KILOMETRAJE!G$44,IF(G23=42,KILOMETRAJE!G$45,IF(G23=43,KILOMETRAJE!G$46,IF(G23=44,KILOMETRAJE!G$47,IF(G23=45,KILOMETRAJE!G$48,IF(G23=46,KILOMETRAJE!G$49,IF(G23=47,KILOMETRAJE!G$50,IF(G23=48,KILOMETRAJE!G$51,IF(G23=49,KILOMETRAJE!G$52,IF(G23=50,KILOMETRAJE!G$53,IF(G23=51,KILOMETRAJE!G$54,IF(G23=52,KILOMETRAJE!G$55,IF(G23=53,KILOMETRAJE!G$56,IF(G23=54,KILOMETRAJE!G$57,IF(G23=55,KILOMETRAJE!G$58,IF(G23=56,KILOMETRAJE!G$59,IF(G23=57,KILOMETRAJE!G$60,IF(G23=58,KILOMETRAJE!G$61,IF(G23=59,KILOMETRAJE!G$62,IF(G23=60,KILOMETRAJE!G$63,IF(G23=61,KILOMETRAJE!G$64,IF(G23=62,KILOMETRAJE!G$65,IF(G23=63,KILOMETRAJE!G$66)))))))))))))))))))))))))))))))))))))))))))))))))))))))))))))))</f>
        <v>375</v>
      </c>
      <c r="K23" s="33"/>
      <c r="L23" s="436"/>
      <c r="M23" s="432">
        <v>1612</v>
      </c>
      <c r="N23" s="33">
        <v>1</v>
      </c>
      <c r="O23" s="33" t="s">
        <v>380</v>
      </c>
      <c r="P23" s="33" t="s">
        <v>198</v>
      </c>
      <c r="Q23" s="437">
        <f t="shared" ref="Q23:Q24" si="1">((((IF(N23=1,((J23)*0.29333)))+(IF(N23=2,((J23)*0.146666)))+(IF(N23=3,((J23)*0.146666)))))+(IF(N23=4,((J23-40)*0.29333)))+(IF(N23=5,((J23-50)*0.29333)))+(IF(N23=6,((J23-90)*0.29333))))</f>
        <v>109.99874999999999</v>
      </c>
      <c r="R23" s="438"/>
      <c r="S23" s="439"/>
      <c r="T23" s="472"/>
      <c r="U23" s="24" t="s">
        <v>376</v>
      </c>
      <c r="V23" s="79" t="s">
        <v>376</v>
      </c>
    </row>
    <row r="24" spans="3:26" ht="12.75" thickBot="1" x14ac:dyDescent="0.25">
      <c r="C24" s="101"/>
      <c r="D24" s="62" t="s">
        <v>456</v>
      </c>
      <c r="E24" s="25">
        <v>45961</v>
      </c>
      <c r="F24" s="25">
        <v>45961</v>
      </c>
      <c r="G24" s="62">
        <v>3</v>
      </c>
      <c r="H24" s="27" t="str">
        <f>IF(G24=1,KILOMETRAJE!C$4,IF(G24=2,KILOMETRAJE!C$5,IF(G24=3,KILOMETRAJE!C$6,IF(G24=4,KILOMETRAJE!C$7,IF(G24=5,KILOMETRAJE!C$8,IF(G24=6,KILOMETRAJE!C$9,IF(G24=7,KILOMETRAJE!C$10,IF(G24=8,KILOMETRAJE!C$11,IF(G24=9,KILOMETRAJE!C$12,IF(G24=10,KILOMETRAJE!C$13,IF(G24=11,KILOMETRAJE!C$14,IF(G24=12,KILOMETRAJE!C$15,IF(G24=13,KILOMETRAJE!C$16,IF(G24=14,KILOMETRAJE!C$17,IF(G24=15,KILOMETRAJE!C$18,IF(G24=16,KILOMETRAJE!C$19,IF(G24=17,KILOMETRAJE!C$20,IF(G24=18,KILOMETRAJE!C$21,IF(G24=19,KILOMETRAJE!C$22,IF(G24=20,KILOMETRAJE!C$23,IF(G24=21,KILOMETRAJE!C$24,IF(G24=22,KILOMETRAJE!C$25,IF(G24=23,KILOMETRAJE!C$26,IF(G24=24,KILOMETRAJE!C$27,IF(G24=25,KILOMETRAJE!C$28,IF(G24=26,KILOMETRAJE!C$29,IF(G24=27,KILOMETRAJE!C$30,IF(G24=28,KILOMETRAJE!C$31,IF(G24=29,KILOMETRAJE!C$32,IF(G24=30,KILOMETRAJE!C$33,IF(G24=31,KILOMETRAJE!C$34,IF(G24=32,KILOMETRAJE!C$35,IF(G24=33,KILOMETRAJE!C$36,IF(G24=34,KILOMETRAJE!C$37,IF(G24=35,KILOMETRAJE!C$38,IF(G24=36,KILOMETRAJE!C$39,IF(G24=37,KILOMETRAJE!C$40,IF(G24=38,KILOMETRAJE!C$41,IF(G24=39,KILOMETRAJE!C$42,IF(G24=40,KILOMETRAJE!C$43,IF(G24=41,KILOMETRAJE!C$44,IF(G24=42,KILOMETRAJE!C$45,IF(G24=43,KILOMETRAJE!C$46,IF(G24=44,KILOMETRAJE!C$47,IF(G24=45,KILOMETRAJE!C$48,IF(G24=46,KILOMETRAJE!C$49,IF(G24=47,KILOMETRAJE!C$50,IF(G24=48,KILOMETRAJE!C$51,IF(G24=49,KILOMETRAJE!C$52,IF(G24=50,KILOMETRAJE!C$53,IF(G24=51,KILOMETRAJE!C$54,IF(G24=52,KILOMETRAJE!C$55,IF(G24=53,KILOMETRAJE!C$56,IF(G24=54,KILOMETRAJE!C$57,IF(G24=55,KILOMETRAJE!C$58,IF(G24=56,KILOMETRAJE!C$59,IF(G24=57,KILOMETRAJE!C$60,IF(G24=58,KILOMETRAJE!C$61,IF(G24=59,KILOMETRAJE!C$62,IF(G24=60,KILOMETRAJE!C$63,IF(G24=61,KILOMETRAJE!C$64,IF(G24=62,KILOMETRAJE!C$65,IF(G24=63,KILOMETRAJE!C$66)))))))))))))))))))))))))))))))))))))))))))))))))))))))))))))))</f>
        <v xml:space="preserve">CHIH. </v>
      </c>
      <c r="I24" s="27" t="str">
        <f>IF(G24=1,KILOMETRAJE!E$4,IF(G24=2,KILOMETRAJE!E$5,IF(G24=3,KILOMETRAJE!E$6,IF(G24=4,KILOMETRAJE!E$7,IF(G24=5,KILOMETRAJE!E$8,IF(G24=6,KILOMETRAJE!E$9,IF(G24=7,KILOMETRAJE!E$10,IF(G24=8,KILOMETRAJE!E$11,IF(G24=9,KILOMETRAJE!E$12,IF(G24=10,KILOMETRAJE!E$13,IF(G24=11,KILOMETRAJE!E$14,IF(G24=12,KILOMETRAJE!E$15,IF(G24=13,KILOMETRAJE!E$16,IF(G24=14,KILOMETRAJE!E$17,IF(G24=15,KILOMETRAJE!E$18,IF(G24=16,KILOMETRAJE!E$19,IF(G24=17,KILOMETRAJE!E$20,IF(G24=18,KILOMETRAJE!E$21,IF(G24=19,KILOMETRAJE!E$22,IF(G24=20,KILOMETRAJE!E$23,IF(G24=21,KILOMETRAJE!E$24,IF(G24=22,KILOMETRAJE!E$25,IF(G24=23,KILOMETRAJE!E$26,IF(G24=24,KILOMETRAJE!E$27,IF(G24=25,KILOMETRAJE!E$28,IF(G24=26,KILOMETRAJE!E$29,IF(G24=27,KILOMETRAJE!E$30,IF(G24=28,KILOMETRAJE!E$31,IF(G24=29,KILOMETRAJE!E$32,IF(G24=30,KILOMETRAJE!E$33,IF(G24=31,KILOMETRAJE!E$34,IF(G24=32,KILOMETRAJE!E$35,IF(G24=33,KILOMETRAJE!E$36,IF(G24=34,KILOMETRAJE!E$37,IF(G24=35,KILOMETRAJE!E$38,IF(G24=36,KILOMETRAJE!E$39,IF(G24=37,KILOMETRAJE!E$40,IF(G24=38,KILOMETRAJE!E$41,IF(G24=39,KILOMETRAJE!E$42,IF(G24=40,KILOMETRAJE!E$43,IF(G24=41,KILOMETRAJE!E$44,IF(G24=42,KILOMETRAJE!E$45,IF(G24=43,KILOMETRAJE!E$46,IF(G24=44,KILOMETRAJE!E$47,IF(G24=45,KILOMETRAJE!E$48,IF(G24=46,KILOMETRAJE!E$49,IF(G24=47,KILOMETRAJE!E$50,IF(G24=48,KILOMETRAJE!E$51,IF(G24=49,KILOMETRAJE!E$52,IF(G24=50,KILOMETRAJE!E$53,IF(G24=51,KILOMETRAJE!E$54,IF(G24=52,KILOMETRAJE!E$55,IF(G24=53,KILOMETRAJE!E$56,IF(G24=54,KILOMETRAJE!E$57,IF(G24=55,KILOMETRAJE!E$58,IF(G24=56,KILOMETRAJE!E$59,IF(G24=57,KILOMETRAJE!E$60,IF(G24=58,KILOMETRAJE!E$61,IF(G24=59,KILOMETRAJE!E$62,IF(G24=60,KILOMETRAJE!E$63,IF(G24=61,KILOMETRAJE!E$64,IF(G24=62,KILOMETRAJE!E$65,IF(G24=63,KILOMETRAJE!E$66)))))))))))))))))))))))))))))))))))))))))))))))))))))))))))))))</f>
        <v>JRZ</v>
      </c>
      <c r="J24" s="31">
        <f>IF(G24=1,KILOMETRAJE!G$4,IF(G24=2,KILOMETRAJE!G$5,IF(G24=3,KILOMETRAJE!G$6,IF(G24=4,KILOMETRAJE!G$7,IF(G24=5,KILOMETRAJE!G$8,IF(G24=6,KILOMETRAJE!G$9,IF(G24=7,KILOMETRAJE!G$10,IF(G24=8,KILOMETRAJE!G$11,IF(G24=9,KILOMETRAJE!G$12,IF(G24=10,KILOMETRAJE!G$13,IF(G24=11,KILOMETRAJE!G$14,IF(G24=12,KILOMETRAJE!G$15,IF(G24=13,KILOMETRAJE!G$16,IF(G24=14,KILOMETRAJE!G$17,IF(G24=15,KILOMETRAJE!G$18,IF(G24=16,KILOMETRAJE!G$19,IF(G24=17,KILOMETRAJE!G$20,IF(G24=18,KILOMETRAJE!G$21,IF(G24=19,KILOMETRAJE!G$22,IF(G24=20,KILOMETRAJE!G$23,IF(G24=21,KILOMETRAJE!G$24,IF(G24=22,KILOMETRAJE!G$25,IF(G24=23,KILOMETRAJE!G$26,IF(G24=24,KILOMETRAJE!G$27,IF(G24=25,KILOMETRAJE!G$28,IF(G24=26,KILOMETRAJE!G$29,IF(G24=27,KILOMETRAJE!G$30,IF(G24=28,KILOMETRAJE!G$31,IF(G24=29,KILOMETRAJE!G$32,IF(G24=30,KILOMETRAJE!G$33,IF(G24=31,KILOMETRAJE!G$34,IF(G24=32,KILOMETRAJE!G$35,IF(G24=33,KILOMETRAJE!G$36,IF(G24=34,KILOMETRAJE!G$37,IF(G24=35,KILOMETRAJE!G$38,IF(G24=36,KILOMETRAJE!G$39,IF(G24=37,KILOMETRAJE!G$40,IF(G24=38,KILOMETRAJE!G$41,IF(G24=39,KILOMETRAJE!G$42,IF(G24=40,KILOMETRAJE!G$43,IF(G24=41,KILOMETRAJE!G$44,IF(G24=42,KILOMETRAJE!G$45,IF(G24=43,KILOMETRAJE!G$46,IF(G24=44,KILOMETRAJE!G$47,IF(G24=45,KILOMETRAJE!G$48,IF(G24=46,KILOMETRAJE!G$49,IF(G24=47,KILOMETRAJE!G$50,IF(G24=48,KILOMETRAJE!G$51,IF(G24=49,KILOMETRAJE!G$52,IF(G24=50,KILOMETRAJE!G$53,IF(G24=51,KILOMETRAJE!G$54,IF(G24=52,KILOMETRAJE!G$55,IF(G24=53,KILOMETRAJE!G$56,IF(G24=54,KILOMETRAJE!G$57,IF(G24=55,KILOMETRAJE!G$58,IF(G24=56,KILOMETRAJE!G$59,IF(G24=57,KILOMETRAJE!G$60,IF(G24=58,KILOMETRAJE!G$61,IF(G24=59,KILOMETRAJE!G$62,IF(G24=60,KILOMETRAJE!G$63,IF(G24=61,KILOMETRAJE!G$64,IF(G24=62,KILOMETRAJE!G$65,IF(G24=63,KILOMETRAJE!G$66)))))))))))))))))))))))))))))))))))))))))))))))))))))))))))))))</f>
        <v>375</v>
      </c>
      <c r="K24" s="27">
        <v>227.97</v>
      </c>
      <c r="L24" s="28">
        <f>SUM(J23:J24)/K24</f>
        <v>3.289906566653507</v>
      </c>
      <c r="M24" s="349">
        <v>5100</v>
      </c>
      <c r="N24" s="27">
        <v>1</v>
      </c>
      <c r="O24" s="27" t="s">
        <v>387</v>
      </c>
      <c r="P24" s="27" t="s">
        <v>247</v>
      </c>
      <c r="Q24" s="29">
        <f t="shared" si="1"/>
        <v>109.99874999999999</v>
      </c>
      <c r="R24" s="190">
        <f>+LOOKUP(P41,UNIDADES!B$3:B$59,UNIDADES!C$3:C$59)</f>
        <v>2.4509799999999999</v>
      </c>
      <c r="S24" s="19">
        <f>+((SUM(J23:J24))/R24)-K24</f>
        <v>78.030048960007861</v>
      </c>
      <c r="T24" s="456">
        <f>+S24*14.85</f>
        <v>1158.7462270561166</v>
      </c>
      <c r="U24" s="27">
        <v>59</v>
      </c>
      <c r="V24" s="55">
        <v>58</v>
      </c>
    </row>
    <row r="25" spans="3:26" x14ac:dyDescent="0.2">
      <c r="C25" s="176">
        <v>46172</v>
      </c>
      <c r="D25" s="43" t="s">
        <v>457</v>
      </c>
      <c r="E25" s="42">
        <v>45961</v>
      </c>
      <c r="F25" s="42">
        <v>45962</v>
      </c>
      <c r="G25" s="43">
        <v>2</v>
      </c>
      <c r="H25" s="24" t="str">
        <f>IF(G25=1,KILOMETRAJE!C$4,IF(G25=2,KILOMETRAJE!C$5,IF(G25=3,KILOMETRAJE!C$6,IF(G25=4,KILOMETRAJE!C$7,IF(G25=5,KILOMETRAJE!C$8,IF(G25=6,KILOMETRAJE!C$9,IF(G25=7,KILOMETRAJE!C$10,IF(G25=8,KILOMETRAJE!C$11,IF(G25=9,KILOMETRAJE!C$12,IF(G25=10,KILOMETRAJE!C$13,IF(G25=11,KILOMETRAJE!C$14,IF(G25=12,KILOMETRAJE!C$15,IF(G25=13,KILOMETRAJE!C$16,IF(G25=14,KILOMETRAJE!C$17,IF(G25=15,KILOMETRAJE!C$18,IF(G25=16,KILOMETRAJE!C$19,IF(G25=17,KILOMETRAJE!C$20,IF(G25=18,KILOMETRAJE!C$21,IF(G25=19,KILOMETRAJE!C$22,IF(G25=20,KILOMETRAJE!C$23,IF(G25=21,KILOMETRAJE!C$24,IF(G25=22,KILOMETRAJE!C$25,IF(G25=23,KILOMETRAJE!C$26,IF(G25=24,KILOMETRAJE!C$27,IF(G25=25,KILOMETRAJE!C$28,IF(G25=26,KILOMETRAJE!C$29,IF(G25=27,KILOMETRAJE!C$30,IF(G25=28,KILOMETRAJE!C$31,IF(G25=29,KILOMETRAJE!C$32,IF(G25=30,KILOMETRAJE!C$33,IF(G25=31,KILOMETRAJE!C$34,IF(G25=32,KILOMETRAJE!C$35,IF(G25=33,KILOMETRAJE!C$36,IF(G25=34,KILOMETRAJE!C$37,IF(G25=35,KILOMETRAJE!C$38,IF(G25=36,KILOMETRAJE!C$39,IF(G25=37,KILOMETRAJE!C$40,IF(G25=38,KILOMETRAJE!C$41,IF(G25=39,KILOMETRAJE!C$42,IF(G25=40,KILOMETRAJE!C$43,IF(G25=41,KILOMETRAJE!C$44,IF(G25=42,KILOMETRAJE!C$45,IF(G25=43,KILOMETRAJE!C$46,IF(G25=44,KILOMETRAJE!C$47,IF(G25=45,KILOMETRAJE!C$48,IF(G25=46,KILOMETRAJE!C$49,IF(G25=47,KILOMETRAJE!C$50,IF(G25=48,KILOMETRAJE!C$51,IF(G25=49,KILOMETRAJE!C$52,IF(G25=50,KILOMETRAJE!C$53,IF(G25=51,KILOMETRAJE!C$54,IF(G25=52,KILOMETRAJE!C$55,IF(G25=53,KILOMETRAJE!C$56,IF(G25=54,KILOMETRAJE!C$57,IF(G25=55,KILOMETRAJE!C$58,IF(G25=56,KILOMETRAJE!C$59,IF(G25=57,KILOMETRAJE!C$60,IF(G25=58,KILOMETRAJE!C$61,IF(G25=59,KILOMETRAJE!C$62,IF(G25=60,KILOMETRAJE!C$63,IF(G25=61,KILOMETRAJE!C$64,IF(G25=62,KILOMETRAJE!C$65,IF(G25=63,KILOMETRAJE!C$66)))))))))))))))))))))))))))))))))))))))))))))))))))))))))))))))</f>
        <v>JRZ</v>
      </c>
      <c r="I25" s="24" t="str">
        <f>IF(G25=1,KILOMETRAJE!E$4,IF(G25=2,KILOMETRAJE!E$5,IF(G25=3,KILOMETRAJE!E$6,IF(G25=4,KILOMETRAJE!E$7,IF(G25=5,KILOMETRAJE!E$8,IF(G25=6,KILOMETRAJE!E$9,IF(G25=7,KILOMETRAJE!E$10,IF(G25=8,KILOMETRAJE!E$11,IF(G25=9,KILOMETRAJE!E$12,IF(G25=10,KILOMETRAJE!E$13,IF(G25=11,KILOMETRAJE!E$14,IF(G25=12,KILOMETRAJE!E$15,IF(G25=13,KILOMETRAJE!E$16,IF(G25=14,KILOMETRAJE!E$17,IF(G25=15,KILOMETRAJE!E$18,IF(G25=16,KILOMETRAJE!E$19,IF(G25=17,KILOMETRAJE!E$20,IF(G25=18,KILOMETRAJE!E$21,IF(G25=19,KILOMETRAJE!E$22,IF(G25=20,KILOMETRAJE!E$23,IF(G25=21,KILOMETRAJE!E$24,IF(G25=22,KILOMETRAJE!E$25,IF(G25=23,KILOMETRAJE!E$26,IF(G25=24,KILOMETRAJE!E$27,IF(G25=25,KILOMETRAJE!E$28,IF(G25=26,KILOMETRAJE!E$29,IF(G25=27,KILOMETRAJE!E$30,IF(G25=28,KILOMETRAJE!E$31,IF(G25=29,KILOMETRAJE!E$32,IF(G25=30,KILOMETRAJE!E$33,IF(G25=31,KILOMETRAJE!E$34,IF(G25=32,KILOMETRAJE!E$35,IF(G25=33,KILOMETRAJE!E$36,IF(G25=34,KILOMETRAJE!E$37,IF(G25=35,KILOMETRAJE!E$38,IF(G25=36,KILOMETRAJE!E$39,IF(G25=37,KILOMETRAJE!E$40,IF(G25=38,KILOMETRAJE!E$41,IF(G25=39,KILOMETRAJE!E$42,IF(G25=40,KILOMETRAJE!E$43,IF(G25=41,KILOMETRAJE!E$44,IF(G25=42,KILOMETRAJE!E$45,IF(G25=43,KILOMETRAJE!E$46,IF(G25=44,KILOMETRAJE!E$47,IF(G25=45,KILOMETRAJE!E$48,IF(G25=46,KILOMETRAJE!E$49,IF(G25=47,KILOMETRAJE!E$50,IF(G25=48,KILOMETRAJE!E$51,IF(G25=49,KILOMETRAJE!E$52,IF(G25=50,KILOMETRAJE!E$53,IF(G25=51,KILOMETRAJE!E$54,IF(G25=52,KILOMETRAJE!E$55,IF(G25=53,KILOMETRAJE!E$56,IF(G25=54,KILOMETRAJE!E$57,IF(G25=55,KILOMETRAJE!E$58,IF(G25=56,KILOMETRAJE!E$59,IF(G25=57,KILOMETRAJE!E$60,IF(G25=58,KILOMETRAJE!E$61,IF(G25=59,KILOMETRAJE!E$62,IF(G25=60,KILOMETRAJE!E$63,IF(G25=61,KILOMETRAJE!E$64,IF(G25=62,KILOMETRAJE!E$65,IF(G25=63,KILOMETRAJE!E$66)))))))))))))))))))))))))))))))))))))))))))))))))))))))))))))))</f>
        <v>CHIH.</v>
      </c>
      <c r="J25" s="51">
        <f>IF(G25=1,KILOMETRAJE!G$4,IF(G25=2,KILOMETRAJE!G$5,IF(G25=3,KILOMETRAJE!G$6,IF(G25=4,KILOMETRAJE!G$7,IF(G25=5,KILOMETRAJE!G$8,IF(G25=6,KILOMETRAJE!G$9,IF(G25=7,KILOMETRAJE!G$10,IF(G25=8,KILOMETRAJE!G$11,IF(G25=9,KILOMETRAJE!G$12,IF(G25=10,KILOMETRAJE!G$13,IF(G25=11,KILOMETRAJE!G$14,IF(G25=12,KILOMETRAJE!G$15,IF(G25=13,KILOMETRAJE!G$16,IF(G25=14,KILOMETRAJE!G$17,IF(G25=15,KILOMETRAJE!G$18,IF(G25=16,KILOMETRAJE!G$19,IF(G25=17,KILOMETRAJE!G$20,IF(G25=18,KILOMETRAJE!G$21,IF(G25=19,KILOMETRAJE!G$22,IF(G25=20,KILOMETRAJE!G$23,IF(G25=21,KILOMETRAJE!G$24,IF(G25=22,KILOMETRAJE!G$25,IF(G25=23,KILOMETRAJE!G$26,IF(G25=24,KILOMETRAJE!G$27,IF(G25=25,KILOMETRAJE!G$28,IF(G25=26,KILOMETRAJE!G$29,IF(G25=27,KILOMETRAJE!G$30,IF(G25=28,KILOMETRAJE!G$31,IF(G25=29,KILOMETRAJE!G$32,IF(G25=30,KILOMETRAJE!G$33,IF(G25=31,KILOMETRAJE!G$34,IF(G25=32,KILOMETRAJE!G$35,IF(G25=33,KILOMETRAJE!G$36,IF(G25=34,KILOMETRAJE!G$37,IF(G25=35,KILOMETRAJE!G$38,IF(G25=36,KILOMETRAJE!G$39,IF(G25=37,KILOMETRAJE!G$40,IF(G25=38,KILOMETRAJE!G$41,IF(G25=39,KILOMETRAJE!G$42,IF(G25=40,KILOMETRAJE!G$43,IF(G25=41,KILOMETRAJE!G$44,IF(G25=42,KILOMETRAJE!G$45,IF(G25=43,KILOMETRAJE!G$46,IF(G25=44,KILOMETRAJE!G$47,IF(G25=45,KILOMETRAJE!G$48,IF(G25=46,KILOMETRAJE!G$49,IF(G25=47,KILOMETRAJE!G$50,IF(G25=48,KILOMETRAJE!G$51,IF(G25=49,KILOMETRAJE!G$52,IF(G25=50,KILOMETRAJE!G$53,IF(G25=51,KILOMETRAJE!G$54,IF(G25=52,KILOMETRAJE!G$55,IF(G25=53,KILOMETRAJE!G$56,IF(G25=54,KILOMETRAJE!G$57,IF(G25=55,KILOMETRAJE!G$58,IF(G25=56,KILOMETRAJE!G$59,IF(G25=57,KILOMETRAJE!G$60,IF(G25=58,KILOMETRAJE!G$61,IF(G25=59,KILOMETRAJE!G$62,IF(G25=60,KILOMETRAJE!G$63,IF(G25=61,KILOMETRAJE!G$64,IF(G25=62,KILOMETRAJE!G$65,IF(G25=63,KILOMETRAJE!G$66)))))))))))))))))))))))))))))))))))))))))))))))))))))))))))))))</f>
        <v>375</v>
      </c>
      <c r="K25" s="24"/>
      <c r="L25" s="56"/>
      <c r="M25" s="348">
        <v>4074</v>
      </c>
      <c r="N25" s="24">
        <v>1</v>
      </c>
      <c r="O25" s="24" t="s">
        <v>380</v>
      </c>
      <c r="P25" s="24" t="s">
        <v>198</v>
      </c>
      <c r="Q25" s="45">
        <f t="shared" ref="Q25:Q26" si="2">((((IF(N25=1,((J25)*0.29333)))+(IF(N25=2,((J25)*0.146666)))+(IF(N25=3,((J25)*0.146666)))))+(IF(N25=4,((J25-40)*0.29333)))+(IF(N25=5,((J25-50)*0.29333)))+(IF(N25=6,((J25-90)*0.29333))))</f>
        <v>109.99874999999999</v>
      </c>
      <c r="R25" s="191"/>
      <c r="S25" s="52"/>
      <c r="T25" s="455"/>
      <c r="U25" s="11" t="s">
        <v>376</v>
      </c>
      <c r="V25" s="11" t="s">
        <v>376</v>
      </c>
    </row>
    <row r="26" spans="3:26" ht="12.75" thickBot="1" x14ac:dyDescent="0.25">
      <c r="C26" s="101"/>
      <c r="D26" s="25" t="s">
        <v>458</v>
      </c>
      <c r="E26" s="25">
        <v>45962</v>
      </c>
      <c r="F26" s="25">
        <v>45962</v>
      </c>
      <c r="G26" s="62">
        <v>3</v>
      </c>
      <c r="H26" s="26" t="str">
        <f>IF(G26=1,KILOMETRAJE!C$4,IF(G26=2,KILOMETRAJE!C$5,IF(G26=3,KILOMETRAJE!C$6,IF(G26=4,KILOMETRAJE!C$7,IF(G26=5,KILOMETRAJE!C$8,IF(G26=6,KILOMETRAJE!C$9,IF(G26=7,KILOMETRAJE!C$10,IF(G26=8,KILOMETRAJE!C$11,IF(G26=9,KILOMETRAJE!C$12,IF(G26=10,KILOMETRAJE!C$13,IF(G26=11,KILOMETRAJE!C$14,IF(G26=12,KILOMETRAJE!C$15,IF(G26=13,KILOMETRAJE!C$16,IF(G26=14,KILOMETRAJE!C$17,IF(G26=15,KILOMETRAJE!C$18,IF(G26=16,KILOMETRAJE!C$19,IF(G26=17,KILOMETRAJE!C$20,IF(G26=18,KILOMETRAJE!C$21,IF(G26=19,KILOMETRAJE!C$22,IF(G26=20,KILOMETRAJE!C$23,IF(G26=21,KILOMETRAJE!C$24,IF(G26=22,KILOMETRAJE!C$25,IF(G26=23,KILOMETRAJE!C$26,IF(G26=24,KILOMETRAJE!C$27,IF(G26=25,KILOMETRAJE!C$28,IF(G26=26,KILOMETRAJE!C$29,IF(G26=27,KILOMETRAJE!C$30,IF(G26=28,KILOMETRAJE!C$31,IF(G26=29,KILOMETRAJE!C$32,IF(G26=30,KILOMETRAJE!C$33,IF(G26=31,KILOMETRAJE!C$34,IF(G26=32,KILOMETRAJE!C$35,IF(G26=33,KILOMETRAJE!C$36,IF(G26=34,KILOMETRAJE!C$37,IF(G26=35,KILOMETRAJE!C$38,IF(G26=36,KILOMETRAJE!C$39,IF(G26=37,KILOMETRAJE!C$40,IF(G26=38,KILOMETRAJE!C$41,IF(G26=39,KILOMETRAJE!C$42,IF(G26=40,KILOMETRAJE!C$43,IF(G26=41,KILOMETRAJE!C$44,IF(G26=42,KILOMETRAJE!C$45,IF(G26=43,KILOMETRAJE!C$46,IF(G26=44,KILOMETRAJE!C$47,IF(G26=45,KILOMETRAJE!C$48,IF(G26=46,KILOMETRAJE!C$49,IF(G26=47,KILOMETRAJE!C$50,IF(G26=48,KILOMETRAJE!C$51,IF(G26=49,KILOMETRAJE!C$52,IF(G26=50,KILOMETRAJE!C$53,IF(G26=51,KILOMETRAJE!C$54,IF(G26=52,KILOMETRAJE!C$55,IF(G26=53,KILOMETRAJE!C$56,IF(G26=54,KILOMETRAJE!C$57,IF(G26=55,KILOMETRAJE!C$58,IF(G26=56,KILOMETRAJE!C$59,IF(G26=57,KILOMETRAJE!C$60,IF(G26=58,KILOMETRAJE!C$61,IF(G26=59,KILOMETRAJE!C$62,IF(G26=60,KILOMETRAJE!C$63,IF(G26=61,KILOMETRAJE!C$64,IF(G26=62,KILOMETRAJE!C$65,IF(G26=63,KILOMETRAJE!C$66)))))))))))))))))))))))))))))))))))))))))))))))))))))))))))))))</f>
        <v xml:space="preserve">CHIH. </v>
      </c>
      <c r="I26" s="27" t="str">
        <f>IF(G26=1,KILOMETRAJE!E$4,IF(G26=2,KILOMETRAJE!E$5,IF(G26=3,KILOMETRAJE!E$6,IF(G26=4,KILOMETRAJE!E$7,IF(G26=5,KILOMETRAJE!E$8,IF(G26=6,KILOMETRAJE!E$9,IF(G26=7,KILOMETRAJE!E$10,IF(G26=8,KILOMETRAJE!E$11,IF(G26=9,KILOMETRAJE!E$12,IF(G26=10,KILOMETRAJE!E$13,IF(G26=11,KILOMETRAJE!E$14,IF(G26=12,KILOMETRAJE!E$15,IF(G26=13,KILOMETRAJE!E$16,IF(G26=14,KILOMETRAJE!E$17,IF(G26=15,KILOMETRAJE!E$18,IF(G26=16,KILOMETRAJE!E$19,IF(G26=17,KILOMETRAJE!E$20,IF(G26=18,KILOMETRAJE!E$21,IF(G26=19,KILOMETRAJE!E$22,IF(G26=20,KILOMETRAJE!E$23,IF(G26=21,KILOMETRAJE!E$24,IF(G26=22,KILOMETRAJE!E$25,IF(G26=23,KILOMETRAJE!E$26,IF(G26=24,KILOMETRAJE!E$27,IF(G26=25,KILOMETRAJE!E$28,IF(G26=26,KILOMETRAJE!E$29,IF(G26=27,KILOMETRAJE!E$30,IF(G26=28,KILOMETRAJE!E$31,IF(G26=29,KILOMETRAJE!E$32,IF(G26=30,KILOMETRAJE!E$33,IF(G26=31,KILOMETRAJE!E$34,IF(G26=32,KILOMETRAJE!E$35,IF(G26=33,KILOMETRAJE!E$36,IF(G26=34,KILOMETRAJE!E$37,IF(G26=35,KILOMETRAJE!E$38,IF(G26=36,KILOMETRAJE!E$39,IF(G26=37,KILOMETRAJE!E$40,IF(G26=38,KILOMETRAJE!E$41,IF(G26=39,KILOMETRAJE!E$42,IF(G26=40,KILOMETRAJE!E$43,IF(G26=41,KILOMETRAJE!E$44,IF(G26=42,KILOMETRAJE!E$45,IF(G26=43,KILOMETRAJE!E$46,IF(G26=44,KILOMETRAJE!E$47,IF(G26=45,KILOMETRAJE!E$48,IF(G26=46,KILOMETRAJE!E$49,IF(G26=47,KILOMETRAJE!E$50,IF(G26=48,KILOMETRAJE!E$51,IF(G26=49,KILOMETRAJE!E$52,IF(G26=50,KILOMETRAJE!E$53,IF(G26=51,KILOMETRAJE!E$54,IF(G26=52,KILOMETRAJE!E$55,IF(G26=53,KILOMETRAJE!E$56,IF(G26=54,KILOMETRAJE!E$57,IF(G26=55,KILOMETRAJE!E$58,IF(G26=56,KILOMETRAJE!E$59,IF(G26=57,KILOMETRAJE!E$60,IF(G26=58,KILOMETRAJE!E$61,IF(G26=59,KILOMETRAJE!E$62,IF(G26=60,KILOMETRAJE!E$63,IF(G26=61,KILOMETRAJE!E$64,IF(G26=62,KILOMETRAJE!E$65,IF(G26=63,KILOMETRAJE!E$66)))))))))))))))))))))))))))))))))))))))))))))))))))))))))))))))</f>
        <v>JRZ</v>
      </c>
      <c r="J26" s="31">
        <f>IF(G26=1,KILOMETRAJE!G$4,IF(G26=2,KILOMETRAJE!G$5,IF(G26=3,KILOMETRAJE!G$6,IF(G26=4,KILOMETRAJE!G$7,IF(G26=5,KILOMETRAJE!G$8,IF(G26=6,KILOMETRAJE!G$9,IF(G26=7,KILOMETRAJE!G$10,IF(G26=8,KILOMETRAJE!G$11,IF(G26=9,KILOMETRAJE!G$12,IF(G26=10,KILOMETRAJE!G$13,IF(G26=11,KILOMETRAJE!G$14,IF(G26=12,KILOMETRAJE!G$15,IF(G26=13,KILOMETRAJE!G$16,IF(G26=14,KILOMETRAJE!G$17,IF(G26=15,KILOMETRAJE!G$18,IF(G26=16,KILOMETRAJE!G$19,IF(G26=17,KILOMETRAJE!G$20,IF(G26=18,KILOMETRAJE!G$21,IF(G26=19,KILOMETRAJE!G$22,IF(G26=20,KILOMETRAJE!G$23,IF(G26=21,KILOMETRAJE!G$24,IF(G26=22,KILOMETRAJE!G$25,IF(G26=23,KILOMETRAJE!G$26,IF(G26=24,KILOMETRAJE!G$27,IF(G26=25,KILOMETRAJE!G$28,IF(G26=26,KILOMETRAJE!G$29,IF(G26=27,KILOMETRAJE!G$30,IF(G26=28,KILOMETRAJE!G$31,IF(G26=29,KILOMETRAJE!G$32,IF(G26=30,KILOMETRAJE!G$33,IF(G26=31,KILOMETRAJE!G$34,IF(G26=32,KILOMETRAJE!G$35,IF(G26=33,KILOMETRAJE!G$36,IF(G26=34,KILOMETRAJE!G$37,IF(G26=35,KILOMETRAJE!G$38,IF(G26=36,KILOMETRAJE!G$39,IF(G26=37,KILOMETRAJE!G$40,IF(G26=38,KILOMETRAJE!G$41,IF(G26=39,KILOMETRAJE!G$42,IF(G26=40,KILOMETRAJE!G$43,IF(G26=41,KILOMETRAJE!G$44,IF(G26=42,KILOMETRAJE!G$45,IF(G26=43,KILOMETRAJE!G$46,IF(G26=44,KILOMETRAJE!G$47,IF(G26=45,KILOMETRAJE!G$48,IF(G26=46,KILOMETRAJE!G$49,IF(G26=47,KILOMETRAJE!G$50,IF(G26=48,KILOMETRAJE!G$51,IF(G26=49,KILOMETRAJE!G$52,IF(G26=50,KILOMETRAJE!G$53,IF(G26=51,KILOMETRAJE!G$54,IF(G26=52,KILOMETRAJE!G$55,IF(G26=53,KILOMETRAJE!G$56,IF(G26=54,KILOMETRAJE!G$57,IF(G26=55,KILOMETRAJE!G$58,IF(G26=56,KILOMETRAJE!G$59,IF(G26=57,KILOMETRAJE!G$60,IF(G26=58,KILOMETRAJE!G$61,IF(G26=59,KILOMETRAJE!G$62,IF(G26=60,KILOMETRAJE!G$63,IF(G26=61,KILOMETRAJE!G$64,IF(G26=62,KILOMETRAJE!G$65,IF(G26=63,KILOMETRAJE!G$66)))))))))))))))))))))))))))))))))))))))))))))))))))))))))))))))</f>
        <v>375</v>
      </c>
      <c r="K26" s="27">
        <v>245.06</v>
      </c>
      <c r="L26" s="28">
        <f>SUM(J25:J26)/K26</f>
        <v>3.0604749857177835</v>
      </c>
      <c r="M26" s="349">
        <v>10296</v>
      </c>
      <c r="N26" s="27">
        <v>1</v>
      </c>
      <c r="O26" s="27" t="s">
        <v>387</v>
      </c>
      <c r="P26" s="27" t="s">
        <v>247</v>
      </c>
      <c r="Q26" s="29">
        <f t="shared" si="2"/>
        <v>109.99874999999999</v>
      </c>
      <c r="R26" s="190">
        <f>+LOOKUP(P43,UNIDADES!B$3:B$59,UNIDADES!C$3:C$59)</f>
        <v>2.4509799999999999</v>
      </c>
      <c r="S26" s="19">
        <f>+((SUM(J25:J26))/R26)-K26</f>
        <v>60.940048960007857</v>
      </c>
      <c r="T26" s="456">
        <f>+S26*14.85</f>
        <v>904.95972705611666</v>
      </c>
      <c r="U26" s="11">
        <v>58</v>
      </c>
      <c r="V26" s="11">
        <v>63</v>
      </c>
    </row>
    <row r="27" spans="3:26" hidden="1" x14ac:dyDescent="0.2">
      <c r="C27" s="238"/>
      <c r="D27" s="36"/>
      <c r="E27" s="37"/>
      <c r="F27" s="37"/>
      <c r="G27" s="202"/>
      <c r="H27" s="38"/>
      <c r="I27" s="38"/>
      <c r="J27" s="39"/>
      <c r="K27" s="38"/>
      <c r="L27" s="201"/>
      <c r="M27" s="348"/>
      <c r="N27" s="38"/>
      <c r="O27" s="38"/>
      <c r="P27" s="38"/>
      <c r="Q27" s="40"/>
      <c r="R27" s="192"/>
      <c r="S27" s="186"/>
      <c r="T27" s="458"/>
      <c r="U27" s="11"/>
      <c r="V27" s="11"/>
    </row>
    <row r="28" spans="3:26" ht="12.75" hidden="1" thickBot="1" x14ac:dyDescent="0.25">
      <c r="C28" s="240"/>
      <c r="D28" s="57"/>
      <c r="E28" s="58"/>
      <c r="F28" s="58"/>
      <c r="G28" s="57"/>
      <c r="H28" s="26"/>
      <c r="I28" s="27"/>
      <c r="J28" s="31"/>
      <c r="K28" s="27"/>
      <c r="L28" s="28"/>
      <c r="M28" s="349"/>
      <c r="N28" s="27"/>
      <c r="O28" s="27"/>
      <c r="P28" s="27"/>
      <c r="Q28" s="29"/>
      <c r="R28" s="190"/>
      <c r="S28" s="19"/>
      <c r="T28" s="456"/>
      <c r="U28" s="11"/>
      <c r="V28" s="11"/>
    </row>
    <row r="29" spans="3:26" hidden="1" x14ac:dyDescent="0.2">
      <c r="C29" s="176"/>
      <c r="D29" s="43"/>
      <c r="E29" s="42"/>
      <c r="F29" s="42"/>
      <c r="G29" s="43"/>
      <c r="H29" s="24"/>
      <c r="I29" s="24"/>
      <c r="J29" s="51"/>
      <c r="K29" s="24"/>
      <c r="L29" s="44"/>
      <c r="M29" s="348"/>
      <c r="N29" s="24"/>
      <c r="O29" s="24"/>
      <c r="P29" s="24"/>
      <c r="Q29" s="45"/>
      <c r="R29" s="191"/>
      <c r="S29" s="52"/>
      <c r="T29" s="455"/>
      <c r="U29" s="11"/>
      <c r="V29" s="11"/>
    </row>
    <row r="30" spans="3:26" ht="12.75" hidden="1" thickBot="1" x14ac:dyDescent="0.25">
      <c r="C30" s="101"/>
      <c r="D30" s="62"/>
      <c r="E30" s="25"/>
      <c r="F30" s="25"/>
      <c r="G30" s="62"/>
      <c r="H30" s="27"/>
      <c r="I30" s="27"/>
      <c r="J30" s="31"/>
      <c r="K30" s="27"/>
      <c r="L30" s="28"/>
      <c r="M30" s="349"/>
      <c r="N30" s="27"/>
      <c r="O30" s="27"/>
      <c r="P30" s="27"/>
      <c r="Q30" s="29"/>
      <c r="R30" s="190"/>
      <c r="S30" s="19"/>
      <c r="T30" s="456"/>
      <c r="U30" s="11"/>
      <c r="V30" s="11"/>
    </row>
    <row r="31" spans="3:26" hidden="1" x14ac:dyDescent="0.2">
      <c r="C31" s="176"/>
      <c r="D31" s="43"/>
      <c r="E31" s="42"/>
      <c r="F31" s="42"/>
      <c r="G31" s="43"/>
      <c r="H31" s="24"/>
      <c r="I31" s="24"/>
      <c r="J31" s="51"/>
      <c r="K31" s="24"/>
      <c r="L31" s="44"/>
      <c r="M31" s="348"/>
      <c r="N31" s="24"/>
      <c r="O31" s="24"/>
      <c r="P31" s="24"/>
      <c r="Q31" s="45"/>
      <c r="R31" s="192"/>
      <c r="S31" s="52"/>
      <c r="T31" s="455"/>
      <c r="U31" s="11"/>
      <c r="V31" s="11"/>
    </row>
    <row r="32" spans="3:26" ht="12.75" hidden="1" thickBot="1" x14ac:dyDescent="0.25">
      <c r="C32" s="101"/>
      <c r="D32" s="62"/>
      <c r="E32" s="25"/>
      <c r="F32" s="25"/>
      <c r="G32" s="62"/>
      <c r="H32" s="27"/>
      <c r="I32" s="27"/>
      <c r="J32" s="31"/>
      <c r="K32" s="27"/>
      <c r="L32" s="28"/>
      <c r="M32" s="349"/>
      <c r="N32" s="27"/>
      <c r="O32" s="27"/>
      <c r="P32" s="27"/>
      <c r="Q32" s="29"/>
      <c r="R32" s="190"/>
      <c r="S32" s="19"/>
      <c r="T32" s="456"/>
      <c r="U32" s="11"/>
      <c r="V32" s="11"/>
    </row>
    <row r="33" spans="3:23" ht="12.75" thickBot="1" x14ac:dyDescent="0.25">
      <c r="I33" s="15"/>
      <c r="R33" s="193"/>
      <c r="S33" s="15"/>
    </row>
    <row r="34" spans="3:23" x14ac:dyDescent="0.2">
      <c r="E34" s="629" t="s">
        <v>34</v>
      </c>
      <c r="F34" s="646">
        <f>+'AGUILAR ESQUIVEL CARLOS'!F34</f>
        <v>45957</v>
      </c>
      <c r="G34" s="647"/>
      <c r="H34" s="16">
        <f>+F34+1</f>
        <v>45958</v>
      </c>
      <c r="I34" s="16">
        <f>+H34+1</f>
        <v>45959</v>
      </c>
      <c r="J34" s="16">
        <f>+I34+1</f>
        <v>45960</v>
      </c>
      <c r="K34" s="16">
        <f>+J34+1</f>
        <v>45961</v>
      </c>
      <c r="L34" s="16">
        <f>+K34+2</f>
        <v>45963</v>
      </c>
      <c r="M34" s="17" t="s">
        <v>35</v>
      </c>
    </row>
    <row r="35" spans="3:23" ht="12.75" thickBot="1" x14ac:dyDescent="0.25">
      <c r="E35" s="630"/>
      <c r="F35" s="648"/>
      <c r="G35" s="649"/>
      <c r="H35" s="29"/>
      <c r="I35" s="29"/>
      <c r="J35" s="29"/>
      <c r="K35" s="29"/>
      <c r="L35" s="29">
        <v>125</v>
      </c>
      <c r="M35" s="30">
        <f>SUM(F35:L35)</f>
        <v>125</v>
      </c>
    </row>
    <row r="36" spans="3:23" ht="12.75" thickBot="1" x14ac:dyDescent="0.25">
      <c r="I36" s="15"/>
    </row>
    <row r="37" spans="3:23" ht="13.5" thickBot="1" x14ac:dyDescent="0.25">
      <c r="C37" s="608" t="s">
        <v>36</v>
      </c>
      <c r="D37" s="609"/>
      <c r="E37" s="609"/>
      <c r="F37" s="609"/>
      <c r="G37" s="610"/>
      <c r="I37" s="620" t="s">
        <v>37</v>
      </c>
      <c r="J37" s="621"/>
      <c r="K37" s="621"/>
      <c r="L37" s="622"/>
      <c r="M37" s="298"/>
      <c r="O37" s="611" t="s">
        <v>38</v>
      </c>
      <c r="P37" s="612"/>
      <c r="Q37" s="613">
        <f>+F49-L46</f>
        <v>4814.760408224467</v>
      </c>
      <c r="R37" s="614"/>
      <c r="S37" s="615"/>
    </row>
    <row r="38" spans="3:23" ht="12.75" thickBot="1" x14ac:dyDescent="0.25">
      <c r="C38" s="616" t="s">
        <v>219</v>
      </c>
      <c r="D38" s="617"/>
      <c r="E38" s="617"/>
      <c r="F38" s="618">
        <f>SUM(Q18:Q33)</f>
        <v>879.9899999999999</v>
      </c>
      <c r="G38" s="619"/>
      <c r="I38" s="114" t="s">
        <v>125</v>
      </c>
      <c r="J38" s="68" t="s">
        <v>126</v>
      </c>
      <c r="K38" s="68" t="s">
        <v>70</v>
      </c>
      <c r="L38" s="115" t="s">
        <v>127</v>
      </c>
      <c r="M38" s="346"/>
    </row>
    <row r="39" spans="3:23" ht="13.5" customHeight="1" thickBot="1" x14ac:dyDescent="0.25">
      <c r="C39" s="602" t="s">
        <v>220</v>
      </c>
      <c r="D39" s="603"/>
      <c r="E39" s="603"/>
      <c r="F39" s="604">
        <f>SUM(T18:T33)</f>
        <v>3809.7704082244668</v>
      </c>
      <c r="G39" s="605"/>
      <c r="I39" s="328"/>
      <c r="J39" s="427"/>
      <c r="K39" s="431"/>
      <c r="L39" s="119"/>
      <c r="M39" s="346"/>
      <c r="O39" s="74" t="s">
        <v>70</v>
      </c>
      <c r="P39" s="75" t="s">
        <v>71</v>
      </c>
      <c r="Q39" s="76" t="s">
        <v>72</v>
      </c>
      <c r="R39" s="64"/>
      <c r="S39" s="77" t="s">
        <v>73</v>
      </c>
      <c r="T39" s="75" t="s">
        <v>74</v>
      </c>
      <c r="U39" s="74" t="s">
        <v>145</v>
      </c>
      <c r="V39" s="75" t="s">
        <v>146</v>
      </c>
      <c r="W39" s="75" t="s">
        <v>284</v>
      </c>
    </row>
    <row r="40" spans="3:23" ht="12.75" thickBot="1" x14ac:dyDescent="0.25">
      <c r="C40" s="602" t="s">
        <v>34</v>
      </c>
      <c r="D40" s="603"/>
      <c r="E40" s="603"/>
      <c r="F40" s="604">
        <f>+M35</f>
        <v>125</v>
      </c>
      <c r="G40" s="605"/>
      <c r="I40" s="94"/>
      <c r="J40" s="117"/>
      <c r="K40" s="61"/>
      <c r="L40" s="111"/>
      <c r="M40" s="346"/>
      <c r="O40" s="78">
        <v>46488</v>
      </c>
      <c r="P40" s="79" t="s">
        <v>158</v>
      </c>
      <c r="Q40" s="80"/>
      <c r="R40" s="80"/>
      <c r="S40" s="24"/>
      <c r="T40" s="79">
        <f>+S40-Q40</f>
        <v>0</v>
      </c>
      <c r="U40" s="137">
        <f>SUM(J19:J20)</f>
        <v>750</v>
      </c>
      <c r="V40" s="79">
        <f>+K20</f>
        <v>255.03</v>
      </c>
      <c r="W40" s="353">
        <f>(SUM(M19:M20)/2)</f>
        <v>12223.5</v>
      </c>
    </row>
    <row r="41" spans="3:23" x14ac:dyDescent="0.2">
      <c r="C41" s="602" t="s">
        <v>248</v>
      </c>
      <c r="D41" s="603"/>
      <c r="E41" s="603"/>
      <c r="F41" s="604">
        <v>0</v>
      </c>
      <c r="G41" s="605"/>
      <c r="I41" s="94"/>
      <c r="J41" s="117"/>
      <c r="K41" s="61"/>
      <c r="L41" s="111"/>
      <c r="M41" s="346"/>
      <c r="O41" s="32">
        <v>46111</v>
      </c>
      <c r="P41" s="53" t="s">
        <v>158</v>
      </c>
      <c r="Q41" s="24">
        <v>3554379</v>
      </c>
      <c r="R41" s="63"/>
      <c r="S41" s="11">
        <v>3561720</v>
      </c>
      <c r="T41" s="53">
        <f>+S41-Q41</f>
        <v>7341</v>
      </c>
      <c r="U41" s="136">
        <f>SUM(J21:J22)</f>
        <v>750</v>
      </c>
      <c r="V41" s="53">
        <f>+K22</f>
        <v>239.39</v>
      </c>
      <c r="W41" s="354">
        <f>(SUM(M21:M22)/2)</f>
        <v>1618.5</v>
      </c>
    </row>
    <row r="42" spans="3:23" x14ac:dyDescent="0.2">
      <c r="C42" s="602" t="s">
        <v>39</v>
      </c>
      <c r="D42" s="603"/>
      <c r="E42" s="603"/>
      <c r="F42" s="604"/>
      <c r="G42" s="605"/>
      <c r="I42" s="94"/>
      <c r="J42" s="117"/>
      <c r="K42" s="61"/>
      <c r="L42" s="111"/>
      <c r="M42" s="346"/>
      <c r="O42" s="32">
        <v>46151</v>
      </c>
      <c r="P42" s="53" t="s">
        <v>158</v>
      </c>
      <c r="Q42" s="11">
        <v>3561720</v>
      </c>
      <c r="R42" s="63"/>
      <c r="S42" s="11">
        <v>3568746</v>
      </c>
      <c r="T42" s="53">
        <f t="shared" ref="T42:T46" si="3">+S42-Q42</f>
        <v>7026</v>
      </c>
      <c r="U42" s="136">
        <f>SUM(J23:J24)</f>
        <v>750</v>
      </c>
      <c r="V42" s="53">
        <f>+K24</f>
        <v>227.97</v>
      </c>
      <c r="W42" s="354">
        <f>(SUM(M23:M24)/2)</f>
        <v>3356</v>
      </c>
    </row>
    <row r="43" spans="3:23" x14ac:dyDescent="0.2">
      <c r="C43" s="602" t="s">
        <v>116</v>
      </c>
      <c r="D43" s="603"/>
      <c r="E43" s="603"/>
      <c r="F43" s="604"/>
      <c r="G43" s="605"/>
      <c r="I43" s="94"/>
      <c r="J43" s="117"/>
      <c r="K43" s="61"/>
      <c r="L43" s="111"/>
      <c r="M43" s="346"/>
      <c r="O43" s="32">
        <v>46172</v>
      </c>
      <c r="P43" s="53" t="s">
        <v>158</v>
      </c>
      <c r="Q43" s="11">
        <v>3568746</v>
      </c>
      <c r="R43" s="63"/>
      <c r="S43" s="63">
        <v>3575906</v>
      </c>
      <c r="T43" s="53">
        <f t="shared" si="3"/>
        <v>7160</v>
      </c>
      <c r="U43" s="136">
        <f>SUM(J25:J26)</f>
        <v>750</v>
      </c>
      <c r="V43" s="53">
        <f>+K26</f>
        <v>245.06</v>
      </c>
      <c r="W43" s="354">
        <f>(SUM(M25:M26)/2)</f>
        <v>7185</v>
      </c>
    </row>
    <row r="44" spans="3:23" x14ac:dyDescent="0.2">
      <c r="C44" s="602" t="s">
        <v>40</v>
      </c>
      <c r="D44" s="603"/>
      <c r="E44" s="603"/>
      <c r="F44" s="604"/>
      <c r="G44" s="605"/>
      <c r="I44" s="94"/>
      <c r="J44" s="117"/>
      <c r="K44" s="61"/>
      <c r="L44" s="111"/>
      <c r="M44" s="346"/>
      <c r="O44" s="32"/>
      <c r="P44" s="53"/>
      <c r="Q44" s="63"/>
      <c r="R44" s="95"/>
      <c r="S44" s="11"/>
      <c r="T44" s="53">
        <f t="shared" si="3"/>
        <v>0</v>
      </c>
      <c r="U44" s="136">
        <f>SUM(J27:J28)</f>
        <v>0</v>
      </c>
      <c r="V44" s="53">
        <f>+K28</f>
        <v>0</v>
      </c>
      <c r="W44" s="354">
        <f>(SUM(M27:M28)/2)</f>
        <v>0</v>
      </c>
    </row>
    <row r="45" spans="3:23" ht="12.75" thickBot="1" x14ac:dyDescent="0.25">
      <c r="C45" s="602" t="s">
        <v>124</v>
      </c>
      <c r="D45" s="603"/>
      <c r="E45" s="603"/>
      <c r="F45" s="604"/>
      <c r="G45" s="605"/>
      <c r="I45" s="282"/>
      <c r="J45" s="285"/>
      <c r="K45" s="62"/>
      <c r="L45" s="283"/>
      <c r="M45" s="346"/>
      <c r="O45" s="32"/>
      <c r="P45" s="53"/>
      <c r="Q45" s="63"/>
      <c r="R45" s="95"/>
      <c r="S45" s="11"/>
      <c r="T45" s="53">
        <f t="shared" si="3"/>
        <v>0</v>
      </c>
      <c r="U45" s="136">
        <f>SUM(J29:J30)</f>
        <v>0</v>
      </c>
      <c r="V45" s="53">
        <f>+K30</f>
        <v>0</v>
      </c>
      <c r="W45" s="354">
        <f>(SUM(M29:M30)/2)</f>
        <v>0</v>
      </c>
    </row>
    <row r="46" spans="3:23" ht="13.5" customHeight="1" thickBot="1" x14ac:dyDescent="0.25">
      <c r="C46" s="602" t="s">
        <v>224</v>
      </c>
      <c r="D46" s="603"/>
      <c r="E46" s="603"/>
      <c r="F46" s="606"/>
      <c r="G46" s="607"/>
      <c r="I46" s="597" t="s">
        <v>41</v>
      </c>
      <c r="J46" s="598"/>
      <c r="K46" s="632"/>
      <c r="L46" s="284">
        <f>SUM(L39:L45)</f>
        <v>0</v>
      </c>
      <c r="M46" s="347"/>
      <c r="O46" s="113"/>
      <c r="P46" s="264"/>
      <c r="Q46" s="265"/>
      <c r="R46" s="83"/>
      <c r="S46" s="81"/>
      <c r="T46" s="82">
        <f t="shared" si="3"/>
        <v>0</v>
      </c>
      <c r="U46" s="138">
        <f>SUM(J31:J32)</f>
        <v>0</v>
      </c>
      <c r="V46" s="55">
        <f>+K32</f>
        <v>0</v>
      </c>
      <c r="W46" s="355">
        <f>(SUM(M31:M32)/2)</f>
        <v>0</v>
      </c>
    </row>
    <row r="47" spans="3:23" ht="13.5" customHeight="1" x14ac:dyDescent="0.2">
      <c r="C47" s="602" t="s">
        <v>110</v>
      </c>
      <c r="D47" s="603"/>
      <c r="E47" s="603"/>
      <c r="F47" s="606"/>
      <c r="G47" s="607"/>
      <c r="R47" s="21"/>
      <c r="S47" s="21"/>
      <c r="T47" s="21"/>
      <c r="U47" s="139"/>
      <c r="V47" s="271"/>
    </row>
    <row r="48" spans="3:23" ht="13.5" customHeight="1" thickBot="1" x14ac:dyDescent="0.25">
      <c r="C48" s="593" t="s">
        <v>227</v>
      </c>
      <c r="D48" s="594"/>
      <c r="E48" s="594"/>
      <c r="F48" s="595"/>
      <c r="G48" s="596"/>
      <c r="R48" s="21"/>
      <c r="S48" s="21"/>
      <c r="T48" s="21"/>
      <c r="U48" s="139"/>
      <c r="V48" s="271"/>
    </row>
    <row r="49" spans="3:22" ht="13.5" thickBot="1" x14ac:dyDescent="0.25">
      <c r="C49" s="597" t="s">
        <v>42</v>
      </c>
      <c r="D49" s="598"/>
      <c r="E49" s="599"/>
      <c r="F49" s="600">
        <f>SUM(F38:G48)</f>
        <v>4814.760408224467</v>
      </c>
      <c r="G49" s="601"/>
      <c r="R49" s="21"/>
      <c r="S49" s="21"/>
      <c r="T49" s="21"/>
      <c r="U49" s="139"/>
      <c r="V49" s="271"/>
    </row>
    <row r="50" spans="3:22" ht="13.5" customHeight="1" thickBot="1" x14ac:dyDescent="0.25">
      <c r="P50" s="588" t="s">
        <v>48</v>
      </c>
      <c r="Q50" s="589"/>
      <c r="R50" s="590"/>
      <c r="S50" s="21"/>
      <c r="T50" s="21"/>
      <c r="U50" s="139"/>
    </row>
    <row r="51" spans="3:22" ht="12.75" customHeight="1" x14ac:dyDescent="0.2">
      <c r="C51" s="246" t="s">
        <v>43</v>
      </c>
      <c r="D51" s="247"/>
      <c r="E51" s="247"/>
      <c r="F51" s="247"/>
      <c r="G51" s="247"/>
      <c r="H51" s="247"/>
      <c r="I51" s="247"/>
      <c r="J51" s="247"/>
      <c r="K51" s="247"/>
      <c r="L51" s="248"/>
      <c r="M51" s="251"/>
      <c r="P51" s="78">
        <v>1</v>
      </c>
      <c r="Q51" s="584" t="s">
        <v>49</v>
      </c>
      <c r="R51" s="585"/>
      <c r="S51" s="21"/>
      <c r="T51" s="21"/>
      <c r="U51" s="249"/>
    </row>
    <row r="52" spans="3:22" ht="12.75" customHeight="1" x14ac:dyDescent="0.2">
      <c r="C52" s="250"/>
      <c r="D52" s="251"/>
      <c r="E52" s="251"/>
      <c r="F52" s="251"/>
      <c r="G52" s="251"/>
      <c r="H52" s="251"/>
      <c r="I52" s="251"/>
      <c r="J52" s="251"/>
      <c r="K52" s="251"/>
      <c r="L52" s="252"/>
      <c r="M52" s="251"/>
      <c r="P52" s="32">
        <v>2</v>
      </c>
      <c r="Q52" s="586" t="s">
        <v>135</v>
      </c>
      <c r="R52" s="587"/>
      <c r="S52" s="21"/>
      <c r="T52" s="249"/>
    </row>
    <row r="53" spans="3:22" ht="12.75" thickBot="1" x14ac:dyDescent="0.25">
      <c r="C53" s="253"/>
      <c r="D53" s="254"/>
      <c r="E53" s="254"/>
      <c r="F53" s="254"/>
      <c r="G53" s="254"/>
      <c r="H53" s="254"/>
      <c r="I53" s="254"/>
      <c r="J53" s="254"/>
      <c r="K53" s="254"/>
      <c r="L53" s="255"/>
      <c r="M53" s="251"/>
      <c r="P53" s="32">
        <v>3</v>
      </c>
      <c r="Q53" s="586" t="s">
        <v>130</v>
      </c>
      <c r="R53" s="587"/>
      <c r="S53" s="21"/>
      <c r="T53" s="249"/>
    </row>
    <row r="54" spans="3:22" x14ac:dyDescent="0.2">
      <c r="P54" s="32">
        <v>4</v>
      </c>
      <c r="Q54" s="586" t="s">
        <v>228</v>
      </c>
      <c r="R54" s="587"/>
      <c r="S54" s="21"/>
      <c r="T54" s="249"/>
    </row>
    <row r="55" spans="3:22" ht="12.75" thickBot="1" x14ac:dyDescent="0.25">
      <c r="P55" s="32">
        <v>5</v>
      </c>
      <c r="Q55" s="586" t="s">
        <v>229</v>
      </c>
      <c r="R55" s="587"/>
      <c r="S55" s="21"/>
    </row>
    <row r="56" spans="3:22" ht="14.25" customHeight="1" thickTop="1" thickBot="1" x14ac:dyDescent="0.25">
      <c r="D56" s="631" t="s">
        <v>44</v>
      </c>
      <c r="E56" s="631"/>
      <c r="F56" s="631"/>
      <c r="G56" s="631"/>
      <c r="H56" s="631"/>
      <c r="J56" s="631" t="s">
        <v>45</v>
      </c>
      <c r="K56" s="631"/>
      <c r="L56" s="631"/>
      <c r="M56" s="631"/>
      <c r="N56" s="631"/>
      <c r="P56" s="54">
        <v>6</v>
      </c>
      <c r="Q56" s="591" t="s">
        <v>230</v>
      </c>
      <c r="R56" s="592"/>
      <c r="S56" s="21"/>
      <c r="T56" s="21"/>
    </row>
    <row r="57" spans="3:22" x14ac:dyDescent="0.2">
      <c r="S57" s="21"/>
      <c r="T57" s="21"/>
    </row>
    <row r="78" spans="22:22" ht="12.75" thickBot="1" x14ac:dyDescent="0.25"/>
    <row r="79" spans="22:22" x14ac:dyDescent="0.2">
      <c r="V79" s="75" t="s">
        <v>146</v>
      </c>
    </row>
  </sheetData>
  <mergeCells count="56">
    <mergeCell ref="F34:G34"/>
    <mergeCell ref="F35:G35"/>
    <mergeCell ref="C37:G37"/>
    <mergeCell ref="C39:E39"/>
    <mergeCell ref="F39:G39"/>
    <mergeCell ref="D13:E13"/>
    <mergeCell ref="D14:E14"/>
    <mergeCell ref="D15:E15"/>
    <mergeCell ref="D16:E16"/>
    <mergeCell ref="E34:E35"/>
    <mergeCell ref="Q2:S2"/>
    <mergeCell ref="I3:O3"/>
    <mergeCell ref="Q3:S3"/>
    <mergeCell ref="I4:O4"/>
    <mergeCell ref="I5:O5"/>
    <mergeCell ref="Q5:S5"/>
    <mergeCell ref="I6:O6"/>
    <mergeCell ref="Q6:S6"/>
    <mergeCell ref="I9:O9"/>
    <mergeCell ref="L11:S11"/>
    <mergeCell ref="E12:F12"/>
    <mergeCell ref="O37:P37"/>
    <mergeCell ref="Q37:S37"/>
    <mergeCell ref="C38:E38"/>
    <mergeCell ref="F38:G38"/>
    <mergeCell ref="C41:E41"/>
    <mergeCell ref="F41:G41"/>
    <mergeCell ref="C40:E40"/>
    <mergeCell ref="F40:G40"/>
    <mergeCell ref="I37:L37"/>
    <mergeCell ref="F42:G42"/>
    <mergeCell ref="C43:E43"/>
    <mergeCell ref="F43:G43"/>
    <mergeCell ref="C42:E42"/>
    <mergeCell ref="F44:G44"/>
    <mergeCell ref="C46:E46"/>
    <mergeCell ref="F46:G46"/>
    <mergeCell ref="F45:G45"/>
    <mergeCell ref="C44:E44"/>
    <mergeCell ref="C45:E45"/>
    <mergeCell ref="Q54:R54"/>
    <mergeCell ref="I46:K46"/>
    <mergeCell ref="C49:E49"/>
    <mergeCell ref="F49:G49"/>
    <mergeCell ref="D56:H56"/>
    <mergeCell ref="J56:N56"/>
    <mergeCell ref="Q55:R55"/>
    <mergeCell ref="Q56:R56"/>
    <mergeCell ref="C47:E47"/>
    <mergeCell ref="F47:G47"/>
    <mergeCell ref="C48:E48"/>
    <mergeCell ref="F48:G48"/>
    <mergeCell ref="P50:R50"/>
    <mergeCell ref="Q51:R51"/>
    <mergeCell ref="Q52:R52"/>
    <mergeCell ref="Q53:R53"/>
  </mergeCells>
  <pageMargins left="0.25" right="0.25" top="0.75" bottom="0.75" header="0.3" footer="0.3"/>
  <pageSetup paperSize="9" scale="76" orientation="landscape" horizontalDpi="300" verticalDpi="300" r:id="rId1"/>
  <drawing r:id="rId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Hoja15">
    <pageSetUpPr fitToPage="1"/>
  </sheetPr>
  <dimension ref="C1:W57"/>
  <sheetViews>
    <sheetView topLeftCell="A2" zoomScale="90" zoomScaleNormal="90" workbookViewId="0">
      <selection activeCell="M50" sqref="M50"/>
    </sheetView>
  </sheetViews>
  <sheetFormatPr baseColWidth="10" defaultColWidth="9.140625" defaultRowHeight="12" x14ac:dyDescent="0.2"/>
  <cols>
    <col min="1" max="1" width="2.140625" style="14" customWidth="1"/>
    <col min="2" max="2" width="4.5703125" style="14" customWidth="1"/>
    <col min="3" max="3" width="11.85546875" style="14" customWidth="1"/>
    <col min="4" max="4" width="11.42578125" style="14" customWidth="1"/>
    <col min="5" max="5" width="7.85546875" style="14" customWidth="1"/>
    <col min="6" max="6" width="12.140625" style="14" customWidth="1"/>
    <col min="7" max="7" width="3" style="14" bestFit="1" customWidth="1"/>
    <col min="8" max="8" width="10.28515625" style="14" customWidth="1"/>
    <col min="9" max="9" width="12.28515625" style="14" customWidth="1"/>
    <col min="10" max="10" width="10" style="14" customWidth="1"/>
    <col min="11" max="11" width="10.42578125" style="14" customWidth="1"/>
    <col min="12" max="12" width="12.140625" style="14" customWidth="1"/>
    <col min="13" max="13" width="14" style="14" customWidth="1"/>
    <col min="14" max="14" width="9.28515625" style="14" customWidth="1"/>
    <col min="15" max="15" width="10.28515625" style="14" customWidth="1"/>
    <col min="16" max="16" width="13.42578125" style="14" customWidth="1"/>
    <col min="17" max="17" width="10.85546875" style="14" customWidth="1"/>
    <col min="18" max="18" width="10" style="14" customWidth="1"/>
    <col min="19" max="19" width="9.42578125" style="14" customWidth="1"/>
    <col min="20" max="20" width="11.5703125" style="14" customWidth="1"/>
    <col min="21" max="21" width="10.28515625" style="14" customWidth="1"/>
    <col min="22" max="22" width="7" style="14" customWidth="1"/>
    <col min="23" max="23" width="12.42578125" style="14" customWidth="1"/>
    <col min="24" max="259" width="9.140625" style="14"/>
    <col min="260" max="260" width="5.7109375" style="14" customWidth="1"/>
    <col min="261" max="261" width="13.140625" style="14" customWidth="1"/>
    <col min="262" max="262" width="12.28515625" style="14" customWidth="1"/>
    <col min="263" max="263" width="8.85546875" style="14" customWidth="1"/>
    <col min="264" max="264" width="10.85546875" style="14" customWidth="1"/>
    <col min="265" max="265" width="2.85546875" style="14" customWidth="1"/>
    <col min="266" max="266" width="12.140625" style="14" customWidth="1"/>
    <col min="267" max="267" width="10.140625" style="14" customWidth="1"/>
    <col min="268" max="268" width="11.7109375" style="14" customWidth="1"/>
    <col min="269" max="269" width="11.42578125" style="14" customWidth="1"/>
    <col min="270" max="270" width="12.7109375" style="14" customWidth="1"/>
    <col min="271" max="271" width="11.42578125" style="14" customWidth="1"/>
    <col min="272" max="272" width="10.7109375" style="14" customWidth="1"/>
    <col min="273" max="273" width="10.5703125" style="14" customWidth="1"/>
    <col min="274" max="274" width="11.28515625" style="14" customWidth="1"/>
    <col min="275" max="275" width="9.7109375" style="14" customWidth="1"/>
    <col min="276" max="276" width="12" style="14" customWidth="1"/>
    <col min="277" max="277" width="11.28515625" style="14" customWidth="1"/>
    <col min="278" max="515" width="9.140625" style="14"/>
    <col min="516" max="516" width="5.7109375" style="14" customWidth="1"/>
    <col min="517" max="517" width="13.140625" style="14" customWidth="1"/>
    <col min="518" max="518" width="12.28515625" style="14" customWidth="1"/>
    <col min="519" max="519" width="8.85546875" style="14" customWidth="1"/>
    <col min="520" max="520" width="10.85546875" style="14" customWidth="1"/>
    <col min="521" max="521" width="2.85546875" style="14" customWidth="1"/>
    <col min="522" max="522" width="12.140625" style="14" customWidth="1"/>
    <col min="523" max="523" width="10.140625" style="14" customWidth="1"/>
    <col min="524" max="524" width="11.7109375" style="14" customWidth="1"/>
    <col min="525" max="525" width="11.42578125" style="14" customWidth="1"/>
    <col min="526" max="526" width="12.7109375" style="14" customWidth="1"/>
    <col min="527" max="527" width="11.42578125" style="14" customWidth="1"/>
    <col min="528" max="528" width="10.7109375" style="14" customWidth="1"/>
    <col min="529" max="529" width="10.5703125" style="14" customWidth="1"/>
    <col min="530" max="530" width="11.28515625" style="14" customWidth="1"/>
    <col min="531" max="531" width="9.7109375" style="14" customWidth="1"/>
    <col min="532" max="532" width="12" style="14" customWidth="1"/>
    <col min="533" max="533" width="11.28515625" style="14" customWidth="1"/>
    <col min="534" max="771" width="9.140625" style="14"/>
    <col min="772" max="772" width="5.7109375" style="14" customWidth="1"/>
    <col min="773" max="773" width="13.140625" style="14" customWidth="1"/>
    <col min="774" max="774" width="12.28515625" style="14" customWidth="1"/>
    <col min="775" max="775" width="8.85546875" style="14" customWidth="1"/>
    <col min="776" max="776" width="10.85546875" style="14" customWidth="1"/>
    <col min="777" max="777" width="2.85546875" style="14" customWidth="1"/>
    <col min="778" max="778" width="12.140625" style="14" customWidth="1"/>
    <col min="779" max="779" width="10.140625" style="14" customWidth="1"/>
    <col min="780" max="780" width="11.7109375" style="14" customWidth="1"/>
    <col min="781" max="781" width="11.42578125" style="14" customWidth="1"/>
    <col min="782" max="782" width="12.7109375" style="14" customWidth="1"/>
    <col min="783" max="783" width="11.42578125" style="14" customWidth="1"/>
    <col min="784" max="784" width="10.7109375" style="14" customWidth="1"/>
    <col min="785" max="785" width="10.5703125" style="14" customWidth="1"/>
    <col min="786" max="786" width="11.28515625" style="14" customWidth="1"/>
    <col min="787" max="787" width="9.7109375" style="14" customWidth="1"/>
    <col min="788" max="788" width="12" style="14" customWidth="1"/>
    <col min="789" max="789" width="11.28515625" style="14" customWidth="1"/>
    <col min="790" max="1027" width="9.140625" style="14"/>
    <col min="1028" max="1028" width="5.7109375" style="14" customWidth="1"/>
    <col min="1029" max="1029" width="13.140625" style="14" customWidth="1"/>
    <col min="1030" max="1030" width="12.28515625" style="14" customWidth="1"/>
    <col min="1031" max="1031" width="8.85546875" style="14" customWidth="1"/>
    <col min="1032" max="1032" width="10.85546875" style="14" customWidth="1"/>
    <col min="1033" max="1033" width="2.85546875" style="14" customWidth="1"/>
    <col min="1034" max="1034" width="12.140625" style="14" customWidth="1"/>
    <col min="1035" max="1035" width="10.140625" style="14" customWidth="1"/>
    <col min="1036" max="1036" width="11.7109375" style="14" customWidth="1"/>
    <col min="1037" max="1037" width="11.42578125" style="14" customWidth="1"/>
    <col min="1038" max="1038" width="12.7109375" style="14" customWidth="1"/>
    <col min="1039" max="1039" width="11.42578125" style="14" customWidth="1"/>
    <col min="1040" max="1040" width="10.7109375" style="14" customWidth="1"/>
    <col min="1041" max="1041" width="10.5703125" style="14" customWidth="1"/>
    <col min="1042" max="1042" width="11.28515625" style="14" customWidth="1"/>
    <col min="1043" max="1043" width="9.7109375" style="14" customWidth="1"/>
    <col min="1044" max="1044" width="12" style="14" customWidth="1"/>
    <col min="1045" max="1045" width="11.28515625" style="14" customWidth="1"/>
    <col min="1046" max="1283" width="9.140625" style="14"/>
    <col min="1284" max="1284" width="5.7109375" style="14" customWidth="1"/>
    <col min="1285" max="1285" width="13.140625" style="14" customWidth="1"/>
    <col min="1286" max="1286" width="12.28515625" style="14" customWidth="1"/>
    <col min="1287" max="1287" width="8.85546875" style="14" customWidth="1"/>
    <col min="1288" max="1288" width="10.85546875" style="14" customWidth="1"/>
    <col min="1289" max="1289" width="2.85546875" style="14" customWidth="1"/>
    <col min="1290" max="1290" width="12.140625" style="14" customWidth="1"/>
    <col min="1291" max="1291" width="10.140625" style="14" customWidth="1"/>
    <col min="1292" max="1292" width="11.7109375" style="14" customWidth="1"/>
    <col min="1293" max="1293" width="11.42578125" style="14" customWidth="1"/>
    <col min="1294" max="1294" width="12.7109375" style="14" customWidth="1"/>
    <col min="1295" max="1295" width="11.42578125" style="14" customWidth="1"/>
    <col min="1296" max="1296" width="10.7109375" style="14" customWidth="1"/>
    <col min="1297" max="1297" width="10.5703125" style="14" customWidth="1"/>
    <col min="1298" max="1298" width="11.28515625" style="14" customWidth="1"/>
    <col min="1299" max="1299" width="9.7109375" style="14" customWidth="1"/>
    <col min="1300" max="1300" width="12" style="14" customWidth="1"/>
    <col min="1301" max="1301" width="11.28515625" style="14" customWidth="1"/>
    <col min="1302" max="1539" width="9.140625" style="14"/>
    <col min="1540" max="1540" width="5.7109375" style="14" customWidth="1"/>
    <col min="1541" max="1541" width="13.140625" style="14" customWidth="1"/>
    <col min="1542" max="1542" width="12.28515625" style="14" customWidth="1"/>
    <col min="1543" max="1543" width="8.85546875" style="14" customWidth="1"/>
    <col min="1544" max="1544" width="10.85546875" style="14" customWidth="1"/>
    <col min="1545" max="1545" width="2.85546875" style="14" customWidth="1"/>
    <col min="1546" max="1546" width="12.140625" style="14" customWidth="1"/>
    <col min="1547" max="1547" width="10.140625" style="14" customWidth="1"/>
    <col min="1548" max="1548" width="11.7109375" style="14" customWidth="1"/>
    <col min="1549" max="1549" width="11.42578125" style="14" customWidth="1"/>
    <col min="1550" max="1550" width="12.7109375" style="14" customWidth="1"/>
    <col min="1551" max="1551" width="11.42578125" style="14" customWidth="1"/>
    <col min="1552" max="1552" width="10.7109375" style="14" customWidth="1"/>
    <col min="1553" max="1553" width="10.5703125" style="14" customWidth="1"/>
    <col min="1554" max="1554" width="11.28515625" style="14" customWidth="1"/>
    <col min="1555" max="1555" width="9.7109375" style="14" customWidth="1"/>
    <col min="1556" max="1556" width="12" style="14" customWidth="1"/>
    <col min="1557" max="1557" width="11.28515625" style="14" customWidth="1"/>
    <col min="1558" max="1795" width="9.140625" style="14"/>
    <col min="1796" max="1796" width="5.7109375" style="14" customWidth="1"/>
    <col min="1797" max="1797" width="13.140625" style="14" customWidth="1"/>
    <col min="1798" max="1798" width="12.28515625" style="14" customWidth="1"/>
    <col min="1799" max="1799" width="8.85546875" style="14" customWidth="1"/>
    <col min="1800" max="1800" width="10.85546875" style="14" customWidth="1"/>
    <col min="1801" max="1801" width="2.85546875" style="14" customWidth="1"/>
    <col min="1802" max="1802" width="12.140625" style="14" customWidth="1"/>
    <col min="1803" max="1803" width="10.140625" style="14" customWidth="1"/>
    <col min="1804" max="1804" width="11.7109375" style="14" customWidth="1"/>
    <col min="1805" max="1805" width="11.42578125" style="14" customWidth="1"/>
    <col min="1806" max="1806" width="12.7109375" style="14" customWidth="1"/>
    <col min="1807" max="1807" width="11.42578125" style="14" customWidth="1"/>
    <col min="1808" max="1808" width="10.7109375" style="14" customWidth="1"/>
    <col min="1809" max="1809" width="10.5703125" style="14" customWidth="1"/>
    <col min="1810" max="1810" width="11.28515625" style="14" customWidth="1"/>
    <col min="1811" max="1811" width="9.7109375" style="14" customWidth="1"/>
    <col min="1812" max="1812" width="12" style="14" customWidth="1"/>
    <col min="1813" max="1813" width="11.28515625" style="14" customWidth="1"/>
    <col min="1814" max="2051" width="9.140625" style="14"/>
    <col min="2052" max="2052" width="5.7109375" style="14" customWidth="1"/>
    <col min="2053" max="2053" width="13.140625" style="14" customWidth="1"/>
    <col min="2054" max="2054" width="12.28515625" style="14" customWidth="1"/>
    <col min="2055" max="2055" width="8.85546875" style="14" customWidth="1"/>
    <col min="2056" max="2056" width="10.85546875" style="14" customWidth="1"/>
    <col min="2057" max="2057" width="2.85546875" style="14" customWidth="1"/>
    <col min="2058" max="2058" width="12.140625" style="14" customWidth="1"/>
    <col min="2059" max="2059" width="10.140625" style="14" customWidth="1"/>
    <col min="2060" max="2060" width="11.7109375" style="14" customWidth="1"/>
    <col min="2061" max="2061" width="11.42578125" style="14" customWidth="1"/>
    <col min="2062" max="2062" width="12.7109375" style="14" customWidth="1"/>
    <col min="2063" max="2063" width="11.42578125" style="14" customWidth="1"/>
    <col min="2064" max="2064" width="10.7109375" style="14" customWidth="1"/>
    <col min="2065" max="2065" width="10.5703125" style="14" customWidth="1"/>
    <col min="2066" max="2066" width="11.28515625" style="14" customWidth="1"/>
    <col min="2067" max="2067" width="9.7109375" style="14" customWidth="1"/>
    <col min="2068" max="2068" width="12" style="14" customWidth="1"/>
    <col min="2069" max="2069" width="11.28515625" style="14" customWidth="1"/>
    <col min="2070" max="2307" width="9.140625" style="14"/>
    <col min="2308" max="2308" width="5.7109375" style="14" customWidth="1"/>
    <col min="2309" max="2309" width="13.140625" style="14" customWidth="1"/>
    <col min="2310" max="2310" width="12.28515625" style="14" customWidth="1"/>
    <col min="2311" max="2311" width="8.85546875" style="14" customWidth="1"/>
    <col min="2312" max="2312" width="10.85546875" style="14" customWidth="1"/>
    <col min="2313" max="2313" width="2.85546875" style="14" customWidth="1"/>
    <col min="2314" max="2314" width="12.140625" style="14" customWidth="1"/>
    <col min="2315" max="2315" width="10.140625" style="14" customWidth="1"/>
    <col min="2316" max="2316" width="11.7109375" style="14" customWidth="1"/>
    <col min="2317" max="2317" width="11.42578125" style="14" customWidth="1"/>
    <col min="2318" max="2318" width="12.7109375" style="14" customWidth="1"/>
    <col min="2319" max="2319" width="11.42578125" style="14" customWidth="1"/>
    <col min="2320" max="2320" width="10.7109375" style="14" customWidth="1"/>
    <col min="2321" max="2321" width="10.5703125" style="14" customWidth="1"/>
    <col min="2322" max="2322" width="11.28515625" style="14" customWidth="1"/>
    <col min="2323" max="2323" width="9.7109375" style="14" customWidth="1"/>
    <col min="2324" max="2324" width="12" style="14" customWidth="1"/>
    <col min="2325" max="2325" width="11.28515625" style="14" customWidth="1"/>
    <col min="2326" max="2563" width="9.140625" style="14"/>
    <col min="2564" max="2564" width="5.7109375" style="14" customWidth="1"/>
    <col min="2565" max="2565" width="13.140625" style="14" customWidth="1"/>
    <col min="2566" max="2566" width="12.28515625" style="14" customWidth="1"/>
    <col min="2567" max="2567" width="8.85546875" style="14" customWidth="1"/>
    <col min="2568" max="2568" width="10.85546875" style="14" customWidth="1"/>
    <col min="2569" max="2569" width="2.85546875" style="14" customWidth="1"/>
    <col min="2570" max="2570" width="12.140625" style="14" customWidth="1"/>
    <col min="2571" max="2571" width="10.140625" style="14" customWidth="1"/>
    <col min="2572" max="2572" width="11.7109375" style="14" customWidth="1"/>
    <col min="2573" max="2573" width="11.42578125" style="14" customWidth="1"/>
    <col min="2574" max="2574" width="12.7109375" style="14" customWidth="1"/>
    <col min="2575" max="2575" width="11.42578125" style="14" customWidth="1"/>
    <col min="2576" max="2576" width="10.7109375" style="14" customWidth="1"/>
    <col min="2577" max="2577" width="10.5703125" style="14" customWidth="1"/>
    <col min="2578" max="2578" width="11.28515625" style="14" customWidth="1"/>
    <col min="2579" max="2579" width="9.7109375" style="14" customWidth="1"/>
    <col min="2580" max="2580" width="12" style="14" customWidth="1"/>
    <col min="2581" max="2581" width="11.28515625" style="14" customWidth="1"/>
    <col min="2582" max="2819" width="9.140625" style="14"/>
    <col min="2820" max="2820" width="5.7109375" style="14" customWidth="1"/>
    <col min="2821" max="2821" width="13.140625" style="14" customWidth="1"/>
    <col min="2822" max="2822" width="12.28515625" style="14" customWidth="1"/>
    <col min="2823" max="2823" width="8.85546875" style="14" customWidth="1"/>
    <col min="2824" max="2824" width="10.85546875" style="14" customWidth="1"/>
    <col min="2825" max="2825" width="2.85546875" style="14" customWidth="1"/>
    <col min="2826" max="2826" width="12.140625" style="14" customWidth="1"/>
    <col min="2827" max="2827" width="10.140625" style="14" customWidth="1"/>
    <col min="2828" max="2828" width="11.7109375" style="14" customWidth="1"/>
    <col min="2829" max="2829" width="11.42578125" style="14" customWidth="1"/>
    <col min="2830" max="2830" width="12.7109375" style="14" customWidth="1"/>
    <col min="2831" max="2831" width="11.42578125" style="14" customWidth="1"/>
    <col min="2832" max="2832" width="10.7109375" style="14" customWidth="1"/>
    <col min="2833" max="2833" width="10.5703125" style="14" customWidth="1"/>
    <col min="2834" max="2834" width="11.28515625" style="14" customWidth="1"/>
    <col min="2835" max="2835" width="9.7109375" style="14" customWidth="1"/>
    <col min="2836" max="2836" width="12" style="14" customWidth="1"/>
    <col min="2837" max="2837" width="11.28515625" style="14" customWidth="1"/>
    <col min="2838" max="3075" width="9.140625" style="14"/>
    <col min="3076" max="3076" width="5.7109375" style="14" customWidth="1"/>
    <col min="3077" max="3077" width="13.140625" style="14" customWidth="1"/>
    <col min="3078" max="3078" width="12.28515625" style="14" customWidth="1"/>
    <col min="3079" max="3079" width="8.85546875" style="14" customWidth="1"/>
    <col min="3080" max="3080" width="10.85546875" style="14" customWidth="1"/>
    <col min="3081" max="3081" width="2.85546875" style="14" customWidth="1"/>
    <col min="3082" max="3082" width="12.140625" style="14" customWidth="1"/>
    <col min="3083" max="3083" width="10.140625" style="14" customWidth="1"/>
    <col min="3084" max="3084" width="11.7109375" style="14" customWidth="1"/>
    <col min="3085" max="3085" width="11.42578125" style="14" customWidth="1"/>
    <col min="3086" max="3086" width="12.7109375" style="14" customWidth="1"/>
    <col min="3087" max="3087" width="11.42578125" style="14" customWidth="1"/>
    <col min="3088" max="3088" width="10.7109375" style="14" customWidth="1"/>
    <col min="3089" max="3089" width="10.5703125" style="14" customWidth="1"/>
    <col min="3090" max="3090" width="11.28515625" style="14" customWidth="1"/>
    <col min="3091" max="3091" width="9.7109375" style="14" customWidth="1"/>
    <col min="3092" max="3092" width="12" style="14" customWidth="1"/>
    <col min="3093" max="3093" width="11.28515625" style="14" customWidth="1"/>
    <col min="3094" max="3331" width="9.140625" style="14"/>
    <col min="3332" max="3332" width="5.7109375" style="14" customWidth="1"/>
    <col min="3333" max="3333" width="13.140625" style="14" customWidth="1"/>
    <col min="3334" max="3334" width="12.28515625" style="14" customWidth="1"/>
    <col min="3335" max="3335" width="8.85546875" style="14" customWidth="1"/>
    <col min="3336" max="3336" width="10.85546875" style="14" customWidth="1"/>
    <col min="3337" max="3337" width="2.85546875" style="14" customWidth="1"/>
    <col min="3338" max="3338" width="12.140625" style="14" customWidth="1"/>
    <col min="3339" max="3339" width="10.140625" style="14" customWidth="1"/>
    <col min="3340" max="3340" width="11.7109375" style="14" customWidth="1"/>
    <col min="3341" max="3341" width="11.42578125" style="14" customWidth="1"/>
    <col min="3342" max="3342" width="12.7109375" style="14" customWidth="1"/>
    <col min="3343" max="3343" width="11.42578125" style="14" customWidth="1"/>
    <col min="3344" max="3344" width="10.7109375" style="14" customWidth="1"/>
    <col min="3345" max="3345" width="10.5703125" style="14" customWidth="1"/>
    <col min="3346" max="3346" width="11.28515625" style="14" customWidth="1"/>
    <col min="3347" max="3347" width="9.7109375" style="14" customWidth="1"/>
    <col min="3348" max="3348" width="12" style="14" customWidth="1"/>
    <col min="3349" max="3349" width="11.28515625" style="14" customWidth="1"/>
    <col min="3350" max="3587" width="9.140625" style="14"/>
    <col min="3588" max="3588" width="5.7109375" style="14" customWidth="1"/>
    <col min="3589" max="3589" width="13.140625" style="14" customWidth="1"/>
    <col min="3590" max="3590" width="12.28515625" style="14" customWidth="1"/>
    <col min="3591" max="3591" width="8.85546875" style="14" customWidth="1"/>
    <col min="3592" max="3592" width="10.85546875" style="14" customWidth="1"/>
    <col min="3593" max="3593" width="2.85546875" style="14" customWidth="1"/>
    <col min="3594" max="3594" width="12.140625" style="14" customWidth="1"/>
    <col min="3595" max="3595" width="10.140625" style="14" customWidth="1"/>
    <col min="3596" max="3596" width="11.7109375" style="14" customWidth="1"/>
    <col min="3597" max="3597" width="11.42578125" style="14" customWidth="1"/>
    <col min="3598" max="3598" width="12.7109375" style="14" customWidth="1"/>
    <col min="3599" max="3599" width="11.42578125" style="14" customWidth="1"/>
    <col min="3600" max="3600" width="10.7109375" style="14" customWidth="1"/>
    <col min="3601" max="3601" width="10.5703125" style="14" customWidth="1"/>
    <col min="3602" max="3602" width="11.28515625" style="14" customWidth="1"/>
    <col min="3603" max="3603" width="9.7109375" style="14" customWidth="1"/>
    <col min="3604" max="3604" width="12" style="14" customWidth="1"/>
    <col min="3605" max="3605" width="11.28515625" style="14" customWidth="1"/>
    <col min="3606" max="3843" width="9.140625" style="14"/>
    <col min="3844" max="3844" width="5.7109375" style="14" customWidth="1"/>
    <col min="3845" max="3845" width="13.140625" style="14" customWidth="1"/>
    <col min="3846" max="3846" width="12.28515625" style="14" customWidth="1"/>
    <col min="3847" max="3847" width="8.85546875" style="14" customWidth="1"/>
    <col min="3848" max="3848" width="10.85546875" style="14" customWidth="1"/>
    <col min="3849" max="3849" width="2.85546875" style="14" customWidth="1"/>
    <col min="3850" max="3850" width="12.140625" style="14" customWidth="1"/>
    <col min="3851" max="3851" width="10.140625" style="14" customWidth="1"/>
    <col min="3852" max="3852" width="11.7109375" style="14" customWidth="1"/>
    <col min="3853" max="3853" width="11.42578125" style="14" customWidth="1"/>
    <col min="3854" max="3854" width="12.7109375" style="14" customWidth="1"/>
    <col min="3855" max="3855" width="11.42578125" style="14" customWidth="1"/>
    <col min="3856" max="3856" width="10.7109375" style="14" customWidth="1"/>
    <col min="3857" max="3857" width="10.5703125" style="14" customWidth="1"/>
    <col min="3858" max="3858" width="11.28515625" style="14" customWidth="1"/>
    <col min="3859" max="3859" width="9.7109375" style="14" customWidth="1"/>
    <col min="3860" max="3860" width="12" style="14" customWidth="1"/>
    <col min="3861" max="3861" width="11.28515625" style="14" customWidth="1"/>
    <col min="3862" max="4099" width="9.140625" style="14"/>
    <col min="4100" max="4100" width="5.7109375" style="14" customWidth="1"/>
    <col min="4101" max="4101" width="13.140625" style="14" customWidth="1"/>
    <col min="4102" max="4102" width="12.28515625" style="14" customWidth="1"/>
    <col min="4103" max="4103" width="8.85546875" style="14" customWidth="1"/>
    <col min="4104" max="4104" width="10.85546875" style="14" customWidth="1"/>
    <col min="4105" max="4105" width="2.85546875" style="14" customWidth="1"/>
    <col min="4106" max="4106" width="12.140625" style="14" customWidth="1"/>
    <col min="4107" max="4107" width="10.140625" style="14" customWidth="1"/>
    <col min="4108" max="4108" width="11.7109375" style="14" customWidth="1"/>
    <col min="4109" max="4109" width="11.42578125" style="14" customWidth="1"/>
    <col min="4110" max="4110" width="12.7109375" style="14" customWidth="1"/>
    <col min="4111" max="4111" width="11.42578125" style="14" customWidth="1"/>
    <col min="4112" max="4112" width="10.7109375" style="14" customWidth="1"/>
    <col min="4113" max="4113" width="10.5703125" style="14" customWidth="1"/>
    <col min="4114" max="4114" width="11.28515625" style="14" customWidth="1"/>
    <col min="4115" max="4115" width="9.7109375" style="14" customWidth="1"/>
    <col min="4116" max="4116" width="12" style="14" customWidth="1"/>
    <col min="4117" max="4117" width="11.28515625" style="14" customWidth="1"/>
    <col min="4118" max="4355" width="9.140625" style="14"/>
    <col min="4356" max="4356" width="5.7109375" style="14" customWidth="1"/>
    <col min="4357" max="4357" width="13.140625" style="14" customWidth="1"/>
    <col min="4358" max="4358" width="12.28515625" style="14" customWidth="1"/>
    <col min="4359" max="4359" width="8.85546875" style="14" customWidth="1"/>
    <col min="4360" max="4360" width="10.85546875" style="14" customWidth="1"/>
    <col min="4361" max="4361" width="2.85546875" style="14" customWidth="1"/>
    <col min="4362" max="4362" width="12.140625" style="14" customWidth="1"/>
    <col min="4363" max="4363" width="10.140625" style="14" customWidth="1"/>
    <col min="4364" max="4364" width="11.7109375" style="14" customWidth="1"/>
    <col min="4365" max="4365" width="11.42578125" style="14" customWidth="1"/>
    <col min="4366" max="4366" width="12.7109375" style="14" customWidth="1"/>
    <col min="4367" max="4367" width="11.42578125" style="14" customWidth="1"/>
    <col min="4368" max="4368" width="10.7109375" style="14" customWidth="1"/>
    <col min="4369" max="4369" width="10.5703125" style="14" customWidth="1"/>
    <col min="4370" max="4370" width="11.28515625" style="14" customWidth="1"/>
    <col min="4371" max="4371" width="9.7109375" style="14" customWidth="1"/>
    <col min="4372" max="4372" width="12" style="14" customWidth="1"/>
    <col min="4373" max="4373" width="11.28515625" style="14" customWidth="1"/>
    <col min="4374" max="4611" width="9.140625" style="14"/>
    <col min="4612" max="4612" width="5.7109375" style="14" customWidth="1"/>
    <col min="4613" max="4613" width="13.140625" style="14" customWidth="1"/>
    <col min="4614" max="4614" width="12.28515625" style="14" customWidth="1"/>
    <col min="4615" max="4615" width="8.85546875" style="14" customWidth="1"/>
    <col min="4616" max="4616" width="10.85546875" style="14" customWidth="1"/>
    <col min="4617" max="4617" width="2.85546875" style="14" customWidth="1"/>
    <col min="4618" max="4618" width="12.140625" style="14" customWidth="1"/>
    <col min="4619" max="4619" width="10.140625" style="14" customWidth="1"/>
    <col min="4620" max="4620" width="11.7109375" style="14" customWidth="1"/>
    <col min="4621" max="4621" width="11.42578125" style="14" customWidth="1"/>
    <col min="4622" max="4622" width="12.7109375" style="14" customWidth="1"/>
    <col min="4623" max="4623" width="11.42578125" style="14" customWidth="1"/>
    <col min="4624" max="4624" width="10.7109375" style="14" customWidth="1"/>
    <col min="4625" max="4625" width="10.5703125" style="14" customWidth="1"/>
    <col min="4626" max="4626" width="11.28515625" style="14" customWidth="1"/>
    <col min="4627" max="4627" width="9.7109375" style="14" customWidth="1"/>
    <col min="4628" max="4628" width="12" style="14" customWidth="1"/>
    <col min="4629" max="4629" width="11.28515625" style="14" customWidth="1"/>
    <col min="4630" max="4867" width="9.140625" style="14"/>
    <col min="4868" max="4868" width="5.7109375" style="14" customWidth="1"/>
    <col min="4869" max="4869" width="13.140625" style="14" customWidth="1"/>
    <col min="4870" max="4870" width="12.28515625" style="14" customWidth="1"/>
    <col min="4871" max="4871" width="8.85546875" style="14" customWidth="1"/>
    <col min="4872" max="4872" width="10.85546875" style="14" customWidth="1"/>
    <col min="4873" max="4873" width="2.85546875" style="14" customWidth="1"/>
    <col min="4874" max="4874" width="12.140625" style="14" customWidth="1"/>
    <col min="4875" max="4875" width="10.140625" style="14" customWidth="1"/>
    <col min="4876" max="4876" width="11.7109375" style="14" customWidth="1"/>
    <col min="4877" max="4877" width="11.42578125" style="14" customWidth="1"/>
    <col min="4878" max="4878" width="12.7109375" style="14" customWidth="1"/>
    <col min="4879" max="4879" width="11.42578125" style="14" customWidth="1"/>
    <col min="4880" max="4880" width="10.7109375" style="14" customWidth="1"/>
    <col min="4881" max="4881" width="10.5703125" style="14" customWidth="1"/>
    <col min="4882" max="4882" width="11.28515625" style="14" customWidth="1"/>
    <col min="4883" max="4883" width="9.7109375" style="14" customWidth="1"/>
    <col min="4884" max="4884" width="12" style="14" customWidth="1"/>
    <col min="4885" max="4885" width="11.28515625" style="14" customWidth="1"/>
    <col min="4886" max="5123" width="9.140625" style="14"/>
    <col min="5124" max="5124" width="5.7109375" style="14" customWidth="1"/>
    <col min="5125" max="5125" width="13.140625" style="14" customWidth="1"/>
    <col min="5126" max="5126" width="12.28515625" style="14" customWidth="1"/>
    <col min="5127" max="5127" width="8.85546875" style="14" customWidth="1"/>
    <col min="5128" max="5128" width="10.85546875" style="14" customWidth="1"/>
    <col min="5129" max="5129" width="2.85546875" style="14" customWidth="1"/>
    <col min="5130" max="5130" width="12.140625" style="14" customWidth="1"/>
    <col min="5131" max="5131" width="10.140625" style="14" customWidth="1"/>
    <col min="5132" max="5132" width="11.7109375" style="14" customWidth="1"/>
    <col min="5133" max="5133" width="11.42578125" style="14" customWidth="1"/>
    <col min="5134" max="5134" width="12.7109375" style="14" customWidth="1"/>
    <col min="5135" max="5135" width="11.42578125" style="14" customWidth="1"/>
    <col min="5136" max="5136" width="10.7109375" style="14" customWidth="1"/>
    <col min="5137" max="5137" width="10.5703125" style="14" customWidth="1"/>
    <col min="5138" max="5138" width="11.28515625" style="14" customWidth="1"/>
    <col min="5139" max="5139" width="9.7109375" style="14" customWidth="1"/>
    <col min="5140" max="5140" width="12" style="14" customWidth="1"/>
    <col min="5141" max="5141" width="11.28515625" style="14" customWidth="1"/>
    <col min="5142" max="5379" width="9.140625" style="14"/>
    <col min="5380" max="5380" width="5.7109375" style="14" customWidth="1"/>
    <col min="5381" max="5381" width="13.140625" style="14" customWidth="1"/>
    <col min="5382" max="5382" width="12.28515625" style="14" customWidth="1"/>
    <col min="5383" max="5383" width="8.85546875" style="14" customWidth="1"/>
    <col min="5384" max="5384" width="10.85546875" style="14" customWidth="1"/>
    <col min="5385" max="5385" width="2.85546875" style="14" customWidth="1"/>
    <col min="5386" max="5386" width="12.140625" style="14" customWidth="1"/>
    <col min="5387" max="5387" width="10.140625" style="14" customWidth="1"/>
    <col min="5388" max="5388" width="11.7109375" style="14" customWidth="1"/>
    <col min="5389" max="5389" width="11.42578125" style="14" customWidth="1"/>
    <col min="5390" max="5390" width="12.7109375" style="14" customWidth="1"/>
    <col min="5391" max="5391" width="11.42578125" style="14" customWidth="1"/>
    <col min="5392" max="5392" width="10.7109375" style="14" customWidth="1"/>
    <col min="5393" max="5393" width="10.5703125" style="14" customWidth="1"/>
    <col min="5394" max="5394" width="11.28515625" style="14" customWidth="1"/>
    <col min="5395" max="5395" width="9.7109375" style="14" customWidth="1"/>
    <col min="5396" max="5396" width="12" style="14" customWidth="1"/>
    <col min="5397" max="5397" width="11.28515625" style="14" customWidth="1"/>
    <col min="5398" max="5635" width="9.140625" style="14"/>
    <col min="5636" max="5636" width="5.7109375" style="14" customWidth="1"/>
    <col min="5637" max="5637" width="13.140625" style="14" customWidth="1"/>
    <col min="5638" max="5638" width="12.28515625" style="14" customWidth="1"/>
    <col min="5639" max="5639" width="8.85546875" style="14" customWidth="1"/>
    <col min="5640" max="5640" width="10.85546875" style="14" customWidth="1"/>
    <col min="5641" max="5641" width="2.85546875" style="14" customWidth="1"/>
    <col min="5642" max="5642" width="12.140625" style="14" customWidth="1"/>
    <col min="5643" max="5643" width="10.140625" style="14" customWidth="1"/>
    <col min="5644" max="5644" width="11.7109375" style="14" customWidth="1"/>
    <col min="5645" max="5645" width="11.42578125" style="14" customWidth="1"/>
    <col min="5646" max="5646" width="12.7109375" style="14" customWidth="1"/>
    <col min="5647" max="5647" width="11.42578125" style="14" customWidth="1"/>
    <col min="5648" max="5648" width="10.7109375" style="14" customWidth="1"/>
    <col min="5649" max="5649" width="10.5703125" style="14" customWidth="1"/>
    <col min="5650" max="5650" width="11.28515625" style="14" customWidth="1"/>
    <col min="5651" max="5651" width="9.7109375" style="14" customWidth="1"/>
    <col min="5652" max="5652" width="12" style="14" customWidth="1"/>
    <col min="5653" max="5653" width="11.28515625" style="14" customWidth="1"/>
    <col min="5654" max="5891" width="9.140625" style="14"/>
    <col min="5892" max="5892" width="5.7109375" style="14" customWidth="1"/>
    <col min="5893" max="5893" width="13.140625" style="14" customWidth="1"/>
    <col min="5894" max="5894" width="12.28515625" style="14" customWidth="1"/>
    <col min="5895" max="5895" width="8.85546875" style="14" customWidth="1"/>
    <col min="5896" max="5896" width="10.85546875" style="14" customWidth="1"/>
    <col min="5897" max="5897" width="2.85546875" style="14" customWidth="1"/>
    <col min="5898" max="5898" width="12.140625" style="14" customWidth="1"/>
    <col min="5899" max="5899" width="10.140625" style="14" customWidth="1"/>
    <col min="5900" max="5900" width="11.7109375" style="14" customWidth="1"/>
    <col min="5901" max="5901" width="11.42578125" style="14" customWidth="1"/>
    <col min="5902" max="5902" width="12.7109375" style="14" customWidth="1"/>
    <col min="5903" max="5903" width="11.42578125" style="14" customWidth="1"/>
    <col min="5904" max="5904" width="10.7109375" style="14" customWidth="1"/>
    <col min="5905" max="5905" width="10.5703125" style="14" customWidth="1"/>
    <col min="5906" max="5906" width="11.28515625" style="14" customWidth="1"/>
    <col min="5907" max="5907" width="9.7109375" style="14" customWidth="1"/>
    <col min="5908" max="5908" width="12" style="14" customWidth="1"/>
    <col min="5909" max="5909" width="11.28515625" style="14" customWidth="1"/>
    <col min="5910" max="6147" width="9.140625" style="14"/>
    <col min="6148" max="6148" width="5.7109375" style="14" customWidth="1"/>
    <col min="6149" max="6149" width="13.140625" style="14" customWidth="1"/>
    <col min="6150" max="6150" width="12.28515625" style="14" customWidth="1"/>
    <col min="6151" max="6151" width="8.85546875" style="14" customWidth="1"/>
    <col min="6152" max="6152" width="10.85546875" style="14" customWidth="1"/>
    <col min="6153" max="6153" width="2.85546875" style="14" customWidth="1"/>
    <col min="6154" max="6154" width="12.140625" style="14" customWidth="1"/>
    <col min="6155" max="6155" width="10.140625" style="14" customWidth="1"/>
    <col min="6156" max="6156" width="11.7109375" style="14" customWidth="1"/>
    <col min="6157" max="6157" width="11.42578125" style="14" customWidth="1"/>
    <col min="6158" max="6158" width="12.7109375" style="14" customWidth="1"/>
    <col min="6159" max="6159" width="11.42578125" style="14" customWidth="1"/>
    <col min="6160" max="6160" width="10.7109375" style="14" customWidth="1"/>
    <col min="6161" max="6161" width="10.5703125" style="14" customWidth="1"/>
    <col min="6162" max="6162" width="11.28515625" style="14" customWidth="1"/>
    <col min="6163" max="6163" width="9.7109375" style="14" customWidth="1"/>
    <col min="6164" max="6164" width="12" style="14" customWidth="1"/>
    <col min="6165" max="6165" width="11.28515625" style="14" customWidth="1"/>
    <col min="6166" max="6403" width="9.140625" style="14"/>
    <col min="6404" max="6404" width="5.7109375" style="14" customWidth="1"/>
    <col min="6405" max="6405" width="13.140625" style="14" customWidth="1"/>
    <col min="6406" max="6406" width="12.28515625" style="14" customWidth="1"/>
    <col min="6407" max="6407" width="8.85546875" style="14" customWidth="1"/>
    <col min="6408" max="6408" width="10.85546875" style="14" customWidth="1"/>
    <col min="6409" max="6409" width="2.85546875" style="14" customWidth="1"/>
    <col min="6410" max="6410" width="12.140625" style="14" customWidth="1"/>
    <col min="6411" max="6411" width="10.140625" style="14" customWidth="1"/>
    <col min="6412" max="6412" width="11.7109375" style="14" customWidth="1"/>
    <col min="6413" max="6413" width="11.42578125" style="14" customWidth="1"/>
    <col min="6414" max="6414" width="12.7109375" style="14" customWidth="1"/>
    <col min="6415" max="6415" width="11.42578125" style="14" customWidth="1"/>
    <col min="6416" max="6416" width="10.7109375" style="14" customWidth="1"/>
    <col min="6417" max="6417" width="10.5703125" style="14" customWidth="1"/>
    <col min="6418" max="6418" width="11.28515625" style="14" customWidth="1"/>
    <col min="6419" max="6419" width="9.7109375" style="14" customWidth="1"/>
    <col min="6420" max="6420" width="12" style="14" customWidth="1"/>
    <col min="6421" max="6421" width="11.28515625" style="14" customWidth="1"/>
    <col min="6422" max="6659" width="9.140625" style="14"/>
    <col min="6660" max="6660" width="5.7109375" style="14" customWidth="1"/>
    <col min="6661" max="6661" width="13.140625" style="14" customWidth="1"/>
    <col min="6662" max="6662" width="12.28515625" style="14" customWidth="1"/>
    <col min="6663" max="6663" width="8.85546875" style="14" customWidth="1"/>
    <col min="6664" max="6664" width="10.85546875" style="14" customWidth="1"/>
    <col min="6665" max="6665" width="2.85546875" style="14" customWidth="1"/>
    <col min="6666" max="6666" width="12.140625" style="14" customWidth="1"/>
    <col min="6667" max="6667" width="10.140625" style="14" customWidth="1"/>
    <col min="6668" max="6668" width="11.7109375" style="14" customWidth="1"/>
    <col min="6669" max="6669" width="11.42578125" style="14" customWidth="1"/>
    <col min="6670" max="6670" width="12.7109375" style="14" customWidth="1"/>
    <col min="6671" max="6671" width="11.42578125" style="14" customWidth="1"/>
    <col min="6672" max="6672" width="10.7109375" style="14" customWidth="1"/>
    <col min="6673" max="6673" width="10.5703125" style="14" customWidth="1"/>
    <col min="6674" max="6674" width="11.28515625" style="14" customWidth="1"/>
    <col min="6675" max="6675" width="9.7109375" style="14" customWidth="1"/>
    <col min="6676" max="6676" width="12" style="14" customWidth="1"/>
    <col min="6677" max="6677" width="11.28515625" style="14" customWidth="1"/>
    <col min="6678" max="6915" width="9.140625" style="14"/>
    <col min="6916" max="6916" width="5.7109375" style="14" customWidth="1"/>
    <col min="6917" max="6917" width="13.140625" style="14" customWidth="1"/>
    <col min="6918" max="6918" width="12.28515625" style="14" customWidth="1"/>
    <col min="6919" max="6919" width="8.85546875" style="14" customWidth="1"/>
    <col min="6920" max="6920" width="10.85546875" style="14" customWidth="1"/>
    <col min="6921" max="6921" width="2.85546875" style="14" customWidth="1"/>
    <col min="6922" max="6922" width="12.140625" style="14" customWidth="1"/>
    <col min="6923" max="6923" width="10.140625" style="14" customWidth="1"/>
    <col min="6924" max="6924" width="11.7109375" style="14" customWidth="1"/>
    <col min="6925" max="6925" width="11.42578125" style="14" customWidth="1"/>
    <col min="6926" max="6926" width="12.7109375" style="14" customWidth="1"/>
    <col min="6927" max="6927" width="11.42578125" style="14" customWidth="1"/>
    <col min="6928" max="6928" width="10.7109375" style="14" customWidth="1"/>
    <col min="6929" max="6929" width="10.5703125" style="14" customWidth="1"/>
    <col min="6930" max="6930" width="11.28515625" style="14" customWidth="1"/>
    <col min="6931" max="6931" width="9.7109375" style="14" customWidth="1"/>
    <col min="6932" max="6932" width="12" style="14" customWidth="1"/>
    <col min="6933" max="6933" width="11.28515625" style="14" customWidth="1"/>
    <col min="6934" max="7171" width="9.140625" style="14"/>
    <col min="7172" max="7172" width="5.7109375" style="14" customWidth="1"/>
    <col min="7173" max="7173" width="13.140625" style="14" customWidth="1"/>
    <col min="7174" max="7174" width="12.28515625" style="14" customWidth="1"/>
    <col min="7175" max="7175" width="8.85546875" style="14" customWidth="1"/>
    <col min="7176" max="7176" width="10.85546875" style="14" customWidth="1"/>
    <col min="7177" max="7177" width="2.85546875" style="14" customWidth="1"/>
    <col min="7178" max="7178" width="12.140625" style="14" customWidth="1"/>
    <col min="7179" max="7179" width="10.140625" style="14" customWidth="1"/>
    <col min="7180" max="7180" width="11.7109375" style="14" customWidth="1"/>
    <col min="7181" max="7181" width="11.42578125" style="14" customWidth="1"/>
    <col min="7182" max="7182" width="12.7109375" style="14" customWidth="1"/>
    <col min="7183" max="7183" width="11.42578125" style="14" customWidth="1"/>
    <col min="7184" max="7184" width="10.7109375" style="14" customWidth="1"/>
    <col min="7185" max="7185" width="10.5703125" style="14" customWidth="1"/>
    <col min="7186" max="7186" width="11.28515625" style="14" customWidth="1"/>
    <col min="7187" max="7187" width="9.7109375" style="14" customWidth="1"/>
    <col min="7188" max="7188" width="12" style="14" customWidth="1"/>
    <col min="7189" max="7189" width="11.28515625" style="14" customWidth="1"/>
    <col min="7190" max="7427" width="9.140625" style="14"/>
    <col min="7428" max="7428" width="5.7109375" style="14" customWidth="1"/>
    <col min="7429" max="7429" width="13.140625" style="14" customWidth="1"/>
    <col min="7430" max="7430" width="12.28515625" style="14" customWidth="1"/>
    <col min="7431" max="7431" width="8.85546875" style="14" customWidth="1"/>
    <col min="7432" max="7432" width="10.85546875" style="14" customWidth="1"/>
    <col min="7433" max="7433" width="2.85546875" style="14" customWidth="1"/>
    <col min="7434" max="7434" width="12.140625" style="14" customWidth="1"/>
    <col min="7435" max="7435" width="10.140625" style="14" customWidth="1"/>
    <col min="7436" max="7436" width="11.7109375" style="14" customWidth="1"/>
    <col min="7437" max="7437" width="11.42578125" style="14" customWidth="1"/>
    <col min="7438" max="7438" width="12.7109375" style="14" customWidth="1"/>
    <col min="7439" max="7439" width="11.42578125" style="14" customWidth="1"/>
    <col min="7440" max="7440" width="10.7109375" style="14" customWidth="1"/>
    <col min="7441" max="7441" width="10.5703125" style="14" customWidth="1"/>
    <col min="7442" max="7442" width="11.28515625" style="14" customWidth="1"/>
    <col min="7443" max="7443" width="9.7109375" style="14" customWidth="1"/>
    <col min="7444" max="7444" width="12" style="14" customWidth="1"/>
    <col min="7445" max="7445" width="11.28515625" style="14" customWidth="1"/>
    <col min="7446" max="7683" width="9.140625" style="14"/>
    <col min="7684" max="7684" width="5.7109375" style="14" customWidth="1"/>
    <col min="7685" max="7685" width="13.140625" style="14" customWidth="1"/>
    <col min="7686" max="7686" width="12.28515625" style="14" customWidth="1"/>
    <col min="7687" max="7687" width="8.85546875" style="14" customWidth="1"/>
    <col min="7688" max="7688" width="10.85546875" style="14" customWidth="1"/>
    <col min="7689" max="7689" width="2.85546875" style="14" customWidth="1"/>
    <col min="7690" max="7690" width="12.140625" style="14" customWidth="1"/>
    <col min="7691" max="7691" width="10.140625" style="14" customWidth="1"/>
    <col min="7692" max="7692" width="11.7109375" style="14" customWidth="1"/>
    <col min="7693" max="7693" width="11.42578125" style="14" customWidth="1"/>
    <col min="7694" max="7694" width="12.7109375" style="14" customWidth="1"/>
    <col min="7695" max="7695" width="11.42578125" style="14" customWidth="1"/>
    <col min="7696" max="7696" width="10.7109375" style="14" customWidth="1"/>
    <col min="7697" max="7697" width="10.5703125" style="14" customWidth="1"/>
    <col min="7698" max="7698" width="11.28515625" style="14" customWidth="1"/>
    <col min="7699" max="7699" width="9.7109375" style="14" customWidth="1"/>
    <col min="7700" max="7700" width="12" style="14" customWidth="1"/>
    <col min="7701" max="7701" width="11.28515625" style="14" customWidth="1"/>
    <col min="7702" max="7939" width="9.140625" style="14"/>
    <col min="7940" max="7940" width="5.7109375" style="14" customWidth="1"/>
    <col min="7941" max="7941" width="13.140625" style="14" customWidth="1"/>
    <col min="7942" max="7942" width="12.28515625" style="14" customWidth="1"/>
    <col min="7943" max="7943" width="8.85546875" style="14" customWidth="1"/>
    <col min="7944" max="7944" width="10.85546875" style="14" customWidth="1"/>
    <col min="7945" max="7945" width="2.85546875" style="14" customWidth="1"/>
    <col min="7946" max="7946" width="12.140625" style="14" customWidth="1"/>
    <col min="7947" max="7947" width="10.140625" style="14" customWidth="1"/>
    <col min="7948" max="7948" width="11.7109375" style="14" customWidth="1"/>
    <col min="7949" max="7949" width="11.42578125" style="14" customWidth="1"/>
    <col min="7950" max="7950" width="12.7109375" style="14" customWidth="1"/>
    <col min="7951" max="7951" width="11.42578125" style="14" customWidth="1"/>
    <col min="7952" max="7952" width="10.7109375" style="14" customWidth="1"/>
    <col min="7953" max="7953" width="10.5703125" style="14" customWidth="1"/>
    <col min="7954" max="7954" width="11.28515625" style="14" customWidth="1"/>
    <col min="7955" max="7955" width="9.7109375" style="14" customWidth="1"/>
    <col min="7956" max="7956" width="12" style="14" customWidth="1"/>
    <col min="7957" max="7957" width="11.28515625" style="14" customWidth="1"/>
    <col min="7958" max="8195" width="9.140625" style="14"/>
    <col min="8196" max="8196" width="5.7109375" style="14" customWidth="1"/>
    <col min="8197" max="8197" width="13.140625" style="14" customWidth="1"/>
    <col min="8198" max="8198" width="12.28515625" style="14" customWidth="1"/>
    <col min="8199" max="8199" width="8.85546875" style="14" customWidth="1"/>
    <col min="8200" max="8200" width="10.85546875" style="14" customWidth="1"/>
    <col min="8201" max="8201" width="2.85546875" style="14" customWidth="1"/>
    <col min="8202" max="8202" width="12.140625" style="14" customWidth="1"/>
    <col min="8203" max="8203" width="10.140625" style="14" customWidth="1"/>
    <col min="8204" max="8204" width="11.7109375" style="14" customWidth="1"/>
    <col min="8205" max="8205" width="11.42578125" style="14" customWidth="1"/>
    <col min="8206" max="8206" width="12.7109375" style="14" customWidth="1"/>
    <col min="8207" max="8207" width="11.42578125" style="14" customWidth="1"/>
    <col min="8208" max="8208" width="10.7109375" style="14" customWidth="1"/>
    <col min="8209" max="8209" width="10.5703125" style="14" customWidth="1"/>
    <col min="8210" max="8210" width="11.28515625" style="14" customWidth="1"/>
    <col min="8211" max="8211" width="9.7109375" style="14" customWidth="1"/>
    <col min="8212" max="8212" width="12" style="14" customWidth="1"/>
    <col min="8213" max="8213" width="11.28515625" style="14" customWidth="1"/>
    <col min="8214" max="8451" width="9.140625" style="14"/>
    <col min="8452" max="8452" width="5.7109375" style="14" customWidth="1"/>
    <col min="8453" max="8453" width="13.140625" style="14" customWidth="1"/>
    <col min="8454" max="8454" width="12.28515625" style="14" customWidth="1"/>
    <col min="8455" max="8455" width="8.85546875" style="14" customWidth="1"/>
    <col min="8456" max="8456" width="10.85546875" style="14" customWidth="1"/>
    <col min="8457" max="8457" width="2.85546875" style="14" customWidth="1"/>
    <col min="8458" max="8458" width="12.140625" style="14" customWidth="1"/>
    <col min="8459" max="8459" width="10.140625" style="14" customWidth="1"/>
    <col min="8460" max="8460" width="11.7109375" style="14" customWidth="1"/>
    <col min="8461" max="8461" width="11.42578125" style="14" customWidth="1"/>
    <col min="8462" max="8462" width="12.7109375" style="14" customWidth="1"/>
    <col min="8463" max="8463" width="11.42578125" style="14" customWidth="1"/>
    <col min="8464" max="8464" width="10.7109375" style="14" customWidth="1"/>
    <col min="8465" max="8465" width="10.5703125" style="14" customWidth="1"/>
    <col min="8466" max="8466" width="11.28515625" style="14" customWidth="1"/>
    <col min="8467" max="8467" width="9.7109375" style="14" customWidth="1"/>
    <col min="8468" max="8468" width="12" style="14" customWidth="1"/>
    <col min="8469" max="8469" width="11.28515625" style="14" customWidth="1"/>
    <col min="8470" max="8707" width="9.140625" style="14"/>
    <col min="8708" max="8708" width="5.7109375" style="14" customWidth="1"/>
    <col min="8709" max="8709" width="13.140625" style="14" customWidth="1"/>
    <col min="8710" max="8710" width="12.28515625" style="14" customWidth="1"/>
    <col min="8711" max="8711" width="8.85546875" style="14" customWidth="1"/>
    <col min="8712" max="8712" width="10.85546875" style="14" customWidth="1"/>
    <col min="8713" max="8713" width="2.85546875" style="14" customWidth="1"/>
    <col min="8714" max="8714" width="12.140625" style="14" customWidth="1"/>
    <col min="8715" max="8715" width="10.140625" style="14" customWidth="1"/>
    <col min="8716" max="8716" width="11.7109375" style="14" customWidth="1"/>
    <col min="8717" max="8717" width="11.42578125" style="14" customWidth="1"/>
    <col min="8718" max="8718" width="12.7109375" style="14" customWidth="1"/>
    <col min="8719" max="8719" width="11.42578125" style="14" customWidth="1"/>
    <col min="8720" max="8720" width="10.7109375" style="14" customWidth="1"/>
    <col min="8721" max="8721" width="10.5703125" style="14" customWidth="1"/>
    <col min="8722" max="8722" width="11.28515625" style="14" customWidth="1"/>
    <col min="8723" max="8723" width="9.7109375" style="14" customWidth="1"/>
    <col min="8724" max="8724" width="12" style="14" customWidth="1"/>
    <col min="8725" max="8725" width="11.28515625" style="14" customWidth="1"/>
    <col min="8726" max="8963" width="9.140625" style="14"/>
    <col min="8964" max="8964" width="5.7109375" style="14" customWidth="1"/>
    <col min="8965" max="8965" width="13.140625" style="14" customWidth="1"/>
    <col min="8966" max="8966" width="12.28515625" style="14" customWidth="1"/>
    <col min="8967" max="8967" width="8.85546875" style="14" customWidth="1"/>
    <col min="8968" max="8968" width="10.85546875" style="14" customWidth="1"/>
    <col min="8969" max="8969" width="2.85546875" style="14" customWidth="1"/>
    <col min="8970" max="8970" width="12.140625" style="14" customWidth="1"/>
    <col min="8971" max="8971" width="10.140625" style="14" customWidth="1"/>
    <col min="8972" max="8972" width="11.7109375" style="14" customWidth="1"/>
    <col min="8973" max="8973" width="11.42578125" style="14" customWidth="1"/>
    <col min="8974" max="8974" width="12.7109375" style="14" customWidth="1"/>
    <col min="8975" max="8975" width="11.42578125" style="14" customWidth="1"/>
    <col min="8976" max="8976" width="10.7109375" style="14" customWidth="1"/>
    <col min="8977" max="8977" width="10.5703125" style="14" customWidth="1"/>
    <col min="8978" max="8978" width="11.28515625" style="14" customWidth="1"/>
    <col min="8979" max="8979" width="9.7109375" style="14" customWidth="1"/>
    <col min="8980" max="8980" width="12" style="14" customWidth="1"/>
    <col min="8981" max="8981" width="11.28515625" style="14" customWidth="1"/>
    <col min="8982" max="9219" width="9.140625" style="14"/>
    <col min="9220" max="9220" width="5.7109375" style="14" customWidth="1"/>
    <col min="9221" max="9221" width="13.140625" style="14" customWidth="1"/>
    <col min="9222" max="9222" width="12.28515625" style="14" customWidth="1"/>
    <col min="9223" max="9223" width="8.85546875" style="14" customWidth="1"/>
    <col min="9224" max="9224" width="10.85546875" style="14" customWidth="1"/>
    <col min="9225" max="9225" width="2.85546875" style="14" customWidth="1"/>
    <col min="9226" max="9226" width="12.140625" style="14" customWidth="1"/>
    <col min="9227" max="9227" width="10.140625" style="14" customWidth="1"/>
    <col min="9228" max="9228" width="11.7109375" style="14" customWidth="1"/>
    <col min="9229" max="9229" width="11.42578125" style="14" customWidth="1"/>
    <col min="9230" max="9230" width="12.7109375" style="14" customWidth="1"/>
    <col min="9231" max="9231" width="11.42578125" style="14" customWidth="1"/>
    <col min="9232" max="9232" width="10.7109375" style="14" customWidth="1"/>
    <col min="9233" max="9233" width="10.5703125" style="14" customWidth="1"/>
    <col min="9234" max="9234" width="11.28515625" style="14" customWidth="1"/>
    <col min="9235" max="9235" width="9.7109375" style="14" customWidth="1"/>
    <col min="9236" max="9236" width="12" style="14" customWidth="1"/>
    <col min="9237" max="9237" width="11.28515625" style="14" customWidth="1"/>
    <col min="9238" max="9475" width="9.140625" style="14"/>
    <col min="9476" max="9476" width="5.7109375" style="14" customWidth="1"/>
    <col min="9477" max="9477" width="13.140625" style="14" customWidth="1"/>
    <col min="9478" max="9478" width="12.28515625" style="14" customWidth="1"/>
    <col min="9479" max="9479" width="8.85546875" style="14" customWidth="1"/>
    <col min="9480" max="9480" width="10.85546875" style="14" customWidth="1"/>
    <col min="9481" max="9481" width="2.85546875" style="14" customWidth="1"/>
    <col min="9482" max="9482" width="12.140625" style="14" customWidth="1"/>
    <col min="9483" max="9483" width="10.140625" style="14" customWidth="1"/>
    <col min="9484" max="9484" width="11.7109375" style="14" customWidth="1"/>
    <col min="9485" max="9485" width="11.42578125" style="14" customWidth="1"/>
    <col min="9486" max="9486" width="12.7109375" style="14" customWidth="1"/>
    <col min="9487" max="9487" width="11.42578125" style="14" customWidth="1"/>
    <col min="9488" max="9488" width="10.7109375" style="14" customWidth="1"/>
    <col min="9489" max="9489" width="10.5703125" style="14" customWidth="1"/>
    <col min="9490" max="9490" width="11.28515625" style="14" customWidth="1"/>
    <col min="9491" max="9491" width="9.7109375" style="14" customWidth="1"/>
    <col min="9492" max="9492" width="12" style="14" customWidth="1"/>
    <col min="9493" max="9493" width="11.28515625" style="14" customWidth="1"/>
    <col min="9494" max="9731" width="9.140625" style="14"/>
    <col min="9732" max="9732" width="5.7109375" style="14" customWidth="1"/>
    <col min="9733" max="9733" width="13.140625" style="14" customWidth="1"/>
    <col min="9734" max="9734" width="12.28515625" style="14" customWidth="1"/>
    <col min="9735" max="9735" width="8.85546875" style="14" customWidth="1"/>
    <col min="9736" max="9736" width="10.85546875" style="14" customWidth="1"/>
    <col min="9737" max="9737" width="2.85546875" style="14" customWidth="1"/>
    <col min="9738" max="9738" width="12.140625" style="14" customWidth="1"/>
    <col min="9739" max="9739" width="10.140625" style="14" customWidth="1"/>
    <col min="9740" max="9740" width="11.7109375" style="14" customWidth="1"/>
    <col min="9741" max="9741" width="11.42578125" style="14" customWidth="1"/>
    <col min="9742" max="9742" width="12.7109375" style="14" customWidth="1"/>
    <col min="9743" max="9743" width="11.42578125" style="14" customWidth="1"/>
    <col min="9744" max="9744" width="10.7109375" style="14" customWidth="1"/>
    <col min="9745" max="9745" width="10.5703125" style="14" customWidth="1"/>
    <col min="9746" max="9746" width="11.28515625" style="14" customWidth="1"/>
    <col min="9747" max="9747" width="9.7109375" style="14" customWidth="1"/>
    <col min="9748" max="9748" width="12" style="14" customWidth="1"/>
    <col min="9749" max="9749" width="11.28515625" style="14" customWidth="1"/>
    <col min="9750" max="9987" width="9.140625" style="14"/>
    <col min="9988" max="9988" width="5.7109375" style="14" customWidth="1"/>
    <col min="9989" max="9989" width="13.140625" style="14" customWidth="1"/>
    <col min="9990" max="9990" width="12.28515625" style="14" customWidth="1"/>
    <col min="9991" max="9991" width="8.85546875" style="14" customWidth="1"/>
    <col min="9992" max="9992" width="10.85546875" style="14" customWidth="1"/>
    <col min="9993" max="9993" width="2.85546875" style="14" customWidth="1"/>
    <col min="9994" max="9994" width="12.140625" style="14" customWidth="1"/>
    <col min="9995" max="9995" width="10.140625" style="14" customWidth="1"/>
    <col min="9996" max="9996" width="11.7109375" style="14" customWidth="1"/>
    <col min="9997" max="9997" width="11.42578125" style="14" customWidth="1"/>
    <col min="9998" max="9998" width="12.7109375" style="14" customWidth="1"/>
    <col min="9999" max="9999" width="11.42578125" style="14" customWidth="1"/>
    <col min="10000" max="10000" width="10.7109375" style="14" customWidth="1"/>
    <col min="10001" max="10001" width="10.5703125" style="14" customWidth="1"/>
    <col min="10002" max="10002" width="11.28515625" style="14" customWidth="1"/>
    <col min="10003" max="10003" width="9.7109375" style="14" customWidth="1"/>
    <col min="10004" max="10004" width="12" style="14" customWidth="1"/>
    <col min="10005" max="10005" width="11.28515625" style="14" customWidth="1"/>
    <col min="10006" max="10243" width="9.140625" style="14"/>
    <col min="10244" max="10244" width="5.7109375" style="14" customWidth="1"/>
    <col min="10245" max="10245" width="13.140625" style="14" customWidth="1"/>
    <col min="10246" max="10246" width="12.28515625" style="14" customWidth="1"/>
    <col min="10247" max="10247" width="8.85546875" style="14" customWidth="1"/>
    <col min="10248" max="10248" width="10.85546875" style="14" customWidth="1"/>
    <col min="10249" max="10249" width="2.85546875" style="14" customWidth="1"/>
    <col min="10250" max="10250" width="12.140625" style="14" customWidth="1"/>
    <col min="10251" max="10251" width="10.140625" style="14" customWidth="1"/>
    <col min="10252" max="10252" width="11.7109375" style="14" customWidth="1"/>
    <col min="10253" max="10253" width="11.42578125" style="14" customWidth="1"/>
    <col min="10254" max="10254" width="12.7109375" style="14" customWidth="1"/>
    <col min="10255" max="10255" width="11.42578125" style="14" customWidth="1"/>
    <col min="10256" max="10256" width="10.7109375" style="14" customWidth="1"/>
    <col min="10257" max="10257" width="10.5703125" style="14" customWidth="1"/>
    <col min="10258" max="10258" width="11.28515625" style="14" customWidth="1"/>
    <col min="10259" max="10259" width="9.7109375" style="14" customWidth="1"/>
    <col min="10260" max="10260" width="12" style="14" customWidth="1"/>
    <col min="10261" max="10261" width="11.28515625" style="14" customWidth="1"/>
    <col min="10262" max="10499" width="9.140625" style="14"/>
    <col min="10500" max="10500" width="5.7109375" style="14" customWidth="1"/>
    <col min="10501" max="10501" width="13.140625" style="14" customWidth="1"/>
    <col min="10502" max="10502" width="12.28515625" style="14" customWidth="1"/>
    <col min="10503" max="10503" width="8.85546875" style="14" customWidth="1"/>
    <col min="10504" max="10504" width="10.85546875" style="14" customWidth="1"/>
    <col min="10505" max="10505" width="2.85546875" style="14" customWidth="1"/>
    <col min="10506" max="10506" width="12.140625" style="14" customWidth="1"/>
    <col min="10507" max="10507" width="10.140625" style="14" customWidth="1"/>
    <col min="10508" max="10508" width="11.7109375" style="14" customWidth="1"/>
    <col min="10509" max="10509" width="11.42578125" style="14" customWidth="1"/>
    <col min="10510" max="10510" width="12.7109375" style="14" customWidth="1"/>
    <col min="10511" max="10511" width="11.42578125" style="14" customWidth="1"/>
    <col min="10512" max="10512" width="10.7109375" style="14" customWidth="1"/>
    <col min="10513" max="10513" width="10.5703125" style="14" customWidth="1"/>
    <col min="10514" max="10514" width="11.28515625" style="14" customWidth="1"/>
    <col min="10515" max="10515" width="9.7109375" style="14" customWidth="1"/>
    <col min="10516" max="10516" width="12" style="14" customWidth="1"/>
    <col min="10517" max="10517" width="11.28515625" style="14" customWidth="1"/>
    <col min="10518" max="10755" width="9.140625" style="14"/>
    <col min="10756" max="10756" width="5.7109375" style="14" customWidth="1"/>
    <col min="10757" max="10757" width="13.140625" style="14" customWidth="1"/>
    <col min="10758" max="10758" width="12.28515625" style="14" customWidth="1"/>
    <col min="10759" max="10759" width="8.85546875" style="14" customWidth="1"/>
    <col min="10760" max="10760" width="10.85546875" style="14" customWidth="1"/>
    <col min="10761" max="10761" width="2.85546875" style="14" customWidth="1"/>
    <col min="10762" max="10762" width="12.140625" style="14" customWidth="1"/>
    <col min="10763" max="10763" width="10.140625" style="14" customWidth="1"/>
    <col min="10764" max="10764" width="11.7109375" style="14" customWidth="1"/>
    <col min="10765" max="10765" width="11.42578125" style="14" customWidth="1"/>
    <col min="10766" max="10766" width="12.7109375" style="14" customWidth="1"/>
    <col min="10767" max="10767" width="11.42578125" style="14" customWidth="1"/>
    <col min="10768" max="10768" width="10.7109375" style="14" customWidth="1"/>
    <col min="10769" max="10769" width="10.5703125" style="14" customWidth="1"/>
    <col min="10770" max="10770" width="11.28515625" style="14" customWidth="1"/>
    <col min="10771" max="10771" width="9.7109375" style="14" customWidth="1"/>
    <col min="10772" max="10772" width="12" style="14" customWidth="1"/>
    <col min="10773" max="10773" width="11.28515625" style="14" customWidth="1"/>
    <col min="10774" max="11011" width="9.140625" style="14"/>
    <col min="11012" max="11012" width="5.7109375" style="14" customWidth="1"/>
    <col min="11013" max="11013" width="13.140625" style="14" customWidth="1"/>
    <col min="11014" max="11014" width="12.28515625" style="14" customWidth="1"/>
    <col min="11015" max="11015" width="8.85546875" style="14" customWidth="1"/>
    <col min="11016" max="11016" width="10.85546875" style="14" customWidth="1"/>
    <col min="11017" max="11017" width="2.85546875" style="14" customWidth="1"/>
    <col min="11018" max="11018" width="12.140625" style="14" customWidth="1"/>
    <col min="11019" max="11019" width="10.140625" style="14" customWidth="1"/>
    <col min="11020" max="11020" width="11.7109375" style="14" customWidth="1"/>
    <col min="11021" max="11021" width="11.42578125" style="14" customWidth="1"/>
    <col min="11022" max="11022" width="12.7109375" style="14" customWidth="1"/>
    <col min="11023" max="11023" width="11.42578125" style="14" customWidth="1"/>
    <col min="11024" max="11024" width="10.7109375" style="14" customWidth="1"/>
    <col min="11025" max="11025" width="10.5703125" style="14" customWidth="1"/>
    <col min="11026" max="11026" width="11.28515625" style="14" customWidth="1"/>
    <col min="11027" max="11027" width="9.7109375" style="14" customWidth="1"/>
    <col min="11028" max="11028" width="12" style="14" customWidth="1"/>
    <col min="11029" max="11029" width="11.28515625" style="14" customWidth="1"/>
    <col min="11030" max="11267" width="9.140625" style="14"/>
    <col min="11268" max="11268" width="5.7109375" style="14" customWidth="1"/>
    <col min="11269" max="11269" width="13.140625" style="14" customWidth="1"/>
    <col min="11270" max="11270" width="12.28515625" style="14" customWidth="1"/>
    <col min="11271" max="11271" width="8.85546875" style="14" customWidth="1"/>
    <col min="11272" max="11272" width="10.85546875" style="14" customWidth="1"/>
    <col min="11273" max="11273" width="2.85546875" style="14" customWidth="1"/>
    <col min="11274" max="11274" width="12.140625" style="14" customWidth="1"/>
    <col min="11275" max="11275" width="10.140625" style="14" customWidth="1"/>
    <col min="11276" max="11276" width="11.7109375" style="14" customWidth="1"/>
    <col min="11277" max="11277" width="11.42578125" style="14" customWidth="1"/>
    <col min="11278" max="11278" width="12.7109375" style="14" customWidth="1"/>
    <col min="11279" max="11279" width="11.42578125" style="14" customWidth="1"/>
    <col min="11280" max="11280" width="10.7109375" style="14" customWidth="1"/>
    <col min="11281" max="11281" width="10.5703125" style="14" customWidth="1"/>
    <col min="11282" max="11282" width="11.28515625" style="14" customWidth="1"/>
    <col min="11283" max="11283" width="9.7109375" style="14" customWidth="1"/>
    <col min="11284" max="11284" width="12" style="14" customWidth="1"/>
    <col min="11285" max="11285" width="11.28515625" style="14" customWidth="1"/>
    <col min="11286" max="11523" width="9.140625" style="14"/>
    <col min="11524" max="11524" width="5.7109375" style="14" customWidth="1"/>
    <col min="11525" max="11525" width="13.140625" style="14" customWidth="1"/>
    <col min="11526" max="11526" width="12.28515625" style="14" customWidth="1"/>
    <col min="11527" max="11527" width="8.85546875" style="14" customWidth="1"/>
    <col min="11528" max="11528" width="10.85546875" style="14" customWidth="1"/>
    <col min="11529" max="11529" width="2.85546875" style="14" customWidth="1"/>
    <col min="11530" max="11530" width="12.140625" style="14" customWidth="1"/>
    <col min="11531" max="11531" width="10.140625" style="14" customWidth="1"/>
    <col min="11532" max="11532" width="11.7109375" style="14" customWidth="1"/>
    <col min="11533" max="11533" width="11.42578125" style="14" customWidth="1"/>
    <col min="11534" max="11534" width="12.7109375" style="14" customWidth="1"/>
    <col min="11535" max="11535" width="11.42578125" style="14" customWidth="1"/>
    <col min="11536" max="11536" width="10.7109375" style="14" customWidth="1"/>
    <col min="11537" max="11537" width="10.5703125" style="14" customWidth="1"/>
    <col min="11538" max="11538" width="11.28515625" style="14" customWidth="1"/>
    <col min="11539" max="11539" width="9.7109375" style="14" customWidth="1"/>
    <col min="11540" max="11540" width="12" style="14" customWidth="1"/>
    <col min="11541" max="11541" width="11.28515625" style="14" customWidth="1"/>
    <col min="11542" max="11779" width="9.140625" style="14"/>
    <col min="11780" max="11780" width="5.7109375" style="14" customWidth="1"/>
    <col min="11781" max="11781" width="13.140625" style="14" customWidth="1"/>
    <col min="11782" max="11782" width="12.28515625" style="14" customWidth="1"/>
    <col min="11783" max="11783" width="8.85546875" style="14" customWidth="1"/>
    <col min="11784" max="11784" width="10.85546875" style="14" customWidth="1"/>
    <col min="11785" max="11785" width="2.85546875" style="14" customWidth="1"/>
    <col min="11786" max="11786" width="12.140625" style="14" customWidth="1"/>
    <col min="11787" max="11787" width="10.140625" style="14" customWidth="1"/>
    <col min="11788" max="11788" width="11.7109375" style="14" customWidth="1"/>
    <col min="11789" max="11789" width="11.42578125" style="14" customWidth="1"/>
    <col min="11790" max="11790" width="12.7109375" style="14" customWidth="1"/>
    <col min="11791" max="11791" width="11.42578125" style="14" customWidth="1"/>
    <col min="11792" max="11792" width="10.7109375" style="14" customWidth="1"/>
    <col min="11793" max="11793" width="10.5703125" style="14" customWidth="1"/>
    <col min="11794" max="11794" width="11.28515625" style="14" customWidth="1"/>
    <col min="11795" max="11795" width="9.7109375" style="14" customWidth="1"/>
    <col min="11796" max="11796" width="12" style="14" customWidth="1"/>
    <col min="11797" max="11797" width="11.28515625" style="14" customWidth="1"/>
    <col min="11798" max="12035" width="9.140625" style="14"/>
    <col min="12036" max="12036" width="5.7109375" style="14" customWidth="1"/>
    <col min="12037" max="12037" width="13.140625" style="14" customWidth="1"/>
    <col min="12038" max="12038" width="12.28515625" style="14" customWidth="1"/>
    <col min="12039" max="12039" width="8.85546875" style="14" customWidth="1"/>
    <col min="12040" max="12040" width="10.85546875" style="14" customWidth="1"/>
    <col min="12041" max="12041" width="2.85546875" style="14" customWidth="1"/>
    <col min="12042" max="12042" width="12.140625" style="14" customWidth="1"/>
    <col min="12043" max="12043" width="10.140625" style="14" customWidth="1"/>
    <col min="12044" max="12044" width="11.7109375" style="14" customWidth="1"/>
    <col min="12045" max="12045" width="11.42578125" style="14" customWidth="1"/>
    <col min="12046" max="12046" width="12.7109375" style="14" customWidth="1"/>
    <col min="12047" max="12047" width="11.42578125" style="14" customWidth="1"/>
    <col min="12048" max="12048" width="10.7109375" style="14" customWidth="1"/>
    <col min="12049" max="12049" width="10.5703125" style="14" customWidth="1"/>
    <col min="12050" max="12050" width="11.28515625" style="14" customWidth="1"/>
    <col min="12051" max="12051" width="9.7109375" style="14" customWidth="1"/>
    <col min="12052" max="12052" width="12" style="14" customWidth="1"/>
    <col min="12053" max="12053" width="11.28515625" style="14" customWidth="1"/>
    <col min="12054" max="12291" width="9.140625" style="14"/>
    <col min="12292" max="12292" width="5.7109375" style="14" customWidth="1"/>
    <col min="12293" max="12293" width="13.140625" style="14" customWidth="1"/>
    <col min="12294" max="12294" width="12.28515625" style="14" customWidth="1"/>
    <col min="12295" max="12295" width="8.85546875" style="14" customWidth="1"/>
    <col min="12296" max="12296" width="10.85546875" style="14" customWidth="1"/>
    <col min="12297" max="12297" width="2.85546875" style="14" customWidth="1"/>
    <col min="12298" max="12298" width="12.140625" style="14" customWidth="1"/>
    <col min="12299" max="12299" width="10.140625" style="14" customWidth="1"/>
    <col min="12300" max="12300" width="11.7109375" style="14" customWidth="1"/>
    <col min="12301" max="12301" width="11.42578125" style="14" customWidth="1"/>
    <col min="12302" max="12302" width="12.7109375" style="14" customWidth="1"/>
    <col min="12303" max="12303" width="11.42578125" style="14" customWidth="1"/>
    <col min="12304" max="12304" width="10.7109375" style="14" customWidth="1"/>
    <col min="12305" max="12305" width="10.5703125" style="14" customWidth="1"/>
    <col min="12306" max="12306" width="11.28515625" style="14" customWidth="1"/>
    <col min="12307" max="12307" width="9.7109375" style="14" customWidth="1"/>
    <col min="12308" max="12308" width="12" style="14" customWidth="1"/>
    <col min="12309" max="12309" width="11.28515625" style="14" customWidth="1"/>
    <col min="12310" max="12547" width="9.140625" style="14"/>
    <col min="12548" max="12548" width="5.7109375" style="14" customWidth="1"/>
    <col min="12549" max="12549" width="13.140625" style="14" customWidth="1"/>
    <col min="12550" max="12550" width="12.28515625" style="14" customWidth="1"/>
    <col min="12551" max="12551" width="8.85546875" style="14" customWidth="1"/>
    <col min="12552" max="12552" width="10.85546875" style="14" customWidth="1"/>
    <col min="12553" max="12553" width="2.85546875" style="14" customWidth="1"/>
    <col min="12554" max="12554" width="12.140625" style="14" customWidth="1"/>
    <col min="12555" max="12555" width="10.140625" style="14" customWidth="1"/>
    <col min="12556" max="12556" width="11.7109375" style="14" customWidth="1"/>
    <col min="12557" max="12557" width="11.42578125" style="14" customWidth="1"/>
    <col min="12558" max="12558" width="12.7109375" style="14" customWidth="1"/>
    <col min="12559" max="12559" width="11.42578125" style="14" customWidth="1"/>
    <col min="12560" max="12560" width="10.7109375" style="14" customWidth="1"/>
    <col min="12561" max="12561" width="10.5703125" style="14" customWidth="1"/>
    <col min="12562" max="12562" width="11.28515625" style="14" customWidth="1"/>
    <col min="12563" max="12563" width="9.7109375" style="14" customWidth="1"/>
    <col min="12564" max="12564" width="12" style="14" customWidth="1"/>
    <col min="12565" max="12565" width="11.28515625" style="14" customWidth="1"/>
    <col min="12566" max="12803" width="9.140625" style="14"/>
    <col min="12804" max="12804" width="5.7109375" style="14" customWidth="1"/>
    <col min="12805" max="12805" width="13.140625" style="14" customWidth="1"/>
    <col min="12806" max="12806" width="12.28515625" style="14" customWidth="1"/>
    <col min="12807" max="12807" width="8.85546875" style="14" customWidth="1"/>
    <col min="12808" max="12808" width="10.85546875" style="14" customWidth="1"/>
    <col min="12809" max="12809" width="2.85546875" style="14" customWidth="1"/>
    <col min="12810" max="12810" width="12.140625" style="14" customWidth="1"/>
    <col min="12811" max="12811" width="10.140625" style="14" customWidth="1"/>
    <col min="12812" max="12812" width="11.7109375" style="14" customWidth="1"/>
    <col min="12813" max="12813" width="11.42578125" style="14" customWidth="1"/>
    <col min="12814" max="12814" width="12.7109375" style="14" customWidth="1"/>
    <col min="12815" max="12815" width="11.42578125" style="14" customWidth="1"/>
    <col min="12816" max="12816" width="10.7109375" style="14" customWidth="1"/>
    <col min="12817" max="12817" width="10.5703125" style="14" customWidth="1"/>
    <col min="12818" max="12818" width="11.28515625" style="14" customWidth="1"/>
    <col min="12819" max="12819" width="9.7109375" style="14" customWidth="1"/>
    <col min="12820" max="12820" width="12" style="14" customWidth="1"/>
    <col min="12821" max="12821" width="11.28515625" style="14" customWidth="1"/>
    <col min="12822" max="13059" width="9.140625" style="14"/>
    <col min="13060" max="13060" width="5.7109375" style="14" customWidth="1"/>
    <col min="13061" max="13061" width="13.140625" style="14" customWidth="1"/>
    <col min="13062" max="13062" width="12.28515625" style="14" customWidth="1"/>
    <col min="13063" max="13063" width="8.85546875" style="14" customWidth="1"/>
    <col min="13064" max="13064" width="10.85546875" style="14" customWidth="1"/>
    <col min="13065" max="13065" width="2.85546875" style="14" customWidth="1"/>
    <col min="13066" max="13066" width="12.140625" style="14" customWidth="1"/>
    <col min="13067" max="13067" width="10.140625" style="14" customWidth="1"/>
    <col min="13068" max="13068" width="11.7109375" style="14" customWidth="1"/>
    <col min="13069" max="13069" width="11.42578125" style="14" customWidth="1"/>
    <col min="13070" max="13070" width="12.7109375" style="14" customWidth="1"/>
    <col min="13071" max="13071" width="11.42578125" style="14" customWidth="1"/>
    <col min="13072" max="13072" width="10.7109375" style="14" customWidth="1"/>
    <col min="13073" max="13073" width="10.5703125" style="14" customWidth="1"/>
    <col min="13074" max="13074" width="11.28515625" style="14" customWidth="1"/>
    <col min="13075" max="13075" width="9.7109375" style="14" customWidth="1"/>
    <col min="13076" max="13076" width="12" style="14" customWidth="1"/>
    <col min="13077" max="13077" width="11.28515625" style="14" customWidth="1"/>
    <col min="13078" max="13315" width="9.140625" style="14"/>
    <col min="13316" max="13316" width="5.7109375" style="14" customWidth="1"/>
    <col min="13317" max="13317" width="13.140625" style="14" customWidth="1"/>
    <col min="13318" max="13318" width="12.28515625" style="14" customWidth="1"/>
    <col min="13319" max="13319" width="8.85546875" style="14" customWidth="1"/>
    <col min="13320" max="13320" width="10.85546875" style="14" customWidth="1"/>
    <col min="13321" max="13321" width="2.85546875" style="14" customWidth="1"/>
    <col min="13322" max="13322" width="12.140625" style="14" customWidth="1"/>
    <col min="13323" max="13323" width="10.140625" style="14" customWidth="1"/>
    <col min="13324" max="13324" width="11.7109375" style="14" customWidth="1"/>
    <col min="13325" max="13325" width="11.42578125" style="14" customWidth="1"/>
    <col min="13326" max="13326" width="12.7109375" style="14" customWidth="1"/>
    <col min="13327" max="13327" width="11.42578125" style="14" customWidth="1"/>
    <col min="13328" max="13328" width="10.7109375" style="14" customWidth="1"/>
    <col min="13329" max="13329" width="10.5703125" style="14" customWidth="1"/>
    <col min="13330" max="13330" width="11.28515625" style="14" customWidth="1"/>
    <col min="13331" max="13331" width="9.7109375" style="14" customWidth="1"/>
    <col min="13332" max="13332" width="12" style="14" customWidth="1"/>
    <col min="13333" max="13333" width="11.28515625" style="14" customWidth="1"/>
    <col min="13334" max="13571" width="9.140625" style="14"/>
    <col min="13572" max="13572" width="5.7109375" style="14" customWidth="1"/>
    <col min="13573" max="13573" width="13.140625" style="14" customWidth="1"/>
    <col min="13574" max="13574" width="12.28515625" style="14" customWidth="1"/>
    <col min="13575" max="13575" width="8.85546875" style="14" customWidth="1"/>
    <col min="13576" max="13576" width="10.85546875" style="14" customWidth="1"/>
    <col min="13577" max="13577" width="2.85546875" style="14" customWidth="1"/>
    <col min="13578" max="13578" width="12.140625" style="14" customWidth="1"/>
    <col min="13579" max="13579" width="10.140625" style="14" customWidth="1"/>
    <col min="13580" max="13580" width="11.7109375" style="14" customWidth="1"/>
    <col min="13581" max="13581" width="11.42578125" style="14" customWidth="1"/>
    <col min="13582" max="13582" width="12.7109375" style="14" customWidth="1"/>
    <col min="13583" max="13583" width="11.42578125" style="14" customWidth="1"/>
    <col min="13584" max="13584" width="10.7109375" style="14" customWidth="1"/>
    <col min="13585" max="13585" width="10.5703125" style="14" customWidth="1"/>
    <col min="13586" max="13586" width="11.28515625" style="14" customWidth="1"/>
    <col min="13587" max="13587" width="9.7109375" style="14" customWidth="1"/>
    <col min="13588" max="13588" width="12" style="14" customWidth="1"/>
    <col min="13589" max="13589" width="11.28515625" style="14" customWidth="1"/>
    <col min="13590" max="13827" width="9.140625" style="14"/>
    <col min="13828" max="13828" width="5.7109375" style="14" customWidth="1"/>
    <col min="13829" max="13829" width="13.140625" style="14" customWidth="1"/>
    <col min="13830" max="13830" width="12.28515625" style="14" customWidth="1"/>
    <col min="13831" max="13831" width="8.85546875" style="14" customWidth="1"/>
    <col min="13832" max="13832" width="10.85546875" style="14" customWidth="1"/>
    <col min="13833" max="13833" width="2.85546875" style="14" customWidth="1"/>
    <col min="13834" max="13834" width="12.140625" style="14" customWidth="1"/>
    <col min="13835" max="13835" width="10.140625" style="14" customWidth="1"/>
    <col min="13836" max="13836" width="11.7109375" style="14" customWidth="1"/>
    <col min="13837" max="13837" width="11.42578125" style="14" customWidth="1"/>
    <col min="13838" max="13838" width="12.7109375" style="14" customWidth="1"/>
    <col min="13839" max="13839" width="11.42578125" style="14" customWidth="1"/>
    <col min="13840" max="13840" width="10.7109375" style="14" customWidth="1"/>
    <col min="13841" max="13841" width="10.5703125" style="14" customWidth="1"/>
    <col min="13842" max="13842" width="11.28515625" style="14" customWidth="1"/>
    <col min="13843" max="13843" width="9.7109375" style="14" customWidth="1"/>
    <col min="13844" max="13844" width="12" style="14" customWidth="1"/>
    <col min="13845" max="13845" width="11.28515625" style="14" customWidth="1"/>
    <col min="13846" max="14083" width="9.140625" style="14"/>
    <col min="14084" max="14084" width="5.7109375" style="14" customWidth="1"/>
    <col min="14085" max="14085" width="13.140625" style="14" customWidth="1"/>
    <col min="14086" max="14086" width="12.28515625" style="14" customWidth="1"/>
    <col min="14087" max="14087" width="8.85546875" style="14" customWidth="1"/>
    <col min="14088" max="14088" width="10.85546875" style="14" customWidth="1"/>
    <col min="14089" max="14089" width="2.85546875" style="14" customWidth="1"/>
    <col min="14090" max="14090" width="12.140625" style="14" customWidth="1"/>
    <col min="14091" max="14091" width="10.140625" style="14" customWidth="1"/>
    <col min="14092" max="14092" width="11.7109375" style="14" customWidth="1"/>
    <col min="14093" max="14093" width="11.42578125" style="14" customWidth="1"/>
    <col min="14094" max="14094" width="12.7109375" style="14" customWidth="1"/>
    <col min="14095" max="14095" width="11.42578125" style="14" customWidth="1"/>
    <col min="14096" max="14096" width="10.7109375" style="14" customWidth="1"/>
    <col min="14097" max="14097" width="10.5703125" style="14" customWidth="1"/>
    <col min="14098" max="14098" width="11.28515625" style="14" customWidth="1"/>
    <col min="14099" max="14099" width="9.7109375" style="14" customWidth="1"/>
    <col min="14100" max="14100" width="12" style="14" customWidth="1"/>
    <col min="14101" max="14101" width="11.28515625" style="14" customWidth="1"/>
    <col min="14102" max="14339" width="9.140625" style="14"/>
    <col min="14340" max="14340" width="5.7109375" style="14" customWidth="1"/>
    <col min="14341" max="14341" width="13.140625" style="14" customWidth="1"/>
    <col min="14342" max="14342" width="12.28515625" style="14" customWidth="1"/>
    <col min="14343" max="14343" width="8.85546875" style="14" customWidth="1"/>
    <col min="14344" max="14344" width="10.85546875" style="14" customWidth="1"/>
    <col min="14345" max="14345" width="2.85546875" style="14" customWidth="1"/>
    <col min="14346" max="14346" width="12.140625" style="14" customWidth="1"/>
    <col min="14347" max="14347" width="10.140625" style="14" customWidth="1"/>
    <col min="14348" max="14348" width="11.7109375" style="14" customWidth="1"/>
    <col min="14349" max="14349" width="11.42578125" style="14" customWidth="1"/>
    <col min="14350" max="14350" width="12.7109375" style="14" customWidth="1"/>
    <col min="14351" max="14351" width="11.42578125" style="14" customWidth="1"/>
    <col min="14352" max="14352" width="10.7109375" style="14" customWidth="1"/>
    <col min="14353" max="14353" width="10.5703125" style="14" customWidth="1"/>
    <col min="14354" max="14354" width="11.28515625" style="14" customWidth="1"/>
    <col min="14355" max="14355" width="9.7109375" style="14" customWidth="1"/>
    <col min="14356" max="14356" width="12" style="14" customWidth="1"/>
    <col min="14357" max="14357" width="11.28515625" style="14" customWidth="1"/>
    <col min="14358" max="14595" width="9.140625" style="14"/>
    <col min="14596" max="14596" width="5.7109375" style="14" customWidth="1"/>
    <col min="14597" max="14597" width="13.140625" style="14" customWidth="1"/>
    <col min="14598" max="14598" width="12.28515625" style="14" customWidth="1"/>
    <col min="14599" max="14599" width="8.85546875" style="14" customWidth="1"/>
    <col min="14600" max="14600" width="10.85546875" style="14" customWidth="1"/>
    <col min="14601" max="14601" width="2.85546875" style="14" customWidth="1"/>
    <col min="14602" max="14602" width="12.140625" style="14" customWidth="1"/>
    <col min="14603" max="14603" width="10.140625" style="14" customWidth="1"/>
    <col min="14604" max="14604" width="11.7109375" style="14" customWidth="1"/>
    <col min="14605" max="14605" width="11.42578125" style="14" customWidth="1"/>
    <col min="14606" max="14606" width="12.7109375" style="14" customWidth="1"/>
    <col min="14607" max="14607" width="11.42578125" style="14" customWidth="1"/>
    <col min="14608" max="14608" width="10.7109375" style="14" customWidth="1"/>
    <col min="14609" max="14609" width="10.5703125" style="14" customWidth="1"/>
    <col min="14610" max="14610" width="11.28515625" style="14" customWidth="1"/>
    <col min="14611" max="14611" width="9.7109375" style="14" customWidth="1"/>
    <col min="14612" max="14612" width="12" style="14" customWidth="1"/>
    <col min="14613" max="14613" width="11.28515625" style="14" customWidth="1"/>
    <col min="14614" max="14851" width="9.140625" style="14"/>
    <col min="14852" max="14852" width="5.7109375" style="14" customWidth="1"/>
    <col min="14853" max="14853" width="13.140625" style="14" customWidth="1"/>
    <col min="14854" max="14854" width="12.28515625" style="14" customWidth="1"/>
    <col min="14855" max="14855" width="8.85546875" style="14" customWidth="1"/>
    <col min="14856" max="14856" width="10.85546875" style="14" customWidth="1"/>
    <col min="14857" max="14857" width="2.85546875" style="14" customWidth="1"/>
    <col min="14858" max="14858" width="12.140625" style="14" customWidth="1"/>
    <col min="14859" max="14859" width="10.140625" style="14" customWidth="1"/>
    <col min="14860" max="14860" width="11.7109375" style="14" customWidth="1"/>
    <col min="14861" max="14861" width="11.42578125" style="14" customWidth="1"/>
    <col min="14862" max="14862" width="12.7109375" style="14" customWidth="1"/>
    <col min="14863" max="14863" width="11.42578125" style="14" customWidth="1"/>
    <col min="14864" max="14864" width="10.7109375" style="14" customWidth="1"/>
    <col min="14865" max="14865" width="10.5703125" style="14" customWidth="1"/>
    <col min="14866" max="14866" width="11.28515625" style="14" customWidth="1"/>
    <col min="14867" max="14867" width="9.7109375" style="14" customWidth="1"/>
    <col min="14868" max="14868" width="12" style="14" customWidth="1"/>
    <col min="14869" max="14869" width="11.28515625" style="14" customWidth="1"/>
    <col min="14870" max="15107" width="9.140625" style="14"/>
    <col min="15108" max="15108" width="5.7109375" style="14" customWidth="1"/>
    <col min="15109" max="15109" width="13.140625" style="14" customWidth="1"/>
    <col min="15110" max="15110" width="12.28515625" style="14" customWidth="1"/>
    <col min="15111" max="15111" width="8.85546875" style="14" customWidth="1"/>
    <col min="15112" max="15112" width="10.85546875" style="14" customWidth="1"/>
    <col min="15113" max="15113" width="2.85546875" style="14" customWidth="1"/>
    <col min="15114" max="15114" width="12.140625" style="14" customWidth="1"/>
    <col min="15115" max="15115" width="10.140625" style="14" customWidth="1"/>
    <col min="15116" max="15116" width="11.7109375" style="14" customWidth="1"/>
    <col min="15117" max="15117" width="11.42578125" style="14" customWidth="1"/>
    <col min="15118" max="15118" width="12.7109375" style="14" customWidth="1"/>
    <col min="15119" max="15119" width="11.42578125" style="14" customWidth="1"/>
    <col min="15120" max="15120" width="10.7109375" style="14" customWidth="1"/>
    <col min="15121" max="15121" width="10.5703125" style="14" customWidth="1"/>
    <col min="15122" max="15122" width="11.28515625" style="14" customWidth="1"/>
    <col min="15123" max="15123" width="9.7109375" style="14" customWidth="1"/>
    <col min="15124" max="15124" width="12" style="14" customWidth="1"/>
    <col min="15125" max="15125" width="11.28515625" style="14" customWidth="1"/>
    <col min="15126" max="15363" width="9.140625" style="14"/>
    <col min="15364" max="15364" width="5.7109375" style="14" customWidth="1"/>
    <col min="15365" max="15365" width="13.140625" style="14" customWidth="1"/>
    <col min="15366" max="15366" width="12.28515625" style="14" customWidth="1"/>
    <col min="15367" max="15367" width="8.85546875" style="14" customWidth="1"/>
    <col min="15368" max="15368" width="10.85546875" style="14" customWidth="1"/>
    <col min="15369" max="15369" width="2.85546875" style="14" customWidth="1"/>
    <col min="15370" max="15370" width="12.140625" style="14" customWidth="1"/>
    <col min="15371" max="15371" width="10.140625" style="14" customWidth="1"/>
    <col min="15372" max="15372" width="11.7109375" style="14" customWidth="1"/>
    <col min="15373" max="15373" width="11.42578125" style="14" customWidth="1"/>
    <col min="15374" max="15374" width="12.7109375" style="14" customWidth="1"/>
    <col min="15375" max="15375" width="11.42578125" style="14" customWidth="1"/>
    <col min="15376" max="15376" width="10.7109375" style="14" customWidth="1"/>
    <col min="15377" max="15377" width="10.5703125" style="14" customWidth="1"/>
    <col min="15378" max="15378" width="11.28515625" style="14" customWidth="1"/>
    <col min="15379" max="15379" width="9.7109375" style="14" customWidth="1"/>
    <col min="15380" max="15380" width="12" style="14" customWidth="1"/>
    <col min="15381" max="15381" width="11.28515625" style="14" customWidth="1"/>
    <col min="15382" max="15619" width="9.140625" style="14"/>
    <col min="15620" max="15620" width="5.7109375" style="14" customWidth="1"/>
    <col min="15621" max="15621" width="13.140625" style="14" customWidth="1"/>
    <col min="15622" max="15622" width="12.28515625" style="14" customWidth="1"/>
    <col min="15623" max="15623" width="8.85546875" style="14" customWidth="1"/>
    <col min="15624" max="15624" width="10.85546875" style="14" customWidth="1"/>
    <col min="15625" max="15625" width="2.85546875" style="14" customWidth="1"/>
    <col min="15626" max="15626" width="12.140625" style="14" customWidth="1"/>
    <col min="15627" max="15627" width="10.140625" style="14" customWidth="1"/>
    <col min="15628" max="15628" width="11.7109375" style="14" customWidth="1"/>
    <col min="15629" max="15629" width="11.42578125" style="14" customWidth="1"/>
    <col min="15630" max="15630" width="12.7109375" style="14" customWidth="1"/>
    <col min="15631" max="15631" width="11.42578125" style="14" customWidth="1"/>
    <col min="15632" max="15632" width="10.7109375" style="14" customWidth="1"/>
    <col min="15633" max="15633" width="10.5703125" style="14" customWidth="1"/>
    <col min="15634" max="15634" width="11.28515625" style="14" customWidth="1"/>
    <col min="15635" max="15635" width="9.7109375" style="14" customWidth="1"/>
    <col min="15636" max="15636" width="12" style="14" customWidth="1"/>
    <col min="15637" max="15637" width="11.28515625" style="14" customWidth="1"/>
    <col min="15638" max="15875" width="9.140625" style="14"/>
    <col min="15876" max="15876" width="5.7109375" style="14" customWidth="1"/>
    <col min="15877" max="15877" width="13.140625" style="14" customWidth="1"/>
    <col min="15878" max="15878" width="12.28515625" style="14" customWidth="1"/>
    <col min="15879" max="15879" width="8.85546875" style="14" customWidth="1"/>
    <col min="15880" max="15880" width="10.85546875" style="14" customWidth="1"/>
    <col min="15881" max="15881" width="2.85546875" style="14" customWidth="1"/>
    <col min="15882" max="15882" width="12.140625" style="14" customWidth="1"/>
    <col min="15883" max="15883" width="10.140625" style="14" customWidth="1"/>
    <col min="15884" max="15884" width="11.7109375" style="14" customWidth="1"/>
    <col min="15885" max="15885" width="11.42578125" style="14" customWidth="1"/>
    <col min="15886" max="15886" width="12.7109375" style="14" customWidth="1"/>
    <col min="15887" max="15887" width="11.42578125" style="14" customWidth="1"/>
    <col min="15888" max="15888" width="10.7109375" style="14" customWidth="1"/>
    <col min="15889" max="15889" width="10.5703125" style="14" customWidth="1"/>
    <col min="15890" max="15890" width="11.28515625" style="14" customWidth="1"/>
    <col min="15891" max="15891" width="9.7109375" style="14" customWidth="1"/>
    <col min="15892" max="15892" width="12" style="14" customWidth="1"/>
    <col min="15893" max="15893" width="11.28515625" style="14" customWidth="1"/>
    <col min="15894" max="16131" width="9.140625" style="14"/>
    <col min="16132" max="16132" width="5.7109375" style="14" customWidth="1"/>
    <col min="16133" max="16133" width="13.140625" style="14" customWidth="1"/>
    <col min="16134" max="16134" width="12.28515625" style="14" customWidth="1"/>
    <col min="16135" max="16135" width="8.85546875" style="14" customWidth="1"/>
    <col min="16136" max="16136" width="10.85546875" style="14" customWidth="1"/>
    <col min="16137" max="16137" width="2.85546875" style="14" customWidth="1"/>
    <col min="16138" max="16138" width="12.140625" style="14" customWidth="1"/>
    <col min="16139" max="16139" width="10.140625" style="14" customWidth="1"/>
    <col min="16140" max="16140" width="11.7109375" style="14" customWidth="1"/>
    <col min="16141" max="16141" width="11.42578125" style="14" customWidth="1"/>
    <col min="16142" max="16142" width="12.7109375" style="14" customWidth="1"/>
    <col min="16143" max="16143" width="11.42578125" style="14" customWidth="1"/>
    <col min="16144" max="16144" width="10.7109375" style="14" customWidth="1"/>
    <col min="16145" max="16145" width="10.5703125" style="14" customWidth="1"/>
    <col min="16146" max="16146" width="11.28515625" style="14" customWidth="1"/>
    <col min="16147" max="16147" width="9.7109375" style="14" customWidth="1"/>
    <col min="16148" max="16148" width="12" style="14" customWidth="1"/>
    <col min="16149" max="16149" width="11.28515625" style="14" customWidth="1"/>
    <col min="16150" max="16384" width="9.140625" style="14"/>
  </cols>
  <sheetData>
    <row r="1" spans="4:19" ht="12.75" thickBot="1" x14ac:dyDescent="0.25"/>
    <row r="2" spans="4:19" ht="12" customHeight="1" thickBot="1" x14ac:dyDescent="0.25">
      <c r="Q2" s="633" t="s">
        <v>0</v>
      </c>
      <c r="R2" s="634"/>
      <c r="S2" s="635"/>
    </row>
    <row r="3" spans="4:19" ht="13.5" thickBot="1" x14ac:dyDescent="0.25">
      <c r="I3" s="636" t="s">
        <v>1</v>
      </c>
      <c r="J3" s="637"/>
      <c r="K3" s="637"/>
      <c r="L3" s="637"/>
      <c r="M3" s="637"/>
      <c r="N3" s="637"/>
      <c r="O3" s="638"/>
      <c r="Q3" s="611">
        <f>'REYES LARA DANTE'!Q3</f>
        <v>45</v>
      </c>
      <c r="R3" s="639"/>
      <c r="S3" s="612"/>
    </row>
    <row r="4" spans="4:19" ht="13.5" thickBot="1" x14ac:dyDescent="0.25">
      <c r="I4" s="640" t="s">
        <v>2</v>
      </c>
      <c r="J4" s="641"/>
      <c r="K4" s="641"/>
      <c r="L4" s="641"/>
      <c r="M4" s="641"/>
      <c r="N4" s="641"/>
      <c r="O4" s="642"/>
      <c r="Q4" s="18"/>
      <c r="R4" s="18"/>
      <c r="S4" s="18"/>
    </row>
    <row r="5" spans="4:19" ht="13.5" thickBot="1" x14ac:dyDescent="0.25">
      <c r="I5" s="643" t="s">
        <v>3</v>
      </c>
      <c r="J5" s="644"/>
      <c r="K5" s="644"/>
      <c r="L5" s="644"/>
      <c r="M5" s="644"/>
      <c r="N5" s="644"/>
      <c r="O5" s="645"/>
      <c r="Q5" s="611" t="s">
        <v>4</v>
      </c>
      <c r="R5" s="639"/>
      <c r="S5" s="612"/>
    </row>
    <row r="6" spans="4:19" ht="13.5" thickBot="1" x14ac:dyDescent="0.25">
      <c r="I6" s="650" t="s">
        <v>5</v>
      </c>
      <c r="J6" s="651"/>
      <c r="K6" s="651"/>
      <c r="L6" s="651"/>
      <c r="M6" s="651"/>
      <c r="N6" s="651"/>
      <c r="O6" s="652"/>
      <c r="Q6" s="653">
        <f>+'AGUILERA CONTRERAS LUIS GERARDO'!Q6+1</f>
        <v>110</v>
      </c>
      <c r="R6" s="654"/>
      <c r="S6" s="655"/>
    </row>
    <row r="7" spans="4:19" ht="9" customHeight="1" x14ac:dyDescent="0.2"/>
    <row r="8" spans="4:19" ht="12.75" customHeight="1" thickBot="1" x14ac:dyDescent="0.25"/>
    <row r="9" spans="4:19" ht="13.5" thickBot="1" x14ac:dyDescent="0.25">
      <c r="I9" s="611" t="s">
        <v>6</v>
      </c>
      <c r="J9" s="639"/>
      <c r="K9" s="639"/>
      <c r="L9" s="639"/>
      <c r="M9" s="639"/>
      <c r="N9" s="639"/>
      <c r="O9" s="612"/>
    </row>
    <row r="10" spans="4:19" ht="11.25" customHeight="1" thickBot="1" x14ac:dyDescent="0.25"/>
    <row r="11" spans="4:19" ht="12.75" x14ac:dyDescent="0.2">
      <c r="D11" s="1" t="s">
        <v>7</v>
      </c>
      <c r="E11" s="2" t="s">
        <v>333</v>
      </c>
      <c r="F11" s="2"/>
      <c r="G11" s="2"/>
      <c r="H11" s="2"/>
      <c r="I11" s="2"/>
      <c r="J11" s="2"/>
      <c r="K11" s="3" t="s">
        <v>8</v>
      </c>
      <c r="L11" s="656" t="str">
        <f>'AGUILAR ESQUIVEL CARLOS'!L11</f>
        <v>SEMANA #45 PERIODO DEL 27 de oct AL 02 de nov DEL 2025</v>
      </c>
      <c r="M11" s="656"/>
      <c r="N11" s="656"/>
      <c r="O11" s="656"/>
      <c r="P11" s="656"/>
      <c r="Q11" s="656"/>
      <c r="R11" s="656"/>
      <c r="S11" s="659"/>
    </row>
    <row r="12" spans="4:19" ht="12.75" x14ac:dyDescent="0.2">
      <c r="D12" s="4" t="s">
        <v>9</v>
      </c>
      <c r="E12" s="624" t="s">
        <v>129</v>
      </c>
      <c r="F12" s="624"/>
      <c r="G12" s="5"/>
      <c r="H12" s="130"/>
      <c r="I12" s="130"/>
      <c r="J12" s="130"/>
      <c r="K12" s="130"/>
      <c r="L12" s="130"/>
      <c r="M12" s="130"/>
      <c r="N12" s="130"/>
      <c r="O12" s="130"/>
      <c r="P12" s="130"/>
      <c r="Q12" s="130"/>
      <c r="R12" s="130"/>
      <c r="S12" s="256"/>
    </row>
    <row r="13" spans="4:19" ht="9.75" customHeight="1" x14ac:dyDescent="0.2">
      <c r="D13" s="623"/>
      <c r="E13" s="624"/>
      <c r="F13" s="130"/>
      <c r="G13" s="130"/>
      <c r="H13" s="130"/>
      <c r="I13" s="130"/>
      <c r="J13" s="130"/>
      <c r="K13" s="130"/>
      <c r="L13" s="130"/>
      <c r="M13" s="130"/>
      <c r="N13" s="130"/>
      <c r="O13" s="130"/>
      <c r="P13" s="130"/>
      <c r="Q13" s="130"/>
      <c r="R13" s="130"/>
      <c r="S13" s="256"/>
    </row>
    <row r="14" spans="4:19" ht="12.75" x14ac:dyDescent="0.2">
      <c r="D14" s="625" t="s">
        <v>10</v>
      </c>
      <c r="E14" s="626"/>
      <c r="F14" s="130">
        <v>329130</v>
      </c>
      <c r="G14" s="130"/>
      <c r="H14" s="130"/>
      <c r="I14" s="6" t="s">
        <v>11</v>
      </c>
      <c r="J14" s="6"/>
      <c r="K14" s="130"/>
      <c r="L14" s="130"/>
      <c r="M14" s="130"/>
      <c r="N14" s="130"/>
      <c r="O14" s="6" t="s">
        <v>12</v>
      </c>
      <c r="P14" s="7"/>
      <c r="Q14" s="7"/>
      <c r="R14" s="7"/>
      <c r="S14" s="8"/>
    </row>
    <row r="15" spans="4:19" ht="12.75" x14ac:dyDescent="0.2">
      <c r="D15" s="625" t="s">
        <v>13</v>
      </c>
      <c r="E15" s="626"/>
      <c r="F15" s="130">
        <v>329904</v>
      </c>
      <c r="G15" s="130"/>
      <c r="H15" s="130"/>
      <c r="I15" s="6" t="s">
        <v>14</v>
      </c>
      <c r="J15" s="6"/>
      <c r="K15" s="130"/>
      <c r="L15" s="130"/>
      <c r="M15" s="130"/>
      <c r="N15" s="130"/>
      <c r="O15" s="6" t="s">
        <v>15</v>
      </c>
      <c r="P15" s="130"/>
      <c r="Q15" s="130"/>
      <c r="R15" s="130"/>
      <c r="S15" s="256"/>
    </row>
    <row r="16" spans="4:19" ht="13.5" thickBot="1" x14ac:dyDescent="0.25">
      <c r="D16" s="627" t="s">
        <v>16</v>
      </c>
      <c r="E16" s="628"/>
      <c r="F16" s="257">
        <f>SUM(J19:J32)</f>
        <v>0</v>
      </c>
      <c r="G16" s="257"/>
      <c r="H16" s="257"/>
      <c r="I16" s="9" t="s">
        <v>17</v>
      </c>
      <c r="J16" s="257">
        <f>SUM(K19:K32)</f>
        <v>0</v>
      </c>
      <c r="K16" s="257"/>
      <c r="L16" s="257"/>
      <c r="M16" s="257"/>
      <c r="N16" s="257"/>
      <c r="O16" s="9" t="s">
        <v>18</v>
      </c>
      <c r="P16" s="10" t="e">
        <f>+F16/J16</f>
        <v>#DIV/0!</v>
      </c>
      <c r="Q16" s="257"/>
      <c r="R16" s="257"/>
      <c r="S16" s="258"/>
    </row>
    <row r="17" spans="3:21" ht="7.5" customHeight="1" thickBot="1" x14ac:dyDescent="0.25"/>
    <row r="18" spans="3:21" ht="33" customHeight="1" thickBot="1" x14ac:dyDescent="0.25">
      <c r="C18" s="243" t="s">
        <v>19</v>
      </c>
      <c r="D18" s="33" t="s">
        <v>20</v>
      </c>
      <c r="E18" s="34" t="s">
        <v>21</v>
      </c>
      <c r="F18" s="34" t="s">
        <v>22</v>
      </c>
      <c r="G18" s="34" t="s">
        <v>23</v>
      </c>
      <c r="H18" s="34" t="s">
        <v>24</v>
      </c>
      <c r="I18" s="34" t="s">
        <v>25</v>
      </c>
      <c r="J18" s="34" t="s">
        <v>26</v>
      </c>
      <c r="K18" s="34" t="s">
        <v>27</v>
      </c>
      <c r="L18" s="34" t="s">
        <v>28</v>
      </c>
      <c r="M18" s="34" t="s">
        <v>285</v>
      </c>
      <c r="N18" s="34" t="s">
        <v>29</v>
      </c>
      <c r="O18" s="34" t="s">
        <v>30</v>
      </c>
      <c r="P18" s="33" t="s">
        <v>31</v>
      </c>
      <c r="Q18" s="34" t="s">
        <v>219</v>
      </c>
      <c r="R18" s="34" t="s">
        <v>184</v>
      </c>
      <c r="S18" s="34" t="s">
        <v>33</v>
      </c>
      <c r="T18" s="35" t="s">
        <v>220</v>
      </c>
    </row>
    <row r="19" spans="3:21" x14ac:dyDescent="0.2">
      <c r="C19" s="176"/>
      <c r="D19" s="43"/>
      <c r="E19" s="42"/>
      <c r="F19" s="42"/>
      <c r="G19" s="43"/>
      <c r="H19" s="236" t="b">
        <f>IF(G19=1,KILOMETRAJE!C$4,IF(G19=2,KILOMETRAJE!C$5,IF(G19=3,KILOMETRAJE!C$6,IF(G19=4,KILOMETRAJE!C$7,IF(G19=5,KILOMETRAJE!C$8,IF(G19=6,KILOMETRAJE!C$9,IF(G19=7,KILOMETRAJE!C$10,IF(G19=8,KILOMETRAJE!C$11,IF(G19=9,KILOMETRAJE!C$12,IF(G19=10,KILOMETRAJE!C$13,IF(G19=11,KILOMETRAJE!C$14,IF(G19=12,KILOMETRAJE!C$15,IF(G19=13,KILOMETRAJE!C$16,IF(G19=14,KILOMETRAJE!C$17,IF(G19=15,KILOMETRAJE!C$18,IF(G19=16,KILOMETRAJE!C$19,IF(G19=17,KILOMETRAJE!C$20,IF(G19=18,KILOMETRAJE!C$21,IF(G19=19,KILOMETRAJE!C$22,IF(G19=20,KILOMETRAJE!C$23,IF(G19=21,KILOMETRAJE!C$24,IF(G19=22,KILOMETRAJE!C$25,IF(G19=23,KILOMETRAJE!C$26,IF(G19=24,KILOMETRAJE!C$27,IF(G19=25,KILOMETRAJE!C$28,IF(G19=26,KILOMETRAJE!C$29,IF(G19=27,KILOMETRAJE!C$30,IF(G19=28,KILOMETRAJE!C$31,IF(G19=29,KILOMETRAJE!C$32,IF(G19=30,KILOMETRAJE!C$33,IF(G19=31,KILOMETRAJE!C$34,IF(G19=32,KILOMETRAJE!C$35,IF(G19=33,KILOMETRAJE!C$36,IF(G19=34,KILOMETRAJE!C$37,IF(G19=35,KILOMETRAJE!C$38,IF(G19=36,KILOMETRAJE!C$39,IF(G19=37,KILOMETRAJE!C$40,IF(G19=38,KILOMETRAJE!C$41,IF(G19=39,KILOMETRAJE!C$42,IF(G19=40,KILOMETRAJE!C$43,IF(G19=41,KILOMETRAJE!C$44,IF(G19=42,KILOMETRAJE!C$45,IF(G19=43,KILOMETRAJE!C$46,IF(G19=44,KILOMETRAJE!C$47,IF(G19=45,KILOMETRAJE!C$48,IF(G19=46,KILOMETRAJE!C$49,IF(G19=47,KILOMETRAJE!C$50,IF(G19=48,KILOMETRAJE!C$51,IF(G19=49,KILOMETRAJE!C$52,IF(G19=50,KILOMETRAJE!C$53,IF(G19=51,KILOMETRAJE!C$54,IF(G19=52,KILOMETRAJE!C$55,IF(G19=53,KILOMETRAJE!C$56,IF(G19=54,KILOMETRAJE!C$57,IF(G19=55,KILOMETRAJE!C$58,IF(G19=56,KILOMETRAJE!C$59,IF(G19=57,KILOMETRAJE!C$60,IF(G19=58,KILOMETRAJE!C$61,IF(G19=59,KILOMETRAJE!C$62,IF(G19=60,KILOMETRAJE!C$63,IF(G19=61,KILOMETRAJE!C$64,IF(G19=62,KILOMETRAJE!C$65,IF(G19=63,KILOMETRAJE!C$66)))))))))))))))))))))))))))))))))))))))))))))))))))))))))))))))</f>
        <v>0</v>
      </c>
      <c r="I19" s="236" t="b">
        <f>IF(G19=1,KILOMETRAJE!E$4,IF(G19=2,KILOMETRAJE!E$5,IF(G19=3,KILOMETRAJE!E$6,IF(G19=4,KILOMETRAJE!E$7,IF(G19=5,KILOMETRAJE!E$8,IF(G19=6,KILOMETRAJE!E$9,IF(G19=7,KILOMETRAJE!E$10,IF(G19=8,KILOMETRAJE!E$11,IF(G19=9,KILOMETRAJE!E$12,IF(G19=10,KILOMETRAJE!E$13,IF(G19=11,KILOMETRAJE!E$14,IF(G19=12,KILOMETRAJE!E$15,IF(G19=13,KILOMETRAJE!E$16,IF(G19=14,KILOMETRAJE!E$17,IF(G19=15,KILOMETRAJE!E$18,IF(G19=16,KILOMETRAJE!E$19,IF(G19=17,KILOMETRAJE!E$20,IF(G19=18,KILOMETRAJE!E$21,IF(G19=19,KILOMETRAJE!E$22,IF(G19=20,KILOMETRAJE!E$23,IF(G19=21,KILOMETRAJE!E$24,IF(G19=22,KILOMETRAJE!E$25,IF(G19=23,KILOMETRAJE!E$26,IF(G19=24,KILOMETRAJE!E$27,IF(G19=25,KILOMETRAJE!E$28,IF(G19=26,KILOMETRAJE!E$29,IF(G19=27,KILOMETRAJE!E$30,IF(G19=28,KILOMETRAJE!E$31,IF(G19=29,KILOMETRAJE!E$32,IF(G19=30,KILOMETRAJE!E$33,IF(G19=31,KILOMETRAJE!E$34,IF(G19=32,KILOMETRAJE!E$35,IF(G19=33,KILOMETRAJE!E$36,IF(G19=34,KILOMETRAJE!E$37,IF(G19=35,KILOMETRAJE!E$38,IF(G19=36,KILOMETRAJE!E$39,IF(G19=37,KILOMETRAJE!E$40,IF(G19=38,KILOMETRAJE!E$41,IF(G19=39,KILOMETRAJE!E$42,IF(G19=40,KILOMETRAJE!E$43,IF(G19=41,KILOMETRAJE!E$44,IF(G19=42,KILOMETRAJE!E$45,IF(G19=43,KILOMETRAJE!E$46,IF(G19=44,KILOMETRAJE!E$47,IF(G19=45,KILOMETRAJE!E$48,IF(G19=46,KILOMETRAJE!E$49,IF(G19=47,KILOMETRAJE!E$50,IF(G19=48,KILOMETRAJE!E$51,IF(G19=49,KILOMETRAJE!E$52,IF(G19=50,KILOMETRAJE!E$53,IF(G19=51,KILOMETRAJE!E$54,IF(G19=52,KILOMETRAJE!E$55,IF(G19=53,KILOMETRAJE!E$56,IF(G19=54,KILOMETRAJE!E$57,IF(G19=55,KILOMETRAJE!E$58,IF(G19=56,KILOMETRAJE!E$59,IF(G19=57,KILOMETRAJE!E$60,IF(G19=58,KILOMETRAJE!E$61,IF(G19=59,KILOMETRAJE!E$62,IF(G19=60,KILOMETRAJE!E$63,IF(G19=61,KILOMETRAJE!E$64,IF(G19=62,KILOMETRAJE!E$65,IF(G19=63,KILOMETRAJE!E$66)))))))))))))))))))))))))))))))))))))))))))))))))))))))))))))))</f>
        <v>0</v>
      </c>
      <c r="J19" s="237" t="b">
        <f>IF(G19=1,[2]KILOMETRAJE!G$4,IF(G19=2,[2]KILOMETRAJE!G$5,IF(G19=3,[2]KILOMETRAJE!G$6,IF(G19=4,[2]KILOMETRAJE!G$7,IF(G19=5,[2]KILOMETRAJE!G$8,IF(G19=6,[2]KILOMETRAJE!G$9,IF(G19=7,[2]KILOMETRAJE!G$10,IF(G19=8,[2]KILOMETRAJE!G$11,IF(G19=9,[2]KILOMETRAJE!G$12,IF(G19=10,[2]KILOMETRAJE!G$13,IF(G19=11,[2]KILOMETRAJE!G$14,IF(G19=12,[2]KILOMETRAJE!G$15,IF(G19=13,[2]KILOMETRAJE!G$16,IF(G19=14,[2]KILOMETRAJE!G$17,IF(G19=15,[2]KILOMETRAJE!G$18,IF(G19=16,[2]KILOMETRAJE!G$19,IF(G19=17,[2]KILOMETRAJE!G$20,IF(G19=18,[2]KILOMETRAJE!G$21,IF(G19=19,[2]KILOMETRAJE!G$22,IF(G19=20,[2]KILOMETRAJE!G$23,IF(G19=21,[2]KILOMETRAJE!G$24,IF(G19=22,[2]KILOMETRAJE!G$25,IF(G19=23,[2]KILOMETRAJE!G$26,IF(G19=24,[2]KILOMETRAJE!G$27,IF(G19=25,[2]KILOMETRAJE!G$28,IF(G19=26,[2]KILOMETRAJE!G$29,IF(G19=27,[2]KILOMETRAJE!G$30,IF(G19=28,[2]KILOMETRAJE!G$31,IF(G19=29,[2]KILOMETRAJE!G$32,IF(G19=30,[2]KILOMETRAJE!G$33,IF(G19=31,[2]KILOMETRAJE!G$34,IF(G19=32,[2]KILOMETRAJE!G$35,IF(G19=33,[2]KILOMETRAJE!G$36,IF(G19=34,[2]KILOMETRAJE!G$37,IF(G19=35,[2]KILOMETRAJE!G$38,IF(G19=36,[2]KILOMETRAJE!G$39,IF(G19=37,[2]KILOMETRAJE!G$40,IF(G19=38,[2]KILOMETRAJE!G$41,IF(G19=39,[2]KILOMETRAJE!G$42,IF(G19=40,[2]KILOMETRAJE!G$43,IF(G19=41,[2]KILOMETRAJE!G$44,IF(G19=42,[2]KILOMETRAJE!G$45,IF(G19=43,[2]KILOMETRAJE!G$46,IF(G19=44,[2]KILOMETRAJE!G$47,IF(G19=45,[2]KILOMETRAJE!G$48,IF(G19=46,[2]KILOMETRAJE!G$49,IF(G19=47,[2]KILOMETRAJE!G$50,IF(G19=48,[2]KILOMETRAJE!G$51,IF(G19=49,[2]KILOMETRAJE!G$52,IF(G19=50,[2]KILOMETRAJE!G$53,IF(G19=51,[2]KILOMETRAJE!G$54,IF(G19=52,[2]KILOMETRAJE!G$55,IF(G19=53,[2]KILOMETRAJE!G$56,IF(G19=54,[2]KILOMETRAJE!G$57,IF(G19=55,[2]KILOMETRAJE!G$58,IF(G19=56,[2]KILOMETRAJE!G$59,IF(G19=57,[2]KILOMETRAJE!G$60,IF(G19=58,[2]KILOMETRAJE!G$61,IF(G19=59,[2]KILOMETRAJE!G$62,IF(G19=60,[2]KILOMETRAJE!G$63,IF(G19=61,[2]KILOMETRAJE!G$64,IF(G19=62,[2]KILOMETRAJE!G$65,IF(G19=63,[2]KILOMETRAJE!G$66)))))))))))))))))))))))))))))))))))))))))))))))))))))))))))))))</f>
        <v>0</v>
      </c>
      <c r="K19" s="24"/>
      <c r="L19" s="44"/>
      <c r="M19" s="348"/>
      <c r="N19" s="24"/>
      <c r="O19" s="24"/>
      <c r="P19" s="24"/>
      <c r="Q19" s="45">
        <f t="shared" ref="Q19:Q20" si="0">((((IF(N19=1,((J19)*0.29333)))+(IF(N19=2,((J19)*0.146666)))+(IF(N19=3,((J19)*0.146666)))))+(IF(N19=4,((J19-40)*0.29333)))+(IF(N19=5,((J19-50)*0.29333)))+(IF(N19=6,((J19-90)*0.29333))))</f>
        <v>0</v>
      </c>
      <c r="R19" s="191"/>
      <c r="S19" s="52"/>
      <c r="T19" s="46"/>
    </row>
    <row r="20" spans="3:21" ht="12.75" thickBot="1" x14ac:dyDescent="0.25">
      <c r="C20" s="239"/>
      <c r="D20" s="68"/>
      <c r="E20" s="69"/>
      <c r="F20" s="69"/>
      <c r="G20" s="68"/>
      <c r="H20" s="70" t="b">
        <f>IF(G20=1,KILOMETRAJE!C$4,IF(G20=2,KILOMETRAJE!C$5,IF(G20=3,KILOMETRAJE!C$6,IF(G20=4,KILOMETRAJE!C$7,IF(G20=5,KILOMETRAJE!C$8,IF(G20=6,KILOMETRAJE!C$9,IF(G20=7,KILOMETRAJE!C$10,IF(G20=8,KILOMETRAJE!C$11,IF(G20=9,KILOMETRAJE!C$12,IF(G20=10,KILOMETRAJE!C$13,IF(G20=11,KILOMETRAJE!C$14,IF(G20=12,KILOMETRAJE!C$15,IF(G20=13,KILOMETRAJE!C$16,IF(G20=14,KILOMETRAJE!C$17,IF(G20=15,KILOMETRAJE!C$18,IF(G20=16,KILOMETRAJE!C$19,IF(G20=17,KILOMETRAJE!C$20,IF(G20=18,KILOMETRAJE!C$21,IF(G20=19,KILOMETRAJE!C$22,IF(G20=20,KILOMETRAJE!C$23,IF(G20=21,KILOMETRAJE!C$24,IF(G20=22,KILOMETRAJE!C$25,IF(G20=23,KILOMETRAJE!C$26,IF(G20=24,KILOMETRAJE!C$27,IF(G20=25,KILOMETRAJE!C$28,IF(G20=26,KILOMETRAJE!C$29,IF(G20=27,KILOMETRAJE!C$30,IF(G20=28,KILOMETRAJE!C$31,IF(G20=29,KILOMETRAJE!C$32,IF(G20=30,KILOMETRAJE!C$33,IF(G20=31,KILOMETRAJE!C$34,IF(G20=32,KILOMETRAJE!C$35,IF(G20=33,KILOMETRAJE!C$36,IF(G20=34,KILOMETRAJE!C$37,IF(G20=35,KILOMETRAJE!C$38,IF(G20=36,KILOMETRAJE!C$39,IF(G20=37,KILOMETRAJE!C$40,IF(G20=38,KILOMETRAJE!C$41,IF(G20=39,KILOMETRAJE!C$42,IF(G20=40,KILOMETRAJE!C$43,IF(G20=41,KILOMETRAJE!C$44,IF(G20=42,KILOMETRAJE!C$45,IF(G20=43,KILOMETRAJE!C$46,IF(G20=44,KILOMETRAJE!C$47,IF(G20=45,KILOMETRAJE!C$48,IF(G20=46,KILOMETRAJE!C$49,IF(G20=47,KILOMETRAJE!C$50,IF(G20=48,KILOMETRAJE!C$51,IF(G20=49,KILOMETRAJE!C$52,IF(G20=50,KILOMETRAJE!C$53,IF(G20=51,KILOMETRAJE!C$54,IF(G20=52,KILOMETRAJE!C$55,IF(G20=53,KILOMETRAJE!C$56,IF(G20=54,KILOMETRAJE!C$57,IF(G20=55,KILOMETRAJE!C$58,IF(G20=56,KILOMETRAJE!C$59,IF(G20=57,KILOMETRAJE!C$60,IF(G20=58,KILOMETRAJE!C$61,IF(G20=59,KILOMETRAJE!C$62,IF(G20=60,KILOMETRAJE!C$63,IF(G20=61,KILOMETRAJE!C$64,IF(G20=62,KILOMETRAJE!C$65,IF(G20=63,KILOMETRAJE!C$66)))))))))))))))))))))))))))))))))))))))))))))))))))))))))))))))</f>
        <v>0</v>
      </c>
      <c r="I20" s="70" t="b">
        <f>IF(G20=1,KILOMETRAJE!E$4,IF(G20=2,KILOMETRAJE!E$5,IF(G20=3,KILOMETRAJE!E$6,IF(G20=4,KILOMETRAJE!E$7,IF(G20=5,KILOMETRAJE!E$8,IF(G20=6,KILOMETRAJE!E$9,IF(G20=7,KILOMETRAJE!E$10,IF(G20=8,KILOMETRAJE!E$11,IF(G20=9,KILOMETRAJE!E$12,IF(G20=10,KILOMETRAJE!E$13,IF(G20=11,KILOMETRAJE!E$14,IF(G20=12,KILOMETRAJE!E$15,IF(G20=13,KILOMETRAJE!E$16,IF(G20=14,KILOMETRAJE!E$17,IF(G20=15,KILOMETRAJE!E$18,IF(G20=16,KILOMETRAJE!E$19,IF(G20=17,KILOMETRAJE!E$20,IF(G20=18,KILOMETRAJE!E$21,IF(G20=19,KILOMETRAJE!E$22,IF(G20=20,KILOMETRAJE!E$23,IF(G20=21,KILOMETRAJE!E$24,IF(G20=22,KILOMETRAJE!E$25,IF(G20=23,KILOMETRAJE!E$26,IF(G20=24,KILOMETRAJE!E$27,IF(G20=25,KILOMETRAJE!E$28,IF(G20=26,KILOMETRAJE!E$29,IF(G20=27,KILOMETRAJE!E$30,IF(G20=28,KILOMETRAJE!E$31,IF(G20=29,KILOMETRAJE!E$32,IF(G20=30,KILOMETRAJE!E$33,IF(G20=31,KILOMETRAJE!E$34,IF(G20=32,KILOMETRAJE!E$35,IF(G20=33,KILOMETRAJE!E$36,IF(G20=34,KILOMETRAJE!E$37,IF(G20=35,KILOMETRAJE!E$38,IF(G20=36,KILOMETRAJE!E$39,IF(G20=37,KILOMETRAJE!E$40,IF(G20=38,KILOMETRAJE!E$41,IF(G20=39,KILOMETRAJE!E$42,IF(G20=40,KILOMETRAJE!E$43,IF(G20=41,KILOMETRAJE!E$44,IF(G20=42,KILOMETRAJE!E$45,IF(G20=43,KILOMETRAJE!E$46,IF(G20=44,KILOMETRAJE!E$47,IF(G20=45,KILOMETRAJE!E$48,IF(G20=46,KILOMETRAJE!E$49,IF(G20=47,KILOMETRAJE!E$50,IF(G20=48,KILOMETRAJE!E$51,IF(G20=49,KILOMETRAJE!E$52,IF(G20=50,KILOMETRAJE!E$53,IF(G20=51,KILOMETRAJE!E$54,IF(G20=52,KILOMETRAJE!E$55,IF(G20=53,KILOMETRAJE!E$56,IF(G20=54,KILOMETRAJE!E$57,IF(G20=55,KILOMETRAJE!E$58,IF(G20=56,KILOMETRAJE!E$59,IF(G20=57,KILOMETRAJE!E$60,IF(G20=58,KILOMETRAJE!E$61,IF(G20=59,KILOMETRAJE!E$62,IF(G20=60,KILOMETRAJE!E$63,IF(G20=61,KILOMETRAJE!E$64,IF(G20=62,KILOMETRAJE!E$65,IF(G20=63,KILOMETRAJE!E$66)))))))))))))))))))))))))))))))))))))))))))))))))))))))))))))))</f>
        <v>0</v>
      </c>
      <c r="J20" s="71" t="b">
        <f>IF(G20=1,[2]KILOMETRAJE!G$4,IF(G20=2,[2]KILOMETRAJE!G$5,IF(G20=3,[2]KILOMETRAJE!G$6,IF(G20=4,[2]KILOMETRAJE!G$7,IF(G20=5,[2]KILOMETRAJE!G$8,IF(G20=6,[2]KILOMETRAJE!G$9,IF(G20=7,[2]KILOMETRAJE!G$10,IF(G20=8,[2]KILOMETRAJE!G$11,IF(G20=9,[2]KILOMETRAJE!G$12,IF(G20=10,[2]KILOMETRAJE!G$13,IF(G20=11,[2]KILOMETRAJE!G$14,IF(G20=12,[2]KILOMETRAJE!G$15,IF(G20=13,[2]KILOMETRAJE!G$16,IF(G20=14,[2]KILOMETRAJE!G$17,IF(G20=15,[2]KILOMETRAJE!G$18,IF(G20=16,[2]KILOMETRAJE!G$19,IF(G20=17,[2]KILOMETRAJE!G$20,IF(G20=18,[2]KILOMETRAJE!G$21,IF(G20=19,[2]KILOMETRAJE!G$22,IF(G20=20,[2]KILOMETRAJE!G$23,IF(G20=21,[2]KILOMETRAJE!G$24,IF(G20=22,[2]KILOMETRAJE!G$25,IF(G20=23,[2]KILOMETRAJE!G$26,IF(G20=24,[2]KILOMETRAJE!G$27,IF(G20=25,[2]KILOMETRAJE!G$28,IF(G20=26,[2]KILOMETRAJE!G$29,IF(G20=27,[2]KILOMETRAJE!G$30,IF(G20=28,[2]KILOMETRAJE!G$31,IF(G20=29,[2]KILOMETRAJE!G$32,IF(G20=30,[2]KILOMETRAJE!G$33,IF(G20=31,[2]KILOMETRAJE!G$34,IF(G20=32,[2]KILOMETRAJE!G$35,IF(G20=33,[2]KILOMETRAJE!G$36,IF(G20=34,[2]KILOMETRAJE!G$37,IF(G20=35,[2]KILOMETRAJE!G$38,IF(G20=36,[2]KILOMETRAJE!G$39,IF(G20=37,[2]KILOMETRAJE!G$40,IF(G20=38,[2]KILOMETRAJE!G$41,IF(G20=39,[2]KILOMETRAJE!G$42,IF(G20=40,[2]KILOMETRAJE!G$43,IF(G20=41,[2]KILOMETRAJE!G$44,IF(G20=42,[2]KILOMETRAJE!G$45,IF(G20=43,[2]KILOMETRAJE!G$46,IF(G20=44,[2]KILOMETRAJE!G$47,IF(G20=45,[2]KILOMETRAJE!G$48,IF(G20=46,[2]KILOMETRAJE!G$49,IF(G20=47,[2]KILOMETRAJE!G$50,IF(G20=48,[2]KILOMETRAJE!G$51,IF(G20=49,[2]KILOMETRAJE!G$52,IF(G20=50,[2]KILOMETRAJE!G$53,IF(G20=51,[2]KILOMETRAJE!G$54,IF(G20=52,[2]KILOMETRAJE!G$55,IF(G20=53,[2]KILOMETRAJE!G$56,IF(G20=54,[2]KILOMETRAJE!G$57,IF(G20=55,[2]KILOMETRAJE!G$58,IF(G20=56,[2]KILOMETRAJE!G$59,IF(G20=57,[2]KILOMETRAJE!G$60,IF(G20=58,[2]KILOMETRAJE!G$61,IF(G20=59,[2]KILOMETRAJE!G$62,IF(G20=60,[2]KILOMETRAJE!G$63,IF(G20=61,[2]KILOMETRAJE!G$64,IF(G20=62,[2]KILOMETRAJE!G$65,IF(G20=63,[2]KILOMETRAJE!G$66)))))))))))))))))))))))))))))))))))))))))))))))))))))))))))))))</f>
        <v>0</v>
      </c>
      <c r="K20" s="70"/>
      <c r="L20" s="72" t="e">
        <f>SUM(J19:J20)/K20</f>
        <v>#DIV/0!</v>
      </c>
      <c r="M20" s="370"/>
      <c r="N20" s="70"/>
      <c r="O20" s="70"/>
      <c r="P20" s="70"/>
      <c r="Q20" s="29">
        <f t="shared" si="0"/>
        <v>0</v>
      </c>
      <c r="R20" s="190" t="e">
        <f>+LOOKUP(P40,UNIDADES!B$3:B$59,UNIDADES!C$3:C$59)</f>
        <v>#N/A</v>
      </c>
      <c r="S20" s="194" t="e">
        <f>+((SUM(J19:J20))/R20)-K20</f>
        <v>#N/A</v>
      </c>
      <c r="T20" s="73" t="e">
        <f>+S20*14.85</f>
        <v>#N/A</v>
      </c>
      <c r="U20" s="244"/>
    </row>
    <row r="21" spans="3:21" x14ac:dyDescent="0.2">
      <c r="C21" s="176"/>
      <c r="D21" s="43"/>
      <c r="E21" s="42"/>
      <c r="F21" s="42"/>
      <c r="G21" s="43"/>
      <c r="H21" s="236"/>
      <c r="I21" s="236"/>
      <c r="J21" s="237"/>
      <c r="K21" s="24"/>
      <c r="L21" s="44"/>
      <c r="M21" s="348"/>
      <c r="N21" s="24"/>
      <c r="O21" s="24"/>
      <c r="P21" s="24"/>
      <c r="Q21" s="45"/>
      <c r="R21" s="191"/>
      <c r="S21" s="52"/>
      <c r="T21" s="46"/>
    </row>
    <row r="22" spans="3:21" ht="12.75" thickBot="1" x14ac:dyDescent="0.25">
      <c r="C22" s="239"/>
      <c r="D22" s="68"/>
      <c r="E22" s="69"/>
      <c r="F22" s="69"/>
      <c r="G22" s="68"/>
      <c r="H22" s="70"/>
      <c r="I22" s="70"/>
      <c r="J22" s="71"/>
      <c r="K22" s="70"/>
      <c r="L22" s="72"/>
      <c r="M22" s="370"/>
      <c r="N22" s="70"/>
      <c r="O22" s="70"/>
      <c r="P22" s="70"/>
      <c r="Q22" s="67"/>
      <c r="R22" s="197"/>
      <c r="S22" s="194"/>
      <c r="T22" s="73"/>
    </row>
    <row r="23" spans="3:21" x14ac:dyDescent="0.2">
      <c r="C23" s="176"/>
      <c r="D23" s="43"/>
      <c r="E23" s="42"/>
      <c r="F23" s="42"/>
      <c r="G23" s="43"/>
      <c r="H23" s="236"/>
      <c r="I23" s="236"/>
      <c r="J23" s="237"/>
      <c r="K23" s="24"/>
      <c r="L23" s="44"/>
      <c r="M23" s="348"/>
      <c r="N23" s="24"/>
      <c r="O23" s="24"/>
      <c r="P23" s="24"/>
      <c r="Q23" s="45"/>
      <c r="R23" s="191"/>
      <c r="S23" s="52"/>
      <c r="T23" s="46"/>
    </row>
    <row r="24" spans="3:21" ht="12.75" thickBot="1" x14ac:dyDescent="0.25">
      <c r="C24" s="101"/>
      <c r="D24" s="62"/>
      <c r="E24" s="25"/>
      <c r="F24" s="25"/>
      <c r="G24" s="62"/>
      <c r="H24" s="27"/>
      <c r="I24" s="27"/>
      <c r="J24" s="31"/>
      <c r="K24" s="27"/>
      <c r="L24" s="28"/>
      <c r="M24" s="349"/>
      <c r="N24" s="27"/>
      <c r="O24" s="27"/>
      <c r="P24" s="27"/>
      <c r="Q24" s="29"/>
      <c r="R24" s="190"/>
      <c r="S24" s="19"/>
      <c r="T24" s="30"/>
    </row>
    <row r="25" spans="3:21" hidden="1" x14ac:dyDescent="0.2">
      <c r="C25" s="176"/>
      <c r="D25" s="43"/>
      <c r="E25" s="42"/>
      <c r="F25" s="42"/>
      <c r="G25" s="43"/>
      <c r="H25" s="236"/>
      <c r="I25" s="236"/>
      <c r="J25" s="237"/>
      <c r="K25" s="24"/>
      <c r="L25" s="44"/>
      <c r="M25" s="348"/>
      <c r="N25" s="24"/>
      <c r="O25" s="24"/>
      <c r="P25" s="24"/>
      <c r="Q25" s="45"/>
      <c r="R25" s="191"/>
      <c r="S25" s="52"/>
      <c r="T25" s="46"/>
    </row>
    <row r="26" spans="3:21" ht="12.75" hidden="1" thickBot="1" x14ac:dyDescent="0.25">
      <c r="C26" s="101"/>
      <c r="D26" s="62"/>
      <c r="E26" s="25"/>
      <c r="F26" s="25"/>
      <c r="G26" s="62"/>
      <c r="H26" s="27"/>
      <c r="I26" s="27"/>
      <c r="J26" s="31"/>
      <c r="K26" s="27"/>
      <c r="L26" s="28"/>
      <c r="M26" s="349"/>
      <c r="N26" s="27"/>
      <c r="O26" s="27"/>
      <c r="P26" s="27"/>
      <c r="Q26" s="29"/>
      <c r="R26" s="190"/>
      <c r="S26" s="19"/>
      <c r="T26" s="30"/>
    </row>
    <row r="27" spans="3:21" hidden="1" x14ac:dyDescent="0.2">
      <c r="C27" s="372"/>
      <c r="D27" s="36"/>
      <c r="E27" s="37"/>
      <c r="F27" s="37"/>
      <c r="G27" s="36"/>
      <c r="H27" s="47"/>
      <c r="I27" s="38"/>
      <c r="J27" s="39"/>
      <c r="K27" s="38"/>
      <c r="L27" s="48"/>
      <c r="M27" s="350"/>
      <c r="N27" s="38"/>
      <c r="O27" s="38"/>
      <c r="P27" s="38"/>
      <c r="Q27" s="40"/>
      <c r="R27" s="192"/>
      <c r="S27" s="186"/>
      <c r="T27" s="40"/>
    </row>
    <row r="28" spans="3:21" ht="12.75" hidden="1" thickBot="1" x14ac:dyDescent="0.25">
      <c r="C28" s="373"/>
      <c r="D28" s="68"/>
      <c r="E28" s="69"/>
      <c r="F28" s="69"/>
      <c r="G28" s="68"/>
      <c r="H28" s="362"/>
      <c r="I28" s="70"/>
      <c r="J28" s="71"/>
      <c r="K28" s="70"/>
      <c r="L28" s="72"/>
      <c r="M28" s="370"/>
      <c r="N28" s="70"/>
      <c r="O28" s="70"/>
      <c r="P28" s="70"/>
      <c r="Q28" s="67"/>
      <c r="R28" s="197"/>
      <c r="S28" s="194"/>
      <c r="T28" s="67"/>
    </row>
    <row r="29" spans="3:21" hidden="1" x14ac:dyDescent="0.2">
      <c r="C29" s="176"/>
      <c r="D29" s="43"/>
      <c r="E29" s="42"/>
      <c r="F29" s="42"/>
      <c r="G29" s="43"/>
      <c r="H29" s="65"/>
      <c r="I29" s="24"/>
      <c r="J29" s="51"/>
      <c r="K29" s="24"/>
      <c r="L29" s="44"/>
      <c r="M29" s="348"/>
      <c r="N29" s="24"/>
      <c r="O29" s="24"/>
      <c r="P29" s="24"/>
      <c r="Q29" s="45"/>
      <c r="R29" s="191"/>
      <c r="S29" s="52"/>
      <c r="T29" s="46"/>
    </row>
    <row r="30" spans="3:21" ht="12.75" hidden="1" thickBot="1" x14ac:dyDescent="0.25">
      <c r="C30" s="101"/>
      <c r="D30" s="62"/>
      <c r="E30" s="25"/>
      <c r="F30" s="25"/>
      <c r="G30" s="62"/>
      <c r="H30" s="26"/>
      <c r="I30" s="27"/>
      <c r="J30" s="31"/>
      <c r="K30" s="27"/>
      <c r="L30" s="28"/>
      <c r="M30" s="349"/>
      <c r="N30" s="27"/>
      <c r="O30" s="27"/>
      <c r="P30" s="27"/>
      <c r="Q30" s="29"/>
      <c r="R30" s="190"/>
      <c r="S30" s="19"/>
      <c r="T30" s="30"/>
    </row>
    <row r="31" spans="3:21" hidden="1" x14ac:dyDescent="0.2">
      <c r="C31" s="372"/>
      <c r="D31" s="36"/>
      <c r="E31" s="37"/>
      <c r="F31" s="37"/>
      <c r="G31" s="36"/>
      <c r="H31" s="47"/>
      <c r="I31" s="38"/>
      <c r="J31" s="39"/>
      <c r="K31" s="38"/>
      <c r="L31" s="48"/>
      <c r="M31" s="350"/>
      <c r="N31" s="38"/>
      <c r="O31" s="38"/>
      <c r="P31" s="38"/>
      <c r="Q31" s="40"/>
      <c r="R31" s="192"/>
      <c r="S31" s="186"/>
      <c r="T31" s="40"/>
    </row>
    <row r="32" spans="3:21" hidden="1" x14ac:dyDescent="0.2">
      <c r="C32" s="344"/>
      <c r="D32" s="61"/>
      <c r="E32" s="12"/>
      <c r="F32" s="12"/>
      <c r="G32" s="61"/>
      <c r="H32" s="363"/>
      <c r="I32" s="11"/>
      <c r="J32" s="22"/>
      <c r="K32" s="11"/>
      <c r="L32" s="23"/>
      <c r="M32" s="371"/>
      <c r="N32" s="11"/>
      <c r="O32" s="11"/>
      <c r="P32" s="11"/>
      <c r="Q32" s="13"/>
      <c r="R32" s="339"/>
      <c r="S32" s="195"/>
      <c r="T32" s="13"/>
    </row>
    <row r="33" spans="3:23" ht="12.75" thickBot="1" x14ac:dyDescent="0.25">
      <c r="I33" s="15"/>
      <c r="R33" s="193"/>
      <c r="S33" s="15"/>
      <c r="V33" s="14" t="s">
        <v>181</v>
      </c>
    </row>
    <row r="34" spans="3:23" x14ac:dyDescent="0.2">
      <c r="E34" s="629" t="s">
        <v>34</v>
      </c>
      <c r="F34" s="646">
        <f>+'AGUILAR ESQUIVEL CARLOS'!F34</f>
        <v>45957</v>
      </c>
      <c r="G34" s="647"/>
      <c r="H34" s="16">
        <f>+F34+1</f>
        <v>45958</v>
      </c>
      <c r="I34" s="16">
        <f>+H34+1</f>
        <v>45959</v>
      </c>
      <c r="J34" s="16">
        <f>+I34+1</f>
        <v>45960</v>
      </c>
      <c r="K34" s="16">
        <f>+J34+1</f>
        <v>45961</v>
      </c>
      <c r="L34" s="16">
        <f>+K34+2</f>
        <v>45963</v>
      </c>
      <c r="M34" s="17" t="s">
        <v>35</v>
      </c>
    </row>
    <row r="35" spans="3:23" ht="12.75" thickBot="1" x14ac:dyDescent="0.25">
      <c r="E35" s="630"/>
      <c r="F35" s="648"/>
      <c r="G35" s="649"/>
      <c r="H35" s="29"/>
      <c r="I35" s="29"/>
      <c r="J35" s="29"/>
      <c r="K35" s="29"/>
      <c r="L35" s="29"/>
      <c r="M35" s="30">
        <f>SUM(F35:L35)</f>
        <v>0</v>
      </c>
    </row>
    <row r="36" spans="3:23" ht="12.75" thickBot="1" x14ac:dyDescent="0.25">
      <c r="I36" s="15"/>
    </row>
    <row r="37" spans="3:23" ht="13.5" thickBot="1" x14ac:dyDescent="0.25">
      <c r="C37" s="608" t="s">
        <v>36</v>
      </c>
      <c r="D37" s="609"/>
      <c r="E37" s="609"/>
      <c r="F37" s="609"/>
      <c r="G37" s="610"/>
      <c r="I37" s="620" t="s">
        <v>37</v>
      </c>
      <c r="J37" s="621"/>
      <c r="K37" s="621"/>
      <c r="L37" s="622"/>
      <c r="M37" s="298"/>
      <c r="O37" s="611" t="s">
        <v>38</v>
      </c>
      <c r="P37" s="612"/>
      <c r="Q37" s="613" t="e">
        <f>+F49-L46</f>
        <v>#N/A</v>
      </c>
      <c r="R37" s="614"/>
      <c r="S37" s="615"/>
    </row>
    <row r="38" spans="3:23" ht="12.75" thickBot="1" x14ac:dyDescent="0.25">
      <c r="C38" s="616" t="s">
        <v>219</v>
      </c>
      <c r="D38" s="617"/>
      <c r="E38" s="617"/>
      <c r="F38" s="618">
        <f>SUM(Q18:Q33)</f>
        <v>0</v>
      </c>
      <c r="G38" s="619"/>
      <c r="I38" s="114" t="s">
        <v>125</v>
      </c>
      <c r="J38" s="68" t="s">
        <v>126</v>
      </c>
      <c r="K38" s="68" t="s">
        <v>70</v>
      </c>
      <c r="L38" s="115" t="s">
        <v>127</v>
      </c>
      <c r="M38" s="346"/>
    </row>
    <row r="39" spans="3:23" ht="13.5" customHeight="1" thickBot="1" x14ac:dyDescent="0.25">
      <c r="C39" s="602" t="s">
        <v>220</v>
      </c>
      <c r="D39" s="603"/>
      <c r="E39" s="603"/>
      <c r="F39" s="604" t="e">
        <f>SUM(T18:T33)</f>
        <v>#N/A</v>
      </c>
      <c r="G39" s="605"/>
      <c r="I39" s="677"/>
      <c r="J39" s="678"/>
      <c r="K39" s="679"/>
      <c r="L39" s="119"/>
      <c r="M39" s="346"/>
      <c r="O39" s="74" t="s">
        <v>70</v>
      </c>
      <c r="P39" s="75" t="s">
        <v>71</v>
      </c>
      <c r="Q39" s="76" t="s">
        <v>72</v>
      </c>
      <c r="R39" s="64"/>
      <c r="S39" s="77" t="s">
        <v>73</v>
      </c>
      <c r="T39" s="75" t="s">
        <v>74</v>
      </c>
      <c r="U39" s="74" t="s">
        <v>145</v>
      </c>
      <c r="V39" s="75" t="s">
        <v>146</v>
      </c>
      <c r="W39" s="75" t="s">
        <v>284</v>
      </c>
    </row>
    <row r="40" spans="3:23" ht="12.75" thickBot="1" x14ac:dyDescent="0.25">
      <c r="C40" s="602" t="s">
        <v>34</v>
      </c>
      <c r="D40" s="603"/>
      <c r="E40" s="603"/>
      <c r="F40" s="604">
        <f>+M35</f>
        <v>0</v>
      </c>
      <c r="G40" s="605"/>
      <c r="I40" s="118"/>
      <c r="J40" s="117"/>
      <c r="K40" s="61"/>
      <c r="L40" s="111"/>
      <c r="M40" s="346"/>
      <c r="O40" s="78"/>
      <c r="P40" s="79"/>
      <c r="Q40" s="80"/>
      <c r="R40" s="80"/>
      <c r="S40" s="24"/>
      <c r="T40" s="79">
        <f t="shared" ref="T40:T41" si="1">+S40-Q40</f>
        <v>0</v>
      </c>
      <c r="U40" s="137">
        <f>SUM(J19:J20)</f>
        <v>0</v>
      </c>
      <c r="V40" s="79">
        <f>+K20</f>
        <v>0</v>
      </c>
      <c r="W40" s="353">
        <f>(SUM(M19:M20)/2)</f>
        <v>0</v>
      </c>
    </row>
    <row r="41" spans="3:23" x14ac:dyDescent="0.2">
      <c r="C41" s="602" t="s">
        <v>186</v>
      </c>
      <c r="D41" s="603"/>
      <c r="E41" s="603"/>
      <c r="F41" s="604">
        <v>0</v>
      </c>
      <c r="G41" s="605"/>
      <c r="I41" s="118"/>
      <c r="J41" s="117"/>
      <c r="K41" s="61"/>
      <c r="L41" s="111"/>
      <c r="M41" s="346"/>
      <c r="O41" s="32"/>
      <c r="P41" s="53"/>
      <c r="Q41" s="63"/>
      <c r="R41" s="63"/>
      <c r="S41" s="11"/>
      <c r="T41" s="53">
        <f t="shared" si="1"/>
        <v>0</v>
      </c>
      <c r="U41" s="136">
        <f>SUM(J21:J22)</f>
        <v>0</v>
      </c>
      <c r="V41" s="53">
        <f>+K22</f>
        <v>0</v>
      </c>
      <c r="W41" s="354">
        <f>(SUM(M21:M22)/2)</f>
        <v>0</v>
      </c>
    </row>
    <row r="42" spans="3:23" x14ac:dyDescent="0.2">
      <c r="C42" s="602" t="s">
        <v>39</v>
      </c>
      <c r="D42" s="603"/>
      <c r="E42" s="603"/>
      <c r="F42" s="604"/>
      <c r="G42" s="605"/>
      <c r="I42" s="94"/>
      <c r="J42" s="117"/>
      <c r="K42" s="61"/>
      <c r="L42" s="111"/>
      <c r="M42" s="346"/>
      <c r="O42" s="32"/>
      <c r="P42" s="53"/>
      <c r="Q42" s="63"/>
      <c r="R42" s="63"/>
      <c r="S42" s="11"/>
      <c r="T42" s="53">
        <f t="shared" ref="T42:T46" si="2">+S42-Q42</f>
        <v>0</v>
      </c>
      <c r="U42" s="136">
        <f>SUM(J23:J24)</f>
        <v>0</v>
      </c>
      <c r="V42" s="53">
        <f>+K24</f>
        <v>0</v>
      </c>
      <c r="W42" s="354">
        <f>(SUM(M23:M24)/2)</f>
        <v>0</v>
      </c>
    </row>
    <row r="43" spans="3:23" x14ac:dyDescent="0.2">
      <c r="C43" s="602" t="s">
        <v>116</v>
      </c>
      <c r="D43" s="603"/>
      <c r="E43" s="603"/>
      <c r="F43" s="604"/>
      <c r="G43" s="605"/>
      <c r="I43" s="94"/>
      <c r="J43" s="117"/>
      <c r="K43" s="61"/>
      <c r="L43" s="111"/>
      <c r="M43" s="346"/>
      <c r="O43" s="32"/>
      <c r="P43" s="53"/>
      <c r="Q43" s="63"/>
      <c r="R43" s="63"/>
      <c r="S43" s="11"/>
      <c r="T43" s="53">
        <f t="shared" si="2"/>
        <v>0</v>
      </c>
      <c r="U43" s="136">
        <f>SUM(J25:J26)</f>
        <v>0</v>
      </c>
      <c r="V43" s="53">
        <f>+K26</f>
        <v>0</v>
      </c>
      <c r="W43" s="354">
        <f>(SUM(M25:M26)/2)</f>
        <v>0</v>
      </c>
    </row>
    <row r="44" spans="3:23" x14ac:dyDescent="0.2">
      <c r="C44" s="602" t="s">
        <v>40</v>
      </c>
      <c r="D44" s="603"/>
      <c r="E44" s="603"/>
      <c r="F44" s="604"/>
      <c r="G44" s="605"/>
      <c r="I44" s="94"/>
      <c r="J44" s="117"/>
      <c r="K44" s="61"/>
      <c r="L44" s="111"/>
      <c r="M44" s="346"/>
      <c r="O44" s="32"/>
      <c r="P44" s="53"/>
      <c r="Q44" s="63"/>
      <c r="R44" s="95"/>
      <c r="S44" s="11"/>
      <c r="T44" s="53">
        <f t="shared" si="2"/>
        <v>0</v>
      </c>
      <c r="U44" s="136">
        <f>SUM(J27:J28)</f>
        <v>0</v>
      </c>
      <c r="V44" s="53">
        <f>+K28</f>
        <v>0</v>
      </c>
      <c r="W44" s="354">
        <f>(SUM(M28)/2)</f>
        <v>0</v>
      </c>
    </row>
    <row r="45" spans="3:23" ht="12.75" thickBot="1" x14ac:dyDescent="0.25">
      <c r="C45" s="602" t="s">
        <v>124</v>
      </c>
      <c r="D45" s="603"/>
      <c r="E45" s="603"/>
      <c r="F45" s="660"/>
      <c r="G45" s="661"/>
      <c r="I45" s="282"/>
      <c r="J45" s="285"/>
      <c r="K45" s="62"/>
      <c r="L45" s="283"/>
      <c r="M45" s="346"/>
      <c r="O45" s="32"/>
      <c r="P45" s="53"/>
      <c r="Q45" s="63"/>
      <c r="R45" s="95"/>
      <c r="S45" s="11"/>
      <c r="T45" s="53">
        <f t="shared" si="2"/>
        <v>0</v>
      </c>
      <c r="U45" s="136">
        <f>SUM(J29:J30)</f>
        <v>0</v>
      </c>
      <c r="V45" s="53">
        <f>+K30</f>
        <v>0</v>
      </c>
      <c r="W45" s="354">
        <f>(SUM(M29:M30)/2)</f>
        <v>0</v>
      </c>
    </row>
    <row r="46" spans="3:23" ht="13.5" customHeight="1" thickBot="1" x14ac:dyDescent="0.25">
      <c r="C46" s="602" t="s">
        <v>224</v>
      </c>
      <c r="D46" s="603"/>
      <c r="E46" s="603"/>
      <c r="F46" s="606">
        <v>0</v>
      </c>
      <c r="G46" s="607"/>
      <c r="I46" s="597" t="s">
        <v>41</v>
      </c>
      <c r="J46" s="598"/>
      <c r="K46" s="632"/>
      <c r="L46" s="284">
        <f>SUM(L39:L45)</f>
        <v>0</v>
      </c>
      <c r="M46" s="347"/>
      <c r="O46" s="113"/>
      <c r="P46" s="264"/>
      <c r="Q46" s="265"/>
      <c r="R46" s="83"/>
      <c r="S46" s="81"/>
      <c r="T46" s="82">
        <f t="shared" si="2"/>
        <v>0</v>
      </c>
      <c r="U46" s="138">
        <f>SUM(J31:J32)</f>
        <v>0</v>
      </c>
      <c r="V46" s="55">
        <f>+K32</f>
        <v>0</v>
      </c>
      <c r="W46" s="355">
        <f>(SUM(M31:M32)/2)</f>
        <v>0</v>
      </c>
    </row>
    <row r="47" spans="3:23" ht="13.5" customHeight="1" x14ac:dyDescent="0.2">
      <c r="C47" s="602" t="s">
        <v>110</v>
      </c>
      <c r="D47" s="603"/>
      <c r="E47" s="603"/>
      <c r="F47" s="606">
        <v>0</v>
      </c>
      <c r="G47" s="607"/>
      <c r="R47" s="21"/>
      <c r="S47" s="21"/>
      <c r="T47" s="21"/>
      <c r="U47" s="139"/>
      <c r="V47" s="271"/>
    </row>
    <row r="48" spans="3:23" ht="13.5" customHeight="1" thickBot="1" x14ac:dyDescent="0.25">
      <c r="C48" s="593" t="s">
        <v>227</v>
      </c>
      <c r="D48" s="594"/>
      <c r="E48" s="594"/>
      <c r="F48" s="595"/>
      <c r="G48" s="596"/>
      <c r="R48" s="21"/>
      <c r="S48" s="21"/>
      <c r="T48" s="21"/>
      <c r="U48" s="139"/>
      <c r="V48" s="271"/>
    </row>
    <row r="49" spans="3:22" ht="13.5" thickBot="1" x14ac:dyDescent="0.25">
      <c r="C49" s="597" t="s">
        <v>42</v>
      </c>
      <c r="D49" s="598"/>
      <c r="E49" s="599"/>
      <c r="F49" s="600" t="e">
        <f>SUM(F38:G48)</f>
        <v>#N/A</v>
      </c>
      <c r="G49" s="601"/>
      <c r="R49" s="21"/>
      <c r="S49" s="21"/>
      <c r="T49" s="21"/>
      <c r="U49" s="139"/>
      <c r="V49" s="271"/>
    </row>
    <row r="50" spans="3:22" ht="13.5" customHeight="1" thickBot="1" x14ac:dyDescent="0.25">
      <c r="P50" s="588" t="s">
        <v>48</v>
      </c>
      <c r="Q50" s="589"/>
      <c r="R50" s="590"/>
      <c r="S50" s="21"/>
      <c r="T50" s="21"/>
      <c r="U50" s="139"/>
      <c r="V50" s="271"/>
    </row>
    <row r="51" spans="3:22" ht="12.75" customHeight="1" x14ac:dyDescent="0.2">
      <c r="C51" s="246" t="s">
        <v>43</v>
      </c>
      <c r="D51" s="247"/>
      <c r="E51" s="247"/>
      <c r="F51" s="247"/>
      <c r="G51" s="247"/>
      <c r="H51" s="247"/>
      <c r="I51" s="247"/>
      <c r="J51" s="247"/>
      <c r="K51" s="247"/>
      <c r="L51" s="248"/>
      <c r="M51" s="251"/>
      <c r="P51" s="78">
        <v>1</v>
      </c>
      <c r="Q51" s="584" t="s">
        <v>49</v>
      </c>
      <c r="R51" s="585"/>
      <c r="S51" s="21"/>
      <c r="T51" s="21"/>
      <c r="U51" s="249"/>
    </row>
    <row r="52" spans="3:22" ht="12.75" customHeight="1" x14ac:dyDescent="0.2">
      <c r="C52" s="250"/>
      <c r="D52" s="251"/>
      <c r="E52" s="251"/>
      <c r="F52" s="251"/>
      <c r="G52" s="251"/>
      <c r="H52" s="251"/>
      <c r="I52" s="251"/>
      <c r="J52" s="251"/>
      <c r="K52" s="251"/>
      <c r="L52" s="252"/>
      <c r="M52" s="251"/>
      <c r="P52" s="32">
        <v>2</v>
      </c>
      <c r="Q52" s="586" t="s">
        <v>135</v>
      </c>
      <c r="R52" s="587"/>
      <c r="S52" s="21"/>
      <c r="T52" s="249"/>
    </row>
    <row r="53" spans="3:22" ht="12.75" thickBot="1" x14ac:dyDescent="0.25">
      <c r="C53" s="253"/>
      <c r="D53" s="254"/>
      <c r="E53" s="254"/>
      <c r="F53" s="254"/>
      <c r="G53" s="254"/>
      <c r="H53" s="254"/>
      <c r="I53" s="254"/>
      <c r="J53" s="254"/>
      <c r="K53" s="254"/>
      <c r="L53" s="255"/>
      <c r="M53" s="251"/>
      <c r="P53" s="32">
        <v>3</v>
      </c>
      <c r="Q53" s="586" t="s">
        <v>130</v>
      </c>
      <c r="R53" s="587"/>
      <c r="S53" s="21"/>
      <c r="T53" s="249"/>
    </row>
    <row r="54" spans="3:22" x14ac:dyDescent="0.2">
      <c r="P54" s="32">
        <v>4</v>
      </c>
      <c r="Q54" s="586" t="s">
        <v>228</v>
      </c>
      <c r="R54" s="587"/>
      <c r="S54" s="21"/>
      <c r="T54" s="249"/>
    </row>
    <row r="55" spans="3:22" ht="12.75" thickBot="1" x14ac:dyDescent="0.25">
      <c r="P55" s="32">
        <v>5</v>
      </c>
      <c r="Q55" s="586" t="s">
        <v>229</v>
      </c>
      <c r="R55" s="587"/>
      <c r="S55" s="21"/>
    </row>
    <row r="56" spans="3:22" ht="14.25" customHeight="1" thickTop="1" thickBot="1" x14ac:dyDescent="0.25">
      <c r="D56" s="631" t="s">
        <v>44</v>
      </c>
      <c r="E56" s="631"/>
      <c r="F56" s="631"/>
      <c r="G56" s="631"/>
      <c r="H56" s="631"/>
      <c r="J56" s="631" t="s">
        <v>45</v>
      </c>
      <c r="K56" s="631"/>
      <c r="L56" s="631"/>
      <c r="M56" s="631"/>
      <c r="N56" s="631"/>
      <c r="P56" s="54">
        <v>6</v>
      </c>
      <c r="Q56" s="591" t="s">
        <v>230</v>
      </c>
      <c r="R56" s="592"/>
      <c r="S56" s="21"/>
      <c r="T56" s="21"/>
    </row>
    <row r="57" spans="3:22" x14ac:dyDescent="0.2">
      <c r="S57" s="21"/>
      <c r="T57" s="21"/>
    </row>
  </sheetData>
  <mergeCells count="57">
    <mergeCell ref="I39:K39"/>
    <mergeCell ref="D56:H56"/>
    <mergeCell ref="J56:N56"/>
    <mergeCell ref="I46:K46"/>
    <mergeCell ref="C46:E46"/>
    <mergeCell ref="F46:G46"/>
    <mergeCell ref="C47:E47"/>
    <mergeCell ref="F47:G47"/>
    <mergeCell ref="C48:E48"/>
    <mergeCell ref="F48:G48"/>
    <mergeCell ref="C49:E49"/>
    <mergeCell ref="F49:G49"/>
    <mergeCell ref="C42:E42"/>
    <mergeCell ref="F42:G42"/>
    <mergeCell ref="F43:G43"/>
    <mergeCell ref="F44:G44"/>
    <mergeCell ref="C45:E45"/>
    <mergeCell ref="F45:G45"/>
    <mergeCell ref="C44:E44"/>
    <mergeCell ref="C43:E43"/>
    <mergeCell ref="C39:E39"/>
    <mergeCell ref="F39:G39"/>
    <mergeCell ref="C40:E40"/>
    <mergeCell ref="F40:G40"/>
    <mergeCell ref="C41:E41"/>
    <mergeCell ref="F41:G41"/>
    <mergeCell ref="C37:G37"/>
    <mergeCell ref="O37:P37"/>
    <mergeCell ref="Q37:S37"/>
    <mergeCell ref="C38:E38"/>
    <mergeCell ref="F38:G38"/>
    <mergeCell ref="I37:L37"/>
    <mergeCell ref="F34:G34"/>
    <mergeCell ref="F35:G35"/>
    <mergeCell ref="I6:O6"/>
    <mergeCell ref="Q6:S6"/>
    <mergeCell ref="I9:O9"/>
    <mergeCell ref="L11:S11"/>
    <mergeCell ref="E12:F12"/>
    <mergeCell ref="D13:E13"/>
    <mergeCell ref="D14:E14"/>
    <mergeCell ref="D15:E15"/>
    <mergeCell ref="D16:E16"/>
    <mergeCell ref="E34:E35"/>
    <mergeCell ref="I3:O3"/>
    <mergeCell ref="Q3:S3"/>
    <mergeCell ref="I4:O4"/>
    <mergeCell ref="I5:O5"/>
    <mergeCell ref="Q5:S5"/>
    <mergeCell ref="Q53:R53"/>
    <mergeCell ref="Q54:R54"/>
    <mergeCell ref="Q55:R55"/>
    <mergeCell ref="Q56:R56"/>
    <mergeCell ref="Q2:S2"/>
    <mergeCell ref="P50:R50"/>
    <mergeCell ref="Q51:R51"/>
    <mergeCell ref="Q52:R52"/>
  </mergeCells>
  <pageMargins left="0.19685039370078741" right="0.19685039370078741" top="0.35433070866141736" bottom="0.35433070866141736" header="0.31496062992125984" footer="0.31496062992125984"/>
  <pageSetup paperSize="9" scale="78" orientation="landscape" horizontalDpi="300" verticalDpi="300" r:id="rId1"/>
  <drawing r:id="rId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codeName="Hoja25">
    <pageSetUpPr fitToPage="1"/>
  </sheetPr>
  <dimension ref="C1:X65"/>
  <sheetViews>
    <sheetView topLeftCell="A2" zoomScaleNormal="100" workbookViewId="0">
      <selection activeCell="X26" sqref="X26"/>
    </sheetView>
  </sheetViews>
  <sheetFormatPr baseColWidth="10" defaultColWidth="9.140625" defaultRowHeight="12.75" x14ac:dyDescent="0.2"/>
  <cols>
    <col min="1" max="1" width="3.140625" style="14" customWidth="1"/>
    <col min="2" max="2" width="4.85546875" style="14" customWidth="1"/>
    <col min="3" max="3" width="12.140625" style="14" customWidth="1"/>
    <col min="4" max="4" width="11.42578125" style="14" customWidth="1"/>
    <col min="5" max="5" width="7.42578125" style="14" customWidth="1"/>
    <col min="6" max="6" width="11.5703125" style="14" customWidth="1"/>
    <col min="7" max="7" width="3.28515625" style="14" customWidth="1"/>
    <col min="8" max="8" width="9.7109375" style="14" customWidth="1"/>
    <col min="9" max="9" width="10.28515625" style="14" customWidth="1"/>
    <col min="10" max="10" width="9.7109375" style="14" customWidth="1"/>
    <col min="11" max="11" width="10.42578125" style="14" customWidth="1"/>
    <col min="12" max="13" width="12.7109375" style="14" customWidth="1"/>
    <col min="14" max="14" width="10.7109375" style="14" customWidth="1"/>
    <col min="15" max="15" width="10.42578125" style="14" customWidth="1"/>
    <col min="16" max="16" width="11.85546875" style="14" customWidth="1"/>
    <col min="17" max="17" width="12.140625" style="14" customWidth="1"/>
    <col min="18" max="18" width="10" style="14" hidden="1" customWidth="1"/>
    <col min="19" max="19" width="9.28515625" style="14" customWidth="1"/>
    <col min="20" max="20" width="10.140625" style="14" customWidth="1"/>
    <col min="21" max="21" width="10.28515625" style="14" customWidth="1"/>
    <col min="22" max="22" width="8.85546875" style="14" customWidth="1"/>
    <col min="23" max="23" width="11" customWidth="1"/>
    <col min="24" max="24" width="9.140625" style="14" customWidth="1"/>
    <col min="25" max="259" width="9.140625" style="14"/>
    <col min="260" max="260" width="5.7109375" style="14" customWidth="1"/>
    <col min="261" max="261" width="13.140625" style="14" customWidth="1"/>
    <col min="262" max="262" width="12.28515625" style="14" customWidth="1"/>
    <col min="263" max="263" width="8.85546875" style="14" customWidth="1"/>
    <col min="264" max="264" width="10.85546875" style="14" customWidth="1"/>
    <col min="265" max="265" width="2.85546875" style="14" customWidth="1"/>
    <col min="266" max="266" width="12.140625" style="14" customWidth="1"/>
    <col min="267" max="267" width="10.140625" style="14" customWidth="1"/>
    <col min="268" max="268" width="11.7109375" style="14" customWidth="1"/>
    <col min="269" max="269" width="11.42578125" style="14" customWidth="1"/>
    <col min="270" max="270" width="12.7109375" style="14" customWidth="1"/>
    <col min="271" max="271" width="11.42578125" style="14" customWidth="1"/>
    <col min="272" max="272" width="10.7109375" style="14" customWidth="1"/>
    <col min="273" max="273" width="10.5703125" style="14" customWidth="1"/>
    <col min="274" max="274" width="11.28515625" style="14" customWidth="1"/>
    <col min="275" max="275" width="9.7109375" style="14" customWidth="1"/>
    <col min="276" max="276" width="12" style="14" customWidth="1"/>
    <col min="277" max="277" width="11.28515625" style="14" customWidth="1"/>
    <col min="278" max="515" width="9.140625" style="14"/>
    <col min="516" max="516" width="5.7109375" style="14" customWidth="1"/>
    <col min="517" max="517" width="13.140625" style="14" customWidth="1"/>
    <col min="518" max="518" width="12.28515625" style="14" customWidth="1"/>
    <col min="519" max="519" width="8.85546875" style="14" customWidth="1"/>
    <col min="520" max="520" width="10.85546875" style="14" customWidth="1"/>
    <col min="521" max="521" width="2.85546875" style="14" customWidth="1"/>
    <col min="522" max="522" width="12.140625" style="14" customWidth="1"/>
    <col min="523" max="523" width="10.140625" style="14" customWidth="1"/>
    <col min="524" max="524" width="11.7109375" style="14" customWidth="1"/>
    <col min="525" max="525" width="11.42578125" style="14" customWidth="1"/>
    <col min="526" max="526" width="12.7109375" style="14" customWidth="1"/>
    <col min="527" max="527" width="11.42578125" style="14" customWidth="1"/>
    <col min="528" max="528" width="10.7109375" style="14" customWidth="1"/>
    <col min="529" max="529" width="10.5703125" style="14" customWidth="1"/>
    <col min="530" max="530" width="11.28515625" style="14" customWidth="1"/>
    <col min="531" max="531" width="9.7109375" style="14" customWidth="1"/>
    <col min="532" max="532" width="12" style="14" customWidth="1"/>
    <col min="533" max="533" width="11.28515625" style="14" customWidth="1"/>
    <col min="534" max="771" width="9.140625" style="14"/>
    <col min="772" max="772" width="5.7109375" style="14" customWidth="1"/>
    <col min="773" max="773" width="13.140625" style="14" customWidth="1"/>
    <col min="774" max="774" width="12.28515625" style="14" customWidth="1"/>
    <col min="775" max="775" width="8.85546875" style="14" customWidth="1"/>
    <col min="776" max="776" width="10.85546875" style="14" customWidth="1"/>
    <col min="777" max="777" width="2.85546875" style="14" customWidth="1"/>
    <col min="778" max="778" width="12.140625" style="14" customWidth="1"/>
    <col min="779" max="779" width="10.140625" style="14" customWidth="1"/>
    <col min="780" max="780" width="11.7109375" style="14" customWidth="1"/>
    <col min="781" max="781" width="11.42578125" style="14" customWidth="1"/>
    <col min="782" max="782" width="12.7109375" style="14" customWidth="1"/>
    <col min="783" max="783" width="11.42578125" style="14" customWidth="1"/>
    <col min="784" max="784" width="10.7109375" style="14" customWidth="1"/>
    <col min="785" max="785" width="10.5703125" style="14" customWidth="1"/>
    <col min="786" max="786" width="11.28515625" style="14" customWidth="1"/>
    <col min="787" max="787" width="9.7109375" style="14" customWidth="1"/>
    <col min="788" max="788" width="12" style="14" customWidth="1"/>
    <col min="789" max="789" width="11.28515625" style="14" customWidth="1"/>
    <col min="790" max="1027" width="9.140625" style="14"/>
    <col min="1028" max="1028" width="5.7109375" style="14" customWidth="1"/>
    <col min="1029" max="1029" width="13.140625" style="14" customWidth="1"/>
    <col min="1030" max="1030" width="12.28515625" style="14" customWidth="1"/>
    <col min="1031" max="1031" width="8.85546875" style="14" customWidth="1"/>
    <col min="1032" max="1032" width="10.85546875" style="14" customWidth="1"/>
    <col min="1033" max="1033" width="2.85546875" style="14" customWidth="1"/>
    <col min="1034" max="1034" width="12.140625" style="14" customWidth="1"/>
    <col min="1035" max="1035" width="10.140625" style="14" customWidth="1"/>
    <col min="1036" max="1036" width="11.7109375" style="14" customWidth="1"/>
    <col min="1037" max="1037" width="11.42578125" style="14" customWidth="1"/>
    <col min="1038" max="1038" width="12.7109375" style="14" customWidth="1"/>
    <col min="1039" max="1039" width="11.42578125" style="14" customWidth="1"/>
    <col min="1040" max="1040" width="10.7109375" style="14" customWidth="1"/>
    <col min="1041" max="1041" width="10.5703125" style="14" customWidth="1"/>
    <col min="1042" max="1042" width="11.28515625" style="14" customWidth="1"/>
    <col min="1043" max="1043" width="9.7109375" style="14" customWidth="1"/>
    <col min="1044" max="1044" width="12" style="14" customWidth="1"/>
    <col min="1045" max="1045" width="11.28515625" style="14" customWidth="1"/>
    <col min="1046" max="1283" width="9.140625" style="14"/>
    <col min="1284" max="1284" width="5.7109375" style="14" customWidth="1"/>
    <col min="1285" max="1285" width="13.140625" style="14" customWidth="1"/>
    <col min="1286" max="1286" width="12.28515625" style="14" customWidth="1"/>
    <col min="1287" max="1287" width="8.85546875" style="14" customWidth="1"/>
    <col min="1288" max="1288" width="10.85546875" style="14" customWidth="1"/>
    <col min="1289" max="1289" width="2.85546875" style="14" customWidth="1"/>
    <col min="1290" max="1290" width="12.140625" style="14" customWidth="1"/>
    <col min="1291" max="1291" width="10.140625" style="14" customWidth="1"/>
    <col min="1292" max="1292" width="11.7109375" style="14" customWidth="1"/>
    <col min="1293" max="1293" width="11.42578125" style="14" customWidth="1"/>
    <col min="1294" max="1294" width="12.7109375" style="14" customWidth="1"/>
    <col min="1295" max="1295" width="11.42578125" style="14" customWidth="1"/>
    <col min="1296" max="1296" width="10.7109375" style="14" customWidth="1"/>
    <col min="1297" max="1297" width="10.5703125" style="14" customWidth="1"/>
    <col min="1298" max="1298" width="11.28515625" style="14" customWidth="1"/>
    <col min="1299" max="1299" width="9.7109375" style="14" customWidth="1"/>
    <col min="1300" max="1300" width="12" style="14" customWidth="1"/>
    <col min="1301" max="1301" width="11.28515625" style="14" customWidth="1"/>
    <col min="1302" max="1539" width="9.140625" style="14"/>
    <col min="1540" max="1540" width="5.7109375" style="14" customWidth="1"/>
    <col min="1541" max="1541" width="13.140625" style="14" customWidth="1"/>
    <col min="1542" max="1542" width="12.28515625" style="14" customWidth="1"/>
    <col min="1543" max="1543" width="8.85546875" style="14" customWidth="1"/>
    <col min="1544" max="1544" width="10.85546875" style="14" customWidth="1"/>
    <col min="1545" max="1545" width="2.85546875" style="14" customWidth="1"/>
    <col min="1546" max="1546" width="12.140625" style="14" customWidth="1"/>
    <col min="1547" max="1547" width="10.140625" style="14" customWidth="1"/>
    <col min="1548" max="1548" width="11.7109375" style="14" customWidth="1"/>
    <col min="1549" max="1549" width="11.42578125" style="14" customWidth="1"/>
    <col min="1550" max="1550" width="12.7109375" style="14" customWidth="1"/>
    <col min="1551" max="1551" width="11.42578125" style="14" customWidth="1"/>
    <col min="1552" max="1552" width="10.7109375" style="14" customWidth="1"/>
    <col min="1553" max="1553" width="10.5703125" style="14" customWidth="1"/>
    <col min="1554" max="1554" width="11.28515625" style="14" customWidth="1"/>
    <col min="1555" max="1555" width="9.7109375" style="14" customWidth="1"/>
    <col min="1556" max="1556" width="12" style="14" customWidth="1"/>
    <col min="1557" max="1557" width="11.28515625" style="14" customWidth="1"/>
    <col min="1558" max="1795" width="9.140625" style="14"/>
    <col min="1796" max="1796" width="5.7109375" style="14" customWidth="1"/>
    <col min="1797" max="1797" width="13.140625" style="14" customWidth="1"/>
    <col min="1798" max="1798" width="12.28515625" style="14" customWidth="1"/>
    <col min="1799" max="1799" width="8.85546875" style="14" customWidth="1"/>
    <col min="1800" max="1800" width="10.85546875" style="14" customWidth="1"/>
    <col min="1801" max="1801" width="2.85546875" style="14" customWidth="1"/>
    <col min="1802" max="1802" width="12.140625" style="14" customWidth="1"/>
    <col min="1803" max="1803" width="10.140625" style="14" customWidth="1"/>
    <col min="1804" max="1804" width="11.7109375" style="14" customWidth="1"/>
    <col min="1805" max="1805" width="11.42578125" style="14" customWidth="1"/>
    <col min="1806" max="1806" width="12.7109375" style="14" customWidth="1"/>
    <col min="1807" max="1807" width="11.42578125" style="14" customWidth="1"/>
    <col min="1808" max="1808" width="10.7109375" style="14" customWidth="1"/>
    <col min="1809" max="1809" width="10.5703125" style="14" customWidth="1"/>
    <col min="1810" max="1810" width="11.28515625" style="14" customWidth="1"/>
    <col min="1811" max="1811" width="9.7109375" style="14" customWidth="1"/>
    <col min="1812" max="1812" width="12" style="14" customWidth="1"/>
    <col min="1813" max="1813" width="11.28515625" style="14" customWidth="1"/>
    <col min="1814" max="2051" width="9.140625" style="14"/>
    <col min="2052" max="2052" width="5.7109375" style="14" customWidth="1"/>
    <col min="2053" max="2053" width="13.140625" style="14" customWidth="1"/>
    <col min="2054" max="2054" width="12.28515625" style="14" customWidth="1"/>
    <col min="2055" max="2055" width="8.85546875" style="14" customWidth="1"/>
    <col min="2056" max="2056" width="10.85546875" style="14" customWidth="1"/>
    <col min="2057" max="2057" width="2.85546875" style="14" customWidth="1"/>
    <col min="2058" max="2058" width="12.140625" style="14" customWidth="1"/>
    <col min="2059" max="2059" width="10.140625" style="14" customWidth="1"/>
    <col min="2060" max="2060" width="11.7109375" style="14" customWidth="1"/>
    <col min="2061" max="2061" width="11.42578125" style="14" customWidth="1"/>
    <col min="2062" max="2062" width="12.7109375" style="14" customWidth="1"/>
    <col min="2063" max="2063" width="11.42578125" style="14" customWidth="1"/>
    <col min="2064" max="2064" width="10.7109375" style="14" customWidth="1"/>
    <col min="2065" max="2065" width="10.5703125" style="14" customWidth="1"/>
    <col min="2066" max="2066" width="11.28515625" style="14" customWidth="1"/>
    <col min="2067" max="2067" width="9.7109375" style="14" customWidth="1"/>
    <col min="2068" max="2068" width="12" style="14" customWidth="1"/>
    <col min="2069" max="2069" width="11.28515625" style="14" customWidth="1"/>
    <col min="2070" max="2307" width="9.140625" style="14"/>
    <col min="2308" max="2308" width="5.7109375" style="14" customWidth="1"/>
    <col min="2309" max="2309" width="13.140625" style="14" customWidth="1"/>
    <col min="2310" max="2310" width="12.28515625" style="14" customWidth="1"/>
    <col min="2311" max="2311" width="8.85546875" style="14" customWidth="1"/>
    <col min="2312" max="2312" width="10.85546875" style="14" customWidth="1"/>
    <col min="2313" max="2313" width="2.85546875" style="14" customWidth="1"/>
    <col min="2314" max="2314" width="12.140625" style="14" customWidth="1"/>
    <col min="2315" max="2315" width="10.140625" style="14" customWidth="1"/>
    <col min="2316" max="2316" width="11.7109375" style="14" customWidth="1"/>
    <col min="2317" max="2317" width="11.42578125" style="14" customWidth="1"/>
    <col min="2318" max="2318" width="12.7109375" style="14" customWidth="1"/>
    <col min="2319" max="2319" width="11.42578125" style="14" customWidth="1"/>
    <col min="2320" max="2320" width="10.7109375" style="14" customWidth="1"/>
    <col min="2321" max="2321" width="10.5703125" style="14" customWidth="1"/>
    <col min="2322" max="2322" width="11.28515625" style="14" customWidth="1"/>
    <col min="2323" max="2323" width="9.7109375" style="14" customWidth="1"/>
    <col min="2324" max="2324" width="12" style="14" customWidth="1"/>
    <col min="2325" max="2325" width="11.28515625" style="14" customWidth="1"/>
    <col min="2326" max="2563" width="9.140625" style="14"/>
    <col min="2564" max="2564" width="5.7109375" style="14" customWidth="1"/>
    <col min="2565" max="2565" width="13.140625" style="14" customWidth="1"/>
    <col min="2566" max="2566" width="12.28515625" style="14" customWidth="1"/>
    <col min="2567" max="2567" width="8.85546875" style="14" customWidth="1"/>
    <col min="2568" max="2568" width="10.85546875" style="14" customWidth="1"/>
    <col min="2569" max="2569" width="2.85546875" style="14" customWidth="1"/>
    <col min="2570" max="2570" width="12.140625" style="14" customWidth="1"/>
    <col min="2571" max="2571" width="10.140625" style="14" customWidth="1"/>
    <col min="2572" max="2572" width="11.7109375" style="14" customWidth="1"/>
    <col min="2573" max="2573" width="11.42578125" style="14" customWidth="1"/>
    <col min="2574" max="2574" width="12.7109375" style="14" customWidth="1"/>
    <col min="2575" max="2575" width="11.42578125" style="14" customWidth="1"/>
    <col min="2576" max="2576" width="10.7109375" style="14" customWidth="1"/>
    <col min="2577" max="2577" width="10.5703125" style="14" customWidth="1"/>
    <col min="2578" max="2578" width="11.28515625" style="14" customWidth="1"/>
    <col min="2579" max="2579" width="9.7109375" style="14" customWidth="1"/>
    <col min="2580" max="2580" width="12" style="14" customWidth="1"/>
    <col min="2581" max="2581" width="11.28515625" style="14" customWidth="1"/>
    <col min="2582" max="2819" width="9.140625" style="14"/>
    <col min="2820" max="2820" width="5.7109375" style="14" customWidth="1"/>
    <col min="2821" max="2821" width="13.140625" style="14" customWidth="1"/>
    <col min="2822" max="2822" width="12.28515625" style="14" customWidth="1"/>
    <col min="2823" max="2823" width="8.85546875" style="14" customWidth="1"/>
    <col min="2824" max="2824" width="10.85546875" style="14" customWidth="1"/>
    <col min="2825" max="2825" width="2.85546875" style="14" customWidth="1"/>
    <col min="2826" max="2826" width="12.140625" style="14" customWidth="1"/>
    <col min="2827" max="2827" width="10.140625" style="14" customWidth="1"/>
    <col min="2828" max="2828" width="11.7109375" style="14" customWidth="1"/>
    <col min="2829" max="2829" width="11.42578125" style="14" customWidth="1"/>
    <col min="2830" max="2830" width="12.7109375" style="14" customWidth="1"/>
    <col min="2831" max="2831" width="11.42578125" style="14" customWidth="1"/>
    <col min="2832" max="2832" width="10.7109375" style="14" customWidth="1"/>
    <col min="2833" max="2833" width="10.5703125" style="14" customWidth="1"/>
    <col min="2834" max="2834" width="11.28515625" style="14" customWidth="1"/>
    <col min="2835" max="2835" width="9.7109375" style="14" customWidth="1"/>
    <col min="2836" max="2836" width="12" style="14" customWidth="1"/>
    <col min="2837" max="2837" width="11.28515625" style="14" customWidth="1"/>
    <col min="2838" max="3075" width="9.140625" style="14"/>
    <col min="3076" max="3076" width="5.7109375" style="14" customWidth="1"/>
    <col min="3077" max="3077" width="13.140625" style="14" customWidth="1"/>
    <col min="3078" max="3078" width="12.28515625" style="14" customWidth="1"/>
    <col min="3079" max="3079" width="8.85546875" style="14" customWidth="1"/>
    <col min="3080" max="3080" width="10.85546875" style="14" customWidth="1"/>
    <col min="3081" max="3081" width="2.85546875" style="14" customWidth="1"/>
    <col min="3082" max="3082" width="12.140625" style="14" customWidth="1"/>
    <col min="3083" max="3083" width="10.140625" style="14" customWidth="1"/>
    <col min="3084" max="3084" width="11.7109375" style="14" customWidth="1"/>
    <col min="3085" max="3085" width="11.42578125" style="14" customWidth="1"/>
    <col min="3086" max="3086" width="12.7109375" style="14" customWidth="1"/>
    <col min="3087" max="3087" width="11.42578125" style="14" customWidth="1"/>
    <col min="3088" max="3088" width="10.7109375" style="14" customWidth="1"/>
    <col min="3089" max="3089" width="10.5703125" style="14" customWidth="1"/>
    <col min="3090" max="3090" width="11.28515625" style="14" customWidth="1"/>
    <col min="3091" max="3091" width="9.7109375" style="14" customWidth="1"/>
    <col min="3092" max="3092" width="12" style="14" customWidth="1"/>
    <col min="3093" max="3093" width="11.28515625" style="14" customWidth="1"/>
    <col min="3094" max="3331" width="9.140625" style="14"/>
    <col min="3332" max="3332" width="5.7109375" style="14" customWidth="1"/>
    <col min="3333" max="3333" width="13.140625" style="14" customWidth="1"/>
    <col min="3334" max="3334" width="12.28515625" style="14" customWidth="1"/>
    <col min="3335" max="3335" width="8.85546875" style="14" customWidth="1"/>
    <col min="3336" max="3336" width="10.85546875" style="14" customWidth="1"/>
    <col min="3337" max="3337" width="2.85546875" style="14" customWidth="1"/>
    <col min="3338" max="3338" width="12.140625" style="14" customWidth="1"/>
    <col min="3339" max="3339" width="10.140625" style="14" customWidth="1"/>
    <col min="3340" max="3340" width="11.7109375" style="14" customWidth="1"/>
    <col min="3341" max="3341" width="11.42578125" style="14" customWidth="1"/>
    <col min="3342" max="3342" width="12.7109375" style="14" customWidth="1"/>
    <col min="3343" max="3343" width="11.42578125" style="14" customWidth="1"/>
    <col min="3344" max="3344" width="10.7109375" style="14" customWidth="1"/>
    <col min="3345" max="3345" width="10.5703125" style="14" customWidth="1"/>
    <col min="3346" max="3346" width="11.28515625" style="14" customWidth="1"/>
    <col min="3347" max="3347" width="9.7109375" style="14" customWidth="1"/>
    <col min="3348" max="3348" width="12" style="14" customWidth="1"/>
    <col min="3349" max="3349" width="11.28515625" style="14" customWidth="1"/>
    <col min="3350" max="3587" width="9.140625" style="14"/>
    <col min="3588" max="3588" width="5.7109375" style="14" customWidth="1"/>
    <col min="3589" max="3589" width="13.140625" style="14" customWidth="1"/>
    <col min="3590" max="3590" width="12.28515625" style="14" customWidth="1"/>
    <col min="3591" max="3591" width="8.85546875" style="14" customWidth="1"/>
    <col min="3592" max="3592" width="10.85546875" style="14" customWidth="1"/>
    <col min="3593" max="3593" width="2.85546875" style="14" customWidth="1"/>
    <col min="3594" max="3594" width="12.140625" style="14" customWidth="1"/>
    <col min="3595" max="3595" width="10.140625" style="14" customWidth="1"/>
    <col min="3596" max="3596" width="11.7109375" style="14" customWidth="1"/>
    <col min="3597" max="3597" width="11.42578125" style="14" customWidth="1"/>
    <col min="3598" max="3598" width="12.7109375" style="14" customWidth="1"/>
    <col min="3599" max="3599" width="11.42578125" style="14" customWidth="1"/>
    <col min="3600" max="3600" width="10.7109375" style="14" customWidth="1"/>
    <col min="3601" max="3601" width="10.5703125" style="14" customWidth="1"/>
    <col min="3602" max="3602" width="11.28515625" style="14" customWidth="1"/>
    <col min="3603" max="3603" width="9.7109375" style="14" customWidth="1"/>
    <col min="3604" max="3604" width="12" style="14" customWidth="1"/>
    <col min="3605" max="3605" width="11.28515625" style="14" customWidth="1"/>
    <col min="3606" max="3843" width="9.140625" style="14"/>
    <col min="3844" max="3844" width="5.7109375" style="14" customWidth="1"/>
    <col min="3845" max="3845" width="13.140625" style="14" customWidth="1"/>
    <col min="3846" max="3846" width="12.28515625" style="14" customWidth="1"/>
    <col min="3847" max="3847" width="8.85546875" style="14" customWidth="1"/>
    <col min="3848" max="3848" width="10.85546875" style="14" customWidth="1"/>
    <col min="3849" max="3849" width="2.85546875" style="14" customWidth="1"/>
    <col min="3850" max="3850" width="12.140625" style="14" customWidth="1"/>
    <col min="3851" max="3851" width="10.140625" style="14" customWidth="1"/>
    <col min="3852" max="3852" width="11.7109375" style="14" customWidth="1"/>
    <col min="3853" max="3853" width="11.42578125" style="14" customWidth="1"/>
    <col min="3854" max="3854" width="12.7109375" style="14" customWidth="1"/>
    <col min="3855" max="3855" width="11.42578125" style="14" customWidth="1"/>
    <col min="3856" max="3856" width="10.7109375" style="14" customWidth="1"/>
    <col min="3857" max="3857" width="10.5703125" style="14" customWidth="1"/>
    <col min="3858" max="3858" width="11.28515625" style="14" customWidth="1"/>
    <col min="3859" max="3859" width="9.7109375" style="14" customWidth="1"/>
    <col min="3860" max="3860" width="12" style="14" customWidth="1"/>
    <col min="3861" max="3861" width="11.28515625" style="14" customWidth="1"/>
    <col min="3862" max="4099" width="9.140625" style="14"/>
    <col min="4100" max="4100" width="5.7109375" style="14" customWidth="1"/>
    <col min="4101" max="4101" width="13.140625" style="14" customWidth="1"/>
    <col min="4102" max="4102" width="12.28515625" style="14" customWidth="1"/>
    <col min="4103" max="4103" width="8.85546875" style="14" customWidth="1"/>
    <col min="4104" max="4104" width="10.85546875" style="14" customWidth="1"/>
    <col min="4105" max="4105" width="2.85546875" style="14" customWidth="1"/>
    <col min="4106" max="4106" width="12.140625" style="14" customWidth="1"/>
    <col min="4107" max="4107" width="10.140625" style="14" customWidth="1"/>
    <col min="4108" max="4108" width="11.7109375" style="14" customWidth="1"/>
    <col min="4109" max="4109" width="11.42578125" style="14" customWidth="1"/>
    <col min="4110" max="4110" width="12.7109375" style="14" customWidth="1"/>
    <col min="4111" max="4111" width="11.42578125" style="14" customWidth="1"/>
    <col min="4112" max="4112" width="10.7109375" style="14" customWidth="1"/>
    <col min="4113" max="4113" width="10.5703125" style="14" customWidth="1"/>
    <col min="4114" max="4114" width="11.28515625" style="14" customWidth="1"/>
    <col min="4115" max="4115" width="9.7109375" style="14" customWidth="1"/>
    <col min="4116" max="4116" width="12" style="14" customWidth="1"/>
    <col min="4117" max="4117" width="11.28515625" style="14" customWidth="1"/>
    <col min="4118" max="4355" width="9.140625" style="14"/>
    <col min="4356" max="4356" width="5.7109375" style="14" customWidth="1"/>
    <col min="4357" max="4357" width="13.140625" style="14" customWidth="1"/>
    <col min="4358" max="4358" width="12.28515625" style="14" customWidth="1"/>
    <col min="4359" max="4359" width="8.85546875" style="14" customWidth="1"/>
    <col min="4360" max="4360" width="10.85546875" style="14" customWidth="1"/>
    <col min="4361" max="4361" width="2.85546875" style="14" customWidth="1"/>
    <col min="4362" max="4362" width="12.140625" style="14" customWidth="1"/>
    <col min="4363" max="4363" width="10.140625" style="14" customWidth="1"/>
    <col min="4364" max="4364" width="11.7109375" style="14" customWidth="1"/>
    <col min="4365" max="4365" width="11.42578125" style="14" customWidth="1"/>
    <col min="4366" max="4366" width="12.7109375" style="14" customWidth="1"/>
    <col min="4367" max="4367" width="11.42578125" style="14" customWidth="1"/>
    <col min="4368" max="4368" width="10.7109375" style="14" customWidth="1"/>
    <col min="4369" max="4369" width="10.5703125" style="14" customWidth="1"/>
    <col min="4370" max="4370" width="11.28515625" style="14" customWidth="1"/>
    <col min="4371" max="4371" width="9.7109375" style="14" customWidth="1"/>
    <col min="4372" max="4372" width="12" style="14" customWidth="1"/>
    <col min="4373" max="4373" width="11.28515625" style="14" customWidth="1"/>
    <col min="4374" max="4611" width="9.140625" style="14"/>
    <col min="4612" max="4612" width="5.7109375" style="14" customWidth="1"/>
    <col min="4613" max="4613" width="13.140625" style="14" customWidth="1"/>
    <col min="4614" max="4614" width="12.28515625" style="14" customWidth="1"/>
    <col min="4615" max="4615" width="8.85546875" style="14" customWidth="1"/>
    <col min="4616" max="4616" width="10.85546875" style="14" customWidth="1"/>
    <col min="4617" max="4617" width="2.85546875" style="14" customWidth="1"/>
    <col min="4618" max="4618" width="12.140625" style="14" customWidth="1"/>
    <col min="4619" max="4619" width="10.140625" style="14" customWidth="1"/>
    <col min="4620" max="4620" width="11.7109375" style="14" customWidth="1"/>
    <col min="4621" max="4621" width="11.42578125" style="14" customWidth="1"/>
    <col min="4622" max="4622" width="12.7109375" style="14" customWidth="1"/>
    <col min="4623" max="4623" width="11.42578125" style="14" customWidth="1"/>
    <col min="4624" max="4624" width="10.7109375" style="14" customWidth="1"/>
    <col min="4625" max="4625" width="10.5703125" style="14" customWidth="1"/>
    <col min="4626" max="4626" width="11.28515625" style="14" customWidth="1"/>
    <col min="4627" max="4627" width="9.7109375" style="14" customWidth="1"/>
    <col min="4628" max="4628" width="12" style="14" customWidth="1"/>
    <col min="4629" max="4629" width="11.28515625" style="14" customWidth="1"/>
    <col min="4630" max="4867" width="9.140625" style="14"/>
    <col min="4868" max="4868" width="5.7109375" style="14" customWidth="1"/>
    <col min="4869" max="4869" width="13.140625" style="14" customWidth="1"/>
    <col min="4870" max="4870" width="12.28515625" style="14" customWidth="1"/>
    <col min="4871" max="4871" width="8.85546875" style="14" customWidth="1"/>
    <col min="4872" max="4872" width="10.85546875" style="14" customWidth="1"/>
    <col min="4873" max="4873" width="2.85546875" style="14" customWidth="1"/>
    <col min="4874" max="4874" width="12.140625" style="14" customWidth="1"/>
    <col min="4875" max="4875" width="10.140625" style="14" customWidth="1"/>
    <col min="4876" max="4876" width="11.7109375" style="14" customWidth="1"/>
    <col min="4877" max="4877" width="11.42578125" style="14" customWidth="1"/>
    <col min="4878" max="4878" width="12.7109375" style="14" customWidth="1"/>
    <col min="4879" max="4879" width="11.42578125" style="14" customWidth="1"/>
    <col min="4880" max="4880" width="10.7109375" style="14" customWidth="1"/>
    <col min="4881" max="4881" width="10.5703125" style="14" customWidth="1"/>
    <col min="4882" max="4882" width="11.28515625" style="14" customWidth="1"/>
    <col min="4883" max="4883" width="9.7109375" style="14" customWidth="1"/>
    <col min="4884" max="4884" width="12" style="14" customWidth="1"/>
    <col min="4885" max="4885" width="11.28515625" style="14" customWidth="1"/>
    <col min="4886" max="5123" width="9.140625" style="14"/>
    <col min="5124" max="5124" width="5.7109375" style="14" customWidth="1"/>
    <col min="5125" max="5125" width="13.140625" style="14" customWidth="1"/>
    <col min="5126" max="5126" width="12.28515625" style="14" customWidth="1"/>
    <col min="5127" max="5127" width="8.85546875" style="14" customWidth="1"/>
    <col min="5128" max="5128" width="10.85546875" style="14" customWidth="1"/>
    <col min="5129" max="5129" width="2.85546875" style="14" customWidth="1"/>
    <col min="5130" max="5130" width="12.140625" style="14" customWidth="1"/>
    <col min="5131" max="5131" width="10.140625" style="14" customWidth="1"/>
    <col min="5132" max="5132" width="11.7109375" style="14" customWidth="1"/>
    <col min="5133" max="5133" width="11.42578125" style="14" customWidth="1"/>
    <col min="5134" max="5134" width="12.7109375" style="14" customWidth="1"/>
    <col min="5135" max="5135" width="11.42578125" style="14" customWidth="1"/>
    <col min="5136" max="5136" width="10.7109375" style="14" customWidth="1"/>
    <col min="5137" max="5137" width="10.5703125" style="14" customWidth="1"/>
    <col min="5138" max="5138" width="11.28515625" style="14" customWidth="1"/>
    <col min="5139" max="5139" width="9.7109375" style="14" customWidth="1"/>
    <col min="5140" max="5140" width="12" style="14" customWidth="1"/>
    <col min="5141" max="5141" width="11.28515625" style="14" customWidth="1"/>
    <col min="5142" max="5379" width="9.140625" style="14"/>
    <col min="5380" max="5380" width="5.7109375" style="14" customWidth="1"/>
    <col min="5381" max="5381" width="13.140625" style="14" customWidth="1"/>
    <col min="5382" max="5382" width="12.28515625" style="14" customWidth="1"/>
    <col min="5383" max="5383" width="8.85546875" style="14" customWidth="1"/>
    <col min="5384" max="5384" width="10.85546875" style="14" customWidth="1"/>
    <col min="5385" max="5385" width="2.85546875" style="14" customWidth="1"/>
    <col min="5386" max="5386" width="12.140625" style="14" customWidth="1"/>
    <col min="5387" max="5387" width="10.140625" style="14" customWidth="1"/>
    <col min="5388" max="5388" width="11.7109375" style="14" customWidth="1"/>
    <col min="5389" max="5389" width="11.42578125" style="14" customWidth="1"/>
    <col min="5390" max="5390" width="12.7109375" style="14" customWidth="1"/>
    <col min="5391" max="5391" width="11.42578125" style="14" customWidth="1"/>
    <col min="5392" max="5392" width="10.7109375" style="14" customWidth="1"/>
    <col min="5393" max="5393" width="10.5703125" style="14" customWidth="1"/>
    <col min="5394" max="5394" width="11.28515625" style="14" customWidth="1"/>
    <col min="5395" max="5395" width="9.7109375" style="14" customWidth="1"/>
    <col min="5396" max="5396" width="12" style="14" customWidth="1"/>
    <col min="5397" max="5397" width="11.28515625" style="14" customWidth="1"/>
    <col min="5398" max="5635" width="9.140625" style="14"/>
    <col min="5636" max="5636" width="5.7109375" style="14" customWidth="1"/>
    <col min="5637" max="5637" width="13.140625" style="14" customWidth="1"/>
    <col min="5638" max="5638" width="12.28515625" style="14" customWidth="1"/>
    <col min="5639" max="5639" width="8.85546875" style="14" customWidth="1"/>
    <col min="5640" max="5640" width="10.85546875" style="14" customWidth="1"/>
    <col min="5641" max="5641" width="2.85546875" style="14" customWidth="1"/>
    <col min="5642" max="5642" width="12.140625" style="14" customWidth="1"/>
    <col min="5643" max="5643" width="10.140625" style="14" customWidth="1"/>
    <col min="5644" max="5644" width="11.7109375" style="14" customWidth="1"/>
    <col min="5645" max="5645" width="11.42578125" style="14" customWidth="1"/>
    <col min="5646" max="5646" width="12.7109375" style="14" customWidth="1"/>
    <col min="5647" max="5647" width="11.42578125" style="14" customWidth="1"/>
    <col min="5648" max="5648" width="10.7109375" style="14" customWidth="1"/>
    <col min="5649" max="5649" width="10.5703125" style="14" customWidth="1"/>
    <col min="5650" max="5650" width="11.28515625" style="14" customWidth="1"/>
    <col min="5651" max="5651" width="9.7109375" style="14" customWidth="1"/>
    <col min="5652" max="5652" width="12" style="14" customWidth="1"/>
    <col min="5653" max="5653" width="11.28515625" style="14" customWidth="1"/>
    <col min="5654" max="5891" width="9.140625" style="14"/>
    <col min="5892" max="5892" width="5.7109375" style="14" customWidth="1"/>
    <col min="5893" max="5893" width="13.140625" style="14" customWidth="1"/>
    <col min="5894" max="5894" width="12.28515625" style="14" customWidth="1"/>
    <col min="5895" max="5895" width="8.85546875" style="14" customWidth="1"/>
    <col min="5896" max="5896" width="10.85546875" style="14" customWidth="1"/>
    <col min="5897" max="5897" width="2.85546875" style="14" customWidth="1"/>
    <col min="5898" max="5898" width="12.140625" style="14" customWidth="1"/>
    <col min="5899" max="5899" width="10.140625" style="14" customWidth="1"/>
    <col min="5900" max="5900" width="11.7109375" style="14" customWidth="1"/>
    <col min="5901" max="5901" width="11.42578125" style="14" customWidth="1"/>
    <col min="5902" max="5902" width="12.7109375" style="14" customWidth="1"/>
    <col min="5903" max="5903" width="11.42578125" style="14" customWidth="1"/>
    <col min="5904" max="5904" width="10.7109375" style="14" customWidth="1"/>
    <col min="5905" max="5905" width="10.5703125" style="14" customWidth="1"/>
    <col min="5906" max="5906" width="11.28515625" style="14" customWidth="1"/>
    <col min="5907" max="5907" width="9.7109375" style="14" customWidth="1"/>
    <col min="5908" max="5908" width="12" style="14" customWidth="1"/>
    <col min="5909" max="5909" width="11.28515625" style="14" customWidth="1"/>
    <col min="5910" max="6147" width="9.140625" style="14"/>
    <col min="6148" max="6148" width="5.7109375" style="14" customWidth="1"/>
    <col min="6149" max="6149" width="13.140625" style="14" customWidth="1"/>
    <col min="6150" max="6150" width="12.28515625" style="14" customWidth="1"/>
    <col min="6151" max="6151" width="8.85546875" style="14" customWidth="1"/>
    <col min="6152" max="6152" width="10.85546875" style="14" customWidth="1"/>
    <col min="6153" max="6153" width="2.85546875" style="14" customWidth="1"/>
    <col min="6154" max="6154" width="12.140625" style="14" customWidth="1"/>
    <col min="6155" max="6155" width="10.140625" style="14" customWidth="1"/>
    <col min="6156" max="6156" width="11.7109375" style="14" customWidth="1"/>
    <col min="6157" max="6157" width="11.42578125" style="14" customWidth="1"/>
    <col min="6158" max="6158" width="12.7109375" style="14" customWidth="1"/>
    <col min="6159" max="6159" width="11.42578125" style="14" customWidth="1"/>
    <col min="6160" max="6160" width="10.7109375" style="14" customWidth="1"/>
    <col min="6161" max="6161" width="10.5703125" style="14" customWidth="1"/>
    <col min="6162" max="6162" width="11.28515625" style="14" customWidth="1"/>
    <col min="6163" max="6163" width="9.7109375" style="14" customWidth="1"/>
    <col min="6164" max="6164" width="12" style="14" customWidth="1"/>
    <col min="6165" max="6165" width="11.28515625" style="14" customWidth="1"/>
    <col min="6166" max="6403" width="9.140625" style="14"/>
    <col min="6404" max="6404" width="5.7109375" style="14" customWidth="1"/>
    <col min="6405" max="6405" width="13.140625" style="14" customWidth="1"/>
    <col min="6406" max="6406" width="12.28515625" style="14" customWidth="1"/>
    <col min="6407" max="6407" width="8.85546875" style="14" customWidth="1"/>
    <col min="6408" max="6408" width="10.85546875" style="14" customWidth="1"/>
    <col min="6409" max="6409" width="2.85546875" style="14" customWidth="1"/>
    <col min="6410" max="6410" width="12.140625" style="14" customWidth="1"/>
    <col min="6411" max="6411" width="10.140625" style="14" customWidth="1"/>
    <col min="6412" max="6412" width="11.7109375" style="14" customWidth="1"/>
    <col min="6413" max="6413" width="11.42578125" style="14" customWidth="1"/>
    <col min="6414" max="6414" width="12.7109375" style="14" customWidth="1"/>
    <col min="6415" max="6415" width="11.42578125" style="14" customWidth="1"/>
    <col min="6416" max="6416" width="10.7109375" style="14" customWidth="1"/>
    <col min="6417" max="6417" width="10.5703125" style="14" customWidth="1"/>
    <col min="6418" max="6418" width="11.28515625" style="14" customWidth="1"/>
    <col min="6419" max="6419" width="9.7109375" style="14" customWidth="1"/>
    <col min="6420" max="6420" width="12" style="14" customWidth="1"/>
    <col min="6421" max="6421" width="11.28515625" style="14" customWidth="1"/>
    <col min="6422" max="6659" width="9.140625" style="14"/>
    <col min="6660" max="6660" width="5.7109375" style="14" customWidth="1"/>
    <col min="6661" max="6661" width="13.140625" style="14" customWidth="1"/>
    <col min="6662" max="6662" width="12.28515625" style="14" customWidth="1"/>
    <col min="6663" max="6663" width="8.85546875" style="14" customWidth="1"/>
    <col min="6664" max="6664" width="10.85546875" style="14" customWidth="1"/>
    <col min="6665" max="6665" width="2.85546875" style="14" customWidth="1"/>
    <col min="6666" max="6666" width="12.140625" style="14" customWidth="1"/>
    <col min="6667" max="6667" width="10.140625" style="14" customWidth="1"/>
    <col min="6668" max="6668" width="11.7109375" style="14" customWidth="1"/>
    <col min="6669" max="6669" width="11.42578125" style="14" customWidth="1"/>
    <col min="6670" max="6670" width="12.7109375" style="14" customWidth="1"/>
    <col min="6671" max="6671" width="11.42578125" style="14" customWidth="1"/>
    <col min="6672" max="6672" width="10.7109375" style="14" customWidth="1"/>
    <col min="6673" max="6673" width="10.5703125" style="14" customWidth="1"/>
    <col min="6674" max="6674" width="11.28515625" style="14" customWidth="1"/>
    <col min="6675" max="6675" width="9.7109375" style="14" customWidth="1"/>
    <col min="6676" max="6676" width="12" style="14" customWidth="1"/>
    <col min="6677" max="6677" width="11.28515625" style="14" customWidth="1"/>
    <col min="6678" max="6915" width="9.140625" style="14"/>
    <col min="6916" max="6916" width="5.7109375" style="14" customWidth="1"/>
    <col min="6917" max="6917" width="13.140625" style="14" customWidth="1"/>
    <col min="6918" max="6918" width="12.28515625" style="14" customWidth="1"/>
    <col min="6919" max="6919" width="8.85546875" style="14" customWidth="1"/>
    <col min="6920" max="6920" width="10.85546875" style="14" customWidth="1"/>
    <col min="6921" max="6921" width="2.85546875" style="14" customWidth="1"/>
    <col min="6922" max="6922" width="12.140625" style="14" customWidth="1"/>
    <col min="6923" max="6923" width="10.140625" style="14" customWidth="1"/>
    <col min="6924" max="6924" width="11.7109375" style="14" customWidth="1"/>
    <col min="6925" max="6925" width="11.42578125" style="14" customWidth="1"/>
    <col min="6926" max="6926" width="12.7109375" style="14" customWidth="1"/>
    <col min="6927" max="6927" width="11.42578125" style="14" customWidth="1"/>
    <col min="6928" max="6928" width="10.7109375" style="14" customWidth="1"/>
    <col min="6929" max="6929" width="10.5703125" style="14" customWidth="1"/>
    <col min="6930" max="6930" width="11.28515625" style="14" customWidth="1"/>
    <col min="6931" max="6931" width="9.7109375" style="14" customWidth="1"/>
    <col min="6932" max="6932" width="12" style="14" customWidth="1"/>
    <col min="6933" max="6933" width="11.28515625" style="14" customWidth="1"/>
    <col min="6934" max="7171" width="9.140625" style="14"/>
    <col min="7172" max="7172" width="5.7109375" style="14" customWidth="1"/>
    <col min="7173" max="7173" width="13.140625" style="14" customWidth="1"/>
    <col min="7174" max="7174" width="12.28515625" style="14" customWidth="1"/>
    <col min="7175" max="7175" width="8.85546875" style="14" customWidth="1"/>
    <col min="7176" max="7176" width="10.85546875" style="14" customWidth="1"/>
    <col min="7177" max="7177" width="2.85546875" style="14" customWidth="1"/>
    <col min="7178" max="7178" width="12.140625" style="14" customWidth="1"/>
    <col min="7179" max="7179" width="10.140625" style="14" customWidth="1"/>
    <col min="7180" max="7180" width="11.7109375" style="14" customWidth="1"/>
    <col min="7181" max="7181" width="11.42578125" style="14" customWidth="1"/>
    <col min="7182" max="7182" width="12.7109375" style="14" customWidth="1"/>
    <col min="7183" max="7183" width="11.42578125" style="14" customWidth="1"/>
    <col min="7184" max="7184" width="10.7109375" style="14" customWidth="1"/>
    <col min="7185" max="7185" width="10.5703125" style="14" customWidth="1"/>
    <col min="7186" max="7186" width="11.28515625" style="14" customWidth="1"/>
    <col min="7187" max="7187" width="9.7109375" style="14" customWidth="1"/>
    <col min="7188" max="7188" width="12" style="14" customWidth="1"/>
    <col min="7189" max="7189" width="11.28515625" style="14" customWidth="1"/>
    <col min="7190" max="7427" width="9.140625" style="14"/>
    <col min="7428" max="7428" width="5.7109375" style="14" customWidth="1"/>
    <col min="7429" max="7429" width="13.140625" style="14" customWidth="1"/>
    <col min="7430" max="7430" width="12.28515625" style="14" customWidth="1"/>
    <col min="7431" max="7431" width="8.85546875" style="14" customWidth="1"/>
    <col min="7432" max="7432" width="10.85546875" style="14" customWidth="1"/>
    <col min="7433" max="7433" width="2.85546875" style="14" customWidth="1"/>
    <col min="7434" max="7434" width="12.140625" style="14" customWidth="1"/>
    <col min="7435" max="7435" width="10.140625" style="14" customWidth="1"/>
    <col min="7436" max="7436" width="11.7109375" style="14" customWidth="1"/>
    <col min="7437" max="7437" width="11.42578125" style="14" customWidth="1"/>
    <col min="7438" max="7438" width="12.7109375" style="14" customWidth="1"/>
    <col min="7439" max="7439" width="11.42578125" style="14" customWidth="1"/>
    <col min="7440" max="7440" width="10.7109375" style="14" customWidth="1"/>
    <col min="7441" max="7441" width="10.5703125" style="14" customWidth="1"/>
    <col min="7442" max="7442" width="11.28515625" style="14" customWidth="1"/>
    <col min="7443" max="7443" width="9.7109375" style="14" customWidth="1"/>
    <col min="7444" max="7444" width="12" style="14" customWidth="1"/>
    <col min="7445" max="7445" width="11.28515625" style="14" customWidth="1"/>
    <col min="7446" max="7683" width="9.140625" style="14"/>
    <col min="7684" max="7684" width="5.7109375" style="14" customWidth="1"/>
    <col min="7685" max="7685" width="13.140625" style="14" customWidth="1"/>
    <col min="7686" max="7686" width="12.28515625" style="14" customWidth="1"/>
    <col min="7687" max="7687" width="8.85546875" style="14" customWidth="1"/>
    <col min="7688" max="7688" width="10.85546875" style="14" customWidth="1"/>
    <col min="7689" max="7689" width="2.85546875" style="14" customWidth="1"/>
    <col min="7690" max="7690" width="12.140625" style="14" customWidth="1"/>
    <col min="7691" max="7691" width="10.140625" style="14" customWidth="1"/>
    <col min="7692" max="7692" width="11.7109375" style="14" customWidth="1"/>
    <col min="7693" max="7693" width="11.42578125" style="14" customWidth="1"/>
    <col min="7694" max="7694" width="12.7109375" style="14" customWidth="1"/>
    <col min="7695" max="7695" width="11.42578125" style="14" customWidth="1"/>
    <col min="7696" max="7696" width="10.7109375" style="14" customWidth="1"/>
    <col min="7697" max="7697" width="10.5703125" style="14" customWidth="1"/>
    <col min="7698" max="7698" width="11.28515625" style="14" customWidth="1"/>
    <col min="7699" max="7699" width="9.7109375" style="14" customWidth="1"/>
    <col min="7700" max="7700" width="12" style="14" customWidth="1"/>
    <col min="7701" max="7701" width="11.28515625" style="14" customWidth="1"/>
    <col min="7702" max="7939" width="9.140625" style="14"/>
    <col min="7940" max="7940" width="5.7109375" style="14" customWidth="1"/>
    <col min="7941" max="7941" width="13.140625" style="14" customWidth="1"/>
    <col min="7942" max="7942" width="12.28515625" style="14" customWidth="1"/>
    <col min="7943" max="7943" width="8.85546875" style="14" customWidth="1"/>
    <col min="7944" max="7944" width="10.85546875" style="14" customWidth="1"/>
    <col min="7945" max="7945" width="2.85546875" style="14" customWidth="1"/>
    <col min="7946" max="7946" width="12.140625" style="14" customWidth="1"/>
    <col min="7947" max="7947" width="10.140625" style="14" customWidth="1"/>
    <col min="7948" max="7948" width="11.7109375" style="14" customWidth="1"/>
    <col min="7949" max="7949" width="11.42578125" style="14" customWidth="1"/>
    <col min="7950" max="7950" width="12.7109375" style="14" customWidth="1"/>
    <col min="7951" max="7951" width="11.42578125" style="14" customWidth="1"/>
    <col min="7952" max="7952" width="10.7109375" style="14" customWidth="1"/>
    <col min="7953" max="7953" width="10.5703125" style="14" customWidth="1"/>
    <col min="7954" max="7954" width="11.28515625" style="14" customWidth="1"/>
    <col min="7955" max="7955" width="9.7109375" style="14" customWidth="1"/>
    <col min="7956" max="7956" width="12" style="14" customWidth="1"/>
    <col min="7957" max="7957" width="11.28515625" style="14" customWidth="1"/>
    <col min="7958" max="8195" width="9.140625" style="14"/>
    <col min="8196" max="8196" width="5.7109375" style="14" customWidth="1"/>
    <col min="8197" max="8197" width="13.140625" style="14" customWidth="1"/>
    <col min="8198" max="8198" width="12.28515625" style="14" customWidth="1"/>
    <col min="8199" max="8199" width="8.85546875" style="14" customWidth="1"/>
    <col min="8200" max="8200" width="10.85546875" style="14" customWidth="1"/>
    <col min="8201" max="8201" width="2.85546875" style="14" customWidth="1"/>
    <col min="8202" max="8202" width="12.140625" style="14" customWidth="1"/>
    <col min="8203" max="8203" width="10.140625" style="14" customWidth="1"/>
    <col min="8204" max="8204" width="11.7109375" style="14" customWidth="1"/>
    <col min="8205" max="8205" width="11.42578125" style="14" customWidth="1"/>
    <col min="8206" max="8206" width="12.7109375" style="14" customWidth="1"/>
    <col min="8207" max="8207" width="11.42578125" style="14" customWidth="1"/>
    <col min="8208" max="8208" width="10.7109375" style="14" customWidth="1"/>
    <col min="8209" max="8209" width="10.5703125" style="14" customWidth="1"/>
    <col min="8210" max="8210" width="11.28515625" style="14" customWidth="1"/>
    <col min="8211" max="8211" width="9.7109375" style="14" customWidth="1"/>
    <col min="8212" max="8212" width="12" style="14" customWidth="1"/>
    <col min="8213" max="8213" width="11.28515625" style="14" customWidth="1"/>
    <col min="8214" max="8451" width="9.140625" style="14"/>
    <col min="8452" max="8452" width="5.7109375" style="14" customWidth="1"/>
    <col min="8453" max="8453" width="13.140625" style="14" customWidth="1"/>
    <col min="8454" max="8454" width="12.28515625" style="14" customWidth="1"/>
    <col min="8455" max="8455" width="8.85546875" style="14" customWidth="1"/>
    <col min="8456" max="8456" width="10.85546875" style="14" customWidth="1"/>
    <col min="8457" max="8457" width="2.85546875" style="14" customWidth="1"/>
    <col min="8458" max="8458" width="12.140625" style="14" customWidth="1"/>
    <col min="8459" max="8459" width="10.140625" style="14" customWidth="1"/>
    <col min="8460" max="8460" width="11.7109375" style="14" customWidth="1"/>
    <col min="8461" max="8461" width="11.42578125" style="14" customWidth="1"/>
    <col min="8462" max="8462" width="12.7109375" style="14" customWidth="1"/>
    <col min="8463" max="8463" width="11.42578125" style="14" customWidth="1"/>
    <col min="8464" max="8464" width="10.7109375" style="14" customWidth="1"/>
    <col min="8465" max="8465" width="10.5703125" style="14" customWidth="1"/>
    <col min="8466" max="8466" width="11.28515625" style="14" customWidth="1"/>
    <col min="8467" max="8467" width="9.7109375" style="14" customWidth="1"/>
    <col min="8468" max="8468" width="12" style="14" customWidth="1"/>
    <col min="8469" max="8469" width="11.28515625" style="14" customWidth="1"/>
    <col min="8470" max="8707" width="9.140625" style="14"/>
    <col min="8708" max="8708" width="5.7109375" style="14" customWidth="1"/>
    <col min="8709" max="8709" width="13.140625" style="14" customWidth="1"/>
    <col min="8710" max="8710" width="12.28515625" style="14" customWidth="1"/>
    <col min="8711" max="8711" width="8.85546875" style="14" customWidth="1"/>
    <col min="8712" max="8712" width="10.85546875" style="14" customWidth="1"/>
    <col min="8713" max="8713" width="2.85546875" style="14" customWidth="1"/>
    <col min="8714" max="8714" width="12.140625" style="14" customWidth="1"/>
    <col min="8715" max="8715" width="10.140625" style="14" customWidth="1"/>
    <col min="8716" max="8716" width="11.7109375" style="14" customWidth="1"/>
    <col min="8717" max="8717" width="11.42578125" style="14" customWidth="1"/>
    <col min="8718" max="8718" width="12.7109375" style="14" customWidth="1"/>
    <col min="8719" max="8719" width="11.42578125" style="14" customWidth="1"/>
    <col min="8720" max="8720" width="10.7109375" style="14" customWidth="1"/>
    <col min="8721" max="8721" width="10.5703125" style="14" customWidth="1"/>
    <col min="8722" max="8722" width="11.28515625" style="14" customWidth="1"/>
    <col min="8723" max="8723" width="9.7109375" style="14" customWidth="1"/>
    <col min="8724" max="8724" width="12" style="14" customWidth="1"/>
    <col min="8725" max="8725" width="11.28515625" style="14" customWidth="1"/>
    <col min="8726" max="8963" width="9.140625" style="14"/>
    <col min="8964" max="8964" width="5.7109375" style="14" customWidth="1"/>
    <col min="8965" max="8965" width="13.140625" style="14" customWidth="1"/>
    <col min="8966" max="8966" width="12.28515625" style="14" customWidth="1"/>
    <col min="8967" max="8967" width="8.85546875" style="14" customWidth="1"/>
    <col min="8968" max="8968" width="10.85546875" style="14" customWidth="1"/>
    <col min="8969" max="8969" width="2.85546875" style="14" customWidth="1"/>
    <col min="8970" max="8970" width="12.140625" style="14" customWidth="1"/>
    <col min="8971" max="8971" width="10.140625" style="14" customWidth="1"/>
    <col min="8972" max="8972" width="11.7109375" style="14" customWidth="1"/>
    <col min="8973" max="8973" width="11.42578125" style="14" customWidth="1"/>
    <col min="8974" max="8974" width="12.7109375" style="14" customWidth="1"/>
    <col min="8975" max="8975" width="11.42578125" style="14" customWidth="1"/>
    <col min="8976" max="8976" width="10.7109375" style="14" customWidth="1"/>
    <col min="8977" max="8977" width="10.5703125" style="14" customWidth="1"/>
    <col min="8978" max="8978" width="11.28515625" style="14" customWidth="1"/>
    <col min="8979" max="8979" width="9.7109375" style="14" customWidth="1"/>
    <col min="8980" max="8980" width="12" style="14" customWidth="1"/>
    <col min="8981" max="8981" width="11.28515625" style="14" customWidth="1"/>
    <col min="8982" max="9219" width="9.140625" style="14"/>
    <col min="9220" max="9220" width="5.7109375" style="14" customWidth="1"/>
    <col min="9221" max="9221" width="13.140625" style="14" customWidth="1"/>
    <col min="9222" max="9222" width="12.28515625" style="14" customWidth="1"/>
    <col min="9223" max="9223" width="8.85546875" style="14" customWidth="1"/>
    <col min="9224" max="9224" width="10.85546875" style="14" customWidth="1"/>
    <col min="9225" max="9225" width="2.85546875" style="14" customWidth="1"/>
    <col min="9226" max="9226" width="12.140625" style="14" customWidth="1"/>
    <col min="9227" max="9227" width="10.140625" style="14" customWidth="1"/>
    <col min="9228" max="9228" width="11.7109375" style="14" customWidth="1"/>
    <col min="9229" max="9229" width="11.42578125" style="14" customWidth="1"/>
    <col min="9230" max="9230" width="12.7109375" style="14" customWidth="1"/>
    <col min="9231" max="9231" width="11.42578125" style="14" customWidth="1"/>
    <col min="9232" max="9232" width="10.7109375" style="14" customWidth="1"/>
    <col min="9233" max="9233" width="10.5703125" style="14" customWidth="1"/>
    <col min="9234" max="9234" width="11.28515625" style="14" customWidth="1"/>
    <col min="9235" max="9235" width="9.7109375" style="14" customWidth="1"/>
    <col min="9236" max="9236" width="12" style="14" customWidth="1"/>
    <col min="9237" max="9237" width="11.28515625" style="14" customWidth="1"/>
    <col min="9238" max="9475" width="9.140625" style="14"/>
    <col min="9476" max="9476" width="5.7109375" style="14" customWidth="1"/>
    <col min="9477" max="9477" width="13.140625" style="14" customWidth="1"/>
    <col min="9478" max="9478" width="12.28515625" style="14" customWidth="1"/>
    <col min="9479" max="9479" width="8.85546875" style="14" customWidth="1"/>
    <col min="9480" max="9480" width="10.85546875" style="14" customWidth="1"/>
    <col min="9481" max="9481" width="2.85546875" style="14" customWidth="1"/>
    <col min="9482" max="9482" width="12.140625" style="14" customWidth="1"/>
    <col min="9483" max="9483" width="10.140625" style="14" customWidth="1"/>
    <col min="9484" max="9484" width="11.7109375" style="14" customWidth="1"/>
    <col min="9485" max="9485" width="11.42578125" style="14" customWidth="1"/>
    <col min="9486" max="9486" width="12.7109375" style="14" customWidth="1"/>
    <col min="9487" max="9487" width="11.42578125" style="14" customWidth="1"/>
    <col min="9488" max="9488" width="10.7109375" style="14" customWidth="1"/>
    <col min="9489" max="9489" width="10.5703125" style="14" customWidth="1"/>
    <col min="9490" max="9490" width="11.28515625" style="14" customWidth="1"/>
    <col min="9491" max="9491" width="9.7109375" style="14" customWidth="1"/>
    <col min="9492" max="9492" width="12" style="14" customWidth="1"/>
    <col min="9493" max="9493" width="11.28515625" style="14" customWidth="1"/>
    <col min="9494" max="9731" width="9.140625" style="14"/>
    <col min="9732" max="9732" width="5.7109375" style="14" customWidth="1"/>
    <col min="9733" max="9733" width="13.140625" style="14" customWidth="1"/>
    <col min="9734" max="9734" width="12.28515625" style="14" customWidth="1"/>
    <col min="9735" max="9735" width="8.85546875" style="14" customWidth="1"/>
    <col min="9736" max="9736" width="10.85546875" style="14" customWidth="1"/>
    <col min="9737" max="9737" width="2.85546875" style="14" customWidth="1"/>
    <col min="9738" max="9738" width="12.140625" style="14" customWidth="1"/>
    <col min="9739" max="9739" width="10.140625" style="14" customWidth="1"/>
    <col min="9740" max="9740" width="11.7109375" style="14" customWidth="1"/>
    <col min="9741" max="9741" width="11.42578125" style="14" customWidth="1"/>
    <col min="9742" max="9742" width="12.7109375" style="14" customWidth="1"/>
    <col min="9743" max="9743" width="11.42578125" style="14" customWidth="1"/>
    <col min="9744" max="9744" width="10.7109375" style="14" customWidth="1"/>
    <col min="9745" max="9745" width="10.5703125" style="14" customWidth="1"/>
    <col min="9746" max="9746" width="11.28515625" style="14" customWidth="1"/>
    <col min="9747" max="9747" width="9.7109375" style="14" customWidth="1"/>
    <col min="9748" max="9748" width="12" style="14" customWidth="1"/>
    <col min="9749" max="9749" width="11.28515625" style="14" customWidth="1"/>
    <col min="9750" max="9987" width="9.140625" style="14"/>
    <col min="9988" max="9988" width="5.7109375" style="14" customWidth="1"/>
    <col min="9989" max="9989" width="13.140625" style="14" customWidth="1"/>
    <col min="9990" max="9990" width="12.28515625" style="14" customWidth="1"/>
    <col min="9991" max="9991" width="8.85546875" style="14" customWidth="1"/>
    <col min="9992" max="9992" width="10.85546875" style="14" customWidth="1"/>
    <col min="9993" max="9993" width="2.85546875" style="14" customWidth="1"/>
    <col min="9994" max="9994" width="12.140625" style="14" customWidth="1"/>
    <col min="9995" max="9995" width="10.140625" style="14" customWidth="1"/>
    <col min="9996" max="9996" width="11.7109375" style="14" customWidth="1"/>
    <col min="9997" max="9997" width="11.42578125" style="14" customWidth="1"/>
    <col min="9998" max="9998" width="12.7109375" style="14" customWidth="1"/>
    <col min="9999" max="9999" width="11.42578125" style="14" customWidth="1"/>
    <col min="10000" max="10000" width="10.7109375" style="14" customWidth="1"/>
    <col min="10001" max="10001" width="10.5703125" style="14" customWidth="1"/>
    <col min="10002" max="10002" width="11.28515625" style="14" customWidth="1"/>
    <col min="10003" max="10003" width="9.7109375" style="14" customWidth="1"/>
    <col min="10004" max="10004" width="12" style="14" customWidth="1"/>
    <col min="10005" max="10005" width="11.28515625" style="14" customWidth="1"/>
    <col min="10006" max="10243" width="9.140625" style="14"/>
    <col min="10244" max="10244" width="5.7109375" style="14" customWidth="1"/>
    <col min="10245" max="10245" width="13.140625" style="14" customWidth="1"/>
    <col min="10246" max="10246" width="12.28515625" style="14" customWidth="1"/>
    <col min="10247" max="10247" width="8.85546875" style="14" customWidth="1"/>
    <col min="10248" max="10248" width="10.85546875" style="14" customWidth="1"/>
    <col min="10249" max="10249" width="2.85546875" style="14" customWidth="1"/>
    <col min="10250" max="10250" width="12.140625" style="14" customWidth="1"/>
    <col min="10251" max="10251" width="10.140625" style="14" customWidth="1"/>
    <col min="10252" max="10252" width="11.7109375" style="14" customWidth="1"/>
    <col min="10253" max="10253" width="11.42578125" style="14" customWidth="1"/>
    <col min="10254" max="10254" width="12.7109375" style="14" customWidth="1"/>
    <col min="10255" max="10255" width="11.42578125" style="14" customWidth="1"/>
    <col min="10256" max="10256" width="10.7109375" style="14" customWidth="1"/>
    <col min="10257" max="10257" width="10.5703125" style="14" customWidth="1"/>
    <col min="10258" max="10258" width="11.28515625" style="14" customWidth="1"/>
    <col min="10259" max="10259" width="9.7109375" style="14" customWidth="1"/>
    <col min="10260" max="10260" width="12" style="14" customWidth="1"/>
    <col min="10261" max="10261" width="11.28515625" style="14" customWidth="1"/>
    <col min="10262" max="10499" width="9.140625" style="14"/>
    <col min="10500" max="10500" width="5.7109375" style="14" customWidth="1"/>
    <col min="10501" max="10501" width="13.140625" style="14" customWidth="1"/>
    <col min="10502" max="10502" width="12.28515625" style="14" customWidth="1"/>
    <col min="10503" max="10503" width="8.85546875" style="14" customWidth="1"/>
    <col min="10504" max="10504" width="10.85546875" style="14" customWidth="1"/>
    <col min="10505" max="10505" width="2.85546875" style="14" customWidth="1"/>
    <col min="10506" max="10506" width="12.140625" style="14" customWidth="1"/>
    <col min="10507" max="10507" width="10.140625" style="14" customWidth="1"/>
    <col min="10508" max="10508" width="11.7109375" style="14" customWidth="1"/>
    <col min="10509" max="10509" width="11.42578125" style="14" customWidth="1"/>
    <col min="10510" max="10510" width="12.7109375" style="14" customWidth="1"/>
    <col min="10511" max="10511" width="11.42578125" style="14" customWidth="1"/>
    <col min="10512" max="10512" width="10.7109375" style="14" customWidth="1"/>
    <col min="10513" max="10513" width="10.5703125" style="14" customWidth="1"/>
    <col min="10514" max="10514" width="11.28515625" style="14" customWidth="1"/>
    <col min="10515" max="10515" width="9.7109375" style="14" customWidth="1"/>
    <col min="10516" max="10516" width="12" style="14" customWidth="1"/>
    <col min="10517" max="10517" width="11.28515625" style="14" customWidth="1"/>
    <col min="10518" max="10755" width="9.140625" style="14"/>
    <col min="10756" max="10756" width="5.7109375" style="14" customWidth="1"/>
    <col min="10757" max="10757" width="13.140625" style="14" customWidth="1"/>
    <col min="10758" max="10758" width="12.28515625" style="14" customWidth="1"/>
    <col min="10759" max="10759" width="8.85546875" style="14" customWidth="1"/>
    <col min="10760" max="10760" width="10.85546875" style="14" customWidth="1"/>
    <col min="10761" max="10761" width="2.85546875" style="14" customWidth="1"/>
    <col min="10762" max="10762" width="12.140625" style="14" customWidth="1"/>
    <col min="10763" max="10763" width="10.140625" style="14" customWidth="1"/>
    <col min="10764" max="10764" width="11.7109375" style="14" customWidth="1"/>
    <col min="10765" max="10765" width="11.42578125" style="14" customWidth="1"/>
    <col min="10766" max="10766" width="12.7109375" style="14" customWidth="1"/>
    <col min="10767" max="10767" width="11.42578125" style="14" customWidth="1"/>
    <col min="10768" max="10768" width="10.7109375" style="14" customWidth="1"/>
    <col min="10769" max="10769" width="10.5703125" style="14" customWidth="1"/>
    <col min="10770" max="10770" width="11.28515625" style="14" customWidth="1"/>
    <col min="10771" max="10771" width="9.7109375" style="14" customWidth="1"/>
    <col min="10772" max="10772" width="12" style="14" customWidth="1"/>
    <col min="10773" max="10773" width="11.28515625" style="14" customWidth="1"/>
    <col min="10774" max="11011" width="9.140625" style="14"/>
    <col min="11012" max="11012" width="5.7109375" style="14" customWidth="1"/>
    <col min="11013" max="11013" width="13.140625" style="14" customWidth="1"/>
    <col min="11014" max="11014" width="12.28515625" style="14" customWidth="1"/>
    <col min="11015" max="11015" width="8.85546875" style="14" customWidth="1"/>
    <col min="11016" max="11016" width="10.85546875" style="14" customWidth="1"/>
    <col min="11017" max="11017" width="2.85546875" style="14" customWidth="1"/>
    <col min="11018" max="11018" width="12.140625" style="14" customWidth="1"/>
    <col min="11019" max="11019" width="10.140625" style="14" customWidth="1"/>
    <col min="11020" max="11020" width="11.7109375" style="14" customWidth="1"/>
    <col min="11021" max="11021" width="11.42578125" style="14" customWidth="1"/>
    <col min="11022" max="11022" width="12.7109375" style="14" customWidth="1"/>
    <col min="11023" max="11023" width="11.42578125" style="14" customWidth="1"/>
    <col min="11024" max="11024" width="10.7109375" style="14" customWidth="1"/>
    <col min="11025" max="11025" width="10.5703125" style="14" customWidth="1"/>
    <col min="11026" max="11026" width="11.28515625" style="14" customWidth="1"/>
    <col min="11027" max="11027" width="9.7109375" style="14" customWidth="1"/>
    <col min="11028" max="11028" width="12" style="14" customWidth="1"/>
    <col min="11029" max="11029" width="11.28515625" style="14" customWidth="1"/>
    <col min="11030" max="11267" width="9.140625" style="14"/>
    <col min="11268" max="11268" width="5.7109375" style="14" customWidth="1"/>
    <col min="11269" max="11269" width="13.140625" style="14" customWidth="1"/>
    <col min="11270" max="11270" width="12.28515625" style="14" customWidth="1"/>
    <col min="11271" max="11271" width="8.85546875" style="14" customWidth="1"/>
    <col min="11272" max="11272" width="10.85546875" style="14" customWidth="1"/>
    <col min="11273" max="11273" width="2.85546875" style="14" customWidth="1"/>
    <col min="11274" max="11274" width="12.140625" style="14" customWidth="1"/>
    <col min="11275" max="11275" width="10.140625" style="14" customWidth="1"/>
    <col min="11276" max="11276" width="11.7109375" style="14" customWidth="1"/>
    <col min="11277" max="11277" width="11.42578125" style="14" customWidth="1"/>
    <col min="11278" max="11278" width="12.7109375" style="14" customWidth="1"/>
    <col min="11279" max="11279" width="11.42578125" style="14" customWidth="1"/>
    <col min="11280" max="11280" width="10.7109375" style="14" customWidth="1"/>
    <col min="11281" max="11281" width="10.5703125" style="14" customWidth="1"/>
    <col min="11282" max="11282" width="11.28515625" style="14" customWidth="1"/>
    <col min="11283" max="11283" width="9.7109375" style="14" customWidth="1"/>
    <col min="11284" max="11284" width="12" style="14" customWidth="1"/>
    <col min="11285" max="11285" width="11.28515625" style="14" customWidth="1"/>
    <col min="11286" max="11523" width="9.140625" style="14"/>
    <col min="11524" max="11524" width="5.7109375" style="14" customWidth="1"/>
    <col min="11525" max="11525" width="13.140625" style="14" customWidth="1"/>
    <col min="11526" max="11526" width="12.28515625" style="14" customWidth="1"/>
    <col min="11527" max="11527" width="8.85546875" style="14" customWidth="1"/>
    <col min="11528" max="11528" width="10.85546875" style="14" customWidth="1"/>
    <col min="11529" max="11529" width="2.85546875" style="14" customWidth="1"/>
    <col min="11530" max="11530" width="12.140625" style="14" customWidth="1"/>
    <col min="11531" max="11531" width="10.140625" style="14" customWidth="1"/>
    <col min="11532" max="11532" width="11.7109375" style="14" customWidth="1"/>
    <col min="11533" max="11533" width="11.42578125" style="14" customWidth="1"/>
    <col min="11534" max="11534" width="12.7109375" style="14" customWidth="1"/>
    <col min="11535" max="11535" width="11.42578125" style="14" customWidth="1"/>
    <col min="11536" max="11536" width="10.7109375" style="14" customWidth="1"/>
    <col min="11537" max="11537" width="10.5703125" style="14" customWidth="1"/>
    <col min="11538" max="11538" width="11.28515625" style="14" customWidth="1"/>
    <col min="11539" max="11539" width="9.7109375" style="14" customWidth="1"/>
    <col min="11540" max="11540" width="12" style="14" customWidth="1"/>
    <col min="11541" max="11541" width="11.28515625" style="14" customWidth="1"/>
    <col min="11542" max="11779" width="9.140625" style="14"/>
    <col min="11780" max="11780" width="5.7109375" style="14" customWidth="1"/>
    <col min="11781" max="11781" width="13.140625" style="14" customWidth="1"/>
    <col min="11782" max="11782" width="12.28515625" style="14" customWidth="1"/>
    <col min="11783" max="11783" width="8.85546875" style="14" customWidth="1"/>
    <col min="11784" max="11784" width="10.85546875" style="14" customWidth="1"/>
    <col min="11785" max="11785" width="2.85546875" style="14" customWidth="1"/>
    <col min="11786" max="11786" width="12.140625" style="14" customWidth="1"/>
    <col min="11787" max="11787" width="10.140625" style="14" customWidth="1"/>
    <col min="11788" max="11788" width="11.7109375" style="14" customWidth="1"/>
    <col min="11789" max="11789" width="11.42578125" style="14" customWidth="1"/>
    <col min="11790" max="11790" width="12.7109375" style="14" customWidth="1"/>
    <col min="11791" max="11791" width="11.42578125" style="14" customWidth="1"/>
    <col min="11792" max="11792" width="10.7109375" style="14" customWidth="1"/>
    <col min="11793" max="11793" width="10.5703125" style="14" customWidth="1"/>
    <col min="11794" max="11794" width="11.28515625" style="14" customWidth="1"/>
    <col min="11795" max="11795" width="9.7109375" style="14" customWidth="1"/>
    <col min="11796" max="11796" width="12" style="14" customWidth="1"/>
    <col min="11797" max="11797" width="11.28515625" style="14" customWidth="1"/>
    <col min="11798" max="12035" width="9.140625" style="14"/>
    <col min="12036" max="12036" width="5.7109375" style="14" customWidth="1"/>
    <col min="12037" max="12037" width="13.140625" style="14" customWidth="1"/>
    <col min="12038" max="12038" width="12.28515625" style="14" customWidth="1"/>
    <col min="12039" max="12039" width="8.85546875" style="14" customWidth="1"/>
    <col min="12040" max="12040" width="10.85546875" style="14" customWidth="1"/>
    <col min="12041" max="12041" width="2.85546875" style="14" customWidth="1"/>
    <col min="12042" max="12042" width="12.140625" style="14" customWidth="1"/>
    <col min="12043" max="12043" width="10.140625" style="14" customWidth="1"/>
    <col min="12044" max="12044" width="11.7109375" style="14" customWidth="1"/>
    <col min="12045" max="12045" width="11.42578125" style="14" customWidth="1"/>
    <col min="12046" max="12046" width="12.7109375" style="14" customWidth="1"/>
    <col min="12047" max="12047" width="11.42578125" style="14" customWidth="1"/>
    <col min="12048" max="12048" width="10.7109375" style="14" customWidth="1"/>
    <col min="12049" max="12049" width="10.5703125" style="14" customWidth="1"/>
    <col min="12050" max="12050" width="11.28515625" style="14" customWidth="1"/>
    <col min="12051" max="12051" width="9.7109375" style="14" customWidth="1"/>
    <col min="12052" max="12052" width="12" style="14" customWidth="1"/>
    <col min="12053" max="12053" width="11.28515625" style="14" customWidth="1"/>
    <col min="12054" max="12291" width="9.140625" style="14"/>
    <col min="12292" max="12292" width="5.7109375" style="14" customWidth="1"/>
    <col min="12293" max="12293" width="13.140625" style="14" customWidth="1"/>
    <col min="12294" max="12294" width="12.28515625" style="14" customWidth="1"/>
    <col min="12295" max="12295" width="8.85546875" style="14" customWidth="1"/>
    <col min="12296" max="12296" width="10.85546875" style="14" customWidth="1"/>
    <col min="12297" max="12297" width="2.85546875" style="14" customWidth="1"/>
    <col min="12298" max="12298" width="12.140625" style="14" customWidth="1"/>
    <col min="12299" max="12299" width="10.140625" style="14" customWidth="1"/>
    <col min="12300" max="12300" width="11.7109375" style="14" customWidth="1"/>
    <col min="12301" max="12301" width="11.42578125" style="14" customWidth="1"/>
    <col min="12302" max="12302" width="12.7109375" style="14" customWidth="1"/>
    <col min="12303" max="12303" width="11.42578125" style="14" customWidth="1"/>
    <col min="12304" max="12304" width="10.7109375" style="14" customWidth="1"/>
    <col min="12305" max="12305" width="10.5703125" style="14" customWidth="1"/>
    <col min="12306" max="12306" width="11.28515625" style="14" customWidth="1"/>
    <col min="12307" max="12307" width="9.7109375" style="14" customWidth="1"/>
    <col min="12308" max="12308" width="12" style="14" customWidth="1"/>
    <col min="12309" max="12309" width="11.28515625" style="14" customWidth="1"/>
    <col min="12310" max="12547" width="9.140625" style="14"/>
    <col min="12548" max="12548" width="5.7109375" style="14" customWidth="1"/>
    <col min="12549" max="12549" width="13.140625" style="14" customWidth="1"/>
    <col min="12550" max="12550" width="12.28515625" style="14" customWidth="1"/>
    <col min="12551" max="12551" width="8.85546875" style="14" customWidth="1"/>
    <col min="12552" max="12552" width="10.85546875" style="14" customWidth="1"/>
    <col min="12553" max="12553" width="2.85546875" style="14" customWidth="1"/>
    <col min="12554" max="12554" width="12.140625" style="14" customWidth="1"/>
    <col min="12555" max="12555" width="10.140625" style="14" customWidth="1"/>
    <col min="12556" max="12556" width="11.7109375" style="14" customWidth="1"/>
    <col min="12557" max="12557" width="11.42578125" style="14" customWidth="1"/>
    <col min="12558" max="12558" width="12.7109375" style="14" customWidth="1"/>
    <col min="12559" max="12559" width="11.42578125" style="14" customWidth="1"/>
    <col min="12560" max="12560" width="10.7109375" style="14" customWidth="1"/>
    <col min="12561" max="12561" width="10.5703125" style="14" customWidth="1"/>
    <col min="12562" max="12562" width="11.28515625" style="14" customWidth="1"/>
    <col min="12563" max="12563" width="9.7109375" style="14" customWidth="1"/>
    <col min="12564" max="12564" width="12" style="14" customWidth="1"/>
    <col min="12565" max="12565" width="11.28515625" style="14" customWidth="1"/>
    <col min="12566" max="12803" width="9.140625" style="14"/>
    <col min="12804" max="12804" width="5.7109375" style="14" customWidth="1"/>
    <col min="12805" max="12805" width="13.140625" style="14" customWidth="1"/>
    <col min="12806" max="12806" width="12.28515625" style="14" customWidth="1"/>
    <col min="12807" max="12807" width="8.85546875" style="14" customWidth="1"/>
    <col min="12808" max="12808" width="10.85546875" style="14" customWidth="1"/>
    <col min="12809" max="12809" width="2.85546875" style="14" customWidth="1"/>
    <col min="12810" max="12810" width="12.140625" style="14" customWidth="1"/>
    <col min="12811" max="12811" width="10.140625" style="14" customWidth="1"/>
    <col min="12812" max="12812" width="11.7109375" style="14" customWidth="1"/>
    <col min="12813" max="12813" width="11.42578125" style="14" customWidth="1"/>
    <col min="12814" max="12814" width="12.7109375" style="14" customWidth="1"/>
    <col min="12815" max="12815" width="11.42578125" style="14" customWidth="1"/>
    <col min="12816" max="12816" width="10.7109375" style="14" customWidth="1"/>
    <col min="12817" max="12817" width="10.5703125" style="14" customWidth="1"/>
    <col min="12818" max="12818" width="11.28515625" style="14" customWidth="1"/>
    <col min="12819" max="12819" width="9.7109375" style="14" customWidth="1"/>
    <col min="12820" max="12820" width="12" style="14" customWidth="1"/>
    <col min="12821" max="12821" width="11.28515625" style="14" customWidth="1"/>
    <col min="12822" max="13059" width="9.140625" style="14"/>
    <col min="13060" max="13060" width="5.7109375" style="14" customWidth="1"/>
    <col min="13061" max="13061" width="13.140625" style="14" customWidth="1"/>
    <col min="13062" max="13062" width="12.28515625" style="14" customWidth="1"/>
    <col min="13063" max="13063" width="8.85546875" style="14" customWidth="1"/>
    <col min="13064" max="13064" width="10.85546875" style="14" customWidth="1"/>
    <col min="13065" max="13065" width="2.85546875" style="14" customWidth="1"/>
    <col min="13066" max="13066" width="12.140625" style="14" customWidth="1"/>
    <col min="13067" max="13067" width="10.140625" style="14" customWidth="1"/>
    <col min="13068" max="13068" width="11.7109375" style="14" customWidth="1"/>
    <col min="13069" max="13069" width="11.42578125" style="14" customWidth="1"/>
    <col min="13070" max="13070" width="12.7109375" style="14" customWidth="1"/>
    <col min="13071" max="13071" width="11.42578125" style="14" customWidth="1"/>
    <col min="13072" max="13072" width="10.7109375" style="14" customWidth="1"/>
    <col min="13073" max="13073" width="10.5703125" style="14" customWidth="1"/>
    <col min="13074" max="13074" width="11.28515625" style="14" customWidth="1"/>
    <col min="13075" max="13075" width="9.7109375" style="14" customWidth="1"/>
    <col min="13076" max="13076" width="12" style="14" customWidth="1"/>
    <col min="13077" max="13077" width="11.28515625" style="14" customWidth="1"/>
    <col min="13078" max="13315" width="9.140625" style="14"/>
    <col min="13316" max="13316" width="5.7109375" style="14" customWidth="1"/>
    <col min="13317" max="13317" width="13.140625" style="14" customWidth="1"/>
    <col min="13318" max="13318" width="12.28515625" style="14" customWidth="1"/>
    <col min="13319" max="13319" width="8.85546875" style="14" customWidth="1"/>
    <col min="13320" max="13320" width="10.85546875" style="14" customWidth="1"/>
    <col min="13321" max="13321" width="2.85546875" style="14" customWidth="1"/>
    <col min="13322" max="13322" width="12.140625" style="14" customWidth="1"/>
    <col min="13323" max="13323" width="10.140625" style="14" customWidth="1"/>
    <col min="13324" max="13324" width="11.7109375" style="14" customWidth="1"/>
    <col min="13325" max="13325" width="11.42578125" style="14" customWidth="1"/>
    <col min="13326" max="13326" width="12.7109375" style="14" customWidth="1"/>
    <col min="13327" max="13327" width="11.42578125" style="14" customWidth="1"/>
    <col min="13328" max="13328" width="10.7109375" style="14" customWidth="1"/>
    <col min="13329" max="13329" width="10.5703125" style="14" customWidth="1"/>
    <col min="13330" max="13330" width="11.28515625" style="14" customWidth="1"/>
    <col min="13331" max="13331" width="9.7109375" style="14" customWidth="1"/>
    <col min="13332" max="13332" width="12" style="14" customWidth="1"/>
    <col min="13333" max="13333" width="11.28515625" style="14" customWidth="1"/>
    <col min="13334" max="13571" width="9.140625" style="14"/>
    <col min="13572" max="13572" width="5.7109375" style="14" customWidth="1"/>
    <col min="13573" max="13573" width="13.140625" style="14" customWidth="1"/>
    <col min="13574" max="13574" width="12.28515625" style="14" customWidth="1"/>
    <col min="13575" max="13575" width="8.85546875" style="14" customWidth="1"/>
    <col min="13576" max="13576" width="10.85546875" style="14" customWidth="1"/>
    <col min="13577" max="13577" width="2.85546875" style="14" customWidth="1"/>
    <col min="13578" max="13578" width="12.140625" style="14" customWidth="1"/>
    <col min="13579" max="13579" width="10.140625" style="14" customWidth="1"/>
    <col min="13580" max="13580" width="11.7109375" style="14" customWidth="1"/>
    <col min="13581" max="13581" width="11.42578125" style="14" customWidth="1"/>
    <col min="13582" max="13582" width="12.7109375" style="14" customWidth="1"/>
    <col min="13583" max="13583" width="11.42578125" style="14" customWidth="1"/>
    <col min="13584" max="13584" width="10.7109375" style="14" customWidth="1"/>
    <col min="13585" max="13585" width="10.5703125" style="14" customWidth="1"/>
    <col min="13586" max="13586" width="11.28515625" style="14" customWidth="1"/>
    <col min="13587" max="13587" width="9.7109375" style="14" customWidth="1"/>
    <col min="13588" max="13588" width="12" style="14" customWidth="1"/>
    <col min="13589" max="13589" width="11.28515625" style="14" customWidth="1"/>
    <col min="13590" max="13827" width="9.140625" style="14"/>
    <col min="13828" max="13828" width="5.7109375" style="14" customWidth="1"/>
    <col min="13829" max="13829" width="13.140625" style="14" customWidth="1"/>
    <col min="13830" max="13830" width="12.28515625" style="14" customWidth="1"/>
    <col min="13831" max="13831" width="8.85546875" style="14" customWidth="1"/>
    <col min="13832" max="13832" width="10.85546875" style="14" customWidth="1"/>
    <col min="13833" max="13833" width="2.85546875" style="14" customWidth="1"/>
    <col min="13834" max="13834" width="12.140625" style="14" customWidth="1"/>
    <col min="13835" max="13835" width="10.140625" style="14" customWidth="1"/>
    <col min="13836" max="13836" width="11.7109375" style="14" customWidth="1"/>
    <col min="13837" max="13837" width="11.42578125" style="14" customWidth="1"/>
    <col min="13838" max="13838" width="12.7109375" style="14" customWidth="1"/>
    <col min="13839" max="13839" width="11.42578125" style="14" customWidth="1"/>
    <col min="13840" max="13840" width="10.7109375" style="14" customWidth="1"/>
    <col min="13841" max="13841" width="10.5703125" style="14" customWidth="1"/>
    <col min="13842" max="13842" width="11.28515625" style="14" customWidth="1"/>
    <col min="13843" max="13843" width="9.7109375" style="14" customWidth="1"/>
    <col min="13844" max="13844" width="12" style="14" customWidth="1"/>
    <col min="13845" max="13845" width="11.28515625" style="14" customWidth="1"/>
    <col min="13846" max="14083" width="9.140625" style="14"/>
    <col min="14084" max="14084" width="5.7109375" style="14" customWidth="1"/>
    <col min="14085" max="14085" width="13.140625" style="14" customWidth="1"/>
    <col min="14086" max="14086" width="12.28515625" style="14" customWidth="1"/>
    <col min="14087" max="14087" width="8.85546875" style="14" customWidth="1"/>
    <col min="14088" max="14088" width="10.85546875" style="14" customWidth="1"/>
    <col min="14089" max="14089" width="2.85546875" style="14" customWidth="1"/>
    <col min="14090" max="14090" width="12.140625" style="14" customWidth="1"/>
    <col min="14091" max="14091" width="10.140625" style="14" customWidth="1"/>
    <col min="14092" max="14092" width="11.7109375" style="14" customWidth="1"/>
    <col min="14093" max="14093" width="11.42578125" style="14" customWidth="1"/>
    <col min="14094" max="14094" width="12.7109375" style="14" customWidth="1"/>
    <col min="14095" max="14095" width="11.42578125" style="14" customWidth="1"/>
    <col min="14096" max="14096" width="10.7109375" style="14" customWidth="1"/>
    <col min="14097" max="14097" width="10.5703125" style="14" customWidth="1"/>
    <col min="14098" max="14098" width="11.28515625" style="14" customWidth="1"/>
    <col min="14099" max="14099" width="9.7109375" style="14" customWidth="1"/>
    <col min="14100" max="14100" width="12" style="14" customWidth="1"/>
    <col min="14101" max="14101" width="11.28515625" style="14" customWidth="1"/>
    <col min="14102" max="14339" width="9.140625" style="14"/>
    <col min="14340" max="14340" width="5.7109375" style="14" customWidth="1"/>
    <col min="14341" max="14341" width="13.140625" style="14" customWidth="1"/>
    <col min="14342" max="14342" width="12.28515625" style="14" customWidth="1"/>
    <col min="14343" max="14343" width="8.85546875" style="14" customWidth="1"/>
    <col min="14344" max="14344" width="10.85546875" style="14" customWidth="1"/>
    <col min="14345" max="14345" width="2.85546875" style="14" customWidth="1"/>
    <col min="14346" max="14346" width="12.140625" style="14" customWidth="1"/>
    <col min="14347" max="14347" width="10.140625" style="14" customWidth="1"/>
    <col min="14348" max="14348" width="11.7109375" style="14" customWidth="1"/>
    <col min="14349" max="14349" width="11.42578125" style="14" customWidth="1"/>
    <col min="14350" max="14350" width="12.7109375" style="14" customWidth="1"/>
    <col min="14351" max="14351" width="11.42578125" style="14" customWidth="1"/>
    <col min="14352" max="14352" width="10.7109375" style="14" customWidth="1"/>
    <col min="14353" max="14353" width="10.5703125" style="14" customWidth="1"/>
    <col min="14354" max="14354" width="11.28515625" style="14" customWidth="1"/>
    <col min="14355" max="14355" width="9.7109375" style="14" customWidth="1"/>
    <col min="14356" max="14356" width="12" style="14" customWidth="1"/>
    <col min="14357" max="14357" width="11.28515625" style="14" customWidth="1"/>
    <col min="14358" max="14595" width="9.140625" style="14"/>
    <col min="14596" max="14596" width="5.7109375" style="14" customWidth="1"/>
    <col min="14597" max="14597" width="13.140625" style="14" customWidth="1"/>
    <col min="14598" max="14598" width="12.28515625" style="14" customWidth="1"/>
    <col min="14599" max="14599" width="8.85546875" style="14" customWidth="1"/>
    <col min="14600" max="14600" width="10.85546875" style="14" customWidth="1"/>
    <col min="14601" max="14601" width="2.85546875" style="14" customWidth="1"/>
    <col min="14602" max="14602" width="12.140625" style="14" customWidth="1"/>
    <col min="14603" max="14603" width="10.140625" style="14" customWidth="1"/>
    <col min="14604" max="14604" width="11.7109375" style="14" customWidth="1"/>
    <col min="14605" max="14605" width="11.42578125" style="14" customWidth="1"/>
    <col min="14606" max="14606" width="12.7109375" style="14" customWidth="1"/>
    <col min="14607" max="14607" width="11.42578125" style="14" customWidth="1"/>
    <col min="14608" max="14608" width="10.7109375" style="14" customWidth="1"/>
    <col min="14609" max="14609" width="10.5703125" style="14" customWidth="1"/>
    <col min="14610" max="14610" width="11.28515625" style="14" customWidth="1"/>
    <col min="14611" max="14611" width="9.7109375" style="14" customWidth="1"/>
    <col min="14612" max="14612" width="12" style="14" customWidth="1"/>
    <col min="14613" max="14613" width="11.28515625" style="14" customWidth="1"/>
    <col min="14614" max="14851" width="9.140625" style="14"/>
    <col min="14852" max="14852" width="5.7109375" style="14" customWidth="1"/>
    <col min="14853" max="14853" width="13.140625" style="14" customWidth="1"/>
    <col min="14854" max="14854" width="12.28515625" style="14" customWidth="1"/>
    <col min="14855" max="14855" width="8.85546875" style="14" customWidth="1"/>
    <col min="14856" max="14856" width="10.85546875" style="14" customWidth="1"/>
    <col min="14857" max="14857" width="2.85546875" style="14" customWidth="1"/>
    <col min="14858" max="14858" width="12.140625" style="14" customWidth="1"/>
    <col min="14859" max="14859" width="10.140625" style="14" customWidth="1"/>
    <col min="14860" max="14860" width="11.7109375" style="14" customWidth="1"/>
    <col min="14861" max="14861" width="11.42578125" style="14" customWidth="1"/>
    <col min="14862" max="14862" width="12.7109375" style="14" customWidth="1"/>
    <col min="14863" max="14863" width="11.42578125" style="14" customWidth="1"/>
    <col min="14864" max="14864" width="10.7109375" style="14" customWidth="1"/>
    <col min="14865" max="14865" width="10.5703125" style="14" customWidth="1"/>
    <col min="14866" max="14866" width="11.28515625" style="14" customWidth="1"/>
    <col min="14867" max="14867" width="9.7109375" style="14" customWidth="1"/>
    <col min="14868" max="14868" width="12" style="14" customWidth="1"/>
    <col min="14869" max="14869" width="11.28515625" style="14" customWidth="1"/>
    <col min="14870" max="15107" width="9.140625" style="14"/>
    <col min="15108" max="15108" width="5.7109375" style="14" customWidth="1"/>
    <col min="15109" max="15109" width="13.140625" style="14" customWidth="1"/>
    <col min="15110" max="15110" width="12.28515625" style="14" customWidth="1"/>
    <col min="15111" max="15111" width="8.85546875" style="14" customWidth="1"/>
    <col min="15112" max="15112" width="10.85546875" style="14" customWidth="1"/>
    <col min="15113" max="15113" width="2.85546875" style="14" customWidth="1"/>
    <col min="15114" max="15114" width="12.140625" style="14" customWidth="1"/>
    <col min="15115" max="15115" width="10.140625" style="14" customWidth="1"/>
    <col min="15116" max="15116" width="11.7109375" style="14" customWidth="1"/>
    <col min="15117" max="15117" width="11.42578125" style="14" customWidth="1"/>
    <col min="15118" max="15118" width="12.7109375" style="14" customWidth="1"/>
    <col min="15119" max="15119" width="11.42578125" style="14" customWidth="1"/>
    <col min="15120" max="15120" width="10.7109375" style="14" customWidth="1"/>
    <col min="15121" max="15121" width="10.5703125" style="14" customWidth="1"/>
    <col min="15122" max="15122" width="11.28515625" style="14" customWidth="1"/>
    <col min="15123" max="15123" width="9.7109375" style="14" customWidth="1"/>
    <col min="15124" max="15124" width="12" style="14" customWidth="1"/>
    <col min="15125" max="15125" width="11.28515625" style="14" customWidth="1"/>
    <col min="15126" max="15363" width="9.140625" style="14"/>
    <col min="15364" max="15364" width="5.7109375" style="14" customWidth="1"/>
    <col min="15365" max="15365" width="13.140625" style="14" customWidth="1"/>
    <col min="15366" max="15366" width="12.28515625" style="14" customWidth="1"/>
    <col min="15367" max="15367" width="8.85546875" style="14" customWidth="1"/>
    <col min="15368" max="15368" width="10.85546875" style="14" customWidth="1"/>
    <col min="15369" max="15369" width="2.85546875" style="14" customWidth="1"/>
    <col min="15370" max="15370" width="12.140625" style="14" customWidth="1"/>
    <col min="15371" max="15371" width="10.140625" style="14" customWidth="1"/>
    <col min="15372" max="15372" width="11.7109375" style="14" customWidth="1"/>
    <col min="15373" max="15373" width="11.42578125" style="14" customWidth="1"/>
    <col min="15374" max="15374" width="12.7109375" style="14" customWidth="1"/>
    <col min="15375" max="15375" width="11.42578125" style="14" customWidth="1"/>
    <col min="15376" max="15376" width="10.7109375" style="14" customWidth="1"/>
    <col min="15377" max="15377" width="10.5703125" style="14" customWidth="1"/>
    <col min="15378" max="15378" width="11.28515625" style="14" customWidth="1"/>
    <col min="15379" max="15379" width="9.7109375" style="14" customWidth="1"/>
    <col min="15380" max="15380" width="12" style="14" customWidth="1"/>
    <col min="15381" max="15381" width="11.28515625" style="14" customWidth="1"/>
    <col min="15382" max="15619" width="9.140625" style="14"/>
    <col min="15620" max="15620" width="5.7109375" style="14" customWidth="1"/>
    <col min="15621" max="15621" width="13.140625" style="14" customWidth="1"/>
    <col min="15622" max="15622" width="12.28515625" style="14" customWidth="1"/>
    <col min="15623" max="15623" width="8.85546875" style="14" customWidth="1"/>
    <col min="15624" max="15624" width="10.85546875" style="14" customWidth="1"/>
    <col min="15625" max="15625" width="2.85546875" style="14" customWidth="1"/>
    <col min="15626" max="15626" width="12.140625" style="14" customWidth="1"/>
    <col min="15627" max="15627" width="10.140625" style="14" customWidth="1"/>
    <col min="15628" max="15628" width="11.7109375" style="14" customWidth="1"/>
    <col min="15629" max="15629" width="11.42578125" style="14" customWidth="1"/>
    <col min="15630" max="15630" width="12.7109375" style="14" customWidth="1"/>
    <col min="15631" max="15631" width="11.42578125" style="14" customWidth="1"/>
    <col min="15632" max="15632" width="10.7109375" style="14" customWidth="1"/>
    <col min="15633" max="15633" width="10.5703125" style="14" customWidth="1"/>
    <col min="15634" max="15634" width="11.28515625" style="14" customWidth="1"/>
    <col min="15635" max="15635" width="9.7109375" style="14" customWidth="1"/>
    <col min="15636" max="15636" width="12" style="14" customWidth="1"/>
    <col min="15637" max="15637" width="11.28515625" style="14" customWidth="1"/>
    <col min="15638" max="15875" width="9.140625" style="14"/>
    <col min="15876" max="15876" width="5.7109375" style="14" customWidth="1"/>
    <col min="15877" max="15877" width="13.140625" style="14" customWidth="1"/>
    <col min="15878" max="15878" width="12.28515625" style="14" customWidth="1"/>
    <col min="15879" max="15879" width="8.85546875" style="14" customWidth="1"/>
    <col min="15880" max="15880" width="10.85546875" style="14" customWidth="1"/>
    <col min="15881" max="15881" width="2.85546875" style="14" customWidth="1"/>
    <col min="15882" max="15882" width="12.140625" style="14" customWidth="1"/>
    <col min="15883" max="15883" width="10.140625" style="14" customWidth="1"/>
    <col min="15884" max="15884" width="11.7109375" style="14" customWidth="1"/>
    <col min="15885" max="15885" width="11.42578125" style="14" customWidth="1"/>
    <col min="15886" max="15886" width="12.7109375" style="14" customWidth="1"/>
    <col min="15887" max="15887" width="11.42578125" style="14" customWidth="1"/>
    <col min="15888" max="15888" width="10.7109375" style="14" customWidth="1"/>
    <col min="15889" max="15889" width="10.5703125" style="14" customWidth="1"/>
    <col min="15890" max="15890" width="11.28515625" style="14" customWidth="1"/>
    <col min="15891" max="15891" width="9.7109375" style="14" customWidth="1"/>
    <col min="15892" max="15892" width="12" style="14" customWidth="1"/>
    <col min="15893" max="15893" width="11.28515625" style="14" customWidth="1"/>
    <col min="15894" max="16131" width="9.140625" style="14"/>
    <col min="16132" max="16132" width="5.7109375" style="14" customWidth="1"/>
    <col min="16133" max="16133" width="13.140625" style="14" customWidth="1"/>
    <col min="16134" max="16134" width="12.28515625" style="14" customWidth="1"/>
    <col min="16135" max="16135" width="8.85546875" style="14" customWidth="1"/>
    <col min="16136" max="16136" width="10.85546875" style="14" customWidth="1"/>
    <col min="16137" max="16137" width="2.85546875" style="14" customWidth="1"/>
    <col min="16138" max="16138" width="12.140625" style="14" customWidth="1"/>
    <col min="16139" max="16139" width="10.140625" style="14" customWidth="1"/>
    <col min="16140" max="16140" width="11.7109375" style="14" customWidth="1"/>
    <col min="16141" max="16141" width="11.42578125" style="14" customWidth="1"/>
    <col min="16142" max="16142" width="12.7109375" style="14" customWidth="1"/>
    <col min="16143" max="16143" width="11.42578125" style="14" customWidth="1"/>
    <col min="16144" max="16144" width="10.7109375" style="14" customWidth="1"/>
    <col min="16145" max="16145" width="10.5703125" style="14" customWidth="1"/>
    <col min="16146" max="16146" width="11.28515625" style="14" customWidth="1"/>
    <col min="16147" max="16147" width="9.7109375" style="14" customWidth="1"/>
    <col min="16148" max="16148" width="12" style="14" customWidth="1"/>
    <col min="16149" max="16149" width="11.28515625" style="14" customWidth="1"/>
    <col min="16150" max="16384" width="9.140625" style="14"/>
  </cols>
  <sheetData>
    <row r="1" spans="4:21" ht="13.5" thickBot="1" x14ac:dyDescent="0.25">
      <c r="U1" s="14" t="s">
        <v>290</v>
      </c>
    </row>
    <row r="2" spans="4:21" ht="12" customHeight="1" thickBot="1" x14ac:dyDescent="0.25">
      <c r="Q2" s="633" t="s">
        <v>0</v>
      </c>
      <c r="R2" s="634"/>
      <c r="S2" s="635"/>
    </row>
    <row r="3" spans="4:21" ht="13.5" thickBot="1" x14ac:dyDescent="0.25">
      <c r="I3" s="636" t="s">
        <v>1</v>
      </c>
      <c r="J3" s="637"/>
      <c r="K3" s="637"/>
      <c r="L3" s="637"/>
      <c r="M3" s="637"/>
      <c r="N3" s="637"/>
      <c r="O3" s="638"/>
      <c r="Q3" s="611">
        <f>'AGUILAR ESQUIVEL CARLOS'!Q3</f>
        <v>45</v>
      </c>
      <c r="R3" s="639"/>
      <c r="S3" s="612"/>
    </row>
    <row r="4" spans="4:21" ht="13.5" thickBot="1" x14ac:dyDescent="0.25">
      <c r="I4" s="640" t="s">
        <v>2</v>
      </c>
      <c r="J4" s="641"/>
      <c r="K4" s="641"/>
      <c r="L4" s="641"/>
      <c r="M4" s="641"/>
      <c r="N4" s="641"/>
      <c r="O4" s="642"/>
      <c r="Q4" s="18"/>
      <c r="R4" s="18"/>
      <c r="S4" s="18"/>
      <c r="U4" s="14" t="s">
        <v>276</v>
      </c>
    </row>
    <row r="5" spans="4:21" ht="13.5" thickBot="1" x14ac:dyDescent="0.25">
      <c r="I5" s="643" t="s">
        <v>3</v>
      </c>
      <c r="J5" s="644"/>
      <c r="K5" s="644"/>
      <c r="L5" s="644"/>
      <c r="M5" s="644"/>
      <c r="N5" s="644"/>
      <c r="O5" s="645"/>
      <c r="Q5" s="611" t="s">
        <v>4</v>
      </c>
      <c r="R5" s="639"/>
      <c r="S5" s="612"/>
    </row>
    <row r="6" spans="4:21" ht="13.5" thickBot="1" x14ac:dyDescent="0.25">
      <c r="I6" s="650" t="s">
        <v>5</v>
      </c>
      <c r="J6" s="651"/>
      <c r="K6" s="651"/>
      <c r="L6" s="651"/>
      <c r="M6" s="651"/>
      <c r="N6" s="651"/>
      <c r="O6" s="652"/>
      <c r="Q6" s="653">
        <f>+'CARRERA REYES MARTIN SEBASTIAN'!Q6+1</f>
        <v>123</v>
      </c>
      <c r="R6" s="654"/>
      <c r="S6" s="655"/>
    </row>
    <row r="7" spans="4:21" ht="9" customHeight="1" x14ac:dyDescent="0.2">
      <c r="U7" s="14" t="s">
        <v>181</v>
      </c>
    </row>
    <row r="8" spans="4:21" ht="6.75" customHeight="1" thickBot="1" x14ac:dyDescent="0.25"/>
    <row r="9" spans="4:21" ht="13.5" thickBot="1" x14ac:dyDescent="0.25">
      <c r="I9" s="611" t="s">
        <v>6</v>
      </c>
      <c r="J9" s="639"/>
      <c r="K9" s="639"/>
      <c r="L9" s="639"/>
      <c r="M9" s="639"/>
      <c r="N9" s="639"/>
      <c r="O9" s="612"/>
    </row>
    <row r="10" spans="4:21" ht="11.25" customHeight="1" thickBot="1" x14ac:dyDescent="0.25">
      <c r="U10" s="14" t="s">
        <v>282</v>
      </c>
    </row>
    <row r="11" spans="4:21" x14ac:dyDescent="0.2">
      <c r="D11" s="1" t="s">
        <v>7</v>
      </c>
      <c r="E11" s="2" t="s">
        <v>82</v>
      </c>
      <c r="F11" s="2"/>
      <c r="G11" s="2"/>
      <c r="H11" s="2"/>
      <c r="I11" s="2"/>
      <c r="J11" s="2"/>
      <c r="K11" s="3" t="s">
        <v>8</v>
      </c>
      <c r="L11" s="656" t="str">
        <f>'AGUILAR ESQUIVEL CARLOS'!L11</f>
        <v>SEMANA #45 PERIODO DEL 27 de oct AL 02 de nov DEL 2025</v>
      </c>
      <c r="M11" s="656"/>
      <c r="N11" s="656"/>
      <c r="O11" s="656"/>
      <c r="P11" s="656"/>
      <c r="Q11" s="656"/>
      <c r="R11" s="656"/>
      <c r="S11" s="659"/>
    </row>
    <row r="12" spans="4:21" x14ac:dyDescent="0.2">
      <c r="D12" s="4" t="s">
        <v>9</v>
      </c>
      <c r="E12" s="680" t="s">
        <v>347</v>
      </c>
      <c r="F12" s="624"/>
      <c r="G12" s="5"/>
      <c r="H12" s="130"/>
      <c r="I12" s="130"/>
      <c r="J12" s="130"/>
      <c r="K12" s="130"/>
      <c r="L12" s="130"/>
      <c r="M12" s="130"/>
      <c r="N12" s="130"/>
      <c r="O12" s="130"/>
      <c r="P12" s="130"/>
      <c r="Q12" s="130"/>
      <c r="R12" s="130"/>
      <c r="S12" s="256"/>
    </row>
    <row r="13" spans="4:21" ht="9.75" customHeight="1" x14ac:dyDescent="0.2">
      <c r="D13" s="623"/>
      <c r="E13" s="624"/>
      <c r="F13" s="130"/>
      <c r="G13" s="130"/>
      <c r="H13" s="130"/>
      <c r="I13" s="130"/>
      <c r="J13" s="130"/>
      <c r="K13" s="130"/>
      <c r="L13" s="130"/>
      <c r="M13" s="130"/>
      <c r="N13" s="130"/>
      <c r="O13" s="130"/>
      <c r="P13" s="130"/>
      <c r="Q13" s="130"/>
      <c r="R13" s="130"/>
      <c r="S13" s="256"/>
    </row>
    <row r="14" spans="4:21" x14ac:dyDescent="0.2">
      <c r="D14" s="625" t="s">
        <v>10</v>
      </c>
      <c r="E14" s="626"/>
      <c r="F14" s="130">
        <v>329130</v>
      </c>
      <c r="G14" s="130"/>
      <c r="H14" s="130"/>
      <c r="I14" s="6" t="s">
        <v>11</v>
      </c>
      <c r="J14" s="6"/>
      <c r="K14" s="130"/>
      <c r="L14" s="130"/>
      <c r="M14" s="130"/>
      <c r="N14" s="130"/>
      <c r="O14" s="6" t="s">
        <v>12</v>
      </c>
      <c r="P14" s="7"/>
      <c r="Q14" s="7"/>
      <c r="R14" s="7"/>
      <c r="S14" s="8"/>
    </row>
    <row r="15" spans="4:21" x14ac:dyDescent="0.2">
      <c r="D15" s="625" t="s">
        <v>13</v>
      </c>
      <c r="E15" s="626"/>
      <c r="F15" s="130">
        <v>329904</v>
      </c>
      <c r="G15" s="130"/>
      <c r="H15" s="130"/>
      <c r="I15" s="6" t="s">
        <v>14</v>
      </c>
      <c r="J15" s="6"/>
      <c r="K15" s="130"/>
      <c r="L15" s="130"/>
      <c r="M15" s="130"/>
      <c r="N15" s="130"/>
      <c r="O15" s="6" t="s">
        <v>15</v>
      </c>
      <c r="P15" s="130"/>
      <c r="Q15" s="130"/>
      <c r="R15" s="130"/>
      <c r="S15" s="256"/>
    </row>
    <row r="16" spans="4:21" ht="13.5" thickBot="1" x14ac:dyDescent="0.25">
      <c r="D16" s="627" t="s">
        <v>16</v>
      </c>
      <c r="E16" s="628"/>
      <c r="F16" s="257">
        <f>SUM(J19:J31)</f>
        <v>3200</v>
      </c>
      <c r="G16" s="257"/>
      <c r="H16" s="257"/>
      <c r="I16" s="9" t="s">
        <v>17</v>
      </c>
      <c r="J16" s="257">
        <f>SUM(K19:K31)</f>
        <v>881.90000000000009</v>
      </c>
      <c r="K16" s="257"/>
      <c r="L16" s="257"/>
      <c r="M16" s="257"/>
      <c r="N16" s="257"/>
      <c r="O16" s="9" t="s">
        <v>18</v>
      </c>
      <c r="P16" s="10">
        <f>+F16/J16</f>
        <v>3.6285293117133457</v>
      </c>
      <c r="Q16" s="257"/>
      <c r="R16" s="257"/>
      <c r="S16" s="258"/>
    </row>
    <row r="17" spans="3:24" ht="7.5" customHeight="1" thickBot="1" x14ac:dyDescent="0.25"/>
    <row r="18" spans="3:24" ht="33" customHeight="1" thickBot="1" x14ac:dyDescent="0.25">
      <c r="C18" s="243" t="s">
        <v>19</v>
      </c>
      <c r="D18" s="33" t="s">
        <v>20</v>
      </c>
      <c r="E18" s="34" t="s">
        <v>21</v>
      </c>
      <c r="F18" s="34" t="s">
        <v>22</v>
      </c>
      <c r="G18" s="34" t="s">
        <v>23</v>
      </c>
      <c r="H18" s="34" t="s">
        <v>24</v>
      </c>
      <c r="I18" s="34" t="s">
        <v>25</v>
      </c>
      <c r="J18" s="34" t="s">
        <v>26</v>
      </c>
      <c r="K18" s="34" t="s">
        <v>27</v>
      </c>
      <c r="L18" s="34" t="s">
        <v>28</v>
      </c>
      <c r="M18" s="34" t="s">
        <v>285</v>
      </c>
      <c r="N18" s="34" t="s">
        <v>29</v>
      </c>
      <c r="O18" s="34" t="s">
        <v>30</v>
      </c>
      <c r="P18" s="33" t="s">
        <v>31</v>
      </c>
      <c r="Q18" s="34" t="s">
        <v>219</v>
      </c>
      <c r="R18" s="34" t="s">
        <v>184</v>
      </c>
      <c r="S18" s="34" t="s">
        <v>33</v>
      </c>
      <c r="T18" s="35" t="s">
        <v>220</v>
      </c>
      <c r="U18" s="448" t="s">
        <v>351</v>
      </c>
      <c r="V18" s="305" t="s">
        <v>355</v>
      </c>
    </row>
    <row r="19" spans="3:24" ht="15" customHeight="1" x14ac:dyDescent="0.2">
      <c r="C19" s="176">
        <v>46499</v>
      </c>
      <c r="D19" s="43" t="s">
        <v>492</v>
      </c>
      <c r="E19" s="42">
        <v>45958</v>
      </c>
      <c r="F19" s="42">
        <v>45959</v>
      </c>
      <c r="G19" s="92">
        <v>4</v>
      </c>
      <c r="H19" s="24" t="str">
        <f>IF(G19=1,KILOMETRAJE!C$4,IF(G19=2,KILOMETRAJE!C$5,IF(G19=3,KILOMETRAJE!C$6,IF(G19=4,KILOMETRAJE!C$7,IF(G19=5,KILOMETRAJE!C$8,IF(G19=6,KILOMETRAJE!C$9,IF(G19=7,KILOMETRAJE!C$10,IF(G19=8,KILOMETRAJE!C$11,IF(G19=9,KILOMETRAJE!C$12,IF(G19=10,KILOMETRAJE!C$13,IF(G19=11,KILOMETRAJE!C$14,IF(G19=12,KILOMETRAJE!C$15,IF(G19=13,KILOMETRAJE!C$16,IF(G19=14,KILOMETRAJE!C$17,IF(G19=15,KILOMETRAJE!C$18,IF(G19=16,KILOMETRAJE!C$19,IF(G19=17,KILOMETRAJE!C$20,IF(G19=18,KILOMETRAJE!C$21,IF(G19=19,KILOMETRAJE!C$22,IF(G19=20,KILOMETRAJE!C$23,IF(G19=21,KILOMETRAJE!C$24,IF(G19=22,KILOMETRAJE!C$25,IF(G19=23,KILOMETRAJE!C$26,IF(G19=24,KILOMETRAJE!C$27,IF(G19=25,KILOMETRAJE!C$28,IF(G19=26,KILOMETRAJE!C$29,IF(G19=27,KILOMETRAJE!C$30,IF(G19=28,KILOMETRAJE!C$31,IF(G19=29,KILOMETRAJE!C$32,IF(G19=30,KILOMETRAJE!C$33,IF(G19=31,KILOMETRAJE!C$34,IF(G19=32,KILOMETRAJE!C$35,IF(G19=33,KILOMETRAJE!C$36,IF(G19=34,KILOMETRAJE!C$37,IF(G19=35,KILOMETRAJE!C$38,IF(G19=36,KILOMETRAJE!C$39,IF(G19=37,KILOMETRAJE!C$40,IF(G19=38,KILOMETRAJE!C$41,IF(G19=39,KILOMETRAJE!C$42,IF(G19=40,KILOMETRAJE!C$43,IF(G19=41,KILOMETRAJE!C$44,IF(G19=42,KILOMETRAJE!C$45,IF(G19=43,KILOMETRAJE!C$46,IF(G19=44,KILOMETRAJE!C$47,IF(G19=45,KILOMETRAJE!C$48,IF(G19=46,KILOMETRAJE!C$49,IF(G19=47,KILOMETRAJE!C$50,IF(G19=48,KILOMETRAJE!C$51,IF(G19=49,KILOMETRAJE!C$52,IF(G19=50,KILOMETRAJE!C$53,IF(G19=51,KILOMETRAJE!C$54,IF(G19=52,KILOMETRAJE!C$55,IF(G19=53,KILOMETRAJE!C$56,IF(G19=54,KILOMETRAJE!C$57,IF(G19=55,KILOMETRAJE!C$58,IF(G19=56,KILOMETRAJE!C$59,IF(G19=57,KILOMETRAJE!C$60,IF(G19=58,KILOMETRAJE!C$61,IF(G19=59,KILOMETRAJE!C$62,IF(G19=60,KILOMETRAJE!C$63,IF(G19=61,KILOMETRAJE!C$64,IF(G19=62,KILOMETRAJE!C$65,IF(G19=63,KILOMETRAJE!C$66)))))))))))))))))))))))))))))))))))))))))))))))))))))))))))))))</f>
        <v xml:space="preserve">ELP. </v>
      </c>
      <c r="I19" s="24" t="str">
        <f>IF(G19=1,KILOMETRAJE!E$4,IF(G19=2,KILOMETRAJE!E$5,IF(G19=3,KILOMETRAJE!E$6,IF(G19=4,KILOMETRAJE!E$7,IF(G19=5,KILOMETRAJE!E$8,IF(G19=6,KILOMETRAJE!E$9,IF(G19=7,KILOMETRAJE!E$10,IF(G19=8,KILOMETRAJE!E$11,IF(G19=9,KILOMETRAJE!E$12,IF(G19=10,KILOMETRAJE!E$13,IF(G19=11,KILOMETRAJE!E$14,IF(G19=12,KILOMETRAJE!E$15,IF(G19=13,KILOMETRAJE!E$16,IF(G19=14,KILOMETRAJE!E$17,IF(G19=15,KILOMETRAJE!E$18,IF(G19=16,KILOMETRAJE!E$19,IF(G19=17,KILOMETRAJE!E$20,IF(G19=18,KILOMETRAJE!E$21,IF(G19=19,KILOMETRAJE!E$22,IF(G19=20,KILOMETRAJE!E$23,IF(G19=21,KILOMETRAJE!E$24,IF(G19=22,KILOMETRAJE!E$25,IF(G19=23,KILOMETRAJE!E$26,IF(G19=24,KILOMETRAJE!E$27,IF(G19=25,KILOMETRAJE!E$28,IF(G19=26,KILOMETRAJE!E$29,IF(G19=27,KILOMETRAJE!E$30,IF(G19=28,KILOMETRAJE!E$31,IF(G19=29,KILOMETRAJE!E$32,IF(G19=30,KILOMETRAJE!E$33,IF(G19=31,KILOMETRAJE!E$34,IF(G19=32,KILOMETRAJE!E$35,IF(G19=33,KILOMETRAJE!E$36,IF(G19=34,KILOMETRAJE!E$37,IF(G19=35,KILOMETRAJE!E$38,IF(G19=36,KILOMETRAJE!E$39,IF(G19=37,KILOMETRAJE!E$40,IF(G19=38,KILOMETRAJE!E$41,IF(G19=39,KILOMETRAJE!E$42,IF(G19=40,KILOMETRAJE!E$43,IF(G19=41,KILOMETRAJE!E$44,IF(G19=42,KILOMETRAJE!E$45,IF(G19=43,KILOMETRAJE!E$46,IF(G19=44,KILOMETRAJE!E$47,IF(G19=45,KILOMETRAJE!E$48,IF(G19=46,KILOMETRAJE!E$49,IF(G19=47,KILOMETRAJE!E$50,IF(G19=48,KILOMETRAJE!E$51,IF(G19=49,KILOMETRAJE!E$52,IF(G19=50,KILOMETRAJE!E$53,IF(G19=51,KILOMETRAJE!E$54,IF(G19=52,KILOMETRAJE!E$55,IF(G19=53,KILOMETRAJE!E$56,IF(G19=54,KILOMETRAJE!E$57,IF(G19=55,KILOMETRAJE!E$58,IF(G19=56,KILOMETRAJE!E$59,IF(G19=57,KILOMETRAJE!E$60,IF(G19=58,KILOMETRAJE!E$61,IF(G19=59,KILOMETRAJE!E$62,IF(G19=60,KILOMETRAJE!E$63,IF(G19=61,KILOMETRAJE!E$64,IF(G19=62,KILOMETRAJE!E$65,IF(G19=63,KILOMETRAJE!E$66)))))))))))))))))))))))))))))))))))))))))))))))))))))))))))))))</f>
        <v>CHIH.</v>
      </c>
      <c r="J19" s="51">
        <f>IF(G19=1,KILOMETRAJE!G$4,IF(G19=2,KILOMETRAJE!G$5,IF(G19=3,KILOMETRAJE!G$6,IF(G19=4,KILOMETRAJE!G$7,IF(G19=5,KILOMETRAJE!G$8,IF(G19=6,KILOMETRAJE!G$9,IF(G19=7,KILOMETRAJE!G$10,IF(G19=8,KILOMETRAJE!G$11,IF(G19=9,KILOMETRAJE!G$12,IF(G19=10,KILOMETRAJE!G$13,IF(G19=11,KILOMETRAJE!G$14,IF(G19=12,KILOMETRAJE!G$15,IF(G19=13,KILOMETRAJE!G$16,IF(G19=14,KILOMETRAJE!G$17,IF(G19=15,KILOMETRAJE!G$18,IF(G19=16,KILOMETRAJE!G$19,IF(G19=17,KILOMETRAJE!G$20,IF(G19=18,KILOMETRAJE!G$21,IF(G19=19,KILOMETRAJE!G$22,IF(G19=20,KILOMETRAJE!G$23,IF(G19=21,KILOMETRAJE!G$24,IF(G19=22,KILOMETRAJE!G$25,IF(G19=23,KILOMETRAJE!G$26,IF(G19=24,KILOMETRAJE!G$27,IF(G19=25,KILOMETRAJE!G$28,IF(G19=26,KILOMETRAJE!G$29,IF(G19=27,KILOMETRAJE!G$30,IF(G19=28,KILOMETRAJE!G$31,IF(G19=29,KILOMETRAJE!G$32,IF(G19=30,KILOMETRAJE!G$33,IF(G19=31,KILOMETRAJE!G$34,IF(G19=32,KILOMETRAJE!G$35,IF(G19=33,KILOMETRAJE!G$36,IF(G19=34,KILOMETRAJE!G$37,IF(G19=35,KILOMETRAJE!G$38,IF(G19=36,KILOMETRAJE!G$39,IF(G19=37,KILOMETRAJE!G$40,IF(G19=38,KILOMETRAJE!G$41,IF(G19=39,KILOMETRAJE!G$42,IF(G19=40,KILOMETRAJE!G$43,IF(G19=41,KILOMETRAJE!G$44,IF(G19=42,KILOMETRAJE!G$45,IF(G19=43,KILOMETRAJE!G$46,IF(G19=44,KILOMETRAJE!G$47,IF(G19=45,KILOMETRAJE!G$48,IF(G19=46,KILOMETRAJE!G$49,IF(G19=47,KILOMETRAJE!G$50,IF(G19=48,KILOMETRAJE!G$51,IF(G19=49,KILOMETRAJE!G$52,IF(G19=50,KILOMETRAJE!G$53,IF(G19=51,KILOMETRAJE!G$54,IF(G19=52,KILOMETRAJE!G$55,IF(G19=53,KILOMETRAJE!G$56,IF(G19=54,KILOMETRAJE!G$57,IF(G19=55,KILOMETRAJE!G$58,IF(G19=56,KILOMETRAJE!G$59,IF(G19=57,KILOMETRAJE!G$60,IF(G19=58,KILOMETRAJE!G$61,IF(G19=59,KILOMETRAJE!G$62,IF(G19=60,KILOMETRAJE!G$63,IF(G19=61,KILOMETRAJE!G$64,IF(G19=62,KILOMETRAJE!G$65,IF(G19=63,KILOMETRAJE!G$66)))))))))))))))))))))))))))))))))))))))))))))))))))))))))))))))</f>
        <v>415</v>
      </c>
      <c r="K19" s="24"/>
      <c r="L19" s="44"/>
      <c r="M19" s="348">
        <v>426</v>
      </c>
      <c r="N19" s="24">
        <v>4</v>
      </c>
      <c r="O19" s="24" t="s">
        <v>494</v>
      </c>
      <c r="P19" s="24" t="s">
        <v>199</v>
      </c>
      <c r="Q19" s="45">
        <f t="shared" ref="Q19:Q20" si="0">((((IF(N19=1,((J19)*0.29333)))+(IF(N19=2,((J19)*0.146666)))+(IF(N19=3,((J19)*0.146666)))))+(IF(N19=4,((J19-40)*0.29333)))+(IF(N19=5,((J19-50)*0.29333)))+(IF(N19=6,((J19-90)*0.29333))))</f>
        <v>109.99874999999999</v>
      </c>
      <c r="R19" s="191"/>
      <c r="S19" s="52"/>
      <c r="T19" s="455"/>
      <c r="U19" s="24"/>
      <c r="V19" s="79"/>
      <c r="W19" s="14"/>
    </row>
    <row r="20" spans="3:24" ht="13.5" thickBot="1" x14ac:dyDescent="0.25">
      <c r="C20" s="101"/>
      <c r="D20" s="62" t="s">
        <v>493</v>
      </c>
      <c r="E20" s="25">
        <v>45959</v>
      </c>
      <c r="F20" s="25">
        <v>45956</v>
      </c>
      <c r="G20" s="270">
        <v>27</v>
      </c>
      <c r="H20" s="241" t="str">
        <f>IF(G20=1,KILOMETRAJE!C$4,IF(G20=2,KILOMETRAJE!C$5,IF(G20=3,KILOMETRAJE!C$6,IF(G20=4,KILOMETRAJE!C$7,IF(G20=5,KILOMETRAJE!C$8,IF(G20=6,KILOMETRAJE!C$9,IF(G20=7,KILOMETRAJE!C$10,IF(G20=8,KILOMETRAJE!C$11,IF(G20=9,KILOMETRAJE!C$12,IF(G20=10,KILOMETRAJE!C$13,IF(G20=11,KILOMETRAJE!C$14,IF(G20=12,KILOMETRAJE!C$15,IF(G20=13,KILOMETRAJE!C$16,IF(G20=14,KILOMETRAJE!C$17,IF(G20=15,KILOMETRAJE!C$18,IF(G20=16,KILOMETRAJE!C$19,IF(G20=17,KILOMETRAJE!C$20,IF(G20=18,KILOMETRAJE!C$21,IF(G20=19,KILOMETRAJE!C$22,IF(G20=20,KILOMETRAJE!C$23,IF(G20=21,KILOMETRAJE!C$24,IF(G20=22,KILOMETRAJE!C$25,IF(G20=23,KILOMETRAJE!C$26,IF(G20=24,KILOMETRAJE!C$27,IF(G20=25,KILOMETRAJE!C$28,IF(G20=26,KILOMETRAJE!C$29,IF(G20=27,KILOMETRAJE!C$30,IF(G20=28,KILOMETRAJE!C$31,IF(G20=29,KILOMETRAJE!C$32,IF(G20=30,KILOMETRAJE!C$33,IF(G20=31,KILOMETRAJE!C$34,IF(G20=32,KILOMETRAJE!C$35,IF(G20=33,KILOMETRAJE!C$36,IF(G20=34,KILOMETRAJE!C$37,IF(G20=35,KILOMETRAJE!C$38,IF(G20=36,KILOMETRAJE!C$39,IF(G20=37,KILOMETRAJE!C$40,IF(G20=38,KILOMETRAJE!C$41,IF(G20=39,KILOMETRAJE!C$42,IF(G20=40,KILOMETRAJE!C$43,IF(G20=41,KILOMETRAJE!C$44,IF(G20=42,KILOMETRAJE!C$45,IF(G20=43,KILOMETRAJE!C$46,IF(G20=44,KILOMETRAJE!C$47,IF(G20=45,KILOMETRAJE!C$48,IF(G20=46,KILOMETRAJE!C$49,IF(G20=47,KILOMETRAJE!C$50,IF(G20=48,KILOMETRAJE!C$51,IF(G20=49,KILOMETRAJE!C$52,IF(G20=50,KILOMETRAJE!C$53,IF(G20=51,KILOMETRAJE!C$54,IF(G20=52,KILOMETRAJE!C$55,IF(G20=53,KILOMETRAJE!C$56,IF(G20=54,KILOMETRAJE!C$57,IF(G20=55,KILOMETRAJE!C$58,IF(G20=56,KILOMETRAJE!C$59,IF(G20=57,KILOMETRAJE!C$60,IF(G20=58,KILOMETRAJE!C$61,IF(G20=59,KILOMETRAJE!C$62,IF(G20=60,KILOMETRAJE!C$63,IF(G20=61,KILOMETRAJE!C$64,IF(G20=62,KILOMETRAJE!C$65,IF(G20=63,KILOMETRAJE!C$66)))))))))))))))))))))))))))))))))))))))))))))))))))))))))))))))</f>
        <v xml:space="preserve">CHIH. </v>
      </c>
      <c r="I20" s="241" t="str">
        <f>IF(G20=1,KILOMETRAJE!E$4,IF(G20=2,KILOMETRAJE!E$5,IF(G20=3,KILOMETRAJE!E$6,IF(G20=4,KILOMETRAJE!E$7,IF(G20=5,KILOMETRAJE!E$8,IF(G20=6,KILOMETRAJE!E$9,IF(G20=7,KILOMETRAJE!E$10,IF(G20=8,KILOMETRAJE!E$11,IF(G20=9,KILOMETRAJE!E$12,IF(G20=10,KILOMETRAJE!E$13,IF(G20=11,KILOMETRAJE!E$14,IF(G20=12,KILOMETRAJE!E$15,IF(G20=13,KILOMETRAJE!E$16,IF(G20=14,KILOMETRAJE!E$17,IF(G20=15,KILOMETRAJE!E$18,IF(G20=16,KILOMETRAJE!E$19,IF(G20=17,KILOMETRAJE!E$20,IF(G20=18,KILOMETRAJE!E$21,IF(G20=19,KILOMETRAJE!E$22,IF(G20=20,KILOMETRAJE!E$23,IF(G20=21,KILOMETRAJE!E$24,IF(G20=22,KILOMETRAJE!E$25,IF(G20=23,KILOMETRAJE!E$26,IF(G20=24,KILOMETRAJE!E$27,IF(G20=25,KILOMETRAJE!E$28,IF(G20=26,KILOMETRAJE!E$29,IF(G20=27,KILOMETRAJE!E$30,IF(G20=28,KILOMETRAJE!E$31,IF(G20=29,KILOMETRAJE!E$32,IF(G20=30,KILOMETRAJE!E$33,IF(G20=31,KILOMETRAJE!E$34,IF(G20=32,KILOMETRAJE!E$35,IF(G20=33,KILOMETRAJE!E$36,IF(G20=34,KILOMETRAJE!E$37,IF(G20=35,KILOMETRAJE!E$38,IF(G20=36,KILOMETRAJE!E$39,IF(G20=37,KILOMETRAJE!E$40,IF(G20=38,KILOMETRAJE!E$41,IF(G20=39,KILOMETRAJE!E$42,IF(G20=40,KILOMETRAJE!E$43,IF(G20=41,KILOMETRAJE!E$44,IF(G20=42,KILOMETRAJE!E$45,IF(G20=43,KILOMETRAJE!E$46,IF(G20=44,KILOMETRAJE!E$47,IF(G20=45,KILOMETRAJE!E$48,IF(G20=46,KILOMETRAJE!E$49,IF(G20=47,KILOMETRAJE!E$50,IF(G20=48,KILOMETRAJE!E$51,IF(G20=49,KILOMETRAJE!E$52,IF(G20=50,KILOMETRAJE!E$53,IF(G20=51,KILOMETRAJE!E$54,IF(G20=52,KILOMETRAJE!E$55,IF(G20=53,KILOMETRAJE!E$56,IF(G20=54,KILOMETRAJE!E$57,IF(G20=55,KILOMETRAJE!E$58,IF(G20=56,KILOMETRAJE!E$59,IF(G20=57,KILOMETRAJE!E$60,IF(G20=58,KILOMETRAJE!E$61,IF(G20=59,KILOMETRAJE!E$62,IF(G20=60,KILOMETRAJE!E$63,IF(G20=61,KILOMETRAJE!E$64,IF(G20=62,KILOMETRAJE!E$65,IF(G20=63,KILOMETRAJE!E$66)))))))))))))))))))))))))))))))))))))))))))))))))))))))))))))))</f>
        <v>ELP</v>
      </c>
      <c r="J20" s="242">
        <f>IF(G20=1,KILOMETRAJE!G$4,IF(G20=2,KILOMETRAJE!G$5,IF(G20=3,KILOMETRAJE!G$6,IF(G20=4,KILOMETRAJE!G$7,IF(G20=5,KILOMETRAJE!G$8,IF(G20=6,KILOMETRAJE!G$9,IF(G20=7,KILOMETRAJE!G$10,IF(G20=8,KILOMETRAJE!G$11,IF(G20=9,KILOMETRAJE!G$12,IF(G20=10,KILOMETRAJE!G$13,IF(G20=11,KILOMETRAJE!G$14,IF(G20=12,KILOMETRAJE!G$15,IF(G20=13,KILOMETRAJE!G$16,IF(G20=14,KILOMETRAJE!G$17,IF(G20=15,KILOMETRAJE!G$18,IF(G20=16,KILOMETRAJE!G$19,IF(G20=17,KILOMETRAJE!G$20,IF(G20=18,KILOMETRAJE!G$21,IF(G20=19,KILOMETRAJE!G$22,IF(G20=20,KILOMETRAJE!G$23,IF(G20=21,KILOMETRAJE!G$24,IF(G20=22,KILOMETRAJE!G$25,IF(G20=23,KILOMETRAJE!G$26,IF(G20=24,KILOMETRAJE!G$27,IF(G20=25,KILOMETRAJE!G$28,IF(G20=26,KILOMETRAJE!G$29,IF(G20=27,KILOMETRAJE!G$30,IF(G20=28,KILOMETRAJE!G$31,IF(G20=29,KILOMETRAJE!G$32,IF(G20=30,KILOMETRAJE!G$33,IF(G20=31,KILOMETRAJE!G$34,IF(G20=32,KILOMETRAJE!G$35,IF(G20=33,KILOMETRAJE!G$36,IF(G20=34,KILOMETRAJE!G$37,IF(G20=35,KILOMETRAJE!G$38,IF(G20=36,KILOMETRAJE!G$39,IF(G20=37,KILOMETRAJE!G$40,IF(G20=38,KILOMETRAJE!G$41,IF(G20=39,KILOMETRAJE!G$42,IF(G20=40,KILOMETRAJE!G$43,IF(G20=41,KILOMETRAJE!G$44,IF(G20=42,KILOMETRAJE!G$45,IF(G20=43,KILOMETRAJE!G$46,IF(G20=44,KILOMETRAJE!G$47,IF(G20=45,KILOMETRAJE!G$48,IF(G20=46,KILOMETRAJE!G$49,IF(G20=47,KILOMETRAJE!G$50,IF(G20=48,KILOMETRAJE!G$51,IF(G20=49,KILOMETRAJE!G$52,IF(G20=50,KILOMETRAJE!G$53,IF(G20=51,KILOMETRAJE!G$54,IF(G20=52,KILOMETRAJE!G$55,IF(G20=53,KILOMETRAJE!G$56,IF(G20=54,KILOMETRAJE!G$57,IF(G20=55,KILOMETRAJE!G$58,IF(G20=56,KILOMETRAJE!G$59,IF(G20=57,KILOMETRAJE!G$60,IF(G20=58,KILOMETRAJE!G$61,IF(G20=59,KILOMETRAJE!G$62,IF(G20=60,KILOMETRAJE!G$63,IF(G20=61,KILOMETRAJE!G$64,IF(G20=62,KILOMETRAJE!G$65,IF(G20=63,KILOMETRAJE!G$66)))))))))))))))))))))))))))))))))))))))))))))))))))))))))))))))</f>
        <v>415</v>
      </c>
      <c r="K20" s="27">
        <v>215.99</v>
      </c>
      <c r="L20" s="28">
        <f>SUM(J19:J20)/K20</f>
        <v>3.842770498634196</v>
      </c>
      <c r="M20" s="349">
        <v>402</v>
      </c>
      <c r="N20" s="27">
        <v>4</v>
      </c>
      <c r="O20" s="62" t="s">
        <v>495</v>
      </c>
      <c r="P20" s="27" t="s">
        <v>199</v>
      </c>
      <c r="Q20" s="29">
        <f t="shared" si="0"/>
        <v>109.99874999999999</v>
      </c>
      <c r="R20" s="190">
        <f>+LOOKUP(P39,UNIDADES!B$3:B$59,UNIDADES!C$3:C$59)</f>
        <v>2.4509799999999999</v>
      </c>
      <c r="S20" s="19">
        <f>+((SUM(J19:J20)-80)/R20)-K20</f>
        <v>90.01004896000785</v>
      </c>
      <c r="T20" s="456">
        <f>+S20*14.85</f>
        <v>1336.6492270561166</v>
      </c>
      <c r="U20" s="27"/>
      <c r="V20" s="55"/>
    </row>
    <row r="21" spans="3:24" x14ac:dyDescent="0.2">
      <c r="C21" s="433">
        <v>46119</v>
      </c>
      <c r="D21" s="77" t="s">
        <v>497</v>
      </c>
      <c r="E21" s="430">
        <v>45959</v>
      </c>
      <c r="F21" s="430">
        <v>45960</v>
      </c>
      <c r="G21" s="440">
        <v>4</v>
      </c>
      <c r="H21" s="24" t="str">
        <f>IF(G21=1,KILOMETRAJE!C$4,IF(G21=2,KILOMETRAJE!C$5,IF(G21=3,KILOMETRAJE!C$6,IF(G21=4,KILOMETRAJE!C$7,IF(G21=5,KILOMETRAJE!C$8,IF(G21=6,KILOMETRAJE!C$9,IF(G21=7,KILOMETRAJE!C$10,IF(G21=8,KILOMETRAJE!C$11,IF(G21=9,KILOMETRAJE!C$12,IF(G21=10,KILOMETRAJE!C$13,IF(G21=11,KILOMETRAJE!C$14,IF(G21=12,KILOMETRAJE!C$15,IF(G21=13,KILOMETRAJE!C$16,IF(G21=14,KILOMETRAJE!C$17,IF(G21=15,KILOMETRAJE!C$18,IF(G21=16,KILOMETRAJE!C$19,IF(G21=17,KILOMETRAJE!C$20,IF(G21=18,KILOMETRAJE!C$21,IF(G21=19,KILOMETRAJE!C$22,IF(G21=20,KILOMETRAJE!C$23,IF(G21=21,KILOMETRAJE!C$24,IF(G21=22,KILOMETRAJE!C$25,IF(G21=23,KILOMETRAJE!C$26,IF(G21=24,KILOMETRAJE!C$27,IF(G21=25,KILOMETRAJE!C$28,IF(G21=26,KILOMETRAJE!C$29,IF(G21=27,KILOMETRAJE!C$30,IF(G21=28,KILOMETRAJE!C$31,IF(G21=29,KILOMETRAJE!C$32,IF(G21=30,KILOMETRAJE!C$33,IF(G21=31,KILOMETRAJE!C$34,IF(G21=32,KILOMETRAJE!C$35,IF(G21=33,KILOMETRAJE!C$36,IF(G21=34,KILOMETRAJE!C$37,IF(G21=35,KILOMETRAJE!C$38,IF(G21=36,KILOMETRAJE!C$39,IF(G21=37,KILOMETRAJE!C$40,IF(G21=38,KILOMETRAJE!C$41,IF(G21=39,KILOMETRAJE!C$42,IF(G21=40,KILOMETRAJE!C$43,IF(G21=41,KILOMETRAJE!C$44,IF(G21=42,KILOMETRAJE!C$45,IF(G21=43,KILOMETRAJE!C$46,IF(G21=44,KILOMETRAJE!C$47,IF(G21=45,KILOMETRAJE!C$48,IF(G21=46,KILOMETRAJE!C$49,IF(G21=47,KILOMETRAJE!C$50,IF(G21=48,KILOMETRAJE!C$51,IF(G21=49,KILOMETRAJE!C$52,IF(G21=50,KILOMETRAJE!C$53,IF(G21=51,KILOMETRAJE!C$54,IF(G21=52,KILOMETRAJE!C$55,IF(G21=53,KILOMETRAJE!C$56,IF(G21=54,KILOMETRAJE!C$57,IF(G21=55,KILOMETRAJE!C$58,IF(G21=56,KILOMETRAJE!C$59,IF(G21=57,KILOMETRAJE!C$60,IF(G21=58,KILOMETRAJE!C$61,IF(G21=59,KILOMETRAJE!C$62,IF(G21=60,KILOMETRAJE!C$63,IF(G21=61,KILOMETRAJE!C$64,IF(G21=62,KILOMETRAJE!C$65,IF(G21=63,KILOMETRAJE!C$66)))))))))))))))))))))))))))))))))))))))))))))))))))))))))))))))</f>
        <v xml:space="preserve">ELP. </v>
      </c>
      <c r="I21" s="24" t="str">
        <f>IF(G21=1,KILOMETRAJE!E$4,IF(G21=2,KILOMETRAJE!E$5,IF(G21=3,KILOMETRAJE!E$6,IF(G21=4,KILOMETRAJE!E$7,IF(G21=5,KILOMETRAJE!E$8,IF(G21=6,KILOMETRAJE!E$9,IF(G21=7,KILOMETRAJE!E$10,IF(G21=8,KILOMETRAJE!E$11,IF(G21=9,KILOMETRAJE!E$12,IF(G21=10,KILOMETRAJE!E$13,IF(G21=11,KILOMETRAJE!E$14,IF(G21=12,KILOMETRAJE!E$15,IF(G21=13,KILOMETRAJE!E$16,IF(G21=14,KILOMETRAJE!E$17,IF(G21=15,KILOMETRAJE!E$18,IF(G21=16,KILOMETRAJE!E$19,IF(G21=17,KILOMETRAJE!E$20,IF(G21=18,KILOMETRAJE!E$21,IF(G21=19,KILOMETRAJE!E$22,IF(G21=20,KILOMETRAJE!E$23,IF(G21=21,KILOMETRAJE!E$24,IF(G21=22,KILOMETRAJE!E$25,IF(G21=23,KILOMETRAJE!E$26,IF(G21=24,KILOMETRAJE!E$27,IF(G21=25,KILOMETRAJE!E$28,IF(G21=26,KILOMETRAJE!E$29,IF(G21=27,KILOMETRAJE!E$30,IF(G21=28,KILOMETRAJE!E$31,IF(G21=29,KILOMETRAJE!E$32,IF(G21=30,KILOMETRAJE!E$33,IF(G21=31,KILOMETRAJE!E$34,IF(G21=32,KILOMETRAJE!E$35,IF(G21=33,KILOMETRAJE!E$36,IF(G21=34,KILOMETRAJE!E$37,IF(G21=35,KILOMETRAJE!E$38,IF(G21=36,KILOMETRAJE!E$39,IF(G21=37,KILOMETRAJE!E$40,IF(G21=38,KILOMETRAJE!E$41,IF(G21=39,KILOMETRAJE!E$42,IF(G21=40,KILOMETRAJE!E$43,IF(G21=41,KILOMETRAJE!E$44,IF(G21=42,KILOMETRAJE!E$45,IF(G21=43,KILOMETRAJE!E$46,IF(G21=44,KILOMETRAJE!E$47,IF(G21=45,KILOMETRAJE!E$48,IF(G21=46,KILOMETRAJE!E$49,IF(G21=47,KILOMETRAJE!E$50,IF(G21=48,KILOMETRAJE!E$51,IF(G21=49,KILOMETRAJE!E$52,IF(G21=50,KILOMETRAJE!E$53,IF(G21=51,KILOMETRAJE!E$54,IF(G21=52,KILOMETRAJE!E$55,IF(G21=53,KILOMETRAJE!E$56,IF(G21=54,KILOMETRAJE!E$57,IF(G21=55,KILOMETRAJE!E$58,IF(G21=56,KILOMETRAJE!E$59,IF(G21=57,KILOMETRAJE!E$60,IF(G21=58,KILOMETRAJE!E$61,IF(G21=59,KILOMETRAJE!E$62,IF(G21=60,KILOMETRAJE!E$63,IF(G21=61,KILOMETRAJE!E$64,IF(G21=62,KILOMETRAJE!E$65,IF(G21=63,KILOMETRAJE!E$66)))))))))))))))))))))))))))))))))))))))))))))))))))))))))))))))</f>
        <v>CHIH.</v>
      </c>
      <c r="J21" s="51">
        <f>IF(G21=1,KILOMETRAJE!G$4,IF(G21=2,KILOMETRAJE!G$5,IF(G21=3,KILOMETRAJE!G$6,IF(G21=4,KILOMETRAJE!G$7,IF(G21=5,KILOMETRAJE!G$8,IF(G21=6,KILOMETRAJE!G$9,IF(G21=7,KILOMETRAJE!G$10,IF(G21=8,KILOMETRAJE!G$11,IF(G21=9,KILOMETRAJE!G$12,IF(G21=10,KILOMETRAJE!G$13,IF(G21=11,KILOMETRAJE!G$14,IF(G21=12,KILOMETRAJE!G$15,IF(G21=13,KILOMETRAJE!G$16,IF(G21=14,KILOMETRAJE!G$17,IF(G21=15,KILOMETRAJE!G$18,IF(G21=16,KILOMETRAJE!G$19,IF(G21=17,KILOMETRAJE!G$20,IF(G21=18,KILOMETRAJE!G$21,IF(G21=19,KILOMETRAJE!G$22,IF(G21=20,KILOMETRAJE!G$23,IF(G21=21,KILOMETRAJE!G$24,IF(G21=22,KILOMETRAJE!G$25,IF(G21=23,KILOMETRAJE!G$26,IF(G21=24,KILOMETRAJE!G$27,IF(G21=25,KILOMETRAJE!G$28,IF(G21=26,KILOMETRAJE!G$29,IF(G21=27,KILOMETRAJE!G$30,IF(G21=28,KILOMETRAJE!G$31,IF(G21=29,KILOMETRAJE!G$32,IF(G21=30,KILOMETRAJE!G$33,IF(G21=31,KILOMETRAJE!G$34,IF(G21=32,KILOMETRAJE!G$35,IF(G21=33,KILOMETRAJE!G$36,IF(G21=34,KILOMETRAJE!G$37,IF(G21=35,KILOMETRAJE!G$38,IF(G21=36,KILOMETRAJE!G$39,IF(G21=37,KILOMETRAJE!G$40,IF(G21=38,KILOMETRAJE!G$41,IF(G21=39,KILOMETRAJE!G$42,IF(G21=40,KILOMETRAJE!G$43,IF(G21=41,KILOMETRAJE!G$44,IF(G21=42,KILOMETRAJE!G$45,IF(G21=43,KILOMETRAJE!G$46,IF(G21=44,KILOMETRAJE!G$47,IF(G21=45,KILOMETRAJE!G$48,IF(G21=46,KILOMETRAJE!G$49,IF(G21=47,KILOMETRAJE!G$50,IF(G21=48,KILOMETRAJE!G$51,IF(G21=49,KILOMETRAJE!G$52,IF(G21=50,KILOMETRAJE!G$53,IF(G21=51,KILOMETRAJE!G$54,IF(G21=52,KILOMETRAJE!G$55,IF(G21=53,KILOMETRAJE!G$56,IF(G21=54,KILOMETRAJE!G$57,IF(G21=55,KILOMETRAJE!G$58,IF(G21=56,KILOMETRAJE!G$59,IF(G21=57,KILOMETRAJE!G$60,IF(G21=58,KILOMETRAJE!G$61,IF(G21=59,KILOMETRAJE!G$62,IF(G21=60,KILOMETRAJE!G$63,IF(G21=61,KILOMETRAJE!G$64,IF(G21=62,KILOMETRAJE!G$65,IF(G21=63,KILOMETRAJE!G$66)))))))))))))))))))))))))))))))))))))))))))))))))))))))))))))))</f>
        <v>415</v>
      </c>
      <c r="K21" s="24"/>
      <c r="L21" s="44"/>
      <c r="M21" s="348">
        <v>1224</v>
      </c>
      <c r="N21" s="24">
        <v>4</v>
      </c>
      <c r="O21" s="24" t="s">
        <v>443</v>
      </c>
      <c r="P21" s="24" t="s">
        <v>199</v>
      </c>
      <c r="Q21" s="45">
        <f t="shared" ref="Q21:Q22" si="1">((((IF(N21=1,((J21)*0.29333)))+(IF(N21=2,((J21)*0.146666)))+(IF(N21=3,((J21)*0.146666)))))+(IF(N21=4,((J21-40)*0.29333)))+(IF(N21=5,((J21-50)*0.29333)))+(IF(N21=6,((J21-90)*0.29333))))</f>
        <v>109.99874999999999</v>
      </c>
      <c r="R21" s="191"/>
      <c r="S21" s="52"/>
      <c r="T21" s="455"/>
      <c r="U21" s="24">
        <v>61</v>
      </c>
      <c r="V21" s="79">
        <v>61</v>
      </c>
    </row>
    <row r="22" spans="3:24" ht="13.5" thickBot="1" x14ac:dyDescent="0.25">
      <c r="C22" s="101"/>
      <c r="D22" s="62" t="s">
        <v>498</v>
      </c>
      <c r="E22" s="25">
        <v>45960</v>
      </c>
      <c r="F22" s="25">
        <v>45960</v>
      </c>
      <c r="G22" s="62">
        <v>3</v>
      </c>
      <c r="H22" s="241" t="str">
        <f>IF(G22=1,KILOMETRAJE!C$4,IF(G22=2,KILOMETRAJE!C$5,IF(G22=3,KILOMETRAJE!C$6,IF(G22=4,KILOMETRAJE!C$7,IF(G22=5,KILOMETRAJE!C$8,IF(G22=6,KILOMETRAJE!C$9,IF(G22=7,KILOMETRAJE!C$10,IF(G22=8,KILOMETRAJE!C$11,IF(G22=9,KILOMETRAJE!C$12,IF(G22=10,KILOMETRAJE!C$13,IF(G22=11,KILOMETRAJE!C$14,IF(G22=12,KILOMETRAJE!C$15,IF(G22=13,KILOMETRAJE!C$16,IF(G22=14,KILOMETRAJE!C$17,IF(G22=15,KILOMETRAJE!C$18,IF(G22=16,KILOMETRAJE!C$19,IF(G22=17,KILOMETRAJE!C$20,IF(G22=18,KILOMETRAJE!C$21,IF(G22=19,KILOMETRAJE!C$22,IF(G22=20,KILOMETRAJE!C$23,IF(G22=21,KILOMETRAJE!C$24,IF(G22=22,KILOMETRAJE!C$25,IF(G22=23,KILOMETRAJE!C$26,IF(G22=24,KILOMETRAJE!C$27,IF(G22=25,KILOMETRAJE!C$28,IF(G22=26,KILOMETRAJE!C$29,IF(G22=27,KILOMETRAJE!C$30,IF(G22=28,KILOMETRAJE!C$31,IF(G22=29,KILOMETRAJE!C$32,IF(G22=30,KILOMETRAJE!C$33,IF(G22=31,KILOMETRAJE!C$34,IF(G22=32,KILOMETRAJE!C$35,IF(G22=33,KILOMETRAJE!C$36,IF(G22=34,KILOMETRAJE!C$37,IF(G22=35,KILOMETRAJE!C$38,IF(G22=36,KILOMETRAJE!C$39,IF(G22=37,KILOMETRAJE!C$40,IF(G22=38,KILOMETRAJE!C$41,IF(G22=39,KILOMETRAJE!C$42,IF(G22=40,KILOMETRAJE!C$43,IF(G22=41,KILOMETRAJE!C$44,IF(G22=42,KILOMETRAJE!C$45,IF(G22=43,KILOMETRAJE!C$46,IF(G22=44,KILOMETRAJE!C$47,IF(G22=45,KILOMETRAJE!C$48,IF(G22=46,KILOMETRAJE!C$49,IF(G22=47,KILOMETRAJE!C$50,IF(G22=48,KILOMETRAJE!C$51,IF(G22=49,KILOMETRAJE!C$52,IF(G22=50,KILOMETRAJE!C$53,IF(G22=51,KILOMETRAJE!C$54,IF(G22=52,KILOMETRAJE!C$55,IF(G22=53,KILOMETRAJE!C$56,IF(G22=54,KILOMETRAJE!C$57,IF(G22=55,KILOMETRAJE!C$58,IF(G22=56,KILOMETRAJE!C$59,IF(G22=57,KILOMETRAJE!C$60,IF(G22=58,KILOMETRAJE!C$61,IF(G22=59,KILOMETRAJE!C$62,IF(G22=60,KILOMETRAJE!C$63,IF(G22=61,KILOMETRAJE!C$64,IF(G22=62,KILOMETRAJE!C$65,IF(G22=63,KILOMETRAJE!C$66)))))))))))))))))))))))))))))))))))))))))))))))))))))))))))))))</f>
        <v xml:space="preserve">CHIH. </v>
      </c>
      <c r="I22" s="241" t="str">
        <f>IF(G22=1,KILOMETRAJE!E$4,IF(G22=2,KILOMETRAJE!E$5,IF(G22=3,KILOMETRAJE!E$6,IF(G22=4,KILOMETRAJE!E$7,IF(G22=5,KILOMETRAJE!E$8,IF(G22=6,KILOMETRAJE!E$9,IF(G22=7,KILOMETRAJE!E$10,IF(G22=8,KILOMETRAJE!E$11,IF(G22=9,KILOMETRAJE!E$12,IF(G22=10,KILOMETRAJE!E$13,IF(G22=11,KILOMETRAJE!E$14,IF(G22=12,KILOMETRAJE!E$15,IF(G22=13,KILOMETRAJE!E$16,IF(G22=14,KILOMETRAJE!E$17,IF(G22=15,KILOMETRAJE!E$18,IF(G22=16,KILOMETRAJE!E$19,IF(G22=17,KILOMETRAJE!E$20,IF(G22=18,KILOMETRAJE!E$21,IF(G22=19,KILOMETRAJE!E$22,IF(G22=20,KILOMETRAJE!E$23,IF(G22=21,KILOMETRAJE!E$24,IF(G22=22,KILOMETRAJE!E$25,IF(G22=23,KILOMETRAJE!E$26,IF(G22=24,KILOMETRAJE!E$27,IF(G22=25,KILOMETRAJE!E$28,IF(G22=26,KILOMETRAJE!E$29,IF(G22=27,KILOMETRAJE!E$30,IF(G22=28,KILOMETRAJE!E$31,IF(G22=29,KILOMETRAJE!E$32,IF(G22=30,KILOMETRAJE!E$33,IF(G22=31,KILOMETRAJE!E$34,IF(G22=32,KILOMETRAJE!E$35,IF(G22=33,KILOMETRAJE!E$36,IF(G22=34,KILOMETRAJE!E$37,IF(G22=35,KILOMETRAJE!E$38,IF(G22=36,KILOMETRAJE!E$39,IF(G22=37,KILOMETRAJE!E$40,IF(G22=38,KILOMETRAJE!E$41,IF(G22=39,KILOMETRAJE!E$42,IF(G22=40,KILOMETRAJE!E$43,IF(G22=41,KILOMETRAJE!E$44,IF(G22=42,KILOMETRAJE!E$45,IF(G22=43,KILOMETRAJE!E$46,IF(G22=44,KILOMETRAJE!E$47,IF(G22=45,KILOMETRAJE!E$48,IF(G22=46,KILOMETRAJE!E$49,IF(G22=47,KILOMETRAJE!E$50,IF(G22=48,KILOMETRAJE!E$51,IF(G22=49,KILOMETRAJE!E$52,IF(G22=50,KILOMETRAJE!E$53,IF(G22=51,KILOMETRAJE!E$54,IF(G22=52,KILOMETRAJE!E$55,IF(G22=53,KILOMETRAJE!E$56,IF(G22=54,KILOMETRAJE!E$57,IF(G22=55,KILOMETRAJE!E$58,IF(G22=56,KILOMETRAJE!E$59,IF(G22=57,KILOMETRAJE!E$60,IF(G22=58,KILOMETRAJE!E$61,IF(G22=59,KILOMETRAJE!E$62,IF(G22=60,KILOMETRAJE!E$63,IF(G22=61,KILOMETRAJE!E$64,IF(G22=62,KILOMETRAJE!E$65,IF(G22=63,KILOMETRAJE!E$66)))))))))))))))))))))))))))))))))))))))))))))))))))))))))))))))</f>
        <v>JRZ</v>
      </c>
      <c r="J22" s="242">
        <f>IF(G22=1,KILOMETRAJE!G$4,IF(G22=2,KILOMETRAJE!G$5,IF(G22=3,KILOMETRAJE!G$6,IF(G22=4,KILOMETRAJE!G$7,IF(G22=5,KILOMETRAJE!G$8,IF(G22=6,KILOMETRAJE!G$9,IF(G22=7,KILOMETRAJE!G$10,IF(G22=8,KILOMETRAJE!G$11,IF(G22=9,KILOMETRAJE!G$12,IF(G22=10,KILOMETRAJE!G$13,IF(G22=11,KILOMETRAJE!G$14,IF(G22=12,KILOMETRAJE!G$15,IF(G22=13,KILOMETRAJE!G$16,IF(G22=14,KILOMETRAJE!G$17,IF(G22=15,KILOMETRAJE!G$18,IF(G22=16,KILOMETRAJE!G$19,IF(G22=17,KILOMETRAJE!G$20,IF(G22=18,KILOMETRAJE!G$21,IF(G22=19,KILOMETRAJE!G$22,IF(G22=20,KILOMETRAJE!G$23,IF(G22=21,KILOMETRAJE!G$24,IF(G22=22,KILOMETRAJE!G$25,IF(G22=23,KILOMETRAJE!G$26,IF(G22=24,KILOMETRAJE!G$27,IF(G22=25,KILOMETRAJE!G$28,IF(G22=26,KILOMETRAJE!G$29,IF(G22=27,KILOMETRAJE!G$30,IF(G22=28,KILOMETRAJE!G$31,IF(G22=29,KILOMETRAJE!G$32,IF(G22=30,KILOMETRAJE!G$33,IF(G22=31,KILOMETRAJE!G$34,IF(G22=32,KILOMETRAJE!G$35,IF(G22=33,KILOMETRAJE!G$36,IF(G22=34,KILOMETRAJE!G$37,IF(G22=35,KILOMETRAJE!G$38,IF(G22=36,KILOMETRAJE!G$39,IF(G22=37,KILOMETRAJE!G$40,IF(G22=38,KILOMETRAJE!G$41,IF(G22=39,KILOMETRAJE!G$42,IF(G22=40,KILOMETRAJE!G$43,IF(G22=41,KILOMETRAJE!G$44,IF(G22=42,KILOMETRAJE!G$45,IF(G22=43,KILOMETRAJE!G$46,IF(G22=44,KILOMETRAJE!G$47,IF(G22=45,KILOMETRAJE!G$48,IF(G22=46,KILOMETRAJE!G$49,IF(G22=47,KILOMETRAJE!G$50,IF(G22=48,KILOMETRAJE!G$51,IF(G22=49,KILOMETRAJE!G$52,IF(G22=50,KILOMETRAJE!G$53,IF(G22=51,KILOMETRAJE!G$54,IF(G22=52,KILOMETRAJE!G$55,IF(G22=53,KILOMETRAJE!G$56,IF(G22=54,KILOMETRAJE!G$57,IF(G22=55,KILOMETRAJE!G$58,IF(G22=56,KILOMETRAJE!G$59,IF(G22=57,KILOMETRAJE!G$60,IF(G22=58,KILOMETRAJE!G$61,IF(G22=59,KILOMETRAJE!G$62,IF(G22=60,KILOMETRAJE!G$63,IF(G22=61,KILOMETRAJE!G$64,IF(G22=62,KILOMETRAJE!G$65,IF(G22=63,KILOMETRAJE!G$66)))))))))))))))))))))))))))))))))))))))))))))))))))))))))))))))</f>
        <v>375</v>
      </c>
      <c r="K22" s="27">
        <v>212.99</v>
      </c>
      <c r="L22" s="28">
        <f>SUM(J21:J22)/K22</f>
        <v>3.7090943236771676</v>
      </c>
      <c r="M22" s="349">
        <v>6385</v>
      </c>
      <c r="N22" s="27">
        <v>1</v>
      </c>
      <c r="O22" s="62" t="s">
        <v>499</v>
      </c>
      <c r="P22" s="27" t="s">
        <v>199</v>
      </c>
      <c r="Q22" s="29">
        <f t="shared" si="1"/>
        <v>109.99874999999999</v>
      </c>
      <c r="R22" s="190">
        <f>+LOOKUP(P40,UNIDADES!B$3:B$59,UNIDADES!C$3:C$59)</f>
        <v>2.4509799999999999</v>
      </c>
      <c r="S22" s="19">
        <f>+((SUM(J21:J22)-40)/R22)-K22</f>
        <v>93.01004896000785</v>
      </c>
      <c r="T22" s="456">
        <f>+S22*14.85</f>
        <v>1381.1992270561166</v>
      </c>
      <c r="U22" s="27" t="s">
        <v>500</v>
      </c>
      <c r="V22" s="55" t="s">
        <v>500</v>
      </c>
      <c r="W22" s="18"/>
    </row>
    <row r="23" spans="3:24" ht="12" customHeight="1" x14ac:dyDescent="0.2">
      <c r="C23" s="176">
        <v>46163</v>
      </c>
      <c r="D23" s="43" t="s">
        <v>501</v>
      </c>
      <c r="E23" s="42">
        <v>45961</v>
      </c>
      <c r="F23" s="42">
        <v>45961</v>
      </c>
      <c r="G23" s="43">
        <v>4</v>
      </c>
      <c r="H23" s="24" t="str">
        <f>IF(G23=1,KILOMETRAJE!C$4,IF(G23=2,KILOMETRAJE!C$5,IF(G23=3,KILOMETRAJE!C$6,IF(G23=4,KILOMETRAJE!C$7,IF(G23=5,KILOMETRAJE!C$8,IF(G23=6,KILOMETRAJE!C$9,IF(G23=7,KILOMETRAJE!C$10,IF(G23=8,KILOMETRAJE!C$11,IF(G23=9,KILOMETRAJE!C$12,IF(G23=10,KILOMETRAJE!C$13,IF(G23=11,KILOMETRAJE!C$14,IF(G23=12,KILOMETRAJE!C$15,IF(G23=13,KILOMETRAJE!C$16,IF(G23=14,KILOMETRAJE!C$17,IF(G23=15,KILOMETRAJE!C$18,IF(G23=16,KILOMETRAJE!C$19,IF(G23=17,KILOMETRAJE!C$20,IF(G23=18,KILOMETRAJE!C$21,IF(G23=19,KILOMETRAJE!C$22,IF(G23=20,KILOMETRAJE!C$23,IF(G23=21,KILOMETRAJE!C$24,IF(G23=22,KILOMETRAJE!C$25,IF(G23=23,KILOMETRAJE!C$26,IF(G23=24,KILOMETRAJE!C$27,IF(G23=25,KILOMETRAJE!C$28,IF(G23=26,KILOMETRAJE!C$29,IF(G23=27,KILOMETRAJE!C$30,IF(G23=28,KILOMETRAJE!C$31,IF(G23=29,KILOMETRAJE!C$32,IF(G23=30,KILOMETRAJE!C$33,IF(G23=31,KILOMETRAJE!C$34,IF(G23=32,KILOMETRAJE!C$35,IF(G23=33,KILOMETRAJE!C$36,IF(G23=34,KILOMETRAJE!C$37,IF(G23=35,KILOMETRAJE!C$38,IF(G23=36,KILOMETRAJE!C$39,IF(G23=37,KILOMETRAJE!C$40,IF(G23=38,KILOMETRAJE!C$41,IF(G23=39,KILOMETRAJE!C$42,IF(G23=40,KILOMETRAJE!C$43,IF(G23=41,KILOMETRAJE!C$44,IF(G23=42,KILOMETRAJE!C$45,IF(G23=43,KILOMETRAJE!C$46,IF(G23=44,KILOMETRAJE!C$47,IF(G23=45,KILOMETRAJE!C$48,IF(G23=46,KILOMETRAJE!C$49,IF(G23=47,KILOMETRAJE!C$50,IF(G23=48,KILOMETRAJE!C$51,IF(G23=49,KILOMETRAJE!C$52,IF(G23=50,KILOMETRAJE!C$53,IF(G23=51,KILOMETRAJE!C$54,IF(G23=52,KILOMETRAJE!C$55,IF(G23=53,KILOMETRAJE!C$56,IF(G23=54,KILOMETRAJE!C$57,IF(G23=55,KILOMETRAJE!C$58,IF(G23=56,KILOMETRAJE!C$59,IF(G23=57,KILOMETRAJE!C$60,IF(G23=58,KILOMETRAJE!C$61,IF(G23=59,KILOMETRAJE!C$62,IF(G23=60,KILOMETRAJE!C$63,IF(G23=61,KILOMETRAJE!C$64,IF(G23=62,KILOMETRAJE!C$65,IF(G23=63,KILOMETRAJE!C$66)))))))))))))))))))))))))))))))))))))))))))))))))))))))))))))))</f>
        <v xml:space="preserve">ELP. </v>
      </c>
      <c r="I23" s="24" t="str">
        <f>IF(G23=1,KILOMETRAJE!E$4,IF(G23=2,KILOMETRAJE!E$5,IF(G23=3,KILOMETRAJE!E$6,IF(G23=4,KILOMETRAJE!E$7,IF(G23=5,KILOMETRAJE!E$8,IF(G23=6,KILOMETRAJE!E$9,IF(G23=7,KILOMETRAJE!E$10,IF(G23=8,KILOMETRAJE!E$11,IF(G23=9,KILOMETRAJE!E$12,IF(G23=10,KILOMETRAJE!E$13,IF(G23=11,KILOMETRAJE!E$14,IF(G23=12,KILOMETRAJE!E$15,IF(G23=13,KILOMETRAJE!E$16,IF(G23=14,KILOMETRAJE!E$17,IF(G23=15,KILOMETRAJE!E$18,IF(G23=16,KILOMETRAJE!E$19,IF(G23=17,KILOMETRAJE!E$20,IF(G23=18,KILOMETRAJE!E$21,IF(G23=19,KILOMETRAJE!E$22,IF(G23=20,KILOMETRAJE!E$23,IF(G23=21,KILOMETRAJE!E$24,IF(G23=22,KILOMETRAJE!E$25,IF(G23=23,KILOMETRAJE!E$26,IF(G23=24,KILOMETRAJE!E$27,IF(G23=25,KILOMETRAJE!E$28,IF(G23=26,KILOMETRAJE!E$29,IF(G23=27,KILOMETRAJE!E$30,IF(G23=28,KILOMETRAJE!E$31,IF(G23=29,KILOMETRAJE!E$32,IF(G23=30,KILOMETRAJE!E$33,IF(G23=31,KILOMETRAJE!E$34,IF(G23=32,KILOMETRAJE!E$35,IF(G23=33,KILOMETRAJE!E$36,IF(G23=34,KILOMETRAJE!E$37,IF(G23=35,KILOMETRAJE!E$38,IF(G23=36,KILOMETRAJE!E$39,IF(G23=37,KILOMETRAJE!E$40,IF(G23=38,KILOMETRAJE!E$41,IF(G23=39,KILOMETRAJE!E$42,IF(G23=40,KILOMETRAJE!E$43,IF(G23=41,KILOMETRAJE!E$44,IF(G23=42,KILOMETRAJE!E$45,IF(G23=43,KILOMETRAJE!E$46,IF(G23=44,KILOMETRAJE!E$47,IF(G23=45,KILOMETRAJE!E$48,IF(G23=46,KILOMETRAJE!E$49,IF(G23=47,KILOMETRAJE!E$50,IF(G23=48,KILOMETRAJE!E$51,IF(G23=49,KILOMETRAJE!E$52,IF(G23=50,KILOMETRAJE!E$53,IF(G23=51,KILOMETRAJE!E$54,IF(G23=52,KILOMETRAJE!E$55,IF(G23=53,KILOMETRAJE!E$56,IF(G23=54,KILOMETRAJE!E$57,IF(G23=55,KILOMETRAJE!E$58,IF(G23=56,KILOMETRAJE!E$59,IF(G23=57,KILOMETRAJE!E$60,IF(G23=58,KILOMETRAJE!E$61,IF(G23=59,KILOMETRAJE!E$62,IF(G23=60,KILOMETRAJE!E$63,IF(G23=61,KILOMETRAJE!E$64,IF(G23=62,KILOMETRAJE!E$65,IF(G23=63,KILOMETRAJE!E$66)))))))))))))))))))))))))))))))))))))))))))))))))))))))))))))))</f>
        <v>CHIH.</v>
      </c>
      <c r="J23" s="51">
        <f>IF(G23=1,KILOMETRAJE!G$4,IF(G23=2,KILOMETRAJE!G$5,IF(G23=3,KILOMETRAJE!G$6,IF(G23=4,KILOMETRAJE!G$7,IF(G23=5,KILOMETRAJE!G$8,IF(G23=6,KILOMETRAJE!G$9,IF(G23=7,KILOMETRAJE!G$10,IF(G23=8,KILOMETRAJE!G$11,IF(G23=9,KILOMETRAJE!G$12,IF(G23=10,KILOMETRAJE!G$13,IF(G23=11,KILOMETRAJE!G$14,IF(G23=12,KILOMETRAJE!G$15,IF(G23=13,KILOMETRAJE!G$16,IF(G23=14,KILOMETRAJE!G$17,IF(G23=15,KILOMETRAJE!G$18,IF(G23=16,KILOMETRAJE!G$19,IF(G23=17,KILOMETRAJE!G$20,IF(G23=18,KILOMETRAJE!G$21,IF(G23=19,KILOMETRAJE!G$22,IF(G23=20,KILOMETRAJE!G$23,IF(G23=21,KILOMETRAJE!G$24,IF(G23=22,KILOMETRAJE!G$25,IF(G23=23,KILOMETRAJE!G$26,IF(G23=24,KILOMETRAJE!G$27,IF(G23=25,KILOMETRAJE!G$28,IF(G23=26,KILOMETRAJE!G$29,IF(G23=27,KILOMETRAJE!G$30,IF(G23=28,KILOMETRAJE!G$31,IF(G23=29,KILOMETRAJE!G$32,IF(G23=30,KILOMETRAJE!G$33,IF(G23=31,KILOMETRAJE!G$34,IF(G23=32,KILOMETRAJE!G$35,IF(G23=33,KILOMETRAJE!G$36,IF(G23=34,KILOMETRAJE!G$37,IF(G23=35,KILOMETRAJE!G$38,IF(G23=36,KILOMETRAJE!G$39,IF(G23=37,KILOMETRAJE!G$40,IF(G23=38,KILOMETRAJE!G$41,IF(G23=39,KILOMETRAJE!G$42,IF(G23=40,KILOMETRAJE!G$43,IF(G23=41,KILOMETRAJE!G$44,IF(G23=42,KILOMETRAJE!G$45,IF(G23=43,KILOMETRAJE!G$46,IF(G23=44,KILOMETRAJE!G$47,IF(G23=45,KILOMETRAJE!G$48,IF(G23=46,KILOMETRAJE!G$49,IF(G23=47,KILOMETRAJE!G$50,IF(G23=48,KILOMETRAJE!G$51,IF(G23=49,KILOMETRAJE!G$52,IF(G23=50,KILOMETRAJE!G$53,IF(G23=51,KILOMETRAJE!G$54,IF(G23=52,KILOMETRAJE!G$55,IF(G23=53,KILOMETRAJE!G$56,IF(G23=54,KILOMETRAJE!G$57,IF(G23=55,KILOMETRAJE!G$58,IF(G23=56,KILOMETRAJE!G$59,IF(G23=57,KILOMETRAJE!G$60,IF(G23=58,KILOMETRAJE!G$61,IF(G23=59,KILOMETRAJE!G$62,IF(G23=60,KILOMETRAJE!G$63,IF(G23=61,KILOMETRAJE!G$64,IF(G23=62,KILOMETRAJE!G$65,IF(G23=63,KILOMETRAJE!G$66)))))))))))))))))))))))))))))))))))))))))))))))))))))))))))))))</f>
        <v>415</v>
      </c>
      <c r="K23" s="24"/>
      <c r="L23" s="44"/>
      <c r="M23" s="348">
        <v>3032</v>
      </c>
      <c r="N23" s="24">
        <v>4</v>
      </c>
      <c r="O23" s="24" t="s">
        <v>443</v>
      </c>
      <c r="P23" s="24" t="s">
        <v>199</v>
      </c>
      <c r="Q23" s="45">
        <f t="shared" ref="Q23:Q24" si="2">((((IF(N23=1,((J23)*0.29333)))+(IF(N23=2,((J23)*0.146666)))+(IF(N23=3,((J23)*0.146666)))))+(IF(N23=4,((J23-40)*0.29333)))+(IF(N23=5,((J23-50)*0.29333)))+(IF(N23=6,((J23-90)*0.29333))))</f>
        <v>109.99874999999999</v>
      </c>
      <c r="R23" s="191"/>
      <c r="S23" s="52"/>
      <c r="T23" s="455"/>
      <c r="U23" s="24">
        <v>61</v>
      </c>
      <c r="V23" s="79">
        <v>61</v>
      </c>
    </row>
    <row r="24" spans="3:24" ht="13.5" thickBot="1" x14ac:dyDescent="0.25">
      <c r="C24" s="101"/>
      <c r="D24" s="62" t="s">
        <v>502</v>
      </c>
      <c r="E24" s="25">
        <v>45961</v>
      </c>
      <c r="F24" s="25">
        <v>45961</v>
      </c>
      <c r="G24" s="270">
        <v>3</v>
      </c>
      <c r="H24" s="241" t="str">
        <f>IF(G24=1,KILOMETRAJE!C$4,IF(G24=2,KILOMETRAJE!C$5,IF(G24=3,KILOMETRAJE!C$6,IF(G24=4,KILOMETRAJE!C$7,IF(G24=5,KILOMETRAJE!C$8,IF(G24=6,KILOMETRAJE!C$9,IF(G24=7,KILOMETRAJE!C$10,IF(G24=8,KILOMETRAJE!C$11,IF(G24=9,KILOMETRAJE!C$12,IF(G24=10,KILOMETRAJE!C$13,IF(G24=11,KILOMETRAJE!C$14,IF(G24=12,KILOMETRAJE!C$15,IF(G24=13,KILOMETRAJE!C$16,IF(G24=14,KILOMETRAJE!C$17,IF(G24=15,KILOMETRAJE!C$18,IF(G24=16,KILOMETRAJE!C$19,IF(G24=17,KILOMETRAJE!C$20,IF(G24=18,KILOMETRAJE!C$21,IF(G24=19,KILOMETRAJE!C$22,IF(G24=20,KILOMETRAJE!C$23,IF(G24=21,KILOMETRAJE!C$24,IF(G24=22,KILOMETRAJE!C$25,IF(G24=23,KILOMETRAJE!C$26,IF(G24=24,KILOMETRAJE!C$27,IF(G24=25,KILOMETRAJE!C$28,IF(G24=26,KILOMETRAJE!C$29,IF(G24=27,KILOMETRAJE!C$30,IF(G24=28,KILOMETRAJE!C$31,IF(G24=29,KILOMETRAJE!C$32,IF(G24=30,KILOMETRAJE!C$33,IF(G24=31,KILOMETRAJE!C$34,IF(G24=32,KILOMETRAJE!C$35,IF(G24=33,KILOMETRAJE!C$36,IF(G24=34,KILOMETRAJE!C$37,IF(G24=35,KILOMETRAJE!C$38,IF(G24=36,KILOMETRAJE!C$39,IF(G24=37,KILOMETRAJE!C$40,IF(G24=38,KILOMETRAJE!C$41,IF(G24=39,KILOMETRAJE!C$42,IF(G24=40,KILOMETRAJE!C$43,IF(G24=41,KILOMETRAJE!C$44,IF(G24=42,KILOMETRAJE!C$45,IF(G24=43,KILOMETRAJE!C$46,IF(G24=44,KILOMETRAJE!C$47,IF(G24=45,KILOMETRAJE!C$48,IF(G24=46,KILOMETRAJE!C$49,IF(G24=47,KILOMETRAJE!C$50,IF(G24=48,KILOMETRAJE!C$51,IF(G24=49,KILOMETRAJE!C$52,IF(G24=50,KILOMETRAJE!C$53,IF(G24=51,KILOMETRAJE!C$54,IF(G24=52,KILOMETRAJE!C$55,IF(G24=53,KILOMETRAJE!C$56,IF(G24=54,KILOMETRAJE!C$57,IF(G24=55,KILOMETRAJE!C$58,IF(G24=56,KILOMETRAJE!C$59,IF(G24=57,KILOMETRAJE!C$60,IF(G24=58,KILOMETRAJE!C$61,IF(G24=59,KILOMETRAJE!C$62,IF(G24=60,KILOMETRAJE!C$63,IF(G24=61,KILOMETRAJE!C$64,IF(G24=62,KILOMETRAJE!C$65,IF(G24=63,KILOMETRAJE!C$66)))))))))))))))))))))))))))))))))))))))))))))))))))))))))))))))</f>
        <v xml:space="preserve">CHIH. </v>
      </c>
      <c r="I24" s="241" t="str">
        <f>IF(G24=1,KILOMETRAJE!E$4,IF(G24=2,KILOMETRAJE!E$5,IF(G24=3,KILOMETRAJE!E$6,IF(G24=4,KILOMETRAJE!E$7,IF(G24=5,KILOMETRAJE!E$8,IF(G24=6,KILOMETRAJE!E$9,IF(G24=7,KILOMETRAJE!E$10,IF(G24=8,KILOMETRAJE!E$11,IF(G24=9,KILOMETRAJE!E$12,IF(G24=10,KILOMETRAJE!E$13,IF(G24=11,KILOMETRAJE!E$14,IF(G24=12,KILOMETRAJE!E$15,IF(G24=13,KILOMETRAJE!E$16,IF(G24=14,KILOMETRAJE!E$17,IF(G24=15,KILOMETRAJE!E$18,IF(G24=16,KILOMETRAJE!E$19,IF(G24=17,KILOMETRAJE!E$20,IF(G24=18,KILOMETRAJE!E$21,IF(G24=19,KILOMETRAJE!E$22,IF(G24=20,KILOMETRAJE!E$23,IF(G24=21,KILOMETRAJE!E$24,IF(G24=22,KILOMETRAJE!E$25,IF(G24=23,KILOMETRAJE!E$26,IF(G24=24,KILOMETRAJE!E$27,IF(G24=25,KILOMETRAJE!E$28,IF(G24=26,KILOMETRAJE!E$29,IF(G24=27,KILOMETRAJE!E$30,IF(G24=28,KILOMETRAJE!E$31,IF(G24=29,KILOMETRAJE!E$32,IF(G24=30,KILOMETRAJE!E$33,IF(G24=31,KILOMETRAJE!E$34,IF(G24=32,KILOMETRAJE!E$35,IF(G24=33,KILOMETRAJE!E$36,IF(G24=34,KILOMETRAJE!E$37,IF(G24=35,KILOMETRAJE!E$38,IF(G24=36,KILOMETRAJE!E$39,IF(G24=37,KILOMETRAJE!E$40,IF(G24=38,KILOMETRAJE!E$41,IF(G24=39,KILOMETRAJE!E$42,IF(G24=40,KILOMETRAJE!E$43,IF(G24=41,KILOMETRAJE!E$44,IF(G24=42,KILOMETRAJE!E$45,IF(G24=43,KILOMETRAJE!E$46,IF(G24=44,KILOMETRAJE!E$47,IF(G24=45,KILOMETRAJE!E$48,IF(G24=46,KILOMETRAJE!E$49,IF(G24=47,KILOMETRAJE!E$50,IF(G24=48,KILOMETRAJE!E$51,IF(G24=49,KILOMETRAJE!E$52,IF(G24=50,KILOMETRAJE!E$53,IF(G24=51,KILOMETRAJE!E$54,IF(G24=52,KILOMETRAJE!E$55,IF(G24=53,KILOMETRAJE!E$56,IF(G24=54,KILOMETRAJE!E$57,IF(G24=55,KILOMETRAJE!E$58,IF(G24=56,KILOMETRAJE!E$59,IF(G24=57,KILOMETRAJE!E$60,IF(G24=58,KILOMETRAJE!E$61,IF(G24=59,KILOMETRAJE!E$62,IF(G24=60,KILOMETRAJE!E$63,IF(G24=61,KILOMETRAJE!E$64,IF(G24=62,KILOMETRAJE!E$65,IF(G24=63,KILOMETRAJE!E$66)))))))))))))))))))))))))))))))))))))))))))))))))))))))))))))))</f>
        <v>JRZ</v>
      </c>
      <c r="J24" s="242">
        <f>IF(G24=1,KILOMETRAJE!G$4,IF(G24=2,KILOMETRAJE!G$5,IF(G24=3,KILOMETRAJE!G$6,IF(G24=4,KILOMETRAJE!G$7,IF(G24=5,KILOMETRAJE!G$8,IF(G24=6,KILOMETRAJE!G$9,IF(G24=7,KILOMETRAJE!G$10,IF(G24=8,KILOMETRAJE!G$11,IF(G24=9,KILOMETRAJE!G$12,IF(G24=10,KILOMETRAJE!G$13,IF(G24=11,KILOMETRAJE!G$14,IF(G24=12,KILOMETRAJE!G$15,IF(G24=13,KILOMETRAJE!G$16,IF(G24=14,KILOMETRAJE!G$17,IF(G24=15,KILOMETRAJE!G$18,IF(G24=16,KILOMETRAJE!G$19,IF(G24=17,KILOMETRAJE!G$20,IF(G24=18,KILOMETRAJE!G$21,IF(G24=19,KILOMETRAJE!G$22,IF(G24=20,KILOMETRAJE!G$23,IF(G24=21,KILOMETRAJE!G$24,IF(G24=22,KILOMETRAJE!G$25,IF(G24=23,KILOMETRAJE!G$26,IF(G24=24,KILOMETRAJE!G$27,IF(G24=25,KILOMETRAJE!G$28,IF(G24=26,KILOMETRAJE!G$29,IF(G24=27,KILOMETRAJE!G$30,IF(G24=28,KILOMETRAJE!G$31,IF(G24=29,KILOMETRAJE!G$32,IF(G24=30,KILOMETRAJE!G$33,IF(G24=31,KILOMETRAJE!G$34,IF(G24=32,KILOMETRAJE!G$35,IF(G24=33,KILOMETRAJE!G$36,IF(G24=34,KILOMETRAJE!G$37,IF(G24=35,KILOMETRAJE!G$38,IF(G24=36,KILOMETRAJE!G$39,IF(G24=37,KILOMETRAJE!G$40,IF(G24=38,KILOMETRAJE!G$41,IF(G24=39,KILOMETRAJE!G$42,IF(G24=40,KILOMETRAJE!G$43,IF(G24=41,KILOMETRAJE!G$44,IF(G24=42,KILOMETRAJE!G$45,IF(G24=43,KILOMETRAJE!G$46,IF(G24=44,KILOMETRAJE!G$47,IF(G24=45,KILOMETRAJE!G$48,IF(G24=46,KILOMETRAJE!G$49,IF(G24=47,KILOMETRAJE!G$50,IF(G24=48,KILOMETRAJE!G$51,IF(G24=49,KILOMETRAJE!G$52,IF(G24=50,KILOMETRAJE!G$53,IF(G24=51,KILOMETRAJE!G$54,IF(G24=52,KILOMETRAJE!G$55,IF(G24=53,KILOMETRAJE!G$56,IF(G24=54,KILOMETRAJE!G$57,IF(G24=55,KILOMETRAJE!G$58,IF(G24=56,KILOMETRAJE!G$59,IF(G24=57,KILOMETRAJE!G$60,IF(G24=58,KILOMETRAJE!G$61,IF(G24=59,KILOMETRAJE!G$62,IF(G24=60,KILOMETRAJE!G$63,IF(G24=61,KILOMETRAJE!G$64,IF(G24=62,KILOMETRAJE!G$65,IF(G24=63,KILOMETRAJE!G$66)))))))))))))))))))))))))))))))))))))))))))))))))))))))))))))))</f>
        <v>375</v>
      </c>
      <c r="K24" s="27">
        <v>230.99</v>
      </c>
      <c r="L24" s="28">
        <f>SUM(J23:J24)/K24</f>
        <v>3.4200614745227065</v>
      </c>
      <c r="M24" s="349">
        <v>10296</v>
      </c>
      <c r="N24" s="27">
        <v>1</v>
      </c>
      <c r="O24" s="62" t="s">
        <v>499</v>
      </c>
      <c r="P24" s="27" t="s">
        <v>201</v>
      </c>
      <c r="Q24" s="29">
        <f t="shared" si="2"/>
        <v>109.99874999999999</v>
      </c>
      <c r="R24" s="190">
        <f>+LOOKUP(P41,UNIDADES!B$3:B$59,UNIDADES!C$3:C$59)</f>
        <v>2.4509799999999999</v>
      </c>
      <c r="S24" s="19">
        <f>+((SUM(J23:J24)-40)/R24)-K24</f>
        <v>75.01004896000785</v>
      </c>
      <c r="T24" s="456">
        <f>+S24*14.85</f>
        <v>1113.8992270561166</v>
      </c>
      <c r="U24" s="27" t="s">
        <v>500</v>
      </c>
      <c r="V24" s="55" t="s">
        <v>500</v>
      </c>
      <c r="W24" s="18"/>
    </row>
    <row r="25" spans="3:24" ht="14.25" customHeight="1" x14ac:dyDescent="0.2">
      <c r="C25" s="176">
        <v>46179</v>
      </c>
      <c r="D25" s="43" t="s">
        <v>618</v>
      </c>
      <c r="E25" s="42">
        <v>45962</v>
      </c>
      <c r="F25" s="42">
        <v>45963</v>
      </c>
      <c r="G25" s="92">
        <v>2</v>
      </c>
      <c r="H25" s="24" t="str">
        <f>IF(G25=1,KILOMETRAJE!C$4,IF(G25=2,KILOMETRAJE!C$5,IF(G25=3,KILOMETRAJE!C$6,IF(G25=4,KILOMETRAJE!C$7,IF(G25=5,KILOMETRAJE!C$8,IF(G25=6,KILOMETRAJE!C$9,IF(G25=7,KILOMETRAJE!C$10,IF(G25=8,KILOMETRAJE!C$11,IF(G25=9,KILOMETRAJE!C$12,IF(G25=10,KILOMETRAJE!C$13,IF(G25=11,KILOMETRAJE!C$14,IF(G25=12,KILOMETRAJE!C$15,IF(G25=13,KILOMETRAJE!C$16,IF(G25=14,KILOMETRAJE!C$17,IF(G25=15,KILOMETRAJE!C$18,IF(G25=16,KILOMETRAJE!C$19,IF(G25=17,KILOMETRAJE!C$20,IF(G25=18,KILOMETRAJE!C$21,IF(G25=19,KILOMETRAJE!C$22,IF(G25=20,KILOMETRAJE!C$23,IF(G25=21,KILOMETRAJE!C$24,IF(G25=22,KILOMETRAJE!C$25,IF(G25=23,KILOMETRAJE!C$26,IF(G25=24,KILOMETRAJE!C$27,IF(G25=25,KILOMETRAJE!C$28,IF(G25=26,KILOMETRAJE!C$29,IF(G25=27,KILOMETRAJE!C$30,IF(G25=28,KILOMETRAJE!C$31,IF(G25=29,KILOMETRAJE!C$32,IF(G25=30,KILOMETRAJE!C$33,IF(G25=31,KILOMETRAJE!C$34,IF(G25=32,KILOMETRAJE!C$35,IF(G25=33,KILOMETRAJE!C$36,IF(G25=34,KILOMETRAJE!C$37,IF(G25=35,KILOMETRAJE!C$38,IF(G25=36,KILOMETRAJE!C$39,IF(G25=37,KILOMETRAJE!C$40,IF(G25=38,KILOMETRAJE!C$41,IF(G25=39,KILOMETRAJE!C$42,IF(G25=40,KILOMETRAJE!C$43,IF(G25=41,KILOMETRAJE!C$44,IF(G25=42,KILOMETRAJE!C$45,IF(G25=43,KILOMETRAJE!C$46,IF(G25=44,KILOMETRAJE!C$47,IF(G25=45,KILOMETRAJE!C$48,IF(G25=46,KILOMETRAJE!C$49,IF(G25=47,KILOMETRAJE!C$50,IF(G25=48,KILOMETRAJE!C$51,IF(G25=49,KILOMETRAJE!C$52,IF(G25=50,KILOMETRAJE!C$53,IF(G25=51,KILOMETRAJE!C$54,IF(G25=52,KILOMETRAJE!C$55,IF(G25=53,KILOMETRAJE!C$56,IF(G25=54,KILOMETRAJE!C$57,IF(G25=55,KILOMETRAJE!C$58,IF(G25=56,KILOMETRAJE!C$59,IF(G25=57,KILOMETRAJE!C$60,IF(G25=58,KILOMETRAJE!C$61,IF(G25=59,KILOMETRAJE!C$62,IF(G25=60,KILOMETRAJE!C$63,IF(G25=61,KILOMETRAJE!C$64,IF(G25=62,KILOMETRAJE!C$65,IF(G25=63,KILOMETRAJE!C$66)))))))))))))))))))))))))))))))))))))))))))))))))))))))))))))))</f>
        <v>JRZ</v>
      </c>
      <c r="I25" s="24" t="str">
        <f>IF(G25=1,KILOMETRAJE!E$4,IF(G25=2,KILOMETRAJE!E$5,IF(G25=3,KILOMETRAJE!E$6,IF(G25=4,KILOMETRAJE!E$7,IF(G25=5,KILOMETRAJE!E$8,IF(G25=6,KILOMETRAJE!E$9,IF(G25=7,KILOMETRAJE!E$10,IF(G25=8,KILOMETRAJE!E$11,IF(G25=9,KILOMETRAJE!E$12,IF(G25=10,KILOMETRAJE!E$13,IF(G25=11,KILOMETRAJE!E$14,IF(G25=12,KILOMETRAJE!E$15,IF(G25=13,KILOMETRAJE!E$16,IF(G25=14,KILOMETRAJE!E$17,IF(G25=15,KILOMETRAJE!E$18,IF(G25=16,KILOMETRAJE!E$19,IF(G25=17,KILOMETRAJE!E$20,IF(G25=18,KILOMETRAJE!E$21,IF(G25=19,KILOMETRAJE!E$22,IF(G25=20,KILOMETRAJE!E$23,IF(G25=21,KILOMETRAJE!E$24,IF(G25=22,KILOMETRAJE!E$25,IF(G25=23,KILOMETRAJE!E$26,IF(G25=24,KILOMETRAJE!E$27,IF(G25=25,KILOMETRAJE!E$28,IF(G25=26,KILOMETRAJE!E$29,IF(G25=27,KILOMETRAJE!E$30,IF(G25=28,KILOMETRAJE!E$31,IF(G25=29,KILOMETRAJE!E$32,IF(G25=30,KILOMETRAJE!E$33,IF(G25=31,KILOMETRAJE!E$34,IF(G25=32,KILOMETRAJE!E$35,IF(G25=33,KILOMETRAJE!E$36,IF(G25=34,KILOMETRAJE!E$37,IF(G25=35,KILOMETRAJE!E$38,IF(G25=36,KILOMETRAJE!E$39,IF(G25=37,KILOMETRAJE!E$40,IF(G25=38,KILOMETRAJE!E$41,IF(G25=39,KILOMETRAJE!E$42,IF(G25=40,KILOMETRAJE!E$43,IF(G25=41,KILOMETRAJE!E$44,IF(G25=42,KILOMETRAJE!E$45,IF(G25=43,KILOMETRAJE!E$46,IF(G25=44,KILOMETRAJE!E$47,IF(G25=45,KILOMETRAJE!E$48,IF(G25=46,KILOMETRAJE!E$49,IF(G25=47,KILOMETRAJE!E$50,IF(G25=48,KILOMETRAJE!E$51,IF(G25=49,KILOMETRAJE!E$52,IF(G25=50,KILOMETRAJE!E$53,IF(G25=51,KILOMETRAJE!E$54,IF(G25=52,KILOMETRAJE!E$55,IF(G25=53,KILOMETRAJE!E$56,IF(G25=54,KILOMETRAJE!E$57,IF(G25=55,KILOMETRAJE!E$58,IF(G25=56,KILOMETRAJE!E$59,IF(G25=57,KILOMETRAJE!E$60,IF(G25=58,KILOMETRAJE!E$61,IF(G25=59,KILOMETRAJE!E$62,IF(G25=60,KILOMETRAJE!E$63,IF(G25=61,KILOMETRAJE!E$64,IF(G25=62,KILOMETRAJE!E$65,IF(G25=63,KILOMETRAJE!E$66)))))))))))))))))))))))))))))))))))))))))))))))))))))))))))))))</f>
        <v>CHIH.</v>
      </c>
      <c r="J25" s="51">
        <f>IF(G25=1,KILOMETRAJE!G$4,IF(G25=2,KILOMETRAJE!G$5,IF(G25=3,KILOMETRAJE!G$6,IF(G25=4,KILOMETRAJE!G$7,IF(G25=5,KILOMETRAJE!G$8,IF(G25=6,KILOMETRAJE!G$9,IF(G25=7,KILOMETRAJE!G$10,IF(G25=8,KILOMETRAJE!G$11,IF(G25=9,KILOMETRAJE!G$12,IF(G25=10,KILOMETRAJE!G$13,IF(G25=11,KILOMETRAJE!G$14,IF(G25=12,KILOMETRAJE!G$15,IF(G25=13,KILOMETRAJE!G$16,IF(G25=14,KILOMETRAJE!G$17,IF(G25=15,KILOMETRAJE!G$18,IF(G25=16,KILOMETRAJE!G$19,IF(G25=17,KILOMETRAJE!G$20,IF(G25=18,KILOMETRAJE!G$21,IF(G25=19,KILOMETRAJE!G$22,IF(G25=20,KILOMETRAJE!G$23,IF(G25=21,KILOMETRAJE!G$24,IF(G25=22,KILOMETRAJE!G$25,IF(G25=23,KILOMETRAJE!G$26,IF(G25=24,KILOMETRAJE!G$27,IF(G25=25,KILOMETRAJE!G$28,IF(G25=26,KILOMETRAJE!G$29,IF(G25=27,KILOMETRAJE!G$30,IF(G25=28,KILOMETRAJE!G$31,IF(G25=29,KILOMETRAJE!G$32,IF(G25=30,KILOMETRAJE!G$33,IF(G25=31,KILOMETRAJE!G$34,IF(G25=32,KILOMETRAJE!G$35,IF(G25=33,KILOMETRAJE!G$36,IF(G25=34,KILOMETRAJE!G$37,IF(G25=35,KILOMETRAJE!G$38,IF(G25=36,KILOMETRAJE!G$39,IF(G25=37,KILOMETRAJE!G$40,IF(G25=38,KILOMETRAJE!G$41,IF(G25=39,KILOMETRAJE!G$42,IF(G25=40,KILOMETRAJE!G$43,IF(G25=41,KILOMETRAJE!G$44,IF(G25=42,KILOMETRAJE!G$45,IF(G25=43,KILOMETRAJE!G$46,IF(G25=44,KILOMETRAJE!G$47,IF(G25=45,KILOMETRAJE!G$48,IF(G25=46,KILOMETRAJE!G$49,IF(G25=47,KILOMETRAJE!G$50,IF(G25=48,KILOMETRAJE!G$51,IF(G25=49,KILOMETRAJE!G$52,IF(G25=50,KILOMETRAJE!G$53,IF(G25=51,KILOMETRAJE!G$54,IF(G25=52,KILOMETRAJE!G$55,IF(G25=53,KILOMETRAJE!G$56,IF(G25=54,KILOMETRAJE!G$57,IF(G25=55,KILOMETRAJE!G$58,IF(G25=56,KILOMETRAJE!G$59,IF(G25=57,KILOMETRAJE!G$60,IF(G25=58,KILOMETRAJE!G$61,IF(G25=59,KILOMETRAJE!G$62,IF(G25=60,KILOMETRAJE!G$63,IF(G25=61,KILOMETRAJE!G$64,IF(G25=62,KILOMETRAJE!G$65,IF(G25=63,KILOMETRAJE!G$66)))))))))))))))))))))))))))))))))))))))))))))))))))))))))))))))</f>
        <v>375</v>
      </c>
      <c r="K25" s="24"/>
      <c r="L25" s="44"/>
      <c r="M25" s="348">
        <v>1236</v>
      </c>
      <c r="N25" s="24">
        <v>1</v>
      </c>
      <c r="O25" s="24" t="s">
        <v>454</v>
      </c>
      <c r="P25" s="24" t="s">
        <v>199</v>
      </c>
      <c r="Q25" s="45">
        <f t="shared" ref="Q25:Q26" si="3">((((IF(N25=1,((J25)*0.29333)))+(IF(N25=2,((J25)*0.146666)))+(IF(N25=3,((J25)*0.146666)))))+(IF(N25=4,((J25-40)*0.29333)))+(IF(N25=5,((J25-50)*0.29333)))+(IF(N25=6,((J25-90)*0.29333))))</f>
        <v>109.99874999999999</v>
      </c>
      <c r="R25" s="191"/>
      <c r="S25" s="52"/>
      <c r="T25" s="455"/>
      <c r="U25" s="24">
        <v>61</v>
      </c>
      <c r="V25" s="79">
        <v>61</v>
      </c>
      <c r="W25" s="14"/>
    </row>
    <row r="26" spans="3:24" ht="30" customHeight="1" thickBot="1" x14ac:dyDescent="0.25">
      <c r="C26" s="240"/>
      <c r="D26" s="57" t="s">
        <v>619</v>
      </c>
      <c r="E26" s="58">
        <v>45963</v>
      </c>
      <c r="F26" s="58">
        <v>45963</v>
      </c>
      <c r="G26" s="57">
        <v>27</v>
      </c>
      <c r="H26" s="496" t="str">
        <f>IF(G26=1,KILOMETRAJE!C$4,IF(G26=2,KILOMETRAJE!C$5,IF(G26=3,KILOMETRAJE!C$6,IF(G26=4,KILOMETRAJE!C$7,IF(G26=5,KILOMETRAJE!C$8,IF(G26=6,KILOMETRAJE!C$9,IF(G26=7,KILOMETRAJE!C$10,IF(G26=8,KILOMETRAJE!C$11,IF(G26=9,KILOMETRAJE!C$12,IF(G26=10,KILOMETRAJE!C$13,IF(G26=11,KILOMETRAJE!C$14,IF(G26=12,KILOMETRAJE!C$15,IF(G26=13,KILOMETRAJE!C$16,IF(G26=14,KILOMETRAJE!C$17,IF(G26=15,KILOMETRAJE!C$18,IF(G26=16,KILOMETRAJE!C$19,IF(G26=17,KILOMETRAJE!C$20,IF(G26=18,KILOMETRAJE!C$21,IF(G26=19,KILOMETRAJE!C$22,IF(G26=20,KILOMETRAJE!C$23,IF(G26=21,KILOMETRAJE!C$24,IF(G26=22,KILOMETRAJE!C$25,IF(G26=23,KILOMETRAJE!C$26,IF(G26=24,KILOMETRAJE!C$27,IF(G26=25,KILOMETRAJE!C$28,IF(G26=26,KILOMETRAJE!C$29,IF(G26=27,KILOMETRAJE!C$30,IF(G26=28,KILOMETRAJE!C$31,IF(G26=29,KILOMETRAJE!C$32,IF(G26=30,KILOMETRAJE!C$33,IF(G26=31,KILOMETRAJE!C$34,IF(G26=32,KILOMETRAJE!C$35,IF(G26=33,KILOMETRAJE!C$36,IF(G26=34,KILOMETRAJE!C$37,IF(G26=35,KILOMETRAJE!C$38,IF(G26=36,KILOMETRAJE!C$39,IF(G26=37,KILOMETRAJE!C$40,IF(G26=38,KILOMETRAJE!C$41,IF(G26=39,KILOMETRAJE!C$42,IF(G26=40,KILOMETRAJE!C$43,IF(G26=41,KILOMETRAJE!C$44,IF(G26=42,KILOMETRAJE!C$45,IF(G26=43,KILOMETRAJE!C$46,IF(G26=44,KILOMETRAJE!C$47,IF(G26=45,KILOMETRAJE!C$48,IF(G26=46,KILOMETRAJE!C$49,IF(G26=47,KILOMETRAJE!C$50,IF(G26=48,KILOMETRAJE!C$51,IF(G26=49,KILOMETRAJE!C$52,IF(G26=50,KILOMETRAJE!C$53,IF(G26=51,KILOMETRAJE!C$54,IF(G26=52,KILOMETRAJE!C$55,IF(G26=53,KILOMETRAJE!C$56,IF(G26=54,KILOMETRAJE!C$57,IF(G26=55,KILOMETRAJE!C$58,IF(G26=56,KILOMETRAJE!C$59,IF(G26=57,KILOMETRAJE!C$60,IF(G26=58,KILOMETRAJE!C$61,IF(G26=59,KILOMETRAJE!C$62,IF(G26=60,KILOMETRAJE!C$63,IF(G26=61,KILOMETRAJE!C$64,IF(G26=62,KILOMETRAJE!C$65,IF(G26=63,KILOMETRAJE!C$66)))))))))))))))))))))))))))))))))))))))))))))))))))))))))))))))</f>
        <v xml:space="preserve">CHIH. </v>
      </c>
      <c r="I26" s="496" t="str">
        <f>IF(G26=1,KILOMETRAJE!E$4,IF(G26=2,KILOMETRAJE!E$5,IF(G26=3,KILOMETRAJE!E$6,IF(G26=4,KILOMETRAJE!E$7,IF(G26=5,KILOMETRAJE!E$8,IF(G26=6,KILOMETRAJE!E$9,IF(G26=7,KILOMETRAJE!E$10,IF(G26=8,KILOMETRAJE!E$11,IF(G26=9,KILOMETRAJE!E$12,IF(G26=10,KILOMETRAJE!E$13,IF(G26=11,KILOMETRAJE!E$14,IF(G26=12,KILOMETRAJE!E$15,IF(G26=13,KILOMETRAJE!E$16,IF(G26=14,KILOMETRAJE!E$17,IF(G26=15,KILOMETRAJE!E$18,IF(G26=16,KILOMETRAJE!E$19,IF(G26=17,KILOMETRAJE!E$20,IF(G26=18,KILOMETRAJE!E$21,IF(G26=19,KILOMETRAJE!E$22,IF(G26=20,KILOMETRAJE!E$23,IF(G26=21,KILOMETRAJE!E$24,IF(G26=22,KILOMETRAJE!E$25,IF(G26=23,KILOMETRAJE!E$26,IF(G26=24,KILOMETRAJE!E$27,IF(G26=25,KILOMETRAJE!E$28,IF(G26=26,KILOMETRAJE!E$29,IF(G26=27,KILOMETRAJE!E$30,IF(G26=28,KILOMETRAJE!E$31,IF(G26=29,KILOMETRAJE!E$32,IF(G26=30,KILOMETRAJE!E$33,IF(G26=31,KILOMETRAJE!E$34,IF(G26=32,KILOMETRAJE!E$35,IF(G26=33,KILOMETRAJE!E$36,IF(G26=34,KILOMETRAJE!E$37,IF(G26=35,KILOMETRAJE!E$38,IF(G26=36,KILOMETRAJE!E$39,IF(G26=37,KILOMETRAJE!E$40,IF(G26=38,KILOMETRAJE!E$41,IF(G26=39,KILOMETRAJE!E$42,IF(G26=40,KILOMETRAJE!E$43,IF(G26=41,KILOMETRAJE!E$44,IF(G26=42,KILOMETRAJE!E$45,IF(G26=43,KILOMETRAJE!E$46,IF(G26=44,KILOMETRAJE!E$47,IF(G26=45,KILOMETRAJE!E$48,IF(G26=46,KILOMETRAJE!E$49,IF(G26=47,KILOMETRAJE!E$50,IF(G26=48,KILOMETRAJE!E$51,IF(G26=49,KILOMETRAJE!E$52,IF(G26=50,KILOMETRAJE!E$53,IF(G26=51,KILOMETRAJE!E$54,IF(G26=52,KILOMETRAJE!E$55,IF(G26=53,KILOMETRAJE!E$56,IF(G26=54,KILOMETRAJE!E$57,IF(G26=55,KILOMETRAJE!E$58,IF(G26=56,KILOMETRAJE!E$59,IF(G26=57,KILOMETRAJE!E$60,IF(G26=58,KILOMETRAJE!E$61,IF(G26=59,KILOMETRAJE!E$62,IF(G26=60,KILOMETRAJE!E$63,IF(G26=61,KILOMETRAJE!E$64,IF(G26=62,KILOMETRAJE!E$65,IF(G26=63,KILOMETRAJE!E$66)))))))))))))))))))))))))))))))))))))))))))))))))))))))))))))))</f>
        <v>ELP</v>
      </c>
      <c r="J26" s="497">
        <f>IF(G26=1,KILOMETRAJE!G$4,IF(G26=2,KILOMETRAJE!G$5,IF(G26=3,KILOMETRAJE!G$6,IF(G26=4,KILOMETRAJE!G$7,IF(G26=5,KILOMETRAJE!G$8,IF(G26=6,KILOMETRAJE!G$9,IF(G26=7,KILOMETRAJE!G$10,IF(G26=8,KILOMETRAJE!G$11,IF(G26=9,KILOMETRAJE!G$12,IF(G26=10,KILOMETRAJE!G$13,IF(G26=11,KILOMETRAJE!G$14,IF(G26=12,KILOMETRAJE!G$15,IF(G26=13,KILOMETRAJE!G$16,IF(G26=14,KILOMETRAJE!G$17,IF(G26=15,KILOMETRAJE!G$18,IF(G26=16,KILOMETRAJE!G$19,IF(G26=17,KILOMETRAJE!G$20,IF(G26=18,KILOMETRAJE!G$21,IF(G26=19,KILOMETRAJE!G$22,IF(G26=20,KILOMETRAJE!G$23,IF(G26=21,KILOMETRAJE!G$24,IF(G26=22,KILOMETRAJE!G$25,IF(G26=23,KILOMETRAJE!G$26,IF(G26=24,KILOMETRAJE!G$27,IF(G26=25,KILOMETRAJE!G$28,IF(G26=26,KILOMETRAJE!G$29,IF(G26=27,KILOMETRAJE!G$30,IF(G26=28,KILOMETRAJE!G$31,IF(G26=29,KILOMETRAJE!G$32,IF(G26=30,KILOMETRAJE!G$33,IF(G26=31,KILOMETRAJE!G$34,IF(G26=32,KILOMETRAJE!G$35,IF(G26=33,KILOMETRAJE!G$36,IF(G26=34,KILOMETRAJE!G$37,IF(G26=35,KILOMETRAJE!G$38,IF(G26=36,KILOMETRAJE!G$39,IF(G26=37,KILOMETRAJE!G$40,IF(G26=38,KILOMETRAJE!G$41,IF(G26=39,KILOMETRAJE!G$42,IF(G26=40,KILOMETRAJE!G$43,IF(G26=41,KILOMETRAJE!G$44,IF(G26=42,KILOMETRAJE!G$45,IF(G26=43,KILOMETRAJE!G$46,IF(G26=44,KILOMETRAJE!G$47,IF(G26=45,KILOMETRAJE!G$48,IF(G26=46,KILOMETRAJE!G$49,IF(G26=47,KILOMETRAJE!G$50,IF(G26=48,KILOMETRAJE!G$51,IF(G26=49,KILOMETRAJE!G$52,IF(G26=50,KILOMETRAJE!G$53,IF(G26=51,KILOMETRAJE!G$54,IF(G26=52,KILOMETRAJE!G$55,IF(G26=53,KILOMETRAJE!G$56,IF(G26=54,KILOMETRAJE!G$57,IF(G26=55,KILOMETRAJE!G$58,IF(G26=56,KILOMETRAJE!G$59,IF(G26=57,KILOMETRAJE!G$60,IF(G26=58,KILOMETRAJE!G$61,IF(G26=59,KILOMETRAJE!G$62,IF(G26=60,KILOMETRAJE!G$63,IF(G26=61,KILOMETRAJE!G$64,IF(G26=62,KILOMETRAJE!G$65,IF(G26=63,KILOMETRAJE!G$66)))))))))))))))))))))))))))))))))))))))))))))))))))))))))))))))</f>
        <v>415</v>
      </c>
      <c r="K26" s="319">
        <v>221.93</v>
      </c>
      <c r="L26" s="335">
        <f>SUM(J25:J26)/K26</f>
        <v>3.5596809804893432</v>
      </c>
      <c r="M26" s="385">
        <v>11111</v>
      </c>
      <c r="N26" s="319">
        <v>4</v>
      </c>
      <c r="O26" s="319" t="s">
        <v>620</v>
      </c>
      <c r="P26" s="319" t="s">
        <v>199</v>
      </c>
      <c r="Q26" s="336">
        <f t="shared" si="3"/>
        <v>109.99874999999999</v>
      </c>
      <c r="R26" s="337">
        <f>+LOOKUP(P42,UNIDADES!B$3:B$59,UNIDADES!C$3:C$59)</f>
        <v>2.4509799999999999</v>
      </c>
      <c r="S26" s="338">
        <f>+((SUM(J25:J26)-40)/R26)-K26</f>
        <v>84.070048960007853</v>
      </c>
      <c r="T26" s="470">
        <f>+S26*14.85</f>
        <v>1248.4402270561166</v>
      </c>
      <c r="U26" s="27" t="s">
        <v>500</v>
      </c>
      <c r="V26" s="55" t="s">
        <v>500</v>
      </c>
      <c r="W26" s="14"/>
      <c r="X26"/>
    </row>
    <row r="27" spans="3:24" ht="12" hidden="1" x14ac:dyDescent="0.2">
      <c r="C27" s="238"/>
      <c r="D27" s="36"/>
      <c r="E27" s="37"/>
      <c r="F27" s="37"/>
      <c r="G27" s="36"/>
      <c r="H27" s="38"/>
      <c r="I27" s="38"/>
      <c r="J27" s="39"/>
      <c r="K27" s="38"/>
      <c r="L27" s="48"/>
      <c r="M27" s="350"/>
      <c r="N27" s="38"/>
      <c r="O27" s="38"/>
      <c r="P27" s="38"/>
      <c r="Q27" s="40"/>
      <c r="R27" s="192"/>
      <c r="S27" s="186"/>
      <c r="T27" s="458"/>
      <c r="U27" s="38"/>
      <c r="V27" s="38"/>
      <c r="W27" s="14"/>
    </row>
    <row r="28" spans="3:24" hidden="1" thickBot="1" x14ac:dyDescent="0.25">
      <c r="C28" s="101"/>
      <c r="D28" s="62"/>
      <c r="E28" s="25"/>
      <c r="F28" s="25"/>
      <c r="G28" s="62"/>
      <c r="H28" s="26"/>
      <c r="I28" s="27"/>
      <c r="J28" s="31"/>
      <c r="K28" s="27"/>
      <c r="L28" s="28"/>
      <c r="M28" s="349"/>
      <c r="N28" s="27"/>
      <c r="O28" s="27"/>
      <c r="P28" s="27"/>
      <c r="Q28" s="29"/>
      <c r="R28" s="190"/>
      <c r="S28" s="19"/>
      <c r="T28" s="456"/>
      <c r="U28" s="11"/>
      <c r="V28" s="11"/>
      <c r="W28" s="14"/>
    </row>
    <row r="29" spans="3:24" ht="12" hidden="1" x14ac:dyDescent="0.2">
      <c r="C29" s="372"/>
      <c r="D29" s="36"/>
      <c r="E29" s="37"/>
      <c r="F29" s="37"/>
      <c r="G29" s="36"/>
      <c r="H29" s="47"/>
      <c r="I29" s="38"/>
      <c r="J29" s="39"/>
      <c r="K29" s="38"/>
      <c r="L29" s="48"/>
      <c r="M29" s="350"/>
      <c r="N29" s="38"/>
      <c r="O29" s="38"/>
      <c r="P29" s="38"/>
      <c r="Q29" s="40"/>
      <c r="R29" s="192"/>
      <c r="S29" s="186"/>
      <c r="T29" s="458"/>
      <c r="U29" s="11"/>
      <c r="V29" s="11"/>
      <c r="W29" s="14"/>
    </row>
    <row r="30" spans="3:24" ht="12" hidden="1" x14ac:dyDescent="0.2">
      <c r="C30" s="238"/>
      <c r="D30" s="36"/>
      <c r="E30" s="37"/>
      <c r="F30" s="37"/>
      <c r="G30" s="36"/>
      <c r="H30" s="47"/>
      <c r="I30" s="38"/>
      <c r="J30" s="39"/>
      <c r="K30" s="38"/>
      <c r="L30" s="48"/>
      <c r="M30" s="350"/>
      <c r="N30" s="38"/>
      <c r="O30" s="38"/>
      <c r="P30" s="38"/>
      <c r="Q30" s="40"/>
      <c r="R30" s="192"/>
      <c r="S30" s="186"/>
      <c r="T30" s="458"/>
      <c r="U30" s="11"/>
      <c r="V30" s="11"/>
      <c r="W30" s="14"/>
    </row>
    <row r="31" spans="3:24" hidden="1" thickBot="1" x14ac:dyDescent="0.25">
      <c r="C31" s="101"/>
      <c r="D31" s="62"/>
      <c r="E31" s="25"/>
      <c r="F31" s="25"/>
      <c r="G31" s="62"/>
      <c r="H31" s="26"/>
      <c r="I31" s="27"/>
      <c r="J31" s="31"/>
      <c r="K31" s="27"/>
      <c r="L31" s="28"/>
      <c r="M31" s="349"/>
      <c r="N31" s="27"/>
      <c r="O31" s="27"/>
      <c r="P31" s="27"/>
      <c r="Q31" s="29"/>
      <c r="R31" s="190"/>
      <c r="S31" s="19"/>
      <c r="T31" s="456"/>
      <c r="U31" s="11"/>
      <c r="V31" s="11"/>
      <c r="W31" s="14"/>
    </row>
    <row r="32" spans="3:24" thickBot="1" x14ac:dyDescent="0.25">
      <c r="I32" s="15"/>
      <c r="R32" s="193"/>
      <c r="S32" s="15"/>
      <c r="U32" s="463"/>
      <c r="V32" s="463"/>
      <c r="W32" s="14"/>
    </row>
    <row r="33" spans="3:23" ht="12" x14ac:dyDescent="0.2">
      <c r="E33" s="629" t="s">
        <v>34</v>
      </c>
      <c r="F33" s="646">
        <f>+'REYES LARA DANTE'!F34:G34</f>
        <v>45957</v>
      </c>
      <c r="G33" s="647"/>
      <c r="H33" s="16">
        <f>+F33+1</f>
        <v>45958</v>
      </c>
      <c r="I33" s="16">
        <f>+H33+1</f>
        <v>45959</v>
      </c>
      <c r="J33" s="16">
        <f>+I33+1</f>
        <v>45960</v>
      </c>
      <c r="K33" s="16">
        <f>+J33+1</f>
        <v>45961</v>
      </c>
      <c r="L33" s="16">
        <f>+K33+2</f>
        <v>45963</v>
      </c>
      <c r="M33" s="17" t="s">
        <v>35</v>
      </c>
      <c r="S33" s="450"/>
      <c r="T33" s="450"/>
      <c r="U33" s="450"/>
      <c r="W33" s="14"/>
    </row>
    <row r="34" spans="3:23" thickBot="1" x14ac:dyDescent="0.25">
      <c r="E34" s="630"/>
      <c r="F34" s="648">
        <v>875</v>
      </c>
      <c r="G34" s="649"/>
      <c r="H34" s="29">
        <v>1000</v>
      </c>
      <c r="I34" s="29"/>
      <c r="J34" s="29"/>
      <c r="K34" s="29">
        <v>500</v>
      </c>
      <c r="L34" s="29">
        <v>625</v>
      </c>
      <c r="M34" s="30">
        <f>SUM(F34:L34)</f>
        <v>3000</v>
      </c>
      <c r="W34" s="14"/>
    </row>
    <row r="35" spans="3:23" thickBot="1" x14ac:dyDescent="0.25">
      <c r="I35" s="15"/>
      <c r="W35" s="14"/>
    </row>
    <row r="36" spans="3:23" ht="13.5" thickBot="1" x14ac:dyDescent="0.25">
      <c r="C36" s="608" t="s">
        <v>36</v>
      </c>
      <c r="D36" s="609"/>
      <c r="E36" s="609"/>
      <c r="F36" s="609"/>
      <c r="G36" s="610"/>
      <c r="I36" s="620" t="s">
        <v>37</v>
      </c>
      <c r="J36" s="621"/>
      <c r="K36" s="621"/>
      <c r="L36" s="622"/>
      <c r="M36" s="298"/>
      <c r="O36" s="611" t="s">
        <v>38</v>
      </c>
      <c r="P36" s="612"/>
      <c r="Q36" s="613">
        <f>+F48-L45</f>
        <v>8960.1779082244666</v>
      </c>
      <c r="R36" s="614"/>
      <c r="S36" s="615"/>
      <c r="W36" s="14"/>
    </row>
    <row r="37" spans="3:23" thickBot="1" x14ac:dyDescent="0.25">
      <c r="C37" s="616" t="s">
        <v>219</v>
      </c>
      <c r="D37" s="617"/>
      <c r="E37" s="617"/>
      <c r="F37" s="618">
        <f>SUM(Q18:Q32)</f>
        <v>879.9899999999999</v>
      </c>
      <c r="G37" s="619"/>
      <c r="I37" s="114" t="s">
        <v>125</v>
      </c>
      <c r="J37" s="68" t="s">
        <v>126</v>
      </c>
      <c r="K37" s="68" t="s">
        <v>70</v>
      </c>
      <c r="L37" s="115" t="s">
        <v>127</v>
      </c>
      <c r="M37" s="346"/>
      <c r="W37" s="14"/>
    </row>
    <row r="38" spans="3:23" ht="13.5" customHeight="1" thickBot="1" x14ac:dyDescent="0.25">
      <c r="C38" s="602" t="s">
        <v>220</v>
      </c>
      <c r="D38" s="603"/>
      <c r="E38" s="603"/>
      <c r="F38" s="604">
        <f>SUM(T18:T32)</f>
        <v>5080.1879082244668</v>
      </c>
      <c r="G38" s="605"/>
      <c r="I38" s="118"/>
      <c r="J38" s="342"/>
      <c r="K38" s="43"/>
      <c r="L38" s="119"/>
      <c r="M38" s="346"/>
      <c r="O38" s="74" t="s">
        <v>70</v>
      </c>
      <c r="P38" s="75" t="s">
        <v>71</v>
      </c>
      <c r="Q38" s="76" t="s">
        <v>251</v>
      </c>
      <c r="R38" s="76"/>
      <c r="S38" s="77" t="s">
        <v>252</v>
      </c>
      <c r="T38" s="75" t="s">
        <v>74</v>
      </c>
      <c r="U38" s="74" t="s">
        <v>145</v>
      </c>
      <c r="V38" s="75" t="s">
        <v>146</v>
      </c>
      <c r="W38" s="75" t="s">
        <v>284</v>
      </c>
    </row>
    <row r="39" spans="3:23" ht="12" x14ac:dyDescent="0.2">
      <c r="C39" s="602" t="s">
        <v>34</v>
      </c>
      <c r="D39" s="603"/>
      <c r="E39" s="603"/>
      <c r="F39" s="604">
        <f>+M34</f>
        <v>3000</v>
      </c>
      <c r="G39" s="605"/>
      <c r="I39" s="94"/>
      <c r="J39" s="117"/>
      <c r="K39" s="61"/>
      <c r="L39" s="111"/>
      <c r="M39" s="346"/>
      <c r="O39" s="78">
        <v>46499</v>
      </c>
      <c r="P39" s="343" t="s">
        <v>496</v>
      </c>
      <c r="Q39" s="78">
        <v>266246</v>
      </c>
      <c r="R39" s="24"/>
      <c r="S39" s="32">
        <v>267023</v>
      </c>
      <c r="T39" s="79">
        <f>+S39-Q39</f>
        <v>777</v>
      </c>
      <c r="U39" s="306">
        <f>SUM(J19:J20)</f>
        <v>830</v>
      </c>
      <c r="V39" s="79">
        <f>+K20</f>
        <v>215.99</v>
      </c>
      <c r="W39" s="353">
        <f>(SUM(M19:M20)/2)</f>
        <v>414</v>
      </c>
    </row>
    <row r="40" spans="3:23" ht="12" x14ac:dyDescent="0.2">
      <c r="C40" s="602" t="s">
        <v>186</v>
      </c>
      <c r="D40" s="603"/>
      <c r="E40" s="603"/>
      <c r="F40" s="604"/>
      <c r="G40" s="605"/>
      <c r="I40" s="94"/>
      <c r="J40" s="117"/>
      <c r="K40" s="61"/>
      <c r="L40" s="111"/>
      <c r="M40" s="346"/>
      <c r="O40" s="32">
        <v>46119</v>
      </c>
      <c r="P40" s="345" t="s">
        <v>496</v>
      </c>
      <c r="Q40" s="32">
        <v>267023</v>
      </c>
      <c r="R40" s="11"/>
      <c r="S40" s="32">
        <v>267774</v>
      </c>
      <c r="T40" s="53">
        <f t="shared" ref="T40:T45" si="4">+S40-Q40</f>
        <v>751</v>
      </c>
      <c r="U40" s="304">
        <f>SUM(J21:J22)</f>
        <v>790</v>
      </c>
      <c r="V40" s="53">
        <f>+K22</f>
        <v>212.99</v>
      </c>
      <c r="W40" s="354">
        <f>(SUM(M21:M22)/2)</f>
        <v>3804.5</v>
      </c>
    </row>
    <row r="41" spans="3:23" ht="12" x14ac:dyDescent="0.2">
      <c r="C41" s="602" t="s">
        <v>39</v>
      </c>
      <c r="D41" s="603"/>
      <c r="E41" s="603"/>
      <c r="F41" s="604"/>
      <c r="G41" s="605"/>
      <c r="I41" s="94"/>
      <c r="J41" s="117"/>
      <c r="K41" s="61"/>
      <c r="L41" s="111"/>
      <c r="M41" s="346"/>
      <c r="O41" s="32">
        <v>46163</v>
      </c>
      <c r="P41" s="345" t="s">
        <v>496</v>
      </c>
      <c r="Q41" s="32">
        <v>267774</v>
      </c>
      <c r="R41" s="11"/>
      <c r="S41" s="32">
        <v>268543</v>
      </c>
      <c r="T41" s="53">
        <f t="shared" si="4"/>
        <v>769</v>
      </c>
      <c r="U41" s="304">
        <f>SUM(J23:J24)</f>
        <v>790</v>
      </c>
      <c r="V41" s="53">
        <f>+K24</f>
        <v>230.99</v>
      </c>
      <c r="W41" s="354">
        <f>(SUM(M23:M24)/2)</f>
        <v>6664</v>
      </c>
    </row>
    <row r="42" spans="3:23" ht="12" x14ac:dyDescent="0.2">
      <c r="C42" s="602" t="s">
        <v>116</v>
      </c>
      <c r="D42" s="603"/>
      <c r="E42" s="603"/>
      <c r="F42" s="604"/>
      <c r="G42" s="605"/>
      <c r="I42" s="94"/>
      <c r="J42" s="117"/>
      <c r="K42" s="61"/>
      <c r="L42" s="111"/>
      <c r="M42" s="346"/>
      <c r="O42" s="32">
        <v>46179</v>
      </c>
      <c r="P42" s="345" t="s">
        <v>496</v>
      </c>
      <c r="Q42" s="32">
        <v>268543</v>
      </c>
      <c r="R42" s="11"/>
      <c r="S42" s="11">
        <v>269287</v>
      </c>
      <c r="T42" s="53">
        <f t="shared" si="4"/>
        <v>744</v>
      </c>
      <c r="U42" s="304">
        <f>SUM(J25:J26)</f>
        <v>790</v>
      </c>
      <c r="V42" s="53">
        <f>+K26</f>
        <v>221.93</v>
      </c>
      <c r="W42" s="354">
        <f>(SUM(M25:M26)/2)</f>
        <v>6173.5</v>
      </c>
    </row>
    <row r="43" spans="3:23" ht="12" x14ac:dyDescent="0.2">
      <c r="C43" s="602" t="s">
        <v>40</v>
      </c>
      <c r="D43" s="603"/>
      <c r="E43" s="603"/>
      <c r="F43" s="604"/>
      <c r="G43" s="605"/>
      <c r="I43" s="94"/>
      <c r="J43" s="117"/>
      <c r="K43" s="61"/>
      <c r="L43" s="111"/>
      <c r="M43" s="346"/>
      <c r="O43" s="32"/>
      <c r="P43" s="345"/>
      <c r="Q43" s="32"/>
      <c r="R43" s="61"/>
      <c r="S43" s="11"/>
      <c r="T43" s="53">
        <f t="shared" si="4"/>
        <v>0</v>
      </c>
      <c r="U43" s="304">
        <f>SUM(J27:J28)</f>
        <v>0</v>
      </c>
      <c r="V43" s="53">
        <f>+K28</f>
        <v>0</v>
      </c>
      <c r="W43" s="354">
        <f>(SUM(M27:M28)/2)</f>
        <v>0</v>
      </c>
    </row>
    <row r="44" spans="3:23" thickBot="1" x14ac:dyDescent="0.25">
      <c r="C44" s="602" t="s">
        <v>124</v>
      </c>
      <c r="D44" s="603"/>
      <c r="E44" s="603"/>
      <c r="F44" s="604"/>
      <c r="G44" s="605"/>
      <c r="I44" s="282"/>
      <c r="J44" s="285"/>
      <c r="K44" s="62"/>
      <c r="L44" s="283"/>
      <c r="M44" s="346"/>
      <c r="O44" s="32"/>
      <c r="P44" s="345"/>
      <c r="Q44" s="32"/>
      <c r="R44" s="61"/>
      <c r="S44" s="11"/>
      <c r="T44" s="53">
        <f t="shared" si="4"/>
        <v>0</v>
      </c>
      <c r="U44" s="304">
        <f>SUM(J29:J30)</f>
        <v>0</v>
      </c>
      <c r="V44" s="53">
        <f>+K29</f>
        <v>0</v>
      </c>
      <c r="W44" s="354">
        <f>(SUM(M29:M30)/2)</f>
        <v>0</v>
      </c>
    </row>
    <row r="45" spans="3:23" ht="13.5" customHeight="1" thickBot="1" x14ac:dyDescent="0.25">
      <c r="C45" s="602" t="s">
        <v>224</v>
      </c>
      <c r="D45" s="603"/>
      <c r="E45" s="603"/>
      <c r="F45" s="606"/>
      <c r="G45" s="607"/>
      <c r="I45" s="597" t="s">
        <v>41</v>
      </c>
      <c r="J45" s="598"/>
      <c r="K45" s="632"/>
      <c r="L45" s="284">
        <f>SUM(L38:L44)</f>
        <v>0</v>
      </c>
      <c r="M45" s="347"/>
      <c r="O45" s="113"/>
      <c r="P45" s="364"/>
      <c r="Q45" s="113"/>
      <c r="R45" s="81"/>
      <c r="S45" s="81"/>
      <c r="T45" s="55">
        <f t="shared" si="4"/>
        <v>0</v>
      </c>
      <c r="U45" s="307">
        <f>SUM(J30:J31)</f>
        <v>0</v>
      </c>
      <c r="V45" s="55">
        <f>+K31</f>
        <v>0</v>
      </c>
      <c r="W45" s="355">
        <f>(SUM(M30:M31)/2)</f>
        <v>0</v>
      </c>
    </row>
    <row r="46" spans="3:23" ht="13.5" customHeight="1" x14ac:dyDescent="0.2">
      <c r="C46" s="602" t="s">
        <v>130</v>
      </c>
      <c r="D46" s="603"/>
      <c r="E46" s="603"/>
      <c r="F46" s="606"/>
      <c r="G46" s="607"/>
      <c r="R46" s="21"/>
      <c r="S46" s="21"/>
      <c r="T46" s="21"/>
      <c r="U46" s="139"/>
      <c r="V46" s="271"/>
      <c r="W46" s="14"/>
    </row>
    <row r="47" spans="3:23" ht="13.5" customHeight="1" thickBot="1" x14ac:dyDescent="0.25">
      <c r="C47" s="593" t="s">
        <v>234</v>
      </c>
      <c r="D47" s="594"/>
      <c r="E47" s="594"/>
      <c r="F47" s="595"/>
      <c r="G47" s="596"/>
      <c r="R47" s="21"/>
      <c r="S47" s="21"/>
      <c r="T47" s="21"/>
      <c r="U47" s="139"/>
      <c r="V47" s="271"/>
      <c r="W47" s="14"/>
    </row>
    <row r="48" spans="3:23" ht="13.5" thickBot="1" x14ac:dyDescent="0.25">
      <c r="C48" s="597" t="s">
        <v>42</v>
      </c>
      <c r="D48" s="598"/>
      <c r="E48" s="599"/>
      <c r="F48" s="600">
        <f>SUM(F37:G47)</f>
        <v>8960.1779082244666</v>
      </c>
      <c r="G48" s="601"/>
      <c r="R48" s="21"/>
      <c r="S48" s="21"/>
      <c r="T48" s="21"/>
      <c r="U48" s="139"/>
      <c r="V48" s="271"/>
      <c r="W48" s="14"/>
    </row>
    <row r="49" spans="3:22" ht="13.5" customHeight="1" thickBot="1" x14ac:dyDescent="0.25">
      <c r="P49" s="588" t="s">
        <v>48</v>
      </c>
      <c r="Q49" s="589"/>
      <c r="R49" s="590"/>
      <c r="S49" s="21"/>
      <c r="T49" s="21"/>
      <c r="U49" s="139"/>
      <c r="V49" s="271"/>
    </row>
    <row r="50" spans="3:22" ht="12.75" customHeight="1" x14ac:dyDescent="0.2">
      <c r="C50" s="246" t="s">
        <v>43</v>
      </c>
      <c r="D50" s="247"/>
      <c r="E50" s="247"/>
      <c r="F50" s="247"/>
      <c r="G50" s="247"/>
      <c r="H50" s="247"/>
      <c r="I50" s="247"/>
      <c r="J50" s="247"/>
      <c r="K50" s="247"/>
      <c r="L50" s="248"/>
      <c r="M50" s="251"/>
      <c r="P50" s="78">
        <v>1</v>
      </c>
      <c r="Q50" s="584" t="s">
        <v>49</v>
      </c>
      <c r="R50" s="585"/>
      <c r="S50" s="21"/>
      <c r="T50" s="21"/>
      <c r="U50" s="249"/>
    </row>
    <row r="51" spans="3:22" ht="12.75" customHeight="1" x14ac:dyDescent="0.2">
      <c r="C51" s="250"/>
      <c r="D51" s="251"/>
      <c r="E51" s="251"/>
      <c r="F51" s="251"/>
      <c r="G51" s="251"/>
      <c r="H51" s="251"/>
      <c r="I51" s="251"/>
      <c r="J51" s="251"/>
      <c r="K51" s="251"/>
      <c r="L51" s="252"/>
      <c r="M51" s="251"/>
      <c r="P51" s="32">
        <v>2</v>
      </c>
      <c r="Q51" s="586" t="s">
        <v>135</v>
      </c>
      <c r="R51" s="587"/>
      <c r="S51" s="21"/>
      <c r="T51" s="249"/>
    </row>
    <row r="52" spans="3:22" ht="13.5" thickBot="1" x14ac:dyDescent="0.25">
      <c r="C52" s="253"/>
      <c r="D52" s="254"/>
      <c r="E52" s="254"/>
      <c r="F52" s="254"/>
      <c r="G52" s="254"/>
      <c r="H52" s="254"/>
      <c r="I52" s="254"/>
      <c r="J52" s="254"/>
      <c r="K52" s="254"/>
      <c r="L52" s="255"/>
      <c r="M52" s="251"/>
      <c r="P52" s="32">
        <v>3</v>
      </c>
      <c r="Q52" s="586" t="s">
        <v>130</v>
      </c>
      <c r="R52" s="587"/>
      <c r="S52" s="21"/>
      <c r="T52" s="249"/>
    </row>
    <row r="53" spans="3:22" x14ac:dyDescent="0.2">
      <c r="P53" s="32">
        <v>4</v>
      </c>
      <c r="Q53" s="586" t="s">
        <v>228</v>
      </c>
      <c r="R53" s="587"/>
      <c r="S53" s="21"/>
      <c r="T53" s="249"/>
    </row>
    <row r="54" spans="3:22" ht="13.5" thickBot="1" x14ac:dyDescent="0.25">
      <c r="P54" s="32">
        <v>5</v>
      </c>
      <c r="Q54" s="586" t="s">
        <v>229</v>
      </c>
      <c r="R54" s="587"/>
      <c r="S54" s="21"/>
    </row>
    <row r="55" spans="3:22" ht="14.25" customHeight="1" thickTop="1" thickBot="1" x14ac:dyDescent="0.25">
      <c r="D55" s="631" t="s">
        <v>44</v>
      </c>
      <c r="E55" s="631"/>
      <c r="F55" s="631"/>
      <c r="G55" s="631"/>
      <c r="H55" s="631"/>
      <c r="J55" s="631" t="s">
        <v>45</v>
      </c>
      <c r="K55" s="631"/>
      <c r="L55" s="631"/>
      <c r="M55" s="631"/>
      <c r="N55" s="631"/>
      <c r="P55" s="54">
        <v>6</v>
      </c>
      <c r="Q55" s="591" t="s">
        <v>230</v>
      </c>
      <c r="R55" s="592"/>
      <c r="S55" s="21"/>
      <c r="T55" s="21"/>
    </row>
    <row r="56" spans="3:22" x14ac:dyDescent="0.2">
      <c r="S56" s="21"/>
      <c r="T56" s="21"/>
    </row>
    <row r="57" spans="3:22" x14ac:dyDescent="0.2">
      <c r="P57" s="21"/>
      <c r="Q57" s="21"/>
      <c r="R57" s="21"/>
      <c r="S57" s="21"/>
      <c r="T57" s="21"/>
    </row>
    <row r="65" spans="24:24" x14ac:dyDescent="0.2">
      <c r="X65" s="14" t="s">
        <v>181</v>
      </c>
    </row>
  </sheetData>
  <mergeCells count="56">
    <mergeCell ref="D55:H55"/>
    <mergeCell ref="J55:N55"/>
    <mergeCell ref="I45:K45"/>
    <mergeCell ref="C47:E47"/>
    <mergeCell ref="F47:G47"/>
    <mergeCell ref="C48:E48"/>
    <mergeCell ref="F48:G48"/>
    <mergeCell ref="C45:E45"/>
    <mergeCell ref="F45:G45"/>
    <mergeCell ref="C46:E46"/>
    <mergeCell ref="F46:G46"/>
    <mergeCell ref="F43:G43"/>
    <mergeCell ref="F44:G44"/>
    <mergeCell ref="C42:E42"/>
    <mergeCell ref="F42:G42"/>
    <mergeCell ref="C43:E43"/>
    <mergeCell ref="C44:E44"/>
    <mergeCell ref="C39:E39"/>
    <mergeCell ref="F39:G39"/>
    <mergeCell ref="C40:E40"/>
    <mergeCell ref="F40:G40"/>
    <mergeCell ref="C41:E41"/>
    <mergeCell ref="F41:G41"/>
    <mergeCell ref="C37:E37"/>
    <mergeCell ref="F37:G37"/>
    <mergeCell ref="I36:L36"/>
    <mergeCell ref="C38:E38"/>
    <mergeCell ref="F38:G38"/>
    <mergeCell ref="C36:G36"/>
    <mergeCell ref="F33:G33"/>
    <mergeCell ref="F34:G34"/>
    <mergeCell ref="I6:O6"/>
    <mergeCell ref="Q6:S6"/>
    <mergeCell ref="I9:O9"/>
    <mergeCell ref="L11:S11"/>
    <mergeCell ref="E12:F12"/>
    <mergeCell ref="D13:E13"/>
    <mergeCell ref="D14:E14"/>
    <mergeCell ref="D15:E15"/>
    <mergeCell ref="D16:E16"/>
    <mergeCell ref="E33:E34"/>
    <mergeCell ref="Q52:R52"/>
    <mergeCell ref="Q53:R53"/>
    <mergeCell ref="Q54:R54"/>
    <mergeCell ref="Q55:R55"/>
    <mergeCell ref="Q2:S2"/>
    <mergeCell ref="Q50:R50"/>
    <mergeCell ref="Q51:R51"/>
    <mergeCell ref="P49:R49"/>
    <mergeCell ref="O36:P36"/>
    <mergeCell ref="Q36:S36"/>
    <mergeCell ref="I3:O3"/>
    <mergeCell ref="Q3:S3"/>
    <mergeCell ref="I4:O4"/>
    <mergeCell ref="I5:O5"/>
    <mergeCell ref="Q5:S5"/>
  </mergeCells>
  <pageMargins left="0.19685039370078741" right="0.19685039370078741" top="0.35433070866141736" bottom="0.35433070866141736" header="0.31496062992125984" footer="0.31496062992125984"/>
  <pageSetup paperSize="9" scale="69" orientation="landscape" horizontalDpi="300" verticalDpi="300" r:id="rId1"/>
  <drawing r:id="rId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 codeName="Hoja26"/>
  <dimension ref="B1:P32"/>
  <sheetViews>
    <sheetView zoomScale="85" zoomScaleNormal="85" workbookViewId="0">
      <selection activeCell="B3" sqref="B3:P31"/>
    </sheetView>
  </sheetViews>
  <sheetFormatPr baseColWidth="10" defaultRowHeight="12.75" x14ac:dyDescent="0.2"/>
  <cols>
    <col min="1" max="1" width="11.42578125" style="122"/>
    <col min="2" max="2" width="9.28515625" style="122" customWidth="1"/>
    <col min="3" max="3" width="49.5703125" style="128" bestFit="1" customWidth="1"/>
    <col min="4" max="4" width="15.28515625" style="127" bestFit="1" customWidth="1"/>
    <col min="5" max="5" width="19.5703125" style="127" customWidth="1"/>
    <col min="6" max="6" width="14.7109375" style="208" bestFit="1" customWidth="1"/>
    <col min="7" max="7" width="12.7109375" style="208" bestFit="1" customWidth="1"/>
    <col min="8" max="8" width="12.28515625" style="208" bestFit="1" customWidth="1"/>
    <col min="9" max="9" width="14.7109375" style="208" bestFit="1" customWidth="1"/>
    <col min="10" max="10" width="13.5703125" style="129" bestFit="1" customWidth="1"/>
    <col min="11" max="11" width="12.5703125" style="129" bestFit="1" customWidth="1"/>
    <col min="12" max="12" width="18.140625" style="122" customWidth="1"/>
    <col min="13" max="13" width="42.42578125" style="122" bestFit="1" customWidth="1"/>
    <col min="14" max="14" width="14.5703125" style="122" bestFit="1" customWidth="1"/>
    <col min="15" max="15" width="10" style="122" bestFit="1" customWidth="1"/>
    <col min="16" max="255" width="9.140625" style="122" customWidth="1"/>
    <col min="256" max="256" width="11.42578125" style="122"/>
    <col min="257" max="257" width="7.42578125" style="122" customWidth="1"/>
    <col min="258" max="258" width="37" style="122" customWidth="1"/>
    <col min="259" max="259" width="8.7109375" style="122" customWidth="1"/>
    <col min="260" max="260" width="20" style="122" customWidth="1"/>
    <col min="261" max="261" width="14.140625" style="122" customWidth="1"/>
    <col min="262" max="262" width="13.5703125" style="122" customWidth="1"/>
    <col min="263" max="263" width="9.85546875" style="122" customWidth="1"/>
    <col min="264" max="264" width="12" style="122" customWidth="1"/>
    <col min="265" max="265" width="16.28515625" style="122" customWidth="1"/>
    <col min="266" max="266" width="14" style="122" customWidth="1"/>
    <col min="267" max="268" width="14.42578125" style="122" customWidth="1"/>
    <col min="269" max="511" width="9.140625" style="122" customWidth="1"/>
    <col min="512" max="512" width="11.42578125" style="122"/>
    <col min="513" max="513" width="7.42578125" style="122" customWidth="1"/>
    <col min="514" max="514" width="37" style="122" customWidth="1"/>
    <col min="515" max="515" width="8.7109375" style="122" customWidth="1"/>
    <col min="516" max="516" width="20" style="122" customWidth="1"/>
    <col min="517" max="517" width="14.140625" style="122" customWidth="1"/>
    <col min="518" max="518" width="13.5703125" style="122" customWidth="1"/>
    <col min="519" max="519" width="9.85546875" style="122" customWidth="1"/>
    <col min="520" max="520" width="12" style="122" customWidth="1"/>
    <col min="521" max="521" width="16.28515625" style="122" customWidth="1"/>
    <col min="522" max="522" width="14" style="122" customWidth="1"/>
    <col min="523" max="524" width="14.42578125" style="122" customWidth="1"/>
    <col min="525" max="767" width="9.140625" style="122" customWidth="1"/>
    <col min="768" max="768" width="11.42578125" style="122"/>
    <col min="769" max="769" width="7.42578125" style="122" customWidth="1"/>
    <col min="770" max="770" width="37" style="122" customWidth="1"/>
    <col min="771" max="771" width="8.7109375" style="122" customWidth="1"/>
    <col min="772" max="772" width="20" style="122" customWidth="1"/>
    <col min="773" max="773" width="14.140625" style="122" customWidth="1"/>
    <col min="774" max="774" width="13.5703125" style="122" customWidth="1"/>
    <col min="775" max="775" width="9.85546875" style="122" customWidth="1"/>
    <col min="776" max="776" width="12" style="122" customWidth="1"/>
    <col min="777" max="777" width="16.28515625" style="122" customWidth="1"/>
    <col min="778" max="778" width="14" style="122" customWidth="1"/>
    <col min="779" max="780" width="14.42578125" style="122" customWidth="1"/>
    <col min="781" max="1023" width="9.140625" style="122" customWidth="1"/>
    <col min="1024" max="1024" width="11.42578125" style="122"/>
    <col min="1025" max="1025" width="7.42578125" style="122" customWidth="1"/>
    <col min="1026" max="1026" width="37" style="122" customWidth="1"/>
    <col min="1027" max="1027" width="8.7109375" style="122" customWidth="1"/>
    <col min="1028" max="1028" width="20" style="122" customWidth="1"/>
    <col min="1029" max="1029" width="14.140625" style="122" customWidth="1"/>
    <col min="1030" max="1030" width="13.5703125" style="122" customWidth="1"/>
    <col min="1031" max="1031" width="9.85546875" style="122" customWidth="1"/>
    <col min="1032" max="1032" width="12" style="122" customWidth="1"/>
    <col min="1033" max="1033" width="16.28515625" style="122" customWidth="1"/>
    <col min="1034" max="1034" width="14" style="122" customWidth="1"/>
    <col min="1035" max="1036" width="14.42578125" style="122" customWidth="1"/>
    <col min="1037" max="1279" width="9.140625" style="122" customWidth="1"/>
    <col min="1280" max="1280" width="11.42578125" style="122"/>
    <col min="1281" max="1281" width="7.42578125" style="122" customWidth="1"/>
    <col min="1282" max="1282" width="37" style="122" customWidth="1"/>
    <col min="1283" max="1283" width="8.7109375" style="122" customWidth="1"/>
    <col min="1284" max="1284" width="20" style="122" customWidth="1"/>
    <col min="1285" max="1285" width="14.140625" style="122" customWidth="1"/>
    <col min="1286" max="1286" width="13.5703125" style="122" customWidth="1"/>
    <col min="1287" max="1287" width="9.85546875" style="122" customWidth="1"/>
    <col min="1288" max="1288" width="12" style="122" customWidth="1"/>
    <col min="1289" max="1289" width="16.28515625" style="122" customWidth="1"/>
    <col min="1290" max="1290" width="14" style="122" customWidth="1"/>
    <col min="1291" max="1292" width="14.42578125" style="122" customWidth="1"/>
    <col min="1293" max="1535" width="9.140625" style="122" customWidth="1"/>
    <col min="1536" max="1536" width="11.42578125" style="122"/>
    <col min="1537" max="1537" width="7.42578125" style="122" customWidth="1"/>
    <col min="1538" max="1538" width="37" style="122" customWidth="1"/>
    <col min="1539" max="1539" width="8.7109375" style="122" customWidth="1"/>
    <col min="1540" max="1540" width="20" style="122" customWidth="1"/>
    <col min="1541" max="1541" width="14.140625" style="122" customWidth="1"/>
    <col min="1542" max="1542" width="13.5703125" style="122" customWidth="1"/>
    <col min="1543" max="1543" width="9.85546875" style="122" customWidth="1"/>
    <col min="1544" max="1544" width="12" style="122" customWidth="1"/>
    <col min="1545" max="1545" width="16.28515625" style="122" customWidth="1"/>
    <col min="1546" max="1546" width="14" style="122" customWidth="1"/>
    <col min="1547" max="1548" width="14.42578125" style="122" customWidth="1"/>
    <col min="1549" max="1791" width="9.140625" style="122" customWidth="1"/>
    <col min="1792" max="1792" width="11.42578125" style="122"/>
    <col min="1793" max="1793" width="7.42578125" style="122" customWidth="1"/>
    <col min="1794" max="1794" width="37" style="122" customWidth="1"/>
    <col min="1795" max="1795" width="8.7109375" style="122" customWidth="1"/>
    <col min="1796" max="1796" width="20" style="122" customWidth="1"/>
    <col min="1797" max="1797" width="14.140625" style="122" customWidth="1"/>
    <col min="1798" max="1798" width="13.5703125" style="122" customWidth="1"/>
    <col min="1799" max="1799" width="9.85546875" style="122" customWidth="1"/>
    <col min="1800" max="1800" width="12" style="122" customWidth="1"/>
    <col min="1801" max="1801" width="16.28515625" style="122" customWidth="1"/>
    <col min="1802" max="1802" width="14" style="122" customWidth="1"/>
    <col min="1803" max="1804" width="14.42578125" style="122" customWidth="1"/>
    <col min="1805" max="2047" width="9.140625" style="122" customWidth="1"/>
    <col min="2048" max="2048" width="11.42578125" style="122"/>
    <col min="2049" max="2049" width="7.42578125" style="122" customWidth="1"/>
    <col min="2050" max="2050" width="37" style="122" customWidth="1"/>
    <col min="2051" max="2051" width="8.7109375" style="122" customWidth="1"/>
    <col min="2052" max="2052" width="20" style="122" customWidth="1"/>
    <col min="2053" max="2053" width="14.140625" style="122" customWidth="1"/>
    <col min="2054" max="2054" width="13.5703125" style="122" customWidth="1"/>
    <col min="2055" max="2055" width="9.85546875" style="122" customWidth="1"/>
    <col min="2056" max="2056" width="12" style="122" customWidth="1"/>
    <col min="2057" max="2057" width="16.28515625" style="122" customWidth="1"/>
    <col min="2058" max="2058" width="14" style="122" customWidth="1"/>
    <col min="2059" max="2060" width="14.42578125" style="122" customWidth="1"/>
    <col min="2061" max="2303" width="9.140625" style="122" customWidth="1"/>
    <col min="2304" max="2304" width="11.42578125" style="122"/>
    <col min="2305" max="2305" width="7.42578125" style="122" customWidth="1"/>
    <col min="2306" max="2306" width="37" style="122" customWidth="1"/>
    <col min="2307" max="2307" width="8.7109375" style="122" customWidth="1"/>
    <col min="2308" max="2308" width="20" style="122" customWidth="1"/>
    <col min="2309" max="2309" width="14.140625" style="122" customWidth="1"/>
    <col min="2310" max="2310" width="13.5703125" style="122" customWidth="1"/>
    <col min="2311" max="2311" width="9.85546875" style="122" customWidth="1"/>
    <col min="2312" max="2312" width="12" style="122" customWidth="1"/>
    <col min="2313" max="2313" width="16.28515625" style="122" customWidth="1"/>
    <col min="2314" max="2314" width="14" style="122" customWidth="1"/>
    <col min="2315" max="2316" width="14.42578125" style="122" customWidth="1"/>
    <col min="2317" max="2559" width="9.140625" style="122" customWidth="1"/>
    <col min="2560" max="2560" width="11.42578125" style="122"/>
    <col min="2561" max="2561" width="7.42578125" style="122" customWidth="1"/>
    <col min="2562" max="2562" width="37" style="122" customWidth="1"/>
    <col min="2563" max="2563" width="8.7109375" style="122" customWidth="1"/>
    <col min="2564" max="2564" width="20" style="122" customWidth="1"/>
    <col min="2565" max="2565" width="14.140625" style="122" customWidth="1"/>
    <col min="2566" max="2566" width="13.5703125" style="122" customWidth="1"/>
    <col min="2567" max="2567" width="9.85546875" style="122" customWidth="1"/>
    <col min="2568" max="2568" width="12" style="122" customWidth="1"/>
    <col min="2569" max="2569" width="16.28515625" style="122" customWidth="1"/>
    <col min="2570" max="2570" width="14" style="122" customWidth="1"/>
    <col min="2571" max="2572" width="14.42578125" style="122" customWidth="1"/>
    <col min="2573" max="2815" width="9.140625" style="122" customWidth="1"/>
    <col min="2816" max="2816" width="11.42578125" style="122"/>
    <col min="2817" max="2817" width="7.42578125" style="122" customWidth="1"/>
    <col min="2818" max="2818" width="37" style="122" customWidth="1"/>
    <col min="2819" max="2819" width="8.7109375" style="122" customWidth="1"/>
    <col min="2820" max="2820" width="20" style="122" customWidth="1"/>
    <col min="2821" max="2821" width="14.140625" style="122" customWidth="1"/>
    <col min="2822" max="2822" width="13.5703125" style="122" customWidth="1"/>
    <col min="2823" max="2823" width="9.85546875" style="122" customWidth="1"/>
    <col min="2824" max="2824" width="12" style="122" customWidth="1"/>
    <col min="2825" max="2825" width="16.28515625" style="122" customWidth="1"/>
    <col min="2826" max="2826" width="14" style="122" customWidth="1"/>
    <col min="2827" max="2828" width="14.42578125" style="122" customWidth="1"/>
    <col min="2829" max="3071" width="9.140625" style="122" customWidth="1"/>
    <col min="3072" max="3072" width="11.42578125" style="122"/>
    <col min="3073" max="3073" width="7.42578125" style="122" customWidth="1"/>
    <col min="3074" max="3074" width="37" style="122" customWidth="1"/>
    <col min="3075" max="3075" width="8.7109375" style="122" customWidth="1"/>
    <col min="3076" max="3076" width="20" style="122" customWidth="1"/>
    <col min="3077" max="3077" width="14.140625" style="122" customWidth="1"/>
    <col min="3078" max="3078" width="13.5703125" style="122" customWidth="1"/>
    <col min="3079" max="3079" width="9.85546875" style="122" customWidth="1"/>
    <col min="3080" max="3080" width="12" style="122" customWidth="1"/>
    <col min="3081" max="3081" width="16.28515625" style="122" customWidth="1"/>
    <col min="3082" max="3082" width="14" style="122" customWidth="1"/>
    <col min="3083" max="3084" width="14.42578125" style="122" customWidth="1"/>
    <col min="3085" max="3327" width="9.140625" style="122" customWidth="1"/>
    <col min="3328" max="3328" width="11.42578125" style="122"/>
    <col min="3329" max="3329" width="7.42578125" style="122" customWidth="1"/>
    <col min="3330" max="3330" width="37" style="122" customWidth="1"/>
    <col min="3331" max="3331" width="8.7109375" style="122" customWidth="1"/>
    <col min="3332" max="3332" width="20" style="122" customWidth="1"/>
    <col min="3333" max="3333" width="14.140625" style="122" customWidth="1"/>
    <col min="3334" max="3334" width="13.5703125" style="122" customWidth="1"/>
    <col min="3335" max="3335" width="9.85546875" style="122" customWidth="1"/>
    <col min="3336" max="3336" width="12" style="122" customWidth="1"/>
    <col min="3337" max="3337" width="16.28515625" style="122" customWidth="1"/>
    <col min="3338" max="3338" width="14" style="122" customWidth="1"/>
    <col min="3339" max="3340" width="14.42578125" style="122" customWidth="1"/>
    <col min="3341" max="3583" width="9.140625" style="122" customWidth="1"/>
    <col min="3584" max="3584" width="11.42578125" style="122"/>
    <col min="3585" max="3585" width="7.42578125" style="122" customWidth="1"/>
    <col min="3586" max="3586" width="37" style="122" customWidth="1"/>
    <col min="3587" max="3587" width="8.7109375" style="122" customWidth="1"/>
    <col min="3588" max="3588" width="20" style="122" customWidth="1"/>
    <col min="3589" max="3589" width="14.140625" style="122" customWidth="1"/>
    <col min="3590" max="3590" width="13.5703125" style="122" customWidth="1"/>
    <col min="3591" max="3591" width="9.85546875" style="122" customWidth="1"/>
    <col min="3592" max="3592" width="12" style="122" customWidth="1"/>
    <col min="3593" max="3593" width="16.28515625" style="122" customWidth="1"/>
    <col min="3594" max="3594" width="14" style="122" customWidth="1"/>
    <col min="3595" max="3596" width="14.42578125" style="122" customWidth="1"/>
    <col min="3597" max="3839" width="9.140625" style="122" customWidth="1"/>
    <col min="3840" max="3840" width="11.42578125" style="122"/>
    <col min="3841" max="3841" width="7.42578125" style="122" customWidth="1"/>
    <col min="3842" max="3842" width="37" style="122" customWidth="1"/>
    <col min="3843" max="3843" width="8.7109375" style="122" customWidth="1"/>
    <col min="3844" max="3844" width="20" style="122" customWidth="1"/>
    <col min="3845" max="3845" width="14.140625" style="122" customWidth="1"/>
    <col min="3846" max="3846" width="13.5703125" style="122" customWidth="1"/>
    <col min="3847" max="3847" width="9.85546875" style="122" customWidth="1"/>
    <col min="3848" max="3848" width="12" style="122" customWidth="1"/>
    <col min="3849" max="3849" width="16.28515625" style="122" customWidth="1"/>
    <col min="3850" max="3850" width="14" style="122" customWidth="1"/>
    <col min="3851" max="3852" width="14.42578125" style="122" customWidth="1"/>
    <col min="3853" max="4095" width="9.140625" style="122" customWidth="1"/>
    <col min="4096" max="4096" width="11.42578125" style="122"/>
    <col min="4097" max="4097" width="7.42578125" style="122" customWidth="1"/>
    <col min="4098" max="4098" width="37" style="122" customWidth="1"/>
    <col min="4099" max="4099" width="8.7109375" style="122" customWidth="1"/>
    <col min="4100" max="4100" width="20" style="122" customWidth="1"/>
    <col min="4101" max="4101" width="14.140625" style="122" customWidth="1"/>
    <col min="4102" max="4102" width="13.5703125" style="122" customWidth="1"/>
    <col min="4103" max="4103" width="9.85546875" style="122" customWidth="1"/>
    <col min="4104" max="4104" width="12" style="122" customWidth="1"/>
    <col min="4105" max="4105" width="16.28515625" style="122" customWidth="1"/>
    <col min="4106" max="4106" width="14" style="122" customWidth="1"/>
    <col min="4107" max="4108" width="14.42578125" style="122" customWidth="1"/>
    <col min="4109" max="4351" width="9.140625" style="122" customWidth="1"/>
    <col min="4352" max="4352" width="11.42578125" style="122"/>
    <col min="4353" max="4353" width="7.42578125" style="122" customWidth="1"/>
    <col min="4354" max="4354" width="37" style="122" customWidth="1"/>
    <col min="4355" max="4355" width="8.7109375" style="122" customWidth="1"/>
    <col min="4356" max="4356" width="20" style="122" customWidth="1"/>
    <col min="4357" max="4357" width="14.140625" style="122" customWidth="1"/>
    <col min="4358" max="4358" width="13.5703125" style="122" customWidth="1"/>
    <col min="4359" max="4359" width="9.85546875" style="122" customWidth="1"/>
    <col min="4360" max="4360" width="12" style="122" customWidth="1"/>
    <col min="4361" max="4361" width="16.28515625" style="122" customWidth="1"/>
    <col min="4362" max="4362" width="14" style="122" customWidth="1"/>
    <col min="4363" max="4364" width="14.42578125" style="122" customWidth="1"/>
    <col min="4365" max="4607" width="9.140625" style="122" customWidth="1"/>
    <col min="4608" max="4608" width="11.42578125" style="122"/>
    <col min="4609" max="4609" width="7.42578125" style="122" customWidth="1"/>
    <col min="4610" max="4610" width="37" style="122" customWidth="1"/>
    <col min="4611" max="4611" width="8.7109375" style="122" customWidth="1"/>
    <col min="4612" max="4612" width="20" style="122" customWidth="1"/>
    <col min="4613" max="4613" width="14.140625" style="122" customWidth="1"/>
    <col min="4614" max="4614" width="13.5703125" style="122" customWidth="1"/>
    <col min="4615" max="4615" width="9.85546875" style="122" customWidth="1"/>
    <col min="4616" max="4616" width="12" style="122" customWidth="1"/>
    <col min="4617" max="4617" width="16.28515625" style="122" customWidth="1"/>
    <col min="4618" max="4618" width="14" style="122" customWidth="1"/>
    <col min="4619" max="4620" width="14.42578125" style="122" customWidth="1"/>
    <col min="4621" max="4863" width="9.140625" style="122" customWidth="1"/>
    <col min="4864" max="4864" width="11.42578125" style="122"/>
    <col min="4865" max="4865" width="7.42578125" style="122" customWidth="1"/>
    <col min="4866" max="4866" width="37" style="122" customWidth="1"/>
    <col min="4867" max="4867" width="8.7109375" style="122" customWidth="1"/>
    <col min="4868" max="4868" width="20" style="122" customWidth="1"/>
    <col min="4869" max="4869" width="14.140625" style="122" customWidth="1"/>
    <col min="4870" max="4870" width="13.5703125" style="122" customWidth="1"/>
    <col min="4871" max="4871" width="9.85546875" style="122" customWidth="1"/>
    <col min="4872" max="4872" width="12" style="122" customWidth="1"/>
    <col min="4873" max="4873" width="16.28515625" style="122" customWidth="1"/>
    <col min="4874" max="4874" width="14" style="122" customWidth="1"/>
    <col min="4875" max="4876" width="14.42578125" style="122" customWidth="1"/>
    <col min="4877" max="5119" width="9.140625" style="122" customWidth="1"/>
    <col min="5120" max="5120" width="11.42578125" style="122"/>
    <col min="5121" max="5121" width="7.42578125" style="122" customWidth="1"/>
    <col min="5122" max="5122" width="37" style="122" customWidth="1"/>
    <col min="5123" max="5123" width="8.7109375" style="122" customWidth="1"/>
    <col min="5124" max="5124" width="20" style="122" customWidth="1"/>
    <col min="5125" max="5125" width="14.140625" style="122" customWidth="1"/>
    <col min="5126" max="5126" width="13.5703125" style="122" customWidth="1"/>
    <col min="5127" max="5127" width="9.85546875" style="122" customWidth="1"/>
    <col min="5128" max="5128" width="12" style="122" customWidth="1"/>
    <col min="5129" max="5129" width="16.28515625" style="122" customWidth="1"/>
    <col min="5130" max="5130" width="14" style="122" customWidth="1"/>
    <col min="5131" max="5132" width="14.42578125" style="122" customWidth="1"/>
    <col min="5133" max="5375" width="9.140625" style="122" customWidth="1"/>
    <col min="5376" max="5376" width="11.42578125" style="122"/>
    <col min="5377" max="5377" width="7.42578125" style="122" customWidth="1"/>
    <col min="5378" max="5378" width="37" style="122" customWidth="1"/>
    <col min="5379" max="5379" width="8.7109375" style="122" customWidth="1"/>
    <col min="5380" max="5380" width="20" style="122" customWidth="1"/>
    <col min="5381" max="5381" width="14.140625" style="122" customWidth="1"/>
    <col min="5382" max="5382" width="13.5703125" style="122" customWidth="1"/>
    <col min="5383" max="5383" width="9.85546875" style="122" customWidth="1"/>
    <col min="5384" max="5384" width="12" style="122" customWidth="1"/>
    <col min="5385" max="5385" width="16.28515625" style="122" customWidth="1"/>
    <col min="5386" max="5386" width="14" style="122" customWidth="1"/>
    <col min="5387" max="5388" width="14.42578125" style="122" customWidth="1"/>
    <col min="5389" max="5631" width="9.140625" style="122" customWidth="1"/>
    <col min="5632" max="5632" width="11.42578125" style="122"/>
    <col min="5633" max="5633" width="7.42578125" style="122" customWidth="1"/>
    <col min="5634" max="5634" width="37" style="122" customWidth="1"/>
    <col min="5635" max="5635" width="8.7109375" style="122" customWidth="1"/>
    <col min="5636" max="5636" width="20" style="122" customWidth="1"/>
    <col min="5637" max="5637" width="14.140625" style="122" customWidth="1"/>
    <col min="5638" max="5638" width="13.5703125" style="122" customWidth="1"/>
    <col min="5639" max="5639" width="9.85546875" style="122" customWidth="1"/>
    <col min="5640" max="5640" width="12" style="122" customWidth="1"/>
    <col min="5641" max="5641" width="16.28515625" style="122" customWidth="1"/>
    <col min="5642" max="5642" width="14" style="122" customWidth="1"/>
    <col min="5643" max="5644" width="14.42578125" style="122" customWidth="1"/>
    <col min="5645" max="5887" width="9.140625" style="122" customWidth="1"/>
    <col min="5888" max="5888" width="11.42578125" style="122"/>
    <col min="5889" max="5889" width="7.42578125" style="122" customWidth="1"/>
    <col min="5890" max="5890" width="37" style="122" customWidth="1"/>
    <col min="5891" max="5891" width="8.7109375" style="122" customWidth="1"/>
    <col min="5892" max="5892" width="20" style="122" customWidth="1"/>
    <col min="5893" max="5893" width="14.140625" style="122" customWidth="1"/>
    <col min="5894" max="5894" width="13.5703125" style="122" customWidth="1"/>
    <col min="5895" max="5895" width="9.85546875" style="122" customWidth="1"/>
    <col min="5896" max="5896" width="12" style="122" customWidth="1"/>
    <col min="5897" max="5897" width="16.28515625" style="122" customWidth="1"/>
    <col min="5898" max="5898" width="14" style="122" customWidth="1"/>
    <col min="5899" max="5900" width="14.42578125" style="122" customWidth="1"/>
    <col min="5901" max="6143" width="9.140625" style="122" customWidth="1"/>
    <col min="6144" max="6144" width="11.42578125" style="122"/>
    <col min="6145" max="6145" width="7.42578125" style="122" customWidth="1"/>
    <col min="6146" max="6146" width="37" style="122" customWidth="1"/>
    <col min="6147" max="6147" width="8.7109375" style="122" customWidth="1"/>
    <col min="6148" max="6148" width="20" style="122" customWidth="1"/>
    <col min="6149" max="6149" width="14.140625" style="122" customWidth="1"/>
    <col min="6150" max="6150" width="13.5703125" style="122" customWidth="1"/>
    <col min="6151" max="6151" width="9.85546875" style="122" customWidth="1"/>
    <col min="6152" max="6152" width="12" style="122" customWidth="1"/>
    <col min="6153" max="6153" width="16.28515625" style="122" customWidth="1"/>
    <col min="6154" max="6154" width="14" style="122" customWidth="1"/>
    <col min="6155" max="6156" width="14.42578125" style="122" customWidth="1"/>
    <col min="6157" max="6399" width="9.140625" style="122" customWidth="1"/>
    <col min="6400" max="6400" width="11.42578125" style="122"/>
    <col min="6401" max="6401" width="7.42578125" style="122" customWidth="1"/>
    <col min="6402" max="6402" width="37" style="122" customWidth="1"/>
    <col min="6403" max="6403" width="8.7109375" style="122" customWidth="1"/>
    <col min="6404" max="6404" width="20" style="122" customWidth="1"/>
    <col min="6405" max="6405" width="14.140625" style="122" customWidth="1"/>
    <col min="6406" max="6406" width="13.5703125" style="122" customWidth="1"/>
    <col min="6407" max="6407" width="9.85546875" style="122" customWidth="1"/>
    <col min="6408" max="6408" width="12" style="122" customWidth="1"/>
    <col min="6409" max="6409" width="16.28515625" style="122" customWidth="1"/>
    <col min="6410" max="6410" width="14" style="122" customWidth="1"/>
    <col min="6411" max="6412" width="14.42578125" style="122" customWidth="1"/>
    <col min="6413" max="6655" width="9.140625" style="122" customWidth="1"/>
    <col min="6656" max="6656" width="11.42578125" style="122"/>
    <col min="6657" max="6657" width="7.42578125" style="122" customWidth="1"/>
    <col min="6658" max="6658" width="37" style="122" customWidth="1"/>
    <col min="6659" max="6659" width="8.7109375" style="122" customWidth="1"/>
    <col min="6660" max="6660" width="20" style="122" customWidth="1"/>
    <col min="6661" max="6661" width="14.140625" style="122" customWidth="1"/>
    <col min="6662" max="6662" width="13.5703125" style="122" customWidth="1"/>
    <col min="6663" max="6663" width="9.85546875" style="122" customWidth="1"/>
    <col min="6664" max="6664" width="12" style="122" customWidth="1"/>
    <col min="6665" max="6665" width="16.28515625" style="122" customWidth="1"/>
    <col min="6666" max="6666" width="14" style="122" customWidth="1"/>
    <col min="6667" max="6668" width="14.42578125" style="122" customWidth="1"/>
    <col min="6669" max="6911" width="9.140625" style="122" customWidth="1"/>
    <col min="6912" max="6912" width="11.42578125" style="122"/>
    <col min="6913" max="6913" width="7.42578125" style="122" customWidth="1"/>
    <col min="6914" max="6914" width="37" style="122" customWidth="1"/>
    <col min="6915" max="6915" width="8.7109375" style="122" customWidth="1"/>
    <col min="6916" max="6916" width="20" style="122" customWidth="1"/>
    <col min="6917" max="6917" width="14.140625" style="122" customWidth="1"/>
    <col min="6918" max="6918" width="13.5703125" style="122" customWidth="1"/>
    <col min="6919" max="6919" width="9.85546875" style="122" customWidth="1"/>
    <col min="6920" max="6920" width="12" style="122" customWidth="1"/>
    <col min="6921" max="6921" width="16.28515625" style="122" customWidth="1"/>
    <col min="6922" max="6922" width="14" style="122" customWidth="1"/>
    <col min="6923" max="6924" width="14.42578125" style="122" customWidth="1"/>
    <col min="6925" max="7167" width="9.140625" style="122" customWidth="1"/>
    <col min="7168" max="7168" width="11.42578125" style="122"/>
    <col min="7169" max="7169" width="7.42578125" style="122" customWidth="1"/>
    <col min="7170" max="7170" width="37" style="122" customWidth="1"/>
    <col min="7171" max="7171" width="8.7109375" style="122" customWidth="1"/>
    <col min="7172" max="7172" width="20" style="122" customWidth="1"/>
    <col min="7173" max="7173" width="14.140625" style="122" customWidth="1"/>
    <col min="7174" max="7174" width="13.5703125" style="122" customWidth="1"/>
    <col min="7175" max="7175" width="9.85546875" style="122" customWidth="1"/>
    <col min="7176" max="7176" width="12" style="122" customWidth="1"/>
    <col min="7177" max="7177" width="16.28515625" style="122" customWidth="1"/>
    <col min="7178" max="7178" width="14" style="122" customWidth="1"/>
    <col min="7179" max="7180" width="14.42578125" style="122" customWidth="1"/>
    <col min="7181" max="7423" width="9.140625" style="122" customWidth="1"/>
    <col min="7424" max="7424" width="11.42578125" style="122"/>
    <col min="7425" max="7425" width="7.42578125" style="122" customWidth="1"/>
    <col min="7426" max="7426" width="37" style="122" customWidth="1"/>
    <col min="7427" max="7427" width="8.7109375" style="122" customWidth="1"/>
    <col min="7428" max="7428" width="20" style="122" customWidth="1"/>
    <col min="7429" max="7429" width="14.140625" style="122" customWidth="1"/>
    <col min="7430" max="7430" width="13.5703125" style="122" customWidth="1"/>
    <col min="7431" max="7431" width="9.85546875" style="122" customWidth="1"/>
    <col min="7432" max="7432" width="12" style="122" customWidth="1"/>
    <col min="7433" max="7433" width="16.28515625" style="122" customWidth="1"/>
    <col min="7434" max="7434" width="14" style="122" customWidth="1"/>
    <col min="7435" max="7436" width="14.42578125" style="122" customWidth="1"/>
    <col min="7437" max="7679" width="9.140625" style="122" customWidth="1"/>
    <col min="7680" max="7680" width="11.42578125" style="122"/>
    <col min="7681" max="7681" width="7.42578125" style="122" customWidth="1"/>
    <col min="7682" max="7682" width="37" style="122" customWidth="1"/>
    <col min="7683" max="7683" width="8.7109375" style="122" customWidth="1"/>
    <col min="7684" max="7684" width="20" style="122" customWidth="1"/>
    <col min="7685" max="7685" width="14.140625" style="122" customWidth="1"/>
    <col min="7686" max="7686" width="13.5703125" style="122" customWidth="1"/>
    <col min="7687" max="7687" width="9.85546875" style="122" customWidth="1"/>
    <col min="7688" max="7688" width="12" style="122" customWidth="1"/>
    <col min="7689" max="7689" width="16.28515625" style="122" customWidth="1"/>
    <col min="7690" max="7690" width="14" style="122" customWidth="1"/>
    <col min="7691" max="7692" width="14.42578125" style="122" customWidth="1"/>
    <col min="7693" max="7935" width="9.140625" style="122" customWidth="1"/>
    <col min="7936" max="7936" width="11.42578125" style="122"/>
    <col min="7937" max="7937" width="7.42578125" style="122" customWidth="1"/>
    <col min="7938" max="7938" width="37" style="122" customWidth="1"/>
    <col min="7939" max="7939" width="8.7109375" style="122" customWidth="1"/>
    <col min="7940" max="7940" width="20" style="122" customWidth="1"/>
    <col min="7941" max="7941" width="14.140625" style="122" customWidth="1"/>
    <col min="7942" max="7942" width="13.5703125" style="122" customWidth="1"/>
    <col min="7943" max="7943" width="9.85546875" style="122" customWidth="1"/>
    <col min="7944" max="7944" width="12" style="122" customWidth="1"/>
    <col min="7945" max="7945" width="16.28515625" style="122" customWidth="1"/>
    <col min="7946" max="7946" width="14" style="122" customWidth="1"/>
    <col min="7947" max="7948" width="14.42578125" style="122" customWidth="1"/>
    <col min="7949" max="8191" width="9.140625" style="122" customWidth="1"/>
    <col min="8192" max="8192" width="11.42578125" style="122"/>
    <col min="8193" max="8193" width="7.42578125" style="122" customWidth="1"/>
    <col min="8194" max="8194" width="37" style="122" customWidth="1"/>
    <col min="8195" max="8195" width="8.7109375" style="122" customWidth="1"/>
    <col min="8196" max="8196" width="20" style="122" customWidth="1"/>
    <col min="8197" max="8197" width="14.140625" style="122" customWidth="1"/>
    <col min="8198" max="8198" width="13.5703125" style="122" customWidth="1"/>
    <col min="8199" max="8199" width="9.85546875" style="122" customWidth="1"/>
    <col min="8200" max="8200" width="12" style="122" customWidth="1"/>
    <col min="8201" max="8201" width="16.28515625" style="122" customWidth="1"/>
    <col min="8202" max="8202" width="14" style="122" customWidth="1"/>
    <col min="8203" max="8204" width="14.42578125" style="122" customWidth="1"/>
    <col min="8205" max="8447" width="9.140625" style="122" customWidth="1"/>
    <col min="8448" max="8448" width="11.42578125" style="122"/>
    <col min="8449" max="8449" width="7.42578125" style="122" customWidth="1"/>
    <col min="8450" max="8450" width="37" style="122" customWidth="1"/>
    <col min="8451" max="8451" width="8.7109375" style="122" customWidth="1"/>
    <col min="8452" max="8452" width="20" style="122" customWidth="1"/>
    <col min="8453" max="8453" width="14.140625" style="122" customWidth="1"/>
    <col min="8454" max="8454" width="13.5703125" style="122" customWidth="1"/>
    <col min="8455" max="8455" width="9.85546875" style="122" customWidth="1"/>
    <col min="8456" max="8456" width="12" style="122" customWidth="1"/>
    <col min="8457" max="8457" width="16.28515625" style="122" customWidth="1"/>
    <col min="8458" max="8458" width="14" style="122" customWidth="1"/>
    <col min="8459" max="8460" width="14.42578125" style="122" customWidth="1"/>
    <col min="8461" max="8703" width="9.140625" style="122" customWidth="1"/>
    <col min="8704" max="8704" width="11.42578125" style="122"/>
    <col min="8705" max="8705" width="7.42578125" style="122" customWidth="1"/>
    <col min="8706" max="8706" width="37" style="122" customWidth="1"/>
    <col min="8707" max="8707" width="8.7109375" style="122" customWidth="1"/>
    <col min="8708" max="8708" width="20" style="122" customWidth="1"/>
    <col min="8709" max="8709" width="14.140625" style="122" customWidth="1"/>
    <col min="8710" max="8710" width="13.5703125" style="122" customWidth="1"/>
    <col min="8711" max="8711" width="9.85546875" style="122" customWidth="1"/>
    <col min="8712" max="8712" width="12" style="122" customWidth="1"/>
    <col min="8713" max="8713" width="16.28515625" style="122" customWidth="1"/>
    <col min="8714" max="8714" width="14" style="122" customWidth="1"/>
    <col min="8715" max="8716" width="14.42578125" style="122" customWidth="1"/>
    <col min="8717" max="8959" width="9.140625" style="122" customWidth="1"/>
    <col min="8960" max="8960" width="11.42578125" style="122"/>
    <col min="8961" max="8961" width="7.42578125" style="122" customWidth="1"/>
    <col min="8962" max="8962" width="37" style="122" customWidth="1"/>
    <col min="8963" max="8963" width="8.7109375" style="122" customWidth="1"/>
    <col min="8964" max="8964" width="20" style="122" customWidth="1"/>
    <col min="8965" max="8965" width="14.140625" style="122" customWidth="1"/>
    <col min="8966" max="8966" width="13.5703125" style="122" customWidth="1"/>
    <col min="8967" max="8967" width="9.85546875" style="122" customWidth="1"/>
    <col min="8968" max="8968" width="12" style="122" customWidth="1"/>
    <col min="8969" max="8969" width="16.28515625" style="122" customWidth="1"/>
    <col min="8970" max="8970" width="14" style="122" customWidth="1"/>
    <col min="8971" max="8972" width="14.42578125" style="122" customWidth="1"/>
    <col min="8973" max="9215" width="9.140625" style="122" customWidth="1"/>
    <col min="9216" max="9216" width="11.42578125" style="122"/>
    <col min="9217" max="9217" width="7.42578125" style="122" customWidth="1"/>
    <col min="9218" max="9218" width="37" style="122" customWidth="1"/>
    <col min="9219" max="9219" width="8.7109375" style="122" customWidth="1"/>
    <col min="9220" max="9220" width="20" style="122" customWidth="1"/>
    <col min="9221" max="9221" width="14.140625" style="122" customWidth="1"/>
    <col min="9222" max="9222" width="13.5703125" style="122" customWidth="1"/>
    <col min="9223" max="9223" width="9.85546875" style="122" customWidth="1"/>
    <col min="9224" max="9224" width="12" style="122" customWidth="1"/>
    <col min="9225" max="9225" width="16.28515625" style="122" customWidth="1"/>
    <col min="9226" max="9226" width="14" style="122" customWidth="1"/>
    <col min="9227" max="9228" width="14.42578125" style="122" customWidth="1"/>
    <col min="9229" max="9471" width="9.140625" style="122" customWidth="1"/>
    <col min="9472" max="9472" width="11.42578125" style="122"/>
    <col min="9473" max="9473" width="7.42578125" style="122" customWidth="1"/>
    <col min="9474" max="9474" width="37" style="122" customWidth="1"/>
    <col min="9475" max="9475" width="8.7109375" style="122" customWidth="1"/>
    <col min="9476" max="9476" width="20" style="122" customWidth="1"/>
    <col min="9477" max="9477" width="14.140625" style="122" customWidth="1"/>
    <col min="9478" max="9478" width="13.5703125" style="122" customWidth="1"/>
    <col min="9479" max="9479" width="9.85546875" style="122" customWidth="1"/>
    <col min="9480" max="9480" width="12" style="122" customWidth="1"/>
    <col min="9481" max="9481" width="16.28515625" style="122" customWidth="1"/>
    <col min="9482" max="9482" width="14" style="122" customWidth="1"/>
    <col min="9483" max="9484" width="14.42578125" style="122" customWidth="1"/>
    <col min="9485" max="9727" width="9.140625" style="122" customWidth="1"/>
    <col min="9728" max="9728" width="11.42578125" style="122"/>
    <col min="9729" max="9729" width="7.42578125" style="122" customWidth="1"/>
    <col min="9730" max="9730" width="37" style="122" customWidth="1"/>
    <col min="9731" max="9731" width="8.7109375" style="122" customWidth="1"/>
    <col min="9732" max="9732" width="20" style="122" customWidth="1"/>
    <col min="9733" max="9733" width="14.140625" style="122" customWidth="1"/>
    <col min="9734" max="9734" width="13.5703125" style="122" customWidth="1"/>
    <col min="9735" max="9735" width="9.85546875" style="122" customWidth="1"/>
    <col min="9736" max="9736" width="12" style="122" customWidth="1"/>
    <col min="9737" max="9737" width="16.28515625" style="122" customWidth="1"/>
    <col min="9738" max="9738" width="14" style="122" customWidth="1"/>
    <col min="9739" max="9740" width="14.42578125" style="122" customWidth="1"/>
    <col min="9741" max="9983" width="9.140625" style="122" customWidth="1"/>
    <col min="9984" max="9984" width="11.42578125" style="122"/>
    <col min="9985" max="9985" width="7.42578125" style="122" customWidth="1"/>
    <col min="9986" max="9986" width="37" style="122" customWidth="1"/>
    <col min="9987" max="9987" width="8.7109375" style="122" customWidth="1"/>
    <col min="9988" max="9988" width="20" style="122" customWidth="1"/>
    <col min="9989" max="9989" width="14.140625" style="122" customWidth="1"/>
    <col min="9990" max="9990" width="13.5703125" style="122" customWidth="1"/>
    <col min="9991" max="9991" width="9.85546875" style="122" customWidth="1"/>
    <col min="9992" max="9992" width="12" style="122" customWidth="1"/>
    <col min="9993" max="9993" width="16.28515625" style="122" customWidth="1"/>
    <col min="9994" max="9994" width="14" style="122" customWidth="1"/>
    <col min="9995" max="9996" width="14.42578125" style="122" customWidth="1"/>
    <col min="9997" max="10239" width="9.140625" style="122" customWidth="1"/>
    <col min="10240" max="10240" width="11.42578125" style="122"/>
    <col min="10241" max="10241" width="7.42578125" style="122" customWidth="1"/>
    <col min="10242" max="10242" width="37" style="122" customWidth="1"/>
    <col min="10243" max="10243" width="8.7109375" style="122" customWidth="1"/>
    <col min="10244" max="10244" width="20" style="122" customWidth="1"/>
    <col min="10245" max="10245" width="14.140625" style="122" customWidth="1"/>
    <col min="10246" max="10246" width="13.5703125" style="122" customWidth="1"/>
    <col min="10247" max="10247" width="9.85546875" style="122" customWidth="1"/>
    <col min="10248" max="10248" width="12" style="122" customWidth="1"/>
    <col min="10249" max="10249" width="16.28515625" style="122" customWidth="1"/>
    <col min="10250" max="10250" width="14" style="122" customWidth="1"/>
    <col min="10251" max="10252" width="14.42578125" style="122" customWidth="1"/>
    <col min="10253" max="10495" width="9.140625" style="122" customWidth="1"/>
    <col min="10496" max="10496" width="11.42578125" style="122"/>
    <col min="10497" max="10497" width="7.42578125" style="122" customWidth="1"/>
    <col min="10498" max="10498" width="37" style="122" customWidth="1"/>
    <col min="10499" max="10499" width="8.7109375" style="122" customWidth="1"/>
    <col min="10500" max="10500" width="20" style="122" customWidth="1"/>
    <col min="10501" max="10501" width="14.140625" style="122" customWidth="1"/>
    <col min="10502" max="10502" width="13.5703125" style="122" customWidth="1"/>
    <col min="10503" max="10503" width="9.85546875" style="122" customWidth="1"/>
    <col min="10504" max="10504" width="12" style="122" customWidth="1"/>
    <col min="10505" max="10505" width="16.28515625" style="122" customWidth="1"/>
    <col min="10506" max="10506" width="14" style="122" customWidth="1"/>
    <col min="10507" max="10508" width="14.42578125" style="122" customWidth="1"/>
    <col min="10509" max="10751" width="9.140625" style="122" customWidth="1"/>
    <col min="10752" max="10752" width="11.42578125" style="122"/>
    <col min="10753" max="10753" width="7.42578125" style="122" customWidth="1"/>
    <col min="10754" max="10754" width="37" style="122" customWidth="1"/>
    <col min="10755" max="10755" width="8.7109375" style="122" customWidth="1"/>
    <col min="10756" max="10756" width="20" style="122" customWidth="1"/>
    <col min="10757" max="10757" width="14.140625" style="122" customWidth="1"/>
    <col min="10758" max="10758" width="13.5703125" style="122" customWidth="1"/>
    <col min="10759" max="10759" width="9.85546875" style="122" customWidth="1"/>
    <col min="10760" max="10760" width="12" style="122" customWidth="1"/>
    <col min="10761" max="10761" width="16.28515625" style="122" customWidth="1"/>
    <col min="10762" max="10762" width="14" style="122" customWidth="1"/>
    <col min="10763" max="10764" width="14.42578125" style="122" customWidth="1"/>
    <col min="10765" max="11007" width="9.140625" style="122" customWidth="1"/>
    <col min="11008" max="11008" width="11.42578125" style="122"/>
    <col min="11009" max="11009" width="7.42578125" style="122" customWidth="1"/>
    <col min="11010" max="11010" width="37" style="122" customWidth="1"/>
    <col min="11011" max="11011" width="8.7109375" style="122" customWidth="1"/>
    <col min="11012" max="11012" width="20" style="122" customWidth="1"/>
    <col min="11013" max="11013" width="14.140625" style="122" customWidth="1"/>
    <col min="11014" max="11014" width="13.5703125" style="122" customWidth="1"/>
    <col min="11015" max="11015" width="9.85546875" style="122" customWidth="1"/>
    <col min="11016" max="11016" width="12" style="122" customWidth="1"/>
    <col min="11017" max="11017" width="16.28515625" style="122" customWidth="1"/>
    <col min="11018" max="11018" width="14" style="122" customWidth="1"/>
    <col min="11019" max="11020" width="14.42578125" style="122" customWidth="1"/>
    <col min="11021" max="11263" width="9.140625" style="122" customWidth="1"/>
    <col min="11264" max="11264" width="11.42578125" style="122"/>
    <col min="11265" max="11265" width="7.42578125" style="122" customWidth="1"/>
    <col min="11266" max="11266" width="37" style="122" customWidth="1"/>
    <col min="11267" max="11267" width="8.7109375" style="122" customWidth="1"/>
    <col min="11268" max="11268" width="20" style="122" customWidth="1"/>
    <col min="11269" max="11269" width="14.140625" style="122" customWidth="1"/>
    <col min="11270" max="11270" width="13.5703125" style="122" customWidth="1"/>
    <col min="11271" max="11271" width="9.85546875" style="122" customWidth="1"/>
    <col min="11272" max="11272" width="12" style="122" customWidth="1"/>
    <col min="11273" max="11273" width="16.28515625" style="122" customWidth="1"/>
    <col min="11274" max="11274" width="14" style="122" customWidth="1"/>
    <col min="11275" max="11276" width="14.42578125" style="122" customWidth="1"/>
    <col min="11277" max="11519" width="9.140625" style="122" customWidth="1"/>
    <col min="11520" max="11520" width="11.42578125" style="122"/>
    <col min="11521" max="11521" width="7.42578125" style="122" customWidth="1"/>
    <col min="11522" max="11522" width="37" style="122" customWidth="1"/>
    <col min="11523" max="11523" width="8.7109375" style="122" customWidth="1"/>
    <col min="11524" max="11524" width="20" style="122" customWidth="1"/>
    <col min="11525" max="11525" width="14.140625" style="122" customWidth="1"/>
    <col min="11526" max="11526" width="13.5703125" style="122" customWidth="1"/>
    <col min="11527" max="11527" width="9.85546875" style="122" customWidth="1"/>
    <col min="11528" max="11528" width="12" style="122" customWidth="1"/>
    <col min="11529" max="11529" width="16.28515625" style="122" customWidth="1"/>
    <col min="11530" max="11530" width="14" style="122" customWidth="1"/>
    <col min="11531" max="11532" width="14.42578125" style="122" customWidth="1"/>
    <col min="11533" max="11775" width="9.140625" style="122" customWidth="1"/>
    <col min="11776" max="11776" width="11.42578125" style="122"/>
    <col min="11777" max="11777" width="7.42578125" style="122" customWidth="1"/>
    <col min="11778" max="11778" width="37" style="122" customWidth="1"/>
    <col min="11779" max="11779" width="8.7109375" style="122" customWidth="1"/>
    <col min="11780" max="11780" width="20" style="122" customWidth="1"/>
    <col min="11781" max="11781" width="14.140625" style="122" customWidth="1"/>
    <col min="11782" max="11782" width="13.5703125" style="122" customWidth="1"/>
    <col min="11783" max="11783" width="9.85546875" style="122" customWidth="1"/>
    <col min="11784" max="11784" width="12" style="122" customWidth="1"/>
    <col min="11785" max="11785" width="16.28515625" style="122" customWidth="1"/>
    <col min="11786" max="11786" width="14" style="122" customWidth="1"/>
    <col min="11787" max="11788" width="14.42578125" style="122" customWidth="1"/>
    <col min="11789" max="12031" width="9.140625" style="122" customWidth="1"/>
    <col min="12032" max="12032" width="11.42578125" style="122"/>
    <col min="12033" max="12033" width="7.42578125" style="122" customWidth="1"/>
    <col min="12034" max="12034" width="37" style="122" customWidth="1"/>
    <col min="12035" max="12035" width="8.7109375" style="122" customWidth="1"/>
    <col min="12036" max="12036" width="20" style="122" customWidth="1"/>
    <col min="12037" max="12037" width="14.140625" style="122" customWidth="1"/>
    <col min="12038" max="12038" width="13.5703125" style="122" customWidth="1"/>
    <col min="12039" max="12039" width="9.85546875" style="122" customWidth="1"/>
    <col min="12040" max="12040" width="12" style="122" customWidth="1"/>
    <col min="12041" max="12041" width="16.28515625" style="122" customWidth="1"/>
    <col min="12042" max="12042" width="14" style="122" customWidth="1"/>
    <col min="12043" max="12044" width="14.42578125" style="122" customWidth="1"/>
    <col min="12045" max="12287" width="9.140625" style="122" customWidth="1"/>
    <col min="12288" max="12288" width="11.42578125" style="122"/>
    <col min="12289" max="12289" width="7.42578125" style="122" customWidth="1"/>
    <col min="12290" max="12290" width="37" style="122" customWidth="1"/>
    <col min="12291" max="12291" width="8.7109375" style="122" customWidth="1"/>
    <col min="12292" max="12292" width="20" style="122" customWidth="1"/>
    <col min="12293" max="12293" width="14.140625" style="122" customWidth="1"/>
    <col min="12294" max="12294" width="13.5703125" style="122" customWidth="1"/>
    <col min="12295" max="12295" width="9.85546875" style="122" customWidth="1"/>
    <col min="12296" max="12296" width="12" style="122" customWidth="1"/>
    <col min="12297" max="12297" width="16.28515625" style="122" customWidth="1"/>
    <col min="12298" max="12298" width="14" style="122" customWidth="1"/>
    <col min="12299" max="12300" width="14.42578125" style="122" customWidth="1"/>
    <col min="12301" max="12543" width="9.140625" style="122" customWidth="1"/>
    <col min="12544" max="12544" width="11.42578125" style="122"/>
    <col min="12545" max="12545" width="7.42578125" style="122" customWidth="1"/>
    <col min="12546" max="12546" width="37" style="122" customWidth="1"/>
    <col min="12547" max="12547" width="8.7109375" style="122" customWidth="1"/>
    <col min="12548" max="12548" width="20" style="122" customWidth="1"/>
    <col min="12549" max="12549" width="14.140625" style="122" customWidth="1"/>
    <col min="12550" max="12550" width="13.5703125" style="122" customWidth="1"/>
    <col min="12551" max="12551" width="9.85546875" style="122" customWidth="1"/>
    <col min="12552" max="12552" width="12" style="122" customWidth="1"/>
    <col min="12553" max="12553" width="16.28515625" style="122" customWidth="1"/>
    <col min="12554" max="12554" width="14" style="122" customWidth="1"/>
    <col min="12555" max="12556" width="14.42578125" style="122" customWidth="1"/>
    <col min="12557" max="12799" width="9.140625" style="122" customWidth="1"/>
    <col min="12800" max="12800" width="11.42578125" style="122"/>
    <col min="12801" max="12801" width="7.42578125" style="122" customWidth="1"/>
    <col min="12802" max="12802" width="37" style="122" customWidth="1"/>
    <col min="12803" max="12803" width="8.7109375" style="122" customWidth="1"/>
    <col min="12804" max="12804" width="20" style="122" customWidth="1"/>
    <col min="12805" max="12805" width="14.140625" style="122" customWidth="1"/>
    <col min="12806" max="12806" width="13.5703125" style="122" customWidth="1"/>
    <col min="12807" max="12807" width="9.85546875" style="122" customWidth="1"/>
    <col min="12808" max="12808" width="12" style="122" customWidth="1"/>
    <col min="12809" max="12809" width="16.28515625" style="122" customWidth="1"/>
    <col min="12810" max="12810" width="14" style="122" customWidth="1"/>
    <col min="12811" max="12812" width="14.42578125" style="122" customWidth="1"/>
    <col min="12813" max="13055" width="9.140625" style="122" customWidth="1"/>
    <col min="13056" max="13056" width="11.42578125" style="122"/>
    <col min="13057" max="13057" width="7.42578125" style="122" customWidth="1"/>
    <col min="13058" max="13058" width="37" style="122" customWidth="1"/>
    <col min="13059" max="13059" width="8.7109375" style="122" customWidth="1"/>
    <col min="13060" max="13060" width="20" style="122" customWidth="1"/>
    <col min="13061" max="13061" width="14.140625" style="122" customWidth="1"/>
    <col min="13062" max="13062" width="13.5703125" style="122" customWidth="1"/>
    <col min="13063" max="13063" width="9.85546875" style="122" customWidth="1"/>
    <col min="13064" max="13064" width="12" style="122" customWidth="1"/>
    <col min="13065" max="13065" width="16.28515625" style="122" customWidth="1"/>
    <col min="13066" max="13066" width="14" style="122" customWidth="1"/>
    <col min="13067" max="13068" width="14.42578125" style="122" customWidth="1"/>
    <col min="13069" max="13311" width="9.140625" style="122" customWidth="1"/>
    <col min="13312" max="13312" width="11.42578125" style="122"/>
    <col min="13313" max="13313" width="7.42578125" style="122" customWidth="1"/>
    <col min="13314" max="13314" width="37" style="122" customWidth="1"/>
    <col min="13315" max="13315" width="8.7109375" style="122" customWidth="1"/>
    <col min="13316" max="13316" width="20" style="122" customWidth="1"/>
    <col min="13317" max="13317" width="14.140625" style="122" customWidth="1"/>
    <col min="13318" max="13318" width="13.5703125" style="122" customWidth="1"/>
    <col min="13319" max="13319" width="9.85546875" style="122" customWidth="1"/>
    <col min="13320" max="13320" width="12" style="122" customWidth="1"/>
    <col min="13321" max="13321" width="16.28515625" style="122" customWidth="1"/>
    <col min="13322" max="13322" width="14" style="122" customWidth="1"/>
    <col min="13323" max="13324" width="14.42578125" style="122" customWidth="1"/>
    <col min="13325" max="13567" width="9.140625" style="122" customWidth="1"/>
    <col min="13568" max="13568" width="11.42578125" style="122"/>
    <col min="13569" max="13569" width="7.42578125" style="122" customWidth="1"/>
    <col min="13570" max="13570" width="37" style="122" customWidth="1"/>
    <col min="13571" max="13571" width="8.7109375" style="122" customWidth="1"/>
    <col min="13572" max="13572" width="20" style="122" customWidth="1"/>
    <col min="13573" max="13573" width="14.140625" style="122" customWidth="1"/>
    <col min="13574" max="13574" width="13.5703125" style="122" customWidth="1"/>
    <col min="13575" max="13575" width="9.85546875" style="122" customWidth="1"/>
    <col min="13576" max="13576" width="12" style="122" customWidth="1"/>
    <col min="13577" max="13577" width="16.28515625" style="122" customWidth="1"/>
    <col min="13578" max="13578" width="14" style="122" customWidth="1"/>
    <col min="13579" max="13580" width="14.42578125" style="122" customWidth="1"/>
    <col min="13581" max="13823" width="9.140625" style="122" customWidth="1"/>
    <col min="13824" max="13824" width="11.42578125" style="122"/>
    <col min="13825" max="13825" width="7.42578125" style="122" customWidth="1"/>
    <col min="13826" max="13826" width="37" style="122" customWidth="1"/>
    <col min="13827" max="13827" width="8.7109375" style="122" customWidth="1"/>
    <col min="13828" max="13828" width="20" style="122" customWidth="1"/>
    <col min="13829" max="13829" width="14.140625" style="122" customWidth="1"/>
    <col min="13830" max="13830" width="13.5703125" style="122" customWidth="1"/>
    <col min="13831" max="13831" width="9.85546875" style="122" customWidth="1"/>
    <col min="13832" max="13832" width="12" style="122" customWidth="1"/>
    <col min="13833" max="13833" width="16.28515625" style="122" customWidth="1"/>
    <col min="13834" max="13834" width="14" style="122" customWidth="1"/>
    <col min="13835" max="13836" width="14.42578125" style="122" customWidth="1"/>
    <col min="13837" max="14079" width="9.140625" style="122" customWidth="1"/>
    <col min="14080" max="14080" width="11.42578125" style="122"/>
    <col min="14081" max="14081" width="7.42578125" style="122" customWidth="1"/>
    <col min="14082" max="14082" width="37" style="122" customWidth="1"/>
    <col min="14083" max="14083" width="8.7109375" style="122" customWidth="1"/>
    <col min="14084" max="14084" width="20" style="122" customWidth="1"/>
    <col min="14085" max="14085" width="14.140625" style="122" customWidth="1"/>
    <col min="14086" max="14086" width="13.5703125" style="122" customWidth="1"/>
    <col min="14087" max="14087" width="9.85546875" style="122" customWidth="1"/>
    <col min="14088" max="14088" width="12" style="122" customWidth="1"/>
    <col min="14089" max="14089" width="16.28515625" style="122" customWidth="1"/>
    <col min="14090" max="14090" width="14" style="122" customWidth="1"/>
    <col min="14091" max="14092" width="14.42578125" style="122" customWidth="1"/>
    <col min="14093" max="14335" width="9.140625" style="122" customWidth="1"/>
    <col min="14336" max="14336" width="11.42578125" style="122"/>
    <col min="14337" max="14337" width="7.42578125" style="122" customWidth="1"/>
    <col min="14338" max="14338" width="37" style="122" customWidth="1"/>
    <col min="14339" max="14339" width="8.7109375" style="122" customWidth="1"/>
    <col min="14340" max="14340" width="20" style="122" customWidth="1"/>
    <col min="14341" max="14341" width="14.140625" style="122" customWidth="1"/>
    <col min="14342" max="14342" width="13.5703125" style="122" customWidth="1"/>
    <col min="14343" max="14343" width="9.85546875" style="122" customWidth="1"/>
    <col min="14344" max="14344" width="12" style="122" customWidth="1"/>
    <col min="14345" max="14345" width="16.28515625" style="122" customWidth="1"/>
    <col min="14346" max="14346" width="14" style="122" customWidth="1"/>
    <col min="14347" max="14348" width="14.42578125" style="122" customWidth="1"/>
    <col min="14349" max="14591" width="9.140625" style="122" customWidth="1"/>
    <col min="14592" max="14592" width="11.42578125" style="122"/>
    <col min="14593" max="14593" width="7.42578125" style="122" customWidth="1"/>
    <col min="14594" max="14594" width="37" style="122" customWidth="1"/>
    <col min="14595" max="14595" width="8.7109375" style="122" customWidth="1"/>
    <col min="14596" max="14596" width="20" style="122" customWidth="1"/>
    <col min="14597" max="14597" width="14.140625" style="122" customWidth="1"/>
    <col min="14598" max="14598" width="13.5703125" style="122" customWidth="1"/>
    <col min="14599" max="14599" width="9.85546875" style="122" customWidth="1"/>
    <col min="14600" max="14600" width="12" style="122" customWidth="1"/>
    <col min="14601" max="14601" width="16.28515625" style="122" customWidth="1"/>
    <col min="14602" max="14602" width="14" style="122" customWidth="1"/>
    <col min="14603" max="14604" width="14.42578125" style="122" customWidth="1"/>
    <col min="14605" max="14847" width="9.140625" style="122" customWidth="1"/>
    <col min="14848" max="14848" width="11.42578125" style="122"/>
    <col min="14849" max="14849" width="7.42578125" style="122" customWidth="1"/>
    <col min="14850" max="14850" width="37" style="122" customWidth="1"/>
    <col min="14851" max="14851" width="8.7109375" style="122" customWidth="1"/>
    <col min="14852" max="14852" width="20" style="122" customWidth="1"/>
    <col min="14853" max="14853" width="14.140625" style="122" customWidth="1"/>
    <col min="14854" max="14854" width="13.5703125" style="122" customWidth="1"/>
    <col min="14855" max="14855" width="9.85546875" style="122" customWidth="1"/>
    <col min="14856" max="14856" width="12" style="122" customWidth="1"/>
    <col min="14857" max="14857" width="16.28515625" style="122" customWidth="1"/>
    <col min="14858" max="14858" width="14" style="122" customWidth="1"/>
    <col min="14859" max="14860" width="14.42578125" style="122" customWidth="1"/>
    <col min="14861" max="15103" width="9.140625" style="122" customWidth="1"/>
    <col min="15104" max="15104" width="11.42578125" style="122"/>
    <col min="15105" max="15105" width="7.42578125" style="122" customWidth="1"/>
    <col min="15106" max="15106" width="37" style="122" customWidth="1"/>
    <col min="15107" max="15107" width="8.7109375" style="122" customWidth="1"/>
    <col min="15108" max="15108" width="20" style="122" customWidth="1"/>
    <col min="15109" max="15109" width="14.140625" style="122" customWidth="1"/>
    <col min="15110" max="15110" width="13.5703125" style="122" customWidth="1"/>
    <col min="15111" max="15111" width="9.85546875" style="122" customWidth="1"/>
    <col min="15112" max="15112" width="12" style="122" customWidth="1"/>
    <col min="15113" max="15113" width="16.28515625" style="122" customWidth="1"/>
    <col min="15114" max="15114" width="14" style="122" customWidth="1"/>
    <col min="15115" max="15116" width="14.42578125" style="122" customWidth="1"/>
    <col min="15117" max="15359" width="9.140625" style="122" customWidth="1"/>
    <col min="15360" max="15360" width="11.42578125" style="122"/>
    <col min="15361" max="15361" width="7.42578125" style="122" customWidth="1"/>
    <col min="15362" max="15362" width="37" style="122" customWidth="1"/>
    <col min="15363" max="15363" width="8.7109375" style="122" customWidth="1"/>
    <col min="15364" max="15364" width="20" style="122" customWidth="1"/>
    <col min="15365" max="15365" width="14.140625" style="122" customWidth="1"/>
    <col min="15366" max="15366" width="13.5703125" style="122" customWidth="1"/>
    <col min="15367" max="15367" width="9.85546875" style="122" customWidth="1"/>
    <col min="15368" max="15368" width="12" style="122" customWidth="1"/>
    <col min="15369" max="15369" width="16.28515625" style="122" customWidth="1"/>
    <col min="15370" max="15370" width="14" style="122" customWidth="1"/>
    <col min="15371" max="15372" width="14.42578125" style="122" customWidth="1"/>
    <col min="15373" max="15615" width="9.140625" style="122" customWidth="1"/>
    <col min="15616" max="15616" width="11.42578125" style="122"/>
    <col min="15617" max="15617" width="7.42578125" style="122" customWidth="1"/>
    <col min="15618" max="15618" width="37" style="122" customWidth="1"/>
    <col min="15619" max="15619" width="8.7109375" style="122" customWidth="1"/>
    <col min="15620" max="15620" width="20" style="122" customWidth="1"/>
    <col min="15621" max="15621" width="14.140625" style="122" customWidth="1"/>
    <col min="15622" max="15622" width="13.5703125" style="122" customWidth="1"/>
    <col min="15623" max="15623" width="9.85546875" style="122" customWidth="1"/>
    <col min="15624" max="15624" width="12" style="122" customWidth="1"/>
    <col min="15625" max="15625" width="16.28515625" style="122" customWidth="1"/>
    <col min="15626" max="15626" width="14" style="122" customWidth="1"/>
    <col min="15627" max="15628" width="14.42578125" style="122" customWidth="1"/>
    <col min="15629" max="15871" width="9.140625" style="122" customWidth="1"/>
    <col min="15872" max="15872" width="11.42578125" style="122"/>
    <col min="15873" max="15873" width="7.42578125" style="122" customWidth="1"/>
    <col min="15874" max="15874" width="37" style="122" customWidth="1"/>
    <col min="15875" max="15875" width="8.7109375" style="122" customWidth="1"/>
    <col min="15876" max="15876" width="20" style="122" customWidth="1"/>
    <col min="15877" max="15877" width="14.140625" style="122" customWidth="1"/>
    <col min="15878" max="15878" width="13.5703125" style="122" customWidth="1"/>
    <col min="15879" max="15879" width="9.85546875" style="122" customWidth="1"/>
    <col min="15880" max="15880" width="12" style="122" customWidth="1"/>
    <col min="15881" max="15881" width="16.28515625" style="122" customWidth="1"/>
    <col min="15882" max="15882" width="14" style="122" customWidth="1"/>
    <col min="15883" max="15884" width="14.42578125" style="122" customWidth="1"/>
    <col min="15885" max="16127" width="9.140625" style="122" customWidth="1"/>
    <col min="16128" max="16128" width="11.42578125" style="122"/>
    <col min="16129" max="16129" width="7.42578125" style="122" customWidth="1"/>
    <col min="16130" max="16130" width="37" style="122" customWidth="1"/>
    <col min="16131" max="16131" width="8.7109375" style="122" customWidth="1"/>
    <col min="16132" max="16132" width="20" style="122" customWidth="1"/>
    <col min="16133" max="16133" width="14.140625" style="122" customWidth="1"/>
    <col min="16134" max="16134" width="13.5703125" style="122" customWidth="1"/>
    <col min="16135" max="16135" width="9.85546875" style="122" customWidth="1"/>
    <col min="16136" max="16136" width="12" style="122" customWidth="1"/>
    <col min="16137" max="16137" width="16.28515625" style="122" customWidth="1"/>
    <col min="16138" max="16138" width="14" style="122" customWidth="1"/>
    <col min="16139" max="16140" width="14.42578125" style="122" customWidth="1"/>
    <col min="16141" max="16384" width="9.140625" style="122" customWidth="1"/>
  </cols>
  <sheetData>
    <row r="1" spans="2:16" ht="24" thickBot="1" x14ac:dyDescent="0.4">
      <c r="B1" s="681" t="s">
        <v>238</v>
      </c>
      <c r="C1" s="682"/>
      <c r="D1" s="682"/>
      <c r="E1" s="682"/>
      <c r="F1" s="682"/>
      <c r="G1" s="682"/>
      <c r="H1" s="682"/>
      <c r="I1" s="682"/>
      <c r="J1" s="682"/>
      <c r="K1" s="682"/>
      <c r="L1" s="682"/>
      <c r="M1" s="356"/>
    </row>
    <row r="2" spans="2:16" s="123" customFormat="1" ht="16.5" thickBot="1" x14ac:dyDescent="0.25">
      <c r="B2" s="155" t="s">
        <v>85</v>
      </c>
      <c r="C2" s="156" t="s">
        <v>137</v>
      </c>
      <c r="D2" s="156" t="s">
        <v>71</v>
      </c>
      <c r="E2" s="156" t="s">
        <v>143</v>
      </c>
      <c r="F2" s="203" t="s">
        <v>205</v>
      </c>
      <c r="G2" s="203" t="s">
        <v>206</v>
      </c>
      <c r="H2" s="203" t="s">
        <v>207</v>
      </c>
      <c r="I2" s="203" t="s">
        <v>208</v>
      </c>
      <c r="J2" s="157" t="s">
        <v>138</v>
      </c>
      <c r="K2" s="157" t="s">
        <v>139</v>
      </c>
      <c r="L2" s="158" t="s">
        <v>28</v>
      </c>
      <c r="M2" s="357" t="s">
        <v>286</v>
      </c>
      <c r="N2" s="159" t="s">
        <v>141</v>
      </c>
      <c r="O2" s="159" t="s">
        <v>142</v>
      </c>
      <c r="P2" s="159" t="s">
        <v>130</v>
      </c>
    </row>
    <row r="3" spans="2:16" s="124" customFormat="1" ht="15.95" customHeight="1" x14ac:dyDescent="0.2">
      <c r="B3" s="131">
        <v>1</v>
      </c>
      <c r="C3" s="168" t="str">
        <f>+'AGUILAR ESQUIVEL CARLOS'!E11</f>
        <v>AGUILAR ESQUIVEL CARLOS</v>
      </c>
      <c r="D3" s="169" t="str">
        <f>+'AGUILAR ESQUIVEL CARLOS'!E12</f>
        <v>F-021</v>
      </c>
      <c r="E3" s="132">
        <f>COUNT('AGUILAR ESQUIVEL CARLOS'!O$40:O$46)</f>
        <v>5</v>
      </c>
      <c r="F3" s="209">
        <f>+SUMIF('AGUILAR ESQUIVEL CARLOS'!N$19:N$32,1,'AGUILAR ESQUIVEL CARLOS'!J$19:J$32)+SUMIF('AGUILAR ESQUIVEL CARLOS'!N$19:N$32,4,'AGUILAR ESQUIVEL CARLOS'!J$19:J$32)+SUMIF('AGUILAR ESQUIVEL CARLOS'!N$19:N$32,5,'AGUILAR ESQUIVEL CARLOS'!J$19:J$32)+SUMIF('AGUILAR ESQUIVEL CARLOS'!N$19:N$32,6,'AGUILAR ESQUIVEL CARLOS'!J$19:J$32)</f>
        <v>4030</v>
      </c>
      <c r="G3" s="209">
        <f>+SUMIF('AGUILAR ESQUIVEL CARLOS'!N$19:N$32,2,'AGUILAR ESQUIVEL CARLOS'!J$19:J$32)</f>
        <v>0</v>
      </c>
      <c r="H3" s="209">
        <f>+SUMIF('AGUILAR ESQUIVEL CARLOS'!N$19:N$32,3,'AGUILAR ESQUIVEL CARLOS'!J$19:J$32)</f>
        <v>0</v>
      </c>
      <c r="I3" s="204">
        <f t="shared" ref="I3:I30" si="0">SUM(F3:H3)</f>
        <v>4030</v>
      </c>
      <c r="J3" s="199">
        <f>+'AGUILAR ESQUIVEL CARLOS'!J16</f>
        <v>1107.6200000000001</v>
      </c>
      <c r="K3" s="199">
        <f>SUM('AGUILAR ESQUIVEL CARLOS'!S19:S32)</f>
        <v>422.38024480003924</v>
      </c>
      <c r="L3" s="170">
        <f>I3/J3</f>
        <v>3.6384319531969442</v>
      </c>
      <c r="M3" s="358">
        <f>+AVERAGE('AGUILAR ESQUIVEL CARLOS'!M19:M32)</f>
        <v>5604.4</v>
      </c>
      <c r="N3" s="132">
        <f>COUNTIF('AGUILAR ESQUIVEL CARLOS'!N19:N32,1)+COUNTIF('AGUILAR ESQUIVEL CARLOS'!N19:N32,4)+COUNTIF('AGUILAR ESQUIVEL CARLOS'!N19:N32,5)+COUNTIF('AGUILAR ESQUIVEL CARLOS'!N19:N32,6)</f>
        <v>10</v>
      </c>
      <c r="O3" s="132">
        <f>COUNTIF('AGUILAR ESQUIVEL CARLOS'!N19:N32,2)</f>
        <v>0</v>
      </c>
      <c r="P3" s="133">
        <f>COUNTIF('AGUILAR ESQUIVEL CARLOS'!N19:N32,3)</f>
        <v>0</v>
      </c>
    </row>
    <row r="4" spans="2:16" s="124" customFormat="1" ht="15.95" customHeight="1" x14ac:dyDescent="0.2">
      <c r="B4" s="134">
        <v>2</v>
      </c>
      <c r="C4" s="116" t="str">
        <f>+'AGUILAR RODRIGUEZ JORGE ALONSO'!E11</f>
        <v>AGUILAR RODRIGUEZ JORGE ALONSO</v>
      </c>
      <c r="D4" s="151" t="str">
        <f>+'AGUILAR RODRIGUEZ JORGE ALONSO'!E12</f>
        <v xml:space="preserve">F-029 </v>
      </c>
      <c r="E4" s="125">
        <f>+COUNT('AGUILAR RODRIGUEZ JORGE ALONSO'!O40:O46)</f>
        <v>4</v>
      </c>
      <c r="F4" s="210">
        <f>+SUMIF('AGUILAR RODRIGUEZ JORGE ALONSO'!N$19:N$32,1,'AGUILAR RODRIGUEZ JORGE ALONSO'!J$19:J$32)+SUMIF('AGUILAR RODRIGUEZ JORGE ALONSO'!N$19:N$32,4,'AGUILAR RODRIGUEZ JORGE ALONSO'!J$19:J$32)+SUMIF('AGUILAR RODRIGUEZ JORGE ALONSO'!N$19:N$32,5,'AGUILAR RODRIGUEZ JORGE ALONSO'!J$19:J$32)+SUMIF('AGUILAR RODRIGUEZ JORGE ALONSO'!N$19:N$32,6,'AGUILAR RODRIGUEZ JORGE ALONSO'!J$19:J$32)</f>
        <v>2625</v>
      </c>
      <c r="G4" s="210">
        <f>+SUMIF('AGUILAR RODRIGUEZ JORGE ALONSO'!N$19:N$32,2,'AGUILAR RODRIGUEZ JORGE ALONSO'!J$19:J$32)</f>
        <v>375</v>
      </c>
      <c r="H4" s="210">
        <f>+SUMIF('AGUILAR RODRIGUEZ JORGE ALONSO'!N$19:N$32,3,'AGUILAR RODRIGUEZ JORGE ALONSO'!J$19:J$32)</f>
        <v>0</v>
      </c>
      <c r="I4" s="205">
        <f t="shared" si="0"/>
        <v>3000</v>
      </c>
      <c r="J4" s="200">
        <f>+'AGUILAR RODRIGUEZ JORGE ALONSO'!J16</f>
        <v>834.84</v>
      </c>
      <c r="K4" s="200">
        <f>SUM('AGUILAR RODRIGUEZ JORGE ALONSO'!S19:S32)</f>
        <v>389.16019584003141</v>
      </c>
      <c r="L4" s="165">
        <f>I4/J4</f>
        <v>3.593502946672416</v>
      </c>
      <c r="M4" s="359">
        <f>+AVERAGE('AGUILAR RODRIGUEZ JORGE ALONSO'!M19:M32)</f>
        <v>3391.75</v>
      </c>
      <c r="N4" s="126">
        <f>COUNTIF('AGUILAR RODRIGUEZ JORGE ALONSO'!N19:N32,1)+COUNTIF('AGUILAR RODRIGUEZ JORGE ALONSO'!N19:N32,4)+COUNTIF('AGUILAR RODRIGUEZ JORGE ALONSO'!N19:N32,5)+COUNTIF('AGUILAR RODRIGUEZ JORGE ALONSO'!N19:N32,6)</f>
        <v>7</v>
      </c>
      <c r="O4" s="126">
        <f>COUNTIF('AGUILAR RODRIGUEZ JORGE ALONSO'!N19:N32,2)</f>
        <v>1</v>
      </c>
      <c r="P4" s="135">
        <f>COUNTIF('AGUILAR RODRIGUEZ JORGE ALONSO'!N19:N32,3)</f>
        <v>0</v>
      </c>
    </row>
    <row r="5" spans="2:16" s="124" customFormat="1" ht="15.95" customHeight="1" x14ac:dyDescent="0.2">
      <c r="B5" s="134">
        <v>3</v>
      </c>
      <c r="C5" s="154" t="str">
        <f>+'REYES LARA DANTE'!E11</f>
        <v>REYES LARA DANTE</v>
      </c>
      <c r="D5" s="152" t="str">
        <f>+'REYES LARA DANTE'!E12</f>
        <v>F-009</v>
      </c>
      <c r="E5" s="126">
        <f>+COUNT('REYES LARA DANTE'!O$40:O$46)</f>
        <v>4</v>
      </c>
      <c r="F5" s="210">
        <f>+SUMIF('REYES LARA DANTE'!N$19:N$32,1,'REYES LARA DANTE'!J$19:J$32)+SUMIF('REYES LARA DANTE'!N$19:N$32,4,'REYES LARA DANTE'!J$19:J$32)+SUMIF('REYES LARA DANTE'!N$19:N$32,5,'REYES LARA DANTE'!J$19:J$32)+SUMIF('REYES LARA DANTE'!N$19:N$32,6,'REYES LARA DANTE'!J$19:J$32)</f>
        <v>3050</v>
      </c>
      <c r="G5" s="210">
        <f>+SUMIF('REYES LARA DANTE'!N$19:N$32,2,'REYES LARA DANTE'!J$19:J$32)</f>
        <v>0</v>
      </c>
      <c r="H5" s="210">
        <f>+SUMIF('REYES LARA DANTE'!N$19:N$32,3,'REYES LARA DANTE'!J$19:J$32)</f>
        <v>0</v>
      </c>
      <c r="I5" s="205">
        <f t="shared" si="0"/>
        <v>3050</v>
      </c>
      <c r="J5" s="200">
        <f>+'REYES LARA DANTE'!J16</f>
        <v>901.05</v>
      </c>
      <c r="K5" s="200">
        <f>+SUM('REYES LARA DANTE'!S19:S32)</f>
        <v>384.02084743049039</v>
      </c>
      <c r="L5" s="165">
        <f>I5/J5</f>
        <v>3.3849397924643472</v>
      </c>
      <c r="M5" s="359">
        <f>+AVERAGE('REYES LARA DANTE'!M19:M32)</f>
        <v>3794.125</v>
      </c>
      <c r="N5" s="126">
        <f>+COUNTIF('REYES LARA DANTE'!N19:N32,1)+COUNTIF('REYES LARA DANTE'!N19:N32,4)+COUNTIF('REYES LARA DANTE'!N19:N32,5)+COUNTIF('REYES LARA DANTE'!N19:N32,6)</f>
        <v>8</v>
      </c>
      <c r="O5" s="126">
        <f>+COUNTIF('REYES LARA DANTE'!N19:N32,2)</f>
        <v>0</v>
      </c>
      <c r="P5" s="135">
        <f>+COUNTIF('REYES LARA DANTE'!N19:N32,3)</f>
        <v>0</v>
      </c>
    </row>
    <row r="6" spans="2:16" s="124" customFormat="1" ht="15.95" customHeight="1" x14ac:dyDescent="0.2">
      <c r="B6" s="134">
        <v>4</v>
      </c>
      <c r="C6" s="154" t="str">
        <f>+'FLORES BOJORQUEZ BRYAN OVED'!E11</f>
        <v>FLORES BOJORQUEZ BRYAN OVED</v>
      </c>
      <c r="D6" s="153" t="str">
        <f>+'FLORES BOJORQUEZ BRYAN OVED'!E12</f>
        <v>F-027 F-026</v>
      </c>
      <c r="E6" s="126">
        <f>+COUNT('FLORES BOJORQUEZ BRYAN OVED'!O$40:O$46)</f>
        <v>3</v>
      </c>
      <c r="F6" s="210">
        <f>+SUMIF('FLORES BOJORQUEZ BRYAN OVED'!N$19:N$32,1,'FLORES BOJORQUEZ BRYAN OVED'!J$19:J$32)+SUMIF('FLORES BOJORQUEZ BRYAN OVED'!N$19:N$32,4,'FLORES BOJORQUEZ BRYAN OVED'!J$19:J$32)+SUMIF('FLORES BOJORQUEZ BRYAN OVED'!N$19:N$32,5,'FLORES BOJORQUEZ BRYAN OVED'!J$19:J$32)+SUMIF('FLORES BOJORQUEZ BRYAN OVED'!N$19:N$32,6,'FLORES BOJORQUEZ BRYAN OVED'!J$19:J$32)</f>
        <v>2300</v>
      </c>
      <c r="G6" s="210">
        <f>+SUMIF('FLORES BOJORQUEZ BRYAN OVED'!N$19:N$32,2,'FLORES BOJORQUEZ BRYAN OVED'!J$19:J$32)</f>
        <v>0</v>
      </c>
      <c r="H6" s="210">
        <f>+SUMIF('FLORES BOJORQUEZ BRYAN OVED'!N$19:N$32,3,'FLORES BOJORQUEZ BRYAN OVED'!J$19:J$32)</f>
        <v>0</v>
      </c>
      <c r="I6" s="205">
        <f t="shared" si="0"/>
        <v>2300</v>
      </c>
      <c r="J6" s="200">
        <f>+'FLORES BOJORQUEZ BRYAN OVED'!J16</f>
        <v>715.68999999999994</v>
      </c>
      <c r="K6" s="200">
        <v>0</v>
      </c>
      <c r="L6" s="165">
        <v>0</v>
      </c>
      <c r="M6" s="359">
        <v>0</v>
      </c>
      <c r="N6" s="126">
        <f>+COUNTIF('FLORES BOJORQUEZ BRYAN OVED'!N19:N32,1)+COUNTIF('FLORES BOJORQUEZ BRYAN OVED'!N19:N32,4)+COUNTIF('FLORES BOJORQUEZ BRYAN OVED'!N19:N32,5)+COUNTIF('FLORES BOJORQUEZ BRYAN OVED'!N19:N32,6)</f>
        <v>6</v>
      </c>
      <c r="O6" s="126">
        <f>+COUNTIF('FLORES BOJORQUEZ BRYAN OVED'!N19:N32,2)</f>
        <v>0</v>
      </c>
      <c r="P6" s="135">
        <f>+COUNTIF('FLORES BOJORQUEZ BRYAN OVED'!N19:N32,3)</f>
        <v>0</v>
      </c>
    </row>
    <row r="7" spans="2:16" s="124" customFormat="1" ht="15.95" customHeight="1" x14ac:dyDescent="0.2">
      <c r="B7" s="134">
        <v>5</v>
      </c>
      <c r="C7" s="154" t="str">
        <f>+'BALDERRAMA ROBLES JORGE'!E11</f>
        <v>BALDERRAMA ROBLES JORGE</v>
      </c>
      <c r="D7" s="153" t="str">
        <f>+'BALDERRAMA ROBLES JORGE'!E12</f>
        <v>F-024</v>
      </c>
      <c r="E7" s="126">
        <f>+COUNT('BALDERRAMA ROBLES JORGE'!O$40:O$46)</f>
        <v>3</v>
      </c>
      <c r="F7" s="210">
        <f>+SUMIF('BALDERRAMA ROBLES JORGE'!N$19:N$32,1,'BALDERRAMA ROBLES JORGE'!J$19:J$32)+SUMIF('BALDERRAMA ROBLES JORGE'!N$19:N$32,4,'BALDERRAMA ROBLES JORGE'!J$19:J$32)+SUMIF('BALDERRAMA ROBLES JORGE'!N$19:N$32,5,'BALDERRAMA ROBLES JORGE'!J$19:J$32)+SUMIF('BALDERRAMA ROBLES JORGE'!N$19:N$32,6,'BALDERRAMA ROBLES JORGE'!J$19:J$32)</f>
        <v>2300</v>
      </c>
      <c r="G7" s="210">
        <f>+SUMIF('BALDERRAMA ROBLES JORGE'!N$19:N$32,2,'BALDERRAMA ROBLES JORGE'!J$19:J$32)</f>
        <v>0</v>
      </c>
      <c r="H7" s="210">
        <f>+SUMIF('BALDERRAMA ROBLES JORGE'!N$19:N$32,3,'BALDERRAMA ROBLES JORGE'!J$19:J$32)</f>
        <v>0</v>
      </c>
      <c r="I7" s="205">
        <f t="shared" si="0"/>
        <v>2300</v>
      </c>
      <c r="J7" s="200">
        <f>+'BALDERRAMA ROBLES JORGE'!J16</f>
        <v>676.01</v>
      </c>
      <c r="K7" s="200">
        <f>SUM('BALDERRAMA ROBLES JORGE'!S19:S32)</f>
        <v>262.39015014402412</v>
      </c>
      <c r="L7" s="165">
        <f t="shared" ref="L7:L12" si="1">I7/J7</f>
        <v>3.4023165337790862</v>
      </c>
      <c r="M7" s="359">
        <f>+AVERAGE('BALDERRAMA ROBLES JORGE'!M19:M32)</f>
        <v>8162.1166666666659</v>
      </c>
      <c r="N7" s="126">
        <f>+COUNTIF('BALDERRAMA ROBLES JORGE'!N19:N32,1)+COUNTIF('BALDERRAMA ROBLES JORGE'!N19:N32,4)+COUNTIF('BALDERRAMA ROBLES JORGE'!N19:N32,5)+COUNTIF('BALDERRAMA ROBLES JORGE'!N19:N32,6)</f>
        <v>6</v>
      </c>
      <c r="O7" s="126">
        <f>+COUNTIF('BALDERRAMA ROBLES JORGE'!N19:N32,2)</f>
        <v>0</v>
      </c>
      <c r="P7" s="135">
        <f>+COUNTIF('BALDERRAMA ROBLES JORGE'!N19:N32,3)</f>
        <v>0</v>
      </c>
    </row>
    <row r="8" spans="2:16" s="124" customFormat="1" ht="15.95" customHeight="1" x14ac:dyDescent="0.2">
      <c r="B8" s="134">
        <v>6</v>
      </c>
      <c r="C8" s="166" t="str">
        <f>+'BALLEZA RAMIREZ JESUS JOSE'!E11</f>
        <v>BALLEZA RAMIREZ JESUS JOSE</v>
      </c>
      <c r="D8" s="167" t="str">
        <f>+'BALLEZA RAMIREZ JESUS JOSE'!E12</f>
        <v xml:space="preserve">F-040 </v>
      </c>
      <c r="E8" s="125">
        <f>+COUNT('BALLEZA RAMIREZ JESUS JOSE'!O40:O46)</f>
        <v>4</v>
      </c>
      <c r="F8" s="210">
        <f>+SUMIF('BALLEZA RAMIREZ JESUS JOSE'!N$19:N$32,1,'BALLEZA RAMIREZ JESUS JOSE'!J$19:J$32)+SUMIF('BALLEZA RAMIREZ JESUS JOSE'!N$19:N$32,4,'BALLEZA RAMIREZ JESUS JOSE'!J$19:J$32)+SUMIF('BALLEZA RAMIREZ JESUS JOSE'!N$19:N$32,5,'BALLEZA RAMIREZ JESUS JOSE'!J$19:J$32)+SUMIF('BALLEZA RAMIREZ JESUS JOSE'!N$19:N$32,6,'BALLEZA RAMIREZ JESUS JOSE'!J$19:J$32)</f>
        <v>3120</v>
      </c>
      <c r="G8" s="210">
        <f>+SUMIF('BALLEZA RAMIREZ JESUS JOSE'!N$19:N$32,2,'BALLEZA RAMIREZ JESUS JOSE'!J$19:J$32)</f>
        <v>0</v>
      </c>
      <c r="H8" s="210">
        <f>+SUMIF('BALLEZA RAMIREZ JESUS JOSE'!N$19:N$32,3,'BALLEZA RAMIREZ JESUS JOSE'!J$19:J$32)</f>
        <v>0</v>
      </c>
      <c r="I8" s="205">
        <f t="shared" si="0"/>
        <v>3120</v>
      </c>
      <c r="J8" s="200">
        <f>+'BALLEZA RAMIREZ JESUS JOSE'!J16</f>
        <v>919.99</v>
      </c>
      <c r="K8" s="200">
        <f>SUM('BALLEZA RAMIREZ JESUS JOSE'!S20:S33)</f>
        <v>314.01117493670154</v>
      </c>
      <c r="L8" s="165">
        <f t="shared" si="1"/>
        <v>3.391341210230546</v>
      </c>
      <c r="M8" s="359">
        <f>+AVERAGE('BALLEZA RAMIREZ JESUS JOSE'!M19:M32)</f>
        <v>3932.75</v>
      </c>
      <c r="N8" s="126">
        <f>+COUNTIF('BALLEZA RAMIREZ JESUS JOSE'!N19:N32,1)+COUNTIF('BALLEZA RAMIREZ JESUS JOSE'!N19:N32,4)+COUNTIF('BALLEZA RAMIREZ JESUS JOSE'!N19:N32,5)+COUNTIF('BALLEZA RAMIREZ JESUS JOSE'!N19:N32,6)</f>
        <v>8</v>
      </c>
      <c r="O8" s="126">
        <f>+COUNTIF('BALLEZA RAMIREZ JESUS JOSE'!N19:N32,2)</f>
        <v>0</v>
      </c>
      <c r="P8" s="135">
        <f>+COUNTIF('BALLEZA RAMIREZ JESUS JOSE'!N19:N32,3)</f>
        <v>0</v>
      </c>
    </row>
    <row r="9" spans="2:16" s="124" customFormat="1" ht="15.95" customHeight="1" x14ac:dyDescent="0.2">
      <c r="B9" s="134">
        <v>7</v>
      </c>
      <c r="C9" s="154" t="str">
        <f>+'BURGOS TORRES RIGOBERTO'!E11</f>
        <v>BURGOS TORRES RIGOBERTO</v>
      </c>
      <c r="D9" s="153" t="str">
        <f>+'BURGOS TORRES RIGOBERTO'!E12</f>
        <v xml:space="preserve">F-023 </v>
      </c>
      <c r="E9" s="126">
        <f>+COUNT('BURGOS TORRES RIGOBERTO'!O$39:O$45)</f>
        <v>2</v>
      </c>
      <c r="F9" s="210">
        <f>+SUMIF('BURGOS TORRES RIGOBERTO'!N$19:N$31,1,'BURGOS TORRES RIGOBERTO'!J$19:J$31)+SUMIF('BURGOS TORRES RIGOBERTO'!N$19:N$31,4,'BURGOS TORRES RIGOBERTO'!J$19:J$31)+SUMIF('BURGOS TORRES RIGOBERTO'!N$19:N$31,5,'BURGOS TORRES RIGOBERTO'!J$19:J$31)+SUMIF('BURGOS TORRES RIGOBERTO'!N$19:N$31,6,'BURGOS TORRES RIGOBERTO'!J$19:J$31)</f>
        <v>3357</v>
      </c>
      <c r="G9" s="210">
        <f>+SUMIF('BURGOS TORRES RIGOBERTO'!N$19:N$31,2,'BURGOS TORRES RIGOBERTO'!J$19:J$31)</f>
        <v>0</v>
      </c>
      <c r="H9" s="210">
        <f>+SUMIF('BURGOS TORRES RIGOBERTO'!N$19:N$31,3,'BURGOS TORRES RIGOBERTO'!J$19:J$31)</f>
        <v>0</v>
      </c>
      <c r="I9" s="205">
        <f t="shared" si="0"/>
        <v>3357</v>
      </c>
      <c r="J9" s="200">
        <f>+'BURGOS TORRES RIGOBERTO'!J16</f>
        <v>1050.44</v>
      </c>
      <c r="K9" s="200">
        <f>SUM('BURGOS TORRES RIGOBERTO'!S19:S31)</f>
        <v>286.57621392259421</v>
      </c>
      <c r="L9" s="165">
        <f t="shared" si="1"/>
        <v>3.1958036632268381</v>
      </c>
      <c r="M9" s="359">
        <f>+AVERAGE('BURGOS TORRES RIGOBERTO'!M19:M31)</f>
        <v>8949.4</v>
      </c>
      <c r="N9" s="126">
        <f>+COUNTIF('BURGOS TORRES RIGOBERTO'!N19:N31,1)+COUNTIF('BURGOS TORRES RIGOBERTO'!N19:N31,4)+COUNTIF('BURGOS TORRES RIGOBERTO'!N19:N31,5)+COUNTIF('BURGOS TORRES RIGOBERTO'!N19:N31,6)</f>
        <v>5</v>
      </c>
      <c r="O9" s="126">
        <f>+COUNTIF('BURGOS TORRES RIGOBERTO'!N19:N31,2)</f>
        <v>0</v>
      </c>
      <c r="P9" s="135">
        <f>+COUNTIF('BURGOS TORRES RIGOBERTO'!N19:N31,3)</f>
        <v>0</v>
      </c>
    </row>
    <row r="10" spans="2:16" s="124" customFormat="1" ht="15.95" customHeight="1" x14ac:dyDescent="0.2">
      <c r="B10" s="134">
        <v>8</v>
      </c>
      <c r="C10" s="154" t="str">
        <f>+'ONTIVEROS LIRA JUAN'!E11</f>
        <v>ONTIVEROS LIRA JUAN</v>
      </c>
      <c r="D10" s="126" t="str">
        <f>+'ONTIVEROS LIRA JUAN'!E12</f>
        <v>F-086</v>
      </c>
      <c r="E10" s="126">
        <f>+COUNT('ONTIVEROS LIRA JUAN'!O40:O46)</f>
        <v>1</v>
      </c>
      <c r="F10" s="210">
        <f>+SUMIF('ONTIVEROS LIRA JUAN'!N$19:N$32,1,'ONTIVEROS LIRA JUAN'!J$19:J$32)+SUMIF('ONTIVEROS LIRA JUAN'!N$19:N$32,4,'ONTIVEROS LIRA JUAN'!J$19:J$32)+SUMIF('ONTIVEROS LIRA JUAN'!N$19:N$32,5,'ONTIVEROS LIRA JUAN'!J$19:J$32)+SUMIF('ONTIVEROS LIRA JUAN'!N$19:N$32,6,'ONTIVEROS LIRA JUAN'!J$19:J$32)</f>
        <v>790</v>
      </c>
      <c r="G10" s="210">
        <f>+SUMIF('ONTIVEROS LIRA JUAN'!N$19:N$32,2,'ONTIVEROS LIRA JUAN'!J$19:J$32)</f>
        <v>0</v>
      </c>
      <c r="H10" s="210">
        <f>+SUMIF('ONTIVEROS LIRA JUAN'!N$19:N$32,3,'ONTIVEROS LIRA JUAN'!J$19:J$32)</f>
        <v>0</v>
      </c>
      <c r="I10" s="205">
        <f t="shared" si="0"/>
        <v>790</v>
      </c>
      <c r="J10" s="273">
        <f>+'ONTIVEROS LIRA JUAN'!J16</f>
        <v>245.01</v>
      </c>
      <c r="K10" s="275">
        <f>+SUM('ONTIVEROS LIRA JUAN'!S19:S32)</f>
        <v>70.991028056677976</v>
      </c>
      <c r="L10" s="165">
        <f t="shared" si="1"/>
        <v>3.2243581894616549</v>
      </c>
      <c r="M10" s="359">
        <f>+AVERAGE('ONTIVEROS LIRA JUAN'!M19:M32)</f>
        <v>10429.5</v>
      </c>
      <c r="N10" s="126">
        <f>COUNTIF('ONTIVEROS LIRA JUAN'!N$19:N$26,1)+COUNTIF('ONTIVEROS LIRA JUAN'!N$19:N$26,4)+COUNTIF('ONTIVEROS LIRA JUAN'!N$19:N$26,5)+COUNTIF('ONTIVEROS LIRA JUAN'!N$19:N$26,6)</f>
        <v>2</v>
      </c>
      <c r="O10" s="126">
        <f>COUNTIF('ONTIVEROS LIRA JUAN'!N$19:N$26,2)</f>
        <v>0</v>
      </c>
      <c r="P10" s="135">
        <f>+COUNTIF('ONTIVEROS LIRA JUAN'!N$19:N$26,3)</f>
        <v>0</v>
      </c>
    </row>
    <row r="11" spans="2:16" s="124" customFormat="1" ht="15.95" customHeight="1" x14ac:dyDescent="0.2">
      <c r="B11" s="134">
        <v>9</v>
      </c>
      <c r="C11" s="116" t="str">
        <f>+'CORDOVA URIBE JOSE  ADRIAN'!E11</f>
        <v>CORDOVA URIBE ADRIAN</v>
      </c>
      <c r="D11" s="152" t="str">
        <f>+'CORDOVA URIBE JOSE  ADRIAN'!E12</f>
        <v>F-008</v>
      </c>
      <c r="E11" s="125">
        <f>+COUNT('CORDOVA URIBE JOSE  ADRIAN'!O$40:O$46)</f>
        <v>0</v>
      </c>
      <c r="F11" s="210">
        <f>+SUMIF('CORDOVA URIBE JOSE  ADRIAN'!N$19:N$32,1,'CORDOVA URIBE JOSE  ADRIAN'!J$19:J$32)+SUMIF('CORDOVA URIBE JOSE  ADRIAN'!N$19:N$32,4,'CORDOVA URIBE JOSE  ADRIAN'!J$19:J$32)+SUMIF('CORDOVA URIBE JOSE  ADRIAN'!N$19:N$32,5,'CORDOVA URIBE JOSE  ADRIAN'!J$19:J$32)+SUMIF('CORDOVA URIBE JOSE  ADRIAN'!N$19:N$32,6,'CORDOVA URIBE JOSE  ADRIAN'!J$19:J$32)</f>
        <v>0</v>
      </c>
      <c r="G11" s="210">
        <f>+SUMIF('CORDOVA URIBE JOSE  ADRIAN'!N$19:N$32,2,'CORDOVA URIBE JOSE  ADRIAN'!J$19:J$32)</f>
        <v>0</v>
      </c>
      <c r="H11" s="210">
        <f>+SUMIF('CORDOVA URIBE JOSE  ADRIAN'!N$19:N$32,3,'CORDOVA URIBE JOSE  ADRIAN'!J$19:J$32)</f>
        <v>0</v>
      </c>
      <c r="I11" s="205">
        <f t="shared" si="0"/>
        <v>0</v>
      </c>
      <c r="J11" s="200">
        <f>+'CORDOVA URIBE JOSE  ADRIAN'!J16</f>
        <v>0</v>
      </c>
      <c r="K11" s="200" t="e">
        <f>SUM('CORDOVA URIBE JOSE  ADRIAN'!S19:S32)</f>
        <v>#N/A</v>
      </c>
      <c r="L11" s="165" t="e">
        <f t="shared" si="1"/>
        <v>#DIV/0!</v>
      </c>
      <c r="M11" s="359" t="e">
        <f>+AVERAGE('CORDOVA URIBE JOSE  ADRIAN'!M19:M32)</f>
        <v>#DIV/0!</v>
      </c>
      <c r="N11" s="126">
        <f>+COUNTIF('CORDOVA URIBE JOSE  ADRIAN'!N19:N32,1)+COUNTIF('CORDOVA URIBE JOSE  ADRIAN'!N19:N32,4)+COUNTIF('CORDOVA URIBE JOSE  ADRIAN'!N19:N32,5)+COUNTIF('CORDOVA URIBE JOSE  ADRIAN'!N19:N32,6)</f>
        <v>0</v>
      </c>
      <c r="O11" s="126">
        <f>+COUNTIF('CORDOVA URIBE JOSE  ADRIAN'!N19:N32,2)</f>
        <v>0</v>
      </c>
      <c r="P11" s="135">
        <f>+COUNTIF('CORDOVA URIBE JOSE  ADRIAN'!N19:N32,3)</f>
        <v>0</v>
      </c>
    </row>
    <row r="12" spans="2:16" s="124" customFormat="1" ht="15.95" customHeight="1" x14ac:dyDescent="0.2">
      <c r="B12" s="134">
        <v>10</v>
      </c>
      <c r="C12" s="166" t="str">
        <f>+'AGUILERA CONTRERAS LUIS GERARDO'!E11</f>
        <v>AGUILERA CONTRERAS LUIS GERARDO</v>
      </c>
      <c r="D12" s="167" t="str">
        <f>+'AGUILERA CONTRERAS LUIS GERARDO'!E12</f>
        <v>F-019</v>
      </c>
      <c r="E12" s="125">
        <f>+COUNT('AGUILERA CONTRERAS LUIS GERARDO'!O$41:O$47)</f>
        <v>3</v>
      </c>
      <c r="F12" s="210">
        <f>+SUMIF('AGUILERA CONTRERAS LUIS GERARDO'!N$19:N$33,1,'AGUILERA CONTRERAS LUIS GERARDO'!J$19:J$33)+SUMIF('AGUILERA CONTRERAS LUIS GERARDO'!N$19:N$33,4,'AGUILERA CONTRERAS LUIS GERARDO'!J$19:J$33)+SUMIF('AGUILERA CONTRERAS LUIS GERARDO'!N$19:N$33,5,'AGUILERA CONTRERAS LUIS GERARDO'!J$19:J$33)+SUMIF('AGUILERA CONTRERAS LUIS GERARDO'!N$19:N$33,6,'AGUILERA CONTRERAS LUIS GERARDO'!J$19:J$33)</f>
        <v>1875</v>
      </c>
      <c r="G12" s="210">
        <f>+SUMIF('AGUILERA CONTRERAS LUIS GERARDO'!N$19:N$33,2,'AGUILERA CONTRERAS LUIS GERARDO'!J$19:J$33)</f>
        <v>375</v>
      </c>
      <c r="H12" s="210">
        <f>+SUMIF('AGUILERA CONTRERAS LUIS GERARDO'!N$19:N$33,3,'AGUILERA CONTRERAS LUIS GERARDO'!J$19:J$33)</f>
        <v>0</v>
      </c>
      <c r="I12" s="205">
        <f t="shared" si="0"/>
        <v>2250</v>
      </c>
      <c r="J12" s="200">
        <f>+'AGUILERA CONTRERAS LUIS GERARDO'!J16</f>
        <v>680.95</v>
      </c>
      <c r="K12" s="200">
        <f>SUM('AGUILERA CONTRERAS LUIS GERARDO'!S19:S33)</f>
        <v>267.05308417003391</v>
      </c>
      <c r="L12" s="165">
        <f t="shared" si="1"/>
        <v>3.3042073573683823</v>
      </c>
      <c r="M12" s="359">
        <f>+AVERAGE('AGUILERA CONTRERAS LUIS GERARDO'!M19:M33)</f>
        <v>2917.8</v>
      </c>
      <c r="N12" s="126">
        <f>+COUNTIF('AGUILERA CONTRERAS LUIS GERARDO'!N19:N33,1)+COUNTIF('AGUILERA CONTRERAS LUIS GERARDO'!N19:N33,4)+COUNTIF('AGUILERA CONTRERAS LUIS GERARDO'!N19:N33,5)+COUNTIF('AGUILERA CONTRERAS LUIS GERARDO'!N19:N33,6)</f>
        <v>5</v>
      </c>
      <c r="O12" s="126">
        <f>+COUNTIF('AGUILERA CONTRERAS LUIS GERARDO'!N19:N33,2)</f>
        <v>1</v>
      </c>
      <c r="P12" s="135">
        <f>+COUNTIF('AGUILERA CONTRERAS LUIS GERARDO'!N19:N33,3)</f>
        <v>0</v>
      </c>
    </row>
    <row r="13" spans="2:16" s="124" customFormat="1" ht="15.95" customHeight="1" x14ac:dyDescent="0.2">
      <c r="B13" s="134">
        <v>11</v>
      </c>
      <c r="C13" s="154" t="str">
        <f>+'RUIZ SAUCEDO DANIEL ALEJANDRO'!E11</f>
        <v>RUIZ SAUCEDO DANIEL ALEJANDRO</v>
      </c>
      <c r="D13" s="153" t="str">
        <f>+'RUIZ SAUCEDO DANIEL ALEJANDRO'!E12</f>
        <v>F-013</v>
      </c>
      <c r="E13" s="126">
        <f>COUNT('RUIZ SAUCEDO DANIEL ALEJANDRO'!O40:O46)</f>
        <v>0</v>
      </c>
      <c r="F13" s="210">
        <f>+SUMIF('RUIZ SAUCEDO DANIEL ALEJANDRO'!N$19:N$32,1,'RUIZ SAUCEDO DANIEL ALEJANDRO'!J$19:J$32)+SUMIF('RUIZ SAUCEDO DANIEL ALEJANDRO'!N$19:N$32,4,'RUIZ SAUCEDO DANIEL ALEJANDRO'!J$19:J$32)+SUMIF('RUIZ SAUCEDO DANIEL ALEJANDRO'!N$19:N$32,5,'RUIZ SAUCEDO DANIEL ALEJANDRO'!J$19:J$32)+SUMIF('RUIZ SAUCEDO DANIEL ALEJANDRO'!N$19:N$32,6,'RUIZ SAUCEDO DANIEL ALEJANDRO'!J$19:J$32)</f>
        <v>0</v>
      </c>
      <c r="G13" s="210">
        <f>+SUMIF('RUIZ SAUCEDO DANIEL ALEJANDRO'!N$19:N$32,2,'RUIZ SAUCEDO DANIEL ALEJANDRO'!J$19:J$32)</f>
        <v>0</v>
      </c>
      <c r="H13" s="210">
        <f>+SUMIF('RUIZ SAUCEDO DANIEL ALEJANDRO'!N$19:N$32,3,'RUIZ SAUCEDO DANIEL ALEJANDRO'!J$19:J$32)</f>
        <v>0</v>
      </c>
      <c r="I13" s="205">
        <f t="shared" si="0"/>
        <v>0</v>
      </c>
      <c r="J13" s="200">
        <f>+'RUIZ SAUCEDO DANIEL ALEJANDRO'!J16</f>
        <v>0</v>
      </c>
      <c r="K13" s="200">
        <v>0</v>
      </c>
      <c r="L13" s="165">
        <v>0</v>
      </c>
      <c r="M13" s="359">
        <v>0</v>
      </c>
      <c r="N13" s="126">
        <f>+COUNTIF('RUIZ SAUCEDO DANIEL ALEJANDRO'!N19:N32,1)+COUNTIF('RUIZ SAUCEDO DANIEL ALEJANDRO'!N19:N32,4)+COUNTIF('RUIZ SAUCEDO DANIEL ALEJANDRO'!N19:N32,5)+COUNTIF('RUIZ SAUCEDO DANIEL ALEJANDRO'!N19:N32,6)</f>
        <v>0</v>
      </c>
      <c r="O13" s="126">
        <f>+COUNTIF('RUIZ SAUCEDO DANIEL ALEJANDRO'!N19:N32,2)</f>
        <v>0</v>
      </c>
      <c r="P13" s="135">
        <f>+COUNTIF('RUIZ SAUCEDO DANIEL ALEJANDRO'!N19:N32,3)</f>
        <v>0</v>
      </c>
    </row>
    <row r="14" spans="2:16" s="124" customFormat="1" ht="15.95" customHeight="1" x14ac:dyDescent="0.2">
      <c r="B14" s="134">
        <v>12</v>
      </c>
      <c r="C14" s="166" t="str">
        <f>+'MELENDEZ SINALOA MANUEL ARAT'!E11</f>
        <v>MELENDEZ SINALOA MANUEL ARAT</v>
      </c>
      <c r="D14" s="167" t="str">
        <f>+'MELENDEZ SINALOA MANUEL ARAT'!E12</f>
        <v>F-028</v>
      </c>
      <c r="E14" s="125">
        <f>+COUNT('MELENDEZ SINALOA MANUEL ARAT'!O$40:O$46)</f>
        <v>5</v>
      </c>
      <c r="F14" s="210">
        <f>+SUMIF('MELENDEZ SINALOA MANUEL ARAT'!N$19:N$32,1,'MELENDEZ SINALOA MANUEL ARAT'!J$19:J$32)+SUMIF('MELENDEZ SINALOA MANUEL ARAT'!N$19:N$32,4,'MELENDEZ SINALOA MANUEL ARAT'!J$19:J$32)+SUMIF('MELENDEZ SINALOA MANUEL ARAT'!N$19:N$32,5,'MELENDEZ SINALOA MANUEL ARAT'!J$19:J$32)+SUMIF('MELENDEZ SINALOA MANUEL ARAT'!N$19:N$32,6,'MELENDEZ SINALOA MANUEL ARAT'!J$19:J$32)</f>
        <v>2825</v>
      </c>
      <c r="G14" s="210">
        <f>+SUMIF('MELENDEZ SINALOA MANUEL ARAT'!N$19:N$32,2,'MELENDEZ SINALOA MANUEL ARAT'!J$19:J$32)</f>
        <v>200</v>
      </c>
      <c r="H14" s="210">
        <f>+SUMIF('MELENDEZ SINALOA MANUEL ARAT'!N$19:N$32,3,'MELENDEZ SINALOA MANUEL ARAT'!J$19:J$32)</f>
        <v>375</v>
      </c>
      <c r="I14" s="205">
        <f t="shared" si="0"/>
        <v>3400</v>
      </c>
      <c r="J14" s="200">
        <f>+'MELENDEZ SINALOA MANUEL ARAT'!J16</f>
        <v>956.99</v>
      </c>
      <c r="K14" s="200">
        <f>SUM('MELENDEZ SINALOA MANUEL ARAT'!S19:S33)</f>
        <v>430.7651020408162</v>
      </c>
      <c r="L14" s="165">
        <f>I14/J14</f>
        <v>3.5528061944220943</v>
      </c>
      <c r="M14" s="359">
        <v>0</v>
      </c>
      <c r="N14" s="126">
        <f>+COUNTIF('MELENDEZ SINALOA MANUEL ARAT'!N19:N32,1)+COUNTIF('MELENDEZ SINALOA MANUEL ARAT'!N19:N32,4)+COUNTIF('MELENDEZ SINALOA MANUEL ARAT'!N19:N32,5)+COUNTIF('MELENDEZ SINALOA MANUEL ARAT'!N19:N32,6)</f>
        <v>8</v>
      </c>
      <c r="O14" s="126">
        <f>+COUNTIF('MELENDEZ SINALOA MANUEL ARAT'!N19:N32,2)</f>
        <v>1</v>
      </c>
      <c r="P14" s="135">
        <f>+COUNTIF('MELENDEZ SINALOA MANUEL ARAT'!N19:N32,3)</f>
        <v>1</v>
      </c>
    </row>
    <row r="15" spans="2:16" s="124" customFormat="1" ht="15.95" customHeight="1" x14ac:dyDescent="0.2">
      <c r="B15" s="134">
        <v>13</v>
      </c>
      <c r="C15" s="154" t="str">
        <f>+'GUZMAN CHAPARRO PEDRO'!E11</f>
        <v>GUZMAN CHAPARRO PEDRO</v>
      </c>
      <c r="D15" s="153" t="str">
        <f>+'GUZMAN CHAPARRO PEDRO'!E12</f>
        <v>F-024</v>
      </c>
      <c r="E15" s="126">
        <f>+COUNT('GUZMAN CHAPARRO PEDRO'!O$40:O$46)</f>
        <v>2</v>
      </c>
      <c r="F15" s="210">
        <f>+SUMIF('GUZMAN CHAPARRO PEDRO'!N$19:N$32,1,'GUZMAN CHAPARRO PEDRO'!J$19:J$32)+SUMIF('GUZMAN CHAPARRO PEDRO'!N$19:N$32,4,'GUZMAN CHAPARRO PEDRO'!J$19:J$32)+SUMIF('GUZMAN CHAPARRO PEDRO'!N$19:N$32,5,'GUZMAN CHAPARRO PEDRO'!J$19:J$32)+SUMIF('GUZMAN CHAPARRO PEDRO'!N$19:N$32,6,'GUZMAN CHAPARRO PEDRO'!J$19:J$32)</f>
        <v>1709</v>
      </c>
      <c r="G15" s="210">
        <f>+SUMIF('GUZMAN CHAPARRO PEDRO'!N$19:N$32,2,'GUZMAN CHAPARRO PEDRO'!J$19:J$32)</f>
        <v>375</v>
      </c>
      <c r="H15" s="210">
        <f>+SUMIF('GUZMAN CHAPARRO PEDRO'!N$19:N$32,3,'GUZMAN CHAPARRO PEDRO'!J$19:J$32)</f>
        <v>0</v>
      </c>
      <c r="I15" s="205">
        <f t="shared" si="0"/>
        <v>2084</v>
      </c>
      <c r="J15" s="200">
        <f>+'GUZMAN CHAPARRO PEDRO'!J16</f>
        <v>571.99</v>
      </c>
      <c r="K15" s="200">
        <f>SUM('GUZMAN CHAPARRO PEDRO'!S19:S32)</f>
        <v>296.07054419681907</v>
      </c>
      <c r="L15" s="165">
        <f>I15/J15</f>
        <v>3.6434203395164251</v>
      </c>
      <c r="M15" s="359">
        <f>+AVERAGE('GUZMAN CHAPARRO PEDRO'!M19:M32)</f>
        <v>6387.2</v>
      </c>
      <c r="N15" s="126">
        <f>+COUNTIF('GUZMAN CHAPARRO PEDRO'!N19:N32,1)+COUNTIF('GUZMAN CHAPARRO PEDRO'!N19:N32,4)+COUNTIF('GUZMAN CHAPARRO PEDRO'!N19:N32,5)+COUNTIF('GUZMAN CHAPARRO PEDRO'!N19:N32,6)</f>
        <v>5</v>
      </c>
      <c r="O15" s="126">
        <f>+COUNTIF('GUZMAN CHAPARRO PEDRO'!N19:N32,2)</f>
        <v>1</v>
      </c>
      <c r="P15" s="135">
        <f>+COUNTIF('GUZMAN CHAPARRO PEDRO'!N19:N32,3)</f>
        <v>0</v>
      </c>
    </row>
    <row r="16" spans="2:16" s="124" customFormat="1" ht="15.95" customHeight="1" x14ac:dyDescent="0.2">
      <c r="B16" s="134">
        <v>14</v>
      </c>
      <c r="C16" s="154" t="str">
        <f>+'ANCHONDO ROMERO CESAR ALEJANDRO'!E11</f>
        <v>ANCHONDO ROMERO CESAR ALEJANDRO</v>
      </c>
      <c r="D16" s="153" t="str">
        <f>+'ANCHONDO ROMERO CESAR ALEJANDRO'!E12</f>
        <v>F-024</v>
      </c>
      <c r="E16" s="126">
        <f>+COUNT('ANCHONDO ROMERO CESAR ALEJANDRO'!O$40:O$46)</f>
        <v>0</v>
      </c>
      <c r="F16" s="210">
        <f>+SUMIF('ANCHONDO ROMERO CESAR ALEJANDRO'!N$19:N$32,1,'ANCHONDO ROMERO CESAR ALEJANDRO'!J$19:J$32)+SUMIF('ANCHONDO ROMERO CESAR ALEJANDRO'!N$19:N$32,4,'ANCHONDO ROMERO CESAR ALEJANDRO'!J$19:J$32)+SUMIF('ANCHONDO ROMERO CESAR ALEJANDRO'!N$19:N$32,5,'ANCHONDO ROMERO CESAR ALEJANDRO'!J$19:J$32)+SUMIF('ANCHONDO ROMERO CESAR ALEJANDRO'!N$19:N$32,6,'ANCHONDO ROMERO CESAR ALEJANDRO'!J$19:J$32)</f>
        <v>0</v>
      </c>
      <c r="G16" s="210">
        <f>+SUMIF('ANCHONDO ROMERO CESAR ALEJANDRO'!N$19:N$32,2,'ANCHONDO ROMERO CESAR ALEJANDRO'!J$19:J$32)</f>
        <v>0</v>
      </c>
      <c r="H16" s="210">
        <f>+SUMIF('ANCHONDO ROMERO CESAR ALEJANDRO'!N$19:N$32,3,'ANCHONDO ROMERO CESAR ALEJANDRO'!J$19:J$32)</f>
        <v>0</v>
      </c>
      <c r="I16" s="205">
        <f t="shared" si="0"/>
        <v>0</v>
      </c>
      <c r="J16" s="200">
        <f>+'ANCHONDO ROMERO CESAR ALEJANDRO'!J16</f>
        <v>0</v>
      </c>
      <c r="K16" s="200" t="e">
        <f>SUM('ANCHONDO ROMERO CESAR ALEJANDRO'!S19:S32)</f>
        <v>#N/A</v>
      </c>
      <c r="L16" s="165" t="e">
        <f>I16/J16</f>
        <v>#DIV/0!</v>
      </c>
      <c r="M16" s="359" t="e">
        <f>+AVERAGE('ANCHONDO ROMERO CESAR ALEJANDRO'!M19:M32)</f>
        <v>#DIV/0!</v>
      </c>
      <c r="N16" s="126">
        <f>+COUNTIF('ANCHONDO ROMERO CESAR ALEJANDRO'!N19:N32,1)+COUNTIF('ANCHONDO ROMERO CESAR ALEJANDRO'!N19:N32,4)+COUNTIF('ANCHONDO ROMERO CESAR ALEJANDRO'!N19:N32,5)+COUNTIF('ANCHONDO ROMERO CESAR ALEJANDRO'!N19:N32,6)</f>
        <v>0</v>
      </c>
      <c r="O16" s="126">
        <f>+COUNTIF('ANCHONDO ROMERO CESAR ALEJANDRO'!N19:N32,2)</f>
        <v>0</v>
      </c>
      <c r="P16" s="135">
        <f>+COUNTIF('ANCHONDO ROMERO CESAR ALEJANDRO'!N19:N32,3)</f>
        <v>0</v>
      </c>
    </row>
    <row r="17" spans="2:16" s="124" customFormat="1" ht="15.95" customHeight="1" x14ac:dyDescent="0.2">
      <c r="B17" s="134">
        <v>15</v>
      </c>
      <c r="C17" s="116" t="str">
        <f>+'HERNANDEZ LICANO JOSE LUIS'!E11</f>
        <v>HERNANDEZ LICANO JOSE LUIS</v>
      </c>
      <c r="D17" s="153" t="str">
        <f>+'HERNANDEZ LICANO JOSE LUIS'!E12</f>
        <v xml:space="preserve">F-005 </v>
      </c>
      <c r="E17" s="126">
        <f>+COUNT('HERNANDEZ LICANO JOSE LUIS'!O$40:O$46)</f>
        <v>4</v>
      </c>
      <c r="F17" s="210">
        <f>+SUMIF('HERNANDEZ LICANO JOSE LUIS'!N$19:N$32,1,'HERNANDEZ LICANO JOSE LUIS'!J$19:J$32)+SUMIF('HERNANDEZ LICANO JOSE LUIS'!N$19:N$32,4,'HERNANDEZ LICANO JOSE LUIS'!J$19:J$32)+SUMIF('HERNANDEZ LICANO JOSE LUIS'!N$19:N$32,5,'HERNANDEZ LICANO JOSE LUIS'!J$19:J$32)+SUMIF('HERNANDEZ LICANO JOSE LUIS'!N$19:N$32,6,'HERNANDEZ LICANO JOSE LUIS'!J$19:J$32)</f>
        <v>2675</v>
      </c>
      <c r="G17" s="210">
        <f>+SUMIF('HERNANDEZ LICANO JOSE LUIS'!N$19:N$32,2,'HERNANDEZ LICANO JOSE LUIS'!J$19:J$32)</f>
        <v>0</v>
      </c>
      <c r="H17" s="210">
        <f>+SUMIF('HERNANDEZ LICANO JOSE LUIS'!N$19:N$32,3,'HERNANDEZ LICANO JOSE LUIS'!J$19:J$32)</f>
        <v>375</v>
      </c>
      <c r="I17" s="205">
        <f t="shared" si="0"/>
        <v>3050</v>
      </c>
      <c r="J17" s="200">
        <f>+'HERNANDEZ LICANO JOSE LUIS'!J16</f>
        <v>861.31999999999994</v>
      </c>
      <c r="K17" s="200">
        <f>SUM('HERNANDEZ LICANO JOSE LUIS'!S19:S32)</f>
        <v>423.75084743049041</v>
      </c>
      <c r="L17" s="165">
        <f>I17/J17</f>
        <v>3.5410764872521248</v>
      </c>
      <c r="M17" s="359">
        <f>+AVERAGE('HERNANDEZ LICANO JOSE LUIS'!M19:M32)</f>
        <v>2209.1428571428573</v>
      </c>
      <c r="N17" s="126">
        <f>+COUNTIF('HERNANDEZ LICANO JOSE LUIS'!N19:N32,1)+COUNTIF('HERNANDEZ LICANO JOSE LUIS'!N19:N32,4)+COUNTIF('HERNANDEZ LICANO JOSE LUIS'!N19:N32,5)+COUNTIF('HERNANDEZ LICANO JOSE LUIS'!N19:N32,6)</f>
        <v>7</v>
      </c>
      <c r="O17" s="126">
        <f>+COUNTIF('HERNANDEZ LICANO JOSE LUIS'!N19:N32,2)</f>
        <v>0</v>
      </c>
      <c r="P17" s="135">
        <f>+COUNTIF('HERNANDEZ LICANO JOSE LUIS'!N19:N32,3)</f>
        <v>1</v>
      </c>
    </row>
    <row r="18" spans="2:16" s="124" customFormat="1" ht="15.95" customHeight="1" x14ac:dyDescent="0.2">
      <c r="B18" s="134">
        <v>16</v>
      </c>
      <c r="C18" s="66" t="str">
        <f>+'MACHADO MAZUCA ADOLFO'!E11</f>
        <v>MACHADO MAZUCA ADOLFO</v>
      </c>
      <c r="D18" s="167" t="str">
        <f>+'MACHADO MAZUCA ADOLFO'!E12</f>
        <v>F-010 F-012</v>
      </c>
      <c r="E18" s="125">
        <f>+COUNT('MACHADO MAZUCA ADOLFO'!O40:O46)</f>
        <v>3</v>
      </c>
      <c r="F18" s="210">
        <f>+SUMIF('MACHADO MAZUCA ADOLFO'!N$19:N$32,1,'MACHADO MAZUCA ADOLFO'!J$19:J$32)+SUMIF('MACHADO MAZUCA ADOLFO'!N$19:N$32,4,'MACHADO MAZUCA ADOLFO'!J$19:J$32)+SUMIF('MACHADO MAZUCA ADOLFO'!N$19:N$32,5,'MACHADO MAZUCA ADOLFO'!J$19:J$32)+SUMIF('MACHADO MAZUCA ADOLFO'!N$19:N$32,6,'MACHADO MAZUCA ADOLFO'!J$19:J$32)</f>
        <v>2250</v>
      </c>
      <c r="G18" s="210">
        <f>+SUMIF('MACHADO MAZUCA ADOLFO'!N$19:N$32,2,'MACHADO MAZUCA ADOLFO'!J$19:J$32)</f>
        <v>0</v>
      </c>
      <c r="H18" s="210">
        <f>+SUMIF('MACHADO MAZUCA ADOLFO'!N$19:N$32,3,'MACHADO MAZUCA ADOLFO'!J$19:J$32)</f>
        <v>0</v>
      </c>
      <c r="I18" s="205">
        <f t="shared" si="0"/>
        <v>2250</v>
      </c>
      <c r="J18" s="200">
        <f>+'MACHADO MAZUCA ADOLFO'!J16</f>
        <v>600.06999999999994</v>
      </c>
      <c r="K18" s="200">
        <f>SUM('MACHADO MAZUCA ADOLFO'!S19:S32)</f>
        <v>347.93308417003391</v>
      </c>
      <c r="L18" s="165">
        <v>0</v>
      </c>
      <c r="M18" s="359">
        <v>0</v>
      </c>
      <c r="N18" s="126">
        <f>COUNTIF('MACHADO MAZUCA ADOLFO'!N$19:N$32,1)+COUNTIF('MACHADO MAZUCA ADOLFO'!N$19:N$32,4)+COUNTIF('MACHADO MAZUCA ADOLFO'!N$19:N$32,5)+COUNTIF('MACHADO MAZUCA ADOLFO'!N$19:N$32,6)</f>
        <v>6</v>
      </c>
      <c r="O18" s="126">
        <f>COUNTIF('MACHADO MAZUCA ADOLFO'!N$19:N$32,2)</f>
        <v>0</v>
      </c>
      <c r="P18" s="135">
        <f>COUNTIF('MACHADO MAZUCA ADOLFO'!N$19:N$32,3)</f>
        <v>0</v>
      </c>
    </row>
    <row r="19" spans="2:16" s="124" customFormat="1" ht="15.95" customHeight="1" x14ac:dyDescent="0.2">
      <c r="B19" s="134">
        <v>17</v>
      </c>
      <c r="C19" s="154" t="str">
        <f>+'MARTINEZ RAMIREZ ROSALIO'!E11</f>
        <v>MARTINEZ RAMIREZ ROSALIO</v>
      </c>
      <c r="D19" s="152" t="str">
        <f>+'MARTINEZ RAMIREZ ROSALIO'!E12</f>
        <v xml:space="preserve"> F-026</v>
      </c>
      <c r="E19" s="126">
        <f>+COUNT('MARTINEZ RAMIREZ ROSALIO'!O$40:O$46)</f>
        <v>4</v>
      </c>
      <c r="F19" s="210">
        <f>+SUMIF('MARTINEZ RAMIREZ ROSALIO'!N$19:N$32,1,'MARTINEZ RAMIREZ ROSALIO'!J$19:J$32)+SUMIF('MARTINEZ RAMIREZ ROSALIO'!N$19:N$32,4,'MARTINEZ RAMIREZ ROSALIO'!J$19:J$32)+SUMIF('MARTINEZ RAMIREZ ROSALIO'!N$19:N$32,5,'MARTINEZ RAMIREZ ROSALIO'!J$19:J$32)+SUMIF('MARTINEZ RAMIREZ ROSALIO'!N$19:N$32,6,'MARTINEZ RAMIREZ ROSALIO'!J$19:J$32)</f>
        <v>3050</v>
      </c>
      <c r="G19" s="210">
        <f>+SUMIF('MARTINEZ RAMIREZ ROSALIO'!N$19:N$32,2,'MARTINEZ RAMIREZ ROSALIO'!J$19:J$32)</f>
        <v>0</v>
      </c>
      <c r="H19" s="210">
        <f>+SUMIF('MARTINEZ RAMIREZ ROSALIO'!N$19:N$32,3,'MARTINEZ RAMIREZ ROSALIO'!J$19:J$32)</f>
        <v>0</v>
      </c>
      <c r="I19" s="205">
        <f t="shared" si="0"/>
        <v>3050</v>
      </c>
      <c r="J19" s="200">
        <f>+'MARTINEZ RAMIREZ ROSALIO'!J16</f>
        <v>847</v>
      </c>
      <c r="K19" s="200">
        <f>SUM('MARTINEZ RAMIREZ ROSALIO'!S19:S32)</f>
        <v>397.40019910403197</v>
      </c>
      <c r="L19" s="165">
        <f>I19/J19</f>
        <v>3.6009445100354189</v>
      </c>
      <c r="M19" s="359">
        <f>+AVERAGE('MARTINEZ RAMIREZ ROSALIO'!M19:M32)</f>
        <v>5020.5</v>
      </c>
      <c r="N19" s="126">
        <f>+COUNTIF('MARTINEZ RAMIREZ ROSALIO'!N19:N32,1)+COUNTIF('MARTINEZ RAMIREZ ROSALIO'!N19:N32,4)+COUNTIF('MARTINEZ RAMIREZ ROSALIO'!N19:N32,5)+COUNTIF('MARTINEZ RAMIREZ ROSALIO'!N19:N32,6)</f>
        <v>8</v>
      </c>
      <c r="O19" s="126">
        <f>+COUNTIF('MARTINEZ RAMIREZ ROSALIO'!N19:N32,2)</f>
        <v>0</v>
      </c>
      <c r="P19" s="135">
        <f>+COUNTIF('MARTINEZ RAMIREZ ROSALIO'!N19:N32,3)</f>
        <v>0</v>
      </c>
    </row>
    <row r="20" spans="2:16" s="124" customFormat="1" ht="15.95" customHeight="1" x14ac:dyDescent="0.2">
      <c r="B20" s="134">
        <v>18</v>
      </c>
      <c r="C20" s="154" t="str">
        <f>+'MONTERO BURROLA LUIS'!E11</f>
        <v>MONTERO BURROLA LUIS</v>
      </c>
      <c r="D20" s="153" t="str">
        <f>+'MONTERO BURROLA LUIS'!E12</f>
        <v>F-025</v>
      </c>
      <c r="E20" s="126">
        <f>COUNT('MONTERO BURROLA LUIS'!O38:O44)</f>
        <v>2</v>
      </c>
      <c r="F20" s="210">
        <f>+SUMIF('MONTERO BURROLA LUIS'!N$19:N$30,1,'MONTERO BURROLA LUIS'!J$19:J$30)+SUMIF('MONTERO BURROLA LUIS'!N$19:N$30,4,'MONTERO BURROLA LUIS'!J$19:J$30)+SUMIF('MONTERO BURROLA LUIS'!N$19:N$30,5,'MONTERO BURROLA LUIS'!J$19:J$30)+SUMIF('MONTERO BURROLA LUIS'!N$19:N$30,6,'MONTERO BURROLA LUIS'!J$19:J$30)</f>
        <v>1580</v>
      </c>
      <c r="G20" s="210">
        <f>+SUMIF('MONTERO BURROLA LUIS'!N$19:N$30,2,'MONTERO BURROLA LUIS'!J$19:J$30)</f>
        <v>0</v>
      </c>
      <c r="H20" s="210">
        <f>+SUMIF('MONTERO BURROLA LUIS'!N$19:N$30,3,'MONTERO BURROLA LUIS'!J$19:J$30)</f>
        <v>0</v>
      </c>
      <c r="I20" s="205">
        <f t="shared" si="0"/>
        <v>1580</v>
      </c>
      <c r="J20" s="200">
        <f>+'MONTERO BURROLA LUIS'!J16</f>
        <v>442.03</v>
      </c>
      <c r="K20" s="200">
        <f>SUM('MONTERO BURROLA LUIS'!S19:S30)</f>
        <v>169.97009792001572</v>
      </c>
      <c r="L20" s="165">
        <f>I20/J20</f>
        <v>3.5744180259258425</v>
      </c>
      <c r="M20" s="359">
        <f>+AVERAGE('MONTERO BURROLA LUIS'!M19:M30)</f>
        <v>2556.25</v>
      </c>
      <c r="N20" s="126">
        <f>+COUNTIF('MONTERO BURROLA LUIS'!N19:N30,1)+COUNTIF('MONTERO BURROLA LUIS'!N19:N30,4)+COUNTIF('MONTERO BURROLA LUIS'!N19:N30,5)+COUNTIF('MONTERO BURROLA LUIS'!N19:N30,6)</f>
        <v>4</v>
      </c>
      <c r="O20" s="126">
        <f>+COUNTIF('MONTERO BURROLA LUIS'!N19:N30,2)</f>
        <v>0</v>
      </c>
      <c r="P20" s="135">
        <f>+COUNTIF('MONTERO BURROLA LUIS'!N19:N30,3)</f>
        <v>0</v>
      </c>
    </row>
    <row r="21" spans="2:16" s="124" customFormat="1" ht="15.95" customHeight="1" x14ac:dyDescent="0.2">
      <c r="B21" s="134">
        <v>19</v>
      </c>
      <c r="C21" s="166" t="str">
        <f>+'MORALES LOPEZ DE LARA MARIANO'!E11</f>
        <v>MORALES LOPEZ DE LARA MARIANO</v>
      </c>
      <c r="D21" s="167" t="str">
        <f>+'MORALES LOPEZ DE LARA MARIANO'!E12</f>
        <v>F-033</v>
      </c>
      <c r="E21" s="125">
        <f>+COUNT('MORALES LOPEZ DE LARA MARIANO'!O$40:O$46)</f>
        <v>5</v>
      </c>
      <c r="F21" s="210">
        <f>+SUMIF('MORALES LOPEZ DE LARA MARIANO'!N$19:N$32,1,'MORALES LOPEZ DE LARA MARIANO'!J$19:J$32)+SUMIF('MORALES LOPEZ DE LARA MARIANO'!N$19:N$32,4,'MORALES LOPEZ DE LARA MARIANO'!J$19:J$32)+SUMIF('MORALES LOPEZ DE LARA MARIANO'!N$19:N$32,5,'MORALES LOPEZ DE LARA MARIANO'!J$19:J$32)+SUMIF('MORALES LOPEZ DE LARA MARIANO'!N$19:N$32,6,'MORALES LOPEZ DE LARA MARIANO'!J$19:J$32)</f>
        <v>3950</v>
      </c>
      <c r="G21" s="210">
        <f>+SUMIF('MORALES LOPEZ DE LARA MARIANO'!N$19:N$32,2,'MORALES LOPEZ DE LARA MARIANO'!J$19:J$32)</f>
        <v>0</v>
      </c>
      <c r="H21" s="210">
        <f>+SUMIF('MORALES LOPEZ DE LARA MARIANO'!N$19:N$32,3,'MORALES LOPEZ DE LARA MARIANO'!J$19:J$32)</f>
        <v>0</v>
      </c>
      <c r="I21" s="205">
        <f t="shared" si="0"/>
        <v>3950</v>
      </c>
      <c r="J21" s="200">
        <f>+'MORALES LOPEZ DE LARA MARIANO'!J16</f>
        <v>1149.96</v>
      </c>
      <c r="K21" s="200">
        <f>SUM('MORALES LOPEZ DE LARA MARIANO'!S19:S32)</f>
        <v>380.65224489795906</v>
      </c>
      <c r="L21" s="165">
        <f>I21/J21</f>
        <v>3.4349020835507322</v>
      </c>
      <c r="M21" s="359">
        <f>+AVERAGE('MORALES LOPEZ DE LARA MARIANO'!M19:M32)</f>
        <v>2791</v>
      </c>
      <c r="N21" s="126">
        <f>+COUNTIF('MORALES LOPEZ DE LARA MARIANO'!N19:N32,1)+COUNTIF('MORALES LOPEZ DE LARA MARIANO'!N19:N32,4)+COUNTIF('MORALES LOPEZ DE LARA MARIANO'!N19:N32,5)+COUNTIF('MORALES LOPEZ DE LARA MARIANO'!N19:N32,6)</f>
        <v>10</v>
      </c>
      <c r="O21" s="126">
        <f>+COUNTIF('MORALES LOPEZ DE LARA MARIANO'!N19:N32,2)</f>
        <v>0</v>
      </c>
      <c r="P21" s="135">
        <f>+COUNTIF('MORALES LOPEZ DE LARA MARIANO'!N19:N32,3)</f>
        <v>0</v>
      </c>
    </row>
    <row r="22" spans="2:16" s="124" customFormat="1" ht="15.95" customHeight="1" x14ac:dyDescent="0.2">
      <c r="B22" s="134">
        <v>20</v>
      </c>
      <c r="C22" s="66" t="str">
        <f>+'NUÑEZ RUIZ IRVING JAVIER.'!E11</f>
        <v>NUÑEZ RUIZ IRVING JAVIER</v>
      </c>
      <c r="D22" s="167" t="str">
        <f>+'NUÑEZ RUIZ IRVING JAVIER.'!E13</f>
        <v xml:space="preserve">F-014 </v>
      </c>
      <c r="E22" s="125">
        <f>+COUNT('NUÑEZ RUIZ IRVING JAVIER.'!O42:O48)</f>
        <v>4</v>
      </c>
      <c r="F22" s="210">
        <f>+SUMIF('NUÑEZ RUIZ IRVING JAVIER.'!N$20:N$34,1,'NUÑEZ RUIZ IRVING JAVIER.'!J$20:J$34)+SUMIF('NUÑEZ RUIZ IRVING JAVIER.'!N$20:N$34,4,'NUÑEZ RUIZ IRVING JAVIER.'!J$20:J$34)+SUMIF('NUÑEZ RUIZ IRVING JAVIER.'!N$20:N$34,5,'NUÑEZ RUIZ IRVING JAVIER.'!J$20:J$34)+SUMIF('NUÑEZ RUIZ IRVING JAVIER.'!N$20:N$34,6,'NUÑEZ RUIZ IRVING JAVIER.'!J$20:J$34)</f>
        <v>2725</v>
      </c>
      <c r="G22" s="210">
        <f>+SUMIF('NUÑEZ RUIZ IRVING JAVIER.'!N$20:N$34,2,'NUÑEZ RUIZ IRVING JAVIER.'!J$20:J$34)</f>
        <v>375</v>
      </c>
      <c r="H22" s="210">
        <f>+SUMIF('NUÑEZ RUIZ IRVING JAVIER.'!N$20:N$34,3,'NUÑEZ RUIZ IRVING JAVIER.'!J$20:J$34)</f>
        <v>0</v>
      </c>
      <c r="I22" s="205">
        <f t="shared" si="0"/>
        <v>3100</v>
      </c>
      <c r="J22" s="200">
        <f>+'NUÑEZ RUIZ IRVING JAVIER.'!J17</f>
        <v>975.44</v>
      </c>
      <c r="K22" s="200">
        <f>SUM('NUÑEZ RUIZ IRVING JAVIER.'!S20:S34)</f>
        <v>330.69758263426894</v>
      </c>
      <c r="L22" s="165">
        <f>+I22/J22</f>
        <v>3.1780529812187317</v>
      </c>
      <c r="M22" s="359">
        <v>0</v>
      </c>
      <c r="N22" s="126">
        <f>COUNTIF('NUÑEZ RUIZ IRVING JAVIER.'!N$20:N$34,1)+COUNTIF('NUÑEZ RUIZ IRVING JAVIER.'!N$20:N$34,4)+COUNTIF('NUÑEZ RUIZ IRVING JAVIER.'!N$20:N$34,5)+COUNTIF('NUÑEZ RUIZ IRVING JAVIER.'!N$20:N$34,6)</f>
        <v>7</v>
      </c>
      <c r="O22" s="126">
        <f>COUNTIF('NUÑEZ RUIZ IRVING JAVIER.'!N$20:N$34,2)</f>
        <v>1</v>
      </c>
      <c r="P22" s="135">
        <f>COUNTIF('NUÑEZ RUIZ IRVING JAVIER.'!N$20:N$34,3)</f>
        <v>0</v>
      </c>
    </row>
    <row r="23" spans="2:16" s="124" customFormat="1" ht="15.95" customHeight="1" x14ac:dyDescent="0.2">
      <c r="B23" s="134">
        <v>21</v>
      </c>
      <c r="C23" s="166" t="str">
        <f>+'MORALES LECHUGA GONZALO'!E11</f>
        <v>MORALES LECHUGA GONZALO</v>
      </c>
      <c r="D23" s="167" t="str">
        <f>+'MORALES LECHUGA GONZALO'!E12</f>
        <v>F-042</v>
      </c>
      <c r="E23" s="125">
        <f>+COUNT('MORALES LECHUGA GONZALO'!O$40:O$46)</f>
        <v>2</v>
      </c>
      <c r="F23" s="210">
        <f>+SUMIF('MORALES LECHUGA GONZALO'!N$19:N$32,1,'MORALES LECHUGA GONZALO'!J$19:J$32)+SUMIF('MORALES LECHUGA GONZALO'!N$19:N$32,4,'MORALES LECHUGA GONZALO'!J$19:J$32)+SUMIF('MORALES LECHUGA GONZALO'!N$19:N$32,5,'MORALES LECHUGA GONZALO'!J$19:J$32)+SUMIF('MORALES LECHUGA GONZALO'!N$19:N$32,6,'MORALES LECHUGA GONZALO'!J$19:J$32)</f>
        <v>1500</v>
      </c>
      <c r="G23" s="210">
        <f>+SUMIF('MORALES LECHUGA GONZALO'!N$19:N$32,2,'MORALES LECHUGA GONZALO'!J$19:J$32)</f>
        <v>0</v>
      </c>
      <c r="H23" s="210">
        <f>+SUMIF('MORALES LECHUGA GONZALO'!N$19:N$32,3,'MORALES LECHUGA GONZALO'!J$19:J$32)</f>
        <v>0</v>
      </c>
      <c r="I23" s="205">
        <f t="shared" si="0"/>
        <v>1500</v>
      </c>
      <c r="J23" s="200">
        <f>+'MORALES LECHUGA GONZALO'!J16</f>
        <v>431.03999999999996</v>
      </c>
      <c r="K23" s="200">
        <f>SUM('MORALES LECHUGA GONZALO'!S19:S32)</f>
        <v>181.20489795918363</v>
      </c>
      <c r="L23" s="165">
        <f t="shared" ref="L23:L29" si="2">I23/J23</f>
        <v>3.4799554565701563</v>
      </c>
      <c r="M23" s="359">
        <f>+AVERAGE('MORALES LECHUGA GONZALO'!M19:M32)</f>
        <v>1867.5</v>
      </c>
      <c r="N23" s="126">
        <f>+COUNTIF('MORALES LECHUGA GONZALO'!N19:N32,1)+COUNTIF('MORALES LECHUGA GONZALO'!N19:N32,4)+COUNTIF('MORALES LECHUGA GONZALO'!N19:N32,5)+COUNTIF('MORALES LECHUGA GONZALO'!N19:N32,6)</f>
        <v>4</v>
      </c>
      <c r="O23" s="126">
        <f>+COUNTIF('MORALES LECHUGA GONZALO'!N19:N32,2)</f>
        <v>0</v>
      </c>
      <c r="P23" s="135">
        <f>+COUNTIF('MORALES LECHUGA GONZALO'!N19:N32,3)</f>
        <v>0</v>
      </c>
    </row>
    <row r="24" spans="2:16" s="124" customFormat="1" ht="15.95" customHeight="1" x14ac:dyDescent="0.2">
      <c r="B24" s="134">
        <v>24</v>
      </c>
      <c r="C24" s="166" t="str">
        <f>+'ORONA BECERRA MAURO JOSE'!E11</f>
        <v>ORONA BECERRA MAURO JOSE</v>
      </c>
      <c r="D24" s="167" t="str">
        <f>+'ORONA BECERRA MAURO JOSE'!E12</f>
        <v>F-022</v>
      </c>
      <c r="E24" s="125">
        <f>+COUNT('ORONA BECERRA MAURO JOSE'!O40:O46)</f>
        <v>6</v>
      </c>
      <c r="F24" s="210">
        <f>+SUMIF('ORONA BECERRA MAURO JOSE'!N$19:N$32,1,'ORONA BECERRA MAURO JOSE'!J$19:J$32)+SUMIF('ORONA BECERRA MAURO JOSE'!N$19:N$32,4,'ORONA BECERRA MAURO JOSE'!J$19:J$32)+SUMIF('ORONA BECERRA MAURO JOSE'!N$19:N$32,5,'ORONA BECERRA MAURO JOSE'!J$19:J$32)+SUMIF('ORONA BECERRA MAURO JOSE'!N$19:N$32,6,'ORONA BECERRA MAURO JOSE'!J$19:J$32)</f>
        <v>3800</v>
      </c>
      <c r="G24" s="210">
        <f>+SUMIF('ORONA BECERRA MAURO JOSE'!N$19:N$32,2,'ORONA BECERRA MAURO JOSE'!J$19:J$32)</f>
        <v>375</v>
      </c>
      <c r="H24" s="210">
        <f>+SUMIF('ORONA BECERRA MAURO JOSE'!N$19:N$32,3,'ORONA BECERRA MAURO JOSE'!J$19:J$32)</f>
        <v>375</v>
      </c>
      <c r="I24" s="205">
        <f t="shared" si="0"/>
        <v>4550</v>
      </c>
      <c r="J24" s="200">
        <f>+'ORONA BECERRA MAURO JOSE'!J16</f>
        <v>1119.2800000000002</v>
      </c>
      <c r="K24" s="200">
        <f>SUM('ORONA BECERRA MAURO JOSE'!S19:S32)</f>
        <v>737.12029702404766</v>
      </c>
      <c r="L24" s="165">
        <f t="shared" si="2"/>
        <v>4.0651132871131432</v>
      </c>
      <c r="M24" s="359">
        <f>+AVERAGE('ORONA BECERRA MAURO JOSE'!M19:M32)</f>
        <v>3628.6</v>
      </c>
      <c r="N24" s="126">
        <f>+COUNTIF('ORONA BECERRA MAURO JOSE'!N19:N32,1)+COUNTIF('ORONA BECERRA MAURO JOSE'!N19:N32,4)+COUNTIF('ORONA BECERRA MAURO JOSE'!N19:N32,5)+COUNTIF('ORONA BECERRA MAURO JOSE'!N19:N32,6)</f>
        <v>10</v>
      </c>
      <c r="O24" s="126">
        <f>+COUNTIF('ORONA BECERRA MAURO JOSE'!N19:N32,2)</f>
        <v>1</v>
      </c>
      <c r="P24" s="135">
        <f>+COUNTIF('ORONA BECERRA MAURO JOSE'!N19:N32,3)</f>
        <v>1</v>
      </c>
    </row>
    <row r="25" spans="2:16" s="124" customFormat="1" ht="15.95" customHeight="1" x14ac:dyDescent="0.2">
      <c r="B25" s="134">
        <v>25</v>
      </c>
      <c r="C25" s="154" t="str">
        <f>+'LIRA ARCEO JOEL EDUARDO'!E11</f>
        <v>LIRA ARCEO JOEL EDUARDO</v>
      </c>
      <c r="D25" s="153" t="str">
        <f>+'LIRA ARCEO JOEL EDUARDO'!E12</f>
        <v>F-002 F-009 F-050</v>
      </c>
      <c r="E25" s="126">
        <f>+COUNT('LIRA ARCEO JOEL EDUARDO'!O40:O46)</f>
        <v>0</v>
      </c>
      <c r="F25" s="210">
        <f>+SUMIF('LIRA ARCEO JOEL EDUARDO'!N$19:N$32,1,'LIRA ARCEO JOEL EDUARDO'!J$19:J$32)+SUMIF('LIRA ARCEO JOEL EDUARDO'!N$19:N$32,4,'LIRA ARCEO JOEL EDUARDO'!J$19:J$32)+SUMIF('LIRA ARCEO JOEL EDUARDO'!N$19:N$32,5,'LIRA ARCEO JOEL EDUARDO'!J$19:J$32)+SUMIF('LIRA ARCEO JOEL EDUARDO'!N$19:N$32,6,'LIRA ARCEO JOEL EDUARDO'!J$19:J$32)</f>
        <v>0</v>
      </c>
      <c r="G25" s="210">
        <f>+SUMIF('LIRA ARCEO JOEL EDUARDO'!N$19:N$32,2,'LIRA ARCEO JOEL EDUARDO'!J$19:J$32)</f>
        <v>0</v>
      </c>
      <c r="H25" s="210">
        <f>+SUMIF('LIRA ARCEO JOEL EDUARDO'!N$19:N$32,3,'LIRA ARCEO JOEL EDUARDO'!J$19:J$32)</f>
        <v>0</v>
      </c>
      <c r="I25" s="205">
        <f t="shared" si="0"/>
        <v>0</v>
      </c>
      <c r="J25" s="200">
        <f>+'LIRA ARCEO JOEL EDUARDO'!J16</f>
        <v>0</v>
      </c>
      <c r="K25" s="200" t="e">
        <f>SUM('LIRA ARCEO JOEL EDUARDO'!S19:S32)</f>
        <v>#N/A</v>
      </c>
      <c r="L25" s="165" t="e">
        <f t="shared" si="2"/>
        <v>#DIV/0!</v>
      </c>
      <c r="M25" s="359" t="e">
        <f>+AVERAGE('LIRA ARCEO JOEL EDUARDO'!M19:M32)</f>
        <v>#DIV/0!</v>
      </c>
      <c r="N25" s="126">
        <f>COUNTIF('LIRA ARCEO JOEL EDUARDO'!N$19:N$32,1)+COUNTIF('LIRA ARCEO JOEL EDUARDO'!N$19:N$32,4)+COUNTIF('LIRA ARCEO JOEL EDUARDO'!N$19:N$32,5)+COUNTIF('LIRA ARCEO JOEL EDUARDO'!N$19:N$32,6)</f>
        <v>0</v>
      </c>
      <c r="O25" s="126">
        <f>COUNTIF('LIRA ARCEO JOEL EDUARDO'!N$19:N$32,2)</f>
        <v>0</v>
      </c>
      <c r="P25" s="135">
        <f>COUNTIF('LIRA ARCEO JOEL EDUARDO'!N$19:N$32,3)</f>
        <v>0</v>
      </c>
    </row>
    <row r="26" spans="2:16" s="124" customFormat="1" ht="15.95" customHeight="1" x14ac:dyDescent="0.2">
      <c r="B26" s="134">
        <v>26</v>
      </c>
      <c r="C26" s="154" t="str">
        <f>+'ORTIZ RAMIREZ HECTOR MANUEL'!E11</f>
        <v>ORTIZ RAMIREZ HECTOR MANUEL</v>
      </c>
      <c r="D26" s="153" t="str">
        <f>+'ORTIZ RAMIREZ HECTOR MANUEL'!E12</f>
        <v>F-120</v>
      </c>
      <c r="E26" s="126">
        <f>+COUNT('ORTIZ RAMIREZ HECTOR MANUEL'!O40:O46)</f>
        <v>2</v>
      </c>
      <c r="F26" s="210">
        <f>+SUMIF('ORTIZ RAMIREZ HECTOR MANUEL'!N$19:N$32,1,'ORTIZ RAMIREZ HECTOR MANUEL'!J$19:J$32)+SUMIF('ORTIZ RAMIREZ HECTOR MANUEL'!N$19:N$32,4,'ORTIZ RAMIREZ HECTOR MANUEL'!J$19:J$32)+SUMIF('ORTIZ RAMIREZ HECTOR MANUEL'!N$19:N$32,5,'ORTIZ RAMIREZ HECTOR MANUEL'!J$19:J$32)+SUMIF('ORTIZ RAMIREZ HECTOR MANUEL'!N$19:N$32,6,'ORTIZ RAMIREZ HECTOR MANUEL'!J$19:J$32)</f>
        <v>4084</v>
      </c>
      <c r="G26" s="210">
        <f>+SUMIF('ORTIZ RAMIREZ HECTOR MANUEL'!N$19:N$32,2,'ORTIZ RAMIREZ HECTOR MANUEL'!J$19:J$32)</f>
        <v>0</v>
      </c>
      <c r="H26" s="210">
        <f>+SUMIF('ORTIZ RAMIREZ HECTOR MANUEL'!N$19:N$32,3,'ORTIZ RAMIREZ HECTOR MANUEL'!J$19:J$32)</f>
        <v>0</v>
      </c>
      <c r="I26" s="205">
        <f t="shared" si="0"/>
        <v>4084</v>
      </c>
      <c r="J26" s="200">
        <f>+'ORTIZ RAMIREZ HECTOR MANUEL'!J16</f>
        <v>1297.4000000000001</v>
      </c>
      <c r="K26" s="200">
        <f>+SUM('ORTIZ RAMIREZ HECTOR MANUEL'!S19:S32)</f>
        <v>215.1925925925924</v>
      </c>
      <c r="L26" s="165">
        <f t="shared" si="2"/>
        <v>3.1478341297980572</v>
      </c>
      <c r="M26" s="359">
        <f>+AVERAGE('ORTIZ RAMIREZ HECTOR MANUEL'!M19:M32)</f>
        <v>15043.5</v>
      </c>
      <c r="N26" s="126">
        <f>+COUNTIF('ORTIZ RAMIREZ HECTOR MANUEL'!N19:N32,1)+COUNTIF('ORTIZ RAMIREZ HECTOR MANUEL'!N19:N32,4)+COUNTIF('ORTIZ RAMIREZ HECTOR MANUEL'!N19:N32,5)+COUNTIF('ORTIZ RAMIREZ HECTOR MANUEL'!N19:N32,6)</f>
        <v>4</v>
      </c>
      <c r="O26" s="126">
        <f>+COUNTIF('ORTIZ RAMIREZ HECTOR MANUEL'!N19:N32,2)</f>
        <v>0</v>
      </c>
      <c r="P26" s="135">
        <f>+COUNTIF('ORTIZ RAMIREZ HECTOR MANUEL'!N19:N32,3)</f>
        <v>0</v>
      </c>
    </row>
    <row r="27" spans="2:16" s="124" customFormat="1" ht="15.95" customHeight="1" x14ac:dyDescent="0.2">
      <c r="B27" s="134">
        <v>27</v>
      </c>
      <c r="C27" s="154" t="str">
        <f>+'RAMIREZ BAUTISTA ADRIAN'!E11</f>
        <v>RAMIREZ BAUTISTA ADRIAN</v>
      </c>
      <c r="D27" s="153" t="str">
        <f>+'RAMIREZ BAUTISTA ADRIAN'!E12</f>
        <v>F-042</v>
      </c>
      <c r="E27" s="126">
        <f>+COUNT('RAMIREZ BAUTISTA ADRIAN'!O$40:O$46)</f>
        <v>5</v>
      </c>
      <c r="F27" s="210">
        <f>+SUMIF('RAMIREZ BAUTISTA ADRIAN'!N$19:N$32,1,'RAMIREZ BAUTISTA ADRIAN'!J$19:J$32)+SUMIF('RAMIREZ BAUTISTA ADRIAN'!N$19:N$32,4,'RAMIREZ BAUTISTA ADRIAN'!J$19:J$32)+SUMIF('RAMIREZ BAUTISTA ADRIAN'!N$19:N$32,5,'RAMIREZ BAUTISTA ADRIAN'!J$19:J$32)+SUMIF('RAMIREZ BAUTISTA ADRIAN'!N$19:N$32,6,'RAMIREZ BAUTISTA ADRIAN'!J$19:J$32)</f>
        <v>2416</v>
      </c>
      <c r="G27" s="210">
        <f>+SUMIF('RAMIREZ BAUTISTA ADRIAN'!N$19:N$32,2,'RAMIREZ BAUTISTA ADRIAN'!J$19:J$32)</f>
        <v>0</v>
      </c>
      <c r="H27" s="210">
        <f>+SUMIF('RAMIREZ BAUTISTA ADRIAN'!N$19:N$32,3,'RAMIREZ BAUTISTA ADRIAN'!J$19:J$32)</f>
        <v>750</v>
      </c>
      <c r="I27" s="205">
        <f t="shared" si="0"/>
        <v>3166</v>
      </c>
      <c r="J27" s="200">
        <f>+'RAMIREZ BAUTISTA ADRIAN'!J16</f>
        <v>893.12</v>
      </c>
      <c r="K27" s="200">
        <f>SUM('RAMIREZ BAUTISTA ADRIAN'!S19:S33)</f>
        <v>440.82567310325658</v>
      </c>
      <c r="L27" s="165">
        <f t="shared" si="2"/>
        <v>3.5448763883912577</v>
      </c>
      <c r="M27" s="359">
        <f>+AVERAGE('RAMIREZ BAUTISTA ADRIAN'!M19:M32)</f>
        <v>5995.75</v>
      </c>
      <c r="N27" s="126">
        <f>+COUNTIF('RAMIREZ BAUTISTA ADRIAN'!N19:N32,1)+COUNTIF('RAMIREZ BAUTISTA ADRIAN'!N19:N32,4)+COUNTIF('RAMIREZ BAUTISTA ADRIAN'!N19:N32,5)+COUNTIF('RAMIREZ BAUTISTA ADRIAN'!N19:N32,6)</f>
        <v>8</v>
      </c>
      <c r="O27" s="126">
        <f>+COUNTIF('RAMIREZ BAUTISTA ADRIAN'!N19:N32,2)</f>
        <v>0</v>
      </c>
      <c r="P27" s="135">
        <f>+COUNTIF('RAMIREZ BAUTISTA ADRIAN'!N19:N32,3)</f>
        <v>2</v>
      </c>
    </row>
    <row r="28" spans="2:16" s="124" customFormat="1" ht="15.95" customHeight="1" x14ac:dyDescent="0.2">
      <c r="B28" s="134">
        <v>28</v>
      </c>
      <c r="C28" s="289" t="str">
        <f>+'CARRERA REYES MARTIN SEBASTIAN'!E11</f>
        <v>CARRERA REYES MARTIN SEBASTIAN</v>
      </c>
      <c r="D28" s="291" t="str">
        <f>+'CARRERA REYES MARTIN SEBASTIAN'!E12</f>
        <v>F-011</v>
      </c>
      <c r="E28" s="230">
        <f>+COUNT('CARRERA REYES MARTIN SEBASTIAN'!O$41:O$47)</f>
        <v>0</v>
      </c>
      <c r="F28" s="231">
        <f>+SUMIF('CARRERA REYES MARTIN SEBASTIAN'!N$19:N$33,1,'CARRERA REYES MARTIN SEBASTIAN'!J$19:J$33)+SUMIF('CARRERA REYES MARTIN SEBASTIAN'!N$19:N$33,4,'CARRERA REYES MARTIN SEBASTIAN'!J$19:J$33)+SUMIF('CARRERA REYES MARTIN SEBASTIAN'!N$19:N$33,5,'CARRERA REYES MARTIN SEBASTIAN'!J$19:J$33)+SUMIF('CARRERA REYES MARTIN SEBASTIAN'!N$19:N$33,6,'CARRERA REYES MARTIN SEBASTIAN'!J$19:J$33)</f>
        <v>0</v>
      </c>
      <c r="G28" s="231">
        <f>+SUMIF('CARRERA REYES MARTIN SEBASTIAN'!N$19:N$33,2,'CARRERA REYES MARTIN SEBASTIAN'!J$19:J$33)</f>
        <v>0</v>
      </c>
      <c r="H28" s="231">
        <f>+SUMIF('CARRERA REYES MARTIN SEBASTIAN'!N$19:N$33,3,'CARRERA REYES MARTIN SEBASTIAN'!J$19:J$33)</f>
        <v>0</v>
      </c>
      <c r="I28" s="205">
        <f t="shared" si="0"/>
        <v>0</v>
      </c>
      <c r="J28" s="267">
        <f>+'CARRERA REYES MARTIN SEBASTIAN'!J16</f>
        <v>0</v>
      </c>
      <c r="K28" s="267" t="e">
        <f>SUM('CARRERA REYES MARTIN SEBASTIAN'!S19:S33)</f>
        <v>#N/A</v>
      </c>
      <c r="L28" s="165" t="e">
        <f t="shared" si="2"/>
        <v>#DIV/0!</v>
      </c>
      <c r="M28" s="360" t="e">
        <f>+AVERAGE('CARRERA REYES MARTIN SEBASTIAN'!M19:M33)</f>
        <v>#DIV/0!</v>
      </c>
      <c r="N28" s="230">
        <f>+COUNTIF('CARRERA REYES MARTIN SEBASTIAN'!N19:N33,1)+COUNTIF('CARRERA REYES MARTIN SEBASTIAN'!N19:N33,4)+COUNTIF('CARRERA REYES MARTIN SEBASTIAN'!N19:N33,5)+COUNTIF('CARRERA REYES MARTIN SEBASTIAN'!N19:N33,6)</f>
        <v>0</v>
      </c>
      <c r="O28" s="230">
        <f>+COUNTIF('CARRERA REYES MARTIN SEBASTIAN'!N19:N33,2)</f>
        <v>0</v>
      </c>
      <c r="P28" s="232">
        <f>+COUNTIF('CARRERA REYES MARTIN SEBASTIAN'!N19:N33,3)</f>
        <v>0</v>
      </c>
    </row>
    <row r="29" spans="2:16" s="124" customFormat="1" ht="15.95" customHeight="1" x14ac:dyDescent="0.2">
      <c r="B29" s="279">
        <v>29</v>
      </c>
      <c r="C29" s="229" t="str">
        <f>+'VALLES HERNANDEZ MANUEL MARCELI'!E11</f>
        <v>VALLES HERNANDEZ MANUEL MARCELINO</v>
      </c>
      <c r="D29" s="286" t="str">
        <f>+'VALLES HERNANDEZ MANUEL MARCELI'!E12</f>
        <v xml:space="preserve">F-030 </v>
      </c>
      <c r="E29" s="287">
        <f>+COUNT('VALLES HERNANDEZ MANUEL MARCELI'!O39:O45)</f>
        <v>4</v>
      </c>
      <c r="F29" s="231">
        <f>+SUMIF('VALLES HERNANDEZ MANUEL MARCELI'!N$19:N$31,1,'VALLES HERNANDEZ MANUEL MARCELI'!J$19:J$31)+SUMIF('VALLES HERNANDEZ MANUEL MARCELI'!N$19:N$31,4,'VALLES HERNANDEZ MANUEL MARCELI'!J$19:J$31)+SUMIF('VALLES HERNANDEZ MANUEL MARCELI'!N$19:N$31,5,'VALLES HERNANDEZ MANUEL MARCELI'!J$19:J$31)+SUMIF('VALLES HERNANDEZ MANUEL MARCELI'!N$19:N$31,6,'VALLES HERNANDEZ MANUEL MARCELI'!J$19:J$31)</f>
        <v>3200</v>
      </c>
      <c r="G29" s="231">
        <f>+SUMIF('VALLES HERNANDEZ MANUEL MARCELI'!N$19:N$31,2,'VALLES HERNANDEZ MANUEL MARCELI'!J$19:J$31)</f>
        <v>0</v>
      </c>
      <c r="H29" s="231">
        <f>+SUMIF('VALLES HERNANDEZ MANUEL MARCELI'!N$19:N$31,3,'VALLES HERNANDEZ MANUEL MARCELI'!J$19:J$31)</f>
        <v>0</v>
      </c>
      <c r="I29" s="205">
        <f t="shared" si="0"/>
        <v>3200</v>
      </c>
      <c r="J29" s="267">
        <f>+'VALLES HERNANDEZ MANUEL MARCELI'!J16</f>
        <v>881.90000000000009</v>
      </c>
      <c r="K29" s="267">
        <f>SUM('VALLES HERNANDEZ MANUEL MARCELI'!S19:S31)</f>
        <v>342.1001958400314</v>
      </c>
      <c r="L29" s="165">
        <f t="shared" si="2"/>
        <v>3.6285293117133457</v>
      </c>
      <c r="M29" s="360">
        <f>+AVERAGE('VALLES HERNANDEZ MANUEL MARCELI'!M19:M27)</f>
        <v>4264</v>
      </c>
      <c r="N29" s="230">
        <f>COUNTIF('VALLES HERNANDEZ MANUEL MARCELI'!N$19:N$31,1)+COUNTIF('VALLES HERNANDEZ MANUEL MARCELI'!N$19:N$31,4)+COUNTIF('VALLES HERNANDEZ MANUEL MARCELI'!N$19:N$31,5)+COUNTIF('VALLES HERNANDEZ MANUEL MARCELI'!N$19:N$31,6)</f>
        <v>8</v>
      </c>
      <c r="O29" s="230">
        <f>COUNTIF('VALLES HERNANDEZ MANUEL MARCELI'!N$19:N$31,2)</f>
        <v>0</v>
      </c>
      <c r="P29" s="232">
        <f>COUNTIF('VALLES HERNANDEZ MANUEL MARCELI'!N$19:N$31,3)</f>
        <v>0</v>
      </c>
    </row>
    <row r="30" spans="2:16" s="124" customFormat="1" ht="15.95" customHeight="1" thickBot="1" x14ac:dyDescent="0.25">
      <c r="B30" s="171">
        <v>30</v>
      </c>
      <c r="C30" s="288" t="str">
        <f>+'RODRIGUEZ FLORES BRYAN DARIO'!E11</f>
        <v>RODRIGUEZ FLORES BRYAN DARIO</v>
      </c>
      <c r="D30" s="290" t="str">
        <f>+'RODRIGUEZ FLORES BRYAN DARIO'!E12</f>
        <v>F-027</v>
      </c>
      <c r="E30" s="281">
        <f>+COUNT('RODRIGUEZ FLORES BRYAN DARIO'!O$40:O$46)</f>
        <v>4</v>
      </c>
      <c r="F30" s="211">
        <f>+SUMIF('RODRIGUEZ FLORES BRYAN DARIO'!N$19:N$32,1,'RODRIGUEZ FLORES BRYAN DARIO'!J$19:J$32)+SUMIF('RODRIGUEZ FLORES BRYAN DARIO'!N$19:N$32,4,'RODRIGUEZ FLORES BRYAN DARIO'!J$19:J$32)+SUMIF('RODRIGUEZ FLORES BRYAN DARIO'!N$19:N$32,5,'RODRIGUEZ FLORES BRYAN DARIO'!J$19:J$32)+SUMIF('RODRIGUEZ FLORES BRYAN DARIO'!N$19:N$32,6,'RODRIGUEZ FLORES BRYAN DARIO'!J$19:J$32)</f>
        <v>3000</v>
      </c>
      <c r="G30" s="211">
        <f>+SUMIF('RODRIGUEZ FLORES BRYAN DARIO'!N$19:N$32,2,'RODRIGUEZ FLORES BRYAN DARIO'!J$19:J$32)</f>
        <v>0</v>
      </c>
      <c r="H30" s="211">
        <f>+SUMIF('RODRIGUEZ FLORES BRYAN DARIO'!N$19:N$32,3,'RODRIGUEZ FLORES BRYAN DARIO'!J$19:J$32)</f>
        <v>0</v>
      </c>
      <c r="I30" s="206">
        <f t="shared" si="0"/>
        <v>3000</v>
      </c>
      <c r="J30" s="274">
        <f>+'RODRIGUEZ FLORES BRYAN DARIO'!J16</f>
        <v>967.45</v>
      </c>
      <c r="K30" s="274">
        <v>0</v>
      </c>
      <c r="L30" s="173">
        <v>0</v>
      </c>
      <c r="M30" s="361">
        <v>0</v>
      </c>
      <c r="N30" s="172">
        <f>+COUNTIF('RODRIGUEZ FLORES BRYAN DARIO'!N19:N32,1)+COUNTIF('RODRIGUEZ FLORES BRYAN DARIO'!N19:N32,4)+COUNTIF('RODRIGUEZ FLORES BRYAN DARIO'!N19:N32,5)+COUNTIF('RODRIGUEZ FLORES BRYAN DARIO'!N19:N32,6)</f>
        <v>8</v>
      </c>
      <c r="O30" s="172">
        <f>+COUNTIF('RODRIGUEZ FLORES BRYAN DARIO'!N19:N32,2)</f>
        <v>0</v>
      </c>
      <c r="P30" s="174">
        <f>+COUNTIF('RODRIGUEZ FLORES BRYAN DARIO'!N19:N32,3)</f>
        <v>0</v>
      </c>
    </row>
    <row r="31" spans="2:16" s="124" customFormat="1" ht="15.75" thickBot="1" x14ac:dyDescent="0.25">
      <c r="B31" s="683" t="s">
        <v>140</v>
      </c>
      <c r="C31" s="684"/>
      <c r="D31" s="685"/>
      <c r="E31" s="272">
        <f t="shared" ref="E31:K31" si="3">SUM(E3:E30)</f>
        <v>81</v>
      </c>
      <c r="F31" s="212">
        <f t="shared" si="3"/>
        <v>62211</v>
      </c>
      <c r="G31" s="212">
        <f t="shared" si="3"/>
        <v>2075</v>
      </c>
      <c r="H31" s="212">
        <f t="shared" si="3"/>
        <v>1875</v>
      </c>
      <c r="I31" s="207">
        <f t="shared" si="3"/>
        <v>66161</v>
      </c>
      <c r="J31" s="160">
        <f t="shared" si="3"/>
        <v>19126.59</v>
      </c>
      <c r="K31" s="160" t="e">
        <f t="shared" si="3"/>
        <v>#N/A</v>
      </c>
      <c r="L31" s="161">
        <f>I31/J31</f>
        <v>3.459111111808221</v>
      </c>
      <c r="M31" s="366" t="e">
        <f>+AVERAGE(M3:M30)</f>
        <v>#DIV/0!</v>
      </c>
      <c r="N31" s="162">
        <f>SUM(N3:N30)</f>
        <v>154</v>
      </c>
      <c r="O31" s="163">
        <f>SUM(O3:O30)</f>
        <v>6</v>
      </c>
      <c r="P31" s="164">
        <f>SUM(P3:P30)</f>
        <v>5</v>
      </c>
    </row>
    <row r="32" spans="2:16" x14ac:dyDescent="0.2">
      <c r="E32" s="175"/>
      <c r="F32" s="213"/>
      <c r="G32" s="213"/>
      <c r="H32" s="213"/>
    </row>
  </sheetData>
  <sortState xmlns:xlrd2="http://schemas.microsoft.com/office/spreadsheetml/2017/richdata2" ref="C3:P30">
    <sortCondition ref="C3:C30"/>
  </sortState>
  <mergeCells count="2">
    <mergeCell ref="B1:L1"/>
    <mergeCell ref="B31:D31"/>
  </mergeCells>
  <pageMargins left="0.7" right="0.7" top="0.75" bottom="0.75" header="0.3" footer="0.3"/>
  <pageSetup paperSize="9"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 codeName="Hoja27"/>
  <dimension ref="A1:L76"/>
  <sheetViews>
    <sheetView topLeftCell="A34" zoomScaleNormal="100" workbookViewId="0">
      <selection activeCell="A2" sqref="A2:E69"/>
    </sheetView>
  </sheetViews>
  <sheetFormatPr baseColWidth="10" defaultColWidth="9.140625" defaultRowHeight="15" x14ac:dyDescent="0.25"/>
  <cols>
    <col min="1" max="1" width="9.140625" style="140" customWidth="1"/>
    <col min="2" max="2" width="12.85546875" style="147" bestFit="1" customWidth="1"/>
    <col min="3" max="3" width="11.42578125" style="147" bestFit="1" customWidth="1"/>
    <col min="4" max="4" width="10.5703125" style="147" bestFit="1" customWidth="1"/>
    <col min="5" max="5" width="13" style="147" customWidth="1"/>
    <col min="6" max="6" width="25.140625" style="140" bestFit="1" customWidth="1"/>
    <col min="7" max="7" width="9.140625" style="140"/>
    <col min="8" max="8" width="6.85546875" style="140" customWidth="1"/>
    <col min="9" max="9" width="11.28515625" style="140" bestFit="1" customWidth="1"/>
    <col min="10" max="254" width="9.140625" style="140"/>
    <col min="255" max="255" width="10.7109375" style="140" bestFit="1" customWidth="1"/>
    <col min="256" max="256" width="10" style="140" customWidth="1"/>
    <col min="257" max="257" width="13" style="140" customWidth="1"/>
    <col min="258" max="258" width="10.85546875" style="140" customWidth="1"/>
    <col min="259" max="259" width="11.7109375" style="140" customWidth="1"/>
    <col min="260" max="260" width="9.140625" style="140"/>
    <col min="261" max="261" width="11.5703125" style="140" customWidth="1"/>
    <col min="262" max="262" width="13.85546875" style="140" customWidth="1"/>
    <col min="263" max="510" width="9.140625" style="140"/>
    <col min="511" max="511" width="10.7109375" style="140" bestFit="1" customWidth="1"/>
    <col min="512" max="512" width="10" style="140" customWidth="1"/>
    <col min="513" max="513" width="13" style="140" customWidth="1"/>
    <col min="514" max="514" width="10.85546875" style="140" customWidth="1"/>
    <col min="515" max="515" width="11.7109375" style="140" customWidth="1"/>
    <col min="516" max="516" width="9.140625" style="140"/>
    <col min="517" max="517" width="11.5703125" style="140" customWidth="1"/>
    <col min="518" max="518" width="13.85546875" style="140" customWidth="1"/>
    <col min="519" max="766" width="9.140625" style="140"/>
    <col min="767" max="767" width="10.7109375" style="140" bestFit="1" customWidth="1"/>
    <col min="768" max="768" width="10" style="140" customWidth="1"/>
    <col min="769" max="769" width="13" style="140" customWidth="1"/>
    <col min="770" max="770" width="10.85546875" style="140" customWidth="1"/>
    <col min="771" max="771" width="11.7109375" style="140" customWidth="1"/>
    <col min="772" max="772" width="9.140625" style="140"/>
    <col min="773" max="773" width="11.5703125" style="140" customWidth="1"/>
    <col min="774" max="774" width="13.85546875" style="140" customWidth="1"/>
    <col min="775" max="1022" width="9.140625" style="140"/>
    <col min="1023" max="1023" width="10.7109375" style="140" bestFit="1" customWidth="1"/>
    <col min="1024" max="1024" width="10" style="140" customWidth="1"/>
    <col min="1025" max="1025" width="13" style="140" customWidth="1"/>
    <col min="1026" max="1026" width="10.85546875" style="140" customWidth="1"/>
    <col min="1027" max="1027" width="11.7109375" style="140" customWidth="1"/>
    <col min="1028" max="1028" width="9.140625" style="140"/>
    <col min="1029" max="1029" width="11.5703125" style="140" customWidth="1"/>
    <col min="1030" max="1030" width="13.85546875" style="140" customWidth="1"/>
    <col min="1031" max="1278" width="9.140625" style="140"/>
    <col min="1279" max="1279" width="10.7109375" style="140" bestFit="1" customWidth="1"/>
    <col min="1280" max="1280" width="10" style="140" customWidth="1"/>
    <col min="1281" max="1281" width="13" style="140" customWidth="1"/>
    <col min="1282" max="1282" width="10.85546875" style="140" customWidth="1"/>
    <col min="1283" max="1283" width="11.7109375" style="140" customWidth="1"/>
    <col min="1284" max="1284" width="9.140625" style="140"/>
    <col min="1285" max="1285" width="11.5703125" style="140" customWidth="1"/>
    <col min="1286" max="1286" width="13.85546875" style="140" customWidth="1"/>
    <col min="1287" max="1534" width="9.140625" style="140"/>
    <col min="1535" max="1535" width="10.7109375" style="140" bestFit="1" customWidth="1"/>
    <col min="1536" max="1536" width="10" style="140" customWidth="1"/>
    <col min="1537" max="1537" width="13" style="140" customWidth="1"/>
    <col min="1538" max="1538" width="10.85546875" style="140" customWidth="1"/>
    <col min="1539" max="1539" width="11.7109375" style="140" customWidth="1"/>
    <col min="1540" max="1540" width="9.140625" style="140"/>
    <col min="1541" max="1541" width="11.5703125" style="140" customWidth="1"/>
    <col min="1542" max="1542" width="13.85546875" style="140" customWidth="1"/>
    <col min="1543" max="1790" width="9.140625" style="140"/>
    <col min="1791" max="1791" width="10.7109375" style="140" bestFit="1" customWidth="1"/>
    <col min="1792" max="1792" width="10" style="140" customWidth="1"/>
    <col min="1793" max="1793" width="13" style="140" customWidth="1"/>
    <col min="1794" max="1794" width="10.85546875" style="140" customWidth="1"/>
    <col min="1795" max="1795" width="11.7109375" style="140" customWidth="1"/>
    <col min="1796" max="1796" width="9.140625" style="140"/>
    <col min="1797" max="1797" width="11.5703125" style="140" customWidth="1"/>
    <col min="1798" max="1798" width="13.85546875" style="140" customWidth="1"/>
    <col min="1799" max="2046" width="9.140625" style="140"/>
    <col min="2047" max="2047" width="10.7109375" style="140" bestFit="1" customWidth="1"/>
    <col min="2048" max="2048" width="10" style="140" customWidth="1"/>
    <col min="2049" max="2049" width="13" style="140" customWidth="1"/>
    <col min="2050" max="2050" width="10.85546875" style="140" customWidth="1"/>
    <col min="2051" max="2051" width="11.7109375" style="140" customWidth="1"/>
    <col min="2052" max="2052" width="9.140625" style="140"/>
    <col min="2053" max="2053" width="11.5703125" style="140" customWidth="1"/>
    <col min="2054" max="2054" width="13.85546875" style="140" customWidth="1"/>
    <col min="2055" max="2302" width="9.140625" style="140"/>
    <col min="2303" max="2303" width="10.7109375" style="140" bestFit="1" customWidth="1"/>
    <col min="2304" max="2304" width="10" style="140" customWidth="1"/>
    <col min="2305" max="2305" width="13" style="140" customWidth="1"/>
    <col min="2306" max="2306" width="10.85546875" style="140" customWidth="1"/>
    <col min="2307" max="2307" width="11.7109375" style="140" customWidth="1"/>
    <col min="2308" max="2308" width="9.140625" style="140"/>
    <col min="2309" max="2309" width="11.5703125" style="140" customWidth="1"/>
    <col min="2310" max="2310" width="13.85546875" style="140" customWidth="1"/>
    <col min="2311" max="2558" width="9.140625" style="140"/>
    <col min="2559" max="2559" width="10.7109375" style="140" bestFit="1" customWidth="1"/>
    <col min="2560" max="2560" width="10" style="140" customWidth="1"/>
    <col min="2561" max="2561" width="13" style="140" customWidth="1"/>
    <col min="2562" max="2562" width="10.85546875" style="140" customWidth="1"/>
    <col min="2563" max="2563" width="11.7109375" style="140" customWidth="1"/>
    <col min="2564" max="2564" width="9.140625" style="140"/>
    <col min="2565" max="2565" width="11.5703125" style="140" customWidth="1"/>
    <col min="2566" max="2566" width="13.85546875" style="140" customWidth="1"/>
    <col min="2567" max="2814" width="9.140625" style="140"/>
    <col min="2815" max="2815" width="10.7109375" style="140" bestFit="1" customWidth="1"/>
    <col min="2816" max="2816" width="10" style="140" customWidth="1"/>
    <col min="2817" max="2817" width="13" style="140" customWidth="1"/>
    <col min="2818" max="2818" width="10.85546875" style="140" customWidth="1"/>
    <col min="2819" max="2819" width="11.7109375" style="140" customWidth="1"/>
    <col min="2820" max="2820" width="9.140625" style="140"/>
    <col min="2821" max="2821" width="11.5703125" style="140" customWidth="1"/>
    <col min="2822" max="2822" width="13.85546875" style="140" customWidth="1"/>
    <col min="2823" max="3070" width="9.140625" style="140"/>
    <col min="3071" max="3071" width="10.7109375" style="140" bestFit="1" customWidth="1"/>
    <col min="3072" max="3072" width="10" style="140" customWidth="1"/>
    <col min="3073" max="3073" width="13" style="140" customWidth="1"/>
    <col min="3074" max="3074" width="10.85546875" style="140" customWidth="1"/>
    <col min="3075" max="3075" width="11.7109375" style="140" customWidth="1"/>
    <col min="3076" max="3076" width="9.140625" style="140"/>
    <col min="3077" max="3077" width="11.5703125" style="140" customWidth="1"/>
    <col min="3078" max="3078" width="13.85546875" style="140" customWidth="1"/>
    <col min="3079" max="3326" width="9.140625" style="140"/>
    <col min="3327" max="3327" width="10.7109375" style="140" bestFit="1" customWidth="1"/>
    <col min="3328" max="3328" width="10" style="140" customWidth="1"/>
    <col min="3329" max="3329" width="13" style="140" customWidth="1"/>
    <col min="3330" max="3330" width="10.85546875" style="140" customWidth="1"/>
    <col min="3331" max="3331" width="11.7109375" style="140" customWidth="1"/>
    <col min="3332" max="3332" width="9.140625" style="140"/>
    <col min="3333" max="3333" width="11.5703125" style="140" customWidth="1"/>
    <col min="3334" max="3334" width="13.85546875" style="140" customWidth="1"/>
    <col min="3335" max="3582" width="9.140625" style="140"/>
    <col min="3583" max="3583" width="10.7109375" style="140" bestFit="1" customWidth="1"/>
    <col min="3584" max="3584" width="10" style="140" customWidth="1"/>
    <col min="3585" max="3585" width="13" style="140" customWidth="1"/>
    <col min="3586" max="3586" width="10.85546875" style="140" customWidth="1"/>
    <col min="3587" max="3587" width="11.7109375" style="140" customWidth="1"/>
    <col min="3588" max="3588" width="9.140625" style="140"/>
    <col min="3589" max="3589" width="11.5703125" style="140" customWidth="1"/>
    <col min="3590" max="3590" width="13.85546875" style="140" customWidth="1"/>
    <col min="3591" max="3838" width="9.140625" style="140"/>
    <col min="3839" max="3839" width="10.7109375" style="140" bestFit="1" customWidth="1"/>
    <col min="3840" max="3840" width="10" style="140" customWidth="1"/>
    <col min="3841" max="3841" width="13" style="140" customWidth="1"/>
    <col min="3842" max="3842" width="10.85546875" style="140" customWidth="1"/>
    <col min="3843" max="3843" width="11.7109375" style="140" customWidth="1"/>
    <col min="3844" max="3844" width="9.140625" style="140"/>
    <col min="3845" max="3845" width="11.5703125" style="140" customWidth="1"/>
    <col min="3846" max="3846" width="13.85546875" style="140" customWidth="1"/>
    <col min="3847" max="4094" width="9.140625" style="140"/>
    <col min="4095" max="4095" width="10.7109375" style="140" bestFit="1" customWidth="1"/>
    <col min="4096" max="4096" width="10" style="140" customWidth="1"/>
    <col min="4097" max="4097" width="13" style="140" customWidth="1"/>
    <col min="4098" max="4098" width="10.85546875" style="140" customWidth="1"/>
    <col min="4099" max="4099" width="11.7109375" style="140" customWidth="1"/>
    <col min="4100" max="4100" width="9.140625" style="140"/>
    <col min="4101" max="4101" width="11.5703125" style="140" customWidth="1"/>
    <col min="4102" max="4102" width="13.85546875" style="140" customWidth="1"/>
    <col min="4103" max="4350" width="9.140625" style="140"/>
    <col min="4351" max="4351" width="10.7109375" style="140" bestFit="1" customWidth="1"/>
    <col min="4352" max="4352" width="10" style="140" customWidth="1"/>
    <col min="4353" max="4353" width="13" style="140" customWidth="1"/>
    <col min="4354" max="4354" width="10.85546875" style="140" customWidth="1"/>
    <col min="4355" max="4355" width="11.7109375" style="140" customWidth="1"/>
    <col min="4356" max="4356" width="9.140625" style="140"/>
    <col min="4357" max="4357" width="11.5703125" style="140" customWidth="1"/>
    <col min="4358" max="4358" width="13.85546875" style="140" customWidth="1"/>
    <col min="4359" max="4606" width="9.140625" style="140"/>
    <col min="4607" max="4607" width="10.7109375" style="140" bestFit="1" customWidth="1"/>
    <col min="4608" max="4608" width="10" style="140" customWidth="1"/>
    <col min="4609" max="4609" width="13" style="140" customWidth="1"/>
    <col min="4610" max="4610" width="10.85546875" style="140" customWidth="1"/>
    <col min="4611" max="4611" width="11.7109375" style="140" customWidth="1"/>
    <col min="4612" max="4612" width="9.140625" style="140"/>
    <col min="4613" max="4613" width="11.5703125" style="140" customWidth="1"/>
    <col min="4614" max="4614" width="13.85546875" style="140" customWidth="1"/>
    <col min="4615" max="4862" width="9.140625" style="140"/>
    <col min="4863" max="4863" width="10.7109375" style="140" bestFit="1" customWidth="1"/>
    <col min="4864" max="4864" width="10" style="140" customWidth="1"/>
    <col min="4865" max="4865" width="13" style="140" customWidth="1"/>
    <col min="4866" max="4866" width="10.85546875" style="140" customWidth="1"/>
    <col min="4867" max="4867" width="11.7109375" style="140" customWidth="1"/>
    <col min="4868" max="4868" width="9.140625" style="140"/>
    <col min="4869" max="4869" width="11.5703125" style="140" customWidth="1"/>
    <col min="4870" max="4870" width="13.85546875" style="140" customWidth="1"/>
    <col min="4871" max="5118" width="9.140625" style="140"/>
    <col min="5119" max="5119" width="10.7109375" style="140" bestFit="1" customWidth="1"/>
    <col min="5120" max="5120" width="10" style="140" customWidth="1"/>
    <col min="5121" max="5121" width="13" style="140" customWidth="1"/>
    <col min="5122" max="5122" width="10.85546875" style="140" customWidth="1"/>
    <col min="5123" max="5123" width="11.7109375" style="140" customWidth="1"/>
    <col min="5124" max="5124" width="9.140625" style="140"/>
    <col min="5125" max="5125" width="11.5703125" style="140" customWidth="1"/>
    <col min="5126" max="5126" width="13.85546875" style="140" customWidth="1"/>
    <col min="5127" max="5374" width="9.140625" style="140"/>
    <col min="5375" max="5375" width="10.7109375" style="140" bestFit="1" customWidth="1"/>
    <col min="5376" max="5376" width="10" style="140" customWidth="1"/>
    <col min="5377" max="5377" width="13" style="140" customWidth="1"/>
    <col min="5378" max="5378" width="10.85546875" style="140" customWidth="1"/>
    <col min="5379" max="5379" width="11.7109375" style="140" customWidth="1"/>
    <col min="5380" max="5380" width="9.140625" style="140"/>
    <col min="5381" max="5381" width="11.5703125" style="140" customWidth="1"/>
    <col min="5382" max="5382" width="13.85546875" style="140" customWidth="1"/>
    <col min="5383" max="5630" width="9.140625" style="140"/>
    <col min="5631" max="5631" width="10.7109375" style="140" bestFit="1" customWidth="1"/>
    <col min="5632" max="5632" width="10" style="140" customWidth="1"/>
    <col min="5633" max="5633" width="13" style="140" customWidth="1"/>
    <col min="5634" max="5634" width="10.85546875" style="140" customWidth="1"/>
    <col min="5635" max="5635" width="11.7109375" style="140" customWidth="1"/>
    <col min="5636" max="5636" width="9.140625" style="140"/>
    <col min="5637" max="5637" width="11.5703125" style="140" customWidth="1"/>
    <col min="5638" max="5638" width="13.85546875" style="140" customWidth="1"/>
    <col min="5639" max="5886" width="9.140625" style="140"/>
    <col min="5887" max="5887" width="10.7109375" style="140" bestFit="1" customWidth="1"/>
    <col min="5888" max="5888" width="10" style="140" customWidth="1"/>
    <col min="5889" max="5889" width="13" style="140" customWidth="1"/>
    <col min="5890" max="5890" width="10.85546875" style="140" customWidth="1"/>
    <col min="5891" max="5891" width="11.7109375" style="140" customWidth="1"/>
    <col min="5892" max="5892" width="9.140625" style="140"/>
    <col min="5893" max="5893" width="11.5703125" style="140" customWidth="1"/>
    <col min="5894" max="5894" width="13.85546875" style="140" customWidth="1"/>
    <col min="5895" max="6142" width="9.140625" style="140"/>
    <col min="6143" max="6143" width="10.7109375" style="140" bestFit="1" customWidth="1"/>
    <col min="6144" max="6144" width="10" style="140" customWidth="1"/>
    <col min="6145" max="6145" width="13" style="140" customWidth="1"/>
    <col min="6146" max="6146" width="10.85546875" style="140" customWidth="1"/>
    <col min="6147" max="6147" width="11.7109375" style="140" customWidth="1"/>
    <col min="6148" max="6148" width="9.140625" style="140"/>
    <col min="6149" max="6149" width="11.5703125" style="140" customWidth="1"/>
    <col min="6150" max="6150" width="13.85546875" style="140" customWidth="1"/>
    <col min="6151" max="6398" width="9.140625" style="140"/>
    <col min="6399" max="6399" width="10.7109375" style="140" bestFit="1" customWidth="1"/>
    <col min="6400" max="6400" width="10" style="140" customWidth="1"/>
    <col min="6401" max="6401" width="13" style="140" customWidth="1"/>
    <col min="6402" max="6402" width="10.85546875" style="140" customWidth="1"/>
    <col min="6403" max="6403" width="11.7109375" style="140" customWidth="1"/>
    <col min="6404" max="6404" width="9.140625" style="140"/>
    <col min="6405" max="6405" width="11.5703125" style="140" customWidth="1"/>
    <col min="6406" max="6406" width="13.85546875" style="140" customWidth="1"/>
    <col min="6407" max="6654" width="9.140625" style="140"/>
    <col min="6655" max="6655" width="10.7109375" style="140" bestFit="1" customWidth="1"/>
    <col min="6656" max="6656" width="10" style="140" customWidth="1"/>
    <col min="6657" max="6657" width="13" style="140" customWidth="1"/>
    <col min="6658" max="6658" width="10.85546875" style="140" customWidth="1"/>
    <col min="6659" max="6659" width="11.7109375" style="140" customWidth="1"/>
    <col min="6660" max="6660" width="9.140625" style="140"/>
    <col min="6661" max="6661" width="11.5703125" style="140" customWidth="1"/>
    <col min="6662" max="6662" width="13.85546875" style="140" customWidth="1"/>
    <col min="6663" max="6910" width="9.140625" style="140"/>
    <col min="6911" max="6911" width="10.7109375" style="140" bestFit="1" customWidth="1"/>
    <col min="6912" max="6912" width="10" style="140" customWidth="1"/>
    <col min="6913" max="6913" width="13" style="140" customWidth="1"/>
    <col min="6914" max="6914" width="10.85546875" style="140" customWidth="1"/>
    <col min="6915" max="6915" width="11.7109375" style="140" customWidth="1"/>
    <col min="6916" max="6916" width="9.140625" style="140"/>
    <col min="6917" max="6917" width="11.5703125" style="140" customWidth="1"/>
    <col min="6918" max="6918" width="13.85546875" style="140" customWidth="1"/>
    <col min="6919" max="7166" width="9.140625" style="140"/>
    <col min="7167" max="7167" width="10.7109375" style="140" bestFit="1" customWidth="1"/>
    <col min="7168" max="7168" width="10" style="140" customWidth="1"/>
    <col min="7169" max="7169" width="13" style="140" customWidth="1"/>
    <col min="7170" max="7170" width="10.85546875" style="140" customWidth="1"/>
    <col min="7171" max="7171" width="11.7109375" style="140" customWidth="1"/>
    <col min="7172" max="7172" width="9.140625" style="140"/>
    <col min="7173" max="7173" width="11.5703125" style="140" customWidth="1"/>
    <col min="7174" max="7174" width="13.85546875" style="140" customWidth="1"/>
    <col min="7175" max="7422" width="9.140625" style="140"/>
    <col min="7423" max="7423" width="10.7109375" style="140" bestFit="1" customWidth="1"/>
    <col min="7424" max="7424" width="10" style="140" customWidth="1"/>
    <col min="7425" max="7425" width="13" style="140" customWidth="1"/>
    <col min="7426" max="7426" width="10.85546875" style="140" customWidth="1"/>
    <col min="7427" max="7427" width="11.7109375" style="140" customWidth="1"/>
    <col min="7428" max="7428" width="9.140625" style="140"/>
    <col min="7429" max="7429" width="11.5703125" style="140" customWidth="1"/>
    <col min="7430" max="7430" width="13.85546875" style="140" customWidth="1"/>
    <col min="7431" max="7678" width="9.140625" style="140"/>
    <col min="7679" max="7679" width="10.7109375" style="140" bestFit="1" customWidth="1"/>
    <col min="7680" max="7680" width="10" style="140" customWidth="1"/>
    <col min="7681" max="7681" width="13" style="140" customWidth="1"/>
    <col min="7682" max="7682" width="10.85546875" style="140" customWidth="1"/>
    <col min="7683" max="7683" width="11.7109375" style="140" customWidth="1"/>
    <col min="7684" max="7684" width="9.140625" style="140"/>
    <col min="7685" max="7685" width="11.5703125" style="140" customWidth="1"/>
    <col min="7686" max="7686" width="13.85546875" style="140" customWidth="1"/>
    <col min="7687" max="7934" width="9.140625" style="140"/>
    <col min="7935" max="7935" width="10.7109375" style="140" bestFit="1" customWidth="1"/>
    <col min="7936" max="7936" width="10" style="140" customWidth="1"/>
    <col min="7937" max="7937" width="13" style="140" customWidth="1"/>
    <col min="7938" max="7938" width="10.85546875" style="140" customWidth="1"/>
    <col min="7939" max="7939" width="11.7109375" style="140" customWidth="1"/>
    <col min="7940" max="7940" width="9.140625" style="140"/>
    <col min="7941" max="7941" width="11.5703125" style="140" customWidth="1"/>
    <col min="7942" max="7942" width="13.85546875" style="140" customWidth="1"/>
    <col min="7943" max="8190" width="9.140625" style="140"/>
    <col min="8191" max="8191" width="10.7109375" style="140" bestFit="1" customWidth="1"/>
    <col min="8192" max="8192" width="10" style="140" customWidth="1"/>
    <col min="8193" max="8193" width="13" style="140" customWidth="1"/>
    <col min="8194" max="8194" width="10.85546875" style="140" customWidth="1"/>
    <col min="8195" max="8195" width="11.7109375" style="140" customWidth="1"/>
    <col min="8196" max="8196" width="9.140625" style="140"/>
    <col min="8197" max="8197" width="11.5703125" style="140" customWidth="1"/>
    <col min="8198" max="8198" width="13.85546875" style="140" customWidth="1"/>
    <col min="8199" max="8446" width="9.140625" style="140"/>
    <col min="8447" max="8447" width="10.7109375" style="140" bestFit="1" customWidth="1"/>
    <col min="8448" max="8448" width="10" style="140" customWidth="1"/>
    <col min="8449" max="8449" width="13" style="140" customWidth="1"/>
    <col min="8450" max="8450" width="10.85546875" style="140" customWidth="1"/>
    <col min="8451" max="8451" width="11.7109375" style="140" customWidth="1"/>
    <col min="8452" max="8452" width="9.140625" style="140"/>
    <col min="8453" max="8453" width="11.5703125" style="140" customWidth="1"/>
    <col min="8454" max="8454" width="13.85546875" style="140" customWidth="1"/>
    <col min="8455" max="8702" width="9.140625" style="140"/>
    <col min="8703" max="8703" width="10.7109375" style="140" bestFit="1" customWidth="1"/>
    <col min="8704" max="8704" width="10" style="140" customWidth="1"/>
    <col min="8705" max="8705" width="13" style="140" customWidth="1"/>
    <col min="8706" max="8706" width="10.85546875" style="140" customWidth="1"/>
    <col min="8707" max="8707" width="11.7109375" style="140" customWidth="1"/>
    <col min="8708" max="8708" width="9.140625" style="140"/>
    <col min="8709" max="8709" width="11.5703125" style="140" customWidth="1"/>
    <col min="8710" max="8710" width="13.85546875" style="140" customWidth="1"/>
    <col min="8711" max="8958" width="9.140625" style="140"/>
    <col min="8959" max="8959" width="10.7109375" style="140" bestFit="1" customWidth="1"/>
    <col min="8960" max="8960" width="10" style="140" customWidth="1"/>
    <col min="8961" max="8961" width="13" style="140" customWidth="1"/>
    <col min="8962" max="8962" width="10.85546875" style="140" customWidth="1"/>
    <col min="8963" max="8963" width="11.7109375" style="140" customWidth="1"/>
    <col min="8964" max="8964" width="9.140625" style="140"/>
    <col min="8965" max="8965" width="11.5703125" style="140" customWidth="1"/>
    <col min="8966" max="8966" width="13.85546875" style="140" customWidth="1"/>
    <col min="8967" max="9214" width="9.140625" style="140"/>
    <col min="9215" max="9215" width="10.7109375" style="140" bestFit="1" customWidth="1"/>
    <col min="9216" max="9216" width="10" style="140" customWidth="1"/>
    <col min="9217" max="9217" width="13" style="140" customWidth="1"/>
    <col min="9218" max="9218" width="10.85546875" style="140" customWidth="1"/>
    <col min="9219" max="9219" width="11.7109375" style="140" customWidth="1"/>
    <col min="9220" max="9220" width="9.140625" style="140"/>
    <col min="9221" max="9221" width="11.5703125" style="140" customWidth="1"/>
    <col min="9222" max="9222" width="13.85546875" style="140" customWidth="1"/>
    <col min="9223" max="9470" width="9.140625" style="140"/>
    <col min="9471" max="9471" width="10.7109375" style="140" bestFit="1" customWidth="1"/>
    <col min="9472" max="9472" width="10" style="140" customWidth="1"/>
    <col min="9473" max="9473" width="13" style="140" customWidth="1"/>
    <col min="9474" max="9474" width="10.85546875" style="140" customWidth="1"/>
    <col min="9475" max="9475" width="11.7109375" style="140" customWidth="1"/>
    <col min="9476" max="9476" width="9.140625" style="140"/>
    <col min="9477" max="9477" width="11.5703125" style="140" customWidth="1"/>
    <col min="9478" max="9478" width="13.85546875" style="140" customWidth="1"/>
    <col min="9479" max="9726" width="9.140625" style="140"/>
    <col min="9727" max="9727" width="10.7109375" style="140" bestFit="1" customWidth="1"/>
    <col min="9728" max="9728" width="10" style="140" customWidth="1"/>
    <col min="9729" max="9729" width="13" style="140" customWidth="1"/>
    <col min="9730" max="9730" width="10.85546875" style="140" customWidth="1"/>
    <col min="9731" max="9731" width="11.7109375" style="140" customWidth="1"/>
    <col min="9732" max="9732" width="9.140625" style="140"/>
    <col min="9733" max="9733" width="11.5703125" style="140" customWidth="1"/>
    <col min="9734" max="9734" width="13.85546875" style="140" customWidth="1"/>
    <col min="9735" max="9982" width="9.140625" style="140"/>
    <col min="9983" max="9983" width="10.7109375" style="140" bestFit="1" customWidth="1"/>
    <col min="9984" max="9984" width="10" style="140" customWidth="1"/>
    <col min="9985" max="9985" width="13" style="140" customWidth="1"/>
    <col min="9986" max="9986" width="10.85546875" style="140" customWidth="1"/>
    <col min="9987" max="9987" width="11.7109375" style="140" customWidth="1"/>
    <col min="9988" max="9988" width="9.140625" style="140"/>
    <col min="9989" max="9989" width="11.5703125" style="140" customWidth="1"/>
    <col min="9990" max="9990" width="13.85546875" style="140" customWidth="1"/>
    <col min="9991" max="10238" width="9.140625" style="140"/>
    <col min="10239" max="10239" width="10.7109375" style="140" bestFit="1" customWidth="1"/>
    <col min="10240" max="10240" width="10" style="140" customWidth="1"/>
    <col min="10241" max="10241" width="13" style="140" customWidth="1"/>
    <col min="10242" max="10242" width="10.85546875" style="140" customWidth="1"/>
    <col min="10243" max="10243" width="11.7109375" style="140" customWidth="1"/>
    <col min="10244" max="10244" width="9.140625" style="140"/>
    <col min="10245" max="10245" width="11.5703125" style="140" customWidth="1"/>
    <col min="10246" max="10246" width="13.85546875" style="140" customWidth="1"/>
    <col min="10247" max="10494" width="9.140625" style="140"/>
    <col min="10495" max="10495" width="10.7109375" style="140" bestFit="1" customWidth="1"/>
    <col min="10496" max="10496" width="10" style="140" customWidth="1"/>
    <col min="10497" max="10497" width="13" style="140" customWidth="1"/>
    <col min="10498" max="10498" width="10.85546875" style="140" customWidth="1"/>
    <col min="10499" max="10499" width="11.7109375" style="140" customWidth="1"/>
    <col min="10500" max="10500" width="9.140625" style="140"/>
    <col min="10501" max="10501" width="11.5703125" style="140" customWidth="1"/>
    <col min="10502" max="10502" width="13.85546875" style="140" customWidth="1"/>
    <col min="10503" max="10750" width="9.140625" style="140"/>
    <col min="10751" max="10751" width="10.7109375" style="140" bestFit="1" customWidth="1"/>
    <col min="10752" max="10752" width="10" style="140" customWidth="1"/>
    <col min="10753" max="10753" width="13" style="140" customWidth="1"/>
    <col min="10754" max="10754" width="10.85546875" style="140" customWidth="1"/>
    <col min="10755" max="10755" width="11.7109375" style="140" customWidth="1"/>
    <col min="10756" max="10756" width="9.140625" style="140"/>
    <col min="10757" max="10757" width="11.5703125" style="140" customWidth="1"/>
    <col min="10758" max="10758" width="13.85546875" style="140" customWidth="1"/>
    <col min="10759" max="11006" width="9.140625" style="140"/>
    <col min="11007" max="11007" width="10.7109375" style="140" bestFit="1" customWidth="1"/>
    <col min="11008" max="11008" width="10" style="140" customWidth="1"/>
    <col min="11009" max="11009" width="13" style="140" customWidth="1"/>
    <col min="11010" max="11010" width="10.85546875" style="140" customWidth="1"/>
    <col min="11011" max="11011" width="11.7109375" style="140" customWidth="1"/>
    <col min="11012" max="11012" width="9.140625" style="140"/>
    <col min="11013" max="11013" width="11.5703125" style="140" customWidth="1"/>
    <col min="11014" max="11014" width="13.85546875" style="140" customWidth="1"/>
    <col min="11015" max="11262" width="9.140625" style="140"/>
    <col min="11263" max="11263" width="10.7109375" style="140" bestFit="1" customWidth="1"/>
    <col min="11264" max="11264" width="10" style="140" customWidth="1"/>
    <col min="11265" max="11265" width="13" style="140" customWidth="1"/>
    <col min="11266" max="11266" width="10.85546875" style="140" customWidth="1"/>
    <col min="11267" max="11267" width="11.7109375" style="140" customWidth="1"/>
    <col min="11268" max="11268" width="9.140625" style="140"/>
    <col min="11269" max="11269" width="11.5703125" style="140" customWidth="1"/>
    <col min="11270" max="11270" width="13.85546875" style="140" customWidth="1"/>
    <col min="11271" max="11518" width="9.140625" style="140"/>
    <col min="11519" max="11519" width="10.7109375" style="140" bestFit="1" customWidth="1"/>
    <col min="11520" max="11520" width="10" style="140" customWidth="1"/>
    <col min="11521" max="11521" width="13" style="140" customWidth="1"/>
    <col min="11522" max="11522" width="10.85546875" style="140" customWidth="1"/>
    <col min="11523" max="11523" width="11.7109375" style="140" customWidth="1"/>
    <col min="11524" max="11524" width="9.140625" style="140"/>
    <col min="11525" max="11525" width="11.5703125" style="140" customWidth="1"/>
    <col min="11526" max="11526" width="13.85546875" style="140" customWidth="1"/>
    <col min="11527" max="11774" width="9.140625" style="140"/>
    <col min="11775" max="11775" width="10.7109375" style="140" bestFit="1" customWidth="1"/>
    <col min="11776" max="11776" width="10" style="140" customWidth="1"/>
    <col min="11777" max="11777" width="13" style="140" customWidth="1"/>
    <col min="11778" max="11778" width="10.85546875" style="140" customWidth="1"/>
    <col min="11779" max="11779" width="11.7109375" style="140" customWidth="1"/>
    <col min="11780" max="11780" width="9.140625" style="140"/>
    <col min="11781" max="11781" width="11.5703125" style="140" customWidth="1"/>
    <col min="11782" max="11782" width="13.85546875" style="140" customWidth="1"/>
    <col min="11783" max="12030" width="9.140625" style="140"/>
    <col min="12031" max="12031" width="10.7109375" style="140" bestFit="1" customWidth="1"/>
    <col min="12032" max="12032" width="10" style="140" customWidth="1"/>
    <col min="12033" max="12033" width="13" style="140" customWidth="1"/>
    <col min="12034" max="12034" width="10.85546875" style="140" customWidth="1"/>
    <col min="12035" max="12035" width="11.7109375" style="140" customWidth="1"/>
    <col min="12036" max="12036" width="9.140625" style="140"/>
    <col min="12037" max="12037" width="11.5703125" style="140" customWidth="1"/>
    <col min="12038" max="12038" width="13.85546875" style="140" customWidth="1"/>
    <col min="12039" max="12286" width="9.140625" style="140"/>
    <col min="12287" max="12287" width="10.7109375" style="140" bestFit="1" customWidth="1"/>
    <col min="12288" max="12288" width="10" style="140" customWidth="1"/>
    <col min="12289" max="12289" width="13" style="140" customWidth="1"/>
    <col min="12290" max="12290" width="10.85546875" style="140" customWidth="1"/>
    <col min="12291" max="12291" width="11.7109375" style="140" customWidth="1"/>
    <col min="12292" max="12292" width="9.140625" style="140"/>
    <col min="12293" max="12293" width="11.5703125" style="140" customWidth="1"/>
    <col min="12294" max="12294" width="13.85546875" style="140" customWidth="1"/>
    <col min="12295" max="12542" width="9.140625" style="140"/>
    <col min="12543" max="12543" width="10.7109375" style="140" bestFit="1" customWidth="1"/>
    <col min="12544" max="12544" width="10" style="140" customWidth="1"/>
    <col min="12545" max="12545" width="13" style="140" customWidth="1"/>
    <col min="12546" max="12546" width="10.85546875" style="140" customWidth="1"/>
    <col min="12547" max="12547" width="11.7109375" style="140" customWidth="1"/>
    <col min="12548" max="12548" width="9.140625" style="140"/>
    <col min="12549" max="12549" width="11.5703125" style="140" customWidth="1"/>
    <col min="12550" max="12550" width="13.85546875" style="140" customWidth="1"/>
    <col min="12551" max="12798" width="9.140625" style="140"/>
    <col min="12799" max="12799" width="10.7109375" style="140" bestFit="1" customWidth="1"/>
    <col min="12800" max="12800" width="10" style="140" customWidth="1"/>
    <col min="12801" max="12801" width="13" style="140" customWidth="1"/>
    <col min="12802" max="12802" width="10.85546875" style="140" customWidth="1"/>
    <col min="12803" max="12803" width="11.7109375" style="140" customWidth="1"/>
    <col min="12804" max="12804" width="9.140625" style="140"/>
    <col min="12805" max="12805" width="11.5703125" style="140" customWidth="1"/>
    <col min="12806" max="12806" width="13.85546875" style="140" customWidth="1"/>
    <col min="12807" max="13054" width="9.140625" style="140"/>
    <col min="13055" max="13055" width="10.7109375" style="140" bestFit="1" customWidth="1"/>
    <col min="13056" max="13056" width="10" style="140" customWidth="1"/>
    <col min="13057" max="13057" width="13" style="140" customWidth="1"/>
    <col min="13058" max="13058" width="10.85546875" style="140" customWidth="1"/>
    <col min="13059" max="13059" width="11.7109375" style="140" customWidth="1"/>
    <col min="13060" max="13060" width="9.140625" style="140"/>
    <col min="13061" max="13061" width="11.5703125" style="140" customWidth="1"/>
    <col min="13062" max="13062" width="13.85546875" style="140" customWidth="1"/>
    <col min="13063" max="13310" width="9.140625" style="140"/>
    <col min="13311" max="13311" width="10.7109375" style="140" bestFit="1" customWidth="1"/>
    <col min="13312" max="13312" width="10" style="140" customWidth="1"/>
    <col min="13313" max="13313" width="13" style="140" customWidth="1"/>
    <col min="13314" max="13314" width="10.85546875" style="140" customWidth="1"/>
    <col min="13315" max="13315" width="11.7109375" style="140" customWidth="1"/>
    <col min="13316" max="13316" width="9.140625" style="140"/>
    <col min="13317" max="13317" width="11.5703125" style="140" customWidth="1"/>
    <col min="13318" max="13318" width="13.85546875" style="140" customWidth="1"/>
    <col min="13319" max="13566" width="9.140625" style="140"/>
    <col min="13567" max="13567" width="10.7109375" style="140" bestFit="1" customWidth="1"/>
    <col min="13568" max="13568" width="10" style="140" customWidth="1"/>
    <col min="13569" max="13569" width="13" style="140" customWidth="1"/>
    <col min="13570" max="13570" width="10.85546875" style="140" customWidth="1"/>
    <col min="13571" max="13571" width="11.7109375" style="140" customWidth="1"/>
    <col min="13572" max="13572" width="9.140625" style="140"/>
    <col min="13573" max="13573" width="11.5703125" style="140" customWidth="1"/>
    <col min="13574" max="13574" width="13.85546875" style="140" customWidth="1"/>
    <col min="13575" max="13822" width="9.140625" style="140"/>
    <col min="13823" max="13823" width="10.7109375" style="140" bestFit="1" customWidth="1"/>
    <col min="13824" max="13824" width="10" style="140" customWidth="1"/>
    <col min="13825" max="13825" width="13" style="140" customWidth="1"/>
    <col min="13826" max="13826" width="10.85546875" style="140" customWidth="1"/>
    <col min="13827" max="13827" width="11.7109375" style="140" customWidth="1"/>
    <col min="13828" max="13828" width="9.140625" style="140"/>
    <col min="13829" max="13829" width="11.5703125" style="140" customWidth="1"/>
    <col min="13830" max="13830" width="13.85546875" style="140" customWidth="1"/>
    <col min="13831" max="14078" width="9.140625" style="140"/>
    <col min="14079" max="14079" width="10.7109375" style="140" bestFit="1" customWidth="1"/>
    <col min="14080" max="14080" width="10" style="140" customWidth="1"/>
    <col min="14081" max="14081" width="13" style="140" customWidth="1"/>
    <col min="14082" max="14082" width="10.85546875" style="140" customWidth="1"/>
    <col min="14083" max="14083" width="11.7109375" style="140" customWidth="1"/>
    <col min="14084" max="14084" width="9.140625" style="140"/>
    <col min="14085" max="14085" width="11.5703125" style="140" customWidth="1"/>
    <col min="14086" max="14086" width="13.85546875" style="140" customWidth="1"/>
    <col min="14087" max="14334" width="9.140625" style="140"/>
    <col min="14335" max="14335" width="10.7109375" style="140" bestFit="1" customWidth="1"/>
    <col min="14336" max="14336" width="10" style="140" customWidth="1"/>
    <col min="14337" max="14337" width="13" style="140" customWidth="1"/>
    <col min="14338" max="14338" width="10.85546875" style="140" customWidth="1"/>
    <col min="14339" max="14339" width="11.7109375" style="140" customWidth="1"/>
    <col min="14340" max="14340" width="9.140625" style="140"/>
    <col min="14341" max="14341" width="11.5703125" style="140" customWidth="1"/>
    <col min="14342" max="14342" width="13.85546875" style="140" customWidth="1"/>
    <col min="14343" max="14590" width="9.140625" style="140"/>
    <col min="14591" max="14591" width="10.7109375" style="140" bestFit="1" customWidth="1"/>
    <col min="14592" max="14592" width="10" style="140" customWidth="1"/>
    <col min="14593" max="14593" width="13" style="140" customWidth="1"/>
    <col min="14594" max="14594" width="10.85546875" style="140" customWidth="1"/>
    <col min="14595" max="14595" width="11.7109375" style="140" customWidth="1"/>
    <col min="14596" max="14596" width="9.140625" style="140"/>
    <col min="14597" max="14597" width="11.5703125" style="140" customWidth="1"/>
    <col min="14598" max="14598" width="13.85546875" style="140" customWidth="1"/>
    <col min="14599" max="14846" width="9.140625" style="140"/>
    <col min="14847" max="14847" width="10.7109375" style="140" bestFit="1" customWidth="1"/>
    <col min="14848" max="14848" width="10" style="140" customWidth="1"/>
    <col min="14849" max="14849" width="13" style="140" customWidth="1"/>
    <col min="14850" max="14850" width="10.85546875" style="140" customWidth="1"/>
    <col min="14851" max="14851" width="11.7109375" style="140" customWidth="1"/>
    <col min="14852" max="14852" width="9.140625" style="140"/>
    <col min="14853" max="14853" width="11.5703125" style="140" customWidth="1"/>
    <col min="14854" max="14854" width="13.85546875" style="140" customWidth="1"/>
    <col min="14855" max="15102" width="9.140625" style="140"/>
    <col min="15103" max="15103" width="10.7109375" style="140" bestFit="1" customWidth="1"/>
    <col min="15104" max="15104" width="10" style="140" customWidth="1"/>
    <col min="15105" max="15105" width="13" style="140" customWidth="1"/>
    <col min="15106" max="15106" width="10.85546875" style="140" customWidth="1"/>
    <col min="15107" max="15107" width="11.7109375" style="140" customWidth="1"/>
    <col min="15108" max="15108" width="9.140625" style="140"/>
    <col min="15109" max="15109" width="11.5703125" style="140" customWidth="1"/>
    <col min="15110" max="15110" width="13.85546875" style="140" customWidth="1"/>
    <col min="15111" max="15358" width="9.140625" style="140"/>
    <col min="15359" max="15359" width="10.7109375" style="140" bestFit="1" customWidth="1"/>
    <col min="15360" max="15360" width="10" style="140" customWidth="1"/>
    <col min="15361" max="15361" width="13" style="140" customWidth="1"/>
    <col min="15362" max="15362" width="10.85546875" style="140" customWidth="1"/>
    <col min="15363" max="15363" width="11.7109375" style="140" customWidth="1"/>
    <col min="15364" max="15364" width="9.140625" style="140"/>
    <col min="15365" max="15365" width="11.5703125" style="140" customWidth="1"/>
    <col min="15366" max="15366" width="13.85546875" style="140" customWidth="1"/>
    <col min="15367" max="15614" width="9.140625" style="140"/>
    <col min="15615" max="15615" width="10.7109375" style="140" bestFit="1" customWidth="1"/>
    <col min="15616" max="15616" width="10" style="140" customWidth="1"/>
    <col min="15617" max="15617" width="13" style="140" customWidth="1"/>
    <col min="15618" max="15618" width="10.85546875" style="140" customWidth="1"/>
    <col min="15619" max="15619" width="11.7109375" style="140" customWidth="1"/>
    <col min="15620" max="15620" width="9.140625" style="140"/>
    <col min="15621" max="15621" width="11.5703125" style="140" customWidth="1"/>
    <col min="15622" max="15622" width="13.85546875" style="140" customWidth="1"/>
    <col min="15623" max="15870" width="9.140625" style="140"/>
    <col min="15871" max="15871" width="10.7109375" style="140" bestFit="1" customWidth="1"/>
    <col min="15872" max="15872" width="10" style="140" customWidth="1"/>
    <col min="15873" max="15873" width="13" style="140" customWidth="1"/>
    <col min="15874" max="15874" width="10.85546875" style="140" customWidth="1"/>
    <col min="15875" max="15875" width="11.7109375" style="140" customWidth="1"/>
    <col min="15876" max="15876" width="9.140625" style="140"/>
    <col min="15877" max="15877" width="11.5703125" style="140" customWidth="1"/>
    <col min="15878" max="15878" width="13.85546875" style="140" customWidth="1"/>
    <col min="15879" max="16126" width="9.140625" style="140"/>
    <col min="16127" max="16127" width="10.7109375" style="140" bestFit="1" customWidth="1"/>
    <col min="16128" max="16128" width="10" style="140" customWidth="1"/>
    <col min="16129" max="16129" width="13" style="140" customWidth="1"/>
    <col min="16130" max="16130" width="10.85546875" style="140" customWidth="1"/>
    <col min="16131" max="16131" width="11.7109375" style="140" customWidth="1"/>
    <col min="16132" max="16132" width="9.140625" style="140"/>
    <col min="16133" max="16133" width="11.5703125" style="140" customWidth="1"/>
    <col min="16134" max="16134" width="13.85546875" style="140" customWidth="1"/>
    <col min="16135" max="16384" width="9.140625" style="140"/>
  </cols>
  <sheetData>
    <row r="1" spans="1:11" x14ac:dyDescent="0.25">
      <c r="A1" s="686" t="s">
        <v>239</v>
      </c>
      <c r="B1" s="686"/>
      <c r="C1" s="686"/>
      <c r="D1" s="686"/>
      <c r="E1" s="686"/>
    </row>
    <row r="2" spans="1:11" x14ac:dyDescent="0.25">
      <c r="A2" s="141" t="s">
        <v>71</v>
      </c>
      <c r="B2" s="141" t="s">
        <v>147</v>
      </c>
      <c r="C2" s="141" t="s">
        <v>148</v>
      </c>
      <c r="D2" s="141" t="s">
        <v>149</v>
      </c>
      <c r="E2" s="141" t="s">
        <v>28</v>
      </c>
      <c r="F2" s="142" t="s">
        <v>286</v>
      </c>
    </row>
    <row r="3" spans="1:11" x14ac:dyDescent="0.25">
      <c r="A3" s="143" t="s">
        <v>55</v>
      </c>
      <c r="B3" s="144">
        <f>+SUMIF('AGUILAR ESQUIVEL CARLOS'!P$40:P$46,'KM POR UNIDAD'!A3,'AGUILAR ESQUIVEL CARLOS'!U$40:U$46)+SUMIF('AGUILAR RODRIGUEZ JORGE ALONSO'!P$40:P$46,'KM POR UNIDAD'!A3,'AGUILAR RODRIGUEZ JORGE ALONSO'!U$40:U$46)+SUMIF('REYES LARA DANTE'!P$40:P$46,'KM POR UNIDAD'!A3,'REYES LARA DANTE'!U$40:U$46)+SUMIF('RAMIREZ BAUTISTA ADRIAN'!P$40:P$46,'KM POR UNIDAD'!A3,'RAMIREZ BAUTISTA ADRIAN'!U$40:U$46)+SUMIF('FLORES BOJORQUEZ BRYAN OVED'!P$40:P$46,'KM POR UNIDAD'!A3,'FLORES BOJORQUEZ BRYAN OVED'!U$40:U$46)+SUMIF('BALDERRAMA ROBLES JORGE'!P$40:P$46,'KM POR UNIDAD'!A3,'BALDERRAMA ROBLES JORGE'!U$40:U$46)+SUMIF('BURGOS TORRES RIGOBERTO'!P$39:P$45,'KM POR UNIDAD'!A3,'BURGOS TORRES RIGOBERTO'!U$39:U$45)+SUMIF('CORDOVA URIBE JOSE  ADRIAN'!P$40:P$46,'KM POR UNIDAD'!A3,'CORDOVA URIBE JOSE  ADRIAN'!U$40:U$46)+SUMIF('GUZMAN CHAPARRO PEDRO'!P$40:P$46,'KM POR UNIDAD'!A3,'GUZMAN CHAPARRO PEDRO'!U$40:U$46)+SUMIF('HERNANDEZ LICANO JOSE LUIS'!P$40:P$46,'KM POR UNIDAD'!A3,'HERNANDEZ LICANO JOSE LUIS'!U$40:U$46)+SUMIF('CARRERA REYES MARTIN SEBASTIAN'!P$41:P$47,'KM POR UNIDAD'!A3,'CARRERA REYES MARTIN SEBASTIAN'!U$41:U$47)+SUMIF('RUIZ SAUCEDO DANIEL ALEJANDRO'!P$40:P$46,'KM POR UNIDAD'!A3,'RUIZ SAUCEDO DANIEL ALEJANDRO'!U$40:U$46)+SUMIF('MARTINEZ RAMIREZ ROSALIO'!P$40:P$46,'KM POR UNIDAD'!A3,'MARTINEZ RAMIREZ ROSALIO'!U$40:U$46)+SUMIF('BALLEZA RAMIREZ JESUS JOSE'!P$40:P$46,'KM POR UNIDAD'!A3,'BALLEZA RAMIREZ JESUS JOSE'!U$40:U$46)+SUMIF('MONTERO BURROLA LUIS'!P$38:P$44,'KM POR UNIDAD'!A3,'MONTERO BURROLA LUIS'!U$38:U$44)+SUMIF('AGUILERA CONTRERAS LUIS GERARDO'!P$41:P$47,'KM POR UNIDAD'!A3,'AGUILERA CONTRERAS LUIS GERARDO'!U$41:U$47)+SUMIF('MORALES LOPEZ DE LARA MARIANO'!P$40:P$46,'KM POR UNIDAD'!A3,'MORALES LOPEZ DE LARA MARIANO'!U$40:U$46)+SUMIF('MELENDEZ SINALOA MANUEL ARAT'!P$40:P$46,'KM POR UNIDAD'!A3,'MELENDEZ SINALOA MANUEL ARAT'!U$40:U$46)+SUMIF('MORALES LECHUGA GONZALO'!P$40:P$46,'KM POR UNIDAD'!A3,'MORALES LECHUGA GONZALO'!U$40:U$46)+SUMIF('ORONA BECERRA MAURO JOSE'!P$40:P$46,'KM POR UNIDAD'!A3,'ORONA BECERRA MAURO JOSE'!U$40:U$46)+SUMIF('VALLES HERNANDEZ MANUEL MARCELI'!P$39:P$45,'KM POR UNIDAD'!A3,'VALLES HERNANDEZ MANUEL MARCELI'!U$39:U$45)+SUMIF('ORTIZ RAMIREZ HECTOR MANUEL'!P$40:P$46,'KM POR UNIDAD'!A3,'ORTIZ RAMIREZ HECTOR MANUEL'!U$40:U$46)+SUMIF('ONTIVEROS LIRA JUAN'!P$40:P$46,'KM POR UNIDAD'!A3,'ONTIVEROS LIRA JUAN'!U$40:U$46)+SUMIF('RODRIGUEZ FLORES BRYAN DARIO'!P$40:P$46,'KM POR UNIDAD'!A3,'RODRIGUEZ FLORES BRYAN DARIO'!U$40:U$46)+SUMIF('NUÑEZ RUIZ IRVING JAVIER.'!P$42:P$48,'KM POR UNIDAD'!A3,'NUÑEZ RUIZ IRVING JAVIER.'!U$42:U$48)+SUMIF('MACHADO MAZUCA ADOLFO'!P$40:P$46,'KM POR UNIDAD'!A3,'MACHADO MAZUCA ADOLFO'!U$40:U$46)+SUMIF('LIRA ARCEO JOEL EDUARDO'!P$40:P$46,'KM POR UNIDAD'!A3,'LIRA ARCEO JOEL EDUARDO'!U$40:U$46)+SUMIF('ANCHONDO ROMERO CESAR ALEJANDRO'!P$40:P$46,'KM POR UNIDAD'!A3,'ANCHONDO ROMERO CESAR ALEJANDRO'!U$40:U$46)</f>
        <v>2250</v>
      </c>
      <c r="C3" s="150">
        <f ca="1">+SUMIF('AGUILAR ESQUIVEL CARLOS'!P$40:P$46,'KM POR UNIDAD'!A3,'AGUILAR ESQUIVEL CARLOS'!T$40:T$46)+SUMIF('AGUILAR RODRIGUEZ JORGE ALONSO'!P$40:P$46,'KM POR UNIDAD'!A3,'AGUILAR RODRIGUEZ JORGE ALONSO'!T$40:T$46)+SUMIF('REYES LARA DANTE'!P$40:P$46,'KM POR UNIDAD'!A3,'REYES LARA DANTE'!T$40:T$46)+SUMIF('RAMIREZ BAUTISTA ADRIAN'!P$40:P$46,'KM POR UNIDAD'!A3,'RAMIREZ BAUTISTA ADRIAN'!T$40:T$46)+SUMIF('FLORES BOJORQUEZ BRYAN OVED'!P$40:P$46,'KM POR UNIDAD'!A3,'FLORES BOJORQUEZ BRYAN OVED'!T$40:T$46)+SUMIF('BALDERRAMA ROBLES JORGE'!P$40:P$46,'KM POR UNIDAD'!A3,'BALDERRAMA ROBLES JORGE'!T$40:T$46)+SUMIF('BURGOS TORRES RIGOBERTO'!P$39:P$45,'KM POR UNIDAD'!A3,'BURGOS TORRES RIGOBERTO'!T$39:T$45)+SUMIF('CORDOVA URIBE JOSE  ADRIAN'!P$40:P$46,'KM POR UNIDAD'!A3,'CORDOVA URIBE JOSE  ADRIAN'!T$40:T$46)+SUMIF('GUZMAN CHAPARRO PEDRO'!P$40:P$46,'KM POR UNIDAD'!A3,'GUZMAN CHAPARRO PEDRO'!T$40:T$46)+SUMIF('HERNANDEZ LICANO JOSE LUIS'!P$40:P$46,'KM POR UNIDAD'!A3,'HERNANDEZ LICANO JOSE LUIS'!T$40:T$46)+SUMIF('CARRERA REYES MARTIN SEBASTIAN'!P$41:P$47,'KM POR UNIDAD'!A3,'CARRERA REYES MARTIN SEBASTIAN'!T$41:T$47)+SUMIF('RUIZ SAUCEDO DANIEL ALEJANDRO'!P$40:P$46,'KM POR UNIDAD'!A3,'RUIZ SAUCEDO DANIEL ALEJANDRO'!T$40:T$46)+SUMIF('MARTINEZ RAMIREZ ROSALIO'!P$40:P$46,'KM POR UNIDAD'!A3,'MARTINEZ RAMIREZ ROSALIO'!T$40:T$46)+SUMIF('BALLEZA RAMIREZ JESUS JOSE'!P$40:P$46,'KM POR UNIDAD'!A3,'BALLEZA RAMIREZ JESUS JOSE'!T$40:T$46)+SUMIF('MONTERO BURROLA LUIS'!P$38:P$44,'KM POR UNIDAD'!A3,'MONTERO BURROLA LUIS'!T$38:T$44)+SUMIF('AGUILERA CONTRERAS LUIS GERARDO'!P$41:P$47,'KM POR UNIDAD'!A3,'AGUILERA CONTRERAS LUIS GERARDO'!T$41:T$47)+SUMIF('MORALES LOPEZ DE LARA MARIANO'!P$40:P$46,'KM POR UNIDAD'!A3,'MORALES LOPEZ DE LARA MARIANO'!T$40:T$46)+SUMIF('MELENDEZ SINALOA MANUEL ARAT'!P$40:P$46,'KM POR UNIDAD'!A3,'MELENDEZ SINALOA MANUEL ARAT'!T$40:T$46)+SUMIF('MORALES LECHUGA GONZALO'!P$40:P$46,'KM POR UNIDAD'!A3,'MORALES LECHUGA GONZALO'!T$40:T$46)+SUMIF('ORONA BECERRA MAURO JOSE'!P$40:P$46,'KM POR UNIDAD'!A3,'ORONA BECERRA MAURO JOSE'!T$40:T$46)+SUMIF('VALLES HERNANDEZ MANUEL MARCELI'!P$39:P$45,'KM POR UNIDAD'!A3,'VALLES HERNANDEZ MANUEL MARCELI'!T$39:T$45)+SUMIF('ORTIZ RAMIREZ HECTOR MANUEL'!P$40:P$46,'KM POR UNIDAD'!A3,'ORTIZ RAMIREZ HECTOR MANUEL'!T$40:T$46)+SUMIF('ONTIVEROS LIRA JUAN'!P$40:P$446,'KM POR UNIDAD'!A3,'ONTIVEROS LIRA JUAN'!T$40:T$46)+SUMIF('RODRIGUEZ FLORES BRYAN DARIO'!P$40:P$46,'KM POR UNIDAD'!A3,'RODRIGUEZ FLORES BRYAN DARIO'!T$40:T$46)+SUMIF('NUÑEZ RUIZ IRVING JAVIER.'!P$42:P$48,'KM POR UNIDAD'!A3,'NUÑEZ RUIZ IRVING JAVIER.'!T$42:T$48)+SUMIF('MACHADO MAZUCA ADOLFO'!P$40:P$46,'KM POR UNIDAD'!A3,'MACHADO MAZUCA ADOLFO'!T$40:T$46)+SUMIF('LIRA ARCEO JOEL EDUARDO'!P$40:P$46,'KM POR UNIDAD'!A3,'LIRA ARCEO JOEL EDUARDO'!T$40:T$46)+SUMIF('ANCHONDO ROMERO CESAR ALEJANDRO'!P$40:P$46,'KM POR UNIDAD'!A3,'ANCHONDO ROMERO CESAR ALEJANDRO'!T$40:T$46)</f>
        <v>2100</v>
      </c>
      <c r="D3" s="150">
        <f>+SUMIF('AGUILAR ESQUIVEL CARLOS'!P$40:P$46,'KM POR UNIDAD'!A3,'AGUILAR ESQUIVEL CARLOS'!V$40:V$46)+SUMIF('AGUILAR RODRIGUEZ JORGE ALONSO'!P$40:P$46,'KM POR UNIDAD'!A3,'AGUILAR RODRIGUEZ JORGE ALONSO'!V$40:V$46)+SUMIF('REYES LARA DANTE'!P$40:P$46,'KM POR UNIDAD'!A3,'REYES LARA DANTE'!V$40:V$46)+SUMIF('RAMIREZ BAUTISTA ADRIAN'!P$40:P$46,'KM POR UNIDAD'!A3,'RAMIREZ BAUTISTA ADRIAN'!V$40:V$46)+SUMIF('FLORES BOJORQUEZ BRYAN OVED'!P$40:P$46,'KM POR UNIDAD'!A3,'FLORES BOJORQUEZ BRYAN OVED'!V$40:V$46)+SUMIF('BALDERRAMA ROBLES JORGE'!P$40:P$46,'KM POR UNIDAD'!A3,'BALDERRAMA ROBLES JORGE'!V$40:V$46)+SUMIF('BURGOS TORRES RIGOBERTO'!P$39:P$45,'KM POR UNIDAD'!A3,'BURGOS TORRES RIGOBERTO'!V$39:V$45)+SUMIF('CORDOVA URIBE JOSE  ADRIAN'!P$40:P$46,'KM POR UNIDAD'!A3,'CORDOVA URIBE JOSE  ADRIAN'!V$40:V$46)+SUMIF('GUZMAN CHAPARRO PEDRO'!P$40:P$46,'KM POR UNIDAD'!A3,'GUZMAN CHAPARRO PEDRO'!V$40:V$46)+SUMIF('HERNANDEZ LICANO JOSE LUIS'!P$40:P$46,'KM POR UNIDAD'!A3,'HERNANDEZ LICANO JOSE LUIS'!V$40:V$46)+SUMIF('CARRERA REYES MARTIN SEBASTIAN'!P$41:P$47,'KM POR UNIDAD'!A3,'CARRERA REYES MARTIN SEBASTIAN'!V$41:V$47)+SUMIF('RUIZ SAUCEDO DANIEL ALEJANDRO'!P$40:P$46,'KM POR UNIDAD'!A3,'RUIZ SAUCEDO DANIEL ALEJANDRO'!V$40:V$46)+SUMIF('MARTINEZ RAMIREZ ROSALIO'!P$40:P$46,'KM POR UNIDAD'!A3,'MARTINEZ RAMIREZ ROSALIO'!V$40:V$46)+SUMIF('BALLEZA RAMIREZ JESUS JOSE'!P$40:P$46,'KM POR UNIDAD'!A3,'BALLEZA RAMIREZ JESUS JOSE'!V$40:V$46)+SUMIF('MONTERO BURROLA LUIS'!P$38:P$44,'KM POR UNIDAD'!A3,'MONTERO BURROLA LUIS'!V$38:V$44)+SUMIF('AGUILERA CONTRERAS LUIS GERARDO'!P$41:P$47,'KM POR UNIDAD'!A3,'AGUILERA CONTRERAS LUIS GERARDO'!V$41:V$47)+SUMIF('MORALES LOPEZ DE LARA MARIANO'!P$40:P$46,'KM POR UNIDAD'!A3,'MORALES LOPEZ DE LARA MARIANO'!V$40:V$46)+SUMIF('MELENDEZ SINALOA MANUEL ARAT'!P$40:P$46,'KM POR UNIDAD'!A3,'MELENDEZ SINALOA MANUEL ARAT'!V$40:V$46)+SUMIF('MORALES LECHUGA GONZALO'!P$40:P$46,'KM POR UNIDAD'!A3,'MORALES LECHUGA GONZALO'!V$40:V$46)+SUMIF('ORONA BECERRA MAURO JOSE'!P$40:P$46,'KM POR UNIDAD'!A3,'ORONA BECERRA MAURO JOSE'!V$40:V$46)+SUMIF('VALLES HERNANDEZ MANUEL MARCELI'!P$39:P$45,'KM POR UNIDAD'!A3,'VALLES HERNANDEZ MANUEL MARCELI'!V$39:V$45)+SUMIF('ORTIZ RAMIREZ HECTOR MANUEL'!P$40:P$46,'KM POR UNIDAD'!A3,'ORTIZ RAMIREZ HECTOR MANUEL'!V$40:V$46)+SUMIF('ONTIVEROS LIRA JUAN'!P$40:P$46,'KM POR UNIDAD'!A3,'ONTIVEROS LIRA JUAN'!V$40:V$46)+SUMIF('RODRIGUEZ FLORES BRYAN DARIO'!P$40:P$46,'KM POR UNIDAD'!A3,'RODRIGUEZ FLORES BRYAN DARIO'!V$40:V$46)+SUMIF('NUÑEZ RUIZ IRVING JAVIER.'!P$42:P$48,'KM POR UNIDAD'!A3,'NUÑEZ RUIZ IRVING JAVIER.'!V$42:V$48)+SUMIF('MACHADO MAZUCA ADOLFO'!P$40:P$46,'KM POR UNIDAD'!A3,'MACHADO MAZUCA ADOLFO'!V$40:V$46)+SUMIF('LIRA ARCEO JOEL EDUARDO'!P$40:P$46,'KM POR UNIDAD'!A3,'LIRA ARCEO JOEL EDUARDO'!V$40:V$46)+SUMIF('ANCHONDO ROMERO CESAR ALEJANDRO'!P$40:P$46,'KM POR UNIDAD'!A3,'ANCHONDO ROMERO CESAR ALEJANDRO'!V$40:V$46)</f>
        <v>640.05999999999995</v>
      </c>
      <c r="E3" s="145">
        <f>IFERROR(B3/D3,0)</f>
        <v>3.5152954410524018</v>
      </c>
      <c r="F3" s="144" t="e">
        <f ca="1">+SUMIF('AGUILAR ESQUIVEL CARLOS'!T$40:T$46,'KM POR UNIDAD'!E3,'AGUILAR ESQUIVEL CARLOS'!W$40:W$46)+SUMIF('AGUILAR RODRIGUEZ JORGE ALONSO'!T$40:T$46,'KM POR UNIDAD'!E3,'AGUILAR RODRIGUEZ JORGE ALONSO'!Y$40:Y$46)+SUMIF('REYES LARA DANTE'!T$40:T$46,'KM POR UNIDAD'!E3,'REYES LARA DANTE'!Y$40:Y$46)+SUMIF('RAMIREZ BAUTISTA ADRIAN'!T$40:T$46,'KM POR UNIDAD'!E3,'RAMIREZ BAUTISTA ADRIAN'!Y$40:Y$46)+SUMIF('FLORES BOJORQUEZ BRYAN OVED'!T$40:T$46,'KM POR UNIDAD'!E3,'FLORES BOJORQUEZ BRYAN OVED'!Y$40:Y$46)+SUMIF('BALDERRAMA ROBLES JORGE'!T$40:T$46,'KM POR UNIDAD'!E3,'BALDERRAMA ROBLES JORGE'!#REF!)+SUMIF('BURGOS TORRES RIGOBERTO'!T$39:T$45,'KM POR UNIDAD'!E3,'BURGOS TORRES RIGOBERTO'!Y$39:Y$45)+SUMIF('CORDOVA URIBE JOSE  ADRIAN'!T$40:T$46,'KM POR UNIDAD'!E3,'CORDOVA URIBE JOSE  ADRIAN'!Y$40:Y$46)+SUMIF('GUZMAN CHAPARRO PEDRO'!T$40:T$46,'KM POR UNIDAD'!E3,'GUZMAN CHAPARRO PEDRO'!Y$40:Y$46)+SUMIF('HERNANDEZ LICANO JOSE LUIS'!T$40:T$46,'KM POR UNIDAD'!E3,'HERNANDEZ LICANO JOSE LUIS'!#REF!)+SUMIF('CARRERA REYES MARTIN SEBASTIAN'!T$41:T$47,'KM POR UNIDAD'!E3,'CARRERA REYES MARTIN SEBASTIAN'!Y$41:Y$47)+SUMIF('RUIZ SAUCEDO DANIEL ALEJANDRO'!T$40:T$46,'KM POR UNIDAD'!E3,'RUIZ SAUCEDO DANIEL ALEJANDRO'!Y$40:Y$46)+SUMIF('MARTINEZ RAMIREZ ROSALIO'!T$40:T$46,'KM POR UNIDAD'!E3,'MARTINEZ RAMIREZ ROSALIO'!Y$40:Y$46)+SUMIF('BALLEZA RAMIREZ JESUS JOSE'!T$40:T$46,'KM POR UNIDAD'!E3,'BALLEZA RAMIREZ JESUS JOSE'!T$176:T$180)+SUMIF('MONTERO BURROLA LUIS'!T$38:T$44,'KM POR UNIDAD'!E3,'MONTERO BURROLA LUIS'!Y$38:Y$44)+SUMIF('AGUILERA CONTRERAS LUIS GERARDO'!T$41:T$47,'KM POR UNIDAD'!E3,'AGUILERA CONTRERAS LUIS GERARDO'!Y$41:Y$47)+SUMIF('MORALES LOPEZ DE LARA MARIANO'!T$40:T$46,'KM POR UNIDAD'!E3,'MORALES LOPEZ DE LARA MARIANO'!Y$40:Y$46)+SUMIF('MELENDEZ SINALOA MANUEL ARAT'!T$40:T$46,'KM POR UNIDAD'!E3,'MELENDEZ SINALOA MANUEL ARAT'!#REF!)+SUMIF('MORALES LECHUGA GONZALO'!T$40:T$46,'KM POR UNIDAD'!E3,'MORALES LECHUGA GONZALO'!Y$40:Y$46)+SUMIF('ORONA BECERRA MAURO JOSE'!T$40:T$46,'KM POR UNIDAD'!E3,'ORONA BECERRA MAURO JOSE'!Y$40:Y$46)+SUMIF('VALLES HERNANDEZ MANUEL MARCELI'!T$39:T$45,'KM POR UNIDAD'!E3,'VALLES HERNANDEZ MANUEL MARCELI'!Y$39:Y$45)+SUMIF('ORTIZ RAMIREZ HECTOR MANUEL'!T$40:T$46,'KM POR UNIDAD'!E3,'ORTIZ RAMIREZ HECTOR MANUEL'!Y$40:Y$46)+SUMIF('ONTIVEROS LIRA JUAN'!T$40:T$46,'KM POR UNIDAD'!E3,'ONTIVEROS LIRA JUAN'!Y$40:Y$46)+SUMIF('RODRIGUEZ FLORES BRYAN DARIO'!T$40:T$46,'KM POR UNIDAD'!E3,'RODRIGUEZ FLORES BRYAN DARIO'!Y$40:Y$46)+SUMIF('NUÑEZ RUIZ IRVING JAVIER.'!T$42:T$48,'KM POR UNIDAD'!E3,'NUÑEZ RUIZ IRVING JAVIER.'!Y$42:Y$48)+SUMIF('MACHADO MAZUCA ADOLFO'!T$40:T$46,'KM POR UNIDAD'!E3,'MACHADO MAZUCA ADOLFO'!Y$40:Y$46)+SUMIF('LIRA ARCEO JOEL EDUARDO'!T$40:T$46,'KM POR UNIDAD'!E3,'LIRA ARCEO JOEL EDUARDO'!Y$41:Y$46)+SUMIF('ANCHONDO ROMERO CESAR ALEJANDRO'!T$40:T$46,'KM POR UNIDAD'!E3,'ANCHONDO ROMERO CESAR ALEJANDRO'!Y$40:Y$46)</f>
        <v>#REF!</v>
      </c>
      <c r="G3" s="146"/>
    </row>
    <row r="4" spans="1:11" x14ac:dyDescent="0.25">
      <c r="A4" s="143" t="s">
        <v>150</v>
      </c>
      <c r="B4" s="144">
        <f>+SUMIF('AGUILAR ESQUIVEL CARLOS'!P$40:P$46,'KM POR UNIDAD'!A4,'AGUILAR ESQUIVEL CARLOS'!U$40:U$46)+SUMIF('AGUILAR RODRIGUEZ JORGE ALONSO'!P$40:P$46,'KM POR UNIDAD'!A4,'AGUILAR RODRIGUEZ JORGE ALONSO'!U$40:U$46)+SUMIF('REYES LARA DANTE'!P$40:P$46,'KM POR UNIDAD'!A4,'REYES LARA DANTE'!U$40:U$46)+SUMIF('RAMIREZ BAUTISTA ADRIAN'!P$40:P$46,'KM POR UNIDAD'!A4,'RAMIREZ BAUTISTA ADRIAN'!U$40:U$46)+SUMIF('FLORES BOJORQUEZ BRYAN OVED'!P$40:P$46,'KM POR UNIDAD'!A4,'FLORES BOJORQUEZ BRYAN OVED'!U$40:U$46)+SUMIF('BALDERRAMA ROBLES JORGE'!P$40:P$46,'KM POR UNIDAD'!A4,'BALDERRAMA ROBLES JORGE'!U$40:U$46)+SUMIF('BURGOS TORRES RIGOBERTO'!P$39:P$45,'KM POR UNIDAD'!A4,'BURGOS TORRES RIGOBERTO'!U$39:U$45)+SUMIF('CORDOVA URIBE JOSE  ADRIAN'!P$40:P$46,'KM POR UNIDAD'!A4,'CORDOVA URIBE JOSE  ADRIAN'!U$40:U$46)+SUMIF('GUZMAN CHAPARRO PEDRO'!P$40:P$46,'KM POR UNIDAD'!A4,'GUZMAN CHAPARRO PEDRO'!U$40:U$46)+SUMIF('HERNANDEZ LICANO JOSE LUIS'!P$40:P$46,'KM POR UNIDAD'!A4,'HERNANDEZ LICANO JOSE LUIS'!U$40:U$46)+SUMIF('CARRERA REYES MARTIN SEBASTIAN'!P$41:P$47,'KM POR UNIDAD'!A4,'CARRERA REYES MARTIN SEBASTIAN'!U$41:U$47)+SUMIF('RUIZ SAUCEDO DANIEL ALEJANDRO'!P$40:P$46,'KM POR UNIDAD'!A4,'RUIZ SAUCEDO DANIEL ALEJANDRO'!U$40:U$46)+SUMIF('MARTINEZ RAMIREZ ROSALIO'!P$40:P$46,'KM POR UNIDAD'!A4,'MARTINEZ RAMIREZ ROSALIO'!U$40:U$46)+SUMIF('BALLEZA RAMIREZ JESUS JOSE'!P$40:P$46,'KM POR UNIDAD'!A4,'BALLEZA RAMIREZ JESUS JOSE'!U$40:U$46)+SUMIF('MONTERO BURROLA LUIS'!P$38:P$44,'KM POR UNIDAD'!A4,'MONTERO BURROLA LUIS'!U$38:U$44)+SUMIF('AGUILERA CONTRERAS LUIS GERARDO'!P$41:P$47,'KM POR UNIDAD'!A4,'AGUILERA CONTRERAS LUIS GERARDO'!U$41:U$47)+SUMIF('MORALES LOPEZ DE LARA MARIANO'!P$40:P$46,'KM POR UNIDAD'!A4,'MORALES LOPEZ DE LARA MARIANO'!U$40:U$46)+SUMIF('MELENDEZ SINALOA MANUEL ARAT'!P$40:P$46,'KM POR UNIDAD'!A4,'MELENDEZ SINALOA MANUEL ARAT'!U$40:U$46)+SUMIF('MORALES LECHUGA GONZALO'!P$40:P$46,'KM POR UNIDAD'!A4,'MORALES LECHUGA GONZALO'!U$40:U$46)+SUMIF('ORONA BECERRA MAURO JOSE'!P$40:P$46,'KM POR UNIDAD'!A4,'ORONA BECERRA MAURO JOSE'!U$40:U$46)+SUMIF('VALLES HERNANDEZ MANUEL MARCELI'!P$39:P$45,'KM POR UNIDAD'!A4,'VALLES HERNANDEZ MANUEL MARCELI'!U$39:U$45)+SUMIF('ORTIZ RAMIREZ HECTOR MANUEL'!P$40:P$46,'KM POR UNIDAD'!A4,'ORTIZ RAMIREZ HECTOR MANUEL'!U$40:U$46)+SUMIF('ONTIVEROS LIRA JUAN'!P$40:P$46,'KM POR UNIDAD'!A4,'ONTIVEROS LIRA JUAN'!U$40:U$46)+SUMIF('RODRIGUEZ FLORES BRYAN DARIO'!P$40:P$46,'KM POR UNIDAD'!A4,'RODRIGUEZ FLORES BRYAN DARIO'!U$40:U$46)+SUMIF('NUÑEZ RUIZ IRVING JAVIER.'!P$42:P$48,'KM POR UNIDAD'!A4,'NUÑEZ RUIZ IRVING JAVIER.'!U$42:U$48)+SUMIF('MACHADO MAZUCA ADOLFO'!P$40:P$46,'KM POR UNIDAD'!A4,'MACHADO MAZUCA ADOLFO'!U$40:U$46)+SUMIF('LIRA ARCEO JOEL EDUARDO'!P$40:P$46,'KM POR UNIDAD'!A4,'LIRA ARCEO JOEL EDUARDO'!U$40:U$46)+SUMIF('ANCHONDO ROMERO CESAR ALEJANDRO'!P$40:P$46,'KM POR UNIDAD'!A4,'ANCHONDO ROMERO CESAR ALEJANDRO'!U$40:U$46)</f>
        <v>0</v>
      </c>
      <c r="C4" s="150">
        <f ca="1">+SUMIF('AGUILAR ESQUIVEL CARLOS'!P$40:P$46,'KM POR UNIDAD'!A4,'AGUILAR ESQUIVEL CARLOS'!T$40:T$46)+SUMIF('AGUILAR RODRIGUEZ JORGE ALONSO'!P$40:P$46,'KM POR UNIDAD'!A4,'AGUILAR RODRIGUEZ JORGE ALONSO'!T$40:T$46)+SUMIF('REYES LARA DANTE'!P$40:P$46,'KM POR UNIDAD'!A4,'REYES LARA DANTE'!T$40:T$46)+SUMIF('RAMIREZ BAUTISTA ADRIAN'!P$40:P$46,'KM POR UNIDAD'!A4,'RAMIREZ BAUTISTA ADRIAN'!T$40:T$46)+SUMIF('FLORES BOJORQUEZ BRYAN OVED'!P$40:P$46,'KM POR UNIDAD'!A4,'FLORES BOJORQUEZ BRYAN OVED'!T$40:T$46)+SUMIF('BALDERRAMA ROBLES JORGE'!P$40:P$46,'KM POR UNIDAD'!A4,'BALDERRAMA ROBLES JORGE'!T$40:T$46)+SUMIF('BURGOS TORRES RIGOBERTO'!P$39:P$45,'KM POR UNIDAD'!A4,'BURGOS TORRES RIGOBERTO'!T$39:T$45)+SUMIF('CORDOVA URIBE JOSE  ADRIAN'!P$40:P$46,'KM POR UNIDAD'!A4,'CORDOVA URIBE JOSE  ADRIAN'!T$40:T$46)+SUMIF('GUZMAN CHAPARRO PEDRO'!P$40:P$46,'KM POR UNIDAD'!A4,'GUZMAN CHAPARRO PEDRO'!T$40:T$46)+SUMIF('HERNANDEZ LICANO JOSE LUIS'!P$40:P$46,'KM POR UNIDAD'!A4,'HERNANDEZ LICANO JOSE LUIS'!T$40:T$46)+SUMIF('CARRERA REYES MARTIN SEBASTIAN'!P$41:P$47,'KM POR UNIDAD'!A4,'CARRERA REYES MARTIN SEBASTIAN'!T$41:T$47)+SUMIF('RUIZ SAUCEDO DANIEL ALEJANDRO'!P$40:P$46,'KM POR UNIDAD'!A4,'RUIZ SAUCEDO DANIEL ALEJANDRO'!T$40:T$46)+SUMIF('MARTINEZ RAMIREZ ROSALIO'!P$40:P$46,'KM POR UNIDAD'!A4,'MARTINEZ RAMIREZ ROSALIO'!T$40:T$46)+SUMIF('BALLEZA RAMIREZ JESUS JOSE'!P$40:P$46,'KM POR UNIDAD'!A4,'BALLEZA RAMIREZ JESUS JOSE'!T$40:T$46)+SUMIF('MONTERO BURROLA LUIS'!P$38:P$44,'KM POR UNIDAD'!A4,'MONTERO BURROLA LUIS'!T$38:T$44)+SUMIF('AGUILERA CONTRERAS LUIS GERARDO'!P$41:P$47,'KM POR UNIDAD'!A4,'AGUILERA CONTRERAS LUIS GERARDO'!T$41:T$47)+SUMIF('MORALES LOPEZ DE LARA MARIANO'!P$40:P$46,'KM POR UNIDAD'!A4,'MORALES LOPEZ DE LARA MARIANO'!T$40:T$46)+SUMIF('MELENDEZ SINALOA MANUEL ARAT'!P$40:P$46,'KM POR UNIDAD'!A4,'MELENDEZ SINALOA MANUEL ARAT'!T$40:T$46)+SUMIF('MORALES LECHUGA GONZALO'!P$40:P$46,'KM POR UNIDAD'!A4,'MORALES LECHUGA GONZALO'!T$40:T$46)+SUMIF('ORONA BECERRA MAURO JOSE'!P$40:P$46,'KM POR UNIDAD'!A4,'ORONA BECERRA MAURO JOSE'!T$40:T$46)+SUMIF('VALLES HERNANDEZ MANUEL MARCELI'!P$39:P$45,'KM POR UNIDAD'!A4,'VALLES HERNANDEZ MANUEL MARCELI'!T$39:T$45)+SUMIF('ORTIZ RAMIREZ HECTOR MANUEL'!P$40:P$46,'KM POR UNIDAD'!A4,'ORTIZ RAMIREZ HECTOR MANUEL'!T$40:T$46)+SUMIF('ONTIVEROS LIRA JUAN'!P$40:P$446,'KM POR UNIDAD'!A4,'ONTIVEROS LIRA JUAN'!T$40:T$46)+SUMIF('RODRIGUEZ FLORES BRYAN DARIO'!P$40:P$46,'KM POR UNIDAD'!A4,'RODRIGUEZ FLORES BRYAN DARIO'!T$40:T$46)+SUMIF('NUÑEZ RUIZ IRVING JAVIER.'!P$42:P$48,'KM POR UNIDAD'!A4,'NUÑEZ RUIZ IRVING JAVIER.'!T$42:T$48)+SUMIF('MACHADO MAZUCA ADOLFO'!P$40:P$46,'KM POR UNIDAD'!A4,'MACHADO MAZUCA ADOLFO'!T$40:T$46)+SUMIF('LIRA ARCEO JOEL EDUARDO'!P$40:P$46,'KM POR UNIDAD'!A4,'LIRA ARCEO JOEL EDUARDO'!T$40:T$46)+SUMIF('ANCHONDO ROMERO CESAR ALEJANDRO'!P$40:P$46,'KM POR UNIDAD'!A4,'ANCHONDO ROMERO CESAR ALEJANDRO'!T$40:T$46)</f>
        <v>0</v>
      </c>
      <c r="D4" s="150">
        <f>+SUMIF('AGUILAR ESQUIVEL CARLOS'!P$40:P$46,'KM POR UNIDAD'!A4,'AGUILAR ESQUIVEL CARLOS'!V$40:V$46)+SUMIF('AGUILAR RODRIGUEZ JORGE ALONSO'!P$40:P$46,'KM POR UNIDAD'!A4,'AGUILAR RODRIGUEZ JORGE ALONSO'!V$40:V$46)+SUMIF('REYES LARA DANTE'!P$40:P$46,'KM POR UNIDAD'!A4,'REYES LARA DANTE'!V$40:V$46)+SUMIF('RAMIREZ BAUTISTA ADRIAN'!P$40:P$46,'KM POR UNIDAD'!A4,'RAMIREZ BAUTISTA ADRIAN'!V$40:V$46)+SUMIF('FLORES BOJORQUEZ BRYAN OVED'!P$40:P$46,'KM POR UNIDAD'!A4,'FLORES BOJORQUEZ BRYAN OVED'!V$40:V$46)+SUMIF('BALDERRAMA ROBLES JORGE'!P$40:P$46,'KM POR UNIDAD'!A4,'BALDERRAMA ROBLES JORGE'!V$40:V$46)+SUMIF('BURGOS TORRES RIGOBERTO'!P$39:P$45,'KM POR UNIDAD'!A4,'BURGOS TORRES RIGOBERTO'!V$39:V$45)+SUMIF('CORDOVA URIBE JOSE  ADRIAN'!P$40:P$46,'KM POR UNIDAD'!A4,'CORDOVA URIBE JOSE  ADRIAN'!V$40:V$46)+SUMIF('GUZMAN CHAPARRO PEDRO'!P$40:P$46,'KM POR UNIDAD'!A4,'GUZMAN CHAPARRO PEDRO'!V$40:V$46)+SUMIF('HERNANDEZ LICANO JOSE LUIS'!P$40:P$46,'KM POR UNIDAD'!A4,'HERNANDEZ LICANO JOSE LUIS'!V$40:V$46)+SUMIF('CARRERA REYES MARTIN SEBASTIAN'!P$41:P$47,'KM POR UNIDAD'!A4,'CARRERA REYES MARTIN SEBASTIAN'!V$41:V$47)+SUMIF('RUIZ SAUCEDO DANIEL ALEJANDRO'!P$40:P$46,'KM POR UNIDAD'!A4,'RUIZ SAUCEDO DANIEL ALEJANDRO'!V$40:V$46)+SUMIF('MARTINEZ RAMIREZ ROSALIO'!P$40:P$46,'KM POR UNIDAD'!A4,'MARTINEZ RAMIREZ ROSALIO'!V$40:V$46)+SUMIF('BALLEZA RAMIREZ JESUS JOSE'!P$40:P$46,'KM POR UNIDAD'!A4,'BALLEZA RAMIREZ JESUS JOSE'!V$40:V$46)+SUMIF('MONTERO BURROLA LUIS'!P$38:P$44,'KM POR UNIDAD'!A4,'MONTERO BURROLA LUIS'!V$38:V$44)+SUMIF('AGUILERA CONTRERAS LUIS GERARDO'!P$41:P$47,'KM POR UNIDAD'!A4,'AGUILERA CONTRERAS LUIS GERARDO'!V$41:V$47)+SUMIF('MORALES LOPEZ DE LARA MARIANO'!P$40:P$46,'KM POR UNIDAD'!A4,'MORALES LOPEZ DE LARA MARIANO'!V$40:V$46)+SUMIF('MELENDEZ SINALOA MANUEL ARAT'!P$40:P$46,'KM POR UNIDAD'!A4,'MELENDEZ SINALOA MANUEL ARAT'!V$40:V$46)+SUMIF('MORALES LECHUGA GONZALO'!P$40:P$46,'KM POR UNIDAD'!A4,'MORALES LECHUGA GONZALO'!V$40:V$46)+SUMIF('ORONA BECERRA MAURO JOSE'!P$40:P$46,'KM POR UNIDAD'!A4,'ORONA BECERRA MAURO JOSE'!V$40:V$46)+SUMIF('VALLES HERNANDEZ MANUEL MARCELI'!P$39:P$45,'KM POR UNIDAD'!A4,'VALLES HERNANDEZ MANUEL MARCELI'!V$39:V$45)+SUMIF('ORTIZ RAMIREZ HECTOR MANUEL'!P$40:P$46,'KM POR UNIDAD'!A4,'ORTIZ RAMIREZ HECTOR MANUEL'!V$40:V$46)+SUMIF('ONTIVEROS LIRA JUAN'!P$40:P$46,'KM POR UNIDAD'!A4,'ONTIVEROS LIRA JUAN'!V$40:V$46)+SUMIF('RODRIGUEZ FLORES BRYAN DARIO'!P$40:P$46,'KM POR UNIDAD'!A4,'RODRIGUEZ FLORES BRYAN DARIO'!V$40:V$46)+SUMIF('NUÑEZ RUIZ IRVING JAVIER.'!P$42:P$48,'KM POR UNIDAD'!A4,'NUÑEZ RUIZ IRVING JAVIER.'!V$42:V$48)+SUMIF('MACHADO MAZUCA ADOLFO'!P$40:P$46,'KM POR UNIDAD'!A4,'MACHADO MAZUCA ADOLFO'!V$40:V$46)+SUMIF('LIRA ARCEO JOEL EDUARDO'!P$40:P$46,'KM POR UNIDAD'!A4,'LIRA ARCEO JOEL EDUARDO'!V$40:V$46)+SUMIF('ANCHONDO ROMERO CESAR ALEJANDRO'!P$40:P$46,'KM POR UNIDAD'!A4,'ANCHONDO ROMERO CESAR ALEJANDRO'!V$40:V$46)</f>
        <v>0</v>
      </c>
      <c r="E4" s="145">
        <f t="shared" ref="E4:E69" si="0">IFERROR(B4/D4,0)</f>
        <v>0</v>
      </c>
      <c r="F4" s="144" t="e">
        <f ca="1">+SUMIF('AGUILAR ESQUIVEL CARLOS'!T$40:T$46,'KM POR UNIDAD'!E4,'AGUILAR ESQUIVEL CARLOS'!W$40:W$46)+SUMIF('AGUILAR RODRIGUEZ JORGE ALONSO'!T$40:T$46,'KM POR UNIDAD'!E4,'AGUILAR RODRIGUEZ JORGE ALONSO'!Y$40:Y$46)+SUMIF('REYES LARA DANTE'!T$40:T$46,'KM POR UNIDAD'!E4,'REYES LARA DANTE'!Y$40:Y$46)+SUMIF('RAMIREZ BAUTISTA ADRIAN'!T$40:T$46,'KM POR UNIDAD'!E4,'RAMIREZ BAUTISTA ADRIAN'!Y$40:Y$46)+SUMIF('FLORES BOJORQUEZ BRYAN OVED'!T$40:T$46,'KM POR UNIDAD'!E4,'FLORES BOJORQUEZ BRYAN OVED'!Y$40:Y$46)+SUMIF('BALDERRAMA ROBLES JORGE'!T$40:T$46,'KM POR UNIDAD'!E4,'BALDERRAMA ROBLES JORGE'!#REF!)+SUMIF('BURGOS TORRES RIGOBERTO'!T$39:T$45,'KM POR UNIDAD'!E4,'BURGOS TORRES RIGOBERTO'!Y$39:Y$45)+SUMIF('CORDOVA URIBE JOSE  ADRIAN'!T$40:T$46,'KM POR UNIDAD'!E4,'CORDOVA URIBE JOSE  ADRIAN'!Y$40:Y$46)+SUMIF('GUZMAN CHAPARRO PEDRO'!T$40:T$46,'KM POR UNIDAD'!E4,'GUZMAN CHAPARRO PEDRO'!Y$40:Y$46)+SUMIF('HERNANDEZ LICANO JOSE LUIS'!T$40:T$46,'KM POR UNIDAD'!E4,'HERNANDEZ LICANO JOSE LUIS'!#REF!)+SUMIF('CARRERA REYES MARTIN SEBASTIAN'!T$41:T$47,'KM POR UNIDAD'!E4,'CARRERA REYES MARTIN SEBASTIAN'!Y$41:Y$47)+SUMIF('RUIZ SAUCEDO DANIEL ALEJANDRO'!T$40:T$46,'KM POR UNIDAD'!E4,'RUIZ SAUCEDO DANIEL ALEJANDRO'!Y$40:Y$46)+SUMIF('MARTINEZ RAMIREZ ROSALIO'!T$40:T$46,'KM POR UNIDAD'!E4,'MARTINEZ RAMIREZ ROSALIO'!Y$40:Y$46)+SUMIF('BALLEZA RAMIREZ JESUS JOSE'!T$40:T$46,'KM POR UNIDAD'!E4,'BALLEZA RAMIREZ JESUS JOSE'!T$176:T$180)+SUMIF('MONTERO BURROLA LUIS'!T$38:T$44,'KM POR UNIDAD'!E4,'MONTERO BURROLA LUIS'!Y$38:Y$44)+SUMIF('AGUILERA CONTRERAS LUIS GERARDO'!T$41:T$47,'KM POR UNIDAD'!E4,'AGUILERA CONTRERAS LUIS GERARDO'!Y$41:Y$47)+SUMIF('MORALES LOPEZ DE LARA MARIANO'!T$40:T$46,'KM POR UNIDAD'!E4,'MORALES LOPEZ DE LARA MARIANO'!Y$40:Y$46)+SUMIF('MELENDEZ SINALOA MANUEL ARAT'!T$40:T$46,'KM POR UNIDAD'!E4,'MELENDEZ SINALOA MANUEL ARAT'!#REF!)+SUMIF('MORALES LECHUGA GONZALO'!T$40:T$46,'KM POR UNIDAD'!E4,'MORALES LECHUGA GONZALO'!Y$40:Y$46)+SUMIF('ORONA BECERRA MAURO JOSE'!T$40:T$46,'KM POR UNIDAD'!E4,'ORONA BECERRA MAURO JOSE'!Y$40:Y$46)+SUMIF('VALLES HERNANDEZ MANUEL MARCELI'!T$39:T$45,'KM POR UNIDAD'!E4,'VALLES HERNANDEZ MANUEL MARCELI'!Y$39:Y$45)+SUMIF('ORTIZ RAMIREZ HECTOR MANUEL'!T$40:T$46,'KM POR UNIDAD'!E4,'ORTIZ RAMIREZ HECTOR MANUEL'!Y$40:Y$46)+SUMIF('ONTIVEROS LIRA JUAN'!T$40:T$46,'KM POR UNIDAD'!E4,'ONTIVEROS LIRA JUAN'!Y$40:Y$46)+SUMIF('RODRIGUEZ FLORES BRYAN DARIO'!T$40:T$46,'KM POR UNIDAD'!E4,'RODRIGUEZ FLORES BRYAN DARIO'!Y$40:Y$46)+SUMIF('NUÑEZ RUIZ IRVING JAVIER.'!T$42:T$48,'KM POR UNIDAD'!E4,'NUÑEZ RUIZ IRVING JAVIER.'!Y$42:Y$48)+SUMIF('MACHADO MAZUCA ADOLFO'!T$40:T$46,'KM POR UNIDAD'!E4,'MACHADO MAZUCA ADOLFO'!Y$40:Y$46)+SUMIF('LIRA ARCEO JOEL EDUARDO'!T$40:T$46,'KM POR UNIDAD'!E4,'LIRA ARCEO JOEL EDUARDO'!Y$41:Y$46)+SUMIF('ANCHONDO ROMERO CESAR ALEJANDRO'!T$40:T$46,'KM POR UNIDAD'!E4,'ANCHONDO ROMERO CESAR ALEJANDRO'!Y$40:Y$46)</f>
        <v>#REF!</v>
      </c>
      <c r="G4" s="146"/>
    </row>
    <row r="5" spans="1:11" x14ac:dyDescent="0.25">
      <c r="A5" s="143" t="s">
        <v>57</v>
      </c>
      <c r="B5" s="144">
        <f>+SUMIF('AGUILAR ESQUIVEL CARLOS'!P$40:P$46,'KM POR UNIDAD'!A5,'AGUILAR ESQUIVEL CARLOS'!U$40:U$46)+SUMIF('AGUILAR RODRIGUEZ JORGE ALONSO'!P$40:P$46,'KM POR UNIDAD'!A5,'AGUILAR RODRIGUEZ JORGE ALONSO'!U$40:U$46)+SUMIF('REYES LARA DANTE'!P$40:P$46,'KM POR UNIDAD'!A5,'REYES LARA DANTE'!U$40:U$46)+SUMIF('RAMIREZ BAUTISTA ADRIAN'!P$40:P$46,'KM POR UNIDAD'!A5,'RAMIREZ BAUTISTA ADRIAN'!U$40:U$46)+SUMIF('FLORES BOJORQUEZ BRYAN OVED'!P$40:P$46,'KM POR UNIDAD'!A5,'FLORES BOJORQUEZ BRYAN OVED'!U$40:U$46)+SUMIF('BALDERRAMA ROBLES JORGE'!P$40:P$46,'KM POR UNIDAD'!A5,'BALDERRAMA ROBLES JORGE'!U$40:U$46)+SUMIF('BURGOS TORRES RIGOBERTO'!P$39:P$45,'KM POR UNIDAD'!A5,'BURGOS TORRES RIGOBERTO'!U$39:U$45)+SUMIF('CORDOVA URIBE JOSE  ADRIAN'!P$40:P$46,'KM POR UNIDAD'!A5,'CORDOVA URIBE JOSE  ADRIAN'!U$40:U$46)+SUMIF('GUZMAN CHAPARRO PEDRO'!P$40:P$46,'KM POR UNIDAD'!A5,'GUZMAN CHAPARRO PEDRO'!U$40:U$46)+SUMIF('HERNANDEZ LICANO JOSE LUIS'!P$40:P$46,'KM POR UNIDAD'!A5,'HERNANDEZ LICANO JOSE LUIS'!U$40:U$46)+SUMIF('CARRERA REYES MARTIN SEBASTIAN'!P$41:P$47,'KM POR UNIDAD'!A5,'CARRERA REYES MARTIN SEBASTIAN'!U$41:U$47)+SUMIF('RUIZ SAUCEDO DANIEL ALEJANDRO'!P$40:P$46,'KM POR UNIDAD'!A5,'RUIZ SAUCEDO DANIEL ALEJANDRO'!U$40:U$46)+SUMIF('MARTINEZ RAMIREZ ROSALIO'!P$40:P$46,'KM POR UNIDAD'!A5,'MARTINEZ RAMIREZ ROSALIO'!U$40:U$46)+SUMIF('BALLEZA RAMIREZ JESUS JOSE'!P$40:P$46,'KM POR UNIDAD'!A5,'BALLEZA RAMIREZ JESUS JOSE'!U$40:U$46)+SUMIF('MONTERO BURROLA LUIS'!P$38:P$44,'KM POR UNIDAD'!A5,'MONTERO BURROLA LUIS'!U$38:U$44)+SUMIF('AGUILERA CONTRERAS LUIS GERARDO'!P$41:P$47,'KM POR UNIDAD'!A5,'AGUILERA CONTRERAS LUIS GERARDO'!U$41:U$47)+SUMIF('MORALES LOPEZ DE LARA MARIANO'!P$40:P$46,'KM POR UNIDAD'!A5,'MORALES LOPEZ DE LARA MARIANO'!U$40:U$46)+SUMIF('MELENDEZ SINALOA MANUEL ARAT'!P$40:P$46,'KM POR UNIDAD'!A5,'MELENDEZ SINALOA MANUEL ARAT'!U$40:U$46)+SUMIF('MORALES LECHUGA GONZALO'!P$40:P$46,'KM POR UNIDAD'!A5,'MORALES LECHUGA GONZALO'!U$40:U$46)+SUMIF('ORONA BECERRA MAURO JOSE'!P$40:P$46,'KM POR UNIDAD'!A5,'ORONA BECERRA MAURO JOSE'!U$40:U$46)+SUMIF('VALLES HERNANDEZ MANUEL MARCELI'!P$39:P$45,'KM POR UNIDAD'!A5,'VALLES HERNANDEZ MANUEL MARCELI'!U$39:U$45)+SUMIF('ORTIZ RAMIREZ HECTOR MANUEL'!P$40:P$46,'KM POR UNIDAD'!A5,'ORTIZ RAMIREZ HECTOR MANUEL'!U$40:U$46)+SUMIF('ONTIVEROS LIRA JUAN'!P$40:P$46,'KM POR UNIDAD'!A5,'ONTIVEROS LIRA JUAN'!U$40:U$46)+SUMIF('RODRIGUEZ FLORES BRYAN DARIO'!P$40:P$46,'KM POR UNIDAD'!A5,'RODRIGUEZ FLORES BRYAN DARIO'!U$40:U$46)+SUMIF('NUÑEZ RUIZ IRVING JAVIER.'!P$42:P$48,'KM POR UNIDAD'!A5,'NUÑEZ RUIZ IRVING JAVIER.'!U$42:U$48)+SUMIF('MACHADO MAZUCA ADOLFO'!P$40:P$46,'KM POR UNIDAD'!A5,'MACHADO MAZUCA ADOLFO'!U$40:U$46)+SUMIF('LIRA ARCEO JOEL EDUARDO'!P$40:P$46,'KM POR UNIDAD'!A5,'LIRA ARCEO JOEL EDUARDO'!U$40:U$46)+SUMIF('ANCHONDO ROMERO CESAR ALEJANDRO'!P$40:P$46,'KM POR UNIDAD'!A5,'ANCHONDO ROMERO CESAR ALEJANDRO'!U$40:U$46)</f>
        <v>0</v>
      </c>
      <c r="C5" s="150">
        <f ca="1">+SUMIF('AGUILAR ESQUIVEL CARLOS'!P$40:P$46,'KM POR UNIDAD'!A5,'AGUILAR ESQUIVEL CARLOS'!T$40:T$46)+SUMIF('AGUILAR RODRIGUEZ JORGE ALONSO'!P$40:P$46,'KM POR UNIDAD'!A5,'AGUILAR RODRIGUEZ JORGE ALONSO'!T$40:T$46)+SUMIF('REYES LARA DANTE'!P$40:P$46,'KM POR UNIDAD'!A5,'REYES LARA DANTE'!T$40:T$46)+SUMIF('RAMIREZ BAUTISTA ADRIAN'!P$40:P$46,'KM POR UNIDAD'!A5,'RAMIREZ BAUTISTA ADRIAN'!T$40:T$46)+SUMIF('FLORES BOJORQUEZ BRYAN OVED'!P$40:P$46,'KM POR UNIDAD'!A5,'FLORES BOJORQUEZ BRYAN OVED'!T$40:T$46)+SUMIF('BALDERRAMA ROBLES JORGE'!P$40:P$46,'KM POR UNIDAD'!A5,'BALDERRAMA ROBLES JORGE'!T$40:T$46)+SUMIF('BURGOS TORRES RIGOBERTO'!P$39:P$45,'KM POR UNIDAD'!A5,'BURGOS TORRES RIGOBERTO'!T$39:T$45)+SUMIF('CORDOVA URIBE JOSE  ADRIAN'!P$40:P$46,'KM POR UNIDAD'!A5,'CORDOVA URIBE JOSE  ADRIAN'!T$40:T$46)+SUMIF('GUZMAN CHAPARRO PEDRO'!P$40:P$46,'KM POR UNIDAD'!A5,'GUZMAN CHAPARRO PEDRO'!T$40:T$46)+SUMIF('HERNANDEZ LICANO JOSE LUIS'!P$40:P$46,'KM POR UNIDAD'!A5,'HERNANDEZ LICANO JOSE LUIS'!T$40:T$46)+SUMIF('CARRERA REYES MARTIN SEBASTIAN'!P$41:P$47,'KM POR UNIDAD'!A5,'CARRERA REYES MARTIN SEBASTIAN'!T$41:T$47)+SUMIF('RUIZ SAUCEDO DANIEL ALEJANDRO'!P$40:P$46,'KM POR UNIDAD'!A5,'RUIZ SAUCEDO DANIEL ALEJANDRO'!T$40:T$46)+SUMIF('MARTINEZ RAMIREZ ROSALIO'!P$40:P$46,'KM POR UNIDAD'!A5,'MARTINEZ RAMIREZ ROSALIO'!T$40:T$46)+SUMIF('BALLEZA RAMIREZ JESUS JOSE'!P$40:P$46,'KM POR UNIDAD'!A5,'BALLEZA RAMIREZ JESUS JOSE'!T$40:T$46)+SUMIF('MONTERO BURROLA LUIS'!P$38:P$44,'KM POR UNIDAD'!A5,'MONTERO BURROLA LUIS'!T$38:T$44)+SUMIF('AGUILERA CONTRERAS LUIS GERARDO'!P$41:P$47,'KM POR UNIDAD'!A5,'AGUILERA CONTRERAS LUIS GERARDO'!T$41:T$47)+SUMIF('MORALES LOPEZ DE LARA MARIANO'!P$40:P$46,'KM POR UNIDAD'!A5,'MORALES LOPEZ DE LARA MARIANO'!T$40:T$46)+SUMIF('MELENDEZ SINALOA MANUEL ARAT'!P$40:P$46,'KM POR UNIDAD'!A5,'MELENDEZ SINALOA MANUEL ARAT'!T$40:T$46)+SUMIF('MORALES LECHUGA GONZALO'!P$40:P$46,'KM POR UNIDAD'!A5,'MORALES LECHUGA GONZALO'!T$40:T$46)+SUMIF('ORONA BECERRA MAURO JOSE'!P$40:P$46,'KM POR UNIDAD'!A5,'ORONA BECERRA MAURO JOSE'!T$40:T$46)+SUMIF('VALLES HERNANDEZ MANUEL MARCELI'!P$39:P$45,'KM POR UNIDAD'!A5,'VALLES HERNANDEZ MANUEL MARCELI'!T$39:T$45)+SUMIF('ORTIZ RAMIREZ HECTOR MANUEL'!P$40:P$46,'KM POR UNIDAD'!A5,'ORTIZ RAMIREZ HECTOR MANUEL'!T$40:T$46)+SUMIF('ONTIVEROS LIRA JUAN'!P$40:P$446,'KM POR UNIDAD'!A5,'ONTIVEROS LIRA JUAN'!T$40:T$46)+SUMIF('RODRIGUEZ FLORES BRYAN DARIO'!P$40:P$46,'KM POR UNIDAD'!A5,'RODRIGUEZ FLORES BRYAN DARIO'!T$40:T$46)+SUMIF('NUÑEZ RUIZ IRVING JAVIER.'!P$42:P$48,'KM POR UNIDAD'!A5,'NUÑEZ RUIZ IRVING JAVIER.'!T$42:T$48)+SUMIF('MACHADO MAZUCA ADOLFO'!P$40:P$46,'KM POR UNIDAD'!A5,'MACHADO MAZUCA ADOLFO'!T$40:T$46)+SUMIF('LIRA ARCEO JOEL EDUARDO'!P$40:P$46,'KM POR UNIDAD'!A5,'LIRA ARCEO JOEL EDUARDO'!T$40:T$46)+SUMIF('ANCHONDO ROMERO CESAR ALEJANDRO'!P$40:P$46,'KM POR UNIDAD'!A5,'ANCHONDO ROMERO CESAR ALEJANDRO'!T$40:T$46)</f>
        <v>0</v>
      </c>
      <c r="D5" s="150">
        <f>+SUMIF('AGUILAR ESQUIVEL CARLOS'!P$40:P$46,'KM POR UNIDAD'!A5,'AGUILAR ESQUIVEL CARLOS'!V$40:V$46)+SUMIF('AGUILAR RODRIGUEZ JORGE ALONSO'!P$40:P$46,'KM POR UNIDAD'!A5,'AGUILAR RODRIGUEZ JORGE ALONSO'!V$40:V$46)+SUMIF('REYES LARA DANTE'!P$40:P$46,'KM POR UNIDAD'!A5,'REYES LARA DANTE'!V$40:V$46)+SUMIF('RAMIREZ BAUTISTA ADRIAN'!P$40:P$46,'KM POR UNIDAD'!A5,'RAMIREZ BAUTISTA ADRIAN'!V$40:V$46)+SUMIF('FLORES BOJORQUEZ BRYAN OVED'!P$40:P$46,'KM POR UNIDAD'!A5,'FLORES BOJORQUEZ BRYAN OVED'!V$40:V$46)+SUMIF('BALDERRAMA ROBLES JORGE'!P$40:P$46,'KM POR UNIDAD'!A5,'BALDERRAMA ROBLES JORGE'!V$40:V$46)+SUMIF('BURGOS TORRES RIGOBERTO'!P$39:P$45,'KM POR UNIDAD'!A5,'BURGOS TORRES RIGOBERTO'!V$39:V$45)+SUMIF('CORDOVA URIBE JOSE  ADRIAN'!P$40:P$46,'KM POR UNIDAD'!A5,'CORDOVA URIBE JOSE  ADRIAN'!V$40:V$46)+SUMIF('GUZMAN CHAPARRO PEDRO'!P$40:P$46,'KM POR UNIDAD'!A5,'GUZMAN CHAPARRO PEDRO'!V$40:V$46)+SUMIF('HERNANDEZ LICANO JOSE LUIS'!P$40:P$46,'KM POR UNIDAD'!A5,'HERNANDEZ LICANO JOSE LUIS'!V$40:V$46)+SUMIF('CARRERA REYES MARTIN SEBASTIAN'!P$41:P$47,'KM POR UNIDAD'!A5,'CARRERA REYES MARTIN SEBASTIAN'!V$41:V$47)+SUMIF('RUIZ SAUCEDO DANIEL ALEJANDRO'!P$40:P$46,'KM POR UNIDAD'!A5,'RUIZ SAUCEDO DANIEL ALEJANDRO'!V$40:V$46)+SUMIF('MARTINEZ RAMIREZ ROSALIO'!P$40:P$46,'KM POR UNIDAD'!A5,'MARTINEZ RAMIREZ ROSALIO'!V$40:V$46)+SUMIF('BALLEZA RAMIREZ JESUS JOSE'!P$40:P$46,'KM POR UNIDAD'!A5,'BALLEZA RAMIREZ JESUS JOSE'!V$40:V$46)+SUMIF('MONTERO BURROLA LUIS'!P$38:P$44,'KM POR UNIDAD'!A5,'MONTERO BURROLA LUIS'!V$38:V$44)+SUMIF('AGUILERA CONTRERAS LUIS GERARDO'!P$41:P$47,'KM POR UNIDAD'!A5,'AGUILERA CONTRERAS LUIS GERARDO'!V$41:V$47)+SUMIF('MORALES LOPEZ DE LARA MARIANO'!P$40:P$46,'KM POR UNIDAD'!A5,'MORALES LOPEZ DE LARA MARIANO'!V$40:V$46)+SUMIF('MELENDEZ SINALOA MANUEL ARAT'!P$40:P$46,'KM POR UNIDAD'!A5,'MELENDEZ SINALOA MANUEL ARAT'!V$40:V$46)+SUMIF('MORALES LECHUGA GONZALO'!P$40:P$46,'KM POR UNIDAD'!A5,'MORALES LECHUGA GONZALO'!V$40:V$46)+SUMIF('ORONA BECERRA MAURO JOSE'!P$40:P$46,'KM POR UNIDAD'!A5,'ORONA BECERRA MAURO JOSE'!V$40:V$46)+SUMIF('VALLES HERNANDEZ MANUEL MARCELI'!P$39:P$45,'KM POR UNIDAD'!A5,'VALLES HERNANDEZ MANUEL MARCELI'!V$39:V$45)+SUMIF('ORTIZ RAMIREZ HECTOR MANUEL'!P$40:P$46,'KM POR UNIDAD'!A5,'ORTIZ RAMIREZ HECTOR MANUEL'!V$40:V$46)+SUMIF('ONTIVEROS LIRA JUAN'!P$40:P$46,'KM POR UNIDAD'!A5,'ONTIVEROS LIRA JUAN'!V$40:V$46)+SUMIF('RODRIGUEZ FLORES BRYAN DARIO'!P$40:P$46,'KM POR UNIDAD'!A5,'RODRIGUEZ FLORES BRYAN DARIO'!V$40:V$46)+SUMIF('NUÑEZ RUIZ IRVING JAVIER.'!P$42:P$48,'KM POR UNIDAD'!A5,'NUÑEZ RUIZ IRVING JAVIER.'!V$42:V$48)+SUMIF('MACHADO MAZUCA ADOLFO'!P$40:P$46,'KM POR UNIDAD'!A5,'MACHADO MAZUCA ADOLFO'!V$40:V$46)+SUMIF('LIRA ARCEO JOEL EDUARDO'!P$40:P$46,'KM POR UNIDAD'!A5,'LIRA ARCEO JOEL EDUARDO'!V$40:V$46)+SUMIF('ANCHONDO ROMERO CESAR ALEJANDRO'!P$40:P$46,'KM POR UNIDAD'!A5,'ANCHONDO ROMERO CESAR ALEJANDRO'!V$40:V$46)</f>
        <v>0</v>
      </c>
      <c r="E5" s="145">
        <f t="shared" si="0"/>
        <v>0</v>
      </c>
      <c r="F5" s="144" t="e">
        <f ca="1">+SUMIF('AGUILAR ESQUIVEL CARLOS'!T$40:T$46,'KM POR UNIDAD'!E5,'AGUILAR ESQUIVEL CARLOS'!W$40:W$46)+SUMIF('AGUILAR RODRIGUEZ JORGE ALONSO'!T$40:T$46,'KM POR UNIDAD'!E5,'AGUILAR RODRIGUEZ JORGE ALONSO'!Y$40:Y$46)+SUMIF('REYES LARA DANTE'!T$40:T$46,'KM POR UNIDAD'!E5,'REYES LARA DANTE'!Y$40:Y$46)+SUMIF('RAMIREZ BAUTISTA ADRIAN'!T$40:T$46,'KM POR UNIDAD'!E5,'RAMIREZ BAUTISTA ADRIAN'!Y$40:Y$46)+SUMIF('FLORES BOJORQUEZ BRYAN OVED'!T$40:T$46,'KM POR UNIDAD'!E5,'FLORES BOJORQUEZ BRYAN OVED'!Y$40:Y$46)+SUMIF('BALDERRAMA ROBLES JORGE'!T$40:T$46,'KM POR UNIDAD'!E5,'BALDERRAMA ROBLES JORGE'!#REF!)+SUMIF('BURGOS TORRES RIGOBERTO'!T$39:T$45,'KM POR UNIDAD'!E5,'BURGOS TORRES RIGOBERTO'!Y$39:Y$45)+SUMIF('CORDOVA URIBE JOSE  ADRIAN'!T$40:T$46,'KM POR UNIDAD'!E5,'CORDOVA URIBE JOSE  ADRIAN'!Y$40:Y$46)+SUMIF('GUZMAN CHAPARRO PEDRO'!T$40:T$46,'KM POR UNIDAD'!E5,'GUZMAN CHAPARRO PEDRO'!Y$40:Y$46)+SUMIF('HERNANDEZ LICANO JOSE LUIS'!T$40:T$46,'KM POR UNIDAD'!E5,'HERNANDEZ LICANO JOSE LUIS'!#REF!)+SUMIF('CARRERA REYES MARTIN SEBASTIAN'!T$41:T$47,'KM POR UNIDAD'!E5,'CARRERA REYES MARTIN SEBASTIAN'!Y$41:Y$47)+SUMIF('RUIZ SAUCEDO DANIEL ALEJANDRO'!T$40:T$46,'KM POR UNIDAD'!E5,'RUIZ SAUCEDO DANIEL ALEJANDRO'!Y$40:Y$46)+SUMIF('MARTINEZ RAMIREZ ROSALIO'!T$40:T$46,'KM POR UNIDAD'!E5,'MARTINEZ RAMIREZ ROSALIO'!Y$40:Y$46)+SUMIF('BALLEZA RAMIREZ JESUS JOSE'!T$40:T$46,'KM POR UNIDAD'!E5,'BALLEZA RAMIREZ JESUS JOSE'!T$176:T$180)+SUMIF('MONTERO BURROLA LUIS'!T$38:T$44,'KM POR UNIDAD'!E5,'MONTERO BURROLA LUIS'!Y$38:Y$44)+SUMIF('AGUILERA CONTRERAS LUIS GERARDO'!T$41:T$47,'KM POR UNIDAD'!E5,'AGUILERA CONTRERAS LUIS GERARDO'!Y$41:Y$47)+SUMIF('MORALES LOPEZ DE LARA MARIANO'!T$40:T$46,'KM POR UNIDAD'!E5,'MORALES LOPEZ DE LARA MARIANO'!Y$40:Y$46)+SUMIF('MELENDEZ SINALOA MANUEL ARAT'!T$40:T$46,'KM POR UNIDAD'!E5,'MELENDEZ SINALOA MANUEL ARAT'!#REF!)+SUMIF('MORALES LECHUGA GONZALO'!T$40:T$46,'KM POR UNIDAD'!E5,'MORALES LECHUGA GONZALO'!Y$40:Y$46)+SUMIF('ORONA BECERRA MAURO JOSE'!T$40:T$46,'KM POR UNIDAD'!E5,'ORONA BECERRA MAURO JOSE'!Y$40:Y$46)+SUMIF('VALLES HERNANDEZ MANUEL MARCELI'!T$39:T$45,'KM POR UNIDAD'!E5,'VALLES HERNANDEZ MANUEL MARCELI'!Y$39:Y$45)+SUMIF('ORTIZ RAMIREZ HECTOR MANUEL'!T$40:T$46,'KM POR UNIDAD'!E5,'ORTIZ RAMIREZ HECTOR MANUEL'!Y$40:Y$46)+SUMIF('ONTIVEROS LIRA JUAN'!T$40:T$46,'KM POR UNIDAD'!E5,'ONTIVEROS LIRA JUAN'!Y$40:Y$46)+SUMIF('RODRIGUEZ FLORES BRYAN DARIO'!T$40:T$46,'KM POR UNIDAD'!E5,'RODRIGUEZ FLORES BRYAN DARIO'!Y$40:Y$46)+SUMIF('NUÑEZ RUIZ IRVING JAVIER.'!T$42:T$48,'KM POR UNIDAD'!E5,'NUÑEZ RUIZ IRVING JAVIER.'!Y$42:Y$48)+SUMIF('MACHADO MAZUCA ADOLFO'!T$40:T$46,'KM POR UNIDAD'!E5,'MACHADO MAZUCA ADOLFO'!Y$40:Y$46)+SUMIF('LIRA ARCEO JOEL EDUARDO'!T$40:T$46,'KM POR UNIDAD'!E5,'LIRA ARCEO JOEL EDUARDO'!Y$41:Y$46)+SUMIF('ANCHONDO ROMERO CESAR ALEJANDRO'!T$40:T$46,'KM POR UNIDAD'!E5,'ANCHONDO ROMERO CESAR ALEJANDRO'!Y$40:Y$46)</f>
        <v>#REF!</v>
      </c>
      <c r="G5" s="146"/>
    </row>
    <row r="6" spans="1:11" x14ac:dyDescent="0.25">
      <c r="A6" s="143" t="s">
        <v>132</v>
      </c>
      <c r="B6" s="144">
        <f>+SUMIF('AGUILAR ESQUIVEL CARLOS'!P$40:P$46,'KM POR UNIDAD'!A6,'AGUILAR ESQUIVEL CARLOS'!U$40:U$46)+SUMIF('AGUILAR RODRIGUEZ JORGE ALONSO'!P$40:P$46,'KM POR UNIDAD'!A6,'AGUILAR RODRIGUEZ JORGE ALONSO'!U$40:U$46)+SUMIF('REYES LARA DANTE'!P$40:P$46,'KM POR UNIDAD'!A6,'REYES LARA DANTE'!U$40:U$46)+SUMIF('RAMIREZ BAUTISTA ADRIAN'!P$40:P$46,'KM POR UNIDAD'!A6,'RAMIREZ BAUTISTA ADRIAN'!U$40:U$46)+SUMIF('FLORES BOJORQUEZ BRYAN OVED'!P$40:P$46,'KM POR UNIDAD'!A6,'FLORES BOJORQUEZ BRYAN OVED'!U$40:U$46)+SUMIF('BALDERRAMA ROBLES JORGE'!P$40:P$46,'KM POR UNIDAD'!A6,'BALDERRAMA ROBLES JORGE'!U$40:U$46)+SUMIF('BURGOS TORRES RIGOBERTO'!P$39:P$45,'KM POR UNIDAD'!A6,'BURGOS TORRES RIGOBERTO'!U$39:U$45)+SUMIF('CORDOVA URIBE JOSE  ADRIAN'!P$40:P$46,'KM POR UNIDAD'!A6,'CORDOVA URIBE JOSE  ADRIAN'!U$40:U$46)+SUMIF('GUZMAN CHAPARRO PEDRO'!P$40:P$46,'KM POR UNIDAD'!A6,'GUZMAN CHAPARRO PEDRO'!U$40:U$46)+SUMIF('HERNANDEZ LICANO JOSE LUIS'!P$40:P$46,'KM POR UNIDAD'!A6,'HERNANDEZ LICANO JOSE LUIS'!U$40:U$46)+SUMIF('CARRERA REYES MARTIN SEBASTIAN'!P$41:P$47,'KM POR UNIDAD'!A6,'CARRERA REYES MARTIN SEBASTIAN'!U$41:U$47)+SUMIF('RUIZ SAUCEDO DANIEL ALEJANDRO'!P$40:P$46,'KM POR UNIDAD'!A6,'RUIZ SAUCEDO DANIEL ALEJANDRO'!U$40:U$46)+SUMIF('MARTINEZ RAMIREZ ROSALIO'!P$40:P$46,'KM POR UNIDAD'!A6,'MARTINEZ RAMIREZ ROSALIO'!U$40:U$46)+SUMIF('BALLEZA RAMIREZ JESUS JOSE'!P$40:P$46,'KM POR UNIDAD'!A6,'BALLEZA RAMIREZ JESUS JOSE'!U$40:U$46)+SUMIF('MONTERO BURROLA LUIS'!P$38:P$44,'KM POR UNIDAD'!A6,'MONTERO BURROLA LUIS'!U$38:U$44)+SUMIF('AGUILERA CONTRERAS LUIS GERARDO'!P$41:P$47,'KM POR UNIDAD'!A6,'AGUILERA CONTRERAS LUIS GERARDO'!U$41:U$47)+SUMIF('MORALES LOPEZ DE LARA MARIANO'!P$40:P$46,'KM POR UNIDAD'!A6,'MORALES LOPEZ DE LARA MARIANO'!U$40:U$46)+SUMIF('MELENDEZ SINALOA MANUEL ARAT'!P$40:P$46,'KM POR UNIDAD'!A6,'MELENDEZ SINALOA MANUEL ARAT'!U$40:U$46)+SUMIF('MORALES LECHUGA GONZALO'!P$40:P$46,'KM POR UNIDAD'!A6,'MORALES LECHUGA GONZALO'!U$40:U$46)+SUMIF('ORONA BECERRA MAURO JOSE'!P$40:P$46,'KM POR UNIDAD'!A6,'ORONA BECERRA MAURO JOSE'!U$40:U$46)+SUMIF('VALLES HERNANDEZ MANUEL MARCELI'!P$39:P$45,'KM POR UNIDAD'!A6,'VALLES HERNANDEZ MANUEL MARCELI'!U$39:U$45)+SUMIF('ORTIZ RAMIREZ HECTOR MANUEL'!P$40:P$46,'KM POR UNIDAD'!A6,'ORTIZ RAMIREZ HECTOR MANUEL'!U$40:U$46)+SUMIF('ONTIVEROS LIRA JUAN'!P$40:P$46,'KM POR UNIDAD'!A6,'ONTIVEROS LIRA JUAN'!U$40:U$46)+SUMIF('RODRIGUEZ FLORES BRYAN DARIO'!P$40:P$46,'KM POR UNIDAD'!A6,'RODRIGUEZ FLORES BRYAN DARIO'!U$40:U$46)+SUMIF('NUÑEZ RUIZ IRVING JAVIER.'!P$42:P$48,'KM POR UNIDAD'!A6,'NUÑEZ RUIZ IRVING JAVIER.'!U$42:U$48)+SUMIF('MACHADO MAZUCA ADOLFO'!P$40:P$46,'KM POR UNIDAD'!A6,'MACHADO MAZUCA ADOLFO'!U$40:U$46)+SUMIF('LIRA ARCEO JOEL EDUARDO'!P$40:P$46,'KM POR UNIDAD'!A6,'LIRA ARCEO JOEL EDUARDO'!U$40:U$46)+SUMIF('ANCHONDO ROMERO CESAR ALEJANDRO'!P$40:P$46,'KM POR UNIDAD'!A6,'ANCHONDO ROMERO CESAR ALEJANDRO'!U$40:U$46)</f>
        <v>0</v>
      </c>
      <c r="C6" s="150">
        <f ca="1">+SUMIF('AGUILAR ESQUIVEL CARLOS'!P$40:P$46,'KM POR UNIDAD'!A6,'AGUILAR ESQUIVEL CARLOS'!T$40:T$46)+SUMIF('AGUILAR RODRIGUEZ JORGE ALONSO'!P$40:P$46,'KM POR UNIDAD'!A6,'AGUILAR RODRIGUEZ JORGE ALONSO'!T$40:T$46)+SUMIF('REYES LARA DANTE'!P$40:P$46,'KM POR UNIDAD'!A6,'REYES LARA DANTE'!T$40:T$46)+SUMIF('RAMIREZ BAUTISTA ADRIAN'!P$40:P$46,'KM POR UNIDAD'!A6,'RAMIREZ BAUTISTA ADRIAN'!T$40:T$46)+SUMIF('FLORES BOJORQUEZ BRYAN OVED'!P$40:P$46,'KM POR UNIDAD'!A6,'FLORES BOJORQUEZ BRYAN OVED'!T$40:T$46)+SUMIF('BALDERRAMA ROBLES JORGE'!P$40:P$46,'KM POR UNIDAD'!A6,'BALDERRAMA ROBLES JORGE'!T$40:T$46)+SUMIF('BURGOS TORRES RIGOBERTO'!P$39:P$45,'KM POR UNIDAD'!A6,'BURGOS TORRES RIGOBERTO'!T$39:T$45)+SUMIF('CORDOVA URIBE JOSE  ADRIAN'!P$40:P$46,'KM POR UNIDAD'!A6,'CORDOVA URIBE JOSE  ADRIAN'!T$40:T$46)+SUMIF('GUZMAN CHAPARRO PEDRO'!P$40:P$46,'KM POR UNIDAD'!A6,'GUZMAN CHAPARRO PEDRO'!T$40:T$46)+SUMIF('HERNANDEZ LICANO JOSE LUIS'!P$40:P$46,'KM POR UNIDAD'!A6,'HERNANDEZ LICANO JOSE LUIS'!T$40:T$46)+SUMIF('CARRERA REYES MARTIN SEBASTIAN'!P$41:P$47,'KM POR UNIDAD'!A6,'CARRERA REYES MARTIN SEBASTIAN'!T$41:T$47)+SUMIF('RUIZ SAUCEDO DANIEL ALEJANDRO'!P$40:P$46,'KM POR UNIDAD'!A6,'RUIZ SAUCEDO DANIEL ALEJANDRO'!T$40:T$46)+SUMIF('MARTINEZ RAMIREZ ROSALIO'!P$40:P$46,'KM POR UNIDAD'!A6,'MARTINEZ RAMIREZ ROSALIO'!T$40:T$46)+SUMIF('BALLEZA RAMIREZ JESUS JOSE'!P$40:P$46,'KM POR UNIDAD'!A6,'BALLEZA RAMIREZ JESUS JOSE'!T$40:T$46)+SUMIF('MONTERO BURROLA LUIS'!P$38:P$44,'KM POR UNIDAD'!A6,'MONTERO BURROLA LUIS'!T$38:T$44)+SUMIF('AGUILERA CONTRERAS LUIS GERARDO'!P$41:P$47,'KM POR UNIDAD'!A6,'AGUILERA CONTRERAS LUIS GERARDO'!T$41:T$47)+SUMIF('MORALES LOPEZ DE LARA MARIANO'!P$40:P$46,'KM POR UNIDAD'!A6,'MORALES LOPEZ DE LARA MARIANO'!T$40:T$46)+SUMIF('MELENDEZ SINALOA MANUEL ARAT'!P$40:P$46,'KM POR UNIDAD'!A6,'MELENDEZ SINALOA MANUEL ARAT'!T$40:T$46)+SUMIF('MORALES LECHUGA GONZALO'!P$40:P$46,'KM POR UNIDAD'!A6,'MORALES LECHUGA GONZALO'!T$40:T$46)+SUMIF('ORONA BECERRA MAURO JOSE'!P$40:P$46,'KM POR UNIDAD'!A6,'ORONA BECERRA MAURO JOSE'!T$40:T$46)+SUMIF('VALLES HERNANDEZ MANUEL MARCELI'!P$39:P$45,'KM POR UNIDAD'!A6,'VALLES HERNANDEZ MANUEL MARCELI'!T$39:T$45)+SUMIF('ORTIZ RAMIREZ HECTOR MANUEL'!P$40:P$46,'KM POR UNIDAD'!A6,'ORTIZ RAMIREZ HECTOR MANUEL'!T$40:T$46)+SUMIF('ONTIVEROS LIRA JUAN'!P$40:P$446,'KM POR UNIDAD'!A6,'ONTIVEROS LIRA JUAN'!T$40:T$46)+SUMIF('RODRIGUEZ FLORES BRYAN DARIO'!P$40:P$46,'KM POR UNIDAD'!A6,'RODRIGUEZ FLORES BRYAN DARIO'!T$40:T$46)+SUMIF('NUÑEZ RUIZ IRVING JAVIER.'!P$42:P$48,'KM POR UNIDAD'!A6,'NUÑEZ RUIZ IRVING JAVIER.'!T$42:T$48)+SUMIF('MACHADO MAZUCA ADOLFO'!P$40:P$46,'KM POR UNIDAD'!A6,'MACHADO MAZUCA ADOLFO'!T$40:T$46)+SUMIF('LIRA ARCEO JOEL EDUARDO'!P$40:P$46,'KM POR UNIDAD'!A6,'LIRA ARCEO JOEL EDUARDO'!T$40:T$46)+SUMIF('ANCHONDO ROMERO CESAR ALEJANDRO'!P$40:P$46,'KM POR UNIDAD'!A6,'ANCHONDO ROMERO CESAR ALEJANDRO'!T$40:T$46)</f>
        <v>0</v>
      </c>
      <c r="D6" s="150">
        <f>+SUMIF('AGUILAR ESQUIVEL CARLOS'!P$40:P$46,'KM POR UNIDAD'!A6,'AGUILAR ESQUIVEL CARLOS'!V$40:V$46)+SUMIF('AGUILAR RODRIGUEZ JORGE ALONSO'!P$40:P$46,'KM POR UNIDAD'!A6,'AGUILAR RODRIGUEZ JORGE ALONSO'!V$40:V$46)+SUMIF('REYES LARA DANTE'!P$40:P$46,'KM POR UNIDAD'!A6,'REYES LARA DANTE'!V$40:V$46)+SUMIF('RAMIREZ BAUTISTA ADRIAN'!P$40:P$46,'KM POR UNIDAD'!A6,'RAMIREZ BAUTISTA ADRIAN'!V$40:V$46)+SUMIF('FLORES BOJORQUEZ BRYAN OVED'!P$40:P$46,'KM POR UNIDAD'!A6,'FLORES BOJORQUEZ BRYAN OVED'!V$40:V$46)+SUMIF('BALDERRAMA ROBLES JORGE'!P$40:P$46,'KM POR UNIDAD'!A6,'BALDERRAMA ROBLES JORGE'!V$40:V$46)+SUMIF('BURGOS TORRES RIGOBERTO'!P$39:P$45,'KM POR UNIDAD'!A6,'BURGOS TORRES RIGOBERTO'!V$39:V$45)+SUMIF('CORDOVA URIBE JOSE  ADRIAN'!P$40:P$46,'KM POR UNIDAD'!A6,'CORDOVA URIBE JOSE  ADRIAN'!V$40:V$46)+SUMIF('GUZMAN CHAPARRO PEDRO'!P$40:P$46,'KM POR UNIDAD'!A6,'GUZMAN CHAPARRO PEDRO'!V$40:V$46)+SUMIF('HERNANDEZ LICANO JOSE LUIS'!P$40:P$46,'KM POR UNIDAD'!A6,'HERNANDEZ LICANO JOSE LUIS'!V$40:V$46)+SUMIF('CARRERA REYES MARTIN SEBASTIAN'!P$41:P$47,'KM POR UNIDAD'!A6,'CARRERA REYES MARTIN SEBASTIAN'!V$41:V$47)+SUMIF('RUIZ SAUCEDO DANIEL ALEJANDRO'!P$40:P$46,'KM POR UNIDAD'!A6,'RUIZ SAUCEDO DANIEL ALEJANDRO'!V$40:V$46)+SUMIF('MARTINEZ RAMIREZ ROSALIO'!P$40:P$46,'KM POR UNIDAD'!A6,'MARTINEZ RAMIREZ ROSALIO'!V$40:V$46)+SUMIF('BALLEZA RAMIREZ JESUS JOSE'!P$40:P$46,'KM POR UNIDAD'!A6,'BALLEZA RAMIREZ JESUS JOSE'!V$40:V$46)+SUMIF('MONTERO BURROLA LUIS'!P$38:P$44,'KM POR UNIDAD'!A6,'MONTERO BURROLA LUIS'!V$38:V$44)+SUMIF('AGUILERA CONTRERAS LUIS GERARDO'!P$41:P$47,'KM POR UNIDAD'!A6,'AGUILERA CONTRERAS LUIS GERARDO'!V$41:V$47)+SUMIF('MORALES LOPEZ DE LARA MARIANO'!P$40:P$46,'KM POR UNIDAD'!A6,'MORALES LOPEZ DE LARA MARIANO'!V$40:V$46)+SUMIF('MELENDEZ SINALOA MANUEL ARAT'!P$40:P$46,'KM POR UNIDAD'!A6,'MELENDEZ SINALOA MANUEL ARAT'!V$40:V$46)+SUMIF('MORALES LECHUGA GONZALO'!P$40:P$46,'KM POR UNIDAD'!A6,'MORALES LECHUGA GONZALO'!V$40:V$46)+SUMIF('ORONA BECERRA MAURO JOSE'!P$40:P$46,'KM POR UNIDAD'!A6,'ORONA BECERRA MAURO JOSE'!V$40:V$46)+SUMIF('VALLES HERNANDEZ MANUEL MARCELI'!P$39:P$45,'KM POR UNIDAD'!A6,'VALLES HERNANDEZ MANUEL MARCELI'!V$39:V$45)+SUMIF('ORTIZ RAMIREZ HECTOR MANUEL'!P$40:P$46,'KM POR UNIDAD'!A6,'ORTIZ RAMIREZ HECTOR MANUEL'!V$40:V$46)+SUMIF('ONTIVEROS LIRA JUAN'!P$40:P$46,'KM POR UNIDAD'!A6,'ONTIVEROS LIRA JUAN'!V$40:V$46)+SUMIF('RODRIGUEZ FLORES BRYAN DARIO'!P$40:P$46,'KM POR UNIDAD'!A6,'RODRIGUEZ FLORES BRYAN DARIO'!V$40:V$46)+SUMIF('NUÑEZ RUIZ IRVING JAVIER.'!P$42:P$48,'KM POR UNIDAD'!A6,'NUÑEZ RUIZ IRVING JAVIER.'!V$42:V$48)+SUMIF('MACHADO MAZUCA ADOLFO'!P$40:P$46,'KM POR UNIDAD'!A6,'MACHADO MAZUCA ADOLFO'!V$40:V$46)+SUMIF('LIRA ARCEO JOEL EDUARDO'!P$40:P$46,'KM POR UNIDAD'!A6,'LIRA ARCEO JOEL EDUARDO'!V$40:V$46)+SUMIF('ANCHONDO ROMERO CESAR ALEJANDRO'!P$40:P$46,'KM POR UNIDAD'!A6,'ANCHONDO ROMERO CESAR ALEJANDRO'!V$40:V$46)</f>
        <v>0</v>
      </c>
      <c r="E6" s="145">
        <f t="shared" si="0"/>
        <v>0</v>
      </c>
      <c r="F6" s="144" t="e">
        <f ca="1">+SUMIF('AGUILAR ESQUIVEL CARLOS'!T$40:T$46,'KM POR UNIDAD'!E6,'AGUILAR ESQUIVEL CARLOS'!W$40:W$46)+SUMIF('AGUILAR RODRIGUEZ JORGE ALONSO'!T$40:T$46,'KM POR UNIDAD'!E6,'AGUILAR RODRIGUEZ JORGE ALONSO'!Y$40:Y$46)+SUMIF('REYES LARA DANTE'!T$40:T$46,'KM POR UNIDAD'!E6,'REYES LARA DANTE'!Y$40:Y$46)+SUMIF('RAMIREZ BAUTISTA ADRIAN'!T$40:T$46,'KM POR UNIDAD'!E6,'RAMIREZ BAUTISTA ADRIAN'!Y$40:Y$46)+SUMIF('FLORES BOJORQUEZ BRYAN OVED'!T$40:T$46,'KM POR UNIDAD'!E6,'FLORES BOJORQUEZ BRYAN OVED'!Y$40:Y$46)+SUMIF('BALDERRAMA ROBLES JORGE'!T$40:T$46,'KM POR UNIDAD'!E6,'BALDERRAMA ROBLES JORGE'!#REF!)+SUMIF('BURGOS TORRES RIGOBERTO'!T$39:T$45,'KM POR UNIDAD'!E6,'BURGOS TORRES RIGOBERTO'!Y$39:Y$45)+SUMIF('CORDOVA URIBE JOSE  ADRIAN'!T$40:T$46,'KM POR UNIDAD'!E6,'CORDOVA URIBE JOSE  ADRIAN'!Y$40:Y$46)+SUMIF('GUZMAN CHAPARRO PEDRO'!T$40:T$46,'KM POR UNIDAD'!E6,'GUZMAN CHAPARRO PEDRO'!Y$40:Y$46)+SUMIF('HERNANDEZ LICANO JOSE LUIS'!T$40:T$46,'KM POR UNIDAD'!E6,'HERNANDEZ LICANO JOSE LUIS'!#REF!)+SUMIF('CARRERA REYES MARTIN SEBASTIAN'!T$41:T$47,'KM POR UNIDAD'!E6,'CARRERA REYES MARTIN SEBASTIAN'!Y$41:Y$47)+SUMIF('RUIZ SAUCEDO DANIEL ALEJANDRO'!T$40:T$46,'KM POR UNIDAD'!E6,'RUIZ SAUCEDO DANIEL ALEJANDRO'!Y$40:Y$46)+SUMIF('MARTINEZ RAMIREZ ROSALIO'!T$40:T$46,'KM POR UNIDAD'!E6,'MARTINEZ RAMIREZ ROSALIO'!Y$40:Y$46)+SUMIF('BALLEZA RAMIREZ JESUS JOSE'!T$40:T$46,'KM POR UNIDAD'!E6,'BALLEZA RAMIREZ JESUS JOSE'!T$176:T$180)+SUMIF('MONTERO BURROLA LUIS'!T$38:T$44,'KM POR UNIDAD'!E6,'MONTERO BURROLA LUIS'!Y$38:Y$44)+SUMIF('AGUILERA CONTRERAS LUIS GERARDO'!T$41:T$47,'KM POR UNIDAD'!E6,'AGUILERA CONTRERAS LUIS GERARDO'!Y$41:Y$47)+SUMIF('MORALES LOPEZ DE LARA MARIANO'!T$40:T$46,'KM POR UNIDAD'!E6,'MORALES LOPEZ DE LARA MARIANO'!Y$40:Y$46)+SUMIF('MELENDEZ SINALOA MANUEL ARAT'!T$40:T$46,'KM POR UNIDAD'!E6,'MELENDEZ SINALOA MANUEL ARAT'!#REF!)+SUMIF('MORALES LECHUGA GONZALO'!T$40:T$46,'KM POR UNIDAD'!E6,'MORALES LECHUGA GONZALO'!Y$40:Y$46)+SUMIF('ORONA BECERRA MAURO JOSE'!T$40:T$46,'KM POR UNIDAD'!E6,'ORONA BECERRA MAURO JOSE'!Y$40:Y$46)+SUMIF('VALLES HERNANDEZ MANUEL MARCELI'!T$39:T$45,'KM POR UNIDAD'!E6,'VALLES HERNANDEZ MANUEL MARCELI'!Y$39:Y$45)+SUMIF('ORTIZ RAMIREZ HECTOR MANUEL'!T$40:T$46,'KM POR UNIDAD'!E6,'ORTIZ RAMIREZ HECTOR MANUEL'!Y$40:Y$46)+SUMIF('ONTIVEROS LIRA JUAN'!T$40:T$46,'KM POR UNIDAD'!E6,'ONTIVEROS LIRA JUAN'!Y$40:Y$46)+SUMIF('RODRIGUEZ FLORES BRYAN DARIO'!T$40:T$46,'KM POR UNIDAD'!E6,'RODRIGUEZ FLORES BRYAN DARIO'!Y$40:Y$46)+SUMIF('NUÑEZ RUIZ IRVING JAVIER.'!T$42:T$48,'KM POR UNIDAD'!E6,'NUÑEZ RUIZ IRVING JAVIER.'!Y$42:Y$48)+SUMIF('MACHADO MAZUCA ADOLFO'!T$40:T$46,'KM POR UNIDAD'!E6,'MACHADO MAZUCA ADOLFO'!Y$40:Y$46)+SUMIF('LIRA ARCEO JOEL EDUARDO'!T$40:T$46,'KM POR UNIDAD'!E6,'LIRA ARCEO JOEL EDUARDO'!Y$41:Y$46)+SUMIF('ANCHONDO ROMERO CESAR ALEJANDRO'!T$40:T$46,'KM POR UNIDAD'!E6,'ANCHONDO ROMERO CESAR ALEJANDRO'!Y$40:Y$46)</f>
        <v>#REF!</v>
      </c>
      <c r="G6" s="146"/>
    </row>
    <row r="7" spans="1:11" x14ac:dyDescent="0.25">
      <c r="A7" s="143" t="s">
        <v>56</v>
      </c>
      <c r="B7" s="144">
        <f>+SUMIF('AGUILAR ESQUIVEL CARLOS'!P$40:P$46,'KM POR UNIDAD'!A7,'AGUILAR ESQUIVEL CARLOS'!U$40:U$46)+SUMIF('AGUILAR RODRIGUEZ JORGE ALONSO'!P$40:P$46,'KM POR UNIDAD'!A7,'AGUILAR RODRIGUEZ JORGE ALONSO'!U$40:U$46)+SUMIF('REYES LARA DANTE'!P$40:P$46,'KM POR UNIDAD'!A7,'REYES LARA DANTE'!U$40:U$46)+SUMIF('RAMIREZ BAUTISTA ADRIAN'!P$40:P$46,'KM POR UNIDAD'!A7,'RAMIREZ BAUTISTA ADRIAN'!U$40:U$46)+SUMIF('FLORES BOJORQUEZ BRYAN OVED'!P$40:P$46,'KM POR UNIDAD'!A7,'FLORES BOJORQUEZ BRYAN OVED'!U$40:U$46)+SUMIF('BALDERRAMA ROBLES JORGE'!P$40:P$46,'KM POR UNIDAD'!A7,'BALDERRAMA ROBLES JORGE'!U$40:U$46)+SUMIF('BURGOS TORRES RIGOBERTO'!P$39:P$45,'KM POR UNIDAD'!A7,'BURGOS TORRES RIGOBERTO'!U$39:U$45)+SUMIF('CORDOVA URIBE JOSE  ADRIAN'!P$40:P$46,'KM POR UNIDAD'!A7,'CORDOVA URIBE JOSE  ADRIAN'!U$40:U$46)+SUMIF('GUZMAN CHAPARRO PEDRO'!P$40:P$46,'KM POR UNIDAD'!A7,'GUZMAN CHAPARRO PEDRO'!U$40:U$46)+SUMIF('HERNANDEZ LICANO JOSE LUIS'!P$40:P$46,'KM POR UNIDAD'!A7,'HERNANDEZ LICANO JOSE LUIS'!U$40:U$46)+SUMIF('CARRERA REYES MARTIN SEBASTIAN'!P$41:P$47,'KM POR UNIDAD'!A7,'CARRERA REYES MARTIN SEBASTIAN'!U$41:U$47)+SUMIF('RUIZ SAUCEDO DANIEL ALEJANDRO'!P$40:P$46,'KM POR UNIDAD'!A7,'RUIZ SAUCEDO DANIEL ALEJANDRO'!U$40:U$46)+SUMIF('MARTINEZ RAMIREZ ROSALIO'!P$40:P$46,'KM POR UNIDAD'!A7,'MARTINEZ RAMIREZ ROSALIO'!U$40:U$46)+SUMIF('BALLEZA RAMIREZ JESUS JOSE'!P$40:P$46,'KM POR UNIDAD'!A7,'BALLEZA RAMIREZ JESUS JOSE'!U$40:U$46)+SUMIF('MONTERO BURROLA LUIS'!P$38:P$44,'KM POR UNIDAD'!A7,'MONTERO BURROLA LUIS'!U$38:U$44)+SUMIF('AGUILERA CONTRERAS LUIS GERARDO'!P$41:P$47,'KM POR UNIDAD'!A7,'AGUILERA CONTRERAS LUIS GERARDO'!U$41:U$47)+SUMIF('MORALES LOPEZ DE LARA MARIANO'!P$40:P$46,'KM POR UNIDAD'!A7,'MORALES LOPEZ DE LARA MARIANO'!U$40:U$46)+SUMIF('MELENDEZ SINALOA MANUEL ARAT'!P$40:P$46,'KM POR UNIDAD'!A7,'MELENDEZ SINALOA MANUEL ARAT'!U$40:U$46)+SUMIF('MORALES LECHUGA GONZALO'!P$40:P$46,'KM POR UNIDAD'!A7,'MORALES LECHUGA GONZALO'!U$40:U$46)+SUMIF('ORONA BECERRA MAURO JOSE'!P$40:P$46,'KM POR UNIDAD'!A7,'ORONA BECERRA MAURO JOSE'!U$40:U$46)+SUMIF('VALLES HERNANDEZ MANUEL MARCELI'!P$39:P$45,'KM POR UNIDAD'!A7,'VALLES HERNANDEZ MANUEL MARCELI'!U$39:U$45)+SUMIF('ORTIZ RAMIREZ HECTOR MANUEL'!P$40:P$46,'KM POR UNIDAD'!A7,'ORTIZ RAMIREZ HECTOR MANUEL'!U$40:U$46)+SUMIF('ONTIVEROS LIRA JUAN'!P$40:P$46,'KM POR UNIDAD'!A7,'ONTIVEROS LIRA JUAN'!U$40:U$46)+SUMIF('RODRIGUEZ FLORES BRYAN DARIO'!P$40:P$46,'KM POR UNIDAD'!A7,'RODRIGUEZ FLORES BRYAN DARIO'!U$40:U$46)+SUMIF('NUÑEZ RUIZ IRVING JAVIER.'!P$42:P$48,'KM POR UNIDAD'!A7,'NUÑEZ RUIZ IRVING JAVIER.'!U$42:U$48)+SUMIF('MACHADO MAZUCA ADOLFO'!P$40:P$46,'KM POR UNIDAD'!A7,'MACHADO MAZUCA ADOLFO'!U$40:U$46)+SUMIF('LIRA ARCEO JOEL EDUARDO'!P$40:P$46,'KM POR UNIDAD'!A7,'LIRA ARCEO JOEL EDUARDO'!U$40:U$46)+SUMIF('ANCHONDO ROMERO CESAR ALEJANDRO'!P$40:P$46,'KM POR UNIDAD'!A7,'ANCHONDO ROMERO CESAR ALEJANDRO'!U$40:U$46)</f>
        <v>0</v>
      </c>
      <c r="C7" s="150">
        <f ca="1">+SUMIF('AGUILAR ESQUIVEL CARLOS'!P$40:P$46,'KM POR UNIDAD'!A7,'AGUILAR ESQUIVEL CARLOS'!T$40:T$46)+SUMIF('AGUILAR RODRIGUEZ JORGE ALONSO'!P$40:P$46,'KM POR UNIDAD'!A7,'AGUILAR RODRIGUEZ JORGE ALONSO'!T$40:T$46)+SUMIF('REYES LARA DANTE'!P$40:P$46,'KM POR UNIDAD'!A7,'REYES LARA DANTE'!T$40:T$46)+SUMIF('RAMIREZ BAUTISTA ADRIAN'!P$40:P$46,'KM POR UNIDAD'!A7,'RAMIREZ BAUTISTA ADRIAN'!T$40:T$46)+SUMIF('FLORES BOJORQUEZ BRYAN OVED'!P$40:P$46,'KM POR UNIDAD'!A7,'FLORES BOJORQUEZ BRYAN OVED'!T$40:T$46)+SUMIF('BALDERRAMA ROBLES JORGE'!P$40:P$46,'KM POR UNIDAD'!A7,'BALDERRAMA ROBLES JORGE'!T$40:T$46)+SUMIF('BURGOS TORRES RIGOBERTO'!P$39:P$45,'KM POR UNIDAD'!A7,'BURGOS TORRES RIGOBERTO'!T$39:T$45)+SUMIF('CORDOVA URIBE JOSE  ADRIAN'!P$40:P$46,'KM POR UNIDAD'!A7,'CORDOVA URIBE JOSE  ADRIAN'!T$40:T$46)+SUMIF('GUZMAN CHAPARRO PEDRO'!P$40:P$46,'KM POR UNIDAD'!A7,'GUZMAN CHAPARRO PEDRO'!T$40:T$46)+SUMIF('HERNANDEZ LICANO JOSE LUIS'!P$40:P$46,'KM POR UNIDAD'!A7,'HERNANDEZ LICANO JOSE LUIS'!T$40:T$46)+SUMIF('CARRERA REYES MARTIN SEBASTIAN'!P$41:P$47,'KM POR UNIDAD'!A7,'CARRERA REYES MARTIN SEBASTIAN'!T$41:T$47)+SUMIF('RUIZ SAUCEDO DANIEL ALEJANDRO'!P$40:P$46,'KM POR UNIDAD'!A7,'RUIZ SAUCEDO DANIEL ALEJANDRO'!T$40:T$46)+SUMIF('MARTINEZ RAMIREZ ROSALIO'!P$40:P$46,'KM POR UNIDAD'!A7,'MARTINEZ RAMIREZ ROSALIO'!T$40:T$46)+SUMIF('BALLEZA RAMIREZ JESUS JOSE'!P$40:P$46,'KM POR UNIDAD'!A7,'BALLEZA RAMIREZ JESUS JOSE'!T$40:T$46)+SUMIF('MONTERO BURROLA LUIS'!P$38:P$44,'KM POR UNIDAD'!A7,'MONTERO BURROLA LUIS'!T$38:T$44)+SUMIF('AGUILERA CONTRERAS LUIS GERARDO'!P$41:P$47,'KM POR UNIDAD'!A7,'AGUILERA CONTRERAS LUIS GERARDO'!T$41:T$47)+SUMIF('MORALES LOPEZ DE LARA MARIANO'!P$40:P$46,'KM POR UNIDAD'!A7,'MORALES LOPEZ DE LARA MARIANO'!T$40:T$46)+SUMIF('MELENDEZ SINALOA MANUEL ARAT'!P$40:P$46,'KM POR UNIDAD'!A7,'MELENDEZ SINALOA MANUEL ARAT'!T$40:T$46)+SUMIF('MORALES LECHUGA GONZALO'!P$40:P$46,'KM POR UNIDAD'!A7,'MORALES LECHUGA GONZALO'!T$40:T$46)+SUMIF('ORONA BECERRA MAURO JOSE'!P$40:P$46,'KM POR UNIDAD'!A7,'ORONA BECERRA MAURO JOSE'!T$40:T$46)+SUMIF('VALLES HERNANDEZ MANUEL MARCELI'!P$39:P$45,'KM POR UNIDAD'!A7,'VALLES HERNANDEZ MANUEL MARCELI'!T$39:T$45)+SUMIF('ORTIZ RAMIREZ HECTOR MANUEL'!P$40:P$46,'KM POR UNIDAD'!A7,'ORTIZ RAMIREZ HECTOR MANUEL'!T$40:T$46)+SUMIF('ONTIVEROS LIRA JUAN'!P$40:P$446,'KM POR UNIDAD'!A7,'ONTIVEROS LIRA JUAN'!T$40:T$46)+SUMIF('RODRIGUEZ FLORES BRYAN DARIO'!P$40:P$46,'KM POR UNIDAD'!A7,'RODRIGUEZ FLORES BRYAN DARIO'!T$40:T$46)+SUMIF('NUÑEZ RUIZ IRVING JAVIER.'!P$42:P$48,'KM POR UNIDAD'!A7,'NUÑEZ RUIZ IRVING JAVIER.'!T$42:T$48)+SUMIF('MACHADO MAZUCA ADOLFO'!P$40:P$46,'KM POR UNIDAD'!A7,'MACHADO MAZUCA ADOLFO'!T$40:T$46)+SUMIF('LIRA ARCEO JOEL EDUARDO'!P$40:P$46,'KM POR UNIDAD'!A7,'LIRA ARCEO JOEL EDUARDO'!T$40:T$46)+SUMIF('ANCHONDO ROMERO CESAR ALEJANDRO'!P$40:P$46,'KM POR UNIDAD'!A7,'ANCHONDO ROMERO CESAR ALEJANDRO'!T$40:T$46)</f>
        <v>0</v>
      </c>
      <c r="D7" s="150">
        <f>+SUMIF('AGUILAR ESQUIVEL CARLOS'!P$40:P$46,'KM POR UNIDAD'!A7,'AGUILAR ESQUIVEL CARLOS'!V$40:V$46)+SUMIF('AGUILAR RODRIGUEZ JORGE ALONSO'!P$40:P$46,'KM POR UNIDAD'!A7,'AGUILAR RODRIGUEZ JORGE ALONSO'!V$40:V$46)+SUMIF('REYES LARA DANTE'!P$40:P$46,'KM POR UNIDAD'!A7,'REYES LARA DANTE'!V$40:V$46)+SUMIF('RAMIREZ BAUTISTA ADRIAN'!P$40:P$46,'KM POR UNIDAD'!A7,'RAMIREZ BAUTISTA ADRIAN'!V$40:V$46)+SUMIF('FLORES BOJORQUEZ BRYAN OVED'!P$40:P$46,'KM POR UNIDAD'!A7,'FLORES BOJORQUEZ BRYAN OVED'!V$40:V$46)+SUMIF('BALDERRAMA ROBLES JORGE'!P$40:P$46,'KM POR UNIDAD'!A7,'BALDERRAMA ROBLES JORGE'!V$40:V$46)+SUMIF('BURGOS TORRES RIGOBERTO'!P$39:P$45,'KM POR UNIDAD'!A7,'BURGOS TORRES RIGOBERTO'!V$39:V$45)+SUMIF('CORDOVA URIBE JOSE  ADRIAN'!P$40:P$46,'KM POR UNIDAD'!A7,'CORDOVA URIBE JOSE  ADRIAN'!V$40:V$46)+SUMIF('GUZMAN CHAPARRO PEDRO'!P$40:P$46,'KM POR UNIDAD'!A7,'GUZMAN CHAPARRO PEDRO'!V$40:V$46)+SUMIF('HERNANDEZ LICANO JOSE LUIS'!P$40:P$46,'KM POR UNIDAD'!A7,'HERNANDEZ LICANO JOSE LUIS'!V$40:V$46)+SUMIF('CARRERA REYES MARTIN SEBASTIAN'!P$41:P$47,'KM POR UNIDAD'!A7,'CARRERA REYES MARTIN SEBASTIAN'!V$41:V$47)+SUMIF('RUIZ SAUCEDO DANIEL ALEJANDRO'!P$40:P$46,'KM POR UNIDAD'!A7,'RUIZ SAUCEDO DANIEL ALEJANDRO'!V$40:V$46)+SUMIF('MARTINEZ RAMIREZ ROSALIO'!P$40:P$46,'KM POR UNIDAD'!A7,'MARTINEZ RAMIREZ ROSALIO'!V$40:V$46)+SUMIF('BALLEZA RAMIREZ JESUS JOSE'!P$40:P$46,'KM POR UNIDAD'!A7,'BALLEZA RAMIREZ JESUS JOSE'!V$40:V$46)+SUMIF('MONTERO BURROLA LUIS'!P$38:P$44,'KM POR UNIDAD'!A7,'MONTERO BURROLA LUIS'!V$38:V$44)+SUMIF('AGUILERA CONTRERAS LUIS GERARDO'!P$41:P$47,'KM POR UNIDAD'!A7,'AGUILERA CONTRERAS LUIS GERARDO'!V$41:V$47)+SUMIF('MORALES LOPEZ DE LARA MARIANO'!P$40:P$46,'KM POR UNIDAD'!A7,'MORALES LOPEZ DE LARA MARIANO'!V$40:V$46)+SUMIF('MELENDEZ SINALOA MANUEL ARAT'!P$40:P$46,'KM POR UNIDAD'!A7,'MELENDEZ SINALOA MANUEL ARAT'!V$40:V$46)+SUMIF('MORALES LECHUGA GONZALO'!P$40:P$46,'KM POR UNIDAD'!A7,'MORALES LECHUGA GONZALO'!V$40:V$46)+SUMIF('ORONA BECERRA MAURO JOSE'!P$40:P$46,'KM POR UNIDAD'!A7,'ORONA BECERRA MAURO JOSE'!V$40:V$46)+SUMIF('VALLES HERNANDEZ MANUEL MARCELI'!P$39:P$45,'KM POR UNIDAD'!A7,'VALLES HERNANDEZ MANUEL MARCELI'!V$39:V$45)+SUMIF('ORTIZ RAMIREZ HECTOR MANUEL'!P$40:P$46,'KM POR UNIDAD'!A7,'ORTIZ RAMIREZ HECTOR MANUEL'!V$40:V$46)+SUMIF('ONTIVEROS LIRA JUAN'!P$40:P$46,'KM POR UNIDAD'!A7,'ONTIVEROS LIRA JUAN'!V$40:V$46)+SUMIF('RODRIGUEZ FLORES BRYAN DARIO'!P$40:P$46,'KM POR UNIDAD'!A7,'RODRIGUEZ FLORES BRYAN DARIO'!V$40:V$46)+SUMIF('NUÑEZ RUIZ IRVING JAVIER.'!P$42:P$48,'KM POR UNIDAD'!A7,'NUÑEZ RUIZ IRVING JAVIER.'!V$42:V$48)+SUMIF('MACHADO MAZUCA ADOLFO'!P$40:P$46,'KM POR UNIDAD'!A7,'MACHADO MAZUCA ADOLFO'!V$40:V$46)+SUMIF('LIRA ARCEO JOEL EDUARDO'!P$40:P$46,'KM POR UNIDAD'!A7,'LIRA ARCEO JOEL EDUARDO'!V$40:V$46)+SUMIF('ANCHONDO ROMERO CESAR ALEJANDRO'!P$40:P$46,'KM POR UNIDAD'!A7,'ANCHONDO ROMERO CESAR ALEJANDRO'!V$40:V$46)</f>
        <v>0</v>
      </c>
      <c r="E7" s="145">
        <f>IFERROR(B7/D7,0)</f>
        <v>0</v>
      </c>
      <c r="F7" s="144" t="e">
        <f ca="1">+SUMIF('AGUILAR ESQUIVEL CARLOS'!T$40:T$46,'KM POR UNIDAD'!E7,'AGUILAR ESQUIVEL CARLOS'!W$40:W$46)+SUMIF('AGUILAR RODRIGUEZ JORGE ALONSO'!T$40:T$46,'KM POR UNIDAD'!E7,'AGUILAR RODRIGUEZ JORGE ALONSO'!Y$40:Y$46)+SUMIF('REYES LARA DANTE'!T$40:T$46,'KM POR UNIDAD'!E7,'REYES LARA DANTE'!Y$40:Y$46)+SUMIF('RAMIREZ BAUTISTA ADRIAN'!T$40:T$46,'KM POR UNIDAD'!E7,'RAMIREZ BAUTISTA ADRIAN'!Y$40:Y$46)+SUMIF('FLORES BOJORQUEZ BRYAN OVED'!T$40:T$46,'KM POR UNIDAD'!E7,'FLORES BOJORQUEZ BRYAN OVED'!Y$40:Y$46)+SUMIF('BALDERRAMA ROBLES JORGE'!T$40:T$46,'KM POR UNIDAD'!E7,'BALDERRAMA ROBLES JORGE'!#REF!)+SUMIF('BURGOS TORRES RIGOBERTO'!T$39:T$45,'KM POR UNIDAD'!E7,'BURGOS TORRES RIGOBERTO'!Y$39:Y$45)+SUMIF('CORDOVA URIBE JOSE  ADRIAN'!T$40:T$46,'KM POR UNIDAD'!E7,'CORDOVA URIBE JOSE  ADRIAN'!Y$40:Y$46)+SUMIF('GUZMAN CHAPARRO PEDRO'!T$40:T$46,'KM POR UNIDAD'!E7,'GUZMAN CHAPARRO PEDRO'!Y$40:Y$46)+SUMIF('HERNANDEZ LICANO JOSE LUIS'!T$40:T$46,'KM POR UNIDAD'!E7,'HERNANDEZ LICANO JOSE LUIS'!#REF!)+SUMIF('CARRERA REYES MARTIN SEBASTIAN'!T$41:T$47,'KM POR UNIDAD'!E7,'CARRERA REYES MARTIN SEBASTIAN'!Y$41:Y$47)+SUMIF('RUIZ SAUCEDO DANIEL ALEJANDRO'!T$40:T$46,'KM POR UNIDAD'!E7,'RUIZ SAUCEDO DANIEL ALEJANDRO'!Y$40:Y$46)+SUMIF('MARTINEZ RAMIREZ ROSALIO'!T$40:T$46,'KM POR UNIDAD'!E7,'MARTINEZ RAMIREZ ROSALIO'!Y$40:Y$46)+SUMIF('BALLEZA RAMIREZ JESUS JOSE'!T$40:T$46,'KM POR UNIDAD'!E7,'BALLEZA RAMIREZ JESUS JOSE'!T$176:T$180)+SUMIF('MONTERO BURROLA LUIS'!T$38:T$44,'KM POR UNIDAD'!E7,'MONTERO BURROLA LUIS'!Y$38:Y$44)+SUMIF('AGUILERA CONTRERAS LUIS GERARDO'!T$41:T$47,'KM POR UNIDAD'!E7,'AGUILERA CONTRERAS LUIS GERARDO'!Y$41:Y$47)+SUMIF('MORALES LOPEZ DE LARA MARIANO'!T$40:T$46,'KM POR UNIDAD'!E7,'MORALES LOPEZ DE LARA MARIANO'!Y$40:Y$46)+SUMIF('MELENDEZ SINALOA MANUEL ARAT'!T$40:T$46,'KM POR UNIDAD'!E7,'MELENDEZ SINALOA MANUEL ARAT'!#REF!)+SUMIF('MORALES LECHUGA GONZALO'!T$40:T$46,'KM POR UNIDAD'!E7,'MORALES LECHUGA GONZALO'!Y$40:Y$46)+SUMIF('ORONA BECERRA MAURO JOSE'!T$40:T$46,'KM POR UNIDAD'!E7,'ORONA BECERRA MAURO JOSE'!Y$40:Y$46)+SUMIF('VALLES HERNANDEZ MANUEL MARCELI'!T$39:T$45,'KM POR UNIDAD'!E7,'VALLES HERNANDEZ MANUEL MARCELI'!Y$39:Y$45)+SUMIF('ORTIZ RAMIREZ HECTOR MANUEL'!T$40:T$46,'KM POR UNIDAD'!E7,'ORTIZ RAMIREZ HECTOR MANUEL'!Y$40:Y$46)+SUMIF('ONTIVEROS LIRA JUAN'!T$40:T$46,'KM POR UNIDAD'!E7,'ONTIVEROS LIRA JUAN'!Y$40:Y$46)+SUMIF('RODRIGUEZ FLORES BRYAN DARIO'!T$40:T$46,'KM POR UNIDAD'!E7,'RODRIGUEZ FLORES BRYAN DARIO'!Y$40:Y$46)+SUMIF('NUÑEZ RUIZ IRVING JAVIER.'!T$42:T$48,'KM POR UNIDAD'!E7,'NUÑEZ RUIZ IRVING JAVIER.'!Y$42:Y$48)+SUMIF('MACHADO MAZUCA ADOLFO'!T$40:T$46,'KM POR UNIDAD'!E7,'MACHADO MAZUCA ADOLFO'!Y$40:Y$46)+SUMIF('LIRA ARCEO JOEL EDUARDO'!T$40:T$46,'KM POR UNIDAD'!E7,'LIRA ARCEO JOEL EDUARDO'!Y$41:Y$46)+SUMIF('ANCHONDO ROMERO CESAR ALEJANDRO'!T$40:T$46,'KM POR UNIDAD'!E7,'ANCHONDO ROMERO CESAR ALEJANDRO'!Y$40:Y$46)</f>
        <v>#REF!</v>
      </c>
      <c r="G7" s="146"/>
    </row>
    <row r="8" spans="1:11" x14ac:dyDescent="0.25">
      <c r="A8" s="143" t="s">
        <v>133</v>
      </c>
      <c r="B8" s="144">
        <f>+SUMIF('AGUILAR ESQUIVEL CARLOS'!P$40:P$46,'KM POR UNIDAD'!A8,'AGUILAR ESQUIVEL CARLOS'!U$40:U$46)+SUMIF('AGUILAR RODRIGUEZ JORGE ALONSO'!P$40:P$46,'KM POR UNIDAD'!A8,'AGUILAR RODRIGUEZ JORGE ALONSO'!U$40:U$46)+SUMIF('REYES LARA DANTE'!P$40:P$46,'KM POR UNIDAD'!A8,'REYES LARA DANTE'!U$40:U$46)+SUMIF('RAMIREZ BAUTISTA ADRIAN'!P$40:P$46,'KM POR UNIDAD'!A8,'RAMIREZ BAUTISTA ADRIAN'!U$40:U$46)+SUMIF('FLORES BOJORQUEZ BRYAN OVED'!P$40:P$46,'KM POR UNIDAD'!A8,'FLORES BOJORQUEZ BRYAN OVED'!U$40:U$46)+SUMIF('BALDERRAMA ROBLES JORGE'!P$40:P$46,'KM POR UNIDAD'!A8,'BALDERRAMA ROBLES JORGE'!U$40:U$46)+SUMIF('BURGOS TORRES RIGOBERTO'!P$39:P$45,'KM POR UNIDAD'!A8,'BURGOS TORRES RIGOBERTO'!U$39:U$45)+SUMIF('CORDOVA URIBE JOSE  ADRIAN'!P$40:P$46,'KM POR UNIDAD'!A8,'CORDOVA URIBE JOSE  ADRIAN'!U$40:U$46)+SUMIF('GUZMAN CHAPARRO PEDRO'!P$40:P$46,'KM POR UNIDAD'!A8,'GUZMAN CHAPARRO PEDRO'!U$40:U$46)+SUMIF('HERNANDEZ LICANO JOSE LUIS'!P$40:P$46,'KM POR UNIDAD'!A8,'HERNANDEZ LICANO JOSE LUIS'!U$40:U$46)+SUMIF('CARRERA REYES MARTIN SEBASTIAN'!P$41:P$47,'KM POR UNIDAD'!A8,'CARRERA REYES MARTIN SEBASTIAN'!U$41:U$47)+SUMIF('RUIZ SAUCEDO DANIEL ALEJANDRO'!P$40:P$46,'KM POR UNIDAD'!A8,'RUIZ SAUCEDO DANIEL ALEJANDRO'!U$40:U$46)+SUMIF('MARTINEZ RAMIREZ ROSALIO'!P$40:P$46,'KM POR UNIDAD'!A8,'MARTINEZ RAMIREZ ROSALIO'!U$40:U$46)+SUMIF('BALLEZA RAMIREZ JESUS JOSE'!P$40:P$46,'KM POR UNIDAD'!A8,'BALLEZA RAMIREZ JESUS JOSE'!U$40:U$46)+SUMIF('MONTERO BURROLA LUIS'!P$38:P$44,'KM POR UNIDAD'!A8,'MONTERO BURROLA LUIS'!U$38:U$44)+SUMIF('AGUILERA CONTRERAS LUIS GERARDO'!P$41:P$47,'KM POR UNIDAD'!A8,'AGUILERA CONTRERAS LUIS GERARDO'!U$41:U$47)+SUMIF('MORALES LOPEZ DE LARA MARIANO'!P$40:P$46,'KM POR UNIDAD'!A8,'MORALES LOPEZ DE LARA MARIANO'!U$40:U$46)+SUMIF('MELENDEZ SINALOA MANUEL ARAT'!P$40:P$46,'KM POR UNIDAD'!A8,'MELENDEZ SINALOA MANUEL ARAT'!U$40:U$46)+SUMIF('MORALES LECHUGA GONZALO'!P$40:P$46,'KM POR UNIDAD'!A8,'MORALES LECHUGA GONZALO'!U$40:U$46)+SUMIF('ORONA BECERRA MAURO JOSE'!P$40:P$46,'KM POR UNIDAD'!A8,'ORONA BECERRA MAURO JOSE'!U$40:U$46)+SUMIF('VALLES HERNANDEZ MANUEL MARCELI'!P$39:P$45,'KM POR UNIDAD'!A8,'VALLES HERNANDEZ MANUEL MARCELI'!U$39:U$45)+SUMIF('ORTIZ RAMIREZ HECTOR MANUEL'!P$40:P$46,'KM POR UNIDAD'!A8,'ORTIZ RAMIREZ HECTOR MANUEL'!U$40:U$46)+SUMIF('ONTIVEROS LIRA JUAN'!P$40:P$46,'KM POR UNIDAD'!A8,'ONTIVEROS LIRA JUAN'!U$40:U$46)+SUMIF('RODRIGUEZ FLORES BRYAN DARIO'!P$40:P$46,'KM POR UNIDAD'!A8,'RODRIGUEZ FLORES BRYAN DARIO'!U$40:U$46)+SUMIF('NUÑEZ RUIZ IRVING JAVIER.'!P$42:P$48,'KM POR UNIDAD'!A8,'NUÑEZ RUIZ IRVING JAVIER.'!U$42:U$48)+SUMIF('MACHADO MAZUCA ADOLFO'!P$40:P$46,'KM POR UNIDAD'!A8,'MACHADO MAZUCA ADOLFO'!U$40:U$46)+SUMIF('LIRA ARCEO JOEL EDUARDO'!P$40:P$46,'KM POR UNIDAD'!A8,'LIRA ARCEO JOEL EDUARDO'!U$40:U$46)+SUMIF('ANCHONDO ROMERO CESAR ALEJANDRO'!P$40:P$46,'KM POR UNIDAD'!A8,'ANCHONDO ROMERO CESAR ALEJANDRO'!U$40:U$46)</f>
        <v>0</v>
      </c>
      <c r="C8" s="150">
        <f ca="1">+SUMIF('AGUILAR ESQUIVEL CARLOS'!P$40:P$46,'KM POR UNIDAD'!A8,'AGUILAR ESQUIVEL CARLOS'!T$40:T$46)+SUMIF('AGUILAR RODRIGUEZ JORGE ALONSO'!P$40:P$46,'KM POR UNIDAD'!A8,'AGUILAR RODRIGUEZ JORGE ALONSO'!T$40:T$46)+SUMIF('REYES LARA DANTE'!P$40:P$46,'KM POR UNIDAD'!A8,'REYES LARA DANTE'!T$40:T$46)+SUMIF('RAMIREZ BAUTISTA ADRIAN'!P$40:P$46,'KM POR UNIDAD'!A8,'RAMIREZ BAUTISTA ADRIAN'!T$40:T$46)+SUMIF('FLORES BOJORQUEZ BRYAN OVED'!P$40:P$46,'KM POR UNIDAD'!A8,'FLORES BOJORQUEZ BRYAN OVED'!T$40:T$46)+SUMIF('BALDERRAMA ROBLES JORGE'!P$40:P$46,'KM POR UNIDAD'!A8,'BALDERRAMA ROBLES JORGE'!T$40:T$46)+SUMIF('BURGOS TORRES RIGOBERTO'!P$39:P$45,'KM POR UNIDAD'!A8,'BURGOS TORRES RIGOBERTO'!T$39:T$45)+SUMIF('CORDOVA URIBE JOSE  ADRIAN'!P$40:P$46,'KM POR UNIDAD'!A8,'CORDOVA URIBE JOSE  ADRIAN'!T$40:T$46)+SUMIF('GUZMAN CHAPARRO PEDRO'!P$40:P$46,'KM POR UNIDAD'!A8,'GUZMAN CHAPARRO PEDRO'!T$40:T$46)+SUMIF('HERNANDEZ LICANO JOSE LUIS'!P$40:P$46,'KM POR UNIDAD'!A8,'HERNANDEZ LICANO JOSE LUIS'!T$40:T$46)+SUMIF('CARRERA REYES MARTIN SEBASTIAN'!P$41:P$47,'KM POR UNIDAD'!A8,'CARRERA REYES MARTIN SEBASTIAN'!T$41:T$47)+SUMIF('RUIZ SAUCEDO DANIEL ALEJANDRO'!P$40:P$46,'KM POR UNIDAD'!A8,'RUIZ SAUCEDO DANIEL ALEJANDRO'!T$40:T$46)+SUMIF('MARTINEZ RAMIREZ ROSALIO'!P$40:P$46,'KM POR UNIDAD'!A8,'MARTINEZ RAMIREZ ROSALIO'!T$40:T$46)+SUMIF('BALLEZA RAMIREZ JESUS JOSE'!P$40:P$46,'KM POR UNIDAD'!A8,'BALLEZA RAMIREZ JESUS JOSE'!T$40:T$46)+SUMIF('MONTERO BURROLA LUIS'!P$38:P$44,'KM POR UNIDAD'!A8,'MONTERO BURROLA LUIS'!T$38:T$44)+SUMIF('AGUILERA CONTRERAS LUIS GERARDO'!P$41:P$47,'KM POR UNIDAD'!A8,'AGUILERA CONTRERAS LUIS GERARDO'!T$41:T$47)+SUMIF('MORALES LOPEZ DE LARA MARIANO'!P$40:P$46,'KM POR UNIDAD'!A8,'MORALES LOPEZ DE LARA MARIANO'!T$40:T$46)+SUMIF('MELENDEZ SINALOA MANUEL ARAT'!P$40:P$46,'KM POR UNIDAD'!A8,'MELENDEZ SINALOA MANUEL ARAT'!T$40:T$46)+SUMIF('MORALES LECHUGA GONZALO'!P$40:P$46,'KM POR UNIDAD'!A8,'MORALES LECHUGA GONZALO'!T$40:T$46)+SUMIF('ORONA BECERRA MAURO JOSE'!P$40:P$46,'KM POR UNIDAD'!A8,'ORONA BECERRA MAURO JOSE'!T$40:T$46)+SUMIF('VALLES HERNANDEZ MANUEL MARCELI'!P$39:P$45,'KM POR UNIDAD'!A8,'VALLES HERNANDEZ MANUEL MARCELI'!T$39:T$45)+SUMIF('ORTIZ RAMIREZ HECTOR MANUEL'!P$40:P$46,'KM POR UNIDAD'!A8,'ORTIZ RAMIREZ HECTOR MANUEL'!T$40:T$46)+SUMIF('ONTIVEROS LIRA JUAN'!P$40:P$446,'KM POR UNIDAD'!A8,'ONTIVEROS LIRA JUAN'!T$40:T$46)+SUMIF('RODRIGUEZ FLORES BRYAN DARIO'!P$40:P$46,'KM POR UNIDAD'!A8,'RODRIGUEZ FLORES BRYAN DARIO'!T$40:T$46)+SUMIF('NUÑEZ RUIZ IRVING JAVIER.'!P$42:P$48,'KM POR UNIDAD'!A8,'NUÑEZ RUIZ IRVING JAVIER.'!T$42:T$48)+SUMIF('MACHADO MAZUCA ADOLFO'!P$40:P$46,'KM POR UNIDAD'!A8,'MACHADO MAZUCA ADOLFO'!T$40:T$46)+SUMIF('LIRA ARCEO JOEL EDUARDO'!P$40:P$46,'KM POR UNIDAD'!A8,'LIRA ARCEO JOEL EDUARDO'!T$40:T$46)+SUMIF('ANCHONDO ROMERO CESAR ALEJANDRO'!P$40:P$46,'KM POR UNIDAD'!A8,'ANCHONDO ROMERO CESAR ALEJANDRO'!T$40:T$46)</f>
        <v>0</v>
      </c>
      <c r="D8" s="150">
        <f>+SUMIF('AGUILAR ESQUIVEL CARLOS'!P$40:P$46,'KM POR UNIDAD'!A8,'AGUILAR ESQUIVEL CARLOS'!V$40:V$46)+SUMIF('AGUILAR RODRIGUEZ JORGE ALONSO'!P$40:P$46,'KM POR UNIDAD'!A8,'AGUILAR RODRIGUEZ JORGE ALONSO'!V$40:V$46)+SUMIF('REYES LARA DANTE'!P$40:P$46,'KM POR UNIDAD'!A8,'REYES LARA DANTE'!V$40:V$46)+SUMIF('RAMIREZ BAUTISTA ADRIAN'!P$40:P$46,'KM POR UNIDAD'!A8,'RAMIREZ BAUTISTA ADRIAN'!V$40:V$46)+SUMIF('FLORES BOJORQUEZ BRYAN OVED'!P$40:P$46,'KM POR UNIDAD'!A8,'FLORES BOJORQUEZ BRYAN OVED'!V$40:V$46)+SUMIF('BALDERRAMA ROBLES JORGE'!P$40:P$46,'KM POR UNIDAD'!A8,'BALDERRAMA ROBLES JORGE'!V$40:V$46)+SUMIF('BURGOS TORRES RIGOBERTO'!P$39:P$45,'KM POR UNIDAD'!A8,'BURGOS TORRES RIGOBERTO'!V$39:V$45)+SUMIF('CORDOVA URIBE JOSE  ADRIAN'!P$40:P$46,'KM POR UNIDAD'!A8,'CORDOVA URIBE JOSE  ADRIAN'!V$40:V$46)+SUMIF('GUZMAN CHAPARRO PEDRO'!P$40:P$46,'KM POR UNIDAD'!A8,'GUZMAN CHAPARRO PEDRO'!V$40:V$46)+SUMIF('HERNANDEZ LICANO JOSE LUIS'!P$40:P$46,'KM POR UNIDAD'!A8,'HERNANDEZ LICANO JOSE LUIS'!V$40:V$46)+SUMIF('CARRERA REYES MARTIN SEBASTIAN'!P$41:P$47,'KM POR UNIDAD'!A8,'CARRERA REYES MARTIN SEBASTIAN'!V$41:V$47)+SUMIF('RUIZ SAUCEDO DANIEL ALEJANDRO'!P$40:P$46,'KM POR UNIDAD'!A8,'RUIZ SAUCEDO DANIEL ALEJANDRO'!V$40:V$46)+SUMIF('MARTINEZ RAMIREZ ROSALIO'!P$40:P$46,'KM POR UNIDAD'!A8,'MARTINEZ RAMIREZ ROSALIO'!V$40:V$46)+SUMIF('BALLEZA RAMIREZ JESUS JOSE'!P$40:P$46,'KM POR UNIDAD'!A8,'BALLEZA RAMIREZ JESUS JOSE'!V$40:V$46)+SUMIF('MONTERO BURROLA LUIS'!P$38:P$44,'KM POR UNIDAD'!A8,'MONTERO BURROLA LUIS'!V$38:V$44)+SUMIF('AGUILERA CONTRERAS LUIS GERARDO'!P$41:P$47,'KM POR UNIDAD'!A8,'AGUILERA CONTRERAS LUIS GERARDO'!V$41:V$47)+SUMIF('MORALES LOPEZ DE LARA MARIANO'!P$40:P$46,'KM POR UNIDAD'!A8,'MORALES LOPEZ DE LARA MARIANO'!V$40:V$46)+SUMIF('MELENDEZ SINALOA MANUEL ARAT'!P$40:P$46,'KM POR UNIDAD'!A8,'MELENDEZ SINALOA MANUEL ARAT'!V$40:V$46)+SUMIF('MORALES LECHUGA GONZALO'!P$40:P$46,'KM POR UNIDAD'!A8,'MORALES LECHUGA GONZALO'!V$40:V$46)+SUMIF('ORONA BECERRA MAURO JOSE'!P$40:P$46,'KM POR UNIDAD'!A8,'ORONA BECERRA MAURO JOSE'!V$40:V$46)+SUMIF('VALLES HERNANDEZ MANUEL MARCELI'!P$39:P$45,'KM POR UNIDAD'!A8,'VALLES HERNANDEZ MANUEL MARCELI'!V$39:V$45)+SUMIF('ORTIZ RAMIREZ HECTOR MANUEL'!P$40:P$46,'KM POR UNIDAD'!A8,'ORTIZ RAMIREZ HECTOR MANUEL'!V$40:V$46)+SUMIF('ONTIVEROS LIRA JUAN'!P$40:P$46,'KM POR UNIDAD'!A8,'ONTIVEROS LIRA JUAN'!V$40:V$46)+SUMIF('RODRIGUEZ FLORES BRYAN DARIO'!P$40:P$46,'KM POR UNIDAD'!A8,'RODRIGUEZ FLORES BRYAN DARIO'!V$40:V$46)+SUMIF('NUÑEZ RUIZ IRVING JAVIER.'!P$42:P$48,'KM POR UNIDAD'!A8,'NUÑEZ RUIZ IRVING JAVIER.'!V$42:V$48)+SUMIF('MACHADO MAZUCA ADOLFO'!P$40:P$46,'KM POR UNIDAD'!A8,'MACHADO MAZUCA ADOLFO'!V$40:V$46)+SUMIF('LIRA ARCEO JOEL EDUARDO'!P$40:P$46,'KM POR UNIDAD'!A8,'LIRA ARCEO JOEL EDUARDO'!V$40:V$46)+SUMIF('ANCHONDO ROMERO CESAR ALEJANDRO'!P$40:P$46,'KM POR UNIDAD'!A8,'ANCHONDO ROMERO CESAR ALEJANDRO'!V$40:V$46)</f>
        <v>0</v>
      </c>
      <c r="E8" s="145">
        <f t="shared" si="0"/>
        <v>0</v>
      </c>
      <c r="F8" s="144" t="e">
        <f ca="1">+SUMIF('AGUILAR ESQUIVEL CARLOS'!T$40:T$46,'KM POR UNIDAD'!E8,'AGUILAR ESQUIVEL CARLOS'!W$40:W$46)+SUMIF('AGUILAR RODRIGUEZ JORGE ALONSO'!T$40:T$46,'KM POR UNIDAD'!E8,'AGUILAR RODRIGUEZ JORGE ALONSO'!Y$40:Y$46)+SUMIF('REYES LARA DANTE'!T$40:T$46,'KM POR UNIDAD'!E8,'REYES LARA DANTE'!Y$40:Y$46)+SUMIF('RAMIREZ BAUTISTA ADRIAN'!T$40:T$46,'KM POR UNIDAD'!E8,'RAMIREZ BAUTISTA ADRIAN'!Y$40:Y$46)+SUMIF('FLORES BOJORQUEZ BRYAN OVED'!T$40:T$46,'KM POR UNIDAD'!E8,'FLORES BOJORQUEZ BRYAN OVED'!Y$40:Y$46)+SUMIF('BALDERRAMA ROBLES JORGE'!T$40:T$46,'KM POR UNIDAD'!E8,'BALDERRAMA ROBLES JORGE'!#REF!)+SUMIF('BURGOS TORRES RIGOBERTO'!T$39:T$45,'KM POR UNIDAD'!E8,'BURGOS TORRES RIGOBERTO'!Y$39:Y$45)+SUMIF('CORDOVA URIBE JOSE  ADRIAN'!T$40:T$46,'KM POR UNIDAD'!E8,'CORDOVA URIBE JOSE  ADRIAN'!Y$40:Y$46)+SUMIF('GUZMAN CHAPARRO PEDRO'!T$40:T$46,'KM POR UNIDAD'!E8,'GUZMAN CHAPARRO PEDRO'!Y$40:Y$46)+SUMIF('HERNANDEZ LICANO JOSE LUIS'!T$40:T$46,'KM POR UNIDAD'!E8,'HERNANDEZ LICANO JOSE LUIS'!#REF!)+SUMIF('CARRERA REYES MARTIN SEBASTIAN'!T$41:T$47,'KM POR UNIDAD'!E8,'CARRERA REYES MARTIN SEBASTIAN'!Y$41:Y$47)+SUMIF('RUIZ SAUCEDO DANIEL ALEJANDRO'!T$40:T$46,'KM POR UNIDAD'!E8,'RUIZ SAUCEDO DANIEL ALEJANDRO'!Y$40:Y$46)+SUMIF('MARTINEZ RAMIREZ ROSALIO'!T$40:T$46,'KM POR UNIDAD'!E8,'MARTINEZ RAMIREZ ROSALIO'!Y$40:Y$46)+SUMIF('BALLEZA RAMIREZ JESUS JOSE'!T$40:T$46,'KM POR UNIDAD'!E8,'BALLEZA RAMIREZ JESUS JOSE'!T$176:T$180)+SUMIF('MONTERO BURROLA LUIS'!T$38:T$44,'KM POR UNIDAD'!E8,'MONTERO BURROLA LUIS'!Y$38:Y$44)+SUMIF('AGUILERA CONTRERAS LUIS GERARDO'!T$41:T$47,'KM POR UNIDAD'!E8,'AGUILERA CONTRERAS LUIS GERARDO'!Y$41:Y$47)+SUMIF('MORALES LOPEZ DE LARA MARIANO'!T$40:T$46,'KM POR UNIDAD'!E8,'MORALES LOPEZ DE LARA MARIANO'!Y$40:Y$46)+SUMIF('MELENDEZ SINALOA MANUEL ARAT'!T$40:T$46,'KM POR UNIDAD'!E8,'MELENDEZ SINALOA MANUEL ARAT'!#REF!)+SUMIF('MORALES LECHUGA GONZALO'!T$40:T$46,'KM POR UNIDAD'!E8,'MORALES LECHUGA GONZALO'!Y$40:Y$46)+SUMIF('ORONA BECERRA MAURO JOSE'!T$40:T$46,'KM POR UNIDAD'!E8,'ORONA BECERRA MAURO JOSE'!Y$40:Y$46)+SUMIF('VALLES HERNANDEZ MANUEL MARCELI'!T$39:T$45,'KM POR UNIDAD'!E8,'VALLES HERNANDEZ MANUEL MARCELI'!Y$39:Y$45)+SUMIF('ORTIZ RAMIREZ HECTOR MANUEL'!T$40:T$46,'KM POR UNIDAD'!E8,'ORTIZ RAMIREZ HECTOR MANUEL'!Y$40:Y$46)+SUMIF('ONTIVEROS LIRA JUAN'!T$40:T$46,'KM POR UNIDAD'!E8,'ONTIVEROS LIRA JUAN'!Y$40:Y$46)+SUMIF('RODRIGUEZ FLORES BRYAN DARIO'!T$40:T$46,'KM POR UNIDAD'!E8,'RODRIGUEZ FLORES BRYAN DARIO'!Y$40:Y$46)+SUMIF('NUÑEZ RUIZ IRVING JAVIER.'!T$42:T$48,'KM POR UNIDAD'!E8,'NUÑEZ RUIZ IRVING JAVIER.'!Y$42:Y$48)+SUMIF('MACHADO MAZUCA ADOLFO'!T$40:T$46,'KM POR UNIDAD'!E8,'MACHADO MAZUCA ADOLFO'!Y$40:Y$46)+SUMIF('LIRA ARCEO JOEL EDUARDO'!T$40:T$46,'KM POR UNIDAD'!E8,'LIRA ARCEO JOEL EDUARDO'!Y$41:Y$46)+SUMIF('ANCHONDO ROMERO CESAR ALEJANDRO'!T$40:T$46,'KM POR UNIDAD'!E8,'ANCHONDO ROMERO CESAR ALEJANDRO'!Y$40:Y$46)</f>
        <v>#REF!</v>
      </c>
      <c r="G8" s="146"/>
    </row>
    <row r="9" spans="1:11" x14ac:dyDescent="0.25">
      <c r="A9" s="143" t="s">
        <v>113</v>
      </c>
      <c r="B9" s="144">
        <f>+SUMIF('AGUILAR ESQUIVEL CARLOS'!P$40:P$46,'KM POR UNIDAD'!A9,'AGUILAR ESQUIVEL CARLOS'!U$40:U$46)+SUMIF('AGUILAR RODRIGUEZ JORGE ALONSO'!P$40:P$46,'KM POR UNIDAD'!A9,'AGUILAR RODRIGUEZ JORGE ALONSO'!U$40:U$46)+SUMIF('REYES LARA DANTE'!P$40:P$46,'KM POR UNIDAD'!A9,'REYES LARA DANTE'!U$40:U$46)+SUMIF('RAMIREZ BAUTISTA ADRIAN'!P$40:P$46,'KM POR UNIDAD'!A9,'RAMIREZ BAUTISTA ADRIAN'!U$40:U$46)+SUMIF('FLORES BOJORQUEZ BRYAN OVED'!P$40:P$46,'KM POR UNIDAD'!A9,'FLORES BOJORQUEZ BRYAN OVED'!U$40:U$46)+SUMIF('BALDERRAMA ROBLES JORGE'!P$40:P$46,'KM POR UNIDAD'!A9,'BALDERRAMA ROBLES JORGE'!U$40:U$46)+SUMIF('BURGOS TORRES RIGOBERTO'!P$39:P$45,'KM POR UNIDAD'!A9,'BURGOS TORRES RIGOBERTO'!U$39:U$45)+SUMIF('CORDOVA URIBE JOSE  ADRIAN'!P$40:P$46,'KM POR UNIDAD'!A9,'CORDOVA URIBE JOSE  ADRIAN'!U$40:U$46)+SUMIF('GUZMAN CHAPARRO PEDRO'!P$40:P$46,'KM POR UNIDAD'!A9,'GUZMAN CHAPARRO PEDRO'!U$40:U$46)+SUMIF('HERNANDEZ LICANO JOSE LUIS'!P$40:P$46,'KM POR UNIDAD'!A9,'HERNANDEZ LICANO JOSE LUIS'!U$40:U$46)+SUMIF('CARRERA REYES MARTIN SEBASTIAN'!P$41:P$47,'KM POR UNIDAD'!A9,'CARRERA REYES MARTIN SEBASTIAN'!U$41:U$47)+SUMIF('RUIZ SAUCEDO DANIEL ALEJANDRO'!P$40:P$46,'KM POR UNIDAD'!A9,'RUIZ SAUCEDO DANIEL ALEJANDRO'!U$40:U$46)+SUMIF('MARTINEZ RAMIREZ ROSALIO'!P$40:P$46,'KM POR UNIDAD'!A9,'MARTINEZ RAMIREZ ROSALIO'!U$40:U$46)+SUMIF('BALLEZA RAMIREZ JESUS JOSE'!P$40:P$46,'KM POR UNIDAD'!A9,'BALLEZA RAMIREZ JESUS JOSE'!U$40:U$46)+SUMIF('MONTERO BURROLA LUIS'!P$38:P$44,'KM POR UNIDAD'!A9,'MONTERO BURROLA LUIS'!U$38:U$44)+SUMIF('AGUILERA CONTRERAS LUIS GERARDO'!P$41:P$47,'KM POR UNIDAD'!A9,'AGUILERA CONTRERAS LUIS GERARDO'!U$41:U$47)+SUMIF('MORALES LOPEZ DE LARA MARIANO'!P$40:P$46,'KM POR UNIDAD'!A9,'MORALES LOPEZ DE LARA MARIANO'!U$40:U$46)+SUMIF('MELENDEZ SINALOA MANUEL ARAT'!P$40:P$46,'KM POR UNIDAD'!A9,'MELENDEZ SINALOA MANUEL ARAT'!U$40:U$46)+SUMIF('MORALES LECHUGA GONZALO'!P$40:P$46,'KM POR UNIDAD'!A9,'MORALES LECHUGA GONZALO'!U$40:U$46)+SUMIF('ORONA BECERRA MAURO JOSE'!P$40:P$46,'KM POR UNIDAD'!A9,'ORONA BECERRA MAURO JOSE'!U$40:U$46)+SUMIF('VALLES HERNANDEZ MANUEL MARCELI'!P$39:P$45,'KM POR UNIDAD'!A9,'VALLES HERNANDEZ MANUEL MARCELI'!U$39:U$45)+SUMIF('ORTIZ RAMIREZ HECTOR MANUEL'!P$40:P$46,'KM POR UNIDAD'!A9,'ORTIZ RAMIREZ HECTOR MANUEL'!U$40:U$46)+SUMIF('ONTIVEROS LIRA JUAN'!P$40:P$46,'KM POR UNIDAD'!A9,'ONTIVEROS LIRA JUAN'!U$40:U$46)+SUMIF('RODRIGUEZ FLORES BRYAN DARIO'!P$40:P$46,'KM POR UNIDAD'!A9,'RODRIGUEZ FLORES BRYAN DARIO'!U$40:U$46)+SUMIF('NUÑEZ RUIZ IRVING JAVIER.'!P$42:P$48,'KM POR UNIDAD'!A9,'NUÑEZ RUIZ IRVING JAVIER.'!U$42:U$48)+SUMIF('MACHADO MAZUCA ADOLFO'!P$40:P$46,'KM POR UNIDAD'!A9,'MACHADO MAZUCA ADOLFO'!U$40:U$46)+SUMIF('LIRA ARCEO JOEL EDUARDO'!P$40:P$46,'KM POR UNIDAD'!A9,'LIRA ARCEO JOEL EDUARDO'!U$40:U$46)+SUMIF('ANCHONDO ROMERO CESAR ALEJANDRO'!P$40:P$46,'KM POR UNIDAD'!A9,'ANCHONDO ROMERO CESAR ALEJANDRO'!U$40:U$46)</f>
        <v>0</v>
      </c>
      <c r="C9" s="150">
        <f ca="1">+SUMIF('AGUILAR ESQUIVEL CARLOS'!P$40:P$46,'KM POR UNIDAD'!A9,'AGUILAR ESQUIVEL CARLOS'!T$40:T$46)+SUMIF('AGUILAR RODRIGUEZ JORGE ALONSO'!P$40:P$46,'KM POR UNIDAD'!A9,'AGUILAR RODRIGUEZ JORGE ALONSO'!T$40:T$46)+SUMIF('REYES LARA DANTE'!P$40:P$46,'KM POR UNIDAD'!A9,'REYES LARA DANTE'!T$40:T$46)+SUMIF('RAMIREZ BAUTISTA ADRIAN'!P$40:P$46,'KM POR UNIDAD'!A9,'RAMIREZ BAUTISTA ADRIAN'!T$40:T$46)+SUMIF('FLORES BOJORQUEZ BRYAN OVED'!P$40:P$46,'KM POR UNIDAD'!A9,'FLORES BOJORQUEZ BRYAN OVED'!T$40:T$46)+SUMIF('BALDERRAMA ROBLES JORGE'!P$40:P$46,'KM POR UNIDAD'!A9,'BALDERRAMA ROBLES JORGE'!T$40:T$46)+SUMIF('BURGOS TORRES RIGOBERTO'!P$39:P$45,'KM POR UNIDAD'!A9,'BURGOS TORRES RIGOBERTO'!T$39:T$45)+SUMIF('CORDOVA URIBE JOSE  ADRIAN'!P$40:P$46,'KM POR UNIDAD'!A9,'CORDOVA URIBE JOSE  ADRIAN'!T$40:T$46)+SUMIF('GUZMAN CHAPARRO PEDRO'!P$40:P$46,'KM POR UNIDAD'!A9,'GUZMAN CHAPARRO PEDRO'!T$40:T$46)+SUMIF('HERNANDEZ LICANO JOSE LUIS'!P$40:P$46,'KM POR UNIDAD'!A9,'HERNANDEZ LICANO JOSE LUIS'!T$40:T$46)+SUMIF('CARRERA REYES MARTIN SEBASTIAN'!P$41:P$47,'KM POR UNIDAD'!A9,'CARRERA REYES MARTIN SEBASTIAN'!T$41:T$47)+SUMIF('RUIZ SAUCEDO DANIEL ALEJANDRO'!P$40:P$46,'KM POR UNIDAD'!A9,'RUIZ SAUCEDO DANIEL ALEJANDRO'!T$40:T$46)+SUMIF('MARTINEZ RAMIREZ ROSALIO'!P$40:P$46,'KM POR UNIDAD'!A9,'MARTINEZ RAMIREZ ROSALIO'!T$40:T$46)+SUMIF('BALLEZA RAMIREZ JESUS JOSE'!P$40:P$46,'KM POR UNIDAD'!A9,'BALLEZA RAMIREZ JESUS JOSE'!T$40:T$46)+SUMIF('MONTERO BURROLA LUIS'!P$38:P$44,'KM POR UNIDAD'!A9,'MONTERO BURROLA LUIS'!T$38:T$44)+SUMIF('AGUILERA CONTRERAS LUIS GERARDO'!P$41:P$47,'KM POR UNIDAD'!A9,'AGUILERA CONTRERAS LUIS GERARDO'!T$41:T$47)+SUMIF('MORALES LOPEZ DE LARA MARIANO'!P$40:P$46,'KM POR UNIDAD'!A9,'MORALES LOPEZ DE LARA MARIANO'!T$40:T$46)+SUMIF('MELENDEZ SINALOA MANUEL ARAT'!P$40:P$46,'KM POR UNIDAD'!A9,'MELENDEZ SINALOA MANUEL ARAT'!T$40:T$46)+SUMIF('MORALES LECHUGA GONZALO'!P$40:P$46,'KM POR UNIDAD'!A9,'MORALES LECHUGA GONZALO'!T$40:T$46)+SUMIF('ORONA BECERRA MAURO JOSE'!P$40:P$46,'KM POR UNIDAD'!A9,'ORONA BECERRA MAURO JOSE'!T$40:T$46)+SUMIF('VALLES HERNANDEZ MANUEL MARCELI'!P$39:P$45,'KM POR UNIDAD'!A9,'VALLES HERNANDEZ MANUEL MARCELI'!T$39:T$45)+SUMIF('ORTIZ RAMIREZ HECTOR MANUEL'!P$40:P$46,'KM POR UNIDAD'!A9,'ORTIZ RAMIREZ HECTOR MANUEL'!T$40:T$46)+SUMIF('ONTIVEROS LIRA JUAN'!P$40:P$446,'KM POR UNIDAD'!A9,'ONTIVEROS LIRA JUAN'!T$40:T$46)+SUMIF('RODRIGUEZ FLORES BRYAN DARIO'!P$40:P$46,'KM POR UNIDAD'!A9,'RODRIGUEZ FLORES BRYAN DARIO'!T$40:T$46)+SUMIF('NUÑEZ RUIZ IRVING JAVIER.'!P$42:P$48,'KM POR UNIDAD'!A9,'NUÑEZ RUIZ IRVING JAVIER.'!T$42:T$48)+SUMIF('MACHADO MAZUCA ADOLFO'!P$40:P$46,'KM POR UNIDAD'!A9,'MACHADO MAZUCA ADOLFO'!T$40:T$46)+SUMIF('LIRA ARCEO JOEL EDUARDO'!P$40:P$46,'KM POR UNIDAD'!A9,'LIRA ARCEO JOEL EDUARDO'!T$40:T$46)+SUMIF('ANCHONDO ROMERO CESAR ALEJANDRO'!P$40:P$46,'KM POR UNIDAD'!A9,'ANCHONDO ROMERO CESAR ALEJANDRO'!T$40:T$46)</f>
        <v>0</v>
      </c>
      <c r="D9" s="150">
        <f>+SUMIF('AGUILAR ESQUIVEL CARLOS'!P$40:P$46,'KM POR UNIDAD'!A9,'AGUILAR ESQUIVEL CARLOS'!V$40:V$46)+SUMIF('AGUILAR RODRIGUEZ JORGE ALONSO'!P$40:P$46,'KM POR UNIDAD'!A9,'AGUILAR RODRIGUEZ JORGE ALONSO'!V$40:V$46)+SUMIF('REYES LARA DANTE'!P$40:P$46,'KM POR UNIDAD'!A9,'REYES LARA DANTE'!V$40:V$46)+SUMIF('RAMIREZ BAUTISTA ADRIAN'!P$40:P$46,'KM POR UNIDAD'!A9,'RAMIREZ BAUTISTA ADRIAN'!V$40:V$46)+SUMIF('FLORES BOJORQUEZ BRYAN OVED'!P$40:P$46,'KM POR UNIDAD'!A9,'FLORES BOJORQUEZ BRYAN OVED'!V$40:V$46)+SUMIF('BALDERRAMA ROBLES JORGE'!P$40:P$46,'KM POR UNIDAD'!A9,'BALDERRAMA ROBLES JORGE'!V$40:V$46)+SUMIF('BURGOS TORRES RIGOBERTO'!P$39:P$45,'KM POR UNIDAD'!A9,'BURGOS TORRES RIGOBERTO'!V$39:V$45)+SUMIF('CORDOVA URIBE JOSE  ADRIAN'!P$40:P$46,'KM POR UNIDAD'!A9,'CORDOVA URIBE JOSE  ADRIAN'!V$40:V$46)+SUMIF('GUZMAN CHAPARRO PEDRO'!P$40:P$46,'KM POR UNIDAD'!A9,'GUZMAN CHAPARRO PEDRO'!V$40:V$46)+SUMIF('HERNANDEZ LICANO JOSE LUIS'!P$40:P$46,'KM POR UNIDAD'!A9,'HERNANDEZ LICANO JOSE LUIS'!V$40:V$46)+SUMIF('CARRERA REYES MARTIN SEBASTIAN'!P$41:P$47,'KM POR UNIDAD'!A9,'CARRERA REYES MARTIN SEBASTIAN'!V$41:V$47)+SUMIF('RUIZ SAUCEDO DANIEL ALEJANDRO'!P$40:P$46,'KM POR UNIDAD'!A9,'RUIZ SAUCEDO DANIEL ALEJANDRO'!V$40:V$46)+SUMIF('MARTINEZ RAMIREZ ROSALIO'!P$40:P$46,'KM POR UNIDAD'!A9,'MARTINEZ RAMIREZ ROSALIO'!V$40:V$46)+SUMIF('BALLEZA RAMIREZ JESUS JOSE'!P$40:P$46,'KM POR UNIDAD'!A9,'BALLEZA RAMIREZ JESUS JOSE'!V$40:V$46)+SUMIF('MONTERO BURROLA LUIS'!P$38:P$44,'KM POR UNIDAD'!A9,'MONTERO BURROLA LUIS'!V$38:V$44)+SUMIF('AGUILERA CONTRERAS LUIS GERARDO'!P$41:P$47,'KM POR UNIDAD'!A9,'AGUILERA CONTRERAS LUIS GERARDO'!V$41:V$47)+SUMIF('MORALES LOPEZ DE LARA MARIANO'!P$40:P$46,'KM POR UNIDAD'!A9,'MORALES LOPEZ DE LARA MARIANO'!V$40:V$46)+SUMIF('MELENDEZ SINALOA MANUEL ARAT'!P$40:P$46,'KM POR UNIDAD'!A9,'MELENDEZ SINALOA MANUEL ARAT'!V$40:V$46)+SUMIF('MORALES LECHUGA GONZALO'!P$40:P$46,'KM POR UNIDAD'!A9,'MORALES LECHUGA GONZALO'!V$40:V$46)+SUMIF('ORONA BECERRA MAURO JOSE'!P$40:P$46,'KM POR UNIDAD'!A9,'ORONA BECERRA MAURO JOSE'!V$40:V$46)+SUMIF('VALLES HERNANDEZ MANUEL MARCELI'!P$39:P$45,'KM POR UNIDAD'!A9,'VALLES HERNANDEZ MANUEL MARCELI'!V$39:V$45)+SUMIF('ORTIZ RAMIREZ HECTOR MANUEL'!P$40:P$46,'KM POR UNIDAD'!A9,'ORTIZ RAMIREZ HECTOR MANUEL'!V$40:V$46)+SUMIF('ONTIVEROS LIRA JUAN'!P$40:P$46,'KM POR UNIDAD'!A9,'ONTIVEROS LIRA JUAN'!V$40:V$46)+SUMIF('RODRIGUEZ FLORES BRYAN DARIO'!P$40:P$46,'KM POR UNIDAD'!A9,'RODRIGUEZ FLORES BRYAN DARIO'!V$40:V$46)+SUMIF('NUÑEZ RUIZ IRVING JAVIER.'!P$42:P$48,'KM POR UNIDAD'!A9,'NUÑEZ RUIZ IRVING JAVIER.'!V$42:V$48)+SUMIF('MACHADO MAZUCA ADOLFO'!P$40:P$46,'KM POR UNIDAD'!A9,'MACHADO MAZUCA ADOLFO'!V$40:V$46)+SUMIF('LIRA ARCEO JOEL EDUARDO'!P$40:P$46,'KM POR UNIDAD'!A9,'LIRA ARCEO JOEL EDUARDO'!V$40:V$46)+SUMIF('ANCHONDO ROMERO CESAR ALEJANDRO'!P$40:P$46,'KM POR UNIDAD'!A9,'ANCHONDO ROMERO CESAR ALEJANDRO'!V$40:V$46)</f>
        <v>0</v>
      </c>
      <c r="E9" s="145">
        <f t="shared" si="0"/>
        <v>0</v>
      </c>
      <c r="F9" s="144" t="e">
        <f ca="1">+SUMIF('AGUILAR ESQUIVEL CARLOS'!T$40:T$46,'KM POR UNIDAD'!E9,'AGUILAR ESQUIVEL CARLOS'!W$40:W$46)+SUMIF('AGUILAR RODRIGUEZ JORGE ALONSO'!T$40:T$46,'KM POR UNIDAD'!E9,'AGUILAR RODRIGUEZ JORGE ALONSO'!Y$40:Y$46)+SUMIF('REYES LARA DANTE'!T$40:T$46,'KM POR UNIDAD'!E9,'REYES LARA DANTE'!Y$40:Y$46)+SUMIF('RAMIREZ BAUTISTA ADRIAN'!T$40:T$46,'KM POR UNIDAD'!E9,'RAMIREZ BAUTISTA ADRIAN'!Y$40:Y$46)+SUMIF('FLORES BOJORQUEZ BRYAN OVED'!T$40:T$46,'KM POR UNIDAD'!E9,'FLORES BOJORQUEZ BRYAN OVED'!Y$40:Y$46)+SUMIF('BALDERRAMA ROBLES JORGE'!T$40:T$46,'KM POR UNIDAD'!E9,'BALDERRAMA ROBLES JORGE'!#REF!)+SUMIF('BURGOS TORRES RIGOBERTO'!T$39:T$45,'KM POR UNIDAD'!E9,'BURGOS TORRES RIGOBERTO'!Y$39:Y$45)+SUMIF('CORDOVA URIBE JOSE  ADRIAN'!T$40:T$46,'KM POR UNIDAD'!E9,'CORDOVA URIBE JOSE  ADRIAN'!Y$40:Y$46)+SUMIF('GUZMAN CHAPARRO PEDRO'!T$40:T$46,'KM POR UNIDAD'!E9,'GUZMAN CHAPARRO PEDRO'!Y$40:Y$46)+SUMIF('HERNANDEZ LICANO JOSE LUIS'!T$40:T$46,'KM POR UNIDAD'!E9,'HERNANDEZ LICANO JOSE LUIS'!#REF!)+SUMIF('CARRERA REYES MARTIN SEBASTIAN'!T$41:T$47,'KM POR UNIDAD'!E9,'CARRERA REYES MARTIN SEBASTIAN'!Y$41:Y$47)+SUMIF('RUIZ SAUCEDO DANIEL ALEJANDRO'!T$40:T$46,'KM POR UNIDAD'!E9,'RUIZ SAUCEDO DANIEL ALEJANDRO'!Y$40:Y$46)+SUMIF('MARTINEZ RAMIREZ ROSALIO'!T$40:T$46,'KM POR UNIDAD'!E9,'MARTINEZ RAMIREZ ROSALIO'!Y$40:Y$46)+SUMIF('BALLEZA RAMIREZ JESUS JOSE'!T$40:T$46,'KM POR UNIDAD'!E9,'BALLEZA RAMIREZ JESUS JOSE'!T$176:T$180)+SUMIF('MONTERO BURROLA LUIS'!T$38:T$44,'KM POR UNIDAD'!E9,'MONTERO BURROLA LUIS'!Y$38:Y$44)+SUMIF('AGUILERA CONTRERAS LUIS GERARDO'!T$41:T$47,'KM POR UNIDAD'!E9,'AGUILERA CONTRERAS LUIS GERARDO'!Y$41:Y$47)+SUMIF('MORALES LOPEZ DE LARA MARIANO'!T$40:T$46,'KM POR UNIDAD'!E9,'MORALES LOPEZ DE LARA MARIANO'!Y$40:Y$46)+SUMIF('MELENDEZ SINALOA MANUEL ARAT'!T$40:T$46,'KM POR UNIDAD'!E9,'MELENDEZ SINALOA MANUEL ARAT'!#REF!)+SUMIF('MORALES LECHUGA GONZALO'!T$40:T$46,'KM POR UNIDAD'!E9,'MORALES LECHUGA GONZALO'!Y$40:Y$46)+SUMIF('ORONA BECERRA MAURO JOSE'!T$40:T$46,'KM POR UNIDAD'!E9,'ORONA BECERRA MAURO JOSE'!Y$40:Y$46)+SUMIF('VALLES HERNANDEZ MANUEL MARCELI'!T$39:T$45,'KM POR UNIDAD'!E9,'VALLES HERNANDEZ MANUEL MARCELI'!Y$39:Y$45)+SUMIF('ORTIZ RAMIREZ HECTOR MANUEL'!T$40:T$46,'KM POR UNIDAD'!E9,'ORTIZ RAMIREZ HECTOR MANUEL'!Y$40:Y$46)+SUMIF('ONTIVEROS LIRA JUAN'!T$40:T$46,'KM POR UNIDAD'!E9,'ONTIVEROS LIRA JUAN'!Y$40:Y$46)+SUMIF('RODRIGUEZ FLORES BRYAN DARIO'!T$40:T$46,'KM POR UNIDAD'!E9,'RODRIGUEZ FLORES BRYAN DARIO'!Y$40:Y$46)+SUMIF('NUÑEZ RUIZ IRVING JAVIER.'!T$42:T$48,'KM POR UNIDAD'!E9,'NUÑEZ RUIZ IRVING JAVIER.'!Y$42:Y$48)+SUMIF('MACHADO MAZUCA ADOLFO'!T$40:T$46,'KM POR UNIDAD'!E9,'MACHADO MAZUCA ADOLFO'!Y$40:Y$46)+SUMIF('LIRA ARCEO JOEL EDUARDO'!T$40:T$46,'KM POR UNIDAD'!E9,'LIRA ARCEO JOEL EDUARDO'!Y$41:Y$46)+SUMIF('ANCHONDO ROMERO CESAR ALEJANDRO'!T$40:T$46,'KM POR UNIDAD'!E9,'ANCHONDO ROMERO CESAR ALEJANDRO'!Y$40:Y$46)</f>
        <v>#REF!</v>
      </c>
      <c r="G9" s="146"/>
    </row>
    <row r="10" spans="1:11" x14ac:dyDescent="0.25">
      <c r="A10" s="143" t="s">
        <v>123</v>
      </c>
      <c r="B10" s="144">
        <f>+SUMIF('AGUILAR ESQUIVEL CARLOS'!P$40:P$46,'KM POR UNIDAD'!A10,'AGUILAR ESQUIVEL CARLOS'!U$40:U$46)+SUMIF('AGUILAR RODRIGUEZ JORGE ALONSO'!P$40:P$46,'KM POR UNIDAD'!A10,'AGUILAR RODRIGUEZ JORGE ALONSO'!U$40:U$46)+SUMIF('REYES LARA DANTE'!P$40:P$46,'KM POR UNIDAD'!A10,'REYES LARA DANTE'!U$40:U$46)+SUMIF('RAMIREZ BAUTISTA ADRIAN'!P$40:P$46,'KM POR UNIDAD'!A10,'RAMIREZ BAUTISTA ADRIAN'!U$40:U$46)+SUMIF('FLORES BOJORQUEZ BRYAN OVED'!P$40:P$46,'KM POR UNIDAD'!A10,'FLORES BOJORQUEZ BRYAN OVED'!U$40:U$46)+SUMIF('BALDERRAMA ROBLES JORGE'!P$40:P$46,'KM POR UNIDAD'!A10,'BALDERRAMA ROBLES JORGE'!U$40:U$46)+SUMIF('BURGOS TORRES RIGOBERTO'!P$39:P$45,'KM POR UNIDAD'!A10,'BURGOS TORRES RIGOBERTO'!U$39:U$45)+SUMIF('CORDOVA URIBE JOSE  ADRIAN'!P$40:P$46,'KM POR UNIDAD'!A10,'CORDOVA URIBE JOSE  ADRIAN'!U$40:U$46)+SUMIF('GUZMAN CHAPARRO PEDRO'!P$40:P$46,'KM POR UNIDAD'!A10,'GUZMAN CHAPARRO PEDRO'!U$40:U$46)+SUMIF('HERNANDEZ LICANO JOSE LUIS'!P$40:P$46,'KM POR UNIDAD'!A10,'HERNANDEZ LICANO JOSE LUIS'!U$40:U$46)+SUMIF('CARRERA REYES MARTIN SEBASTIAN'!P$41:P$47,'KM POR UNIDAD'!A10,'CARRERA REYES MARTIN SEBASTIAN'!U$41:U$47)+SUMIF('RUIZ SAUCEDO DANIEL ALEJANDRO'!P$40:P$46,'KM POR UNIDAD'!A10,'RUIZ SAUCEDO DANIEL ALEJANDRO'!U$40:U$46)+SUMIF('MARTINEZ RAMIREZ ROSALIO'!P$40:P$46,'KM POR UNIDAD'!A10,'MARTINEZ RAMIREZ ROSALIO'!U$40:U$46)+SUMIF('BALLEZA RAMIREZ JESUS JOSE'!P$40:P$46,'KM POR UNIDAD'!A10,'BALLEZA RAMIREZ JESUS JOSE'!U$40:U$46)+SUMIF('MONTERO BURROLA LUIS'!P$38:P$44,'KM POR UNIDAD'!A10,'MONTERO BURROLA LUIS'!U$38:U$44)+SUMIF('AGUILERA CONTRERAS LUIS GERARDO'!P$41:P$47,'KM POR UNIDAD'!A10,'AGUILERA CONTRERAS LUIS GERARDO'!U$41:U$47)+SUMIF('MORALES LOPEZ DE LARA MARIANO'!P$40:P$46,'KM POR UNIDAD'!A10,'MORALES LOPEZ DE LARA MARIANO'!U$40:U$46)+SUMIF('MELENDEZ SINALOA MANUEL ARAT'!P$40:P$46,'KM POR UNIDAD'!A10,'MELENDEZ SINALOA MANUEL ARAT'!U$40:U$46)+SUMIF('MORALES LECHUGA GONZALO'!P$40:P$46,'KM POR UNIDAD'!A10,'MORALES LECHUGA GONZALO'!U$40:U$46)+SUMIF('ORONA BECERRA MAURO JOSE'!P$40:P$46,'KM POR UNIDAD'!A10,'ORONA BECERRA MAURO JOSE'!U$40:U$46)+SUMIF('VALLES HERNANDEZ MANUEL MARCELI'!P$39:P$45,'KM POR UNIDAD'!A10,'VALLES HERNANDEZ MANUEL MARCELI'!U$39:U$45)+SUMIF('ORTIZ RAMIREZ HECTOR MANUEL'!P$40:P$46,'KM POR UNIDAD'!A10,'ORTIZ RAMIREZ HECTOR MANUEL'!U$40:U$46)+SUMIF('ONTIVEROS LIRA JUAN'!P$40:P$46,'KM POR UNIDAD'!A10,'ONTIVEROS LIRA JUAN'!U$40:U$46)+SUMIF('RODRIGUEZ FLORES BRYAN DARIO'!P$40:P$46,'KM POR UNIDAD'!A10,'RODRIGUEZ FLORES BRYAN DARIO'!U$40:U$46)+SUMIF('NUÑEZ RUIZ IRVING JAVIER.'!P$42:P$48,'KM POR UNIDAD'!A10,'NUÑEZ RUIZ IRVING JAVIER.'!U$42:U$48)+SUMIF('MACHADO MAZUCA ADOLFO'!P$40:P$46,'KM POR UNIDAD'!A10,'MACHADO MAZUCA ADOLFO'!U$40:U$46)+SUMIF('LIRA ARCEO JOEL EDUARDO'!P$40:P$46,'KM POR UNIDAD'!A10,'LIRA ARCEO JOEL EDUARDO'!U$40:U$46)+SUMIF('ANCHONDO ROMERO CESAR ALEJANDRO'!P$40:P$46,'KM POR UNIDAD'!A10,'ANCHONDO ROMERO CESAR ALEJANDRO'!U$40:U$46)</f>
        <v>3050</v>
      </c>
      <c r="C10" s="150">
        <f ca="1">+SUMIF('AGUILAR ESQUIVEL CARLOS'!P$40:P$46,'KM POR UNIDAD'!A10,'AGUILAR ESQUIVEL CARLOS'!T$40:T$46)+SUMIF('AGUILAR RODRIGUEZ JORGE ALONSO'!P$40:P$46,'KM POR UNIDAD'!A10,'AGUILAR RODRIGUEZ JORGE ALONSO'!T$40:T$46)+SUMIF('REYES LARA DANTE'!P$40:P$46,'KM POR UNIDAD'!A10,'REYES LARA DANTE'!T$40:T$46)+SUMIF('RAMIREZ BAUTISTA ADRIAN'!P$40:P$46,'KM POR UNIDAD'!A10,'RAMIREZ BAUTISTA ADRIAN'!T$40:T$46)+SUMIF('FLORES BOJORQUEZ BRYAN OVED'!P$40:P$46,'KM POR UNIDAD'!A10,'FLORES BOJORQUEZ BRYAN OVED'!T$40:T$46)+SUMIF('BALDERRAMA ROBLES JORGE'!P$40:P$46,'KM POR UNIDAD'!A10,'BALDERRAMA ROBLES JORGE'!T$40:T$46)+SUMIF('BURGOS TORRES RIGOBERTO'!P$39:P$45,'KM POR UNIDAD'!A10,'BURGOS TORRES RIGOBERTO'!T$39:T$45)+SUMIF('CORDOVA URIBE JOSE  ADRIAN'!P$40:P$46,'KM POR UNIDAD'!A10,'CORDOVA URIBE JOSE  ADRIAN'!T$40:T$46)+SUMIF('GUZMAN CHAPARRO PEDRO'!P$40:P$46,'KM POR UNIDAD'!A10,'GUZMAN CHAPARRO PEDRO'!T$40:T$46)+SUMIF('HERNANDEZ LICANO JOSE LUIS'!P$40:P$46,'KM POR UNIDAD'!A10,'HERNANDEZ LICANO JOSE LUIS'!T$40:T$46)+SUMIF('CARRERA REYES MARTIN SEBASTIAN'!P$41:P$47,'KM POR UNIDAD'!A10,'CARRERA REYES MARTIN SEBASTIAN'!T$41:T$47)+SUMIF('RUIZ SAUCEDO DANIEL ALEJANDRO'!P$40:P$46,'KM POR UNIDAD'!A10,'RUIZ SAUCEDO DANIEL ALEJANDRO'!T$40:T$46)+SUMIF('MARTINEZ RAMIREZ ROSALIO'!P$40:P$46,'KM POR UNIDAD'!A10,'MARTINEZ RAMIREZ ROSALIO'!T$40:T$46)+SUMIF('BALLEZA RAMIREZ JESUS JOSE'!P$40:P$46,'KM POR UNIDAD'!A10,'BALLEZA RAMIREZ JESUS JOSE'!T$40:T$46)+SUMIF('MONTERO BURROLA LUIS'!P$38:P$44,'KM POR UNIDAD'!A10,'MONTERO BURROLA LUIS'!T$38:T$44)+SUMIF('AGUILERA CONTRERAS LUIS GERARDO'!P$41:P$47,'KM POR UNIDAD'!A10,'AGUILERA CONTRERAS LUIS GERARDO'!T$41:T$47)+SUMIF('MORALES LOPEZ DE LARA MARIANO'!P$40:P$46,'KM POR UNIDAD'!A10,'MORALES LOPEZ DE LARA MARIANO'!T$40:T$46)+SUMIF('MELENDEZ SINALOA MANUEL ARAT'!P$40:P$46,'KM POR UNIDAD'!A10,'MELENDEZ SINALOA MANUEL ARAT'!T$40:T$46)+SUMIF('MORALES LECHUGA GONZALO'!P$40:P$46,'KM POR UNIDAD'!A10,'MORALES LECHUGA GONZALO'!T$40:T$46)+SUMIF('ORONA BECERRA MAURO JOSE'!P$40:P$46,'KM POR UNIDAD'!A10,'ORONA BECERRA MAURO JOSE'!T$40:T$46)+SUMIF('VALLES HERNANDEZ MANUEL MARCELI'!P$39:P$45,'KM POR UNIDAD'!A10,'VALLES HERNANDEZ MANUEL MARCELI'!T$39:T$45)+SUMIF('ORTIZ RAMIREZ HECTOR MANUEL'!P$40:P$46,'KM POR UNIDAD'!A10,'ORTIZ RAMIREZ HECTOR MANUEL'!T$40:T$46)+SUMIF('ONTIVEROS LIRA JUAN'!P$40:P$446,'KM POR UNIDAD'!A10,'ONTIVEROS LIRA JUAN'!T$40:T$46)+SUMIF('RODRIGUEZ FLORES BRYAN DARIO'!P$40:P$46,'KM POR UNIDAD'!A10,'RODRIGUEZ FLORES BRYAN DARIO'!T$40:T$46)+SUMIF('NUÑEZ RUIZ IRVING JAVIER.'!P$42:P$48,'KM POR UNIDAD'!A10,'NUÑEZ RUIZ IRVING JAVIER.'!T$42:T$48)+SUMIF('MACHADO MAZUCA ADOLFO'!P$40:P$46,'KM POR UNIDAD'!A10,'MACHADO MAZUCA ADOLFO'!T$40:T$46)+SUMIF('LIRA ARCEO JOEL EDUARDO'!P$40:P$46,'KM POR UNIDAD'!A10,'LIRA ARCEO JOEL EDUARDO'!T$40:T$46)+SUMIF('ANCHONDO ROMERO CESAR ALEJANDRO'!P$40:P$46,'KM POR UNIDAD'!A10,'ANCHONDO ROMERO CESAR ALEJANDRO'!T$40:T$46)</f>
        <v>2855</v>
      </c>
      <c r="D10" s="150">
        <f>+SUMIF('AGUILAR ESQUIVEL CARLOS'!P$40:P$46,'KM POR UNIDAD'!A10,'AGUILAR ESQUIVEL CARLOS'!V$40:V$46)+SUMIF('AGUILAR RODRIGUEZ JORGE ALONSO'!P$40:P$46,'KM POR UNIDAD'!A10,'AGUILAR RODRIGUEZ JORGE ALONSO'!V$40:V$46)+SUMIF('REYES LARA DANTE'!P$40:P$46,'KM POR UNIDAD'!A10,'REYES LARA DANTE'!V$40:V$46)+SUMIF('RAMIREZ BAUTISTA ADRIAN'!P$40:P$46,'KM POR UNIDAD'!A10,'RAMIREZ BAUTISTA ADRIAN'!V$40:V$46)+SUMIF('FLORES BOJORQUEZ BRYAN OVED'!P$40:P$46,'KM POR UNIDAD'!A10,'FLORES BOJORQUEZ BRYAN OVED'!V$40:V$46)+SUMIF('BALDERRAMA ROBLES JORGE'!P$40:P$46,'KM POR UNIDAD'!A10,'BALDERRAMA ROBLES JORGE'!V$40:V$46)+SUMIF('BURGOS TORRES RIGOBERTO'!P$39:P$45,'KM POR UNIDAD'!A10,'BURGOS TORRES RIGOBERTO'!V$39:V$45)+SUMIF('CORDOVA URIBE JOSE  ADRIAN'!P$40:P$46,'KM POR UNIDAD'!A10,'CORDOVA URIBE JOSE  ADRIAN'!V$40:V$46)+SUMIF('GUZMAN CHAPARRO PEDRO'!P$40:P$46,'KM POR UNIDAD'!A10,'GUZMAN CHAPARRO PEDRO'!V$40:V$46)+SUMIF('HERNANDEZ LICANO JOSE LUIS'!P$40:P$46,'KM POR UNIDAD'!A10,'HERNANDEZ LICANO JOSE LUIS'!V$40:V$46)+SUMIF('CARRERA REYES MARTIN SEBASTIAN'!P$41:P$47,'KM POR UNIDAD'!A10,'CARRERA REYES MARTIN SEBASTIAN'!V$41:V$47)+SUMIF('RUIZ SAUCEDO DANIEL ALEJANDRO'!P$40:P$46,'KM POR UNIDAD'!A10,'RUIZ SAUCEDO DANIEL ALEJANDRO'!V$40:V$46)+SUMIF('MARTINEZ RAMIREZ ROSALIO'!P$40:P$46,'KM POR UNIDAD'!A10,'MARTINEZ RAMIREZ ROSALIO'!V$40:V$46)+SUMIF('BALLEZA RAMIREZ JESUS JOSE'!P$40:P$46,'KM POR UNIDAD'!A10,'BALLEZA RAMIREZ JESUS JOSE'!V$40:V$46)+SUMIF('MONTERO BURROLA LUIS'!P$38:P$44,'KM POR UNIDAD'!A10,'MONTERO BURROLA LUIS'!V$38:V$44)+SUMIF('AGUILERA CONTRERAS LUIS GERARDO'!P$41:P$47,'KM POR UNIDAD'!A10,'AGUILERA CONTRERAS LUIS GERARDO'!V$41:V$47)+SUMIF('MORALES LOPEZ DE LARA MARIANO'!P$40:P$46,'KM POR UNIDAD'!A10,'MORALES LOPEZ DE LARA MARIANO'!V$40:V$46)+SUMIF('MELENDEZ SINALOA MANUEL ARAT'!P$40:P$46,'KM POR UNIDAD'!A10,'MELENDEZ SINALOA MANUEL ARAT'!V$40:V$46)+SUMIF('MORALES LECHUGA GONZALO'!P$40:P$46,'KM POR UNIDAD'!A10,'MORALES LECHUGA GONZALO'!V$40:V$46)+SUMIF('ORONA BECERRA MAURO JOSE'!P$40:P$46,'KM POR UNIDAD'!A10,'ORONA BECERRA MAURO JOSE'!V$40:V$46)+SUMIF('VALLES HERNANDEZ MANUEL MARCELI'!P$39:P$45,'KM POR UNIDAD'!A10,'VALLES HERNANDEZ MANUEL MARCELI'!V$39:V$45)+SUMIF('ORTIZ RAMIREZ HECTOR MANUEL'!P$40:P$46,'KM POR UNIDAD'!A10,'ORTIZ RAMIREZ HECTOR MANUEL'!V$40:V$46)+SUMIF('ONTIVEROS LIRA JUAN'!P$40:P$46,'KM POR UNIDAD'!A10,'ONTIVEROS LIRA JUAN'!V$40:V$46)+SUMIF('RODRIGUEZ FLORES BRYAN DARIO'!P$40:P$46,'KM POR UNIDAD'!A10,'RODRIGUEZ FLORES BRYAN DARIO'!V$40:V$46)+SUMIF('NUÑEZ RUIZ IRVING JAVIER.'!P$42:P$48,'KM POR UNIDAD'!A10,'NUÑEZ RUIZ IRVING JAVIER.'!V$42:V$48)+SUMIF('MACHADO MAZUCA ADOLFO'!P$40:P$46,'KM POR UNIDAD'!A10,'MACHADO MAZUCA ADOLFO'!V$40:V$46)+SUMIF('LIRA ARCEO JOEL EDUARDO'!P$40:P$46,'KM POR UNIDAD'!A10,'LIRA ARCEO JOEL EDUARDO'!V$40:V$46)+SUMIF('ANCHONDO ROMERO CESAR ALEJANDRO'!P$40:P$46,'KM POR UNIDAD'!A10,'ANCHONDO ROMERO CESAR ALEJANDRO'!V$40:V$46)</f>
        <v>901.05</v>
      </c>
      <c r="E10" s="145">
        <f t="shared" si="0"/>
        <v>3.3849397924643472</v>
      </c>
      <c r="F10" s="144" t="e">
        <f ca="1">+SUMIF('AGUILAR ESQUIVEL CARLOS'!T$40:T$46,'KM POR UNIDAD'!E10,'AGUILAR ESQUIVEL CARLOS'!W$40:W$46)+SUMIF('AGUILAR RODRIGUEZ JORGE ALONSO'!T$40:T$46,'KM POR UNIDAD'!E10,'AGUILAR RODRIGUEZ JORGE ALONSO'!Y$40:Y$46)+SUMIF('REYES LARA DANTE'!T$40:T$46,'KM POR UNIDAD'!E10,'REYES LARA DANTE'!Y$40:Y$46)+SUMIF('RAMIREZ BAUTISTA ADRIAN'!T$40:T$46,'KM POR UNIDAD'!E10,'RAMIREZ BAUTISTA ADRIAN'!Y$40:Y$46)+SUMIF('FLORES BOJORQUEZ BRYAN OVED'!T$40:T$46,'KM POR UNIDAD'!E10,'FLORES BOJORQUEZ BRYAN OVED'!Y$40:Y$46)+SUMIF('BALDERRAMA ROBLES JORGE'!T$40:T$46,'KM POR UNIDAD'!E10,'BALDERRAMA ROBLES JORGE'!#REF!)+SUMIF('BURGOS TORRES RIGOBERTO'!T$39:T$45,'KM POR UNIDAD'!E10,'BURGOS TORRES RIGOBERTO'!Y$39:Y$45)+SUMIF('CORDOVA URIBE JOSE  ADRIAN'!T$40:T$46,'KM POR UNIDAD'!E10,'CORDOVA URIBE JOSE  ADRIAN'!Y$40:Y$46)+SUMIF('GUZMAN CHAPARRO PEDRO'!T$40:T$46,'KM POR UNIDAD'!E10,'GUZMAN CHAPARRO PEDRO'!Y$40:Y$46)+SUMIF('HERNANDEZ LICANO JOSE LUIS'!T$40:T$46,'KM POR UNIDAD'!E10,'HERNANDEZ LICANO JOSE LUIS'!#REF!)+SUMIF('CARRERA REYES MARTIN SEBASTIAN'!T$41:T$47,'KM POR UNIDAD'!E10,'CARRERA REYES MARTIN SEBASTIAN'!Y$41:Y$47)+SUMIF('RUIZ SAUCEDO DANIEL ALEJANDRO'!T$40:T$46,'KM POR UNIDAD'!E10,'RUIZ SAUCEDO DANIEL ALEJANDRO'!Y$40:Y$46)+SUMIF('MARTINEZ RAMIREZ ROSALIO'!T$40:T$46,'KM POR UNIDAD'!E10,'MARTINEZ RAMIREZ ROSALIO'!Y$40:Y$46)+SUMIF('BALLEZA RAMIREZ JESUS JOSE'!T$40:T$46,'KM POR UNIDAD'!E10,'BALLEZA RAMIREZ JESUS JOSE'!T$176:T$180)+SUMIF('MONTERO BURROLA LUIS'!T$38:T$44,'KM POR UNIDAD'!E10,'MONTERO BURROLA LUIS'!Y$38:Y$44)+SUMIF('AGUILERA CONTRERAS LUIS GERARDO'!T$41:T$47,'KM POR UNIDAD'!E10,'AGUILERA CONTRERAS LUIS GERARDO'!Y$41:Y$47)+SUMIF('MORALES LOPEZ DE LARA MARIANO'!T$40:T$46,'KM POR UNIDAD'!E10,'MORALES LOPEZ DE LARA MARIANO'!Y$40:Y$46)+SUMIF('MELENDEZ SINALOA MANUEL ARAT'!T$40:T$46,'KM POR UNIDAD'!E10,'MELENDEZ SINALOA MANUEL ARAT'!#REF!)+SUMIF('MORALES LECHUGA GONZALO'!T$40:T$46,'KM POR UNIDAD'!E10,'MORALES LECHUGA GONZALO'!Y$40:Y$46)+SUMIF('ORONA BECERRA MAURO JOSE'!T$40:T$46,'KM POR UNIDAD'!E10,'ORONA BECERRA MAURO JOSE'!Y$40:Y$46)+SUMIF('VALLES HERNANDEZ MANUEL MARCELI'!T$39:T$45,'KM POR UNIDAD'!E10,'VALLES HERNANDEZ MANUEL MARCELI'!Y$39:Y$45)+SUMIF('ORTIZ RAMIREZ HECTOR MANUEL'!T$40:T$46,'KM POR UNIDAD'!E10,'ORTIZ RAMIREZ HECTOR MANUEL'!Y$40:Y$46)+SUMIF('ONTIVEROS LIRA JUAN'!T$40:T$46,'KM POR UNIDAD'!E10,'ONTIVEROS LIRA JUAN'!Y$40:Y$46)+SUMIF('RODRIGUEZ FLORES BRYAN DARIO'!T$40:T$46,'KM POR UNIDAD'!E10,'RODRIGUEZ FLORES BRYAN DARIO'!Y$40:Y$46)+SUMIF('NUÑEZ RUIZ IRVING JAVIER.'!T$42:T$48,'KM POR UNIDAD'!E10,'NUÑEZ RUIZ IRVING JAVIER.'!Y$42:Y$48)+SUMIF('MACHADO MAZUCA ADOLFO'!T$40:T$46,'KM POR UNIDAD'!E10,'MACHADO MAZUCA ADOLFO'!Y$40:Y$46)+SUMIF('LIRA ARCEO JOEL EDUARDO'!T$40:T$46,'KM POR UNIDAD'!E10,'LIRA ARCEO JOEL EDUARDO'!Y$41:Y$46)+SUMIF('ANCHONDO ROMERO CESAR ALEJANDRO'!T$40:T$46,'KM POR UNIDAD'!E10,'ANCHONDO ROMERO CESAR ALEJANDRO'!Y$40:Y$46)</f>
        <v>#REF!</v>
      </c>
      <c r="G10" s="146"/>
      <c r="K10" s="379"/>
    </row>
    <row r="11" spans="1:11" x14ac:dyDescent="0.25">
      <c r="A11" s="143" t="s">
        <v>131</v>
      </c>
      <c r="B11" s="144">
        <f>+SUMIF('AGUILAR ESQUIVEL CARLOS'!P$40:P$46,'KM POR UNIDAD'!A11,'AGUILAR ESQUIVEL CARLOS'!U$40:U$46)+SUMIF('AGUILAR RODRIGUEZ JORGE ALONSO'!P$40:P$46,'KM POR UNIDAD'!A11,'AGUILAR RODRIGUEZ JORGE ALONSO'!U$40:U$46)+SUMIF('REYES LARA DANTE'!P$40:P$46,'KM POR UNIDAD'!A11,'REYES LARA DANTE'!U$40:U$46)+SUMIF('RAMIREZ BAUTISTA ADRIAN'!P$40:P$46,'KM POR UNIDAD'!A11,'RAMIREZ BAUTISTA ADRIAN'!U$40:U$46)+SUMIF('FLORES BOJORQUEZ BRYAN OVED'!P$40:P$46,'KM POR UNIDAD'!A11,'FLORES BOJORQUEZ BRYAN OVED'!U$40:U$46)+SUMIF('BALDERRAMA ROBLES JORGE'!P$40:P$46,'KM POR UNIDAD'!A11,'BALDERRAMA ROBLES JORGE'!U$40:U$46)+SUMIF('BURGOS TORRES RIGOBERTO'!P$39:P$45,'KM POR UNIDAD'!A11,'BURGOS TORRES RIGOBERTO'!U$39:U$45)+SUMIF('CORDOVA URIBE JOSE  ADRIAN'!P$40:P$46,'KM POR UNIDAD'!A11,'CORDOVA URIBE JOSE  ADRIAN'!U$40:U$46)+SUMIF('GUZMAN CHAPARRO PEDRO'!P$40:P$46,'KM POR UNIDAD'!A11,'GUZMAN CHAPARRO PEDRO'!U$40:U$46)+SUMIF('HERNANDEZ LICANO JOSE LUIS'!P$40:P$46,'KM POR UNIDAD'!A11,'HERNANDEZ LICANO JOSE LUIS'!U$40:U$46)+SUMIF('CARRERA REYES MARTIN SEBASTIAN'!P$41:P$47,'KM POR UNIDAD'!A11,'CARRERA REYES MARTIN SEBASTIAN'!U$41:U$47)+SUMIF('RUIZ SAUCEDO DANIEL ALEJANDRO'!P$40:P$46,'KM POR UNIDAD'!A11,'RUIZ SAUCEDO DANIEL ALEJANDRO'!U$40:U$46)+SUMIF('MARTINEZ RAMIREZ ROSALIO'!P$40:P$46,'KM POR UNIDAD'!A11,'MARTINEZ RAMIREZ ROSALIO'!U$40:U$46)+SUMIF('BALLEZA RAMIREZ JESUS JOSE'!P$40:P$46,'KM POR UNIDAD'!A11,'BALLEZA RAMIREZ JESUS JOSE'!U$40:U$46)+SUMIF('MONTERO BURROLA LUIS'!P$38:P$44,'KM POR UNIDAD'!A11,'MONTERO BURROLA LUIS'!U$38:U$44)+SUMIF('AGUILERA CONTRERAS LUIS GERARDO'!P$41:P$47,'KM POR UNIDAD'!A11,'AGUILERA CONTRERAS LUIS GERARDO'!U$41:U$47)+SUMIF('MORALES LOPEZ DE LARA MARIANO'!P$40:P$46,'KM POR UNIDAD'!A11,'MORALES LOPEZ DE LARA MARIANO'!U$40:U$46)+SUMIF('MELENDEZ SINALOA MANUEL ARAT'!P$40:P$46,'KM POR UNIDAD'!A11,'MELENDEZ SINALOA MANUEL ARAT'!U$40:U$46)+SUMIF('MORALES LECHUGA GONZALO'!P$40:P$46,'KM POR UNIDAD'!A11,'MORALES LECHUGA GONZALO'!U$40:U$46)+SUMIF('ORONA BECERRA MAURO JOSE'!P$40:P$46,'KM POR UNIDAD'!A11,'ORONA BECERRA MAURO JOSE'!U$40:U$46)+SUMIF('VALLES HERNANDEZ MANUEL MARCELI'!P$39:P$45,'KM POR UNIDAD'!A11,'VALLES HERNANDEZ MANUEL MARCELI'!U$39:U$45)+SUMIF('ORTIZ RAMIREZ HECTOR MANUEL'!P$40:P$46,'KM POR UNIDAD'!A11,'ORTIZ RAMIREZ HECTOR MANUEL'!U$40:U$46)+SUMIF('ONTIVEROS LIRA JUAN'!P$40:P$46,'KM POR UNIDAD'!A11,'ONTIVEROS LIRA JUAN'!U$40:U$46)+SUMIF('RODRIGUEZ FLORES BRYAN DARIO'!P$40:P$46,'KM POR UNIDAD'!A11,'RODRIGUEZ FLORES BRYAN DARIO'!U$40:U$46)+SUMIF('NUÑEZ RUIZ IRVING JAVIER.'!P$42:P$48,'KM POR UNIDAD'!A11,'NUÑEZ RUIZ IRVING JAVIER.'!U$42:U$48)+SUMIF('MACHADO MAZUCA ADOLFO'!P$40:P$46,'KM POR UNIDAD'!A11,'MACHADO MAZUCA ADOLFO'!U$40:U$46)+SUMIF('LIRA ARCEO JOEL EDUARDO'!P$40:P$46,'KM POR UNIDAD'!A11,'LIRA ARCEO JOEL EDUARDO'!U$40:U$46)+SUMIF('ANCHONDO ROMERO CESAR ALEJANDRO'!P$40:P$46,'KM POR UNIDAD'!A11,'ANCHONDO ROMERO CESAR ALEJANDRO'!U$40:U$46)</f>
        <v>2084</v>
      </c>
      <c r="C11" s="150">
        <f ca="1">+SUMIF('AGUILAR ESQUIVEL CARLOS'!P$40:P$46,'KM POR UNIDAD'!A11,'AGUILAR ESQUIVEL CARLOS'!T$40:T$46)+SUMIF('AGUILAR RODRIGUEZ JORGE ALONSO'!P$40:P$46,'KM POR UNIDAD'!A11,'AGUILAR RODRIGUEZ JORGE ALONSO'!T$40:T$46)+SUMIF('REYES LARA DANTE'!P$40:P$46,'KM POR UNIDAD'!A11,'REYES LARA DANTE'!T$40:T$46)+SUMIF('RAMIREZ BAUTISTA ADRIAN'!P$40:P$46,'KM POR UNIDAD'!A11,'RAMIREZ BAUTISTA ADRIAN'!T$40:T$46)+SUMIF('FLORES BOJORQUEZ BRYAN OVED'!P$40:P$46,'KM POR UNIDAD'!A11,'FLORES BOJORQUEZ BRYAN OVED'!T$40:T$46)+SUMIF('BALDERRAMA ROBLES JORGE'!P$40:P$46,'KM POR UNIDAD'!A11,'BALDERRAMA ROBLES JORGE'!T$40:T$46)+SUMIF('BURGOS TORRES RIGOBERTO'!P$39:P$45,'KM POR UNIDAD'!A11,'BURGOS TORRES RIGOBERTO'!T$39:T$45)+SUMIF('CORDOVA URIBE JOSE  ADRIAN'!P$40:P$46,'KM POR UNIDAD'!A11,'CORDOVA URIBE JOSE  ADRIAN'!T$40:T$46)+SUMIF('GUZMAN CHAPARRO PEDRO'!P$40:P$46,'KM POR UNIDAD'!A11,'GUZMAN CHAPARRO PEDRO'!T$40:T$46)+SUMIF('HERNANDEZ LICANO JOSE LUIS'!P$40:P$46,'KM POR UNIDAD'!A11,'HERNANDEZ LICANO JOSE LUIS'!T$40:T$46)+SUMIF('CARRERA REYES MARTIN SEBASTIAN'!P$41:P$47,'KM POR UNIDAD'!A11,'CARRERA REYES MARTIN SEBASTIAN'!T$41:T$47)+SUMIF('RUIZ SAUCEDO DANIEL ALEJANDRO'!P$40:P$46,'KM POR UNIDAD'!A11,'RUIZ SAUCEDO DANIEL ALEJANDRO'!T$40:T$46)+SUMIF('MARTINEZ RAMIREZ ROSALIO'!P$40:P$46,'KM POR UNIDAD'!A11,'MARTINEZ RAMIREZ ROSALIO'!T$40:T$46)+SUMIF('BALLEZA RAMIREZ JESUS JOSE'!P$40:P$46,'KM POR UNIDAD'!A11,'BALLEZA RAMIREZ JESUS JOSE'!T$40:T$46)+SUMIF('MONTERO BURROLA LUIS'!P$38:P$44,'KM POR UNIDAD'!A11,'MONTERO BURROLA LUIS'!T$38:T$44)+SUMIF('AGUILERA CONTRERAS LUIS GERARDO'!P$41:P$47,'KM POR UNIDAD'!A11,'AGUILERA CONTRERAS LUIS GERARDO'!T$41:T$47)+SUMIF('MORALES LOPEZ DE LARA MARIANO'!P$40:P$46,'KM POR UNIDAD'!A11,'MORALES LOPEZ DE LARA MARIANO'!T$40:T$46)+SUMIF('MELENDEZ SINALOA MANUEL ARAT'!P$40:P$46,'KM POR UNIDAD'!A11,'MELENDEZ SINALOA MANUEL ARAT'!T$40:T$46)+SUMIF('MORALES LECHUGA GONZALO'!P$40:P$46,'KM POR UNIDAD'!A11,'MORALES LECHUGA GONZALO'!T$40:T$46)+SUMIF('ORONA BECERRA MAURO JOSE'!P$40:P$46,'KM POR UNIDAD'!A11,'ORONA BECERRA MAURO JOSE'!T$40:T$46)+SUMIF('VALLES HERNANDEZ MANUEL MARCELI'!P$39:P$45,'KM POR UNIDAD'!A11,'VALLES HERNANDEZ MANUEL MARCELI'!T$39:T$45)+SUMIF('ORTIZ RAMIREZ HECTOR MANUEL'!P$40:P$46,'KM POR UNIDAD'!A11,'ORTIZ RAMIREZ HECTOR MANUEL'!T$40:T$46)+SUMIF('ONTIVEROS LIRA JUAN'!P$40:P$446,'KM POR UNIDAD'!A11,'ONTIVEROS LIRA JUAN'!T$40:T$46)+SUMIF('RODRIGUEZ FLORES BRYAN DARIO'!P$40:P$46,'KM POR UNIDAD'!A11,'RODRIGUEZ FLORES BRYAN DARIO'!T$40:T$46)+SUMIF('NUÑEZ RUIZ IRVING JAVIER.'!P$42:P$48,'KM POR UNIDAD'!A11,'NUÑEZ RUIZ IRVING JAVIER.'!T$42:T$48)+SUMIF('MACHADO MAZUCA ADOLFO'!P$40:P$46,'KM POR UNIDAD'!A11,'MACHADO MAZUCA ADOLFO'!T$40:T$46)+SUMIF('LIRA ARCEO JOEL EDUARDO'!P$40:P$46,'KM POR UNIDAD'!A11,'LIRA ARCEO JOEL EDUARDO'!T$40:T$46)+SUMIF('ANCHONDO ROMERO CESAR ALEJANDRO'!P$40:P$46,'KM POR UNIDAD'!A11,'ANCHONDO ROMERO CESAR ALEJANDRO'!T$40:T$46)</f>
        <v>1322</v>
      </c>
      <c r="D11" s="150">
        <f>+SUMIF('AGUILAR ESQUIVEL CARLOS'!P$40:P$46,'KM POR UNIDAD'!A11,'AGUILAR ESQUIVEL CARLOS'!V$40:V$46)+SUMIF('AGUILAR RODRIGUEZ JORGE ALONSO'!P$40:P$46,'KM POR UNIDAD'!A11,'AGUILAR RODRIGUEZ JORGE ALONSO'!V$40:V$46)+SUMIF('REYES LARA DANTE'!P$40:P$46,'KM POR UNIDAD'!A11,'REYES LARA DANTE'!V$40:V$46)+SUMIF('RAMIREZ BAUTISTA ADRIAN'!P$40:P$46,'KM POR UNIDAD'!A11,'RAMIREZ BAUTISTA ADRIAN'!V$40:V$46)+SUMIF('FLORES BOJORQUEZ BRYAN OVED'!P$40:P$46,'KM POR UNIDAD'!A11,'FLORES BOJORQUEZ BRYAN OVED'!V$40:V$46)+SUMIF('BALDERRAMA ROBLES JORGE'!P$40:P$46,'KM POR UNIDAD'!A11,'BALDERRAMA ROBLES JORGE'!V$40:V$46)+SUMIF('BURGOS TORRES RIGOBERTO'!P$39:P$45,'KM POR UNIDAD'!A11,'BURGOS TORRES RIGOBERTO'!V$39:V$45)+SUMIF('CORDOVA URIBE JOSE  ADRIAN'!P$40:P$46,'KM POR UNIDAD'!A11,'CORDOVA URIBE JOSE  ADRIAN'!V$40:V$46)+SUMIF('GUZMAN CHAPARRO PEDRO'!P$40:P$46,'KM POR UNIDAD'!A11,'GUZMAN CHAPARRO PEDRO'!V$40:V$46)+SUMIF('HERNANDEZ LICANO JOSE LUIS'!P$40:P$46,'KM POR UNIDAD'!A11,'HERNANDEZ LICANO JOSE LUIS'!V$40:V$46)+SUMIF('CARRERA REYES MARTIN SEBASTIAN'!P$41:P$47,'KM POR UNIDAD'!A11,'CARRERA REYES MARTIN SEBASTIAN'!V$41:V$47)+SUMIF('RUIZ SAUCEDO DANIEL ALEJANDRO'!P$40:P$46,'KM POR UNIDAD'!A11,'RUIZ SAUCEDO DANIEL ALEJANDRO'!V$40:V$46)+SUMIF('MARTINEZ RAMIREZ ROSALIO'!P$40:P$46,'KM POR UNIDAD'!A11,'MARTINEZ RAMIREZ ROSALIO'!V$40:V$46)+SUMIF('BALLEZA RAMIREZ JESUS JOSE'!P$40:P$46,'KM POR UNIDAD'!A11,'BALLEZA RAMIREZ JESUS JOSE'!V$40:V$46)+SUMIF('MONTERO BURROLA LUIS'!P$38:P$44,'KM POR UNIDAD'!A11,'MONTERO BURROLA LUIS'!V$38:V$44)+SUMIF('AGUILERA CONTRERAS LUIS GERARDO'!P$41:P$47,'KM POR UNIDAD'!A11,'AGUILERA CONTRERAS LUIS GERARDO'!V$41:V$47)+SUMIF('MORALES LOPEZ DE LARA MARIANO'!P$40:P$46,'KM POR UNIDAD'!A11,'MORALES LOPEZ DE LARA MARIANO'!V$40:V$46)+SUMIF('MELENDEZ SINALOA MANUEL ARAT'!P$40:P$46,'KM POR UNIDAD'!A11,'MELENDEZ SINALOA MANUEL ARAT'!V$40:V$46)+SUMIF('MORALES LECHUGA GONZALO'!P$40:P$46,'KM POR UNIDAD'!A11,'MORALES LECHUGA GONZALO'!V$40:V$46)+SUMIF('ORONA BECERRA MAURO JOSE'!P$40:P$46,'KM POR UNIDAD'!A11,'ORONA BECERRA MAURO JOSE'!V$40:V$46)+SUMIF('VALLES HERNANDEZ MANUEL MARCELI'!P$39:P$45,'KM POR UNIDAD'!A11,'VALLES HERNANDEZ MANUEL MARCELI'!V$39:V$45)+SUMIF('ORTIZ RAMIREZ HECTOR MANUEL'!P$40:P$46,'KM POR UNIDAD'!A11,'ORTIZ RAMIREZ HECTOR MANUEL'!V$40:V$46)+SUMIF('ONTIVEROS LIRA JUAN'!P$40:P$46,'KM POR UNIDAD'!A11,'ONTIVEROS LIRA JUAN'!V$40:V$46)+SUMIF('RODRIGUEZ FLORES BRYAN DARIO'!P$40:P$46,'KM POR UNIDAD'!A11,'RODRIGUEZ FLORES BRYAN DARIO'!V$40:V$46)+SUMIF('NUÑEZ RUIZ IRVING JAVIER.'!P$42:P$48,'KM POR UNIDAD'!A11,'NUÑEZ RUIZ IRVING JAVIER.'!V$42:V$48)+SUMIF('MACHADO MAZUCA ADOLFO'!P$40:P$46,'KM POR UNIDAD'!A11,'MACHADO MAZUCA ADOLFO'!V$40:V$46)+SUMIF('LIRA ARCEO JOEL EDUARDO'!P$40:P$46,'KM POR UNIDAD'!A11,'LIRA ARCEO JOEL EDUARDO'!V$40:V$46)+SUMIF('ANCHONDO ROMERO CESAR ALEJANDRO'!P$40:P$46,'KM POR UNIDAD'!A11,'ANCHONDO ROMERO CESAR ALEJANDRO'!V$40:V$46)</f>
        <v>200</v>
      </c>
      <c r="E11" s="145">
        <f t="shared" si="0"/>
        <v>10.42</v>
      </c>
      <c r="F11" s="144" t="e">
        <f ca="1">+SUMIF('AGUILAR ESQUIVEL CARLOS'!T$40:T$46,'KM POR UNIDAD'!E11,'AGUILAR ESQUIVEL CARLOS'!W$40:W$46)+SUMIF('AGUILAR RODRIGUEZ JORGE ALONSO'!T$40:T$46,'KM POR UNIDAD'!E11,'AGUILAR RODRIGUEZ JORGE ALONSO'!Y$40:Y$46)+SUMIF('REYES LARA DANTE'!T$40:T$46,'KM POR UNIDAD'!E11,'REYES LARA DANTE'!Y$40:Y$46)+SUMIF('RAMIREZ BAUTISTA ADRIAN'!T$40:T$46,'KM POR UNIDAD'!E11,'RAMIREZ BAUTISTA ADRIAN'!Y$40:Y$46)+SUMIF('FLORES BOJORQUEZ BRYAN OVED'!T$40:T$46,'KM POR UNIDAD'!E11,'FLORES BOJORQUEZ BRYAN OVED'!Y$40:Y$46)+SUMIF('BALDERRAMA ROBLES JORGE'!T$40:T$46,'KM POR UNIDAD'!E11,'BALDERRAMA ROBLES JORGE'!#REF!)+SUMIF('BURGOS TORRES RIGOBERTO'!T$39:T$45,'KM POR UNIDAD'!E11,'BURGOS TORRES RIGOBERTO'!Y$39:Y$45)+SUMIF('CORDOVA URIBE JOSE  ADRIAN'!T$40:T$46,'KM POR UNIDAD'!E11,'CORDOVA URIBE JOSE  ADRIAN'!Y$40:Y$46)+SUMIF('GUZMAN CHAPARRO PEDRO'!T$40:T$46,'KM POR UNIDAD'!E11,'GUZMAN CHAPARRO PEDRO'!Y$40:Y$46)+SUMIF('HERNANDEZ LICANO JOSE LUIS'!T$40:T$46,'KM POR UNIDAD'!E11,'HERNANDEZ LICANO JOSE LUIS'!#REF!)+SUMIF('CARRERA REYES MARTIN SEBASTIAN'!T$41:T$47,'KM POR UNIDAD'!E11,'CARRERA REYES MARTIN SEBASTIAN'!Y$41:Y$47)+SUMIF('RUIZ SAUCEDO DANIEL ALEJANDRO'!T$40:T$46,'KM POR UNIDAD'!E11,'RUIZ SAUCEDO DANIEL ALEJANDRO'!Y$40:Y$46)+SUMIF('MARTINEZ RAMIREZ ROSALIO'!T$40:T$46,'KM POR UNIDAD'!E11,'MARTINEZ RAMIREZ ROSALIO'!Y$40:Y$46)+SUMIF('BALLEZA RAMIREZ JESUS JOSE'!T$40:T$46,'KM POR UNIDAD'!E11,'BALLEZA RAMIREZ JESUS JOSE'!T$176:T$180)+SUMIF('MONTERO BURROLA LUIS'!T$38:T$44,'KM POR UNIDAD'!E11,'MONTERO BURROLA LUIS'!Y$38:Y$44)+SUMIF('AGUILERA CONTRERAS LUIS GERARDO'!T$41:T$47,'KM POR UNIDAD'!E11,'AGUILERA CONTRERAS LUIS GERARDO'!Y$41:Y$47)+SUMIF('MORALES LOPEZ DE LARA MARIANO'!T$40:T$46,'KM POR UNIDAD'!E11,'MORALES LOPEZ DE LARA MARIANO'!Y$40:Y$46)+SUMIF('MELENDEZ SINALOA MANUEL ARAT'!T$40:T$46,'KM POR UNIDAD'!E11,'MELENDEZ SINALOA MANUEL ARAT'!#REF!)+SUMIF('MORALES LECHUGA GONZALO'!T$40:T$46,'KM POR UNIDAD'!E11,'MORALES LECHUGA GONZALO'!Y$40:Y$46)+SUMIF('ORONA BECERRA MAURO JOSE'!T$40:T$46,'KM POR UNIDAD'!E11,'ORONA BECERRA MAURO JOSE'!Y$40:Y$46)+SUMIF('VALLES HERNANDEZ MANUEL MARCELI'!T$39:T$45,'KM POR UNIDAD'!E11,'VALLES HERNANDEZ MANUEL MARCELI'!Y$39:Y$45)+SUMIF('ORTIZ RAMIREZ HECTOR MANUEL'!T$40:T$46,'KM POR UNIDAD'!E11,'ORTIZ RAMIREZ HECTOR MANUEL'!Y$40:Y$46)+SUMIF('ONTIVEROS LIRA JUAN'!T$40:T$46,'KM POR UNIDAD'!E11,'ONTIVEROS LIRA JUAN'!Y$40:Y$46)+SUMIF('RODRIGUEZ FLORES BRYAN DARIO'!T$40:T$46,'KM POR UNIDAD'!E11,'RODRIGUEZ FLORES BRYAN DARIO'!Y$40:Y$46)+SUMIF('NUÑEZ RUIZ IRVING JAVIER.'!T$42:T$48,'KM POR UNIDAD'!E11,'NUÑEZ RUIZ IRVING JAVIER.'!Y$42:Y$48)+SUMIF('MACHADO MAZUCA ADOLFO'!T$40:T$46,'KM POR UNIDAD'!E11,'MACHADO MAZUCA ADOLFO'!Y$40:Y$46)+SUMIF('LIRA ARCEO JOEL EDUARDO'!T$40:T$46,'KM POR UNIDAD'!E11,'LIRA ARCEO JOEL EDUARDO'!Y$41:Y$46)+SUMIF('ANCHONDO ROMERO CESAR ALEJANDRO'!T$40:T$46,'KM POR UNIDAD'!E11,'ANCHONDO ROMERO CESAR ALEJANDRO'!Y$40:Y$46)</f>
        <v>#REF!</v>
      </c>
      <c r="G11" s="146"/>
    </row>
    <row r="12" spans="1:11" x14ac:dyDescent="0.25">
      <c r="A12" s="143" t="s">
        <v>58</v>
      </c>
      <c r="B12" s="144">
        <f>+SUMIF('AGUILAR ESQUIVEL CARLOS'!P$40:P$46,'KM POR UNIDAD'!A12,'AGUILAR ESQUIVEL CARLOS'!U$40:U$46)+SUMIF('AGUILAR RODRIGUEZ JORGE ALONSO'!P$40:P$46,'KM POR UNIDAD'!A12,'AGUILAR RODRIGUEZ JORGE ALONSO'!U$40:U$46)+SUMIF('REYES LARA DANTE'!P$40:P$46,'KM POR UNIDAD'!A12,'REYES LARA DANTE'!U$40:U$46)+SUMIF('RAMIREZ BAUTISTA ADRIAN'!P$40:P$46,'KM POR UNIDAD'!A12,'RAMIREZ BAUTISTA ADRIAN'!U$40:U$46)+SUMIF('FLORES BOJORQUEZ BRYAN OVED'!P$40:P$46,'KM POR UNIDAD'!A12,'FLORES BOJORQUEZ BRYAN OVED'!U$40:U$46)+SUMIF('BALDERRAMA ROBLES JORGE'!P$40:P$46,'KM POR UNIDAD'!A12,'BALDERRAMA ROBLES JORGE'!U$40:U$46)+SUMIF('BURGOS TORRES RIGOBERTO'!P$39:P$45,'KM POR UNIDAD'!A12,'BURGOS TORRES RIGOBERTO'!U$39:U$45)+SUMIF('CORDOVA URIBE JOSE  ADRIAN'!P$40:P$46,'KM POR UNIDAD'!A12,'CORDOVA URIBE JOSE  ADRIAN'!U$40:U$46)+SUMIF('GUZMAN CHAPARRO PEDRO'!P$40:P$46,'KM POR UNIDAD'!A12,'GUZMAN CHAPARRO PEDRO'!U$40:U$46)+SUMIF('HERNANDEZ LICANO JOSE LUIS'!P$40:P$46,'KM POR UNIDAD'!A12,'HERNANDEZ LICANO JOSE LUIS'!U$40:U$46)+SUMIF('CARRERA REYES MARTIN SEBASTIAN'!P$41:P$47,'KM POR UNIDAD'!A12,'CARRERA REYES MARTIN SEBASTIAN'!U$41:U$47)+SUMIF('RUIZ SAUCEDO DANIEL ALEJANDRO'!P$40:P$46,'KM POR UNIDAD'!A12,'RUIZ SAUCEDO DANIEL ALEJANDRO'!U$40:U$46)+SUMIF('MARTINEZ RAMIREZ ROSALIO'!P$40:P$46,'KM POR UNIDAD'!A12,'MARTINEZ RAMIREZ ROSALIO'!U$40:U$46)+SUMIF('BALLEZA RAMIREZ JESUS JOSE'!P$40:P$46,'KM POR UNIDAD'!A12,'BALLEZA RAMIREZ JESUS JOSE'!U$40:U$46)+SUMIF('MONTERO BURROLA LUIS'!P$38:P$44,'KM POR UNIDAD'!A12,'MONTERO BURROLA LUIS'!U$38:U$44)+SUMIF('AGUILERA CONTRERAS LUIS GERARDO'!P$41:P$47,'KM POR UNIDAD'!A12,'AGUILERA CONTRERAS LUIS GERARDO'!U$41:U$47)+SUMIF('MORALES LOPEZ DE LARA MARIANO'!P$40:P$46,'KM POR UNIDAD'!A12,'MORALES LOPEZ DE LARA MARIANO'!U$40:U$46)+SUMIF('MELENDEZ SINALOA MANUEL ARAT'!P$40:P$46,'KM POR UNIDAD'!A12,'MELENDEZ SINALOA MANUEL ARAT'!U$40:U$46)+SUMIF('MORALES LECHUGA GONZALO'!P$40:P$46,'KM POR UNIDAD'!A12,'MORALES LECHUGA GONZALO'!U$40:U$46)+SUMIF('ORONA BECERRA MAURO JOSE'!P$40:P$46,'KM POR UNIDAD'!A12,'ORONA BECERRA MAURO JOSE'!U$40:U$46)+SUMIF('VALLES HERNANDEZ MANUEL MARCELI'!P$39:P$45,'KM POR UNIDAD'!A12,'VALLES HERNANDEZ MANUEL MARCELI'!U$39:U$45)+SUMIF('ORTIZ RAMIREZ HECTOR MANUEL'!P$40:P$46,'KM POR UNIDAD'!A12,'ORTIZ RAMIREZ HECTOR MANUEL'!U$40:U$46)+SUMIF('ONTIVEROS LIRA JUAN'!P$40:P$46,'KM POR UNIDAD'!A12,'ONTIVEROS LIRA JUAN'!U$40:U$46)+SUMIF('RODRIGUEZ FLORES BRYAN DARIO'!P$40:P$46,'KM POR UNIDAD'!A12,'RODRIGUEZ FLORES BRYAN DARIO'!U$40:U$46)+SUMIF('NUÑEZ RUIZ IRVING JAVIER.'!P$42:P$48,'KM POR UNIDAD'!A12,'NUÑEZ RUIZ IRVING JAVIER.'!U$42:U$48)+SUMIF('MACHADO MAZUCA ADOLFO'!P$40:P$46,'KM POR UNIDAD'!A12,'MACHADO MAZUCA ADOLFO'!U$40:U$46)+SUMIF('LIRA ARCEO JOEL EDUARDO'!P$40:P$46,'KM POR UNIDAD'!A12,'LIRA ARCEO JOEL EDUARDO'!U$40:U$46)+SUMIF('ANCHONDO ROMERO CESAR ALEJANDRO'!P$40:P$46,'KM POR UNIDAD'!A12,'ANCHONDO ROMERO CESAR ALEJANDRO'!U$40:U$46)</f>
        <v>3050</v>
      </c>
      <c r="C12" s="150">
        <f ca="1">+SUMIF('AGUILAR ESQUIVEL CARLOS'!P$40:P$46,'KM POR UNIDAD'!A12,'AGUILAR ESQUIVEL CARLOS'!T$40:T$46)+SUMIF('AGUILAR RODRIGUEZ JORGE ALONSO'!P$40:P$46,'KM POR UNIDAD'!A12,'AGUILAR RODRIGUEZ JORGE ALONSO'!T$40:T$46)+SUMIF('REYES LARA DANTE'!P$40:P$46,'KM POR UNIDAD'!A12,'REYES LARA DANTE'!T$40:T$46)+SUMIF('RAMIREZ BAUTISTA ADRIAN'!P$40:P$46,'KM POR UNIDAD'!A12,'RAMIREZ BAUTISTA ADRIAN'!T$40:T$46)+SUMIF('FLORES BOJORQUEZ BRYAN OVED'!P$40:P$46,'KM POR UNIDAD'!A12,'FLORES BOJORQUEZ BRYAN OVED'!T$40:T$46)+SUMIF('BALDERRAMA ROBLES JORGE'!P$40:P$46,'KM POR UNIDAD'!A12,'BALDERRAMA ROBLES JORGE'!T$40:T$46)+SUMIF('BURGOS TORRES RIGOBERTO'!P$39:P$45,'KM POR UNIDAD'!A12,'BURGOS TORRES RIGOBERTO'!T$39:T$45)+SUMIF('CORDOVA URIBE JOSE  ADRIAN'!P$40:P$46,'KM POR UNIDAD'!A12,'CORDOVA URIBE JOSE  ADRIAN'!T$40:T$46)+SUMIF('GUZMAN CHAPARRO PEDRO'!P$40:P$46,'KM POR UNIDAD'!A12,'GUZMAN CHAPARRO PEDRO'!T$40:T$46)+SUMIF('HERNANDEZ LICANO JOSE LUIS'!P$40:P$46,'KM POR UNIDAD'!A12,'HERNANDEZ LICANO JOSE LUIS'!T$40:T$46)+SUMIF('CARRERA REYES MARTIN SEBASTIAN'!P$41:P$47,'KM POR UNIDAD'!A12,'CARRERA REYES MARTIN SEBASTIAN'!T$41:T$47)+SUMIF('RUIZ SAUCEDO DANIEL ALEJANDRO'!P$40:P$46,'KM POR UNIDAD'!A12,'RUIZ SAUCEDO DANIEL ALEJANDRO'!T$40:T$46)+SUMIF('MARTINEZ RAMIREZ ROSALIO'!P$40:P$46,'KM POR UNIDAD'!A12,'MARTINEZ RAMIREZ ROSALIO'!T$40:T$46)+SUMIF('BALLEZA RAMIREZ JESUS JOSE'!P$40:P$46,'KM POR UNIDAD'!A12,'BALLEZA RAMIREZ JESUS JOSE'!T$40:T$46)+SUMIF('MONTERO BURROLA LUIS'!P$38:P$44,'KM POR UNIDAD'!A12,'MONTERO BURROLA LUIS'!T$38:T$44)+SUMIF('AGUILERA CONTRERAS LUIS GERARDO'!P$41:P$47,'KM POR UNIDAD'!A12,'AGUILERA CONTRERAS LUIS GERARDO'!T$41:T$47)+SUMIF('MORALES LOPEZ DE LARA MARIANO'!P$40:P$46,'KM POR UNIDAD'!A12,'MORALES LOPEZ DE LARA MARIANO'!T$40:T$46)+SUMIF('MELENDEZ SINALOA MANUEL ARAT'!P$40:P$46,'KM POR UNIDAD'!A12,'MELENDEZ SINALOA MANUEL ARAT'!T$40:T$46)+SUMIF('MORALES LECHUGA GONZALO'!P$40:P$46,'KM POR UNIDAD'!A12,'MORALES LECHUGA GONZALO'!T$40:T$46)+SUMIF('ORONA BECERRA MAURO JOSE'!P$40:P$46,'KM POR UNIDAD'!A12,'ORONA BECERRA MAURO JOSE'!T$40:T$46)+SUMIF('VALLES HERNANDEZ MANUEL MARCELI'!P$39:P$45,'KM POR UNIDAD'!A12,'VALLES HERNANDEZ MANUEL MARCELI'!T$39:T$45)+SUMIF('ORTIZ RAMIREZ HECTOR MANUEL'!P$40:P$46,'KM POR UNIDAD'!A12,'ORTIZ RAMIREZ HECTOR MANUEL'!T$40:T$46)+SUMIF('ONTIVEROS LIRA JUAN'!P$40:P$446,'KM POR UNIDAD'!A12,'ONTIVEROS LIRA JUAN'!T$40:T$46)+SUMIF('RODRIGUEZ FLORES BRYAN DARIO'!P$40:P$46,'KM POR UNIDAD'!A12,'RODRIGUEZ FLORES BRYAN DARIO'!T$40:T$46)+SUMIF('NUÑEZ RUIZ IRVING JAVIER.'!P$42:P$48,'KM POR UNIDAD'!A12,'NUÑEZ RUIZ IRVING JAVIER.'!T$42:T$48)+SUMIF('MACHADO MAZUCA ADOLFO'!P$40:P$46,'KM POR UNIDAD'!A12,'MACHADO MAZUCA ADOLFO'!T$40:T$46)+SUMIF('LIRA ARCEO JOEL EDUARDO'!P$40:P$46,'KM POR UNIDAD'!A12,'LIRA ARCEO JOEL EDUARDO'!T$40:T$46)+SUMIF('ANCHONDO ROMERO CESAR ALEJANDRO'!P$40:P$46,'KM POR UNIDAD'!A12,'ANCHONDO ROMERO CESAR ALEJANDRO'!T$40:T$46)</f>
        <v>2344</v>
      </c>
      <c r="D12" s="150">
        <f>+SUMIF('AGUILAR ESQUIVEL CARLOS'!P$40:P$46,'KM POR UNIDAD'!A12,'AGUILAR ESQUIVEL CARLOS'!V$40:V$46)+SUMIF('AGUILAR RODRIGUEZ JORGE ALONSO'!P$40:P$46,'KM POR UNIDAD'!A12,'AGUILAR RODRIGUEZ JORGE ALONSO'!V$40:V$46)+SUMIF('REYES LARA DANTE'!P$40:P$46,'KM POR UNIDAD'!A12,'REYES LARA DANTE'!V$40:V$46)+SUMIF('RAMIREZ BAUTISTA ADRIAN'!P$40:P$46,'KM POR UNIDAD'!A12,'RAMIREZ BAUTISTA ADRIAN'!V$40:V$46)+SUMIF('FLORES BOJORQUEZ BRYAN OVED'!P$40:P$46,'KM POR UNIDAD'!A12,'FLORES BOJORQUEZ BRYAN OVED'!V$40:V$46)+SUMIF('BALDERRAMA ROBLES JORGE'!P$40:P$46,'KM POR UNIDAD'!A12,'BALDERRAMA ROBLES JORGE'!V$40:V$46)+SUMIF('BURGOS TORRES RIGOBERTO'!P$39:P$45,'KM POR UNIDAD'!A12,'BURGOS TORRES RIGOBERTO'!V$39:V$45)+SUMIF('CORDOVA URIBE JOSE  ADRIAN'!P$40:P$46,'KM POR UNIDAD'!A12,'CORDOVA URIBE JOSE  ADRIAN'!V$40:V$46)+SUMIF('GUZMAN CHAPARRO PEDRO'!P$40:P$46,'KM POR UNIDAD'!A12,'GUZMAN CHAPARRO PEDRO'!V$40:V$46)+SUMIF('HERNANDEZ LICANO JOSE LUIS'!P$40:P$46,'KM POR UNIDAD'!A12,'HERNANDEZ LICANO JOSE LUIS'!V$40:V$46)+SUMIF('CARRERA REYES MARTIN SEBASTIAN'!P$41:P$47,'KM POR UNIDAD'!A12,'CARRERA REYES MARTIN SEBASTIAN'!V$41:V$47)+SUMIF('RUIZ SAUCEDO DANIEL ALEJANDRO'!P$40:P$46,'KM POR UNIDAD'!A12,'RUIZ SAUCEDO DANIEL ALEJANDRO'!V$40:V$46)+SUMIF('MARTINEZ RAMIREZ ROSALIO'!P$40:P$46,'KM POR UNIDAD'!A12,'MARTINEZ RAMIREZ ROSALIO'!V$40:V$46)+SUMIF('BALLEZA RAMIREZ JESUS JOSE'!P$40:P$46,'KM POR UNIDAD'!A12,'BALLEZA RAMIREZ JESUS JOSE'!V$40:V$46)+SUMIF('MONTERO BURROLA LUIS'!P$38:P$44,'KM POR UNIDAD'!A12,'MONTERO BURROLA LUIS'!V$38:V$44)+SUMIF('AGUILERA CONTRERAS LUIS GERARDO'!P$41:P$47,'KM POR UNIDAD'!A12,'AGUILERA CONTRERAS LUIS GERARDO'!V$41:V$47)+SUMIF('MORALES LOPEZ DE LARA MARIANO'!P$40:P$46,'KM POR UNIDAD'!A12,'MORALES LOPEZ DE LARA MARIANO'!V$40:V$46)+SUMIF('MELENDEZ SINALOA MANUEL ARAT'!P$40:P$46,'KM POR UNIDAD'!A12,'MELENDEZ SINALOA MANUEL ARAT'!V$40:V$46)+SUMIF('MORALES LECHUGA GONZALO'!P$40:P$46,'KM POR UNIDAD'!A12,'MORALES LECHUGA GONZALO'!V$40:V$46)+SUMIF('ORONA BECERRA MAURO JOSE'!P$40:P$46,'KM POR UNIDAD'!A12,'ORONA BECERRA MAURO JOSE'!V$40:V$46)+SUMIF('VALLES HERNANDEZ MANUEL MARCELI'!P$39:P$45,'KM POR UNIDAD'!A12,'VALLES HERNANDEZ MANUEL MARCELI'!V$39:V$45)+SUMIF('ORTIZ RAMIREZ HECTOR MANUEL'!P$40:P$46,'KM POR UNIDAD'!A12,'ORTIZ RAMIREZ HECTOR MANUEL'!V$40:V$46)+SUMIF('ONTIVEROS LIRA JUAN'!P$40:P$46,'KM POR UNIDAD'!A12,'ONTIVEROS LIRA JUAN'!V$40:V$46)+SUMIF('RODRIGUEZ FLORES BRYAN DARIO'!P$40:P$46,'KM POR UNIDAD'!A12,'RODRIGUEZ FLORES BRYAN DARIO'!V$40:V$46)+SUMIF('NUÑEZ RUIZ IRVING JAVIER.'!P$42:P$48,'KM POR UNIDAD'!A12,'NUÑEZ RUIZ IRVING JAVIER.'!V$42:V$48)+SUMIF('MACHADO MAZUCA ADOLFO'!P$40:P$46,'KM POR UNIDAD'!A12,'MACHADO MAZUCA ADOLFO'!V$40:V$46)+SUMIF('LIRA ARCEO JOEL EDUARDO'!P$40:P$46,'KM POR UNIDAD'!A12,'LIRA ARCEO JOEL EDUARDO'!V$40:V$46)+SUMIF('ANCHONDO ROMERO CESAR ALEJANDRO'!P$40:P$46,'KM POR UNIDAD'!A12,'ANCHONDO ROMERO CESAR ALEJANDRO'!V$40:V$46)</f>
        <v>861.31999999999994</v>
      </c>
      <c r="E12" s="145">
        <f t="shared" si="0"/>
        <v>3.5410764872521248</v>
      </c>
      <c r="F12" s="144" t="e">
        <f ca="1">+SUMIF('AGUILAR ESQUIVEL CARLOS'!T$40:T$46,'KM POR UNIDAD'!E12,'AGUILAR ESQUIVEL CARLOS'!W$40:W$46)+SUMIF('AGUILAR RODRIGUEZ JORGE ALONSO'!T$40:T$46,'KM POR UNIDAD'!E12,'AGUILAR RODRIGUEZ JORGE ALONSO'!Y$40:Y$46)+SUMIF('REYES LARA DANTE'!T$40:T$46,'KM POR UNIDAD'!E12,'REYES LARA DANTE'!Y$40:Y$46)+SUMIF('RAMIREZ BAUTISTA ADRIAN'!T$40:T$46,'KM POR UNIDAD'!E12,'RAMIREZ BAUTISTA ADRIAN'!Y$40:Y$46)+SUMIF('FLORES BOJORQUEZ BRYAN OVED'!T$40:T$46,'KM POR UNIDAD'!E12,'FLORES BOJORQUEZ BRYAN OVED'!Y$40:Y$46)+SUMIF('BALDERRAMA ROBLES JORGE'!T$40:T$46,'KM POR UNIDAD'!E12,'BALDERRAMA ROBLES JORGE'!#REF!)+SUMIF('BURGOS TORRES RIGOBERTO'!T$39:T$45,'KM POR UNIDAD'!E12,'BURGOS TORRES RIGOBERTO'!Y$39:Y$45)+SUMIF('CORDOVA URIBE JOSE  ADRIAN'!T$40:T$46,'KM POR UNIDAD'!E12,'CORDOVA URIBE JOSE  ADRIAN'!Y$40:Y$46)+SUMIF('GUZMAN CHAPARRO PEDRO'!T$40:T$46,'KM POR UNIDAD'!E12,'GUZMAN CHAPARRO PEDRO'!Y$40:Y$46)+SUMIF('HERNANDEZ LICANO JOSE LUIS'!T$40:T$46,'KM POR UNIDAD'!E12,'HERNANDEZ LICANO JOSE LUIS'!#REF!)+SUMIF('CARRERA REYES MARTIN SEBASTIAN'!T$41:T$47,'KM POR UNIDAD'!E12,'CARRERA REYES MARTIN SEBASTIAN'!Y$41:Y$47)+SUMIF('RUIZ SAUCEDO DANIEL ALEJANDRO'!T$40:T$46,'KM POR UNIDAD'!E12,'RUIZ SAUCEDO DANIEL ALEJANDRO'!Y$40:Y$46)+SUMIF('MARTINEZ RAMIREZ ROSALIO'!T$40:T$46,'KM POR UNIDAD'!E12,'MARTINEZ RAMIREZ ROSALIO'!Y$40:Y$46)+SUMIF('BALLEZA RAMIREZ JESUS JOSE'!T$40:T$46,'KM POR UNIDAD'!E12,'BALLEZA RAMIREZ JESUS JOSE'!T$176:T$180)+SUMIF('MONTERO BURROLA LUIS'!T$38:T$44,'KM POR UNIDAD'!E12,'MONTERO BURROLA LUIS'!Y$38:Y$44)+SUMIF('AGUILERA CONTRERAS LUIS GERARDO'!T$41:T$47,'KM POR UNIDAD'!E12,'AGUILERA CONTRERAS LUIS GERARDO'!Y$41:Y$47)+SUMIF('MORALES LOPEZ DE LARA MARIANO'!T$40:T$46,'KM POR UNIDAD'!E12,'MORALES LOPEZ DE LARA MARIANO'!Y$40:Y$46)+SUMIF('MELENDEZ SINALOA MANUEL ARAT'!T$40:T$46,'KM POR UNIDAD'!E12,'MELENDEZ SINALOA MANUEL ARAT'!#REF!)+SUMIF('MORALES LECHUGA GONZALO'!T$40:T$46,'KM POR UNIDAD'!E12,'MORALES LECHUGA GONZALO'!Y$40:Y$46)+SUMIF('ORONA BECERRA MAURO JOSE'!T$40:T$46,'KM POR UNIDAD'!E12,'ORONA BECERRA MAURO JOSE'!Y$40:Y$46)+SUMIF('VALLES HERNANDEZ MANUEL MARCELI'!T$39:T$45,'KM POR UNIDAD'!E12,'VALLES HERNANDEZ MANUEL MARCELI'!Y$39:Y$45)+SUMIF('ORTIZ RAMIREZ HECTOR MANUEL'!T$40:T$46,'KM POR UNIDAD'!E12,'ORTIZ RAMIREZ HECTOR MANUEL'!Y$40:Y$46)+SUMIF('ONTIVEROS LIRA JUAN'!T$40:T$46,'KM POR UNIDAD'!E12,'ONTIVEROS LIRA JUAN'!Y$40:Y$46)+SUMIF('RODRIGUEZ FLORES BRYAN DARIO'!T$40:T$46,'KM POR UNIDAD'!E12,'RODRIGUEZ FLORES BRYAN DARIO'!Y$40:Y$46)+SUMIF('NUÑEZ RUIZ IRVING JAVIER.'!T$42:T$48,'KM POR UNIDAD'!E12,'NUÑEZ RUIZ IRVING JAVIER.'!Y$42:Y$48)+SUMIF('MACHADO MAZUCA ADOLFO'!T$40:T$46,'KM POR UNIDAD'!E12,'MACHADO MAZUCA ADOLFO'!Y$40:Y$46)+SUMIF('LIRA ARCEO JOEL EDUARDO'!T$40:T$46,'KM POR UNIDAD'!E12,'LIRA ARCEO JOEL EDUARDO'!Y$41:Y$46)+SUMIF('ANCHONDO ROMERO CESAR ALEJANDRO'!T$40:T$46,'KM POR UNIDAD'!E12,'ANCHONDO ROMERO CESAR ALEJANDRO'!Y$40:Y$46)</f>
        <v>#REF!</v>
      </c>
      <c r="G12" s="146"/>
    </row>
    <row r="13" spans="1:11" x14ac:dyDescent="0.25">
      <c r="A13" s="143" t="s">
        <v>52</v>
      </c>
      <c r="B13" s="144">
        <f>+SUMIF('AGUILAR ESQUIVEL CARLOS'!P$40:P$46,'KM POR UNIDAD'!A13,'AGUILAR ESQUIVEL CARLOS'!U$40:U$46)+SUMIF('AGUILAR RODRIGUEZ JORGE ALONSO'!P$40:P$46,'KM POR UNIDAD'!A13,'AGUILAR RODRIGUEZ JORGE ALONSO'!U$40:U$46)+SUMIF('REYES LARA DANTE'!P$40:P$46,'KM POR UNIDAD'!A13,'REYES LARA DANTE'!U$40:U$46)+SUMIF('RAMIREZ BAUTISTA ADRIAN'!P$40:P$46,'KM POR UNIDAD'!A13,'RAMIREZ BAUTISTA ADRIAN'!U$40:U$46)+SUMIF('FLORES BOJORQUEZ BRYAN OVED'!P$40:P$46,'KM POR UNIDAD'!A13,'FLORES BOJORQUEZ BRYAN OVED'!U$40:U$46)+SUMIF('BALDERRAMA ROBLES JORGE'!P$40:P$46,'KM POR UNIDAD'!A13,'BALDERRAMA ROBLES JORGE'!U$40:U$46)+SUMIF('BURGOS TORRES RIGOBERTO'!P$39:P$45,'KM POR UNIDAD'!A13,'BURGOS TORRES RIGOBERTO'!U$39:U$45)+SUMIF('CORDOVA URIBE JOSE  ADRIAN'!P$40:P$46,'KM POR UNIDAD'!A13,'CORDOVA URIBE JOSE  ADRIAN'!U$40:U$46)+SUMIF('GUZMAN CHAPARRO PEDRO'!P$40:P$46,'KM POR UNIDAD'!A13,'GUZMAN CHAPARRO PEDRO'!U$40:U$46)+SUMIF('HERNANDEZ LICANO JOSE LUIS'!P$40:P$46,'KM POR UNIDAD'!A13,'HERNANDEZ LICANO JOSE LUIS'!U$40:U$46)+SUMIF('CARRERA REYES MARTIN SEBASTIAN'!P$41:P$47,'KM POR UNIDAD'!A13,'CARRERA REYES MARTIN SEBASTIAN'!U$41:U$47)+SUMIF('RUIZ SAUCEDO DANIEL ALEJANDRO'!P$40:P$46,'KM POR UNIDAD'!A13,'RUIZ SAUCEDO DANIEL ALEJANDRO'!U$40:U$46)+SUMIF('MARTINEZ RAMIREZ ROSALIO'!P$40:P$46,'KM POR UNIDAD'!A13,'MARTINEZ RAMIREZ ROSALIO'!U$40:U$46)+SUMIF('BALLEZA RAMIREZ JESUS JOSE'!P$40:P$46,'KM POR UNIDAD'!A13,'BALLEZA RAMIREZ JESUS JOSE'!U$40:U$46)+SUMIF('MONTERO BURROLA LUIS'!P$38:P$44,'KM POR UNIDAD'!A13,'MONTERO BURROLA LUIS'!U$38:U$44)+SUMIF('AGUILERA CONTRERAS LUIS GERARDO'!P$41:P$47,'KM POR UNIDAD'!A13,'AGUILERA CONTRERAS LUIS GERARDO'!U$41:U$47)+SUMIF('MORALES LOPEZ DE LARA MARIANO'!P$40:P$46,'KM POR UNIDAD'!A13,'MORALES LOPEZ DE LARA MARIANO'!U$40:U$46)+SUMIF('MELENDEZ SINALOA MANUEL ARAT'!P$40:P$46,'KM POR UNIDAD'!A13,'MELENDEZ SINALOA MANUEL ARAT'!U$40:U$46)+SUMIF('MORALES LECHUGA GONZALO'!P$40:P$46,'KM POR UNIDAD'!A13,'MORALES LECHUGA GONZALO'!U$40:U$46)+SUMIF('ORONA BECERRA MAURO JOSE'!P$40:P$46,'KM POR UNIDAD'!A13,'ORONA BECERRA MAURO JOSE'!U$40:U$46)+SUMIF('VALLES HERNANDEZ MANUEL MARCELI'!P$39:P$45,'KM POR UNIDAD'!A13,'VALLES HERNANDEZ MANUEL MARCELI'!U$39:U$45)+SUMIF('ORTIZ RAMIREZ HECTOR MANUEL'!P$40:P$46,'KM POR UNIDAD'!A13,'ORTIZ RAMIREZ HECTOR MANUEL'!U$40:U$46)+SUMIF('ONTIVEROS LIRA JUAN'!P$40:P$46,'KM POR UNIDAD'!A13,'ONTIVEROS LIRA JUAN'!U$40:U$46)+SUMIF('RODRIGUEZ FLORES BRYAN DARIO'!P$40:P$46,'KM POR UNIDAD'!A13,'RODRIGUEZ FLORES BRYAN DARIO'!U$40:U$46)+SUMIF('NUÑEZ RUIZ IRVING JAVIER.'!P$42:P$48,'KM POR UNIDAD'!A13,'NUÑEZ RUIZ IRVING JAVIER.'!U$42:U$48)+SUMIF('MACHADO MAZUCA ADOLFO'!P$40:P$46,'KM POR UNIDAD'!A13,'MACHADO MAZUCA ADOLFO'!U$40:U$46)+SUMIF('LIRA ARCEO JOEL EDUARDO'!P$40:P$46,'KM POR UNIDAD'!A13,'LIRA ARCEO JOEL EDUARDO'!U$40:U$46)+SUMIF('ANCHONDO ROMERO CESAR ALEJANDRO'!P$40:P$46,'KM POR UNIDAD'!A13,'ANCHONDO ROMERO CESAR ALEJANDRO'!U$40:U$46)</f>
        <v>0</v>
      </c>
      <c r="C13" s="150">
        <f ca="1">+SUMIF('AGUILAR ESQUIVEL CARLOS'!P$40:P$46,'KM POR UNIDAD'!A13,'AGUILAR ESQUIVEL CARLOS'!T$40:T$46)+SUMIF('AGUILAR RODRIGUEZ JORGE ALONSO'!P$40:P$46,'KM POR UNIDAD'!A13,'AGUILAR RODRIGUEZ JORGE ALONSO'!T$40:T$46)+SUMIF('REYES LARA DANTE'!P$40:P$46,'KM POR UNIDAD'!A13,'REYES LARA DANTE'!T$40:T$46)+SUMIF('RAMIREZ BAUTISTA ADRIAN'!P$40:P$46,'KM POR UNIDAD'!A13,'RAMIREZ BAUTISTA ADRIAN'!T$40:T$46)+SUMIF('FLORES BOJORQUEZ BRYAN OVED'!P$40:P$46,'KM POR UNIDAD'!A13,'FLORES BOJORQUEZ BRYAN OVED'!T$40:T$46)+SUMIF('BALDERRAMA ROBLES JORGE'!P$40:P$46,'KM POR UNIDAD'!A13,'BALDERRAMA ROBLES JORGE'!T$40:T$46)+SUMIF('BURGOS TORRES RIGOBERTO'!P$39:P$45,'KM POR UNIDAD'!A13,'BURGOS TORRES RIGOBERTO'!T$39:T$45)+SUMIF('CORDOVA URIBE JOSE  ADRIAN'!P$40:P$46,'KM POR UNIDAD'!A13,'CORDOVA URIBE JOSE  ADRIAN'!T$40:T$46)+SUMIF('GUZMAN CHAPARRO PEDRO'!P$40:P$46,'KM POR UNIDAD'!A13,'GUZMAN CHAPARRO PEDRO'!T$40:T$46)+SUMIF('HERNANDEZ LICANO JOSE LUIS'!P$40:P$46,'KM POR UNIDAD'!A13,'HERNANDEZ LICANO JOSE LUIS'!T$40:T$46)+SUMIF('CARRERA REYES MARTIN SEBASTIAN'!P$41:P$47,'KM POR UNIDAD'!A13,'CARRERA REYES MARTIN SEBASTIAN'!T$41:T$47)+SUMIF('RUIZ SAUCEDO DANIEL ALEJANDRO'!P$40:P$46,'KM POR UNIDAD'!A13,'RUIZ SAUCEDO DANIEL ALEJANDRO'!T$40:T$46)+SUMIF('MARTINEZ RAMIREZ ROSALIO'!P$40:P$46,'KM POR UNIDAD'!A13,'MARTINEZ RAMIREZ ROSALIO'!T$40:T$46)+SUMIF('BALLEZA RAMIREZ JESUS JOSE'!P$40:P$46,'KM POR UNIDAD'!A13,'BALLEZA RAMIREZ JESUS JOSE'!T$40:T$46)+SUMIF('MONTERO BURROLA LUIS'!P$38:P$44,'KM POR UNIDAD'!A13,'MONTERO BURROLA LUIS'!T$38:T$44)+SUMIF('AGUILERA CONTRERAS LUIS GERARDO'!P$41:P$47,'KM POR UNIDAD'!A13,'AGUILERA CONTRERAS LUIS GERARDO'!T$41:T$47)+SUMIF('MORALES LOPEZ DE LARA MARIANO'!P$40:P$46,'KM POR UNIDAD'!A13,'MORALES LOPEZ DE LARA MARIANO'!T$40:T$46)+SUMIF('MELENDEZ SINALOA MANUEL ARAT'!P$40:P$46,'KM POR UNIDAD'!A13,'MELENDEZ SINALOA MANUEL ARAT'!T$40:T$46)+SUMIF('MORALES LECHUGA GONZALO'!P$40:P$46,'KM POR UNIDAD'!A13,'MORALES LECHUGA GONZALO'!T$40:T$46)+SUMIF('ORONA BECERRA MAURO JOSE'!P$40:P$46,'KM POR UNIDAD'!A13,'ORONA BECERRA MAURO JOSE'!T$40:T$46)+SUMIF('VALLES HERNANDEZ MANUEL MARCELI'!P$39:P$45,'KM POR UNIDAD'!A13,'VALLES HERNANDEZ MANUEL MARCELI'!T$39:T$45)+SUMIF('ORTIZ RAMIREZ HECTOR MANUEL'!P$40:P$46,'KM POR UNIDAD'!A13,'ORTIZ RAMIREZ HECTOR MANUEL'!T$40:T$46)+SUMIF('ONTIVEROS LIRA JUAN'!P$40:P$446,'KM POR UNIDAD'!A13,'ONTIVEROS LIRA JUAN'!T$40:T$46)+SUMIF('RODRIGUEZ FLORES BRYAN DARIO'!P$40:P$46,'KM POR UNIDAD'!A13,'RODRIGUEZ FLORES BRYAN DARIO'!T$40:T$46)+SUMIF('NUÑEZ RUIZ IRVING JAVIER.'!P$42:P$48,'KM POR UNIDAD'!A13,'NUÑEZ RUIZ IRVING JAVIER.'!T$42:T$48)+SUMIF('MACHADO MAZUCA ADOLFO'!P$40:P$46,'KM POR UNIDAD'!A13,'MACHADO MAZUCA ADOLFO'!T$40:T$46)+SUMIF('LIRA ARCEO JOEL EDUARDO'!P$40:P$46,'KM POR UNIDAD'!A13,'LIRA ARCEO JOEL EDUARDO'!T$40:T$46)+SUMIF('ANCHONDO ROMERO CESAR ALEJANDRO'!P$40:P$46,'KM POR UNIDAD'!A13,'ANCHONDO ROMERO CESAR ALEJANDRO'!T$40:T$46)</f>
        <v>0</v>
      </c>
      <c r="D13" s="150">
        <f>+SUMIF('AGUILAR ESQUIVEL CARLOS'!P$40:P$46,'KM POR UNIDAD'!A13,'AGUILAR ESQUIVEL CARLOS'!V$40:V$46)+SUMIF('AGUILAR RODRIGUEZ JORGE ALONSO'!P$40:P$46,'KM POR UNIDAD'!A13,'AGUILAR RODRIGUEZ JORGE ALONSO'!V$40:V$46)+SUMIF('REYES LARA DANTE'!P$40:P$46,'KM POR UNIDAD'!A13,'REYES LARA DANTE'!V$40:V$46)+SUMIF('RAMIREZ BAUTISTA ADRIAN'!P$40:P$46,'KM POR UNIDAD'!A13,'RAMIREZ BAUTISTA ADRIAN'!V$40:V$46)+SUMIF('FLORES BOJORQUEZ BRYAN OVED'!P$40:P$46,'KM POR UNIDAD'!A13,'FLORES BOJORQUEZ BRYAN OVED'!V$40:V$46)+SUMIF('BALDERRAMA ROBLES JORGE'!P$40:P$46,'KM POR UNIDAD'!A13,'BALDERRAMA ROBLES JORGE'!V$40:V$46)+SUMIF('BURGOS TORRES RIGOBERTO'!P$39:P$45,'KM POR UNIDAD'!A13,'BURGOS TORRES RIGOBERTO'!V$39:V$45)+SUMIF('CORDOVA URIBE JOSE  ADRIAN'!P$40:P$46,'KM POR UNIDAD'!A13,'CORDOVA URIBE JOSE  ADRIAN'!V$40:V$46)+SUMIF('GUZMAN CHAPARRO PEDRO'!P$40:P$46,'KM POR UNIDAD'!A13,'GUZMAN CHAPARRO PEDRO'!V$40:V$46)+SUMIF('HERNANDEZ LICANO JOSE LUIS'!P$40:P$46,'KM POR UNIDAD'!A13,'HERNANDEZ LICANO JOSE LUIS'!V$40:V$46)+SUMIF('CARRERA REYES MARTIN SEBASTIAN'!P$41:P$47,'KM POR UNIDAD'!A13,'CARRERA REYES MARTIN SEBASTIAN'!V$41:V$47)+SUMIF('RUIZ SAUCEDO DANIEL ALEJANDRO'!P$40:P$46,'KM POR UNIDAD'!A13,'RUIZ SAUCEDO DANIEL ALEJANDRO'!V$40:V$46)+SUMIF('MARTINEZ RAMIREZ ROSALIO'!P$40:P$46,'KM POR UNIDAD'!A13,'MARTINEZ RAMIREZ ROSALIO'!V$40:V$46)+SUMIF('BALLEZA RAMIREZ JESUS JOSE'!P$40:P$46,'KM POR UNIDAD'!A13,'BALLEZA RAMIREZ JESUS JOSE'!V$40:V$46)+SUMIF('MONTERO BURROLA LUIS'!P$38:P$44,'KM POR UNIDAD'!A13,'MONTERO BURROLA LUIS'!V$38:V$44)+SUMIF('AGUILERA CONTRERAS LUIS GERARDO'!P$41:P$47,'KM POR UNIDAD'!A13,'AGUILERA CONTRERAS LUIS GERARDO'!V$41:V$47)+SUMIF('MORALES LOPEZ DE LARA MARIANO'!P$40:P$46,'KM POR UNIDAD'!A13,'MORALES LOPEZ DE LARA MARIANO'!V$40:V$46)+SUMIF('MELENDEZ SINALOA MANUEL ARAT'!P$40:P$46,'KM POR UNIDAD'!A13,'MELENDEZ SINALOA MANUEL ARAT'!V$40:V$46)+SUMIF('MORALES LECHUGA GONZALO'!P$40:P$46,'KM POR UNIDAD'!A13,'MORALES LECHUGA GONZALO'!V$40:V$46)+SUMIF('ORONA BECERRA MAURO JOSE'!P$40:P$46,'KM POR UNIDAD'!A13,'ORONA BECERRA MAURO JOSE'!V$40:V$46)+SUMIF('VALLES HERNANDEZ MANUEL MARCELI'!P$39:P$45,'KM POR UNIDAD'!A13,'VALLES HERNANDEZ MANUEL MARCELI'!V$39:V$45)+SUMIF('ORTIZ RAMIREZ HECTOR MANUEL'!P$40:P$46,'KM POR UNIDAD'!A13,'ORTIZ RAMIREZ HECTOR MANUEL'!V$40:V$46)+SUMIF('ONTIVEROS LIRA JUAN'!P$40:P$46,'KM POR UNIDAD'!A13,'ONTIVEROS LIRA JUAN'!V$40:V$46)+SUMIF('RODRIGUEZ FLORES BRYAN DARIO'!P$40:P$46,'KM POR UNIDAD'!A13,'RODRIGUEZ FLORES BRYAN DARIO'!V$40:V$46)+SUMIF('NUÑEZ RUIZ IRVING JAVIER.'!P$42:P$48,'KM POR UNIDAD'!A13,'NUÑEZ RUIZ IRVING JAVIER.'!V$42:V$48)+SUMIF('MACHADO MAZUCA ADOLFO'!P$40:P$46,'KM POR UNIDAD'!A13,'MACHADO MAZUCA ADOLFO'!V$40:V$46)+SUMIF('LIRA ARCEO JOEL EDUARDO'!P$40:P$46,'KM POR UNIDAD'!A13,'LIRA ARCEO JOEL EDUARDO'!V$40:V$46)+SUMIF('ANCHONDO ROMERO CESAR ALEJANDRO'!P$40:P$46,'KM POR UNIDAD'!A13,'ANCHONDO ROMERO CESAR ALEJANDRO'!V$40:V$46)</f>
        <v>0</v>
      </c>
      <c r="E13" s="145">
        <f t="shared" si="0"/>
        <v>0</v>
      </c>
      <c r="F13" s="144" t="e">
        <f ca="1">+SUMIF('AGUILAR ESQUIVEL CARLOS'!T$40:T$46,'KM POR UNIDAD'!E13,'AGUILAR ESQUIVEL CARLOS'!W$40:W$46)+SUMIF('AGUILAR RODRIGUEZ JORGE ALONSO'!T$40:T$46,'KM POR UNIDAD'!E13,'AGUILAR RODRIGUEZ JORGE ALONSO'!Y$40:Y$46)+SUMIF('REYES LARA DANTE'!T$40:T$46,'KM POR UNIDAD'!E13,'REYES LARA DANTE'!Y$40:Y$46)+SUMIF('RAMIREZ BAUTISTA ADRIAN'!T$40:T$46,'KM POR UNIDAD'!E13,'RAMIREZ BAUTISTA ADRIAN'!Y$40:Y$46)+SUMIF('FLORES BOJORQUEZ BRYAN OVED'!T$40:T$46,'KM POR UNIDAD'!E13,'FLORES BOJORQUEZ BRYAN OVED'!Y$40:Y$46)+SUMIF('BALDERRAMA ROBLES JORGE'!T$40:T$46,'KM POR UNIDAD'!E13,'BALDERRAMA ROBLES JORGE'!#REF!)+SUMIF('BURGOS TORRES RIGOBERTO'!T$39:T$45,'KM POR UNIDAD'!E13,'BURGOS TORRES RIGOBERTO'!Y$39:Y$45)+SUMIF('CORDOVA URIBE JOSE  ADRIAN'!T$40:T$46,'KM POR UNIDAD'!E13,'CORDOVA URIBE JOSE  ADRIAN'!Y$40:Y$46)+SUMIF('GUZMAN CHAPARRO PEDRO'!T$40:T$46,'KM POR UNIDAD'!E13,'GUZMAN CHAPARRO PEDRO'!Y$40:Y$46)+SUMIF('HERNANDEZ LICANO JOSE LUIS'!T$40:T$46,'KM POR UNIDAD'!E13,'HERNANDEZ LICANO JOSE LUIS'!#REF!)+SUMIF('CARRERA REYES MARTIN SEBASTIAN'!T$41:T$47,'KM POR UNIDAD'!E13,'CARRERA REYES MARTIN SEBASTIAN'!Y$41:Y$47)+SUMIF('RUIZ SAUCEDO DANIEL ALEJANDRO'!T$40:T$46,'KM POR UNIDAD'!E13,'RUIZ SAUCEDO DANIEL ALEJANDRO'!Y$40:Y$46)+SUMIF('MARTINEZ RAMIREZ ROSALIO'!T$40:T$46,'KM POR UNIDAD'!E13,'MARTINEZ RAMIREZ ROSALIO'!Y$40:Y$46)+SUMIF('BALLEZA RAMIREZ JESUS JOSE'!T$40:T$46,'KM POR UNIDAD'!E13,'BALLEZA RAMIREZ JESUS JOSE'!T$176:T$180)+SUMIF('MONTERO BURROLA LUIS'!T$38:T$44,'KM POR UNIDAD'!E13,'MONTERO BURROLA LUIS'!Y$38:Y$44)+SUMIF('AGUILERA CONTRERAS LUIS GERARDO'!T$41:T$47,'KM POR UNIDAD'!E13,'AGUILERA CONTRERAS LUIS GERARDO'!Y$41:Y$47)+SUMIF('MORALES LOPEZ DE LARA MARIANO'!T$40:T$46,'KM POR UNIDAD'!E13,'MORALES LOPEZ DE LARA MARIANO'!Y$40:Y$46)+SUMIF('MELENDEZ SINALOA MANUEL ARAT'!T$40:T$46,'KM POR UNIDAD'!E13,'MELENDEZ SINALOA MANUEL ARAT'!#REF!)+SUMIF('MORALES LECHUGA GONZALO'!T$40:T$46,'KM POR UNIDAD'!E13,'MORALES LECHUGA GONZALO'!Y$40:Y$46)+SUMIF('ORONA BECERRA MAURO JOSE'!T$40:T$46,'KM POR UNIDAD'!E13,'ORONA BECERRA MAURO JOSE'!Y$40:Y$46)+SUMIF('VALLES HERNANDEZ MANUEL MARCELI'!T$39:T$45,'KM POR UNIDAD'!E13,'VALLES HERNANDEZ MANUEL MARCELI'!Y$39:Y$45)+SUMIF('ORTIZ RAMIREZ HECTOR MANUEL'!T$40:T$46,'KM POR UNIDAD'!E13,'ORTIZ RAMIREZ HECTOR MANUEL'!Y$40:Y$46)+SUMIF('ONTIVEROS LIRA JUAN'!T$40:T$46,'KM POR UNIDAD'!E13,'ONTIVEROS LIRA JUAN'!Y$40:Y$46)+SUMIF('RODRIGUEZ FLORES BRYAN DARIO'!T$40:T$46,'KM POR UNIDAD'!E13,'RODRIGUEZ FLORES BRYAN DARIO'!Y$40:Y$46)+SUMIF('NUÑEZ RUIZ IRVING JAVIER.'!T$42:T$48,'KM POR UNIDAD'!E13,'NUÑEZ RUIZ IRVING JAVIER.'!Y$42:Y$48)+SUMIF('MACHADO MAZUCA ADOLFO'!T$40:T$46,'KM POR UNIDAD'!E13,'MACHADO MAZUCA ADOLFO'!Y$40:Y$46)+SUMIF('LIRA ARCEO JOEL EDUARDO'!T$40:T$46,'KM POR UNIDAD'!E13,'LIRA ARCEO JOEL EDUARDO'!Y$41:Y$46)+SUMIF('ANCHONDO ROMERO CESAR ALEJANDRO'!T$40:T$46,'KM POR UNIDAD'!E13,'ANCHONDO ROMERO CESAR ALEJANDRO'!Y$40:Y$46)</f>
        <v>#REF!</v>
      </c>
      <c r="G13" s="146"/>
    </row>
    <row r="14" spans="1:11" x14ac:dyDescent="0.25">
      <c r="A14" s="143" t="s">
        <v>129</v>
      </c>
      <c r="B14" s="144">
        <f>+SUMIF('AGUILAR ESQUIVEL CARLOS'!P$40:P$46,'KM POR UNIDAD'!A14,'AGUILAR ESQUIVEL CARLOS'!U$40:U$46)+SUMIF('AGUILAR RODRIGUEZ JORGE ALONSO'!P$40:P$46,'KM POR UNIDAD'!A14,'AGUILAR RODRIGUEZ JORGE ALONSO'!U$40:U$46)+SUMIF('REYES LARA DANTE'!P$40:P$46,'KM POR UNIDAD'!A14,'REYES LARA DANTE'!U$40:U$46)+SUMIF('RAMIREZ BAUTISTA ADRIAN'!P$40:P$46,'KM POR UNIDAD'!A14,'RAMIREZ BAUTISTA ADRIAN'!U$40:U$46)+SUMIF('FLORES BOJORQUEZ BRYAN OVED'!P$40:P$46,'KM POR UNIDAD'!A14,'FLORES BOJORQUEZ BRYAN OVED'!U$40:U$46)+SUMIF('BALDERRAMA ROBLES JORGE'!P$40:P$46,'KM POR UNIDAD'!A14,'BALDERRAMA ROBLES JORGE'!U$40:U$46)+SUMIF('BURGOS TORRES RIGOBERTO'!P$39:P$45,'KM POR UNIDAD'!A14,'BURGOS TORRES RIGOBERTO'!U$39:U$45)+SUMIF('CORDOVA URIBE JOSE  ADRIAN'!P$40:P$46,'KM POR UNIDAD'!A14,'CORDOVA URIBE JOSE  ADRIAN'!U$40:U$46)+SUMIF('GUZMAN CHAPARRO PEDRO'!P$40:P$46,'KM POR UNIDAD'!A14,'GUZMAN CHAPARRO PEDRO'!U$40:U$46)+SUMIF('HERNANDEZ LICANO JOSE LUIS'!P$40:P$46,'KM POR UNIDAD'!A14,'HERNANDEZ LICANO JOSE LUIS'!U$40:U$46)+SUMIF('CARRERA REYES MARTIN SEBASTIAN'!P$41:P$47,'KM POR UNIDAD'!A14,'CARRERA REYES MARTIN SEBASTIAN'!U$41:U$47)+SUMIF('RUIZ SAUCEDO DANIEL ALEJANDRO'!P$40:P$46,'KM POR UNIDAD'!A14,'RUIZ SAUCEDO DANIEL ALEJANDRO'!U$40:U$46)+SUMIF('MARTINEZ RAMIREZ ROSALIO'!P$40:P$46,'KM POR UNIDAD'!A14,'MARTINEZ RAMIREZ ROSALIO'!U$40:U$46)+SUMIF('BALLEZA RAMIREZ JESUS JOSE'!P$40:P$46,'KM POR UNIDAD'!A14,'BALLEZA RAMIREZ JESUS JOSE'!U$40:U$46)+SUMIF('MONTERO BURROLA LUIS'!P$38:P$44,'KM POR UNIDAD'!A14,'MONTERO BURROLA LUIS'!U$38:U$44)+SUMIF('AGUILERA CONTRERAS LUIS GERARDO'!P$41:P$47,'KM POR UNIDAD'!A14,'AGUILERA CONTRERAS LUIS GERARDO'!U$41:U$47)+SUMIF('MORALES LOPEZ DE LARA MARIANO'!P$40:P$46,'KM POR UNIDAD'!A14,'MORALES LOPEZ DE LARA MARIANO'!U$40:U$46)+SUMIF('MELENDEZ SINALOA MANUEL ARAT'!P$40:P$46,'KM POR UNIDAD'!A14,'MELENDEZ SINALOA MANUEL ARAT'!U$40:U$46)+SUMIF('MORALES LECHUGA GONZALO'!P$40:P$46,'KM POR UNIDAD'!A14,'MORALES LECHUGA GONZALO'!U$40:U$46)+SUMIF('ORONA BECERRA MAURO JOSE'!P$40:P$46,'KM POR UNIDAD'!A14,'ORONA BECERRA MAURO JOSE'!U$40:U$46)+SUMIF('VALLES HERNANDEZ MANUEL MARCELI'!P$39:P$45,'KM POR UNIDAD'!A14,'VALLES HERNANDEZ MANUEL MARCELI'!U$39:U$45)+SUMIF('ORTIZ RAMIREZ HECTOR MANUEL'!P$40:P$46,'KM POR UNIDAD'!A14,'ORTIZ RAMIREZ HECTOR MANUEL'!U$40:U$46)+SUMIF('ONTIVEROS LIRA JUAN'!P$40:P$46,'KM POR UNIDAD'!A14,'ONTIVEROS LIRA JUAN'!U$40:U$46)+SUMIF('RODRIGUEZ FLORES BRYAN DARIO'!P$40:P$46,'KM POR UNIDAD'!A14,'RODRIGUEZ FLORES BRYAN DARIO'!U$40:U$46)+SUMIF('NUÑEZ RUIZ IRVING JAVIER.'!P$42:P$48,'KM POR UNIDAD'!A14,'NUÑEZ RUIZ IRVING JAVIER.'!U$42:U$48)+SUMIF('MACHADO MAZUCA ADOLFO'!P$40:P$46,'KM POR UNIDAD'!A14,'MACHADO MAZUCA ADOLFO'!U$40:U$46)+SUMIF('LIRA ARCEO JOEL EDUARDO'!P$40:P$46,'KM POR UNIDAD'!A14,'LIRA ARCEO JOEL EDUARDO'!U$40:U$46)+SUMIF('ANCHONDO ROMERO CESAR ALEJANDRO'!P$40:P$46,'KM POR UNIDAD'!A14,'ANCHONDO ROMERO CESAR ALEJANDRO'!U$40:U$46)</f>
        <v>2300</v>
      </c>
      <c r="C14" s="150">
        <f ca="1">+SUMIF('AGUILAR ESQUIVEL CARLOS'!P$40:P$46,'KM POR UNIDAD'!A14,'AGUILAR ESQUIVEL CARLOS'!T$40:T$46)+SUMIF('AGUILAR RODRIGUEZ JORGE ALONSO'!P$40:P$46,'KM POR UNIDAD'!A14,'AGUILAR RODRIGUEZ JORGE ALONSO'!T$40:T$46)+SUMIF('REYES LARA DANTE'!P$40:P$46,'KM POR UNIDAD'!A14,'REYES LARA DANTE'!T$40:T$46)+SUMIF('RAMIREZ BAUTISTA ADRIAN'!P$40:P$46,'KM POR UNIDAD'!A14,'RAMIREZ BAUTISTA ADRIAN'!T$40:T$46)+SUMIF('FLORES BOJORQUEZ BRYAN OVED'!P$40:P$46,'KM POR UNIDAD'!A14,'FLORES BOJORQUEZ BRYAN OVED'!T$40:T$46)+SUMIF('BALDERRAMA ROBLES JORGE'!P$40:P$46,'KM POR UNIDAD'!A14,'BALDERRAMA ROBLES JORGE'!T$40:T$46)+SUMIF('BURGOS TORRES RIGOBERTO'!P$39:P$45,'KM POR UNIDAD'!A14,'BURGOS TORRES RIGOBERTO'!T$39:T$45)+SUMIF('CORDOVA URIBE JOSE  ADRIAN'!P$40:P$46,'KM POR UNIDAD'!A14,'CORDOVA URIBE JOSE  ADRIAN'!T$40:T$46)+SUMIF('GUZMAN CHAPARRO PEDRO'!P$40:P$46,'KM POR UNIDAD'!A14,'GUZMAN CHAPARRO PEDRO'!T$40:T$46)+SUMIF('HERNANDEZ LICANO JOSE LUIS'!P$40:P$46,'KM POR UNIDAD'!A14,'HERNANDEZ LICANO JOSE LUIS'!T$40:T$46)+SUMIF('CARRERA REYES MARTIN SEBASTIAN'!P$41:P$47,'KM POR UNIDAD'!A14,'CARRERA REYES MARTIN SEBASTIAN'!T$41:T$47)+SUMIF('RUIZ SAUCEDO DANIEL ALEJANDRO'!P$40:P$46,'KM POR UNIDAD'!A14,'RUIZ SAUCEDO DANIEL ALEJANDRO'!T$40:T$46)+SUMIF('MARTINEZ RAMIREZ ROSALIO'!P$40:P$46,'KM POR UNIDAD'!A14,'MARTINEZ RAMIREZ ROSALIO'!T$40:T$46)+SUMIF('BALLEZA RAMIREZ JESUS JOSE'!P$40:P$46,'KM POR UNIDAD'!A14,'BALLEZA RAMIREZ JESUS JOSE'!T$40:T$46)+SUMIF('MONTERO BURROLA LUIS'!P$38:P$44,'KM POR UNIDAD'!A14,'MONTERO BURROLA LUIS'!T$38:T$44)+SUMIF('AGUILERA CONTRERAS LUIS GERARDO'!P$41:P$47,'KM POR UNIDAD'!A14,'AGUILERA CONTRERAS LUIS GERARDO'!T$41:T$47)+SUMIF('MORALES LOPEZ DE LARA MARIANO'!P$40:P$46,'KM POR UNIDAD'!A14,'MORALES LOPEZ DE LARA MARIANO'!T$40:T$46)+SUMIF('MELENDEZ SINALOA MANUEL ARAT'!P$40:P$46,'KM POR UNIDAD'!A14,'MELENDEZ SINALOA MANUEL ARAT'!T$40:T$46)+SUMIF('MORALES LECHUGA GONZALO'!P$40:P$46,'KM POR UNIDAD'!A14,'MORALES LECHUGA GONZALO'!T$40:T$46)+SUMIF('ORONA BECERRA MAURO JOSE'!P$40:P$46,'KM POR UNIDAD'!A14,'ORONA BECERRA MAURO JOSE'!T$40:T$46)+SUMIF('VALLES HERNANDEZ MANUEL MARCELI'!P$39:P$45,'KM POR UNIDAD'!A14,'VALLES HERNANDEZ MANUEL MARCELI'!T$39:T$45)+SUMIF('ORTIZ RAMIREZ HECTOR MANUEL'!P$40:P$46,'KM POR UNIDAD'!A14,'ORTIZ RAMIREZ HECTOR MANUEL'!T$40:T$46)+SUMIF('ONTIVEROS LIRA JUAN'!P$40:P$446,'KM POR UNIDAD'!A14,'ONTIVEROS LIRA JUAN'!T$40:T$46)+SUMIF('RODRIGUEZ FLORES BRYAN DARIO'!P$40:P$46,'KM POR UNIDAD'!A14,'RODRIGUEZ FLORES BRYAN DARIO'!T$40:T$46)+SUMIF('NUÑEZ RUIZ IRVING JAVIER.'!P$42:P$48,'KM POR UNIDAD'!A14,'NUÑEZ RUIZ IRVING JAVIER.'!T$42:T$48)+SUMIF('MACHADO MAZUCA ADOLFO'!P$40:P$46,'KM POR UNIDAD'!A14,'MACHADO MAZUCA ADOLFO'!T$40:T$46)+SUMIF('LIRA ARCEO JOEL EDUARDO'!P$40:P$46,'KM POR UNIDAD'!A14,'LIRA ARCEO JOEL EDUARDO'!T$40:T$46)+SUMIF('ANCHONDO ROMERO CESAR ALEJANDRO'!P$40:P$46,'KM POR UNIDAD'!A14,'ANCHONDO ROMERO CESAR ALEJANDRO'!T$40:T$46)</f>
        <v>2249</v>
      </c>
      <c r="D14" s="150">
        <f>+SUMIF('AGUILAR ESQUIVEL CARLOS'!P$40:P$46,'KM POR UNIDAD'!A14,'AGUILAR ESQUIVEL CARLOS'!V$40:V$46)+SUMIF('AGUILAR RODRIGUEZ JORGE ALONSO'!P$40:P$46,'KM POR UNIDAD'!A14,'AGUILAR RODRIGUEZ JORGE ALONSO'!V$40:V$46)+SUMIF('REYES LARA DANTE'!P$40:P$46,'KM POR UNIDAD'!A14,'REYES LARA DANTE'!V$40:V$46)+SUMIF('RAMIREZ BAUTISTA ADRIAN'!P$40:P$46,'KM POR UNIDAD'!A14,'RAMIREZ BAUTISTA ADRIAN'!V$40:V$46)+SUMIF('FLORES BOJORQUEZ BRYAN OVED'!P$40:P$46,'KM POR UNIDAD'!A14,'FLORES BOJORQUEZ BRYAN OVED'!V$40:V$46)+SUMIF('BALDERRAMA ROBLES JORGE'!P$40:P$46,'KM POR UNIDAD'!A14,'BALDERRAMA ROBLES JORGE'!V$40:V$46)+SUMIF('BURGOS TORRES RIGOBERTO'!P$39:P$45,'KM POR UNIDAD'!A14,'BURGOS TORRES RIGOBERTO'!V$39:V$45)+SUMIF('CORDOVA URIBE JOSE  ADRIAN'!P$40:P$46,'KM POR UNIDAD'!A14,'CORDOVA URIBE JOSE  ADRIAN'!V$40:V$46)+SUMIF('GUZMAN CHAPARRO PEDRO'!P$40:P$46,'KM POR UNIDAD'!A14,'GUZMAN CHAPARRO PEDRO'!V$40:V$46)+SUMIF('HERNANDEZ LICANO JOSE LUIS'!P$40:P$46,'KM POR UNIDAD'!A14,'HERNANDEZ LICANO JOSE LUIS'!V$40:V$46)+SUMIF('CARRERA REYES MARTIN SEBASTIAN'!P$41:P$47,'KM POR UNIDAD'!A14,'CARRERA REYES MARTIN SEBASTIAN'!V$41:V$47)+SUMIF('RUIZ SAUCEDO DANIEL ALEJANDRO'!P$40:P$46,'KM POR UNIDAD'!A14,'RUIZ SAUCEDO DANIEL ALEJANDRO'!V$40:V$46)+SUMIF('MARTINEZ RAMIREZ ROSALIO'!P$40:P$46,'KM POR UNIDAD'!A14,'MARTINEZ RAMIREZ ROSALIO'!V$40:V$46)+SUMIF('BALLEZA RAMIREZ JESUS JOSE'!P$40:P$46,'KM POR UNIDAD'!A14,'BALLEZA RAMIREZ JESUS JOSE'!V$40:V$46)+SUMIF('MONTERO BURROLA LUIS'!P$38:P$44,'KM POR UNIDAD'!A14,'MONTERO BURROLA LUIS'!V$38:V$44)+SUMIF('AGUILERA CONTRERAS LUIS GERARDO'!P$41:P$47,'KM POR UNIDAD'!A14,'AGUILERA CONTRERAS LUIS GERARDO'!V$41:V$47)+SUMIF('MORALES LOPEZ DE LARA MARIANO'!P$40:P$46,'KM POR UNIDAD'!A14,'MORALES LOPEZ DE LARA MARIANO'!V$40:V$46)+SUMIF('MELENDEZ SINALOA MANUEL ARAT'!P$40:P$46,'KM POR UNIDAD'!A14,'MELENDEZ SINALOA MANUEL ARAT'!V$40:V$46)+SUMIF('MORALES LECHUGA GONZALO'!P$40:P$46,'KM POR UNIDAD'!A14,'MORALES LECHUGA GONZALO'!V$40:V$46)+SUMIF('ORONA BECERRA MAURO JOSE'!P$40:P$46,'KM POR UNIDAD'!A14,'ORONA BECERRA MAURO JOSE'!V$40:V$46)+SUMIF('VALLES HERNANDEZ MANUEL MARCELI'!P$39:P$45,'KM POR UNIDAD'!A14,'VALLES HERNANDEZ MANUEL MARCELI'!V$39:V$45)+SUMIF('ORTIZ RAMIREZ HECTOR MANUEL'!P$40:P$46,'KM POR UNIDAD'!A14,'ORTIZ RAMIREZ HECTOR MANUEL'!V$40:V$46)+SUMIF('ONTIVEROS LIRA JUAN'!P$40:P$46,'KM POR UNIDAD'!A14,'ONTIVEROS LIRA JUAN'!V$40:V$46)+SUMIF('RODRIGUEZ FLORES BRYAN DARIO'!P$40:P$46,'KM POR UNIDAD'!A14,'RODRIGUEZ FLORES BRYAN DARIO'!V$40:V$46)+SUMIF('NUÑEZ RUIZ IRVING JAVIER.'!P$42:P$48,'KM POR UNIDAD'!A14,'NUÑEZ RUIZ IRVING JAVIER.'!V$42:V$48)+SUMIF('MACHADO MAZUCA ADOLFO'!P$40:P$46,'KM POR UNIDAD'!A14,'MACHADO MAZUCA ADOLFO'!V$40:V$46)+SUMIF('LIRA ARCEO JOEL EDUARDO'!P$40:P$46,'KM POR UNIDAD'!A14,'LIRA ARCEO JOEL EDUARDO'!V$40:V$46)+SUMIF('ANCHONDO ROMERO CESAR ALEJANDRO'!P$40:P$46,'KM POR UNIDAD'!A14,'ANCHONDO ROMERO CESAR ALEJANDRO'!V$40:V$46)</f>
        <v>715.68999999999994</v>
      </c>
      <c r="E14" s="145">
        <f t="shared" si="0"/>
        <v>3.2136819013818836</v>
      </c>
      <c r="F14" s="144" t="e">
        <f ca="1">+SUMIF('AGUILAR ESQUIVEL CARLOS'!T$40:T$46,'KM POR UNIDAD'!E14,'AGUILAR ESQUIVEL CARLOS'!W$40:W$46)+SUMIF('AGUILAR RODRIGUEZ JORGE ALONSO'!T$40:T$46,'KM POR UNIDAD'!E14,'AGUILAR RODRIGUEZ JORGE ALONSO'!Y$40:Y$46)+SUMIF('REYES LARA DANTE'!T$40:T$46,'KM POR UNIDAD'!E14,'REYES LARA DANTE'!Y$40:Y$46)+SUMIF('RAMIREZ BAUTISTA ADRIAN'!T$40:T$46,'KM POR UNIDAD'!E14,'RAMIREZ BAUTISTA ADRIAN'!Y$40:Y$46)+SUMIF('FLORES BOJORQUEZ BRYAN OVED'!T$40:T$46,'KM POR UNIDAD'!E14,'FLORES BOJORQUEZ BRYAN OVED'!Y$40:Y$46)+SUMIF('BALDERRAMA ROBLES JORGE'!T$40:T$46,'KM POR UNIDAD'!E14,'BALDERRAMA ROBLES JORGE'!#REF!)+SUMIF('BURGOS TORRES RIGOBERTO'!T$39:T$45,'KM POR UNIDAD'!E14,'BURGOS TORRES RIGOBERTO'!Y$39:Y$45)+SUMIF('CORDOVA URIBE JOSE  ADRIAN'!T$40:T$46,'KM POR UNIDAD'!E14,'CORDOVA URIBE JOSE  ADRIAN'!Y$40:Y$46)+SUMIF('GUZMAN CHAPARRO PEDRO'!T$40:T$46,'KM POR UNIDAD'!E14,'GUZMAN CHAPARRO PEDRO'!Y$40:Y$46)+SUMIF('HERNANDEZ LICANO JOSE LUIS'!T$40:T$46,'KM POR UNIDAD'!E14,'HERNANDEZ LICANO JOSE LUIS'!#REF!)+SUMIF('CARRERA REYES MARTIN SEBASTIAN'!T$41:T$47,'KM POR UNIDAD'!E14,'CARRERA REYES MARTIN SEBASTIAN'!Y$41:Y$47)+SUMIF('RUIZ SAUCEDO DANIEL ALEJANDRO'!T$40:T$46,'KM POR UNIDAD'!E14,'RUIZ SAUCEDO DANIEL ALEJANDRO'!Y$40:Y$46)+SUMIF('MARTINEZ RAMIREZ ROSALIO'!T$40:T$46,'KM POR UNIDAD'!E14,'MARTINEZ RAMIREZ ROSALIO'!Y$40:Y$46)+SUMIF('BALLEZA RAMIREZ JESUS JOSE'!T$40:T$46,'KM POR UNIDAD'!E14,'BALLEZA RAMIREZ JESUS JOSE'!T$176:T$180)+SUMIF('MONTERO BURROLA LUIS'!T$38:T$44,'KM POR UNIDAD'!E14,'MONTERO BURROLA LUIS'!Y$38:Y$44)+SUMIF('AGUILERA CONTRERAS LUIS GERARDO'!T$41:T$47,'KM POR UNIDAD'!E14,'AGUILERA CONTRERAS LUIS GERARDO'!Y$41:Y$47)+SUMIF('MORALES LOPEZ DE LARA MARIANO'!T$40:T$46,'KM POR UNIDAD'!E14,'MORALES LOPEZ DE LARA MARIANO'!Y$40:Y$46)+SUMIF('MELENDEZ SINALOA MANUEL ARAT'!T$40:T$46,'KM POR UNIDAD'!E14,'MELENDEZ SINALOA MANUEL ARAT'!#REF!)+SUMIF('MORALES LECHUGA GONZALO'!T$40:T$46,'KM POR UNIDAD'!E14,'MORALES LECHUGA GONZALO'!Y$40:Y$46)+SUMIF('ORONA BECERRA MAURO JOSE'!T$40:T$46,'KM POR UNIDAD'!E14,'ORONA BECERRA MAURO JOSE'!Y$40:Y$46)+SUMIF('VALLES HERNANDEZ MANUEL MARCELI'!T$39:T$45,'KM POR UNIDAD'!E14,'VALLES HERNANDEZ MANUEL MARCELI'!Y$39:Y$45)+SUMIF('ORTIZ RAMIREZ HECTOR MANUEL'!T$40:T$46,'KM POR UNIDAD'!E14,'ORTIZ RAMIREZ HECTOR MANUEL'!Y$40:Y$46)+SUMIF('ONTIVEROS LIRA JUAN'!T$40:T$46,'KM POR UNIDAD'!E14,'ONTIVEROS LIRA JUAN'!Y$40:Y$46)+SUMIF('RODRIGUEZ FLORES BRYAN DARIO'!T$40:T$46,'KM POR UNIDAD'!E14,'RODRIGUEZ FLORES BRYAN DARIO'!Y$40:Y$46)+SUMIF('NUÑEZ RUIZ IRVING JAVIER.'!T$42:T$48,'KM POR UNIDAD'!E14,'NUÑEZ RUIZ IRVING JAVIER.'!Y$42:Y$48)+SUMIF('MACHADO MAZUCA ADOLFO'!T$40:T$46,'KM POR UNIDAD'!E14,'MACHADO MAZUCA ADOLFO'!Y$40:Y$46)+SUMIF('LIRA ARCEO JOEL EDUARDO'!T$40:T$46,'KM POR UNIDAD'!E14,'LIRA ARCEO JOEL EDUARDO'!Y$41:Y$46)+SUMIF('ANCHONDO ROMERO CESAR ALEJANDRO'!T$40:T$46,'KM POR UNIDAD'!E14,'ANCHONDO ROMERO CESAR ALEJANDRO'!Y$40:Y$46)</f>
        <v>#REF!</v>
      </c>
      <c r="G14" s="146"/>
    </row>
    <row r="15" spans="1:11" x14ac:dyDescent="0.25">
      <c r="A15" s="143" t="s">
        <v>114</v>
      </c>
      <c r="B15" s="144">
        <f>+SUMIF('AGUILAR ESQUIVEL CARLOS'!P$40:P$46,'KM POR UNIDAD'!A15,'AGUILAR ESQUIVEL CARLOS'!U$40:U$46)+SUMIF('AGUILAR RODRIGUEZ JORGE ALONSO'!P$40:P$46,'KM POR UNIDAD'!A15,'AGUILAR RODRIGUEZ JORGE ALONSO'!U$40:U$46)+SUMIF('REYES LARA DANTE'!P$40:P$46,'KM POR UNIDAD'!A15,'REYES LARA DANTE'!U$40:U$46)+SUMIF('RAMIREZ BAUTISTA ADRIAN'!P$40:P$46,'KM POR UNIDAD'!A15,'RAMIREZ BAUTISTA ADRIAN'!U$40:U$46)+SUMIF('FLORES BOJORQUEZ BRYAN OVED'!P$40:P$46,'KM POR UNIDAD'!A15,'FLORES BOJORQUEZ BRYAN OVED'!U$40:U$46)+SUMIF('BALDERRAMA ROBLES JORGE'!P$40:P$46,'KM POR UNIDAD'!A15,'BALDERRAMA ROBLES JORGE'!U$40:U$46)+SUMIF('BURGOS TORRES RIGOBERTO'!P$39:P$45,'KM POR UNIDAD'!A15,'BURGOS TORRES RIGOBERTO'!U$39:U$45)+SUMIF('CORDOVA URIBE JOSE  ADRIAN'!P$40:P$46,'KM POR UNIDAD'!A15,'CORDOVA URIBE JOSE  ADRIAN'!U$40:U$46)+SUMIF('GUZMAN CHAPARRO PEDRO'!P$40:P$46,'KM POR UNIDAD'!A15,'GUZMAN CHAPARRO PEDRO'!U$40:U$46)+SUMIF('HERNANDEZ LICANO JOSE LUIS'!P$40:P$46,'KM POR UNIDAD'!A15,'HERNANDEZ LICANO JOSE LUIS'!U$40:U$46)+SUMIF('CARRERA REYES MARTIN SEBASTIAN'!P$41:P$47,'KM POR UNIDAD'!A15,'CARRERA REYES MARTIN SEBASTIAN'!U$41:U$47)+SUMIF('RUIZ SAUCEDO DANIEL ALEJANDRO'!P$40:P$46,'KM POR UNIDAD'!A15,'RUIZ SAUCEDO DANIEL ALEJANDRO'!U$40:U$46)+SUMIF('MARTINEZ RAMIREZ ROSALIO'!P$40:P$46,'KM POR UNIDAD'!A15,'MARTINEZ RAMIREZ ROSALIO'!U$40:U$46)+SUMIF('BALLEZA RAMIREZ JESUS JOSE'!P$40:P$46,'KM POR UNIDAD'!A15,'BALLEZA RAMIREZ JESUS JOSE'!U$40:U$46)+SUMIF('MONTERO BURROLA LUIS'!P$38:P$44,'KM POR UNIDAD'!A15,'MONTERO BURROLA LUIS'!U$38:U$44)+SUMIF('AGUILERA CONTRERAS LUIS GERARDO'!P$41:P$47,'KM POR UNIDAD'!A15,'AGUILERA CONTRERAS LUIS GERARDO'!U$41:U$47)+SUMIF('MORALES LOPEZ DE LARA MARIANO'!P$40:P$46,'KM POR UNIDAD'!A15,'MORALES LOPEZ DE LARA MARIANO'!U$40:U$46)+SUMIF('MELENDEZ SINALOA MANUEL ARAT'!P$40:P$46,'KM POR UNIDAD'!A15,'MELENDEZ SINALOA MANUEL ARAT'!U$40:U$46)+SUMIF('MORALES LECHUGA GONZALO'!P$40:P$46,'KM POR UNIDAD'!A15,'MORALES LECHUGA GONZALO'!U$40:U$46)+SUMIF('ORONA BECERRA MAURO JOSE'!P$40:P$46,'KM POR UNIDAD'!A15,'ORONA BECERRA MAURO JOSE'!U$40:U$46)+SUMIF('VALLES HERNANDEZ MANUEL MARCELI'!P$39:P$45,'KM POR UNIDAD'!A15,'VALLES HERNANDEZ MANUEL MARCELI'!U$39:U$45)+SUMIF('ORTIZ RAMIREZ HECTOR MANUEL'!P$40:P$46,'KM POR UNIDAD'!A15,'ORTIZ RAMIREZ HECTOR MANUEL'!U$40:U$46)+SUMIF('ONTIVEROS LIRA JUAN'!P$40:P$46,'KM POR UNIDAD'!A15,'ONTIVEROS LIRA JUAN'!U$40:U$46)+SUMIF('RODRIGUEZ FLORES BRYAN DARIO'!P$40:P$46,'KM POR UNIDAD'!A15,'RODRIGUEZ FLORES BRYAN DARIO'!U$40:U$46)+SUMIF('NUÑEZ RUIZ IRVING JAVIER.'!P$42:P$48,'KM POR UNIDAD'!A15,'NUÑEZ RUIZ IRVING JAVIER.'!U$42:U$48)+SUMIF('MACHADO MAZUCA ADOLFO'!P$40:P$46,'KM POR UNIDAD'!A15,'MACHADO MAZUCA ADOLFO'!U$40:U$46)+SUMIF('LIRA ARCEO JOEL EDUARDO'!P$40:P$46,'KM POR UNIDAD'!A15,'LIRA ARCEO JOEL EDUARDO'!U$40:U$46)+SUMIF('ANCHONDO ROMERO CESAR ALEJANDRO'!P$40:P$46,'KM POR UNIDAD'!A15,'ANCHONDO ROMERO CESAR ALEJANDRO'!U$40:U$46)</f>
        <v>3100</v>
      </c>
      <c r="C15" s="150">
        <f ca="1">+SUMIF('AGUILAR ESQUIVEL CARLOS'!P$40:P$46,'KM POR UNIDAD'!A15,'AGUILAR ESQUIVEL CARLOS'!T$40:T$46)+SUMIF('AGUILAR RODRIGUEZ JORGE ALONSO'!P$40:P$46,'KM POR UNIDAD'!A15,'AGUILAR RODRIGUEZ JORGE ALONSO'!T$40:T$46)+SUMIF('REYES LARA DANTE'!P$40:P$46,'KM POR UNIDAD'!A15,'REYES LARA DANTE'!T$40:T$46)+SUMIF('RAMIREZ BAUTISTA ADRIAN'!P$40:P$46,'KM POR UNIDAD'!A15,'RAMIREZ BAUTISTA ADRIAN'!T$40:T$46)+SUMIF('FLORES BOJORQUEZ BRYAN OVED'!P$40:P$46,'KM POR UNIDAD'!A15,'FLORES BOJORQUEZ BRYAN OVED'!T$40:T$46)+SUMIF('BALDERRAMA ROBLES JORGE'!P$40:P$46,'KM POR UNIDAD'!A15,'BALDERRAMA ROBLES JORGE'!T$40:T$46)+SUMIF('BURGOS TORRES RIGOBERTO'!P$39:P$45,'KM POR UNIDAD'!A15,'BURGOS TORRES RIGOBERTO'!T$39:T$45)+SUMIF('CORDOVA URIBE JOSE  ADRIAN'!P$40:P$46,'KM POR UNIDAD'!A15,'CORDOVA URIBE JOSE  ADRIAN'!T$40:T$46)+SUMIF('GUZMAN CHAPARRO PEDRO'!P$40:P$46,'KM POR UNIDAD'!A15,'GUZMAN CHAPARRO PEDRO'!T$40:T$46)+SUMIF('HERNANDEZ LICANO JOSE LUIS'!P$40:P$46,'KM POR UNIDAD'!A15,'HERNANDEZ LICANO JOSE LUIS'!T$40:T$46)+SUMIF('CARRERA REYES MARTIN SEBASTIAN'!P$41:P$47,'KM POR UNIDAD'!A15,'CARRERA REYES MARTIN SEBASTIAN'!T$41:T$47)+SUMIF('RUIZ SAUCEDO DANIEL ALEJANDRO'!P$40:P$46,'KM POR UNIDAD'!A15,'RUIZ SAUCEDO DANIEL ALEJANDRO'!T$40:T$46)+SUMIF('MARTINEZ RAMIREZ ROSALIO'!P$40:P$46,'KM POR UNIDAD'!A15,'MARTINEZ RAMIREZ ROSALIO'!T$40:T$46)+SUMIF('BALLEZA RAMIREZ JESUS JOSE'!P$40:P$46,'KM POR UNIDAD'!A15,'BALLEZA RAMIREZ JESUS JOSE'!T$40:T$46)+SUMIF('MONTERO BURROLA LUIS'!P$38:P$44,'KM POR UNIDAD'!A15,'MONTERO BURROLA LUIS'!T$38:T$44)+SUMIF('AGUILERA CONTRERAS LUIS GERARDO'!P$41:P$47,'KM POR UNIDAD'!A15,'AGUILERA CONTRERAS LUIS GERARDO'!T$41:T$47)+SUMIF('MORALES LOPEZ DE LARA MARIANO'!P$40:P$46,'KM POR UNIDAD'!A15,'MORALES LOPEZ DE LARA MARIANO'!T$40:T$46)+SUMIF('MELENDEZ SINALOA MANUEL ARAT'!P$40:P$46,'KM POR UNIDAD'!A15,'MELENDEZ SINALOA MANUEL ARAT'!T$40:T$46)+SUMIF('MORALES LECHUGA GONZALO'!P$40:P$46,'KM POR UNIDAD'!A15,'MORALES LECHUGA GONZALO'!T$40:T$46)+SUMIF('ORONA BECERRA MAURO JOSE'!P$40:P$46,'KM POR UNIDAD'!A15,'ORONA BECERRA MAURO JOSE'!T$40:T$46)+SUMIF('VALLES HERNANDEZ MANUEL MARCELI'!P$39:P$45,'KM POR UNIDAD'!A15,'VALLES HERNANDEZ MANUEL MARCELI'!T$39:T$45)+SUMIF('ORTIZ RAMIREZ HECTOR MANUEL'!P$40:P$46,'KM POR UNIDAD'!A15,'ORTIZ RAMIREZ HECTOR MANUEL'!T$40:T$46)+SUMIF('ONTIVEROS LIRA JUAN'!P$40:P$446,'KM POR UNIDAD'!A15,'ONTIVEROS LIRA JUAN'!T$40:T$46)+SUMIF('RODRIGUEZ FLORES BRYAN DARIO'!P$40:P$46,'KM POR UNIDAD'!A15,'RODRIGUEZ FLORES BRYAN DARIO'!T$40:T$46)+SUMIF('NUÑEZ RUIZ IRVING JAVIER.'!P$42:P$48,'KM POR UNIDAD'!A15,'NUÑEZ RUIZ IRVING JAVIER.'!T$42:T$48)+SUMIF('MACHADO MAZUCA ADOLFO'!P$40:P$46,'KM POR UNIDAD'!A15,'MACHADO MAZUCA ADOLFO'!T$40:T$46)+SUMIF('LIRA ARCEO JOEL EDUARDO'!P$40:P$46,'KM POR UNIDAD'!A15,'LIRA ARCEO JOEL EDUARDO'!T$40:T$46)+SUMIF('ANCHONDO ROMERO CESAR ALEJANDRO'!P$40:P$46,'KM POR UNIDAD'!A15,'ANCHONDO ROMERO CESAR ALEJANDRO'!T$40:T$46)</f>
        <v>17174</v>
      </c>
      <c r="D15" s="150">
        <f>+SUMIF('AGUILAR ESQUIVEL CARLOS'!P$40:P$46,'KM POR UNIDAD'!A15,'AGUILAR ESQUIVEL CARLOS'!V$40:V$46)+SUMIF('AGUILAR RODRIGUEZ JORGE ALONSO'!P$40:P$46,'KM POR UNIDAD'!A15,'AGUILAR RODRIGUEZ JORGE ALONSO'!V$40:V$46)+SUMIF('REYES LARA DANTE'!P$40:P$46,'KM POR UNIDAD'!A15,'REYES LARA DANTE'!V$40:V$46)+SUMIF('RAMIREZ BAUTISTA ADRIAN'!P$40:P$46,'KM POR UNIDAD'!A15,'RAMIREZ BAUTISTA ADRIAN'!V$40:V$46)+SUMIF('FLORES BOJORQUEZ BRYAN OVED'!P$40:P$46,'KM POR UNIDAD'!A15,'FLORES BOJORQUEZ BRYAN OVED'!V$40:V$46)+SUMIF('BALDERRAMA ROBLES JORGE'!P$40:P$46,'KM POR UNIDAD'!A15,'BALDERRAMA ROBLES JORGE'!V$40:V$46)+SUMIF('BURGOS TORRES RIGOBERTO'!P$39:P$45,'KM POR UNIDAD'!A15,'BURGOS TORRES RIGOBERTO'!V$39:V$45)+SUMIF('CORDOVA URIBE JOSE  ADRIAN'!P$40:P$46,'KM POR UNIDAD'!A15,'CORDOVA URIBE JOSE  ADRIAN'!V$40:V$46)+SUMIF('GUZMAN CHAPARRO PEDRO'!P$40:P$46,'KM POR UNIDAD'!A15,'GUZMAN CHAPARRO PEDRO'!V$40:V$46)+SUMIF('HERNANDEZ LICANO JOSE LUIS'!P$40:P$46,'KM POR UNIDAD'!A15,'HERNANDEZ LICANO JOSE LUIS'!V$40:V$46)+SUMIF('CARRERA REYES MARTIN SEBASTIAN'!P$41:P$47,'KM POR UNIDAD'!A15,'CARRERA REYES MARTIN SEBASTIAN'!V$41:V$47)+SUMIF('RUIZ SAUCEDO DANIEL ALEJANDRO'!P$40:P$46,'KM POR UNIDAD'!A15,'RUIZ SAUCEDO DANIEL ALEJANDRO'!V$40:V$46)+SUMIF('MARTINEZ RAMIREZ ROSALIO'!P$40:P$46,'KM POR UNIDAD'!A15,'MARTINEZ RAMIREZ ROSALIO'!V$40:V$46)+SUMIF('BALLEZA RAMIREZ JESUS JOSE'!P$40:P$46,'KM POR UNIDAD'!A15,'BALLEZA RAMIREZ JESUS JOSE'!V$40:V$46)+SUMIF('MONTERO BURROLA LUIS'!P$38:P$44,'KM POR UNIDAD'!A15,'MONTERO BURROLA LUIS'!V$38:V$44)+SUMIF('AGUILERA CONTRERAS LUIS GERARDO'!P$41:P$47,'KM POR UNIDAD'!A15,'AGUILERA CONTRERAS LUIS GERARDO'!V$41:V$47)+SUMIF('MORALES LOPEZ DE LARA MARIANO'!P$40:P$46,'KM POR UNIDAD'!A15,'MORALES LOPEZ DE LARA MARIANO'!V$40:V$46)+SUMIF('MELENDEZ SINALOA MANUEL ARAT'!P$40:P$46,'KM POR UNIDAD'!A15,'MELENDEZ SINALOA MANUEL ARAT'!V$40:V$46)+SUMIF('MORALES LECHUGA GONZALO'!P$40:P$46,'KM POR UNIDAD'!A15,'MORALES LECHUGA GONZALO'!V$40:V$46)+SUMIF('ORONA BECERRA MAURO JOSE'!P$40:P$46,'KM POR UNIDAD'!A15,'ORONA BECERRA MAURO JOSE'!V$40:V$46)+SUMIF('VALLES HERNANDEZ MANUEL MARCELI'!P$39:P$45,'KM POR UNIDAD'!A15,'VALLES HERNANDEZ MANUEL MARCELI'!V$39:V$45)+SUMIF('ORTIZ RAMIREZ HECTOR MANUEL'!P$40:P$46,'KM POR UNIDAD'!A15,'ORTIZ RAMIREZ HECTOR MANUEL'!V$40:V$46)+SUMIF('ONTIVEROS LIRA JUAN'!P$40:P$46,'KM POR UNIDAD'!A15,'ONTIVEROS LIRA JUAN'!V$40:V$46)+SUMIF('RODRIGUEZ FLORES BRYAN DARIO'!P$40:P$46,'KM POR UNIDAD'!A15,'RODRIGUEZ FLORES BRYAN DARIO'!V$40:V$46)+SUMIF('NUÑEZ RUIZ IRVING JAVIER.'!P$42:P$48,'KM POR UNIDAD'!A15,'NUÑEZ RUIZ IRVING JAVIER.'!V$42:V$48)+SUMIF('MACHADO MAZUCA ADOLFO'!P$40:P$46,'KM POR UNIDAD'!A15,'MACHADO MAZUCA ADOLFO'!V$40:V$46)+SUMIF('LIRA ARCEO JOEL EDUARDO'!P$40:P$46,'KM POR UNIDAD'!A15,'LIRA ARCEO JOEL EDUARDO'!V$40:V$46)+SUMIF('ANCHONDO ROMERO CESAR ALEJANDRO'!P$40:P$46,'KM POR UNIDAD'!A15,'ANCHONDO ROMERO CESAR ALEJANDRO'!V$40:V$46)</f>
        <v>975.44</v>
      </c>
      <c r="E15" s="145">
        <f t="shared" si="0"/>
        <v>3.1780529812187317</v>
      </c>
      <c r="F15" s="144" t="e">
        <f ca="1">+SUMIF('AGUILAR ESQUIVEL CARLOS'!T$40:T$46,'KM POR UNIDAD'!E15,'AGUILAR ESQUIVEL CARLOS'!W$40:W$46)+SUMIF('AGUILAR RODRIGUEZ JORGE ALONSO'!T$40:T$46,'KM POR UNIDAD'!E15,'AGUILAR RODRIGUEZ JORGE ALONSO'!Y$40:Y$46)+SUMIF('REYES LARA DANTE'!T$40:T$46,'KM POR UNIDAD'!E15,'REYES LARA DANTE'!Y$40:Y$46)+SUMIF('RAMIREZ BAUTISTA ADRIAN'!T$40:T$46,'KM POR UNIDAD'!E15,'RAMIREZ BAUTISTA ADRIAN'!Y$40:Y$46)+SUMIF('FLORES BOJORQUEZ BRYAN OVED'!T$40:T$46,'KM POR UNIDAD'!E15,'FLORES BOJORQUEZ BRYAN OVED'!Y$40:Y$46)+SUMIF('BALDERRAMA ROBLES JORGE'!T$40:T$46,'KM POR UNIDAD'!E15,'BALDERRAMA ROBLES JORGE'!#REF!)+SUMIF('BURGOS TORRES RIGOBERTO'!T$39:T$45,'KM POR UNIDAD'!E15,'BURGOS TORRES RIGOBERTO'!Y$39:Y$45)+SUMIF('CORDOVA URIBE JOSE  ADRIAN'!T$40:T$46,'KM POR UNIDAD'!E15,'CORDOVA URIBE JOSE  ADRIAN'!Y$40:Y$46)+SUMIF('GUZMAN CHAPARRO PEDRO'!T$40:T$46,'KM POR UNIDAD'!E15,'GUZMAN CHAPARRO PEDRO'!Y$40:Y$46)+SUMIF('HERNANDEZ LICANO JOSE LUIS'!T$40:T$46,'KM POR UNIDAD'!E15,'HERNANDEZ LICANO JOSE LUIS'!#REF!)+SUMIF('CARRERA REYES MARTIN SEBASTIAN'!T$41:T$47,'KM POR UNIDAD'!E15,'CARRERA REYES MARTIN SEBASTIAN'!Y$41:Y$47)+SUMIF('RUIZ SAUCEDO DANIEL ALEJANDRO'!T$40:T$46,'KM POR UNIDAD'!E15,'RUIZ SAUCEDO DANIEL ALEJANDRO'!Y$40:Y$46)+SUMIF('MARTINEZ RAMIREZ ROSALIO'!T$40:T$46,'KM POR UNIDAD'!E15,'MARTINEZ RAMIREZ ROSALIO'!Y$40:Y$46)+SUMIF('BALLEZA RAMIREZ JESUS JOSE'!T$40:T$46,'KM POR UNIDAD'!E15,'BALLEZA RAMIREZ JESUS JOSE'!T$176:T$180)+SUMIF('MONTERO BURROLA LUIS'!T$38:T$44,'KM POR UNIDAD'!E15,'MONTERO BURROLA LUIS'!Y$38:Y$44)+SUMIF('AGUILERA CONTRERAS LUIS GERARDO'!T$41:T$47,'KM POR UNIDAD'!E15,'AGUILERA CONTRERAS LUIS GERARDO'!Y$41:Y$47)+SUMIF('MORALES LOPEZ DE LARA MARIANO'!T$40:T$46,'KM POR UNIDAD'!E15,'MORALES LOPEZ DE LARA MARIANO'!Y$40:Y$46)+SUMIF('MELENDEZ SINALOA MANUEL ARAT'!T$40:T$46,'KM POR UNIDAD'!E15,'MELENDEZ SINALOA MANUEL ARAT'!#REF!)+SUMIF('MORALES LECHUGA GONZALO'!T$40:T$46,'KM POR UNIDAD'!E15,'MORALES LECHUGA GONZALO'!Y$40:Y$46)+SUMIF('ORONA BECERRA MAURO JOSE'!T$40:T$46,'KM POR UNIDAD'!E15,'ORONA BECERRA MAURO JOSE'!Y$40:Y$46)+SUMIF('VALLES HERNANDEZ MANUEL MARCELI'!T$39:T$45,'KM POR UNIDAD'!E15,'VALLES HERNANDEZ MANUEL MARCELI'!Y$39:Y$45)+SUMIF('ORTIZ RAMIREZ HECTOR MANUEL'!T$40:T$46,'KM POR UNIDAD'!E15,'ORTIZ RAMIREZ HECTOR MANUEL'!Y$40:Y$46)+SUMIF('ONTIVEROS LIRA JUAN'!T$40:T$46,'KM POR UNIDAD'!E15,'ONTIVEROS LIRA JUAN'!Y$40:Y$46)+SUMIF('RODRIGUEZ FLORES BRYAN DARIO'!T$40:T$46,'KM POR UNIDAD'!E15,'RODRIGUEZ FLORES BRYAN DARIO'!Y$40:Y$46)+SUMIF('NUÑEZ RUIZ IRVING JAVIER.'!T$42:T$48,'KM POR UNIDAD'!E15,'NUÑEZ RUIZ IRVING JAVIER.'!Y$42:Y$48)+SUMIF('MACHADO MAZUCA ADOLFO'!T$40:T$46,'KM POR UNIDAD'!E15,'MACHADO MAZUCA ADOLFO'!Y$40:Y$46)+SUMIF('LIRA ARCEO JOEL EDUARDO'!T$40:T$46,'KM POR UNIDAD'!E15,'LIRA ARCEO JOEL EDUARDO'!Y$41:Y$46)+SUMIF('ANCHONDO ROMERO CESAR ALEJANDRO'!T$40:T$46,'KM POR UNIDAD'!E15,'ANCHONDO ROMERO CESAR ALEJANDRO'!Y$40:Y$46)</f>
        <v>#REF!</v>
      </c>
      <c r="G15" s="146"/>
    </row>
    <row r="16" spans="1:11" x14ac:dyDescent="0.25">
      <c r="A16" s="143" t="s">
        <v>128</v>
      </c>
      <c r="B16" s="144">
        <f>+SUMIF('AGUILAR ESQUIVEL CARLOS'!P$40:P$46,'KM POR UNIDAD'!A16,'AGUILAR ESQUIVEL CARLOS'!U$40:U$46)+SUMIF('AGUILAR RODRIGUEZ JORGE ALONSO'!P$40:P$46,'KM POR UNIDAD'!A16,'AGUILAR RODRIGUEZ JORGE ALONSO'!U$40:U$46)+SUMIF('REYES LARA DANTE'!P$40:P$46,'KM POR UNIDAD'!A16,'REYES LARA DANTE'!U$40:U$46)+SUMIF('RAMIREZ BAUTISTA ADRIAN'!P$40:P$46,'KM POR UNIDAD'!A16,'RAMIREZ BAUTISTA ADRIAN'!U$40:U$46)+SUMIF('FLORES BOJORQUEZ BRYAN OVED'!P$40:P$46,'KM POR UNIDAD'!A16,'FLORES BOJORQUEZ BRYAN OVED'!U$40:U$46)+SUMIF('BALDERRAMA ROBLES JORGE'!P$40:P$46,'KM POR UNIDAD'!A16,'BALDERRAMA ROBLES JORGE'!U$40:U$46)+SUMIF('BURGOS TORRES RIGOBERTO'!P$39:P$45,'KM POR UNIDAD'!A16,'BURGOS TORRES RIGOBERTO'!U$39:U$45)+SUMIF('CORDOVA URIBE JOSE  ADRIAN'!P$40:P$46,'KM POR UNIDAD'!A16,'CORDOVA URIBE JOSE  ADRIAN'!U$40:U$46)+SUMIF('GUZMAN CHAPARRO PEDRO'!P$40:P$46,'KM POR UNIDAD'!A16,'GUZMAN CHAPARRO PEDRO'!U$40:U$46)+SUMIF('HERNANDEZ LICANO JOSE LUIS'!P$40:P$46,'KM POR UNIDAD'!A16,'HERNANDEZ LICANO JOSE LUIS'!U$40:U$46)+SUMIF('CARRERA REYES MARTIN SEBASTIAN'!P$41:P$47,'KM POR UNIDAD'!A16,'CARRERA REYES MARTIN SEBASTIAN'!U$41:U$47)+SUMIF('RUIZ SAUCEDO DANIEL ALEJANDRO'!P$40:P$46,'KM POR UNIDAD'!A16,'RUIZ SAUCEDO DANIEL ALEJANDRO'!U$40:U$46)+SUMIF('MARTINEZ RAMIREZ ROSALIO'!P$40:P$46,'KM POR UNIDAD'!A16,'MARTINEZ RAMIREZ ROSALIO'!U$40:U$46)+SUMIF('BALLEZA RAMIREZ JESUS JOSE'!P$40:P$46,'KM POR UNIDAD'!A16,'BALLEZA RAMIREZ JESUS JOSE'!U$40:U$46)+SUMIF('MONTERO BURROLA LUIS'!P$38:P$44,'KM POR UNIDAD'!A16,'MONTERO BURROLA LUIS'!U$38:U$44)+SUMIF('AGUILERA CONTRERAS LUIS GERARDO'!P$41:P$47,'KM POR UNIDAD'!A16,'AGUILERA CONTRERAS LUIS GERARDO'!U$41:U$47)+SUMIF('MORALES LOPEZ DE LARA MARIANO'!P$40:P$46,'KM POR UNIDAD'!A16,'MORALES LOPEZ DE LARA MARIANO'!U$40:U$46)+SUMIF('MELENDEZ SINALOA MANUEL ARAT'!P$40:P$46,'KM POR UNIDAD'!A16,'MELENDEZ SINALOA MANUEL ARAT'!U$40:U$46)+SUMIF('MORALES LECHUGA GONZALO'!P$40:P$46,'KM POR UNIDAD'!A16,'MORALES LECHUGA GONZALO'!U$40:U$46)+SUMIF('ORONA BECERRA MAURO JOSE'!P$40:P$46,'KM POR UNIDAD'!A16,'ORONA BECERRA MAURO JOSE'!U$40:U$46)+SUMIF('VALLES HERNANDEZ MANUEL MARCELI'!P$39:P$45,'KM POR UNIDAD'!A16,'VALLES HERNANDEZ MANUEL MARCELI'!U$39:U$45)+SUMIF('ORTIZ RAMIREZ HECTOR MANUEL'!P$40:P$46,'KM POR UNIDAD'!A16,'ORTIZ RAMIREZ HECTOR MANUEL'!U$40:U$46)+SUMIF('ONTIVEROS LIRA JUAN'!P$40:P$46,'KM POR UNIDAD'!A16,'ONTIVEROS LIRA JUAN'!U$40:U$46)+SUMIF('RODRIGUEZ FLORES BRYAN DARIO'!P$40:P$46,'KM POR UNIDAD'!A16,'RODRIGUEZ FLORES BRYAN DARIO'!U$40:U$46)+SUMIF('NUÑEZ RUIZ IRVING JAVIER.'!P$42:P$48,'KM POR UNIDAD'!A16,'NUÑEZ RUIZ IRVING JAVIER.'!U$42:U$48)+SUMIF('MACHADO MAZUCA ADOLFO'!P$40:P$46,'KM POR UNIDAD'!A16,'MACHADO MAZUCA ADOLFO'!U$40:U$46)+SUMIF('LIRA ARCEO JOEL EDUARDO'!P$40:P$46,'KM POR UNIDAD'!A16,'LIRA ARCEO JOEL EDUARDO'!U$40:U$46)+SUMIF('ANCHONDO ROMERO CESAR ALEJANDRO'!P$40:P$46,'KM POR UNIDAD'!A16,'ANCHONDO ROMERO CESAR ALEJANDRO'!U$40:U$46)</f>
        <v>0</v>
      </c>
      <c r="C16" s="150">
        <f ca="1">+SUMIF('AGUILAR ESQUIVEL CARLOS'!P$40:P$46,'KM POR UNIDAD'!A16,'AGUILAR ESQUIVEL CARLOS'!T$40:T$46)+SUMIF('AGUILAR RODRIGUEZ JORGE ALONSO'!P$40:P$46,'KM POR UNIDAD'!A16,'AGUILAR RODRIGUEZ JORGE ALONSO'!T$40:T$46)+SUMIF('REYES LARA DANTE'!P$40:P$46,'KM POR UNIDAD'!A16,'REYES LARA DANTE'!T$40:T$46)+SUMIF('RAMIREZ BAUTISTA ADRIAN'!P$40:P$46,'KM POR UNIDAD'!A16,'RAMIREZ BAUTISTA ADRIAN'!T$40:T$46)+SUMIF('FLORES BOJORQUEZ BRYAN OVED'!P$40:P$46,'KM POR UNIDAD'!A16,'FLORES BOJORQUEZ BRYAN OVED'!T$40:T$46)+SUMIF('BALDERRAMA ROBLES JORGE'!P$40:P$46,'KM POR UNIDAD'!A16,'BALDERRAMA ROBLES JORGE'!T$40:T$46)+SUMIF('BURGOS TORRES RIGOBERTO'!P$39:P$45,'KM POR UNIDAD'!A16,'BURGOS TORRES RIGOBERTO'!T$39:T$45)+SUMIF('CORDOVA URIBE JOSE  ADRIAN'!P$40:P$46,'KM POR UNIDAD'!A16,'CORDOVA URIBE JOSE  ADRIAN'!T$40:T$46)+SUMIF('GUZMAN CHAPARRO PEDRO'!P$40:P$46,'KM POR UNIDAD'!A16,'GUZMAN CHAPARRO PEDRO'!T$40:T$46)+SUMIF('HERNANDEZ LICANO JOSE LUIS'!P$40:P$46,'KM POR UNIDAD'!A16,'HERNANDEZ LICANO JOSE LUIS'!T$40:T$46)+SUMIF('CARRERA REYES MARTIN SEBASTIAN'!P$41:P$47,'KM POR UNIDAD'!A16,'CARRERA REYES MARTIN SEBASTIAN'!T$41:T$47)+SUMIF('RUIZ SAUCEDO DANIEL ALEJANDRO'!P$40:P$46,'KM POR UNIDAD'!A16,'RUIZ SAUCEDO DANIEL ALEJANDRO'!T$40:T$46)+SUMIF('MARTINEZ RAMIREZ ROSALIO'!P$40:P$46,'KM POR UNIDAD'!A16,'MARTINEZ RAMIREZ ROSALIO'!T$40:T$46)+SUMIF('BALLEZA RAMIREZ JESUS JOSE'!P$40:P$46,'KM POR UNIDAD'!A16,'BALLEZA RAMIREZ JESUS JOSE'!T$40:T$46)+SUMIF('MONTERO BURROLA LUIS'!P$38:P$44,'KM POR UNIDAD'!A16,'MONTERO BURROLA LUIS'!T$38:T$44)+SUMIF('AGUILERA CONTRERAS LUIS GERARDO'!P$41:P$47,'KM POR UNIDAD'!A16,'AGUILERA CONTRERAS LUIS GERARDO'!T$41:T$47)+SUMIF('MORALES LOPEZ DE LARA MARIANO'!P$40:P$46,'KM POR UNIDAD'!A16,'MORALES LOPEZ DE LARA MARIANO'!T$40:T$46)+SUMIF('MELENDEZ SINALOA MANUEL ARAT'!P$40:P$46,'KM POR UNIDAD'!A16,'MELENDEZ SINALOA MANUEL ARAT'!T$40:T$46)+SUMIF('MORALES LECHUGA GONZALO'!P$40:P$46,'KM POR UNIDAD'!A16,'MORALES LECHUGA GONZALO'!T$40:T$46)+SUMIF('ORONA BECERRA MAURO JOSE'!P$40:P$46,'KM POR UNIDAD'!A16,'ORONA BECERRA MAURO JOSE'!T$40:T$46)+SUMIF('VALLES HERNANDEZ MANUEL MARCELI'!P$39:P$45,'KM POR UNIDAD'!A16,'VALLES HERNANDEZ MANUEL MARCELI'!T$39:T$45)+SUMIF('ORTIZ RAMIREZ HECTOR MANUEL'!P$40:P$46,'KM POR UNIDAD'!A16,'ORTIZ RAMIREZ HECTOR MANUEL'!T$40:T$46)+SUMIF('ONTIVEROS LIRA JUAN'!P$40:P$446,'KM POR UNIDAD'!A16,'ONTIVEROS LIRA JUAN'!T$40:T$46)+SUMIF('RODRIGUEZ FLORES BRYAN DARIO'!P$40:P$46,'KM POR UNIDAD'!A16,'RODRIGUEZ FLORES BRYAN DARIO'!T$40:T$46)+SUMIF('NUÑEZ RUIZ IRVING JAVIER.'!P$42:P$48,'KM POR UNIDAD'!A16,'NUÑEZ RUIZ IRVING JAVIER.'!T$42:T$48)+SUMIF('MACHADO MAZUCA ADOLFO'!P$40:P$46,'KM POR UNIDAD'!A16,'MACHADO MAZUCA ADOLFO'!T$40:T$46)+SUMIF('LIRA ARCEO JOEL EDUARDO'!P$40:P$46,'KM POR UNIDAD'!A16,'LIRA ARCEO JOEL EDUARDO'!T$40:T$46)+SUMIF('ANCHONDO ROMERO CESAR ALEJANDRO'!P$40:P$46,'KM POR UNIDAD'!A16,'ANCHONDO ROMERO CESAR ALEJANDRO'!T$40:T$46)</f>
        <v>0</v>
      </c>
      <c r="D16" s="150">
        <f>+SUMIF('AGUILAR ESQUIVEL CARLOS'!P$40:P$46,'KM POR UNIDAD'!A16,'AGUILAR ESQUIVEL CARLOS'!V$40:V$46)+SUMIF('AGUILAR RODRIGUEZ JORGE ALONSO'!P$40:P$46,'KM POR UNIDAD'!A16,'AGUILAR RODRIGUEZ JORGE ALONSO'!V$40:V$46)+SUMIF('REYES LARA DANTE'!P$40:P$46,'KM POR UNIDAD'!A16,'REYES LARA DANTE'!V$40:V$46)+SUMIF('RAMIREZ BAUTISTA ADRIAN'!P$40:P$46,'KM POR UNIDAD'!A16,'RAMIREZ BAUTISTA ADRIAN'!V$40:V$46)+SUMIF('FLORES BOJORQUEZ BRYAN OVED'!P$40:P$46,'KM POR UNIDAD'!A16,'FLORES BOJORQUEZ BRYAN OVED'!V$40:V$46)+SUMIF('BALDERRAMA ROBLES JORGE'!P$40:P$46,'KM POR UNIDAD'!A16,'BALDERRAMA ROBLES JORGE'!V$40:V$46)+SUMIF('BURGOS TORRES RIGOBERTO'!P$39:P$45,'KM POR UNIDAD'!A16,'BURGOS TORRES RIGOBERTO'!V$39:V$45)+SUMIF('CORDOVA URIBE JOSE  ADRIAN'!P$40:P$46,'KM POR UNIDAD'!A16,'CORDOVA URIBE JOSE  ADRIAN'!V$40:V$46)+SUMIF('GUZMAN CHAPARRO PEDRO'!P$40:P$46,'KM POR UNIDAD'!A16,'GUZMAN CHAPARRO PEDRO'!V$40:V$46)+SUMIF('HERNANDEZ LICANO JOSE LUIS'!P$40:P$46,'KM POR UNIDAD'!A16,'HERNANDEZ LICANO JOSE LUIS'!V$40:V$46)+SUMIF('CARRERA REYES MARTIN SEBASTIAN'!P$41:P$47,'KM POR UNIDAD'!A16,'CARRERA REYES MARTIN SEBASTIAN'!V$41:V$47)+SUMIF('RUIZ SAUCEDO DANIEL ALEJANDRO'!P$40:P$46,'KM POR UNIDAD'!A16,'RUIZ SAUCEDO DANIEL ALEJANDRO'!V$40:V$46)+SUMIF('MARTINEZ RAMIREZ ROSALIO'!P$40:P$46,'KM POR UNIDAD'!A16,'MARTINEZ RAMIREZ ROSALIO'!V$40:V$46)+SUMIF('BALLEZA RAMIREZ JESUS JOSE'!P$40:P$46,'KM POR UNIDAD'!A16,'BALLEZA RAMIREZ JESUS JOSE'!V$40:V$46)+SUMIF('MONTERO BURROLA LUIS'!P$38:P$44,'KM POR UNIDAD'!A16,'MONTERO BURROLA LUIS'!V$38:V$44)+SUMIF('AGUILERA CONTRERAS LUIS GERARDO'!P$41:P$47,'KM POR UNIDAD'!A16,'AGUILERA CONTRERAS LUIS GERARDO'!V$41:V$47)+SUMIF('MORALES LOPEZ DE LARA MARIANO'!P$40:P$46,'KM POR UNIDAD'!A16,'MORALES LOPEZ DE LARA MARIANO'!V$40:V$46)+SUMIF('MELENDEZ SINALOA MANUEL ARAT'!P$40:P$46,'KM POR UNIDAD'!A16,'MELENDEZ SINALOA MANUEL ARAT'!V$40:V$46)+SUMIF('MORALES LECHUGA GONZALO'!P$40:P$46,'KM POR UNIDAD'!A16,'MORALES LECHUGA GONZALO'!V$40:V$46)+SUMIF('ORONA BECERRA MAURO JOSE'!P$40:P$46,'KM POR UNIDAD'!A16,'ORONA BECERRA MAURO JOSE'!V$40:V$46)+SUMIF('VALLES HERNANDEZ MANUEL MARCELI'!P$39:P$45,'KM POR UNIDAD'!A16,'VALLES HERNANDEZ MANUEL MARCELI'!V$39:V$45)+SUMIF('ORTIZ RAMIREZ HECTOR MANUEL'!P$40:P$46,'KM POR UNIDAD'!A16,'ORTIZ RAMIREZ HECTOR MANUEL'!V$40:V$46)+SUMIF('ONTIVEROS LIRA JUAN'!P$40:P$46,'KM POR UNIDAD'!A16,'ONTIVEROS LIRA JUAN'!V$40:V$46)+SUMIF('RODRIGUEZ FLORES BRYAN DARIO'!P$40:P$46,'KM POR UNIDAD'!A16,'RODRIGUEZ FLORES BRYAN DARIO'!V$40:V$46)+SUMIF('NUÑEZ RUIZ IRVING JAVIER.'!P$42:P$48,'KM POR UNIDAD'!A16,'NUÑEZ RUIZ IRVING JAVIER.'!V$42:V$48)+SUMIF('MACHADO MAZUCA ADOLFO'!P$40:P$46,'KM POR UNIDAD'!A16,'MACHADO MAZUCA ADOLFO'!V$40:V$46)+SUMIF('LIRA ARCEO JOEL EDUARDO'!P$40:P$46,'KM POR UNIDAD'!A16,'LIRA ARCEO JOEL EDUARDO'!V$40:V$46)+SUMIF('ANCHONDO ROMERO CESAR ALEJANDRO'!P$40:P$46,'KM POR UNIDAD'!A16,'ANCHONDO ROMERO CESAR ALEJANDRO'!V$40:V$46)</f>
        <v>0</v>
      </c>
      <c r="E16" s="145">
        <f t="shared" si="0"/>
        <v>0</v>
      </c>
      <c r="F16" s="144" t="e">
        <f ca="1">+SUMIF('AGUILAR ESQUIVEL CARLOS'!T$40:T$46,'KM POR UNIDAD'!E16,'AGUILAR ESQUIVEL CARLOS'!W$40:W$46)+SUMIF('AGUILAR RODRIGUEZ JORGE ALONSO'!T$40:T$46,'KM POR UNIDAD'!E16,'AGUILAR RODRIGUEZ JORGE ALONSO'!Y$40:Y$46)+SUMIF('REYES LARA DANTE'!T$40:T$46,'KM POR UNIDAD'!E16,'REYES LARA DANTE'!Y$40:Y$46)+SUMIF('RAMIREZ BAUTISTA ADRIAN'!T$40:T$46,'KM POR UNIDAD'!E16,'RAMIREZ BAUTISTA ADRIAN'!Y$40:Y$46)+SUMIF('FLORES BOJORQUEZ BRYAN OVED'!T$40:T$46,'KM POR UNIDAD'!E16,'FLORES BOJORQUEZ BRYAN OVED'!Y$40:Y$46)+SUMIF('BALDERRAMA ROBLES JORGE'!T$40:T$46,'KM POR UNIDAD'!E16,'BALDERRAMA ROBLES JORGE'!#REF!)+SUMIF('BURGOS TORRES RIGOBERTO'!T$39:T$45,'KM POR UNIDAD'!E16,'BURGOS TORRES RIGOBERTO'!Y$39:Y$45)+SUMIF('CORDOVA URIBE JOSE  ADRIAN'!T$40:T$46,'KM POR UNIDAD'!E16,'CORDOVA URIBE JOSE  ADRIAN'!Y$40:Y$46)+SUMIF('GUZMAN CHAPARRO PEDRO'!T$40:T$46,'KM POR UNIDAD'!E16,'GUZMAN CHAPARRO PEDRO'!Y$40:Y$46)+SUMIF('HERNANDEZ LICANO JOSE LUIS'!T$40:T$46,'KM POR UNIDAD'!E16,'HERNANDEZ LICANO JOSE LUIS'!#REF!)+SUMIF('CARRERA REYES MARTIN SEBASTIAN'!T$41:T$47,'KM POR UNIDAD'!E16,'CARRERA REYES MARTIN SEBASTIAN'!Y$41:Y$47)+SUMIF('RUIZ SAUCEDO DANIEL ALEJANDRO'!T$40:T$46,'KM POR UNIDAD'!E16,'RUIZ SAUCEDO DANIEL ALEJANDRO'!Y$40:Y$46)+SUMIF('MARTINEZ RAMIREZ ROSALIO'!T$40:T$46,'KM POR UNIDAD'!E16,'MARTINEZ RAMIREZ ROSALIO'!Y$40:Y$46)+SUMIF('BALLEZA RAMIREZ JESUS JOSE'!T$40:T$46,'KM POR UNIDAD'!E16,'BALLEZA RAMIREZ JESUS JOSE'!T$176:T$180)+SUMIF('MONTERO BURROLA LUIS'!T$38:T$44,'KM POR UNIDAD'!E16,'MONTERO BURROLA LUIS'!Y$38:Y$44)+SUMIF('AGUILERA CONTRERAS LUIS GERARDO'!T$41:T$47,'KM POR UNIDAD'!E16,'AGUILERA CONTRERAS LUIS GERARDO'!Y$41:Y$47)+SUMIF('MORALES LOPEZ DE LARA MARIANO'!T$40:T$46,'KM POR UNIDAD'!E16,'MORALES LOPEZ DE LARA MARIANO'!Y$40:Y$46)+SUMIF('MELENDEZ SINALOA MANUEL ARAT'!T$40:T$46,'KM POR UNIDAD'!E16,'MELENDEZ SINALOA MANUEL ARAT'!#REF!)+SUMIF('MORALES LECHUGA GONZALO'!T$40:T$46,'KM POR UNIDAD'!E16,'MORALES LECHUGA GONZALO'!Y$40:Y$46)+SUMIF('ORONA BECERRA MAURO JOSE'!T$40:T$46,'KM POR UNIDAD'!E16,'ORONA BECERRA MAURO JOSE'!Y$40:Y$46)+SUMIF('VALLES HERNANDEZ MANUEL MARCELI'!T$39:T$45,'KM POR UNIDAD'!E16,'VALLES HERNANDEZ MANUEL MARCELI'!Y$39:Y$45)+SUMIF('ORTIZ RAMIREZ HECTOR MANUEL'!T$40:T$46,'KM POR UNIDAD'!E16,'ORTIZ RAMIREZ HECTOR MANUEL'!Y$40:Y$46)+SUMIF('ONTIVEROS LIRA JUAN'!T$40:T$46,'KM POR UNIDAD'!E16,'ONTIVEROS LIRA JUAN'!Y$40:Y$46)+SUMIF('RODRIGUEZ FLORES BRYAN DARIO'!T$40:T$46,'KM POR UNIDAD'!E16,'RODRIGUEZ FLORES BRYAN DARIO'!Y$40:Y$46)+SUMIF('NUÑEZ RUIZ IRVING JAVIER.'!T$42:T$48,'KM POR UNIDAD'!E16,'NUÑEZ RUIZ IRVING JAVIER.'!Y$42:Y$48)+SUMIF('MACHADO MAZUCA ADOLFO'!T$40:T$46,'KM POR UNIDAD'!E16,'MACHADO MAZUCA ADOLFO'!Y$40:Y$46)+SUMIF('LIRA ARCEO JOEL EDUARDO'!T$40:T$46,'KM POR UNIDAD'!E16,'LIRA ARCEO JOEL EDUARDO'!Y$41:Y$46)+SUMIF('ANCHONDO ROMERO CESAR ALEJANDRO'!T$40:T$46,'KM POR UNIDAD'!E16,'ANCHONDO ROMERO CESAR ALEJANDRO'!Y$40:Y$46)</f>
        <v>#REF!</v>
      </c>
      <c r="G16" s="146"/>
    </row>
    <row r="17" spans="1:12" x14ac:dyDescent="0.25">
      <c r="A17" s="143" t="s">
        <v>151</v>
      </c>
      <c r="B17" s="144">
        <f>+SUMIF('AGUILAR ESQUIVEL CARLOS'!P$40:P$46,'KM POR UNIDAD'!A17,'AGUILAR ESQUIVEL CARLOS'!U$40:U$46)+SUMIF('AGUILAR RODRIGUEZ JORGE ALONSO'!P$40:P$46,'KM POR UNIDAD'!A17,'AGUILAR RODRIGUEZ JORGE ALONSO'!U$40:U$46)+SUMIF('REYES LARA DANTE'!P$40:P$46,'KM POR UNIDAD'!A17,'REYES LARA DANTE'!U$40:U$46)+SUMIF('RAMIREZ BAUTISTA ADRIAN'!P$40:P$46,'KM POR UNIDAD'!A17,'RAMIREZ BAUTISTA ADRIAN'!U$40:U$46)+SUMIF('FLORES BOJORQUEZ BRYAN OVED'!P$40:P$46,'KM POR UNIDAD'!A17,'FLORES BOJORQUEZ BRYAN OVED'!U$40:U$46)+SUMIF('BALDERRAMA ROBLES JORGE'!P$40:P$46,'KM POR UNIDAD'!A17,'BALDERRAMA ROBLES JORGE'!U$40:U$46)+SUMIF('BURGOS TORRES RIGOBERTO'!P$39:P$45,'KM POR UNIDAD'!A17,'BURGOS TORRES RIGOBERTO'!U$39:U$45)+SUMIF('CORDOVA URIBE JOSE  ADRIAN'!P$40:P$46,'KM POR UNIDAD'!A17,'CORDOVA URIBE JOSE  ADRIAN'!U$40:U$46)+SUMIF('GUZMAN CHAPARRO PEDRO'!P$40:P$46,'KM POR UNIDAD'!A17,'GUZMAN CHAPARRO PEDRO'!U$40:U$46)+SUMIF('HERNANDEZ LICANO JOSE LUIS'!P$40:P$46,'KM POR UNIDAD'!A17,'HERNANDEZ LICANO JOSE LUIS'!U$40:U$46)+SUMIF('CARRERA REYES MARTIN SEBASTIAN'!P$41:P$47,'KM POR UNIDAD'!A17,'CARRERA REYES MARTIN SEBASTIAN'!U$41:U$47)+SUMIF('RUIZ SAUCEDO DANIEL ALEJANDRO'!P$40:P$46,'KM POR UNIDAD'!A17,'RUIZ SAUCEDO DANIEL ALEJANDRO'!U$40:U$46)+SUMIF('MARTINEZ RAMIREZ ROSALIO'!P$40:P$46,'KM POR UNIDAD'!A17,'MARTINEZ RAMIREZ ROSALIO'!U$40:U$46)+SUMIF('BALLEZA RAMIREZ JESUS JOSE'!P$40:P$46,'KM POR UNIDAD'!A17,'BALLEZA RAMIREZ JESUS JOSE'!U$40:U$46)+SUMIF('MONTERO BURROLA LUIS'!P$38:P$44,'KM POR UNIDAD'!A17,'MONTERO BURROLA LUIS'!U$38:U$44)+SUMIF('AGUILERA CONTRERAS LUIS GERARDO'!P$41:P$47,'KM POR UNIDAD'!A17,'AGUILERA CONTRERAS LUIS GERARDO'!U$41:U$47)+SUMIF('MORALES LOPEZ DE LARA MARIANO'!P$40:P$46,'KM POR UNIDAD'!A17,'MORALES LOPEZ DE LARA MARIANO'!U$40:U$46)+SUMIF('MELENDEZ SINALOA MANUEL ARAT'!P$40:P$46,'KM POR UNIDAD'!A17,'MELENDEZ SINALOA MANUEL ARAT'!U$40:U$46)+SUMIF('MORALES LECHUGA GONZALO'!P$40:P$46,'KM POR UNIDAD'!A17,'MORALES LECHUGA GONZALO'!U$40:U$46)+SUMIF('ORONA BECERRA MAURO JOSE'!P$40:P$46,'KM POR UNIDAD'!A17,'ORONA BECERRA MAURO JOSE'!U$40:U$46)+SUMIF('VALLES HERNANDEZ MANUEL MARCELI'!P$39:P$45,'KM POR UNIDAD'!A17,'VALLES HERNANDEZ MANUEL MARCELI'!U$39:U$45)+SUMIF('ORTIZ RAMIREZ HECTOR MANUEL'!P$40:P$46,'KM POR UNIDAD'!A17,'ORTIZ RAMIREZ HECTOR MANUEL'!U$40:U$46)+SUMIF('ONTIVEROS LIRA JUAN'!P$40:P$46,'KM POR UNIDAD'!A17,'ONTIVEROS LIRA JUAN'!U$40:U$46)+SUMIF('RODRIGUEZ FLORES BRYAN DARIO'!P$40:P$46,'KM POR UNIDAD'!A17,'RODRIGUEZ FLORES BRYAN DARIO'!U$40:U$46)+SUMIF('NUÑEZ RUIZ IRVING JAVIER.'!P$42:P$48,'KM POR UNIDAD'!A17,'NUÑEZ RUIZ IRVING JAVIER.'!U$42:U$48)+SUMIF('MACHADO MAZUCA ADOLFO'!P$40:P$46,'KM POR UNIDAD'!A17,'MACHADO MAZUCA ADOLFO'!U$40:U$46)+SUMIF('LIRA ARCEO JOEL EDUARDO'!P$40:P$46,'KM POR UNIDAD'!A17,'LIRA ARCEO JOEL EDUARDO'!U$40:U$46)+SUMIF('ANCHONDO ROMERO CESAR ALEJANDRO'!P$40:P$46,'KM POR UNIDAD'!A17,'ANCHONDO ROMERO CESAR ALEJANDRO'!U$40:U$46)</f>
        <v>0</v>
      </c>
      <c r="C17" s="150">
        <f ca="1">+SUMIF('AGUILAR ESQUIVEL CARLOS'!P$40:P$46,'KM POR UNIDAD'!A17,'AGUILAR ESQUIVEL CARLOS'!T$40:T$46)+SUMIF('AGUILAR RODRIGUEZ JORGE ALONSO'!P$40:P$46,'KM POR UNIDAD'!A17,'AGUILAR RODRIGUEZ JORGE ALONSO'!T$40:T$46)+SUMIF('REYES LARA DANTE'!P$40:P$46,'KM POR UNIDAD'!A17,'REYES LARA DANTE'!T$40:T$46)+SUMIF('RAMIREZ BAUTISTA ADRIAN'!P$40:P$46,'KM POR UNIDAD'!A17,'RAMIREZ BAUTISTA ADRIAN'!T$40:T$46)+SUMIF('FLORES BOJORQUEZ BRYAN OVED'!P$40:P$46,'KM POR UNIDAD'!A17,'FLORES BOJORQUEZ BRYAN OVED'!T$40:T$46)+SUMIF('BALDERRAMA ROBLES JORGE'!P$40:P$46,'KM POR UNIDAD'!A17,'BALDERRAMA ROBLES JORGE'!T$40:T$46)+SUMIF('BURGOS TORRES RIGOBERTO'!P$39:P$45,'KM POR UNIDAD'!A17,'BURGOS TORRES RIGOBERTO'!T$39:T$45)+SUMIF('CORDOVA URIBE JOSE  ADRIAN'!P$40:P$46,'KM POR UNIDAD'!A17,'CORDOVA URIBE JOSE  ADRIAN'!T$40:T$46)+SUMIF('GUZMAN CHAPARRO PEDRO'!P$40:P$46,'KM POR UNIDAD'!A17,'GUZMAN CHAPARRO PEDRO'!T$40:T$46)+SUMIF('HERNANDEZ LICANO JOSE LUIS'!P$40:P$46,'KM POR UNIDAD'!A17,'HERNANDEZ LICANO JOSE LUIS'!T$40:T$46)+SUMIF('CARRERA REYES MARTIN SEBASTIAN'!P$41:P$47,'KM POR UNIDAD'!A17,'CARRERA REYES MARTIN SEBASTIAN'!T$41:T$47)+SUMIF('RUIZ SAUCEDO DANIEL ALEJANDRO'!P$40:P$46,'KM POR UNIDAD'!A17,'RUIZ SAUCEDO DANIEL ALEJANDRO'!T$40:T$46)+SUMIF('MARTINEZ RAMIREZ ROSALIO'!P$40:P$46,'KM POR UNIDAD'!A17,'MARTINEZ RAMIREZ ROSALIO'!T$40:T$46)+SUMIF('BALLEZA RAMIREZ JESUS JOSE'!P$40:P$46,'KM POR UNIDAD'!A17,'BALLEZA RAMIREZ JESUS JOSE'!T$40:T$46)+SUMIF('MONTERO BURROLA LUIS'!P$38:P$44,'KM POR UNIDAD'!A17,'MONTERO BURROLA LUIS'!T$38:T$44)+SUMIF('AGUILERA CONTRERAS LUIS GERARDO'!P$41:P$47,'KM POR UNIDAD'!A17,'AGUILERA CONTRERAS LUIS GERARDO'!T$41:T$47)+SUMIF('MORALES LOPEZ DE LARA MARIANO'!P$40:P$46,'KM POR UNIDAD'!A17,'MORALES LOPEZ DE LARA MARIANO'!T$40:T$46)+SUMIF('MELENDEZ SINALOA MANUEL ARAT'!P$40:P$46,'KM POR UNIDAD'!A17,'MELENDEZ SINALOA MANUEL ARAT'!T$40:T$46)+SUMIF('MORALES LECHUGA GONZALO'!P$40:P$46,'KM POR UNIDAD'!A17,'MORALES LECHUGA GONZALO'!T$40:T$46)+SUMIF('ORONA BECERRA MAURO JOSE'!P$40:P$46,'KM POR UNIDAD'!A17,'ORONA BECERRA MAURO JOSE'!T$40:T$46)+SUMIF('VALLES HERNANDEZ MANUEL MARCELI'!P$39:P$45,'KM POR UNIDAD'!A17,'VALLES HERNANDEZ MANUEL MARCELI'!T$39:T$45)+SUMIF('ORTIZ RAMIREZ HECTOR MANUEL'!P$40:P$46,'KM POR UNIDAD'!A17,'ORTIZ RAMIREZ HECTOR MANUEL'!T$40:T$46)+SUMIF('ONTIVEROS LIRA JUAN'!P$40:P$446,'KM POR UNIDAD'!A17,'ONTIVEROS LIRA JUAN'!T$40:T$46)+SUMIF('RODRIGUEZ FLORES BRYAN DARIO'!P$40:P$46,'KM POR UNIDAD'!A17,'RODRIGUEZ FLORES BRYAN DARIO'!T$40:T$46)+SUMIF('NUÑEZ RUIZ IRVING JAVIER.'!P$42:P$48,'KM POR UNIDAD'!A17,'NUÑEZ RUIZ IRVING JAVIER.'!T$42:T$48)+SUMIF('MACHADO MAZUCA ADOLFO'!P$40:P$46,'KM POR UNIDAD'!A17,'MACHADO MAZUCA ADOLFO'!T$40:T$46)+SUMIF('LIRA ARCEO JOEL EDUARDO'!P$40:P$46,'KM POR UNIDAD'!A17,'LIRA ARCEO JOEL EDUARDO'!T$40:T$46)+SUMIF('ANCHONDO ROMERO CESAR ALEJANDRO'!P$40:P$46,'KM POR UNIDAD'!A17,'ANCHONDO ROMERO CESAR ALEJANDRO'!T$40:T$46)</f>
        <v>0</v>
      </c>
      <c r="D17" s="150">
        <f>+SUMIF('AGUILAR ESQUIVEL CARLOS'!P$40:P$46,'KM POR UNIDAD'!A17,'AGUILAR ESQUIVEL CARLOS'!V$40:V$46)+SUMIF('AGUILAR RODRIGUEZ JORGE ALONSO'!P$40:P$46,'KM POR UNIDAD'!A17,'AGUILAR RODRIGUEZ JORGE ALONSO'!V$40:V$46)+SUMIF('REYES LARA DANTE'!P$40:P$46,'KM POR UNIDAD'!A17,'REYES LARA DANTE'!V$40:V$46)+SUMIF('RAMIREZ BAUTISTA ADRIAN'!P$40:P$46,'KM POR UNIDAD'!A17,'RAMIREZ BAUTISTA ADRIAN'!V$40:V$46)+SUMIF('FLORES BOJORQUEZ BRYAN OVED'!P$40:P$46,'KM POR UNIDAD'!A17,'FLORES BOJORQUEZ BRYAN OVED'!V$40:V$46)+SUMIF('BALDERRAMA ROBLES JORGE'!P$40:P$46,'KM POR UNIDAD'!A17,'BALDERRAMA ROBLES JORGE'!V$40:V$46)+SUMIF('BURGOS TORRES RIGOBERTO'!P$39:P$45,'KM POR UNIDAD'!A17,'BURGOS TORRES RIGOBERTO'!V$39:V$45)+SUMIF('CORDOVA URIBE JOSE  ADRIAN'!P$40:P$46,'KM POR UNIDAD'!A17,'CORDOVA URIBE JOSE  ADRIAN'!V$40:V$46)+SUMIF('GUZMAN CHAPARRO PEDRO'!P$40:P$46,'KM POR UNIDAD'!A17,'GUZMAN CHAPARRO PEDRO'!V$40:V$46)+SUMIF('HERNANDEZ LICANO JOSE LUIS'!P$40:P$46,'KM POR UNIDAD'!A17,'HERNANDEZ LICANO JOSE LUIS'!V$40:V$46)+SUMIF('CARRERA REYES MARTIN SEBASTIAN'!P$41:P$47,'KM POR UNIDAD'!A17,'CARRERA REYES MARTIN SEBASTIAN'!V$41:V$47)+SUMIF('RUIZ SAUCEDO DANIEL ALEJANDRO'!P$40:P$46,'KM POR UNIDAD'!A17,'RUIZ SAUCEDO DANIEL ALEJANDRO'!V$40:V$46)+SUMIF('MARTINEZ RAMIREZ ROSALIO'!P$40:P$46,'KM POR UNIDAD'!A17,'MARTINEZ RAMIREZ ROSALIO'!V$40:V$46)+SUMIF('BALLEZA RAMIREZ JESUS JOSE'!P$40:P$46,'KM POR UNIDAD'!A17,'BALLEZA RAMIREZ JESUS JOSE'!V$40:V$46)+SUMIF('MONTERO BURROLA LUIS'!P$38:P$44,'KM POR UNIDAD'!A17,'MONTERO BURROLA LUIS'!V$38:V$44)+SUMIF('AGUILERA CONTRERAS LUIS GERARDO'!P$41:P$47,'KM POR UNIDAD'!A17,'AGUILERA CONTRERAS LUIS GERARDO'!V$41:V$47)+SUMIF('MORALES LOPEZ DE LARA MARIANO'!P$40:P$46,'KM POR UNIDAD'!A17,'MORALES LOPEZ DE LARA MARIANO'!V$40:V$46)+SUMIF('MELENDEZ SINALOA MANUEL ARAT'!P$40:P$46,'KM POR UNIDAD'!A17,'MELENDEZ SINALOA MANUEL ARAT'!V$40:V$46)+SUMIF('MORALES LECHUGA GONZALO'!P$40:P$46,'KM POR UNIDAD'!A17,'MORALES LECHUGA GONZALO'!V$40:V$46)+SUMIF('ORONA BECERRA MAURO JOSE'!P$40:P$46,'KM POR UNIDAD'!A17,'ORONA BECERRA MAURO JOSE'!V$40:V$46)+SUMIF('VALLES HERNANDEZ MANUEL MARCELI'!P$39:P$45,'KM POR UNIDAD'!A17,'VALLES HERNANDEZ MANUEL MARCELI'!V$39:V$45)+SUMIF('ORTIZ RAMIREZ HECTOR MANUEL'!P$40:P$46,'KM POR UNIDAD'!A17,'ORTIZ RAMIREZ HECTOR MANUEL'!V$40:V$46)+SUMIF('ONTIVEROS LIRA JUAN'!P$40:P$46,'KM POR UNIDAD'!A17,'ONTIVEROS LIRA JUAN'!V$40:V$46)+SUMIF('RODRIGUEZ FLORES BRYAN DARIO'!P$40:P$46,'KM POR UNIDAD'!A17,'RODRIGUEZ FLORES BRYAN DARIO'!V$40:V$46)+SUMIF('NUÑEZ RUIZ IRVING JAVIER.'!P$42:P$48,'KM POR UNIDAD'!A17,'NUÑEZ RUIZ IRVING JAVIER.'!V$42:V$48)+SUMIF('MACHADO MAZUCA ADOLFO'!P$40:P$46,'KM POR UNIDAD'!A17,'MACHADO MAZUCA ADOLFO'!V$40:V$46)+SUMIF('LIRA ARCEO JOEL EDUARDO'!P$40:P$46,'KM POR UNIDAD'!A17,'LIRA ARCEO JOEL EDUARDO'!V$40:V$46)+SUMIF('ANCHONDO ROMERO CESAR ALEJANDRO'!P$40:P$46,'KM POR UNIDAD'!A17,'ANCHONDO ROMERO CESAR ALEJANDRO'!V$40:V$46)</f>
        <v>0</v>
      </c>
      <c r="E17" s="145">
        <f t="shared" si="0"/>
        <v>0</v>
      </c>
      <c r="F17" s="144" t="e">
        <f ca="1">+SUMIF('AGUILAR ESQUIVEL CARLOS'!T$40:T$46,'KM POR UNIDAD'!E17,'AGUILAR ESQUIVEL CARLOS'!W$40:W$46)+SUMIF('AGUILAR RODRIGUEZ JORGE ALONSO'!T$40:T$46,'KM POR UNIDAD'!E17,'AGUILAR RODRIGUEZ JORGE ALONSO'!Y$40:Y$46)+SUMIF('REYES LARA DANTE'!T$40:T$46,'KM POR UNIDAD'!E17,'REYES LARA DANTE'!Y$40:Y$46)+SUMIF('RAMIREZ BAUTISTA ADRIAN'!T$40:T$46,'KM POR UNIDAD'!E17,'RAMIREZ BAUTISTA ADRIAN'!Y$40:Y$46)+SUMIF('FLORES BOJORQUEZ BRYAN OVED'!T$40:T$46,'KM POR UNIDAD'!E17,'FLORES BOJORQUEZ BRYAN OVED'!Y$40:Y$46)+SUMIF('BALDERRAMA ROBLES JORGE'!T$40:T$46,'KM POR UNIDAD'!E17,'BALDERRAMA ROBLES JORGE'!#REF!)+SUMIF('BURGOS TORRES RIGOBERTO'!T$39:T$45,'KM POR UNIDAD'!E17,'BURGOS TORRES RIGOBERTO'!Y$39:Y$45)+SUMIF('CORDOVA URIBE JOSE  ADRIAN'!T$40:T$46,'KM POR UNIDAD'!E17,'CORDOVA URIBE JOSE  ADRIAN'!Y$40:Y$46)+SUMIF('GUZMAN CHAPARRO PEDRO'!T$40:T$46,'KM POR UNIDAD'!E17,'GUZMAN CHAPARRO PEDRO'!Y$40:Y$46)+SUMIF('HERNANDEZ LICANO JOSE LUIS'!T$40:T$46,'KM POR UNIDAD'!E17,'HERNANDEZ LICANO JOSE LUIS'!#REF!)+SUMIF('CARRERA REYES MARTIN SEBASTIAN'!T$41:T$47,'KM POR UNIDAD'!E17,'CARRERA REYES MARTIN SEBASTIAN'!Y$41:Y$47)+SUMIF('RUIZ SAUCEDO DANIEL ALEJANDRO'!T$40:T$46,'KM POR UNIDAD'!E17,'RUIZ SAUCEDO DANIEL ALEJANDRO'!Y$40:Y$46)+SUMIF('MARTINEZ RAMIREZ ROSALIO'!T$40:T$46,'KM POR UNIDAD'!E17,'MARTINEZ RAMIREZ ROSALIO'!Y$40:Y$46)+SUMIF('BALLEZA RAMIREZ JESUS JOSE'!T$40:T$46,'KM POR UNIDAD'!E17,'BALLEZA RAMIREZ JESUS JOSE'!T$176:T$180)+SUMIF('MONTERO BURROLA LUIS'!T$38:T$44,'KM POR UNIDAD'!E17,'MONTERO BURROLA LUIS'!Y$38:Y$44)+SUMIF('AGUILERA CONTRERAS LUIS GERARDO'!T$41:T$47,'KM POR UNIDAD'!E17,'AGUILERA CONTRERAS LUIS GERARDO'!Y$41:Y$47)+SUMIF('MORALES LOPEZ DE LARA MARIANO'!T$40:T$46,'KM POR UNIDAD'!E17,'MORALES LOPEZ DE LARA MARIANO'!Y$40:Y$46)+SUMIF('MELENDEZ SINALOA MANUEL ARAT'!T$40:T$46,'KM POR UNIDAD'!E17,'MELENDEZ SINALOA MANUEL ARAT'!#REF!)+SUMIF('MORALES LECHUGA GONZALO'!T$40:T$46,'KM POR UNIDAD'!E17,'MORALES LECHUGA GONZALO'!Y$40:Y$46)+SUMIF('ORONA BECERRA MAURO JOSE'!T$40:T$46,'KM POR UNIDAD'!E17,'ORONA BECERRA MAURO JOSE'!Y$40:Y$46)+SUMIF('VALLES HERNANDEZ MANUEL MARCELI'!T$39:T$45,'KM POR UNIDAD'!E17,'VALLES HERNANDEZ MANUEL MARCELI'!Y$39:Y$45)+SUMIF('ORTIZ RAMIREZ HECTOR MANUEL'!T$40:T$46,'KM POR UNIDAD'!E17,'ORTIZ RAMIREZ HECTOR MANUEL'!Y$40:Y$46)+SUMIF('ONTIVEROS LIRA JUAN'!T$40:T$46,'KM POR UNIDAD'!E17,'ONTIVEROS LIRA JUAN'!Y$40:Y$46)+SUMIF('RODRIGUEZ FLORES BRYAN DARIO'!T$40:T$46,'KM POR UNIDAD'!E17,'RODRIGUEZ FLORES BRYAN DARIO'!Y$40:Y$46)+SUMIF('NUÑEZ RUIZ IRVING JAVIER.'!T$42:T$48,'KM POR UNIDAD'!E17,'NUÑEZ RUIZ IRVING JAVIER.'!Y$42:Y$48)+SUMIF('MACHADO MAZUCA ADOLFO'!T$40:T$46,'KM POR UNIDAD'!E17,'MACHADO MAZUCA ADOLFO'!Y$40:Y$46)+SUMIF('LIRA ARCEO JOEL EDUARDO'!T$40:T$46,'KM POR UNIDAD'!E17,'LIRA ARCEO JOEL EDUARDO'!Y$41:Y$46)+SUMIF('ANCHONDO ROMERO CESAR ALEJANDRO'!T$40:T$46,'KM POR UNIDAD'!E17,'ANCHONDO ROMERO CESAR ALEJANDRO'!Y$40:Y$46)</f>
        <v>#REF!</v>
      </c>
      <c r="G17" s="146"/>
    </row>
    <row r="18" spans="1:12" x14ac:dyDescent="0.25">
      <c r="A18" s="143" t="s">
        <v>77</v>
      </c>
      <c r="B18" s="144">
        <f>+SUMIF('AGUILAR ESQUIVEL CARLOS'!P$40:P$46,'KM POR UNIDAD'!A18,'AGUILAR ESQUIVEL CARLOS'!U$40:U$46)+SUMIF('AGUILAR RODRIGUEZ JORGE ALONSO'!P$40:P$46,'KM POR UNIDAD'!A18,'AGUILAR RODRIGUEZ JORGE ALONSO'!U$40:U$46)+SUMIF('REYES LARA DANTE'!P$40:P$46,'KM POR UNIDAD'!A18,'REYES LARA DANTE'!U$40:U$46)+SUMIF('RAMIREZ BAUTISTA ADRIAN'!P$40:P$46,'KM POR UNIDAD'!A18,'RAMIREZ BAUTISTA ADRIAN'!U$40:U$46)+SUMIF('FLORES BOJORQUEZ BRYAN OVED'!P$40:P$46,'KM POR UNIDAD'!A18,'FLORES BOJORQUEZ BRYAN OVED'!U$40:U$46)+SUMIF('BALDERRAMA ROBLES JORGE'!P$40:P$46,'KM POR UNIDAD'!A18,'BALDERRAMA ROBLES JORGE'!U$40:U$46)+SUMIF('BURGOS TORRES RIGOBERTO'!P$39:P$45,'KM POR UNIDAD'!A18,'BURGOS TORRES RIGOBERTO'!U$39:U$45)+SUMIF('CORDOVA URIBE JOSE  ADRIAN'!P$40:P$46,'KM POR UNIDAD'!A18,'CORDOVA URIBE JOSE  ADRIAN'!U$40:U$46)+SUMIF('GUZMAN CHAPARRO PEDRO'!P$40:P$46,'KM POR UNIDAD'!A18,'GUZMAN CHAPARRO PEDRO'!U$40:U$46)+SUMIF('HERNANDEZ LICANO JOSE LUIS'!P$40:P$46,'KM POR UNIDAD'!A18,'HERNANDEZ LICANO JOSE LUIS'!U$40:U$46)+SUMIF('CARRERA REYES MARTIN SEBASTIAN'!P$41:P$47,'KM POR UNIDAD'!A18,'CARRERA REYES MARTIN SEBASTIAN'!U$41:U$47)+SUMIF('RUIZ SAUCEDO DANIEL ALEJANDRO'!P$40:P$46,'KM POR UNIDAD'!A18,'RUIZ SAUCEDO DANIEL ALEJANDRO'!U$40:U$46)+SUMIF('MARTINEZ RAMIREZ ROSALIO'!P$40:P$46,'KM POR UNIDAD'!A18,'MARTINEZ RAMIREZ ROSALIO'!U$40:U$46)+SUMIF('BALLEZA RAMIREZ JESUS JOSE'!P$40:P$46,'KM POR UNIDAD'!A18,'BALLEZA RAMIREZ JESUS JOSE'!U$40:U$46)+SUMIF('MONTERO BURROLA LUIS'!P$38:P$44,'KM POR UNIDAD'!A18,'MONTERO BURROLA LUIS'!U$38:U$44)+SUMIF('AGUILERA CONTRERAS LUIS GERARDO'!P$41:P$47,'KM POR UNIDAD'!A18,'AGUILERA CONTRERAS LUIS GERARDO'!U$41:U$47)+SUMIF('MORALES LOPEZ DE LARA MARIANO'!P$40:P$46,'KM POR UNIDAD'!A18,'MORALES LOPEZ DE LARA MARIANO'!U$40:U$46)+SUMIF('MELENDEZ SINALOA MANUEL ARAT'!P$40:P$46,'KM POR UNIDAD'!A18,'MELENDEZ SINALOA MANUEL ARAT'!U$40:U$46)+SUMIF('MORALES LECHUGA GONZALO'!P$40:P$46,'KM POR UNIDAD'!A18,'MORALES LECHUGA GONZALO'!U$40:U$46)+SUMIF('ORONA BECERRA MAURO JOSE'!P$40:P$46,'KM POR UNIDAD'!A18,'ORONA BECERRA MAURO JOSE'!U$40:U$46)+SUMIF('VALLES HERNANDEZ MANUEL MARCELI'!P$39:P$45,'KM POR UNIDAD'!A18,'VALLES HERNANDEZ MANUEL MARCELI'!U$39:U$45)+SUMIF('ORTIZ RAMIREZ HECTOR MANUEL'!P$40:P$46,'KM POR UNIDAD'!A18,'ORTIZ RAMIREZ HECTOR MANUEL'!U$40:U$46)+SUMIF('ONTIVEROS LIRA JUAN'!P$40:P$46,'KM POR UNIDAD'!A18,'ONTIVEROS LIRA JUAN'!U$40:U$46)+SUMIF('RODRIGUEZ FLORES BRYAN DARIO'!P$40:P$46,'KM POR UNIDAD'!A18,'RODRIGUEZ FLORES BRYAN DARIO'!U$40:U$46)+SUMIF('NUÑEZ RUIZ IRVING JAVIER.'!P$42:P$48,'KM POR UNIDAD'!A18,'NUÑEZ RUIZ IRVING JAVIER.'!U$42:U$48)+SUMIF('MACHADO MAZUCA ADOLFO'!P$40:P$46,'KM POR UNIDAD'!A18,'MACHADO MAZUCA ADOLFO'!U$40:U$46)+SUMIF('LIRA ARCEO JOEL EDUARDO'!P$40:P$46,'KM POR UNIDAD'!A18,'LIRA ARCEO JOEL EDUARDO'!U$40:U$46)+SUMIF('ANCHONDO ROMERO CESAR ALEJANDRO'!P$40:P$46,'KM POR UNIDAD'!A18,'ANCHONDO ROMERO CESAR ALEJANDRO'!U$40:U$46)</f>
        <v>3166</v>
      </c>
      <c r="C18" s="150">
        <f ca="1">+SUMIF('AGUILAR ESQUIVEL CARLOS'!P$40:P$46,'KM POR UNIDAD'!A18,'AGUILAR ESQUIVEL CARLOS'!T$40:T$46)+SUMIF('AGUILAR RODRIGUEZ JORGE ALONSO'!P$40:P$46,'KM POR UNIDAD'!A18,'AGUILAR RODRIGUEZ JORGE ALONSO'!T$40:T$46)+SUMIF('REYES LARA DANTE'!P$40:P$46,'KM POR UNIDAD'!A18,'REYES LARA DANTE'!T$40:T$46)+SUMIF('RAMIREZ BAUTISTA ADRIAN'!P$40:P$46,'KM POR UNIDAD'!A18,'RAMIREZ BAUTISTA ADRIAN'!T$40:T$46)+SUMIF('FLORES BOJORQUEZ BRYAN OVED'!P$40:P$46,'KM POR UNIDAD'!A18,'FLORES BOJORQUEZ BRYAN OVED'!T$40:T$46)+SUMIF('BALDERRAMA ROBLES JORGE'!P$40:P$46,'KM POR UNIDAD'!A18,'BALDERRAMA ROBLES JORGE'!T$40:T$46)+SUMIF('BURGOS TORRES RIGOBERTO'!P$39:P$45,'KM POR UNIDAD'!A18,'BURGOS TORRES RIGOBERTO'!T$39:T$45)+SUMIF('CORDOVA URIBE JOSE  ADRIAN'!P$40:P$46,'KM POR UNIDAD'!A18,'CORDOVA URIBE JOSE  ADRIAN'!T$40:T$46)+SUMIF('GUZMAN CHAPARRO PEDRO'!P$40:P$46,'KM POR UNIDAD'!A18,'GUZMAN CHAPARRO PEDRO'!T$40:T$46)+SUMIF('HERNANDEZ LICANO JOSE LUIS'!P$40:P$46,'KM POR UNIDAD'!A18,'HERNANDEZ LICANO JOSE LUIS'!T$40:T$46)+SUMIF('CARRERA REYES MARTIN SEBASTIAN'!P$41:P$47,'KM POR UNIDAD'!A18,'CARRERA REYES MARTIN SEBASTIAN'!T$41:T$47)+SUMIF('RUIZ SAUCEDO DANIEL ALEJANDRO'!P$40:P$46,'KM POR UNIDAD'!A18,'RUIZ SAUCEDO DANIEL ALEJANDRO'!T$40:T$46)+SUMIF('MARTINEZ RAMIREZ ROSALIO'!P$40:P$46,'KM POR UNIDAD'!A18,'MARTINEZ RAMIREZ ROSALIO'!T$40:T$46)+SUMIF('BALLEZA RAMIREZ JESUS JOSE'!P$40:P$46,'KM POR UNIDAD'!A18,'BALLEZA RAMIREZ JESUS JOSE'!T$40:T$46)+SUMIF('MONTERO BURROLA LUIS'!P$38:P$44,'KM POR UNIDAD'!A18,'MONTERO BURROLA LUIS'!T$38:T$44)+SUMIF('AGUILERA CONTRERAS LUIS GERARDO'!P$41:P$47,'KM POR UNIDAD'!A18,'AGUILERA CONTRERAS LUIS GERARDO'!T$41:T$47)+SUMIF('MORALES LOPEZ DE LARA MARIANO'!P$40:P$46,'KM POR UNIDAD'!A18,'MORALES LOPEZ DE LARA MARIANO'!T$40:T$46)+SUMIF('MELENDEZ SINALOA MANUEL ARAT'!P$40:P$46,'KM POR UNIDAD'!A18,'MELENDEZ SINALOA MANUEL ARAT'!T$40:T$46)+SUMIF('MORALES LECHUGA GONZALO'!P$40:P$46,'KM POR UNIDAD'!A18,'MORALES LECHUGA GONZALO'!T$40:T$46)+SUMIF('ORONA BECERRA MAURO JOSE'!P$40:P$46,'KM POR UNIDAD'!A18,'ORONA BECERRA MAURO JOSE'!T$40:T$46)+SUMIF('VALLES HERNANDEZ MANUEL MARCELI'!P$39:P$45,'KM POR UNIDAD'!A18,'VALLES HERNANDEZ MANUEL MARCELI'!T$39:T$45)+SUMIF('ORTIZ RAMIREZ HECTOR MANUEL'!P$40:P$46,'KM POR UNIDAD'!A18,'ORTIZ RAMIREZ HECTOR MANUEL'!T$40:T$46)+SUMIF('ONTIVEROS LIRA JUAN'!P$40:P$446,'KM POR UNIDAD'!A18,'ONTIVEROS LIRA JUAN'!T$40:T$46)+SUMIF('RODRIGUEZ FLORES BRYAN DARIO'!P$40:P$46,'KM POR UNIDAD'!A18,'RODRIGUEZ FLORES BRYAN DARIO'!T$40:T$46)+SUMIF('NUÑEZ RUIZ IRVING JAVIER.'!P$42:P$48,'KM POR UNIDAD'!A18,'NUÑEZ RUIZ IRVING JAVIER.'!T$42:T$48)+SUMIF('MACHADO MAZUCA ADOLFO'!P$40:P$46,'KM POR UNIDAD'!A18,'MACHADO MAZUCA ADOLFO'!T$40:T$46)+SUMIF('LIRA ARCEO JOEL EDUARDO'!P$40:P$46,'KM POR UNIDAD'!A18,'LIRA ARCEO JOEL EDUARDO'!T$40:T$46)+SUMIF('ANCHONDO ROMERO CESAR ALEJANDRO'!P$40:P$46,'KM POR UNIDAD'!A18,'ANCHONDO ROMERO CESAR ALEJANDRO'!T$40:T$46)</f>
        <v>2288</v>
      </c>
      <c r="D18" s="150">
        <f>+SUMIF('AGUILAR ESQUIVEL CARLOS'!P$40:P$46,'KM POR UNIDAD'!A18,'AGUILAR ESQUIVEL CARLOS'!V$40:V$46)+SUMIF('AGUILAR RODRIGUEZ JORGE ALONSO'!P$40:P$46,'KM POR UNIDAD'!A18,'AGUILAR RODRIGUEZ JORGE ALONSO'!V$40:V$46)+SUMIF('REYES LARA DANTE'!P$40:P$46,'KM POR UNIDAD'!A18,'REYES LARA DANTE'!V$40:V$46)+SUMIF('RAMIREZ BAUTISTA ADRIAN'!P$40:P$46,'KM POR UNIDAD'!A18,'RAMIREZ BAUTISTA ADRIAN'!V$40:V$46)+SUMIF('FLORES BOJORQUEZ BRYAN OVED'!P$40:P$46,'KM POR UNIDAD'!A18,'FLORES BOJORQUEZ BRYAN OVED'!V$40:V$46)+SUMIF('BALDERRAMA ROBLES JORGE'!P$40:P$46,'KM POR UNIDAD'!A18,'BALDERRAMA ROBLES JORGE'!V$40:V$46)+SUMIF('BURGOS TORRES RIGOBERTO'!P$39:P$45,'KM POR UNIDAD'!A18,'BURGOS TORRES RIGOBERTO'!V$39:V$45)+SUMIF('CORDOVA URIBE JOSE  ADRIAN'!P$40:P$46,'KM POR UNIDAD'!A18,'CORDOVA URIBE JOSE  ADRIAN'!V$40:V$46)+SUMIF('GUZMAN CHAPARRO PEDRO'!P$40:P$46,'KM POR UNIDAD'!A18,'GUZMAN CHAPARRO PEDRO'!V$40:V$46)+SUMIF('HERNANDEZ LICANO JOSE LUIS'!P$40:P$46,'KM POR UNIDAD'!A18,'HERNANDEZ LICANO JOSE LUIS'!V$40:V$46)+SUMIF('CARRERA REYES MARTIN SEBASTIAN'!P$41:P$47,'KM POR UNIDAD'!A18,'CARRERA REYES MARTIN SEBASTIAN'!V$41:V$47)+SUMIF('RUIZ SAUCEDO DANIEL ALEJANDRO'!P$40:P$46,'KM POR UNIDAD'!A18,'RUIZ SAUCEDO DANIEL ALEJANDRO'!V$40:V$46)+SUMIF('MARTINEZ RAMIREZ ROSALIO'!P$40:P$46,'KM POR UNIDAD'!A18,'MARTINEZ RAMIREZ ROSALIO'!V$40:V$46)+SUMIF('BALLEZA RAMIREZ JESUS JOSE'!P$40:P$46,'KM POR UNIDAD'!A18,'BALLEZA RAMIREZ JESUS JOSE'!V$40:V$46)+SUMIF('MONTERO BURROLA LUIS'!P$38:P$44,'KM POR UNIDAD'!A18,'MONTERO BURROLA LUIS'!V$38:V$44)+SUMIF('AGUILERA CONTRERAS LUIS GERARDO'!P$41:P$47,'KM POR UNIDAD'!A18,'AGUILERA CONTRERAS LUIS GERARDO'!V$41:V$47)+SUMIF('MORALES LOPEZ DE LARA MARIANO'!P$40:P$46,'KM POR UNIDAD'!A18,'MORALES LOPEZ DE LARA MARIANO'!V$40:V$46)+SUMIF('MELENDEZ SINALOA MANUEL ARAT'!P$40:P$46,'KM POR UNIDAD'!A18,'MELENDEZ SINALOA MANUEL ARAT'!V$40:V$46)+SUMIF('MORALES LECHUGA GONZALO'!P$40:P$46,'KM POR UNIDAD'!A18,'MORALES LECHUGA GONZALO'!V$40:V$46)+SUMIF('ORONA BECERRA MAURO JOSE'!P$40:P$46,'KM POR UNIDAD'!A18,'ORONA BECERRA MAURO JOSE'!V$40:V$46)+SUMIF('VALLES HERNANDEZ MANUEL MARCELI'!P$39:P$45,'KM POR UNIDAD'!A18,'VALLES HERNANDEZ MANUEL MARCELI'!V$39:V$45)+SUMIF('ORTIZ RAMIREZ HECTOR MANUEL'!P$40:P$46,'KM POR UNIDAD'!A18,'ORTIZ RAMIREZ HECTOR MANUEL'!V$40:V$46)+SUMIF('ONTIVEROS LIRA JUAN'!P$40:P$46,'KM POR UNIDAD'!A18,'ONTIVEROS LIRA JUAN'!V$40:V$46)+SUMIF('RODRIGUEZ FLORES BRYAN DARIO'!P$40:P$46,'KM POR UNIDAD'!A18,'RODRIGUEZ FLORES BRYAN DARIO'!V$40:V$46)+SUMIF('NUÑEZ RUIZ IRVING JAVIER.'!P$42:P$48,'KM POR UNIDAD'!A18,'NUÑEZ RUIZ IRVING JAVIER.'!V$42:V$48)+SUMIF('MACHADO MAZUCA ADOLFO'!P$40:P$46,'KM POR UNIDAD'!A18,'MACHADO MAZUCA ADOLFO'!V$40:V$46)+SUMIF('LIRA ARCEO JOEL EDUARDO'!P$40:P$46,'KM POR UNIDAD'!A18,'LIRA ARCEO JOEL EDUARDO'!V$40:V$46)+SUMIF('ANCHONDO ROMERO CESAR ALEJANDRO'!P$40:P$46,'KM POR UNIDAD'!A18,'ANCHONDO ROMERO CESAR ALEJANDRO'!V$40:V$46)</f>
        <v>893.12</v>
      </c>
      <c r="E18" s="145">
        <f t="shared" si="0"/>
        <v>3.5448763883912577</v>
      </c>
      <c r="F18" s="144" t="e">
        <f ca="1">+SUMIF('AGUILAR ESQUIVEL CARLOS'!T$40:T$46,'KM POR UNIDAD'!E18,'AGUILAR ESQUIVEL CARLOS'!W$40:W$46)+SUMIF('AGUILAR RODRIGUEZ JORGE ALONSO'!T$40:T$46,'KM POR UNIDAD'!E18,'AGUILAR RODRIGUEZ JORGE ALONSO'!Y$40:Y$46)+SUMIF('REYES LARA DANTE'!T$40:T$46,'KM POR UNIDAD'!E18,'REYES LARA DANTE'!Y$40:Y$46)+SUMIF('RAMIREZ BAUTISTA ADRIAN'!T$40:T$46,'KM POR UNIDAD'!E18,'RAMIREZ BAUTISTA ADRIAN'!Y$40:Y$46)+SUMIF('FLORES BOJORQUEZ BRYAN OVED'!T$40:T$46,'KM POR UNIDAD'!E18,'FLORES BOJORQUEZ BRYAN OVED'!Y$40:Y$46)+SUMIF('BALDERRAMA ROBLES JORGE'!T$40:T$46,'KM POR UNIDAD'!E18,'BALDERRAMA ROBLES JORGE'!#REF!)+SUMIF('BURGOS TORRES RIGOBERTO'!T$39:T$45,'KM POR UNIDAD'!E18,'BURGOS TORRES RIGOBERTO'!Y$39:Y$45)+SUMIF('CORDOVA URIBE JOSE  ADRIAN'!T$40:T$46,'KM POR UNIDAD'!E18,'CORDOVA URIBE JOSE  ADRIAN'!Y$40:Y$46)+SUMIF('GUZMAN CHAPARRO PEDRO'!T$40:T$46,'KM POR UNIDAD'!E18,'GUZMAN CHAPARRO PEDRO'!Y$40:Y$46)+SUMIF('HERNANDEZ LICANO JOSE LUIS'!T$40:T$46,'KM POR UNIDAD'!E18,'HERNANDEZ LICANO JOSE LUIS'!#REF!)+SUMIF('CARRERA REYES MARTIN SEBASTIAN'!T$41:T$47,'KM POR UNIDAD'!E18,'CARRERA REYES MARTIN SEBASTIAN'!Y$41:Y$47)+SUMIF('RUIZ SAUCEDO DANIEL ALEJANDRO'!T$40:T$46,'KM POR UNIDAD'!E18,'RUIZ SAUCEDO DANIEL ALEJANDRO'!Y$40:Y$46)+SUMIF('MARTINEZ RAMIREZ ROSALIO'!T$40:T$46,'KM POR UNIDAD'!E18,'MARTINEZ RAMIREZ ROSALIO'!Y$40:Y$46)+SUMIF('BALLEZA RAMIREZ JESUS JOSE'!T$40:T$46,'KM POR UNIDAD'!E18,'BALLEZA RAMIREZ JESUS JOSE'!T$176:T$180)+SUMIF('MONTERO BURROLA LUIS'!T$38:T$44,'KM POR UNIDAD'!E18,'MONTERO BURROLA LUIS'!Y$38:Y$44)+SUMIF('AGUILERA CONTRERAS LUIS GERARDO'!T$41:T$47,'KM POR UNIDAD'!E18,'AGUILERA CONTRERAS LUIS GERARDO'!Y$41:Y$47)+SUMIF('MORALES LOPEZ DE LARA MARIANO'!T$40:T$46,'KM POR UNIDAD'!E18,'MORALES LOPEZ DE LARA MARIANO'!Y$40:Y$46)+SUMIF('MELENDEZ SINALOA MANUEL ARAT'!T$40:T$46,'KM POR UNIDAD'!E18,'MELENDEZ SINALOA MANUEL ARAT'!#REF!)+SUMIF('MORALES LECHUGA GONZALO'!T$40:T$46,'KM POR UNIDAD'!E18,'MORALES LECHUGA GONZALO'!Y$40:Y$46)+SUMIF('ORONA BECERRA MAURO JOSE'!T$40:T$46,'KM POR UNIDAD'!E18,'ORONA BECERRA MAURO JOSE'!Y$40:Y$46)+SUMIF('VALLES HERNANDEZ MANUEL MARCELI'!T$39:T$45,'KM POR UNIDAD'!E18,'VALLES HERNANDEZ MANUEL MARCELI'!Y$39:Y$45)+SUMIF('ORTIZ RAMIREZ HECTOR MANUEL'!T$40:T$46,'KM POR UNIDAD'!E18,'ORTIZ RAMIREZ HECTOR MANUEL'!Y$40:Y$46)+SUMIF('ONTIVEROS LIRA JUAN'!T$40:T$46,'KM POR UNIDAD'!E18,'ONTIVEROS LIRA JUAN'!Y$40:Y$46)+SUMIF('RODRIGUEZ FLORES BRYAN DARIO'!T$40:T$46,'KM POR UNIDAD'!E18,'RODRIGUEZ FLORES BRYAN DARIO'!Y$40:Y$46)+SUMIF('NUÑEZ RUIZ IRVING JAVIER.'!T$42:T$48,'KM POR UNIDAD'!E18,'NUÑEZ RUIZ IRVING JAVIER.'!Y$42:Y$48)+SUMIF('MACHADO MAZUCA ADOLFO'!T$40:T$46,'KM POR UNIDAD'!E18,'MACHADO MAZUCA ADOLFO'!Y$40:Y$46)+SUMIF('LIRA ARCEO JOEL EDUARDO'!T$40:T$46,'KM POR UNIDAD'!E18,'LIRA ARCEO JOEL EDUARDO'!Y$41:Y$46)+SUMIF('ANCHONDO ROMERO CESAR ALEJANDRO'!T$40:T$46,'KM POR UNIDAD'!E18,'ANCHONDO ROMERO CESAR ALEJANDRO'!Y$40:Y$46)</f>
        <v>#REF!</v>
      </c>
      <c r="G18" s="146"/>
    </row>
    <row r="19" spans="1:12" x14ac:dyDescent="0.25">
      <c r="A19" s="143" t="s">
        <v>75</v>
      </c>
      <c r="B19" s="144">
        <f>+SUMIF('AGUILAR ESQUIVEL CARLOS'!P$40:P$46,'KM POR UNIDAD'!A19,'AGUILAR ESQUIVEL CARLOS'!U$40:U$46)+SUMIF('AGUILAR RODRIGUEZ JORGE ALONSO'!P$40:P$46,'KM POR UNIDAD'!A19,'AGUILAR RODRIGUEZ JORGE ALONSO'!U$40:U$46)+SUMIF('REYES LARA DANTE'!P$40:P$46,'KM POR UNIDAD'!A19,'REYES LARA DANTE'!U$40:U$46)+SUMIF('RAMIREZ BAUTISTA ADRIAN'!P$40:P$46,'KM POR UNIDAD'!A19,'RAMIREZ BAUTISTA ADRIAN'!U$40:U$46)+SUMIF('FLORES BOJORQUEZ BRYAN OVED'!P$40:P$46,'KM POR UNIDAD'!A19,'FLORES BOJORQUEZ BRYAN OVED'!U$40:U$46)+SUMIF('BALDERRAMA ROBLES JORGE'!P$40:P$46,'KM POR UNIDAD'!A19,'BALDERRAMA ROBLES JORGE'!U$40:U$46)+SUMIF('BURGOS TORRES RIGOBERTO'!P$39:P$45,'KM POR UNIDAD'!A19,'BURGOS TORRES RIGOBERTO'!U$39:U$45)+SUMIF('CORDOVA URIBE JOSE  ADRIAN'!P$40:P$46,'KM POR UNIDAD'!A19,'CORDOVA URIBE JOSE  ADRIAN'!U$40:U$46)+SUMIF('GUZMAN CHAPARRO PEDRO'!P$40:P$46,'KM POR UNIDAD'!A19,'GUZMAN CHAPARRO PEDRO'!U$40:U$46)+SUMIF('HERNANDEZ LICANO JOSE LUIS'!P$40:P$46,'KM POR UNIDAD'!A19,'HERNANDEZ LICANO JOSE LUIS'!U$40:U$46)+SUMIF('CARRERA REYES MARTIN SEBASTIAN'!P$41:P$47,'KM POR UNIDAD'!A19,'CARRERA REYES MARTIN SEBASTIAN'!U$41:U$47)+SUMIF('RUIZ SAUCEDO DANIEL ALEJANDRO'!P$40:P$46,'KM POR UNIDAD'!A19,'RUIZ SAUCEDO DANIEL ALEJANDRO'!U$40:U$46)+SUMIF('MARTINEZ RAMIREZ ROSALIO'!P$40:P$46,'KM POR UNIDAD'!A19,'MARTINEZ RAMIREZ ROSALIO'!U$40:U$46)+SUMIF('BALLEZA RAMIREZ JESUS JOSE'!P$40:P$46,'KM POR UNIDAD'!A19,'BALLEZA RAMIREZ JESUS JOSE'!U$40:U$46)+SUMIF('MONTERO BURROLA LUIS'!P$38:P$44,'KM POR UNIDAD'!A19,'MONTERO BURROLA LUIS'!U$38:U$44)+SUMIF('AGUILERA CONTRERAS LUIS GERARDO'!P$41:P$47,'KM POR UNIDAD'!A19,'AGUILERA CONTRERAS LUIS GERARDO'!U$41:U$47)+SUMIF('MORALES LOPEZ DE LARA MARIANO'!P$40:P$46,'KM POR UNIDAD'!A19,'MORALES LOPEZ DE LARA MARIANO'!U$40:U$46)+SUMIF('MELENDEZ SINALOA MANUEL ARAT'!P$40:P$46,'KM POR UNIDAD'!A19,'MELENDEZ SINALOA MANUEL ARAT'!U$40:U$46)+SUMIF('MORALES LECHUGA GONZALO'!P$40:P$46,'KM POR UNIDAD'!A19,'MORALES LECHUGA GONZALO'!U$40:U$46)+SUMIF('ORONA BECERRA MAURO JOSE'!P$40:P$46,'KM POR UNIDAD'!A19,'ORONA BECERRA MAURO JOSE'!U$40:U$46)+SUMIF('VALLES HERNANDEZ MANUEL MARCELI'!P$39:P$45,'KM POR UNIDAD'!A19,'VALLES HERNANDEZ MANUEL MARCELI'!U$39:U$45)+SUMIF('ORTIZ RAMIREZ HECTOR MANUEL'!P$40:P$46,'KM POR UNIDAD'!A19,'ORTIZ RAMIREZ HECTOR MANUEL'!U$40:U$46)+SUMIF('ONTIVEROS LIRA JUAN'!P$40:P$46,'KM POR UNIDAD'!A19,'ONTIVEROS LIRA JUAN'!U$40:U$46)+SUMIF('RODRIGUEZ FLORES BRYAN DARIO'!P$40:P$46,'KM POR UNIDAD'!A19,'RODRIGUEZ FLORES BRYAN DARIO'!U$40:U$46)+SUMIF('NUÑEZ RUIZ IRVING JAVIER.'!P$42:P$48,'KM POR UNIDAD'!A19,'NUÑEZ RUIZ IRVING JAVIER.'!U$42:U$48)+SUMIF('MACHADO MAZUCA ADOLFO'!P$40:P$46,'KM POR UNIDAD'!A19,'MACHADO MAZUCA ADOLFO'!U$40:U$46)+SUMIF('LIRA ARCEO JOEL EDUARDO'!P$40:P$46,'KM POR UNIDAD'!A19,'LIRA ARCEO JOEL EDUARDO'!U$40:U$46)+SUMIF('ANCHONDO ROMERO CESAR ALEJANDRO'!P$40:P$46,'KM POR UNIDAD'!A19,'ANCHONDO ROMERO CESAR ALEJANDRO'!U$40:U$46)</f>
        <v>2250</v>
      </c>
      <c r="C19" s="150">
        <f ca="1">+SUMIF('AGUILAR ESQUIVEL CARLOS'!P$40:P$46,'KM POR UNIDAD'!A19,'AGUILAR ESQUIVEL CARLOS'!T$40:T$46)+SUMIF('AGUILAR RODRIGUEZ JORGE ALONSO'!P$40:P$46,'KM POR UNIDAD'!A19,'AGUILAR RODRIGUEZ JORGE ALONSO'!T$40:T$46)+SUMIF('REYES LARA DANTE'!P$40:P$46,'KM POR UNIDAD'!A19,'REYES LARA DANTE'!T$40:T$46)+SUMIF('RAMIREZ BAUTISTA ADRIAN'!P$40:P$46,'KM POR UNIDAD'!A19,'RAMIREZ BAUTISTA ADRIAN'!T$40:T$46)+SUMIF('FLORES BOJORQUEZ BRYAN OVED'!P$40:P$46,'KM POR UNIDAD'!A19,'FLORES BOJORQUEZ BRYAN OVED'!T$40:T$46)+SUMIF('BALDERRAMA ROBLES JORGE'!P$40:P$46,'KM POR UNIDAD'!A19,'BALDERRAMA ROBLES JORGE'!T$40:T$46)+SUMIF('BURGOS TORRES RIGOBERTO'!P$39:P$45,'KM POR UNIDAD'!A19,'BURGOS TORRES RIGOBERTO'!T$39:T$45)+SUMIF('CORDOVA URIBE JOSE  ADRIAN'!P$40:P$46,'KM POR UNIDAD'!A19,'CORDOVA URIBE JOSE  ADRIAN'!T$40:T$46)+SUMIF('GUZMAN CHAPARRO PEDRO'!P$40:P$46,'KM POR UNIDAD'!A19,'GUZMAN CHAPARRO PEDRO'!T$40:T$46)+SUMIF('HERNANDEZ LICANO JOSE LUIS'!P$40:P$46,'KM POR UNIDAD'!A19,'HERNANDEZ LICANO JOSE LUIS'!T$40:T$46)+SUMIF('CARRERA REYES MARTIN SEBASTIAN'!P$41:P$47,'KM POR UNIDAD'!A19,'CARRERA REYES MARTIN SEBASTIAN'!T$41:T$47)+SUMIF('RUIZ SAUCEDO DANIEL ALEJANDRO'!P$40:P$46,'KM POR UNIDAD'!A19,'RUIZ SAUCEDO DANIEL ALEJANDRO'!T$40:T$46)+SUMIF('MARTINEZ RAMIREZ ROSALIO'!P$40:P$46,'KM POR UNIDAD'!A19,'MARTINEZ RAMIREZ ROSALIO'!T$40:T$46)+SUMIF('BALLEZA RAMIREZ JESUS JOSE'!P$40:P$46,'KM POR UNIDAD'!A19,'BALLEZA RAMIREZ JESUS JOSE'!T$40:T$46)+SUMIF('MONTERO BURROLA LUIS'!P$38:P$44,'KM POR UNIDAD'!A19,'MONTERO BURROLA LUIS'!T$38:T$44)+SUMIF('AGUILERA CONTRERAS LUIS GERARDO'!P$41:P$47,'KM POR UNIDAD'!A19,'AGUILERA CONTRERAS LUIS GERARDO'!T$41:T$47)+SUMIF('MORALES LOPEZ DE LARA MARIANO'!P$40:P$46,'KM POR UNIDAD'!A19,'MORALES LOPEZ DE LARA MARIANO'!T$40:T$46)+SUMIF('MELENDEZ SINALOA MANUEL ARAT'!P$40:P$46,'KM POR UNIDAD'!A19,'MELENDEZ SINALOA MANUEL ARAT'!T$40:T$46)+SUMIF('MORALES LECHUGA GONZALO'!P$40:P$46,'KM POR UNIDAD'!A19,'MORALES LECHUGA GONZALO'!T$40:T$46)+SUMIF('ORONA BECERRA MAURO JOSE'!P$40:P$46,'KM POR UNIDAD'!A19,'ORONA BECERRA MAURO JOSE'!T$40:T$46)+SUMIF('VALLES HERNANDEZ MANUEL MARCELI'!P$39:P$45,'KM POR UNIDAD'!A19,'VALLES HERNANDEZ MANUEL MARCELI'!T$39:T$45)+SUMIF('ORTIZ RAMIREZ HECTOR MANUEL'!P$40:P$46,'KM POR UNIDAD'!A19,'ORTIZ RAMIREZ HECTOR MANUEL'!T$40:T$46)+SUMIF('ONTIVEROS LIRA JUAN'!P$40:P$446,'KM POR UNIDAD'!A19,'ONTIVEROS LIRA JUAN'!T$40:T$46)+SUMIF('RODRIGUEZ FLORES BRYAN DARIO'!P$40:P$46,'KM POR UNIDAD'!A19,'RODRIGUEZ FLORES BRYAN DARIO'!T$40:T$46)+SUMIF('NUÑEZ RUIZ IRVING JAVIER.'!P$42:P$48,'KM POR UNIDAD'!A19,'NUÑEZ RUIZ IRVING JAVIER.'!T$42:T$48)+SUMIF('MACHADO MAZUCA ADOLFO'!P$40:P$46,'KM POR UNIDAD'!A19,'MACHADO MAZUCA ADOLFO'!T$40:T$46)+SUMIF('LIRA ARCEO JOEL EDUARDO'!P$40:P$46,'KM POR UNIDAD'!A19,'LIRA ARCEO JOEL EDUARDO'!T$40:T$46)+SUMIF('ANCHONDO ROMERO CESAR ALEJANDRO'!P$40:P$46,'KM POR UNIDAD'!A19,'ANCHONDO ROMERO CESAR ALEJANDRO'!T$40:T$46)</f>
        <v>41613</v>
      </c>
      <c r="D19" s="150">
        <f>+SUMIF('AGUILAR ESQUIVEL CARLOS'!P$40:P$46,'KM POR UNIDAD'!A19,'AGUILAR ESQUIVEL CARLOS'!V$40:V$46)+SUMIF('AGUILAR RODRIGUEZ JORGE ALONSO'!P$40:P$46,'KM POR UNIDAD'!A19,'AGUILAR RODRIGUEZ JORGE ALONSO'!V$40:V$46)+SUMIF('REYES LARA DANTE'!P$40:P$46,'KM POR UNIDAD'!A19,'REYES LARA DANTE'!V$40:V$46)+SUMIF('RAMIREZ BAUTISTA ADRIAN'!P$40:P$46,'KM POR UNIDAD'!A19,'RAMIREZ BAUTISTA ADRIAN'!V$40:V$46)+SUMIF('FLORES BOJORQUEZ BRYAN OVED'!P$40:P$46,'KM POR UNIDAD'!A19,'FLORES BOJORQUEZ BRYAN OVED'!V$40:V$46)+SUMIF('BALDERRAMA ROBLES JORGE'!P$40:P$46,'KM POR UNIDAD'!A19,'BALDERRAMA ROBLES JORGE'!V$40:V$46)+SUMIF('BURGOS TORRES RIGOBERTO'!P$39:P$45,'KM POR UNIDAD'!A19,'BURGOS TORRES RIGOBERTO'!V$39:V$45)+SUMIF('CORDOVA URIBE JOSE  ADRIAN'!P$40:P$46,'KM POR UNIDAD'!A19,'CORDOVA URIBE JOSE  ADRIAN'!V$40:V$46)+SUMIF('GUZMAN CHAPARRO PEDRO'!P$40:P$46,'KM POR UNIDAD'!A19,'GUZMAN CHAPARRO PEDRO'!V$40:V$46)+SUMIF('HERNANDEZ LICANO JOSE LUIS'!P$40:P$46,'KM POR UNIDAD'!A19,'HERNANDEZ LICANO JOSE LUIS'!V$40:V$46)+SUMIF('CARRERA REYES MARTIN SEBASTIAN'!P$41:P$47,'KM POR UNIDAD'!A19,'CARRERA REYES MARTIN SEBASTIAN'!V$41:V$47)+SUMIF('RUIZ SAUCEDO DANIEL ALEJANDRO'!P$40:P$46,'KM POR UNIDAD'!A19,'RUIZ SAUCEDO DANIEL ALEJANDRO'!V$40:V$46)+SUMIF('MARTINEZ RAMIREZ ROSALIO'!P$40:P$46,'KM POR UNIDAD'!A19,'MARTINEZ RAMIREZ ROSALIO'!V$40:V$46)+SUMIF('BALLEZA RAMIREZ JESUS JOSE'!P$40:P$46,'KM POR UNIDAD'!A19,'BALLEZA RAMIREZ JESUS JOSE'!V$40:V$46)+SUMIF('MONTERO BURROLA LUIS'!P$38:P$44,'KM POR UNIDAD'!A19,'MONTERO BURROLA LUIS'!V$38:V$44)+SUMIF('AGUILERA CONTRERAS LUIS GERARDO'!P$41:P$47,'KM POR UNIDAD'!A19,'AGUILERA CONTRERAS LUIS GERARDO'!V$41:V$47)+SUMIF('MORALES LOPEZ DE LARA MARIANO'!P$40:P$46,'KM POR UNIDAD'!A19,'MORALES LOPEZ DE LARA MARIANO'!V$40:V$46)+SUMIF('MELENDEZ SINALOA MANUEL ARAT'!P$40:P$46,'KM POR UNIDAD'!A19,'MELENDEZ SINALOA MANUEL ARAT'!V$40:V$46)+SUMIF('MORALES LECHUGA GONZALO'!P$40:P$46,'KM POR UNIDAD'!A19,'MORALES LECHUGA GONZALO'!V$40:V$46)+SUMIF('ORONA BECERRA MAURO JOSE'!P$40:P$46,'KM POR UNIDAD'!A19,'ORONA BECERRA MAURO JOSE'!V$40:V$46)+SUMIF('VALLES HERNANDEZ MANUEL MARCELI'!P$39:P$45,'KM POR UNIDAD'!A19,'VALLES HERNANDEZ MANUEL MARCELI'!V$39:V$45)+SUMIF('ORTIZ RAMIREZ HECTOR MANUEL'!P$40:P$46,'KM POR UNIDAD'!A19,'ORTIZ RAMIREZ HECTOR MANUEL'!V$40:V$46)+SUMIF('ONTIVEROS LIRA JUAN'!P$40:P$46,'KM POR UNIDAD'!A19,'ONTIVEROS LIRA JUAN'!V$40:V$46)+SUMIF('RODRIGUEZ FLORES BRYAN DARIO'!P$40:P$46,'KM POR UNIDAD'!A19,'RODRIGUEZ FLORES BRYAN DARIO'!V$40:V$46)+SUMIF('NUÑEZ RUIZ IRVING JAVIER.'!P$42:P$48,'KM POR UNIDAD'!A19,'NUÑEZ RUIZ IRVING JAVIER.'!V$42:V$48)+SUMIF('MACHADO MAZUCA ADOLFO'!P$40:P$46,'KM POR UNIDAD'!A19,'MACHADO MAZUCA ADOLFO'!V$40:V$46)+SUMIF('LIRA ARCEO JOEL EDUARDO'!P$40:P$46,'KM POR UNIDAD'!A19,'LIRA ARCEO JOEL EDUARDO'!V$40:V$46)+SUMIF('ANCHONDO ROMERO CESAR ALEJANDRO'!P$40:P$46,'KM POR UNIDAD'!A19,'ANCHONDO ROMERO CESAR ALEJANDRO'!V$40:V$46)</f>
        <v>680.95</v>
      </c>
      <c r="E19" s="145">
        <f t="shared" si="0"/>
        <v>3.3042073573683823</v>
      </c>
      <c r="F19" s="144" t="e">
        <f ca="1">+SUMIF('AGUILAR ESQUIVEL CARLOS'!P$40:P$46,'KM POR UNIDAD'!A19,'AGUILAR ESQUIVEL CARLOS'!W$40:W$46)+SUMIF('AGUILAR RODRIGUEZ JORGE ALONSO'!P$40:P$46,'KM POR UNIDAD'!A19,'AGUILAR RODRIGUEZ JORGE ALONSO'!W$40:W$46)+SUMIF('REYES LARA DANTE'!T$40:T$46,'KM POR UNIDAD'!A19,'REYES LARA DANTE'!Y$40:Y$46)+SUMIF('RAMIREZ BAUTISTA ADRIAN'!T$40:T$46,'KM POR UNIDAD'!A19,'RAMIREZ BAUTISTA ADRIAN'!Y$40:Y$46)+SUMIF('FLORES BOJORQUEZ BRYAN OVED'!T$40:T$46,'KM POR UNIDAD'!A19,'FLORES BOJORQUEZ BRYAN OVED'!Y$40:Y$46)+SUMIF('BALDERRAMA ROBLES JORGE'!T$40:T$46,'KM POR UNIDAD'!A19,'BALDERRAMA ROBLES JORGE'!#REF!)+SUMIF('BURGOS TORRES RIGOBERTO'!T$39:T$45,'KM POR UNIDAD'!A19,'BURGOS TORRES RIGOBERTO'!Y$39:Y$45)+SUMIF('CORDOVA URIBE JOSE  ADRIAN'!T$40:T$46,'KM POR UNIDAD'!E19,'CORDOVA URIBE JOSE  ADRIAN'!Y$40:Y$46)+SUMIF('GUZMAN CHAPARRO PEDRO'!T$40:T$46,'KM POR UNIDAD'!E19,'GUZMAN CHAPARRO PEDRO'!Y$40:Y$46)+SUMIF('HERNANDEZ LICANO JOSE LUIS'!T$40:T$46,'KM POR UNIDAD'!E19,'HERNANDEZ LICANO JOSE LUIS'!#REF!)+SUMIF('CARRERA REYES MARTIN SEBASTIAN'!T$41:T$47,'KM POR UNIDAD'!E19,'CARRERA REYES MARTIN SEBASTIAN'!Y$41:Y$47)+SUMIF('RUIZ SAUCEDO DANIEL ALEJANDRO'!T$40:T$46,'KM POR UNIDAD'!E19,'RUIZ SAUCEDO DANIEL ALEJANDRO'!Y$40:Y$46)+SUMIF('MARTINEZ RAMIREZ ROSALIO'!T$40:T$46,'KM POR UNIDAD'!E19,'MARTINEZ RAMIREZ ROSALIO'!Y$40:Y$46)+SUMIF('BALLEZA RAMIREZ JESUS JOSE'!T$40:T$46,'KM POR UNIDAD'!E19,'BALLEZA RAMIREZ JESUS JOSE'!T$176:T$180)+SUMIF('MONTERO BURROLA LUIS'!T$38:T$44,'KM POR UNIDAD'!E19,'MONTERO BURROLA LUIS'!Y$38:Y$44)+SUMIF('AGUILERA CONTRERAS LUIS GERARDO'!T$41:T$47,'KM POR UNIDAD'!E19,'AGUILERA CONTRERAS LUIS GERARDO'!Y$41:Y$47)+SUMIF('MORALES LOPEZ DE LARA MARIANO'!T$40:T$46,'KM POR UNIDAD'!E19,'MORALES LOPEZ DE LARA MARIANO'!Y$40:Y$46)+SUMIF('MELENDEZ SINALOA MANUEL ARAT'!T$40:T$46,'KM POR UNIDAD'!E19,'MELENDEZ SINALOA MANUEL ARAT'!#REF!)+SUMIF('MORALES LECHUGA GONZALO'!T$40:T$46,'KM POR UNIDAD'!E19,'MORALES LECHUGA GONZALO'!Y$40:Y$46)+SUMIF('ORONA BECERRA MAURO JOSE'!T$40:T$46,'KM POR UNIDAD'!E19,'ORONA BECERRA MAURO JOSE'!Y$40:Y$46)+SUMIF('VALLES HERNANDEZ MANUEL MARCELI'!T$39:T$45,'KM POR UNIDAD'!E19,'VALLES HERNANDEZ MANUEL MARCELI'!Y$39:Y$45)+SUMIF('ORTIZ RAMIREZ HECTOR MANUEL'!T$40:T$46,'KM POR UNIDAD'!E19,'ORTIZ RAMIREZ HECTOR MANUEL'!Y$40:Y$46)+SUMIF('ONTIVEROS LIRA JUAN'!T$40:T$46,'KM POR UNIDAD'!E19,'ONTIVEROS LIRA JUAN'!Y$40:Y$46)+SUMIF('RODRIGUEZ FLORES BRYAN DARIO'!T$40:T$46,'KM POR UNIDAD'!E19,'RODRIGUEZ FLORES BRYAN DARIO'!Y$40:Y$46)+SUMIF('NUÑEZ RUIZ IRVING JAVIER.'!T$42:T$48,'KM POR UNIDAD'!E19,'NUÑEZ RUIZ IRVING JAVIER.'!Y$42:Y$48)+SUMIF('MACHADO MAZUCA ADOLFO'!T$40:T$46,'KM POR UNIDAD'!E19,'MACHADO MAZUCA ADOLFO'!Y$40:Y$46)+SUMIF('LIRA ARCEO JOEL EDUARDO'!T$40:T$46,'KM POR UNIDAD'!E19,'LIRA ARCEO JOEL EDUARDO'!Y$41:Y$46)+SUMIF('ANCHONDO ROMERO CESAR ALEJANDRO'!T$40:T$46,'KM POR UNIDAD'!E19,'ANCHONDO ROMERO CESAR ALEJANDRO'!Y$40:Y$46)</f>
        <v>#REF!</v>
      </c>
      <c r="G19" s="146"/>
    </row>
    <row r="20" spans="1:12" x14ac:dyDescent="0.25">
      <c r="A20" s="143" t="s">
        <v>152</v>
      </c>
      <c r="B20" s="144">
        <f>+SUMIF('AGUILAR ESQUIVEL CARLOS'!P$40:P$46,'KM POR UNIDAD'!A20,'AGUILAR ESQUIVEL CARLOS'!U$40:U$46)+SUMIF('AGUILAR RODRIGUEZ JORGE ALONSO'!P$40:P$46,'KM POR UNIDAD'!A20,'AGUILAR RODRIGUEZ JORGE ALONSO'!U$40:U$46)+SUMIF('REYES LARA DANTE'!P$40:P$46,'KM POR UNIDAD'!A20,'REYES LARA DANTE'!U$40:U$46)+SUMIF('RAMIREZ BAUTISTA ADRIAN'!P$40:P$46,'KM POR UNIDAD'!A20,'RAMIREZ BAUTISTA ADRIAN'!U$40:U$46)+SUMIF('FLORES BOJORQUEZ BRYAN OVED'!P$40:P$46,'KM POR UNIDAD'!A20,'FLORES BOJORQUEZ BRYAN OVED'!U$40:U$46)+SUMIF('BALDERRAMA ROBLES JORGE'!P$40:P$46,'KM POR UNIDAD'!A20,'BALDERRAMA ROBLES JORGE'!U$40:U$46)+SUMIF('BURGOS TORRES RIGOBERTO'!P$39:P$45,'KM POR UNIDAD'!A20,'BURGOS TORRES RIGOBERTO'!U$39:U$45)+SUMIF('CORDOVA URIBE JOSE  ADRIAN'!P$40:P$46,'KM POR UNIDAD'!A20,'CORDOVA URIBE JOSE  ADRIAN'!U$40:U$46)+SUMIF('GUZMAN CHAPARRO PEDRO'!P$40:P$46,'KM POR UNIDAD'!A20,'GUZMAN CHAPARRO PEDRO'!U$40:U$46)+SUMIF('HERNANDEZ LICANO JOSE LUIS'!P$40:P$46,'KM POR UNIDAD'!A20,'HERNANDEZ LICANO JOSE LUIS'!U$40:U$46)+SUMIF('CARRERA REYES MARTIN SEBASTIAN'!P$41:P$47,'KM POR UNIDAD'!A20,'CARRERA REYES MARTIN SEBASTIAN'!U$41:U$47)+SUMIF('RUIZ SAUCEDO DANIEL ALEJANDRO'!P$40:P$46,'KM POR UNIDAD'!A20,'RUIZ SAUCEDO DANIEL ALEJANDRO'!U$40:U$46)+SUMIF('MARTINEZ RAMIREZ ROSALIO'!P$40:P$46,'KM POR UNIDAD'!A20,'MARTINEZ RAMIREZ ROSALIO'!U$40:U$46)+SUMIF('BALLEZA RAMIREZ JESUS JOSE'!P$40:P$46,'KM POR UNIDAD'!A20,'BALLEZA RAMIREZ JESUS JOSE'!U$40:U$46)+SUMIF('MONTERO BURROLA LUIS'!P$38:P$44,'KM POR UNIDAD'!A20,'MONTERO BURROLA LUIS'!U$38:U$44)+SUMIF('AGUILERA CONTRERAS LUIS GERARDO'!P$41:P$47,'KM POR UNIDAD'!A20,'AGUILERA CONTRERAS LUIS GERARDO'!U$41:U$47)+SUMIF('MORALES LOPEZ DE LARA MARIANO'!P$40:P$46,'KM POR UNIDAD'!A20,'MORALES LOPEZ DE LARA MARIANO'!U$40:U$46)+SUMIF('MELENDEZ SINALOA MANUEL ARAT'!P$40:P$46,'KM POR UNIDAD'!A20,'MELENDEZ SINALOA MANUEL ARAT'!U$40:U$46)+SUMIF('MORALES LECHUGA GONZALO'!P$40:P$46,'KM POR UNIDAD'!A20,'MORALES LECHUGA GONZALO'!U$40:U$46)+SUMIF('ORONA BECERRA MAURO JOSE'!P$40:P$46,'KM POR UNIDAD'!A20,'ORONA BECERRA MAURO JOSE'!U$40:U$46)+SUMIF('VALLES HERNANDEZ MANUEL MARCELI'!P$39:P$45,'KM POR UNIDAD'!A20,'VALLES HERNANDEZ MANUEL MARCELI'!U$39:U$45)+SUMIF('ORTIZ RAMIREZ HECTOR MANUEL'!P$40:P$46,'KM POR UNIDAD'!A20,'ORTIZ RAMIREZ HECTOR MANUEL'!U$40:U$46)+SUMIF('ONTIVEROS LIRA JUAN'!P$40:P$46,'KM POR UNIDAD'!A20,'ONTIVEROS LIRA JUAN'!U$40:U$46)+SUMIF('RODRIGUEZ FLORES BRYAN DARIO'!P$40:P$46,'KM POR UNIDAD'!A20,'RODRIGUEZ FLORES BRYAN DARIO'!U$40:U$46)+SUMIF('NUÑEZ RUIZ IRVING JAVIER.'!P$42:P$48,'KM POR UNIDAD'!A20,'NUÑEZ RUIZ IRVING JAVIER.'!U$42:U$48)+SUMIF('MACHADO MAZUCA ADOLFO'!P$40:P$46,'KM POR UNIDAD'!A20,'MACHADO MAZUCA ADOLFO'!U$40:U$46)+SUMIF('LIRA ARCEO JOEL EDUARDO'!P$40:P$46,'KM POR UNIDAD'!A20,'LIRA ARCEO JOEL EDUARDO'!U$40:U$46)+SUMIF('ANCHONDO ROMERO CESAR ALEJANDRO'!P$40:P$46,'KM POR UNIDAD'!A20,'ANCHONDO ROMERO CESAR ALEJANDRO'!U$40:U$46)</f>
        <v>4030</v>
      </c>
      <c r="C20" s="150">
        <f ca="1">+SUMIF('AGUILAR ESQUIVEL CARLOS'!P$40:P$46,'KM POR UNIDAD'!A20,'AGUILAR ESQUIVEL CARLOS'!T$40:T$46)+SUMIF('AGUILAR RODRIGUEZ JORGE ALONSO'!P$40:P$46,'KM POR UNIDAD'!A20,'AGUILAR RODRIGUEZ JORGE ALONSO'!T$40:T$46)+SUMIF('REYES LARA DANTE'!P$40:P$46,'KM POR UNIDAD'!A20,'REYES LARA DANTE'!T$40:T$46)+SUMIF('RAMIREZ BAUTISTA ADRIAN'!P$40:P$46,'KM POR UNIDAD'!A20,'RAMIREZ BAUTISTA ADRIAN'!T$40:T$46)+SUMIF('FLORES BOJORQUEZ BRYAN OVED'!P$40:P$46,'KM POR UNIDAD'!A20,'FLORES BOJORQUEZ BRYAN OVED'!T$40:T$46)+SUMIF('BALDERRAMA ROBLES JORGE'!P$40:P$46,'KM POR UNIDAD'!A20,'BALDERRAMA ROBLES JORGE'!T$40:T$46)+SUMIF('BURGOS TORRES RIGOBERTO'!P$39:P$45,'KM POR UNIDAD'!A20,'BURGOS TORRES RIGOBERTO'!T$39:T$45)+SUMIF('CORDOVA URIBE JOSE  ADRIAN'!P$40:P$46,'KM POR UNIDAD'!A20,'CORDOVA URIBE JOSE  ADRIAN'!T$40:T$46)+SUMIF('GUZMAN CHAPARRO PEDRO'!P$40:P$46,'KM POR UNIDAD'!A20,'GUZMAN CHAPARRO PEDRO'!T$40:T$46)+SUMIF('HERNANDEZ LICANO JOSE LUIS'!P$40:P$46,'KM POR UNIDAD'!A20,'HERNANDEZ LICANO JOSE LUIS'!T$40:T$46)+SUMIF('CARRERA REYES MARTIN SEBASTIAN'!P$41:P$47,'KM POR UNIDAD'!A20,'CARRERA REYES MARTIN SEBASTIAN'!T$41:T$47)+SUMIF('RUIZ SAUCEDO DANIEL ALEJANDRO'!P$40:P$46,'KM POR UNIDAD'!A20,'RUIZ SAUCEDO DANIEL ALEJANDRO'!T$40:T$46)+SUMIF('MARTINEZ RAMIREZ ROSALIO'!P$40:P$46,'KM POR UNIDAD'!A20,'MARTINEZ RAMIREZ ROSALIO'!T$40:T$46)+SUMIF('BALLEZA RAMIREZ JESUS JOSE'!P$40:P$46,'KM POR UNIDAD'!A20,'BALLEZA RAMIREZ JESUS JOSE'!T$40:T$46)+SUMIF('MONTERO BURROLA LUIS'!P$38:P$44,'KM POR UNIDAD'!A20,'MONTERO BURROLA LUIS'!T$38:T$44)+SUMIF('AGUILERA CONTRERAS LUIS GERARDO'!P$41:P$47,'KM POR UNIDAD'!A20,'AGUILERA CONTRERAS LUIS GERARDO'!T$41:T$47)+SUMIF('MORALES LOPEZ DE LARA MARIANO'!P$40:P$46,'KM POR UNIDAD'!A20,'MORALES LOPEZ DE LARA MARIANO'!T$40:T$46)+SUMIF('MELENDEZ SINALOA MANUEL ARAT'!P$40:P$46,'KM POR UNIDAD'!A20,'MELENDEZ SINALOA MANUEL ARAT'!T$40:T$46)+SUMIF('MORALES LECHUGA GONZALO'!P$40:P$46,'KM POR UNIDAD'!A20,'MORALES LECHUGA GONZALO'!T$40:T$46)+SUMIF('ORONA BECERRA MAURO JOSE'!P$40:P$46,'KM POR UNIDAD'!A20,'ORONA BECERRA MAURO JOSE'!T$40:T$46)+SUMIF('VALLES HERNANDEZ MANUEL MARCELI'!P$39:P$45,'KM POR UNIDAD'!A20,'VALLES HERNANDEZ MANUEL MARCELI'!T$39:T$45)+SUMIF('ORTIZ RAMIREZ HECTOR MANUEL'!P$40:P$46,'KM POR UNIDAD'!A20,'ORTIZ RAMIREZ HECTOR MANUEL'!T$40:T$46)+SUMIF('ONTIVEROS LIRA JUAN'!P$40:P$446,'KM POR UNIDAD'!A20,'ONTIVEROS LIRA JUAN'!T$40:T$46)+SUMIF('RODRIGUEZ FLORES BRYAN DARIO'!P$40:P$46,'KM POR UNIDAD'!A20,'RODRIGUEZ FLORES BRYAN DARIO'!T$40:T$46)+SUMIF('NUÑEZ RUIZ IRVING JAVIER.'!P$42:P$48,'KM POR UNIDAD'!A20,'NUÑEZ RUIZ IRVING JAVIER.'!T$42:T$48)+SUMIF('MACHADO MAZUCA ADOLFO'!P$40:P$46,'KM POR UNIDAD'!A20,'MACHADO MAZUCA ADOLFO'!T$40:T$46)+SUMIF('LIRA ARCEO JOEL EDUARDO'!P$40:P$46,'KM POR UNIDAD'!A20,'LIRA ARCEO JOEL EDUARDO'!T$40:T$46)+SUMIF('ANCHONDO ROMERO CESAR ALEJANDRO'!P$40:P$46,'KM POR UNIDAD'!A20,'ANCHONDO ROMERO CESAR ALEJANDRO'!T$40:T$46)</f>
        <v>3900</v>
      </c>
      <c r="D20" s="150">
        <f>+SUMIF('AGUILAR ESQUIVEL CARLOS'!P$40:P$46,'KM POR UNIDAD'!A20,'AGUILAR ESQUIVEL CARLOS'!V$40:V$46)+SUMIF('AGUILAR RODRIGUEZ JORGE ALONSO'!P$40:P$46,'KM POR UNIDAD'!A20,'AGUILAR RODRIGUEZ JORGE ALONSO'!V$40:V$46)+SUMIF('REYES LARA DANTE'!P$40:P$46,'KM POR UNIDAD'!A20,'REYES LARA DANTE'!V$40:V$46)+SUMIF('RAMIREZ BAUTISTA ADRIAN'!P$40:P$46,'KM POR UNIDAD'!A20,'RAMIREZ BAUTISTA ADRIAN'!V$40:V$46)+SUMIF('FLORES BOJORQUEZ BRYAN OVED'!P$40:P$46,'KM POR UNIDAD'!A20,'FLORES BOJORQUEZ BRYAN OVED'!V$40:V$46)+SUMIF('BALDERRAMA ROBLES JORGE'!P$40:P$46,'KM POR UNIDAD'!A20,'BALDERRAMA ROBLES JORGE'!V$40:V$46)+SUMIF('BURGOS TORRES RIGOBERTO'!P$39:P$45,'KM POR UNIDAD'!A20,'BURGOS TORRES RIGOBERTO'!V$39:V$45)+SUMIF('CORDOVA URIBE JOSE  ADRIAN'!P$40:P$46,'KM POR UNIDAD'!A20,'CORDOVA URIBE JOSE  ADRIAN'!V$40:V$46)+SUMIF('GUZMAN CHAPARRO PEDRO'!P$40:P$46,'KM POR UNIDAD'!A20,'GUZMAN CHAPARRO PEDRO'!V$40:V$46)+SUMIF('HERNANDEZ LICANO JOSE LUIS'!P$40:P$46,'KM POR UNIDAD'!A20,'HERNANDEZ LICANO JOSE LUIS'!V$40:V$46)+SUMIF('CARRERA REYES MARTIN SEBASTIAN'!P$41:P$47,'KM POR UNIDAD'!A20,'CARRERA REYES MARTIN SEBASTIAN'!V$41:V$47)+SUMIF('RUIZ SAUCEDO DANIEL ALEJANDRO'!P$40:P$46,'KM POR UNIDAD'!A20,'RUIZ SAUCEDO DANIEL ALEJANDRO'!V$40:V$46)+SUMIF('MARTINEZ RAMIREZ ROSALIO'!P$40:P$46,'KM POR UNIDAD'!A20,'MARTINEZ RAMIREZ ROSALIO'!V$40:V$46)+SUMIF('BALLEZA RAMIREZ JESUS JOSE'!P$40:P$46,'KM POR UNIDAD'!A20,'BALLEZA RAMIREZ JESUS JOSE'!V$40:V$46)+SUMIF('MONTERO BURROLA LUIS'!P$38:P$44,'KM POR UNIDAD'!A20,'MONTERO BURROLA LUIS'!V$38:V$44)+SUMIF('AGUILERA CONTRERAS LUIS GERARDO'!P$41:P$47,'KM POR UNIDAD'!A20,'AGUILERA CONTRERAS LUIS GERARDO'!V$41:V$47)+SUMIF('MORALES LOPEZ DE LARA MARIANO'!P$40:P$46,'KM POR UNIDAD'!A20,'MORALES LOPEZ DE LARA MARIANO'!V$40:V$46)+SUMIF('MELENDEZ SINALOA MANUEL ARAT'!P$40:P$46,'KM POR UNIDAD'!A20,'MELENDEZ SINALOA MANUEL ARAT'!V$40:V$46)+SUMIF('MORALES LECHUGA GONZALO'!P$40:P$46,'KM POR UNIDAD'!A20,'MORALES LECHUGA GONZALO'!V$40:V$46)+SUMIF('ORONA BECERRA MAURO JOSE'!P$40:P$46,'KM POR UNIDAD'!A20,'ORONA BECERRA MAURO JOSE'!V$40:V$46)+SUMIF('VALLES HERNANDEZ MANUEL MARCELI'!P$39:P$45,'KM POR UNIDAD'!A20,'VALLES HERNANDEZ MANUEL MARCELI'!V$39:V$45)+SUMIF('ORTIZ RAMIREZ HECTOR MANUEL'!P$40:P$46,'KM POR UNIDAD'!A20,'ORTIZ RAMIREZ HECTOR MANUEL'!V$40:V$46)+SUMIF('ONTIVEROS LIRA JUAN'!P$40:P$46,'KM POR UNIDAD'!A20,'ONTIVEROS LIRA JUAN'!V$40:V$46)+SUMIF('RODRIGUEZ FLORES BRYAN DARIO'!P$40:P$46,'KM POR UNIDAD'!A20,'RODRIGUEZ FLORES BRYAN DARIO'!V$40:V$46)+SUMIF('NUÑEZ RUIZ IRVING JAVIER.'!P$42:P$48,'KM POR UNIDAD'!A20,'NUÑEZ RUIZ IRVING JAVIER.'!V$42:V$48)+SUMIF('MACHADO MAZUCA ADOLFO'!P$40:P$46,'KM POR UNIDAD'!A20,'MACHADO MAZUCA ADOLFO'!V$40:V$46)+SUMIF('LIRA ARCEO JOEL EDUARDO'!P$40:P$46,'KM POR UNIDAD'!A20,'LIRA ARCEO JOEL EDUARDO'!V$40:V$46)+SUMIF('ANCHONDO ROMERO CESAR ALEJANDRO'!P$40:P$46,'KM POR UNIDAD'!A20,'ANCHONDO ROMERO CESAR ALEJANDRO'!V$40:V$46)</f>
        <v>1107.6200000000001</v>
      </c>
      <c r="E20" s="145">
        <f t="shared" si="0"/>
        <v>3.6384319531969442</v>
      </c>
      <c r="F20" s="144"/>
      <c r="G20" s="146"/>
    </row>
    <row r="21" spans="1:12" x14ac:dyDescent="0.25">
      <c r="A21" s="143" t="s">
        <v>153</v>
      </c>
      <c r="B21" s="144">
        <f>+SUMIF('AGUILAR ESQUIVEL CARLOS'!P$40:P$46,'KM POR UNIDAD'!A21,'AGUILAR ESQUIVEL CARLOS'!U$40:U$46)+SUMIF('AGUILAR RODRIGUEZ JORGE ALONSO'!P$40:P$46,'KM POR UNIDAD'!A21,'AGUILAR RODRIGUEZ JORGE ALONSO'!U$40:U$46)+SUMIF('REYES LARA DANTE'!P$40:P$46,'KM POR UNIDAD'!A21,'REYES LARA DANTE'!U$40:U$46)+SUMIF('RAMIREZ BAUTISTA ADRIAN'!P$40:P$46,'KM POR UNIDAD'!A21,'RAMIREZ BAUTISTA ADRIAN'!U$40:U$46)+SUMIF('FLORES BOJORQUEZ BRYAN OVED'!P$40:P$46,'KM POR UNIDAD'!A21,'FLORES BOJORQUEZ BRYAN OVED'!U$40:U$46)+SUMIF('BALDERRAMA ROBLES JORGE'!P$40:P$46,'KM POR UNIDAD'!A21,'BALDERRAMA ROBLES JORGE'!U$40:U$46)+SUMIF('BURGOS TORRES RIGOBERTO'!P$39:P$45,'KM POR UNIDAD'!A21,'BURGOS TORRES RIGOBERTO'!U$39:U$45)+SUMIF('CORDOVA URIBE JOSE  ADRIAN'!P$40:P$46,'KM POR UNIDAD'!A21,'CORDOVA URIBE JOSE  ADRIAN'!U$40:U$46)+SUMIF('GUZMAN CHAPARRO PEDRO'!P$40:P$46,'KM POR UNIDAD'!A21,'GUZMAN CHAPARRO PEDRO'!U$40:U$46)+SUMIF('HERNANDEZ LICANO JOSE LUIS'!P$40:P$46,'KM POR UNIDAD'!A21,'HERNANDEZ LICANO JOSE LUIS'!U$40:U$46)+SUMIF('CARRERA REYES MARTIN SEBASTIAN'!P$41:P$47,'KM POR UNIDAD'!A21,'CARRERA REYES MARTIN SEBASTIAN'!U$41:U$47)+SUMIF('RUIZ SAUCEDO DANIEL ALEJANDRO'!P$40:P$46,'KM POR UNIDAD'!A21,'RUIZ SAUCEDO DANIEL ALEJANDRO'!U$40:U$46)+SUMIF('MARTINEZ RAMIREZ ROSALIO'!P$40:P$46,'KM POR UNIDAD'!A21,'MARTINEZ RAMIREZ ROSALIO'!U$40:U$46)+SUMIF('BALLEZA RAMIREZ JESUS JOSE'!P$40:P$46,'KM POR UNIDAD'!A21,'BALLEZA RAMIREZ JESUS JOSE'!U$40:U$46)+SUMIF('MONTERO BURROLA LUIS'!P$38:P$44,'KM POR UNIDAD'!A21,'MONTERO BURROLA LUIS'!U$38:U$44)+SUMIF('AGUILERA CONTRERAS LUIS GERARDO'!P$41:P$47,'KM POR UNIDAD'!A21,'AGUILERA CONTRERAS LUIS GERARDO'!U$41:U$47)+SUMIF('MORALES LOPEZ DE LARA MARIANO'!P$40:P$46,'KM POR UNIDAD'!A21,'MORALES LOPEZ DE LARA MARIANO'!U$40:U$46)+SUMIF('MELENDEZ SINALOA MANUEL ARAT'!P$40:P$46,'KM POR UNIDAD'!A21,'MELENDEZ SINALOA MANUEL ARAT'!U$40:U$46)+SUMIF('MORALES LECHUGA GONZALO'!P$40:P$46,'KM POR UNIDAD'!A21,'MORALES LECHUGA GONZALO'!U$40:U$46)+SUMIF('ORONA BECERRA MAURO JOSE'!P$40:P$46,'KM POR UNIDAD'!A21,'ORONA BECERRA MAURO JOSE'!U$40:U$46)+SUMIF('VALLES HERNANDEZ MANUEL MARCELI'!P$39:P$45,'KM POR UNIDAD'!A21,'VALLES HERNANDEZ MANUEL MARCELI'!U$39:U$45)+SUMIF('ORTIZ RAMIREZ HECTOR MANUEL'!P$40:P$46,'KM POR UNIDAD'!A21,'ORTIZ RAMIREZ HECTOR MANUEL'!U$40:U$46)+SUMIF('ONTIVEROS LIRA JUAN'!P$40:P$46,'KM POR UNIDAD'!A21,'ONTIVEROS LIRA JUAN'!U$40:U$46)+SUMIF('RODRIGUEZ FLORES BRYAN DARIO'!P$40:P$46,'KM POR UNIDAD'!A21,'RODRIGUEZ FLORES BRYAN DARIO'!U$40:U$46)+SUMIF('NUÑEZ RUIZ IRVING JAVIER.'!P$42:P$48,'KM POR UNIDAD'!A21,'NUÑEZ RUIZ IRVING JAVIER.'!U$42:U$48)+SUMIF('MACHADO MAZUCA ADOLFO'!P$40:P$46,'KM POR UNIDAD'!A21,'MACHADO MAZUCA ADOLFO'!U$40:U$46)+SUMIF('LIRA ARCEO JOEL EDUARDO'!P$40:P$46,'KM POR UNIDAD'!A21,'LIRA ARCEO JOEL EDUARDO'!U$40:U$46)+SUMIF('ANCHONDO ROMERO CESAR ALEJANDRO'!P$40:P$46,'KM POR UNIDAD'!A21,'ANCHONDO ROMERO CESAR ALEJANDRO'!U$40:U$46)</f>
        <v>4550</v>
      </c>
      <c r="C21" s="150">
        <f ca="1">+SUMIF('AGUILAR ESQUIVEL CARLOS'!P$40:P$46,'KM POR UNIDAD'!A21,'AGUILAR ESQUIVEL CARLOS'!T$40:T$46)+SUMIF('AGUILAR RODRIGUEZ JORGE ALONSO'!P$40:P$46,'KM POR UNIDAD'!A21,'AGUILAR RODRIGUEZ JORGE ALONSO'!T$40:T$46)+SUMIF('REYES LARA DANTE'!P$40:P$46,'KM POR UNIDAD'!A21,'REYES LARA DANTE'!T$40:T$46)+SUMIF('RAMIREZ BAUTISTA ADRIAN'!P$40:P$46,'KM POR UNIDAD'!A21,'RAMIREZ BAUTISTA ADRIAN'!T$40:T$46)+SUMIF('FLORES BOJORQUEZ BRYAN OVED'!P$40:P$46,'KM POR UNIDAD'!A21,'FLORES BOJORQUEZ BRYAN OVED'!T$40:T$46)+SUMIF('BALDERRAMA ROBLES JORGE'!P$40:P$46,'KM POR UNIDAD'!A21,'BALDERRAMA ROBLES JORGE'!T$40:T$46)+SUMIF('BURGOS TORRES RIGOBERTO'!P$39:P$45,'KM POR UNIDAD'!A21,'BURGOS TORRES RIGOBERTO'!T$39:T$45)+SUMIF('CORDOVA URIBE JOSE  ADRIAN'!P$40:P$46,'KM POR UNIDAD'!A21,'CORDOVA URIBE JOSE  ADRIAN'!T$40:T$46)+SUMIF('GUZMAN CHAPARRO PEDRO'!P$40:P$46,'KM POR UNIDAD'!A21,'GUZMAN CHAPARRO PEDRO'!T$40:T$46)+SUMIF('HERNANDEZ LICANO JOSE LUIS'!P$40:P$46,'KM POR UNIDAD'!A21,'HERNANDEZ LICANO JOSE LUIS'!T$40:T$46)+SUMIF('CARRERA REYES MARTIN SEBASTIAN'!P$41:P$47,'KM POR UNIDAD'!A21,'CARRERA REYES MARTIN SEBASTIAN'!T$41:T$47)+SUMIF('RUIZ SAUCEDO DANIEL ALEJANDRO'!P$40:P$46,'KM POR UNIDAD'!A21,'RUIZ SAUCEDO DANIEL ALEJANDRO'!T$40:T$46)+SUMIF('MARTINEZ RAMIREZ ROSALIO'!P$40:P$46,'KM POR UNIDAD'!A21,'MARTINEZ RAMIREZ ROSALIO'!T$40:T$46)+SUMIF('BALLEZA RAMIREZ JESUS JOSE'!P$40:P$46,'KM POR UNIDAD'!A21,'BALLEZA RAMIREZ JESUS JOSE'!T$40:T$46)+SUMIF('MONTERO BURROLA LUIS'!P$38:P$44,'KM POR UNIDAD'!A21,'MONTERO BURROLA LUIS'!T$38:T$44)+SUMIF('AGUILERA CONTRERAS LUIS GERARDO'!P$41:P$47,'KM POR UNIDAD'!A21,'AGUILERA CONTRERAS LUIS GERARDO'!T$41:T$47)+SUMIF('MORALES LOPEZ DE LARA MARIANO'!P$40:P$46,'KM POR UNIDAD'!A21,'MORALES LOPEZ DE LARA MARIANO'!T$40:T$46)+SUMIF('MELENDEZ SINALOA MANUEL ARAT'!P$40:P$46,'KM POR UNIDAD'!A21,'MELENDEZ SINALOA MANUEL ARAT'!T$40:T$46)+SUMIF('MORALES LECHUGA GONZALO'!P$40:P$46,'KM POR UNIDAD'!A21,'MORALES LECHUGA GONZALO'!T$40:T$46)+SUMIF('ORONA BECERRA MAURO JOSE'!P$40:P$46,'KM POR UNIDAD'!A21,'ORONA BECERRA MAURO JOSE'!T$40:T$46)+SUMIF('VALLES HERNANDEZ MANUEL MARCELI'!P$39:P$45,'KM POR UNIDAD'!A21,'VALLES HERNANDEZ MANUEL MARCELI'!T$39:T$45)+SUMIF('ORTIZ RAMIREZ HECTOR MANUEL'!P$40:P$46,'KM POR UNIDAD'!A21,'ORTIZ RAMIREZ HECTOR MANUEL'!T$40:T$46)+SUMIF('ONTIVEROS LIRA JUAN'!P$40:P$446,'KM POR UNIDAD'!A21,'ONTIVEROS LIRA JUAN'!T$40:T$46)+SUMIF('RODRIGUEZ FLORES BRYAN DARIO'!P$40:P$46,'KM POR UNIDAD'!A21,'RODRIGUEZ FLORES BRYAN DARIO'!T$40:T$46)+SUMIF('NUÑEZ RUIZ IRVING JAVIER.'!P$42:P$48,'KM POR UNIDAD'!A21,'NUÑEZ RUIZ IRVING JAVIER.'!T$42:T$48)+SUMIF('MACHADO MAZUCA ADOLFO'!P$40:P$46,'KM POR UNIDAD'!A21,'MACHADO MAZUCA ADOLFO'!T$40:T$46)+SUMIF('LIRA ARCEO JOEL EDUARDO'!P$40:P$46,'KM POR UNIDAD'!A21,'LIRA ARCEO JOEL EDUARDO'!T$40:T$46)+SUMIF('ANCHONDO ROMERO CESAR ALEJANDRO'!P$40:P$46,'KM POR UNIDAD'!A21,'ANCHONDO ROMERO CESAR ALEJANDRO'!T$40:T$46)</f>
        <v>4405</v>
      </c>
      <c r="D21" s="150">
        <f>+SUMIF('AGUILAR ESQUIVEL CARLOS'!P$40:P$46,'KM POR UNIDAD'!A21,'AGUILAR ESQUIVEL CARLOS'!V$40:V$46)+SUMIF('AGUILAR RODRIGUEZ JORGE ALONSO'!P$40:P$46,'KM POR UNIDAD'!A21,'AGUILAR RODRIGUEZ JORGE ALONSO'!V$40:V$46)+SUMIF('REYES LARA DANTE'!P$40:P$46,'KM POR UNIDAD'!A21,'REYES LARA DANTE'!V$40:V$46)+SUMIF('RAMIREZ BAUTISTA ADRIAN'!P$40:P$46,'KM POR UNIDAD'!A21,'RAMIREZ BAUTISTA ADRIAN'!V$40:V$46)+SUMIF('FLORES BOJORQUEZ BRYAN OVED'!P$40:P$46,'KM POR UNIDAD'!A21,'FLORES BOJORQUEZ BRYAN OVED'!V$40:V$46)+SUMIF('BALDERRAMA ROBLES JORGE'!P$40:P$46,'KM POR UNIDAD'!A21,'BALDERRAMA ROBLES JORGE'!V$40:V$46)+SUMIF('BURGOS TORRES RIGOBERTO'!P$39:P$45,'KM POR UNIDAD'!A21,'BURGOS TORRES RIGOBERTO'!V$39:V$45)+SUMIF('CORDOVA URIBE JOSE  ADRIAN'!P$40:P$46,'KM POR UNIDAD'!A21,'CORDOVA URIBE JOSE  ADRIAN'!V$40:V$46)+SUMIF('GUZMAN CHAPARRO PEDRO'!P$40:P$46,'KM POR UNIDAD'!A21,'GUZMAN CHAPARRO PEDRO'!V$40:V$46)+SUMIF('HERNANDEZ LICANO JOSE LUIS'!P$40:P$46,'KM POR UNIDAD'!A21,'HERNANDEZ LICANO JOSE LUIS'!V$40:V$46)+SUMIF('CARRERA REYES MARTIN SEBASTIAN'!P$41:P$47,'KM POR UNIDAD'!A21,'CARRERA REYES MARTIN SEBASTIAN'!V$41:V$47)+SUMIF('RUIZ SAUCEDO DANIEL ALEJANDRO'!P$40:P$46,'KM POR UNIDAD'!A21,'RUIZ SAUCEDO DANIEL ALEJANDRO'!V$40:V$46)+SUMIF('MARTINEZ RAMIREZ ROSALIO'!P$40:P$46,'KM POR UNIDAD'!A21,'MARTINEZ RAMIREZ ROSALIO'!V$40:V$46)+SUMIF('BALLEZA RAMIREZ JESUS JOSE'!P$40:P$46,'KM POR UNIDAD'!A21,'BALLEZA RAMIREZ JESUS JOSE'!V$40:V$46)+SUMIF('MONTERO BURROLA LUIS'!P$38:P$44,'KM POR UNIDAD'!A21,'MONTERO BURROLA LUIS'!V$38:V$44)+SUMIF('AGUILERA CONTRERAS LUIS GERARDO'!P$41:P$47,'KM POR UNIDAD'!A21,'AGUILERA CONTRERAS LUIS GERARDO'!V$41:V$47)+SUMIF('MORALES LOPEZ DE LARA MARIANO'!P$40:P$46,'KM POR UNIDAD'!A21,'MORALES LOPEZ DE LARA MARIANO'!V$40:V$46)+SUMIF('MELENDEZ SINALOA MANUEL ARAT'!P$40:P$46,'KM POR UNIDAD'!A21,'MELENDEZ SINALOA MANUEL ARAT'!V$40:V$46)+SUMIF('MORALES LECHUGA GONZALO'!P$40:P$46,'KM POR UNIDAD'!A21,'MORALES LECHUGA GONZALO'!V$40:V$46)+SUMIF('ORONA BECERRA MAURO JOSE'!P$40:P$46,'KM POR UNIDAD'!A21,'ORONA BECERRA MAURO JOSE'!V$40:V$46)+SUMIF('VALLES HERNANDEZ MANUEL MARCELI'!P$39:P$45,'KM POR UNIDAD'!A21,'VALLES HERNANDEZ MANUEL MARCELI'!V$39:V$45)+SUMIF('ORTIZ RAMIREZ HECTOR MANUEL'!P$40:P$46,'KM POR UNIDAD'!A21,'ORTIZ RAMIREZ HECTOR MANUEL'!V$40:V$46)+SUMIF('ONTIVEROS LIRA JUAN'!P$40:P$46,'KM POR UNIDAD'!A21,'ONTIVEROS LIRA JUAN'!V$40:V$46)+SUMIF('RODRIGUEZ FLORES BRYAN DARIO'!P$40:P$46,'KM POR UNIDAD'!A21,'RODRIGUEZ FLORES BRYAN DARIO'!V$40:V$46)+SUMIF('NUÑEZ RUIZ IRVING JAVIER.'!P$42:P$48,'KM POR UNIDAD'!A21,'NUÑEZ RUIZ IRVING JAVIER.'!V$42:V$48)+SUMIF('MACHADO MAZUCA ADOLFO'!P$40:P$46,'KM POR UNIDAD'!A21,'MACHADO MAZUCA ADOLFO'!V$40:V$46)+SUMIF('LIRA ARCEO JOEL EDUARDO'!P$40:P$46,'KM POR UNIDAD'!A21,'LIRA ARCEO JOEL EDUARDO'!V$40:V$46)+SUMIF('ANCHONDO ROMERO CESAR ALEJANDRO'!P$40:P$46,'KM POR UNIDAD'!A21,'ANCHONDO ROMERO CESAR ALEJANDRO'!V$40:V$46)</f>
        <v>1119.2800000000002</v>
      </c>
      <c r="E21" s="145">
        <f t="shared" si="0"/>
        <v>4.0651132871131432</v>
      </c>
      <c r="F21" s="144" t="e">
        <f ca="1">+SUMIF('AGUILAR ESQUIVEL CARLOS'!P$40:P$46,'KM POR UNIDAD'!A21,'AGUILAR ESQUIVEL CARLOS'!W$40:W$46)+SUMIF('AGUILAR RODRIGUEZ JORGE ALONSO'!P$40:P$46,'KM POR UNIDAD'!A21,'AGUILAR RODRIGUEZ JORGE ALONSO'!W$40:W$46)+SUMIF('REYES LARA DANTE'!T$40:T$46,'KM POR UNIDAD'!A21,'REYES LARA DANTE'!Y$40:Y$46)+SUMIF('RAMIREZ BAUTISTA ADRIAN'!T$40:T$46,'KM POR UNIDAD'!A21,'RAMIREZ BAUTISTA ADRIAN'!Y$40:Y$46)+SUMIF('FLORES BOJORQUEZ BRYAN OVED'!T$40:T$46,'KM POR UNIDAD'!A21,'FLORES BOJORQUEZ BRYAN OVED'!Y$40:Y$46)+SUMIF('BALDERRAMA ROBLES JORGE'!T$40:T$46,'KM POR UNIDAD'!A21,'BALDERRAMA ROBLES JORGE'!#REF!)+SUMIF('BURGOS TORRES RIGOBERTO'!T$39:T$45,'KM POR UNIDAD'!A21,'BURGOS TORRES RIGOBERTO'!Y$39:Y$45)+SUMIF('CORDOVA URIBE JOSE  ADRIAN'!T$40:T$46,'KM POR UNIDAD'!E21,'CORDOVA URIBE JOSE  ADRIAN'!Y$40:Y$46)+SUMIF('GUZMAN CHAPARRO PEDRO'!T$40:T$46,'KM POR UNIDAD'!E21,'GUZMAN CHAPARRO PEDRO'!Y$40:Y$46)+SUMIF('HERNANDEZ LICANO JOSE LUIS'!T$40:T$46,'KM POR UNIDAD'!E21,'HERNANDEZ LICANO JOSE LUIS'!#REF!)+SUMIF('CARRERA REYES MARTIN SEBASTIAN'!T$41:T$47,'KM POR UNIDAD'!E21,'CARRERA REYES MARTIN SEBASTIAN'!Y$41:Y$47)+SUMIF('RUIZ SAUCEDO DANIEL ALEJANDRO'!T$40:T$46,'KM POR UNIDAD'!E21,'RUIZ SAUCEDO DANIEL ALEJANDRO'!Y$40:Y$46)+SUMIF('MARTINEZ RAMIREZ ROSALIO'!T$40:T$46,'KM POR UNIDAD'!E21,'MARTINEZ RAMIREZ ROSALIO'!Y$40:Y$46)+SUMIF('BALLEZA RAMIREZ JESUS JOSE'!T$40:T$46,'KM POR UNIDAD'!E21,'BALLEZA RAMIREZ JESUS JOSE'!T$176:T$180)+SUMIF('MONTERO BURROLA LUIS'!T$38:T$44,'KM POR UNIDAD'!E21,'MONTERO BURROLA LUIS'!Y$38:Y$44)+SUMIF('AGUILERA CONTRERAS LUIS GERARDO'!T$41:T$47,'KM POR UNIDAD'!E21,'AGUILERA CONTRERAS LUIS GERARDO'!Y$41:Y$47)+SUMIF('MORALES LOPEZ DE LARA MARIANO'!T$40:T$46,'KM POR UNIDAD'!E21,'MORALES LOPEZ DE LARA MARIANO'!Y$40:Y$46)+SUMIF('MELENDEZ SINALOA MANUEL ARAT'!T$40:T$46,'KM POR UNIDAD'!E21,'MELENDEZ SINALOA MANUEL ARAT'!#REF!)+SUMIF('MORALES LECHUGA GONZALO'!T$40:T$46,'KM POR UNIDAD'!E21,'MORALES LECHUGA GONZALO'!Y$40:Y$46)+SUMIF('ORONA BECERRA MAURO JOSE'!T$40:T$46,'KM POR UNIDAD'!E21,'ORONA BECERRA MAURO JOSE'!Y$40:Y$46)+SUMIF('VALLES HERNANDEZ MANUEL MARCELI'!T$39:T$45,'KM POR UNIDAD'!E21,'VALLES HERNANDEZ MANUEL MARCELI'!Y$39:Y$45)+SUMIF('ORTIZ RAMIREZ HECTOR MANUEL'!T$40:T$46,'KM POR UNIDAD'!E21,'ORTIZ RAMIREZ HECTOR MANUEL'!Y$40:Y$46)+SUMIF('ONTIVEROS LIRA JUAN'!T$40:T$46,'KM POR UNIDAD'!E21,'ONTIVEROS LIRA JUAN'!Y$40:Y$46)+SUMIF('RODRIGUEZ FLORES BRYAN DARIO'!T$40:T$46,'KM POR UNIDAD'!E21,'RODRIGUEZ FLORES BRYAN DARIO'!Y$40:Y$46)+SUMIF('NUÑEZ RUIZ IRVING JAVIER.'!T$42:T$48,'KM POR UNIDAD'!E21,'NUÑEZ RUIZ IRVING JAVIER.'!Y$42:Y$48)+SUMIF('MACHADO MAZUCA ADOLFO'!T$40:T$46,'KM POR UNIDAD'!E21,'MACHADO MAZUCA ADOLFO'!Y$40:Y$46)+SUMIF('LIRA ARCEO JOEL EDUARDO'!T$40:T$46,'KM POR UNIDAD'!E21,'LIRA ARCEO JOEL EDUARDO'!Y$41:Y$46)+SUMIF('ANCHONDO ROMERO CESAR ALEJANDRO'!T$40:T$46,'KM POR UNIDAD'!E21,'ANCHONDO ROMERO CESAR ALEJANDRO'!Y$40:Y$46)</f>
        <v>#REF!</v>
      </c>
      <c r="G21" s="146"/>
    </row>
    <row r="22" spans="1:12" x14ac:dyDescent="0.25">
      <c r="A22" s="143" t="s">
        <v>154</v>
      </c>
      <c r="B22" s="144">
        <f>+SUMIF('AGUILAR ESQUIVEL CARLOS'!P$40:P$46,'KM POR UNIDAD'!A22,'AGUILAR ESQUIVEL CARLOS'!U$40:U$46)+SUMIF('AGUILAR RODRIGUEZ JORGE ALONSO'!P$40:P$46,'KM POR UNIDAD'!A22,'AGUILAR RODRIGUEZ JORGE ALONSO'!U$40:U$46)+SUMIF('REYES LARA DANTE'!P$40:P$46,'KM POR UNIDAD'!A22,'REYES LARA DANTE'!U$40:U$46)+SUMIF('RAMIREZ BAUTISTA ADRIAN'!P$40:P$46,'KM POR UNIDAD'!A22,'RAMIREZ BAUTISTA ADRIAN'!U$40:U$46)+SUMIF('FLORES BOJORQUEZ BRYAN OVED'!P$40:P$46,'KM POR UNIDAD'!A22,'FLORES BOJORQUEZ BRYAN OVED'!U$40:U$46)+SUMIF('BALDERRAMA ROBLES JORGE'!P$40:P$46,'KM POR UNIDAD'!A22,'BALDERRAMA ROBLES JORGE'!U$40:U$46)+SUMIF('BURGOS TORRES RIGOBERTO'!P$39:P$45,'KM POR UNIDAD'!A22,'BURGOS TORRES RIGOBERTO'!U$39:U$45)+SUMIF('CORDOVA URIBE JOSE  ADRIAN'!P$40:P$46,'KM POR UNIDAD'!A22,'CORDOVA URIBE JOSE  ADRIAN'!U$40:U$46)+SUMIF('GUZMAN CHAPARRO PEDRO'!P$40:P$46,'KM POR UNIDAD'!A22,'GUZMAN CHAPARRO PEDRO'!U$40:U$46)+SUMIF('HERNANDEZ LICANO JOSE LUIS'!P$40:P$46,'KM POR UNIDAD'!A22,'HERNANDEZ LICANO JOSE LUIS'!U$40:U$46)+SUMIF('CARRERA REYES MARTIN SEBASTIAN'!P$41:P$47,'KM POR UNIDAD'!A22,'CARRERA REYES MARTIN SEBASTIAN'!U$41:U$47)+SUMIF('RUIZ SAUCEDO DANIEL ALEJANDRO'!P$40:P$46,'KM POR UNIDAD'!A22,'RUIZ SAUCEDO DANIEL ALEJANDRO'!U$40:U$46)+SUMIF('MARTINEZ RAMIREZ ROSALIO'!P$40:P$46,'KM POR UNIDAD'!A22,'MARTINEZ RAMIREZ ROSALIO'!U$40:U$46)+SUMIF('BALLEZA RAMIREZ JESUS JOSE'!P$40:P$46,'KM POR UNIDAD'!A22,'BALLEZA RAMIREZ JESUS JOSE'!U$40:U$46)+SUMIF('MONTERO BURROLA LUIS'!P$38:P$44,'KM POR UNIDAD'!A22,'MONTERO BURROLA LUIS'!U$38:U$44)+SUMIF('AGUILERA CONTRERAS LUIS GERARDO'!P$41:P$47,'KM POR UNIDAD'!A22,'AGUILERA CONTRERAS LUIS GERARDO'!U$41:U$47)+SUMIF('MORALES LOPEZ DE LARA MARIANO'!P$40:P$46,'KM POR UNIDAD'!A22,'MORALES LOPEZ DE LARA MARIANO'!U$40:U$46)+SUMIF('MELENDEZ SINALOA MANUEL ARAT'!P$40:P$46,'KM POR UNIDAD'!A22,'MELENDEZ SINALOA MANUEL ARAT'!U$40:U$46)+SUMIF('MORALES LECHUGA GONZALO'!P$40:P$46,'KM POR UNIDAD'!A22,'MORALES LECHUGA GONZALO'!U$40:U$46)+SUMIF('ORONA BECERRA MAURO JOSE'!P$40:P$46,'KM POR UNIDAD'!A22,'ORONA BECERRA MAURO JOSE'!U$40:U$46)+SUMIF('VALLES HERNANDEZ MANUEL MARCELI'!P$39:P$45,'KM POR UNIDAD'!A22,'VALLES HERNANDEZ MANUEL MARCELI'!U$39:U$45)+SUMIF('ORTIZ RAMIREZ HECTOR MANUEL'!P$40:P$46,'KM POR UNIDAD'!A22,'ORTIZ RAMIREZ HECTOR MANUEL'!U$40:U$46)+SUMIF('ONTIVEROS LIRA JUAN'!P$40:P$46,'KM POR UNIDAD'!A22,'ONTIVEROS LIRA JUAN'!U$40:U$46)+SUMIF('RODRIGUEZ FLORES BRYAN DARIO'!P$40:P$46,'KM POR UNIDAD'!A22,'RODRIGUEZ FLORES BRYAN DARIO'!U$40:U$46)+SUMIF('NUÑEZ RUIZ IRVING JAVIER.'!P$42:P$48,'KM POR UNIDAD'!A22,'NUÑEZ RUIZ IRVING JAVIER.'!U$42:U$48)+SUMIF('MACHADO MAZUCA ADOLFO'!P$40:P$46,'KM POR UNIDAD'!A22,'MACHADO MAZUCA ADOLFO'!U$40:U$46)+SUMIF('LIRA ARCEO JOEL EDUARDO'!P$40:P$46,'KM POR UNIDAD'!A22,'LIRA ARCEO JOEL EDUARDO'!U$40:U$46)+SUMIF('ANCHONDO ROMERO CESAR ALEJANDRO'!P$40:P$46,'KM POR UNIDAD'!A22,'ANCHONDO ROMERO CESAR ALEJANDRO'!U$40:U$46)</f>
        <v>3357</v>
      </c>
      <c r="C22" s="150">
        <f ca="1">+SUMIF('AGUILAR ESQUIVEL CARLOS'!P$40:P$46,'KM POR UNIDAD'!A22,'AGUILAR ESQUIVEL CARLOS'!T$40:T$46)+SUMIF('AGUILAR RODRIGUEZ JORGE ALONSO'!P$40:P$46,'KM POR UNIDAD'!A22,'AGUILAR RODRIGUEZ JORGE ALONSO'!T$40:T$46)+SUMIF('REYES LARA DANTE'!P$40:P$46,'KM POR UNIDAD'!A22,'REYES LARA DANTE'!T$40:T$46)+SUMIF('RAMIREZ BAUTISTA ADRIAN'!P$40:P$46,'KM POR UNIDAD'!A22,'RAMIREZ BAUTISTA ADRIAN'!T$40:T$46)+SUMIF('FLORES BOJORQUEZ BRYAN OVED'!P$40:P$46,'KM POR UNIDAD'!A22,'FLORES BOJORQUEZ BRYAN OVED'!T$40:T$46)+SUMIF('BALDERRAMA ROBLES JORGE'!P$40:P$46,'KM POR UNIDAD'!A22,'BALDERRAMA ROBLES JORGE'!T$40:T$46)+SUMIF('BURGOS TORRES RIGOBERTO'!P$39:P$45,'KM POR UNIDAD'!A22,'BURGOS TORRES RIGOBERTO'!T$39:T$45)+SUMIF('CORDOVA URIBE JOSE  ADRIAN'!P$40:P$46,'KM POR UNIDAD'!A22,'CORDOVA URIBE JOSE  ADRIAN'!T$40:T$46)+SUMIF('GUZMAN CHAPARRO PEDRO'!P$40:P$46,'KM POR UNIDAD'!A22,'GUZMAN CHAPARRO PEDRO'!T$40:T$46)+SUMIF('HERNANDEZ LICANO JOSE LUIS'!P$40:P$46,'KM POR UNIDAD'!A22,'HERNANDEZ LICANO JOSE LUIS'!T$40:T$46)+SUMIF('CARRERA REYES MARTIN SEBASTIAN'!P$41:P$47,'KM POR UNIDAD'!A22,'CARRERA REYES MARTIN SEBASTIAN'!T$41:T$47)+SUMIF('RUIZ SAUCEDO DANIEL ALEJANDRO'!P$40:P$46,'KM POR UNIDAD'!A22,'RUIZ SAUCEDO DANIEL ALEJANDRO'!T$40:T$46)+SUMIF('MARTINEZ RAMIREZ ROSALIO'!P$40:P$46,'KM POR UNIDAD'!A22,'MARTINEZ RAMIREZ ROSALIO'!T$40:T$46)+SUMIF('BALLEZA RAMIREZ JESUS JOSE'!P$40:P$46,'KM POR UNIDAD'!A22,'BALLEZA RAMIREZ JESUS JOSE'!T$40:T$46)+SUMIF('MONTERO BURROLA LUIS'!P$38:P$44,'KM POR UNIDAD'!A22,'MONTERO BURROLA LUIS'!T$38:T$44)+SUMIF('AGUILERA CONTRERAS LUIS GERARDO'!P$41:P$47,'KM POR UNIDAD'!A22,'AGUILERA CONTRERAS LUIS GERARDO'!T$41:T$47)+SUMIF('MORALES LOPEZ DE LARA MARIANO'!P$40:P$46,'KM POR UNIDAD'!A22,'MORALES LOPEZ DE LARA MARIANO'!T$40:T$46)+SUMIF('MELENDEZ SINALOA MANUEL ARAT'!P$40:P$46,'KM POR UNIDAD'!A22,'MELENDEZ SINALOA MANUEL ARAT'!T$40:T$46)+SUMIF('MORALES LECHUGA GONZALO'!P$40:P$46,'KM POR UNIDAD'!A22,'MORALES LECHUGA GONZALO'!T$40:T$46)+SUMIF('ORONA BECERRA MAURO JOSE'!P$40:P$46,'KM POR UNIDAD'!A22,'ORONA BECERRA MAURO JOSE'!T$40:T$46)+SUMIF('VALLES HERNANDEZ MANUEL MARCELI'!P$39:P$45,'KM POR UNIDAD'!A22,'VALLES HERNANDEZ MANUEL MARCELI'!T$39:T$45)+SUMIF('ORTIZ RAMIREZ HECTOR MANUEL'!P$40:P$46,'KM POR UNIDAD'!A22,'ORTIZ RAMIREZ HECTOR MANUEL'!T$40:T$46)+SUMIF('ONTIVEROS LIRA JUAN'!P$40:P$446,'KM POR UNIDAD'!A22,'ONTIVEROS LIRA JUAN'!T$40:T$46)+SUMIF('RODRIGUEZ FLORES BRYAN DARIO'!P$40:P$46,'KM POR UNIDAD'!A22,'RODRIGUEZ FLORES BRYAN DARIO'!T$40:T$46)+SUMIF('NUÑEZ RUIZ IRVING JAVIER.'!P$42:P$48,'KM POR UNIDAD'!A22,'NUÑEZ RUIZ IRVING JAVIER.'!T$42:T$48)+SUMIF('MACHADO MAZUCA ADOLFO'!P$40:P$46,'KM POR UNIDAD'!A22,'MACHADO MAZUCA ADOLFO'!T$40:T$46)+SUMIF('LIRA ARCEO JOEL EDUARDO'!P$40:P$46,'KM POR UNIDAD'!A22,'LIRA ARCEO JOEL EDUARDO'!T$40:T$46)+SUMIF('ANCHONDO ROMERO CESAR ALEJANDRO'!P$40:P$46,'KM POR UNIDAD'!A22,'ANCHONDO ROMERO CESAR ALEJANDRO'!T$40:T$46)</f>
        <v>3434</v>
      </c>
      <c r="D22" s="150">
        <f>+SUMIF('AGUILAR ESQUIVEL CARLOS'!P$40:P$46,'KM POR UNIDAD'!A22,'AGUILAR ESQUIVEL CARLOS'!V$40:V$46)+SUMIF('AGUILAR RODRIGUEZ JORGE ALONSO'!P$40:P$46,'KM POR UNIDAD'!A22,'AGUILAR RODRIGUEZ JORGE ALONSO'!V$40:V$46)+SUMIF('REYES LARA DANTE'!P$40:P$46,'KM POR UNIDAD'!A22,'REYES LARA DANTE'!V$40:V$46)+SUMIF('RAMIREZ BAUTISTA ADRIAN'!P$40:P$46,'KM POR UNIDAD'!A22,'RAMIREZ BAUTISTA ADRIAN'!V$40:V$46)+SUMIF('FLORES BOJORQUEZ BRYAN OVED'!P$40:P$46,'KM POR UNIDAD'!A22,'FLORES BOJORQUEZ BRYAN OVED'!V$40:V$46)+SUMIF('BALDERRAMA ROBLES JORGE'!P$40:P$46,'KM POR UNIDAD'!A22,'BALDERRAMA ROBLES JORGE'!V$40:V$46)+SUMIF('BURGOS TORRES RIGOBERTO'!P$39:P$45,'KM POR UNIDAD'!A22,'BURGOS TORRES RIGOBERTO'!V$39:V$45)+SUMIF('CORDOVA URIBE JOSE  ADRIAN'!P$40:P$46,'KM POR UNIDAD'!A22,'CORDOVA URIBE JOSE  ADRIAN'!V$40:V$46)+SUMIF('GUZMAN CHAPARRO PEDRO'!P$40:P$46,'KM POR UNIDAD'!A22,'GUZMAN CHAPARRO PEDRO'!V$40:V$46)+SUMIF('HERNANDEZ LICANO JOSE LUIS'!P$40:P$46,'KM POR UNIDAD'!A22,'HERNANDEZ LICANO JOSE LUIS'!V$40:V$46)+SUMIF('CARRERA REYES MARTIN SEBASTIAN'!P$41:P$47,'KM POR UNIDAD'!A22,'CARRERA REYES MARTIN SEBASTIAN'!V$41:V$47)+SUMIF('RUIZ SAUCEDO DANIEL ALEJANDRO'!P$40:P$46,'KM POR UNIDAD'!A22,'RUIZ SAUCEDO DANIEL ALEJANDRO'!V$40:V$46)+SUMIF('MARTINEZ RAMIREZ ROSALIO'!P$40:P$46,'KM POR UNIDAD'!A22,'MARTINEZ RAMIREZ ROSALIO'!V$40:V$46)+SUMIF('BALLEZA RAMIREZ JESUS JOSE'!P$40:P$46,'KM POR UNIDAD'!A22,'BALLEZA RAMIREZ JESUS JOSE'!V$40:V$46)+SUMIF('MONTERO BURROLA LUIS'!P$38:P$44,'KM POR UNIDAD'!A22,'MONTERO BURROLA LUIS'!V$38:V$44)+SUMIF('AGUILERA CONTRERAS LUIS GERARDO'!P$41:P$47,'KM POR UNIDAD'!A22,'AGUILERA CONTRERAS LUIS GERARDO'!V$41:V$47)+SUMIF('MORALES LOPEZ DE LARA MARIANO'!P$40:P$46,'KM POR UNIDAD'!A22,'MORALES LOPEZ DE LARA MARIANO'!V$40:V$46)+SUMIF('MELENDEZ SINALOA MANUEL ARAT'!P$40:P$46,'KM POR UNIDAD'!A22,'MELENDEZ SINALOA MANUEL ARAT'!V$40:V$46)+SUMIF('MORALES LECHUGA GONZALO'!P$40:P$46,'KM POR UNIDAD'!A22,'MORALES LECHUGA GONZALO'!V$40:V$46)+SUMIF('ORONA BECERRA MAURO JOSE'!P$40:P$46,'KM POR UNIDAD'!A22,'ORONA BECERRA MAURO JOSE'!V$40:V$46)+SUMIF('VALLES HERNANDEZ MANUEL MARCELI'!P$39:P$45,'KM POR UNIDAD'!A22,'VALLES HERNANDEZ MANUEL MARCELI'!V$39:V$45)+SUMIF('ORTIZ RAMIREZ HECTOR MANUEL'!P$40:P$46,'KM POR UNIDAD'!A22,'ORTIZ RAMIREZ HECTOR MANUEL'!V$40:V$46)+SUMIF('ONTIVEROS LIRA JUAN'!P$40:P$46,'KM POR UNIDAD'!A22,'ONTIVEROS LIRA JUAN'!V$40:V$46)+SUMIF('RODRIGUEZ FLORES BRYAN DARIO'!P$40:P$46,'KM POR UNIDAD'!A22,'RODRIGUEZ FLORES BRYAN DARIO'!V$40:V$46)+SUMIF('NUÑEZ RUIZ IRVING JAVIER.'!P$42:P$48,'KM POR UNIDAD'!A22,'NUÑEZ RUIZ IRVING JAVIER.'!V$42:V$48)+SUMIF('MACHADO MAZUCA ADOLFO'!P$40:P$46,'KM POR UNIDAD'!A22,'MACHADO MAZUCA ADOLFO'!V$40:V$46)+SUMIF('LIRA ARCEO JOEL EDUARDO'!P$40:P$46,'KM POR UNIDAD'!A22,'LIRA ARCEO JOEL EDUARDO'!V$40:V$46)+SUMIF('ANCHONDO ROMERO CESAR ALEJANDRO'!P$40:P$46,'KM POR UNIDAD'!A22,'ANCHONDO ROMERO CESAR ALEJANDRO'!V$40:V$46)</f>
        <v>1050.44</v>
      </c>
      <c r="E22" s="145">
        <f t="shared" si="0"/>
        <v>3.1958036632268381</v>
      </c>
      <c r="F22" s="144" t="e">
        <f ca="1">+SUMIF('AGUILAR ESQUIVEL CARLOS'!P$40:P$46,'KM POR UNIDAD'!A22,'AGUILAR ESQUIVEL CARLOS'!W$40:W$46)+SUMIF('AGUILAR RODRIGUEZ JORGE ALONSO'!P$40:P$46,'KM POR UNIDAD'!A22,'AGUILAR RODRIGUEZ JORGE ALONSO'!W$40:W$46)+SUMIF('REYES LARA DANTE'!T$40:T$46,'KM POR UNIDAD'!A22,'REYES LARA DANTE'!Y$40:Y$46)+SUMIF('RAMIREZ BAUTISTA ADRIAN'!T$40:T$46,'KM POR UNIDAD'!A22,'RAMIREZ BAUTISTA ADRIAN'!Y$40:Y$46)+SUMIF('FLORES BOJORQUEZ BRYAN OVED'!T$40:T$46,'KM POR UNIDAD'!A22,'FLORES BOJORQUEZ BRYAN OVED'!Y$40:Y$46)+SUMIF('BALDERRAMA ROBLES JORGE'!T$40:T$46,'KM POR UNIDAD'!A22,'BALDERRAMA ROBLES JORGE'!#REF!)+SUMIF('BURGOS TORRES RIGOBERTO'!T$39:T$45,'KM POR UNIDAD'!A22,'BURGOS TORRES RIGOBERTO'!Y$39:Y$45)+SUMIF('CORDOVA URIBE JOSE  ADRIAN'!T$40:T$46,'KM POR UNIDAD'!E22,'CORDOVA URIBE JOSE  ADRIAN'!Y$40:Y$46)+SUMIF('GUZMAN CHAPARRO PEDRO'!T$40:T$46,'KM POR UNIDAD'!E22,'GUZMAN CHAPARRO PEDRO'!Y$40:Y$46)+SUMIF('HERNANDEZ LICANO JOSE LUIS'!T$40:T$46,'KM POR UNIDAD'!E22,'HERNANDEZ LICANO JOSE LUIS'!#REF!)+SUMIF('CARRERA REYES MARTIN SEBASTIAN'!T$41:T$47,'KM POR UNIDAD'!E22,'CARRERA REYES MARTIN SEBASTIAN'!Y$41:Y$47)+SUMIF('RUIZ SAUCEDO DANIEL ALEJANDRO'!T$40:T$46,'KM POR UNIDAD'!E22,'RUIZ SAUCEDO DANIEL ALEJANDRO'!Y$40:Y$46)+SUMIF('MARTINEZ RAMIREZ ROSALIO'!T$40:T$46,'KM POR UNIDAD'!E22,'MARTINEZ RAMIREZ ROSALIO'!Y$40:Y$46)+SUMIF('BALLEZA RAMIREZ JESUS JOSE'!T$40:T$46,'KM POR UNIDAD'!E22,'BALLEZA RAMIREZ JESUS JOSE'!T$176:T$180)+SUMIF('MONTERO BURROLA LUIS'!T$38:T$44,'KM POR UNIDAD'!E22,'MONTERO BURROLA LUIS'!Y$38:Y$44)+SUMIF('AGUILERA CONTRERAS LUIS GERARDO'!T$41:T$47,'KM POR UNIDAD'!E22,'AGUILERA CONTRERAS LUIS GERARDO'!Y$41:Y$47)+SUMIF('MORALES LOPEZ DE LARA MARIANO'!T$40:T$46,'KM POR UNIDAD'!E22,'MORALES LOPEZ DE LARA MARIANO'!Y$40:Y$46)+SUMIF('MELENDEZ SINALOA MANUEL ARAT'!T$40:T$46,'KM POR UNIDAD'!E22,'MELENDEZ SINALOA MANUEL ARAT'!#REF!)+SUMIF('MORALES LECHUGA GONZALO'!T$40:T$46,'KM POR UNIDAD'!E22,'MORALES LECHUGA GONZALO'!Y$40:Y$46)+SUMIF('ORONA BECERRA MAURO JOSE'!T$40:T$46,'KM POR UNIDAD'!E22,'ORONA BECERRA MAURO JOSE'!Y$40:Y$46)+SUMIF('VALLES HERNANDEZ MANUEL MARCELI'!T$39:T$45,'KM POR UNIDAD'!E22,'VALLES HERNANDEZ MANUEL MARCELI'!Y$39:Y$45)+SUMIF('ORTIZ RAMIREZ HECTOR MANUEL'!T$40:T$46,'KM POR UNIDAD'!E22,'ORTIZ RAMIREZ HECTOR MANUEL'!Y$40:Y$46)+SUMIF('ONTIVEROS LIRA JUAN'!T$40:T$46,'KM POR UNIDAD'!E22,'ONTIVEROS LIRA JUAN'!Y$40:Y$46)+SUMIF('RODRIGUEZ FLORES BRYAN DARIO'!T$40:T$46,'KM POR UNIDAD'!E22,'RODRIGUEZ FLORES BRYAN DARIO'!Y$40:Y$46)+SUMIF('NUÑEZ RUIZ IRVING JAVIER.'!T$42:T$48,'KM POR UNIDAD'!E22,'NUÑEZ RUIZ IRVING JAVIER.'!Y$42:Y$48)+SUMIF('MACHADO MAZUCA ADOLFO'!T$40:T$46,'KM POR UNIDAD'!E22,'MACHADO MAZUCA ADOLFO'!Y$40:Y$46)+SUMIF('LIRA ARCEO JOEL EDUARDO'!T$40:T$46,'KM POR UNIDAD'!E22,'LIRA ARCEO JOEL EDUARDO'!Y$41:Y$46)+SUMIF('ANCHONDO ROMERO CESAR ALEJANDRO'!T$40:T$46,'KM POR UNIDAD'!E22,'ANCHONDO ROMERO CESAR ALEJANDRO'!Y$40:Y$46)</f>
        <v>#REF!</v>
      </c>
      <c r="G22" s="146"/>
    </row>
    <row r="23" spans="1:12" x14ac:dyDescent="0.25">
      <c r="A23" s="143" t="s">
        <v>155</v>
      </c>
      <c r="B23" s="144">
        <f>+SUMIF('AGUILAR ESQUIVEL CARLOS'!P$40:P$46,'KM POR UNIDAD'!A23,'AGUILAR ESQUIVEL CARLOS'!U$40:U$46)+SUMIF('AGUILAR RODRIGUEZ JORGE ALONSO'!P$40:P$46,'KM POR UNIDAD'!A23,'AGUILAR RODRIGUEZ JORGE ALONSO'!U$40:U$46)+SUMIF('REYES LARA DANTE'!P$40:P$46,'KM POR UNIDAD'!A23,'REYES LARA DANTE'!U$40:U$46)+SUMIF('RAMIREZ BAUTISTA ADRIAN'!P$40:P$46,'KM POR UNIDAD'!A23,'RAMIREZ BAUTISTA ADRIAN'!U$40:U$46)+SUMIF('FLORES BOJORQUEZ BRYAN OVED'!P$40:P$46,'KM POR UNIDAD'!A23,'FLORES BOJORQUEZ BRYAN OVED'!U$40:U$46)+SUMIF('BALDERRAMA ROBLES JORGE'!P$40:P$46,'KM POR UNIDAD'!A23,'BALDERRAMA ROBLES JORGE'!U$40:U$46)+SUMIF('BURGOS TORRES RIGOBERTO'!P$39:P$45,'KM POR UNIDAD'!A23,'BURGOS TORRES RIGOBERTO'!U$39:U$45)+SUMIF('CORDOVA URIBE JOSE  ADRIAN'!P$40:P$46,'KM POR UNIDAD'!A23,'CORDOVA URIBE JOSE  ADRIAN'!U$40:U$46)+SUMIF('GUZMAN CHAPARRO PEDRO'!P$40:P$46,'KM POR UNIDAD'!A23,'GUZMAN CHAPARRO PEDRO'!U$40:U$46)+SUMIF('HERNANDEZ LICANO JOSE LUIS'!P$40:P$46,'KM POR UNIDAD'!A23,'HERNANDEZ LICANO JOSE LUIS'!U$40:U$46)+SUMIF('CARRERA REYES MARTIN SEBASTIAN'!P$41:P$47,'KM POR UNIDAD'!A23,'CARRERA REYES MARTIN SEBASTIAN'!U$41:U$47)+SUMIF('RUIZ SAUCEDO DANIEL ALEJANDRO'!P$40:P$46,'KM POR UNIDAD'!A23,'RUIZ SAUCEDO DANIEL ALEJANDRO'!U$40:U$46)+SUMIF('MARTINEZ RAMIREZ ROSALIO'!P$40:P$46,'KM POR UNIDAD'!A23,'MARTINEZ RAMIREZ ROSALIO'!U$40:U$46)+SUMIF('BALLEZA RAMIREZ JESUS JOSE'!P$40:P$46,'KM POR UNIDAD'!A23,'BALLEZA RAMIREZ JESUS JOSE'!U$40:U$46)+SUMIF('MONTERO BURROLA LUIS'!P$38:P$44,'KM POR UNIDAD'!A23,'MONTERO BURROLA LUIS'!U$38:U$44)+SUMIF('AGUILERA CONTRERAS LUIS GERARDO'!P$41:P$47,'KM POR UNIDAD'!A23,'AGUILERA CONTRERAS LUIS GERARDO'!U$41:U$47)+SUMIF('MORALES LOPEZ DE LARA MARIANO'!P$40:P$46,'KM POR UNIDAD'!A23,'MORALES LOPEZ DE LARA MARIANO'!U$40:U$46)+SUMIF('MELENDEZ SINALOA MANUEL ARAT'!P$40:P$46,'KM POR UNIDAD'!A23,'MELENDEZ SINALOA MANUEL ARAT'!U$40:U$46)+SUMIF('MORALES LECHUGA GONZALO'!P$40:P$46,'KM POR UNIDAD'!A23,'MORALES LECHUGA GONZALO'!U$40:U$46)+SUMIF('ORONA BECERRA MAURO JOSE'!P$40:P$46,'KM POR UNIDAD'!A23,'ORONA BECERRA MAURO JOSE'!U$40:U$46)+SUMIF('VALLES HERNANDEZ MANUEL MARCELI'!P$39:P$45,'KM POR UNIDAD'!A23,'VALLES HERNANDEZ MANUEL MARCELI'!U$39:U$45)+SUMIF('ORTIZ RAMIREZ HECTOR MANUEL'!P$40:P$46,'KM POR UNIDAD'!A23,'ORTIZ RAMIREZ HECTOR MANUEL'!U$40:U$46)+SUMIF('ONTIVEROS LIRA JUAN'!P$40:P$46,'KM POR UNIDAD'!A23,'ONTIVEROS LIRA JUAN'!U$40:U$46)+SUMIF('RODRIGUEZ FLORES BRYAN DARIO'!P$40:P$46,'KM POR UNIDAD'!A23,'RODRIGUEZ FLORES BRYAN DARIO'!U$40:U$46)+SUMIF('NUÑEZ RUIZ IRVING JAVIER.'!P$42:P$48,'KM POR UNIDAD'!A23,'NUÑEZ RUIZ IRVING JAVIER.'!U$42:U$48)+SUMIF('MACHADO MAZUCA ADOLFO'!P$40:P$46,'KM POR UNIDAD'!A23,'MACHADO MAZUCA ADOLFO'!U$40:U$46)+SUMIF('LIRA ARCEO JOEL EDUARDO'!P$40:P$46,'KM POR UNIDAD'!A23,'LIRA ARCEO JOEL EDUARDO'!U$40:U$46)+SUMIF('ANCHONDO ROMERO CESAR ALEJANDRO'!P$40:P$46,'KM POR UNIDAD'!A23,'ANCHONDO ROMERO CESAR ALEJANDRO'!U$40:U$46)</f>
        <v>1550</v>
      </c>
      <c r="C23" s="150">
        <f ca="1">+SUMIF('AGUILAR ESQUIVEL CARLOS'!P$40:P$46,'KM POR UNIDAD'!A23,'AGUILAR ESQUIVEL CARLOS'!T$40:T$46)+SUMIF('AGUILAR RODRIGUEZ JORGE ALONSO'!P$40:P$46,'KM POR UNIDAD'!A23,'AGUILAR RODRIGUEZ JORGE ALONSO'!T$40:T$46)+SUMIF('REYES LARA DANTE'!P$40:P$46,'KM POR UNIDAD'!A23,'REYES LARA DANTE'!T$40:T$46)+SUMIF('RAMIREZ BAUTISTA ADRIAN'!P$40:P$46,'KM POR UNIDAD'!A23,'RAMIREZ BAUTISTA ADRIAN'!T$40:T$46)+SUMIF('FLORES BOJORQUEZ BRYAN OVED'!P$40:P$46,'KM POR UNIDAD'!A23,'FLORES BOJORQUEZ BRYAN OVED'!T$40:T$46)+SUMIF('BALDERRAMA ROBLES JORGE'!P$40:P$46,'KM POR UNIDAD'!A23,'BALDERRAMA ROBLES JORGE'!T$40:T$46)+SUMIF('BURGOS TORRES RIGOBERTO'!P$39:P$45,'KM POR UNIDAD'!A23,'BURGOS TORRES RIGOBERTO'!T$39:T$45)+SUMIF('CORDOVA URIBE JOSE  ADRIAN'!P$40:P$46,'KM POR UNIDAD'!A23,'CORDOVA URIBE JOSE  ADRIAN'!T$40:T$46)+SUMIF('GUZMAN CHAPARRO PEDRO'!P$40:P$46,'KM POR UNIDAD'!A23,'GUZMAN CHAPARRO PEDRO'!T$40:T$46)+SUMIF('HERNANDEZ LICANO JOSE LUIS'!P$40:P$46,'KM POR UNIDAD'!A23,'HERNANDEZ LICANO JOSE LUIS'!T$40:T$46)+SUMIF('CARRERA REYES MARTIN SEBASTIAN'!P$41:P$47,'KM POR UNIDAD'!A23,'CARRERA REYES MARTIN SEBASTIAN'!T$41:T$47)+SUMIF('RUIZ SAUCEDO DANIEL ALEJANDRO'!P$40:P$46,'KM POR UNIDAD'!A23,'RUIZ SAUCEDO DANIEL ALEJANDRO'!T$40:T$46)+SUMIF('MARTINEZ RAMIREZ ROSALIO'!P$40:P$46,'KM POR UNIDAD'!A23,'MARTINEZ RAMIREZ ROSALIO'!T$40:T$46)+SUMIF('BALLEZA RAMIREZ JESUS JOSE'!P$40:P$46,'KM POR UNIDAD'!A23,'BALLEZA RAMIREZ JESUS JOSE'!T$40:T$46)+SUMIF('MONTERO BURROLA LUIS'!P$38:P$44,'KM POR UNIDAD'!A23,'MONTERO BURROLA LUIS'!T$38:T$44)+SUMIF('AGUILERA CONTRERAS LUIS GERARDO'!P$41:P$47,'KM POR UNIDAD'!A23,'AGUILERA CONTRERAS LUIS GERARDO'!T$41:T$47)+SUMIF('MORALES LOPEZ DE LARA MARIANO'!P$40:P$46,'KM POR UNIDAD'!A23,'MORALES LOPEZ DE LARA MARIANO'!T$40:T$46)+SUMIF('MELENDEZ SINALOA MANUEL ARAT'!P$40:P$46,'KM POR UNIDAD'!A23,'MELENDEZ SINALOA MANUEL ARAT'!T$40:T$46)+SUMIF('MORALES LECHUGA GONZALO'!P$40:P$46,'KM POR UNIDAD'!A23,'MORALES LECHUGA GONZALO'!T$40:T$46)+SUMIF('ORONA BECERRA MAURO JOSE'!P$40:P$46,'KM POR UNIDAD'!A23,'ORONA BECERRA MAURO JOSE'!T$40:T$46)+SUMIF('VALLES HERNANDEZ MANUEL MARCELI'!P$39:P$45,'KM POR UNIDAD'!A23,'VALLES HERNANDEZ MANUEL MARCELI'!T$39:T$45)+SUMIF('ORTIZ RAMIREZ HECTOR MANUEL'!P$40:P$46,'KM POR UNIDAD'!A23,'ORTIZ RAMIREZ HECTOR MANUEL'!T$40:T$46)+SUMIF('ONTIVEROS LIRA JUAN'!P$40:P$446,'KM POR UNIDAD'!A23,'ONTIVEROS LIRA JUAN'!T$40:T$46)+SUMIF('RODRIGUEZ FLORES BRYAN DARIO'!P$40:P$46,'KM POR UNIDAD'!A23,'RODRIGUEZ FLORES BRYAN DARIO'!T$40:T$46)+SUMIF('NUÑEZ RUIZ IRVING JAVIER.'!P$42:P$48,'KM POR UNIDAD'!A23,'NUÑEZ RUIZ IRVING JAVIER.'!T$42:T$48)+SUMIF('MACHADO MAZUCA ADOLFO'!P$40:P$46,'KM POR UNIDAD'!A23,'MACHADO MAZUCA ADOLFO'!T$40:T$46)+SUMIF('LIRA ARCEO JOEL EDUARDO'!P$40:P$46,'KM POR UNIDAD'!A23,'LIRA ARCEO JOEL EDUARDO'!T$40:T$46)+SUMIF('ANCHONDO ROMERO CESAR ALEJANDRO'!P$40:P$46,'KM POR UNIDAD'!A23,'ANCHONDO ROMERO CESAR ALEJANDRO'!T$40:T$46)</f>
        <v>1501</v>
      </c>
      <c r="D23" s="150">
        <f>+SUMIF('AGUILAR ESQUIVEL CARLOS'!P$40:P$46,'KM POR UNIDAD'!A23,'AGUILAR ESQUIVEL CARLOS'!V$40:V$46)+SUMIF('AGUILAR RODRIGUEZ JORGE ALONSO'!P$40:P$46,'KM POR UNIDAD'!A23,'AGUILAR RODRIGUEZ JORGE ALONSO'!V$40:V$46)+SUMIF('REYES LARA DANTE'!P$40:P$46,'KM POR UNIDAD'!A23,'REYES LARA DANTE'!V$40:V$46)+SUMIF('RAMIREZ BAUTISTA ADRIAN'!P$40:P$46,'KM POR UNIDAD'!A23,'RAMIREZ BAUTISTA ADRIAN'!V$40:V$46)+SUMIF('FLORES BOJORQUEZ BRYAN OVED'!P$40:P$46,'KM POR UNIDAD'!A23,'FLORES BOJORQUEZ BRYAN OVED'!V$40:V$46)+SUMIF('BALDERRAMA ROBLES JORGE'!P$40:P$46,'KM POR UNIDAD'!A23,'BALDERRAMA ROBLES JORGE'!V$40:V$46)+SUMIF('BURGOS TORRES RIGOBERTO'!P$39:P$45,'KM POR UNIDAD'!A23,'BURGOS TORRES RIGOBERTO'!V$39:V$45)+SUMIF('CORDOVA URIBE JOSE  ADRIAN'!P$40:P$46,'KM POR UNIDAD'!A23,'CORDOVA URIBE JOSE  ADRIAN'!V$40:V$46)+SUMIF('GUZMAN CHAPARRO PEDRO'!P$40:P$46,'KM POR UNIDAD'!A23,'GUZMAN CHAPARRO PEDRO'!V$40:V$46)+SUMIF('HERNANDEZ LICANO JOSE LUIS'!P$40:P$46,'KM POR UNIDAD'!A23,'HERNANDEZ LICANO JOSE LUIS'!V$40:V$46)+SUMIF('CARRERA REYES MARTIN SEBASTIAN'!P$41:P$47,'KM POR UNIDAD'!A23,'CARRERA REYES MARTIN SEBASTIAN'!V$41:V$47)+SUMIF('RUIZ SAUCEDO DANIEL ALEJANDRO'!P$40:P$46,'KM POR UNIDAD'!A23,'RUIZ SAUCEDO DANIEL ALEJANDRO'!V$40:V$46)+SUMIF('MARTINEZ RAMIREZ ROSALIO'!P$40:P$46,'KM POR UNIDAD'!A23,'MARTINEZ RAMIREZ ROSALIO'!V$40:V$46)+SUMIF('BALLEZA RAMIREZ JESUS JOSE'!P$40:P$46,'KM POR UNIDAD'!A23,'BALLEZA RAMIREZ JESUS JOSE'!V$40:V$46)+SUMIF('MONTERO BURROLA LUIS'!P$38:P$44,'KM POR UNIDAD'!A23,'MONTERO BURROLA LUIS'!V$38:V$44)+SUMIF('AGUILERA CONTRERAS LUIS GERARDO'!P$41:P$47,'KM POR UNIDAD'!A23,'AGUILERA CONTRERAS LUIS GERARDO'!V$41:V$47)+SUMIF('MORALES LOPEZ DE LARA MARIANO'!P$40:P$46,'KM POR UNIDAD'!A23,'MORALES LOPEZ DE LARA MARIANO'!V$40:V$46)+SUMIF('MELENDEZ SINALOA MANUEL ARAT'!P$40:P$46,'KM POR UNIDAD'!A23,'MELENDEZ SINALOA MANUEL ARAT'!V$40:V$46)+SUMIF('MORALES LECHUGA GONZALO'!P$40:P$46,'KM POR UNIDAD'!A23,'MORALES LECHUGA GONZALO'!V$40:V$46)+SUMIF('ORONA BECERRA MAURO JOSE'!P$40:P$46,'KM POR UNIDAD'!A23,'ORONA BECERRA MAURO JOSE'!V$40:V$46)+SUMIF('VALLES HERNANDEZ MANUEL MARCELI'!P$39:P$45,'KM POR UNIDAD'!A23,'VALLES HERNANDEZ MANUEL MARCELI'!V$39:V$45)+SUMIF('ORTIZ RAMIREZ HECTOR MANUEL'!P$40:P$46,'KM POR UNIDAD'!A23,'ORTIZ RAMIREZ HECTOR MANUEL'!V$40:V$46)+SUMIF('ONTIVEROS LIRA JUAN'!P$40:P$46,'KM POR UNIDAD'!A23,'ONTIVEROS LIRA JUAN'!V$40:V$46)+SUMIF('RODRIGUEZ FLORES BRYAN DARIO'!P$40:P$46,'KM POR UNIDAD'!A23,'RODRIGUEZ FLORES BRYAN DARIO'!V$40:V$46)+SUMIF('NUÑEZ RUIZ IRVING JAVIER.'!P$42:P$48,'KM POR UNIDAD'!A23,'NUÑEZ RUIZ IRVING JAVIER.'!V$42:V$48)+SUMIF('MACHADO MAZUCA ADOLFO'!P$40:P$46,'KM POR UNIDAD'!A23,'MACHADO MAZUCA ADOLFO'!V$40:V$46)+SUMIF('LIRA ARCEO JOEL EDUARDO'!P$40:P$46,'KM POR UNIDAD'!A23,'LIRA ARCEO JOEL EDUARDO'!V$40:V$46)+SUMIF('ANCHONDO ROMERO CESAR ALEJANDRO'!P$40:P$46,'KM POR UNIDAD'!A23,'ANCHONDO ROMERO CESAR ALEJANDRO'!V$40:V$46)</f>
        <v>456.01</v>
      </c>
      <c r="E23" s="145">
        <f t="shared" si="0"/>
        <v>3.3990482664853841</v>
      </c>
      <c r="F23" s="144" t="e">
        <f ca="1">+SUMIF('AGUILAR ESQUIVEL CARLOS'!P$40:P$46,'KM POR UNIDAD'!A23,'AGUILAR ESQUIVEL CARLOS'!W$40:W$46)+SUMIF('AGUILAR RODRIGUEZ JORGE ALONSO'!P$40:P$46,'KM POR UNIDAD'!A23,'AGUILAR RODRIGUEZ JORGE ALONSO'!W$40:W$46)+SUMIF('REYES LARA DANTE'!T$40:T$46,'KM POR UNIDAD'!A23,'REYES LARA DANTE'!Y$40:Y$46)+SUMIF('RAMIREZ BAUTISTA ADRIAN'!T$40:T$46,'KM POR UNIDAD'!A23,'RAMIREZ BAUTISTA ADRIAN'!Y$40:Y$46)+SUMIF('FLORES BOJORQUEZ BRYAN OVED'!T$40:T$46,'KM POR UNIDAD'!A23,'FLORES BOJORQUEZ BRYAN OVED'!Y$40:Y$46)+SUMIF('BALDERRAMA ROBLES JORGE'!T$40:T$46,'KM POR UNIDAD'!A23,'BALDERRAMA ROBLES JORGE'!#REF!)+SUMIF('BURGOS TORRES RIGOBERTO'!T$39:T$45,'KM POR UNIDAD'!A23,'BURGOS TORRES RIGOBERTO'!Y$39:Y$45)+SUMIF('CORDOVA URIBE JOSE  ADRIAN'!T$40:T$46,'KM POR UNIDAD'!E23,'CORDOVA URIBE JOSE  ADRIAN'!Y$40:Y$46)+SUMIF('GUZMAN CHAPARRO PEDRO'!T$40:T$46,'KM POR UNIDAD'!E23,'GUZMAN CHAPARRO PEDRO'!Y$40:Y$46)+SUMIF('HERNANDEZ LICANO JOSE LUIS'!T$40:T$46,'KM POR UNIDAD'!E23,'HERNANDEZ LICANO JOSE LUIS'!#REF!)+SUMIF('CARRERA REYES MARTIN SEBASTIAN'!T$41:T$47,'KM POR UNIDAD'!E23,'CARRERA REYES MARTIN SEBASTIAN'!Y$41:Y$47)+SUMIF('RUIZ SAUCEDO DANIEL ALEJANDRO'!T$40:T$46,'KM POR UNIDAD'!E23,'RUIZ SAUCEDO DANIEL ALEJANDRO'!Y$40:Y$46)+SUMIF('MARTINEZ RAMIREZ ROSALIO'!T$40:T$46,'KM POR UNIDAD'!E23,'MARTINEZ RAMIREZ ROSALIO'!Y$40:Y$46)+SUMIF('BALLEZA RAMIREZ JESUS JOSE'!T$40:T$46,'KM POR UNIDAD'!E23,'BALLEZA RAMIREZ JESUS JOSE'!T$176:T$180)+SUMIF('MONTERO BURROLA LUIS'!T$38:T$44,'KM POR UNIDAD'!E23,'MONTERO BURROLA LUIS'!Y$38:Y$44)+SUMIF('AGUILERA CONTRERAS LUIS GERARDO'!T$41:T$47,'KM POR UNIDAD'!E23,'AGUILERA CONTRERAS LUIS GERARDO'!Y$41:Y$47)+SUMIF('MORALES LOPEZ DE LARA MARIANO'!T$40:T$46,'KM POR UNIDAD'!E23,'MORALES LOPEZ DE LARA MARIANO'!Y$40:Y$46)+SUMIF('MELENDEZ SINALOA MANUEL ARAT'!T$40:T$46,'KM POR UNIDAD'!E23,'MELENDEZ SINALOA MANUEL ARAT'!#REF!)+SUMIF('MORALES LECHUGA GONZALO'!T$40:T$46,'KM POR UNIDAD'!E23,'MORALES LECHUGA GONZALO'!Y$40:Y$46)+SUMIF('ORONA BECERRA MAURO JOSE'!T$40:T$46,'KM POR UNIDAD'!E23,'ORONA BECERRA MAURO JOSE'!Y$40:Y$46)+SUMIF('VALLES HERNANDEZ MANUEL MARCELI'!T$39:T$45,'KM POR UNIDAD'!E23,'VALLES HERNANDEZ MANUEL MARCELI'!Y$39:Y$45)+SUMIF('ORTIZ RAMIREZ HECTOR MANUEL'!T$40:T$46,'KM POR UNIDAD'!E23,'ORTIZ RAMIREZ HECTOR MANUEL'!Y$40:Y$46)+SUMIF('ONTIVEROS LIRA JUAN'!T$40:T$46,'KM POR UNIDAD'!E23,'ONTIVEROS LIRA JUAN'!Y$40:Y$46)+SUMIF('RODRIGUEZ FLORES BRYAN DARIO'!T$40:T$46,'KM POR UNIDAD'!E23,'RODRIGUEZ FLORES BRYAN DARIO'!Y$40:Y$46)+SUMIF('NUÑEZ RUIZ IRVING JAVIER.'!T$42:T$48,'KM POR UNIDAD'!E23,'NUÑEZ RUIZ IRVING JAVIER.'!Y$42:Y$48)+SUMIF('MACHADO MAZUCA ADOLFO'!T$40:T$46,'KM POR UNIDAD'!E23,'MACHADO MAZUCA ADOLFO'!Y$40:Y$46)+SUMIF('LIRA ARCEO JOEL EDUARDO'!T$40:T$46,'KM POR UNIDAD'!E23,'LIRA ARCEO JOEL EDUARDO'!Y$41:Y$46)+SUMIF('ANCHONDO ROMERO CESAR ALEJANDRO'!T$40:T$46,'KM POR UNIDAD'!E23,'ANCHONDO ROMERO CESAR ALEJANDRO'!Y$40:Y$46)</f>
        <v>#REF!</v>
      </c>
      <c r="G23" s="146"/>
    </row>
    <row r="24" spans="1:12" x14ac:dyDescent="0.25">
      <c r="A24" s="143" t="s">
        <v>156</v>
      </c>
      <c r="B24" s="144">
        <f>+SUMIF('AGUILAR ESQUIVEL CARLOS'!P$40:P$46,'KM POR UNIDAD'!A24,'AGUILAR ESQUIVEL CARLOS'!U$40:U$46)+SUMIF('AGUILAR RODRIGUEZ JORGE ALONSO'!P$40:P$46,'KM POR UNIDAD'!A24,'AGUILAR RODRIGUEZ JORGE ALONSO'!U$40:U$46)+SUMIF('REYES LARA DANTE'!P$40:P$46,'KM POR UNIDAD'!A24,'REYES LARA DANTE'!U$40:U$46)+SUMIF('RAMIREZ BAUTISTA ADRIAN'!P$40:P$46,'KM POR UNIDAD'!A24,'RAMIREZ BAUTISTA ADRIAN'!U$40:U$46)+SUMIF('FLORES BOJORQUEZ BRYAN OVED'!P$40:P$46,'KM POR UNIDAD'!A24,'FLORES BOJORQUEZ BRYAN OVED'!U$40:U$46)+SUMIF('BALDERRAMA ROBLES JORGE'!P$40:P$46,'KM POR UNIDAD'!A24,'BALDERRAMA ROBLES JORGE'!U$40:U$46)+SUMIF('BURGOS TORRES RIGOBERTO'!P$39:P$45,'KM POR UNIDAD'!A24,'BURGOS TORRES RIGOBERTO'!U$39:U$45)+SUMIF('CORDOVA URIBE JOSE  ADRIAN'!P$40:P$46,'KM POR UNIDAD'!A24,'CORDOVA URIBE JOSE  ADRIAN'!U$40:U$46)+SUMIF('GUZMAN CHAPARRO PEDRO'!P$40:P$46,'KM POR UNIDAD'!A24,'GUZMAN CHAPARRO PEDRO'!U$40:U$46)+SUMIF('HERNANDEZ LICANO JOSE LUIS'!P$40:P$46,'KM POR UNIDAD'!A24,'HERNANDEZ LICANO JOSE LUIS'!U$40:U$46)+SUMIF('CARRERA REYES MARTIN SEBASTIAN'!P$41:P$47,'KM POR UNIDAD'!A24,'CARRERA REYES MARTIN SEBASTIAN'!U$41:U$47)+SUMIF('RUIZ SAUCEDO DANIEL ALEJANDRO'!P$40:P$46,'KM POR UNIDAD'!A24,'RUIZ SAUCEDO DANIEL ALEJANDRO'!U$40:U$46)+SUMIF('MARTINEZ RAMIREZ ROSALIO'!P$40:P$46,'KM POR UNIDAD'!A24,'MARTINEZ RAMIREZ ROSALIO'!U$40:U$46)+SUMIF('BALLEZA RAMIREZ JESUS JOSE'!P$40:P$46,'KM POR UNIDAD'!A24,'BALLEZA RAMIREZ JESUS JOSE'!U$40:U$46)+SUMIF('MONTERO BURROLA LUIS'!P$38:P$44,'KM POR UNIDAD'!A24,'MONTERO BURROLA LUIS'!U$38:U$44)+SUMIF('AGUILERA CONTRERAS LUIS GERARDO'!P$41:P$47,'KM POR UNIDAD'!A24,'AGUILERA CONTRERAS LUIS GERARDO'!U$41:U$47)+SUMIF('MORALES LOPEZ DE LARA MARIANO'!P$40:P$46,'KM POR UNIDAD'!A24,'MORALES LOPEZ DE LARA MARIANO'!U$40:U$46)+SUMIF('MELENDEZ SINALOA MANUEL ARAT'!P$40:P$46,'KM POR UNIDAD'!A24,'MELENDEZ SINALOA MANUEL ARAT'!U$40:U$46)+SUMIF('MORALES LECHUGA GONZALO'!P$40:P$46,'KM POR UNIDAD'!A24,'MORALES LECHUGA GONZALO'!U$40:U$46)+SUMIF('ORONA BECERRA MAURO JOSE'!P$40:P$46,'KM POR UNIDAD'!A24,'ORONA BECERRA MAURO JOSE'!U$40:U$46)+SUMIF('VALLES HERNANDEZ MANUEL MARCELI'!P$39:P$45,'KM POR UNIDAD'!A24,'VALLES HERNANDEZ MANUEL MARCELI'!U$39:U$45)+SUMIF('ORTIZ RAMIREZ HECTOR MANUEL'!P$40:P$46,'KM POR UNIDAD'!A24,'ORTIZ RAMIREZ HECTOR MANUEL'!U$40:U$46)+SUMIF('ONTIVEROS LIRA JUAN'!P$40:P$46,'KM POR UNIDAD'!A24,'ONTIVEROS LIRA JUAN'!U$40:U$46)+SUMIF('RODRIGUEZ FLORES BRYAN DARIO'!P$40:P$46,'KM POR UNIDAD'!A24,'RODRIGUEZ FLORES BRYAN DARIO'!U$40:U$46)+SUMIF('NUÑEZ RUIZ IRVING JAVIER.'!P$42:P$48,'KM POR UNIDAD'!A24,'NUÑEZ RUIZ IRVING JAVIER.'!U$42:U$48)+SUMIF('MACHADO MAZUCA ADOLFO'!P$40:P$46,'KM POR UNIDAD'!A24,'MACHADO MAZUCA ADOLFO'!U$40:U$46)+SUMIF('LIRA ARCEO JOEL EDUARDO'!P$40:P$46,'KM POR UNIDAD'!A24,'LIRA ARCEO JOEL EDUARDO'!U$40:U$46)+SUMIF('ANCHONDO ROMERO CESAR ALEJANDRO'!P$40:P$46,'KM POR UNIDAD'!A24,'ANCHONDO ROMERO CESAR ALEJANDRO'!U$40:U$46)</f>
        <v>1580</v>
      </c>
      <c r="C24" s="150">
        <f ca="1">+SUMIF('AGUILAR ESQUIVEL CARLOS'!P$40:P$46,'KM POR UNIDAD'!A24,'AGUILAR ESQUIVEL CARLOS'!T$40:T$46)+SUMIF('AGUILAR RODRIGUEZ JORGE ALONSO'!P$40:P$46,'KM POR UNIDAD'!A24,'AGUILAR RODRIGUEZ JORGE ALONSO'!T$40:T$46)+SUMIF('REYES LARA DANTE'!P$40:P$46,'KM POR UNIDAD'!A24,'REYES LARA DANTE'!T$40:T$46)+SUMIF('RAMIREZ BAUTISTA ADRIAN'!P$40:P$46,'KM POR UNIDAD'!A24,'RAMIREZ BAUTISTA ADRIAN'!T$40:T$46)+SUMIF('FLORES BOJORQUEZ BRYAN OVED'!P$40:P$46,'KM POR UNIDAD'!A24,'FLORES BOJORQUEZ BRYAN OVED'!T$40:T$46)+SUMIF('BALDERRAMA ROBLES JORGE'!P$40:P$46,'KM POR UNIDAD'!A24,'BALDERRAMA ROBLES JORGE'!T$40:T$46)+SUMIF('BURGOS TORRES RIGOBERTO'!P$39:P$45,'KM POR UNIDAD'!A24,'BURGOS TORRES RIGOBERTO'!T$39:T$45)+SUMIF('CORDOVA URIBE JOSE  ADRIAN'!P$40:P$46,'KM POR UNIDAD'!A24,'CORDOVA URIBE JOSE  ADRIAN'!T$40:T$46)+SUMIF('GUZMAN CHAPARRO PEDRO'!P$40:P$46,'KM POR UNIDAD'!A24,'GUZMAN CHAPARRO PEDRO'!T$40:T$46)+SUMIF('HERNANDEZ LICANO JOSE LUIS'!P$40:P$46,'KM POR UNIDAD'!A24,'HERNANDEZ LICANO JOSE LUIS'!T$40:T$46)+SUMIF('CARRERA REYES MARTIN SEBASTIAN'!P$41:P$47,'KM POR UNIDAD'!A24,'CARRERA REYES MARTIN SEBASTIAN'!T$41:T$47)+SUMIF('RUIZ SAUCEDO DANIEL ALEJANDRO'!P$40:P$46,'KM POR UNIDAD'!A24,'RUIZ SAUCEDO DANIEL ALEJANDRO'!T$40:T$46)+SUMIF('MARTINEZ RAMIREZ ROSALIO'!P$40:P$46,'KM POR UNIDAD'!A24,'MARTINEZ RAMIREZ ROSALIO'!T$40:T$46)+SUMIF('BALLEZA RAMIREZ JESUS JOSE'!P$40:P$46,'KM POR UNIDAD'!A24,'BALLEZA RAMIREZ JESUS JOSE'!T$40:T$46)+SUMIF('MONTERO BURROLA LUIS'!P$38:P$44,'KM POR UNIDAD'!A24,'MONTERO BURROLA LUIS'!T$38:T$44)+SUMIF('AGUILERA CONTRERAS LUIS GERARDO'!P$41:P$47,'KM POR UNIDAD'!A24,'AGUILERA CONTRERAS LUIS GERARDO'!T$41:T$47)+SUMIF('MORALES LOPEZ DE LARA MARIANO'!P$40:P$46,'KM POR UNIDAD'!A24,'MORALES LOPEZ DE LARA MARIANO'!T$40:T$46)+SUMIF('MELENDEZ SINALOA MANUEL ARAT'!P$40:P$46,'KM POR UNIDAD'!A24,'MELENDEZ SINALOA MANUEL ARAT'!T$40:T$46)+SUMIF('MORALES LECHUGA GONZALO'!P$40:P$46,'KM POR UNIDAD'!A24,'MORALES LECHUGA GONZALO'!T$40:T$46)+SUMIF('ORONA BECERRA MAURO JOSE'!P$40:P$46,'KM POR UNIDAD'!A24,'ORONA BECERRA MAURO JOSE'!T$40:T$46)+SUMIF('VALLES HERNANDEZ MANUEL MARCELI'!P$39:P$45,'KM POR UNIDAD'!A24,'VALLES HERNANDEZ MANUEL MARCELI'!T$39:T$45)+SUMIF('ORTIZ RAMIREZ HECTOR MANUEL'!P$40:P$46,'KM POR UNIDAD'!A24,'ORTIZ RAMIREZ HECTOR MANUEL'!T$40:T$46)+SUMIF('ONTIVEROS LIRA JUAN'!P$40:P$446,'KM POR UNIDAD'!A24,'ONTIVEROS LIRA JUAN'!T$40:T$46)+SUMIF('RODRIGUEZ FLORES BRYAN DARIO'!P$40:P$46,'KM POR UNIDAD'!A24,'RODRIGUEZ FLORES BRYAN DARIO'!T$40:T$46)+SUMIF('NUÑEZ RUIZ IRVING JAVIER.'!P$42:P$48,'KM POR UNIDAD'!A24,'NUÑEZ RUIZ IRVING JAVIER.'!T$42:T$48)+SUMIF('MACHADO MAZUCA ADOLFO'!P$40:P$46,'KM POR UNIDAD'!A24,'MACHADO MAZUCA ADOLFO'!T$40:T$46)+SUMIF('LIRA ARCEO JOEL EDUARDO'!P$40:P$46,'KM POR UNIDAD'!A24,'LIRA ARCEO JOEL EDUARDO'!T$40:T$46)+SUMIF('ANCHONDO ROMERO CESAR ALEJANDRO'!P$40:P$46,'KM POR UNIDAD'!A24,'ANCHONDO ROMERO CESAR ALEJANDRO'!T$40:T$46)</f>
        <v>1581</v>
      </c>
      <c r="D24" s="150">
        <f>+SUMIF('AGUILAR ESQUIVEL CARLOS'!P$40:P$46,'KM POR UNIDAD'!A24,'AGUILAR ESQUIVEL CARLOS'!V$40:V$46)+SUMIF('AGUILAR RODRIGUEZ JORGE ALONSO'!P$40:P$46,'KM POR UNIDAD'!A24,'AGUILAR RODRIGUEZ JORGE ALONSO'!V$40:V$46)+SUMIF('REYES LARA DANTE'!P$40:P$46,'KM POR UNIDAD'!A24,'REYES LARA DANTE'!V$40:V$46)+SUMIF('RAMIREZ BAUTISTA ADRIAN'!P$40:P$46,'KM POR UNIDAD'!A24,'RAMIREZ BAUTISTA ADRIAN'!V$40:V$46)+SUMIF('FLORES BOJORQUEZ BRYAN OVED'!P$40:P$46,'KM POR UNIDAD'!A24,'FLORES BOJORQUEZ BRYAN OVED'!V$40:V$46)+SUMIF('BALDERRAMA ROBLES JORGE'!P$40:P$46,'KM POR UNIDAD'!A24,'BALDERRAMA ROBLES JORGE'!V$40:V$46)+SUMIF('BURGOS TORRES RIGOBERTO'!P$39:P$45,'KM POR UNIDAD'!A24,'BURGOS TORRES RIGOBERTO'!V$39:V$45)+SUMIF('CORDOVA URIBE JOSE  ADRIAN'!P$40:P$46,'KM POR UNIDAD'!A24,'CORDOVA URIBE JOSE  ADRIAN'!V$40:V$46)+SUMIF('GUZMAN CHAPARRO PEDRO'!P$40:P$46,'KM POR UNIDAD'!A24,'GUZMAN CHAPARRO PEDRO'!V$40:V$46)+SUMIF('HERNANDEZ LICANO JOSE LUIS'!P$40:P$46,'KM POR UNIDAD'!A24,'HERNANDEZ LICANO JOSE LUIS'!V$40:V$46)+SUMIF('CARRERA REYES MARTIN SEBASTIAN'!P$41:P$47,'KM POR UNIDAD'!A24,'CARRERA REYES MARTIN SEBASTIAN'!V$41:V$47)+SUMIF('RUIZ SAUCEDO DANIEL ALEJANDRO'!P$40:P$46,'KM POR UNIDAD'!A24,'RUIZ SAUCEDO DANIEL ALEJANDRO'!V$40:V$46)+SUMIF('MARTINEZ RAMIREZ ROSALIO'!P$40:P$46,'KM POR UNIDAD'!A24,'MARTINEZ RAMIREZ ROSALIO'!V$40:V$46)+SUMIF('BALLEZA RAMIREZ JESUS JOSE'!P$40:P$46,'KM POR UNIDAD'!A24,'BALLEZA RAMIREZ JESUS JOSE'!V$40:V$46)+SUMIF('MONTERO BURROLA LUIS'!P$38:P$44,'KM POR UNIDAD'!A24,'MONTERO BURROLA LUIS'!V$38:V$44)+SUMIF('AGUILERA CONTRERAS LUIS GERARDO'!P$41:P$47,'KM POR UNIDAD'!A24,'AGUILERA CONTRERAS LUIS GERARDO'!V$41:V$47)+SUMIF('MORALES LOPEZ DE LARA MARIANO'!P$40:P$46,'KM POR UNIDAD'!A24,'MORALES LOPEZ DE LARA MARIANO'!V$40:V$46)+SUMIF('MELENDEZ SINALOA MANUEL ARAT'!P$40:P$46,'KM POR UNIDAD'!A24,'MELENDEZ SINALOA MANUEL ARAT'!V$40:V$46)+SUMIF('MORALES LECHUGA GONZALO'!P$40:P$46,'KM POR UNIDAD'!A24,'MORALES LECHUGA GONZALO'!V$40:V$46)+SUMIF('ORONA BECERRA MAURO JOSE'!P$40:P$46,'KM POR UNIDAD'!A24,'ORONA BECERRA MAURO JOSE'!V$40:V$46)+SUMIF('VALLES HERNANDEZ MANUEL MARCELI'!P$39:P$45,'KM POR UNIDAD'!A24,'VALLES HERNANDEZ MANUEL MARCELI'!V$39:V$45)+SUMIF('ORTIZ RAMIREZ HECTOR MANUEL'!P$40:P$46,'KM POR UNIDAD'!A24,'ORTIZ RAMIREZ HECTOR MANUEL'!V$40:V$46)+SUMIF('ONTIVEROS LIRA JUAN'!P$40:P$46,'KM POR UNIDAD'!A24,'ONTIVEROS LIRA JUAN'!V$40:V$46)+SUMIF('RODRIGUEZ FLORES BRYAN DARIO'!P$40:P$46,'KM POR UNIDAD'!A24,'RODRIGUEZ FLORES BRYAN DARIO'!V$40:V$46)+SUMIF('NUÑEZ RUIZ IRVING JAVIER.'!P$42:P$48,'KM POR UNIDAD'!A24,'NUÑEZ RUIZ IRVING JAVIER.'!V$42:V$48)+SUMIF('MACHADO MAZUCA ADOLFO'!P$40:P$46,'KM POR UNIDAD'!A24,'MACHADO MAZUCA ADOLFO'!V$40:V$46)+SUMIF('LIRA ARCEO JOEL EDUARDO'!P$40:P$46,'KM POR UNIDAD'!A24,'LIRA ARCEO JOEL EDUARDO'!V$40:V$46)+SUMIF('ANCHONDO ROMERO CESAR ALEJANDRO'!P$40:P$46,'KM POR UNIDAD'!A24,'ANCHONDO ROMERO CESAR ALEJANDRO'!V$40:V$46)</f>
        <v>442.03</v>
      </c>
      <c r="E24" s="145">
        <f t="shared" si="0"/>
        <v>3.5744180259258425</v>
      </c>
      <c r="F24" s="144" t="e">
        <f ca="1">+SUMIF('AGUILAR ESQUIVEL CARLOS'!P$40:P$46,'KM POR UNIDAD'!A24,'AGUILAR ESQUIVEL CARLOS'!W$40:W$46)+SUMIF('AGUILAR RODRIGUEZ JORGE ALONSO'!P$40:P$46,'KM POR UNIDAD'!A24,'AGUILAR RODRIGUEZ JORGE ALONSO'!W$40:W$46)+SUMIF('REYES LARA DANTE'!T$40:T$46,'KM POR UNIDAD'!A24,'REYES LARA DANTE'!Y$40:Y$46)+SUMIF('RAMIREZ BAUTISTA ADRIAN'!T$40:T$46,'KM POR UNIDAD'!A24,'RAMIREZ BAUTISTA ADRIAN'!Y$40:Y$46)+SUMIF('FLORES BOJORQUEZ BRYAN OVED'!T$40:T$46,'KM POR UNIDAD'!A24,'FLORES BOJORQUEZ BRYAN OVED'!Y$40:Y$46)+SUMIF('BALDERRAMA ROBLES JORGE'!T$40:T$46,'KM POR UNIDAD'!A24,'BALDERRAMA ROBLES JORGE'!#REF!)+SUMIF('BURGOS TORRES RIGOBERTO'!T$39:T$45,'KM POR UNIDAD'!A24,'BURGOS TORRES RIGOBERTO'!Y$39:Y$45)+SUMIF('CORDOVA URIBE JOSE  ADRIAN'!T$40:T$46,'KM POR UNIDAD'!E24,'CORDOVA URIBE JOSE  ADRIAN'!Y$40:Y$46)+SUMIF('GUZMAN CHAPARRO PEDRO'!T$40:T$46,'KM POR UNIDAD'!E24,'GUZMAN CHAPARRO PEDRO'!Y$40:Y$46)+SUMIF('HERNANDEZ LICANO JOSE LUIS'!T$40:T$46,'KM POR UNIDAD'!E24,'HERNANDEZ LICANO JOSE LUIS'!#REF!)+SUMIF('CARRERA REYES MARTIN SEBASTIAN'!T$41:T$47,'KM POR UNIDAD'!E24,'CARRERA REYES MARTIN SEBASTIAN'!Y$41:Y$47)+SUMIF('RUIZ SAUCEDO DANIEL ALEJANDRO'!T$40:T$46,'KM POR UNIDAD'!E24,'RUIZ SAUCEDO DANIEL ALEJANDRO'!Y$40:Y$46)+SUMIF('MARTINEZ RAMIREZ ROSALIO'!T$40:T$46,'KM POR UNIDAD'!E24,'MARTINEZ RAMIREZ ROSALIO'!Y$40:Y$46)+SUMIF('BALLEZA RAMIREZ JESUS JOSE'!T$40:T$46,'KM POR UNIDAD'!E24,'BALLEZA RAMIREZ JESUS JOSE'!T$176:T$180)+SUMIF('MONTERO BURROLA LUIS'!T$38:T$44,'KM POR UNIDAD'!E24,'MONTERO BURROLA LUIS'!Y$38:Y$44)+SUMIF('AGUILERA CONTRERAS LUIS GERARDO'!T$41:T$47,'KM POR UNIDAD'!E24,'AGUILERA CONTRERAS LUIS GERARDO'!Y$41:Y$47)+SUMIF('MORALES LOPEZ DE LARA MARIANO'!T$40:T$46,'KM POR UNIDAD'!E24,'MORALES LOPEZ DE LARA MARIANO'!Y$40:Y$46)+SUMIF('MELENDEZ SINALOA MANUEL ARAT'!T$40:T$46,'KM POR UNIDAD'!E24,'MELENDEZ SINALOA MANUEL ARAT'!#REF!)+SUMIF('MORALES LECHUGA GONZALO'!T$40:T$46,'KM POR UNIDAD'!E24,'MORALES LECHUGA GONZALO'!Y$40:Y$46)+SUMIF('ORONA BECERRA MAURO JOSE'!T$40:T$46,'KM POR UNIDAD'!E24,'ORONA BECERRA MAURO JOSE'!Y$40:Y$46)+SUMIF('VALLES HERNANDEZ MANUEL MARCELI'!T$39:T$45,'KM POR UNIDAD'!E24,'VALLES HERNANDEZ MANUEL MARCELI'!Y$39:Y$45)+SUMIF('ORTIZ RAMIREZ HECTOR MANUEL'!T$40:T$46,'KM POR UNIDAD'!E24,'ORTIZ RAMIREZ HECTOR MANUEL'!Y$40:Y$46)+SUMIF('ONTIVEROS LIRA JUAN'!T$40:T$46,'KM POR UNIDAD'!E24,'ONTIVEROS LIRA JUAN'!Y$40:Y$46)+SUMIF('RODRIGUEZ FLORES BRYAN DARIO'!T$40:T$46,'KM POR UNIDAD'!E24,'RODRIGUEZ FLORES BRYAN DARIO'!Y$40:Y$46)+SUMIF('NUÑEZ RUIZ IRVING JAVIER.'!T$42:T$48,'KM POR UNIDAD'!E24,'NUÑEZ RUIZ IRVING JAVIER.'!Y$42:Y$48)+SUMIF('MACHADO MAZUCA ADOLFO'!T$40:T$46,'KM POR UNIDAD'!E24,'MACHADO MAZUCA ADOLFO'!Y$40:Y$46)+SUMIF('LIRA ARCEO JOEL EDUARDO'!T$40:T$46,'KM POR UNIDAD'!E24,'LIRA ARCEO JOEL EDUARDO'!Y$41:Y$46)+SUMIF('ANCHONDO ROMERO CESAR ALEJANDRO'!T$40:T$46,'KM POR UNIDAD'!E24,'ANCHONDO ROMERO CESAR ALEJANDRO'!Y$40:Y$46)</f>
        <v>#REF!</v>
      </c>
      <c r="G24" s="146"/>
    </row>
    <row r="25" spans="1:12" x14ac:dyDescent="0.25">
      <c r="A25" s="143" t="s">
        <v>157</v>
      </c>
      <c r="B25" s="144">
        <f>+SUMIF('AGUILAR ESQUIVEL CARLOS'!P$40:P$46,'KM POR UNIDAD'!A25,'AGUILAR ESQUIVEL CARLOS'!U$40:U$46)+SUMIF('AGUILAR RODRIGUEZ JORGE ALONSO'!P$40:P$46,'KM POR UNIDAD'!A25,'AGUILAR RODRIGUEZ JORGE ALONSO'!U$40:U$46)+SUMIF('REYES LARA DANTE'!P$40:P$46,'KM POR UNIDAD'!A25,'REYES LARA DANTE'!U$40:U$46)+SUMIF('RAMIREZ BAUTISTA ADRIAN'!P$40:P$46,'KM POR UNIDAD'!A25,'RAMIREZ BAUTISTA ADRIAN'!U$40:U$46)+SUMIF('FLORES BOJORQUEZ BRYAN OVED'!P$40:P$46,'KM POR UNIDAD'!A25,'FLORES BOJORQUEZ BRYAN OVED'!U$40:U$46)+SUMIF('BALDERRAMA ROBLES JORGE'!P$40:P$46,'KM POR UNIDAD'!A25,'BALDERRAMA ROBLES JORGE'!U$40:U$46)+SUMIF('BURGOS TORRES RIGOBERTO'!P$39:P$45,'KM POR UNIDAD'!A25,'BURGOS TORRES RIGOBERTO'!U$39:U$45)+SUMIF('CORDOVA URIBE JOSE  ADRIAN'!P$40:P$46,'KM POR UNIDAD'!A25,'CORDOVA URIBE JOSE  ADRIAN'!U$40:U$46)+SUMIF('GUZMAN CHAPARRO PEDRO'!P$40:P$46,'KM POR UNIDAD'!A25,'GUZMAN CHAPARRO PEDRO'!U$40:U$46)+SUMIF('HERNANDEZ LICANO JOSE LUIS'!P$40:P$46,'KM POR UNIDAD'!A25,'HERNANDEZ LICANO JOSE LUIS'!U$40:U$46)+SUMIF('CARRERA REYES MARTIN SEBASTIAN'!P$41:P$47,'KM POR UNIDAD'!A25,'CARRERA REYES MARTIN SEBASTIAN'!U$41:U$47)+SUMIF('RUIZ SAUCEDO DANIEL ALEJANDRO'!P$40:P$46,'KM POR UNIDAD'!A25,'RUIZ SAUCEDO DANIEL ALEJANDRO'!U$40:U$46)+SUMIF('MARTINEZ RAMIREZ ROSALIO'!P$40:P$46,'KM POR UNIDAD'!A25,'MARTINEZ RAMIREZ ROSALIO'!U$40:U$46)+SUMIF('BALLEZA RAMIREZ JESUS JOSE'!P$40:P$46,'KM POR UNIDAD'!A25,'BALLEZA RAMIREZ JESUS JOSE'!U$40:U$46)+SUMIF('MONTERO BURROLA LUIS'!P$38:P$44,'KM POR UNIDAD'!A25,'MONTERO BURROLA LUIS'!U$38:U$44)+SUMIF('AGUILERA CONTRERAS LUIS GERARDO'!P$41:P$47,'KM POR UNIDAD'!A25,'AGUILERA CONTRERAS LUIS GERARDO'!U$41:U$47)+SUMIF('MORALES LOPEZ DE LARA MARIANO'!P$40:P$46,'KM POR UNIDAD'!A25,'MORALES LOPEZ DE LARA MARIANO'!U$40:U$46)+SUMIF('MELENDEZ SINALOA MANUEL ARAT'!P$40:P$46,'KM POR UNIDAD'!A25,'MELENDEZ SINALOA MANUEL ARAT'!U$40:U$46)+SUMIF('MORALES LECHUGA GONZALO'!P$40:P$46,'KM POR UNIDAD'!A25,'MORALES LECHUGA GONZALO'!U$40:U$46)+SUMIF('ORONA BECERRA MAURO JOSE'!P$40:P$46,'KM POR UNIDAD'!A25,'ORONA BECERRA MAURO JOSE'!U$40:U$46)+SUMIF('VALLES HERNANDEZ MANUEL MARCELI'!P$39:P$45,'KM POR UNIDAD'!A25,'VALLES HERNANDEZ MANUEL MARCELI'!U$39:U$45)+SUMIF('ORTIZ RAMIREZ HECTOR MANUEL'!P$40:P$46,'KM POR UNIDAD'!A25,'ORTIZ RAMIREZ HECTOR MANUEL'!U$40:U$46)+SUMIF('ONTIVEROS LIRA JUAN'!P$40:P$46,'KM POR UNIDAD'!A25,'ONTIVEROS LIRA JUAN'!U$40:U$46)+SUMIF('RODRIGUEZ FLORES BRYAN DARIO'!P$40:P$46,'KM POR UNIDAD'!A25,'RODRIGUEZ FLORES BRYAN DARIO'!U$40:U$46)+SUMIF('NUÑEZ RUIZ IRVING JAVIER.'!P$42:P$48,'KM POR UNIDAD'!A25,'NUÑEZ RUIZ IRVING JAVIER.'!U$42:U$48)+SUMIF('MACHADO MAZUCA ADOLFO'!P$40:P$46,'KM POR UNIDAD'!A25,'MACHADO MAZUCA ADOLFO'!U$40:U$46)+SUMIF('LIRA ARCEO JOEL EDUARDO'!P$40:P$46,'KM POR UNIDAD'!A25,'LIRA ARCEO JOEL EDUARDO'!U$40:U$46)+SUMIF('ANCHONDO ROMERO CESAR ALEJANDRO'!P$40:P$46,'KM POR UNIDAD'!A25,'ANCHONDO ROMERO CESAR ALEJANDRO'!U$40:U$46)</f>
        <v>3050</v>
      </c>
      <c r="C25" s="150">
        <f ca="1">+SUMIF('AGUILAR ESQUIVEL CARLOS'!P$40:P$46,'KM POR UNIDAD'!A25,'AGUILAR ESQUIVEL CARLOS'!T$40:T$46)+SUMIF('AGUILAR RODRIGUEZ JORGE ALONSO'!P$40:P$46,'KM POR UNIDAD'!A25,'AGUILAR RODRIGUEZ JORGE ALONSO'!T$40:T$46)+SUMIF('REYES LARA DANTE'!P$40:P$46,'KM POR UNIDAD'!A25,'REYES LARA DANTE'!T$40:T$46)+SUMIF('RAMIREZ BAUTISTA ADRIAN'!P$40:P$46,'KM POR UNIDAD'!A25,'RAMIREZ BAUTISTA ADRIAN'!T$40:T$46)+SUMIF('FLORES BOJORQUEZ BRYAN OVED'!P$40:P$46,'KM POR UNIDAD'!A25,'FLORES BOJORQUEZ BRYAN OVED'!T$40:T$46)+SUMIF('BALDERRAMA ROBLES JORGE'!P$40:P$46,'KM POR UNIDAD'!A25,'BALDERRAMA ROBLES JORGE'!T$40:T$46)+SUMIF('BURGOS TORRES RIGOBERTO'!P$39:P$45,'KM POR UNIDAD'!A25,'BURGOS TORRES RIGOBERTO'!T$39:T$45)+SUMIF('CORDOVA URIBE JOSE  ADRIAN'!P$40:P$46,'KM POR UNIDAD'!A25,'CORDOVA URIBE JOSE  ADRIAN'!T$40:T$46)+SUMIF('GUZMAN CHAPARRO PEDRO'!P$40:P$46,'KM POR UNIDAD'!A25,'GUZMAN CHAPARRO PEDRO'!T$40:T$46)+SUMIF('HERNANDEZ LICANO JOSE LUIS'!P$40:P$46,'KM POR UNIDAD'!A25,'HERNANDEZ LICANO JOSE LUIS'!T$40:T$46)+SUMIF('CARRERA REYES MARTIN SEBASTIAN'!P$41:P$47,'KM POR UNIDAD'!A25,'CARRERA REYES MARTIN SEBASTIAN'!T$41:T$47)+SUMIF('RUIZ SAUCEDO DANIEL ALEJANDRO'!P$40:P$46,'KM POR UNIDAD'!A25,'RUIZ SAUCEDO DANIEL ALEJANDRO'!T$40:T$46)+SUMIF('MARTINEZ RAMIREZ ROSALIO'!P$40:P$46,'KM POR UNIDAD'!A25,'MARTINEZ RAMIREZ ROSALIO'!T$40:T$46)+SUMIF('BALLEZA RAMIREZ JESUS JOSE'!P$40:P$46,'KM POR UNIDAD'!A25,'BALLEZA RAMIREZ JESUS JOSE'!T$40:T$46)+SUMIF('MONTERO BURROLA LUIS'!P$38:P$44,'KM POR UNIDAD'!A25,'MONTERO BURROLA LUIS'!T$38:T$44)+SUMIF('AGUILERA CONTRERAS LUIS GERARDO'!P$41:P$47,'KM POR UNIDAD'!A25,'AGUILERA CONTRERAS LUIS GERARDO'!T$41:T$47)+SUMIF('MORALES LOPEZ DE LARA MARIANO'!P$40:P$46,'KM POR UNIDAD'!A25,'MORALES LOPEZ DE LARA MARIANO'!T$40:T$46)+SUMIF('MELENDEZ SINALOA MANUEL ARAT'!P$40:P$46,'KM POR UNIDAD'!A25,'MELENDEZ SINALOA MANUEL ARAT'!T$40:T$46)+SUMIF('MORALES LECHUGA GONZALO'!P$40:P$46,'KM POR UNIDAD'!A25,'MORALES LECHUGA GONZALO'!T$40:T$46)+SUMIF('ORONA BECERRA MAURO JOSE'!P$40:P$46,'KM POR UNIDAD'!A25,'ORONA BECERRA MAURO JOSE'!T$40:T$46)+SUMIF('VALLES HERNANDEZ MANUEL MARCELI'!P$39:P$45,'KM POR UNIDAD'!A25,'VALLES HERNANDEZ MANUEL MARCELI'!T$39:T$45)+SUMIF('ORTIZ RAMIREZ HECTOR MANUEL'!P$40:P$46,'KM POR UNIDAD'!A25,'ORTIZ RAMIREZ HECTOR MANUEL'!T$40:T$46)+SUMIF('ONTIVEROS LIRA JUAN'!P$40:P$446,'KM POR UNIDAD'!A25,'ONTIVEROS LIRA JUAN'!T$40:T$46)+SUMIF('RODRIGUEZ FLORES BRYAN DARIO'!P$40:P$46,'KM POR UNIDAD'!A25,'RODRIGUEZ FLORES BRYAN DARIO'!T$40:T$46)+SUMIF('NUÑEZ RUIZ IRVING JAVIER.'!P$42:P$48,'KM POR UNIDAD'!A25,'NUÑEZ RUIZ IRVING JAVIER.'!T$42:T$48)+SUMIF('MACHADO MAZUCA ADOLFO'!P$40:P$46,'KM POR UNIDAD'!A25,'MACHADO MAZUCA ADOLFO'!T$40:T$46)+SUMIF('LIRA ARCEO JOEL EDUARDO'!P$40:P$46,'KM POR UNIDAD'!A25,'LIRA ARCEO JOEL EDUARDO'!T$40:T$46)+SUMIF('ANCHONDO ROMERO CESAR ALEJANDRO'!P$40:P$46,'KM POR UNIDAD'!A25,'ANCHONDO ROMERO CESAR ALEJANDRO'!T$40:T$46)</f>
        <v>2988</v>
      </c>
      <c r="D25" s="150">
        <f>+SUMIF('AGUILAR ESQUIVEL CARLOS'!P$40:P$46,'KM POR UNIDAD'!A25,'AGUILAR ESQUIVEL CARLOS'!V$40:V$46)+SUMIF('AGUILAR RODRIGUEZ JORGE ALONSO'!P$40:P$46,'KM POR UNIDAD'!A25,'AGUILAR RODRIGUEZ JORGE ALONSO'!V$40:V$46)+SUMIF('REYES LARA DANTE'!P$40:P$46,'KM POR UNIDAD'!A25,'REYES LARA DANTE'!V$40:V$46)+SUMIF('RAMIREZ BAUTISTA ADRIAN'!P$40:P$46,'KM POR UNIDAD'!A25,'RAMIREZ BAUTISTA ADRIAN'!V$40:V$46)+SUMIF('FLORES BOJORQUEZ BRYAN OVED'!P$40:P$46,'KM POR UNIDAD'!A25,'FLORES BOJORQUEZ BRYAN OVED'!V$40:V$46)+SUMIF('BALDERRAMA ROBLES JORGE'!P$40:P$46,'KM POR UNIDAD'!A25,'BALDERRAMA ROBLES JORGE'!V$40:V$46)+SUMIF('BURGOS TORRES RIGOBERTO'!P$39:P$45,'KM POR UNIDAD'!A25,'BURGOS TORRES RIGOBERTO'!V$39:V$45)+SUMIF('CORDOVA URIBE JOSE  ADRIAN'!P$40:P$46,'KM POR UNIDAD'!A25,'CORDOVA URIBE JOSE  ADRIAN'!V$40:V$46)+SUMIF('GUZMAN CHAPARRO PEDRO'!P$40:P$46,'KM POR UNIDAD'!A25,'GUZMAN CHAPARRO PEDRO'!V$40:V$46)+SUMIF('HERNANDEZ LICANO JOSE LUIS'!P$40:P$46,'KM POR UNIDAD'!A25,'HERNANDEZ LICANO JOSE LUIS'!V$40:V$46)+SUMIF('CARRERA REYES MARTIN SEBASTIAN'!P$41:P$47,'KM POR UNIDAD'!A25,'CARRERA REYES MARTIN SEBASTIAN'!V$41:V$47)+SUMIF('RUIZ SAUCEDO DANIEL ALEJANDRO'!P$40:P$46,'KM POR UNIDAD'!A25,'RUIZ SAUCEDO DANIEL ALEJANDRO'!V$40:V$46)+SUMIF('MARTINEZ RAMIREZ ROSALIO'!P$40:P$46,'KM POR UNIDAD'!A25,'MARTINEZ RAMIREZ ROSALIO'!V$40:V$46)+SUMIF('BALLEZA RAMIREZ JESUS JOSE'!P$40:P$46,'KM POR UNIDAD'!A25,'BALLEZA RAMIREZ JESUS JOSE'!V$40:V$46)+SUMIF('MONTERO BURROLA LUIS'!P$38:P$44,'KM POR UNIDAD'!A25,'MONTERO BURROLA LUIS'!V$38:V$44)+SUMIF('AGUILERA CONTRERAS LUIS GERARDO'!P$41:P$47,'KM POR UNIDAD'!A25,'AGUILERA CONTRERAS LUIS GERARDO'!V$41:V$47)+SUMIF('MORALES LOPEZ DE LARA MARIANO'!P$40:P$46,'KM POR UNIDAD'!A25,'MORALES LOPEZ DE LARA MARIANO'!V$40:V$46)+SUMIF('MELENDEZ SINALOA MANUEL ARAT'!P$40:P$46,'KM POR UNIDAD'!A25,'MELENDEZ SINALOA MANUEL ARAT'!V$40:V$46)+SUMIF('MORALES LECHUGA GONZALO'!P$40:P$46,'KM POR UNIDAD'!A25,'MORALES LECHUGA GONZALO'!V$40:V$46)+SUMIF('ORONA BECERRA MAURO JOSE'!P$40:P$46,'KM POR UNIDAD'!A25,'ORONA BECERRA MAURO JOSE'!V$40:V$46)+SUMIF('VALLES HERNANDEZ MANUEL MARCELI'!P$39:P$45,'KM POR UNIDAD'!A25,'VALLES HERNANDEZ MANUEL MARCELI'!V$39:V$45)+SUMIF('ORTIZ RAMIREZ HECTOR MANUEL'!P$40:P$46,'KM POR UNIDAD'!A25,'ORTIZ RAMIREZ HECTOR MANUEL'!V$40:V$46)+SUMIF('ONTIVEROS LIRA JUAN'!P$40:P$46,'KM POR UNIDAD'!A25,'ONTIVEROS LIRA JUAN'!V$40:V$46)+SUMIF('RODRIGUEZ FLORES BRYAN DARIO'!P$40:P$46,'KM POR UNIDAD'!A25,'RODRIGUEZ FLORES BRYAN DARIO'!V$40:V$46)+SUMIF('NUÑEZ RUIZ IRVING JAVIER.'!P$42:P$48,'KM POR UNIDAD'!A25,'NUÑEZ RUIZ IRVING JAVIER.'!V$42:V$48)+SUMIF('MACHADO MAZUCA ADOLFO'!P$40:P$46,'KM POR UNIDAD'!A25,'MACHADO MAZUCA ADOLFO'!V$40:V$46)+SUMIF('LIRA ARCEO JOEL EDUARDO'!P$40:P$46,'KM POR UNIDAD'!A25,'LIRA ARCEO JOEL EDUARDO'!V$40:V$46)+SUMIF('ANCHONDO ROMERO CESAR ALEJANDRO'!P$40:P$46,'KM POR UNIDAD'!A25,'ANCHONDO ROMERO CESAR ALEJANDRO'!V$40:V$46)</f>
        <v>847</v>
      </c>
      <c r="E25" s="145">
        <f t="shared" si="0"/>
        <v>3.6009445100354189</v>
      </c>
      <c r="F25" s="144" t="e">
        <f ca="1">+SUMIF('AGUILAR ESQUIVEL CARLOS'!P$40:P$46,'KM POR UNIDAD'!A25,'AGUILAR ESQUIVEL CARLOS'!W$40:W$46)+SUMIF('AGUILAR RODRIGUEZ JORGE ALONSO'!P$40:P$46,'KM POR UNIDAD'!A25,'AGUILAR RODRIGUEZ JORGE ALONSO'!W$40:W$46)+SUMIF('REYES LARA DANTE'!T$40:T$46,'KM POR UNIDAD'!A25,'REYES LARA DANTE'!Y$40:Y$46)+SUMIF('RAMIREZ BAUTISTA ADRIAN'!T$40:T$46,'KM POR UNIDAD'!A25,'RAMIREZ BAUTISTA ADRIAN'!Y$40:Y$46)+SUMIF('FLORES BOJORQUEZ BRYAN OVED'!T$40:T$46,'KM POR UNIDAD'!A25,'FLORES BOJORQUEZ BRYAN OVED'!Y$40:Y$46)+SUMIF('BALDERRAMA ROBLES JORGE'!T$40:T$46,'KM POR UNIDAD'!A25,'BALDERRAMA ROBLES JORGE'!#REF!)+SUMIF('BURGOS TORRES RIGOBERTO'!T$39:T$45,'KM POR UNIDAD'!A25,'BURGOS TORRES RIGOBERTO'!Y$39:Y$45)+SUMIF('CORDOVA URIBE JOSE  ADRIAN'!T$40:T$46,'KM POR UNIDAD'!E25,'CORDOVA URIBE JOSE  ADRIAN'!Y$40:Y$46)+SUMIF('GUZMAN CHAPARRO PEDRO'!T$40:T$46,'KM POR UNIDAD'!E25,'GUZMAN CHAPARRO PEDRO'!Y$40:Y$46)+SUMIF('HERNANDEZ LICANO JOSE LUIS'!T$40:T$46,'KM POR UNIDAD'!E25,'HERNANDEZ LICANO JOSE LUIS'!#REF!)+SUMIF('CARRERA REYES MARTIN SEBASTIAN'!T$41:T$47,'KM POR UNIDAD'!E25,'CARRERA REYES MARTIN SEBASTIAN'!Y$41:Y$47)+SUMIF('RUIZ SAUCEDO DANIEL ALEJANDRO'!T$40:T$46,'KM POR UNIDAD'!E25,'RUIZ SAUCEDO DANIEL ALEJANDRO'!Y$40:Y$46)+SUMIF('MARTINEZ RAMIREZ ROSALIO'!T$40:T$46,'KM POR UNIDAD'!E25,'MARTINEZ RAMIREZ ROSALIO'!Y$40:Y$46)+SUMIF('BALLEZA RAMIREZ JESUS JOSE'!T$40:T$46,'KM POR UNIDAD'!E25,'BALLEZA RAMIREZ JESUS JOSE'!T$176:T$180)+SUMIF('MONTERO BURROLA LUIS'!T$38:T$44,'KM POR UNIDAD'!E25,'MONTERO BURROLA LUIS'!Y$38:Y$44)+SUMIF('AGUILERA CONTRERAS LUIS GERARDO'!T$41:T$47,'KM POR UNIDAD'!E25,'AGUILERA CONTRERAS LUIS GERARDO'!Y$41:Y$47)+SUMIF('MORALES LOPEZ DE LARA MARIANO'!T$40:T$46,'KM POR UNIDAD'!E25,'MORALES LOPEZ DE LARA MARIANO'!Y$40:Y$46)+SUMIF('MELENDEZ SINALOA MANUEL ARAT'!T$40:T$46,'KM POR UNIDAD'!E25,'MELENDEZ SINALOA MANUEL ARAT'!#REF!)+SUMIF('MORALES LECHUGA GONZALO'!T$40:T$46,'KM POR UNIDAD'!E25,'MORALES LECHUGA GONZALO'!Y$40:Y$46)+SUMIF('ORONA BECERRA MAURO JOSE'!T$40:T$46,'KM POR UNIDAD'!E25,'ORONA BECERRA MAURO JOSE'!Y$40:Y$46)+SUMIF('VALLES HERNANDEZ MANUEL MARCELI'!T$39:T$45,'KM POR UNIDAD'!E25,'VALLES HERNANDEZ MANUEL MARCELI'!Y$39:Y$45)+SUMIF('ORTIZ RAMIREZ HECTOR MANUEL'!T$40:T$46,'KM POR UNIDAD'!E25,'ORTIZ RAMIREZ HECTOR MANUEL'!Y$40:Y$46)+SUMIF('ONTIVEROS LIRA JUAN'!T$40:T$46,'KM POR UNIDAD'!E25,'ONTIVEROS LIRA JUAN'!Y$40:Y$46)+SUMIF('RODRIGUEZ FLORES BRYAN DARIO'!T$40:T$46,'KM POR UNIDAD'!E25,'RODRIGUEZ FLORES BRYAN DARIO'!Y$40:Y$46)+SUMIF('NUÑEZ RUIZ IRVING JAVIER.'!T$42:T$48,'KM POR UNIDAD'!E25,'NUÑEZ RUIZ IRVING JAVIER.'!Y$42:Y$48)+SUMIF('MACHADO MAZUCA ADOLFO'!T$40:T$46,'KM POR UNIDAD'!E25,'MACHADO MAZUCA ADOLFO'!Y$40:Y$46)+SUMIF('LIRA ARCEO JOEL EDUARDO'!T$40:T$46,'KM POR UNIDAD'!E25,'LIRA ARCEO JOEL EDUARDO'!Y$41:Y$46)+SUMIF('ANCHONDO ROMERO CESAR ALEJANDRO'!T$40:T$46,'KM POR UNIDAD'!E25,'ANCHONDO ROMERO CESAR ALEJANDRO'!Y$40:Y$46)</f>
        <v>#REF!</v>
      </c>
      <c r="G25" s="146"/>
    </row>
    <row r="26" spans="1:12" x14ac:dyDescent="0.25">
      <c r="A26" s="143" t="s">
        <v>158</v>
      </c>
      <c r="B26" s="144">
        <f>+SUMIF('AGUILAR ESQUIVEL CARLOS'!P$40:P$46,'KM POR UNIDAD'!A26,'AGUILAR ESQUIVEL CARLOS'!U$40:U$46)+SUMIF('AGUILAR RODRIGUEZ JORGE ALONSO'!P$40:P$46,'KM POR UNIDAD'!A26,'AGUILAR RODRIGUEZ JORGE ALONSO'!U$40:U$46)+SUMIF('REYES LARA DANTE'!P$40:P$46,'KM POR UNIDAD'!A26,'REYES LARA DANTE'!U$40:U$46)+SUMIF('RAMIREZ BAUTISTA ADRIAN'!P$40:P$46,'KM POR UNIDAD'!A26,'RAMIREZ BAUTISTA ADRIAN'!U$40:U$46)+SUMIF('FLORES BOJORQUEZ BRYAN OVED'!P$40:P$46,'KM POR UNIDAD'!A26,'FLORES BOJORQUEZ BRYAN OVED'!U$40:U$46)+SUMIF('BALDERRAMA ROBLES JORGE'!P$40:P$46,'KM POR UNIDAD'!A26,'BALDERRAMA ROBLES JORGE'!U$40:U$46)+SUMIF('BURGOS TORRES RIGOBERTO'!P$39:P$45,'KM POR UNIDAD'!A26,'BURGOS TORRES RIGOBERTO'!U$39:U$45)+SUMIF('CORDOVA URIBE JOSE  ADRIAN'!P$40:P$46,'KM POR UNIDAD'!A26,'CORDOVA URIBE JOSE  ADRIAN'!U$40:U$46)+SUMIF('GUZMAN CHAPARRO PEDRO'!P$40:P$46,'KM POR UNIDAD'!A26,'GUZMAN CHAPARRO PEDRO'!U$40:U$46)+SUMIF('HERNANDEZ LICANO JOSE LUIS'!P$40:P$46,'KM POR UNIDAD'!A26,'HERNANDEZ LICANO JOSE LUIS'!U$40:U$46)+SUMIF('CARRERA REYES MARTIN SEBASTIAN'!P$41:P$47,'KM POR UNIDAD'!A26,'CARRERA REYES MARTIN SEBASTIAN'!U$41:U$47)+SUMIF('RUIZ SAUCEDO DANIEL ALEJANDRO'!P$40:P$46,'KM POR UNIDAD'!A26,'RUIZ SAUCEDO DANIEL ALEJANDRO'!U$40:U$46)+SUMIF('MARTINEZ RAMIREZ ROSALIO'!P$40:P$46,'KM POR UNIDAD'!A26,'MARTINEZ RAMIREZ ROSALIO'!U$40:U$46)+SUMIF('BALLEZA RAMIREZ JESUS JOSE'!P$40:P$46,'KM POR UNIDAD'!A26,'BALLEZA RAMIREZ JESUS JOSE'!U$40:U$46)+SUMIF('MONTERO BURROLA LUIS'!P$38:P$44,'KM POR UNIDAD'!A26,'MONTERO BURROLA LUIS'!U$38:U$44)+SUMIF('AGUILERA CONTRERAS LUIS GERARDO'!P$41:P$47,'KM POR UNIDAD'!A26,'AGUILERA CONTRERAS LUIS GERARDO'!U$41:U$47)+SUMIF('MORALES LOPEZ DE LARA MARIANO'!P$40:P$46,'KM POR UNIDAD'!A26,'MORALES LOPEZ DE LARA MARIANO'!U$40:U$46)+SUMIF('MELENDEZ SINALOA MANUEL ARAT'!P$40:P$46,'KM POR UNIDAD'!A26,'MELENDEZ SINALOA MANUEL ARAT'!U$40:U$46)+SUMIF('MORALES LECHUGA GONZALO'!P$40:P$46,'KM POR UNIDAD'!A26,'MORALES LECHUGA GONZALO'!U$40:U$46)+SUMIF('ORONA BECERRA MAURO JOSE'!P$40:P$46,'KM POR UNIDAD'!A26,'ORONA BECERRA MAURO JOSE'!U$40:U$46)+SUMIF('VALLES HERNANDEZ MANUEL MARCELI'!P$39:P$45,'KM POR UNIDAD'!A26,'VALLES HERNANDEZ MANUEL MARCELI'!U$39:U$45)+SUMIF('ORTIZ RAMIREZ HECTOR MANUEL'!P$40:P$46,'KM POR UNIDAD'!A26,'ORTIZ RAMIREZ HECTOR MANUEL'!U$40:U$46)+SUMIF('ONTIVEROS LIRA JUAN'!P$40:P$46,'KM POR UNIDAD'!A26,'ONTIVEROS LIRA JUAN'!U$40:U$46)+SUMIF('RODRIGUEZ FLORES BRYAN DARIO'!P$40:P$46,'KM POR UNIDAD'!A26,'RODRIGUEZ FLORES BRYAN DARIO'!U$40:U$46)+SUMIF('NUÑEZ RUIZ IRVING JAVIER.'!P$42:P$48,'KM POR UNIDAD'!A26,'NUÑEZ RUIZ IRVING JAVIER.'!U$42:U$48)+SUMIF('MACHADO MAZUCA ADOLFO'!P$40:P$46,'KM POR UNIDAD'!A26,'MACHADO MAZUCA ADOLFO'!U$40:U$46)+SUMIF('LIRA ARCEO JOEL EDUARDO'!P$40:P$46,'KM POR UNIDAD'!A26,'LIRA ARCEO JOEL EDUARDO'!U$40:U$46)+SUMIF('ANCHONDO ROMERO CESAR ALEJANDRO'!P$40:P$46,'KM POR UNIDAD'!A26,'ANCHONDO ROMERO CESAR ALEJANDRO'!U$40:U$46)</f>
        <v>3000</v>
      </c>
      <c r="C26" s="150">
        <f ca="1">+SUMIF('AGUILAR ESQUIVEL CARLOS'!P$40:P$46,'KM POR UNIDAD'!A26,'AGUILAR ESQUIVEL CARLOS'!T$40:T$46)+SUMIF('AGUILAR RODRIGUEZ JORGE ALONSO'!P$40:P$46,'KM POR UNIDAD'!A26,'AGUILAR RODRIGUEZ JORGE ALONSO'!T$40:T$46)+SUMIF('REYES LARA DANTE'!P$40:P$46,'KM POR UNIDAD'!A26,'REYES LARA DANTE'!T$40:T$46)+SUMIF('RAMIREZ BAUTISTA ADRIAN'!P$40:P$46,'KM POR UNIDAD'!A26,'RAMIREZ BAUTISTA ADRIAN'!T$40:T$46)+SUMIF('FLORES BOJORQUEZ BRYAN OVED'!P$40:P$46,'KM POR UNIDAD'!A26,'FLORES BOJORQUEZ BRYAN OVED'!T$40:T$46)+SUMIF('BALDERRAMA ROBLES JORGE'!P$40:P$46,'KM POR UNIDAD'!A26,'BALDERRAMA ROBLES JORGE'!T$40:T$46)+SUMIF('BURGOS TORRES RIGOBERTO'!P$39:P$45,'KM POR UNIDAD'!A26,'BURGOS TORRES RIGOBERTO'!T$39:T$45)+SUMIF('CORDOVA URIBE JOSE  ADRIAN'!P$40:P$46,'KM POR UNIDAD'!A26,'CORDOVA URIBE JOSE  ADRIAN'!T$40:T$46)+SUMIF('GUZMAN CHAPARRO PEDRO'!P$40:P$46,'KM POR UNIDAD'!A26,'GUZMAN CHAPARRO PEDRO'!T$40:T$46)+SUMIF('HERNANDEZ LICANO JOSE LUIS'!P$40:P$46,'KM POR UNIDAD'!A26,'HERNANDEZ LICANO JOSE LUIS'!T$40:T$46)+SUMIF('CARRERA REYES MARTIN SEBASTIAN'!P$41:P$47,'KM POR UNIDAD'!A26,'CARRERA REYES MARTIN SEBASTIAN'!T$41:T$47)+SUMIF('RUIZ SAUCEDO DANIEL ALEJANDRO'!P$40:P$46,'KM POR UNIDAD'!A26,'RUIZ SAUCEDO DANIEL ALEJANDRO'!T$40:T$46)+SUMIF('MARTINEZ RAMIREZ ROSALIO'!P$40:P$46,'KM POR UNIDAD'!A26,'MARTINEZ RAMIREZ ROSALIO'!T$40:T$46)+SUMIF('BALLEZA RAMIREZ JESUS JOSE'!P$40:P$46,'KM POR UNIDAD'!A26,'BALLEZA RAMIREZ JESUS JOSE'!T$40:T$46)+SUMIF('MONTERO BURROLA LUIS'!P$38:P$44,'KM POR UNIDAD'!A26,'MONTERO BURROLA LUIS'!T$38:T$44)+SUMIF('AGUILERA CONTRERAS LUIS GERARDO'!P$41:P$47,'KM POR UNIDAD'!A26,'AGUILERA CONTRERAS LUIS GERARDO'!T$41:T$47)+SUMIF('MORALES LOPEZ DE LARA MARIANO'!P$40:P$46,'KM POR UNIDAD'!A26,'MORALES LOPEZ DE LARA MARIANO'!T$40:T$46)+SUMIF('MELENDEZ SINALOA MANUEL ARAT'!P$40:P$46,'KM POR UNIDAD'!A26,'MELENDEZ SINALOA MANUEL ARAT'!T$40:T$46)+SUMIF('MORALES LECHUGA GONZALO'!P$40:P$46,'KM POR UNIDAD'!A26,'MORALES LECHUGA GONZALO'!T$40:T$46)+SUMIF('ORONA BECERRA MAURO JOSE'!P$40:P$46,'KM POR UNIDAD'!A26,'ORONA BECERRA MAURO JOSE'!T$40:T$46)+SUMIF('VALLES HERNANDEZ MANUEL MARCELI'!P$39:P$45,'KM POR UNIDAD'!A26,'VALLES HERNANDEZ MANUEL MARCELI'!T$39:T$45)+SUMIF('ORTIZ RAMIREZ HECTOR MANUEL'!P$40:P$46,'KM POR UNIDAD'!A26,'ORTIZ RAMIREZ HECTOR MANUEL'!T$40:T$46)+SUMIF('ONTIVEROS LIRA JUAN'!P$40:P$446,'KM POR UNIDAD'!A26,'ONTIVEROS LIRA JUAN'!T$40:T$46)+SUMIF('RODRIGUEZ FLORES BRYAN DARIO'!P$40:P$46,'KM POR UNIDAD'!A26,'RODRIGUEZ FLORES BRYAN DARIO'!T$40:T$46)+SUMIF('NUÑEZ RUIZ IRVING JAVIER.'!P$42:P$48,'KM POR UNIDAD'!A26,'NUÑEZ RUIZ IRVING JAVIER.'!T$42:T$48)+SUMIF('MACHADO MAZUCA ADOLFO'!P$40:P$46,'KM POR UNIDAD'!A26,'MACHADO MAZUCA ADOLFO'!T$40:T$46)+SUMIF('LIRA ARCEO JOEL EDUARDO'!P$40:P$46,'KM POR UNIDAD'!A26,'LIRA ARCEO JOEL EDUARDO'!T$40:T$46)+SUMIF('ANCHONDO ROMERO CESAR ALEJANDRO'!P$40:P$46,'KM POR UNIDAD'!A26,'ANCHONDO ROMERO CESAR ALEJANDRO'!T$40:T$46)</f>
        <v>21527</v>
      </c>
      <c r="D26" s="150">
        <f>+SUMIF('AGUILAR ESQUIVEL CARLOS'!P$40:P$46,'KM POR UNIDAD'!A26,'AGUILAR ESQUIVEL CARLOS'!V$40:V$46)+SUMIF('AGUILAR RODRIGUEZ JORGE ALONSO'!P$40:P$46,'KM POR UNIDAD'!A26,'AGUILAR RODRIGUEZ JORGE ALONSO'!V$40:V$46)+SUMIF('REYES LARA DANTE'!P$40:P$46,'KM POR UNIDAD'!A26,'REYES LARA DANTE'!V$40:V$46)+SUMIF('RAMIREZ BAUTISTA ADRIAN'!P$40:P$46,'KM POR UNIDAD'!A26,'RAMIREZ BAUTISTA ADRIAN'!V$40:V$46)+SUMIF('FLORES BOJORQUEZ BRYAN OVED'!P$40:P$46,'KM POR UNIDAD'!A26,'FLORES BOJORQUEZ BRYAN OVED'!V$40:V$46)+SUMIF('BALDERRAMA ROBLES JORGE'!P$40:P$46,'KM POR UNIDAD'!A26,'BALDERRAMA ROBLES JORGE'!V$40:V$46)+SUMIF('BURGOS TORRES RIGOBERTO'!P$39:P$45,'KM POR UNIDAD'!A26,'BURGOS TORRES RIGOBERTO'!V$39:V$45)+SUMIF('CORDOVA URIBE JOSE  ADRIAN'!P$40:P$46,'KM POR UNIDAD'!A26,'CORDOVA URIBE JOSE  ADRIAN'!V$40:V$46)+SUMIF('GUZMAN CHAPARRO PEDRO'!P$40:P$46,'KM POR UNIDAD'!A26,'GUZMAN CHAPARRO PEDRO'!V$40:V$46)+SUMIF('HERNANDEZ LICANO JOSE LUIS'!P$40:P$46,'KM POR UNIDAD'!A26,'HERNANDEZ LICANO JOSE LUIS'!V$40:V$46)+SUMIF('CARRERA REYES MARTIN SEBASTIAN'!P$41:P$47,'KM POR UNIDAD'!A26,'CARRERA REYES MARTIN SEBASTIAN'!V$41:V$47)+SUMIF('RUIZ SAUCEDO DANIEL ALEJANDRO'!P$40:P$46,'KM POR UNIDAD'!A26,'RUIZ SAUCEDO DANIEL ALEJANDRO'!V$40:V$46)+SUMIF('MARTINEZ RAMIREZ ROSALIO'!P$40:P$46,'KM POR UNIDAD'!A26,'MARTINEZ RAMIREZ ROSALIO'!V$40:V$46)+SUMIF('BALLEZA RAMIREZ JESUS JOSE'!P$40:P$46,'KM POR UNIDAD'!A26,'BALLEZA RAMIREZ JESUS JOSE'!V$40:V$46)+SUMIF('MONTERO BURROLA LUIS'!P$38:P$44,'KM POR UNIDAD'!A26,'MONTERO BURROLA LUIS'!V$38:V$44)+SUMIF('AGUILERA CONTRERAS LUIS GERARDO'!P$41:P$47,'KM POR UNIDAD'!A26,'AGUILERA CONTRERAS LUIS GERARDO'!V$41:V$47)+SUMIF('MORALES LOPEZ DE LARA MARIANO'!P$40:P$46,'KM POR UNIDAD'!A26,'MORALES LOPEZ DE LARA MARIANO'!V$40:V$46)+SUMIF('MELENDEZ SINALOA MANUEL ARAT'!P$40:P$46,'KM POR UNIDAD'!A26,'MELENDEZ SINALOA MANUEL ARAT'!V$40:V$46)+SUMIF('MORALES LECHUGA GONZALO'!P$40:P$46,'KM POR UNIDAD'!A26,'MORALES LECHUGA GONZALO'!V$40:V$46)+SUMIF('ORONA BECERRA MAURO JOSE'!P$40:P$46,'KM POR UNIDAD'!A26,'ORONA BECERRA MAURO JOSE'!V$40:V$46)+SUMIF('VALLES HERNANDEZ MANUEL MARCELI'!P$39:P$45,'KM POR UNIDAD'!A26,'VALLES HERNANDEZ MANUEL MARCELI'!V$39:V$45)+SUMIF('ORTIZ RAMIREZ HECTOR MANUEL'!P$40:P$46,'KM POR UNIDAD'!A26,'ORTIZ RAMIREZ HECTOR MANUEL'!V$40:V$46)+SUMIF('ONTIVEROS LIRA JUAN'!P$40:P$46,'KM POR UNIDAD'!A26,'ONTIVEROS LIRA JUAN'!V$40:V$46)+SUMIF('RODRIGUEZ FLORES BRYAN DARIO'!P$40:P$46,'KM POR UNIDAD'!A26,'RODRIGUEZ FLORES BRYAN DARIO'!V$40:V$46)+SUMIF('NUÑEZ RUIZ IRVING JAVIER.'!P$42:P$48,'KM POR UNIDAD'!A26,'NUÑEZ RUIZ IRVING JAVIER.'!V$42:V$48)+SUMIF('MACHADO MAZUCA ADOLFO'!P$40:P$46,'KM POR UNIDAD'!A26,'MACHADO MAZUCA ADOLFO'!V$40:V$46)+SUMIF('LIRA ARCEO JOEL EDUARDO'!P$40:P$46,'KM POR UNIDAD'!A26,'LIRA ARCEO JOEL EDUARDO'!V$40:V$46)+SUMIF('ANCHONDO ROMERO CESAR ALEJANDRO'!P$40:P$46,'KM POR UNIDAD'!A26,'ANCHONDO ROMERO CESAR ALEJANDRO'!V$40:V$46)</f>
        <v>967.45</v>
      </c>
      <c r="E26" s="145">
        <f t="shared" si="0"/>
        <v>3.100935448860406</v>
      </c>
      <c r="F26" s="144" t="e">
        <f ca="1">+SUMIF('AGUILAR ESQUIVEL CARLOS'!P$40:P$46,'KM POR UNIDAD'!A26,'AGUILAR ESQUIVEL CARLOS'!W$40:W$46)+SUMIF('AGUILAR RODRIGUEZ JORGE ALONSO'!P$40:P$46,'KM POR UNIDAD'!A26,'AGUILAR RODRIGUEZ JORGE ALONSO'!W$40:W$46)+SUMIF('REYES LARA DANTE'!T$40:T$46,'KM POR UNIDAD'!A26,'REYES LARA DANTE'!Y$40:Y$46)+SUMIF('RAMIREZ BAUTISTA ADRIAN'!T$40:T$46,'KM POR UNIDAD'!A26,'RAMIREZ BAUTISTA ADRIAN'!Y$40:Y$46)+SUMIF('FLORES BOJORQUEZ BRYAN OVED'!T$40:T$46,'KM POR UNIDAD'!A26,'FLORES BOJORQUEZ BRYAN OVED'!Y$40:Y$46)+SUMIF('BALDERRAMA ROBLES JORGE'!T$40:T$46,'KM POR UNIDAD'!A26,'BALDERRAMA ROBLES JORGE'!#REF!)+SUMIF('BURGOS TORRES RIGOBERTO'!T$39:T$45,'KM POR UNIDAD'!A26,'BURGOS TORRES RIGOBERTO'!Y$39:Y$45)+SUMIF('CORDOVA URIBE JOSE  ADRIAN'!T$40:T$46,'KM POR UNIDAD'!E26,'CORDOVA URIBE JOSE  ADRIAN'!Y$40:Y$46)+SUMIF('GUZMAN CHAPARRO PEDRO'!T$40:T$46,'KM POR UNIDAD'!E26,'GUZMAN CHAPARRO PEDRO'!Y$40:Y$46)+SUMIF('HERNANDEZ LICANO JOSE LUIS'!T$40:T$46,'KM POR UNIDAD'!E26,'HERNANDEZ LICANO JOSE LUIS'!#REF!)+SUMIF('CARRERA REYES MARTIN SEBASTIAN'!T$41:T$47,'KM POR UNIDAD'!E26,'CARRERA REYES MARTIN SEBASTIAN'!Y$41:Y$47)+SUMIF('RUIZ SAUCEDO DANIEL ALEJANDRO'!T$40:T$46,'KM POR UNIDAD'!E26,'RUIZ SAUCEDO DANIEL ALEJANDRO'!Y$40:Y$46)+SUMIF('MARTINEZ RAMIREZ ROSALIO'!T$40:T$46,'KM POR UNIDAD'!E26,'MARTINEZ RAMIREZ ROSALIO'!Y$40:Y$46)+SUMIF('BALLEZA RAMIREZ JESUS JOSE'!T$40:T$46,'KM POR UNIDAD'!E26,'BALLEZA RAMIREZ JESUS JOSE'!T$176:T$180)+SUMIF('MONTERO BURROLA LUIS'!T$38:T$44,'KM POR UNIDAD'!E26,'MONTERO BURROLA LUIS'!Y$38:Y$44)+SUMIF('AGUILERA CONTRERAS LUIS GERARDO'!T$41:T$47,'KM POR UNIDAD'!E26,'AGUILERA CONTRERAS LUIS GERARDO'!Y$41:Y$47)+SUMIF('MORALES LOPEZ DE LARA MARIANO'!T$40:T$46,'KM POR UNIDAD'!E26,'MORALES LOPEZ DE LARA MARIANO'!Y$40:Y$46)+SUMIF('MELENDEZ SINALOA MANUEL ARAT'!T$40:T$46,'KM POR UNIDAD'!E26,'MELENDEZ SINALOA MANUEL ARAT'!#REF!)+SUMIF('MORALES LECHUGA GONZALO'!T$40:T$46,'KM POR UNIDAD'!E26,'MORALES LECHUGA GONZALO'!Y$40:Y$46)+SUMIF('ORONA BECERRA MAURO JOSE'!T$40:T$46,'KM POR UNIDAD'!E26,'ORONA BECERRA MAURO JOSE'!Y$40:Y$46)+SUMIF('VALLES HERNANDEZ MANUEL MARCELI'!T$39:T$45,'KM POR UNIDAD'!E26,'VALLES HERNANDEZ MANUEL MARCELI'!Y$39:Y$45)+SUMIF('ORTIZ RAMIREZ HECTOR MANUEL'!T$40:T$46,'KM POR UNIDAD'!E26,'ORTIZ RAMIREZ HECTOR MANUEL'!Y$40:Y$46)+SUMIF('ONTIVEROS LIRA JUAN'!T$40:T$46,'KM POR UNIDAD'!E26,'ONTIVEROS LIRA JUAN'!Y$40:Y$46)+SUMIF('RODRIGUEZ FLORES BRYAN DARIO'!T$40:T$46,'KM POR UNIDAD'!E26,'RODRIGUEZ FLORES BRYAN DARIO'!Y$40:Y$46)+SUMIF('NUÑEZ RUIZ IRVING JAVIER.'!T$42:T$48,'KM POR UNIDAD'!E26,'NUÑEZ RUIZ IRVING JAVIER.'!Y$42:Y$48)+SUMIF('MACHADO MAZUCA ADOLFO'!T$40:T$46,'KM POR UNIDAD'!E26,'MACHADO MAZUCA ADOLFO'!Y$40:Y$46)+SUMIF('LIRA ARCEO JOEL EDUARDO'!T$40:T$46,'KM POR UNIDAD'!E26,'LIRA ARCEO JOEL EDUARDO'!Y$41:Y$46)+SUMIF('ANCHONDO ROMERO CESAR ALEJANDRO'!T$40:T$46,'KM POR UNIDAD'!E26,'ANCHONDO ROMERO CESAR ALEJANDRO'!Y$40:Y$46)</f>
        <v>#REF!</v>
      </c>
      <c r="G26" s="146"/>
    </row>
    <row r="27" spans="1:12" x14ac:dyDescent="0.25">
      <c r="A27" s="143" t="s">
        <v>159</v>
      </c>
      <c r="B27" s="144">
        <f>+SUMIF('AGUILAR ESQUIVEL CARLOS'!P$40:P$46,'KM POR UNIDAD'!A27,'AGUILAR ESQUIVEL CARLOS'!U$40:U$46)+SUMIF('AGUILAR RODRIGUEZ JORGE ALONSO'!P$40:P$46,'KM POR UNIDAD'!A27,'AGUILAR RODRIGUEZ JORGE ALONSO'!U$40:U$46)+SUMIF('REYES LARA DANTE'!P$40:P$46,'KM POR UNIDAD'!A27,'REYES LARA DANTE'!U$40:U$46)+SUMIF('RAMIREZ BAUTISTA ADRIAN'!P$40:P$46,'KM POR UNIDAD'!A27,'RAMIREZ BAUTISTA ADRIAN'!U$40:U$46)+SUMIF('FLORES BOJORQUEZ BRYAN OVED'!P$40:P$46,'KM POR UNIDAD'!A27,'FLORES BOJORQUEZ BRYAN OVED'!U$40:U$46)+SUMIF('BALDERRAMA ROBLES JORGE'!P$40:P$46,'KM POR UNIDAD'!A27,'BALDERRAMA ROBLES JORGE'!U$40:U$46)+SUMIF('BURGOS TORRES RIGOBERTO'!P$39:P$45,'KM POR UNIDAD'!A27,'BURGOS TORRES RIGOBERTO'!U$39:U$45)+SUMIF('CORDOVA URIBE JOSE  ADRIAN'!P$40:P$46,'KM POR UNIDAD'!A27,'CORDOVA URIBE JOSE  ADRIAN'!U$40:U$46)+SUMIF('GUZMAN CHAPARRO PEDRO'!P$40:P$46,'KM POR UNIDAD'!A27,'GUZMAN CHAPARRO PEDRO'!U$40:U$46)+SUMIF('HERNANDEZ LICANO JOSE LUIS'!P$40:P$46,'KM POR UNIDAD'!A27,'HERNANDEZ LICANO JOSE LUIS'!U$40:U$46)+SUMIF('CARRERA REYES MARTIN SEBASTIAN'!P$41:P$47,'KM POR UNIDAD'!A27,'CARRERA REYES MARTIN SEBASTIAN'!U$41:U$47)+SUMIF('RUIZ SAUCEDO DANIEL ALEJANDRO'!P$40:P$46,'KM POR UNIDAD'!A27,'RUIZ SAUCEDO DANIEL ALEJANDRO'!U$40:U$46)+SUMIF('MARTINEZ RAMIREZ ROSALIO'!P$40:P$46,'KM POR UNIDAD'!A27,'MARTINEZ RAMIREZ ROSALIO'!U$40:U$46)+SUMIF('BALLEZA RAMIREZ JESUS JOSE'!P$40:P$46,'KM POR UNIDAD'!A27,'BALLEZA RAMIREZ JESUS JOSE'!U$40:U$46)+SUMIF('MONTERO BURROLA LUIS'!P$38:P$44,'KM POR UNIDAD'!A27,'MONTERO BURROLA LUIS'!U$38:U$44)+SUMIF('AGUILERA CONTRERAS LUIS GERARDO'!P$41:P$47,'KM POR UNIDAD'!A27,'AGUILERA CONTRERAS LUIS GERARDO'!U$41:U$47)+SUMIF('MORALES LOPEZ DE LARA MARIANO'!P$40:P$46,'KM POR UNIDAD'!A27,'MORALES LOPEZ DE LARA MARIANO'!U$40:U$46)+SUMIF('MELENDEZ SINALOA MANUEL ARAT'!P$40:P$46,'KM POR UNIDAD'!A27,'MELENDEZ SINALOA MANUEL ARAT'!U$40:U$46)+SUMIF('MORALES LECHUGA GONZALO'!P$40:P$46,'KM POR UNIDAD'!A27,'MORALES LECHUGA GONZALO'!U$40:U$46)+SUMIF('ORONA BECERRA MAURO JOSE'!P$40:P$46,'KM POR UNIDAD'!A27,'ORONA BECERRA MAURO JOSE'!U$40:U$46)+SUMIF('VALLES HERNANDEZ MANUEL MARCELI'!P$39:P$45,'KM POR UNIDAD'!A27,'VALLES HERNANDEZ MANUEL MARCELI'!U$39:U$45)+SUMIF('ORTIZ RAMIREZ HECTOR MANUEL'!P$40:P$46,'KM POR UNIDAD'!A27,'ORTIZ RAMIREZ HECTOR MANUEL'!U$40:U$46)+SUMIF('ONTIVEROS LIRA JUAN'!P$40:P$46,'KM POR UNIDAD'!A27,'ONTIVEROS LIRA JUAN'!U$40:U$46)+SUMIF('RODRIGUEZ FLORES BRYAN DARIO'!P$40:P$46,'KM POR UNIDAD'!A27,'RODRIGUEZ FLORES BRYAN DARIO'!U$40:U$46)+SUMIF('NUÑEZ RUIZ IRVING JAVIER.'!P$42:P$48,'KM POR UNIDAD'!A27,'NUÑEZ RUIZ IRVING JAVIER.'!U$42:U$48)+SUMIF('MACHADO MAZUCA ADOLFO'!P$40:P$46,'KM POR UNIDAD'!A27,'MACHADO MAZUCA ADOLFO'!U$40:U$46)+SUMIF('LIRA ARCEO JOEL EDUARDO'!P$40:P$46,'KM POR UNIDAD'!A27,'LIRA ARCEO JOEL EDUARDO'!U$40:U$46)+SUMIF('ANCHONDO ROMERO CESAR ALEJANDRO'!P$40:P$46,'KM POR UNIDAD'!A27,'ANCHONDO ROMERO CESAR ALEJANDRO'!U$40:U$46)</f>
        <v>3400</v>
      </c>
      <c r="C27" s="150">
        <f ca="1">+SUMIF('AGUILAR ESQUIVEL CARLOS'!P$40:P$46,'KM POR UNIDAD'!A27,'AGUILAR ESQUIVEL CARLOS'!T$40:T$46)+SUMIF('AGUILAR RODRIGUEZ JORGE ALONSO'!P$40:P$46,'KM POR UNIDAD'!A27,'AGUILAR RODRIGUEZ JORGE ALONSO'!T$40:T$46)+SUMIF('REYES LARA DANTE'!P$40:P$46,'KM POR UNIDAD'!A27,'REYES LARA DANTE'!T$40:T$46)+SUMIF('RAMIREZ BAUTISTA ADRIAN'!P$40:P$46,'KM POR UNIDAD'!A27,'RAMIREZ BAUTISTA ADRIAN'!T$40:T$46)+SUMIF('FLORES BOJORQUEZ BRYAN OVED'!P$40:P$46,'KM POR UNIDAD'!A27,'FLORES BOJORQUEZ BRYAN OVED'!T$40:T$46)+SUMIF('BALDERRAMA ROBLES JORGE'!P$40:P$46,'KM POR UNIDAD'!A27,'BALDERRAMA ROBLES JORGE'!T$40:T$46)+SUMIF('BURGOS TORRES RIGOBERTO'!P$39:P$45,'KM POR UNIDAD'!A27,'BURGOS TORRES RIGOBERTO'!T$39:T$45)+SUMIF('CORDOVA URIBE JOSE  ADRIAN'!P$40:P$46,'KM POR UNIDAD'!A27,'CORDOVA URIBE JOSE  ADRIAN'!T$40:T$46)+SUMIF('GUZMAN CHAPARRO PEDRO'!P$40:P$46,'KM POR UNIDAD'!A27,'GUZMAN CHAPARRO PEDRO'!T$40:T$46)+SUMIF('HERNANDEZ LICANO JOSE LUIS'!P$40:P$46,'KM POR UNIDAD'!A27,'HERNANDEZ LICANO JOSE LUIS'!T$40:T$46)+SUMIF('CARRERA REYES MARTIN SEBASTIAN'!P$41:P$47,'KM POR UNIDAD'!A27,'CARRERA REYES MARTIN SEBASTIAN'!T$41:T$47)+SUMIF('RUIZ SAUCEDO DANIEL ALEJANDRO'!P$40:P$46,'KM POR UNIDAD'!A27,'RUIZ SAUCEDO DANIEL ALEJANDRO'!T$40:T$46)+SUMIF('MARTINEZ RAMIREZ ROSALIO'!P$40:P$46,'KM POR UNIDAD'!A27,'MARTINEZ RAMIREZ ROSALIO'!T$40:T$46)+SUMIF('BALLEZA RAMIREZ JESUS JOSE'!P$40:P$46,'KM POR UNIDAD'!A27,'BALLEZA RAMIREZ JESUS JOSE'!T$40:T$46)+SUMIF('MONTERO BURROLA LUIS'!P$38:P$44,'KM POR UNIDAD'!A27,'MONTERO BURROLA LUIS'!T$38:T$44)+SUMIF('AGUILERA CONTRERAS LUIS GERARDO'!P$41:P$47,'KM POR UNIDAD'!A27,'AGUILERA CONTRERAS LUIS GERARDO'!T$41:T$47)+SUMIF('MORALES LOPEZ DE LARA MARIANO'!P$40:P$46,'KM POR UNIDAD'!A27,'MORALES LOPEZ DE LARA MARIANO'!T$40:T$46)+SUMIF('MELENDEZ SINALOA MANUEL ARAT'!P$40:P$46,'KM POR UNIDAD'!A27,'MELENDEZ SINALOA MANUEL ARAT'!T$40:T$46)+SUMIF('MORALES LECHUGA GONZALO'!P$40:P$46,'KM POR UNIDAD'!A27,'MORALES LECHUGA GONZALO'!T$40:T$46)+SUMIF('ORONA BECERRA MAURO JOSE'!P$40:P$46,'KM POR UNIDAD'!A27,'ORONA BECERRA MAURO JOSE'!T$40:T$46)+SUMIF('VALLES HERNANDEZ MANUEL MARCELI'!P$39:P$45,'KM POR UNIDAD'!A27,'VALLES HERNANDEZ MANUEL MARCELI'!T$39:T$45)+SUMIF('ORTIZ RAMIREZ HECTOR MANUEL'!P$40:P$46,'KM POR UNIDAD'!A27,'ORTIZ RAMIREZ HECTOR MANUEL'!T$40:T$46)+SUMIF('ONTIVEROS LIRA JUAN'!P$40:P$446,'KM POR UNIDAD'!A27,'ONTIVEROS LIRA JUAN'!T$40:T$46)+SUMIF('RODRIGUEZ FLORES BRYAN DARIO'!P$40:P$46,'KM POR UNIDAD'!A27,'RODRIGUEZ FLORES BRYAN DARIO'!T$40:T$46)+SUMIF('NUÑEZ RUIZ IRVING JAVIER.'!P$42:P$48,'KM POR UNIDAD'!A27,'NUÑEZ RUIZ IRVING JAVIER.'!T$42:T$48)+SUMIF('MACHADO MAZUCA ADOLFO'!P$40:P$46,'KM POR UNIDAD'!A27,'MACHADO MAZUCA ADOLFO'!T$40:T$46)+SUMIF('LIRA ARCEO JOEL EDUARDO'!P$40:P$46,'KM POR UNIDAD'!A27,'LIRA ARCEO JOEL EDUARDO'!T$40:T$46)+SUMIF('ANCHONDO ROMERO CESAR ALEJANDRO'!P$40:P$46,'KM POR UNIDAD'!A27,'ANCHONDO ROMERO CESAR ALEJANDRO'!T$40:T$46)</f>
        <v>723</v>
      </c>
      <c r="D27" s="150">
        <f>+SUMIF('AGUILAR ESQUIVEL CARLOS'!P$40:P$46,'KM POR UNIDAD'!A27,'AGUILAR ESQUIVEL CARLOS'!V$40:V$46)+SUMIF('AGUILAR RODRIGUEZ JORGE ALONSO'!P$40:P$46,'KM POR UNIDAD'!A27,'AGUILAR RODRIGUEZ JORGE ALONSO'!V$40:V$46)+SUMIF('REYES LARA DANTE'!P$40:P$46,'KM POR UNIDAD'!A27,'REYES LARA DANTE'!V$40:V$46)+SUMIF('RAMIREZ BAUTISTA ADRIAN'!P$40:P$46,'KM POR UNIDAD'!A27,'RAMIREZ BAUTISTA ADRIAN'!V$40:V$46)+SUMIF('FLORES BOJORQUEZ BRYAN OVED'!P$40:P$46,'KM POR UNIDAD'!A27,'FLORES BOJORQUEZ BRYAN OVED'!V$40:V$46)+SUMIF('BALDERRAMA ROBLES JORGE'!P$40:P$46,'KM POR UNIDAD'!A27,'BALDERRAMA ROBLES JORGE'!V$40:V$46)+SUMIF('BURGOS TORRES RIGOBERTO'!P$39:P$45,'KM POR UNIDAD'!A27,'BURGOS TORRES RIGOBERTO'!V$39:V$45)+SUMIF('CORDOVA URIBE JOSE  ADRIAN'!P$40:P$46,'KM POR UNIDAD'!A27,'CORDOVA URIBE JOSE  ADRIAN'!V$40:V$46)+SUMIF('GUZMAN CHAPARRO PEDRO'!P$40:P$46,'KM POR UNIDAD'!A27,'GUZMAN CHAPARRO PEDRO'!V$40:V$46)+SUMIF('HERNANDEZ LICANO JOSE LUIS'!P$40:P$46,'KM POR UNIDAD'!A27,'HERNANDEZ LICANO JOSE LUIS'!V$40:V$46)+SUMIF('CARRERA REYES MARTIN SEBASTIAN'!P$41:P$47,'KM POR UNIDAD'!A27,'CARRERA REYES MARTIN SEBASTIAN'!V$41:V$47)+SUMIF('RUIZ SAUCEDO DANIEL ALEJANDRO'!P$40:P$46,'KM POR UNIDAD'!A27,'RUIZ SAUCEDO DANIEL ALEJANDRO'!V$40:V$46)+SUMIF('MARTINEZ RAMIREZ ROSALIO'!P$40:P$46,'KM POR UNIDAD'!A27,'MARTINEZ RAMIREZ ROSALIO'!V$40:V$46)+SUMIF('BALLEZA RAMIREZ JESUS JOSE'!P$40:P$46,'KM POR UNIDAD'!A27,'BALLEZA RAMIREZ JESUS JOSE'!V$40:V$46)+SUMIF('MONTERO BURROLA LUIS'!P$38:P$44,'KM POR UNIDAD'!A27,'MONTERO BURROLA LUIS'!V$38:V$44)+SUMIF('AGUILERA CONTRERAS LUIS GERARDO'!P$41:P$47,'KM POR UNIDAD'!A27,'AGUILERA CONTRERAS LUIS GERARDO'!V$41:V$47)+SUMIF('MORALES LOPEZ DE LARA MARIANO'!P$40:P$46,'KM POR UNIDAD'!A27,'MORALES LOPEZ DE LARA MARIANO'!V$40:V$46)+SUMIF('MELENDEZ SINALOA MANUEL ARAT'!P$40:P$46,'KM POR UNIDAD'!A27,'MELENDEZ SINALOA MANUEL ARAT'!V$40:V$46)+SUMIF('MORALES LECHUGA GONZALO'!P$40:P$46,'KM POR UNIDAD'!A27,'MORALES LECHUGA GONZALO'!V$40:V$46)+SUMIF('ORONA BECERRA MAURO JOSE'!P$40:P$46,'KM POR UNIDAD'!A27,'ORONA BECERRA MAURO JOSE'!V$40:V$46)+SUMIF('VALLES HERNANDEZ MANUEL MARCELI'!P$39:P$45,'KM POR UNIDAD'!A27,'VALLES HERNANDEZ MANUEL MARCELI'!V$39:V$45)+SUMIF('ORTIZ RAMIREZ HECTOR MANUEL'!P$40:P$46,'KM POR UNIDAD'!A27,'ORTIZ RAMIREZ HECTOR MANUEL'!V$40:V$46)+SUMIF('ONTIVEROS LIRA JUAN'!P$40:P$46,'KM POR UNIDAD'!A27,'ONTIVEROS LIRA JUAN'!V$40:V$46)+SUMIF('RODRIGUEZ FLORES BRYAN DARIO'!P$40:P$46,'KM POR UNIDAD'!A27,'RODRIGUEZ FLORES BRYAN DARIO'!V$40:V$46)+SUMIF('NUÑEZ RUIZ IRVING JAVIER.'!P$42:P$48,'KM POR UNIDAD'!A27,'NUÑEZ RUIZ IRVING JAVIER.'!V$42:V$48)+SUMIF('MACHADO MAZUCA ADOLFO'!P$40:P$46,'KM POR UNIDAD'!A27,'MACHADO MAZUCA ADOLFO'!V$40:V$46)+SUMIF('LIRA ARCEO JOEL EDUARDO'!P$40:P$46,'KM POR UNIDAD'!A27,'LIRA ARCEO JOEL EDUARDO'!V$40:V$46)+SUMIF('ANCHONDO ROMERO CESAR ALEJANDRO'!P$40:P$46,'KM POR UNIDAD'!A27,'ANCHONDO ROMERO CESAR ALEJANDRO'!V$40:V$46)</f>
        <v>956.99</v>
      </c>
      <c r="E27" s="145">
        <f t="shared" si="0"/>
        <v>3.5528061944220943</v>
      </c>
      <c r="F27" s="144" t="e">
        <f ca="1">+SUMIF('AGUILAR ESQUIVEL CARLOS'!P$40:P$46,'KM POR UNIDAD'!A27,'AGUILAR ESQUIVEL CARLOS'!W$40:W$46)+SUMIF('AGUILAR RODRIGUEZ JORGE ALONSO'!P$40:P$46,'KM POR UNIDAD'!A27,'AGUILAR RODRIGUEZ JORGE ALONSO'!W$40:W$46)+SUMIF('REYES LARA DANTE'!T$40:T$46,'KM POR UNIDAD'!A27,'REYES LARA DANTE'!Y$40:Y$46)+SUMIF('RAMIREZ BAUTISTA ADRIAN'!T$40:T$46,'KM POR UNIDAD'!A27,'RAMIREZ BAUTISTA ADRIAN'!Y$40:Y$46)+SUMIF('FLORES BOJORQUEZ BRYAN OVED'!T$40:T$46,'KM POR UNIDAD'!A27,'FLORES BOJORQUEZ BRYAN OVED'!Y$40:Y$46)+SUMIF('BALDERRAMA ROBLES JORGE'!T$40:T$46,'KM POR UNIDAD'!A27,'BALDERRAMA ROBLES JORGE'!#REF!)+SUMIF('BURGOS TORRES RIGOBERTO'!T$39:T$45,'KM POR UNIDAD'!A27,'BURGOS TORRES RIGOBERTO'!Y$39:Y$45)+SUMIF('CORDOVA URIBE JOSE  ADRIAN'!T$40:T$46,'KM POR UNIDAD'!E27,'CORDOVA URIBE JOSE  ADRIAN'!Y$40:Y$46)+SUMIF('GUZMAN CHAPARRO PEDRO'!T$40:T$46,'KM POR UNIDAD'!E27,'GUZMAN CHAPARRO PEDRO'!Y$40:Y$46)+SUMIF('HERNANDEZ LICANO JOSE LUIS'!T$40:T$46,'KM POR UNIDAD'!E27,'HERNANDEZ LICANO JOSE LUIS'!#REF!)+SUMIF('CARRERA REYES MARTIN SEBASTIAN'!T$41:T$47,'KM POR UNIDAD'!E27,'CARRERA REYES MARTIN SEBASTIAN'!Y$41:Y$47)+SUMIF('RUIZ SAUCEDO DANIEL ALEJANDRO'!T$40:T$46,'KM POR UNIDAD'!E27,'RUIZ SAUCEDO DANIEL ALEJANDRO'!Y$40:Y$46)+SUMIF('MARTINEZ RAMIREZ ROSALIO'!T$40:T$46,'KM POR UNIDAD'!E27,'MARTINEZ RAMIREZ ROSALIO'!Y$40:Y$46)+SUMIF('BALLEZA RAMIREZ JESUS JOSE'!T$40:T$46,'KM POR UNIDAD'!E27,'BALLEZA RAMIREZ JESUS JOSE'!T$176:T$180)+SUMIF('MONTERO BURROLA LUIS'!T$38:T$44,'KM POR UNIDAD'!E27,'MONTERO BURROLA LUIS'!Y$38:Y$44)+SUMIF('AGUILERA CONTRERAS LUIS GERARDO'!T$41:T$47,'KM POR UNIDAD'!E27,'AGUILERA CONTRERAS LUIS GERARDO'!Y$41:Y$47)+SUMIF('MORALES LOPEZ DE LARA MARIANO'!T$40:T$46,'KM POR UNIDAD'!E27,'MORALES LOPEZ DE LARA MARIANO'!Y$40:Y$46)+SUMIF('MELENDEZ SINALOA MANUEL ARAT'!T$40:T$46,'KM POR UNIDAD'!E27,'MELENDEZ SINALOA MANUEL ARAT'!#REF!)+SUMIF('MORALES LECHUGA GONZALO'!T$40:T$46,'KM POR UNIDAD'!E27,'MORALES LECHUGA GONZALO'!Y$40:Y$46)+SUMIF('ORONA BECERRA MAURO JOSE'!T$40:T$46,'KM POR UNIDAD'!E27,'ORONA BECERRA MAURO JOSE'!Y$40:Y$46)+SUMIF('VALLES HERNANDEZ MANUEL MARCELI'!T$39:T$45,'KM POR UNIDAD'!E27,'VALLES HERNANDEZ MANUEL MARCELI'!Y$39:Y$45)+SUMIF('ORTIZ RAMIREZ HECTOR MANUEL'!T$40:T$46,'KM POR UNIDAD'!E27,'ORTIZ RAMIREZ HECTOR MANUEL'!Y$40:Y$46)+SUMIF('ONTIVEROS LIRA JUAN'!T$40:T$46,'KM POR UNIDAD'!E27,'ONTIVEROS LIRA JUAN'!Y$40:Y$46)+SUMIF('RODRIGUEZ FLORES BRYAN DARIO'!T$40:T$46,'KM POR UNIDAD'!E27,'RODRIGUEZ FLORES BRYAN DARIO'!Y$40:Y$46)+SUMIF('NUÑEZ RUIZ IRVING JAVIER.'!T$42:T$48,'KM POR UNIDAD'!E27,'NUÑEZ RUIZ IRVING JAVIER.'!Y$42:Y$48)+SUMIF('MACHADO MAZUCA ADOLFO'!T$40:T$46,'KM POR UNIDAD'!E27,'MACHADO MAZUCA ADOLFO'!Y$40:Y$46)+SUMIF('LIRA ARCEO JOEL EDUARDO'!T$40:T$46,'KM POR UNIDAD'!E27,'LIRA ARCEO JOEL EDUARDO'!Y$41:Y$46)+SUMIF('ANCHONDO ROMERO CESAR ALEJANDRO'!T$40:T$46,'KM POR UNIDAD'!E27,'ANCHONDO ROMERO CESAR ALEJANDRO'!Y$40:Y$46)</f>
        <v>#REF!</v>
      </c>
      <c r="G27" s="146"/>
      <c r="L27" s="235"/>
    </row>
    <row r="28" spans="1:12" x14ac:dyDescent="0.25">
      <c r="A28" s="143" t="s">
        <v>160</v>
      </c>
      <c r="B28" s="144">
        <f>+SUMIF('AGUILAR ESQUIVEL CARLOS'!P$40:P$46,'KM POR UNIDAD'!A28,'AGUILAR ESQUIVEL CARLOS'!U$40:U$46)+SUMIF('AGUILAR RODRIGUEZ JORGE ALONSO'!P$40:P$46,'KM POR UNIDAD'!A28,'AGUILAR RODRIGUEZ JORGE ALONSO'!U$40:U$46)+SUMIF('REYES LARA DANTE'!P$40:P$46,'KM POR UNIDAD'!A28,'REYES LARA DANTE'!U$40:U$46)+SUMIF('RAMIREZ BAUTISTA ADRIAN'!P$40:P$46,'KM POR UNIDAD'!A28,'RAMIREZ BAUTISTA ADRIAN'!U$40:U$46)+SUMIF('FLORES BOJORQUEZ BRYAN OVED'!P$40:P$46,'KM POR UNIDAD'!A28,'FLORES BOJORQUEZ BRYAN OVED'!U$40:U$46)+SUMIF('BALDERRAMA ROBLES JORGE'!P$40:P$46,'KM POR UNIDAD'!A28,'BALDERRAMA ROBLES JORGE'!U$40:U$46)+SUMIF('BURGOS TORRES RIGOBERTO'!P$39:P$45,'KM POR UNIDAD'!A28,'BURGOS TORRES RIGOBERTO'!U$39:U$45)+SUMIF('CORDOVA URIBE JOSE  ADRIAN'!P$40:P$46,'KM POR UNIDAD'!A28,'CORDOVA URIBE JOSE  ADRIAN'!U$40:U$46)+SUMIF('GUZMAN CHAPARRO PEDRO'!P$40:P$46,'KM POR UNIDAD'!A28,'GUZMAN CHAPARRO PEDRO'!U$40:U$46)+SUMIF('HERNANDEZ LICANO JOSE LUIS'!P$40:P$46,'KM POR UNIDAD'!A28,'HERNANDEZ LICANO JOSE LUIS'!U$40:U$46)+SUMIF('CARRERA REYES MARTIN SEBASTIAN'!P$41:P$47,'KM POR UNIDAD'!A28,'CARRERA REYES MARTIN SEBASTIAN'!U$41:U$47)+SUMIF('RUIZ SAUCEDO DANIEL ALEJANDRO'!P$40:P$46,'KM POR UNIDAD'!A28,'RUIZ SAUCEDO DANIEL ALEJANDRO'!U$40:U$46)+SUMIF('MARTINEZ RAMIREZ ROSALIO'!P$40:P$46,'KM POR UNIDAD'!A28,'MARTINEZ RAMIREZ ROSALIO'!U$40:U$46)+SUMIF('BALLEZA RAMIREZ JESUS JOSE'!P$40:P$46,'KM POR UNIDAD'!A28,'BALLEZA RAMIREZ JESUS JOSE'!U$40:U$46)+SUMIF('MONTERO BURROLA LUIS'!P$38:P$44,'KM POR UNIDAD'!A28,'MONTERO BURROLA LUIS'!U$38:U$44)+SUMIF('AGUILERA CONTRERAS LUIS GERARDO'!P$41:P$47,'KM POR UNIDAD'!A28,'AGUILERA CONTRERAS LUIS GERARDO'!U$41:U$47)+SUMIF('MORALES LOPEZ DE LARA MARIANO'!P$40:P$46,'KM POR UNIDAD'!A28,'MORALES LOPEZ DE LARA MARIANO'!U$40:U$46)+SUMIF('MELENDEZ SINALOA MANUEL ARAT'!P$40:P$46,'KM POR UNIDAD'!A28,'MELENDEZ SINALOA MANUEL ARAT'!U$40:U$46)+SUMIF('MORALES LECHUGA GONZALO'!P$40:P$46,'KM POR UNIDAD'!A28,'MORALES LECHUGA GONZALO'!U$40:U$46)+SUMIF('ORONA BECERRA MAURO JOSE'!P$40:P$46,'KM POR UNIDAD'!A28,'ORONA BECERRA MAURO JOSE'!U$40:U$46)+SUMIF('VALLES HERNANDEZ MANUEL MARCELI'!P$39:P$45,'KM POR UNIDAD'!A28,'VALLES HERNANDEZ MANUEL MARCELI'!U$39:U$45)+SUMIF('ORTIZ RAMIREZ HECTOR MANUEL'!P$40:P$46,'KM POR UNIDAD'!A28,'ORTIZ RAMIREZ HECTOR MANUEL'!U$40:U$46)+SUMIF('ONTIVEROS LIRA JUAN'!P$40:P$46,'KM POR UNIDAD'!A28,'ONTIVEROS LIRA JUAN'!U$40:U$46)+SUMIF('RODRIGUEZ FLORES BRYAN DARIO'!P$40:P$46,'KM POR UNIDAD'!A28,'RODRIGUEZ FLORES BRYAN DARIO'!U$40:U$46)+SUMIF('NUÑEZ RUIZ IRVING JAVIER.'!P$42:P$48,'KM POR UNIDAD'!A28,'NUÑEZ RUIZ IRVING JAVIER.'!U$42:U$48)+SUMIF('MACHADO MAZUCA ADOLFO'!P$40:P$46,'KM POR UNIDAD'!A28,'MACHADO MAZUCA ADOLFO'!U$40:U$46)+SUMIF('LIRA ARCEO JOEL EDUARDO'!P$40:P$46,'KM POR UNIDAD'!A28,'LIRA ARCEO JOEL EDUARDO'!U$40:U$46)+SUMIF('ANCHONDO ROMERO CESAR ALEJANDRO'!P$40:P$46,'KM POR UNIDAD'!A28,'ANCHONDO ROMERO CESAR ALEJANDRO'!U$40:U$46)</f>
        <v>3000</v>
      </c>
      <c r="C28" s="150">
        <f ca="1">+SUMIF('AGUILAR ESQUIVEL CARLOS'!P$40:P$46,'KM POR UNIDAD'!A28,'AGUILAR ESQUIVEL CARLOS'!T$40:T$46)+SUMIF('AGUILAR RODRIGUEZ JORGE ALONSO'!P$40:P$46,'KM POR UNIDAD'!A28,'AGUILAR RODRIGUEZ JORGE ALONSO'!T$40:T$46)+SUMIF('REYES LARA DANTE'!P$40:P$46,'KM POR UNIDAD'!A28,'REYES LARA DANTE'!T$40:T$46)+SUMIF('RAMIREZ BAUTISTA ADRIAN'!P$40:P$46,'KM POR UNIDAD'!A28,'RAMIREZ BAUTISTA ADRIAN'!T$40:T$46)+SUMIF('FLORES BOJORQUEZ BRYAN OVED'!P$40:P$46,'KM POR UNIDAD'!A28,'FLORES BOJORQUEZ BRYAN OVED'!T$40:T$46)+SUMIF('BALDERRAMA ROBLES JORGE'!P$40:P$46,'KM POR UNIDAD'!A28,'BALDERRAMA ROBLES JORGE'!T$40:T$46)+SUMIF('BURGOS TORRES RIGOBERTO'!P$39:P$45,'KM POR UNIDAD'!A28,'BURGOS TORRES RIGOBERTO'!T$39:T$45)+SUMIF('CORDOVA URIBE JOSE  ADRIAN'!P$40:P$46,'KM POR UNIDAD'!A28,'CORDOVA URIBE JOSE  ADRIAN'!T$40:T$46)+SUMIF('GUZMAN CHAPARRO PEDRO'!P$40:P$46,'KM POR UNIDAD'!A28,'GUZMAN CHAPARRO PEDRO'!T$40:T$46)+SUMIF('HERNANDEZ LICANO JOSE LUIS'!P$40:P$46,'KM POR UNIDAD'!A28,'HERNANDEZ LICANO JOSE LUIS'!T$40:T$46)+SUMIF('CARRERA REYES MARTIN SEBASTIAN'!P$41:P$47,'KM POR UNIDAD'!A28,'CARRERA REYES MARTIN SEBASTIAN'!T$41:T$47)+SUMIF('RUIZ SAUCEDO DANIEL ALEJANDRO'!P$40:P$46,'KM POR UNIDAD'!A28,'RUIZ SAUCEDO DANIEL ALEJANDRO'!T$40:T$46)+SUMIF('MARTINEZ RAMIREZ ROSALIO'!P$40:P$46,'KM POR UNIDAD'!A28,'MARTINEZ RAMIREZ ROSALIO'!T$40:T$46)+SUMIF('BALLEZA RAMIREZ JESUS JOSE'!P$40:P$46,'KM POR UNIDAD'!A28,'BALLEZA RAMIREZ JESUS JOSE'!T$40:T$46)+SUMIF('MONTERO BURROLA LUIS'!P$38:P$44,'KM POR UNIDAD'!A28,'MONTERO BURROLA LUIS'!T$38:T$44)+SUMIF('AGUILERA CONTRERAS LUIS GERARDO'!P$41:P$47,'KM POR UNIDAD'!A28,'AGUILERA CONTRERAS LUIS GERARDO'!T$41:T$47)+SUMIF('MORALES LOPEZ DE LARA MARIANO'!P$40:P$46,'KM POR UNIDAD'!A28,'MORALES LOPEZ DE LARA MARIANO'!T$40:T$46)+SUMIF('MELENDEZ SINALOA MANUEL ARAT'!P$40:P$46,'KM POR UNIDAD'!A28,'MELENDEZ SINALOA MANUEL ARAT'!T$40:T$46)+SUMIF('MORALES LECHUGA GONZALO'!P$40:P$46,'KM POR UNIDAD'!A28,'MORALES LECHUGA GONZALO'!T$40:T$46)+SUMIF('ORONA BECERRA MAURO JOSE'!P$40:P$46,'KM POR UNIDAD'!A28,'ORONA BECERRA MAURO JOSE'!T$40:T$46)+SUMIF('VALLES HERNANDEZ MANUEL MARCELI'!P$39:P$45,'KM POR UNIDAD'!A28,'VALLES HERNANDEZ MANUEL MARCELI'!T$39:T$45)+SUMIF('ORTIZ RAMIREZ HECTOR MANUEL'!P$40:P$46,'KM POR UNIDAD'!A28,'ORTIZ RAMIREZ HECTOR MANUEL'!T$40:T$46)+SUMIF('ONTIVEROS LIRA JUAN'!P$40:P$446,'KM POR UNIDAD'!A28,'ONTIVEROS LIRA JUAN'!T$40:T$46)+SUMIF('RODRIGUEZ FLORES BRYAN DARIO'!P$40:P$46,'KM POR UNIDAD'!A28,'RODRIGUEZ FLORES BRYAN DARIO'!T$40:T$46)+SUMIF('NUÑEZ RUIZ IRVING JAVIER.'!P$42:P$48,'KM POR UNIDAD'!A28,'NUÑEZ RUIZ IRVING JAVIER.'!T$42:T$48)+SUMIF('MACHADO MAZUCA ADOLFO'!P$40:P$46,'KM POR UNIDAD'!A28,'MACHADO MAZUCA ADOLFO'!T$40:T$46)+SUMIF('LIRA ARCEO JOEL EDUARDO'!P$40:P$46,'KM POR UNIDAD'!A28,'LIRA ARCEO JOEL EDUARDO'!T$40:T$46)+SUMIF('ANCHONDO ROMERO CESAR ALEJANDRO'!P$40:P$46,'KM POR UNIDAD'!A28,'ANCHONDO ROMERO CESAR ALEJANDRO'!T$40:T$46)</f>
        <v>2802</v>
      </c>
      <c r="D28" s="150">
        <f>+SUMIF('AGUILAR ESQUIVEL CARLOS'!P$40:P$46,'KM POR UNIDAD'!A28,'AGUILAR ESQUIVEL CARLOS'!V$40:V$46)+SUMIF('AGUILAR RODRIGUEZ JORGE ALONSO'!P$40:P$46,'KM POR UNIDAD'!A28,'AGUILAR RODRIGUEZ JORGE ALONSO'!V$40:V$46)+SUMIF('REYES LARA DANTE'!P$40:P$46,'KM POR UNIDAD'!A28,'REYES LARA DANTE'!V$40:V$46)+SUMIF('RAMIREZ BAUTISTA ADRIAN'!P$40:P$46,'KM POR UNIDAD'!A28,'RAMIREZ BAUTISTA ADRIAN'!V$40:V$46)+SUMIF('FLORES BOJORQUEZ BRYAN OVED'!P$40:P$46,'KM POR UNIDAD'!A28,'FLORES BOJORQUEZ BRYAN OVED'!V$40:V$46)+SUMIF('BALDERRAMA ROBLES JORGE'!P$40:P$46,'KM POR UNIDAD'!A28,'BALDERRAMA ROBLES JORGE'!V$40:V$46)+SUMIF('BURGOS TORRES RIGOBERTO'!P$39:P$45,'KM POR UNIDAD'!A28,'BURGOS TORRES RIGOBERTO'!V$39:V$45)+SUMIF('CORDOVA URIBE JOSE  ADRIAN'!P$40:P$46,'KM POR UNIDAD'!A28,'CORDOVA URIBE JOSE  ADRIAN'!V$40:V$46)+SUMIF('GUZMAN CHAPARRO PEDRO'!P$40:P$46,'KM POR UNIDAD'!A28,'GUZMAN CHAPARRO PEDRO'!V$40:V$46)+SUMIF('HERNANDEZ LICANO JOSE LUIS'!P$40:P$46,'KM POR UNIDAD'!A28,'HERNANDEZ LICANO JOSE LUIS'!V$40:V$46)+SUMIF('CARRERA REYES MARTIN SEBASTIAN'!P$41:P$47,'KM POR UNIDAD'!A28,'CARRERA REYES MARTIN SEBASTIAN'!V$41:V$47)+SUMIF('RUIZ SAUCEDO DANIEL ALEJANDRO'!P$40:P$46,'KM POR UNIDAD'!A28,'RUIZ SAUCEDO DANIEL ALEJANDRO'!V$40:V$46)+SUMIF('MARTINEZ RAMIREZ ROSALIO'!P$40:P$46,'KM POR UNIDAD'!A28,'MARTINEZ RAMIREZ ROSALIO'!V$40:V$46)+SUMIF('BALLEZA RAMIREZ JESUS JOSE'!P$40:P$46,'KM POR UNIDAD'!A28,'BALLEZA RAMIREZ JESUS JOSE'!V$40:V$46)+SUMIF('MONTERO BURROLA LUIS'!P$38:P$44,'KM POR UNIDAD'!A28,'MONTERO BURROLA LUIS'!V$38:V$44)+SUMIF('AGUILERA CONTRERAS LUIS GERARDO'!P$41:P$47,'KM POR UNIDAD'!A28,'AGUILERA CONTRERAS LUIS GERARDO'!V$41:V$47)+SUMIF('MORALES LOPEZ DE LARA MARIANO'!P$40:P$46,'KM POR UNIDAD'!A28,'MORALES LOPEZ DE LARA MARIANO'!V$40:V$46)+SUMIF('MELENDEZ SINALOA MANUEL ARAT'!P$40:P$46,'KM POR UNIDAD'!A28,'MELENDEZ SINALOA MANUEL ARAT'!V$40:V$46)+SUMIF('MORALES LECHUGA GONZALO'!P$40:P$46,'KM POR UNIDAD'!A28,'MORALES LECHUGA GONZALO'!V$40:V$46)+SUMIF('ORONA BECERRA MAURO JOSE'!P$40:P$46,'KM POR UNIDAD'!A28,'ORONA BECERRA MAURO JOSE'!V$40:V$46)+SUMIF('VALLES HERNANDEZ MANUEL MARCELI'!P$39:P$45,'KM POR UNIDAD'!A28,'VALLES HERNANDEZ MANUEL MARCELI'!V$39:V$45)+SUMIF('ORTIZ RAMIREZ HECTOR MANUEL'!P$40:P$46,'KM POR UNIDAD'!A28,'ORTIZ RAMIREZ HECTOR MANUEL'!V$40:V$46)+SUMIF('ONTIVEROS LIRA JUAN'!P$40:P$46,'KM POR UNIDAD'!A28,'ONTIVEROS LIRA JUAN'!V$40:V$46)+SUMIF('RODRIGUEZ FLORES BRYAN DARIO'!P$40:P$46,'KM POR UNIDAD'!A28,'RODRIGUEZ FLORES BRYAN DARIO'!V$40:V$46)+SUMIF('NUÑEZ RUIZ IRVING JAVIER.'!P$42:P$48,'KM POR UNIDAD'!A28,'NUÑEZ RUIZ IRVING JAVIER.'!V$42:V$48)+SUMIF('MACHADO MAZUCA ADOLFO'!P$40:P$46,'KM POR UNIDAD'!A28,'MACHADO MAZUCA ADOLFO'!V$40:V$46)+SUMIF('LIRA ARCEO JOEL EDUARDO'!P$40:P$46,'KM POR UNIDAD'!A28,'LIRA ARCEO JOEL EDUARDO'!V$40:V$46)+SUMIF('ANCHONDO ROMERO CESAR ALEJANDRO'!P$40:P$46,'KM POR UNIDAD'!A28,'ANCHONDO ROMERO CESAR ALEJANDRO'!V$40:V$46)</f>
        <v>834.84</v>
      </c>
      <c r="E28" s="145">
        <f t="shared" si="0"/>
        <v>3.593502946672416</v>
      </c>
      <c r="F28" s="144" t="e">
        <f ca="1">+SUMIF('AGUILAR ESQUIVEL CARLOS'!P$40:P$46,'KM POR UNIDAD'!A28,'AGUILAR ESQUIVEL CARLOS'!W$40:W$46)+SUMIF('AGUILAR RODRIGUEZ JORGE ALONSO'!P$40:P$46,'KM POR UNIDAD'!A28,'AGUILAR RODRIGUEZ JORGE ALONSO'!W$40:W$46)+SUMIF('REYES LARA DANTE'!T$40:T$46,'KM POR UNIDAD'!A28,'REYES LARA DANTE'!Y$40:Y$46)+SUMIF('RAMIREZ BAUTISTA ADRIAN'!T$40:T$46,'KM POR UNIDAD'!A28,'RAMIREZ BAUTISTA ADRIAN'!Y$40:Y$46)+SUMIF('FLORES BOJORQUEZ BRYAN OVED'!T$40:T$46,'KM POR UNIDAD'!A28,'FLORES BOJORQUEZ BRYAN OVED'!Y$40:Y$46)+SUMIF('BALDERRAMA ROBLES JORGE'!T$40:T$46,'KM POR UNIDAD'!A28,'BALDERRAMA ROBLES JORGE'!#REF!)+SUMIF('BURGOS TORRES RIGOBERTO'!T$39:T$45,'KM POR UNIDAD'!A28,'BURGOS TORRES RIGOBERTO'!Y$39:Y$45)+SUMIF('CORDOVA URIBE JOSE  ADRIAN'!T$40:T$46,'KM POR UNIDAD'!E28,'CORDOVA URIBE JOSE  ADRIAN'!Y$40:Y$46)+SUMIF('GUZMAN CHAPARRO PEDRO'!T$40:T$46,'KM POR UNIDAD'!E28,'GUZMAN CHAPARRO PEDRO'!Y$40:Y$46)+SUMIF('HERNANDEZ LICANO JOSE LUIS'!T$40:T$46,'KM POR UNIDAD'!E28,'HERNANDEZ LICANO JOSE LUIS'!#REF!)+SUMIF('CARRERA REYES MARTIN SEBASTIAN'!T$41:T$47,'KM POR UNIDAD'!E28,'CARRERA REYES MARTIN SEBASTIAN'!Y$41:Y$47)+SUMIF('RUIZ SAUCEDO DANIEL ALEJANDRO'!T$40:T$46,'KM POR UNIDAD'!E28,'RUIZ SAUCEDO DANIEL ALEJANDRO'!Y$40:Y$46)+SUMIF('MARTINEZ RAMIREZ ROSALIO'!T$40:T$46,'KM POR UNIDAD'!E28,'MARTINEZ RAMIREZ ROSALIO'!Y$40:Y$46)+SUMIF('BALLEZA RAMIREZ JESUS JOSE'!T$40:T$46,'KM POR UNIDAD'!E28,'BALLEZA RAMIREZ JESUS JOSE'!T$176:T$180)+SUMIF('MONTERO BURROLA LUIS'!T$38:T$44,'KM POR UNIDAD'!E28,'MONTERO BURROLA LUIS'!Y$38:Y$44)+SUMIF('AGUILERA CONTRERAS LUIS GERARDO'!T$41:T$47,'KM POR UNIDAD'!E28,'AGUILERA CONTRERAS LUIS GERARDO'!Y$41:Y$47)+SUMIF('MORALES LOPEZ DE LARA MARIANO'!T$40:T$46,'KM POR UNIDAD'!E28,'MORALES LOPEZ DE LARA MARIANO'!Y$40:Y$46)+SUMIF('MELENDEZ SINALOA MANUEL ARAT'!T$40:T$46,'KM POR UNIDAD'!E28,'MELENDEZ SINALOA MANUEL ARAT'!#REF!)+SUMIF('MORALES LECHUGA GONZALO'!T$40:T$46,'KM POR UNIDAD'!E28,'MORALES LECHUGA GONZALO'!Y$40:Y$46)+SUMIF('ORONA BECERRA MAURO JOSE'!T$40:T$46,'KM POR UNIDAD'!E28,'ORONA BECERRA MAURO JOSE'!Y$40:Y$46)+SUMIF('VALLES HERNANDEZ MANUEL MARCELI'!T$39:T$45,'KM POR UNIDAD'!E28,'VALLES HERNANDEZ MANUEL MARCELI'!Y$39:Y$45)+SUMIF('ORTIZ RAMIREZ HECTOR MANUEL'!T$40:T$46,'KM POR UNIDAD'!E28,'ORTIZ RAMIREZ HECTOR MANUEL'!Y$40:Y$46)+SUMIF('ONTIVEROS LIRA JUAN'!T$40:T$46,'KM POR UNIDAD'!E28,'ONTIVEROS LIRA JUAN'!Y$40:Y$46)+SUMIF('RODRIGUEZ FLORES BRYAN DARIO'!T$40:T$46,'KM POR UNIDAD'!E28,'RODRIGUEZ FLORES BRYAN DARIO'!Y$40:Y$46)+SUMIF('NUÑEZ RUIZ IRVING JAVIER.'!T$42:T$48,'KM POR UNIDAD'!E28,'NUÑEZ RUIZ IRVING JAVIER.'!Y$42:Y$48)+SUMIF('MACHADO MAZUCA ADOLFO'!T$40:T$46,'KM POR UNIDAD'!E28,'MACHADO MAZUCA ADOLFO'!Y$40:Y$46)+SUMIF('LIRA ARCEO JOEL EDUARDO'!T$40:T$46,'KM POR UNIDAD'!E28,'LIRA ARCEO JOEL EDUARDO'!Y$41:Y$46)+SUMIF('ANCHONDO ROMERO CESAR ALEJANDRO'!T$40:T$46,'KM POR UNIDAD'!E28,'ANCHONDO ROMERO CESAR ALEJANDRO'!Y$40:Y$46)</f>
        <v>#REF!</v>
      </c>
      <c r="G28" s="146"/>
    </row>
    <row r="29" spans="1:12" x14ac:dyDescent="0.25">
      <c r="A29" s="143" t="s">
        <v>161</v>
      </c>
      <c r="B29" s="144">
        <f>+SUMIF('AGUILAR ESQUIVEL CARLOS'!P$40:P$46,'KM POR UNIDAD'!A29,'AGUILAR ESQUIVEL CARLOS'!U$40:U$46)+SUMIF('AGUILAR RODRIGUEZ JORGE ALONSO'!P$40:P$46,'KM POR UNIDAD'!A29,'AGUILAR RODRIGUEZ JORGE ALONSO'!U$40:U$46)+SUMIF('REYES LARA DANTE'!P$40:P$46,'KM POR UNIDAD'!A29,'REYES LARA DANTE'!U$40:U$46)+SUMIF('RAMIREZ BAUTISTA ADRIAN'!P$40:P$46,'KM POR UNIDAD'!A29,'RAMIREZ BAUTISTA ADRIAN'!U$40:U$46)+SUMIF('FLORES BOJORQUEZ BRYAN OVED'!P$40:P$46,'KM POR UNIDAD'!A29,'FLORES BOJORQUEZ BRYAN OVED'!U$40:U$46)+SUMIF('BALDERRAMA ROBLES JORGE'!P$40:P$46,'KM POR UNIDAD'!A29,'BALDERRAMA ROBLES JORGE'!U$40:U$46)+SUMIF('BURGOS TORRES RIGOBERTO'!P$39:P$45,'KM POR UNIDAD'!A29,'BURGOS TORRES RIGOBERTO'!U$39:U$45)+SUMIF('CORDOVA URIBE JOSE  ADRIAN'!P$40:P$46,'KM POR UNIDAD'!A29,'CORDOVA URIBE JOSE  ADRIAN'!U$40:U$46)+SUMIF('GUZMAN CHAPARRO PEDRO'!P$40:P$46,'KM POR UNIDAD'!A29,'GUZMAN CHAPARRO PEDRO'!U$40:U$46)+SUMIF('HERNANDEZ LICANO JOSE LUIS'!P$40:P$46,'KM POR UNIDAD'!A29,'HERNANDEZ LICANO JOSE LUIS'!U$40:U$46)+SUMIF('CARRERA REYES MARTIN SEBASTIAN'!P$41:P$47,'KM POR UNIDAD'!A29,'CARRERA REYES MARTIN SEBASTIAN'!U$41:U$47)+SUMIF('RUIZ SAUCEDO DANIEL ALEJANDRO'!P$40:P$46,'KM POR UNIDAD'!A29,'RUIZ SAUCEDO DANIEL ALEJANDRO'!U$40:U$46)+SUMIF('MARTINEZ RAMIREZ ROSALIO'!P$40:P$46,'KM POR UNIDAD'!A29,'MARTINEZ RAMIREZ ROSALIO'!U$40:U$46)+SUMIF('BALLEZA RAMIREZ JESUS JOSE'!P$40:P$46,'KM POR UNIDAD'!A29,'BALLEZA RAMIREZ JESUS JOSE'!U$40:U$46)+SUMIF('MONTERO BURROLA LUIS'!P$38:P$44,'KM POR UNIDAD'!A29,'MONTERO BURROLA LUIS'!U$38:U$44)+SUMIF('AGUILERA CONTRERAS LUIS GERARDO'!P$41:P$47,'KM POR UNIDAD'!A29,'AGUILERA CONTRERAS LUIS GERARDO'!U$41:U$47)+SUMIF('MORALES LOPEZ DE LARA MARIANO'!P$40:P$46,'KM POR UNIDAD'!A29,'MORALES LOPEZ DE LARA MARIANO'!U$40:U$46)+SUMIF('MELENDEZ SINALOA MANUEL ARAT'!P$40:P$46,'KM POR UNIDAD'!A29,'MELENDEZ SINALOA MANUEL ARAT'!U$40:U$46)+SUMIF('MORALES LECHUGA GONZALO'!P$40:P$46,'KM POR UNIDAD'!A29,'MORALES LECHUGA GONZALO'!U$40:U$46)+SUMIF('ORONA BECERRA MAURO JOSE'!P$40:P$46,'KM POR UNIDAD'!A29,'ORONA BECERRA MAURO JOSE'!U$40:U$46)+SUMIF('VALLES HERNANDEZ MANUEL MARCELI'!P$39:P$45,'KM POR UNIDAD'!A29,'VALLES HERNANDEZ MANUEL MARCELI'!U$39:U$45)+SUMIF('ORTIZ RAMIREZ HECTOR MANUEL'!P$40:P$46,'KM POR UNIDAD'!A29,'ORTIZ RAMIREZ HECTOR MANUEL'!U$40:U$46)+SUMIF('ONTIVEROS LIRA JUAN'!P$40:P$46,'KM POR UNIDAD'!A29,'ONTIVEROS LIRA JUAN'!U$40:U$46)+SUMIF('RODRIGUEZ FLORES BRYAN DARIO'!P$40:P$46,'KM POR UNIDAD'!A29,'RODRIGUEZ FLORES BRYAN DARIO'!U$40:U$46)+SUMIF('NUÑEZ RUIZ IRVING JAVIER.'!P$42:P$48,'KM POR UNIDAD'!A29,'NUÑEZ RUIZ IRVING JAVIER.'!U$42:U$48)+SUMIF('MACHADO MAZUCA ADOLFO'!P$40:P$46,'KM POR UNIDAD'!A29,'MACHADO MAZUCA ADOLFO'!U$40:U$46)+SUMIF('LIRA ARCEO JOEL EDUARDO'!P$40:P$46,'KM POR UNIDAD'!A29,'LIRA ARCEO JOEL EDUARDO'!U$40:U$46)+SUMIF('ANCHONDO ROMERO CESAR ALEJANDRO'!P$40:P$46,'KM POR UNIDAD'!A29,'ANCHONDO ROMERO CESAR ALEJANDRO'!U$40:U$46)</f>
        <v>3200</v>
      </c>
      <c r="C29" s="150">
        <f ca="1">+SUMIF('AGUILAR ESQUIVEL CARLOS'!P$40:P$46,'KM POR UNIDAD'!A29,'AGUILAR ESQUIVEL CARLOS'!T$40:T$46)+SUMIF('AGUILAR RODRIGUEZ JORGE ALONSO'!P$40:P$46,'KM POR UNIDAD'!A29,'AGUILAR RODRIGUEZ JORGE ALONSO'!T$40:T$46)+SUMIF('REYES LARA DANTE'!P$40:P$46,'KM POR UNIDAD'!A29,'REYES LARA DANTE'!T$40:T$46)+SUMIF('RAMIREZ BAUTISTA ADRIAN'!P$40:P$46,'KM POR UNIDAD'!A29,'RAMIREZ BAUTISTA ADRIAN'!T$40:T$46)+SUMIF('FLORES BOJORQUEZ BRYAN OVED'!P$40:P$46,'KM POR UNIDAD'!A29,'FLORES BOJORQUEZ BRYAN OVED'!T$40:T$46)+SUMIF('BALDERRAMA ROBLES JORGE'!P$40:P$46,'KM POR UNIDAD'!A29,'BALDERRAMA ROBLES JORGE'!T$40:T$46)+SUMIF('BURGOS TORRES RIGOBERTO'!P$39:P$45,'KM POR UNIDAD'!A29,'BURGOS TORRES RIGOBERTO'!T$39:T$45)+SUMIF('CORDOVA URIBE JOSE  ADRIAN'!P$40:P$46,'KM POR UNIDAD'!A29,'CORDOVA URIBE JOSE  ADRIAN'!T$40:T$46)+SUMIF('GUZMAN CHAPARRO PEDRO'!P$40:P$46,'KM POR UNIDAD'!A29,'GUZMAN CHAPARRO PEDRO'!T$40:T$46)+SUMIF('HERNANDEZ LICANO JOSE LUIS'!P$40:P$46,'KM POR UNIDAD'!A29,'HERNANDEZ LICANO JOSE LUIS'!T$40:T$46)+SUMIF('CARRERA REYES MARTIN SEBASTIAN'!P$41:P$47,'KM POR UNIDAD'!A29,'CARRERA REYES MARTIN SEBASTIAN'!T$41:T$47)+SUMIF('RUIZ SAUCEDO DANIEL ALEJANDRO'!P$40:P$46,'KM POR UNIDAD'!A29,'RUIZ SAUCEDO DANIEL ALEJANDRO'!T$40:T$46)+SUMIF('MARTINEZ RAMIREZ ROSALIO'!P$40:P$46,'KM POR UNIDAD'!A29,'MARTINEZ RAMIREZ ROSALIO'!T$40:T$46)+SUMIF('BALLEZA RAMIREZ JESUS JOSE'!P$40:P$46,'KM POR UNIDAD'!A29,'BALLEZA RAMIREZ JESUS JOSE'!T$40:T$46)+SUMIF('MONTERO BURROLA LUIS'!P$38:P$44,'KM POR UNIDAD'!A29,'MONTERO BURROLA LUIS'!T$38:T$44)+SUMIF('AGUILERA CONTRERAS LUIS GERARDO'!P$41:P$47,'KM POR UNIDAD'!A29,'AGUILERA CONTRERAS LUIS GERARDO'!T$41:T$47)+SUMIF('MORALES LOPEZ DE LARA MARIANO'!P$40:P$46,'KM POR UNIDAD'!A29,'MORALES LOPEZ DE LARA MARIANO'!T$40:T$46)+SUMIF('MELENDEZ SINALOA MANUEL ARAT'!P$40:P$46,'KM POR UNIDAD'!A29,'MELENDEZ SINALOA MANUEL ARAT'!T$40:T$46)+SUMIF('MORALES LECHUGA GONZALO'!P$40:P$46,'KM POR UNIDAD'!A29,'MORALES LECHUGA GONZALO'!T$40:T$46)+SUMIF('ORONA BECERRA MAURO JOSE'!P$40:P$46,'KM POR UNIDAD'!A29,'ORONA BECERRA MAURO JOSE'!T$40:T$46)+SUMIF('VALLES HERNANDEZ MANUEL MARCELI'!P$39:P$45,'KM POR UNIDAD'!A29,'VALLES HERNANDEZ MANUEL MARCELI'!T$39:T$45)+SUMIF('ORTIZ RAMIREZ HECTOR MANUEL'!P$40:P$46,'KM POR UNIDAD'!A29,'ORTIZ RAMIREZ HECTOR MANUEL'!T$40:T$46)+SUMIF('ONTIVEROS LIRA JUAN'!P$40:P$446,'KM POR UNIDAD'!A29,'ONTIVEROS LIRA JUAN'!T$40:T$46)+SUMIF('RODRIGUEZ FLORES BRYAN DARIO'!P$40:P$46,'KM POR UNIDAD'!A29,'RODRIGUEZ FLORES BRYAN DARIO'!T$40:T$46)+SUMIF('NUÑEZ RUIZ IRVING JAVIER.'!P$42:P$48,'KM POR UNIDAD'!A29,'NUÑEZ RUIZ IRVING JAVIER.'!T$42:T$48)+SUMIF('MACHADO MAZUCA ADOLFO'!P$40:P$46,'KM POR UNIDAD'!A29,'MACHADO MAZUCA ADOLFO'!T$40:T$46)+SUMIF('LIRA ARCEO JOEL EDUARDO'!P$40:P$46,'KM POR UNIDAD'!A29,'LIRA ARCEO JOEL EDUARDO'!T$40:T$46)+SUMIF('ANCHONDO ROMERO CESAR ALEJANDRO'!P$40:P$46,'KM POR UNIDAD'!A29,'ANCHONDO ROMERO CESAR ALEJANDRO'!T$40:T$46)</f>
        <v>3041</v>
      </c>
      <c r="D29" s="150">
        <f>+SUMIF('AGUILAR ESQUIVEL CARLOS'!P$40:P$46,'KM POR UNIDAD'!A29,'AGUILAR ESQUIVEL CARLOS'!V$40:V$46)+SUMIF('AGUILAR RODRIGUEZ JORGE ALONSO'!P$40:P$46,'KM POR UNIDAD'!A29,'AGUILAR RODRIGUEZ JORGE ALONSO'!V$40:V$46)+SUMIF('REYES LARA DANTE'!P$40:P$46,'KM POR UNIDAD'!A29,'REYES LARA DANTE'!V$40:V$46)+SUMIF('RAMIREZ BAUTISTA ADRIAN'!P$40:P$46,'KM POR UNIDAD'!A29,'RAMIREZ BAUTISTA ADRIAN'!V$40:V$46)+SUMIF('FLORES BOJORQUEZ BRYAN OVED'!P$40:P$46,'KM POR UNIDAD'!A29,'FLORES BOJORQUEZ BRYAN OVED'!V$40:V$46)+SUMIF('BALDERRAMA ROBLES JORGE'!P$40:P$46,'KM POR UNIDAD'!A29,'BALDERRAMA ROBLES JORGE'!V$40:V$46)+SUMIF('BURGOS TORRES RIGOBERTO'!P$39:P$45,'KM POR UNIDAD'!A29,'BURGOS TORRES RIGOBERTO'!V$39:V$45)+SUMIF('CORDOVA URIBE JOSE  ADRIAN'!P$40:P$46,'KM POR UNIDAD'!A29,'CORDOVA URIBE JOSE  ADRIAN'!V$40:V$46)+SUMIF('GUZMAN CHAPARRO PEDRO'!P$40:P$46,'KM POR UNIDAD'!A29,'GUZMAN CHAPARRO PEDRO'!V$40:V$46)+SUMIF('HERNANDEZ LICANO JOSE LUIS'!P$40:P$46,'KM POR UNIDAD'!A29,'HERNANDEZ LICANO JOSE LUIS'!V$40:V$46)+SUMIF('CARRERA REYES MARTIN SEBASTIAN'!P$41:P$47,'KM POR UNIDAD'!A29,'CARRERA REYES MARTIN SEBASTIAN'!V$41:V$47)+SUMIF('RUIZ SAUCEDO DANIEL ALEJANDRO'!P$40:P$46,'KM POR UNIDAD'!A29,'RUIZ SAUCEDO DANIEL ALEJANDRO'!V$40:V$46)+SUMIF('MARTINEZ RAMIREZ ROSALIO'!P$40:P$46,'KM POR UNIDAD'!A29,'MARTINEZ RAMIREZ ROSALIO'!V$40:V$46)+SUMIF('BALLEZA RAMIREZ JESUS JOSE'!P$40:P$46,'KM POR UNIDAD'!A29,'BALLEZA RAMIREZ JESUS JOSE'!V$40:V$46)+SUMIF('MONTERO BURROLA LUIS'!P$38:P$44,'KM POR UNIDAD'!A29,'MONTERO BURROLA LUIS'!V$38:V$44)+SUMIF('AGUILERA CONTRERAS LUIS GERARDO'!P$41:P$47,'KM POR UNIDAD'!A29,'AGUILERA CONTRERAS LUIS GERARDO'!V$41:V$47)+SUMIF('MORALES LOPEZ DE LARA MARIANO'!P$40:P$46,'KM POR UNIDAD'!A29,'MORALES LOPEZ DE LARA MARIANO'!V$40:V$46)+SUMIF('MELENDEZ SINALOA MANUEL ARAT'!P$40:P$46,'KM POR UNIDAD'!A29,'MELENDEZ SINALOA MANUEL ARAT'!V$40:V$46)+SUMIF('MORALES LECHUGA GONZALO'!P$40:P$46,'KM POR UNIDAD'!A29,'MORALES LECHUGA GONZALO'!V$40:V$46)+SUMIF('ORONA BECERRA MAURO JOSE'!P$40:P$46,'KM POR UNIDAD'!A29,'ORONA BECERRA MAURO JOSE'!V$40:V$46)+SUMIF('VALLES HERNANDEZ MANUEL MARCELI'!P$39:P$45,'KM POR UNIDAD'!A29,'VALLES HERNANDEZ MANUEL MARCELI'!V$39:V$45)+SUMIF('ORTIZ RAMIREZ HECTOR MANUEL'!P$40:P$46,'KM POR UNIDAD'!A29,'ORTIZ RAMIREZ HECTOR MANUEL'!V$40:V$46)+SUMIF('ONTIVEROS LIRA JUAN'!P$40:P$46,'KM POR UNIDAD'!A29,'ONTIVEROS LIRA JUAN'!V$40:V$46)+SUMIF('RODRIGUEZ FLORES BRYAN DARIO'!P$40:P$46,'KM POR UNIDAD'!A29,'RODRIGUEZ FLORES BRYAN DARIO'!V$40:V$46)+SUMIF('NUÑEZ RUIZ IRVING JAVIER.'!P$42:P$48,'KM POR UNIDAD'!A29,'NUÑEZ RUIZ IRVING JAVIER.'!V$42:V$48)+SUMIF('MACHADO MAZUCA ADOLFO'!P$40:P$46,'KM POR UNIDAD'!A29,'MACHADO MAZUCA ADOLFO'!V$40:V$46)+SUMIF('LIRA ARCEO JOEL EDUARDO'!P$40:P$46,'KM POR UNIDAD'!A29,'LIRA ARCEO JOEL EDUARDO'!V$40:V$46)+SUMIF('ANCHONDO ROMERO CESAR ALEJANDRO'!P$40:P$46,'KM POR UNIDAD'!A29,'ANCHONDO ROMERO CESAR ALEJANDRO'!V$40:V$46)</f>
        <v>881.90000000000009</v>
      </c>
      <c r="E29" s="145">
        <f t="shared" si="0"/>
        <v>3.6285293117133457</v>
      </c>
      <c r="F29" s="144" t="e">
        <f ca="1">+SUMIF('AGUILAR ESQUIVEL CARLOS'!P$40:P$46,'KM POR UNIDAD'!A29,'AGUILAR ESQUIVEL CARLOS'!W$40:W$46)+SUMIF('AGUILAR RODRIGUEZ JORGE ALONSO'!P$40:P$46,'KM POR UNIDAD'!A29,'AGUILAR RODRIGUEZ JORGE ALONSO'!W$40:W$46)+SUMIF('REYES LARA DANTE'!T$40:T$46,'KM POR UNIDAD'!A29,'REYES LARA DANTE'!Y$40:Y$46)+SUMIF('RAMIREZ BAUTISTA ADRIAN'!T$40:T$46,'KM POR UNIDAD'!A29,'RAMIREZ BAUTISTA ADRIAN'!Y$40:Y$46)+SUMIF('FLORES BOJORQUEZ BRYAN OVED'!T$40:T$46,'KM POR UNIDAD'!A29,'FLORES BOJORQUEZ BRYAN OVED'!Y$40:Y$46)+SUMIF('BALDERRAMA ROBLES JORGE'!T$40:T$46,'KM POR UNIDAD'!A29,'BALDERRAMA ROBLES JORGE'!#REF!)+SUMIF('BURGOS TORRES RIGOBERTO'!T$39:T$45,'KM POR UNIDAD'!A29,'BURGOS TORRES RIGOBERTO'!Y$39:Y$45)+SUMIF('CORDOVA URIBE JOSE  ADRIAN'!T$40:T$46,'KM POR UNIDAD'!E29,'CORDOVA URIBE JOSE  ADRIAN'!Y$40:Y$46)+SUMIF('GUZMAN CHAPARRO PEDRO'!T$40:T$46,'KM POR UNIDAD'!E29,'GUZMAN CHAPARRO PEDRO'!Y$40:Y$46)+SUMIF('HERNANDEZ LICANO JOSE LUIS'!T$40:T$46,'KM POR UNIDAD'!E29,'HERNANDEZ LICANO JOSE LUIS'!#REF!)+SUMIF('CARRERA REYES MARTIN SEBASTIAN'!T$41:T$47,'KM POR UNIDAD'!E29,'CARRERA REYES MARTIN SEBASTIAN'!Y$41:Y$47)+SUMIF('RUIZ SAUCEDO DANIEL ALEJANDRO'!T$40:T$46,'KM POR UNIDAD'!E29,'RUIZ SAUCEDO DANIEL ALEJANDRO'!Y$40:Y$46)+SUMIF('MARTINEZ RAMIREZ ROSALIO'!T$40:T$46,'KM POR UNIDAD'!E29,'MARTINEZ RAMIREZ ROSALIO'!Y$40:Y$46)+SUMIF('BALLEZA RAMIREZ JESUS JOSE'!T$40:T$46,'KM POR UNIDAD'!E29,'BALLEZA RAMIREZ JESUS JOSE'!T$176:T$180)+SUMIF('MONTERO BURROLA LUIS'!T$38:T$44,'KM POR UNIDAD'!E29,'MONTERO BURROLA LUIS'!Y$38:Y$44)+SUMIF('AGUILERA CONTRERAS LUIS GERARDO'!T$41:T$47,'KM POR UNIDAD'!E29,'AGUILERA CONTRERAS LUIS GERARDO'!Y$41:Y$47)+SUMIF('MORALES LOPEZ DE LARA MARIANO'!T$40:T$46,'KM POR UNIDAD'!E29,'MORALES LOPEZ DE LARA MARIANO'!Y$40:Y$46)+SUMIF('MELENDEZ SINALOA MANUEL ARAT'!T$40:T$46,'KM POR UNIDAD'!E29,'MELENDEZ SINALOA MANUEL ARAT'!#REF!)+SUMIF('MORALES LECHUGA GONZALO'!T$40:T$46,'KM POR UNIDAD'!E29,'MORALES LECHUGA GONZALO'!Y$40:Y$46)+SUMIF('ORONA BECERRA MAURO JOSE'!T$40:T$46,'KM POR UNIDAD'!E29,'ORONA BECERRA MAURO JOSE'!Y$40:Y$46)+SUMIF('VALLES HERNANDEZ MANUEL MARCELI'!T$39:T$45,'KM POR UNIDAD'!E29,'VALLES HERNANDEZ MANUEL MARCELI'!Y$39:Y$45)+SUMIF('ORTIZ RAMIREZ HECTOR MANUEL'!T$40:T$46,'KM POR UNIDAD'!E29,'ORTIZ RAMIREZ HECTOR MANUEL'!Y$40:Y$46)+SUMIF('ONTIVEROS LIRA JUAN'!T$40:T$46,'KM POR UNIDAD'!E29,'ONTIVEROS LIRA JUAN'!Y$40:Y$46)+SUMIF('RODRIGUEZ FLORES BRYAN DARIO'!T$40:T$46,'KM POR UNIDAD'!E29,'RODRIGUEZ FLORES BRYAN DARIO'!Y$40:Y$46)+SUMIF('NUÑEZ RUIZ IRVING JAVIER.'!T$42:T$48,'KM POR UNIDAD'!E29,'NUÑEZ RUIZ IRVING JAVIER.'!Y$42:Y$48)+SUMIF('MACHADO MAZUCA ADOLFO'!T$40:T$46,'KM POR UNIDAD'!E29,'MACHADO MAZUCA ADOLFO'!Y$40:Y$46)+SUMIF('LIRA ARCEO JOEL EDUARDO'!T$40:T$46,'KM POR UNIDAD'!E29,'LIRA ARCEO JOEL EDUARDO'!Y$41:Y$46)+SUMIF('ANCHONDO ROMERO CESAR ALEJANDRO'!T$40:T$46,'KM POR UNIDAD'!E29,'ANCHONDO ROMERO CESAR ALEJANDRO'!Y$40:Y$46)</f>
        <v>#REF!</v>
      </c>
      <c r="G29" s="146"/>
    </row>
    <row r="30" spans="1:12" x14ac:dyDescent="0.25">
      <c r="A30" s="143" t="s">
        <v>162</v>
      </c>
      <c r="B30" s="144">
        <f>+SUMIF('AGUILAR ESQUIVEL CARLOS'!P$40:P$46,'KM POR UNIDAD'!A30,'AGUILAR ESQUIVEL CARLOS'!U$40:U$46)+SUMIF('AGUILAR RODRIGUEZ JORGE ALONSO'!P$40:P$46,'KM POR UNIDAD'!A30,'AGUILAR RODRIGUEZ JORGE ALONSO'!U$40:U$46)+SUMIF('REYES LARA DANTE'!P$40:P$46,'KM POR UNIDAD'!A30,'REYES LARA DANTE'!U$40:U$46)+SUMIF('RAMIREZ BAUTISTA ADRIAN'!P$40:P$46,'KM POR UNIDAD'!A30,'RAMIREZ BAUTISTA ADRIAN'!U$40:U$46)+SUMIF('FLORES BOJORQUEZ BRYAN OVED'!P$40:P$46,'KM POR UNIDAD'!A30,'FLORES BOJORQUEZ BRYAN OVED'!U$40:U$46)+SUMIF('BALDERRAMA ROBLES JORGE'!P$40:P$46,'KM POR UNIDAD'!A30,'BALDERRAMA ROBLES JORGE'!U$40:U$46)+SUMIF('BURGOS TORRES RIGOBERTO'!P$39:P$45,'KM POR UNIDAD'!A30,'BURGOS TORRES RIGOBERTO'!U$39:U$45)+SUMIF('CORDOVA URIBE JOSE  ADRIAN'!P$40:P$46,'KM POR UNIDAD'!A30,'CORDOVA URIBE JOSE  ADRIAN'!U$40:U$46)+SUMIF('GUZMAN CHAPARRO PEDRO'!P$40:P$46,'KM POR UNIDAD'!A30,'GUZMAN CHAPARRO PEDRO'!U$40:U$46)+SUMIF('HERNANDEZ LICANO JOSE LUIS'!P$40:P$46,'KM POR UNIDAD'!A30,'HERNANDEZ LICANO JOSE LUIS'!U$40:U$46)+SUMIF('CARRERA REYES MARTIN SEBASTIAN'!P$41:P$47,'KM POR UNIDAD'!A30,'CARRERA REYES MARTIN SEBASTIAN'!U$41:U$47)+SUMIF('RUIZ SAUCEDO DANIEL ALEJANDRO'!P$40:P$46,'KM POR UNIDAD'!A30,'RUIZ SAUCEDO DANIEL ALEJANDRO'!U$40:U$46)+SUMIF('MARTINEZ RAMIREZ ROSALIO'!P$40:P$46,'KM POR UNIDAD'!A30,'MARTINEZ RAMIREZ ROSALIO'!U$40:U$46)+SUMIF('BALLEZA RAMIREZ JESUS JOSE'!P$40:P$46,'KM POR UNIDAD'!A30,'BALLEZA RAMIREZ JESUS JOSE'!U$40:U$46)+SUMIF('MONTERO BURROLA LUIS'!P$38:P$44,'KM POR UNIDAD'!A30,'MONTERO BURROLA LUIS'!U$38:U$44)+SUMIF('AGUILERA CONTRERAS LUIS GERARDO'!P$41:P$47,'KM POR UNIDAD'!A30,'AGUILERA CONTRERAS LUIS GERARDO'!U$41:U$47)+SUMIF('MORALES LOPEZ DE LARA MARIANO'!P$40:P$46,'KM POR UNIDAD'!A30,'MORALES LOPEZ DE LARA MARIANO'!U$40:U$46)+SUMIF('MELENDEZ SINALOA MANUEL ARAT'!P$40:P$46,'KM POR UNIDAD'!A30,'MELENDEZ SINALOA MANUEL ARAT'!U$40:U$46)+SUMIF('MORALES LECHUGA GONZALO'!P$40:P$46,'KM POR UNIDAD'!A30,'MORALES LECHUGA GONZALO'!U$40:U$46)+SUMIF('ORONA BECERRA MAURO JOSE'!P$40:P$46,'KM POR UNIDAD'!A30,'ORONA BECERRA MAURO JOSE'!U$40:U$46)+SUMIF('VALLES HERNANDEZ MANUEL MARCELI'!P$39:P$45,'KM POR UNIDAD'!A30,'VALLES HERNANDEZ MANUEL MARCELI'!U$39:U$45)+SUMIF('ORTIZ RAMIREZ HECTOR MANUEL'!P$40:P$46,'KM POR UNIDAD'!A30,'ORTIZ RAMIREZ HECTOR MANUEL'!U$40:U$46)+SUMIF('ONTIVEROS LIRA JUAN'!P$40:P$46,'KM POR UNIDAD'!A30,'ONTIVEROS LIRA JUAN'!U$40:U$46)+SUMIF('RODRIGUEZ FLORES BRYAN DARIO'!P$40:P$46,'KM POR UNIDAD'!A30,'RODRIGUEZ FLORES BRYAN DARIO'!U$40:U$46)+SUMIF('NUÑEZ RUIZ IRVING JAVIER.'!P$42:P$48,'KM POR UNIDAD'!A30,'NUÑEZ RUIZ IRVING JAVIER.'!U$42:U$48)+SUMIF('MACHADO MAZUCA ADOLFO'!P$40:P$46,'KM POR UNIDAD'!A30,'MACHADO MAZUCA ADOLFO'!U$40:U$46)+SUMIF('LIRA ARCEO JOEL EDUARDO'!P$40:P$46,'KM POR UNIDAD'!A30,'LIRA ARCEO JOEL EDUARDO'!U$40:U$46)+SUMIF('ANCHONDO ROMERO CESAR ALEJANDRO'!P$40:P$46,'KM POR UNIDAD'!A30,'ANCHONDO ROMERO CESAR ALEJANDRO'!U$40:U$46)</f>
        <v>1500</v>
      </c>
      <c r="C30" s="150">
        <f ca="1">+SUMIF('AGUILAR ESQUIVEL CARLOS'!P$40:P$46,'KM POR UNIDAD'!A30,'AGUILAR ESQUIVEL CARLOS'!T$40:T$46)+SUMIF('AGUILAR RODRIGUEZ JORGE ALONSO'!P$40:P$46,'KM POR UNIDAD'!A30,'AGUILAR RODRIGUEZ JORGE ALONSO'!T$40:T$46)+SUMIF('REYES LARA DANTE'!P$40:P$46,'KM POR UNIDAD'!A30,'REYES LARA DANTE'!T$40:T$46)+SUMIF('RAMIREZ BAUTISTA ADRIAN'!P$40:P$46,'KM POR UNIDAD'!A30,'RAMIREZ BAUTISTA ADRIAN'!T$40:T$46)+SUMIF('FLORES BOJORQUEZ BRYAN OVED'!P$40:P$46,'KM POR UNIDAD'!A30,'FLORES BOJORQUEZ BRYAN OVED'!T$40:T$46)+SUMIF('BALDERRAMA ROBLES JORGE'!P$40:P$46,'KM POR UNIDAD'!A30,'BALDERRAMA ROBLES JORGE'!T$40:T$46)+SUMIF('BURGOS TORRES RIGOBERTO'!P$39:P$45,'KM POR UNIDAD'!A30,'BURGOS TORRES RIGOBERTO'!T$39:T$45)+SUMIF('CORDOVA URIBE JOSE  ADRIAN'!P$40:P$46,'KM POR UNIDAD'!A30,'CORDOVA URIBE JOSE  ADRIAN'!T$40:T$46)+SUMIF('GUZMAN CHAPARRO PEDRO'!P$40:P$46,'KM POR UNIDAD'!A30,'GUZMAN CHAPARRO PEDRO'!T$40:T$46)+SUMIF('HERNANDEZ LICANO JOSE LUIS'!P$40:P$46,'KM POR UNIDAD'!A30,'HERNANDEZ LICANO JOSE LUIS'!T$40:T$46)+SUMIF('CARRERA REYES MARTIN SEBASTIAN'!P$41:P$47,'KM POR UNIDAD'!A30,'CARRERA REYES MARTIN SEBASTIAN'!T$41:T$47)+SUMIF('RUIZ SAUCEDO DANIEL ALEJANDRO'!P$40:P$46,'KM POR UNIDAD'!A30,'RUIZ SAUCEDO DANIEL ALEJANDRO'!T$40:T$46)+SUMIF('MARTINEZ RAMIREZ ROSALIO'!P$40:P$46,'KM POR UNIDAD'!A30,'MARTINEZ RAMIREZ ROSALIO'!T$40:T$46)+SUMIF('BALLEZA RAMIREZ JESUS JOSE'!P$40:P$46,'KM POR UNIDAD'!A30,'BALLEZA RAMIREZ JESUS JOSE'!T$40:T$46)+SUMIF('MONTERO BURROLA LUIS'!P$38:P$44,'KM POR UNIDAD'!A30,'MONTERO BURROLA LUIS'!T$38:T$44)+SUMIF('AGUILERA CONTRERAS LUIS GERARDO'!P$41:P$47,'KM POR UNIDAD'!A30,'AGUILERA CONTRERAS LUIS GERARDO'!T$41:T$47)+SUMIF('MORALES LOPEZ DE LARA MARIANO'!P$40:P$46,'KM POR UNIDAD'!A30,'MORALES LOPEZ DE LARA MARIANO'!T$40:T$46)+SUMIF('MELENDEZ SINALOA MANUEL ARAT'!P$40:P$46,'KM POR UNIDAD'!A30,'MELENDEZ SINALOA MANUEL ARAT'!T$40:T$46)+SUMIF('MORALES LECHUGA GONZALO'!P$40:P$46,'KM POR UNIDAD'!A30,'MORALES LECHUGA GONZALO'!T$40:T$46)+SUMIF('ORONA BECERRA MAURO JOSE'!P$40:P$46,'KM POR UNIDAD'!A30,'ORONA BECERRA MAURO JOSE'!T$40:T$46)+SUMIF('VALLES HERNANDEZ MANUEL MARCELI'!P$39:P$45,'KM POR UNIDAD'!A30,'VALLES HERNANDEZ MANUEL MARCELI'!T$39:T$45)+SUMIF('ORTIZ RAMIREZ HECTOR MANUEL'!P$40:P$46,'KM POR UNIDAD'!A30,'ORTIZ RAMIREZ HECTOR MANUEL'!T$40:T$46)+SUMIF('ONTIVEROS LIRA JUAN'!P$40:P$446,'KM POR UNIDAD'!A30,'ONTIVEROS LIRA JUAN'!T$40:T$46)+SUMIF('RODRIGUEZ FLORES BRYAN DARIO'!P$40:P$46,'KM POR UNIDAD'!A30,'RODRIGUEZ FLORES BRYAN DARIO'!T$40:T$46)+SUMIF('NUÑEZ RUIZ IRVING JAVIER.'!P$42:P$48,'KM POR UNIDAD'!A30,'NUÑEZ RUIZ IRVING JAVIER.'!T$42:T$48)+SUMIF('MACHADO MAZUCA ADOLFO'!P$40:P$46,'KM POR UNIDAD'!A30,'MACHADO MAZUCA ADOLFO'!T$40:T$46)+SUMIF('LIRA ARCEO JOEL EDUARDO'!P$40:P$46,'KM POR UNIDAD'!A30,'LIRA ARCEO JOEL EDUARDO'!T$40:T$46)+SUMIF('ANCHONDO ROMERO CESAR ALEJANDRO'!P$40:P$46,'KM POR UNIDAD'!A30,'ANCHONDO ROMERO CESAR ALEJANDRO'!T$40:T$46)</f>
        <v>1428</v>
      </c>
      <c r="D30" s="150">
        <f>+SUMIF('AGUILAR ESQUIVEL CARLOS'!P$40:P$46,'KM POR UNIDAD'!A30,'AGUILAR ESQUIVEL CARLOS'!V$40:V$46)+SUMIF('AGUILAR RODRIGUEZ JORGE ALONSO'!P$40:P$46,'KM POR UNIDAD'!A30,'AGUILAR RODRIGUEZ JORGE ALONSO'!V$40:V$46)+SUMIF('REYES LARA DANTE'!P$40:P$46,'KM POR UNIDAD'!A30,'REYES LARA DANTE'!V$40:V$46)+SUMIF('RAMIREZ BAUTISTA ADRIAN'!P$40:P$46,'KM POR UNIDAD'!A30,'RAMIREZ BAUTISTA ADRIAN'!V$40:V$46)+SUMIF('FLORES BOJORQUEZ BRYAN OVED'!P$40:P$46,'KM POR UNIDAD'!A30,'FLORES BOJORQUEZ BRYAN OVED'!V$40:V$46)+SUMIF('BALDERRAMA ROBLES JORGE'!P$40:P$46,'KM POR UNIDAD'!A30,'BALDERRAMA ROBLES JORGE'!V$40:V$46)+SUMIF('BURGOS TORRES RIGOBERTO'!P$39:P$45,'KM POR UNIDAD'!A30,'BURGOS TORRES RIGOBERTO'!V$39:V$45)+SUMIF('CORDOVA URIBE JOSE  ADRIAN'!P$40:P$46,'KM POR UNIDAD'!A30,'CORDOVA URIBE JOSE  ADRIAN'!V$40:V$46)+SUMIF('GUZMAN CHAPARRO PEDRO'!P$40:P$46,'KM POR UNIDAD'!A30,'GUZMAN CHAPARRO PEDRO'!V$40:V$46)+SUMIF('HERNANDEZ LICANO JOSE LUIS'!P$40:P$46,'KM POR UNIDAD'!A30,'HERNANDEZ LICANO JOSE LUIS'!V$40:V$46)+SUMIF('CARRERA REYES MARTIN SEBASTIAN'!P$41:P$47,'KM POR UNIDAD'!A30,'CARRERA REYES MARTIN SEBASTIAN'!V$41:V$47)+SUMIF('RUIZ SAUCEDO DANIEL ALEJANDRO'!P$40:P$46,'KM POR UNIDAD'!A30,'RUIZ SAUCEDO DANIEL ALEJANDRO'!V$40:V$46)+SUMIF('MARTINEZ RAMIREZ ROSALIO'!P$40:P$46,'KM POR UNIDAD'!A30,'MARTINEZ RAMIREZ ROSALIO'!V$40:V$46)+SUMIF('BALLEZA RAMIREZ JESUS JOSE'!P$40:P$46,'KM POR UNIDAD'!A30,'BALLEZA RAMIREZ JESUS JOSE'!V$40:V$46)+SUMIF('MONTERO BURROLA LUIS'!P$38:P$44,'KM POR UNIDAD'!A30,'MONTERO BURROLA LUIS'!V$38:V$44)+SUMIF('AGUILERA CONTRERAS LUIS GERARDO'!P$41:P$47,'KM POR UNIDAD'!A30,'AGUILERA CONTRERAS LUIS GERARDO'!V$41:V$47)+SUMIF('MORALES LOPEZ DE LARA MARIANO'!P$40:P$46,'KM POR UNIDAD'!A30,'MORALES LOPEZ DE LARA MARIANO'!V$40:V$46)+SUMIF('MELENDEZ SINALOA MANUEL ARAT'!P$40:P$46,'KM POR UNIDAD'!A30,'MELENDEZ SINALOA MANUEL ARAT'!V$40:V$46)+SUMIF('MORALES LECHUGA GONZALO'!P$40:P$46,'KM POR UNIDAD'!A30,'MORALES LECHUGA GONZALO'!V$40:V$46)+SUMIF('ORONA BECERRA MAURO JOSE'!P$40:P$46,'KM POR UNIDAD'!A30,'ORONA BECERRA MAURO JOSE'!V$40:V$46)+SUMIF('VALLES HERNANDEZ MANUEL MARCELI'!P$39:P$45,'KM POR UNIDAD'!A30,'VALLES HERNANDEZ MANUEL MARCELI'!V$39:V$45)+SUMIF('ORTIZ RAMIREZ HECTOR MANUEL'!P$40:P$46,'KM POR UNIDAD'!A30,'ORTIZ RAMIREZ HECTOR MANUEL'!V$40:V$46)+SUMIF('ONTIVEROS LIRA JUAN'!P$40:P$46,'KM POR UNIDAD'!A30,'ONTIVEROS LIRA JUAN'!V$40:V$46)+SUMIF('RODRIGUEZ FLORES BRYAN DARIO'!P$40:P$46,'KM POR UNIDAD'!A30,'RODRIGUEZ FLORES BRYAN DARIO'!V$40:V$46)+SUMIF('NUÑEZ RUIZ IRVING JAVIER.'!P$42:P$48,'KM POR UNIDAD'!A30,'NUÑEZ RUIZ IRVING JAVIER.'!V$42:V$48)+SUMIF('MACHADO MAZUCA ADOLFO'!P$40:P$46,'KM POR UNIDAD'!A30,'MACHADO MAZUCA ADOLFO'!V$40:V$46)+SUMIF('LIRA ARCEO JOEL EDUARDO'!P$40:P$46,'KM POR UNIDAD'!A30,'LIRA ARCEO JOEL EDUARDO'!V$40:V$46)+SUMIF('ANCHONDO ROMERO CESAR ALEJANDRO'!P$40:P$46,'KM POR UNIDAD'!A30,'ANCHONDO ROMERO CESAR ALEJANDRO'!V$40:V$46)</f>
        <v>446</v>
      </c>
      <c r="E30" s="145">
        <f t="shared" si="0"/>
        <v>3.3632286995515694</v>
      </c>
      <c r="F30" s="144" t="e">
        <f ca="1">+SUMIF('AGUILAR ESQUIVEL CARLOS'!P$40:P$46,'KM POR UNIDAD'!A30,'AGUILAR ESQUIVEL CARLOS'!W$40:W$46)+SUMIF('AGUILAR RODRIGUEZ JORGE ALONSO'!P$40:P$46,'KM POR UNIDAD'!A30,'AGUILAR RODRIGUEZ JORGE ALONSO'!W$40:W$46)+SUMIF('REYES LARA DANTE'!T$40:T$46,'KM POR UNIDAD'!A30,'REYES LARA DANTE'!Y$40:Y$46)+SUMIF('RAMIREZ BAUTISTA ADRIAN'!T$40:T$46,'KM POR UNIDAD'!A30,'RAMIREZ BAUTISTA ADRIAN'!Y$40:Y$46)+SUMIF('FLORES BOJORQUEZ BRYAN OVED'!T$40:T$46,'KM POR UNIDAD'!A30,'FLORES BOJORQUEZ BRYAN OVED'!Y$40:Y$46)+SUMIF('BALDERRAMA ROBLES JORGE'!T$40:T$46,'KM POR UNIDAD'!A30,'BALDERRAMA ROBLES JORGE'!#REF!)+SUMIF('BURGOS TORRES RIGOBERTO'!T$39:T$45,'KM POR UNIDAD'!A30,'BURGOS TORRES RIGOBERTO'!Y$39:Y$45)+SUMIF('CORDOVA URIBE JOSE  ADRIAN'!T$40:T$46,'KM POR UNIDAD'!E30,'CORDOVA URIBE JOSE  ADRIAN'!Y$40:Y$46)+SUMIF('GUZMAN CHAPARRO PEDRO'!T$40:T$46,'KM POR UNIDAD'!E30,'GUZMAN CHAPARRO PEDRO'!Y$40:Y$46)+SUMIF('HERNANDEZ LICANO JOSE LUIS'!T$40:T$46,'KM POR UNIDAD'!E30,'HERNANDEZ LICANO JOSE LUIS'!#REF!)+SUMIF('CARRERA REYES MARTIN SEBASTIAN'!T$41:T$47,'KM POR UNIDAD'!E30,'CARRERA REYES MARTIN SEBASTIAN'!Y$41:Y$47)+SUMIF('RUIZ SAUCEDO DANIEL ALEJANDRO'!T$40:T$46,'KM POR UNIDAD'!E30,'RUIZ SAUCEDO DANIEL ALEJANDRO'!Y$40:Y$46)+SUMIF('MARTINEZ RAMIREZ ROSALIO'!T$40:T$46,'KM POR UNIDAD'!E30,'MARTINEZ RAMIREZ ROSALIO'!Y$40:Y$46)+SUMIF('BALLEZA RAMIREZ JESUS JOSE'!T$40:T$46,'KM POR UNIDAD'!E30,'BALLEZA RAMIREZ JESUS JOSE'!T$176:T$180)+SUMIF('MONTERO BURROLA LUIS'!T$38:T$44,'KM POR UNIDAD'!E30,'MONTERO BURROLA LUIS'!Y$38:Y$44)+SUMIF('AGUILERA CONTRERAS LUIS GERARDO'!T$41:T$47,'KM POR UNIDAD'!E30,'AGUILERA CONTRERAS LUIS GERARDO'!Y$41:Y$47)+SUMIF('MORALES LOPEZ DE LARA MARIANO'!T$40:T$46,'KM POR UNIDAD'!E30,'MORALES LOPEZ DE LARA MARIANO'!Y$40:Y$46)+SUMIF('MELENDEZ SINALOA MANUEL ARAT'!T$40:T$46,'KM POR UNIDAD'!E30,'MELENDEZ SINALOA MANUEL ARAT'!#REF!)+SUMIF('MORALES LECHUGA GONZALO'!T$40:T$46,'KM POR UNIDAD'!E30,'MORALES LECHUGA GONZALO'!Y$40:Y$46)+SUMIF('ORONA BECERRA MAURO JOSE'!T$40:T$46,'KM POR UNIDAD'!E30,'ORONA BECERRA MAURO JOSE'!Y$40:Y$46)+SUMIF('VALLES HERNANDEZ MANUEL MARCELI'!T$39:T$45,'KM POR UNIDAD'!E30,'VALLES HERNANDEZ MANUEL MARCELI'!Y$39:Y$45)+SUMIF('ORTIZ RAMIREZ HECTOR MANUEL'!T$40:T$46,'KM POR UNIDAD'!E30,'ORTIZ RAMIREZ HECTOR MANUEL'!Y$40:Y$46)+SUMIF('ONTIVEROS LIRA JUAN'!T$40:T$46,'KM POR UNIDAD'!E30,'ONTIVEROS LIRA JUAN'!Y$40:Y$46)+SUMIF('RODRIGUEZ FLORES BRYAN DARIO'!T$40:T$46,'KM POR UNIDAD'!E30,'RODRIGUEZ FLORES BRYAN DARIO'!Y$40:Y$46)+SUMIF('NUÑEZ RUIZ IRVING JAVIER.'!T$42:T$48,'KM POR UNIDAD'!E30,'NUÑEZ RUIZ IRVING JAVIER.'!Y$42:Y$48)+SUMIF('MACHADO MAZUCA ADOLFO'!T$40:T$46,'KM POR UNIDAD'!E30,'MACHADO MAZUCA ADOLFO'!Y$40:Y$46)+SUMIF('LIRA ARCEO JOEL EDUARDO'!T$40:T$46,'KM POR UNIDAD'!E30,'LIRA ARCEO JOEL EDUARDO'!Y$41:Y$46)+SUMIF('ANCHONDO ROMERO CESAR ALEJANDRO'!T$40:T$46,'KM POR UNIDAD'!E30,'ANCHONDO ROMERO CESAR ALEJANDRO'!Y$40:Y$46)</f>
        <v>#REF!</v>
      </c>
      <c r="G30" s="146"/>
    </row>
    <row r="31" spans="1:12" x14ac:dyDescent="0.25">
      <c r="A31" s="143" t="s">
        <v>163</v>
      </c>
      <c r="B31" s="144">
        <f>+SUMIF('AGUILAR ESQUIVEL CARLOS'!P$40:P$46,'KM POR UNIDAD'!A31,'AGUILAR ESQUIVEL CARLOS'!U$40:U$46)+SUMIF('AGUILAR RODRIGUEZ JORGE ALONSO'!P$40:P$46,'KM POR UNIDAD'!A31,'AGUILAR RODRIGUEZ JORGE ALONSO'!U$40:U$46)+SUMIF('REYES LARA DANTE'!P$40:P$46,'KM POR UNIDAD'!A31,'REYES LARA DANTE'!U$40:U$46)+SUMIF('RAMIREZ BAUTISTA ADRIAN'!P$40:P$46,'KM POR UNIDAD'!A31,'RAMIREZ BAUTISTA ADRIAN'!U$40:U$46)+SUMIF('FLORES BOJORQUEZ BRYAN OVED'!P$40:P$46,'KM POR UNIDAD'!A31,'FLORES BOJORQUEZ BRYAN OVED'!U$40:U$46)+SUMIF('BALDERRAMA ROBLES JORGE'!P$40:P$46,'KM POR UNIDAD'!A31,'BALDERRAMA ROBLES JORGE'!U$40:U$46)+SUMIF('BURGOS TORRES RIGOBERTO'!P$39:P$45,'KM POR UNIDAD'!A31,'BURGOS TORRES RIGOBERTO'!U$39:U$45)+SUMIF('CORDOVA URIBE JOSE  ADRIAN'!P$40:P$46,'KM POR UNIDAD'!A31,'CORDOVA URIBE JOSE  ADRIAN'!U$40:U$46)+SUMIF('GUZMAN CHAPARRO PEDRO'!P$40:P$46,'KM POR UNIDAD'!A31,'GUZMAN CHAPARRO PEDRO'!U$40:U$46)+SUMIF('HERNANDEZ LICANO JOSE LUIS'!P$40:P$46,'KM POR UNIDAD'!A31,'HERNANDEZ LICANO JOSE LUIS'!U$40:U$46)+SUMIF('CARRERA REYES MARTIN SEBASTIAN'!P$41:P$47,'KM POR UNIDAD'!A31,'CARRERA REYES MARTIN SEBASTIAN'!U$41:U$47)+SUMIF('RUIZ SAUCEDO DANIEL ALEJANDRO'!P$40:P$46,'KM POR UNIDAD'!A31,'RUIZ SAUCEDO DANIEL ALEJANDRO'!U$40:U$46)+SUMIF('MARTINEZ RAMIREZ ROSALIO'!P$40:P$46,'KM POR UNIDAD'!A31,'MARTINEZ RAMIREZ ROSALIO'!U$40:U$46)+SUMIF('BALLEZA RAMIREZ JESUS JOSE'!P$40:P$46,'KM POR UNIDAD'!A31,'BALLEZA RAMIREZ JESUS JOSE'!U$40:U$46)+SUMIF('MONTERO BURROLA LUIS'!P$38:P$44,'KM POR UNIDAD'!A31,'MONTERO BURROLA LUIS'!U$38:U$44)+SUMIF('AGUILERA CONTRERAS LUIS GERARDO'!P$41:P$47,'KM POR UNIDAD'!A31,'AGUILERA CONTRERAS LUIS GERARDO'!U$41:U$47)+SUMIF('MORALES LOPEZ DE LARA MARIANO'!P$40:P$46,'KM POR UNIDAD'!A31,'MORALES LOPEZ DE LARA MARIANO'!U$40:U$46)+SUMIF('MELENDEZ SINALOA MANUEL ARAT'!P$40:P$46,'KM POR UNIDAD'!A31,'MELENDEZ SINALOA MANUEL ARAT'!U$40:U$46)+SUMIF('MORALES LECHUGA GONZALO'!P$40:P$46,'KM POR UNIDAD'!A31,'MORALES LECHUGA GONZALO'!U$40:U$46)+SUMIF('ORONA BECERRA MAURO JOSE'!P$40:P$46,'KM POR UNIDAD'!A31,'ORONA BECERRA MAURO JOSE'!U$40:U$46)+SUMIF('VALLES HERNANDEZ MANUEL MARCELI'!P$39:P$45,'KM POR UNIDAD'!A31,'VALLES HERNANDEZ MANUEL MARCELI'!U$39:U$45)+SUMIF('ORTIZ RAMIREZ HECTOR MANUEL'!P$40:P$46,'KM POR UNIDAD'!A31,'ORTIZ RAMIREZ HECTOR MANUEL'!U$40:U$46)+SUMIF('ONTIVEROS LIRA JUAN'!P$40:P$46,'KM POR UNIDAD'!A31,'ONTIVEROS LIRA JUAN'!U$40:U$46)+SUMIF('RODRIGUEZ FLORES BRYAN DARIO'!P$40:P$46,'KM POR UNIDAD'!A31,'RODRIGUEZ FLORES BRYAN DARIO'!U$40:U$46)+SUMIF('NUÑEZ RUIZ IRVING JAVIER.'!P$42:P$48,'KM POR UNIDAD'!A31,'NUÑEZ RUIZ IRVING JAVIER.'!U$42:U$48)+SUMIF('MACHADO MAZUCA ADOLFO'!P$40:P$46,'KM POR UNIDAD'!A31,'MACHADO MAZUCA ADOLFO'!U$40:U$46)+SUMIF('LIRA ARCEO JOEL EDUARDO'!P$40:P$46,'KM POR UNIDAD'!A31,'LIRA ARCEO JOEL EDUARDO'!U$40:U$46)+SUMIF('ANCHONDO ROMERO CESAR ALEJANDRO'!P$40:P$46,'KM POR UNIDAD'!A31,'ANCHONDO ROMERO CESAR ALEJANDRO'!U$40:U$46)</f>
        <v>3950</v>
      </c>
      <c r="C31" s="150">
        <f ca="1">+SUMIF('AGUILAR ESQUIVEL CARLOS'!P$40:P$46,'KM POR UNIDAD'!A31,'AGUILAR ESQUIVEL CARLOS'!T$40:T$46)+SUMIF('AGUILAR RODRIGUEZ JORGE ALONSO'!P$40:P$46,'KM POR UNIDAD'!A31,'AGUILAR RODRIGUEZ JORGE ALONSO'!T$40:T$46)+SUMIF('REYES LARA DANTE'!P$40:P$46,'KM POR UNIDAD'!A31,'REYES LARA DANTE'!T$40:T$46)+SUMIF('RAMIREZ BAUTISTA ADRIAN'!P$40:P$46,'KM POR UNIDAD'!A31,'RAMIREZ BAUTISTA ADRIAN'!T$40:T$46)+SUMIF('FLORES BOJORQUEZ BRYAN OVED'!P$40:P$46,'KM POR UNIDAD'!A31,'FLORES BOJORQUEZ BRYAN OVED'!T$40:T$46)+SUMIF('BALDERRAMA ROBLES JORGE'!P$40:P$46,'KM POR UNIDAD'!A31,'BALDERRAMA ROBLES JORGE'!T$40:T$46)+SUMIF('BURGOS TORRES RIGOBERTO'!P$39:P$45,'KM POR UNIDAD'!A31,'BURGOS TORRES RIGOBERTO'!T$39:T$45)+SUMIF('CORDOVA URIBE JOSE  ADRIAN'!P$40:P$46,'KM POR UNIDAD'!A31,'CORDOVA URIBE JOSE  ADRIAN'!T$40:T$46)+SUMIF('GUZMAN CHAPARRO PEDRO'!P$40:P$46,'KM POR UNIDAD'!A31,'GUZMAN CHAPARRO PEDRO'!T$40:T$46)+SUMIF('HERNANDEZ LICANO JOSE LUIS'!P$40:P$46,'KM POR UNIDAD'!A31,'HERNANDEZ LICANO JOSE LUIS'!T$40:T$46)+SUMIF('CARRERA REYES MARTIN SEBASTIAN'!P$41:P$47,'KM POR UNIDAD'!A31,'CARRERA REYES MARTIN SEBASTIAN'!T$41:T$47)+SUMIF('RUIZ SAUCEDO DANIEL ALEJANDRO'!P$40:P$46,'KM POR UNIDAD'!A31,'RUIZ SAUCEDO DANIEL ALEJANDRO'!T$40:T$46)+SUMIF('MARTINEZ RAMIREZ ROSALIO'!P$40:P$46,'KM POR UNIDAD'!A31,'MARTINEZ RAMIREZ ROSALIO'!T$40:T$46)+SUMIF('BALLEZA RAMIREZ JESUS JOSE'!P$40:P$46,'KM POR UNIDAD'!A31,'BALLEZA RAMIREZ JESUS JOSE'!T$40:T$46)+SUMIF('MONTERO BURROLA LUIS'!P$38:P$44,'KM POR UNIDAD'!A31,'MONTERO BURROLA LUIS'!T$38:T$44)+SUMIF('AGUILERA CONTRERAS LUIS GERARDO'!P$41:P$47,'KM POR UNIDAD'!A31,'AGUILERA CONTRERAS LUIS GERARDO'!T$41:T$47)+SUMIF('MORALES LOPEZ DE LARA MARIANO'!P$40:P$46,'KM POR UNIDAD'!A31,'MORALES LOPEZ DE LARA MARIANO'!T$40:T$46)+SUMIF('MELENDEZ SINALOA MANUEL ARAT'!P$40:P$46,'KM POR UNIDAD'!A31,'MELENDEZ SINALOA MANUEL ARAT'!T$40:T$46)+SUMIF('MORALES LECHUGA GONZALO'!P$40:P$46,'KM POR UNIDAD'!A31,'MORALES LECHUGA GONZALO'!T$40:T$46)+SUMIF('ORONA BECERRA MAURO JOSE'!P$40:P$46,'KM POR UNIDAD'!A31,'ORONA BECERRA MAURO JOSE'!T$40:T$46)+SUMIF('VALLES HERNANDEZ MANUEL MARCELI'!P$39:P$45,'KM POR UNIDAD'!A31,'VALLES HERNANDEZ MANUEL MARCELI'!T$39:T$45)+SUMIF('ORTIZ RAMIREZ HECTOR MANUEL'!P$40:P$46,'KM POR UNIDAD'!A31,'ORTIZ RAMIREZ HECTOR MANUEL'!T$40:T$46)+SUMIF('ONTIVEROS LIRA JUAN'!P$40:P$446,'KM POR UNIDAD'!A31,'ONTIVEROS LIRA JUAN'!T$40:T$46)+SUMIF('RODRIGUEZ FLORES BRYAN DARIO'!P$40:P$46,'KM POR UNIDAD'!A31,'RODRIGUEZ FLORES BRYAN DARIO'!T$40:T$46)+SUMIF('NUÑEZ RUIZ IRVING JAVIER.'!P$42:P$48,'KM POR UNIDAD'!A31,'NUÑEZ RUIZ IRVING JAVIER.'!T$42:T$48)+SUMIF('MACHADO MAZUCA ADOLFO'!P$40:P$46,'KM POR UNIDAD'!A31,'MACHADO MAZUCA ADOLFO'!T$40:T$46)+SUMIF('LIRA ARCEO JOEL EDUARDO'!P$40:P$46,'KM POR UNIDAD'!A31,'LIRA ARCEO JOEL EDUARDO'!T$40:T$46)+SUMIF('ANCHONDO ROMERO CESAR ALEJANDRO'!P$40:P$46,'KM POR UNIDAD'!A31,'ANCHONDO ROMERO CESAR ALEJANDRO'!T$40:T$46)</f>
        <v>3628</v>
      </c>
      <c r="D31" s="150">
        <f>+SUMIF('AGUILAR ESQUIVEL CARLOS'!P$40:P$46,'KM POR UNIDAD'!A31,'AGUILAR ESQUIVEL CARLOS'!V$40:V$46)+SUMIF('AGUILAR RODRIGUEZ JORGE ALONSO'!P$40:P$46,'KM POR UNIDAD'!A31,'AGUILAR RODRIGUEZ JORGE ALONSO'!V$40:V$46)+SUMIF('REYES LARA DANTE'!P$40:P$46,'KM POR UNIDAD'!A31,'REYES LARA DANTE'!V$40:V$46)+SUMIF('RAMIREZ BAUTISTA ADRIAN'!P$40:P$46,'KM POR UNIDAD'!A31,'RAMIREZ BAUTISTA ADRIAN'!V$40:V$46)+SUMIF('FLORES BOJORQUEZ BRYAN OVED'!P$40:P$46,'KM POR UNIDAD'!A31,'FLORES BOJORQUEZ BRYAN OVED'!V$40:V$46)+SUMIF('BALDERRAMA ROBLES JORGE'!P$40:P$46,'KM POR UNIDAD'!A31,'BALDERRAMA ROBLES JORGE'!V$40:V$46)+SUMIF('BURGOS TORRES RIGOBERTO'!P$39:P$45,'KM POR UNIDAD'!A31,'BURGOS TORRES RIGOBERTO'!V$39:V$45)+SUMIF('CORDOVA URIBE JOSE  ADRIAN'!P$40:P$46,'KM POR UNIDAD'!A31,'CORDOVA URIBE JOSE  ADRIAN'!V$40:V$46)+SUMIF('GUZMAN CHAPARRO PEDRO'!P$40:P$46,'KM POR UNIDAD'!A31,'GUZMAN CHAPARRO PEDRO'!V$40:V$46)+SUMIF('HERNANDEZ LICANO JOSE LUIS'!P$40:P$46,'KM POR UNIDAD'!A31,'HERNANDEZ LICANO JOSE LUIS'!V$40:V$46)+SUMIF('CARRERA REYES MARTIN SEBASTIAN'!P$41:P$47,'KM POR UNIDAD'!A31,'CARRERA REYES MARTIN SEBASTIAN'!V$41:V$47)+SUMIF('RUIZ SAUCEDO DANIEL ALEJANDRO'!P$40:P$46,'KM POR UNIDAD'!A31,'RUIZ SAUCEDO DANIEL ALEJANDRO'!V$40:V$46)+SUMIF('MARTINEZ RAMIREZ ROSALIO'!P$40:P$46,'KM POR UNIDAD'!A31,'MARTINEZ RAMIREZ ROSALIO'!V$40:V$46)+SUMIF('BALLEZA RAMIREZ JESUS JOSE'!P$40:P$46,'KM POR UNIDAD'!A31,'BALLEZA RAMIREZ JESUS JOSE'!V$40:V$46)+SUMIF('MONTERO BURROLA LUIS'!P$38:P$44,'KM POR UNIDAD'!A31,'MONTERO BURROLA LUIS'!V$38:V$44)+SUMIF('AGUILERA CONTRERAS LUIS GERARDO'!P$41:P$47,'KM POR UNIDAD'!A31,'AGUILERA CONTRERAS LUIS GERARDO'!V$41:V$47)+SUMIF('MORALES LOPEZ DE LARA MARIANO'!P$40:P$46,'KM POR UNIDAD'!A31,'MORALES LOPEZ DE LARA MARIANO'!V$40:V$46)+SUMIF('MELENDEZ SINALOA MANUEL ARAT'!P$40:P$46,'KM POR UNIDAD'!A31,'MELENDEZ SINALOA MANUEL ARAT'!V$40:V$46)+SUMIF('MORALES LECHUGA GONZALO'!P$40:P$46,'KM POR UNIDAD'!A31,'MORALES LECHUGA GONZALO'!V$40:V$46)+SUMIF('ORONA BECERRA MAURO JOSE'!P$40:P$46,'KM POR UNIDAD'!A31,'ORONA BECERRA MAURO JOSE'!V$40:V$46)+SUMIF('VALLES HERNANDEZ MANUEL MARCELI'!P$39:P$45,'KM POR UNIDAD'!A31,'VALLES HERNANDEZ MANUEL MARCELI'!V$39:V$45)+SUMIF('ORTIZ RAMIREZ HECTOR MANUEL'!P$40:P$46,'KM POR UNIDAD'!A31,'ORTIZ RAMIREZ HECTOR MANUEL'!V$40:V$46)+SUMIF('ONTIVEROS LIRA JUAN'!P$40:P$46,'KM POR UNIDAD'!A31,'ONTIVEROS LIRA JUAN'!V$40:V$46)+SUMIF('RODRIGUEZ FLORES BRYAN DARIO'!P$40:P$46,'KM POR UNIDAD'!A31,'RODRIGUEZ FLORES BRYAN DARIO'!V$40:V$46)+SUMIF('NUÑEZ RUIZ IRVING JAVIER.'!P$42:P$48,'KM POR UNIDAD'!A31,'NUÑEZ RUIZ IRVING JAVIER.'!V$42:V$48)+SUMIF('MACHADO MAZUCA ADOLFO'!P$40:P$46,'KM POR UNIDAD'!A31,'MACHADO MAZUCA ADOLFO'!V$40:V$46)+SUMIF('LIRA ARCEO JOEL EDUARDO'!P$40:P$46,'KM POR UNIDAD'!A31,'LIRA ARCEO JOEL EDUARDO'!V$40:V$46)+SUMIF('ANCHONDO ROMERO CESAR ALEJANDRO'!P$40:P$46,'KM POR UNIDAD'!A31,'ANCHONDO ROMERO CESAR ALEJANDRO'!V$40:V$46)</f>
        <v>1149.96</v>
      </c>
      <c r="E31" s="145">
        <f t="shared" si="0"/>
        <v>3.4349020835507322</v>
      </c>
      <c r="F31" s="144" t="e">
        <f ca="1">+SUMIF('AGUILAR ESQUIVEL CARLOS'!P$40:P$46,'KM POR UNIDAD'!A31,'AGUILAR ESQUIVEL CARLOS'!W$40:W$46)+SUMIF('AGUILAR RODRIGUEZ JORGE ALONSO'!P$40:P$46,'KM POR UNIDAD'!A31,'AGUILAR RODRIGUEZ JORGE ALONSO'!W$40:W$46)+SUMIF('REYES LARA DANTE'!T$40:T$46,'KM POR UNIDAD'!A31,'REYES LARA DANTE'!Y$40:Y$46)+SUMIF('RAMIREZ BAUTISTA ADRIAN'!T$40:T$46,'KM POR UNIDAD'!A31,'RAMIREZ BAUTISTA ADRIAN'!Y$40:Y$46)+SUMIF('FLORES BOJORQUEZ BRYAN OVED'!T$40:T$46,'KM POR UNIDAD'!A31,'FLORES BOJORQUEZ BRYAN OVED'!Y$40:Y$46)+SUMIF('BALDERRAMA ROBLES JORGE'!T$40:T$46,'KM POR UNIDAD'!A31,'BALDERRAMA ROBLES JORGE'!#REF!)+SUMIF('BURGOS TORRES RIGOBERTO'!T$39:T$45,'KM POR UNIDAD'!A31,'BURGOS TORRES RIGOBERTO'!Y$39:Y$45)+SUMIF('CORDOVA URIBE JOSE  ADRIAN'!T$40:T$46,'KM POR UNIDAD'!E31,'CORDOVA URIBE JOSE  ADRIAN'!Y$40:Y$46)+SUMIF('GUZMAN CHAPARRO PEDRO'!T$40:T$46,'KM POR UNIDAD'!E31,'GUZMAN CHAPARRO PEDRO'!Y$40:Y$46)+SUMIF('HERNANDEZ LICANO JOSE LUIS'!T$40:T$46,'KM POR UNIDAD'!E31,'HERNANDEZ LICANO JOSE LUIS'!#REF!)+SUMIF('CARRERA REYES MARTIN SEBASTIAN'!T$41:T$47,'KM POR UNIDAD'!E31,'CARRERA REYES MARTIN SEBASTIAN'!Y$41:Y$47)+SUMIF('RUIZ SAUCEDO DANIEL ALEJANDRO'!T$40:T$46,'KM POR UNIDAD'!E31,'RUIZ SAUCEDO DANIEL ALEJANDRO'!Y$40:Y$46)+SUMIF('MARTINEZ RAMIREZ ROSALIO'!T$40:T$46,'KM POR UNIDAD'!E31,'MARTINEZ RAMIREZ ROSALIO'!Y$40:Y$46)+SUMIF('BALLEZA RAMIREZ JESUS JOSE'!T$40:T$46,'KM POR UNIDAD'!E31,'BALLEZA RAMIREZ JESUS JOSE'!T$176:T$180)+SUMIF('MONTERO BURROLA LUIS'!T$38:T$44,'KM POR UNIDAD'!E31,'MONTERO BURROLA LUIS'!Y$38:Y$44)+SUMIF('AGUILERA CONTRERAS LUIS GERARDO'!T$41:T$47,'KM POR UNIDAD'!E31,'AGUILERA CONTRERAS LUIS GERARDO'!Y$41:Y$47)+SUMIF('MORALES LOPEZ DE LARA MARIANO'!T$40:T$46,'KM POR UNIDAD'!E31,'MORALES LOPEZ DE LARA MARIANO'!Y$40:Y$46)+SUMIF('MELENDEZ SINALOA MANUEL ARAT'!T$40:T$46,'KM POR UNIDAD'!E31,'MELENDEZ SINALOA MANUEL ARAT'!#REF!)+SUMIF('MORALES LECHUGA GONZALO'!T$40:T$46,'KM POR UNIDAD'!E31,'MORALES LECHUGA GONZALO'!Y$40:Y$46)+SUMIF('ORONA BECERRA MAURO JOSE'!T$40:T$46,'KM POR UNIDAD'!E31,'ORONA BECERRA MAURO JOSE'!Y$40:Y$46)+SUMIF('VALLES HERNANDEZ MANUEL MARCELI'!T$39:T$45,'KM POR UNIDAD'!E31,'VALLES HERNANDEZ MANUEL MARCELI'!Y$39:Y$45)+SUMIF('ORTIZ RAMIREZ HECTOR MANUEL'!T$40:T$46,'KM POR UNIDAD'!E31,'ORTIZ RAMIREZ HECTOR MANUEL'!Y$40:Y$46)+SUMIF('ONTIVEROS LIRA JUAN'!T$40:T$46,'KM POR UNIDAD'!E31,'ONTIVEROS LIRA JUAN'!Y$40:Y$46)+SUMIF('RODRIGUEZ FLORES BRYAN DARIO'!T$40:T$46,'KM POR UNIDAD'!E31,'RODRIGUEZ FLORES BRYAN DARIO'!Y$40:Y$46)+SUMIF('NUÑEZ RUIZ IRVING JAVIER.'!T$42:T$48,'KM POR UNIDAD'!E31,'NUÑEZ RUIZ IRVING JAVIER.'!Y$42:Y$48)+SUMIF('MACHADO MAZUCA ADOLFO'!T$40:T$46,'KM POR UNIDAD'!E31,'MACHADO MAZUCA ADOLFO'!Y$40:Y$46)+SUMIF('LIRA ARCEO JOEL EDUARDO'!T$40:T$46,'KM POR UNIDAD'!E31,'LIRA ARCEO JOEL EDUARDO'!Y$41:Y$46)+SUMIF('ANCHONDO ROMERO CESAR ALEJANDRO'!T$40:T$46,'KM POR UNIDAD'!E31,'ANCHONDO ROMERO CESAR ALEJANDRO'!Y$40:Y$46)</f>
        <v>#REF!</v>
      </c>
      <c r="G31" s="146"/>
    </row>
    <row r="32" spans="1:12" x14ac:dyDescent="0.25">
      <c r="A32" s="143" t="s">
        <v>164</v>
      </c>
      <c r="B32" s="144">
        <f>+SUMIF('AGUILAR ESQUIVEL CARLOS'!P$40:P$46,'KM POR UNIDAD'!A32,'AGUILAR ESQUIVEL CARLOS'!U$40:U$46)+SUMIF('AGUILAR RODRIGUEZ JORGE ALONSO'!P$40:P$46,'KM POR UNIDAD'!A32,'AGUILAR RODRIGUEZ JORGE ALONSO'!U$40:U$46)+SUMIF('REYES LARA DANTE'!P$40:P$46,'KM POR UNIDAD'!A32,'REYES LARA DANTE'!U$40:U$46)+SUMIF('RAMIREZ BAUTISTA ADRIAN'!P$40:P$46,'KM POR UNIDAD'!A32,'RAMIREZ BAUTISTA ADRIAN'!U$40:U$46)+SUMIF('FLORES BOJORQUEZ BRYAN OVED'!P$40:P$46,'KM POR UNIDAD'!A32,'FLORES BOJORQUEZ BRYAN OVED'!U$40:U$46)+SUMIF('BALDERRAMA ROBLES JORGE'!P$40:P$46,'KM POR UNIDAD'!A32,'BALDERRAMA ROBLES JORGE'!U$40:U$46)+SUMIF('BURGOS TORRES RIGOBERTO'!P$39:P$45,'KM POR UNIDAD'!A32,'BURGOS TORRES RIGOBERTO'!U$39:U$45)+SUMIF('CORDOVA URIBE JOSE  ADRIAN'!P$40:P$46,'KM POR UNIDAD'!A32,'CORDOVA URIBE JOSE  ADRIAN'!U$40:U$46)+SUMIF('GUZMAN CHAPARRO PEDRO'!P$40:P$46,'KM POR UNIDAD'!A32,'GUZMAN CHAPARRO PEDRO'!U$40:U$46)+SUMIF('HERNANDEZ LICANO JOSE LUIS'!P$40:P$46,'KM POR UNIDAD'!A32,'HERNANDEZ LICANO JOSE LUIS'!U$40:U$46)+SUMIF('CARRERA REYES MARTIN SEBASTIAN'!P$41:P$47,'KM POR UNIDAD'!A32,'CARRERA REYES MARTIN SEBASTIAN'!U$41:U$47)+SUMIF('RUIZ SAUCEDO DANIEL ALEJANDRO'!P$40:P$46,'KM POR UNIDAD'!A32,'RUIZ SAUCEDO DANIEL ALEJANDRO'!U$40:U$46)+SUMIF('MARTINEZ RAMIREZ ROSALIO'!P$40:P$46,'KM POR UNIDAD'!A32,'MARTINEZ RAMIREZ ROSALIO'!U$40:U$46)+SUMIF('BALLEZA RAMIREZ JESUS JOSE'!P$40:P$46,'KM POR UNIDAD'!A32,'BALLEZA RAMIREZ JESUS JOSE'!U$40:U$46)+SUMIF('MONTERO BURROLA LUIS'!P$38:P$44,'KM POR UNIDAD'!A32,'MONTERO BURROLA LUIS'!U$38:U$44)+SUMIF('AGUILERA CONTRERAS LUIS GERARDO'!P$41:P$47,'KM POR UNIDAD'!A32,'AGUILERA CONTRERAS LUIS GERARDO'!U$41:U$47)+SUMIF('MORALES LOPEZ DE LARA MARIANO'!P$40:P$46,'KM POR UNIDAD'!A32,'MORALES LOPEZ DE LARA MARIANO'!U$40:U$46)+SUMIF('MELENDEZ SINALOA MANUEL ARAT'!P$40:P$46,'KM POR UNIDAD'!A32,'MELENDEZ SINALOA MANUEL ARAT'!U$40:U$46)+SUMIF('MORALES LECHUGA GONZALO'!P$40:P$46,'KM POR UNIDAD'!A32,'MORALES LECHUGA GONZALO'!U$40:U$46)+SUMIF('ORONA BECERRA MAURO JOSE'!P$40:P$46,'KM POR UNIDAD'!A32,'ORONA BECERRA MAURO JOSE'!U$40:U$46)+SUMIF('VALLES HERNANDEZ MANUEL MARCELI'!P$39:P$45,'KM POR UNIDAD'!A32,'VALLES HERNANDEZ MANUEL MARCELI'!U$39:U$45)+SUMIF('ORTIZ RAMIREZ HECTOR MANUEL'!P$40:P$46,'KM POR UNIDAD'!A32,'ORTIZ RAMIREZ HECTOR MANUEL'!U$40:U$46)+SUMIF('ONTIVEROS LIRA JUAN'!P$40:P$46,'KM POR UNIDAD'!A32,'ONTIVEROS LIRA JUAN'!U$40:U$46)+SUMIF('RODRIGUEZ FLORES BRYAN DARIO'!P$40:P$46,'KM POR UNIDAD'!A32,'RODRIGUEZ FLORES BRYAN DARIO'!U$40:U$46)+SUMIF('NUÑEZ RUIZ IRVING JAVIER.'!P$42:P$48,'KM POR UNIDAD'!A32,'NUÑEZ RUIZ IRVING JAVIER.'!U$42:U$48)+SUMIF('MACHADO MAZUCA ADOLFO'!P$40:P$46,'KM POR UNIDAD'!A32,'MACHADO MAZUCA ADOLFO'!U$40:U$46)+SUMIF('LIRA ARCEO JOEL EDUARDO'!P$40:P$46,'KM POR UNIDAD'!A32,'LIRA ARCEO JOEL EDUARDO'!U$40:U$46)+SUMIF('ANCHONDO ROMERO CESAR ALEJANDRO'!P$40:P$46,'KM POR UNIDAD'!A32,'ANCHONDO ROMERO CESAR ALEJANDRO'!U$40:U$46)</f>
        <v>0</v>
      </c>
      <c r="C32" s="150">
        <f ca="1">+SUMIF('AGUILAR ESQUIVEL CARLOS'!P$40:P$46,'KM POR UNIDAD'!A32,'AGUILAR ESQUIVEL CARLOS'!T$40:T$46)+SUMIF('AGUILAR RODRIGUEZ JORGE ALONSO'!P$40:P$46,'KM POR UNIDAD'!A32,'AGUILAR RODRIGUEZ JORGE ALONSO'!T$40:T$46)+SUMIF('REYES LARA DANTE'!P$40:P$46,'KM POR UNIDAD'!A32,'REYES LARA DANTE'!T$40:T$46)+SUMIF('RAMIREZ BAUTISTA ADRIAN'!P$40:P$46,'KM POR UNIDAD'!A32,'RAMIREZ BAUTISTA ADRIAN'!T$40:T$46)+SUMIF('FLORES BOJORQUEZ BRYAN OVED'!P$40:P$46,'KM POR UNIDAD'!A32,'FLORES BOJORQUEZ BRYAN OVED'!T$40:T$46)+SUMIF('BALDERRAMA ROBLES JORGE'!P$40:P$46,'KM POR UNIDAD'!A32,'BALDERRAMA ROBLES JORGE'!T$40:T$46)+SUMIF('BURGOS TORRES RIGOBERTO'!P$39:P$45,'KM POR UNIDAD'!A32,'BURGOS TORRES RIGOBERTO'!T$39:T$45)+SUMIF('CORDOVA URIBE JOSE  ADRIAN'!P$40:P$46,'KM POR UNIDAD'!A32,'CORDOVA URIBE JOSE  ADRIAN'!T$40:T$46)+SUMIF('GUZMAN CHAPARRO PEDRO'!P$40:P$46,'KM POR UNIDAD'!A32,'GUZMAN CHAPARRO PEDRO'!T$40:T$46)+SUMIF('HERNANDEZ LICANO JOSE LUIS'!P$40:P$46,'KM POR UNIDAD'!A32,'HERNANDEZ LICANO JOSE LUIS'!T$40:T$46)+SUMIF('CARRERA REYES MARTIN SEBASTIAN'!P$41:P$47,'KM POR UNIDAD'!A32,'CARRERA REYES MARTIN SEBASTIAN'!T$41:T$47)+SUMIF('RUIZ SAUCEDO DANIEL ALEJANDRO'!P$40:P$46,'KM POR UNIDAD'!A32,'RUIZ SAUCEDO DANIEL ALEJANDRO'!T$40:T$46)+SUMIF('MARTINEZ RAMIREZ ROSALIO'!P$40:P$46,'KM POR UNIDAD'!A32,'MARTINEZ RAMIREZ ROSALIO'!T$40:T$46)+SUMIF('BALLEZA RAMIREZ JESUS JOSE'!P$40:P$46,'KM POR UNIDAD'!A32,'BALLEZA RAMIREZ JESUS JOSE'!T$40:T$46)+SUMIF('MONTERO BURROLA LUIS'!P$38:P$44,'KM POR UNIDAD'!A32,'MONTERO BURROLA LUIS'!T$38:T$44)+SUMIF('AGUILERA CONTRERAS LUIS GERARDO'!P$41:P$47,'KM POR UNIDAD'!A32,'AGUILERA CONTRERAS LUIS GERARDO'!T$41:T$47)+SUMIF('MORALES LOPEZ DE LARA MARIANO'!P$40:P$46,'KM POR UNIDAD'!A32,'MORALES LOPEZ DE LARA MARIANO'!T$40:T$46)+SUMIF('MELENDEZ SINALOA MANUEL ARAT'!P$40:P$46,'KM POR UNIDAD'!A32,'MELENDEZ SINALOA MANUEL ARAT'!T$40:T$46)+SUMIF('MORALES LECHUGA GONZALO'!P$40:P$46,'KM POR UNIDAD'!A32,'MORALES LECHUGA GONZALO'!T$40:T$46)+SUMIF('ORONA BECERRA MAURO JOSE'!P$40:P$46,'KM POR UNIDAD'!A32,'ORONA BECERRA MAURO JOSE'!T$40:T$46)+SUMIF('VALLES HERNANDEZ MANUEL MARCELI'!P$39:P$45,'KM POR UNIDAD'!A32,'VALLES HERNANDEZ MANUEL MARCELI'!T$39:T$45)+SUMIF('ORTIZ RAMIREZ HECTOR MANUEL'!P$40:P$46,'KM POR UNIDAD'!A32,'ORTIZ RAMIREZ HECTOR MANUEL'!T$40:T$46)+SUMIF('ONTIVEROS LIRA JUAN'!P$40:P$446,'KM POR UNIDAD'!A32,'ONTIVEROS LIRA JUAN'!T$40:T$46)+SUMIF('RODRIGUEZ FLORES BRYAN DARIO'!P$40:P$46,'KM POR UNIDAD'!A32,'RODRIGUEZ FLORES BRYAN DARIO'!T$40:T$46)+SUMIF('NUÑEZ RUIZ IRVING JAVIER.'!P$42:P$48,'KM POR UNIDAD'!A32,'NUÑEZ RUIZ IRVING JAVIER.'!T$42:T$48)+SUMIF('MACHADO MAZUCA ADOLFO'!P$40:P$46,'KM POR UNIDAD'!A32,'MACHADO MAZUCA ADOLFO'!T$40:T$46)+SUMIF('LIRA ARCEO JOEL EDUARDO'!P$40:P$46,'KM POR UNIDAD'!A32,'LIRA ARCEO JOEL EDUARDO'!T$40:T$46)+SUMIF('ANCHONDO ROMERO CESAR ALEJANDRO'!P$40:P$46,'KM POR UNIDAD'!A32,'ANCHONDO ROMERO CESAR ALEJANDRO'!T$40:T$46)</f>
        <v>0</v>
      </c>
      <c r="D32" s="150">
        <f>+SUMIF('AGUILAR ESQUIVEL CARLOS'!P$40:P$46,'KM POR UNIDAD'!A32,'AGUILAR ESQUIVEL CARLOS'!V$40:V$46)+SUMIF('AGUILAR RODRIGUEZ JORGE ALONSO'!P$40:P$46,'KM POR UNIDAD'!A32,'AGUILAR RODRIGUEZ JORGE ALONSO'!V$40:V$46)+SUMIF('REYES LARA DANTE'!P$40:P$46,'KM POR UNIDAD'!A32,'REYES LARA DANTE'!V$40:V$46)+SUMIF('RAMIREZ BAUTISTA ADRIAN'!P$40:P$46,'KM POR UNIDAD'!A32,'RAMIREZ BAUTISTA ADRIAN'!V$40:V$46)+SUMIF('FLORES BOJORQUEZ BRYAN OVED'!P$40:P$46,'KM POR UNIDAD'!A32,'FLORES BOJORQUEZ BRYAN OVED'!V$40:V$46)+SUMIF('BALDERRAMA ROBLES JORGE'!P$40:P$46,'KM POR UNIDAD'!A32,'BALDERRAMA ROBLES JORGE'!V$40:V$46)+SUMIF('BURGOS TORRES RIGOBERTO'!P$39:P$45,'KM POR UNIDAD'!A32,'BURGOS TORRES RIGOBERTO'!V$39:V$45)+SUMIF('CORDOVA URIBE JOSE  ADRIAN'!P$40:P$46,'KM POR UNIDAD'!A32,'CORDOVA URIBE JOSE  ADRIAN'!V$40:V$46)+SUMIF('GUZMAN CHAPARRO PEDRO'!P$40:P$46,'KM POR UNIDAD'!A32,'GUZMAN CHAPARRO PEDRO'!V$40:V$46)+SUMIF('HERNANDEZ LICANO JOSE LUIS'!P$40:P$46,'KM POR UNIDAD'!A32,'HERNANDEZ LICANO JOSE LUIS'!V$40:V$46)+SUMIF('CARRERA REYES MARTIN SEBASTIAN'!P$41:P$47,'KM POR UNIDAD'!A32,'CARRERA REYES MARTIN SEBASTIAN'!V$41:V$47)+SUMIF('RUIZ SAUCEDO DANIEL ALEJANDRO'!P$40:P$46,'KM POR UNIDAD'!A32,'RUIZ SAUCEDO DANIEL ALEJANDRO'!V$40:V$46)+SUMIF('MARTINEZ RAMIREZ ROSALIO'!P$40:P$46,'KM POR UNIDAD'!A32,'MARTINEZ RAMIREZ ROSALIO'!V$40:V$46)+SUMIF('BALLEZA RAMIREZ JESUS JOSE'!P$40:P$46,'KM POR UNIDAD'!A32,'BALLEZA RAMIREZ JESUS JOSE'!V$40:V$46)+SUMIF('MONTERO BURROLA LUIS'!P$38:P$44,'KM POR UNIDAD'!A32,'MONTERO BURROLA LUIS'!V$38:V$44)+SUMIF('AGUILERA CONTRERAS LUIS GERARDO'!P$41:P$47,'KM POR UNIDAD'!A32,'AGUILERA CONTRERAS LUIS GERARDO'!V$41:V$47)+SUMIF('MORALES LOPEZ DE LARA MARIANO'!P$40:P$46,'KM POR UNIDAD'!A32,'MORALES LOPEZ DE LARA MARIANO'!V$40:V$46)+SUMIF('MELENDEZ SINALOA MANUEL ARAT'!P$40:P$46,'KM POR UNIDAD'!A32,'MELENDEZ SINALOA MANUEL ARAT'!V$40:V$46)+SUMIF('MORALES LECHUGA GONZALO'!P$40:P$46,'KM POR UNIDAD'!A32,'MORALES LECHUGA GONZALO'!V$40:V$46)+SUMIF('ORONA BECERRA MAURO JOSE'!P$40:P$46,'KM POR UNIDAD'!A32,'ORONA BECERRA MAURO JOSE'!V$40:V$46)+SUMIF('VALLES HERNANDEZ MANUEL MARCELI'!P$39:P$45,'KM POR UNIDAD'!A32,'VALLES HERNANDEZ MANUEL MARCELI'!V$39:V$45)+SUMIF('ORTIZ RAMIREZ HECTOR MANUEL'!P$40:P$46,'KM POR UNIDAD'!A32,'ORTIZ RAMIREZ HECTOR MANUEL'!V$40:V$46)+SUMIF('ONTIVEROS LIRA JUAN'!P$40:P$46,'KM POR UNIDAD'!A32,'ONTIVEROS LIRA JUAN'!V$40:V$46)+SUMIF('RODRIGUEZ FLORES BRYAN DARIO'!P$40:P$46,'KM POR UNIDAD'!A32,'RODRIGUEZ FLORES BRYAN DARIO'!V$40:V$46)+SUMIF('NUÑEZ RUIZ IRVING JAVIER.'!P$42:P$48,'KM POR UNIDAD'!A32,'NUÑEZ RUIZ IRVING JAVIER.'!V$42:V$48)+SUMIF('MACHADO MAZUCA ADOLFO'!P$40:P$46,'KM POR UNIDAD'!A32,'MACHADO MAZUCA ADOLFO'!V$40:V$46)+SUMIF('LIRA ARCEO JOEL EDUARDO'!P$40:P$46,'KM POR UNIDAD'!A32,'LIRA ARCEO JOEL EDUARDO'!V$40:V$46)+SUMIF('ANCHONDO ROMERO CESAR ALEJANDRO'!P$40:P$46,'KM POR UNIDAD'!A32,'ANCHONDO ROMERO CESAR ALEJANDRO'!V$40:V$46)</f>
        <v>0</v>
      </c>
      <c r="E32" s="145">
        <f t="shared" si="0"/>
        <v>0</v>
      </c>
      <c r="F32" s="144" t="e">
        <f ca="1">+SUMIF('AGUILAR ESQUIVEL CARLOS'!P$40:P$46,'KM POR UNIDAD'!A32,'AGUILAR ESQUIVEL CARLOS'!W$40:W$46)+SUMIF('AGUILAR RODRIGUEZ JORGE ALONSO'!P$40:P$46,'KM POR UNIDAD'!A32,'AGUILAR RODRIGUEZ JORGE ALONSO'!W$40:W$46)+SUMIF('REYES LARA DANTE'!T$40:T$46,'KM POR UNIDAD'!A32,'REYES LARA DANTE'!Y$40:Y$46)+SUMIF('RAMIREZ BAUTISTA ADRIAN'!T$40:T$46,'KM POR UNIDAD'!A32,'RAMIREZ BAUTISTA ADRIAN'!Y$40:Y$46)+SUMIF('FLORES BOJORQUEZ BRYAN OVED'!T$40:T$46,'KM POR UNIDAD'!A32,'FLORES BOJORQUEZ BRYAN OVED'!Y$40:Y$46)+SUMIF('BALDERRAMA ROBLES JORGE'!T$40:T$46,'KM POR UNIDAD'!A32,'BALDERRAMA ROBLES JORGE'!#REF!)+SUMIF('BURGOS TORRES RIGOBERTO'!T$39:T$45,'KM POR UNIDAD'!A32,'BURGOS TORRES RIGOBERTO'!Y$39:Y$45)+SUMIF('CORDOVA URIBE JOSE  ADRIAN'!T$40:T$46,'KM POR UNIDAD'!E32,'CORDOVA URIBE JOSE  ADRIAN'!Y$40:Y$46)+SUMIF('GUZMAN CHAPARRO PEDRO'!T$40:T$46,'KM POR UNIDAD'!E32,'GUZMAN CHAPARRO PEDRO'!Y$40:Y$46)+SUMIF('HERNANDEZ LICANO JOSE LUIS'!T$40:T$46,'KM POR UNIDAD'!E32,'HERNANDEZ LICANO JOSE LUIS'!#REF!)+SUMIF('CARRERA REYES MARTIN SEBASTIAN'!T$41:T$47,'KM POR UNIDAD'!E32,'CARRERA REYES MARTIN SEBASTIAN'!Y$41:Y$47)+SUMIF('RUIZ SAUCEDO DANIEL ALEJANDRO'!T$40:T$46,'KM POR UNIDAD'!E32,'RUIZ SAUCEDO DANIEL ALEJANDRO'!Y$40:Y$46)+SUMIF('MARTINEZ RAMIREZ ROSALIO'!T$40:T$46,'KM POR UNIDAD'!E32,'MARTINEZ RAMIREZ ROSALIO'!Y$40:Y$46)+SUMIF('BALLEZA RAMIREZ JESUS JOSE'!T$40:T$46,'KM POR UNIDAD'!E32,'BALLEZA RAMIREZ JESUS JOSE'!T$176:T$180)+SUMIF('MONTERO BURROLA LUIS'!T$38:T$44,'KM POR UNIDAD'!E32,'MONTERO BURROLA LUIS'!Y$38:Y$44)+SUMIF('AGUILERA CONTRERAS LUIS GERARDO'!T$41:T$47,'KM POR UNIDAD'!E32,'AGUILERA CONTRERAS LUIS GERARDO'!Y$41:Y$47)+SUMIF('MORALES LOPEZ DE LARA MARIANO'!T$40:T$46,'KM POR UNIDAD'!E32,'MORALES LOPEZ DE LARA MARIANO'!Y$40:Y$46)+SUMIF('MELENDEZ SINALOA MANUEL ARAT'!T$40:T$46,'KM POR UNIDAD'!E32,'MELENDEZ SINALOA MANUEL ARAT'!#REF!)+SUMIF('MORALES LECHUGA GONZALO'!T$40:T$46,'KM POR UNIDAD'!E32,'MORALES LECHUGA GONZALO'!Y$40:Y$46)+SUMIF('ORONA BECERRA MAURO JOSE'!T$40:T$46,'KM POR UNIDAD'!E32,'ORONA BECERRA MAURO JOSE'!Y$40:Y$46)+SUMIF('VALLES HERNANDEZ MANUEL MARCELI'!T$39:T$45,'KM POR UNIDAD'!E32,'VALLES HERNANDEZ MANUEL MARCELI'!Y$39:Y$45)+SUMIF('ORTIZ RAMIREZ HECTOR MANUEL'!T$40:T$46,'KM POR UNIDAD'!E32,'ORTIZ RAMIREZ HECTOR MANUEL'!Y$40:Y$46)+SUMIF('ONTIVEROS LIRA JUAN'!T$40:T$46,'KM POR UNIDAD'!E32,'ONTIVEROS LIRA JUAN'!Y$40:Y$46)+SUMIF('RODRIGUEZ FLORES BRYAN DARIO'!T$40:T$46,'KM POR UNIDAD'!E32,'RODRIGUEZ FLORES BRYAN DARIO'!Y$40:Y$46)+SUMIF('NUÑEZ RUIZ IRVING JAVIER.'!T$42:T$48,'KM POR UNIDAD'!E32,'NUÑEZ RUIZ IRVING JAVIER.'!Y$42:Y$48)+SUMIF('MACHADO MAZUCA ADOLFO'!T$40:T$46,'KM POR UNIDAD'!E32,'MACHADO MAZUCA ADOLFO'!Y$40:Y$46)+SUMIF('LIRA ARCEO JOEL EDUARDO'!T$40:T$46,'KM POR UNIDAD'!E32,'LIRA ARCEO JOEL EDUARDO'!Y$41:Y$46)+SUMIF('ANCHONDO ROMERO CESAR ALEJANDRO'!T$40:T$46,'KM POR UNIDAD'!E32,'ANCHONDO ROMERO CESAR ALEJANDRO'!Y$40:Y$46)</f>
        <v>#REF!</v>
      </c>
      <c r="G32" s="146"/>
      <c r="I32" s="268"/>
    </row>
    <row r="33" spans="1:7" x14ac:dyDescent="0.25">
      <c r="A33" s="143" t="s">
        <v>165</v>
      </c>
      <c r="B33" s="144">
        <f>+SUMIF('AGUILAR ESQUIVEL CARLOS'!P$40:P$46,'KM POR UNIDAD'!A33,'AGUILAR ESQUIVEL CARLOS'!U$40:U$46)+SUMIF('AGUILAR RODRIGUEZ JORGE ALONSO'!P$40:P$46,'KM POR UNIDAD'!A33,'AGUILAR RODRIGUEZ JORGE ALONSO'!U$40:U$46)+SUMIF('REYES LARA DANTE'!P$40:P$46,'KM POR UNIDAD'!A33,'REYES LARA DANTE'!U$40:U$46)+SUMIF('RAMIREZ BAUTISTA ADRIAN'!P$40:P$46,'KM POR UNIDAD'!A33,'RAMIREZ BAUTISTA ADRIAN'!U$40:U$46)+SUMIF('FLORES BOJORQUEZ BRYAN OVED'!P$40:P$46,'KM POR UNIDAD'!A33,'FLORES BOJORQUEZ BRYAN OVED'!U$40:U$46)+SUMIF('BALDERRAMA ROBLES JORGE'!P$40:P$46,'KM POR UNIDAD'!A33,'BALDERRAMA ROBLES JORGE'!U$40:U$46)+SUMIF('BURGOS TORRES RIGOBERTO'!P$39:P$45,'KM POR UNIDAD'!A33,'BURGOS TORRES RIGOBERTO'!U$39:U$45)+SUMIF('CORDOVA URIBE JOSE  ADRIAN'!P$40:P$46,'KM POR UNIDAD'!A33,'CORDOVA URIBE JOSE  ADRIAN'!U$40:U$46)+SUMIF('GUZMAN CHAPARRO PEDRO'!P$40:P$46,'KM POR UNIDAD'!A33,'GUZMAN CHAPARRO PEDRO'!U$40:U$46)+SUMIF('HERNANDEZ LICANO JOSE LUIS'!P$40:P$46,'KM POR UNIDAD'!A33,'HERNANDEZ LICANO JOSE LUIS'!U$40:U$46)+SUMIF('CARRERA REYES MARTIN SEBASTIAN'!P$41:P$47,'KM POR UNIDAD'!A33,'CARRERA REYES MARTIN SEBASTIAN'!U$41:U$47)+SUMIF('RUIZ SAUCEDO DANIEL ALEJANDRO'!P$40:P$46,'KM POR UNIDAD'!A33,'RUIZ SAUCEDO DANIEL ALEJANDRO'!U$40:U$46)+SUMIF('MARTINEZ RAMIREZ ROSALIO'!P$40:P$46,'KM POR UNIDAD'!A33,'MARTINEZ RAMIREZ ROSALIO'!U$40:U$46)+SUMIF('BALLEZA RAMIREZ JESUS JOSE'!P$40:P$46,'KM POR UNIDAD'!A33,'BALLEZA RAMIREZ JESUS JOSE'!U$40:U$46)+SUMIF('MONTERO BURROLA LUIS'!P$38:P$44,'KM POR UNIDAD'!A33,'MONTERO BURROLA LUIS'!U$38:U$44)+SUMIF('AGUILERA CONTRERAS LUIS GERARDO'!P$41:P$47,'KM POR UNIDAD'!A33,'AGUILERA CONTRERAS LUIS GERARDO'!U$41:U$47)+SUMIF('MORALES LOPEZ DE LARA MARIANO'!P$40:P$46,'KM POR UNIDAD'!A33,'MORALES LOPEZ DE LARA MARIANO'!U$40:U$46)+SUMIF('MELENDEZ SINALOA MANUEL ARAT'!P$40:P$46,'KM POR UNIDAD'!A33,'MELENDEZ SINALOA MANUEL ARAT'!U$40:U$46)+SUMIF('MORALES LECHUGA GONZALO'!P$40:P$46,'KM POR UNIDAD'!A33,'MORALES LECHUGA GONZALO'!U$40:U$46)+SUMIF('ORONA BECERRA MAURO JOSE'!P$40:P$46,'KM POR UNIDAD'!A33,'ORONA BECERRA MAURO JOSE'!U$40:U$46)+SUMIF('VALLES HERNANDEZ MANUEL MARCELI'!P$39:P$45,'KM POR UNIDAD'!A33,'VALLES HERNANDEZ MANUEL MARCELI'!U$39:U$45)+SUMIF('ORTIZ RAMIREZ HECTOR MANUEL'!P$40:P$46,'KM POR UNIDAD'!A33,'ORTIZ RAMIREZ HECTOR MANUEL'!U$40:U$46)+SUMIF('ONTIVEROS LIRA JUAN'!P$40:P$46,'KM POR UNIDAD'!A33,'ONTIVEROS LIRA JUAN'!U$40:U$46)+SUMIF('RODRIGUEZ FLORES BRYAN DARIO'!P$40:P$46,'KM POR UNIDAD'!A33,'RODRIGUEZ FLORES BRYAN DARIO'!U$40:U$46)+SUMIF('NUÑEZ RUIZ IRVING JAVIER.'!P$42:P$48,'KM POR UNIDAD'!A33,'NUÑEZ RUIZ IRVING JAVIER.'!U$42:U$48)+SUMIF('MACHADO MAZUCA ADOLFO'!P$40:P$46,'KM POR UNIDAD'!A33,'MACHADO MAZUCA ADOLFO'!U$40:U$46)+SUMIF('LIRA ARCEO JOEL EDUARDO'!P$40:P$46,'KM POR UNIDAD'!A33,'LIRA ARCEO JOEL EDUARDO'!U$40:U$46)+SUMIF('ANCHONDO ROMERO CESAR ALEJANDRO'!P$40:P$46,'KM POR UNIDAD'!A33,'ANCHONDO ROMERO CESAR ALEJANDRO'!U$40:U$46)</f>
        <v>0</v>
      </c>
      <c r="C33" s="150">
        <f ca="1">+SUMIF('AGUILAR ESQUIVEL CARLOS'!P$40:P$46,'KM POR UNIDAD'!A33,'AGUILAR ESQUIVEL CARLOS'!T$40:T$46)+SUMIF('AGUILAR RODRIGUEZ JORGE ALONSO'!P$40:P$46,'KM POR UNIDAD'!A33,'AGUILAR RODRIGUEZ JORGE ALONSO'!T$40:T$46)+SUMIF('REYES LARA DANTE'!P$40:P$46,'KM POR UNIDAD'!A33,'REYES LARA DANTE'!T$40:T$46)+SUMIF('RAMIREZ BAUTISTA ADRIAN'!P$40:P$46,'KM POR UNIDAD'!A33,'RAMIREZ BAUTISTA ADRIAN'!T$40:T$46)+SUMIF('FLORES BOJORQUEZ BRYAN OVED'!P$40:P$46,'KM POR UNIDAD'!A33,'FLORES BOJORQUEZ BRYAN OVED'!T$40:T$46)+SUMIF('BALDERRAMA ROBLES JORGE'!P$40:P$46,'KM POR UNIDAD'!A33,'BALDERRAMA ROBLES JORGE'!T$40:T$46)+SUMIF('BURGOS TORRES RIGOBERTO'!P$39:P$45,'KM POR UNIDAD'!A33,'BURGOS TORRES RIGOBERTO'!T$39:T$45)+SUMIF('CORDOVA URIBE JOSE  ADRIAN'!P$40:P$46,'KM POR UNIDAD'!A33,'CORDOVA URIBE JOSE  ADRIAN'!T$40:T$46)+SUMIF('GUZMAN CHAPARRO PEDRO'!P$40:P$46,'KM POR UNIDAD'!A33,'GUZMAN CHAPARRO PEDRO'!T$40:T$46)+SUMIF('HERNANDEZ LICANO JOSE LUIS'!P$40:P$46,'KM POR UNIDAD'!A33,'HERNANDEZ LICANO JOSE LUIS'!T$40:T$46)+SUMIF('CARRERA REYES MARTIN SEBASTIAN'!P$41:P$47,'KM POR UNIDAD'!A33,'CARRERA REYES MARTIN SEBASTIAN'!T$41:T$47)+SUMIF('RUIZ SAUCEDO DANIEL ALEJANDRO'!P$40:P$46,'KM POR UNIDAD'!A33,'RUIZ SAUCEDO DANIEL ALEJANDRO'!T$40:T$46)+SUMIF('MARTINEZ RAMIREZ ROSALIO'!P$40:P$46,'KM POR UNIDAD'!A33,'MARTINEZ RAMIREZ ROSALIO'!T$40:T$46)+SUMIF('BALLEZA RAMIREZ JESUS JOSE'!P$40:P$46,'KM POR UNIDAD'!A33,'BALLEZA RAMIREZ JESUS JOSE'!T$40:T$46)+SUMIF('MONTERO BURROLA LUIS'!P$38:P$44,'KM POR UNIDAD'!A33,'MONTERO BURROLA LUIS'!T$38:T$44)+SUMIF('AGUILERA CONTRERAS LUIS GERARDO'!P$41:P$47,'KM POR UNIDAD'!A33,'AGUILERA CONTRERAS LUIS GERARDO'!T$41:T$47)+SUMIF('MORALES LOPEZ DE LARA MARIANO'!P$40:P$46,'KM POR UNIDAD'!A33,'MORALES LOPEZ DE LARA MARIANO'!T$40:T$46)+SUMIF('MELENDEZ SINALOA MANUEL ARAT'!P$40:P$46,'KM POR UNIDAD'!A33,'MELENDEZ SINALOA MANUEL ARAT'!T$40:T$46)+SUMIF('MORALES LECHUGA GONZALO'!P$40:P$46,'KM POR UNIDAD'!A33,'MORALES LECHUGA GONZALO'!T$40:T$46)+SUMIF('ORONA BECERRA MAURO JOSE'!P$40:P$46,'KM POR UNIDAD'!A33,'ORONA BECERRA MAURO JOSE'!T$40:T$46)+SUMIF('VALLES HERNANDEZ MANUEL MARCELI'!P$39:P$45,'KM POR UNIDAD'!A33,'VALLES HERNANDEZ MANUEL MARCELI'!T$39:T$45)+SUMIF('ORTIZ RAMIREZ HECTOR MANUEL'!P$40:P$46,'KM POR UNIDAD'!A33,'ORTIZ RAMIREZ HECTOR MANUEL'!T$40:T$46)+SUMIF('ONTIVEROS LIRA JUAN'!P$40:P$446,'KM POR UNIDAD'!A33,'ONTIVEROS LIRA JUAN'!T$40:T$46)+SUMIF('RODRIGUEZ FLORES BRYAN DARIO'!P$40:P$46,'KM POR UNIDAD'!A33,'RODRIGUEZ FLORES BRYAN DARIO'!T$40:T$46)+SUMIF('NUÑEZ RUIZ IRVING JAVIER.'!P$42:P$48,'KM POR UNIDAD'!A33,'NUÑEZ RUIZ IRVING JAVIER.'!T$42:T$48)+SUMIF('MACHADO MAZUCA ADOLFO'!P$40:P$46,'KM POR UNIDAD'!A33,'MACHADO MAZUCA ADOLFO'!T$40:T$46)+SUMIF('LIRA ARCEO JOEL EDUARDO'!P$40:P$46,'KM POR UNIDAD'!A33,'LIRA ARCEO JOEL EDUARDO'!T$40:T$46)+SUMIF('ANCHONDO ROMERO CESAR ALEJANDRO'!P$40:P$46,'KM POR UNIDAD'!A33,'ANCHONDO ROMERO CESAR ALEJANDRO'!T$40:T$46)</f>
        <v>0</v>
      </c>
      <c r="D33" s="150">
        <f>+SUMIF('AGUILAR ESQUIVEL CARLOS'!P$40:P$46,'KM POR UNIDAD'!A33,'AGUILAR ESQUIVEL CARLOS'!V$40:V$46)+SUMIF('AGUILAR RODRIGUEZ JORGE ALONSO'!P$40:P$46,'KM POR UNIDAD'!A33,'AGUILAR RODRIGUEZ JORGE ALONSO'!V$40:V$46)+SUMIF('REYES LARA DANTE'!P$40:P$46,'KM POR UNIDAD'!A33,'REYES LARA DANTE'!V$40:V$46)+SUMIF('RAMIREZ BAUTISTA ADRIAN'!P$40:P$46,'KM POR UNIDAD'!A33,'RAMIREZ BAUTISTA ADRIAN'!V$40:V$46)+SUMIF('FLORES BOJORQUEZ BRYAN OVED'!P$40:P$46,'KM POR UNIDAD'!A33,'FLORES BOJORQUEZ BRYAN OVED'!V$40:V$46)+SUMIF('BALDERRAMA ROBLES JORGE'!P$40:P$46,'KM POR UNIDAD'!A33,'BALDERRAMA ROBLES JORGE'!V$40:V$46)+SUMIF('BURGOS TORRES RIGOBERTO'!P$39:P$45,'KM POR UNIDAD'!A33,'BURGOS TORRES RIGOBERTO'!V$39:V$45)+SUMIF('CORDOVA URIBE JOSE  ADRIAN'!P$40:P$46,'KM POR UNIDAD'!A33,'CORDOVA URIBE JOSE  ADRIAN'!V$40:V$46)+SUMIF('GUZMAN CHAPARRO PEDRO'!P$40:P$46,'KM POR UNIDAD'!A33,'GUZMAN CHAPARRO PEDRO'!V$40:V$46)+SUMIF('HERNANDEZ LICANO JOSE LUIS'!P$40:P$46,'KM POR UNIDAD'!A33,'HERNANDEZ LICANO JOSE LUIS'!V$40:V$46)+SUMIF('CARRERA REYES MARTIN SEBASTIAN'!P$41:P$47,'KM POR UNIDAD'!A33,'CARRERA REYES MARTIN SEBASTIAN'!V$41:V$47)+SUMIF('RUIZ SAUCEDO DANIEL ALEJANDRO'!P$40:P$46,'KM POR UNIDAD'!A33,'RUIZ SAUCEDO DANIEL ALEJANDRO'!V$40:V$46)+SUMIF('MARTINEZ RAMIREZ ROSALIO'!P$40:P$46,'KM POR UNIDAD'!A33,'MARTINEZ RAMIREZ ROSALIO'!V$40:V$46)+SUMIF('BALLEZA RAMIREZ JESUS JOSE'!P$40:P$46,'KM POR UNIDAD'!A33,'BALLEZA RAMIREZ JESUS JOSE'!V$40:V$46)+SUMIF('MONTERO BURROLA LUIS'!P$38:P$44,'KM POR UNIDAD'!A33,'MONTERO BURROLA LUIS'!V$38:V$44)+SUMIF('AGUILERA CONTRERAS LUIS GERARDO'!P$41:P$47,'KM POR UNIDAD'!A33,'AGUILERA CONTRERAS LUIS GERARDO'!V$41:V$47)+SUMIF('MORALES LOPEZ DE LARA MARIANO'!P$40:P$46,'KM POR UNIDAD'!A33,'MORALES LOPEZ DE LARA MARIANO'!V$40:V$46)+SUMIF('MELENDEZ SINALOA MANUEL ARAT'!P$40:P$46,'KM POR UNIDAD'!A33,'MELENDEZ SINALOA MANUEL ARAT'!V$40:V$46)+SUMIF('MORALES LECHUGA GONZALO'!P$40:P$46,'KM POR UNIDAD'!A33,'MORALES LECHUGA GONZALO'!V$40:V$46)+SUMIF('ORONA BECERRA MAURO JOSE'!P$40:P$46,'KM POR UNIDAD'!A33,'ORONA BECERRA MAURO JOSE'!V$40:V$46)+SUMIF('VALLES HERNANDEZ MANUEL MARCELI'!P$39:P$45,'KM POR UNIDAD'!A33,'VALLES HERNANDEZ MANUEL MARCELI'!V$39:V$45)+SUMIF('ORTIZ RAMIREZ HECTOR MANUEL'!P$40:P$46,'KM POR UNIDAD'!A33,'ORTIZ RAMIREZ HECTOR MANUEL'!V$40:V$46)+SUMIF('ONTIVEROS LIRA JUAN'!P$40:P$46,'KM POR UNIDAD'!A33,'ONTIVEROS LIRA JUAN'!V$40:V$46)+SUMIF('RODRIGUEZ FLORES BRYAN DARIO'!P$40:P$46,'KM POR UNIDAD'!A33,'RODRIGUEZ FLORES BRYAN DARIO'!V$40:V$46)+SUMIF('NUÑEZ RUIZ IRVING JAVIER.'!P$42:P$48,'KM POR UNIDAD'!A33,'NUÑEZ RUIZ IRVING JAVIER.'!V$42:V$48)+SUMIF('MACHADO MAZUCA ADOLFO'!P$40:P$46,'KM POR UNIDAD'!A33,'MACHADO MAZUCA ADOLFO'!V$40:V$46)+SUMIF('LIRA ARCEO JOEL EDUARDO'!P$40:P$46,'KM POR UNIDAD'!A33,'LIRA ARCEO JOEL EDUARDO'!V$40:V$46)+SUMIF('ANCHONDO ROMERO CESAR ALEJANDRO'!P$40:P$46,'KM POR UNIDAD'!A33,'ANCHONDO ROMERO CESAR ALEJANDRO'!V$40:V$46)</f>
        <v>0</v>
      </c>
      <c r="E33" s="145">
        <f t="shared" si="0"/>
        <v>0</v>
      </c>
      <c r="F33" s="144" t="e">
        <f ca="1">+SUMIF('AGUILAR ESQUIVEL CARLOS'!P$40:P$46,'KM POR UNIDAD'!A33,'AGUILAR ESQUIVEL CARLOS'!W$40:W$46)+SUMIF('AGUILAR RODRIGUEZ JORGE ALONSO'!P$40:P$46,'KM POR UNIDAD'!A33,'AGUILAR RODRIGUEZ JORGE ALONSO'!W$40:W$46)+SUMIF('REYES LARA DANTE'!T$40:T$46,'KM POR UNIDAD'!A33,'REYES LARA DANTE'!Y$40:Y$46)+SUMIF('RAMIREZ BAUTISTA ADRIAN'!T$40:T$46,'KM POR UNIDAD'!A33,'RAMIREZ BAUTISTA ADRIAN'!Y$40:Y$46)+SUMIF('FLORES BOJORQUEZ BRYAN OVED'!T$40:T$46,'KM POR UNIDAD'!A33,'FLORES BOJORQUEZ BRYAN OVED'!Y$40:Y$46)+SUMIF('BALDERRAMA ROBLES JORGE'!T$40:T$46,'KM POR UNIDAD'!A33,'BALDERRAMA ROBLES JORGE'!#REF!)+SUMIF('BURGOS TORRES RIGOBERTO'!T$39:T$45,'KM POR UNIDAD'!A33,'BURGOS TORRES RIGOBERTO'!Y$39:Y$45)+SUMIF('CORDOVA URIBE JOSE  ADRIAN'!T$40:T$46,'KM POR UNIDAD'!E33,'CORDOVA URIBE JOSE  ADRIAN'!Y$40:Y$46)+SUMIF('GUZMAN CHAPARRO PEDRO'!T$40:T$46,'KM POR UNIDAD'!E33,'GUZMAN CHAPARRO PEDRO'!Y$40:Y$46)+SUMIF('HERNANDEZ LICANO JOSE LUIS'!T$40:T$46,'KM POR UNIDAD'!E33,'HERNANDEZ LICANO JOSE LUIS'!#REF!)+SUMIF('CARRERA REYES MARTIN SEBASTIAN'!T$41:T$47,'KM POR UNIDAD'!E33,'CARRERA REYES MARTIN SEBASTIAN'!Y$41:Y$47)+SUMIF('RUIZ SAUCEDO DANIEL ALEJANDRO'!T$40:T$46,'KM POR UNIDAD'!E33,'RUIZ SAUCEDO DANIEL ALEJANDRO'!Y$40:Y$46)+SUMIF('MARTINEZ RAMIREZ ROSALIO'!T$40:T$46,'KM POR UNIDAD'!E33,'MARTINEZ RAMIREZ ROSALIO'!Y$40:Y$46)+SUMIF('BALLEZA RAMIREZ JESUS JOSE'!T$40:T$46,'KM POR UNIDAD'!E33,'BALLEZA RAMIREZ JESUS JOSE'!T$176:T$180)+SUMIF('MONTERO BURROLA LUIS'!T$38:T$44,'KM POR UNIDAD'!E33,'MONTERO BURROLA LUIS'!Y$38:Y$44)+SUMIF('AGUILERA CONTRERAS LUIS GERARDO'!T$41:T$47,'KM POR UNIDAD'!E33,'AGUILERA CONTRERAS LUIS GERARDO'!Y$41:Y$47)+SUMIF('MORALES LOPEZ DE LARA MARIANO'!T$40:T$46,'KM POR UNIDAD'!E33,'MORALES LOPEZ DE LARA MARIANO'!Y$40:Y$46)+SUMIF('MELENDEZ SINALOA MANUEL ARAT'!T$40:T$46,'KM POR UNIDAD'!E33,'MELENDEZ SINALOA MANUEL ARAT'!#REF!)+SUMIF('MORALES LECHUGA GONZALO'!T$40:T$46,'KM POR UNIDAD'!E33,'MORALES LECHUGA GONZALO'!Y$40:Y$46)+SUMIF('ORONA BECERRA MAURO JOSE'!T$40:T$46,'KM POR UNIDAD'!E33,'ORONA BECERRA MAURO JOSE'!Y$40:Y$46)+SUMIF('VALLES HERNANDEZ MANUEL MARCELI'!T$39:T$45,'KM POR UNIDAD'!E33,'VALLES HERNANDEZ MANUEL MARCELI'!Y$39:Y$45)+SUMIF('ORTIZ RAMIREZ HECTOR MANUEL'!T$40:T$46,'KM POR UNIDAD'!E33,'ORTIZ RAMIREZ HECTOR MANUEL'!Y$40:Y$46)+SUMIF('ONTIVEROS LIRA JUAN'!T$40:T$46,'KM POR UNIDAD'!E33,'ONTIVEROS LIRA JUAN'!Y$40:Y$46)+SUMIF('RODRIGUEZ FLORES BRYAN DARIO'!T$40:T$46,'KM POR UNIDAD'!E33,'RODRIGUEZ FLORES BRYAN DARIO'!Y$40:Y$46)+SUMIF('NUÑEZ RUIZ IRVING JAVIER.'!T$42:T$48,'KM POR UNIDAD'!E33,'NUÑEZ RUIZ IRVING JAVIER.'!Y$42:Y$48)+SUMIF('MACHADO MAZUCA ADOLFO'!T$40:T$46,'KM POR UNIDAD'!E33,'MACHADO MAZUCA ADOLFO'!Y$40:Y$46)+SUMIF('LIRA ARCEO JOEL EDUARDO'!T$40:T$46,'KM POR UNIDAD'!E33,'LIRA ARCEO JOEL EDUARDO'!Y$41:Y$46)+SUMIF('ANCHONDO ROMERO CESAR ALEJANDRO'!T$40:T$46,'KM POR UNIDAD'!E33,'ANCHONDO ROMERO CESAR ALEJANDRO'!Y$40:Y$46)</f>
        <v>#REF!</v>
      </c>
      <c r="G33" s="146"/>
    </row>
    <row r="34" spans="1:7" x14ac:dyDescent="0.25">
      <c r="A34" s="143" t="s">
        <v>166</v>
      </c>
      <c r="B34" s="144">
        <f>+SUMIF('AGUILAR ESQUIVEL CARLOS'!P$40:P$46,'KM POR UNIDAD'!A34,'AGUILAR ESQUIVEL CARLOS'!U$40:U$46)+SUMIF('AGUILAR RODRIGUEZ JORGE ALONSO'!P$40:P$46,'KM POR UNIDAD'!A34,'AGUILAR RODRIGUEZ JORGE ALONSO'!U$40:U$46)+SUMIF('REYES LARA DANTE'!P$40:P$46,'KM POR UNIDAD'!A34,'REYES LARA DANTE'!U$40:U$46)+SUMIF('RAMIREZ BAUTISTA ADRIAN'!P$40:P$46,'KM POR UNIDAD'!A34,'RAMIREZ BAUTISTA ADRIAN'!U$40:U$46)+SUMIF('FLORES BOJORQUEZ BRYAN OVED'!P$40:P$46,'KM POR UNIDAD'!A34,'FLORES BOJORQUEZ BRYAN OVED'!U$40:U$46)+SUMIF('BALDERRAMA ROBLES JORGE'!P$40:P$46,'KM POR UNIDAD'!A34,'BALDERRAMA ROBLES JORGE'!U$40:U$46)+SUMIF('BURGOS TORRES RIGOBERTO'!P$39:P$45,'KM POR UNIDAD'!A34,'BURGOS TORRES RIGOBERTO'!U$39:U$45)+SUMIF('CORDOVA URIBE JOSE  ADRIAN'!P$40:P$46,'KM POR UNIDAD'!A34,'CORDOVA URIBE JOSE  ADRIAN'!U$40:U$46)+SUMIF('GUZMAN CHAPARRO PEDRO'!P$40:P$46,'KM POR UNIDAD'!A34,'GUZMAN CHAPARRO PEDRO'!U$40:U$46)+SUMIF('HERNANDEZ LICANO JOSE LUIS'!P$40:P$46,'KM POR UNIDAD'!A34,'HERNANDEZ LICANO JOSE LUIS'!U$40:U$46)+SUMIF('CARRERA REYES MARTIN SEBASTIAN'!P$41:P$47,'KM POR UNIDAD'!A34,'CARRERA REYES MARTIN SEBASTIAN'!U$41:U$47)+SUMIF('RUIZ SAUCEDO DANIEL ALEJANDRO'!P$40:P$46,'KM POR UNIDAD'!A34,'RUIZ SAUCEDO DANIEL ALEJANDRO'!U$40:U$46)+SUMIF('MARTINEZ RAMIREZ ROSALIO'!P$40:P$46,'KM POR UNIDAD'!A34,'MARTINEZ RAMIREZ ROSALIO'!U$40:U$46)+SUMIF('BALLEZA RAMIREZ JESUS JOSE'!P$40:P$46,'KM POR UNIDAD'!A34,'BALLEZA RAMIREZ JESUS JOSE'!U$40:U$46)+SUMIF('MONTERO BURROLA LUIS'!P$38:P$44,'KM POR UNIDAD'!A34,'MONTERO BURROLA LUIS'!U$38:U$44)+SUMIF('AGUILERA CONTRERAS LUIS GERARDO'!P$41:P$47,'KM POR UNIDAD'!A34,'AGUILERA CONTRERAS LUIS GERARDO'!U$41:U$47)+SUMIF('MORALES LOPEZ DE LARA MARIANO'!P$40:P$46,'KM POR UNIDAD'!A34,'MORALES LOPEZ DE LARA MARIANO'!U$40:U$46)+SUMIF('MELENDEZ SINALOA MANUEL ARAT'!P$40:P$46,'KM POR UNIDAD'!A34,'MELENDEZ SINALOA MANUEL ARAT'!U$40:U$46)+SUMIF('MORALES LECHUGA GONZALO'!P$40:P$46,'KM POR UNIDAD'!A34,'MORALES LECHUGA GONZALO'!U$40:U$46)+SUMIF('ORONA BECERRA MAURO JOSE'!P$40:P$46,'KM POR UNIDAD'!A34,'ORONA BECERRA MAURO JOSE'!U$40:U$46)+SUMIF('VALLES HERNANDEZ MANUEL MARCELI'!P$39:P$45,'KM POR UNIDAD'!A34,'VALLES HERNANDEZ MANUEL MARCELI'!U$39:U$45)+SUMIF('ORTIZ RAMIREZ HECTOR MANUEL'!P$40:P$46,'KM POR UNIDAD'!A34,'ORTIZ RAMIREZ HECTOR MANUEL'!U$40:U$46)+SUMIF('ONTIVEROS LIRA JUAN'!P$40:P$46,'KM POR UNIDAD'!A34,'ONTIVEROS LIRA JUAN'!U$40:U$46)+SUMIF('RODRIGUEZ FLORES BRYAN DARIO'!P$40:P$46,'KM POR UNIDAD'!A34,'RODRIGUEZ FLORES BRYAN DARIO'!U$40:U$46)+SUMIF('NUÑEZ RUIZ IRVING JAVIER.'!P$42:P$48,'KM POR UNIDAD'!A34,'NUÑEZ RUIZ IRVING JAVIER.'!U$42:U$48)+SUMIF('MACHADO MAZUCA ADOLFO'!P$40:P$46,'KM POR UNIDAD'!A34,'MACHADO MAZUCA ADOLFO'!U$40:U$46)+SUMIF('LIRA ARCEO JOEL EDUARDO'!P$40:P$46,'KM POR UNIDAD'!A34,'LIRA ARCEO JOEL EDUARDO'!U$40:U$46)+SUMIF('ANCHONDO ROMERO CESAR ALEJANDRO'!P$40:P$46,'KM POR UNIDAD'!A34,'ANCHONDO ROMERO CESAR ALEJANDRO'!U$40:U$46)</f>
        <v>0</v>
      </c>
      <c r="C34" s="150">
        <f ca="1">+SUMIF('AGUILAR ESQUIVEL CARLOS'!P$40:P$46,'KM POR UNIDAD'!A34,'AGUILAR ESQUIVEL CARLOS'!T$40:T$46)+SUMIF('AGUILAR RODRIGUEZ JORGE ALONSO'!P$40:P$46,'KM POR UNIDAD'!A34,'AGUILAR RODRIGUEZ JORGE ALONSO'!T$40:T$46)+SUMIF('REYES LARA DANTE'!P$40:P$46,'KM POR UNIDAD'!A34,'REYES LARA DANTE'!T$40:T$46)+SUMIF('RAMIREZ BAUTISTA ADRIAN'!P$40:P$46,'KM POR UNIDAD'!A34,'RAMIREZ BAUTISTA ADRIAN'!T$40:T$46)+SUMIF('FLORES BOJORQUEZ BRYAN OVED'!P$40:P$46,'KM POR UNIDAD'!A34,'FLORES BOJORQUEZ BRYAN OVED'!T$40:T$46)+SUMIF('BALDERRAMA ROBLES JORGE'!P$40:P$46,'KM POR UNIDAD'!A34,'BALDERRAMA ROBLES JORGE'!T$40:T$46)+SUMIF('BURGOS TORRES RIGOBERTO'!P$39:P$45,'KM POR UNIDAD'!A34,'BURGOS TORRES RIGOBERTO'!T$39:T$45)+SUMIF('CORDOVA URIBE JOSE  ADRIAN'!P$40:P$46,'KM POR UNIDAD'!A34,'CORDOVA URIBE JOSE  ADRIAN'!T$40:T$46)+SUMIF('GUZMAN CHAPARRO PEDRO'!P$40:P$46,'KM POR UNIDAD'!A34,'GUZMAN CHAPARRO PEDRO'!T$40:T$46)+SUMIF('HERNANDEZ LICANO JOSE LUIS'!P$40:P$46,'KM POR UNIDAD'!A34,'HERNANDEZ LICANO JOSE LUIS'!T$40:T$46)+SUMIF('CARRERA REYES MARTIN SEBASTIAN'!P$41:P$47,'KM POR UNIDAD'!A34,'CARRERA REYES MARTIN SEBASTIAN'!T$41:T$47)+SUMIF('RUIZ SAUCEDO DANIEL ALEJANDRO'!P$40:P$46,'KM POR UNIDAD'!A34,'RUIZ SAUCEDO DANIEL ALEJANDRO'!T$40:T$46)+SUMIF('MARTINEZ RAMIREZ ROSALIO'!P$40:P$46,'KM POR UNIDAD'!A34,'MARTINEZ RAMIREZ ROSALIO'!T$40:T$46)+SUMIF('BALLEZA RAMIREZ JESUS JOSE'!P$40:P$46,'KM POR UNIDAD'!A34,'BALLEZA RAMIREZ JESUS JOSE'!T$40:T$46)+SUMIF('MONTERO BURROLA LUIS'!P$38:P$44,'KM POR UNIDAD'!A34,'MONTERO BURROLA LUIS'!T$38:T$44)+SUMIF('AGUILERA CONTRERAS LUIS GERARDO'!P$41:P$47,'KM POR UNIDAD'!A34,'AGUILERA CONTRERAS LUIS GERARDO'!T$41:T$47)+SUMIF('MORALES LOPEZ DE LARA MARIANO'!P$40:P$46,'KM POR UNIDAD'!A34,'MORALES LOPEZ DE LARA MARIANO'!T$40:T$46)+SUMIF('MELENDEZ SINALOA MANUEL ARAT'!P$40:P$46,'KM POR UNIDAD'!A34,'MELENDEZ SINALOA MANUEL ARAT'!T$40:T$46)+SUMIF('MORALES LECHUGA GONZALO'!P$40:P$46,'KM POR UNIDAD'!A34,'MORALES LECHUGA GONZALO'!T$40:T$46)+SUMIF('ORONA BECERRA MAURO JOSE'!P$40:P$46,'KM POR UNIDAD'!A34,'ORONA BECERRA MAURO JOSE'!T$40:T$46)+SUMIF('VALLES HERNANDEZ MANUEL MARCELI'!P$39:P$45,'KM POR UNIDAD'!A34,'VALLES HERNANDEZ MANUEL MARCELI'!T$39:T$45)+SUMIF('ORTIZ RAMIREZ HECTOR MANUEL'!P$40:P$46,'KM POR UNIDAD'!A34,'ORTIZ RAMIREZ HECTOR MANUEL'!T$40:T$46)+SUMIF('ONTIVEROS LIRA JUAN'!P$40:P$446,'KM POR UNIDAD'!A34,'ONTIVEROS LIRA JUAN'!T$40:T$46)+SUMIF('RODRIGUEZ FLORES BRYAN DARIO'!P$40:P$46,'KM POR UNIDAD'!A34,'RODRIGUEZ FLORES BRYAN DARIO'!T$40:T$46)+SUMIF('NUÑEZ RUIZ IRVING JAVIER.'!P$42:P$48,'KM POR UNIDAD'!A34,'NUÑEZ RUIZ IRVING JAVIER.'!T$42:T$48)+SUMIF('MACHADO MAZUCA ADOLFO'!P$40:P$46,'KM POR UNIDAD'!A34,'MACHADO MAZUCA ADOLFO'!T$40:T$46)+SUMIF('LIRA ARCEO JOEL EDUARDO'!P$40:P$46,'KM POR UNIDAD'!A34,'LIRA ARCEO JOEL EDUARDO'!T$40:T$46)+SUMIF('ANCHONDO ROMERO CESAR ALEJANDRO'!P$40:P$46,'KM POR UNIDAD'!A34,'ANCHONDO ROMERO CESAR ALEJANDRO'!T$40:T$46)</f>
        <v>0</v>
      </c>
      <c r="D34" s="150">
        <f>+SUMIF('AGUILAR ESQUIVEL CARLOS'!P$40:P$46,'KM POR UNIDAD'!A34,'AGUILAR ESQUIVEL CARLOS'!V$40:V$46)+SUMIF('AGUILAR RODRIGUEZ JORGE ALONSO'!P$40:P$46,'KM POR UNIDAD'!A34,'AGUILAR RODRIGUEZ JORGE ALONSO'!V$40:V$46)+SUMIF('REYES LARA DANTE'!P$40:P$46,'KM POR UNIDAD'!A34,'REYES LARA DANTE'!V$40:V$46)+SUMIF('RAMIREZ BAUTISTA ADRIAN'!P$40:P$46,'KM POR UNIDAD'!A34,'RAMIREZ BAUTISTA ADRIAN'!V$40:V$46)+SUMIF('FLORES BOJORQUEZ BRYAN OVED'!P$40:P$46,'KM POR UNIDAD'!A34,'FLORES BOJORQUEZ BRYAN OVED'!V$40:V$46)+SUMIF('BALDERRAMA ROBLES JORGE'!P$40:P$46,'KM POR UNIDAD'!A34,'BALDERRAMA ROBLES JORGE'!V$40:V$46)+SUMIF('BURGOS TORRES RIGOBERTO'!P$39:P$45,'KM POR UNIDAD'!A34,'BURGOS TORRES RIGOBERTO'!V$39:V$45)+SUMIF('CORDOVA URIBE JOSE  ADRIAN'!P$40:P$46,'KM POR UNIDAD'!A34,'CORDOVA URIBE JOSE  ADRIAN'!V$40:V$46)+SUMIF('GUZMAN CHAPARRO PEDRO'!P$40:P$46,'KM POR UNIDAD'!A34,'GUZMAN CHAPARRO PEDRO'!V$40:V$46)+SUMIF('HERNANDEZ LICANO JOSE LUIS'!P$40:P$46,'KM POR UNIDAD'!A34,'HERNANDEZ LICANO JOSE LUIS'!V$40:V$46)+SUMIF('CARRERA REYES MARTIN SEBASTIAN'!P$41:P$47,'KM POR UNIDAD'!A34,'CARRERA REYES MARTIN SEBASTIAN'!V$41:V$47)+SUMIF('RUIZ SAUCEDO DANIEL ALEJANDRO'!P$40:P$46,'KM POR UNIDAD'!A34,'RUIZ SAUCEDO DANIEL ALEJANDRO'!V$40:V$46)+SUMIF('MARTINEZ RAMIREZ ROSALIO'!P$40:P$46,'KM POR UNIDAD'!A34,'MARTINEZ RAMIREZ ROSALIO'!V$40:V$46)+SUMIF('BALLEZA RAMIREZ JESUS JOSE'!P$40:P$46,'KM POR UNIDAD'!A34,'BALLEZA RAMIREZ JESUS JOSE'!V$40:V$46)+SUMIF('MONTERO BURROLA LUIS'!P$38:P$44,'KM POR UNIDAD'!A34,'MONTERO BURROLA LUIS'!V$38:V$44)+SUMIF('AGUILERA CONTRERAS LUIS GERARDO'!P$41:P$47,'KM POR UNIDAD'!A34,'AGUILERA CONTRERAS LUIS GERARDO'!V$41:V$47)+SUMIF('MORALES LOPEZ DE LARA MARIANO'!P$40:P$46,'KM POR UNIDAD'!A34,'MORALES LOPEZ DE LARA MARIANO'!V$40:V$46)+SUMIF('MELENDEZ SINALOA MANUEL ARAT'!P$40:P$46,'KM POR UNIDAD'!A34,'MELENDEZ SINALOA MANUEL ARAT'!V$40:V$46)+SUMIF('MORALES LECHUGA GONZALO'!P$40:P$46,'KM POR UNIDAD'!A34,'MORALES LECHUGA GONZALO'!V$40:V$46)+SUMIF('ORONA BECERRA MAURO JOSE'!P$40:P$46,'KM POR UNIDAD'!A34,'ORONA BECERRA MAURO JOSE'!V$40:V$46)+SUMIF('VALLES HERNANDEZ MANUEL MARCELI'!P$39:P$45,'KM POR UNIDAD'!A34,'VALLES HERNANDEZ MANUEL MARCELI'!V$39:V$45)+SUMIF('ORTIZ RAMIREZ HECTOR MANUEL'!P$40:P$46,'KM POR UNIDAD'!A34,'ORTIZ RAMIREZ HECTOR MANUEL'!V$40:V$46)+SUMIF('ONTIVEROS LIRA JUAN'!P$40:P$46,'KM POR UNIDAD'!A34,'ONTIVEROS LIRA JUAN'!V$40:V$46)+SUMIF('RODRIGUEZ FLORES BRYAN DARIO'!P$40:P$46,'KM POR UNIDAD'!A34,'RODRIGUEZ FLORES BRYAN DARIO'!V$40:V$46)+SUMIF('NUÑEZ RUIZ IRVING JAVIER.'!P$42:P$48,'KM POR UNIDAD'!A34,'NUÑEZ RUIZ IRVING JAVIER.'!V$42:V$48)+SUMIF('MACHADO MAZUCA ADOLFO'!P$40:P$46,'KM POR UNIDAD'!A34,'MACHADO MAZUCA ADOLFO'!V$40:V$46)+SUMIF('LIRA ARCEO JOEL EDUARDO'!P$40:P$46,'KM POR UNIDAD'!A34,'LIRA ARCEO JOEL EDUARDO'!V$40:V$46)+SUMIF('ANCHONDO ROMERO CESAR ALEJANDRO'!P$40:P$46,'KM POR UNIDAD'!A34,'ANCHONDO ROMERO CESAR ALEJANDRO'!V$40:V$46)</f>
        <v>0</v>
      </c>
      <c r="E34" s="145">
        <f t="shared" si="0"/>
        <v>0</v>
      </c>
      <c r="F34" s="144" t="e">
        <f ca="1">+SUMIF('AGUILAR ESQUIVEL CARLOS'!P$40:P$46,'KM POR UNIDAD'!A34,'AGUILAR ESQUIVEL CARLOS'!W$40:W$46)+SUMIF('AGUILAR RODRIGUEZ JORGE ALONSO'!P$40:P$46,'KM POR UNIDAD'!A34,'AGUILAR RODRIGUEZ JORGE ALONSO'!W$40:W$46)+SUMIF('REYES LARA DANTE'!T$40:T$46,'KM POR UNIDAD'!A34,'REYES LARA DANTE'!Y$40:Y$46)+SUMIF('RAMIREZ BAUTISTA ADRIAN'!T$40:T$46,'KM POR UNIDAD'!A34,'RAMIREZ BAUTISTA ADRIAN'!Y$40:Y$46)+SUMIF('FLORES BOJORQUEZ BRYAN OVED'!T$40:T$46,'KM POR UNIDAD'!A34,'FLORES BOJORQUEZ BRYAN OVED'!Y$40:Y$46)+SUMIF('BALDERRAMA ROBLES JORGE'!T$40:T$46,'KM POR UNIDAD'!A34,'BALDERRAMA ROBLES JORGE'!#REF!)+SUMIF('BURGOS TORRES RIGOBERTO'!T$39:T$45,'KM POR UNIDAD'!A34,'BURGOS TORRES RIGOBERTO'!Y$39:Y$45)+SUMIF('CORDOVA URIBE JOSE  ADRIAN'!T$40:T$46,'KM POR UNIDAD'!E34,'CORDOVA URIBE JOSE  ADRIAN'!Y$40:Y$46)+SUMIF('GUZMAN CHAPARRO PEDRO'!T$40:T$46,'KM POR UNIDAD'!E34,'GUZMAN CHAPARRO PEDRO'!Y$40:Y$46)+SUMIF('HERNANDEZ LICANO JOSE LUIS'!T$40:T$46,'KM POR UNIDAD'!E34,'HERNANDEZ LICANO JOSE LUIS'!#REF!)+SUMIF('CARRERA REYES MARTIN SEBASTIAN'!T$41:T$47,'KM POR UNIDAD'!E34,'CARRERA REYES MARTIN SEBASTIAN'!Y$41:Y$47)+SUMIF('RUIZ SAUCEDO DANIEL ALEJANDRO'!T$40:T$46,'KM POR UNIDAD'!E34,'RUIZ SAUCEDO DANIEL ALEJANDRO'!Y$40:Y$46)+SUMIF('MARTINEZ RAMIREZ ROSALIO'!T$40:T$46,'KM POR UNIDAD'!E34,'MARTINEZ RAMIREZ ROSALIO'!Y$40:Y$46)+SUMIF('BALLEZA RAMIREZ JESUS JOSE'!T$40:T$46,'KM POR UNIDAD'!E34,'BALLEZA RAMIREZ JESUS JOSE'!T$176:T$180)+SUMIF('MONTERO BURROLA LUIS'!T$38:T$44,'KM POR UNIDAD'!E34,'MONTERO BURROLA LUIS'!Y$38:Y$44)+SUMIF('AGUILERA CONTRERAS LUIS GERARDO'!T$41:T$47,'KM POR UNIDAD'!E34,'AGUILERA CONTRERAS LUIS GERARDO'!Y$41:Y$47)+SUMIF('MORALES LOPEZ DE LARA MARIANO'!T$40:T$46,'KM POR UNIDAD'!E34,'MORALES LOPEZ DE LARA MARIANO'!Y$40:Y$46)+SUMIF('MELENDEZ SINALOA MANUEL ARAT'!T$40:T$46,'KM POR UNIDAD'!E34,'MELENDEZ SINALOA MANUEL ARAT'!#REF!)+SUMIF('MORALES LECHUGA GONZALO'!T$40:T$46,'KM POR UNIDAD'!E34,'MORALES LECHUGA GONZALO'!Y$40:Y$46)+SUMIF('ORONA BECERRA MAURO JOSE'!T$40:T$46,'KM POR UNIDAD'!E34,'ORONA BECERRA MAURO JOSE'!Y$40:Y$46)+SUMIF('VALLES HERNANDEZ MANUEL MARCELI'!T$39:T$45,'KM POR UNIDAD'!E34,'VALLES HERNANDEZ MANUEL MARCELI'!Y$39:Y$45)+SUMIF('ORTIZ RAMIREZ HECTOR MANUEL'!T$40:T$46,'KM POR UNIDAD'!E34,'ORTIZ RAMIREZ HECTOR MANUEL'!Y$40:Y$46)+SUMIF('ONTIVEROS LIRA JUAN'!T$40:T$46,'KM POR UNIDAD'!E34,'ONTIVEROS LIRA JUAN'!Y$40:Y$46)+SUMIF('RODRIGUEZ FLORES BRYAN DARIO'!T$40:T$46,'KM POR UNIDAD'!E34,'RODRIGUEZ FLORES BRYAN DARIO'!Y$40:Y$46)+SUMIF('NUÑEZ RUIZ IRVING JAVIER.'!T$42:T$48,'KM POR UNIDAD'!E34,'NUÑEZ RUIZ IRVING JAVIER.'!Y$42:Y$48)+SUMIF('MACHADO MAZUCA ADOLFO'!T$40:T$46,'KM POR UNIDAD'!E34,'MACHADO MAZUCA ADOLFO'!Y$40:Y$46)+SUMIF('LIRA ARCEO JOEL EDUARDO'!T$40:T$46,'KM POR UNIDAD'!E34,'LIRA ARCEO JOEL EDUARDO'!Y$41:Y$46)+SUMIF('ANCHONDO ROMERO CESAR ALEJANDRO'!T$40:T$46,'KM POR UNIDAD'!E34,'ANCHONDO ROMERO CESAR ALEJANDRO'!Y$40:Y$46)</f>
        <v>#REF!</v>
      </c>
      <c r="G34" s="146"/>
    </row>
    <row r="35" spans="1:7" x14ac:dyDescent="0.25">
      <c r="A35" s="143" t="s">
        <v>222</v>
      </c>
      <c r="B35" s="144">
        <f>+SUMIF('AGUILAR ESQUIVEL CARLOS'!P$40:P$46,'KM POR UNIDAD'!A35,'AGUILAR ESQUIVEL CARLOS'!U$40:U$46)+SUMIF('AGUILAR RODRIGUEZ JORGE ALONSO'!P$40:P$46,'KM POR UNIDAD'!A35,'AGUILAR RODRIGUEZ JORGE ALONSO'!U$40:U$46)+SUMIF('REYES LARA DANTE'!P$40:P$46,'KM POR UNIDAD'!A35,'REYES LARA DANTE'!U$40:U$46)+SUMIF('RAMIREZ BAUTISTA ADRIAN'!P$40:P$46,'KM POR UNIDAD'!A35,'RAMIREZ BAUTISTA ADRIAN'!U$40:U$46)+SUMIF('FLORES BOJORQUEZ BRYAN OVED'!P$40:P$46,'KM POR UNIDAD'!A35,'FLORES BOJORQUEZ BRYAN OVED'!U$40:U$46)+SUMIF('BALDERRAMA ROBLES JORGE'!P$40:P$46,'KM POR UNIDAD'!A35,'BALDERRAMA ROBLES JORGE'!U$40:U$46)+SUMIF('BURGOS TORRES RIGOBERTO'!P$39:P$45,'KM POR UNIDAD'!A35,'BURGOS TORRES RIGOBERTO'!U$39:U$45)+SUMIF('CORDOVA URIBE JOSE  ADRIAN'!P$40:P$46,'KM POR UNIDAD'!A35,'CORDOVA URIBE JOSE  ADRIAN'!U$40:U$46)+SUMIF('GUZMAN CHAPARRO PEDRO'!P$40:P$46,'KM POR UNIDAD'!A35,'GUZMAN CHAPARRO PEDRO'!U$40:U$46)+SUMIF('HERNANDEZ LICANO JOSE LUIS'!P$40:P$46,'KM POR UNIDAD'!A35,'HERNANDEZ LICANO JOSE LUIS'!U$40:U$46)+SUMIF('CARRERA REYES MARTIN SEBASTIAN'!P$41:P$47,'KM POR UNIDAD'!A35,'CARRERA REYES MARTIN SEBASTIAN'!U$41:U$47)+SUMIF('RUIZ SAUCEDO DANIEL ALEJANDRO'!P$40:P$46,'KM POR UNIDAD'!A35,'RUIZ SAUCEDO DANIEL ALEJANDRO'!U$40:U$46)+SUMIF('MARTINEZ RAMIREZ ROSALIO'!P$40:P$46,'KM POR UNIDAD'!A35,'MARTINEZ RAMIREZ ROSALIO'!U$40:U$46)+SUMIF('BALLEZA RAMIREZ JESUS JOSE'!P$40:P$46,'KM POR UNIDAD'!A35,'BALLEZA RAMIREZ JESUS JOSE'!U$40:U$46)+SUMIF('MONTERO BURROLA LUIS'!P$38:P$44,'KM POR UNIDAD'!A35,'MONTERO BURROLA LUIS'!U$38:U$44)+SUMIF('AGUILERA CONTRERAS LUIS GERARDO'!P$41:P$47,'KM POR UNIDAD'!A35,'AGUILERA CONTRERAS LUIS GERARDO'!U$41:U$47)+SUMIF('MORALES LOPEZ DE LARA MARIANO'!P$40:P$46,'KM POR UNIDAD'!A35,'MORALES LOPEZ DE LARA MARIANO'!U$40:U$46)+SUMIF('MELENDEZ SINALOA MANUEL ARAT'!P$40:P$46,'KM POR UNIDAD'!A35,'MELENDEZ SINALOA MANUEL ARAT'!U$40:U$46)+SUMIF('MORALES LECHUGA GONZALO'!P$40:P$46,'KM POR UNIDAD'!A35,'MORALES LECHUGA GONZALO'!U$40:U$46)+SUMIF('ORONA BECERRA MAURO JOSE'!P$40:P$46,'KM POR UNIDAD'!A35,'ORONA BECERRA MAURO JOSE'!U$40:U$46)+SUMIF('VALLES HERNANDEZ MANUEL MARCELI'!P$39:P$45,'KM POR UNIDAD'!A35,'VALLES HERNANDEZ MANUEL MARCELI'!U$39:U$45)+SUMIF('ORTIZ RAMIREZ HECTOR MANUEL'!P$40:P$46,'KM POR UNIDAD'!A35,'ORTIZ RAMIREZ HECTOR MANUEL'!U$40:U$46)+SUMIF('ONTIVEROS LIRA JUAN'!P$40:P$46,'KM POR UNIDAD'!A35,'ONTIVEROS LIRA JUAN'!U$40:U$46)+SUMIF('RODRIGUEZ FLORES BRYAN DARIO'!P$40:P$46,'KM POR UNIDAD'!A35,'RODRIGUEZ FLORES BRYAN DARIO'!U$40:U$46)+SUMIF('NUÑEZ RUIZ IRVING JAVIER.'!P$42:P$48,'KM POR UNIDAD'!A35,'NUÑEZ RUIZ IRVING JAVIER.'!U$42:U$48)+SUMIF('MACHADO MAZUCA ADOLFO'!P$40:P$46,'KM POR UNIDAD'!A35,'MACHADO MAZUCA ADOLFO'!U$40:U$46)+SUMIF('LIRA ARCEO JOEL EDUARDO'!P$40:P$46,'KM POR UNIDAD'!A35,'LIRA ARCEO JOEL EDUARDO'!U$40:U$46)+SUMIF('ANCHONDO ROMERO CESAR ALEJANDRO'!P$40:P$46,'KM POR UNIDAD'!A35,'ANCHONDO ROMERO CESAR ALEJANDRO'!U$40:U$46)</f>
        <v>0</v>
      </c>
      <c r="C35" s="150">
        <f ca="1">+SUMIF('AGUILAR ESQUIVEL CARLOS'!P$40:P$46,'KM POR UNIDAD'!A35,'AGUILAR ESQUIVEL CARLOS'!T$40:T$46)+SUMIF('AGUILAR RODRIGUEZ JORGE ALONSO'!P$40:P$46,'KM POR UNIDAD'!A35,'AGUILAR RODRIGUEZ JORGE ALONSO'!T$40:T$46)+SUMIF('REYES LARA DANTE'!P$40:P$46,'KM POR UNIDAD'!A35,'REYES LARA DANTE'!T$40:T$46)+SUMIF('RAMIREZ BAUTISTA ADRIAN'!P$40:P$46,'KM POR UNIDAD'!A35,'RAMIREZ BAUTISTA ADRIAN'!T$40:T$46)+SUMIF('FLORES BOJORQUEZ BRYAN OVED'!P$40:P$46,'KM POR UNIDAD'!A35,'FLORES BOJORQUEZ BRYAN OVED'!T$40:T$46)+SUMIF('BALDERRAMA ROBLES JORGE'!P$40:P$46,'KM POR UNIDAD'!A35,'BALDERRAMA ROBLES JORGE'!T$40:T$46)+SUMIF('BURGOS TORRES RIGOBERTO'!P$39:P$45,'KM POR UNIDAD'!A35,'BURGOS TORRES RIGOBERTO'!T$39:T$45)+SUMIF('CORDOVA URIBE JOSE  ADRIAN'!P$40:P$46,'KM POR UNIDAD'!A35,'CORDOVA URIBE JOSE  ADRIAN'!T$40:T$46)+SUMIF('GUZMAN CHAPARRO PEDRO'!P$40:P$46,'KM POR UNIDAD'!A35,'GUZMAN CHAPARRO PEDRO'!T$40:T$46)+SUMIF('HERNANDEZ LICANO JOSE LUIS'!P$40:P$46,'KM POR UNIDAD'!A35,'HERNANDEZ LICANO JOSE LUIS'!T$40:T$46)+SUMIF('CARRERA REYES MARTIN SEBASTIAN'!P$41:P$47,'KM POR UNIDAD'!A35,'CARRERA REYES MARTIN SEBASTIAN'!T$41:T$47)+SUMIF('RUIZ SAUCEDO DANIEL ALEJANDRO'!P$40:P$46,'KM POR UNIDAD'!A35,'RUIZ SAUCEDO DANIEL ALEJANDRO'!T$40:T$46)+SUMIF('MARTINEZ RAMIREZ ROSALIO'!P$40:P$46,'KM POR UNIDAD'!A35,'MARTINEZ RAMIREZ ROSALIO'!T$40:T$46)+SUMIF('BALLEZA RAMIREZ JESUS JOSE'!P$40:P$46,'KM POR UNIDAD'!A35,'BALLEZA RAMIREZ JESUS JOSE'!T$40:T$46)+SUMIF('MONTERO BURROLA LUIS'!P$38:P$44,'KM POR UNIDAD'!A35,'MONTERO BURROLA LUIS'!T$38:T$44)+SUMIF('AGUILERA CONTRERAS LUIS GERARDO'!P$41:P$47,'KM POR UNIDAD'!A35,'AGUILERA CONTRERAS LUIS GERARDO'!T$41:T$47)+SUMIF('MORALES LOPEZ DE LARA MARIANO'!P$40:P$46,'KM POR UNIDAD'!A35,'MORALES LOPEZ DE LARA MARIANO'!T$40:T$46)+SUMIF('MELENDEZ SINALOA MANUEL ARAT'!P$40:P$46,'KM POR UNIDAD'!A35,'MELENDEZ SINALOA MANUEL ARAT'!T$40:T$46)+SUMIF('MORALES LECHUGA GONZALO'!P$40:P$46,'KM POR UNIDAD'!A35,'MORALES LECHUGA GONZALO'!T$40:T$46)+SUMIF('ORONA BECERRA MAURO JOSE'!P$40:P$46,'KM POR UNIDAD'!A35,'ORONA BECERRA MAURO JOSE'!T$40:T$46)+SUMIF('VALLES HERNANDEZ MANUEL MARCELI'!P$39:P$45,'KM POR UNIDAD'!A35,'VALLES HERNANDEZ MANUEL MARCELI'!T$39:T$45)+SUMIF('ORTIZ RAMIREZ HECTOR MANUEL'!P$40:P$46,'KM POR UNIDAD'!A35,'ORTIZ RAMIREZ HECTOR MANUEL'!T$40:T$46)+SUMIF('ONTIVEROS LIRA JUAN'!P$40:P$446,'KM POR UNIDAD'!A35,'ONTIVEROS LIRA JUAN'!T$40:T$46)+SUMIF('RODRIGUEZ FLORES BRYAN DARIO'!P$40:P$46,'KM POR UNIDAD'!A35,'RODRIGUEZ FLORES BRYAN DARIO'!T$40:T$46)+SUMIF('NUÑEZ RUIZ IRVING JAVIER.'!P$42:P$48,'KM POR UNIDAD'!A35,'NUÑEZ RUIZ IRVING JAVIER.'!T$42:T$48)+SUMIF('MACHADO MAZUCA ADOLFO'!P$40:P$46,'KM POR UNIDAD'!A35,'MACHADO MAZUCA ADOLFO'!T$40:T$46)+SUMIF('LIRA ARCEO JOEL EDUARDO'!P$40:P$46,'KM POR UNIDAD'!A35,'LIRA ARCEO JOEL EDUARDO'!T$40:T$46)+SUMIF('ANCHONDO ROMERO CESAR ALEJANDRO'!P$40:P$46,'KM POR UNIDAD'!A35,'ANCHONDO ROMERO CESAR ALEJANDRO'!T$40:T$46)</f>
        <v>0</v>
      </c>
      <c r="D35" s="150">
        <f>+SUMIF('AGUILAR ESQUIVEL CARLOS'!P$40:P$46,'KM POR UNIDAD'!A35,'AGUILAR ESQUIVEL CARLOS'!V$40:V$46)+SUMIF('AGUILAR RODRIGUEZ JORGE ALONSO'!P$40:P$46,'KM POR UNIDAD'!A35,'AGUILAR RODRIGUEZ JORGE ALONSO'!V$40:V$46)+SUMIF('REYES LARA DANTE'!P$40:P$46,'KM POR UNIDAD'!A35,'REYES LARA DANTE'!V$40:V$46)+SUMIF('RAMIREZ BAUTISTA ADRIAN'!P$40:P$46,'KM POR UNIDAD'!A35,'RAMIREZ BAUTISTA ADRIAN'!V$40:V$46)+SUMIF('FLORES BOJORQUEZ BRYAN OVED'!P$40:P$46,'KM POR UNIDAD'!A35,'FLORES BOJORQUEZ BRYAN OVED'!V$40:V$46)+SUMIF('BALDERRAMA ROBLES JORGE'!P$40:P$46,'KM POR UNIDAD'!A35,'BALDERRAMA ROBLES JORGE'!V$40:V$46)+SUMIF('BURGOS TORRES RIGOBERTO'!P$39:P$45,'KM POR UNIDAD'!A35,'BURGOS TORRES RIGOBERTO'!V$39:V$45)+SUMIF('CORDOVA URIBE JOSE  ADRIAN'!P$40:P$46,'KM POR UNIDAD'!A35,'CORDOVA URIBE JOSE  ADRIAN'!V$40:V$46)+SUMIF('GUZMAN CHAPARRO PEDRO'!P$40:P$46,'KM POR UNIDAD'!A35,'GUZMAN CHAPARRO PEDRO'!V$40:V$46)+SUMIF('HERNANDEZ LICANO JOSE LUIS'!P$40:P$46,'KM POR UNIDAD'!A35,'HERNANDEZ LICANO JOSE LUIS'!V$40:V$46)+SUMIF('CARRERA REYES MARTIN SEBASTIAN'!P$41:P$47,'KM POR UNIDAD'!A35,'CARRERA REYES MARTIN SEBASTIAN'!V$41:V$47)+SUMIF('RUIZ SAUCEDO DANIEL ALEJANDRO'!P$40:P$46,'KM POR UNIDAD'!A35,'RUIZ SAUCEDO DANIEL ALEJANDRO'!V$40:V$46)+SUMIF('MARTINEZ RAMIREZ ROSALIO'!P$40:P$46,'KM POR UNIDAD'!A35,'MARTINEZ RAMIREZ ROSALIO'!V$40:V$46)+SUMIF('BALLEZA RAMIREZ JESUS JOSE'!P$40:P$46,'KM POR UNIDAD'!A35,'BALLEZA RAMIREZ JESUS JOSE'!V$40:V$46)+SUMIF('MONTERO BURROLA LUIS'!P$38:P$44,'KM POR UNIDAD'!A35,'MONTERO BURROLA LUIS'!V$38:V$44)+SUMIF('AGUILERA CONTRERAS LUIS GERARDO'!P$41:P$47,'KM POR UNIDAD'!A35,'AGUILERA CONTRERAS LUIS GERARDO'!V$41:V$47)+SUMIF('MORALES LOPEZ DE LARA MARIANO'!P$40:P$46,'KM POR UNIDAD'!A35,'MORALES LOPEZ DE LARA MARIANO'!V$40:V$46)+SUMIF('MELENDEZ SINALOA MANUEL ARAT'!P$40:P$46,'KM POR UNIDAD'!A35,'MELENDEZ SINALOA MANUEL ARAT'!V$40:V$46)+SUMIF('MORALES LECHUGA GONZALO'!P$40:P$46,'KM POR UNIDAD'!A35,'MORALES LECHUGA GONZALO'!V$40:V$46)+SUMIF('ORONA BECERRA MAURO JOSE'!P$40:P$46,'KM POR UNIDAD'!A35,'ORONA BECERRA MAURO JOSE'!V$40:V$46)+SUMIF('VALLES HERNANDEZ MANUEL MARCELI'!P$39:P$45,'KM POR UNIDAD'!A35,'VALLES HERNANDEZ MANUEL MARCELI'!V$39:V$45)+SUMIF('ORTIZ RAMIREZ HECTOR MANUEL'!P$40:P$46,'KM POR UNIDAD'!A35,'ORTIZ RAMIREZ HECTOR MANUEL'!V$40:V$46)+SUMIF('ONTIVEROS LIRA JUAN'!P$40:P$46,'KM POR UNIDAD'!A35,'ONTIVEROS LIRA JUAN'!V$40:V$46)+SUMIF('RODRIGUEZ FLORES BRYAN DARIO'!P$40:P$46,'KM POR UNIDAD'!A35,'RODRIGUEZ FLORES BRYAN DARIO'!V$40:V$46)+SUMIF('NUÑEZ RUIZ IRVING JAVIER.'!P$42:P$48,'KM POR UNIDAD'!A35,'NUÑEZ RUIZ IRVING JAVIER.'!V$42:V$48)+SUMIF('MACHADO MAZUCA ADOLFO'!P$40:P$46,'KM POR UNIDAD'!A35,'MACHADO MAZUCA ADOLFO'!V$40:V$46)+SUMIF('LIRA ARCEO JOEL EDUARDO'!P$40:P$46,'KM POR UNIDAD'!A35,'LIRA ARCEO JOEL EDUARDO'!V$40:V$46)+SUMIF('ANCHONDO ROMERO CESAR ALEJANDRO'!P$40:P$46,'KM POR UNIDAD'!A35,'ANCHONDO ROMERO CESAR ALEJANDRO'!V$40:V$46)</f>
        <v>0</v>
      </c>
      <c r="E35" s="145">
        <f t="shared" ref="E35:E36" si="1">IFERROR(B35/D35,0)</f>
        <v>0</v>
      </c>
      <c r="F35" s="144" t="e">
        <f ca="1">+SUMIF('AGUILAR ESQUIVEL CARLOS'!P$40:P$46,'KM POR UNIDAD'!A35,'AGUILAR ESQUIVEL CARLOS'!W$40:W$46)+SUMIF('AGUILAR RODRIGUEZ JORGE ALONSO'!P$40:P$46,'KM POR UNIDAD'!A35,'AGUILAR RODRIGUEZ JORGE ALONSO'!W$40:W$46)+SUMIF('REYES LARA DANTE'!T$40:T$46,'KM POR UNIDAD'!A35,'REYES LARA DANTE'!Y$40:Y$46)+SUMIF('RAMIREZ BAUTISTA ADRIAN'!T$40:T$46,'KM POR UNIDAD'!A35,'RAMIREZ BAUTISTA ADRIAN'!Y$40:Y$46)+SUMIF('FLORES BOJORQUEZ BRYAN OVED'!T$40:T$46,'KM POR UNIDAD'!A35,'FLORES BOJORQUEZ BRYAN OVED'!Y$40:Y$46)+SUMIF('BALDERRAMA ROBLES JORGE'!T$40:T$46,'KM POR UNIDAD'!A35,'BALDERRAMA ROBLES JORGE'!#REF!)+SUMIF('BURGOS TORRES RIGOBERTO'!T$39:T$45,'KM POR UNIDAD'!A35,'BURGOS TORRES RIGOBERTO'!Y$39:Y$45)+SUMIF('CORDOVA URIBE JOSE  ADRIAN'!T$40:T$46,'KM POR UNIDAD'!E35,'CORDOVA URIBE JOSE  ADRIAN'!Y$40:Y$46)+SUMIF('GUZMAN CHAPARRO PEDRO'!T$40:T$46,'KM POR UNIDAD'!E35,'GUZMAN CHAPARRO PEDRO'!Y$40:Y$46)+SUMIF('HERNANDEZ LICANO JOSE LUIS'!T$40:T$46,'KM POR UNIDAD'!E35,'HERNANDEZ LICANO JOSE LUIS'!#REF!)+SUMIF('CARRERA REYES MARTIN SEBASTIAN'!T$41:T$47,'KM POR UNIDAD'!E35,'CARRERA REYES MARTIN SEBASTIAN'!Y$41:Y$47)+SUMIF('RUIZ SAUCEDO DANIEL ALEJANDRO'!T$40:T$46,'KM POR UNIDAD'!E35,'RUIZ SAUCEDO DANIEL ALEJANDRO'!Y$40:Y$46)+SUMIF('MARTINEZ RAMIREZ ROSALIO'!T$40:T$46,'KM POR UNIDAD'!E35,'MARTINEZ RAMIREZ ROSALIO'!Y$40:Y$46)+SUMIF('BALLEZA RAMIREZ JESUS JOSE'!T$40:T$46,'KM POR UNIDAD'!E35,'BALLEZA RAMIREZ JESUS JOSE'!T$176:T$180)+SUMIF('MONTERO BURROLA LUIS'!T$38:T$44,'KM POR UNIDAD'!E35,'MONTERO BURROLA LUIS'!Y$38:Y$44)+SUMIF('AGUILERA CONTRERAS LUIS GERARDO'!T$41:T$47,'KM POR UNIDAD'!E35,'AGUILERA CONTRERAS LUIS GERARDO'!Y$41:Y$47)+SUMIF('MORALES LOPEZ DE LARA MARIANO'!T$40:T$46,'KM POR UNIDAD'!E35,'MORALES LOPEZ DE LARA MARIANO'!Y$40:Y$46)+SUMIF('MELENDEZ SINALOA MANUEL ARAT'!T$40:T$46,'KM POR UNIDAD'!E35,'MELENDEZ SINALOA MANUEL ARAT'!#REF!)+SUMIF('MORALES LECHUGA GONZALO'!T$40:T$46,'KM POR UNIDAD'!E35,'MORALES LECHUGA GONZALO'!Y$40:Y$46)+SUMIF('ORONA BECERRA MAURO JOSE'!T$40:T$46,'KM POR UNIDAD'!E35,'ORONA BECERRA MAURO JOSE'!Y$40:Y$46)+SUMIF('VALLES HERNANDEZ MANUEL MARCELI'!T$39:T$45,'KM POR UNIDAD'!E35,'VALLES HERNANDEZ MANUEL MARCELI'!Y$39:Y$45)+SUMIF('ORTIZ RAMIREZ HECTOR MANUEL'!T$40:T$46,'KM POR UNIDAD'!E35,'ORTIZ RAMIREZ HECTOR MANUEL'!Y$40:Y$46)+SUMIF('ONTIVEROS LIRA JUAN'!T$40:T$46,'KM POR UNIDAD'!E35,'ONTIVEROS LIRA JUAN'!Y$40:Y$46)+SUMIF('RODRIGUEZ FLORES BRYAN DARIO'!T$40:T$46,'KM POR UNIDAD'!E35,'RODRIGUEZ FLORES BRYAN DARIO'!Y$40:Y$46)+SUMIF('NUÑEZ RUIZ IRVING JAVIER.'!T$42:T$48,'KM POR UNIDAD'!E35,'NUÑEZ RUIZ IRVING JAVIER.'!Y$42:Y$48)+SUMIF('MACHADO MAZUCA ADOLFO'!T$40:T$46,'KM POR UNIDAD'!E35,'MACHADO MAZUCA ADOLFO'!Y$40:Y$46)+SUMIF('LIRA ARCEO JOEL EDUARDO'!T$40:T$46,'KM POR UNIDAD'!E35,'LIRA ARCEO JOEL EDUARDO'!Y$41:Y$46)+SUMIF('ANCHONDO ROMERO CESAR ALEJANDRO'!T$40:T$46,'KM POR UNIDAD'!E35,'ANCHONDO ROMERO CESAR ALEJANDRO'!Y$40:Y$46)</f>
        <v>#REF!</v>
      </c>
      <c r="G35" s="146"/>
    </row>
    <row r="36" spans="1:7" x14ac:dyDescent="0.25">
      <c r="A36" s="143" t="s">
        <v>221</v>
      </c>
      <c r="B36" s="144">
        <f>+SUMIF('AGUILAR ESQUIVEL CARLOS'!P$40:P$46,'KM POR UNIDAD'!A36,'AGUILAR ESQUIVEL CARLOS'!U$40:U$46)+SUMIF('AGUILAR RODRIGUEZ JORGE ALONSO'!P$40:P$46,'KM POR UNIDAD'!A36,'AGUILAR RODRIGUEZ JORGE ALONSO'!U$40:U$46)+SUMIF('REYES LARA DANTE'!P$40:P$46,'KM POR UNIDAD'!A36,'REYES LARA DANTE'!U$40:U$46)+SUMIF('RAMIREZ BAUTISTA ADRIAN'!P$40:P$46,'KM POR UNIDAD'!A36,'RAMIREZ BAUTISTA ADRIAN'!U$40:U$46)+SUMIF('FLORES BOJORQUEZ BRYAN OVED'!P$40:P$46,'KM POR UNIDAD'!A36,'FLORES BOJORQUEZ BRYAN OVED'!U$40:U$46)+SUMIF('BALDERRAMA ROBLES JORGE'!P$40:P$46,'KM POR UNIDAD'!A36,'BALDERRAMA ROBLES JORGE'!U$40:U$46)+SUMIF('BURGOS TORRES RIGOBERTO'!P$39:P$45,'KM POR UNIDAD'!A36,'BURGOS TORRES RIGOBERTO'!U$39:U$45)+SUMIF('CORDOVA URIBE JOSE  ADRIAN'!P$40:P$46,'KM POR UNIDAD'!A36,'CORDOVA URIBE JOSE  ADRIAN'!U$40:U$46)+SUMIF('GUZMAN CHAPARRO PEDRO'!P$40:P$46,'KM POR UNIDAD'!A36,'GUZMAN CHAPARRO PEDRO'!U$40:U$46)+SUMIF('HERNANDEZ LICANO JOSE LUIS'!P$40:P$46,'KM POR UNIDAD'!A36,'HERNANDEZ LICANO JOSE LUIS'!U$40:U$46)+SUMIF('CARRERA REYES MARTIN SEBASTIAN'!P$41:P$47,'KM POR UNIDAD'!A36,'CARRERA REYES MARTIN SEBASTIAN'!U$41:U$47)+SUMIF('RUIZ SAUCEDO DANIEL ALEJANDRO'!P$40:P$46,'KM POR UNIDAD'!A36,'RUIZ SAUCEDO DANIEL ALEJANDRO'!U$40:U$46)+SUMIF('MARTINEZ RAMIREZ ROSALIO'!P$40:P$46,'KM POR UNIDAD'!A36,'MARTINEZ RAMIREZ ROSALIO'!U$40:U$46)+SUMIF('BALLEZA RAMIREZ JESUS JOSE'!P$40:P$46,'KM POR UNIDAD'!A36,'BALLEZA RAMIREZ JESUS JOSE'!U$40:U$46)+SUMIF('MONTERO BURROLA LUIS'!P$38:P$44,'KM POR UNIDAD'!A36,'MONTERO BURROLA LUIS'!U$38:U$44)+SUMIF('AGUILERA CONTRERAS LUIS GERARDO'!P$41:P$47,'KM POR UNIDAD'!A36,'AGUILERA CONTRERAS LUIS GERARDO'!U$41:U$47)+SUMIF('MORALES LOPEZ DE LARA MARIANO'!P$40:P$46,'KM POR UNIDAD'!A36,'MORALES LOPEZ DE LARA MARIANO'!U$40:U$46)+SUMIF('MELENDEZ SINALOA MANUEL ARAT'!P$40:P$46,'KM POR UNIDAD'!A36,'MELENDEZ SINALOA MANUEL ARAT'!U$40:U$46)+SUMIF('MORALES LECHUGA GONZALO'!P$40:P$46,'KM POR UNIDAD'!A36,'MORALES LECHUGA GONZALO'!U$40:U$46)+SUMIF('ORONA BECERRA MAURO JOSE'!P$40:P$46,'KM POR UNIDAD'!A36,'ORONA BECERRA MAURO JOSE'!U$40:U$46)+SUMIF('VALLES HERNANDEZ MANUEL MARCELI'!P$39:P$45,'KM POR UNIDAD'!A36,'VALLES HERNANDEZ MANUEL MARCELI'!U$39:U$45)+SUMIF('ORTIZ RAMIREZ HECTOR MANUEL'!P$40:P$46,'KM POR UNIDAD'!A36,'ORTIZ RAMIREZ HECTOR MANUEL'!U$40:U$46)+SUMIF('ONTIVEROS LIRA JUAN'!P$40:P$46,'KM POR UNIDAD'!A36,'ONTIVEROS LIRA JUAN'!U$40:U$46)+SUMIF('RODRIGUEZ FLORES BRYAN DARIO'!P$40:P$46,'KM POR UNIDAD'!A36,'RODRIGUEZ FLORES BRYAN DARIO'!U$40:U$46)+SUMIF('NUÑEZ RUIZ IRVING JAVIER.'!P$42:P$48,'KM POR UNIDAD'!A36,'NUÑEZ RUIZ IRVING JAVIER.'!U$42:U$48)+SUMIF('MACHADO MAZUCA ADOLFO'!P$40:P$46,'KM POR UNIDAD'!A36,'MACHADO MAZUCA ADOLFO'!U$40:U$46)+SUMIF('LIRA ARCEO JOEL EDUARDO'!P$40:P$46,'KM POR UNIDAD'!A36,'LIRA ARCEO JOEL EDUARDO'!U$40:U$46)+SUMIF('ANCHONDO ROMERO CESAR ALEJANDRO'!P$40:P$46,'KM POR UNIDAD'!A36,'ANCHONDO ROMERO CESAR ALEJANDRO'!U$40:U$46)</f>
        <v>0</v>
      </c>
      <c r="C36" s="150">
        <f ca="1">+SUMIF('AGUILAR ESQUIVEL CARLOS'!P$40:P$46,'KM POR UNIDAD'!A36,'AGUILAR ESQUIVEL CARLOS'!T$40:T$46)+SUMIF('AGUILAR RODRIGUEZ JORGE ALONSO'!P$40:P$46,'KM POR UNIDAD'!A36,'AGUILAR RODRIGUEZ JORGE ALONSO'!T$40:T$46)+SUMIF('REYES LARA DANTE'!P$40:P$46,'KM POR UNIDAD'!A36,'REYES LARA DANTE'!T$40:T$46)+SUMIF('RAMIREZ BAUTISTA ADRIAN'!P$40:P$46,'KM POR UNIDAD'!A36,'RAMIREZ BAUTISTA ADRIAN'!T$40:T$46)+SUMIF('FLORES BOJORQUEZ BRYAN OVED'!P$40:P$46,'KM POR UNIDAD'!A36,'FLORES BOJORQUEZ BRYAN OVED'!T$40:T$46)+SUMIF('BALDERRAMA ROBLES JORGE'!P$40:P$46,'KM POR UNIDAD'!A36,'BALDERRAMA ROBLES JORGE'!T$40:T$46)+SUMIF('BURGOS TORRES RIGOBERTO'!P$39:P$45,'KM POR UNIDAD'!A36,'BURGOS TORRES RIGOBERTO'!T$39:T$45)+SUMIF('CORDOVA URIBE JOSE  ADRIAN'!P$40:P$46,'KM POR UNIDAD'!A36,'CORDOVA URIBE JOSE  ADRIAN'!T$40:T$46)+SUMIF('GUZMAN CHAPARRO PEDRO'!P$40:P$46,'KM POR UNIDAD'!A36,'GUZMAN CHAPARRO PEDRO'!T$40:T$46)+SUMIF('HERNANDEZ LICANO JOSE LUIS'!P$40:P$46,'KM POR UNIDAD'!A36,'HERNANDEZ LICANO JOSE LUIS'!T$40:T$46)+SUMIF('CARRERA REYES MARTIN SEBASTIAN'!P$41:P$47,'KM POR UNIDAD'!A36,'CARRERA REYES MARTIN SEBASTIAN'!T$41:T$47)+SUMIF('RUIZ SAUCEDO DANIEL ALEJANDRO'!P$40:P$46,'KM POR UNIDAD'!A36,'RUIZ SAUCEDO DANIEL ALEJANDRO'!T$40:T$46)+SUMIF('MARTINEZ RAMIREZ ROSALIO'!P$40:P$46,'KM POR UNIDAD'!A36,'MARTINEZ RAMIREZ ROSALIO'!T$40:T$46)+SUMIF('BALLEZA RAMIREZ JESUS JOSE'!P$40:P$46,'KM POR UNIDAD'!A36,'BALLEZA RAMIREZ JESUS JOSE'!T$40:T$46)+SUMIF('MONTERO BURROLA LUIS'!P$38:P$44,'KM POR UNIDAD'!A36,'MONTERO BURROLA LUIS'!T$38:T$44)+SUMIF('AGUILERA CONTRERAS LUIS GERARDO'!P$41:P$47,'KM POR UNIDAD'!A36,'AGUILERA CONTRERAS LUIS GERARDO'!T$41:T$47)+SUMIF('MORALES LOPEZ DE LARA MARIANO'!P$40:P$46,'KM POR UNIDAD'!A36,'MORALES LOPEZ DE LARA MARIANO'!T$40:T$46)+SUMIF('MELENDEZ SINALOA MANUEL ARAT'!P$40:P$46,'KM POR UNIDAD'!A36,'MELENDEZ SINALOA MANUEL ARAT'!T$40:T$46)+SUMIF('MORALES LECHUGA GONZALO'!P$40:P$46,'KM POR UNIDAD'!A36,'MORALES LECHUGA GONZALO'!T$40:T$46)+SUMIF('ORONA BECERRA MAURO JOSE'!P$40:P$46,'KM POR UNIDAD'!A36,'ORONA BECERRA MAURO JOSE'!T$40:T$46)+SUMIF('VALLES HERNANDEZ MANUEL MARCELI'!P$39:P$45,'KM POR UNIDAD'!A36,'VALLES HERNANDEZ MANUEL MARCELI'!T$39:T$45)+SUMIF('ORTIZ RAMIREZ HECTOR MANUEL'!P$40:P$46,'KM POR UNIDAD'!A36,'ORTIZ RAMIREZ HECTOR MANUEL'!T$40:T$46)+SUMIF('ONTIVEROS LIRA JUAN'!P$40:P$446,'KM POR UNIDAD'!A36,'ONTIVEROS LIRA JUAN'!T$40:T$46)+SUMIF('RODRIGUEZ FLORES BRYAN DARIO'!P$40:P$46,'KM POR UNIDAD'!A36,'RODRIGUEZ FLORES BRYAN DARIO'!T$40:T$46)+SUMIF('NUÑEZ RUIZ IRVING JAVIER.'!P$42:P$48,'KM POR UNIDAD'!A36,'NUÑEZ RUIZ IRVING JAVIER.'!T$42:T$48)+SUMIF('MACHADO MAZUCA ADOLFO'!P$40:P$46,'KM POR UNIDAD'!A36,'MACHADO MAZUCA ADOLFO'!T$40:T$46)+SUMIF('LIRA ARCEO JOEL EDUARDO'!P$40:P$46,'KM POR UNIDAD'!A36,'LIRA ARCEO JOEL EDUARDO'!T$40:T$46)+SUMIF('ANCHONDO ROMERO CESAR ALEJANDRO'!P$40:P$46,'KM POR UNIDAD'!A36,'ANCHONDO ROMERO CESAR ALEJANDRO'!T$40:T$46)</f>
        <v>0</v>
      </c>
      <c r="D36" s="150">
        <f>+SUMIF('AGUILAR ESQUIVEL CARLOS'!P$40:P$46,'KM POR UNIDAD'!A36,'AGUILAR ESQUIVEL CARLOS'!V$40:V$46)+SUMIF('AGUILAR RODRIGUEZ JORGE ALONSO'!P$40:P$46,'KM POR UNIDAD'!A36,'AGUILAR RODRIGUEZ JORGE ALONSO'!V$40:V$46)+SUMIF('REYES LARA DANTE'!P$40:P$46,'KM POR UNIDAD'!A36,'REYES LARA DANTE'!V$40:V$46)+SUMIF('RAMIREZ BAUTISTA ADRIAN'!P$40:P$46,'KM POR UNIDAD'!A36,'RAMIREZ BAUTISTA ADRIAN'!V$40:V$46)+SUMIF('FLORES BOJORQUEZ BRYAN OVED'!P$40:P$46,'KM POR UNIDAD'!A36,'FLORES BOJORQUEZ BRYAN OVED'!V$40:V$46)+SUMIF('BALDERRAMA ROBLES JORGE'!P$40:P$46,'KM POR UNIDAD'!A36,'BALDERRAMA ROBLES JORGE'!V$40:V$46)+SUMIF('BURGOS TORRES RIGOBERTO'!P$39:P$45,'KM POR UNIDAD'!A36,'BURGOS TORRES RIGOBERTO'!V$39:V$45)+SUMIF('CORDOVA URIBE JOSE  ADRIAN'!P$40:P$46,'KM POR UNIDAD'!A36,'CORDOVA URIBE JOSE  ADRIAN'!V$40:V$46)+SUMIF('GUZMAN CHAPARRO PEDRO'!P$40:P$46,'KM POR UNIDAD'!A36,'GUZMAN CHAPARRO PEDRO'!V$40:V$46)+SUMIF('HERNANDEZ LICANO JOSE LUIS'!P$40:P$46,'KM POR UNIDAD'!A36,'HERNANDEZ LICANO JOSE LUIS'!V$40:V$46)+SUMIF('CARRERA REYES MARTIN SEBASTIAN'!P$41:P$47,'KM POR UNIDAD'!A36,'CARRERA REYES MARTIN SEBASTIAN'!V$41:V$47)+SUMIF('RUIZ SAUCEDO DANIEL ALEJANDRO'!P$40:P$46,'KM POR UNIDAD'!A36,'RUIZ SAUCEDO DANIEL ALEJANDRO'!V$40:V$46)+SUMIF('MARTINEZ RAMIREZ ROSALIO'!P$40:P$46,'KM POR UNIDAD'!A36,'MARTINEZ RAMIREZ ROSALIO'!V$40:V$46)+SUMIF('BALLEZA RAMIREZ JESUS JOSE'!P$40:P$46,'KM POR UNIDAD'!A36,'BALLEZA RAMIREZ JESUS JOSE'!V$40:V$46)+SUMIF('MONTERO BURROLA LUIS'!P$38:P$44,'KM POR UNIDAD'!A36,'MONTERO BURROLA LUIS'!V$38:V$44)+SUMIF('AGUILERA CONTRERAS LUIS GERARDO'!P$41:P$47,'KM POR UNIDAD'!A36,'AGUILERA CONTRERAS LUIS GERARDO'!V$41:V$47)+SUMIF('MORALES LOPEZ DE LARA MARIANO'!P$40:P$46,'KM POR UNIDAD'!A36,'MORALES LOPEZ DE LARA MARIANO'!V$40:V$46)+SUMIF('MELENDEZ SINALOA MANUEL ARAT'!P$40:P$46,'KM POR UNIDAD'!A36,'MELENDEZ SINALOA MANUEL ARAT'!V$40:V$46)+SUMIF('MORALES LECHUGA GONZALO'!P$40:P$46,'KM POR UNIDAD'!A36,'MORALES LECHUGA GONZALO'!V$40:V$46)+SUMIF('ORONA BECERRA MAURO JOSE'!P$40:P$46,'KM POR UNIDAD'!A36,'ORONA BECERRA MAURO JOSE'!V$40:V$46)+SUMIF('VALLES HERNANDEZ MANUEL MARCELI'!P$39:P$45,'KM POR UNIDAD'!A36,'VALLES HERNANDEZ MANUEL MARCELI'!V$39:V$45)+SUMIF('ORTIZ RAMIREZ HECTOR MANUEL'!P$40:P$46,'KM POR UNIDAD'!A36,'ORTIZ RAMIREZ HECTOR MANUEL'!V$40:V$46)+SUMIF('ONTIVEROS LIRA JUAN'!P$40:P$46,'KM POR UNIDAD'!A36,'ONTIVEROS LIRA JUAN'!V$40:V$46)+SUMIF('RODRIGUEZ FLORES BRYAN DARIO'!P$40:P$46,'KM POR UNIDAD'!A36,'RODRIGUEZ FLORES BRYAN DARIO'!V$40:V$46)+SUMIF('NUÑEZ RUIZ IRVING JAVIER.'!P$42:P$48,'KM POR UNIDAD'!A36,'NUÑEZ RUIZ IRVING JAVIER.'!V$42:V$48)+SUMIF('MACHADO MAZUCA ADOLFO'!P$40:P$46,'KM POR UNIDAD'!A36,'MACHADO MAZUCA ADOLFO'!V$40:V$46)+SUMIF('LIRA ARCEO JOEL EDUARDO'!P$40:P$46,'KM POR UNIDAD'!A36,'LIRA ARCEO JOEL EDUARDO'!V$40:V$46)+SUMIF('ANCHONDO ROMERO CESAR ALEJANDRO'!P$40:P$46,'KM POR UNIDAD'!A36,'ANCHONDO ROMERO CESAR ALEJANDRO'!V$40:V$46)</f>
        <v>0</v>
      </c>
      <c r="E36" s="145">
        <f t="shared" si="1"/>
        <v>0</v>
      </c>
      <c r="F36" s="144" t="e">
        <f ca="1">+SUMIF('AGUILAR ESQUIVEL CARLOS'!P$40:P$46,'KM POR UNIDAD'!A36,'AGUILAR ESQUIVEL CARLOS'!W$40:W$46)+SUMIF('AGUILAR RODRIGUEZ JORGE ALONSO'!P$40:P$46,'KM POR UNIDAD'!A36,'AGUILAR RODRIGUEZ JORGE ALONSO'!W$40:W$46)+SUMIF('REYES LARA DANTE'!T$40:T$46,'KM POR UNIDAD'!A36,'REYES LARA DANTE'!Y$40:Y$46)+SUMIF('RAMIREZ BAUTISTA ADRIAN'!T$40:T$46,'KM POR UNIDAD'!A36,'RAMIREZ BAUTISTA ADRIAN'!Y$40:Y$46)+SUMIF('FLORES BOJORQUEZ BRYAN OVED'!T$40:T$46,'KM POR UNIDAD'!A36,'FLORES BOJORQUEZ BRYAN OVED'!Y$40:Y$46)+SUMIF('BALDERRAMA ROBLES JORGE'!T$40:T$46,'KM POR UNIDAD'!A36,'BALDERRAMA ROBLES JORGE'!#REF!)+SUMIF('BURGOS TORRES RIGOBERTO'!T$39:T$45,'KM POR UNIDAD'!A36,'BURGOS TORRES RIGOBERTO'!Y$39:Y$45)+SUMIF('CORDOVA URIBE JOSE  ADRIAN'!T$40:T$46,'KM POR UNIDAD'!E36,'CORDOVA URIBE JOSE  ADRIAN'!Y$40:Y$46)+SUMIF('GUZMAN CHAPARRO PEDRO'!T$40:T$46,'KM POR UNIDAD'!E36,'GUZMAN CHAPARRO PEDRO'!Y$40:Y$46)+SUMIF('HERNANDEZ LICANO JOSE LUIS'!T$40:T$46,'KM POR UNIDAD'!E36,'HERNANDEZ LICANO JOSE LUIS'!#REF!)+SUMIF('CARRERA REYES MARTIN SEBASTIAN'!T$41:T$47,'KM POR UNIDAD'!E36,'CARRERA REYES MARTIN SEBASTIAN'!Y$41:Y$47)+SUMIF('RUIZ SAUCEDO DANIEL ALEJANDRO'!T$40:T$46,'KM POR UNIDAD'!E36,'RUIZ SAUCEDO DANIEL ALEJANDRO'!Y$40:Y$46)+SUMIF('MARTINEZ RAMIREZ ROSALIO'!T$40:T$46,'KM POR UNIDAD'!E36,'MARTINEZ RAMIREZ ROSALIO'!Y$40:Y$46)+SUMIF('BALLEZA RAMIREZ JESUS JOSE'!T$40:T$46,'KM POR UNIDAD'!E36,'BALLEZA RAMIREZ JESUS JOSE'!T$176:T$180)+SUMIF('MONTERO BURROLA LUIS'!T$38:T$44,'KM POR UNIDAD'!E36,'MONTERO BURROLA LUIS'!Y$38:Y$44)+SUMIF('AGUILERA CONTRERAS LUIS GERARDO'!T$41:T$47,'KM POR UNIDAD'!E36,'AGUILERA CONTRERAS LUIS GERARDO'!Y$41:Y$47)+SUMIF('MORALES LOPEZ DE LARA MARIANO'!T$40:T$46,'KM POR UNIDAD'!E36,'MORALES LOPEZ DE LARA MARIANO'!Y$40:Y$46)+SUMIF('MELENDEZ SINALOA MANUEL ARAT'!T$40:T$46,'KM POR UNIDAD'!E36,'MELENDEZ SINALOA MANUEL ARAT'!#REF!)+SUMIF('MORALES LECHUGA GONZALO'!T$40:T$46,'KM POR UNIDAD'!E36,'MORALES LECHUGA GONZALO'!Y$40:Y$46)+SUMIF('ORONA BECERRA MAURO JOSE'!T$40:T$46,'KM POR UNIDAD'!E36,'ORONA BECERRA MAURO JOSE'!Y$40:Y$46)+SUMIF('VALLES HERNANDEZ MANUEL MARCELI'!T$39:T$45,'KM POR UNIDAD'!E36,'VALLES HERNANDEZ MANUEL MARCELI'!Y$39:Y$45)+SUMIF('ORTIZ RAMIREZ HECTOR MANUEL'!T$40:T$46,'KM POR UNIDAD'!E36,'ORTIZ RAMIREZ HECTOR MANUEL'!Y$40:Y$46)+SUMIF('ONTIVEROS LIRA JUAN'!T$40:T$46,'KM POR UNIDAD'!E36,'ONTIVEROS LIRA JUAN'!Y$40:Y$46)+SUMIF('RODRIGUEZ FLORES BRYAN DARIO'!T$40:T$46,'KM POR UNIDAD'!E36,'RODRIGUEZ FLORES BRYAN DARIO'!Y$40:Y$46)+SUMIF('NUÑEZ RUIZ IRVING JAVIER.'!T$42:T$48,'KM POR UNIDAD'!E36,'NUÑEZ RUIZ IRVING JAVIER.'!Y$42:Y$48)+SUMIF('MACHADO MAZUCA ADOLFO'!T$40:T$46,'KM POR UNIDAD'!E36,'MACHADO MAZUCA ADOLFO'!Y$40:Y$46)+SUMIF('LIRA ARCEO JOEL EDUARDO'!T$40:T$46,'KM POR UNIDAD'!E36,'LIRA ARCEO JOEL EDUARDO'!Y$41:Y$46)+SUMIF('ANCHONDO ROMERO CESAR ALEJANDRO'!T$40:T$46,'KM POR UNIDAD'!E36,'ANCHONDO ROMERO CESAR ALEJANDRO'!Y$40:Y$46)</f>
        <v>#REF!</v>
      </c>
      <c r="G36" s="146"/>
    </row>
    <row r="37" spans="1:7" x14ac:dyDescent="0.25">
      <c r="A37" s="143" t="s">
        <v>318</v>
      </c>
      <c r="B37" s="144">
        <f>+SUMIF('AGUILAR ESQUIVEL CARLOS'!P$40:P$46,'KM POR UNIDAD'!A37,'AGUILAR ESQUIVEL CARLOS'!U$40:U$46)+SUMIF('AGUILAR RODRIGUEZ JORGE ALONSO'!P$40:P$46,'KM POR UNIDAD'!A37,'AGUILAR RODRIGUEZ JORGE ALONSO'!U$40:U$46)+SUMIF('REYES LARA DANTE'!P$40:P$46,'KM POR UNIDAD'!A37,'REYES LARA DANTE'!U$40:U$46)+SUMIF('RAMIREZ BAUTISTA ADRIAN'!P$40:P$46,'KM POR UNIDAD'!A37,'RAMIREZ BAUTISTA ADRIAN'!U$40:U$46)+SUMIF('FLORES BOJORQUEZ BRYAN OVED'!P$40:P$46,'KM POR UNIDAD'!A37,'FLORES BOJORQUEZ BRYAN OVED'!U$40:U$46)+SUMIF('BALDERRAMA ROBLES JORGE'!P$40:P$46,'KM POR UNIDAD'!A37,'BALDERRAMA ROBLES JORGE'!U$40:U$46)+SUMIF('BURGOS TORRES RIGOBERTO'!P$39:P$45,'KM POR UNIDAD'!A37,'BURGOS TORRES RIGOBERTO'!U$39:U$45)+SUMIF('CORDOVA URIBE JOSE  ADRIAN'!P$40:P$46,'KM POR UNIDAD'!A37,'CORDOVA URIBE JOSE  ADRIAN'!U$40:U$46)+SUMIF('GUZMAN CHAPARRO PEDRO'!P$40:P$46,'KM POR UNIDAD'!A37,'GUZMAN CHAPARRO PEDRO'!U$40:U$46)+SUMIF('HERNANDEZ LICANO JOSE LUIS'!P$40:P$46,'KM POR UNIDAD'!A37,'HERNANDEZ LICANO JOSE LUIS'!U$40:U$46)+SUMIF('CARRERA REYES MARTIN SEBASTIAN'!P$41:P$47,'KM POR UNIDAD'!A37,'CARRERA REYES MARTIN SEBASTIAN'!U$41:U$47)+SUMIF('RUIZ SAUCEDO DANIEL ALEJANDRO'!P$40:P$46,'KM POR UNIDAD'!A37,'RUIZ SAUCEDO DANIEL ALEJANDRO'!U$40:U$46)+SUMIF('MARTINEZ RAMIREZ ROSALIO'!P$40:P$46,'KM POR UNIDAD'!A37,'MARTINEZ RAMIREZ ROSALIO'!U$40:U$46)+SUMIF('BALLEZA RAMIREZ JESUS JOSE'!P$40:P$46,'KM POR UNIDAD'!A37,'BALLEZA RAMIREZ JESUS JOSE'!U$40:U$46)+SUMIF('MONTERO BURROLA LUIS'!P$38:P$44,'KM POR UNIDAD'!A37,'MONTERO BURROLA LUIS'!U$38:U$44)+SUMIF('AGUILERA CONTRERAS LUIS GERARDO'!P$41:P$47,'KM POR UNIDAD'!A37,'AGUILERA CONTRERAS LUIS GERARDO'!U$41:U$47)+SUMIF('MORALES LOPEZ DE LARA MARIANO'!P$40:P$46,'KM POR UNIDAD'!A37,'MORALES LOPEZ DE LARA MARIANO'!U$40:U$46)+SUMIF('MELENDEZ SINALOA MANUEL ARAT'!P$40:P$46,'KM POR UNIDAD'!A37,'MELENDEZ SINALOA MANUEL ARAT'!U$40:U$46)+SUMIF('MORALES LECHUGA GONZALO'!P$40:P$46,'KM POR UNIDAD'!A37,'MORALES LECHUGA GONZALO'!U$40:U$46)+SUMIF('ORONA BECERRA MAURO JOSE'!P$40:P$46,'KM POR UNIDAD'!A37,'ORONA BECERRA MAURO JOSE'!U$40:U$46)+SUMIF('VALLES HERNANDEZ MANUEL MARCELI'!P$39:P$45,'KM POR UNIDAD'!A37,'VALLES HERNANDEZ MANUEL MARCELI'!U$39:U$45)+SUMIF('ORTIZ RAMIREZ HECTOR MANUEL'!P$40:P$46,'KM POR UNIDAD'!A37,'ORTIZ RAMIREZ HECTOR MANUEL'!U$40:U$46)+SUMIF('ONTIVEROS LIRA JUAN'!P$40:P$46,'KM POR UNIDAD'!A37,'ONTIVEROS LIRA JUAN'!U$40:U$46)+SUMIF('RODRIGUEZ FLORES BRYAN DARIO'!P$40:P$46,'KM POR UNIDAD'!A37,'RODRIGUEZ FLORES BRYAN DARIO'!U$40:U$46)+SUMIF('NUÑEZ RUIZ IRVING JAVIER.'!P$42:P$48,'KM POR UNIDAD'!A37,'NUÑEZ RUIZ IRVING JAVIER.'!U$42:U$48)+SUMIF('MACHADO MAZUCA ADOLFO'!P$40:P$46,'KM POR UNIDAD'!A37,'MACHADO MAZUCA ADOLFO'!U$40:U$46)+SUMIF('LIRA ARCEO JOEL EDUARDO'!P$40:P$46,'KM POR UNIDAD'!A37,'LIRA ARCEO JOEL EDUARDO'!U$40:U$46)+SUMIF('ANCHONDO ROMERO CESAR ALEJANDRO'!P$40:P$46,'KM POR UNIDAD'!A37,'ANCHONDO ROMERO CESAR ALEJANDRO'!U$40:U$46)</f>
        <v>2370</v>
      </c>
      <c r="C37" s="150">
        <f ca="1">+SUMIF('AGUILAR ESQUIVEL CARLOS'!P$40:P$46,'KM POR UNIDAD'!A37,'AGUILAR ESQUIVEL CARLOS'!T$40:T$46)+SUMIF('AGUILAR RODRIGUEZ JORGE ALONSO'!P$40:P$46,'KM POR UNIDAD'!A37,'AGUILAR RODRIGUEZ JORGE ALONSO'!T$40:T$46)+SUMIF('REYES LARA DANTE'!P$40:P$46,'KM POR UNIDAD'!A37,'REYES LARA DANTE'!T$40:T$46)+SUMIF('RAMIREZ BAUTISTA ADRIAN'!P$40:P$46,'KM POR UNIDAD'!A37,'RAMIREZ BAUTISTA ADRIAN'!T$40:T$46)+SUMIF('FLORES BOJORQUEZ BRYAN OVED'!P$40:P$46,'KM POR UNIDAD'!A37,'FLORES BOJORQUEZ BRYAN OVED'!T$40:T$46)+SUMIF('BALDERRAMA ROBLES JORGE'!P$40:P$46,'KM POR UNIDAD'!A37,'BALDERRAMA ROBLES JORGE'!T$40:T$46)+SUMIF('BURGOS TORRES RIGOBERTO'!P$39:P$45,'KM POR UNIDAD'!A37,'BURGOS TORRES RIGOBERTO'!T$39:T$45)+SUMIF('CORDOVA URIBE JOSE  ADRIAN'!P$40:P$46,'KM POR UNIDAD'!A37,'CORDOVA URIBE JOSE  ADRIAN'!T$40:T$46)+SUMIF('GUZMAN CHAPARRO PEDRO'!P$40:P$46,'KM POR UNIDAD'!A37,'GUZMAN CHAPARRO PEDRO'!T$40:T$46)+SUMIF('HERNANDEZ LICANO JOSE LUIS'!P$40:P$46,'KM POR UNIDAD'!A37,'HERNANDEZ LICANO JOSE LUIS'!T$40:T$46)+SUMIF('CARRERA REYES MARTIN SEBASTIAN'!P$41:P$47,'KM POR UNIDAD'!A37,'CARRERA REYES MARTIN SEBASTIAN'!T$41:T$47)+SUMIF('RUIZ SAUCEDO DANIEL ALEJANDRO'!P$40:P$46,'KM POR UNIDAD'!A37,'RUIZ SAUCEDO DANIEL ALEJANDRO'!T$40:T$46)+SUMIF('MARTINEZ RAMIREZ ROSALIO'!P$40:P$46,'KM POR UNIDAD'!A37,'MARTINEZ RAMIREZ ROSALIO'!T$40:T$46)+SUMIF('BALLEZA RAMIREZ JESUS JOSE'!P$40:P$46,'KM POR UNIDAD'!A37,'BALLEZA RAMIREZ JESUS JOSE'!T$40:T$46)+SUMIF('MONTERO BURROLA LUIS'!P$38:P$44,'KM POR UNIDAD'!A37,'MONTERO BURROLA LUIS'!T$38:T$44)+SUMIF('AGUILERA CONTRERAS LUIS GERARDO'!P$41:P$47,'KM POR UNIDAD'!A37,'AGUILERA CONTRERAS LUIS GERARDO'!T$41:T$47)+SUMIF('MORALES LOPEZ DE LARA MARIANO'!P$40:P$46,'KM POR UNIDAD'!A37,'MORALES LOPEZ DE LARA MARIANO'!T$40:T$46)+SUMIF('MELENDEZ SINALOA MANUEL ARAT'!P$40:P$46,'KM POR UNIDAD'!A37,'MELENDEZ SINALOA MANUEL ARAT'!T$40:T$46)+SUMIF('MORALES LECHUGA GONZALO'!P$40:P$46,'KM POR UNIDAD'!A37,'MORALES LECHUGA GONZALO'!T$40:T$46)+SUMIF('ORONA BECERRA MAURO JOSE'!P$40:P$46,'KM POR UNIDAD'!A37,'ORONA BECERRA MAURO JOSE'!T$40:T$46)+SUMIF('VALLES HERNANDEZ MANUEL MARCELI'!P$39:P$45,'KM POR UNIDAD'!A37,'VALLES HERNANDEZ MANUEL MARCELI'!T$39:T$45)+SUMIF('ORTIZ RAMIREZ HECTOR MANUEL'!P$40:P$46,'KM POR UNIDAD'!A37,'ORTIZ RAMIREZ HECTOR MANUEL'!T$40:T$46)+SUMIF('ONTIVEROS LIRA JUAN'!P$40:P$446,'KM POR UNIDAD'!A37,'ONTIVEROS LIRA JUAN'!T$40:T$46)+SUMIF('RODRIGUEZ FLORES BRYAN DARIO'!P$40:P$46,'KM POR UNIDAD'!A37,'RODRIGUEZ FLORES BRYAN DARIO'!T$40:T$46)+SUMIF('NUÑEZ RUIZ IRVING JAVIER.'!P$42:P$48,'KM POR UNIDAD'!A37,'NUÑEZ RUIZ IRVING JAVIER.'!T$42:T$48)+SUMIF('MACHADO MAZUCA ADOLFO'!P$40:P$46,'KM POR UNIDAD'!A37,'MACHADO MAZUCA ADOLFO'!T$40:T$46)+SUMIF('LIRA ARCEO JOEL EDUARDO'!P$40:P$46,'KM POR UNIDAD'!A37,'LIRA ARCEO JOEL EDUARDO'!T$40:T$46)+SUMIF('ANCHONDO ROMERO CESAR ALEJANDRO'!P$40:P$46,'KM POR UNIDAD'!A37,'ANCHONDO ROMERO CESAR ALEJANDRO'!T$40:T$46)</f>
        <v>2356</v>
      </c>
      <c r="D37" s="150">
        <f>+SUMIF('AGUILAR ESQUIVEL CARLOS'!P$40:P$46,'KM POR UNIDAD'!A37,'AGUILAR ESQUIVEL CARLOS'!V$40:V$46)+SUMIF('AGUILAR RODRIGUEZ JORGE ALONSO'!P$40:P$46,'KM POR UNIDAD'!A37,'AGUILAR RODRIGUEZ JORGE ALONSO'!V$40:V$46)+SUMIF('REYES LARA DANTE'!P$40:P$46,'KM POR UNIDAD'!A37,'REYES LARA DANTE'!V$40:V$46)+SUMIF('RAMIREZ BAUTISTA ADRIAN'!P$40:P$46,'KM POR UNIDAD'!A37,'RAMIREZ BAUTISTA ADRIAN'!V$40:V$46)+SUMIF('FLORES BOJORQUEZ BRYAN OVED'!P$40:P$46,'KM POR UNIDAD'!A37,'FLORES BOJORQUEZ BRYAN OVED'!V$40:V$46)+SUMIF('BALDERRAMA ROBLES JORGE'!P$40:P$46,'KM POR UNIDAD'!A37,'BALDERRAMA ROBLES JORGE'!V$40:V$46)+SUMIF('BURGOS TORRES RIGOBERTO'!P$39:P$45,'KM POR UNIDAD'!A37,'BURGOS TORRES RIGOBERTO'!V$39:V$45)+SUMIF('CORDOVA URIBE JOSE  ADRIAN'!P$40:P$46,'KM POR UNIDAD'!A37,'CORDOVA URIBE JOSE  ADRIAN'!V$40:V$46)+SUMIF('GUZMAN CHAPARRO PEDRO'!P$40:P$46,'KM POR UNIDAD'!A37,'GUZMAN CHAPARRO PEDRO'!V$40:V$46)+SUMIF('HERNANDEZ LICANO JOSE LUIS'!P$40:P$46,'KM POR UNIDAD'!A37,'HERNANDEZ LICANO JOSE LUIS'!V$40:V$46)+SUMIF('CARRERA REYES MARTIN SEBASTIAN'!P$41:P$47,'KM POR UNIDAD'!A37,'CARRERA REYES MARTIN SEBASTIAN'!V$41:V$47)+SUMIF('RUIZ SAUCEDO DANIEL ALEJANDRO'!P$40:P$46,'KM POR UNIDAD'!A37,'RUIZ SAUCEDO DANIEL ALEJANDRO'!V$40:V$46)+SUMIF('MARTINEZ RAMIREZ ROSALIO'!P$40:P$46,'KM POR UNIDAD'!A37,'MARTINEZ RAMIREZ ROSALIO'!V$40:V$46)+SUMIF('BALLEZA RAMIREZ JESUS JOSE'!P$40:P$46,'KM POR UNIDAD'!A37,'BALLEZA RAMIREZ JESUS JOSE'!V$40:V$46)+SUMIF('MONTERO BURROLA LUIS'!P$38:P$44,'KM POR UNIDAD'!A37,'MONTERO BURROLA LUIS'!V$38:V$44)+SUMIF('AGUILERA CONTRERAS LUIS GERARDO'!P$41:P$47,'KM POR UNIDAD'!A37,'AGUILERA CONTRERAS LUIS GERARDO'!V$41:V$47)+SUMIF('MORALES LOPEZ DE LARA MARIANO'!P$40:P$46,'KM POR UNIDAD'!A37,'MORALES LOPEZ DE LARA MARIANO'!V$40:V$46)+SUMIF('MELENDEZ SINALOA MANUEL ARAT'!P$40:P$46,'KM POR UNIDAD'!A37,'MELENDEZ SINALOA MANUEL ARAT'!V$40:V$46)+SUMIF('MORALES LECHUGA GONZALO'!P$40:P$46,'KM POR UNIDAD'!A37,'MORALES LECHUGA GONZALO'!V$40:V$46)+SUMIF('ORONA BECERRA MAURO JOSE'!P$40:P$46,'KM POR UNIDAD'!A37,'ORONA BECERRA MAURO JOSE'!V$40:V$46)+SUMIF('VALLES HERNANDEZ MANUEL MARCELI'!P$39:P$45,'KM POR UNIDAD'!A37,'VALLES HERNANDEZ MANUEL MARCELI'!V$39:V$45)+SUMIF('ORTIZ RAMIREZ HECTOR MANUEL'!P$40:P$46,'KM POR UNIDAD'!A37,'ORTIZ RAMIREZ HECTOR MANUEL'!V$40:V$46)+SUMIF('ONTIVEROS LIRA JUAN'!P$40:P$46,'KM POR UNIDAD'!A37,'ONTIVEROS LIRA JUAN'!V$40:V$46)+SUMIF('RODRIGUEZ FLORES BRYAN DARIO'!P$40:P$46,'KM POR UNIDAD'!A37,'RODRIGUEZ FLORES BRYAN DARIO'!V$40:V$46)+SUMIF('NUÑEZ RUIZ IRVING JAVIER.'!P$42:P$48,'KM POR UNIDAD'!A37,'NUÑEZ RUIZ IRVING JAVIER.'!V$42:V$48)+SUMIF('MACHADO MAZUCA ADOLFO'!P$40:P$46,'KM POR UNIDAD'!A37,'MACHADO MAZUCA ADOLFO'!V$40:V$46)+SUMIF('LIRA ARCEO JOEL EDUARDO'!P$40:P$46,'KM POR UNIDAD'!A37,'LIRA ARCEO JOEL EDUARDO'!V$40:V$46)+SUMIF('ANCHONDO ROMERO CESAR ALEJANDRO'!P$40:P$46,'KM POR UNIDAD'!A37,'ANCHONDO ROMERO CESAR ALEJANDRO'!V$40:V$46)</f>
        <v>680</v>
      </c>
      <c r="E37" s="145">
        <f t="shared" si="0"/>
        <v>3.4852941176470589</v>
      </c>
      <c r="F37" s="144" t="e">
        <f ca="1">+SUMIF('AGUILAR ESQUIVEL CARLOS'!P$40:P$46,'KM POR UNIDAD'!A37,'AGUILAR ESQUIVEL CARLOS'!W$40:W$46)+SUMIF('AGUILAR RODRIGUEZ JORGE ALONSO'!P$40:P$46,'KM POR UNIDAD'!A37,'AGUILAR RODRIGUEZ JORGE ALONSO'!W$40:W$46)+SUMIF('REYES LARA DANTE'!T$40:T$46,'KM POR UNIDAD'!A37,'REYES LARA DANTE'!Y$40:Y$46)+SUMIF('RAMIREZ BAUTISTA ADRIAN'!T$40:T$46,'KM POR UNIDAD'!A37,'RAMIREZ BAUTISTA ADRIAN'!Y$40:Y$46)+SUMIF('FLORES BOJORQUEZ BRYAN OVED'!T$40:T$46,'KM POR UNIDAD'!A37,'FLORES BOJORQUEZ BRYAN OVED'!Y$40:Y$46)+SUMIF('BALDERRAMA ROBLES JORGE'!T$40:T$46,'KM POR UNIDAD'!A37,'BALDERRAMA ROBLES JORGE'!#REF!)+SUMIF('BURGOS TORRES RIGOBERTO'!T$39:T$45,'KM POR UNIDAD'!A37,'BURGOS TORRES RIGOBERTO'!Y$39:Y$45)+SUMIF('CORDOVA URIBE JOSE  ADRIAN'!T$40:T$46,'KM POR UNIDAD'!E37,'CORDOVA URIBE JOSE  ADRIAN'!Y$40:Y$46)+SUMIF('GUZMAN CHAPARRO PEDRO'!T$40:T$46,'KM POR UNIDAD'!E37,'GUZMAN CHAPARRO PEDRO'!Y$40:Y$46)+SUMIF('HERNANDEZ LICANO JOSE LUIS'!T$40:T$46,'KM POR UNIDAD'!E37,'HERNANDEZ LICANO JOSE LUIS'!#REF!)+SUMIF('CARRERA REYES MARTIN SEBASTIAN'!T$41:T$47,'KM POR UNIDAD'!E37,'CARRERA REYES MARTIN SEBASTIAN'!Y$41:Y$47)+SUMIF('RUIZ SAUCEDO DANIEL ALEJANDRO'!T$40:T$46,'KM POR UNIDAD'!E37,'RUIZ SAUCEDO DANIEL ALEJANDRO'!Y$40:Y$46)+SUMIF('MARTINEZ RAMIREZ ROSALIO'!T$40:T$46,'KM POR UNIDAD'!E37,'MARTINEZ RAMIREZ ROSALIO'!Y$40:Y$46)+SUMIF('BALLEZA RAMIREZ JESUS JOSE'!T$40:T$46,'KM POR UNIDAD'!E37,'BALLEZA RAMIREZ JESUS JOSE'!T$176:T$180)+SUMIF('MONTERO BURROLA LUIS'!T$38:T$44,'KM POR UNIDAD'!E37,'MONTERO BURROLA LUIS'!Y$38:Y$44)+SUMIF('AGUILERA CONTRERAS LUIS GERARDO'!T$41:T$47,'KM POR UNIDAD'!E37,'AGUILERA CONTRERAS LUIS GERARDO'!Y$41:Y$47)+SUMIF('MORALES LOPEZ DE LARA MARIANO'!T$40:T$46,'KM POR UNIDAD'!E37,'MORALES LOPEZ DE LARA MARIANO'!Y$40:Y$46)+SUMIF('MELENDEZ SINALOA MANUEL ARAT'!T$40:T$46,'KM POR UNIDAD'!E37,'MELENDEZ SINALOA MANUEL ARAT'!#REF!)+SUMIF('MORALES LECHUGA GONZALO'!T$40:T$46,'KM POR UNIDAD'!E37,'MORALES LECHUGA GONZALO'!Y$40:Y$46)+SUMIF('ORONA BECERRA MAURO JOSE'!T$40:T$46,'KM POR UNIDAD'!E37,'ORONA BECERRA MAURO JOSE'!Y$40:Y$46)+SUMIF('VALLES HERNANDEZ MANUEL MARCELI'!T$39:T$45,'KM POR UNIDAD'!E37,'VALLES HERNANDEZ MANUEL MARCELI'!Y$39:Y$45)+SUMIF('ORTIZ RAMIREZ HECTOR MANUEL'!T$40:T$46,'KM POR UNIDAD'!E37,'ORTIZ RAMIREZ HECTOR MANUEL'!Y$40:Y$46)+SUMIF('ONTIVEROS LIRA JUAN'!T$40:T$46,'KM POR UNIDAD'!E37,'ONTIVEROS LIRA JUAN'!Y$40:Y$46)+SUMIF('RODRIGUEZ FLORES BRYAN DARIO'!T$40:T$46,'KM POR UNIDAD'!E37,'RODRIGUEZ FLORES BRYAN DARIO'!Y$40:Y$46)+SUMIF('NUÑEZ RUIZ IRVING JAVIER.'!T$42:T$48,'KM POR UNIDAD'!E37,'NUÑEZ RUIZ IRVING JAVIER.'!Y$42:Y$48)+SUMIF('MACHADO MAZUCA ADOLFO'!T$40:T$46,'KM POR UNIDAD'!E37,'MACHADO MAZUCA ADOLFO'!Y$40:Y$46)+SUMIF('LIRA ARCEO JOEL EDUARDO'!T$40:T$46,'KM POR UNIDAD'!E37,'LIRA ARCEO JOEL EDUARDO'!Y$41:Y$46)+SUMIF('ANCHONDO ROMERO CESAR ALEJANDRO'!T$40:T$46,'KM POR UNIDAD'!E37,'ANCHONDO ROMERO CESAR ALEJANDRO'!Y$40:Y$46)</f>
        <v>#REF!</v>
      </c>
      <c r="G37" s="146"/>
    </row>
    <row r="38" spans="1:7" x14ac:dyDescent="0.25">
      <c r="A38" s="143" t="s">
        <v>134</v>
      </c>
      <c r="B38" s="144">
        <f>+SUMIF('AGUILAR ESQUIVEL CARLOS'!P$40:P$46,'KM POR UNIDAD'!A38,'AGUILAR ESQUIVEL CARLOS'!U$40:U$46)+SUMIF('AGUILAR RODRIGUEZ JORGE ALONSO'!P$40:P$46,'KM POR UNIDAD'!A38,'AGUILAR RODRIGUEZ JORGE ALONSO'!U$40:U$46)+SUMIF('REYES LARA DANTE'!P$40:P$46,'KM POR UNIDAD'!A38,'REYES LARA DANTE'!U$40:U$46)+SUMIF('RAMIREZ BAUTISTA ADRIAN'!P$40:P$46,'KM POR UNIDAD'!A38,'RAMIREZ BAUTISTA ADRIAN'!U$40:U$46)+SUMIF('FLORES BOJORQUEZ BRYAN OVED'!P$40:P$46,'KM POR UNIDAD'!A38,'FLORES BOJORQUEZ BRYAN OVED'!U$40:U$46)+SUMIF('BALDERRAMA ROBLES JORGE'!P$40:P$46,'KM POR UNIDAD'!A38,'BALDERRAMA ROBLES JORGE'!U$40:U$46)+SUMIF('BURGOS TORRES RIGOBERTO'!P$39:P$45,'KM POR UNIDAD'!A38,'BURGOS TORRES RIGOBERTO'!U$39:U$45)+SUMIF('CORDOVA URIBE JOSE  ADRIAN'!P$40:P$46,'KM POR UNIDAD'!A38,'CORDOVA URIBE JOSE  ADRIAN'!U$40:U$46)+SUMIF('GUZMAN CHAPARRO PEDRO'!P$40:P$46,'KM POR UNIDAD'!A38,'GUZMAN CHAPARRO PEDRO'!U$40:U$46)+SUMIF('HERNANDEZ LICANO JOSE LUIS'!P$40:P$46,'KM POR UNIDAD'!A38,'HERNANDEZ LICANO JOSE LUIS'!U$40:U$46)+SUMIF('CARRERA REYES MARTIN SEBASTIAN'!P$41:P$47,'KM POR UNIDAD'!A38,'CARRERA REYES MARTIN SEBASTIAN'!U$41:U$47)+SUMIF('RUIZ SAUCEDO DANIEL ALEJANDRO'!P$40:P$46,'KM POR UNIDAD'!A38,'RUIZ SAUCEDO DANIEL ALEJANDRO'!U$40:U$46)+SUMIF('MARTINEZ RAMIREZ ROSALIO'!P$40:P$46,'KM POR UNIDAD'!A38,'MARTINEZ RAMIREZ ROSALIO'!U$40:U$46)+SUMIF('BALLEZA RAMIREZ JESUS JOSE'!P$40:P$46,'KM POR UNIDAD'!A38,'BALLEZA RAMIREZ JESUS JOSE'!U$40:U$46)+SUMIF('MONTERO BURROLA LUIS'!P$38:P$44,'KM POR UNIDAD'!A38,'MONTERO BURROLA LUIS'!U$38:U$44)+SUMIF('AGUILERA CONTRERAS LUIS GERARDO'!P$41:P$47,'KM POR UNIDAD'!A38,'AGUILERA CONTRERAS LUIS GERARDO'!U$41:U$47)+SUMIF('MORALES LOPEZ DE LARA MARIANO'!P$40:P$46,'KM POR UNIDAD'!A38,'MORALES LOPEZ DE LARA MARIANO'!U$40:U$46)+SUMIF('MELENDEZ SINALOA MANUEL ARAT'!P$40:P$46,'KM POR UNIDAD'!A38,'MELENDEZ SINALOA MANUEL ARAT'!U$40:U$46)+SUMIF('MORALES LECHUGA GONZALO'!P$40:P$46,'KM POR UNIDAD'!A38,'MORALES LECHUGA GONZALO'!U$40:U$46)+SUMIF('ORONA BECERRA MAURO JOSE'!P$40:P$46,'KM POR UNIDAD'!A38,'ORONA BECERRA MAURO JOSE'!U$40:U$46)+SUMIF('VALLES HERNANDEZ MANUEL MARCELI'!P$39:P$45,'KM POR UNIDAD'!A38,'VALLES HERNANDEZ MANUEL MARCELI'!U$39:U$45)+SUMIF('ORTIZ RAMIREZ HECTOR MANUEL'!P$40:P$46,'KM POR UNIDAD'!A38,'ORTIZ RAMIREZ HECTOR MANUEL'!U$40:U$46)+SUMIF('ONTIVEROS LIRA JUAN'!P$40:P$46,'KM POR UNIDAD'!A38,'ONTIVEROS LIRA JUAN'!U$40:U$46)+SUMIF('RODRIGUEZ FLORES BRYAN DARIO'!P$40:P$46,'KM POR UNIDAD'!A38,'RODRIGUEZ FLORES BRYAN DARIO'!U$40:U$46)+SUMIF('NUÑEZ RUIZ IRVING JAVIER.'!P$42:P$48,'KM POR UNIDAD'!A38,'NUÑEZ RUIZ IRVING JAVIER.'!U$42:U$48)+SUMIF('MACHADO MAZUCA ADOLFO'!P$40:P$46,'KM POR UNIDAD'!A38,'MACHADO MAZUCA ADOLFO'!U$40:U$46)+SUMIF('LIRA ARCEO JOEL EDUARDO'!P$40:P$46,'KM POR UNIDAD'!A38,'LIRA ARCEO JOEL EDUARDO'!U$40:U$46)+SUMIF('ANCHONDO ROMERO CESAR ALEJANDRO'!P$40:P$46,'KM POR UNIDAD'!A38,'ANCHONDO ROMERO CESAR ALEJANDRO'!U$40:U$46)</f>
        <v>0</v>
      </c>
      <c r="C38" s="150">
        <f ca="1">+SUMIF('AGUILAR ESQUIVEL CARLOS'!P$40:P$46,'KM POR UNIDAD'!A38,'AGUILAR ESQUIVEL CARLOS'!T$40:T$46)+SUMIF('AGUILAR RODRIGUEZ JORGE ALONSO'!P$40:P$46,'KM POR UNIDAD'!A38,'AGUILAR RODRIGUEZ JORGE ALONSO'!T$40:T$46)+SUMIF('REYES LARA DANTE'!P$40:P$46,'KM POR UNIDAD'!A38,'REYES LARA DANTE'!T$40:T$46)+SUMIF('RAMIREZ BAUTISTA ADRIAN'!P$40:P$46,'KM POR UNIDAD'!A38,'RAMIREZ BAUTISTA ADRIAN'!T$40:T$46)+SUMIF('FLORES BOJORQUEZ BRYAN OVED'!P$40:P$46,'KM POR UNIDAD'!A38,'FLORES BOJORQUEZ BRYAN OVED'!T$40:T$46)+SUMIF('BALDERRAMA ROBLES JORGE'!P$40:P$46,'KM POR UNIDAD'!A38,'BALDERRAMA ROBLES JORGE'!T$40:T$46)+SUMIF('BURGOS TORRES RIGOBERTO'!P$39:P$45,'KM POR UNIDAD'!A38,'BURGOS TORRES RIGOBERTO'!T$39:T$45)+SUMIF('CORDOVA URIBE JOSE  ADRIAN'!P$40:P$46,'KM POR UNIDAD'!A38,'CORDOVA URIBE JOSE  ADRIAN'!T$40:T$46)+SUMIF('GUZMAN CHAPARRO PEDRO'!P$40:P$46,'KM POR UNIDAD'!A38,'GUZMAN CHAPARRO PEDRO'!T$40:T$46)+SUMIF('HERNANDEZ LICANO JOSE LUIS'!P$40:P$46,'KM POR UNIDAD'!A38,'HERNANDEZ LICANO JOSE LUIS'!T$40:T$46)+SUMIF('CARRERA REYES MARTIN SEBASTIAN'!P$41:P$47,'KM POR UNIDAD'!A38,'CARRERA REYES MARTIN SEBASTIAN'!T$41:T$47)+SUMIF('RUIZ SAUCEDO DANIEL ALEJANDRO'!P$40:P$46,'KM POR UNIDAD'!A38,'RUIZ SAUCEDO DANIEL ALEJANDRO'!T$40:T$46)+SUMIF('MARTINEZ RAMIREZ ROSALIO'!P$40:P$46,'KM POR UNIDAD'!A38,'MARTINEZ RAMIREZ ROSALIO'!T$40:T$46)+SUMIF('BALLEZA RAMIREZ JESUS JOSE'!P$40:P$46,'KM POR UNIDAD'!A38,'BALLEZA RAMIREZ JESUS JOSE'!T$40:T$46)+SUMIF('MONTERO BURROLA LUIS'!P$38:P$44,'KM POR UNIDAD'!A38,'MONTERO BURROLA LUIS'!T$38:T$44)+SUMIF('AGUILERA CONTRERAS LUIS GERARDO'!P$41:P$47,'KM POR UNIDAD'!A38,'AGUILERA CONTRERAS LUIS GERARDO'!T$41:T$47)+SUMIF('MORALES LOPEZ DE LARA MARIANO'!P$40:P$46,'KM POR UNIDAD'!A38,'MORALES LOPEZ DE LARA MARIANO'!T$40:T$46)+SUMIF('MELENDEZ SINALOA MANUEL ARAT'!P$40:P$46,'KM POR UNIDAD'!A38,'MELENDEZ SINALOA MANUEL ARAT'!T$40:T$46)+SUMIF('MORALES LECHUGA GONZALO'!P$40:P$46,'KM POR UNIDAD'!A38,'MORALES LECHUGA GONZALO'!T$40:T$46)+SUMIF('ORONA BECERRA MAURO JOSE'!P$40:P$46,'KM POR UNIDAD'!A38,'ORONA BECERRA MAURO JOSE'!T$40:T$46)+SUMIF('VALLES HERNANDEZ MANUEL MARCELI'!P$39:P$45,'KM POR UNIDAD'!A38,'VALLES HERNANDEZ MANUEL MARCELI'!T$39:T$45)+SUMIF('ORTIZ RAMIREZ HECTOR MANUEL'!P$40:P$46,'KM POR UNIDAD'!A38,'ORTIZ RAMIREZ HECTOR MANUEL'!T$40:T$46)+SUMIF('ONTIVEROS LIRA JUAN'!P$40:P$446,'KM POR UNIDAD'!A38,'ONTIVEROS LIRA JUAN'!T$40:T$46)+SUMIF('RODRIGUEZ FLORES BRYAN DARIO'!P$40:P$46,'KM POR UNIDAD'!A38,'RODRIGUEZ FLORES BRYAN DARIO'!T$40:T$46)+SUMIF('NUÑEZ RUIZ IRVING JAVIER.'!P$42:P$48,'KM POR UNIDAD'!A38,'NUÑEZ RUIZ IRVING JAVIER.'!T$42:T$48)+SUMIF('MACHADO MAZUCA ADOLFO'!P$40:P$46,'KM POR UNIDAD'!A38,'MACHADO MAZUCA ADOLFO'!T$40:T$46)+SUMIF('LIRA ARCEO JOEL EDUARDO'!P$40:P$46,'KM POR UNIDAD'!A38,'LIRA ARCEO JOEL EDUARDO'!T$40:T$46)+SUMIF('ANCHONDO ROMERO CESAR ALEJANDRO'!P$40:P$46,'KM POR UNIDAD'!A38,'ANCHONDO ROMERO CESAR ALEJANDRO'!T$40:T$46)</f>
        <v>0</v>
      </c>
      <c r="D38" s="150">
        <f>+SUMIF('AGUILAR ESQUIVEL CARLOS'!P$40:P$46,'KM POR UNIDAD'!A38,'AGUILAR ESQUIVEL CARLOS'!V$40:V$46)+SUMIF('AGUILAR RODRIGUEZ JORGE ALONSO'!P$40:P$46,'KM POR UNIDAD'!A38,'AGUILAR RODRIGUEZ JORGE ALONSO'!V$40:V$46)+SUMIF('REYES LARA DANTE'!P$40:P$46,'KM POR UNIDAD'!A38,'REYES LARA DANTE'!V$40:V$46)+SUMIF('RAMIREZ BAUTISTA ADRIAN'!P$40:P$46,'KM POR UNIDAD'!A38,'RAMIREZ BAUTISTA ADRIAN'!V$40:V$46)+SUMIF('FLORES BOJORQUEZ BRYAN OVED'!P$40:P$46,'KM POR UNIDAD'!A38,'FLORES BOJORQUEZ BRYAN OVED'!V$40:V$46)+SUMIF('BALDERRAMA ROBLES JORGE'!P$40:P$46,'KM POR UNIDAD'!A38,'BALDERRAMA ROBLES JORGE'!V$40:V$46)+SUMIF('BURGOS TORRES RIGOBERTO'!P$39:P$45,'KM POR UNIDAD'!A38,'BURGOS TORRES RIGOBERTO'!V$39:V$45)+SUMIF('CORDOVA URIBE JOSE  ADRIAN'!P$40:P$46,'KM POR UNIDAD'!A38,'CORDOVA URIBE JOSE  ADRIAN'!V$40:V$46)+SUMIF('GUZMAN CHAPARRO PEDRO'!P$40:P$46,'KM POR UNIDAD'!A38,'GUZMAN CHAPARRO PEDRO'!V$40:V$46)+SUMIF('HERNANDEZ LICANO JOSE LUIS'!P$40:P$46,'KM POR UNIDAD'!A38,'HERNANDEZ LICANO JOSE LUIS'!V$40:V$46)+SUMIF('CARRERA REYES MARTIN SEBASTIAN'!P$41:P$47,'KM POR UNIDAD'!A38,'CARRERA REYES MARTIN SEBASTIAN'!V$41:V$47)+SUMIF('RUIZ SAUCEDO DANIEL ALEJANDRO'!P$40:P$46,'KM POR UNIDAD'!A38,'RUIZ SAUCEDO DANIEL ALEJANDRO'!V$40:V$46)+SUMIF('MARTINEZ RAMIREZ ROSALIO'!P$40:P$46,'KM POR UNIDAD'!A38,'MARTINEZ RAMIREZ ROSALIO'!V$40:V$46)+SUMIF('BALLEZA RAMIREZ JESUS JOSE'!P$40:P$46,'KM POR UNIDAD'!A38,'BALLEZA RAMIREZ JESUS JOSE'!V$40:V$46)+SUMIF('MONTERO BURROLA LUIS'!P$38:P$44,'KM POR UNIDAD'!A38,'MONTERO BURROLA LUIS'!V$38:V$44)+SUMIF('AGUILERA CONTRERAS LUIS GERARDO'!P$41:P$47,'KM POR UNIDAD'!A38,'AGUILERA CONTRERAS LUIS GERARDO'!V$41:V$47)+SUMIF('MORALES LOPEZ DE LARA MARIANO'!P$40:P$46,'KM POR UNIDAD'!A38,'MORALES LOPEZ DE LARA MARIANO'!V$40:V$46)+SUMIF('MELENDEZ SINALOA MANUEL ARAT'!P$40:P$46,'KM POR UNIDAD'!A38,'MELENDEZ SINALOA MANUEL ARAT'!V$40:V$46)+SUMIF('MORALES LECHUGA GONZALO'!P$40:P$46,'KM POR UNIDAD'!A38,'MORALES LECHUGA GONZALO'!V$40:V$46)+SUMIF('ORONA BECERRA MAURO JOSE'!P$40:P$46,'KM POR UNIDAD'!A38,'ORONA BECERRA MAURO JOSE'!V$40:V$46)+SUMIF('VALLES HERNANDEZ MANUEL MARCELI'!P$39:P$45,'KM POR UNIDAD'!A38,'VALLES HERNANDEZ MANUEL MARCELI'!V$39:V$45)+SUMIF('ORTIZ RAMIREZ HECTOR MANUEL'!P$40:P$46,'KM POR UNIDAD'!A38,'ORTIZ RAMIREZ HECTOR MANUEL'!V$40:V$46)+SUMIF('ONTIVEROS LIRA JUAN'!P$40:P$46,'KM POR UNIDAD'!A38,'ONTIVEROS LIRA JUAN'!V$40:V$46)+SUMIF('RODRIGUEZ FLORES BRYAN DARIO'!P$40:P$46,'KM POR UNIDAD'!A38,'RODRIGUEZ FLORES BRYAN DARIO'!V$40:V$46)+SUMIF('NUÑEZ RUIZ IRVING JAVIER.'!P$42:P$48,'KM POR UNIDAD'!A38,'NUÑEZ RUIZ IRVING JAVIER.'!V$42:V$48)+SUMIF('MACHADO MAZUCA ADOLFO'!P$40:P$46,'KM POR UNIDAD'!A38,'MACHADO MAZUCA ADOLFO'!V$40:V$46)+SUMIF('LIRA ARCEO JOEL EDUARDO'!P$40:P$46,'KM POR UNIDAD'!A38,'LIRA ARCEO JOEL EDUARDO'!V$40:V$46)+SUMIF('ANCHONDO ROMERO CESAR ALEJANDRO'!P$40:P$46,'KM POR UNIDAD'!A38,'ANCHONDO ROMERO CESAR ALEJANDRO'!V$40:V$46)</f>
        <v>0</v>
      </c>
      <c r="E38" s="145">
        <f t="shared" si="0"/>
        <v>0</v>
      </c>
      <c r="F38" s="144" t="e">
        <f ca="1">+SUMIF('AGUILAR ESQUIVEL CARLOS'!P$40:P$46,'KM POR UNIDAD'!A38,'AGUILAR ESQUIVEL CARLOS'!W$40:W$46)+SUMIF('AGUILAR RODRIGUEZ JORGE ALONSO'!P$40:P$46,'KM POR UNIDAD'!A38,'AGUILAR RODRIGUEZ JORGE ALONSO'!W$40:W$46)+SUMIF('REYES LARA DANTE'!T$40:T$46,'KM POR UNIDAD'!A38,'REYES LARA DANTE'!Y$40:Y$46)+SUMIF('RAMIREZ BAUTISTA ADRIAN'!T$40:T$46,'KM POR UNIDAD'!A38,'RAMIREZ BAUTISTA ADRIAN'!Y$40:Y$46)+SUMIF('FLORES BOJORQUEZ BRYAN OVED'!T$40:T$46,'KM POR UNIDAD'!A38,'FLORES BOJORQUEZ BRYAN OVED'!Y$40:Y$46)+SUMIF('BALDERRAMA ROBLES JORGE'!T$40:T$46,'KM POR UNIDAD'!A38,'BALDERRAMA ROBLES JORGE'!#REF!)+SUMIF('BURGOS TORRES RIGOBERTO'!T$39:T$45,'KM POR UNIDAD'!A38,'BURGOS TORRES RIGOBERTO'!Y$39:Y$45)+SUMIF('CORDOVA URIBE JOSE  ADRIAN'!T$40:T$46,'KM POR UNIDAD'!E38,'CORDOVA URIBE JOSE  ADRIAN'!Y$40:Y$46)+SUMIF('GUZMAN CHAPARRO PEDRO'!T$40:T$46,'KM POR UNIDAD'!E38,'GUZMAN CHAPARRO PEDRO'!Y$40:Y$46)+SUMIF('HERNANDEZ LICANO JOSE LUIS'!T$40:T$46,'KM POR UNIDAD'!E38,'HERNANDEZ LICANO JOSE LUIS'!#REF!)+SUMIF('CARRERA REYES MARTIN SEBASTIAN'!T$41:T$47,'KM POR UNIDAD'!E38,'CARRERA REYES MARTIN SEBASTIAN'!Y$41:Y$47)+SUMIF('RUIZ SAUCEDO DANIEL ALEJANDRO'!T$40:T$46,'KM POR UNIDAD'!E38,'RUIZ SAUCEDO DANIEL ALEJANDRO'!Y$40:Y$46)+SUMIF('MARTINEZ RAMIREZ ROSALIO'!T$40:T$46,'KM POR UNIDAD'!E38,'MARTINEZ RAMIREZ ROSALIO'!Y$40:Y$46)+SUMIF('BALLEZA RAMIREZ JESUS JOSE'!T$40:T$46,'KM POR UNIDAD'!E38,'BALLEZA RAMIREZ JESUS JOSE'!T$176:T$180)+SUMIF('MONTERO BURROLA LUIS'!T$38:T$44,'KM POR UNIDAD'!E38,'MONTERO BURROLA LUIS'!Y$38:Y$44)+SUMIF('AGUILERA CONTRERAS LUIS GERARDO'!T$41:T$47,'KM POR UNIDAD'!E38,'AGUILERA CONTRERAS LUIS GERARDO'!Y$41:Y$47)+SUMIF('MORALES LOPEZ DE LARA MARIANO'!T$40:T$46,'KM POR UNIDAD'!E38,'MORALES LOPEZ DE LARA MARIANO'!Y$40:Y$46)+SUMIF('MELENDEZ SINALOA MANUEL ARAT'!T$40:T$46,'KM POR UNIDAD'!E38,'MELENDEZ SINALOA MANUEL ARAT'!#REF!)+SUMIF('MORALES LECHUGA GONZALO'!T$40:T$46,'KM POR UNIDAD'!E38,'MORALES LECHUGA GONZALO'!Y$40:Y$46)+SUMIF('ORONA BECERRA MAURO JOSE'!T$40:T$46,'KM POR UNIDAD'!E38,'ORONA BECERRA MAURO JOSE'!Y$40:Y$46)+SUMIF('VALLES HERNANDEZ MANUEL MARCELI'!T$39:T$45,'KM POR UNIDAD'!E38,'VALLES HERNANDEZ MANUEL MARCELI'!Y$39:Y$45)+SUMIF('ORTIZ RAMIREZ HECTOR MANUEL'!T$40:T$46,'KM POR UNIDAD'!E38,'ORTIZ RAMIREZ HECTOR MANUEL'!Y$40:Y$46)+SUMIF('ONTIVEROS LIRA JUAN'!T$40:T$46,'KM POR UNIDAD'!E38,'ONTIVEROS LIRA JUAN'!Y$40:Y$46)+SUMIF('RODRIGUEZ FLORES BRYAN DARIO'!T$40:T$46,'KM POR UNIDAD'!E38,'RODRIGUEZ FLORES BRYAN DARIO'!Y$40:Y$46)+SUMIF('NUÑEZ RUIZ IRVING JAVIER.'!T$42:T$48,'KM POR UNIDAD'!E38,'NUÑEZ RUIZ IRVING JAVIER.'!Y$42:Y$48)+SUMIF('MACHADO MAZUCA ADOLFO'!T$40:T$46,'KM POR UNIDAD'!E38,'MACHADO MAZUCA ADOLFO'!Y$40:Y$46)+SUMIF('LIRA ARCEO JOEL EDUARDO'!T$40:T$46,'KM POR UNIDAD'!E38,'LIRA ARCEO JOEL EDUARDO'!Y$41:Y$46)+SUMIF('ANCHONDO ROMERO CESAR ALEJANDRO'!T$40:T$46,'KM POR UNIDAD'!E38,'ANCHONDO ROMERO CESAR ALEJANDRO'!Y$40:Y$46)</f>
        <v>#REF!</v>
      </c>
      <c r="G38" s="146"/>
    </row>
    <row r="39" spans="1:7" x14ac:dyDescent="0.25">
      <c r="A39" s="143" t="s">
        <v>51</v>
      </c>
      <c r="B39" s="144">
        <f>+SUMIF('AGUILAR ESQUIVEL CARLOS'!P$40:P$46,'KM POR UNIDAD'!A39,'AGUILAR ESQUIVEL CARLOS'!U$40:U$46)+SUMIF('AGUILAR RODRIGUEZ JORGE ALONSO'!P$40:P$46,'KM POR UNIDAD'!A39,'AGUILAR RODRIGUEZ JORGE ALONSO'!U$40:U$46)+SUMIF('REYES LARA DANTE'!P$40:P$46,'KM POR UNIDAD'!A39,'REYES LARA DANTE'!U$40:U$46)+SUMIF('RAMIREZ BAUTISTA ADRIAN'!P$40:P$46,'KM POR UNIDAD'!A39,'RAMIREZ BAUTISTA ADRIAN'!U$40:U$46)+SUMIF('FLORES BOJORQUEZ BRYAN OVED'!P$40:P$46,'KM POR UNIDAD'!A39,'FLORES BOJORQUEZ BRYAN OVED'!U$40:U$46)+SUMIF('BALDERRAMA ROBLES JORGE'!P$40:P$46,'KM POR UNIDAD'!A39,'BALDERRAMA ROBLES JORGE'!U$40:U$46)+SUMIF('BURGOS TORRES RIGOBERTO'!P$39:P$45,'KM POR UNIDAD'!A39,'BURGOS TORRES RIGOBERTO'!U$39:U$45)+SUMIF('CORDOVA URIBE JOSE  ADRIAN'!P$40:P$46,'KM POR UNIDAD'!A39,'CORDOVA URIBE JOSE  ADRIAN'!U$40:U$46)+SUMIF('GUZMAN CHAPARRO PEDRO'!P$40:P$46,'KM POR UNIDAD'!A39,'GUZMAN CHAPARRO PEDRO'!U$40:U$46)+SUMIF('HERNANDEZ LICANO JOSE LUIS'!P$40:P$46,'KM POR UNIDAD'!A39,'HERNANDEZ LICANO JOSE LUIS'!U$40:U$46)+SUMIF('CARRERA REYES MARTIN SEBASTIAN'!P$41:P$47,'KM POR UNIDAD'!A39,'CARRERA REYES MARTIN SEBASTIAN'!U$41:U$47)+SUMIF('RUIZ SAUCEDO DANIEL ALEJANDRO'!P$40:P$46,'KM POR UNIDAD'!A39,'RUIZ SAUCEDO DANIEL ALEJANDRO'!U$40:U$46)+SUMIF('MARTINEZ RAMIREZ ROSALIO'!P$40:P$46,'KM POR UNIDAD'!A39,'MARTINEZ RAMIREZ ROSALIO'!U$40:U$46)+SUMIF('BALLEZA RAMIREZ JESUS JOSE'!P$40:P$46,'KM POR UNIDAD'!A39,'BALLEZA RAMIREZ JESUS JOSE'!U$40:U$46)+SUMIF('MONTERO BURROLA LUIS'!P$38:P$44,'KM POR UNIDAD'!A39,'MONTERO BURROLA LUIS'!U$38:U$44)+SUMIF('AGUILERA CONTRERAS LUIS GERARDO'!P$41:P$47,'KM POR UNIDAD'!A39,'AGUILERA CONTRERAS LUIS GERARDO'!U$41:U$47)+SUMIF('MORALES LOPEZ DE LARA MARIANO'!P$40:P$46,'KM POR UNIDAD'!A39,'MORALES LOPEZ DE LARA MARIANO'!U$40:U$46)+SUMIF('MELENDEZ SINALOA MANUEL ARAT'!P$40:P$46,'KM POR UNIDAD'!A39,'MELENDEZ SINALOA MANUEL ARAT'!U$40:U$46)+SUMIF('MORALES LECHUGA GONZALO'!P$40:P$46,'KM POR UNIDAD'!A39,'MORALES LECHUGA GONZALO'!U$40:U$46)+SUMIF('ORONA BECERRA MAURO JOSE'!P$40:P$46,'KM POR UNIDAD'!A39,'ORONA BECERRA MAURO JOSE'!U$40:U$46)+SUMIF('VALLES HERNANDEZ MANUEL MARCELI'!P$39:P$45,'KM POR UNIDAD'!A39,'VALLES HERNANDEZ MANUEL MARCELI'!U$39:U$45)+SUMIF('ORTIZ RAMIREZ HECTOR MANUEL'!P$40:P$46,'KM POR UNIDAD'!A39,'ORTIZ RAMIREZ HECTOR MANUEL'!U$40:U$46)+SUMIF('ONTIVEROS LIRA JUAN'!P$40:P$46,'KM POR UNIDAD'!A39,'ONTIVEROS LIRA JUAN'!U$40:U$46)+SUMIF('RODRIGUEZ FLORES BRYAN DARIO'!P$40:P$46,'KM POR UNIDAD'!A39,'RODRIGUEZ FLORES BRYAN DARIO'!U$40:U$46)+SUMIF('NUÑEZ RUIZ IRVING JAVIER.'!P$42:P$48,'KM POR UNIDAD'!A39,'NUÑEZ RUIZ IRVING JAVIER.'!U$42:U$48)+SUMIF('MACHADO MAZUCA ADOLFO'!P$40:P$46,'KM POR UNIDAD'!A39,'MACHADO MAZUCA ADOLFO'!U$40:U$46)+SUMIF('LIRA ARCEO JOEL EDUARDO'!P$40:P$46,'KM POR UNIDAD'!A39,'LIRA ARCEO JOEL EDUARDO'!U$40:U$46)+SUMIF('ANCHONDO ROMERO CESAR ALEJANDRO'!P$40:P$46,'KM POR UNIDAD'!A39,'ANCHONDO ROMERO CESAR ALEJANDRO'!U$40:U$46)</f>
        <v>0</v>
      </c>
      <c r="C39" s="150">
        <f ca="1">+SUMIF('AGUILAR ESQUIVEL CARLOS'!P$40:P$46,'KM POR UNIDAD'!A39,'AGUILAR ESQUIVEL CARLOS'!T$40:T$46)+SUMIF('AGUILAR RODRIGUEZ JORGE ALONSO'!P$40:P$46,'KM POR UNIDAD'!A39,'AGUILAR RODRIGUEZ JORGE ALONSO'!T$40:T$46)+SUMIF('REYES LARA DANTE'!P$40:P$46,'KM POR UNIDAD'!A39,'REYES LARA DANTE'!T$40:T$46)+SUMIF('RAMIREZ BAUTISTA ADRIAN'!P$40:P$46,'KM POR UNIDAD'!A39,'RAMIREZ BAUTISTA ADRIAN'!T$40:T$46)+SUMIF('FLORES BOJORQUEZ BRYAN OVED'!P$40:P$46,'KM POR UNIDAD'!A39,'FLORES BOJORQUEZ BRYAN OVED'!T$40:T$46)+SUMIF('BALDERRAMA ROBLES JORGE'!P$40:P$46,'KM POR UNIDAD'!A39,'BALDERRAMA ROBLES JORGE'!T$40:T$46)+SUMIF('BURGOS TORRES RIGOBERTO'!P$39:P$45,'KM POR UNIDAD'!A39,'BURGOS TORRES RIGOBERTO'!T$39:T$45)+SUMIF('CORDOVA URIBE JOSE  ADRIAN'!P$40:P$46,'KM POR UNIDAD'!A39,'CORDOVA URIBE JOSE  ADRIAN'!T$40:T$46)+SUMIF('GUZMAN CHAPARRO PEDRO'!P$40:P$46,'KM POR UNIDAD'!A39,'GUZMAN CHAPARRO PEDRO'!T$40:T$46)+SUMIF('HERNANDEZ LICANO JOSE LUIS'!P$40:P$46,'KM POR UNIDAD'!A39,'HERNANDEZ LICANO JOSE LUIS'!T$40:T$46)+SUMIF('CARRERA REYES MARTIN SEBASTIAN'!P$41:P$47,'KM POR UNIDAD'!A39,'CARRERA REYES MARTIN SEBASTIAN'!T$41:T$47)+SUMIF('RUIZ SAUCEDO DANIEL ALEJANDRO'!P$40:P$46,'KM POR UNIDAD'!A39,'RUIZ SAUCEDO DANIEL ALEJANDRO'!T$40:T$46)+SUMIF('MARTINEZ RAMIREZ ROSALIO'!P$40:P$46,'KM POR UNIDAD'!A39,'MARTINEZ RAMIREZ ROSALIO'!T$40:T$46)+SUMIF('BALLEZA RAMIREZ JESUS JOSE'!P$40:P$46,'KM POR UNIDAD'!A39,'BALLEZA RAMIREZ JESUS JOSE'!T$40:T$46)+SUMIF('MONTERO BURROLA LUIS'!P$38:P$44,'KM POR UNIDAD'!A39,'MONTERO BURROLA LUIS'!T$38:T$44)+SUMIF('AGUILERA CONTRERAS LUIS GERARDO'!P$41:P$47,'KM POR UNIDAD'!A39,'AGUILERA CONTRERAS LUIS GERARDO'!T$41:T$47)+SUMIF('MORALES LOPEZ DE LARA MARIANO'!P$40:P$46,'KM POR UNIDAD'!A39,'MORALES LOPEZ DE LARA MARIANO'!T$40:T$46)+SUMIF('MELENDEZ SINALOA MANUEL ARAT'!P$40:P$46,'KM POR UNIDAD'!A39,'MELENDEZ SINALOA MANUEL ARAT'!T$40:T$46)+SUMIF('MORALES LECHUGA GONZALO'!P$40:P$46,'KM POR UNIDAD'!A39,'MORALES LECHUGA GONZALO'!T$40:T$46)+SUMIF('ORONA BECERRA MAURO JOSE'!P$40:P$46,'KM POR UNIDAD'!A39,'ORONA BECERRA MAURO JOSE'!T$40:T$46)+SUMIF('VALLES HERNANDEZ MANUEL MARCELI'!P$39:P$45,'KM POR UNIDAD'!A39,'VALLES HERNANDEZ MANUEL MARCELI'!T$39:T$45)+SUMIF('ORTIZ RAMIREZ HECTOR MANUEL'!P$40:P$46,'KM POR UNIDAD'!A39,'ORTIZ RAMIREZ HECTOR MANUEL'!T$40:T$46)+SUMIF('ONTIVEROS LIRA JUAN'!P$40:P$446,'KM POR UNIDAD'!A39,'ONTIVEROS LIRA JUAN'!T$40:T$46)+SUMIF('RODRIGUEZ FLORES BRYAN DARIO'!P$40:P$46,'KM POR UNIDAD'!A39,'RODRIGUEZ FLORES BRYAN DARIO'!T$40:T$46)+SUMIF('NUÑEZ RUIZ IRVING JAVIER.'!P$42:P$48,'KM POR UNIDAD'!A39,'NUÑEZ RUIZ IRVING JAVIER.'!T$42:T$48)+SUMIF('MACHADO MAZUCA ADOLFO'!P$40:P$46,'KM POR UNIDAD'!A39,'MACHADO MAZUCA ADOLFO'!T$40:T$46)+SUMIF('LIRA ARCEO JOEL EDUARDO'!P$40:P$46,'KM POR UNIDAD'!A39,'LIRA ARCEO JOEL EDUARDO'!T$40:T$46)+SUMIF('ANCHONDO ROMERO CESAR ALEJANDRO'!P$40:P$46,'KM POR UNIDAD'!A39,'ANCHONDO ROMERO CESAR ALEJANDRO'!T$40:T$46)</f>
        <v>0</v>
      </c>
      <c r="D39" s="150">
        <f>+SUMIF('AGUILAR ESQUIVEL CARLOS'!P$40:P$46,'KM POR UNIDAD'!A39,'AGUILAR ESQUIVEL CARLOS'!V$40:V$46)+SUMIF('AGUILAR RODRIGUEZ JORGE ALONSO'!P$40:P$46,'KM POR UNIDAD'!A39,'AGUILAR RODRIGUEZ JORGE ALONSO'!V$40:V$46)+SUMIF('REYES LARA DANTE'!P$40:P$46,'KM POR UNIDAD'!A39,'REYES LARA DANTE'!V$40:V$46)+SUMIF('RAMIREZ BAUTISTA ADRIAN'!P$40:P$46,'KM POR UNIDAD'!A39,'RAMIREZ BAUTISTA ADRIAN'!V$40:V$46)+SUMIF('FLORES BOJORQUEZ BRYAN OVED'!P$40:P$46,'KM POR UNIDAD'!A39,'FLORES BOJORQUEZ BRYAN OVED'!V$40:V$46)+SUMIF('BALDERRAMA ROBLES JORGE'!P$40:P$46,'KM POR UNIDAD'!A39,'BALDERRAMA ROBLES JORGE'!V$40:V$46)+SUMIF('BURGOS TORRES RIGOBERTO'!P$39:P$45,'KM POR UNIDAD'!A39,'BURGOS TORRES RIGOBERTO'!V$39:V$45)+SUMIF('CORDOVA URIBE JOSE  ADRIAN'!P$40:P$46,'KM POR UNIDAD'!A39,'CORDOVA URIBE JOSE  ADRIAN'!V$40:V$46)+SUMIF('GUZMAN CHAPARRO PEDRO'!P$40:P$46,'KM POR UNIDAD'!A39,'GUZMAN CHAPARRO PEDRO'!V$40:V$46)+SUMIF('HERNANDEZ LICANO JOSE LUIS'!P$40:P$46,'KM POR UNIDAD'!A39,'HERNANDEZ LICANO JOSE LUIS'!V$40:V$46)+SUMIF('CARRERA REYES MARTIN SEBASTIAN'!P$41:P$47,'KM POR UNIDAD'!A39,'CARRERA REYES MARTIN SEBASTIAN'!V$41:V$47)+SUMIF('RUIZ SAUCEDO DANIEL ALEJANDRO'!P$40:P$46,'KM POR UNIDAD'!A39,'RUIZ SAUCEDO DANIEL ALEJANDRO'!V$40:V$46)+SUMIF('MARTINEZ RAMIREZ ROSALIO'!P$40:P$46,'KM POR UNIDAD'!A39,'MARTINEZ RAMIREZ ROSALIO'!V$40:V$46)+SUMIF('BALLEZA RAMIREZ JESUS JOSE'!P$40:P$46,'KM POR UNIDAD'!A39,'BALLEZA RAMIREZ JESUS JOSE'!V$40:V$46)+SUMIF('MONTERO BURROLA LUIS'!P$38:P$44,'KM POR UNIDAD'!A39,'MONTERO BURROLA LUIS'!V$38:V$44)+SUMIF('AGUILERA CONTRERAS LUIS GERARDO'!P$41:P$47,'KM POR UNIDAD'!A39,'AGUILERA CONTRERAS LUIS GERARDO'!V$41:V$47)+SUMIF('MORALES LOPEZ DE LARA MARIANO'!P$40:P$46,'KM POR UNIDAD'!A39,'MORALES LOPEZ DE LARA MARIANO'!V$40:V$46)+SUMIF('MELENDEZ SINALOA MANUEL ARAT'!P$40:P$46,'KM POR UNIDAD'!A39,'MELENDEZ SINALOA MANUEL ARAT'!V$40:V$46)+SUMIF('MORALES LECHUGA GONZALO'!P$40:P$46,'KM POR UNIDAD'!A39,'MORALES LECHUGA GONZALO'!V$40:V$46)+SUMIF('ORONA BECERRA MAURO JOSE'!P$40:P$46,'KM POR UNIDAD'!A39,'ORONA BECERRA MAURO JOSE'!V$40:V$46)+SUMIF('VALLES HERNANDEZ MANUEL MARCELI'!P$39:P$45,'KM POR UNIDAD'!A39,'VALLES HERNANDEZ MANUEL MARCELI'!V$39:V$45)+SUMIF('ORTIZ RAMIREZ HECTOR MANUEL'!P$40:P$46,'KM POR UNIDAD'!A39,'ORTIZ RAMIREZ HECTOR MANUEL'!V$40:V$46)+SUMIF('ONTIVEROS LIRA JUAN'!P$40:P$46,'KM POR UNIDAD'!A39,'ONTIVEROS LIRA JUAN'!V$40:V$46)+SUMIF('RODRIGUEZ FLORES BRYAN DARIO'!P$40:P$46,'KM POR UNIDAD'!A39,'RODRIGUEZ FLORES BRYAN DARIO'!V$40:V$46)+SUMIF('NUÑEZ RUIZ IRVING JAVIER.'!P$42:P$48,'KM POR UNIDAD'!A39,'NUÑEZ RUIZ IRVING JAVIER.'!V$42:V$48)+SUMIF('MACHADO MAZUCA ADOLFO'!P$40:P$46,'KM POR UNIDAD'!A39,'MACHADO MAZUCA ADOLFO'!V$40:V$46)+SUMIF('LIRA ARCEO JOEL EDUARDO'!P$40:P$46,'KM POR UNIDAD'!A39,'LIRA ARCEO JOEL EDUARDO'!V$40:V$46)+SUMIF('ANCHONDO ROMERO CESAR ALEJANDRO'!P$40:P$46,'KM POR UNIDAD'!A39,'ANCHONDO ROMERO CESAR ALEJANDRO'!V$40:V$46)</f>
        <v>0</v>
      </c>
      <c r="E39" s="145">
        <f t="shared" si="0"/>
        <v>0</v>
      </c>
      <c r="F39" s="144" t="e">
        <f ca="1">+SUMIF('AGUILAR ESQUIVEL CARLOS'!P$40:P$46,'KM POR UNIDAD'!A39,'AGUILAR ESQUIVEL CARLOS'!W$40:W$46)+SUMIF('AGUILAR RODRIGUEZ JORGE ALONSO'!P$40:P$46,'KM POR UNIDAD'!A39,'AGUILAR RODRIGUEZ JORGE ALONSO'!W$40:W$46)+SUMIF('REYES LARA DANTE'!T$40:T$46,'KM POR UNIDAD'!A39,'REYES LARA DANTE'!Y$40:Y$46)+SUMIF('RAMIREZ BAUTISTA ADRIAN'!T$40:T$46,'KM POR UNIDAD'!A39,'RAMIREZ BAUTISTA ADRIAN'!Y$40:Y$46)+SUMIF('FLORES BOJORQUEZ BRYAN OVED'!T$40:T$46,'KM POR UNIDAD'!A39,'FLORES BOJORQUEZ BRYAN OVED'!Y$40:Y$46)+SUMIF('BALDERRAMA ROBLES JORGE'!T$40:T$46,'KM POR UNIDAD'!A39,'BALDERRAMA ROBLES JORGE'!#REF!)+SUMIF('BURGOS TORRES RIGOBERTO'!T$39:T$45,'KM POR UNIDAD'!A39,'BURGOS TORRES RIGOBERTO'!Y$39:Y$45)+SUMIF('CORDOVA URIBE JOSE  ADRIAN'!T$40:T$46,'KM POR UNIDAD'!E39,'CORDOVA URIBE JOSE  ADRIAN'!Y$40:Y$46)+SUMIF('GUZMAN CHAPARRO PEDRO'!T$40:T$46,'KM POR UNIDAD'!E39,'GUZMAN CHAPARRO PEDRO'!Y$40:Y$46)+SUMIF('HERNANDEZ LICANO JOSE LUIS'!T$40:T$46,'KM POR UNIDAD'!E39,'HERNANDEZ LICANO JOSE LUIS'!#REF!)+SUMIF('CARRERA REYES MARTIN SEBASTIAN'!T$41:T$47,'KM POR UNIDAD'!E39,'CARRERA REYES MARTIN SEBASTIAN'!Y$41:Y$47)+SUMIF('RUIZ SAUCEDO DANIEL ALEJANDRO'!T$40:T$46,'KM POR UNIDAD'!E39,'RUIZ SAUCEDO DANIEL ALEJANDRO'!Y$40:Y$46)+SUMIF('MARTINEZ RAMIREZ ROSALIO'!T$40:T$46,'KM POR UNIDAD'!E39,'MARTINEZ RAMIREZ ROSALIO'!Y$40:Y$46)+SUMIF('BALLEZA RAMIREZ JESUS JOSE'!T$40:T$46,'KM POR UNIDAD'!E39,'BALLEZA RAMIREZ JESUS JOSE'!T$176:T$180)+SUMIF('MONTERO BURROLA LUIS'!T$38:T$44,'KM POR UNIDAD'!E39,'MONTERO BURROLA LUIS'!Y$38:Y$44)+SUMIF('AGUILERA CONTRERAS LUIS GERARDO'!T$41:T$47,'KM POR UNIDAD'!E39,'AGUILERA CONTRERAS LUIS GERARDO'!Y$41:Y$47)+SUMIF('MORALES LOPEZ DE LARA MARIANO'!T$40:T$46,'KM POR UNIDAD'!E39,'MORALES LOPEZ DE LARA MARIANO'!Y$40:Y$46)+SUMIF('MELENDEZ SINALOA MANUEL ARAT'!T$40:T$46,'KM POR UNIDAD'!E39,'MELENDEZ SINALOA MANUEL ARAT'!#REF!)+SUMIF('MORALES LECHUGA GONZALO'!T$40:T$46,'KM POR UNIDAD'!E39,'MORALES LECHUGA GONZALO'!Y$40:Y$46)+SUMIF('ORONA BECERRA MAURO JOSE'!T$40:T$46,'KM POR UNIDAD'!E39,'ORONA BECERRA MAURO JOSE'!Y$40:Y$46)+SUMIF('VALLES HERNANDEZ MANUEL MARCELI'!T$39:T$45,'KM POR UNIDAD'!E39,'VALLES HERNANDEZ MANUEL MARCELI'!Y$39:Y$45)+SUMIF('ORTIZ RAMIREZ HECTOR MANUEL'!T$40:T$46,'KM POR UNIDAD'!E39,'ORTIZ RAMIREZ HECTOR MANUEL'!Y$40:Y$46)+SUMIF('ONTIVEROS LIRA JUAN'!T$40:T$46,'KM POR UNIDAD'!E39,'ONTIVEROS LIRA JUAN'!Y$40:Y$46)+SUMIF('RODRIGUEZ FLORES BRYAN DARIO'!T$40:T$46,'KM POR UNIDAD'!E39,'RODRIGUEZ FLORES BRYAN DARIO'!Y$40:Y$46)+SUMIF('NUÑEZ RUIZ IRVING JAVIER.'!T$42:T$48,'KM POR UNIDAD'!E39,'NUÑEZ RUIZ IRVING JAVIER.'!Y$42:Y$48)+SUMIF('MACHADO MAZUCA ADOLFO'!T$40:T$46,'KM POR UNIDAD'!E39,'MACHADO MAZUCA ADOLFO'!Y$40:Y$46)+SUMIF('LIRA ARCEO JOEL EDUARDO'!T$40:T$46,'KM POR UNIDAD'!E39,'LIRA ARCEO JOEL EDUARDO'!Y$41:Y$46)+SUMIF('ANCHONDO ROMERO CESAR ALEJANDRO'!T$40:T$46,'KM POR UNIDAD'!E39,'ANCHONDO ROMERO CESAR ALEJANDRO'!Y$40:Y$46)</f>
        <v>#REF!</v>
      </c>
      <c r="G39" s="146"/>
    </row>
    <row r="40" spans="1:7" x14ac:dyDescent="0.25">
      <c r="A40" s="143" t="s">
        <v>273</v>
      </c>
      <c r="B40" s="144">
        <f>+SUMIF('AGUILAR ESQUIVEL CARLOS'!P$40:P$46,'KM POR UNIDAD'!A40,'AGUILAR ESQUIVEL CARLOS'!U$40:U$46)+SUMIF('AGUILAR RODRIGUEZ JORGE ALONSO'!P$40:P$46,'KM POR UNIDAD'!A40,'AGUILAR RODRIGUEZ JORGE ALONSO'!U$40:U$46)+SUMIF('REYES LARA DANTE'!P$40:P$46,'KM POR UNIDAD'!A40,'REYES LARA DANTE'!U$40:U$46)+SUMIF('RAMIREZ BAUTISTA ADRIAN'!P$40:P$46,'KM POR UNIDAD'!A40,'RAMIREZ BAUTISTA ADRIAN'!U$40:U$46)+SUMIF('FLORES BOJORQUEZ BRYAN OVED'!P$40:P$46,'KM POR UNIDAD'!A40,'FLORES BOJORQUEZ BRYAN OVED'!U$40:U$46)+SUMIF('BALDERRAMA ROBLES JORGE'!P$40:P$46,'KM POR UNIDAD'!A40,'BALDERRAMA ROBLES JORGE'!U$40:U$46)+SUMIF('BURGOS TORRES RIGOBERTO'!P$39:P$45,'KM POR UNIDAD'!A40,'BURGOS TORRES RIGOBERTO'!U$39:U$45)+SUMIF('CORDOVA URIBE JOSE  ADRIAN'!P$40:P$46,'KM POR UNIDAD'!A40,'CORDOVA URIBE JOSE  ADRIAN'!U$40:U$46)+SUMIF('GUZMAN CHAPARRO PEDRO'!P$40:P$46,'KM POR UNIDAD'!A40,'GUZMAN CHAPARRO PEDRO'!U$40:U$46)+SUMIF('HERNANDEZ LICANO JOSE LUIS'!P$40:P$46,'KM POR UNIDAD'!A40,'HERNANDEZ LICANO JOSE LUIS'!U$40:U$46)+SUMIF('CARRERA REYES MARTIN SEBASTIAN'!P$41:P$47,'KM POR UNIDAD'!A40,'CARRERA REYES MARTIN SEBASTIAN'!U$41:U$47)+SUMIF('RUIZ SAUCEDO DANIEL ALEJANDRO'!P$40:P$46,'KM POR UNIDAD'!A40,'RUIZ SAUCEDO DANIEL ALEJANDRO'!U$40:U$46)+SUMIF('MARTINEZ RAMIREZ ROSALIO'!P$40:P$46,'KM POR UNIDAD'!A40,'MARTINEZ RAMIREZ ROSALIO'!U$40:U$46)+SUMIF('BALLEZA RAMIREZ JESUS JOSE'!P$40:P$46,'KM POR UNIDAD'!A40,'BALLEZA RAMIREZ JESUS JOSE'!U$40:U$46)+SUMIF('MONTERO BURROLA LUIS'!P$38:P$44,'KM POR UNIDAD'!A40,'MONTERO BURROLA LUIS'!U$38:U$44)+SUMIF('AGUILERA CONTRERAS LUIS GERARDO'!P$41:P$47,'KM POR UNIDAD'!A40,'AGUILERA CONTRERAS LUIS GERARDO'!U$41:U$47)+SUMIF('MORALES LOPEZ DE LARA MARIANO'!P$40:P$46,'KM POR UNIDAD'!A40,'MORALES LOPEZ DE LARA MARIANO'!U$40:U$46)+SUMIF('MELENDEZ SINALOA MANUEL ARAT'!P$40:P$46,'KM POR UNIDAD'!A40,'MELENDEZ SINALOA MANUEL ARAT'!U$40:U$46)+SUMIF('MORALES LECHUGA GONZALO'!P$40:P$46,'KM POR UNIDAD'!A40,'MORALES LECHUGA GONZALO'!U$40:U$46)+SUMIF('ORONA BECERRA MAURO JOSE'!P$40:P$46,'KM POR UNIDAD'!A40,'ORONA BECERRA MAURO JOSE'!U$40:U$46)+SUMIF('VALLES HERNANDEZ MANUEL MARCELI'!P$39:P$45,'KM POR UNIDAD'!A40,'VALLES HERNANDEZ MANUEL MARCELI'!U$39:U$45)+SUMIF('ORTIZ RAMIREZ HECTOR MANUEL'!P$40:P$46,'KM POR UNIDAD'!A40,'ORTIZ RAMIREZ HECTOR MANUEL'!U$40:U$46)+SUMIF('ONTIVEROS LIRA JUAN'!P$40:P$46,'KM POR UNIDAD'!A40,'ONTIVEROS LIRA JUAN'!U$40:U$46)+SUMIF('RODRIGUEZ FLORES BRYAN DARIO'!P$40:P$46,'KM POR UNIDAD'!A40,'RODRIGUEZ FLORES BRYAN DARIO'!U$40:U$46)+SUMIF('NUÑEZ RUIZ IRVING JAVIER.'!P$42:P$48,'KM POR UNIDAD'!A40,'NUÑEZ RUIZ IRVING JAVIER.'!U$42:U$48)+SUMIF('MACHADO MAZUCA ADOLFO'!P$40:P$46,'KM POR UNIDAD'!A40,'MACHADO MAZUCA ADOLFO'!U$40:U$46)+SUMIF('LIRA ARCEO JOEL EDUARDO'!P$40:P$46,'KM POR UNIDAD'!A40,'LIRA ARCEO JOEL EDUARDO'!U$40:U$46)+SUMIF('ANCHONDO ROMERO CESAR ALEJANDRO'!P$40:P$46,'KM POR UNIDAD'!A40,'ANCHONDO ROMERO CESAR ALEJANDRO'!U$40:U$46)</f>
        <v>0</v>
      </c>
      <c r="C40" s="150">
        <f ca="1">+SUMIF('AGUILAR ESQUIVEL CARLOS'!P$40:P$46,'KM POR UNIDAD'!A40,'AGUILAR ESQUIVEL CARLOS'!T$40:T$46)+SUMIF('AGUILAR RODRIGUEZ JORGE ALONSO'!P$40:P$46,'KM POR UNIDAD'!A40,'AGUILAR RODRIGUEZ JORGE ALONSO'!T$40:T$46)+SUMIF('REYES LARA DANTE'!P$40:P$46,'KM POR UNIDAD'!A40,'REYES LARA DANTE'!T$40:T$46)+SUMIF('RAMIREZ BAUTISTA ADRIAN'!P$40:P$46,'KM POR UNIDAD'!A40,'RAMIREZ BAUTISTA ADRIAN'!T$40:T$46)+SUMIF('FLORES BOJORQUEZ BRYAN OVED'!P$40:P$46,'KM POR UNIDAD'!A40,'FLORES BOJORQUEZ BRYAN OVED'!T$40:T$46)+SUMIF('BALDERRAMA ROBLES JORGE'!P$40:P$46,'KM POR UNIDAD'!A40,'BALDERRAMA ROBLES JORGE'!T$40:T$46)+SUMIF('BURGOS TORRES RIGOBERTO'!P$39:P$45,'KM POR UNIDAD'!A40,'BURGOS TORRES RIGOBERTO'!T$39:T$45)+SUMIF('CORDOVA URIBE JOSE  ADRIAN'!P$40:P$46,'KM POR UNIDAD'!A40,'CORDOVA URIBE JOSE  ADRIAN'!T$40:T$46)+SUMIF('GUZMAN CHAPARRO PEDRO'!P$40:P$46,'KM POR UNIDAD'!A40,'GUZMAN CHAPARRO PEDRO'!T$40:T$46)+SUMIF('HERNANDEZ LICANO JOSE LUIS'!P$40:P$46,'KM POR UNIDAD'!A40,'HERNANDEZ LICANO JOSE LUIS'!T$40:T$46)+SUMIF('CARRERA REYES MARTIN SEBASTIAN'!P$41:P$47,'KM POR UNIDAD'!A40,'CARRERA REYES MARTIN SEBASTIAN'!T$41:T$47)+SUMIF('RUIZ SAUCEDO DANIEL ALEJANDRO'!P$40:P$46,'KM POR UNIDAD'!A40,'RUIZ SAUCEDO DANIEL ALEJANDRO'!T$40:T$46)+SUMIF('MARTINEZ RAMIREZ ROSALIO'!P$40:P$46,'KM POR UNIDAD'!A40,'MARTINEZ RAMIREZ ROSALIO'!T$40:T$46)+SUMIF('BALLEZA RAMIREZ JESUS JOSE'!P$40:P$46,'KM POR UNIDAD'!A40,'BALLEZA RAMIREZ JESUS JOSE'!T$40:T$46)+SUMIF('MONTERO BURROLA LUIS'!P$38:P$44,'KM POR UNIDAD'!A40,'MONTERO BURROLA LUIS'!T$38:T$44)+SUMIF('AGUILERA CONTRERAS LUIS GERARDO'!P$41:P$47,'KM POR UNIDAD'!A40,'AGUILERA CONTRERAS LUIS GERARDO'!T$41:T$47)+SUMIF('MORALES LOPEZ DE LARA MARIANO'!P$40:P$46,'KM POR UNIDAD'!A40,'MORALES LOPEZ DE LARA MARIANO'!T$40:T$46)+SUMIF('MELENDEZ SINALOA MANUEL ARAT'!P$40:P$46,'KM POR UNIDAD'!A40,'MELENDEZ SINALOA MANUEL ARAT'!T$40:T$46)+SUMIF('MORALES LECHUGA GONZALO'!P$40:P$46,'KM POR UNIDAD'!A40,'MORALES LECHUGA GONZALO'!T$40:T$46)+SUMIF('ORONA BECERRA MAURO JOSE'!P$40:P$46,'KM POR UNIDAD'!A40,'ORONA BECERRA MAURO JOSE'!T$40:T$46)+SUMIF('VALLES HERNANDEZ MANUEL MARCELI'!P$39:P$45,'KM POR UNIDAD'!A40,'VALLES HERNANDEZ MANUEL MARCELI'!T$39:T$45)+SUMIF('ORTIZ RAMIREZ HECTOR MANUEL'!P$40:P$46,'KM POR UNIDAD'!A40,'ORTIZ RAMIREZ HECTOR MANUEL'!T$40:T$46)+SUMIF('ONTIVEROS LIRA JUAN'!P$40:P$446,'KM POR UNIDAD'!A40,'ONTIVEROS LIRA JUAN'!T$40:T$46)+SUMIF('RODRIGUEZ FLORES BRYAN DARIO'!P$40:P$46,'KM POR UNIDAD'!A40,'RODRIGUEZ FLORES BRYAN DARIO'!T$40:T$46)+SUMIF('NUÑEZ RUIZ IRVING JAVIER.'!P$42:P$48,'KM POR UNIDAD'!A40,'NUÑEZ RUIZ IRVING JAVIER.'!T$42:T$48)+SUMIF('MACHADO MAZUCA ADOLFO'!P$40:P$46,'KM POR UNIDAD'!A40,'MACHADO MAZUCA ADOLFO'!T$40:T$46)+SUMIF('LIRA ARCEO JOEL EDUARDO'!P$40:P$46,'KM POR UNIDAD'!A40,'LIRA ARCEO JOEL EDUARDO'!T$40:T$46)+SUMIF('ANCHONDO ROMERO CESAR ALEJANDRO'!P$40:P$46,'KM POR UNIDAD'!A40,'ANCHONDO ROMERO CESAR ALEJANDRO'!T$40:T$46)</f>
        <v>0</v>
      </c>
      <c r="D40" s="150">
        <f>+SUMIF('AGUILAR ESQUIVEL CARLOS'!P$40:P$46,'KM POR UNIDAD'!A40,'AGUILAR ESQUIVEL CARLOS'!V$40:V$46)+SUMIF('AGUILAR RODRIGUEZ JORGE ALONSO'!P$40:P$46,'KM POR UNIDAD'!A40,'AGUILAR RODRIGUEZ JORGE ALONSO'!V$40:V$46)+SUMIF('REYES LARA DANTE'!P$40:P$46,'KM POR UNIDAD'!A40,'REYES LARA DANTE'!V$40:V$46)+SUMIF('RAMIREZ BAUTISTA ADRIAN'!P$40:P$46,'KM POR UNIDAD'!A40,'RAMIREZ BAUTISTA ADRIAN'!V$40:V$46)+SUMIF('FLORES BOJORQUEZ BRYAN OVED'!P$40:P$46,'KM POR UNIDAD'!A40,'FLORES BOJORQUEZ BRYAN OVED'!V$40:V$46)+SUMIF('BALDERRAMA ROBLES JORGE'!P$40:P$46,'KM POR UNIDAD'!A40,'BALDERRAMA ROBLES JORGE'!V$40:V$46)+SUMIF('BURGOS TORRES RIGOBERTO'!P$39:P$45,'KM POR UNIDAD'!A40,'BURGOS TORRES RIGOBERTO'!V$39:V$45)+SUMIF('CORDOVA URIBE JOSE  ADRIAN'!P$40:P$46,'KM POR UNIDAD'!A40,'CORDOVA URIBE JOSE  ADRIAN'!V$40:V$46)+SUMIF('GUZMAN CHAPARRO PEDRO'!P$40:P$46,'KM POR UNIDAD'!A40,'GUZMAN CHAPARRO PEDRO'!V$40:V$46)+SUMIF('HERNANDEZ LICANO JOSE LUIS'!P$40:P$46,'KM POR UNIDAD'!A40,'HERNANDEZ LICANO JOSE LUIS'!V$40:V$46)+SUMIF('CARRERA REYES MARTIN SEBASTIAN'!P$41:P$47,'KM POR UNIDAD'!A40,'CARRERA REYES MARTIN SEBASTIAN'!V$41:V$47)+SUMIF('RUIZ SAUCEDO DANIEL ALEJANDRO'!P$40:P$46,'KM POR UNIDAD'!A40,'RUIZ SAUCEDO DANIEL ALEJANDRO'!V$40:V$46)+SUMIF('MARTINEZ RAMIREZ ROSALIO'!P$40:P$46,'KM POR UNIDAD'!A40,'MARTINEZ RAMIREZ ROSALIO'!V$40:V$46)+SUMIF('BALLEZA RAMIREZ JESUS JOSE'!P$40:P$46,'KM POR UNIDAD'!A40,'BALLEZA RAMIREZ JESUS JOSE'!V$40:V$46)+SUMIF('MONTERO BURROLA LUIS'!P$38:P$44,'KM POR UNIDAD'!A40,'MONTERO BURROLA LUIS'!V$38:V$44)+SUMIF('AGUILERA CONTRERAS LUIS GERARDO'!P$41:P$47,'KM POR UNIDAD'!A40,'AGUILERA CONTRERAS LUIS GERARDO'!V$41:V$47)+SUMIF('MORALES LOPEZ DE LARA MARIANO'!P$40:P$46,'KM POR UNIDAD'!A40,'MORALES LOPEZ DE LARA MARIANO'!V$40:V$46)+SUMIF('MELENDEZ SINALOA MANUEL ARAT'!P$40:P$46,'KM POR UNIDAD'!A40,'MELENDEZ SINALOA MANUEL ARAT'!V$40:V$46)+SUMIF('MORALES LECHUGA GONZALO'!P$40:P$46,'KM POR UNIDAD'!A40,'MORALES LECHUGA GONZALO'!V$40:V$46)+SUMIF('ORONA BECERRA MAURO JOSE'!P$40:P$46,'KM POR UNIDAD'!A40,'ORONA BECERRA MAURO JOSE'!V$40:V$46)+SUMIF('VALLES HERNANDEZ MANUEL MARCELI'!P$39:P$45,'KM POR UNIDAD'!A40,'VALLES HERNANDEZ MANUEL MARCELI'!V$39:V$45)+SUMIF('ORTIZ RAMIREZ HECTOR MANUEL'!P$40:P$46,'KM POR UNIDAD'!A40,'ORTIZ RAMIREZ HECTOR MANUEL'!V$40:V$46)+SUMIF('ONTIVEROS LIRA JUAN'!P$40:P$46,'KM POR UNIDAD'!A40,'ONTIVEROS LIRA JUAN'!V$40:V$46)+SUMIF('RODRIGUEZ FLORES BRYAN DARIO'!P$40:P$46,'KM POR UNIDAD'!A40,'RODRIGUEZ FLORES BRYAN DARIO'!V$40:V$46)+SUMIF('NUÑEZ RUIZ IRVING JAVIER.'!P$42:P$48,'KM POR UNIDAD'!A40,'NUÑEZ RUIZ IRVING JAVIER.'!V$42:V$48)+SUMIF('MACHADO MAZUCA ADOLFO'!P$40:P$46,'KM POR UNIDAD'!A40,'MACHADO MAZUCA ADOLFO'!V$40:V$46)+SUMIF('LIRA ARCEO JOEL EDUARDO'!P$40:P$46,'KM POR UNIDAD'!A40,'LIRA ARCEO JOEL EDUARDO'!V$40:V$46)+SUMIF('ANCHONDO ROMERO CESAR ALEJANDRO'!P$40:P$46,'KM POR UNIDAD'!A40,'ANCHONDO ROMERO CESAR ALEJANDRO'!V$40:V$46)</f>
        <v>0</v>
      </c>
      <c r="E40" s="145">
        <f t="shared" si="0"/>
        <v>0</v>
      </c>
      <c r="F40" s="144" t="e">
        <f ca="1">+SUMIF('AGUILAR ESQUIVEL CARLOS'!P$40:P$46,'KM POR UNIDAD'!A40,'AGUILAR ESQUIVEL CARLOS'!W$40:W$46)+SUMIF('AGUILAR RODRIGUEZ JORGE ALONSO'!P$40:P$46,'KM POR UNIDAD'!A40,'AGUILAR RODRIGUEZ JORGE ALONSO'!W$40:W$46)+SUMIF('REYES LARA DANTE'!T$40:T$46,'KM POR UNIDAD'!A40,'REYES LARA DANTE'!Y$40:Y$46)+SUMIF('RAMIREZ BAUTISTA ADRIAN'!T$40:T$46,'KM POR UNIDAD'!A40,'RAMIREZ BAUTISTA ADRIAN'!Y$40:Y$46)+SUMIF('FLORES BOJORQUEZ BRYAN OVED'!T$40:T$46,'KM POR UNIDAD'!A40,'FLORES BOJORQUEZ BRYAN OVED'!Y$40:Y$46)+SUMIF('BALDERRAMA ROBLES JORGE'!T$40:T$46,'KM POR UNIDAD'!A40,'BALDERRAMA ROBLES JORGE'!#REF!)+SUMIF('BURGOS TORRES RIGOBERTO'!T$39:T$45,'KM POR UNIDAD'!A40,'BURGOS TORRES RIGOBERTO'!Y$39:Y$45)+SUMIF('CORDOVA URIBE JOSE  ADRIAN'!T$40:T$46,'KM POR UNIDAD'!E40,'CORDOVA URIBE JOSE  ADRIAN'!Y$40:Y$46)+SUMIF('GUZMAN CHAPARRO PEDRO'!T$40:T$46,'KM POR UNIDAD'!E40,'GUZMAN CHAPARRO PEDRO'!Y$40:Y$46)+SUMIF('HERNANDEZ LICANO JOSE LUIS'!T$40:T$46,'KM POR UNIDAD'!E40,'HERNANDEZ LICANO JOSE LUIS'!#REF!)+SUMIF('CARRERA REYES MARTIN SEBASTIAN'!T$41:T$47,'KM POR UNIDAD'!E40,'CARRERA REYES MARTIN SEBASTIAN'!Y$41:Y$47)+SUMIF('RUIZ SAUCEDO DANIEL ALEJANDRO'!T$40:T$46,'KM POR UNIDAD'!E40,'RUIZ SAUCEDO DANIEL ALEJANDRO'!Y$40:Y$46)+SUMIF('MARTINEZ RAMIREZ ROSALIO'!T$40:T$46,'KM POR UNIDAD'!E40,'MARTINEZ RAMIREZ ROSALIO'!Y$40:Y$46)+SUMIF('BALLEZA RAMIREZ JESUS JOSE'!T$40:T$46,'KM POR UNIDAD'!E40,'BALLEZA RAMIREZ JESUS JOSE'!T$176:T$180)+SUMIF('MONTERO BURROLA LUIS'!T$38:T$44,'KM POR UNIDAD'!E40,'MONTERO BURROLA LUIS'!Y$38:Y$44)+SUMIF('AGUILERA CONTRERAS LUIS GERARDO'!T$41:T$47,'KM POR UNIDAD'!E40,'AGUILERA CONTRERAS LUIS GERARDO'!Y$41:Y$47)+SUMIF('MORALES LOPEZ DE LARA MARIANO'!T$40:T$46,'KM POR UNIDAD'!E40,'MORALES LOPEZ DE LARA MARIANO'!Y$40:Y$46)+SUMIF('MELENDEZ SINALOA MANUEL ARAT'!T$40:T$46,'KM POR UNIDAD'!E40,'MELENDEZ SINALOA MANUEL ARAT'!#REF!)+SUMIF('MORALES LECHUGA GONZALO'!T$40:T$46,'KM POR UNIDAD'!E40,'MORALES LECHUGA GONZALO'!Y$40:Y$46)+SUMIF('ORONA BECERRA MAURO JOSE'!T$40:T$46,'KM POR UNIDAD'!E40,'ORONA BECERRA MAURO JOSE'!Y$40:Y$46)+SUMIF('VALLES HERNANDEZ MANUEL MARCELI'!T$39:T$45,'KM POR UNIDAD'!E40,'VALLES HERNANDEZ MANUEL MARCELI'!Y$39:Y$45)+SUMIF('ORTIZ RAMIREZ HECTOR MANUEL'!T$40:T$46,'KM POR UNIDAD'!E40,'ORTIZ RAMIREZ HECTOR MANUEL'!Y$40:Y$46)+SUMIF('ONTIVEROS LIRA JUAN'!T$40:T$46,'KM POR UNIDAD'!E40,'ONTIVEROS LIRA JUAN'!Y$40:Y$46)+SUMIF('RODRIGUEZ FLORES BRYAN DARIO'!T$40:T$46,'KM POR UNIDAD'!E40,'RODRIGUEZ FLORES BRYAN DARIO'!Y$40:Y$46)+SUMIF('NUÑEZ RUIZ IRVING JAVIER.'!T$42:T$48,'KM POR UNIDAD'!E40,'NUÑEZ RUIZ IRVING JAVIER.'!Y$42:Y$48)+SUMIF('MACHADO MAZUCA ADOLFO'!T$40:T$46,'KM POR UNIDAD'!E40,'MACHADO MAZUCA ADOLFO'!Y$40:Y$46)+SUMIF('LIRA ARCEO JOEL EDUARDO'!T$40:T$46,'KM POR UNIDAD'!E40,'LIRA ARCEO JOEL EDUARDO'!Y$41:Y$46)+SUMIF('ANCHONDO ROMERO CESAR ALEJANDRO'!T$40:T$46,'KM POR UNIDAD'!E40,'ANCHONDO ROMERO CESAR ALEJANDRO'!Y$40:Y$46)</f>
        <v>#REF!</v>
      </c>
      <c r="G40" s="146"/>
    </row>
    <row r="41" spans="1:7" x14ac:dyDescent="0.25">
      <c r="A41" s="143" t="s">
        <v>168</v>
      </c>
      <c r="B41" s="144">
        <f>+SUMIF('AGUILAR ESQUIVEL CARLOS'!P$40:P$46,'KM POR UNIDAD'!A41,'AGUILAR ESQUIVEL CARLOS'!U$40:U$46)+SUMIF('AGUILAR RODRIGUEZ JORGE ALONSO'!P$40:P$46,'KM POR UNIDAD'!A41,'AGUILAR RODRIGUEZ JORGE ALONSO'!U$40:U$46)+SUMIF('REYES LARA DANTE'!P$40:P$46,'KM POR UNIDAD'!A41,'REYES LARA DANTE'!U$40:U$46)+SUMIF('RAMIREZ BAUTISTA ADRIAN'!P$40:P$46,'KM POR UNIDAD'!A41,'RAMIREZ BAUTISTA ADRIAN'!U$40:U$46)+SUMIF('FLORES BOJORQUEZ BRYAN OVED'!P$40:P$46,'KM POR UNIDAD'!A41,'FLORES BOJORQUEZ BRYAN OVED'!U$40:U$46)+SUMIF('BALDERRAMA ROBLES JORGE'!P$40:P$46,'KM POR UNIDAD'!A41,'BALDERRAMA ROBLES JORGE'!U$40:U$46)+SUMIF('BURGOS TORRES RIGOBERTO'!P$39:P$45,'KM POR UNIDAD'!A41,'BURGOS TORRES RIGOBERTO'!U$39:U$45)+SUMIF('CORDOVA URIBE JOSE  ADRIAN'!P$40:P$46,'KM POR UNIDAD'!A41,'CORDOVA URIBE JOSE  ADRIAN'!U$40:U$46)+SUMIF('GUZMAN CHAPARRO PEDRO'!P$40:P$46,'KM POR UNIDAD'!A41,'GUZMAN CHAPARRO PEDRO'!U$40:U$46)+SUMIF('HERNANDEZ LICANO JOSE LUIS'!P$40:P$46,'KM POR UNIDAD'!A41,'HERNANDEZ LICANO JOSE LUIS'!U$40:U$46)+SUMIF('CARRERA REYES MARTIN SEBASTIAN'!P$41:P$47,'KM POR UNIDAD'!A41,'CARRERA REYES MARTIN SEBASTIAN'!U$41:U$47)+SUMIF('RUIZ SAUCEDO DANIEL ALEJANDRO'!P$40:P$46,'KM POR UNIDAD'!A41,'RUIZ SAUCEDO DANIEL ALEJANDRO'!U$40:U$46)+SUMIF('MARTINEZ RAMIREZ ROSALIO'!P$40:P$46,'KM POR UNIDAD'!A41,'MARTINEZ RAMIREZ ROSALIO'!U$40:U$46)+SUMIF('BALLEZA RAMIREZ JESUS JOSE'!P$40:P$46,'KM POR UNIDAD'!A41,'BALLEZA RAMIREZ JESUS JOSE'!U$40:U$46)+SUMIF('MONTERO BURROLA LUIS'!P$38:P$44,'KM POR UNIDAD'!A41,'MONTERO BURROLA LUIS'!U$38:U$44)+SUMIF('AGUILERA CONTRERAS LUIS GERARDO'!P$41:P$47,'KM POR UNIDAD'!A41,'AGUILERA CONTRERAS LUIS GERARDO'!U$41:U$47)+SUMIF('MORALES LOPEZ DE LARA MARIANO'!P$40:P$46,'KM POR UNIDAD'!A41,'MORALES LOPEZ DE LARA MARIANO'!U$40:U$46)+SUMIF('MELENDEZ SINALOA MANUEL ARAT'!P$40:P$46,'KM POR UNIDAD'!A41,'MELENDEZ SINALOA MANUEL ARAT'!U$40:U$46)+SUMIF('MORALES LECHUGA GONZALO'!P$40:P$46,'KM POR UNIDAD'!A41,'MORALES LECHUGA GONZALO'!U$40:U$46)+SUMIF('ORONA BECERRA MAURO JOSE'!P$40:P$46,'KM POR UNIDAD'!A41,'ORONA BECERRA MAURO JOSE'!U$40:U$46)+SUMIF('VALLES HERNANDEZ MANUEL MARCELI'!P$39:P$45,'KM POR UNIDAD'!A41,'VALLES HERNANDEZ MANUEL MARCELI'!U$39:U$45)+SUMIF('ORTIZ RAMIREZ HECTOR MANUEL'!P$40:P$46,'KM POR UNIDAD'!A41,'ORTIZ RAMIREZ HECTOR MANUEL'!U$40:U$46)+SUMIF('ONTIVEROS LIRA JUAN'!P$40:P$46,'KM POR UNIDAD'!A41,'ONTIVEROS LIRA JUAN'!U$40:U$46)+SUMIF('RODRIGUEZ FLORES BRYAN DARIO'!P$40:P$46,'KM POR UNIDAD'!A41,'RODRIGUEZ FLORES BRYAN DARIO'!U$40:U$46)+SUMIF('NUÑEZ RUIZ IRVING JAVIER.'!P$42:P$48,'KM POR UNIDAD'!A41,'NUÑEZ RUIZ IRVING JAVIER.'!U$42:U$48)+SUMIF('MACHADO MAZUCA ADOLFO'!P$40:P$46,'KM POR UNIDAD'!A41,'MACHADO MAZUCA ADOLFO'!U$40:U$46)+SUMIF('LIRA ARCEO JOEL EDUARDO'!P$40:P$46,'KM POR UNIDAD'!A41,'LIRA ARCEO JOEL EDUARDO'!U$40:U$46)+SUMIF('ANCHONDO ROMERO CESAR ALEJANDRO'!P$40:P$46,'KM POR UNIDAD'!A41,'ANCHONDO ROMERO CESAR ALEJANDRO'!U$40:U$46)</f>
        <v>0</v>
      </c>
      <c r="C41" s="150">
        <f ca="1">+SUMIF('AGUILAR ESQUIVEL CARLOS'!P$40:P$46,'KM POR UNIDAD'!A41,'AGUILAR ESQUIVEL CARLOS'!T$40:T$46)+SUMIF('AGUILAR RODRIGUEZ JORGE ALONSO'!P$40:P$46,'KM POR UNIDAD'!A41,'AGUILAR RODRIGUEZ JORGE ALONSO'!T$40:T$46)+SUMIF('REYES LARA DANTE'!P$40:P$46,'KM POR UNIDAD'!A41,'REYES LARA DANTE'!T$40:T$46)+SUMIF('RAMIREZ BAUTISTA ADRIAN'!P$40:P$46,'KM POR UNIDAD'!A41,'RAMIREZ BAUTISTA ADRIAN'!T$40:T$46)+SUMIF('FLORES BOJORQUEZ BRYAN OVED'!P$40:P$46,'KM POR UNIDAD'!A41,'FLORES BOJORQUEZ BRYAN OVED'!T$40:T$46)+SUMIF('BALDERRAMA ROBLES JORGE'!P$40:P$46,'KM POR UNIDAD'!A41,'BALDERRAMA ROBLES JORGE'!T$40:T$46)+SUMIF('BURGOS TORRES RIGOBERTO'!P$39:P$45,'KM POR UNIDAD'!A41,'BURGOS TORRES RIGOBERTO'!T$39:T$45)+SUMIF('CORDOVA URIBE JOSE  ADRIAN'!P$40:P$46,'KM POR UNIDAD'!A41,'CORDOVA URIBE JOSE  ADRIAN'!T$40:T$46)+SUMIF('GUZMAN CHAPARRO PEDRO'!P$40:P$46,'KM POR UNIDAD'!A41,'GUZMAN CHAPARRO PEDRO'!T$40:T$46)+SUMIF('HERNANDEZ LICANO JOSE LUIS'!P$40:P$46,'KM POR UNIDAD'!A41,'HERNANDEZ LICANO JOSE LUIS'!T$40:T$46)+SUMIF('CARRERA REYES MARTIN SEBASTIAN'!P$41:P$47,'KM POR UNIDAD'!A41,'CARRERA REYES MARTIN SEBASTIAN'!T$41:T$47)+SUMIF('RUIZ SAUCEDO DANIEL ALEJANDRO'!P$40:P$46,'KM POR UNIDAD'!A41,'RUIZ SAUCEDO DANIEL ALEJANDRO'!T$40:T$46)+SUMIF('MARTINEZ RAMIREZ ROSALIO'!P$40:P$46,'KM POR UNIDAD'!A41,'MARTINEZ RAMIREZ ROSALIO'!T$40:T$46)+SUMIF('BALLEZA RAMIREZ JESUS JOSE'!P$40:P$46,'KM POR UNIDAD'!A41,'BALLEZA RAMIREZ JESUS JOSE'!T$40:T$46)+SUMIF('MONTERO BURROLA LUIS'!P$38:P$44,'KM POR UNIDAD'!A41,'MONTERO BURROLA LUIS'!T$38:T$44)+SUMIF('AGUILERA CONTRERAS LUIS GERARDO'!P$41:P$47,'KM POR UNIDAD'!A41,'AGUILERA CONTRERAS LUIS GERARDO'!T$41:T$47)+SUMIF('MORALES LOPEZ DE LARA MARIANO'!P$40:P$46,'KM POR UNIDAD'!A41,'MORALES LOPEZ DE LARA MARIANO'!T$40:T$46)+SUMIF('MELENDEZ SINALOA MANUEL ARAT'!P$40:P$46,'KM POR UNIDAD'!A41,'MELENDEZ SINALOA MANUEL ARAT'!T$40:T$46)+SUMIF('MORALES LECHUGA GONZALO'!P$40:P$46,'KM POR UNIDAD'!A41,'MORALES LECHUGA GONZALO'!T$40:T$46)+SUMIF('ORONA BECERRA MAURO JOSE'!P$40:P$46,'KM POR UNIDAD'!A41,'ORONA BECERRA MAURO JOSE'!T$40:T$46)+SUMIF('VALLES HERNANDEZ MANUEL MARCELI'!P$39:P$45,'KM POR UNIDAD'!A41,'VALLES HERNANDEZ MANUEL MARCELI'!T$39:T$45)+SUMIF('ORTIZ RAMIREZ HECTOR MANUEL'!P$40:P$46,'KM POR UNIDAD'!A41,'ORTIZ RAMIREZ HECTOR MANUEL'!T$40:T$46)+SUMIF('ONTIVEROS LIRA JUAN'!P$40:P$446,'KM POR UNIDAD'!A41,'ONTIVEROS LIRA JUAN'!T$40:T$46)+SUMIF('RODRIGUEZ FLORES BRYAN DARIO'!P$40:P$46,'KM POR UNIDAD'!A41,'RODRIGUEZ FLORES BRYAN DARIO'!T$40:T$46)+SUMIF('NUÑEZ RUIZ IRVING JAVIER.'!P$42:P$48,'KM POR UNIDAD'!A41,'NUÑEZ RUIZ IRVING JAVIER.'!T$42:T$48)+SUMIF('MACHADO MAZUCA ADOLFO'!P$40:P$46,'KM POR UNIDAD'!A41,'MACHADO MAZUCA ADOLFO'!T$40:T$46)+SUMIF('LIRA ARCEO JOEL EDUARDO'!P$40:P$46,'KM POR UNIDAD'!A41,'LIRA ARCEO JOEL EDUARDO'!T$40:T$46)+SUMIF('ANCHONDO ROMERO CESAR ALEJANDRO'!P$40:P$46,'KM POR UNIDAD'!A41,'ANCHONDO ROMERO CESAR ALEJANDRO'!T$40:T$46)</f>
        <v>0</v>
      </c>
      <c r="D41" s="150">
        <f>+SUMIF('AGUILAR ESQUIVEL CARLOS'!P$40:P$46,'KM POR UNIDAD'!A41,'AGUILAR ESQUIVEL CARLOS'!V$40:V$46)+SUMIF('AGUILAR RODRIGUEZ JORGE ALONSO'!P$40:P$46,'KM POR UNIDAD'!A41,'AGUILAR RODRIGUEZ JORGE ALONSO'!V$40:V$46)+SUMIF('REYES LARA DANTE'!P$40:P$46,'KM POR UNIDAD'!A41,'REYES LARA DANTE'!V$40:V$46)+SUMIF('RAMIREZ BAUTISTA ADRIAN'!P$40:P$46,'KM POR UNIDAD'!A41,'RAMIREZ BAUTISTA ADRIAN'!V$40:V$46)+SUMIF('FLORES BOJORQUEZ BRYAN OVED'!P$40:P$46,'KM POR UNIDAD'!A41,'FLORES BOJORQUEZ BRYAN OVED'!V$40:V$46)+SUMIF('BALDERRAMA ROBLES JORGE'!P$40:P$46,'KM POR UNIDAD'!A41,'BALDERRAMA ROBLES JORGE'!V$40:V$46)+SUMIF('BURGOS TORRES RIGOBERTO'!P$39:P$45,'KM POR UNIDAD'!A41,'BURGOS TORRES RIGOBERTO'!V$39:V$45)+SUMIF('CORDOVA URIBE JOSE  ADRIAN'!P$40:P$46,'KM POR UNIDAD'!A41,'CORDOVA URIBE JOSE  ADRIAN'!V$40:V$46)+SUMIF('GUZMAN CHAPARRO PEDRO'!P$40:P$46,'KM POR UNIDAD'!A41,'GUZMAN CHAPARRO PEDRO'!V$40:V$46)+SUMIF('HERNANDEZ LICANO JOSE LUIS'!P$40:P$46,'KM POR UNIDAD'!A41,'HERNANDEZ LICANO JOSE LUIS'!V$40:V$46)+SUMIF('CARRERA REYES MARTIN SEBASTIAN'!P$41:P$47,'KM POR UNIDAD'!A41,'CARRERA REYES MARTIN SEBASTIAN'!V$41:V$47)+SUMIF('RUIZ SAUCEDO DANIEL ALEJANDRO'!P$40:P$46,'KM POR UNIDAD'!A41,'RUIZ SAUCEDO DANIEL ALEJANDRO'!V$40:V$46)+SUMIF('MARTINEZ RAMIREZ ROSALIO'!P$40:P$46,'KM POR UNIDAD'!A41,'MARTINEZ RAMIREZ ROSALIO'!V$40:V$46)+SUMIF('BALLEZA RAMIREZ JESUS JOSE'!P$40:P$46,'KM POR UNIDAD'!A41,'BALLEZA RAMIREZ JESUS JOSE'!V$40:V$46)+SUMIF('MONTERO BURROLA LUIS'!P$38:P$44,'KM POR UNIDAD'!A41,'MONTERO BURROLA LUIS'!V$38:V$44)+SUMIF('AGUILERA CONTRERAS LUIS GERARDO'!P$41:P$47,'KM POR UNIDAD'!A41,'AGUILERA CONTRERAS LUIS GERARDO'!V$41:V$47)+SUMIF('MORALES LOPEZ DE LARA MARIANO'!P$40:P$46,'KM POR UNIDAD'!A41,'MORALES LOPEZ DE LARA MARIANO'!V$40:V$46)+SUMIF('MELENDEZ SINALOA MANUEL ARAT'!P$40:P$46,'KM POR UNIDAD'!A41,'MELENDEZ SINALOA MANUEL ARAT'!V$40:V$46)+SUMIF('MORALES LECHUGA GONZALO'!P$40:P$46,'KM POR UNIDAD'!A41,'MORALES LECHUGA GONZALO'!V$40:V$46)+SUMIF('ORONA BECERRA MAURO JOSE'!P$40:P$46,'KM POR UNIDAD'!A41,'ORONA BECERRA MAURO JOSE'!V$40:V$46)+SUMIF('VALLES HERNANDEZ MANUEL MARCELI'!P$39:P$45,'KM POR UNIDAD'!A41,'VALLES HERNANDEZ MANUEL MARCELI'!V$39:V$45)+SUMIF('ORTIZ RAMIREZ HECTOR MANUEL'!P$40:P$46,'KM POR UNIDAD'!A41,'ORTIZ RAMIREZ HECTOR MANUEL'!V$40:V$46)+SUMIF('ONTIVEROS LIRA JUAN'!P$40:P$46,'KM POR UNIDAD'!A41,'ONTIVEROS LIRA JUAN'!V$40:V$46)+SUMIF('RODRIGUEZ FLORES BRYAN DARIO'!P$40:P$46,'KM POR UNIDAD'!A41,'RODRIGUEZ FLORES BRYAN DARIO'!V$40:V$46)+SUMIF('NUÑEZ RUIZ IRVING JAVIER.'!P$42:P$48,'KM POR UNIDAD'!A41,'NUÑEZ RUIZ IRVING JAVIER.'!V$42:V$48)+SUMIF('MACHADO MAZUCA ADOLFO'!P$40:P$46,'KM POR UNIDAD'!A41,'MACHADO MAZUCA ADOLFO'!V$40:V$46)+SUMIF('LIRA ARCEO JOEL EDUARDO'!P$40:P$46,'KM POR UNIDAD'!A41,'LIRA ARCEO JOEL EDUARDO'!V$40:V$46)+SUMIF('ANCHONDO ROMERO CESAR ALEJANDRO'!P$40:P$46,'KM POR UNIDAD'!A41,'ANCHONDO ROMERO CESAR ALEJANDRO'!V$40:V$46)</f>
        <v>0</v>
      </c>
      <c r="E41" s="145">
        <f t="shared" si="0"/>
        <v>0</v>
      </c>
      <c r="F41" s="144" t="e">
        <f ca="1">+SUMIF('AGUILAR ESQUIVEL CARLOS'!P$40:P$46,'KM POR UNIDAD'!A41,'AGUILAR ESQUIVEL CARLOS'!W$40:W$46)+SUMIF('AGUILAR RODRIGUEZ JORGE ALONSO'!P$40:P$46,'KM POR UNIDAD'!A41,'AGUILAR RODRIGUEZ JORGE ALONSO'!W$40:W$46)+SUMIF('REYES LARA DANTE'!T$40:T$46,'KM POR UNIDAD'!A41,'REYES LARA DANTE'!Y$40:Y$46)+SUMIF('RAMIREZ BAUTISTA ADRIAN'!T$40:T$46,'KM POR UNIDAD'!A41,'RAMIREZ BAUTISTA ADRIAN'!Y$40:Y$46)+SUMIF('FLORES BOJORQUEZ BRYAN OVED'!T$40:T$46,'KM POR UNIDAD'!A41,'FLORES BOJORQUEZ BRYAN OVED'!Y$40:Y$46)+SUMIF('BALDERRAMA ROBLES JORGE'!T$40:T$46,'KM POR UNIDAD'!A41,'BALDERRAMA ROBLES JORGE'!#REF!)+SUMIF('BURGOS TORRES RIGOBERTO'!T$39:T$45,'KM POR UNIDAD'!A41,'BURGOS TORRES RIGOBERTO'!Y$39:Y$45)+SUMIF('CORDOVA URIBE JOSE  ADRIAN'!T$40:T$46,'KM POR UNIDAD'!E41,'CORDOVA URIBE JOSE  ADRIAN'!Y$40:Y$46)+SUMIF('GUZMAN CHAPARRO PEDRO'!T$40:T$46,'KM POR UNIDAD'!E41,'GUZMAN CHAPARRO PEDRO'!Y$40:Y$46)+SUMIF('HERNANDEZ LICANO JOSE LUIS'!T$40:T$46,'KM POR UNIDAD'!E41,'HERNANDEZ LICANO JOSE LUIS'!#REF!)+SUMIF('CARRERA REYES MARTIN SEBASTIAN'!T$41:T$47,'KM POR UNIDAD'!E41,'CARRERA REYES MARTIN SEBASTIAN'!Y$41:Y$47)+SUMIF('RUIZ SAUCEDO DANIEL ALEJANDRO'!T$40:T$46,'KM POR UNIDAD'!E41,'RUIZ SAUCEDO DANIEL ALEJANDRO'!Y$40:Y$46)+SUMIF('MARTINEZ RAMIREZ ROSALIO'!T$40:T$46,'KM POR UNIDAD'!E41,'MARTINEZ RAMIREZ ROSALIO'!Y$40:Y$46)+SUMIF('BALLEZA RAMIREZ JESUS JOSE'!T$40:T$46,'KM POR UNIDAD'!E41,'BALLEZA RAMIREZ JESUS JOSE'!T$176:T$180)+SUMIF('MONTERO BURROLA LUIS'!T$38:T$44,'KM POR UNIDAD'!E41,'MONTERO BURROLA LUIS'!Y$38:Y$44)+SUMIF('AGUILERA CONTRERAS LUIS GERARDO'!T$41:T$47,'KM POR UNIDAD'!E41,'AGUILERA CONTRERAS LUIS GERARDO'!Y$41:Y$47)+SUMIF('MORALES LOPEZ DE LARA MARIANO'!T$40:T$46,'KM POR UNIDAD'!E41,'MORALES LOPEZ DE LARA MARIANO'!Y$40:Y$46)+SUMIF('MELENDEZ SINALOA MANUEL ARAT'!T$40:T$46,'KM POR UNIDAD'!E41,'MELENDEZ SINALOA MANUEL ARAT'!#REF!)+SUMIF('MORALES LECHUGA GONZALO'!T$40:T$46,'KM POR UNIDAD'!E41,'MORALES LECHUGA GONZALO'!Y$40:Y$46)+SUMIF('ORONA BECERRA MAURO JOSE'!T$40:T$46,'KM POR UNIDAD'!E41,'ORONA BECERRA MAURO JOSE'!Y$40:Y$46)+SUMIF('VALLES HERNANDEZ MANUEL MARCELI'!T$39:T$45,'KM POR UNIDAD'!E41,'VALLES HERNANDEZ MANUEL MARCELI'!Y$39:Y$45)+SUMIF('ORTIZ RAMIREZ HECTOR MANUEL'!T$40:T$46,'KM POR UNIDAD'!E41,'ORTIZ RAMIREZ HECTOR MANUEL'!Y$40:Y$46)+SUMIF('ONTIVEROS LIRA JUAN'!T$40:T$46,'KM POR UNIDAD'!E41,'ONTIVEROS LIRA JUAN'!Y$40:Y$46)+SUMIF('RODRIGUEZ FLORES BRYAN DARIO'!T$40:T$46,'KM POR UNIDAD'!E41,'RODRIGUEZ FLORES BRYAN DARIO'!Y$40:Y$46)+SUMIF('NUÑEZ RUIZ IRVING JAVIER.'!T$42:T$48,'KM POR UNIDAD'!E41,'NUÑEZ RUIZ IRVING JAVIER.'!Y$42:Y$48)+SUMIF('MACHADO MAZUCA ADOLFO'!T$40:T$46,'KM POR UNIDAD'!E41,'MACHADO MAZUCA ADOLFO'!Y$40:Y$46)+SUMIF('LIRA ARCEO JOEL EDUARDO'!T$40:T$46,'KM POR UNIDAD'!E41,'LIRA ARCEO JOEL EDUARDO'!Y$41:Y$46)+SUMIF('ANCHONDO ROMERO CESAR ALEJANDRO'!T$40:T$46,'KM POR UNIDAD'!E41,'ANCHONDO ROMERO CESAR ALEJANDRO'!Y$40:Y$46)</f>
        <v>#REF!</v>
      </c>
      <c r="G41" s="146"/>
    </row>
    <row r="42" spans="1:7" x14ac:dyDescent="0.25">
      <c r="A42" s="143" t="s">
        <v>144</v>
      </c>
      <c r="B42" s="144">
        <f>+SUMIF('AGUILAR ESQUIVEL CARLOS'!P$40:P$46,'KM POR UNIDAD'!A42,'AGUILAR ESQUIVEL CARLOS'!U$40:U$46)+SUMIF('AGUILAR RODRIGUEZ JORGE ALONSO'!P$40:P$46,'KM POR UNIDAD'!A42,'AGUILAR RODRIGUEZ JORGE ALONSO'!U$40:U$46)+SUMIF('REYES LARA DANTE'!P$40:P$46,'KM POR UNIDAD'!A42,'REYES LARA DANTE'!U$40:U$46)+SUMIF('RAMIREZ BAUTISTA ADRIAN'!P$40:P$46,'KM POR UNIDAD'!A42,'RAMIREZ BAUTISTA ADRIAN'!U$40:U$46)+SUMIF('FLORES BOJORQUEZ BRYAN OVED'!P$40:P$46,'KM POR UNIDAD'!A42,'FLORES BOJORQUEZ BRYAN OVED'!U$40:U$46)+SUMIF('BALDERRAMA ROBLES JORGE'!P$40:P$46,'KM POR UNIDAD'!A42,'BALDERRAMA ROBLES JORGE'!U$40:U$46)+SUMIF('BURGOS TORRES RIGOBERTO'!P$39:P$45,'KM POR UNIDAD'!A42,'BURGOS TORRES RIGOBERTO'!U$39:U$45)+SUMIF('CORDOVA URIBE JOSE  ADRIAN'!P$40:P$46,'KM POR UNIDAD'!A42,'CORDOVA URIBE JOSE  ADRIAN'!U$40:U$46)+SUMIF('GUZMAN CHAPARRO PEDRO'!P$40:P$46,'KM POR UNIDAD'!A42,'GUZMAN CHAPARRO PEDRO'!U$40:U$46)+SUMIF('HERNANDEZ LICANO JOSE LUIS'!P$40:P$46,'KM POR UNIDAD'!A42,'HERNANDEZ LICANO JOSE LUIS'!U$40:U$46)+SUMIF('CARRERA REYES MARTIN SEBASTIAN'!P$41:P$47,'KM POR UNIDAD'!A42,'CARRERA REYES MARTIN SEBASTIAN'!U$41:U$47)+SUMIF('RUIZ SAUCEDO DANIEL ALEJANDRO'!P$40:P$46,'KM POR UNIDAD'!A42,'RUIZ SAUCEDO DANIEL ALEJANDRO'!U$40:U$46)+SUMIF('MARTINEZ RAMIREZ ROSALIO'!P$40:P$46,'KM POR UNIDAD'!A42,'MARTINEZ RAMIREZ ROSALIO'!U$40:U$46)+SUMIF('BALLEZA RAMIREZ JESUS JOSE'!P$40:P$46,'KM POR UNIDAD'!A42,'BALLEZA RAMIREZ JESUS JOSE'!U$40:U$46)+SUMIF('MONTERO BURROLA LUIS'!P$38:P$44,'KM POR UNIDAD'!A42,'MONTERO BURROLA LUIS'!U$38:U$44)+SUMIF('AGUILERA CONTRERAS LUIS GERARDO'!P$41:P$47,'KM POR UNIDAD'!A42,'AGUILERA CONTRERAS LUIS GERARDO'!U$41:U$47)+SUMIF('MORALES LOPEZ DE LARA MARIANO'!P$40:P$46,'KM POR UNIDAD'!A42,'MORALES LOPEZ DE LARA MARIANO'!U$40:U$46)+SUMIF('MELENDEZ SINALOA MANUEL ARAT'!P$40:P$46,'KM POR UNIDAD'!A42,'MELENDEZ SINALOA MANUEL ARAT'!U$40:U$46)+SUMIF('MORALES LECHUGA GONZALO'!P$40:P$46,'KM POR UNIDAD'!A42,'MORALES LECHUGA GONZALO'!U$40:U$46)+SUMIF('ORONA BECERRA MAURO JOSE'!P$40:P$46,'KM POR UNIDAD'!A42,'ORONA BECERRA MAURO JOSE'!U$40:U$46)+SUMIF('VALLES HERNANDEZ MANUEL MARCELI'!P$39:P$45,'KM POR UNIDAD'!A42,'VALLES HERNANDEZ MANUEL MARCELI'!U$39:U$45)+SUMIF('ORTIZ RAMIREZ HECTOR MANUEL'!P$40:P$46,'KM POR UNIDAD'!A42,'ORTIZ RAMIREZ HECTOR MANUEL'!U$40:U$46)+SUMIF('ONTIVEROS LIRA JUAN'!P$40:P$46,'KM POR UNIDAD'!A42,'ONTIVEROS LIRA JUAN'!U$40:U$46)+SUMIF('RODRIGUEZ FLORES BRYAN DARIO'!P$40:P$46,'KM POR UNIDAD'!A42,'RODRIGUEZ FLORES BRYAN DARIO'!U$40:U$46)+SUMIF('NUÑEZ RUIZ IRVING JAVIER.'!P$42:P$48,'KM POR UNIDAD'!A42,'NUÑEZ RUIZ IRVING JAVIER.'!U$42:U$48)+SUMIF('MACHADO MAZUCA ADOLFO'!P$40:P$46,'KM POR UNIDAD'!A42,'MACHADO MAZUCA ADOLFO'!U$40:U$46)+SUMIF('LIRA ARCEO JOEL EDUARDO'!P$40:P$46,'KM POR UNIDAD'!A42,'LIRA ARCEO JOEL EDUARDO'!U$40:U$46)+SUMIF('ANCHONDO ROMERO CESAR ALEJANDRO'!P$40:P$46,'KM POR UNIDAD'!A42,'ANCHONDO ROMERO CESAR ALEJANDRO'!U$40:U$46)</f>
        <v>0</v>
      </c>
      <c r="C42" s="150">
        <f ca="1">+SUMIF('AGUILAR ESQUIVEL CARLOS'!P$40:P$46,'KM POR UNIDAD'!A42,'AGUILAR ESQUIVEL CARLOS'!T$40:T$46)+SUMIF('AGUILAR RODRIGUEZ JORGE ALONSO'!P$40:P$46,'KM POR UNIDAD'!A42,'AGUILAR RODRIGUEZ JORGE ALONSO'!T$40:T$46)+SUMIF('REYES LARA DANTE'!P$40:P$46,'KM POR UNIDAD'!A42,'REYES LARA DANTE'!T$40:T$46)+SUMIF('RAMIREZ BAUTISTA ADRIAN'!P$40:P$46,'KM POR UNIDAD'!A42,'RAMIREZ BAUTISTA ADRIAN'!T$40:T$46)+SUMIF('FLORES BOJORQUEZ BRYAN OVED'!P$40:P$46,'KM POR UNIDAD'!A42,'FLORES BOJORQUEZ BRYAN OVED'!T$40:T$46)+SUMIF('BALDERRAMA ROBLES JORGE'!P$40:P$46,'KM POR UNIDAD'!A42,'BALDERRAMA ROBLES JORGE'!T$40:T$46)+SUMIF('BURGOS TORRES RIGOBERTO'!P$39:P$45,'KM POR UNIDAD'!A42,'BURGOS TORRES RIGOBERTO'!T$39:T$45)+SUMIF('CORDOVA URIBE JOSE  ADRIAN'!P$40:P$46,'KM POR UNIDAD'!A42,'CORDOVA URIBE JOSE  ADRIAN'!T$40:T$46)+SUMIF('GUZMAN CHAPARRO PEDRO'!P$40:P$46,'KM POR UNIDAD'!A42,'GUZMAN CHAPARRO PEDRO'!T$40:T$46)+SUMIF('HERNANDEZ LICANO JOSE LUIS'!P$40:P$46,'KM POR UNIDAD'!A42,'HERNANDEZ LICANO JOSE LUIS'!T$40:T$46)+SUMIF('CARRERA REYES MARTIN SEBASTIAN'!P$41:P$47,'KM POR UNIDAD'!A42,'CARRERA REYES MARTIN SEBASTIAN'!T$41:T$47)+SUMIF('RUIZ SAUCEDO DANIEL ALEJANDRO'!P$40:P$46,'KM POR UNIDAD'!A42,'RUIZ SAUCEDO DANIEL ALEJANDRO'!T$40:T$46)+SUMIF('MARTINEZ RAMIREZ ROSALIO'!P$40:P$46,'KM POR UNIDAD'!A42,'MARTINEZ RAMIREZ ROSALIO'!T$40:T$46)+SUMIF('BALLEZA RAMIREZ JESUS JOSE'!P$40:P$46,'KM POR UNIDAD'!A42,'BALLEZA RAMIREZ JESUS JOSE'!T$40:T$46)+SUMIF('MONTERO BURROLA LUIS'!P$38:P$44,'KM POR UNIDAD'!A42,'MONTERO BURROLA LUIS'!T$38:T$44)+SUMIF('AGUILERA CONTRERAS LUIS GERARDO'!P$41:P$47,'KM POR UNIDAD'!A42,'AGUILERA CONTRERAS LUIS GERARDO'!T$41:T$47)+SUMIF('MORALES LOPEZ DE LARA MARIANO'!P$40:P$46,'KM POR UNIDAD'!A42,'MORALES LOPEZ DE LARA MARIANO'!T$40:T$46)+SUMIF('MELENDEZ SINALOA MANUEL ARAT'!P$40:P$46,'KM POR UNIDAD'!A42,'MELENDEZ SINALOA MANUEL ARAT'!T$40:T$46)+SUMIF('MORALES LECHUGA GONZALO'!P$40:P$46,'KM POR UNIDAD'!A42,'MORALES LECHUGA GONZALO'!T$40:T$46)+SUMIF('ORONA BECERRA MAURO JOSE'!P$40:P$46,'KM POR UNIDAD'!A42,'ORONA BECERRA MAURO JOSE'!T$40:T$46)+SUMIF('VALLES HERNANDEZ MANUEL MARCELI'!P$39:P$45,'KM POR UNIDAD'!A42,'VALLES HERNANDEZ MANUEL MARCELI'!T$39:T$45)+SUMIF('ORTIZ RAMIREZ HECTOR MANUEL'!P$40:P$46,'KM POR UNIDAD'!A42,'ORTIZ RAMIREZ HECTOR MANUEL'!T$40:T$46)+SUMIF('ONTIVEROS LIRA JUAN'!P$40:P$446,'KM POR UNIDAD'!A42,'ONTIVEROS LIRA JUAN'!T$40:T$46)+SUMIF('RODRIGUEZ FLORES BRYAN DARIO'!P$40:P$46,'KM POR UNIDAD'!A42,'RODRIGUEZ FLORES BRYAN DARIO'!T$40:T$46)+SUMIF('NUÑEZ RUIZ IRVING JAVIER.'!P$42:P$48,'KM POR UNIDAD'!A42,'NUÑEZ RUIZ IRVING JAVIER.'!T$42:T$48)+SUMIF('MACHADO MAZUCA ADOLFO'!P$40:P$46,'KM POR UNIDAD'!A42,'MACHADO MAZUCA ADOLFO'!T$40:T$46)+SUMIF('LIRA ARCEO JOEL EDUARDO'!P$40:P$46,'KM POR UNIDAD'!A42,'LIRA ARCEO JOEL EDUARDO'!T$40:T$46)+SUMIF('ANCHONDO ROMERO CESAR ALEJANDRO'!P$40:P$46,'KM POR UNIDAD'!A42,'ANCHONDO ROMERO CESAR ALEJANDRO'!T$40:T$46)</f>
        <v>0</v>
      </c>
      <c r="D42" s="150">
        <f>+SUMIF('AGUILAR ESQUIVEL CARLOS'!P$40:P$46,'KM POR UNIDAD'!A42,'AGUILAR ESQUIVEL CARLOS'!V$40:V$46)+SUMIF('AGUILAR RODRIGUEZ JORGE ALONSO'!P$40:P$46,'KM POR UNIDAD'!A42,'AGUILAR RODRIGUEZ JORGE ALONSO'!V$40:V$46)+SUMIF('REYES LARA DANTE'!P$40:P$46,'KM POR UNIDAD'!A42,'REYES LARA DANTE'!V$40:V$46)+SUMIF('RAMIREZ BAUTISTA ADRIAN'!P$40:P$46,'KM POR UNIDAD'!A42,'RAMIREZ BAUTISTA ADRIAN'!V$40:V$46)+SUMIF('FLORES BOJORQUEZ BRYAN OVED'!P$40:P$46,'KM POR UNIDAD'!A42,'FLORES BOJORQUEZ BRYAN OVED'!V$40:V$46)+SUMIF('BALDERRAMA ROBLES JORGE'!P$40:P$46,'KM POR UNIDAD'!A42,'BALDERRAMA ROBLES JORGE'!V$40:V$46)+SUMIF('BURGOS TORRES RIGOBERTO'!P$39:P$45,'KM POR UNIDAD'!A42,'BURGOS TORRES RIGOBERTO'!V$39:V$45)+SUMIF('CORDOVA URIBE JOSE  ADRIAN'!P$40:P$46,'KM POR UNIDAD'!A42,'CORDOVA URIBE JOSE  ADRIAN'!V$40:V$46)+SUMIF('GUZMAN CHAPARRO PEDRO'!P$40:P$46,'KM POR UNIDAD'!A42,'GUZMAN CHAPARRO PEDRO'!V$40:V$46)+SUMIF('HERNANDEZ LICANO JOSE LUIS'!P$40:P$46,'KM POR UNIDAD'!A42,'HERNANDEZ LICANO JOSE LUIS'!V$40:V$46)+SUMIF('CARRERA REYES MARTIN SEBASTIAN'!P$41:P$47,'KM POR UNIDAD'!A42,'CARRERA REYES MARTIN SEBASTIAN'!V$41:V$47)+SUMIF('RUIZ SAUCEDO DANIEL ALEJANDRO'!P$40:P$46,'KM POR UNIDAD'!A42,'RUIZ SAUCEDO DANIEL ALEJANDRO'!V$40:V$46)+SUMIF('MARTINEZ RAMIREZ ROSALIO'!P$40:P$46,'KM POR UNIDAD'!A42,'MARTINEZ RAMIREZ ROSALIO'!V$40:V$46)+SUMIF('BALLEZA RAMIREZ JESUS JOSE'!P$40:P$46,'KM POR UNIDAD'!A42,'BALLEZA RAMIREZ JESUS JOSE'!V$40:V$46)+SUMIF('MONTERO BURROLA LUIS'!P$38:P$44,'KM POR UNIDAD'!A42,'MONTERO BURROLA LUIS'!V$38:V$44)+SUMIF('AGUILERA CONTRERAS LUIS GERARDO'!P$41:P$47,'KM POR UNIDAD'!A42,'AGUILERA CONTRERAS LUIS GERARDO'!V$41:V$47)+SUMIF('MORALES LOPEZ DE LARA MARIANO'!P$40:P$46,'KM POR UNIDAD'!A42,'MORALES LOPEZ DE LARA MARIANO'!V$40:V$46)+SUMIF('MELENDEZ SINALOA MANUEL ARAT'!P$40:P$46,'KM POR UNIDAD'!A42,'MELENDEZ SINALOA MANUEL ARAT'!V$40:V$46)+SUMIF('MORALES LECHUGA GONZALO'!P$40:P$46,'KM POR UNIDAD'!A42,'MORALES LECHUGA GONZALO'!V$40:V$46)+SUMIF('ORONA BECERRA MAURO JOSE'!P$40:P$46,'KM POR UNIDAD'!A42,'ORONA BECERRA MAURO JOSE'!V$40:V$46)+SUMIF('VALLES HERNANDEZ MANUEL MARCELI'!P$39:P$45,'KM POR UNIDAD'!A42,'VALLES HERNANDEZ MANUEL MARCELI'!V$39:V$45)+SUMIF('ORTIZ RAMIREZ HECTOR MANUEL'!P$40:P$46,'KM POR UNIDAD'!A42,'ORTIZ RAMIREZ HECTOR MANUEL'!V$40:V$46)+SUMIF('ONTIVEROS LIRA JUAN'!P$40:P$46,'KM POR UNIDAD'!A42,'ONTIVEROS LIRA JUAN'!V$40:V$46)+SUMIF('RODRIGUEZ FLORES BRYAN DARIO'!P$40:P$46,'KM POR UNIDAD'!A42,'RODRIGUEZ FLORES BRYAN DARIO'!V$40:V$46)+SUMIF('NUÑEZ RUIZ IRVING JAVIER.'!P$42:P$48,'KM POR UNIDAD'!A42,'NUÑEZ RUIZ IRVING JAVIER.'!V$42:V$48)+SUMIF('MACHADO MAZUCA ADOLFO'!P$40:P$46,'KM POR UNIDAD'!A42,'MACHADO MAZUCA ADOLFO'!V$40:V$46)+SUMIF('LIRA ARCEO JOEL EDUARDO'!P$40:P$46,'KM POR UNIDAD'!A42,'LIRA ARCEO JOEL EDUARDO'!V$40:V$46)+SUMIF('ANCHONDO ROMERO CESAR ALEJANDRO'!P$40:P$46,'KM POR UNIDAD'!A42,'ANCHONDO ROMERO CESAR ALEJANDRO'!V$40:V$46)</f>
        <v>0</v>
      </c>
      <c r="E42" s="145">
        <f t="shared" si="0"/>
        <v>0</v>
      </c>
      <c r="F42" s="144" t="e">
        <f ca="1">+SUMIF('AGUILAR ESQUIVEL CARLOS'!P$40:P$46,'KM POR UNIDAD'!A42,'AGUILAR ESQUIVEL CARLOS'!W$40:W$46)+SUMIF('AGUILAR RODRIGUEZ JORGE ALONSO'!P$40:P$46,'KM POR UNIDAD'!A42,'AGUILAR RODRIGUEZ JORGE ALONSO'!W$40:W$46)+SUMIF('REYES LARA DANTE'!T$40:T$46,'KM POR UNIDAD'!A42,'REYES LARA DANTE'!Y$40:Y$46)+SUMIF('RAMIREZ BAUTISTA ADRIAN'!T$40:T$46,'KM POR UNIDAD'!A42,'RAMIREZ BAUTISTA ADRIAN'!Y$40:Y$46)+SUMIF('FLORES BOJORQUEZ BRYAN OVED'!T$40:T$46,'KM POR UNIDAD'!A42,'FLORES BOJORQUEZ BRYAN OVED'!Y$40:Y$46)+SUMIF('BALDERRAMA ROBLES JORGE'!T$40:T$46,'KM POR UNIDAD'!A42,'BALDERRAMA ROBLES JORGE'!#REF!)+SUMIF('BURGOS TORRES RIGOBERTO'!T$39:T$45,'KM POR UNIDAD'!A42,'BURGOS TORRES RIGOBERTO'!Y$39:Y$45)+SUMIF('CORDOVA URIBE JOSE  ADRIAN'!T$40:T$46,'KM POR UNIDAD'!E42,'CORDOVA URIBE JOSE  ADRIAN'!Y$40:Y$46)+SUMIF('GUZMAN CHAPARRO PEDRO'!T$40:T$46,'KM POR UNIDAD'!E42,'GUZMAN CHAPARRO PEDRO'!Y$40:Y$46)+SUMIF('HERNANDEZ LICANO JOSE LUIS'!T$40:T$46,'KM POR UNIDAD'!E42,'HERNANDEZ LICANO JOSE LUIS'!#REF!)+SUMIF('CARRERA REYES MARTIN SEBASTIAN'!T$41:T$47,'KM POR UNIDAD'!E42,'CARRERA REYES MARTIN SEBASTIAN'!Y$41:Y$47)+SUMIF('RUIZ SAUCEDO DANIEL ALEJANDRO'!T$40:T$46,'KM POR UNIDAD'!E42,'RUIZ SAUCEDO DANIEL ALEJANDRO'!Y$40:Y$46)+SUMIF('MARTINEZ RAMIREZ ROSALIO'!T$40:T$46,'KM POR UNIDAD'!E42,'MARTINEZ RAMIREZ ROSALIO'!Y$40:Y$46)+SUMIF('BALLEZA RAMIREZ JESUS JOSE'!T$40:T$46,'KM POR UNIDAD'!E42,'BALLEZA RAMIREZ JESUS JOSE'!T$176:T$180)+SUMIF('MONTERO BURROLA LUIS'!T$38:T$44,'KM POR UNIDAD'!E42,'MONTERO BURROLA LUIS'!Y$38:Y$44)+SUMIF('AGUILERA CONTRERAS LUIS GERARDO'!T$41:T$47,'KM POR UNIDAD'!E42,'AGUILERA CONTRERAS LUIS GERARDO'!Y$41:Y$47)+SUMIF('MORALES LOPEZ DE LARA MARIANO'!T$40:T$46,'KM POR UNIDAD'!E42,'MORALES LOPEZ DE LARA MARIANO'!Y$40:Y$46)+SUMIF('MELENDEZ SINALOA MANUEL ARAT'!T$40:T$46,'KM POR UNIDAD'!E42,'MELENDEZ SINALOA MANUEL ARAT'!#REF!)+SUMIF('MORALES LECHUGA GONZALO'!T$40:T$46,'KM POR UNIDAD'!E42,'MORALES LECHUGA GONZALO'!Y$40:Y$46)+SUMIF('ORONA BECERRA MAURO JOSE'!T$40:T$46,'KM POR UNIDAD'!E42,'ORONA BECERRA MAURO JOSE'!Y$40:Y$46)+SUMIF('VALLES HERNANDEZ MANUEL MARCELI'!T$39:T$45,'KM POR UNIDAD'!E42,'VALLES HERNANDEZ MANUEL MARCELI'!Y$39:Y$45)+SUMIF('ORTIZ RAMIREZ HECTOR MANUEL'!T$40:T$46,'KM POR UNIDAD'!E42,'ORTIZ RAMIREZ HECTOR MANUEL'!Y$40:Y$46)+SUMIF('ONTIVEROS LIRA JUAN'!T$40:T$46,'KM POR UNIDAD'!E42,'ONTIVEROS LIRA JUAN'!Y$40:Y$46)+SUMIF('RODRIGUEZ FLORES BRYAN DARIO'!T$40:T$46,'KM POR UNIDAD'!E42,'RODRIGUEZ FLORES BRYAN DARIO'!Y$40:Y$46)+SUMIF('NUÑEZ RUIZ IRVING JAVIER.'!T$42:T$48,'KM POR UNIDAD'!E42,'NUÑEZ RUIZ IRVING JAVIER.'!Y$42:Y$48)+SUMIF('MACHADO MAZUCA ADOLFO'!T$40:T$46,'KM POR UNIDAD'!E42,'MACHADO MAZUCA ADOLFO'!Y$40:Y$46)+SUMIF('LIRA ARCEO JOEL EDUARDO'!T$40:T$46,'KM POR UNIDAD'!E42,'LIRA ARCEO JOEL EDUARDO'!Y$41:Y$46)+SUMIF('ANCHONDO ROMERO CESAR ALEJANDRO'!T$40:T$46,'KM POR UNIDAD'!E42,'ANCHONDO ROMERO CESAR ALEJANDRO'!Y$40:Y$46)</f>
        <v>#REF!</v>
      </c>
      <c r="G42" s="146"/>
    </row>
    <row r="43" spans="1:7" x14ac:dyDescent="0.25">
      <c r="A43" s="143" t="s">
        <v>268</v>
      </c>
      <c r="B43" s="144">
        <f>+SUMIF('AGUILAR ESQUIVEL CARLOS'!P$40:P$46,'KM POR UNIDAD'!A43,'AGUILAR ESQUIVEL CARLOS'!U$40:U$46)+SUMIF('AGUILAR RODRIGUEZ JORGE ALONSO'!P$40:P$46,'KM POR UNIDAD'!A43,'AGUILAR RODRIGUEZ JORGE ALONSO'!U$40:U$46)+SUMIF('REYES LARA DANTE'!P$40:P$46,'KM POR UNIDAD'!A43,'REYES LARA DANTE'!U$40:U$46)+SUMIF('RAMIREZ BAUTISTA ADRIAN'!P$40:P$46,'KM POR UNIDAD'!A43,'RAMIREZ BAUTISTA ADRIAN'!U$40:U$46)+SUMIF('FLORES BOJORQUEZ BRYAN OVED'!P$40:P$46,'KM POR UNIDAD'!A43,'FLORES BOJORQUEZ BRYAN OVED'!U$40:U$46)+SUMIF('BALDERRAMA ROBLES JORGE'!P$40:P$46,'KM POR UNIDAD'!A43,'BALDERRAMA ROBLES JORGE'!U$40:U$46)+SUMIF('BURGOS TORRES RIGOBERTO'!P$39:P$45,'KM POR UNIDAD'!A43,'BURGOS TORRES RIGOBERTO'!U$39:U$45)+SUMIF('CORDOVA URIBE JOSE  ADRIAN'!P$40:P$46,'KM POR UNIDAD'!A43,'CORDOVA URIBE JOSE  ADRIAN'!U$40:U$46)+SUMIF('GUZMAN CHAPARRO PEDRO'!P$40:P$46,'KM POR UNIDAD'!A43,'GUZMAN CHAPARRO PEDRO'!U$40:U$46)+SUMIF('HERNANDEZ LICANO JOSE LUIS'!P$40:P$46,'KM POR UNIDAD'!A43,'HERNANDEZ LICANO JOSE LUIS'!U$40:U$46)+SUMIF('CARRERA REYES MARTIN SEBASTIAN'!P$41:P$47,'KM POR UNIDAD'!A43,'CARRERA REYES MARTIN SEBASTIAN'!U$41:U$47)+SUMIF('RUIZ SAUCEDO DANIEL ALEJANDRO'!P$40:P$46,'KM POR UNIDAD'!A43,'RUIZ SAUCEDO DANIEL ALEJANDRO'!U$40:U$46)+SUMIF('MARTINEZ RAMIREZ ROSALIO'!P$40:P$46,'KM POR UNIDAD'!A43,'MARTINEZ RAMIREZ ROSALIO'!U$40:U$46)+SUMIF('BALLEZA RAMIREZ JESUS JOSE'!P$40:P$46,'KM POR UNIDAD'!A43,'BALLEZA RAMIREZ JESUS JOSE'!U$40:U$46)+SUMIF('MONTERO BURROLA LUIS'!P$38:P$44,'KM POR UNIDAD'!A43,'MONTERO BURROLA LUIS'!U$38:U$44)+SUMIF('AGUILERA CONTRERAS LUIS GERARDO'!P$41:P$47,'KM POR UNIDAD'!A43,'AGUILERA CONTRERAS LUIS GERARDO'!U$41:U$47)+SUMIF('MORALES LOPEZ DE LARA MARIANO'!P$40:P$46,'KM POR UNIDAD'!A43,'MORALES LOPEZ DE LARA MARIANO'!U$40:U$46)+SUMIF('MELENDEZ SINALOA MANUEL ARAT'!P$40:P$46,'KM POR UNIDAD'!A43,'MELENDEZ SINALOA MANUEL ARAT'!U$40:U$46)+SUMIF('MORALES LECHUGA GONZALO'!P$40:P$46,'KM POR UNIDAD'!A43,'MORALES LECHUGA GONZALO'!U$40:U$46)+SUMIF('ORONA BECERRA MAURO JOSE'!P$40:P$46,'KM POR UNIDAD'!A43,'ORONA BECERRA MAURO JOSE'!U$40:U$46)+SUMIF('VALLES HERNANDEZ MANUEL MARCELI'!P$39:P$45,'KM POR UNIDAD'!A43,'VALLES HERNANDEZ MANUEL MARCELI'!U$39:U$45)+SUMIF('ORTIZ RAMIREZ HECTOR MANUEL'!P$40:P$46,'KM POR UNIDAD'!A43,'ORTIZ RAMIREZ HECTOR MANUEL'!U$40:U$46)+SUMIF('ONTIVEROS LIRA JUAN'!P$40:P$46,'KM POR UNIDAD'!A43,'ONTIVEROS LIRA JUAN'!U$40:U$46)+SUMIF('RODRIGUEZ FLORES BRYAN DARIO'!P$40:P$46,'KM POR UNIDAD'!A43,'RODRIGUEZ FLORES BRYAN DARIO'!U$40:U$46)+SUMIF('NUÑEZ RUIZ IRVING JAVIER.'!P$42:P$48,'KM POR UNIDAD'!A43,'NUÑEZ RUIZ IRVING JAVIER.'!U$42:U$48)+SUMIF('MACHADO MAZUCA ADOLFO'!P$40:P$46,'KM POR UNIDAD'!A43,'MACHADO MAZUCA ADOLFO'!U$40:U$46)+SUMIF('LIRA ARCEO JOEL EDUARDO'!P$40:P$46,'KM POR UNIDAD'!A43,'LIRA ARCEO JOEL EDUARDO'!U$40:U$46)+SUMIF('ANCHONDO ROMERO CESAR ALEJANDRO'!P$40:P$46,'KM POR UNIDAD'!A43,'ANCHONDO ROMERO CESAR ALEJANDRO'!U$40:U$46)</f>
        <v>0</v>
      </c>
      <c r="C43" s="150">
        <f ca="1">+SUMIF('AGUILAR ESQUIVEL CARLOS'!P$40:P$46,'KM POR UNIDAD'!A43,'AGUILAR ESQUIVEL CARLOS'!T$40:T$46)+SUMIF('AGUILAR RODRIGUEZ JORGE ALONSO'!P$40:P$46,'KM POR UNIDAD'!A43,'AGUILAR RODRIGUEZ JORGE ALONSO'!T$40:T$46)+SUMIF('REYES LARA DANTE'!P$40:P$46,'KM POR UNIDAD'!A43,'REYES LARA DANTE'!T$40:T$46)+SUMIF('RAMIREZ BAUTISTA ADRIAN'!P$40:P$46,'KM POR UNIDAD'!A43,'RAMIREZ BAUTISTA ADRIAN'!T$40:T$46)+SUMIF('FLORES BOJORQUEZ BRYAN OVED'!P$40:P$46,'KM POR UNIDAD'!A43,'FLORES BOJORQUEZ BRYAN OVED'!T$40:T$46)+SUMIF('BALDERRAMA ROBLES JORGE'!P$40:P$46,'KM POR UNIDAD'!A43,'BALDERRAMA ROBLES JORGE'!T$40:T$46)+SUMIF('BURGOS TORRES RIGOBERTO'!P$39:P$45,'KM POR UNIDAD'!A43,'BURGOS TORRES RIGOBERTO'!T$39:T$45)+SUMIF('CORDOVA URIBE JOSE  ADRIAN'!P$40:P$46,'KM POR UNIDAD'!A43,'CORDOVA URIBE JOSE  ADRIAN'!T$40:T$46)+SUMIF('GUZMAN CHAPARRO PEDRO'!P$40:P$46,'KM POR UNIDAD'!A43,'GUZMAN CHAPARRO PEDRO'!T$40:T$46)+SUMIF('HERNANDEZ LICANO JOSE LUIS'!P$40:P$46,'KM POR UNIDAD'!A43,'HERNANDEZ LICANO JOSE LUIS'!T$40:T$46)+SUMIF('CARRERA REYES MARTIN SEBASTIAN'!P$41:P$47,'KM POR UNIDAD'!A43,'CARRERA REYES MARTIN SEBASTIAN'!T$41:T$47)+SUMIF('RUIZ SAUCEDO DANIEL ALEJANDRO'!P$40:P$46,'KM POR UNIDAD'!A43,'RUIZ SAUCEDO DANIEL ALEJANDRO'!T$40:T$46)+SUMIF('MARTINEZ RAMIREZ ROSALIO'!P$40:P$46,'KM POR UNIDAD'!A43,'MARTINEZ RAMIREZ ROSALIO'!T$40:T$46)+SUMIF('BALLEZA RAMIREZ JESUS JOSE'!P$40:P$46,'KM POR UNIDAD'!A43,'BALLEZA RAMIREZ JESUS JOSE'!T$40:T$46)+SUMIF('MONTERO BURROLA LUIS'!P$38:P$44,'KM POR UNIDAD'!A43,'MONTERO BURROLA LUIS'!T$38:T$44)+SUMIF('AGUILERA CONTRERAS LUIS GERARDO'!P$41:P$47,'KM POR UNIDAD'!A43,'AGUILERA CONTRERAS LUIS GERARDO'!T$41:T$47)+SUMIF('MORALES LOPEZ DE LARA MARIANO'!P$40:P$46,'KM POR UNIDAD'!A43,'MORALES LOPEZ DE LARA MARIANO'!T$40:T$46)+SUMIF('MELENDEZ SINALOA MANUEL ARAT'!P$40:P$46,'KM POR UNIDAD'!A43,'MELENDEZ SINALOA MANUEL ARAT'!T$40:T$46)+SUMIF('MORALES LECHUGA GONZALO'!P$40:P$46,'KM POR UNIDAD'!A43,'MORALES LECHUGA GONZALO'!T$40:T$46)+SUMIF('ORONA BECERRA MAURO JOSE'!P$40:P$46,'KM POR UNIDAD'!A43,'ORONA BECERRA MAURO JOSE'!T$40:T$46)+SUMIF('VALLES HERNANDEZ MANUEL MARCELI'!P$39:P$45,'KM POR UNIDAD'!A43,'VALLES HERNANDEZ MANUEL MARCELI'!T$39:T$45)+SUMIF('ORTIZ RAMIREZ HECTOR MANUEL'!P$40:P$46,'KM POR UNIDAD'!A43,'ORTIZ RAMIREZ HECTOR MANUEL'!T$40:T$46)+SUMIF('ONTIVEROS LIRA JUAN'!P$40:P$446,'KM POR UNIDAD'!A43,'ONTIVEROS LIRA JUAN'!T$40:T$46)+SUMIF('RODRIGUEZ FLORES BRYAN DARIO'!P$40:P$46,'KM POR UNIDAD'!A43,'RODRIGUEZ FLORES BRYAN DARIO'!T$40:T$46)+SUMIF('NUÑEZ RUIZ IRVING JAVIER.'!P$42:P$48,'KM POR UNIDAD'!A43,'NUÑEZ RUIZ IRVING JAVIER.'!T$42:T$48)+SUMIF('MACHADO MAZUCA ADOLFO'!P$40:P$46,'KM POR UNIDAD'!A43,'MACHADO MAZUCA ADOLFO'!T$40:T$46)+SUMIF('LIRA ARCEO JOEL EDUARDO'!P$40:P$46,'KM POR UNIDAD'!A43,'LIRA ARCEO JOEL EDUARDO'!T$40:T$46)+SUMIF('ANCHONDO ROMERO CESAR ALEJANDRO'!P$40:P$46,'KM POR UNIDAD'!A43,'ANCHONDO ROMERO CESAR ALEJANDRO'!T$40:T$46)</f>
        <v>0</v>
      </c>
      <c r="D43" s="150">
        <f>+SUMIF('AGUILAR ESQUIVEL CARLOS'!P$40:P$46,'KM POR UNIDAD'!A43,'AGUILAR ESQUIVEL CARLOS'!V$40:V$46)+SUMIF('AGUILAR RODRIGUEZ JORGE ALONSO'!P$40:P$46,'KM POR UNIDAD'!A43,'AGUILAR RODRIGUEZ JORGE ALONSO'!V$40:V$46)+SUMIF('REYES LARA DANTE'!P$40:P$46,'KM POR UNIDAD'!A43,'REYES LARA DANTE'!V$40:V$46)+SUMIF('RAMIREZ BAUTISTA ADRIAN'!P$40:P$46,'KM POR UNIDAD'!A43,'RAMIREZ BAUTISTA ADRIAN'!V$40:V$46)+SUMIF('FLORES BOJORQUEZ BRYAN OVED'!P$40:P$46,'KM POR UNIDAD'!A43,'FLORES BOJORQUEZ BRYAN OVED'!V$40:V$46)+SUMIF('BALDERRAMA ROBLES JORGE'!P$40:P$46,'KM POR UNIDAD'!A43,'BALDERRAMA ROBLES JORGE'!V$40:V$46)+SUMIF('BURGOS TORRES RIGOBERTO'!P$39:P$45,'KM POR UNIDAD'!A43,'BURGOS TORRES RIGOBERTO'!V$39:V$45)+SUMIF('CORDOVA URIBE JOSE  ADRIAN'!P$40:P$46,'KM POR UNIDAD'!A43,'CORDOVA URIBE JOSE  ADRIAN'!V$40:V$46)+SUMIF('GUZMAN CHAPARRO PEDRO'!P$40:P$46,'KM POR UNIDAD'!A43,'GUZMAN CHAPARRO PEDRO'!V$40:V$46)+SUMIF('HERNANDEZ LICANO JOSE LUIS'!P$40:P$46,'KM POR UNIDAD'!A43,'HERNANDEZ LICANO JOSE LUIS'!V$40:V$46)+SUMIF('CARRERA REYES MARTIN SEBASTIAN'!P$41:P$47,'KM POR UNIDAD'!A43,'CARRERA REYES MARTIN SEBASTIAN'!V$41:V$47)+SUMIF('RUIZ SAUCEDO DANIEL ALEJANDRO'!P$40:P$46,'KM POR UNIDAD'!A43,'RUIZ SAUCEDO DANIEL ALEJANDRO'!V$40:V$46)+SUMIF('MARTINEZ RAMIREZ ROSALIO'!P$40:P$46,'KM POR UNIDAD'!A43,'MARTINEZ RAMIREZ ROSALIO'!V$40:V$46)+SUMIF('BALLEZA RAMIREZ JESUS JOSE'!P$40:P$46,'KM POR UNIDAD'!A43,'BALLEZA RAMIREZ JESUS JOSE'!V$40:V$46)+SUMIF('MONTERO BURROLA LUIS'!P$38:P$44,'KM POR UNIDAD'!A43,'MONTERO BURROLA LUIS'!V$38:V$44)+SUMIF('AGUILERA CONTRERAS LUIS GERARDO'!P$41:P$47,'KM POR UNIDAD'!A43,'AGUILERA CONTRERAS LUIS GERARDO'!V$41:V$47)+SUMIF('MORALES LOPEZ DE LARA MARIANO'!P$40:P$46,'KM POR UNIDAD'!A43,'MORALES LOPEZ DE LARA MARIANO'!V$40:V$46)+SUMIF('MELENDEZ SINALOA MANUEL ARAT'!P$40:P$46,'KM POR UNIDAD'!A43,'MELENDEZ SINALOA MANUEL ARAT'!V$40:V$46)+SUMIF('MORALES LECHUGA GONZALO'!P$40:P$46,'KM POR UNIDAD'!A43,'MORALES LECHUGA GONZALO'!V$40:V$46)+SUMIF('ORONA BECERRA MAURO JOSE'!P$40:P$46,'KM POR UNIDAD'!A43,'ORONA BECERRA MAURO JOSE'!V$40:V$46)+SUMIF('VALLES HERNANDEZ MANUEL MARCELI'!P$39:P$45,'KM POR UNIDAD'!A43,'VALLES HERNANDEZ MANUEL MARCELI'!V$39:V$45)+SUMIF('ORTIZ RAMIREZ HECTOR MANUEL'!P$40:P$46,'KM POR UNIDAD'!A43,'ORTIZ RAMIREZ HECTOR MANUEL'!V$40:V$46)+SUMIF('ONTIVEROS LIRA JUAN'!P$40:P$46,'KM POR UNIDAD'!A43,'ONTIVEROS LIRA JUAN'!V$40:V$46)+SUMIF('RODRIGUEZ FLORES BRYAN DARIO'!P$40:P$46,'KM POR UNIDAD'!A43,'RODRIGUEZ FLORES BRYAN DARIO'!V$40:V$46)+SUMIF('NUÑEZ RUIZ IRVING JAVIER.'!P$42:P$48,'KM POR UNIDAD'!A43,'NUÑEZ RUIZ IRVING JAVIER.'!V$42:V$48)+SUMIF('MACHADO MAZUCA ADOLFO'!P$40:P$46,'KM POR UNIDAD'!A43,'MACHADO MAZUCA ADOLFO'!V$40:V$46)+SUMIF('LIRA ARCEO JOEL EDUARDO'!P$40:P$46,'KM POR UNIDAD'!A43,'LIRA ARCEO JOEL EDUARDO'!V$40:V$46)+SUMIF('ANCHONDO ROMERO CESAR ALEJANDRO'!P$40:P$46,'KM POR UNIDAD'!A43,'ANCHONDO ROMERO CESAR ALEJANDRO'!V$40:V$46)</f>
        <v>0</v>
      </c>
      <c r="E43" s="145">
        <f t="shared" si="0"/>
        <v>0</v>
      </c>
      <c r="F43" s="144" t="e">
        <f ca="1">+SUMIF('AGUILAR ESQUIVEL CARLOS'!P$40:P$46,'KM POR UNIDAD'!A43,'AGUILAR ESQUIVEL CARLOS'!W$40:W$46)+SUMIF('AGUILAR RODRIGUEZ JORGE ALONSO'!P$40:P$46,'KM POR UNIDAD'!A43,'AGUILAR RODRIGUEZ JORGE ALONSO'!W$40:W$46)+SUMIF('REYES LARA DANTE'!T$40:T$46,'KM POR UNIDAD'!A43,'REYES LARA DANTE'!Y$40:Y$46)+SUMIF('RAMIREZ BAUTISTA ADRIAN'!T$40:T$46,'KM POR UNIDAD'!A43,'RAMIREZ BAUTISTA ADRIAN'!Y$40:Y$46)+SUMIF('FLORES BOJORQUEZ BRYAN OVED'!T$40:T$46,'KM POR UNIDAD'!A43,'FLORES BOJORQUEZ BRYAN OVED'!Y$40:Y$46)+SUMIF('BALDERRAMA ROBLES JORGE'!T$40:T$46,'KM POR UNIDAD'!A43,'BALDERRAMA ROBLES JORGE'!#REF!)+SUMIF('BURGOS TORRES RIGOBERTO'!T$39:T$45,'KM POR UNIDAD'!A43,'BURGOS TORRES RIGOBERTO'!Y$39:Y$45)+SUMIF('CORDOVA URIBE JOSE  ADRIAN'!T$40:T$46,'KM POR UNIDAD'!E43,'CORDOVA URIBE JOSE  ADRIAN'!Y$40:Y$46)+SUMIF('GUZMAN CHAPARRO PEDRO'!T$40:T$46,'KM POR UNIDAD'!E43,'GUZMAN CHAPARRO PEDRO'!Y$40:Y$46)+SUMIF('HERNANDEZ LICANO JOSE LUIS'!T$40:T$46,'KM POR UNIDAD'!E43,'HERNANDEZ LICANO JOSE LUIS'!#REF!)+SUMIF('CARRERA REYES MARTIN SEBASTIAN'!T$41:T$47,'KM POR UNIDAD'!E43,'CARRERA REYES MARTIN SEBASTIAN'!Y$41:Y$47)+SUMIF('RUIZ SAUCEDO DANIEL ALEJANDRO'!T$40:T$46,'KM POR UNIDAD'!E43,'RUIZ SAUCEDO DANIEL ALEJANDRO'!Y$40:Y$46)+SUMIF('MARTINEZ RAMIREZ ROSALIO'!T$40:T$46,'KM POR UNIDAD'!E43,'MARTINEZ RAMIREZ ROSALIO'!Y$40:Y$46)+SUMIF('BALLEZA RAMIREZ JESUS JOSE'!T$40:T$46,'KM POR UNIDAD'!E43,'BALLEZA RAMIREZ JESUS JOSE'!T$176:T$180)+SUMIF('MONTERO BURROLA LUIS'!T$38:T$44,'KM POR UNIDAD'!E43,'MONTERO BURROLA LUIS'!Y$38:Y$44)+SUMIF('AGUILERA CONTRERAS LUIS GERARDO'!T$41:T$47,'KM POR UNIDAD'!E43,'AGUILERA CONTRERAS LUIS GERARDO'!Y$41:Y$47)+SUMIF('MORALES LOPEZ DE LARA MARIANO'!T$40:T$46,'KM POR UNIDAD'!E43,'MORALES LOPEZ DE LARA MARIANO'!Y$40:Y$46)+SUMIF('MELENDEZ SINALOA MANUEL ARAT'!T$40:T$46,'KM POR UNIDAD'!E43,'MELENDEZ SINALOA MANUEL ARAT'!#REF!)+SUMIF('MORALES LECHUGA GONZALO'!T$40:T$46,'KM POR UNIDAD'!E43,'MORALES LECHUGA GONZALO'!Y$40:Y$46)+SUMIF('ORONA BECERRA MAURO JOSE'!T$40:T$46,'KM POR UNIDAD'!E43,'ORONA BECERRA MAURO JOSE'!Y$40:Y$46)+SUMIF('VALLES HERNANDEZ MANUEL MARCELI'!T$39:T$45,'KM POR UNIDAD'!E43,'VALLES HERNANDEZ MANUEL MARCELI'!Y$39:Y$45)+SUMIF('ORTIZ RAMIREZ HECTOR MANUEL'!T$40:T$46,'KM POR UNIDAD'!E43,'ORTIZ RAMIREZ HECTOR MANUEL'!Y$40:Y$46)+SUMIF('ONTIVEROS LIRA JUAN'!T$40:T$46,'KM POR UNIDAD'!E43,'ONTIVEROS LIRA JUAN'!Y$40:Y$46)+SUMIF('RODRIGUEZ FLORES BRYAN DARIO'!T$40:T$46,'KM POR UNIDAD'!E43,'RODRIGUEZ FLORES BRYAN DARIO'!Y$40:Y$46)+SUMIF('NUÑEZ RUIZ IRVING JAVIER.'!T$42:T$48,'KM POR UNIDAD'!E43,'NUÑEZ RUIZ IRVING JAVIER.'!Y$42:Y$48)+SUMIF('MACHADO MAZUCA ADOLFO'!T$40:T$46,'KM POR UNIDAD'!E43,'MACHADO MAZUCA ADOLFO'!Y$40:Y$46)+SUMIF('LIRA ARCEO JOEL EDUARDO'!T$40:T$46,'KM POR UNIDAD'!E43,'LIRA ARCEO JOEL EDUARDO'!Y$41:Y$46)+SUMIF('ANCHONDO ROMERO CESAR ALEJANDRO'!T$40:T$46,'KM POR UNIDAD'!E43,'ANCHONDO ROMERO CESAR ALEJANDRO'!Y$40:Y$46)</f>
        <v>#REF!</v>
      </c>
      <c r="G43" s="146"/>
    </row>
    <row r="44" spans="1:7" x14ac:dyDescent="0.25">
      <c r="A44" s="143" t="s">
        <v>269</v>
      </c>
      <c r="B44" s="144">
        <f>+SUMIF('AGUILAR ESQUIVEL CARLOS'!P$40:P$46,'KM POR UNIDAD'!A44,'AGUILAR ESQUIVEL CARLOS'!U$40:U$46)+SUMIF('AGUILAR RODRIGUEZ JORGE ALONSO'!P$40:P$46,'KM POR UNIDAD'!A44,'AGUILAR RODRIGUEZ JORGE ALONSO'!U$40:U$46)+SUMIF('REYES LARA DANTE'!P$40:P$46,'KM POR UNIDAD'!A44,'REYES LARA DANTE'!U$40:U$46)+SUMIF('RAMIREZ BAUTISTA ADRIAN'!P$40:P$46,'KM POR UNIDAD'!A44,'RAMIREZ BAUTISTA ADRIAN'!U$40:U$46)+SUMIF('FLORES BOJORQUEZ BRYAN OVED'!P$40:P$46,'KM POR UNIDAD'!A44,'FLORES BOJORQUEZ BRYAN OVED'!U$40:U$46)+SUMIF('BALDERRAMA ROBLES JORGE'!P$40:P$46,'KM POR UNIDAD'!A44,'BALDERRAMA ROBLES JORGE'!U$40:U$46)+SUMIF('BURGOS TORRES RIGOBERTO'!P$39:P$45,'KM POR UNIDAD'!A44,'BURGOS TORRES RIGOBERTO'!U$39:U$45)+SUMIF('CORDOVA URIBE JOSE  ADRIAN'!P$40:P$46,'KM POR UNIDAD'!A44,'CORDOVA URIBE JOSE  ADRIAN'!U$40:U$46)+SUMIF('GUZMAN CHAPARRO PEDRO'!P$40:P$46,'KM POR UNIDAD'!A44,'GUZMAN CHAPARRO PEDRO'!U$40:U$46)+SUMIF('HERNANDEZ LICANO JOSE LUIS'!P$40:P$46,'KM POR UNIDAD'!A44,'HERNANDEZ LICANO JOSE LUIS'!U$40:U$46)+SUMIF('CARRERA REYES MARTIN SEBASTIAN'!P$41:P$47,'KM POR UNIDAD'!A44,'CARRERA REYES MARTIN SEBASTIAN'!U$41:U$47)+SUMIF('RUIZ SAUCEDO DANIEL ALEJANDRO'!P$40:P$46,'KM POR UNIDAD'!A44,'RUIZ SAUCEDO DANIEL ALEJANDRO'!U$40:U$46)+SUMIF('MARTINEZ RAMIREZ ROSALIO'!P$40:P$46,'KM POR UNIDAD'!A44,'MARTINEZ RAMIREZ ROSALIO'!U$40:U$46)+SUMIF('BALLEZA RAMIREZ JESUS JOSE'!P$40:P$46,'KM POR UNIDAD'!A44,'BALLEZA RAMIREZ JESUS JOSE'!U$40:U$46)+SUMIF('MONTERO BURROLA LUIS'!P$38:P$44,'KM POR UNIDAD'!A44,'MONTERO BURROLA LUIS'!U$38:U$44)+SUMIF('AGUILERA CONTRERAS LUIS GERARDO'!P$41:P$47,'KM POR UNIDAD'!A44,'AGUILERA CONTRERAS LUIS GERARDO'!U$41:U$47)+SUMIF('MORALES LOPEZ DE LARA MARIANO'!P$40:P$46,'KM POR UNIDAD'!A44,'MORALES LOPEZ DE LARA MARIANO'!U$40:U$46)+SUMIF('MELENDEZ SINALOA MANUEL ARAT'!P$40:P$46,'KM POR UNIDAD'!A44,'MELENDEZ SINALOA MANUEL ARAT'!U$40:U$46)+SUMIF('MORALES LECHUGA GONZALO'!P$40:P$46,'KM POR UNIDAD'!A44,'MORALES LECHUGA GONZALO'!U$40:U$46)+SUMIF('ORONA BECERRA MAURO JOSE'!P$40:P$46,'KM POR UNIDAD'!A44,'ORONA BECERRA MAURO JOSE'!U$40:U$46)+SUMIF('VALLES HERNANDEZ MANUEL MARCELI'!P$39:P$45,'KM POR UNIDAD'!A44,'VALLES HERNANDEZ MANUEL MARCELI'!U$39:U$45)+SUMIF('ORTIZ RAMIREZ HECTOR MANUEL'!P$40:P$46,'KM POR UNIDAD'!A44,'ORTIZ RAMIREZ HECTOR MANUEL'!U$40:U$46)+SUMIF('ONTIVEROS LIRA JUAN'!P$40:P$46,'KM POR UNIDAD'!A44,'ONTIVEROS LIRA JUAN'!U$40:U$46)+SUMIF('RODRIGUEZ FLORES BRYAN DARIO'!P$40:P$46,'KM POR UNIDAD'!A44,'RODRIGUEZ FLORES BRYAN DARIO'!U$40:U$46)+SUMIF('NUÑEZ RUIZ IRVING JAVIER.'!P$42:P$48,'KM POR UNIDAD'!A44,'NUÑEZ RUIZ IRVING JAVIER.'!U$42:U$48)+SUMIF('MACHADO MAZUCA ADOLFO'!P$40:P$46,'KM POR UNIDAD'!A44,'MACHADO MAZUCA ADOLFO'!U$40:U$46)+SUMIF('LIRA ARCEO JOEL EDUARDO'!P$40:P$46,'KM POR UNIDAD'!A44,'LIRA ARCEO JOEL EDUARDO'!U$40:U$46)+SUMIF('ANCHONDO ROMERO CESAR ALEJANDRO'!P$40:P$46,'KM POR UNIDAD'!A44,'ANCHONDO ROMERO CESAR ALEJANDRO'!U$40:U$46)</f>
        <v>0</v>
      </c>
      <c r="C44" s="150">
        <f ca="1">+SUMIF('AGUILAR ESQUIVEL CARLOS'!P$40:P$46,'KM POR UNIDAD'!A44,'AGUILAR ESQUIVEL CARLOS'!T$40:T$46)+SUMIF('AGUILAR RODRIGUEZ JORGE ALONSO'!P$40:P$46,'KM POR UNIDAD'!A44,'AGUILAR RODRIGUEZ JORGE ALONSO'!T$40:T$46)+SUMIF('REYES LARA DANTE'!P$40:P$46,'KM POR UNIDAD'!A44,'REYES LARA DANTE'!T$40:T$46)+SUMIF('RAMIREZ BAUTISTA ADRIAN'!P$40:P$46,'KM POR UNIDAD'!A44,'RAMIREZ BAUTISTA ADRIAN'!T$40:T$46)+SUMIF('FLORES BOJORQUEZ BRYAN OVED'!P$40:P$46,'KM POR UNIDAD'!A44,'FLORES BOJORQUEZ BRYAN OVED'!T$40:T$46)+SUMIF('BALDERRAMA ROBLES JORGE'!P$40:P$46,'KM POR UNIDAD'!A44,'BALDERRAMA ROBLES JORGE'!T$40:T$46)+SUMIF('BURGOS TORRES RIGOBERTO'!P$39:P$45,'KM POR UNIDAD'!A44,'BURGOS TORRES RIGOBERTO'!T$39:T$45)+SUMIF('CORDOVA URIBE JOSE  ADRIAN'!P$40:P$46,'KM POR UNIDAD'!A44,'CORDOVA URIBE JOSE  ADRIAN'!T$40:T$46)+SUMIF('GUZMAN CHAPARRO PEDRO'!P$40:P$46,'KM POR UNIDAD'!A44,'GUZMAN CHAPARRO PEDRO'!T$40:T$46)+SUMIF('HERNANDEZ LICANO JOSE LUIS'!P$40:P$46,'KM POR UNIDAD'!A44,'HERNANDEZ LICANO JOSE LUIS'!T$40:T$46)+SUMIF('CARRERA REYES MARTIN SEBASTIAN'!P$41:P$47,'KM POR UNIDAD'!A44,'CARRERA REYES MARTIN SEBASTIAN'!T$41:T$47)+SUMIF('RUIZ SAUCEDO DANIEL ALEJANDRO'!P$40:P$46,'KM POR UNIDAD'!A44,'RUIZ SAUCEDO DANIEL ALEJANDRO'!T$40:T$46)+SUMIF('MARTINEZ RAMIREZ ROSALIO'!P$40:P$46,'KM POR UNIDAD'!A44,'MARTINEZ RAMIREZ ROSALIO'!T$40:T$46)+SUMIF('BALLEZA RAMIREZ JESUS JOSE'!P$40:P$46,'KM POR UNIDAD'!A44,'BALLEZA RAMIREZ JESUS JOSE'!T$40:T$46)+SUMIF('MONTERO BURROLA LUIS'!P$38:P$44,'KM POR UNIDAD'!A44,'MONTERO BURROLA LUIS'!T$38:T$44)+SUMIF('AGUILERA CONTRERAS LUIS GERARDO'!P$41:P$47,'KM POR UNIDAD'!A44,'AGUILERA CONTRERAS LUIS GERARDO'!T$41:T$47)+SUMIF('MORALES LOPEZ DE LARA MARIANO'!P$40:P$46,'KM POR UNIDAD'!A44,'MORALES LOPEZ DE LARA MARIANO'!T$40:T$46)+SUMIF('MELENDEZ SINALOA MANUEL ARAT'!P$40:P$46,'KM POR UNIDAD'!A44,'MELENDEZ SINALOA MANUEL ARAT'!T$40:T$46)+SUMIF('MORALES LECHUGA GONZALO'!P$40:P$46,'KM POR UNIDAD'!A44,'MORALES LECHUGA GONZALO'!T$40:T$46)+SUMIF('ORONA BECERRA MAURO JOSE'!P$40:P$46,'KM POR UNIDAD'!A44,'ORONA BECERRA MAURO JOSE'!T$40:T$46)+SUMIF('VALLES HERNANDEZ MANUEL MARCELI'!P$39:P$45,'KM POR UNIDAD'!A44,'VALLES HERNANDEZ MANUEL MARCELI'!T$39:T$45)+SUMIF('ORTIZ RAMIREZ HECTOR MANUEL'!P$40:P$46,'KM POR UNIDAD'!A44,'ORTIZ RAMIREZ HECTOR MANUEL'!T$40:T$46)+SUMIF('ONTIVEROS LIRA JUAN'!P$40:P$446,'KM POR UNIDAD'!A44,'ONTIVEROS LIRA JUAN'!T$40:T$46)+SUMIF('RODRIGUEZ FLORES BRYAN DARIO'!P$40:P$46,'KM POR UNIDAD'!A44,'RODRIGUEZ FLORES BRYAN DARIO'!T$40:T$46)+SUMIF('NUÑEZ RUIZ IRVING JAVIER.'!P$42:P$48,'KM POR UNIDAD'!A44,'NUÑEZ RUIZ IRVING JAVIER.'!T$42:T$48)+SUMIF('MACHADO MAZUCA ADOLFO'!P$40:P$46,'KM POR UNIDAD'!A44,'MACHADO MAZUCA ADOLFO'!T$40:T$46)+SUMIF('LIRA ARCEO JOEL EDUARDO'!P$40:P$46,'KM POR UNIDAD'!A44,'LIRA ARCEO JOEL EDUARDO'!T$40:T$46)+SUMIF('ANCHONDO ROMERO CESAR ALEJANDRO'!P$40:P$46,'KM POR UNIDAD'!A44,'ANCHONDO ROMERO CESAR ALEJANDRO'!T$40:T$46)</f>
        <v>0</v>
      </c>
      <c r="D44" s="150">
        <f>+SUMIF('AGUILAR ESQUIVEL CARLOS'!P$40:P$46,'KM POR UNIDAD'!A44,'AGUILAR ESQUIVEL CARLOS'!V$40:V$46)+SUMIF('AGUILAR RODRIGUEZ JORGE ALONSO'!P$40:P$46,'KM POR UNIDAD'!A44,'AGUILAR RODRIGUEZ JORGE ALONSO'!V$40:V$46)+SUMIF('REYES LARA DANTE'!P$40:P$46,'KM POR UNIDAD'!A44,'REYES LARA DANTE'!V$40:V$46)+SUMIF('RAMIREZ BAUTISTA ADRIAN'!P$40:P$46,'KM POR UNIDAD'!A44,'RAMIREZ BAUTISTA ADRIAN'!V$40:V$46)+SUMIF('FLORES BOJORQUEZ BRYAN OVED'!P$40:P$46,'KM POR UNIDAD'!A44,'FLORES BOJORQUEZ BRYAN OVED'!V$40:V$46)+SUMIF('BALDERRAMA ROBLES JORGE'!P$40:P$46,'KM POR UNIDAD'!A44,'BALDERRAMA ROBLES JORGE'!V$40:V$46)+SUMIF('BURGOS TORRES RIGOBERTO'!P$39:P$45,'KM POR UNIDAD'!A44,'BURGOS TORRES RIGOBERTO'!V$39:V$45)+SUMIF('CORDOVA URIBE JOSE  ADRIAN'!P$40:P$46,'KM POR UNIDAD'!A44,'CORDOVA URIBE JOSE  ADRIAN'!V$40:V$46)+SUMIF('GUZMAN CHAPARRO PEDRO'!P$40:P$46,'KM POR UNIDAD'!A44,'GUZMAN CHAPARRO PEDRO'!V$40:V$46)+SUMIF('HERNANDEZ LICANO JOSE LUIS'!P$40:P$46,'KM POR UNIDAD'!A44,'HERNANDEZ LICANO JOSE LUIS'!V$40:V$46)+SUMIF('CARRERA REYES MARTIN SEBASTIAN'!P$41:P$47,'KM POR UNIDAD'!A44,'CARRERA REYES MARTIN SEBASTIAN'!V$41:V$47)+SUMIF('RUIZ SAUCEDO DANIEL ALEJANDRO'!P$40:P$46,'KM POR UNIDAD'!A44,'RUIZ SAUCEDO DANIEL ALEJANDRO'!V$40:V$46)+SUMIF('MARTINEZ RAMIREZ ROSALIO'!P$40:P$46,'KM POR UNIDAD'!A44,'MARTINEZ RAMIREZ ROSALIO'!V$40:V$46)+SUMIF('BALLEZA RAMIREZ JESUS JOSE'!P$40:P$46,'KM POR UNIDAD'!A44,'BALLEZA RAMIREZ JESUS JOSE'!V$40:V$46)+SUMIF('MONTERO BURROLA LUIS'!P$38:P$44,'KM POR UNIDAD'!A44,'MONTERO BURROLA LUIS'!V$38:V$44)+SUMIF('AGUILERA CONTRERAS LUIS GERARDO'!P$41:P$47,'KM POR UNIDAD'!A44,'AGUILERA CONTRERAS LUIS GERARDO'!V$41:V$47)+SUMIF('MORALES LOPEZ DE LARA MARIANO'!P$40:P$46,'KM POR UNIDAD'!A44,'MORALES LOPEZ DE LARA MARIANO'!V$40:V$46)+SUMIF('MELENDEZ SINALOA MANUEL ARAT'!P$40:P$46,'KM POR UNIDAD'!A44,'MELENDEZ SINALOA MANUEL ARAT'!V$40:V$46)+SUMIF('MORALES LECHUGA GONZALO'!P$40:P$46,'KM POR UNIDAD'!A44,'MORALES LECHUGA GONZALO'!V$40:V$46)+SUMIF('ORONA BECERRA MAURO JOSE'!P$40:P$46,'KM POR UNIDAD'!A44,'ORONA BECERRA MAURO JOSE'!V$40:V$46)+SUMIF('VALLES HERNANDEZ MANUEL MARCELI'!P$39:P$45,'KM POR UNIDAD'!A44,'VALLES HERNANDEZ MANUEL MARCELI'!V$39:V$45)+SUMIF('ORTIZ RAMIREZ HECTOR MANUEL'!P$40:P$46,'KM POR UNIDAD'!A44,'ORTIZ RAMIREZ HECTOR MANUEL'!V$40:V$46)+SUMIF('ONTIVEROS LIRA JUAN'!P$40:P$46,'KM POR UNIDAD'!A44,'ONTIVEROS LIRA JUAN'!V$40:V$46)+SUMIF('RODRIGUEZ FLORES BRYAN DARIO'!P$40:P$46,'KM POR UNIDAD'!A44,'RODRIGUEZ FLORES BRYAN DARIO'!V$40:V$46)+SUMIF('NUÑEZ RUIZ IRVING JAVIER.'!P$42:P$48,'KM POR UNIDAD'!A44,'NUÑEZ RUIZ IRVING JAVIER.'!V$42:V$48)+SUMIF('MACHADO MAZUCA ADOLFO'!P$40:P$46,'KM POR UNIDAD'!A44,'MACHADO MAZUCA ADOLFO'!V$40:V$46)+SUMIF('LIRA ARCEO JOEL EDUARDO'!P$40:P$46,'KM POR UNIDAD'!A44,'LIRA ARCEO JOEL EDUARDO'!V$40:V$46)+SUMIF('ANCHONDO ROMERO CESAR ALEJANDRO'!P$40:P$46,'KM POR UNIDAD'!A44,'ANCHONDO ROMERO CESAR ALEJANDRO'!V$40:V$46)</f>
        <v>0</v>
      </c>
      <c r="E44" s="145">
        <f t="shared" si="0"/>
        <v>0</v>
      </c>
      <c r="F44" s="144" t="e">
        <f ca="1">+SUMIF('AGUILAR ESQUIVEL CARLOS'!P$40:P$46,'KM POR UNIDAD'!A44,'AGUILAR ESQUIVEL CARLOS'!W$40:W$46)+SUMIF('AGUILAR RODRIGUEZ JORGE ALONSO'!P$40:P$46,'KM POR UNIDAD'!A44,'AGUILAR RODRIGUEZ JORGE ALONSO'!W$40:W$46)+SUMIF('REYES LARA DANTE'!T$40:T$46,'KM POR UNIDAD'!A44,'REYES LARA DANTE'!Y$40:Y$46)+SUMIF('RAMIREZ BAUTISTA ADRIAN'!T$40:T$46,'KM POR UNIDAD'!A44,'RAMIREZ BAUTISTA ADRIAN'!Y$40:Y$46)+SUMIF('FLORES BOJORQUEZ BRYAN OVED'!T$40:T$46,'KM POR UNIDAD'!A44,'FLORES BOJORQUEZ BRYAN OVED'!Y$40:Y$46)+SUMIF('BALDERRAMA ROBLES JORGE'!T$40:T$46,'KM POR UNIDAD'!A44,'BALDERRAMA ROBLES JORGE'!#REF!)+SUMIF('BURGOS TORRES RIGOBERTO'!T$39:T$45,'KM POR UNIDAD'!A44,'BURGOS TORRES RIGOBERTO'!Y$39:Y$45)+SUMIF('CORDOVA URIBE JOSE  ADRIAN'!T$40:T$46,'KM POR UNIDAD'!E44,'CORDOVA URIBE JOSE  ADRIAN'!Y$40:Y$46)+SUMIF('GUZMAN CHAPARRO PEDRO'!T$40:T$46,'KM POR UNIDAD'!E44,'GUZMAN CHAPARRO PEDRO'!Y$40:Y$46)+SUMIF('HERNANDEZ LICANO JOSE LUIS'!T$40:T$46,'KM POR UNIDAD'!E44,'HERNANDEZ LICANO JOSE LUIS'!#REF!)+SUMIF('CARRERA REYES MARTIN SEBASTIAN'!T$41:T$47,'KM POR UNIDAD'!E44,'CARRERA REYES MARTIN SEBASTIAN'!Y$41:Y$47)+SUMIF('RUIZ SAUCEDO DANIEL ALEJANDRO'!T$40:T$46,'KM POR UNIDAD'!E44,'RUIZ SAUCEDO DANIEL ALEJANDRO'!Y$40:Y$46)+SUMIF('MARTINEZ RAMIREZ ROSALIO'!T$40:T$46,'KM POR UNIDAD'!E44,'MARTINEZ RAMIREZ ROSALIO'!Y$40:Y$46)+SUMIF('BALLEZA RAMIREZ JESUS JOSE'!T$40:T$46,'KM POR UNIDAD'!E44,'BALLEZA RAMIREZ JESUS JOSE'!T$176:T$180)+SUMIF('MONTERO BURROLA LUIS'!T$38:T$44,'KM POR UNIDAD'!E44,'MONTERO BURROLA LUIS'!Y$38:Y$44)+SUMIF('AGUILERA CONTRERAS LUIS GERARDO'!T$41:T$47,'KM POR UNIDAD'!E44,'AGUILERA CONTRERAS LUIS GERARDO'!Y$41:Y$47)+SUMIF('MORALES LOPEZ DE LARA MARIANO'!T$40:T$46,'KM POR UNIDAD'!E44,'MORALES LOPEZ DE LARA MARIANO'!Y$40:Y$46)+SUMIF('MELENDEZ SINALOA MANUEL ARAT'!T$40:T$46,'KM POR UNIDAD'!E44,'MELENDEZ SINALOA MANUEL ARAT'!#REF!)+SUMIF('MORALES LECHUGA GONZALO'!T$40:T$46,'KM POR UNIDAD'!E44,'MORALES LECHUGA GONZALO'!Y$40:Y$46)+SUMIF('ORONA BECERRA MAURO JOSE'!T$40:T$46,'KM POR UNIDAD'!E44,'ORONA BECERRA MAURO JOSE'!Y$40:Y$46)+SUMIF('VALLES HERNANDEZ MANUEL MARCELI'!T$39:T$45,'KM POR UNIDAD'!E44,'VALLES HERNANDEZ MANUEL MARCELI'!Y$39:Y$45)+SUMIF('ORTIZ RAMIREZ HECTOR MANUEL'!T$40:T$46,'KM POR UNIDAD'!E44,'ORTIZ RAMIREZ HECTOR MANUEL'!Y$40:Y$46)+SUMIF('ONTIVEROS LIRA JUAN'!T$40:T$46,'KM POR UNIDAD'!E44,'ONTIVEROS LIRA JUAN'!Y$40:Y$46)+SUMIF('RODRIGUEZ FLORES BRYAN DARIO'!T$40:T$46,'KM POR UNIDAD'!E44,'RODRIGUEZ FLORES BRYAN DARIO'!Y$40:Y$46)+SUMIF('NUÑEZ RUIZ IRVING JAVIER.'!T$42:T$48,'KM POR UNIDAD'!E44,'NUÑEZ RUIZ IRVING JAVIER.'!Y$42:Y$48)+SUMIF('MACHADO MAZUCA ADOLFO'!T$40:T$46,'KM POR UNIDAD'!E44,'MACHADO MAZUCA ADOLFO'!Y$40:Y$46)+SUMIF('LIRA ARCEO JOEL EDUARDO'!T$40:T$46,'KM POR UNIDAD'!E44,'LIRA ARCEO JOEL EDUARDO'!Y$41:Y$46)+SUMIF('ANCHONDO ROMERO CESAR ALEJANDRO'!T$40:T$46,'KM POR UNIDAD'!E44,'ANCHONDO ROMERO CESAR ALEJANDRO'!Y$40:Y$46)</f>
        <v>#REF!</v>
      </c>
      <c r="G44" s="146"/>
    </row>
    <row r="45" spans="1:7" x14ac:dyDescent="0.25">
      <c r="A45" s="143" t="s">
        <v>270</v>
      </c>
      <c r="B45" s="144">
        <f>+SUMIF('AGUILAR ESQUIVEL CARLOS'!P$40:P$46,'KM POR UNIDAD'!A45,'AGUILAR ESQUIVEL CARLOS'!U$40:U$46)+SUMIF('AGUILAR RODRIGUEZ JORGE ALONSO'!P$40:P$46,'KM POR UNIDAD'!A45,'AGUILAR RODRIGUEZ JORGE ALONSO'!U$40:U$46)+SUMIF('REYES LARA DANTE'!P$40:P$46,'KM POR UNIDAD'!A45,'REYES LARA DANTE'!U$40:U$46)+SUMIF('RAMIREZ BAUTISTA ADRIAN'!P$40:P$46,'KM POR UNIDAD'!A45,'RAMIREZ BAUTISTA ADRIAN'!U$40:U$46)+SUMIF('FLORES BOJORQUEZ BRYAN OVED'!P$40:P$46,'KM POR UNIDAD'!A45,'FLORES BOJORQUEZ BRYAN OVED'!U$40:U$46)+SUMIF('BALDERRAMA ROBLES JORGE'!P$40:P$46,'KM POR UNIDAD'!A45,'BALDERRAMA ROBLES JORGE'!U$40:U$46)+SUMIF('BURGOS TORRES RIGOBERTO'!P$39:P$45,'KM POR UNIDAD'!A45,'BURGOS TORRES RIGOBERTO'!U$39:U$45)+SUMIF('CORDOVA URIBE JOSE  ADRIAN'!P$40:P$46,'KM POR UNIDAD'!A45,'CORDOVA URIBE JOSE  ADRIAN'!U$40:U$46)+SUMIF('GUZMAN CHAPARRO PEDRO'!P$40:P$46,'KM POR UNIDAD'!A45,'GUZMAN CHAPARRO PEDRO'!U$40:U$46)+SUMIF('HERNANDEZ LICANO JOSE LUIS'!P$40:P$46,'KM POR UNIDAD'!A45,'HERNANDEZ LICANO JOSE LUIS'!U$40:U$46)+SUMIF('CARRERA REYES MARTIN SEBASTIAN'!P$41:P$47,'KM POR UNIDAD'!A45,'CARRERA REYES MARTIN SEBASTIAN'!U$41:U$47)+SUMIF('RUIZ SAUCEDO DANIEL ALEJANDRO'!P$40:P$46,'KM POR UNIDAD'!A45,'RUIZ SAUCEDO DANIEL ALEJANDRO'!U$40:U$46)+SUMIF('MARTINEZ RAMIREZ ROSALIO'!P$40:P$46,'KM POR UNIDAD'!A45,'MARTINEZ RAMIREZ ROSALIO'!U$40:U$46)+SUMIF('BALLEZA RAMIREZ JESUS JOSE'!P$40:P$46,'KM POR UNIDAD'!A45,'BALLEZA RAMIREZ JESUS JOSE'!U$40:U$46)+SUMIF('MONTERO BURROLA LUIS'!P$38:P$44,'KM POR UNIDAD'!A45,'MONTERO BURROLA LUIS'!U$38:U$44)+SUMIF('AGUILERA CONTRERAS LUIS GERARDO'!P$41:P$47,'KM POR UNIDAD'!A45,'AGUILERA CONTRERAS LUIS GERARDO'!U$41:U$47)+SUMIF('MORALES LOPEZ DE LARA MARIANO'!P$40:P$46,'KM POR UNIDAD'!A45,'MORALES LOPEZ DE LARA MARIANO'!U$40:U$46)+SUMIF('MELENDEZ SINALOA MANUEL ARAT'!P$40:P$46,'KM POR UNIDAD'!A45,'MELENDEZ SINALOA MANUEL ARAT'!U$40:U$46)+SUMIF('MORALES LECHUGA GONZALO'!P$40:P$46,'KM POR UNIDAD'!A45,'MORALES LECHUGA GONZALO'!U$40:U$46)+SUMIF('ORONA BECERRA MAURO JOSE'!P$40:P$46,'KM POR UNIDAD'!A45,'ORONA BECERRA MAURO JOSE'!U$40:U$46)+SUMIF('VALLES HERNANDEZ MANUEL MARCELI'!P$39:P$45,'KM POR UNIDAD'!A45,'VALLES HERNANDEZ MANUEL MARCELI'!U$39:U$45)+SUMIF('ORTIZ RAMIREZ HECTOR MANUEL'!P$40:P$46,'KM POR UNIDAD'!A45,'ORTIZ RAMIREZ HECTOR MANUEL'!U$40:U$46)+SUMIF('ONTIVEROS LIRA JUAN'!P$40:P$46,'KM POR UNIDAD'!A45,'ONTIVEROS LIRA JUAN'!U$40:U$46)+SUMIF('RODRIGUEZ FLORES BRYAN DARIO'!P$40:P$46,'KM POR UNIDAD'!A45,'RODRIGUEZ FLORES BRYAN DARIO'!U$40:U$46)+SUMIF('NUÑEZ RUIZ IRVING JAVIER.'!P$42:P$48,'KM POR UNIDAD'!A45,'NUÑEZ RUIZ IRVING JAVIER.'!U$42:U$48)+SUMIF('MACHADO MAZUCA ADOLFO'!P$40:P$46,'KM POR UNIDAD'!A45,'MACHADO MAZUCA ADOLFO'!U$40:U$46)+SUMIF('LIRA ARCEO JOEL EDUARDO'!P$40:P$46,'KM POR UNIDAD'!A45,'LIRA ARCEO JOEL EDUARDO'!U$40:U$46)+SUMIF('ANCHONDO ROMERO CESAR ALEJANDRO'!P$40:P$46,'KM POR UNIDAD'!A45,'ANCHONDO ROMERO CESAR ALEJANDRO'!U$40:U$46)</f>
        <v>0</v>
      </c>
      <c r="C45" s="150">
        <f ca="1">+SUMIF('AGUILAR ESQUIVEL CARLOS'!P$40:P$46,'KM POR UNIDAD'!A45,'AGUILAR ESQUIVEL CARLOS'!T$40:T$46)+SUMIF('AGUILAR RODRIGUEZ JORGE ALONSO'!P$40:P$46,'KM POR UNIDAD'!A45,'AGUILAR RODRIGUEZ JORGE ALONSO'!T$40:T$46)+SUMIF('REYES LARA DANTE'!P$40:P$46,'KM POR UNIDAD'!A45,'REYES LARA DANTE'!T$40:T$46)+SUMIF('RAMIREZ BAUTISTA ADRIAN'!P$40:P$46,'KM POR UNIDAD'!A45,'RAMIREZ BAUTISTA ADRIAN'!T$40:T$46)+SUMIF('FLORES BOJORQUEZ BRYAN OVED'!P$40:P$46,'KM POR UNIDAD'!A45,'FLORES BOJORQUEZ BRYAN OVED'!T$40:T$46)+SUMIF('BALDERRAMA ROBLES JORGE'!P$40:P$46,'KM POR UNIDAD'!A45,'BALDERRAMA ROBLES JORGE'!T$40:T$46)+SUMIF('BURGOS TORRES RIGOBERTO'!P$39:P$45,'KM POR UNIDAD'!A45,'BURGOS TORRES RIGOBERTO'!T$39:T$45)+SUMIF('CORDOVA URIBE JOSE  ADRIAN'!P$40:P$46,'KM POR UNIDAD'!A45,'CORDOVA URIBE JOSE  ADRIAN'!T$40:T$46)+SUMIF('GUZMAN CHAPARRO PEDRO'!P$40:P$46,'KM POR UNIDAD'!A45,'GUZMAN CHAPARRO PEDRO'!T$40:T$46)+SUMIF('HERNANDEZ LICANO JOSE LUIS'!P$40:P$46,'KM POR UNIDAD'!A45,'HERNANDEZ LICANO JOSE LUIS'!T$40:T$46)+SUMIF('CARRERA REYES MARTIN SEBASTIAN'!P$41:P$47,'KM POR UNIDAD'!A45,'CARRERA REYES MARTIN SEBASTIAN'!T$41:T$47)+SUMIF('RUIZ SAUCEDO DANIEL ALEJANDRO'!P$40:P$46,'KM POR UNIDAD'!A45,'RUIZ SAUCEDO DANIEL ALEJANDRO'!T$40:T$46)+SUMIF('MARTINEZ RAMIREZ ROSALIO'!P$40:P$46,'KM POR UNIDAD'!A45,'MARTINEZ RAMIREZ ROSALIO'!T$40:T$46)+SUMIF('BALLEZA RAMIREZ JESUS JOSE'!P$40:P$46,'KM POR UNIDAD'!A45,'BALLEZA RAMIREZ JESUS JOSE'!T$40:T$46)+SUMIF('MONTERO BURROLA LUIS'!P$38:P$44,'KM POR UNIDAD'!A45,'MONTERO BURROLA LUIS'!T$38:T$44)+SUMIF('AGUILERA CONTRERAS LUIS GERARDO'!P$41:P$47,'KM POR UNIDAD'!A45,'AGUILERA CONTRERAS LUIS GERARDO'!T$41:T$47)+SUMIF('MORALES LOPEZ DE LARA MARIANO'!P$40:P$46,'KM POR UNIDAD'!A45,'MORALES LOPEZ DE LARA MARIANO'!T$40:T$46)+SUMIF('MELENDEZ SINALOA MANUEL ARAT'!P$40:P$46,'KM POR UNIDAD'!A45,'MELENDEZ SINALOA MANUEL ARAT'!T$40:T$46)+SUMIF('MORALES LECHUGA GONZALO'!P$40:P$46,'KM POR UNIDAD'!A45,'MORALES LECHUGA GONZALO'!T$40:T$46)+SUMIF('ORONA BECERRA MAURO JOSE'!P$40:P$46,'KM POR UNIDAD'!A45,'ORONA BECERRA MAURO JOSE'!T$40:T$46)+SUMIF('VALLES HERNANDEZ MANUEL MARCELI'!P$39:P$45,'KM POR UNIDAD'!A45,'VALLES HERNANDEZ MANUEL MARCELI'!T$39:T$45)+SUMIF('ORTIZ RAMIREZ HECTOR MANUEL'!P$40:P$46,'KM POR UNIDAD'!A45,'ORTIZ RAMIREZ HECTOR MANUEL'!T$40:T$46)+SUMIF('ONTIVEROS LIRA JUAN'!P$40:P$446,'KM POR UNIDAD'!A45,'ONTIVEROS LIRA JUAN'!T$40:T$46)+SUMIF('RODRIGUEZ FLORES BRYAN DARIO'!P$40:P$46,'KM POR UNIDAD'!A45,'RODRIGUEZ FLORES BRYAN DARIO'!T$40:T$46)+SUMIF('NUÑEZ RUIZ IRVING JAVIER.'!P$42:P$48,'KM POR UNIDAD'!A45,'NUÑEZ RUIZ IRVING JAVIER.'!T$42:T$48)+SUMIF('MACHADO MAZUCA ADOLFO'!P$40:P$46,'KM POR UNIDAD'!A45,'MACHADO MAZUCA ADOLFO'!T$40:T$46)+SUMIF('LIRA ARCEO JOEL EDUARDO'!P$40:P$46,'KM POR UNIDAD'!A45,'LIRA ARCEO JOEL EDUARDO'!T$40:T$46)+SUMIF('ANCHONDO ROMERO CESAR ALEJANDRO'!P$40:P$46,'KM POR UNIDAD'!A45,'ANCHONDO ROMERO CESAR ALEJANDRO'!T$40:T$46)</f>
        <v>0</v>
      </c>
      <c r="D45" s="150">
        <f>+SUMIF('AGUILAR ESQUIVEL CARLOS'!P$40:P$46,'KM POR UNIDAD'!A45,'AGUILAR ESQUIVEL CARLOS'!V$40:V$46)+SUMIF('AGUILAR RODRIGUEZ JORGE ALONSO'!P$40:P$46,'KM POR UNIDAD'!A45,'AGUILAR RODRIGUEZ JORGE ALONSO'!V$40:V$46)+SUMIF('REYES LARA DANTE'!P$40:P$46,'KM POR UNIDAD'!A45,'REYES LARA DANTE'!V$40:V$46)+SUMIF('RAMIREZ BAUTISTA ADRIAN'!P$40:P$46,'KM POR UNIDAD'!A45,'RAMIREZ BAUTISTA ADRIAN'!V$40:V$46)+SUMIF('FLORES BOJORQUEZ BRYAN OVED'!P$40:P$46,'KM POR UNIDAD'!A45,'FLORES BOJORQUEZ BRYAN OVED'!V$40:V$46)+SUMIF('BALDERRAMA ROBLES JORGE'!P$40:P$46,'KM POR UNIDAD'!A45,'BALDERRAMA ROBLES JORGE'!V$40:V$46)+SUMIF('BURGOS TORRES RIGOBERTO'!P$39:P$45,'KM POR UNIDAD'!A45,'BURGOS TORRES RIGOBERTO'!V$39:V$45)+SUMIF('CORDOVA URIBE JOSE  ADRIAN'!P$40:P$46,'KM POR UNIDAD'!A45,'CORDOVA URIBE JOSE  ADRIAN'!V$40:V$46)+SUMIF('GUZMAN CHAPARRO PEDRO'!P$40:P$46,'KM POR UNIDAD'!A45,'GUZMAN CHAPARRO PEDRO'!V$40:V$46)+SUMIF('HERNANDEZ LICANO JOSE LUIS'!P$40:P$46,'KM POR UNIDAD'!A45,'HERNANDEZ LICANO JOSE LUIS'!V$40:V$46)+SUMIF('CARRERA REYES MARTIN SEBASTIAN'!P$41:P$47,'KM POR UNIDAD'!A45,'CARRERA REYES MARTIN SEBASTIAN'!V$41:V$47)+SUMIF('RUIZ SAUCEDO DANIEL ALEJANDRO'!P$40:P$46,'KM POR UNIDAD'!A45,'RUIZ SAUCEDO DANIEL ALEJANDRO'!V$40:V$46)+SUMIF('MARTINEZ RAMIREZ ROSALIO'!P$40:P$46,'KM POR UNIDAD'!A45,'MARTINEZ RAMIREZ ROSALIO'!V$40:V$46)+SUMIF('BALLEZA RAMIREZ JESUS JOSE'!P$40:P$46,'KM POR UNIDAD'!A45,'BALLEZA RAMIREZ JESUS JOSE'!V$40:V$46)+SUMIF('MONTERO BURROLA LUIS'!P$38:P$44,'KM POR UNIDAD'!A45,'MONTERO BURROLA LUIS'!V$38:V$44)+SUMIF('AGUILERA CONTRERAS LUIS GERARDO'!P$41:P$47,'KM POR UNIDAD'!A45,'AGUILERA CONTRERAS LUIS GERARDO'!V$41:V$47)+SUMIF('MORALES LOPEZ DE LARA MARIANO'!P$40:P$46,'KM POR UNIDAD'!A45,'MORALES LOPEZ DE LARA MARIANO'!V$40:V$46)+SUMIF('MELENDEZ SINALOA MANUEL ARAT'!P$40:P$46,'KM POR UNIDAD'!A45,'MELENDEZ SINALOA MANUEL ARAT'!V$40:V$46)+SUMIF('MORALES LECHUGA GONZALO'!P$40:P$46,'KM POR UNIDAD'!A45,'MORALES LECHUGA GONZALO'!V$40:V$46)+SUMIF('ORONA BECERRA MAURO JOSE'!P$40:P$46,'KM POR UNIDAD'!A45,'ORONA BECERRA MAURO JOSE'!V$40:V$46)+SUMIF('VALLES HERNANDEZ MANUEL MARCELI'!P$39:P$45,'KM POR UNIDAD'!A45,'VALLES HERNANDEZ MANUEL MARCELI'!V$39:V$45)+SUMIF('ORTIZ RAMIREZ HECTOR MANUEL'!P$40:P$46,'KM POR UNIDAD'!A45,'ORTIZ RAMIREZ HECTOR MANUEL'!V$40:V$46)+SUMIF('ONTIVEROS LIRA JUAN'!P$40:P$46,'KM POR UNIDAD'!A45,'ONTIVEROS LIRA JUAN'!V$40:V$46)+SUMIF('RODRIGUEZ FLORES BRYAN DARIO'!P$40:P$46,'KM POR UNIDAD'!A45,'RODRIGUEZ FLORES BRYAN DARIO'!V$40:V$46)+SUMIF('NUÑEZ RUIZ IRVING JAVIER.'!P$42:P$48,'KM POR UNIDAD'!A45,'NUÑEZ RUIZ IRVING JAVIER.'!V$42:V$48)+SUMIF('MACHADO MAZUCA ADOLFO'!P$40:P$46,'KM POR UNIDAD'!A45,'MACHADO MAZUCA ADOLFO'!V$40:V$46)+SUMIF('LIRA ARCEO JOEL EDUARDO'!P$40:P$46,'KM POR UNIDAD'!A45,'LIRA ARCEO JOEL EDUARDO'!V$40:V$46)+SUMIF('ANCHONDO ROMERO CESAR ALEJANDRO'!P$40:P$46,'KM POR UNIDAD'!A45,'ANCHONDO ROMERO CESAR ALEJANDRO'!V$40:V$46)</f>
        <v>0</v>
      </c>
      <c r="E45" s="145">
        <f>IFERROR(B45/D45,0)</f>
        <v>0</v>
      </c>
      <c r="F45" s="144" t="e">
        <f ca="1">+SUMIF('AGUILAR ESQUIVEL CARLOS'!P$40:P$46,'KM POR UNIDAD'!A45,'AGUILAR ESQUIVEL CARLOS'!W$40:W$46)+SUMIF('AGUILAR RODRIGUEZ JORGE ALONSO'!P$40:P$46,'KM POR UNIDAD'!A45,'AGUILAR RODRIGUEZ JORGE ALONSO'!W$40:W$46)+SUMIF('REYES LARA DANTE'!T$40:T$46,'KM POR UNIDAD'!A45,'REYES LARA DANTE'!Y$40:Y$46)+SUMIF('RAMIREZ BAUTISTA ADRIAN'!T$40:T$46,'KM POR UNIDAD'!A45,'RAMIREZ BAUTISTA ADRIAN'!Y$40:Y$46)+SUMIF('FLORES BOJORQUEZ BRYAN OVED'!T$40:T$46,'KM POR UNIDAD'!A45,'FLORES BOJORQUEZ BRYAN OVED'!Y$40:Y$46)+SUMIF('BALDERRAMA ROBLES JORGE'!T$40:T$46,'KM POR UNIDAD'!A45,'BALDERRAMA ROBLES JORGE'!#REF!)+SUMIF('BURGOS TORRES RIGOBERTO'!T$39:T$45,'KM POR UNIDAD'!A45,'BURGOS TORRES RIGOBERTO'!Y$39:Y$45)+SUMIF('CORDOVA URIBE JOSE  ADRIAN'!T$40:T$46,'KM POR UNIDAD'!E45,'CORDOVA URIBE JOSE  ADRIAN'!Y$40:Y$46)+SUMIF('GUZMAN CHAPARRO PEDRO'!T$40:T$46,'KM POR UNIDAD'!E45,'GUZMAN CHAPARRO PEDRO'!Y$40:Y$46)+SUMIF('HERNANDEZ LICANO JOSE LUIS'!T$40:T$46,'KM POR UNIDAD'!E45,'HERNANDEZ LICANO JOSE LUIS'!#REF!)+SUMIF('CARRERA REYES MARTIN SEBASTIAN'!T$41:T$47,'KM POR UNIDAD'!E45,'CARRERA REYES MARTIN SEBASTIAN'!Y$41:Y$47)+SUMIF('RUIZ SAUCEDO DANIEL ALEJANDRO'!T$40:T$46,'KM POR UNIDAD'!E45,'RUIZ SAUCEDO DANIEL ALEJANDRO'!Y$40:Y$46)+SUMIF('MARTINEZ RAMIREZ ROSALIO'!T$40:T$46,'KM POR UNIDAD'!E45,'MARTINEZ RAMIREZ ROSALIO'!Y$40:Y$46)+SUMIF('BALLEZA RAMIREZ JESUS JOSE'!T$40:T$46,'KM POR UNIDAD'!E45,'BALLEZA RAMIREZ JESUS JOSE'!T$176:T$180)+SUMIF('MONTERO BURROLA LUIS'!T$38:T$44,'KM POR UNIDAD'!E45,'MONTERO BURROLA LUIS'!Y$38:Y$44)+SUMIF('AGUILERA CONTRERAS LUIS GERARDO'!T$41:T$47,'KM POR UNIDAD'!E45,'AGUILERA CONTRERAS LUIS GERARDO'!Y$41:Y$47)+SUMIF('MORALES LOPEZ DE LARA MARIANO'!T$40:T$46,'KM POR UNIDAD'!E45,'MORALES LOPEZ DE LARA MARIANO'!Y$40:Y$46)+SUMIF('MELENDEZ SINALOA MANUEL ARAT'!T$40:T$46,'KM POR UNIDAD'!E45,'MELENDEZ SINALOA MANUEL ARAT'!#REF!)+SUMIF('MORALES LECHUGA GONZALO'!T$40:T$46,'KM POR UNIDAD'!E45,'MORALES LECHUGA GONZALO'!Y$40:Y$46)+SUMIF('ORONA BECERRA MAURO JOSE'!T$40:T$46,'KM POR UNIDAD'!E45,'ORONA BECERRA MAURO JOSE'!Y$40:Y$46)+SUMIF('VALLES HERNANDEZ MANUEL MARCELI'!T$39:T$45,'KM POR UNIDAD'!E45,'VALLES HERNANDEZ MANUEL MARCELI'!Y$39:Y$45)+SUMIF('ORTIZ RAMIREZ HECTOR MANUEL'!T$40:T$46,'KM POR UNIDAD'!E45,'ORTIZ RAMIREZ HECTOR MANUEL'!Y$40:Y$46)+SUMIF('ONTIVEROS LIRA JUAN'!T$40:T$46,'KM POR UNIDAD'!E45,'ONTIVEROS LIRA JUAN'!Y$40:Y$46)+SUMIF('RODRIGUEZ FLORES BRYAN DARIO'!T$40:T$46,'KM POR UNIDAD'!E45,'RODRIGUEZ FLORES BRYAN DARIO'!Y$40:Y$46)+SUMIF('NUÑEZ RUIZ IRVING JAVIER.'!T$42:T$48,'KM POR UNIDAD'!E45,'NUÑEZ RUIZ IRVING JAVIER.'!Y$42:Y$48)+SUMIF('MACHADO MAZUCA ADOLFO'!T$40:T$46,'KM POR UNIDAD'!E45,'MACHADO MAZUCA ADOLFO'!Y$40:Y$46)+SUMIF('LIRA ARCEO JOEL EDUARDO'!T$40:T$46,'KM POR UNIDAD'!E45,'LIRA ARCEO JOEL EDUARDO'!Y$41:Y$46)+SUMIF('ANCHONDO ROMERO CESAR ALEJANDRO'!T$40:T$46,'KM POR UNIDAD'!E45,'ANCHONDO ROMERO CESAR ALEJANDRO'!Y$40:Y$46)</f>
        <v>#REF!</v>
      </c>
      <c r="G45" s="146"/>
    </row>
    <row r="46" spans="1:7" x14ac:dyDescent="0.25">
      <c r="A46" s="143" t="s">
        <v>63</v>
      </c>
      <c r="B46" s="144">
        <f>+SUMIF('AGUILAR ESQUIVEL CARLOS'!P$40:P$46,'KM POR UNIDAD'!A46,'AGUILAR ESQUIVEL CARLOS'!U$40:U$46)+SUMIF('AGUILAR RODRIGUEZ JORGE ALONSO'!P$40:P$46,'KM POR UNIDAD'!A46,'AGUILAR RODRIGUEZ JORGE ALONSO'!U$40:U$46)+SUMIF('REYES LARA DANTE'!P$40:P$46,'KM POR UNIDAD'!A46,'REYES LARA DANTE'!U$40:U$46)+SUMIF('RAMIREZ BAUTISTA ADRIAN'!P$40:P$46,'KM POR UNIDAD'!A46,'RAMIREZ BAUTISTA ADRIAN'!U$40:U$46)+SUMIF('FLORES BOJORQUEZ BRYAN OVED'!P$40:P$46,'KM POR UNIDAD'!A46,'FLORES BOJORQUEZ BRYAN OVED'!U$40:U$46)+SUMIF('BALDERRAMA ROBLES JORGE'!P$40:P$46,'KM POR UNIDAD'!A46,'BALDERRAMA ROBLES JORGE'!U$40:U$46)+SUMIF('BURGOS TORRES RIGOBERTO'!P$39:P$45,'KM POR UNIDAD'!A46,'BURGOS TORRES RIGOBERTO'!U$39:U$45)+SUMIF('CORDOVA URIBE JOSE  ADRIAN'!P$40:P$46,'KM POR UNIDAD'!A46,'CORDOVA URIBE JOSE  ADRIAN'!U$40:U$46)+SUMIF('GUZMAN CHAPARRO PEDRO'!P$40:P$46,'KM POR UNIDAD'!A46,'GUZMAN CHAPARRO PEDRO'!U$40:U$46)+SUMIF('HERNANDEZ LICANO JOSE LUIS'!P$40:P$46,'KM POR UNIDAD'!A46,'HERNANDEZ LICANO JOSE LUIS'!U$40:U$46)+SUMIF('CARRERA REYES MARTIN SEBASTIAN'!P$41:P$47,'KM POR UNIDAD'!A46,'CARRERA REYES MARTIN SEBASTIAN'!U$41:U$47)+SUMIF('RUIZ SAUCEDO DANIEL ALEJANDRO'!P$40:P$46,'KM POR UNIDAD'!A46,'RUIZ SAUCEDO DANIEL ALEJANDRO'!U$40:U$46)+SUMIF('MARTINEZ RAMIREZ ROSALIO'!P$40:P$46,'KM POR UNIDAD'!A46,'MARTINEZ RAMIREZ ROSALIO'!U$40:U$46)+SUMIF('BALLEZA RAMIREZ JESUS JOSE'!P$40:P$46,'KM POR UNIDAD'!A46,'BALLEZA RAMIREZ JESUS JOSE'!U$40:U$46)+SUMIF('MONTERO BURROLA LUIS'!P$38:P$44,'KM POR UNIDAD'!A46,'MONTERO BURROLA LUIS'!U$38:U$44)+SUMIF('AGUILERA CONTRERAS LUIS GERARDO'!P$41:P$47,'KM POR UNIDAD'!A46,'AGUILERA CONTRERAS LUIS GERARDO'!U$41:U$47)+SUMIF('MORALES LOPEZ DE LARA MARIANO'!P$40:P$46,'KM POR UNIDAD'!A46,'MORALES LOPEZ DE LARA MARIANO'!U$40:U$46)+SUMIF('MELENDEZ SINALOA MANUEL ARAT'!P$40:P$46,'KM POR UNIDAD'!A46,'MELENDEZ SINALOA MANUEL ARAT'!U$40:U$46)+SUMIF('MORALES LECHUGA GONZALO'!P$40:P$46,'KM POR UNIDAD'!A46,'MORALES LECHUGA GONZALO'!U$40:U$46)+SUMIF('ORONA BECERRA MAURO JOSE'!P$40:P$46,'KM POR UNIDAD'!A46,'ORONA BECERRA MAURO JOSE'!U$40:U$46)+SUMIF('VALLES HERNANDEZ MANUEL MARCELI'!P$39:P$45,'KM POR UNIDAD'!A46,'VALLES HERNANDEZ MANUEL MARCELI'!U$39:U$45)+SUMIF('ORTIZ RAMIREZ HECTOR MANUEL'!P$40:P$46,'KM POR UNIDAD'!A46,'ORTIZ RAMIREZ HECTOR MANUEL'!U$40:U$46)+SUMIF('ONTIVEROS LIRA JUAN'!P$40:P$46,'KM POR UNIDAD'!A46,'ONTIVEROS LIRA JUAN'!U$40:U$46)+SUMIF('RODRIGUEZ FLORES BRYAN DARIO'!P$40:P$46,'KM POR UNIDAD'!A46,'RODRIGUEZ FLORES BRYAN DARIO'!U$40:U$46)+SUMIF('NUÑEZ RUIZ IRVING JAVIER.'!P$42:P$48,'KM POR UNIDAD'!A46,'NUÑEZ RUIZ IRVING JAVIER.'!U$42:U$48)+SUMIF('MACHADO MAZUCA ADOLFO'!P$40:P$46,'KM POR UNIDAD'!A46,'MACHADO MAZUCA ADOLFO'!U$40:U$46)+SUMIF('LIRA ARCEO JOEL EDUARDO'!P$40:P$46,'KM POR UNIDAD'!A46,'LIRA ARCEO JOEL EDUARDO'!U$40:U$46)+SUMIF('ANCHONDO ROMERO CESAR ALEJANDRO'!P$40:P$46,'KM POR UNIDAD'!A46,'ANCHONDO ROMERO CESAR ALEJANDRO'!U$40:U$46)</f>
        <v>790</v>
      </c>
      <c r="C46" s="150">
        <f ca="1">+SUMIF('AGUILAR ESQUIVEL CARLOS'!P$40:P$46,'KM POR UNIDAD'!A46,'AGUILAR ESQUIVEL CARLOS'!T$40:T$46)+SUMIF('AGUILAR RODRIGUEZ JORGE ALONSO'!P$40:P$46,'KM POR UNIDAD'!A46,'AGUILAR RODRIGUEZ JORGE ALONSO'!T$40:T$46)+SUMIF('REYES LARA DANTE'!P$40:P$46,'KM POR UNIDAD'!A46,'REYES LARA DANTE'!T$40:T$46)+SUMIF('RAMIREZ BAUTISTA ADRIAN'!P$40:P$46,'KM POR UNIDAD'!A46,'RAMIREZ BAUTISTA ADRIAN'!T$40:T$46)+SUMIF('FLORES BOJORQUEZ BRYAN OVED'!P$40:P$46,'KM POR UNIDAD'!A46,'FLORES BOJORQUEZ BRYAN OVED'!T$40:T$46)+SUMIF('BALDERRAMA ROBLES JORGE'!P$40:P$46,'KM POR UNIDAD'!A46,'BALDERRAMA ROBLES JORGE'!T$40:T$46)+SUMIF('BURGOS TORRES RIGOBERTO'!P$39:P$45,'KM POR UNIDAD'!A46,'BURGOS TORRES RIGOBERTO'!T$39:T$45)+SUMIF('CORDOVA URIBE JOSE  ADRIAN'!P$40:P$46,'KM POR UNIDAD'!A46,'CORDOVA URIBE JOSE  ADRIAN'!T$40:T$46)+SUMIF('GUZMAN CHAPARRO PEDRO'!P$40:P$46,'KM POR UNIDAD'!A46,'GUZMAN CHAPARRO PEDRO'!T$40:T$46)+SUMIF('HERNANDEZ LICANO JOSE LUIS'!P$40:P$46,'KM POR UNIDAD'!A46,'HERNANDEZ LICANO JOSE LUIS'!T$40:T$46)+SUMIF('CARRERA REYES MARTIN SEBASTIAN'!P$41:P$47,'KM POR UNIDAD'!A46,'CARRERA REYES MARTIN SEBASTIAN'!T$41:T$47)+SUMIF('RUIZ SAUCEDO DANIEL ALEJANDRO'!P$40:P$46,'KM POR UNIDAD'!A46,'RUIZ SAUCEDO DANIEL ALEJANDRO'!T$40:T$46)+SUMIF('MARTINEZ RAMIREZ ROSALIO'!P$40:P$46,'KM POR UNIDAD'!A46,'MARTINEZ RAMIREZ ROSALIO'!T$40:T$46)+SUMIF('BALLEZA RAMIREZ JESUS JOSE'!P$40:P$46,'KM POR UNIDAD'!A46,'BALLEZA RAMIREZ JESUS JOSE'!T$40:T$46)+SUMIF('MONTERO BURROLA LUIS'!P$38:P$44,'KM POR UNIDAD'!A46,'MONTERO BURROLA LUIS'!T$38:T$44)+SUMIF('AGUILERA CONTRERAS LUIS GERARDO'!P$41:P$47,'KM POR UNIDAD'!A46,'AGUILERA CONTRERAS LUIS GERARDO'!T$41:T$47)+SUMIF('MORALES LOPEZ DE LARA MARIANO'!P$40:P$46,'KM POR UNIDAD'!A46,'MORALES LOPEZ DE LARA MARIANO'!T$40:T$46)+SUMIF('MELENDEZ SINALOA MANUEL ARAT'!P$40:P$46,'KM POR UNIDAD'!A46,'MELENDEZ SINALOA MANUEL ARAT'!T$40:T$46)+SUMIF('MORALES LECHUGA GONZALO'!P$40:P$46,'KM POR UNIDAD'!A46,'MORALES LECHUGA GONZALO'!T$40:T$46)+SUMIF('ORONA BECERRA MAURO JOSE'!P$40:P$46,'KM POR UNIDAD'!A46,'ORONA BECERRA MAURO JOSE'!T$40:T$46)+SUMIF('VALLES HERNANDEZ MANUEL MARCELI'!P$39:P$45,'KM POR UNIDAD'!A46,'VALLES HERNANDEZ MANUEL MARCELI'!T$39:T$45)+SUMIF('ORTIZ RAMIREZ HECTOR MANUEL'!P$40:P$46,'KM POR UNIDAD'!A46,'ORTIZ RAMIREZ HECTOR MANUEL'!T$40:T$46)+SUMIF('ONTIVEROS LIRA JUAN'!P$40:P$446,'KM POR UNIDAD'!A46,'ONTIVEROS LIRA JUAN'!T$40:T$46)+SUMIF('RODRIGUEZ FLORES BRYAN DARIO'!P$40:P$46,'KM POR UNIDAD'!A46,'RODRIGUEZ FLORES BRYAN DARIO'!T$40:T$46)+SUMIF('NUÑEZ RUIZ IRVING JAVIER.'!P$42:P$48,'KM POR UNIDAD'!A46,'NUÑEZ RUIZ IRVING JAVIER.'!T$42:T$48)+SUMIF('MACHADO MAZUCA ADOLFO'!P$40:P$46,'KM POR UNIDAD'!A46,'MACHADO MAZUCA ADOLFO'!T$40:T$46)+SUMIF('LIRA ARCEO JOEL EDUARDO'!P$40:P$46,'KM POR UNIDAD'!A46,'LIRA ARCEO JOEL EDUARDO'!T$40:T$46)+SUMIF('ANCHONDO ROMERO CESAR ALEJANDRO'!P$40:P$46,'KM POR UNIDAD'!A46,'ANCHONDO ROMERO CESAR ALEJANDRO'!T$40:T$46)</f>
        <v>740</v>
      </c>
      <c r="D46" s="150">
        <f>+SUMIF('AGUILAR ESQUIVEL CARLOS'!P$40:P$46,'KM POR UNIDAD'!A46,'AGUILAR ESQUIVEL CARLOS'!V$40:V$46)+SUMIF('AGUILAR RODRIGUEZ JORGE ALONSO'!P$40:P$46,'KM POR UNIDAD'!A46,'AGUILAR RODRIGUEZ JORGE ALONSO'!V$40:V$46)+SUMIF('REYES LARA DANTE'!P$40:P$46,'KM POR UNIDAD'!A46,'REYES LARA DANTE'!V$40:V$46)+SUMIF('RAMIREZ BAUTISTA ADRIAN'!P$40:P$46,'KM POR UNIDAD'!A46,'RAMIREZ BAUTISTA ADRIAN'!V$40:V$46)+SUMIF('FLORES BOJORQUEZ BRYAN OVED'!P$40:P$46,'KM POR UNIDAD'!A46,'FLORES BOJORQUEZ BRYAN OVED'!V$40:V$46)+SUMIF('BALDERRAMA ROBLES JORGE'!P$40:P$46,'KM POR UNIDAD'!A46,'BALDERRAMA ROBLES JORGE'!V$40:V$46)+SUMIF('BURGOS TORRES RIGOBERTO'!P$39:P$45,'KM POR UNIDAD'!A46,'BURGOS TORRES RIGOBERTO'!V$39:V$45)+SUMIF('CORDOVA URIBE JOSE  ADRIAN'!P$40:P$46,'KM POR UNIDAD'!A46,'CORDOVA URIBE JOSE  ADRIAN'!V$40:V$46)+SUMIF('GUZMAN CHAPARRO PEDRO'!P$40:P$46,'KM POR UNIDAD'!A46,'GUZMAN CHAPARRO PEDRO'!V$40:V$46)+SUMIF('HERNANDEZ LICANO JOSE LUIS'!P$40:P$46,'KM POR UNIDAD'!A46,'HERNANDEZ LICANO JOSE LUIS'!V$40:V$46)+SUMIF('CARRERA REYES MARTIN SEBASTIAN'!P$41:P$47,'KM POR UNIDAD'!A46,'CARRERA REYES MARTIN SEBASTIAN'!V$41:V$47)+SUMIF('RUIZ SAUCEDO DANIEL ALEJANDRO'!P$40:P$46,'KM POR UNIDAD'!A46,'RUIZ SAUCEDO DANIEL ALEJANDRO'!V$40:V$46)+SUMIF('MARTINEZ RAMIREZ ROSALIO'!P$40:P$46,'KM POR UNIDAD'!A46,'MARTINEZ RAMIREZ ROSALIO'!V$40:V$46)+SUMIF('BALLEZA RAMIREZ JESUS JOSE'!P$40:P$46,'KM POR UNIDAD'!A46,'BALLEZA RAMIREZ JESUS JOSE'!V$40:V$46)+SUMIF('MONTERO BURROLA LUIS'!P$38:P$44,'KM POR UNIDAD'!A46,'MONTERO BURROLA LUIS'!V$38:V$44)+SUMIF('AGUILERA CONTRERAS LUIS GERARDO'!P$41:P$47,'KM POR UNIDAD'!A46,'AGUILERA CONTRERAS LUIS GERARDO'!V$41:V$47)+SUMIF('MORALES LOPEZ DE LARA MARIANO'!P$40:P$46,'KM POR UNIDAD'!A46,'MORALES LOPEZ DE LARA MARIANO'!V$40:V$46)+SUMIF('MELENDEZ SINALOA MANUEL ARAT'!P$40:P$46,'KM POR UNIDAD'!A46,'MELENDEZ SINALOA MANUEL ARAT'!V$40:V$46)+SUMIF('MORALES LECHUGA GONZALO'!P$40:P$46,'KM POR UNIDAD'!A46,'MORALES LECHUGA GONZALO'!V$40:V$46)+SUMIF('ORONA BECERRA MAURO JOSE'!P$40:P$46,'KM POR UNIDAD'!A46,'ORONA BECERRA MAURO JOSE'!V$40:V$46)+SUMIF('VALLES HERNANDEZ MANUEL MARCELI'!P$39:P$45,'KM POR UNIDAD'!A46,'VALLES HERNANDEZ MANUEL MARCELI'!V$39:V$45)+SUMIF('ORTIZ RAMIREZ HECTOR MANUEL'!P$40:P$46,'KM POR UNIDAD'!A46,'ORTIZ RAMIREZ HECTOR MANUEL'!V$40:V$46)+SUMIF('ONTIVEROS LIRA JUAN'!P$40:P$46,'KM POR UNIDAD'!A46,'ONTIVEROS LIRA JUAN'!V$40:V$46)+SUMIF('RODRIGUEZ FLORES BRYAN DARIO'!P$40:P$46,'KM POR UNIDAD'!A46,'RODRIGUEZ FLORES BRYAN DARIO'!V$40:V$46)+SUMIF('NUÑEZ RUIZ IRVING JAVIER.'!P$42:P$48,'KM POR UNIDAD'!A46,'NUÑEZ RUIZ IRVING JAVIER.'!V$42:V$48)+SUMIF('MACHADO MAZUCA ADOLFO'!P$40:P$46,'KM POR UNIDAD'!A46,'MACHADO MAZUCA ADOLFO'!V$40:V$46)+SUMIF('LIRA ARCEO JOEL EDUARDO'!P$40:P$46,'KM POR UNIDAD'!A46,'LIRA ARCEO JOEL EDUARDO'!V$40:V$46)+SUMIF('ANCHONDO ROMERO CESAR ALEJANDRO'!P$40:P$46,'KM POR UNIDAD'!A46,'ANCHONDO ROMERO CESAR ALEJANDRO'!V$40:V$46)</f>
        <v>245.01</v>
      </c>
      <c r="E46" s="145">
        <f t="shared" si="0"/>
        <v>3.2243581894616549</v>
      </c>
      <c r="F46" s="144" t="e">
        <f ca="1">+SUMIF('AGUILAR ESQUIVEL CARLOS'!P$40:P$46,'KM POR UNIDAD'!A46,'AGUILAR ESQUIVEL CARLOS'!W$40:W$46)+SUMIF('AGUILAR RODRIGUEZ JORGE ALONSO'!P$40:P$46,'KM POR UNIDAD'!A46,'AGUILAR RODRIGUEZ JORGE ALONSO'!W$40:W$46)+SUMIF('REYES LARA DANTE'!T$40:T$46,'KM POR UNIDAD'!A46,'REYES LARA DANTE'!Y$40:Y$46)+SUMIF('RAMIREZ BAUTISTA ADRIAN'!T$40:T$46,'KM POR UNIDAD'!A46,'RAMIREZ BAUTISTA ADRIAN'!Y$40:Y$46)+SUMIF('FLORES BOJORQUEZ BRYAN OVED'!T$40:T$46,'KM POR UNIDAD'!A46,'FLORES BOJORQUEZ BRYAN OVED'!Y$40:Y$46)+SUMIF('BALDERRAMA ROBLES JORGE'!T$40:T$46,'KM POR UNIDAD'!A46,'BALDERRAMA ROBLES JORGE'!#REF!)+SUMIF('BURGOS TORRES RIGOBERTO'!T$39:T$45,'KM POR UNIDAD'!A46,'BURGOS TORRES RIGOBERTO'!Y$39:Y$45)+SUMIF('CORDOVA URIBE JOSE  ADRIAN'!T$40:T$46,'KM POR UNIDAD'!E46,'CORDOVA URIBE JOSE  ADRIAN'!Y$40:Y$46)+SUMIF('GUZMAN CHAPARRO PEDRO'!T$40:T$46,'KM POR UNIDAD'!E46,'GUZMAN CHAPARRO PEDRO'!Y$40:Y$46)+SUMIF('HERNANDEZ LICANO JOSE LUIS'!T$40:T$46,'KM POR UNIDAD'!E46,'HERNANDEZ LICANO JOSE LUIS'!#REF!)+SUMIF('CARRERA REYES MARTIN SEBASTIAN'!T$41:T$47,'KM POR UNIDAD'!E46,'CARRERA REYES MARTIN SEBASTIAN'!Y$41:Y$47)+SUMIF('RUIZ SAUCEDO DANIEL ALEJANDRO'!T$40:T$46,'KM POR UNIDAD'!E46,'RUIZ SAUCEDO DANIEL ALEJANDRO'!Y$40:Y$46)+SUMIF('MARTINEZ RAMIREZ ROSALIO'!T$40:T$46,'KM POR UNIDAD'!E46,'MARTINEZ RAMIREZ ROSALIO'!Y$40:Y$46)+SUMIF('BALLEZA RAMIREZ JESUS JOSE'!T$40:T$46,'KM POR UNIDAD'!E46,'BALLEZA RAMIREZ JESUS JOSE'!T$176:T$180)+SUMIF('MONTERO BURROLA LUIS'!T$38:T$44,'KM POR UNIDAD'!E46,'MONTERO BURROLA LUIS'!Y$38:Y$44)+SUMIF('AGUILERA CONTRERAS LUIS GERARDO'!T$41:T$47,'KM POR UNIDAD'!E46,'AGUILERA CONTRERAS LUIS GERARDO'!Y$41:Y$47)+SUMIF('MORALES LOPEZ DE LARA MARIANO'!T$40:T$46,'KM POR UNIDAD'!E46,'MORALES LOPEZ DE LARA MARIANO'!Y$40:Y$46)+SUMIF('MELENDEZ SINALOA MANUEL ARAT'!T$40:T$46,'KM POR UNIDAD'!E46,'MELENDEZ SINALOA MANUEL ARAT'!#REF!)+SUMIF('MORALES LECHUGA GONZALO'!T$40:T$46,'KM POR UNIDAD'!E46,'MORALES LECHUGA GONZALO'!Y$40:Y$46)+SUMIF('ORONA BECERRA MAURO JOSE'!T$40:T$46,'KM POR UNIDAD'!E46,'ORONA BECERRA MAURO JOSE'!Y$40:Y$46)+SUMIF('VALLES HERNANDEZ MANUEL MARCELI'!T$39:T$45,'KM POR UNIDAD'!E46,'VALLES HERNANDEZ MANUEL MARCELI'!Y$39:Y$45)+SUMIF('ORTIZ RAMIREZ HECTOR MANUEL'!T$40:T$46,'KM POR UNIDAD'!E46,'ORTIZ RAMIREZ HECTOR MANUEL'!Y$40:Y$46)+SUMIF('ONTIVEROS LIRA JUAN'!T$40:T$46,'KM POR UNIDAD'!E46,'ONTIVEROS LIRA JUAN'!Y$40:Y$46)+SUMIF('RODRIGUEZ FLORES BRYAN DARIO'!T$40:T$46,'KM POR UNIDAD'!E46,'RODRIGUEZ FLORES BRYAN DARIO'!Y$40:Y$46)+SUMIF('NUÑEZ RUIZ IRVING JAVIER.'!T$42:T$48,'KM POR UNIDAD'!E46,'NUÑEZ RUIZ IRVING JAVIER.'!Y$42:Y$48)+SUMIF('MACHADO MAZUCA ADOLFO'!T$40:T$46,'KM POR UNIDAD'!E46,'MACHADO MAZUCA ADOLFO'!Y$40:Y$46)+SUMIF('LIRA ARCEO JOEL EDUARDO'!T$40:T$46,'KM POR UNIDAD'!E46,'LIRA ARCEO JOEL EDUARDO'!Y$41:Y$46)+SUMIF('ANCHONDO ROMERO CESAR ALEJANDRO'!T$40:T$46,'KM POR UNIDAD'!E46,'ANCHONDO ROMERO CESAR ALEJANDRO'!Y$40:Y$46)</f>
        <v>#REF!</v>
      </c>
      <c r="G46" s="146"/>
    </row>
    <row r="47" spans="1:7" x14ac:dyDescent="0.25">
      <c r="A47" s="143" t="s">
        <v>136</v>
      </c>
      <c r="B47" s="144">
        <f>+SUMIF('AGUILAR ESQUIVEL CARLOS'!P$40:P$46,'KM POR UNIDAD'!A47,'AGUILAR ESQUIVEL CARLOS'!U$40:U$46)+SUMIF('AGUILAR RODRIGUEZ JORGE ALONSO'!P$40:P$46,'KM POR UNIDAD'!A47,'AGUILAR RODRIGUEZ JORGE ALONSO'!U$40:U$46)+SUMIF('REYES LARA DANTE'!P$40:P$46,'KM POR UNIDAD'!A47,'REYES LARA DANTE'!U$40:U$46)+SUMIF('RAMIREZ BAUTISTA ADRIAN'!P$40:P$46,'KM POR UNIDAD'!A47,'RAMIREZ BAUTISTA ADRIAN'!U$40:U$46)+SUMIF('FLORES BOJORQUEZ BRYAN OVED'!P$40:P$46,'KM POR UNIDAD'!A47,'FLORES BOJORQUEZ BRYAN OVED'!U$40:U$46)+SUMIF('BALDERRAMA ROBLES JORGE'!P$40:P$46,'KM POR UNIDAD'!A47,'BALDERRAMA ROBLES JORGE'!U$40:U$46)+SUMIF('BURGOS TORRES RIGOBERTO'!P$39:P$45,'KM POR UNIDAD'!A47,'BURGOS TORRES RIGOBERTO'!U$39:U$45)+SUMIF('CORDOVA URIBE JOSE  ADRIAN'!P$40:P$46,'KM POR UNIDAD'!A47,'CORDOVA URIBE JOSE  ADRIAN'!U$40:U$46)+SUMIF('GUZMAN CHAPARRO PEDRO'!P$40:P$46,'KM POR UNIDAD'!A47,'GUZMAN CHAPARRO PEDRO'!U$40:U$46)+SUMIF('HERNANDEZ LICANO JOSE LUIS'!P$40:P$46,'KM POR UNIDAD'!A47,'HERNANDEZ LICANO JOSE LUIS'!U$40:U$46)+SUMIF('CARRERA REYES MARTIN SEBASTIAN'!P$41:P$47,'KM POR UNIDAD'!A47,'CARRERA REYES MARTIN SEBASTIAN'!U$41:U$47)+SUMIF('RUIZ SAUCEDO DANIEL ALEJANDRO'!P$40:P$46,'KM POR UNIDAD'!A47,'RUIZ SAUCEDO DANIEL ALEJANDRO'!U$40:U$46)+SUMIF('MARTINEZ RAMIREZ ROSALIO'!P$40:P$46,'KM POR UNIDAD'!A47,'MARTINEZ RAMIREZ ROSALIO'!U$40:U$46)+SUMIF('BALLEZA RAMIREZ JESUS JOSE'!P$40:P$46,'KM POR UNIDAD'!A47,'BALLEZA RAMIREZ JESUS JOSE'!U$40:U$46)+SUMIF('MONTERO BURROLA LUIS'!P$38:P$44,'KM POR UNIDAD'!A47,'MONTERO BURROLA LUIS'!U$38:U$44)+SUMIF('AGUILERA CONTRERAS LUIS GERARDO'!P$41:P$47,'KM POR UNIDAD'!A47,'AGUILERA CONTRERAS LUIS GERARDO'!U$41:U$47)+SUMIF('MORALES LOPEZ DE LARA MARIANO'!P$40:P$46,'KM POR UNIDAD'!A47,'MORALES LOPEZ DE LARA MARIANO'!U$40:U$46)+SUMIF('MELENDEZ SINALOA MANUEL ARAT'!P$40:P$46,'KM POR UNIDAD'!A47,'MELENDEZ SINALOA MANUEL ARAT'!U$40:U$46)+SUMIF('MORALES LECHUGA GONZALO'!P$40:P$46,'KM POR UNIDAD'!A47,'MORALES LECHUGA GONZALO'!U$40:U$46)+SUMIF('ORONA BECERRA MAURO JOSE'!P$40:P$46,'KM POR UNIDAD'!A47,'ORONA BECERRA MAURO JOSE'!U$40:U$46)+SUMIF('VALLES HERNANDEZ MANUEL MARCELI'!P$39:P$45,'KM POR UNIDAD'!A47,'VALLES HERNANDEZ MANUEL MARCELI'!U$39:U$45)+SUMIF('ORTIZ RAMIREZ HECTOR MANUEL'!P$40:P$46,'KM POR UNIDAD'!A47,'ORTIZ RAMIREZ HECTOR MANUEL'!U$40:U$46)+SUMIF('ONTIVEROS LIRA JUAN'!P$40:P$46,'KM POR UNIDAD'!A47,'ONTIVEROS LIRA JUAN'!U$40:U$46)+SUMIF('RODRIGUEZ FLORES BRYAN DARIO'!P$40:P$46,'KM POR UNIDAD'!A47,'RODRIGUEZ FLORES BRYAN DARIO'!U$40:U$46)+SUMIF('NUÑEZ RUIZ IRVING JAVIER.'!P$42:P$48,'KM POR UNIDAD'!A47,'NUÑEZ RUIZ IRVING JAVIER.'!U$42:U$48)+SUMIF('MACHADO MAZUCA ADOLFO'!P$40:P$46,'KM POR UNIDAD'!A47,'MACHADO MAZUCA ADOLFO'!U$40:U$46)+SUMIF('LIRA ARCEO JOEL EDUARDO'!P$40:P$46,'KM POR UNIDAD'!A47,'LIRA ARCEO JOEL EDUARDO'!U$40:U$46)+SUMIF('ANCHONDO ROMERO CESAR ALEJANDRO'!P$40:P$46,'KM POR UNIDAD'!A47,'ANCHONDO ROMERO CESAR ALEJANDRO'!U$40:U$46)</f>
        <v>0</v>
      </c>
      <c r="C47" s="150">
        <f ca="1">+SUMIF('AGUILAR ESQUIVEL CARLOS'!P$40:P$46,'KM POR UNIDAD'!A47,'AGUILAR ESQUIVEL CARLOS'!T$40:T$46)+SUMIF('AGUILAR RODRIGUEZ JORGE ALONSO'!P$40:P$46,'KM POR UNIDAD'!A47,'AGUILAR RODRIGUEZ JORGE ALONSO'!T$40:T$46)+SUMIF('REYES LARA DANTE'!P$40:P$46,'KM POR UNIDAD'!A47,'REYES LARA DANTE'!T$40:T$46)+SUMIF('RAMIREZ BAUTISTA ADRIAN'!P$40:P$46,'KM POR UNIDAD'!A47,'RAMIREZ BAUTISTA ADRIAN'!T$40:T$46)+SUMIF('FLORES BOJORQUEZ BRYAN OVED'!P$40:P$46,'KM POR UNIDAD'!A47,'FLORES BOJORQUEZ BRYAN OVED'!T$40:T$46)+SUMIF('BALDERRAMA ROBLES JORGE'!P$40:P$46,'KM POR UNIDAD'!A47,'BALDERRAMA ROBLES JORGE'!T$40:T$46)+SUMIF('BURGOS TORRES RIGOBERTO'!P$39:P$45,'KM POR UNIDAD'!A47,'BURGOS TORRES RIGOBERTO'!T$39:T$45)+SUMIF('CORDOVA URIBE JOSE  ADRIAN'!P$40:P$46,'KM POR UNIDAD'!A47,'CORDOVA URIBE JOSE  ADRIAN'!T$40:T$46)+SUMIF('GUZMAN CHAPARRO PEDRO'!P$40:P$46,'KM POR UNIDAD'!A47,'GUZMAN CHAPARRO PEDRO'!T$40:T$46)+SUMIF('HERNANDEZ LICANO JOSE LUIS'!P$40:P$46,'KM POR UNIDAD'!A47,'HERNANDEZ LICANO JOSE LUIS'!T$40:T$46)+SUMIF('CARRERA REYES MARTIN SEBASTIAN'!P$41:P$47,'KM POR UNIDAD'!A47,'CARRERA REYES MARTIN SEBASTIAN'!T$41:T$47)+SUMIF('RUIZ SAUCEDO DANIEL ALEJANDRO'!P$40:P$46,'KM POR UNIDAD'!A47,'RUIZ SAUCEDO DANIEL ALEJANDRO'!T$40:T$46)+SUMIF('MARTINEZ RAMIREZ ROSALIO'!P$40:P$46,'KM POR UNIDAD'!A47,'MARTINEZ RAMIREZ ROSALIO'!T$40:T$46)+SUMIF('BALLEZA RAMIREZ JESUS JOSE'!P$40:P$46,'KM POR UNIDAD'!A47,'BALLEZA RAMIREZ JESUS JOSE'!T$40:T$46)+SUMIF('MONTERO BURROLA LUIS'!P$38:P$44,'KM POR UNIDAD'!A47,'MONTERO BURROLA LUIS'!T$38:T$44)+SUMIF('AGUILERA CONTRERAS LUIS GERARDO'!P$41:P$47,'KM POR UNIDAD'!A47,'AGUILERA CONTRERAS LUIS GERARDO'!T$41:T$47)+SUMIF('MORALES LOPEZ DE LARA MARIANO'!P$40:P$46,'KM POR UNIDAD'!A47,'MORALES LOPEZ DE LARA MARIANO'!T$40:T$46)+SUMIF('MELENDEZ SINALOA MANUEL ARAT'!P$40:P$46,'KM POR UNIDAD'!A47,'MELENDEZ SINALOA MANUEL ARAT'!T$40:T$46)+SUMIF('MORALES LECHUGA GONZALO'!P$40:P$46,'KM POR UNIDAD'!A47,'MORALES LECHUGA GONZALO'!T$40:T$46)+SUMIF('ORONA BECERRA MAURO JOSE'!P$40:P$46,'KM POR UNIDAD'!A47,'ORONA BECERRA MAURO JOSE'!T$40:T$46)+SUMIF('VALLES HERNANDEZ MANUEL MARCELI'!P$39:P$45,'KM POR UNIDAD'!A47,'VALLES HERNANDEZ MANUEL MARCELI'!T$39:T$45)+SUMIF('ORTIZ RAMIREZ HECTOR MANUEL'!P$40:P$46,'KM POR UNIDAD'!A47,'ORTIZ RAMIREZ HECTOR MANUEL'!T$40:T$46)+SUMIF('ONTIVEROS LIRA JUAN'!P$40:P$446,'KM POR UNIDAD'!A47,'ONTIVEROS LIRA JUAN'!T$40:T$46)+SUMIF('RODRIGUEZ FLORES BRYAN DARIO'!P$40:P$46,'KM POR UNIDAD'!A47,'RODRIGUEZ FLORES BRYAN DARIO'!T$40:T$46)+SUMIF('NUÑEZ RUIZ IRVING JAVIER.'!P$42:P$48,'KM POR UNIDAD'!A47,'NUÑEZ RUIZ IRVING JAVIER.'!T$42:T$48)+SUMIF('MACHADO MAZUCA ADOLFO'!P$40:P$46,'KM POR UNIDAD'!A47,'MACHADO MAZUCA ADOLFO'!T$40:T$46)+SUMIF('LIRA ARCEO JOEL EDUARDO'!P$40:P$46,'KM POR UNIDAD'!A47,'LIRA ARCEO JOEL EDUARDO'!T$40:T$46)+SUMIF('ANCHONDO ROMERO CESAR ALEJANDRO'!P$40:P$46,'KM POR UNIDAD'!A47,'ANCHONDO ROMERO CESAR ALEJANDRO'!T$40:T$46)</f>
        <v>0</v>
      </c>
      <c r="D47" s="150">
        <f>+SUMIF('AGUILAR ESQUIVEL CARLOS'!P$40:P$46,'KM POR UNIDAD'!A47,'AGUILAR ESQUIVEL CARLOS'!V$40:V$46)+SUMIF('AGUILAR RODRIGUEZ JORGE ALONSO'!P$40:P$46,'KM POR UNIDAD'!A47,'AGUILAR RODRIGUEZ JORGE ALONSO'!V$40:V$46)+SUMIF('REYES LARA DANTE'!P$40:P$46,'KM POR UNIDAD'!A47,'REYES LARA DANTE'!V$40:V$46)+SUMIF('RAMIREZ BAUTISTA ADRIAN'!P$40:P$46,'KM POR UNIDAD'!A47,'RAMIREZ BAUTISTA ADRIAN'!V$40:V$46)+SUMIF('FLORES BOJORQUEZ BRYAN OVED'!P$40:P$46,'KM POR UNIDAD'!A47,'FLORES BOJORQUEZ BRYAN OVED'!V$40:V$46)+SUMIF('BALDERRAMA ROBLES JORGE'!P$40:P$46,'KM POR UNIDAD'!A47,'BALDERRAMA ROBLES JORGE'!V$40:V$46)+SUMIF('BURGOS TORRES RIGOBERTO'!P$39:P$45,'KM POR UNIDAD'!A47,'BURGOS TORRES RIGOBERTO'!V$39:V$45)+SUMIF('CORDOVA URIBE JOSE  ADRIAN'!P$40:P$46,'KM POR UNIDAD'!A47,'CORDOVA URIBE JOSE  ADRIAN'!V$40:V$46)+SUMIF('GUZMAN CHAPARRO PEDRO'!P$40:P$46,'KM POR UNIDAD'!A47,'GUZMAN CHAPARRO PEDRO'!V$40:V$46)+SUMIF('HERNANDEZ LICANO JOSE LUIS'!P$40:P$46,'KM POR UNIDAD'!A47,'HERNANDEZ LICANO JOSE LUIS'!V$40:V$46)+SUMIF('CARRERA REYES MARTIN SEBASTIAN'!P$41:P$47,'KM POR UNIDAD'!A47,'CARRERA REYES MARTIN SEBASTIAN'!V$41:V$47)+SUMIF('RUIZ SAUCEDO DANIEL ALEJANDRO'!P$40:P$46,'KM POR UNIDAD'!A47,'RUIZ SAUCEDO DANIEL ALEJANDRO'!V$40:V$46)+SUMIF('MARTINEZ RAMIREZ ROSALIO'!P$40:P$46,'KM POR UNIDAD'!A47,'MARTINEZ RAMIREZ ROSALIO'!V$40:V$46)+SUMIF('BALLEZA RAMIREZ JESUS JOSE'!P$40:P$46,'KM POR UNIDAD'!A47,'BALLEZA RAMIREZ JESUS JOSE'!V$40:V$46)+SUMIF('MONTERO BURROLA LUIS'!P$38:P$44,'KM POR UNIDAD'!A47,'MONTERO BURROLA LUIS'!V$38:V$44)+SUMIF('AGUILERA CONTRERAS LUIS GERARDO'!P$41:P$47,'KM POR UNIDAD'!A47,'AGUILERA CONTRERAS LUIS GERARDO'!V$41:V$47)+SUMIF('MORALES LOPEZ DE LARA MARIANO'!P$40:P$46,'KM POR UNIDAD'!A47,'MORALES LOPEZ DE LARA MARIANO'!V$40:V$46)+SUMIF('MELENDEZ SINALOA MANUEL ARAT'!P$40:P$46,'KM POR UNIDAD'!A47,'MELENDEZ SINALOA MANUEL ARAT'!V$40:V$46)+SUMIF('MORALES LECHUGA GONZALO'!P$40:P$46,'KM POR UNIDAD'!A47,'MORALES LECHUGA GONZALO'!V$40:V$46)+SUMIF('ORONA BECERRA MAURO JOSE'!P$40:P$46,'KM POR UNIDAD'!A47,'ORONA BECERRA MAURO JOSE'!V$40:V$46)+SUMIF('VALLES HERNANDEZ MANUEL MARCELI'!P$39:P$45,'KM POR UNIDAD'!A47,'VALLES HERNANDEZ MANUEL MARCELI'!V$39:V$45)+SUMIF('ORTIZ RAMIREZ HECTOR MANUEL'!P$40:P$46,'KM POR UNIDAD'!A47,'ORTIZ RAMIREZ HECTOR MANUEL'!V$40:V$46)+SUMIF('ONTIVEROS LIRA JUAN'!P$40:P$46,'KM POR UNIDAD'!A47,'ONTIVEROS LIRA JUAN'!V$40:V$46)+SUMIF('RODRIGUEZ FLORES BRYAN DARIO'!P$40:P$46,'KM POR UNIDAD'!A47,'RODRIGUEZ FLORES BRYAN DARIO'!V$40:V$46)+SUMIF('NUÑEZ RUIZ IRVING JAVIER.'!P$42:P$48,'KM POR UNIDAD'!A47,'NUÑEZ RUIZ IRVING JAVIER.'!V$42:V$48)+SUMIF('MACHADO MAZUCA ADOLFO'!P$40:P$46,'KM POR UNIDAD'!A47,'MACHADO MAZUCA ADOLFO'!V$40:V$46)+SUMIF('LIRA ARCEO JOEL EDUARDO'!P$40:P$46,'KM POR UNIDAD'!A47,'LIRA ARCEO JOEL EDUARDO'!V$40:V$46)+SUMIF('ANCHONDO ROMERO CESAR ALEJANDRO'!P$40:P$46,'KM POR UNIDAD'!A47,'ANCHONDO ROMERO CESAR ALEJANDRO'!V$40:V$46)</f>
        <v>0</v>
      </c>
      <c r="E47" s="145">
        <f t="shared" si="0"/>
        <v>0</v>
      </c>
      <c r="F47" s="144" t="e">
        <f ca="1">+SUMIF('AGUILAR ESQUIVEL CARLOS'!P$40:P$46,'KM POR UNIDAD'!A47,'AGUILAR ESQUIVEL CARLOS'!W$40:W$46)+SUMIF('AGUILAR RODRIGUEZ JORGE ALONSO'!P$40:P$46,'KM POR UNIDAD'!A47,'AGUILAR RODRIGUEZ JORGE ALONSO'!W$40:W$46)+SUMIF('REYES LARA DANTE'!T$40:T$46,'KM POR UNIDAD'!A47,'REYES LARA DANTE'!Y$40:Y$46)+SUMIF('RAMIREZ BAUTISTA ADRIAN'!T$40:T$46,'KM POR UNIDAD'!A47,'RAMIREZ BAUTISTA ADRIAN'!Y$40:Y$46)+SUMIF('FLORES BOJORQUEZ BRYAN OVED'!T$40:T$46,'KM POR UNIDAD'!A47,'FLORES BOJORQUEZ BRYAN OVED'!Y$40:Y$46)+SUMIF('BALDERRAMA ROBLES JORGE'!T$40:T$46,'KM POR UNIDAD'!A47,'BALDERRAMA ROBLES JORGE'!#REF!)+SUMIF('BURGOS TORRES RIGOBERTO'!T$39:T$45,'KM POR UNIDAD'!A47,'BURGOS TORRES RIGOBERTO'!Y$39:Y$45)+SUMIF('CORDOVA URIBE JOSE  ADRIAN'!T$40:T$46,'KM POR UNIDAD'!E47,'CORDOVA URIBE JOSE  ADRIAN'!Y$40:Y$46)+SUMIF('GUZMAN CHAPARRO PEDRO'!T$40:T$46,'KM POR UNIDAD'!E47,'GUZMAN CHAPARRO PEDRO'!Y$40:Y$46)+SUMIF('HERNANDEZ LICANO JOSE LUIS'!T$40:T$46,'KM POR UNIDAD'!E47,'HERNANDEZ LICANO JOSE LUIS'!#REF!)+SUMIF('CARRERA REYES MARTIN SEBASTIAN'!T$41:T$47,'KM POR UNIDAD'!E47,'CARRERA REYES MARTIN SEBASTIAN'!Y$41:Y$47)+SUMIF('RUIZ SAUCEDO DANIEL ALEJANDRO'!T$40:T$46,'KM POR UNIDAD'!E47,'RUIZ SAUCEDO DANIEL ALEJANDRO'!Y$40:Y$46)+SUMIF('MARTINEZ RAMIREZ ROSALIO'!T$40:T$46,'KM POR UNIDAD'!E47,'MARTINEZ RAMIREZ ROSALIO'!Y$40:Y$46)+SUMIF('BALLEZA RAMIREZ JESUS JOSE'!T$40:T$46,'KM POR UNIDAD'!E47,'BALLEZA RAMIREZ JESUS JOSE'!T$176:T$180)+SUMIF('MONTERO BURROLA LUIS'!T$38:T$44,'KM POR UNIDAD'!E47,'MONTERO BURROLA LUIS'!Y$38:Y$44)+SUMIF('AGUILERA CONTRERAS LUIS GERARDO'!T$41:T$47,'KM POR UNIDAD'!E47,'AGUILERA CONTRERAS LUIS GERARDO'!Y$41:Y$47)+SUMIF('MORALES LOPEZ DE LARA MARIANO'!T$40:T$46,'KM POR UNIDAD'!E47,'MORALES LOPEZ DE LARA MARIANO'!Y$40:Y$46)+SUMIF('MELENDEZ SINALOA MANUEL ARAT'!T$40:T$46,'KM POR UNIDAD'!E47,'MELENDEZ SINALOA MANUEL ARAT'!#REF!)+SUMIF('MORALES LECHUGA GONZALO'!T$40:T$46,'KM POR UNIDAD'!E47,'MORALES LECHUGA GONZALO'!Y$40:Y$46)+SUMIF('ORONA BECERRA MAURO JOSE'!T$40:T$46,'KM POR UNIDAD'!E47,'ORONA BECERRA MAURO JOSE'!Y$40:Y$46)+SUMIF('VALLES HERNANDEZ MANUEL MARCELI'!T$39:T$45,'KM POR UNIDAD'!E47,'VALLES HERNANDEZ MANUEL MARCELI'!Y$39:Y$45)+SUMIF('ORTIZ RAMIREZ HECTOR MANUEL'!T$40:T$46,'KM POR UNIDAD'!E47,'ORTIZ RAMIREZ HECTOR MANUEL'!Y$40:Y$46)+SUMIF('ONTIVEROS LIRA JUAN'!T$40:T$46,'KM POR UNIDAD'!E47,'ONTIVEROS LIRA JUAN'!Y$40:Y$46)+SUMIF('RODRIGUEZ FLORES BRYAN DARIO'!T$40:T$46,'KM POR UNIDAD'!E47,'RODRIGUEZ FLORES BRYAN DARIO'!Y$40:Y$46)+SUMIF('NUÑEZ RUIZ IRVING JAVIER.'!T$42:T$48,'KM POR UNIDAD'!E47,'NUÑEZ RUIZ IRVING JAVIER.'!Y$42:Y$48)+SUMIF('MACHADO MAZUCA ADOLFO'!T$40:T$46,'KM POR UNIDAD'!E47,'MACHADO MAZUCA ADOLFO'!Y$40:Y$46)+SUMIF('LIRA ARCEO JOEL EDUARDO'!T$40:T$46,'KM POR UNIDAD'!E47,'LIRA ARCEO JOEL EDUARDO'!Y$41:Y$46)+SUMIF('ANCHONDO ROMERO CESAR ALEJANDRO'!T$40:T$46,'KM POR UNIDAD'!E47,'ANCHONDO ROMERO CESAR ALEJANDRO'!Y$40:Y$46)</f>
        <v>#REF!</v>
      </c>
      <c r="G47" s="146"/>
    </row>
    <row r="48" spans="1:7" x14ac:dyDescent="0.25">
      <c r="A48" s="143" t="s">
        <v>171</v>
      </c>
      <c r="B48" s="144">
        <f>+SUMIF('AGUILAR ESQUIVEL CARLOS'!P$40:P$46,'KM POR UNIDAD'!A48,'AGUILAR ESQUIVEL CARLOS'!U$40:U$46)+SUMIF('AGUILAR RODRIGUEZ JORGE ALONSO'!P$40:P$46,'KM POR UNIDAD'!A48,'AGUILAR RODRIGUEZ JORGE ALONSO'!U$40:U$46)+SUMIF('REYES LARA DANTE'!P$40:P$46,'KM POR UNIDAD'!A48,'REYES LARA DANTE'!U$40:U$46)+SUMIF('RAMIREZ BAUTISTA ADRIAN'!P$40:P$46,'KM POR UNIDAD'!A48,'RAMIREZ BAUTISTA ADRIAN'!U$40:U$46)+SUMIF('FLORES BOJORQUEZ BRYAN OVED'!P$40:P$46,'KM POR UNIDAD'!A48,'FLORES BOJORQUEZ BRYAN OVED'!U$40:U$46)+SUMIF('BALDERRAMA ROBLES JORGE'!P$40:P$46,'KM POR UNIDAD'!A48,'BALDERRAMA ROBLES JORGE'!U$40:U$46)+SUMIF('BURGOS TORRES RIGOBERTO'!P$39:P$45,'KM POR UNIDAD'!A48,'BURGOS TORRES RIGOBERTO'!U$39:U$45)+SUMIF('CORDOVA URIBE JOSE  ADRIAN'!P$40:P$46,'KM POR UNIDAD'!A48,'CORDOVA URIBE JOSE  ADRIAN'!U$40:U$46)+SUMIF('GUZMAN CHAPARRO PEDRO'!P$40:P$46,'KM POR UNIDAD'!A48,'GUZMAN CHAPARRO PEDRO'!U$40:U$46)+SUMIF('HERNANDEZ LICANO JOSE LUIS'!P$40:P$46,'KM POR UNIDAD'!A48,'HERNANDEZ LICANO JOSE LUIS'!U$40:U$46)+SUMIF('CARRERA REYES MARTIN SEBASTIAN'!P$41:P$47,'KM POR UNIDAD'!A48,'CARRERA REYES MARTIN SEBASTIAN'!U$41:U$47)+SUMIF('RUIZ SAUCEDO DANIEL ALEJANDRO'!P$40:P$46,'KM POR UNIDAD'!A48,'RUIZ SAUCEDO DANIEL ALEJANDRO'!U$40:U$46)+SUMIF('MARTINEZ RAMIREZ ROSALIO'!P$40:P$46,'KM POR UNIDAD'!A48,'MARTINEZ RAMIREZ ROSALIO'!U$40:U$46)+SUMIF('BALLEZA RAMIREZ JESUS JOSE'!P$40:P$46,'KM POR UNIDAD'!A48,'BALLEZA RAMIREZ JESUS JOSE'!U$40:U$46)+SUMIF('MONTERO BURROLA LUIS'!P$38:P$44,'KM POR UNIDAD'!A48,'MONTERO BURROLA LUIS'!U$38:U$44)+SUMIF('AGUILERA CONTRERAS LUIS GERARDO'!P$41:P$47,'KM POR UNIDAD'!A48,'AGUILERA CONTRERAS LUIS GERARDO'!U$41:U$47)+SUMIF('MORALES LOPEZ DE LARA MARIANO'!P$40:P$46,'KM POR UNIDAD'!A48,'MORALES LOPEZ DE LARA MARIANO'!U$40:U$46)+SUMIF('MELENDEZ SINALOA MANUEL ARAT'!P$40:P$46,'KM POR UNIDAD'!A48,'MELENDEZ SINALOA MANUEL ARAT'!U$40:U$46)+SUMIF('MORALES LECHUGA GONZALO'!P$40:P$46,'KM POR UNIDAD'!A48,'MORALES LECHUGA GONZALO'!U$40:U$46)+SUMIF('ORONA BECERRA MAURO JOSE'!P$40:P$46,'KM POR UNIDAD'!A48,'ORONA BECERRA MAURO JOSE'!U$40:U$46)+SUMIF('VALLES HERNANDEZ MANUEL MARCELI'!P$39:P$45,'KM POR UNIDAD'!A48,'VALLES HERNANDEZ MANUEL MARCELI'!U$39:U$45)+SUMIF('ORTIZ RAMIREZ HECTOR MANUEL'!P$40:P$46,'KM POR UNIDAD'!A48,'ORTIZ RAMIREZ HECTOR MANUEL'!U$40:U$46)+SUMIF('ONTIVEROS LIRA JUAN'!P$40:P$46,'KM POR UNIDAD'!A48,'ONTIVEROS LIRA JUAN'!U$40:U$46)+SUMIF('RODRIGUEZ FLORES BRYAN DARIO'!P$40:P$46,'KM POR UNIDAD'!A48,'RODRIGUEZ FLORES BRYAN DARIO'!U$40:U$46)+SUMIF('NUÑEZ RUIZ IRVING JAVIER.'!P$42:P$48,'KM POR UNIDAD'!A48,'NUÑEZ RUIZ IRVING JAVIER.'!U$42:U$48)+SUMIF('MACHADO MAZUCA ADOLFO'!P$40:P$46,'KM POR UNIDAD'!A48,'MACHADO MAZUCA ADOLFO'!U$40:U$46)+SUMIF('LIRA ARCEO JOEL EDUARDO'!P$40:P$46,'KM POR UNIDAD'!A48,'LIRA ARCEO JOEL EDUARDO'!U$40:U$46)+SUMIF('ANCHONDO ROMERO CESAR ALEJANDRO'!P$40:P$46,'KM POR UNIDAD'!A48,'ANCHONDO ROMERO CESAR ALEJANDRO'!U$40:U$46)</f>
        <v>0</v>
      </c>
      <c r="C48" s="150">
        <f ca="1">+SUMIF('AGUILAR ESQUIVEL CARLOS'!P$40:P$46,'KM POR UNIDAD'!A48,'AGUILAR ESQUIVEL CARLOS'!T$40:T$46)+SUMIF('AGUILAR RODRIGUEZ JORGE ALONSO'!P$40:P$46,'KM POR UNIDAD'!A48,'AGUILAR RODRIGUEZ JORGE ALONSO'!T$40:T$46)+SUMIF('REYES LARA DANTE'!P$40:P$46,'KM POR UNIDAD'!A48,'REYES LARA DANTE'!T$40:T$46)+SUMIF('RAMIREZ BAUTISTA ADRIAN'!P$40:P$46,'KM POR UNIDAD'!A48,'RAMIREZ BAUTISTA ADRIAN'!T$40:T$46)+SUMIF('FLORES BOJORQUEZ BRYAN OVED'!P$40:P$46,'KM POR UNIDAD'!A48,'FLORES BOJORQUEZ BRYAN OVED'!T$40:T$46)+SUMIF('BALDERRAMA ROBLES JORGE'!P$40:P$46,'KM POR UNIDAD'!A48,'BALDERRAMA ROBLES JORGE'!T$40:T$46)+SUMIF('BURGOS TORRES RIGOBERTO'!P$39:P$45,'KM POR UNIDAD'!A48,'BURGOS TORRES RIGOBERTO'!T$39:T$45)+SUMIF('CORDOVA URIBE JOSE  ADRIAN'!P$40:P$46,'KM POR UNIDAD'!A48,'CORDOVA URIBE JOSE  ADRIAN'!T$40:T$46)+SUMIF('GUZMAN CHAPARRO PEDRO'!P$40:P$46,'KM POR UNIDAD'!A48,'GUZMAN CHAPARRO PEDRO'!T$40:T$46)+SUMIF('HERNANDEZ LICANO JOSE LUIS'!P$40:P$46,'KM POR UNIDAD'!A48,'HERNANDEZ LICANO JOSE LUIS'!T$40:T$46)+SUMIF('CARRERA REYES MARTIN SEBASTIAN'!P$41:P$47,'KM POR UNIDAD'!A48,'CARRERA REYES MARTIN SEBASTIAN'!T$41:T$47)+SUMIF('RUIZ SAUCEDO DANIEL ALEJANDRO'!P$40:P$46,'KM POR UNIDAD'!A48,'RUIZ SAUCEDO DANIEL ALEJANDRO'!T$40:T$46)+SUMIF('MARTINEZ RAMIREZ ROSALIO'!P$40:P$46,'KM POR UNIDAD'!A48,'MARTINEZ RAMIREZ ROSALIO'!T$40:T$46)+SUMIF('BALLEZA RAMIREZ JESUS JOSE'!P$40:P$46,'KM POR UNIDAD'!A48,'BALLEZA RAMIREZ JESUS JOSE'!T$40:T$46)+SUMIF('MONTERO BURROLA LUIS'!P$38:P$44,'KM POR UNIDAD'!A48,'MONTERO BURROLA LUIS'!T$38:T$44)+SUMIF('AGUILERA CONTRERAS LUIS GERARDO'!P$41:P$47,'KM POR UNIDAD'!A48,'AGUILERA CONTRERAS LUIS GERARDO'!T$41:T$47)+SUMIF('MORALES LOPEZ DE LARA MARIANO'!P$40:P$46,'KM POR UNIDAD'!A48,'MORALES LOPEZ DE LARA MARIANO'!T$40:T$46)+SUMIF('MELENDEZ SINALOA MANUEL ARAT'!P$40:P$46,'KM POR UNIDAD'!A48,'MELENDEZ SINALOA MANUEL ARAT'!T$40:T$46)+SUMIF('MORALES LECHUGA GONZALO'!P$40:P$46,'KM POR UNIDAD'!A48,'MORALES LECHUGA GONZALO'!T$40:T$46)+SUMIF('ORONA BECERRA MAURO JOSE'!P$40:P$46,'KM POR UNIDAD'!A48,'ORONA BECERRA MAURO JOSE'!T$40:T$46)+SUMIF('VALLES HERNANDEZ MANUEL MARCELI'!P$39:P$45,'KM POR UNIDAD'!A48,'VALLES HERNANDEZ MANUEL MARCELI'!T$39:T$45)+SUMIF('ORTIZ RAMIREZ HECTOR MANUEL'!P$40:P$46,'KM POR UNIDAD'!A48,'ORTIZ RAMIREZ HECTOR MANUEL'!T$40:T$46)+SUMIF('ONTIVEROS LIRA JUAN'!P$40:P$446,'KM POR UNIDAD'!A48,'ONTIVEROS LIRA JUAN'!T$40:T$46)+SUMIF('RODRIGUEZ FLORES BRYAN DARIO'!P$40:P$46,'KM POR UNIDAD'!A48,'RODRIGUEZ FLORES BRYAN DARIO'!T$40:T$46)+SUMIF('NUÑEZ RUIZ IRVING JAVIER.'!P$42:P$48,'KM POR UNIDAD'!A48,'NUÑEZ RUIZ IRVING JAVIER.'!T$42:T$48)+SUMIF('MACHADO MAZUCA ADOLFO'!P$40:P$46,'KM POR UNIDAD'!A48,'MACHADO MAZUCA ADOLFO'!T$40:T$46)+SUMIF('LIRA ARCEO JOEL EDUARDO'!P$40:P$46,'KM POR UNIDAD'!A48,'LIRA ARCEO JOEL EDUARDO'!T$40:T$46)+SUMIF('ANCHONDO ROMERO CESAR ALEJANDRO'!P$40:P$46,'KM POR UNIDAD'!A48,'ANCHONDO ROMERO CESAR ALEJANDRO'!T$40:T$46)</f>
        <v>0</v>
      </c>
      <c r="D48" s="150">
        <f>+SUMIF('AGUILAR ESQUIVEL CARLOS'!P$40:P$46,'KM POR UNIDAD'!A48,'AGUILAR ESQUIVEL CARLOS'!V$40:V$46)+SUMIF('AGUILAR RODRIGUEZ JORGE ALONSO'!P$40:P$46,'KM POR UNIDAD'!A48,'AGUILAR RODRIGUEZ JORGE ALONSO'!V$40:V$46)+SUMIF('REYES LARA DANTE'!P$40:P$46,'KM POR UNIDAD'!A48,'REYES LARA DANTE'!V$40:V$46)+SUMIF('RAMIREZ BAUTISTA ADRIAN'!P$40:P$46,'KM POR UNIDAD'!A48,'RAMIREZ BAUTISTA ADRIAN'!V$40:V$46)+SUMIF('FLORES BOJORQUEZ BRYAN OVED'!P$40:P$46,'KM POR UNIDAD'!A48,'FLORES BOJORQUEZ BRYAN OVED'!V$40:V$46)+SUMIF('BALDERRAMA ROBLES JORGE'!P$40:P$46,'KM POR UNIDAD'!A48,'BALDERRAMA ROBLES JORGE'!V$40:V$46)+SUMIF('BURGOS TORRES RIGOBERTO'!P$39:P$45,'KM POR UNIDAD'!A48,'BURGOS TORRES RIGOBERTO'!V$39:V$45)+SUMIF('CORDOVA URIBE JOSE  ADRIAN'!P$40:P$46,'KM POR UNIDAD'!A48,'CORDOVA URIBE JOSE  ADRIAN'!V$40:V$46)+SUMIF('GUZMAN CHAPARRO PEDRO'!P$40:P$46,'KM POR UNIDAD'!A48,'GUZMAN CHAPARRO PEDRO'!V$40:V$46)+SUMIF('HERNANDEZ LICANO JOSE LUIS'!P$40:P$46,'KM POR UNIDAD'!A48,'HERNANDEZ LICANO JOSE LUIS'!V$40:V$46)+SUMIF('CARRERA REYES MARTIN SEBASTIAN'!P$41:P$47,'KM POR UNIDAD'!A48,'CARRERA REYES MARTIN SEBASTIAN'!V$41:V$47)+SUMIF('RUIZ SAUCEDO DANIEL ALEJANDRO'!P$40:P$46,'KM POR UNIDAD'!A48,'RUIZ SAUCEDO DANIEL ALEJANDRO'!V$40:V$46)+SUMIF('MARTINEZ RAMIREZ ROSALIO'!P$40:P$46,'KM POR UNIDAD'!A48,'MARTINEZ RAMIREZ ROSALIO'!V$40:V$46)+SUMIF('BALLEZA RAMIREZ JESUS JOSE'!P$40:P$46,'KM POR UNIDAD'!A48,'BALLEZA RAMIREZ JESUS JOSE'!V$40:V$46)+SUMIF('MONTERO BURROLA LUIS'!P$38:P$44,'KM POR UNIDAD'!A48,'MONTERO BURROLA LUIS'!V$38:V$44)+SUMIF('AGUILERA CONTRERAS LUIS GERARDO'!P$41:P$47,'KM POR UNIDAD'!A48,'AGUILERA CONTRERAS LUIS GERARDO'!V$41:V$47)+SUMIF('MORALES LOPEZ DE LARA MARIANO'!P$40:P$46,'KM POR UNIDAD'!A48,'MORALES LOPEZ DE LARA MARIANO'!V$40:V$46)+SUMIF('MELENDEZ SINALOA MANUEL ARAT'!P$40:P$46,'KM POR UNIDAD'!A48,'MELENDEZ SINALOA MANUEL ARAT'!V$40:V$46)+SUMIF('MORALES LECHUGA GONZALO'!P$40:P$46,'KM POR UNIDAD'!A48,'MORALES LECHUGA GONZALO'!V$40:V$46)+SUMIF('ORONA BECERRA MAURO JOSE'!P$40:P$46,'KM POR UNIDAD'!A48,'ORONA BECERRA MAURO JOSE'!V$40:V$46)+SUMIF('VALLES HERNANDEZ MANUEL MARCELI'!P$39:P$45,'KM POR UNIDAD'!A48,'VALLES HERNANDEZ MANUEL MARCELI'!V$39:V$45)+SUMIF('ORTIZ RAMIREZ HECTOR MANUEL'!P$40:P$46,'KM POR UNIDAD'!A48,'ORTIZ RAMIREZ HECTOR MANUEL'!V$40:V$46)+SUMIF('ONTIVEROS LIRA JUAN'!P$40:P$46,'KM POR UNIDAD'!A48,'ONTIVEROS LIRA JUAN'!V$40:V$46)+SUMIF('RODRIGUEZ FLORES BRYAN DARIO'!P$40:P$46,'KM POR UNIDAD'!A48,'RODRIGUEZ FLORES BRYAN DARIO'!V$40:V$46)+SUMIF('NUÑEZ RUIZ IRVING JAVIER.'!P$42:P$48,'KM POR UNIDAD'!A48,'NUÑEZ RUIZ IRVING JAVIER.'!V$42:V$48)+SUMIF('MACHADO MAZUCA ADOLFO'!P$40:P$46,'KM POR UNIDAD'!A48,'MACHADO MAZUCA ADOLFO'!V$40:V$46)+SUMIF('LIRA ARCEO JOEL EDUARDO'!P$40:P$46,'KM POR UNIDAD'!A48,'LIRA ARCEO JOEL EDUARDO'!V$40:V$46)+SUMIF('ANCHONDO ROMERO CESAR ALEJANDRO'!P$40:P$46,'KM POR UNIDAD'!A48,'ANCHONDO ROMERO CESAR ALEJANDRO'!V$40:V$46)</f>
        <v>0</v>
      </c>
      <c r="E48" s="145">
        <f t="shared" ref="E48" si="2">IFERROR(B48/D48,0)</f>
        <v>0</v>
      </c>
      <c r="F48" s="144" t="e">
        <f ca="1">+SUMIF('AGUILAR ESQUIVEL CARLOS'!P$40:P$46,'KM POR UNIDAD'!A48,'AGUILAR ESQUIVEL CARLOS'!W$40:W$46)+SUMIF('AGUILAR RODRIGUEZ JORGE ALONSO'!P$40:P$46,'KM POR UNIDAD'!A48,'AGUILAR RODRIGUEZ JORGE ALONSO'!W$40:W$46)+SUMIF('REYES LARA DANTE'!T$40:T$46,'KM POR UNIDAD'!A48,'REYES LARA DANTE'!Y$40:Y$46)+SUMIF('RAMIREZ BAUTISTA ADRIAN'!T$40:T$46,'KM POR UNIDAD'!A48,'RAMIREZ BAUTISTA ADRIAN'!Y$40:Y$46)+SUMIF('FLORES BOJORQUEZ BRYAN OVED'!T$40:T$46,'KM POR UNIDAD'!A48,'FLORES BOJORQUEZ BRYAN OVED'!Y$40:Y$46)+SUMIF('BALDERRAMA ROBLES JORGE'!T$40:T$46,'KM POR UNIDAD'!A48,'BALDERRAMA ROBLES JORGE'!#REF!)+SUMIF('BURGOS TORRES RIGOBERTO'!T$39:T$45,'KM POR UNIDAD'!A48,'BURGOS TORRES RIGOBERTO'!Y$39:Y$45)+SUMIF('CORDOVA URIBE JOSE  ADRIAN'!T$40:T$46,'KM POR UNIDAD'!E48,'CORDOVA URIBE JOSE  ADRIAN'!Y$40:Y$46)+SUMIF('GUZMAN CHAPARRO PEDRO'!T$40:T$46,'KM POR UNIDAD'!E48,'GUZMAN CHAPARRO PEDRO'!Y$40:Y$46)+SUMIF('HERNANDEZ LICANO JOSE LUIS'!T$40:T$46,'KM POR UNIDAD'!E48,'HERNANDEZ LICANO JOSE LUIS'!#REF!)+SUMIF('CARRERA REYES MARTIN SEBASTIAN'!T$41:T$47,'KM POR UNIDAD'!E48,'CARRERA REYES MARTIN SEBASTIAN'!Y$41:Y$47)+SUMIF('RUIZ SAUCEDO DANIEL ALEJANDRO'!T$40:T$46,'KM POR UNIDAD'!E48,'RUIZ SAUCEDO DANIEL ALEJANDRO'!Y$40:Y$46)+SUMIF('MARTINEZ RAMIREZ ROSALIO'!T$40:T$46,'KM POR UNIDAD'!E48,'MARTINEZ RAMIREZ ROSALIO'!Y$40:Y$46)+SUMIF('BALLEZA RAMIREZ JESUS JOSE'!T$40:T$46,'KM POR UNIDAD'!E48,'BALLEZA RAMIREZ JESUS JOSE'!T$176:T$180)+SUMIF('MONTERO BURROLA LUIS'!T$38:T$44,'KM POR UNIDAD'!E48,'MONTERO BURROLA LUIS'!Y$38:Y$44)+SUMIF('AGUILERA CONTRERAS LUIS GERARDO'!T$41:T$47,'KM POR UNIDAD'!E48,'AGUILERA CONTRERAS LUIS GERARDO'!Y$41:Y$47)+SUMIF('MORALES LOPEZ DE LARA MARIANO'!T$40:T$46,'KM POR UNIDAD'!E48,'MORALES LOPEZ DE LARA MARIANO'!Y$40:Y$46)+SUMIF('MELENDEZ SINALOA MANUEL ARAT'!T$40:T$46,'KM POR UNIDAD'!E48,'MELENDEZ SINALOA MANUEL ARAT'!#REF!)+SUMIF('MORALES LECHUGA GONZALO'!T$40:T$46,'KM POR UNIDAD'!E48,'MORALES LECHUGA GONZALO'!Y$40:Y$46)+SUMIF('ORONA BECERRA MAURO JOSE'!T$40:T$46,'KM POR UNIDAD'!E48,'ORONA BECERRA MAURO JOSE'!Y$40:Y$46)+SUMIF('VALLES HERNANDEZ MANUEL MARCELI'!T$39:T$45,'KM POR UNIDAD'!E48,'VALLES HERNANDEZ MANUEL MARCELI'!Y$39:Y$45)+SUMIF('ORTIZ RAMIREZ HECTOR MANUEL'!T$40:T$46,'KM POR UNIDAD'!E48,'ORTIZ RAMIREZ HECTOR MANUEL'!Y$40:Y$46)+SUMIF('ONTIVEROS LIRA JUAN'!T$40:T$46,'KM POR UNIDAD'!E48,'ONTIVEROS LIRA JUAN'!Y$40:Y$46)+SUMIF('RODRIGUEZ FLORES BRYAN DARIO'!T$40:T$46,'KM POR UNIDAD'!E48,'RODRIGUEZ FLORES BRYAN DARIO'!Y$40:Y$46)+SUMIF('NUÑEZ RUIZ IRVING JAVIER.'!T$42:T$48,'KM POR UNIDAD'!E48,'NUÑEZ RUIZ IRVING JAVIER.'!Y$42:Y$48)+SUMIF('MACHADO MAZUCA ADOLFO'!T$40:T$46,'KM POR UNIDAD'!E48,'MACHADO MAZUCA ADOLFO'!Y$40:Y$46)+SUMIF('LIRA ARCEO JOEL EDUARDO'!T$40:T$46,'KM POR UNIDAD'!E48,'LIRA ARCEO JOEL EDUARDO'!Y$41:Y$46)+SUMIF('ANCHONDO ROMERO CESAR ALEJANDRO'!T$40:T$46,'KM POR UNIDAD'!E48,'ANCHONDO ROMERO CESAR ALEJANDRO'!Y$40:Y$46)</f>
        <v>#REF!</v>
      </c>
      <c r="G48" s="146"/>
    </row>
    <row r="49" spans="1:9" x14ac:dyDescent="0.25">
      <c r="A49" s="143" t="s">
        <v>172</v>
      </c>
      <c r="B49" s="144">
        <f>+SUMIF('AGUILAR ESQUIVEL CARLOS'!P$40:P$46,'KM POR UNIDAD'!A49,'AGUILAR ESQUIVEL CARLOS'!U$40:U$46)+SUMIF('AGUILAR RODRIGUEZ JORGE ALONSO'!P$40:P$46,'KM POR UNIDAD'!A49,'AGUILAR RODRIGUEZ JORGE ALONSO'!U$40:U$46)+SUMIF('REYES LARA DANTE'!P$40:P$46,'KM POR UNIDAD'!A49,'REYES LARA DANTE'!U$40:U$46)+SUMIF('RAMIREZ BAUTISTA ADRIAN'!P$40:P$46,'KM POR UNIDAD'!A49,'RAMIREZ BAUTISTA ADRIAN'!U$40:U$46)+SUMIF('FLORES BOJORQUEZ BRYAN OVED'!P$40:P$46,'KM POR UNIDAD'!A49,'FLORES BOJORQUEZ BRYAN OVED'!U$40:U$46)+SUMIF('BALDERRAMA ROBLES JORGE'!P$40:P$46,'KM POR UNIDAD'!A49,'BALDERRAMA ROBLES JORGE'!U$40:U$46)+SUMIF('BURGOS TORRES RIGOBERTO'!P$39:P$45,'KM POR UNIDAD'!A49,'BURGOS TORRES RIGOBERTO'!U$39:U$45)+SUMIF('CORDOVA URIBE JOSE  ADRIAN'!P$40:P$46,'KM POR UNIDAD'!A49,'CORDOVA URIBE JOSE  ADRIAN'!U$40:U$46)+SUMIF('GUZMAN CHAPARRO PEDRO'!P$40:P$46,'KM POR UNIDAD'!A49,'GUZMAN CHAPARRO PEDRO'!U$40:U$46)+SUMIF('HERNANDEZ LICANO JOSE LUIS'!P$40:P$46,'KM POR UNIDAD'!A49,'HERNANDEZ LICANO JOSE LUIS'!U$40:U$46)+SUMIF('CARRERA REYES MARTIN SEBASTIAN'!P$41:P$47,'KM POR UNIDAD'!A49,'CARRERA REYES MARTIN SEBASTIAN'!U$41:U$47)+SUMIF('RUIZ SAUCEDO DANIEL ALEJANDRO'!P$40:P$46,'KM POR UNIDAD'!A49,'RUIZ SAUCEDO DANIEL ALEJANDRO'!U$40:U$46)+SUMIF('MARTINEZ RAMIREZ ROSALIO'!P$40:P$46,'KM POR UNIDAD'!A49,'MARTINEZ RAMIREZ ROSALIO'!U$40:U$46)+SUMIF('BALLEZA RAMIREZ JESUS JOSE'!P$40:P$46,'KM POR UNIDAD'!A49,'BALLEZA RAMIREZ JESUS JOSE'!U$40:U$46)+SUMIF('MONTERO BURROLA LUIS'!P$38:P$44,'KM POR UNIDAD'!A49,'MONTERO BURROLA LUIS'!U$38:U$44)+SUMIF('AGUILERA CONTRERAS LUIS GERARDO'!P$41:P$47,'KM POR UNIDAD'!A49,'AGUILERA CONTRERAS LUIS GERARDO'!U$41:U$47)+SUMIF('MORALES LOPEZ DE LARA MARIANO'!P$40:P$46,'KM POR UNIDAD'!A49,'MORALES LOPEZ DE LARA MARIANO'!U$40:U$46)+SUMIF('MELENDEZ SINALOA MANUEL ARAT'!P$40:P$46,'KM POR UNIDAD'!A49,'MELENDEZ SINALOA MANUEL ARAT'!U$40:U$46)+SUMIF('MORALES LECHUGA GONZALO'!P$40:P$46,'KM POR UNIDAD'!A49,'MORALES LECHUGA GONZALO'!U$40:U$46)+SUMIF('ORONA BECERRA MAURO JOSE'!P$40:P$46,'KM POR UNIDAD'!A49,'ORONA BECERRA MAURO JOSE'!U$40:U$46)+SUMIF('VALLES HERNANDEZ MANUEL MARCELI'!P$39:P$45,'KM POR UNIDAD'!A49,'VALLES HERNANDEZ MANUEL MARCELI'!U$39:U$45)+SUMIF('ORTIZ RAMIREZ HECTOR MANUEL'!P$40:P$46,'KM POR UNIDAD'!A49,'ORTIZ RAMIREZ HECTOR MANUEL'!U$40:U$46)+SUMIF('ONTIVEROS LIRA JUAN'!P$40:P$46,'KM POR UNIDAD'!A49,'ONTIVEROS LIRA JUAN'!U$40:U$46)+SUMIF('RODRIGUEZ FLORES BRYAN DARIO'!P$40:P$46,'KM POR UNIDAD'!A49,'RODRIGUEZ FLORES BRYAN DARIO'!U$40:U$46)+SUMIF('NUÑEZ RUIZ IRVING JAVIER.'!P$42:P$48,'KM POR UNIDAD'!A49,'NUÑEZ RUIZ IRVING JAVIER.'!U$42:U$48)+SUMIF('MACHADO MAZUCA ADOLFO'!P$40:P$46,'KM POR UNIDAD'!A49,'MACHADO MAZUCA ADOLFO'!U$40:U$46)+SUMIF('LIRA ARCEO JOEL EDUARDO'!P$40:P$46,'KM POR UNIDAD'!A49,'LIRA ARCEO JOEL EDUARDO'!U$40:U$46)+SUMIF('ANCHONDO ROMERO CESAR ALEJANDRO'!P$40:P$46,'KM POR UNIDAD'!A49,'ANCHONDO ROMERO CESAR ALEJANDRO'!U$40:U$46)</f>
        <v>0</v>
      </c>
      <c r="C49" s="150">
        <f ca="1">+SUMIF('AGUILAR ESQUIVEL CARLOS'!P$40:P$46,'KM POR UNIDAD'!A49,'AGUILAR ESQUIVEL CARLOS'!T$40:T$46)+SUMIF('AGUILAR RODRIGUEZ JORGE ALONSO'!P$40:P$46,'KM POR UNIDAD'!A49,'AGUILAR RODRIGUEZ JORGE ALONSO'!T$40:T$46)+SUMIF('REYES LARA DANTE'!P$40:P$46,'KM POR UNIDAD'!A49,'REYES LARA DANTE'!T$40:T$46)+SUMIF('RAMIREZ BAUTISTA ADRIAN'!P$40:P$46,'KM POR UNIDAD'!A49,'RAMIREZ BAUTISTA ADRIAN'!T$40:T$46)+SUMIF('FLORES BOJORQUEZ BRYAN OVED'!P$40:P$46,'KM POR UNIDAD'!A49,'FLORES BOJORQUEZ BRYAN OVED'!T$40:T$46)+SUMIF('BALDERRAMA ROBLES JORGE'!P$40:P$46,'KM POR UNIDAD'!A49,'BALDERRAMA ROBLES JORGE'!T$40:T$46)+SUMIF('BURGOS TORRES RIGOBERTO'!P$39:P$45,'KM POR UNIDAD'!A49,'BURGOS TORRES RIGOBERTO'!T$39:T$45)+SUMIF('CORDOVA URIBE JOSE  ADRIAN'!P$40:P$46,'KM POR UNIDAD'!A49,'CORDOVA URIBE JOSE  ADRIAN'!T$40:T$46)+SUMIF('GUZMAN CHAPARRO PEDRO'!P$40:P$46,'KM POR UNIDAD'!A49,'GUZMAN CHAPARRO PEDRO'!T$40:T$46)+SUMIF('HERNANDEZ LICANO JOSE LUIS'!P$40:P$46,'KM POR UNIDAD'!A49,'HERNANDEZ LICANO JOSE LUIS'!T$40:T$46)+SUMIF('CARRERA REYES MARTIN SEBASTIAN'!P$41:P$47,'KM POR UNIDAD'!A49,'CARRERA REYES MARTIN SEBASTIAN'!T$41:T$47)+SUMIF('RUIZ SAUCEDO DANIEL ALEJANDRO'!P$40:P$46,'KM POR UNIDAD'!A49,'RUIZ SAUCEDO DANIEL ALEJANDRO'!T$40:T$46)+SUMIF('MARTINEZ RAMIREZ ROSALIO'!P$40:P$46,'KM POR UNIDAD'!A49,'MARTINEZ RAMIREZ ROSALIO'!T$40:T$46)+SUMIF('BALLEZA RAMIREZ JESUS JOSE'!P$40:P$46,'KM POR UNIDAD'!A49,'BALLEZA RAMIREZ JESUS JOSE'!T$40:T$46)+SUMIF('MONTERO BURROLA LUIS'!P$38:P$44,'KM POR UNIDAD'!A49,'MONTERO BURROLA LUIS'!T$38:T$44)+SUMIF('AGUILERA CONTRERAS LUIS GERARDO'!P$41:P$47,'KM POR UNIDAD'!A49,'AGUILERA CONTRERAS LUIS GERARDO'!T$41:T$47)+SUMIF('MORALES LOPEZ DE LARA MARIANO'!P$40:P$46,'KM POR UNIDAD'!A49,'MORALES LOPEZ DE LARA MARIANO'!T$40:T$46)+SUMIF('MELENDEZ SINALOA MANUEL ARAT'!P$40:P$46,'KM POR UNIDAD'!A49,'MELENDEZ SINALOA MANUEL ARAT'!T$40:T$46)+SUMIF('MORALES LECHUGA GONZALO'!P$40:P$46,'KM POR UNIDAD'!A49,'MORALES LECHUGA GONZALO'!T$40:T$46)+SUMIF('ORONA BECERRA MAURO JOSE'!P$40:P$46,'KM POR UNIDAD'!A49,'ORONA BECERRA MAURO JOSE'!T$40:T$46)+SUMIF('VALLES HERNANDEZ MANUEL MARCELI'!P$39:P$45,'KM POR UNIDAD'!A49,'VALLES HERNANDEZ MANUEL MARCELI'!T$39:T$45)+SUMIF('ORTIZ RAMIREZ HECTOR MANUEL'!P$40:P$46,'KM POR UNIDAD'!A49,'ORTIZ RAMIREZ HECTOR MANUEL'!T$40:T$46)+SUMIF('ONTIVEROS LIRA JUAN'!P$40:P$446,'KM POR UNIDAD'!A49,'ONTIVEROS LIRA JUAN'!T$40:T$46)+SUMIF('RODRIGUEZ FLORES BRYAN DARIO'!P$40:P$46,'KM POR UNIDAD'!A49,'RODRIGUEZ FLORES BRYAN DARIO'!T$40:T$46)+SUMIF('NUÑEZ RUIZ IRVING JAVIER.'!P$42:P$48,'KM POR UNIDAD'!A49,'NUÑEZ RUIZ IRVING JAVIER.'!T$42:T$48)+SUMIF('MACHADO MAZUCA ADOLFO'!P$40:P$46,'KM POR UNIDAD'!A49,'MACHADO MAZUCA ADOLFO'!T$40:T$46)+SUMIF('LIRA ARCEO JOEL EDUARDO'!P$40:P$46,'KM POR UNIDAD'!A49,'LIRA ARCEO JOEL EDUARDO'!T$40:T$46)+SUMIF('ANCHONDO ROMERO CESAR ALEJANDRO'!P$40:P$46,'KM POR UNIDAD'!A49,'ANCHONDO ROMERO CESAR ALEJANDRO'!T$40:T$46)</f>
        <v>0</v>
      </c>
      <c r="D49" s="150">
        <f>+SUMIF('AGUILAR ESQUIVEL CARLOS'!P$40:P$46,'KM POR UNIDAD'!A49,'AGUILAR ESQUIVEL CARLOS'!V$40:V$46)+SUMIF('AGUILAR RODRIGUEZ JORGE ALONSO'!P$40:P$46,'KM POR UNIDAD'!A49,'AGUILAR RODRIGUEZ JORGE ALONSO'!V$40:V$46)+SUMIF('REYES LARA DANTE'!P$40:P$46,'KM POR UNIDAD'!A49,'REYES LARA DANTE'!V$40:V$46)+SUMIF('RAMIREZ BAUTISTA ADRIAN'!P$40:P$46,'KM POR UNIDAD'!A49,'RAMIREZ BAUTISTA ADRIAN'!V$40:V$46)+SUMIF('FLORES BOJORQUEZ BRYAN OVED'!P$40:P$46,'KM POR UNIDAD'!A49,'FLORES BOJORQUEZ BRYAN OVED'!V$40:V$46)+SUMIF('BALDERRAMA ROBLES JORGE'!P$40:P$46,'KM POR UNIDAD'!A49,'BALDERRAMA ROBLES JORGE'!V$40:V$46)+SUMIF('BURGOS TORRES RIGOBERTO'!P$39:P$45,'KM POR UNIDAD'!A49,'BURGOS TORRES RIGOBERTO'!V$39:V$45)+SUMIF('CORDOVA URIBE JOSE  ADRIAN'!P$40:P$46,'KM POR UNIDAD'!A49,'CORDOVA URIBE JOSE  ADRIAN'!V$40:V$46)+SUMIF('GUZMAN CHAPARRO PEDRO'!P$40:P$46,'KM POR UNIDAD'!A49,'GUZMAN CHAPARRO PEDRO'!V$40:V$46)+SUMIF('HERNANDEZ LICANO JOSE LUIS'!P$40:P$46,'KM POR UNIDAD'!A49,'HERNANDEZ LICANO JOSE LUIS'!V$40:V$46)+SUMIF('CARRERA REYES MARTIN SEBASTIAN'!P$41:P$47,'KM POR UNIDAD'!A49,'CARRERA REYES MARTIN SEBASTIAN'!V$41:V$47)+SUMIF('RUIZ SAUCEDO DANIEL ALEJANDRO'!P$40:P$46,'KM POR UNIDAD'!A49,'RUIZ SAUCEDO DANIEL ALEJANDRO'!V$40:V$46)+SUMIF('MARTINEZ RAMIREZ ROSALIO'!P$40:P$46,'KM POR UNIDAD'!A49,'MARTINEZ RAMIREZ ROSALIO'!V$40:V$46)+SUMIF('BALLEZA RAMIREZ JESUS JOSE'!P$40:P$46,'KM POR UNIDAD'!A49,'BALLEZA RAMIREZ JESUS JOSE'!V$40:V$46)+SUMIF('MONTERO BURROLA LUIS'!P$38:P$44,'KM POR UNIDAD'!A49,'MONTERO BURROLA LUIS'!V$38:V$44)+SUMIF('AGUILERA CONTRERAS LUIS GERARDO'!P$41:P$47,'KM POR UNIDAD'!A49,'AGUILERA CONTRERAS LUIS GERARDO'!V$41:V$47)+SUMIF('MORALES LOPEZ DE LARA MARIANO'!P$40:P$46,'KM POR UNIDAD'!A49,'MORALES LOPEZ DE LARA MARIANO'!V$40:V$46)+SUMIF('MELENDEZ SINALOA MANUEL ARAT'!P$40:P$46,'KM POR UNIDAD'!A49,'MELENDEZ SINALOA MANUEL ARAT'!V$40:V$46)+SUMIF('MORALES LECHUGA GONZALO'!P$40:P$46,'KM POR UNIDAD'!A49,'MORALES LECHUGA GONZALO'!V$40:V$46)+SUMIF('ORONA BECERRA MAURO JOSE'!P$40:P$46,'KM POR UNIDAD'!A49,'ORONA BECERRA MAURO JOSE'!V$40:V$46)+SUMIF('VALLES HERNANDEZ MANUEL MARCELI'!P$39:P$45,'KM POR UNIDAD'!A49,'VALLES HERNANDEZ MANUEL MARCELI'!V$39:V$45)+SUMIF('ORTIZ RAMIREZ HECTOR MANUEL'!P$40:P$46,'KM POR UNIDAD'!A49,'ORTIZ RAMIREZ HECTOR MANUEL'!V$40:V$46)+SUMIF('ONTIVEROS LIRA JUAN'!P$40:P$46,'KM POR UNIDAD'!A49,'ONTIVEROS LIRA JUAN'!V$40:V$46)+SUMIF('RODRIGUEZ FLORES BRYAN DARIO'!P$40:P$46,'KM POR UNIDAD'!A49,'RODRIGUEZ FLORES BRYAN DARIO'!V$40:V$46)+SUMIF('NUÑEZ RUIZ IRVING JAVIER.'!P$42:P$48,'KM POR UNIDAD'!A49,'NUÑEZ RUIZ IRVING JAVIER.'!V$42:V$48)+SUMIF('MACHADO MAZUCA ADOLFO'!P$40:P$46,'KM POR UNIDAD'!A49,'MACHADO MAZUCA ADOLFO'!V$40:V$46)+SUMIF('LIRA ARCEO JOEL EDUARDO'!P$40:P$46,'KM POR UNIDAD'!A49,'LIRA ARCEO JOEL EDUARDO'!V$40:V$46)+SUMIF('ANCHONDO ROMERO CESAR ALEJANDRO'!P$40:P$46,'KM POR UNIDAD'!A49,'ANCHONDO ROMERO CESAR ALEJANDRO'!V$40:V$46)</f>
        <v>0</v>
      </c>
      <c r="E49" s="145">
        <f>IFERROR(B49/D49,0)</f>
        <v>0</v>
      </c>
      <c r="F49" s="144" t="e">
        <f ca="1">+SUMIF('AGUILAR ESQUIVEL CARLOS'!P$40:P$46,'KM POR UNIDAD'!A49,'AGUILAR ESQUIVEL CARLOS'!W$40:W$46)+SUMIF('AGUILAR RODRIGUEZ JORGE ALONSO'!P$40:P$46,'KM POR UNIDAD'!A49,'AGUILAR RODRIGUEZ JORGE ALONSO'!W$40:W$46)+SUMIF('REYES LARA DANTE'!T$40:T$46,'KM POR UNIDAD'!A49,'REYES LARA DANTE'!Y$40:Y$46)+SUMIF('RAMIREZ BAUTISTA ADRIAN'!T$40:T$46,'KM POR UNIDAD'!A49,'RAMIREZ BAUTISTA ADRIAN'!Y$40:Y$46)+SUMIF('FLORES BOJORQUEZ BRYAN OVED'!T$40:T$46,'KM POR UNIDAD'!A49,'FLORES BOJORQUEZ BRYAN OVED'!Y$40:Y$46)+SUMIF('BALDERRAMA ROBLES JORGE'!T$40:T$46,'KM POR UNIDAD'!A49,'BALDERRAMA ROBLES JORGE'!#REF!)+SUMIF('BURGOS TORRES RIGOBERTO'!T$39:T$45,'KM POR UNIDAD'!A49,'BURGOS TORRES RIGOBERTO'!Y$39:Y$45)+SUMIF('CORDOVA URIBE JOSE  ADRIAN'!T$40:T$46,'KM POR UNIDAD'!E49,'CORDOVA URIBE JOSE  ADRIAN'!Y$40:Y$46)+SUMIF('GUZMAN CHAPARRO PEDRO'!T$40:T$46,'KM POR UNIDAD'!E49,'GUZMAN CHAPARRO PEDRO'!Y$40:Y$46)+SUMIF('HERNANDEZ LICANO JOSE LUIS'!T$40:T$46,'KM POR UNIDAD'!E49,'HERNANDEZ LICANO JOSE LUIS'!#REF!)+SUMIF('CARRERA REYES MARTIN SEBASTIAN'!T$41:T$47,'KM POR UNIDAD'!E49,'CARRERA REYES MARTIN SEBASTIAN'!Y$41:Y$47)+SUMIF('RUIZ SAUCEDO DANIEL ALEJANDRO'!T$40:T$46,'KM POR UNIDAD'!E49,'RUIZ SAUCEDO DANIEL ALEJANDRO'!Y$40:Y$46)+SUMIF('MARTINEZ RAMIREZ ROSALIO'!T$40:T$46,'KM POR UNIDAD'!E49,'MARTINEZ RAMIREZ ROSALIO'!Y$40:Y$46)+SUMIF('BALLEZA RAMIREZ JESUS JOSE'!T$40:T$46,'KM POR UNIDAD'!E49,'BALLEZA RAMIREZ JESUS JOSE'!T$176:T$180)+SUMIF('MONTERO BURROLA LUIS'!T$38:T$44,'KM POR UNIDAD'!E49,'MONTERO BURROLA LUIS'!Y$38:Y$44)+SUMIF('AGUILERA CONTRERAS LUIS GERARDO'!T$41:T$47,'KM POR UNIDAD'!E49,'AGUILERA CONTRERAS LUIS GERARDO'!Y$41:Y$47)+SUMIF('MORALES LOPEZ DE LARA MARIANO'!T$40:T$46,'KM POR UNIDAD'!E49,'MORALES LOPEZ DE LARA MARIANO'!Y$40:Y$46)+SUMIF('MELENDEZ SINALOA MANUEL ARAT'!T$40:T$46,'KM POR UNIDAD'!E49,'MELENDEZ SINALOA MANUEL ARAT'!#REF!)+SUMIF('MORALES LECHUGA GONZALO'!T$40:T$46,'KM POR UNIDAD'!E49,'MORALES LECHUGA GONZALO'!Y$40:Y$46)+SUMIF('ORONA BECERRA MAURO JOSE'!T$40:T$46,'KM POR UNIDAD'!E49,'ORONA BECERRA MAURO JOSE'!Y$40:Y$46)+SUMIF('VALLES HERNANDEZ MANUEL MARCELI'!T$39:T$45,'KM POR UNIDAD'!E49,'VALLES HERNANDEZ MANUEL MARCELI'!Y$39:Y$45)+SUMIF('ORTIZ RAMIREZ HECTOR MANUEL'!T$40:T$46,'KM POR UNIDAD'!E49,'ORTIZ RAMIREZ HECTOR MANUEL'!Y$40:Y$46)+SUMIF('ONTIVEROS LIRA JUAN'!T$40:T$46,'KM POR UNIDAD'!E49,'ONTIVEROS LIRA JUAN'!Y$40:Y$46)+SUMIF('RODRIGUEZ FLORES BRYAN DARIO'!T$40:T$46,'KM POR UNIDAD'!E49,'RODRIGUEZ FLORES BRYAN DARIO'!Y$40:Y$46)+SUMIF('NUÑEZ RUIZ IRVING JAVIER.'!T$42:T$48,'KM POR UNIDAD'!E49,'NUÑEZ RUIZ IRVING JAVIER.'!Y$42:Y$48)+SUMIF('MACHADO MAZUCA ADOLFO'!T$40:T$46,'KM POR UNIDAD'!E49,'MACHADO MAZUCA ADOLFO'!Y$40:Y$46)+SUMIF('LIRA ARCEO JOEL EDUARDO'!T$40:T$46,'KM POR UNIDAD'!E49,'LIRA ARCEO JOEL EDUARDO'!Y$41:Y$46)+SUMIF('ANCHONDO ROMERO CESAR ALEJANDRO'!T$40:T$46,'KM POR UNIDAD'!E49,'ANCHONDO ROMERO CESAR ALEJANDRO'!Y$40:Y$46)</f>
        <v>#REF!</v>
      </c>
      <c r="G49" s="146"/>
    </row>
    <row r="50" spans="1:9" x14ac:dyDescent="0.25">
      <c r="A50" s="143" t="s">
        <v>173</v>
      </c>
      <c r="B50" s="144">
        <f>+SUMIF('AGUILAR ESQUIVEL CARLOS'!P$40:P$46,'KM POR UNIDAD'!A50,'AGUILAR ESQUIVEL CARLOS'!U$40:U$46)+SUMIF('AGUILAR RODRIGUEZ JORGE ALONSO'!P$40:P$46,'KM POR UNIDAD'!A50,'AGUILAR RODRIGUEZ JORGE ALONSO'!U$40:U$46)+SUMIF('REYES LARA DANTE'!P$40:P$46,'KM POR UNIDAD'!A50,'REYES LARA DANTE'!U$40:U$46)+SUMIF('RAMIREZ BAUTISTA ADRIAN'!P$40:P$46,'KM POR UNIDAD'!A50,'RAMIREZ BAUTISTA ADRIAN'!U$40:U$46)+SUMIF('FLORES BOJORQUEZ BRYAN OVED'!P$40:P$46,'KM POR UNIDAD'!A50,'FLORES BOJORQUEZ BRYAN OVED'!U$40:U$46)+SUMIF('BALDERRAMA ROBLES JORGE'!P$40:P$46,'KM POR UNIDAD'!A50,'BALDERRAMA ROBLES JORGE'!U$40:U$46)+SUMIF('BURGOS TORRES RIGOBERTO'!P$39:P$45,'KM POR UNIDAD'!A50,'BURGOS TORRES RIGOBERTO'!U$39:U$45)+SUMIF('CORDOVA URIBE JOSE  ADRIAN'!P$40:P$46,'KM POR UNIDAD'!A50,'CORDOVA URIBE JOSE  ADRIAN'!U$40:U$46)+SUMIF('GUZMAN CHAPARRO PEDRO'!P$40:P$46,'KM POR UNIDAD'!A50,'GUZMAN CHAPARRO PEDRO'!U$40:U$46)+SUMIF('HERNANDEZ LICANO JOSE LUIS'!P$40:P$46,'KM POR UNIDAD'!A50,'HERNANDEZ LICANO JOSE LUIS'!U$40:U$46)+SUMIF('CARRERA REYES MARTIN SEBASTIAN'!P$41:P$47,'KM POR UNIDAD'!A50,'CARRERA REYES MARTIN SEBASTIAN'!U$41:U$47)+SUMIF('RUIZ SAUCEDO DANIEL ALEJANDRO'!P$40:P$46,'KM POR UNIDAD'!A50,'RUIZ SAUCEDO DANIEL ALEJANDRO'!U$40:U$46)+SUMIF('MARTINEZ RAMIREZ ROSALIO'!P$40:P$46,'KM POR UNIDAD'!A50,'MARTINEZ RAMIREZ ROSALIO'!U$40:U$46)+SUMIF('BALLEZA RAMIREZ JESUS JOSE'!P$40:P$46,'KM POR UNIDAD'!A50,'BALLEZA RAMIREZ JESUS JOSE'!U$40:U$46)+SUMIF('MONTERO BURROLA LUIS'!P$38:P$44,'KM POR UNIDAD'!A50,'MONTERO BURROLA LUIS'!U$38:U$44)+SUMIF('AGUILERA CONTRERAS LUIS GERARDO'!P$41:P$47,'KM POR UNIDAD'!A50,'AGUILERA CONTRERAS LUIS GERARDO'!U$41:U$47)+SUMIF('MORALES LOPEZ DE LARA MARIANO'!P$40:P$46,'KM POR UNIDAD'!A50,'MORALES LOPEZ DE LARA MARIANO'!U$40:U$46)+SUMIF('MELENDEZ SINALOA MANUEL ARAT'!P$40:P$46,'KM POR UNIDAD'!A50,'MELENDEZ SINALOA MANUEL ARAT'!U$40:U$46)+SUMIF('MORALES LECHUGA GONZALO'!P$40:P$46,'KM POR UNIDAD'!A50,'MORALES LECHUGA GONZALO'!U$40:U$46)+SUMIF('ORONA BECERRA MAURO JOSE'!P$40:P$46,'KM POR UNIDAD'!A50,'ORONA BECERRA MAURO JOSE'!U$40:U$46)+SUMIF('VALLES HERNANDEZ MANUEL MARCELI'!P$39:P$45,'KM POR UNIDAD'!A50,'VALLES HERNANDEZ MANUEL MARCELI'!U$39:U$45)+SUMIF('ORTIZ RAMIREZ HECTOR MANUEL'!P$40:P$46,'KM POR UNIDAD'!A50,'ORTIZ RAMIREZ HECTOR MANUEL'!U$40:U$46)+SUMIF('ONTIVEROS LIRA JUAN'!P$40:P$46,'KM POR UNIDAD'!A50,'ONTIVEROS LIRA JUAN'!U$40:U$46)+SUMIF('RODRIGUEZ FLORES BRYAN DARIO'!P$40:P$46,'KM POR UNIDAD'!A50,'RODRIGUEZ FLORES BRYAN DARIO'!U$40:U$46)+SUMIF('NUÑEZ RUIZ IRVING JAVIER.'!P$42:P$48,'KM POR UNIDAD'!A50,'NUÑEZ RUIZ IRVING JAVIER.'!U$42:U$48)+SUMIF('MACHADO MAZUCA ADOLFO'!P$40:P$46,'KM POR UNIDAD'!A50,'MACHADO MAZUCA ADOLFO'!U$40:U$46)+SUMIF('LIRA ARCEO JOEL EDUARDO'!P$40:P$46,'KM POR UNIDAD'!A50,'LIRA ARCEO JOEL EDUARDO'!U$40:U$46)+SUMIF('ANCHONDO ROMERO CESAR ALEJANDRO'!P$40:P$46,'KM POR UNIDAD'!A50,'ANCHONDO ROMERO CESAR ALEJANDRO'!U$40:U$46)</f>
        <v>0</v>
      </c>
      <c r="C50" s="150">
        <f ca="1">+SUMIF('AGUILAR ESQUIVEL CARLOS'!P$40:P$46,'KM POR UNIDAD'!A50,'AGUILAR ESQUIVEL CARLOS'!T$40:T$46)+SUMIF('AGUILAR RODRIGUEZ JORGE ALONSO'!P$40:P$46,'KM POR UNIDAD'!A50,'AGUILAR RODRIGUEZ JORGE ALONSO'!T$40:T$46)+SUMIF('REYES LARA DANTE'!P$40:P$46,'KM POR UNIDAD'!A50,'REYES LARA DANTE'!T$40:T$46)+SUMIF('RAMIREZ BAUTISTA ADRIAN'!P$40:P$46,'KM POR UNIDAD'!A50,'RAMIREZ BAUTISTA ADRIAN'!T$40:T$46)+SUMIF('FLORES BOJORQUEZ BRYAN OVED'!P$40:P$46,'KM POR UNIDAD'!A50,'FLORES BOJORQUEZ BRYAN OVED'!T$40:T$46)+SUMIF('BALDERRAMA ROBLES JORGE'!P$40:P$46,'KM POR UNIDAD'!A50,'BALDERRAMA ROBLES JORGE'!T$40:T$46)+SUMIF('BURGOS TORRES RIGOBERTO'!P$39:P$45,'KM POR UNIDAD'!A50,'BURGOS TORRES RIGOBERTO'!T$39:T$45)+SUMIF('CORDOVA URIBE JOSE  ADRIAN'!P$40:P$46,'KM POR UNIDAD'!A50,'CORDOVA URIBE JOSE  ADRIAN'!T$40:T$46)+SUMIF('GUZMAN CHAPARRO PEDRO'!P$40:P$46,'KM POR UNIDAD'!A50,'GUZMAN CHAPARRO PEDRO'!T$40:T$46)+SUMIF('HERNANDEZ LICANO JOSE LUIS'!P$40:P$46,'KM POR UNIDAD'!A50,'HERNANDEZ LICANO JOSE LUIS'!T$40:T$46)+SUMIF('CARRERA REYES MARTIN SEBASTIAN'!P$41:P$47,'KM POR UNIDAD'!A50,'CARRERA REYES MARTIN SEBASTIAN'!T$41:T$47)+SUMIF('RUIZ SAUCEDO DANIEL ALEJANDRO'!P$40:P$46,'KM POR UNIDAD'!A50,'RUIZ SAUCEDO DANIEL ALEJANDRO'!T$40:T$46)+SUMIF('MARTINEZ RAMIREZ ROSALIO'!P$40:P$46,'KM POR UNIDAD'!A50,'MARTINEZ RAMIREZ ROSALIO'!T$40:T$46)+SUMIF('BALLEZA RAMIREZ JESUS JOSE'!P$40:P$46,'KM POR UNIDAD'!A50,'BALLEZA RAMIREZ JESUS JOSE'!T$40:T$46)+SUMIF('MONTERO BURROLA LUIS'!P$38:P$44,'KM POR UNIDAD'!A50,'MONTERO BURROLA LUIS'!T$38:T$44)+SUMIF('AGUILERA CONTRERAS LUIS GERARDO'!P$41:P$47,'KM POR UNIDAD'!A50,'AGUILERA CONTRERAS LUIS GERARDO'!T$41:T$47)+SUMIF('MORALES LOPEZ DE LARA MARIANO'!P$40:P$46,'KM POR UNIDAD'!A50,'MORALES LOPEZ DE LARA MARIANO'!T$40:T$46)+SUMIF('MELENDEZ SINALOA MANUEL ARAT'!P$40:P$46,'KM POR UNIDAD'!A50,'MELENDEZ SINALOA MANUEL ARAT'!T$40:T$46)+SUMIF('MORALES LECHUGA GONZALO'!P$40:P$46,'KM POR UNIDAD'!A50,'MORALES LECHUGA GONZALO'!T$40:T$46)+SUMIF('ORONA BECERRA MAURO JOSE'!P$40:P$46,'KM POR UNIDAD'!A50,'ORONA BECERRA MAURO JOSE'!T$40:T$46)+SUMIF('VALLES HERNANDEZ MANUEL MARCELI'!P$39:P$45,'KM POR UNIDAD'!A50,'VALLES HERNANDEZ MANUEL MARCELI'!T$39:T$45)+SUMIF('ORTIZ RAMIREZ HECTOR MANUEL'!P$40:P$46,'KM POR UNIDAD'!A50,'ORTIZ RAMIREZ HECTOR MANUEL'!T$40:T$46)+SUMIF('ONTIVEROS LIRA JUAN'!P$40:P$446,'KM POR UNIDAD'!A50,'ONTIVEROS LIRA JUAN'!T$40:T$46)+SUMIF('RODRIGUEZ FLORES BRYAN DARIO'!P$40:P$46,'KM POR UNIDAD'!A50,'RODRIGUEZ FLORES BRYAN DARIO'!T$40:T$46)+SUMIF('NUÑEZ RUIZ IRVING JAVIER.'!P$42:P$48,'KM POR UNIDAD'!A50,'NUÑEZ RUIZ IRVING JAVIER.'!T$42:T$48)+SUMIF('MACHADO MAZUCA ADOLFO'!P$40:P$46,'KM POR UNIDAD'!A50,'MACHADO MAZUCA ADOLFO'!T$40:T$46)+SUMIF('LIRA ARCEO JOEL EDUARDO'!P$40:P$46,'KM POR UNIDAD'!A50,'LIRA ARCEO JOEL EDUARDO'!T$40:T$46)+SUMIF('ANCHONDO ROMERO CESAR ALEJANDRO'!P$40:P$46,'KM POR UNIDAD'!A50,'ANCHONDO ROMERO CESAR ALEJANDRO'!T$40:T$46)</f>
        <v>0</v>
      </c>
      <c r="D50" s="150">
        <f>+SUMIF('AGUILAR ESQUIVEL CARLOS'!P$40:P$46,'KM POR UNIDAD'!A50,'AGUILAR ESQUIVEL CARLOS'!V$40:V$46)+SUMIF('AGUILAR RODRIGUEZ JORGE ALONSO'!P$40:P$46,'KM POR UNIDAD'!A50,'AGUILAR RODRIGUEZ JORGE ALONSO'!V$40:V$46)+SUMIF('REYES LARA DANTE'!P$40:P$46,'KM POR UNIDAD'!A50,'REYES LARA DANTE'!V$40:V$46)+SUMIF('RAMIREZ BAUTISTA ADRIAN'!P$40:P$46,'KM POR UNIDAD'!A50,'RAMIREZ BAUTISTA ADRIAN'!V$40:V$46)+SUMIF('FLORES BOJORQUEZ BRYAN OVED'!P$40:P$46,'KM POR UNIDAD'!A50,'FLORES BOJORQUEZ BRYAN OVED'!V$40:V$46)+SUMIF('BALDERRAMA ROBLES JORGE'!P$40:P$46,'KM POR UNIDAD'!A50,'BALDERRAMA ROBLES JORGE'!V$40:V$46)+SUMIF('BURGOS TORRES RIGOBERTO'!P$39:P$45,'KM POR UNIDAD'!A50,'BURGOS TORRES RIGOBERTO'!V$39:V$45)+SUMIF('CORDOVA URIBE JOSE  ADRIAN'!P$40:P$46,'KM POR UNIDAD'!A50,'CORDOVA URIBE JOSE  ADRIAN'!V$40:V$46)+SUMIF('GUZMAN CHAPARRO PEDRO'!P$40:P$46,'KM POR UNIDAD'!A50,'GUZMAN CHAPARRO PEDRO'!V$40:V$46)+SUMIF('HERNANDEZ LICANO JOSE LUIS'!P$40:P$46,'KM POR UNIDAD'!A50,'HERNANDEZ LICANO JOSE LUIS'!V$40:V$46)+SUMIF('CARRERA REYES MARTIN SEBASTIAN'!P$41:P$47,'KM POR UNIDAD'!A50,'CARRERA REYES MARTIN SEBASTIAN'!V$41:V$47)+SUMIF('RUIZ SAUCEDO DANIEL ALEJANDRO'!P$40:P$46,'KM POR UNIDAD'!A50,'RUIZ SAUCEDO DANIEL ALEJANDRO'!V$40:V$46)+SUMIF('MARTINEZ RAMIREZ ROSALIO'!P$40:P$46,'KM POR UNIDAD'!A50,'MARTINEZ RAMIREZ ROSALIO'!V$40:V$46)+SUMIF('BALLEZA RAMIREZ JESUS JOSE'!P$40:P$46,'KM POR UNIDAD'!A50,'BALLEZA RAMIREZ JESUS JOSE'!V$40:V$46)+SUMIF('MONTERO BURROLA LUIS'!P$38:P$44,'KM POR UNIDAD'!A50,'MONTERO BURROLA LUIS'!V$38:V$44)+SUMIF('AGUILERA CONTRERAS LUIS GERARDO'!P$41:P$47,'KM POR UNIDAD'!A50,'AGUILERA CONTRERAS LUIS GERARDO'!V$41:V$47)+SUMIF('MORALES LOPEZ DE LARA MARIANO'!P$40:P$46,'KM POR UNIDAD'!A50,'MORALES LOPEZ DE LARA MARIANO'!V$40:V$46)+SUMIF('MELENDEZ SINALOA MANUEL ARAT'!P$40:P$46,'KM POR UNIDAD'!A50,'MELENDEZ SINALOA MANUEL ARAT'!V$40:V$46)+SUMIF('MORALES LECHUGA GONZALO'!P$40:P$46,'KM POR UNIDAD'!A50,'MORALES LECHUGA GONZALO'!V$40:V$46)+SUMIF('ORONA BECERRA MAURO JOSE'!P$40:P$46,'KM POR UNIDAD'!A50,'ORONA BECERRA MAURO JOSE'!V$40:V$46)+SUMIF('VALLES HERNANDEZ MANUEL MARCELI'!P$39:P$45,'KM POR UNIDAD'!A50,'VALLES HERNANDEZ MANUEL MARCELI'!V$39:V$45)+SUMIF('ORTIZ RAMIREZ HECTOR MANUEL'!P$40:P$46,'KM POR UNIDAD'!A50,'ORTIZ RAMIREZ HECTOR MANUEL'!V$40:V$46)+SUMIF('ONTIVEROS LIRA JUAN'!P$40:P$46,'KM POR UNIDAD'!A50,'ONTIVEROS LIRA JUAN'!V$40:V$46)+SUMIF('RODRIGUEZ FLORES BRYAN DARIO'!P$40:P$46,'KM POR UNIDAD'!A50,'RODRIGUEZ FLORES BRYAN DARIO'!V$40:V$46)+SUMIF('NUÑEZ RUIZ IRVING JAVIER.'!P$42:P$48,'KM POR UNIDAD'!A50,'NUÑEZ RUIZ IRVING JAVIER.'!V$42:V$48)+SUMIF('MACHADO MAZUCA ADOLFO'!P$40:P$46,'KM POR UNIDAD'!A50,'MACHADO MAZUCA ADOLFO'!V$40:V$46)+SUMIF('LIRA ARCEO JOEL EDUARDO'!P$40:P$46,'KM POR UNIDAD'!A50,'LIRA ARCEO JOEL EDUARDO'!V$40:V$46)+SUMIF('ANCHONDO ROMERO CESAR ALEJANDRO'!P$40:P$46,'KM POR UNIDAD'!A50,'ANCHONDO ROMERO CESAR ALEJANDRO'!V$40:V$46)</f>
        <v>0</v>
      </c>
      <c r="E50" s="145">
        <f t="shared" si="0"/>
        <v>0</v>
      </c>
      <c r="F50" s="144" t="e">
        <f ca="1">+SUMIF('AGUILAR ESQUIVEL CARLOS'!P$40:P$46,'KM POR UNIDAD'!A50,'AGUILAR ESQUIVEL CARLOS'!W$40:W$46)+SUMIF('AGUILAR RODRIGUEZ JORGE ALONSO'!P$40:P$46,'KM POR UNIDAD'!A50,'AGUILAR RODRIGUEZ JORGE ALONSO'!W$40:W$46)+SUMIF('REYES LARA DANTE'!T$40:T$46,'KM POR UNIDAD'!A50,'REYES LARA DANTE'!Y$40:Y$46)+SUMIF('RAMIREZ BAUTISTA ADRIAN'!T$40:T$46,'KM POR UNIDAD'!A50,'RAMIREZ BAUTISTA ADRIAN'!Y$40:Y$46)+SUMIF('FLORES BOJORQUEZ BRYAN OVED'!T$40:T$46,'KM POR UNIDAD'!A50,'FLORES BOJORQUEZ BRYAN OVED'!Y$40:Y$46)+SUMIF('BALDERRAMA ROBLES JORGE'!T$40:T$46,'KM POR UNIDAD'!A50,'BALDERRAMA ROBLES JORGE'!#REF!)+SUMIF('BURGOS TORRES RIGOBERTO'!T$39:T$45,'KM POR UNIDAD'!A50,'BURGOS TORRES RIGOBERTO'!Y$39:Y$45)+SUMIF('CORDOVA URIBE JOSE  ADRIAN'!T$40:T$46,'KM POR UNIDAD'!E50,'CORDOVA URIBE JOSE  ADRIAN'!Y$40:Y$46)+SUMIF('GUZMAN CHAPARRO PEDRO'!T$40:T$46,'KM POR UNIDAD'!E50,'GUZMAN CHAPARRO PEDRO'!Y$40:Y$46)+SUMIF('HERNANDEZ LICANO JOSE LUIS'!T$40:T$46,'KM POR UNIDAD'!E50,'HERNANDEZ LICANO JOSE LUIS'!#REF!)+SUMIF('CARRERA REYES MARTIN SEBASTIAN'!T$41:T$47,'KM POR UNIDAD'!E50,'CARRERA REYES MARTIN SEBASTIAN'!Y$41:Y$47)+SUMIF('RUIZ SAUCEDO DANIEL ALEJANDRO'!T$40:T$46,'KM POR UNIDAD'!E50,'RUIZ SAUCEDO DANIEL ALEJANDRO'!Y$40:Y$46)+SUMIF('MARTINEZ RAMIREZ ROSALIO'!T$40:T$46,'KM POR UNIDAD'!E50,'MARTINEZ RAMIREZ ROSALIO'!Y$40:Y$46)+SUMIF('BALLEZA RAMIREZ JESUS JOSE'!T$40:T$46,'KM POR UNIDAD'!E50,'BALLEZA RAMIREZ JESUS JOSE'!T$176:T$180)+SUMIF('MONTERO BURROLA LUIS'!T$38:T$44,'KM POR UNIDAD'!E50,'MONTERO BURROLA LUIS'!Y$38:Y$44)+SUMIF('AGUILERA CONTRERAS LUIS GERARDO'!T$41:T$47,'KM POR UNIDAD'!E50,'AGUILERA CONTRERAS LUIS GERARDO'!Y$41:Y$47)+SUMIF('MORALES LOPEZ DE LARA MARIANO'!T$40:T$46,'KM POR UNIDAD'!E50,'MORALES LOPEZ DE LARA MARIANO'!Y$40:Y$46)+SUMIF('MELENDEZ SINALOA MANUEL ARAT'!T$40:T$46,'KM POR UNIDAD'!E50,'MELENDEZ SINALOA MANUEL ARAT'!#REF!)+SUMIF('MORALES LECHUGA GONZALO'!T$40:T$46,'KM POR UNIDAD'!E50,'MORALES LECHUGA GONZALO'!Y$40:Y$46)+SUMIF('ORONA BECERRA MAURO JOSE'!T$40:T$46,'KM POR UNIDAD'!E50,'ORONA BECERRA MAURO JOSE'!Y$40:Y$46)+SUMIF('VALLES HERNANDEZ MANUEL MARCELI'!T$39:T$45,'KM POR UNIDAD'!E50,'VALLES HERNANDEZ MANUEL MARCELI'!Y$39:Y$45)+SUMIF('ORTIZ RAMIREZ HECTOR MANUEL'!T$40:T$46,'KM POR UNIDAD'!E50,'ORTIZ RAMIREZ HECTOR MANUEL'!Y$40:Y$46)+SUMIF('ONTIVEROS LIRA JUAN'!T$40:T$46,'KM POR UNIDAD'!E50,'ONTIVEROS LIRA JUAN'!Y$40:Y$46)+SUMIF('RODRIGUEZ FLORES BRYAN DARIO'!T$40:T$46,'KM POR UNIDAD'!E50,'RODRIGUEZ FLORES BRYAN DARIO'!Y$40:Y$46)+SUMIF('NUÑEZ RUIZ IRVING JAVIER.'!T$42:T$48,'KM POR UNIDAD'!E50,'NUÑEZ RUIZ IRVING JAVIER.'!Y$42:Y$48)+SUMIF('MACHADO MAZUCA ADOLFO'!T$40:T$46,'KM POR UNIDAD'!E50,'MACHADO MAZUCA ADOLFO'!Y$40:Y$46)+SUMIF('LIRA ARCEO JOEL EDUARDO'!T$40:T$46,'KM POR UNIDAD'!E50,'LIRA ARCEO JOEL EDUARDO'!Y$41:Y$46)+SUMIF('ANCHONDO ROMERO CESAR ALEJANDRO'!T$40:T$46,'KM POR UNIDAD'!E50,'ANCHONDO ROMERO CESAR ALEJANDRO'!Y$40:Y$46)</f>
        <v>#REF!</v>
      </c>
      <c r="G50" s="146"/>
    </row>
    <row r="51" spans="1:9" x14ac:dyDescent="0.25">
      <c r="A51" s="143" t="s">
        <v>174</v>
      </c>
      <c r="B51" s="144">
        <f>+SUMIF('AGUILAR ESQUIVEL CARLOS'!P$40:P$46,'KM POR UNIDAD'!A51,'AGUILAR ESQUIVEL CARLOS'!U$40:U$46)+SUMIF('AGUILAR RODRIGUEZ JORGE ALONSO'!P$40:P$46,'KM POR UNIDAD'!A51,'AGUILAR RODRIGUEZ JORGE ALONSO'!U$40:U$46)+SUMIF('REYES LARA DANTE'!P$40:P$46,'KM POR UNIDAD'!A51,'REYES LARA DANTE'!U$40:U$46)+SUMIF('RAMIREZ BAUTISTA ADRIAN'!P$40:P$46,'KM POR UNIDAD'!A51,'RAMIREZ BAUTISTA ADRIAN'!U$40:U$46)+SUMIF('FLORES BOJORQUEZ BRYAN OVED'!P$40:P$46,'KM POR UNIDAD'!A51,'FLORES BOJORQUEZ BRYAN OVED'!U$40:U$46)+SUMIF('BALDERRAMA ROBLES JORGE'!P$40:P$46,'KM POR UNIDAD'!A51,'BALDERRAMA ROBLES JORGE'!U$40:U$46)+SUMIF('BURGOS TORRES RIGOBERTO'!P$39:P$45,'KM POR UNIDAD'!A51,'BURGOS TORRES RIGOBERTO'!U$39:U$45)+SUMIF('CORDOVA URIBE JOSE  ADRIAN'!P$40:P$46,'KM POR UNIDAD'!A51,'CORDOVA URIBE JOSE  ADRIAN'!U$40:U$46)+SUMIF('GUZMAN CHAPARRO PEDRO'!P$40:P$46,'KM POR UNIDAD'!A51,'GUZMAN CHAPARRO PEDRO'!U$40:U$46)+SUMIF('HERNANDEZ LICANO JOSE LUIS'!P$40:P$46,'KM POR UNIDAD'!A51,'HERNANDEZ LICANO JOSE LUIS'!U$40:U$46)+SUMIF('CARRERA REYES MARTIN SEBASTIAN'!P$41:P$47,'KM POR UNIDAD'!A51,'CARRERA REYES MARTIN SEBASTIAN'!U$41:U$47)+SUMIF('RUIZ SAUCEDO DANIEL ALEJANDRO'!P$40:P$46,'KM POR UNIDAD'!A51,'RUIZ SAUCEDO DANIEL ALEJANDRO'!U$40:U$46)+SUMIF('MARTINEZ RAMIREZ ROSALIO'!P$40:P$46,'KM POR UNIDAD'!A51,'MARTINEZ RAMIREZ ROSALIO'!U$40:U$46)+SUMIF('BALLEZA RAMIREZ JESUS JOSE'!P$40:P$46,'KM POR UNIDAD'!A51,'BALLEZA RAMIREZ JESUS JOSE'!U$40:U$46)+SUMIF('MONTERO BURROLA LUIS'!P$38:P$44,'KM POR UNIDAD'!A51,'MONTERO BURROLA LUIS'!U$38:U$44)+SUMIF('AGUILERA CONTRERAS LUIS GERARDO'!P$41:P$47,'KM POR UNIDAD'!A51,'AGUILERA CONTRERAS LUIS GERARDO'!U$41:U$47)+SUMIF('MORALES LOPEZ DE LARA MARIANO'!P$40:P$46,'KM POR UNIDAD'!A51,'MORALES LOPEZ DE LARA MARIANO'!U$40:U$46)+SUMIF('MELENDEZ SINALOA MANUEL ARAT'!P$40:P$46,'KM POR UNIDAD'!A51,'MELENDEZ SINALOA MANUEL ARAT'!U$40:U$46)+SUMIF('MORALES LECHUGA GONZALO'!P$40:P$46,'KM POR UNIDAD'!A51,'MORALES LECHUGA GONZALO'!U$40:U$46)+SUMIF('ORONA BECERRA MAURO JOSE'!P$40:P$46,'KM POR UNIDAD'!A51,'ORONA BECERRA MAURO JOSE'!U$40:U$46)+SUMIF('VALLES HERNANDEZ MANUEL MARCELI'!P$39:P$45,'KM POR UNIDAD'!A51,'VALLES HERNANDEZ MANUEL MARCELI'!U$39:U$45)+SUMIF('ORTIZ RAMIREZ HECTOR MANUEL'!P$40:P$46,'KM POR UNIDAD'!A51,'ORTIZ RAMIREZ HECTOR MANUEL'!U$40:U$46)+SUMIF('ONTIVEROS LIRA JUAN'!P$40:P$46,'KM POR UNIDAD'!A51,'ONTIVEROS LIRA JUAN'!U$40:U$46)+SUMIF('RODRIGUEZ FLORES BRYAN DARIO'!P$40:P$46,'KM POR UNIDAD'!A51,'RODRIGUEZ FLORES BRYAN DARIO'!U$40:U$46)+SUMIF('NUÑEZ RUIZ IRVING JAVIER.'!P$42:P$48,'KM POR UNIDAD'!A51,'NUÑEZ RUIZ IRVING JAVIER.'!U$42:U$48)+SUMIF('MACHADO MAZUCA ADOLFO'!P$40:P$46,'KM POR UNIDAD'!A51,'MACHADO MAZUCA ADOLFO'!U$40:U$46)+SUMIF('LIRA ARCEO JOEL EDUARDO'!P$40:P$46,'KM POR UNIDAD'!A51,'LIRA ARCEO JOEL EDUARDO'!U$40:U$46)+SUMIF('ANCHONDO ROMERO CESAR ALEJANDRO'!P$40:P$46,'KM POR UNIDAD'!A51,'ANCHONDO ROMERO CESAR ALEJANDRO'!U$40:U$46)</f>
        <v>0</v>
      </c>
      <c r="C51" s="150">
        <f ca="1">+SUMIF('AGUILAR ESQUIVEL CARLOS'!P$40:P$46,'KM POR UNIDAD'!A51,'AGUILAR ESQUIVEL CARLOS'!T$40:T$46)+SUMIF('AGUILAR RODRIGUEZ JORGE ALONSO'!P$40:P$46,'KM POR UNIDAD'!A51,'AGUILAR RODRIGUEZ JORGE ALONSO'!T$40:T$46)+SUMIF('REYES LARA DANTE'!P$40:P$46,'KM POR UNIDAD'!A51,'REYES LARA DANTE'!T$40:T$46)+SUMIF('RAMIREZ BAUTISTA ADRIAN'!P$40:P$46,'KM POR UNIDAD'!A51,'RAMIREZ BAUTISTA ADRIAN'!T$40:T$46)+SUMIF('FLORES BOJORQUEZ BRYAN OVED'!P$40:P$46,'KM POR UNIDAD'!A51,'FLORES BOJORQUEZ BRYAN OVED'!T$40:T$46)+SUMIF('BALDERRAMA ROBLES JORGE'!P$40:P$46,'KM POR UNIDAD'!A51,'BALDERRAMA ROBLES JORGE'!T$40:T$46)+SUMIF('BURGOS TORRES RIGOBERTO'!P$39:P$45,'KM POR UNIDAD'!A51,'BURGOS TORRES RIGOBERTO'!T$39:T$45)+SUMIF('CORDOVA URIBE JOSE  ADRIAN'!P$40:P$46,'KM POR UNIDAD'!A51,'CORDOVA URIBE JOSE  ADRIAN'!T$40:T$46)+SUMIF('GUZMAN CHAPARRO PEDRO'!P$40:P$46,'KM POR UNIDAD'!A51,'GUZMAN CHAPARRO PEDRO'!T$40:T$46)+SUMIF('HERNANDEZ LICANO JOSE LUIS'!P$40:P$46,'KM POR UNIDAD'!A51,'HERNANDEZ LICANO JOSE LUIS'!T$40:T$46)+SUMIF('CARRERA REYES MARTIN SEBASTIAN'!P$41:P$47,'KM POR UNIDAD'!A51,'CARRERA REYES MARTIN SEBASTIAN'!T$41:T$47)+SUMIF('RUIZ SAUCEDO DANIEL ALEJANDRO'!P$40:P$46,'KM POR UNIDAD'!A51,'RUIZ SAUCEDO DANIEL ALEJANDRO'!T$40:T$46)+SUMIF('MARTINEZ RAMIREZ ROSALIO'!P$40:P$46,'KM POR UNIDAD'!A51,'MARTINEZ RAMIREZ ROSALIO'!T$40:T$46)+SUMIF('BALLEZA RAMIREZ JESUS JOSE'!P$40:P$46,'KM POR UNIDAD'!A51,'BALLEZA RAMIREZ JESUS JOSE'!T$40:T$46)+SUMIF('MONTERO BURROLA LUIS'!P$38:P$44,'KM POR UNIDAD'!A51,'MONTERO BURROLA LUIS'!T$38:T$44)+SUMIF('AGUILERA CONTRERAS LUIS GERARDO'!P$41:P$47,'KM POR UNIDAD'!A51,'AGUILERA CONTRERAS LUIS GERARDO'!T$41:T$47)+SUMIF('MORALES LOPEZ DE LARA MARIANO'!P$40:P$46,'KM POR UNIDAD'!A51,'MORALES LOPEZ DE LARA MARIANO'!T$40:T$46)+SUMIF('MELENDEZ SINALOA MANUEL ARAT'!P$40:P$46,'KM POR UNIDAD'!A51,'MELENDEZ SINALOA MANUEL ARAT'!T$40:T$46)+SUMIF('MORALES LECHUGA GONZALO'!P$40:P$46,'KM POR UNIDAD'!A51,'MORALES LECHUGA GONZALO'!T$40:T$46)+SUMIF('ORONA BECERRA MAURO JOSE'!P$40:P$46,'KM POR UNIDAD'!A51,'ORONA BECERRA MAURO JOSE'!T$40:T$46)+SUMIF('VALLES HERNANDEZ MANUEL MARCELI'!P$39:P$45,'KM POR UNIDAD'!A51,'VALLES HERNANDEZ MANUEL MARCELI'!T$39:T$45)+SUMIF('ORTIZ RAMIREZ HECTOR MANUEL'!P$40:P$46,'KM POR UNIDAD'!A51,'ORTIZ RAMIREZ HECTOR MANUEL'!T$40:T$46)+SUMIF('ONTIVEROS LIRA JUAN'!P$40:P$446,'KM POR UNIDAD'!A51,'ONTIVEROS LIRA JUAN'!T$40:T$46)+SUMIF('RODRIGUEZ FLORES BRYAN DARIO'!P$40:P$46,'KM POR UNIDAD'!A51,'RODRIGUEZ FLORES BRYAN DARIO'!T$40:T$46)+SUMIF('NUÑEZ RUIZ IRVING JAVIER.'!P$42:P$48,'KM POR UNIDAD'!A51,'NUÑEZ RUIZ IRVING JAVIER.'!T$42:T$48)+SUMIF('MACHADO MAZUCA ADOLFO'!P$40:P$46,'KM POR UNIDAD'!A51,'MACHADO MAZUCA ADOLFO'!T$40:T$46)+SUMIF('LIRA ARCEO JOEL EDUARDO'!P$40:P$46,'KM POR UNIDAD'!A51,'LIRA ARCEO JOEL EDUARDO'!T$40:T$46)+SUMIF('ANCHONDO ROMERO CESAR ALEJANDRO'!P$40:P$46,'KM POR UNIDAD'!A51,'ANCHONDO ROMERO CESAR ALEJANDRO'!T$40:T$46)</f>
        <v>0</v>
      </c>
      <c r="D51" s="150">
        <f>+SUMIF('AGUILAR ESQUIVEL CARLOS'!P$40:P$46,'KM POR UNIDAD'!A51,'AGUILAR ESQUIVEL CARLOS'!V$40:V$46)+SUMIF('AGUILAR RODRIGUEZ JORGE ALONSO'!P$40:P$46,'KM POR UNIDAD'!A51,'AGUILAR RODRIGUEZ JORGE ALONSO'!V$40:V$46)+SUMIF('REYES LARA DANTE'!P$40:P$46,'KM POR UNIDAD'!A51,'REYES LARA DANTE'!V$40:V$46)+SUMIF('RAMIREZ BAUTISTA ADRIAN'!P$40:P$46,'KM POR UNIDAD'!A51,'RAMIREZ BAUTISTA ADRIAN'!V$40:V$46)+SUMIF('FLORES BOJORQUEZ BRYAN OVED'!P$40:P$46,'KM POR UNIDAD'!A51,'FLORES BOJORQUEZ BRYAN OVED'!V$40:V$46)+SUMIF('BALDERRAMA ROBLES JORGE'!P$40:P$46,'KM POR UNIDAD'!A51,'BALDERRAMA ROBLES JORGE'!V$40:V$46)+SUMIF('BURGOS TORRES RIGOBERTO'!P$39:P$45,'KM POR UNIDAD'!A51,'BURGOS TORRES RIGOBERTO'!V$39:V$45)+SUMIF('CORDOVA URIBE JOSE  ADRIAN'!P$40:P$46,'KM POR UNIDAD'!A51,'CORDOVA URIBE JOSE  ADRIAN'!V$40:V$46)+SUMIF('GUZMAN CHAPARRO PEDRO'!P$40:P$46,'KM POR UNIDAD'!A51,'GUZMAN CHAPARRO PEDRO'!V$40:V$46)+SUMIF('HERNANDEZ LICANO JOSE LUIS'!P$40:P$46,'KM POR UNIDAD'!A51,'HERNANDEZ LICANO JOSE LUIS'!V$40:V$46)+SUMIF('CARRERA REYES MARTIN SEBASTIAN'!P$41:P$47,'KM POR UNIDAD'!A51,'CARRERA REYES MARTIN SEBASTIAN'!V$41:V$47)+SUMIF('RUIZ SAUCEDO DANIEL ALEJANDRO'!P$40:P$46,'KM POR UNIDAD'!A51,'RUIZ SAUCEDO DANIEL ALEJANDRO'!V$40:V$46)+SUMIF('MARTINEZ RAMIREZ ROSALIO'!P$40:P$46,'KM POR UNIDAD'!A51,'MARTINEZ RAMIREZ ROSALIO'!V$40:V$46)+SUMIF('BALLEZA RAMIREZ JESUS JOSE'!P$40:P$46,'KM POR UNIDAD'!A51,'BALLEZA RAMIREZ JESUS JOSE'!V$40:V$46)+SUMIF('MONTERO BURROLA LUIS'!P$38:P$44,'KM POR UNIDAD'!A51,'MONTERO BURROLA LUIS'!V$38:V$44)+SUMIF('AGUILERA CONTRERAS LUIS GERARDO'!P$41:P$47,'KM POR UNIDAD'!A51,'AGUILERA CONTRERAS LUIS GERARDO'!V$41:V$47)+SUMIF('MORALES LOPEZ DE LARA MARIANO'!P$40:P$46,'KM POR UNIDAD'!A51,'MORALES LOPEZ DE LARA MARIANO'!V$40:V$46)+SUMIF('MELENDEZ SINALOA MANUEL ARAT'!P$40:P$46,'KM POR UNIDAD'!A51,'MELENDEZ SINALOA MANUEL ARAT'!V$40:V$46)+SUMIF('MORALES LECHUGA GONZALO'!P$40:P$46,'KM POR UNIDAD'!A51,'MORALES LECHUGA GONZALO'!V$40:V$46)+SUMIF('ORONA BECERRA MAURO JOSE'!P$40:P$46,'KM POR UNIDAD'!A51,'ORONA BECERRA MAURO JOSE'!V$40:V$46)+SUMIF('VALLES HERNANDEZ MANUEL MARCELI'!P$39:P$45,'KM POR UNIDAD'!A51,'VALLES HERNANDEZ MANUEL MARCELI'!V$39:V$45)+SUMIF('ORTIZ RAMIREZ HECTOR MANUEL'!P$40:P$46,'KM POR UNIDAD'!A51,'ORTIZ RAMIREZ HECTOR MANUEL'!V$40:V$46)+SUMIF('ONTIVEROS LIRA JUAN'!P$40:P$46,'KM POR UNIDAD'!A51,'ONTIVEROS LIRA JUAN'!V$40:V$46)+SUMIF('RODRIGUEZ FLORES BRYAN DARIO'!P$40:P$46,'KM POR UNIDAD'!A51,'RODRIGUEZ FLORES BRYAN DARIO'!V$40:V$46)+SUMIF('NUÑEZ RUIZ IRVING JAVIER.'!P$42:P$48,'KM POR UNIDAD'!A51,'NUÑEZ RUIZ IRVING JAVIER.'!V$42:V$48)+SUMIF('MACHADO MAZUCA ADOLFO'!P$40:P$46,'KM POR UNIDAD'!A51,'MACHADO MAZUCA ADOLFO'!V$40:V$46)+SUMIF('LIRA ARCEO JOEL EDUARDO'!P$40:P$46,'KM POR UNIDAD'!A51,'LIRA ARCEO JOEL EDUARDO'!V$40:V$46)+SUMIF('ANCHONDO ROMERO CESAR ALEJANDRO'!P$40:P$46,'KM POR UNIDAD'!A51,'ANCHONDO ROMERO CESAR ALEJANDRO'!V$40:V$46)</f>
        <v>0</v>
      </c>
      <c r="E51" s="145">
        <f>IFERROR(B51/D51,0)</f>
        <v>0</v>
      </c>
      <c r="F51" s="144" t="e">
        <f ca="1">+SUMIF('AGUILAR ESQUIVEL CARLOS'!P$40:P$46,'KM POR UNIDAD'!A51,'AGUILAR ESQUIVEL CARLOS'!W$40:W$46)+SUMIF('AGUILAR RODRIGUEZ JORGE ALONSO'!P$40:P$46,'KM POR UNIDAD'!A51,'AGUILAR RODRIGUEZ JORGE ALONSO'!W$40:W$46)+SUMIF('REYES LARA DANTE'!T$40:T$46,'KM POR UNIDAD'!A51,'REYES LARA DANTE'!Y$40:Y$46)+SUMIF('RAMIREZ BAUTISTA ADRIAN'!T$40:T$46,'KM POR UNIDAD'!A51,'RAMIREZ BAUTISTA ADRIAN'!Y$40:Y$46)+SUMIF('FLORES BOJORQUEZ BRYAN OVED'!T$40:T$46,'KM POR UNIDAD'!A51,'FLORES BOJORQUEZ BRYAN OVED'!Y$40:Y$46)+SUMIF('BALDERRAMA ROBLES JORGE'!T$40:T$46,'KM POR UNIDAD'!A51,'BALDERRAMA ROBLES JORGE'!#REF!)+SUMIF('BURGOS TORRES RIGOBERTO'!T$39:T$45,'KM POR UNIDAD'!A51,'BURGOS TORRES RIGOBERTO'!Y$39:Y$45)+SUMIF('CORDOVA URIBE JOSE  ADRIAN'!T$40:T$46,'KM POR UNIDAD'!E51,'CORDOVA URIBE JOSE  ADRIAN'!Y$40:Y$46)+SUMIF('GUZMAN CHAPARRO PEDRO'!T$40:T$46,'KM POR UNIDAD'!E51,'GUZMAN CHAPARRO PEDRO'!Y$40:Y$46)+SUMIF('HERNANDEZ LICANO JOSE LUIS'!T$40:T$46,'KM POR UNIDAD'!E51,'HERNANDEZ LICANO JOSE LUIS'!#REF!)+SUMIF('CARRERA REYES MARTIN SEBASTIAN'!T$41:T$47,'KM POR UNIDAD'!E51,'CARRERA REYES MARTIN SEBASTIAN'!Y$41:Y$47)+SUMIF('RUIZ SAUCEDO DANIEL ALEJANDRO'!T$40:T$46,'KM POR UNIDAD'!E51,'RUIZ SAUCEDO DANIEL ALEJANDRO'!Y$40:Y$46)+SUMIF('MARTINEZ RAMIREZ ROSALIO'!T$40:T$46,'KM POR UNIDAD'!E51,'MARTINEZ RAMIREZ ROSALIO'!Y$40:Y$46)+SUMIF('BALLEZA RAMIREZ JESUS JOSE'!T$40:T$46,'KM POR UNIDAD'!E51,'BALLEZA RAMIREZ JESUS JOSE'!T$176:T$180)+SUMIF('MONTERO BURROLA LUIS'!T$38:T$44,'KM POR UNIDAD'!E51,'MONTERO BURROLA LUIS'!Y$38:Y$44)+SUMIF('AGUILERA CONTRERAS LUIS GERARDO'!T$41:T$47,'KM POR UNIDAD'!E51,'AGUILERA CONTRERAS LUIS GERARDO'!Y$41:Y$47)+SUMIF('MORALES LOPEZ DE LARA MARIANO'!T$40:T$46,'KM POR UNIDAD'!E51,'MORALES LOPEZ DE LARA MARIANO'!Y$40:Y$46)+SUMIF('MELENDEZ SINALOA MANUEL ARAT'!T$40:T$46,'KM POR UNIDAD'!E51,'MELENDEZ SINALOA MANUEL ARAT'!#REF!)+SUMIF('MORALES LECHUGA GONZALO'!T$40:T$46,'KM POR UNIDAD'!E51,'MORALES LECHUGA GONZALO'!Y$40:Y$46)+SUMIF('ORONA BECERRA MAURO JOSE'!T$40:T$46,'KM POR UNIDAD'!E51,'ORONA BECERRA MAURO JOSE'!Y$40:Y$46)+SUMIF('VALLES HERNANDEZ MANUEL MARCELI'!T$39:T$45,'KM POR UNIDAD'!E51,'VALLES HERNANDEZ MANUEL MARCELI'!Y$39:Y$45)+SUMIF('ORTIZ RAMIREZ HECTOR MANUEL'!T$40:T$46,'KM POR UNIDAD'!E51,'ORTIZ RAMIREZ HECTOR MANUEL'!Y$40:Y$46)+SUMIF('ONTIVEROS LIRA JUAN'!T$40:T$46,'KM POR UNIDAD'!E51,'ONTIVEROS LIRA JUAN'!Y$40:Y$46)+SUMIF('RODRIGUEZ FLORES BRYAN DARIO'!T$40:T$46,'KM POR UNIDAD'!E51,'RODRIGUEZ FLORES BRYAN DARIO'!Y$40:Y$46)+SUMIF('NUÑEZ RUIZ IRVING JAVIER.'!T$42:T$48,'KM POR UNIDAD'!E51,'NUÑEZ RUIZ IRVING JAVIER.'!Y$42:Y$48)+SUMIF('MACHADO MAZUCA ADOLFO'!T$40:T$46,'KM POR UNIDAD'!E51,'MACHADO MAZUCA ADOLFO'!Y$40:Y$46)+SUMIF('LIRA ARCEO JOEL EDUARDO'!T$40:T$46,'KM POR UNIDAD'!E51,'LIRA ARCEO JOEL EDUARDO'!Y$41:Y$46)+SUMIF('ANCHONDO ROMERO CESAR ALEJANDRO'!T$40:T$46,'KM POR UNIDAD'!E51,'ANCHONDO ROMERO CESAR ALEJANDRO'!Y$40:Y$46)</f>
        <v>#REF!</v>
      </c>
      <c r="G51" s="146"/>
    </row>
    <row r="52" spans="1:9" x14ac:dyDescent="0.25">
      <c r="A52" s="143" t="s">
        <v>175</v>
      </c>
      <c r="B52" s="144">
        <f>+SUMIF('AGUILAR ESQUIVEL CARLOS'!P$40:P$46,'KM POR UNIDAD'!A52,'AGUILAR ESQUIVEL CARLOS'!U$40:U$46)+SUMIF('AGUILAR RODRIGUEZ JORGE ALONSO'!P$40:P$46,'KM POR UNIDAD'!A52,'AGUILAR RODRIGUEZ JORGE ALONSO'!U$40:U$46)+SUMIF('REYES LARA DANTE'!P$40:P$46,'KM POR UNIDAD'!A52,'REYES LARA DANTE'!U$40:U$46)+SUMIF('RAMIREZ BAUTISTA ADRIAN'!P$40:P$46,'KM POR UNIDAD'!A52,'RAMIREZ BAUTISTA ADRIAN'!U$40:U$46)+SUMIF('FLORES BOJORQUEZ BRYAN OVED'!P$40:P$46,'KM POR UNIDAD'!A52,'FLORES BOJORQUEZ BRYAN OVED'!U$40:U$46)+SUMIF('BALDERRAMA ROBLES JORGE'!P$40:P$46,'KM POR UNIDAD'!A52,'BALDERRAMA ROBLES JORGE'!U$40:U$46)+SUMIF('BURGOS TORRES RIGOBERTO'!P$39:P$45,'KM POR UNIDAD'!A52,'BURGOS TORRES RIGOBERTO'!U$39:U$45)+SUMIF('CORDOVA URIBE JOSE  ADRIAN'!P$40:P$46,'KM POR UNIDAD'!A52,'CORDOVA URIBE JOSE  ADRIAN'!U$40:U$46)+SUMIF('GUZMAN CHAPARRO PEDRO'!P$40:P$46,'KM POR UNIDAD'!A52,'GUZMAN CHAPARRO PEDRO'!U$40:U$46)+SUMIF('HERNANDEZ LICANO JOSE LUIS'!P$40:P$46,'KM POR UNIDAD'!A52,'HERNANDEZ LICANO JOSE LUIS'!U$40:U$46)+SUMIF('CARRERA REYES MARTIN SEBASTIAN'!P$41:P$47,'KM POR UNIDAD'!A52,'CARRERA REYES MARTIN SEBASTIAN'!U$41:U$47)+SUMIF('RUIZ SAUCEDO DANIEL ALEJANDRO'!P$40:P$46,'KM POR UNIDAD'!A52,'RUIZ SAUCEDO DANIEL ALEJANDRO'!U$40:U$46)+SUMIF('MARTINEZ RAMIREZ ROSALIO'!P$40:P$46,'KM POR UNIDAD'!A52,'MARTINEZ RAMIREZ ROSALIO'!U$40:U$46)+SUMIF('BALLEZA RAMIREZ JESUS JOSE'!P$40:P$46,'KM POR UNIDAD'!A52,'BALLEZA RAMIREZ JESUS JOSE'!U$40:U$46)+SUMIF('MONTERO BURROLA LUIS'!P$38:P$44,'KM POR UNIDAD'!A52,'MONTERO BURROLA LUIS'!U$38:U$44)+SUMIF('AGUILERA CONTRERAS LUIS GERARDO'!P$41:P$47,'KM POR UNIDAD'!A52,'AGUILERA CONTRERAS LUIS GERARDO'!U$41:U$47)+SUMIF('MORALES LOPEZ DE LARA MARIANO'!P$40:P$46,'KM POR UNIDAD'!A52,'MORALES LOPEZ DE LARA MARIANO'!U$40:U$46)+SUMIF('MELENDEZ SINALOA MANUEL ARAT'!P$40:P$46,'KM POR UNIDAD'!A52,'MELENDEZ SINALOA MANUEL ARAT'!U$40:U$46)+SUMIF('MORALES LECHUGA GONZALO'!P$40:P$46,'KM POR UNIDAD'!A52,'MORALES LECHUGA GONZALO'!U$40:U$46)+SUMIF('ORONA BECERRA MAURO JOSE'!P$40:P$46,'KM POR UNIDAD'!A52,'ORONA BECERRA MAURO JOSE'!U$40:U$46)+SUMIF('VALLES HERNANDEZ MANUEL MARCELI'!P$39:P$45,'KM POR UNIDAD'!A52,'VALLES HERNANDEZ MANUEL MARCELI'!U$39:U$45)+SUMIF('ORTIZ RAMIREZ HECTOR MANUEL'!P$40:P$46,'KM POR UNIDAD'!A52,'ORTIZ RAMIREZ HECTOR MANUEL'!U$40:U$46)+SUMIF('ONTIVEROS LIRA JUAN'!P$40:P$46,'KM POR UNIDAD'!A52,'ONTIVEROS LIRA JUAN'!U$40:U$46)+SUMIF('RODRIGUEZ FLORES BRYAN DARIO'!P$40:P$46,'KM POR UNIDAD'!A52,'RODRIGUEZ FLORES BRYAN DARIO'!U$40:U$46)+SUMIF('NUÑEZ RUIZ IRVING JAVIER.'!P$42:P$48,'KM POR UNIDAD'!A52,'NUÑEZ RUIZ IRVING JAVIER.'!U$42:U$48)+SUMIF('MACHADO MAZUCA ADOLFO'!P$40:P$46,'KM POR UNIDAD'!A52,'MACHADO MAZUCA ADOLFO'!U$40:U$46)+SUMIF('LIRA ARCEO JOEL EDUARDO'!P$40:P$46,'KM POR UNIDAD'!A52,'LIRA ARCEO JOEL EDUARDO'!U$40:U$46)+SUMIF('ANCHONDO ROMERO CESAR ALEJANDRO'!P$40:P$46,'KM POR UNIDAD'!A52,'ANCHONDO ROMERO CESAR ALEJANDRO'!U$40:U$46)</f>
        <v>0</v>
      </c>
      <c r="C52" s="150">
        <f ca="1">+SUMIF('AGUILAR ESQUIVEL CARLOS'!P$40:P$46,'KM POR UNIDAD'!A52,'AGUILAR ESQUIVEL CARLOS'!T$40:T$46)+SUMIF('AGUILAR RODRIGUEZ JORGE ALONSO'!P$40:P$46,'KM POR UNIDAD'!A52,'AGUILAR RODRIGUEZ JORGE ALONSO'!T$40:T$46)+SUMIF('REYES LARA DANTE'!P$40:P$46,'KM POR UNIDAD'!A52,'REYES LARA DANTE'!T$40:T$46)+SUMIF('RAMIREZ BAUTISTA ADRIAN'!P$40:P$46,'KM POR UNIDAD'!A52,'RAMIREZ BAUTISTA ADRIAN'!T$40:T$46)+SUMIF('FLORES BOJORQUEZ BRYAN OVED'!P$40:P$46,'KM POR UNIDAD'!A52,'FLORES BOJORQUEZ BRYAN OVED'!T$40:T$46)+SUMIF('BALDERRAMA ROBLES JORGE'!P$40:P$46,'KM POR UNIDAD'!A52,'BALDERRAMA ROBLES JORGE'!T$40:T$46)+SUMIF('BURGOS TORRES RIGOBERTO'!P$39:P$45,'KM POR UNIDAD'!A52,'BURGOS TORRES RIGOBERTO'!T$39:T$45)+SUMIF('CORDOVA URIBE JOSE  ADRIAN'!P$40:P$46,'KM POR UNIDAD'!A52,'CORDOVA URIBE JOSE  ADRIAN'!T$40:T$46)+SUMIF('GUZMAN CHAPARRO PEDRO'!P$40:P$46,'KM POR UNIDAD'!A52,'GUZMAN CHAPARRO PEDRO'!T$40:T$46)+SUMIF('HERNANDEZ LICANO JOSE LUIS'!P$40:P$46,'KM POR UNIDAD'!A52,'HERNANDEZ LICANO JOSE LUIS'!T$40:T$46)+SUMIF('CARRERA REYES MARTIN SEBASTIAN'!P$41:P$47,'KM POR UNIDAD'!A52,'CARRERA REYES MARTIN SEBASTIAN'!T$41:T$47)+SUMIF('RUIZ SAUCEDO DANIEL ALEJANDRO'!P$40:P$46,'KM POR UNIDAD'!A52,'RUIZ SAUCEDO DANIEL ALEJANDRO'!T$40:T$46)+SUMIF('MARTINEZ RAMIREZ ROSALIO'!P$40:P$46,'KM POR UNIDAD'!A52,'MARTINEZ RAMIREZ ROSALIO'!T$40:T$46)+SUMIF('BALLEZA RAMIREZ JESUS JOSE'!P$40:P$46,'KM POR UNIDAD'!A52,'BALLEZA RAMIREZ JESUS JOSE'!T$40:T$46)+SUMIF('MONTERO BURROLA LUIS'!P$38:P$44,'KM POR UNIDAD'!A52,'MONTERO BURROLA LUIS'!T$38:T$44)+SUMIF('AGUILERA CONTRERAS LUIS GERARDO'!P$41:P$47,'KM POR UNIDAD'!A52,'AGUILERA CONTRERAS LUIS GERARDO'!T$41:T$47)+SUMIF('MORALES LOPEZ DE LARA MARIANO'!P$40:P$46,'KM POR UNIDAD'!A52,'MORALES LOPEZ DE LARA MARIANO'!T$40:T$46)+SUMIF('MELENDEZ SINALOA MANUEL ARAT'!P$40:P$46,'KM POR UNIDAD'!A52,'MELENDEZ SINALOA MANUEL ARAT'!T$40:T$46)+SUMIF('MORALES LECHUGA GONZALO'!P$40:P$46,'KM POR UNIDAD'!A52,'MORALES LECHUGA GONZALO'!T$40:T$46)+SUMIF('ORONA BECERRA MAURO JOSE'!P$40:P$46,'KM POR UNIDAD'!A52,'ORONA BECERRA MAURO JOSE'!T$40:T$46)+SUMIF('VALLES HERNANDEZ MANUEL MARCELI'!P$39:P$45,'KM POR UNIDAD'!A52,'VALLES HERNANDEZ MANUEL MARCELI'!T$39:T$45)+SUMIF('ORTIZ RAMIREZ HECTOR MANUEL'!P$40:P$46,'KM POR UNIDAD'!A52,'ORTIZ RAMIREZ HECTOR MANUEL'!T$40:T$46)+SUMIF('ONTIVEROS LIRA JUAN'!P$40:P$446,'KM POR UNIDAD'!A52,'ONTIVEROS LIRA JUAN'!T$40:T$46)+SUMIF('RODRIGUEZ FLORES BRYAN DARIO'!P$40:P$46,'KM POR UNIDAD'!A52,'RODRIGUEZ FLORES BRYAN DARIO'!T$40:T$46)+SUMIF('NUÑEZ RUIZ IRVING JAVIER.'!P$42:P$48,'KM POR UNIDAD'!A52,'NUÑEZ RUIZ IRVING JAVIER.'!T$42:T$48)+SUMIF('MACHADO MAZUCA ADOLFO'!P$40:P$46,'KM POR UNIDAD'!A52,'MACHADO MAZUCA ADOLFO'!T$40:T$46)+SUMIF('LIRA ARCEO JOEL EDUARDO'!P$40:P$46,'KM POR UNIDAD'!A52,'LIRA ARCEO JOEL EDUARDO'!T$40:T$46)+SUMIF('ANCHONDO ROMERO CESAR ALEJANDRO'!P$40:P$46,'KM POR UNIDAD'!A52,'ANCHONDO ROMERO CESAR ALEJANDRO'!T$40:T$46)</f>
        <v>0</v>
      </c>
      <c r="D52" s="150">
        <f>+SUMIF('AGUILAR ESQUIVEL CARLOS'!P$40:P$46,'KM POR UNIDAD'!A52,'AGUILAR ESQUIVEL CARLOS'!V$40:V$46)+SUMIF('AGUILAR RODRIGUEZ JORGE ALONSO'!P$40:P$46,'KM POR UNIDAD'!A52,'AGUILAR RODRIGUEZ JORGE ALONSO'!V$40:V$46)+SUMIF('REYES LARA DANTE'!P$40:P$46,'KM POR UNIDAD'!A52,'REYES LARA DANTE'!V$40:V$46)+SUMIF('RAMIREZ BAUTISTA ADRIAN'!P$40:P$46,'KM POR UNIDAD'!A52,'RAMIREZ BAUTISTA ADRIAN'!V$40:V$46)+SUMIF('FLORES BOJORQUEZ BRYAN OVED'!P$40:P$46,'KM POR UNIDAD'!A52,'FLORES BOJORQUEZ BRYAN OVED'!V$40:V$46)+SUMIF('BALDERRAMA ROBLES JORGE'!P$40:P$46,'KM POR UNIDAD'!A52,'BALDERRAMA ROBLES JORGE'!V$40:V$46)+SUMIF('BURGOS TORRES RIGOBERTO'!P$39:P$45,'KM POR UNIDAD'!A52,'BURGOS TORRES RIGOBERTO'!V$39:V$45)+SUMIF('CORDOVA URIBE JOSE  ADRIAN'!P$40:P$46,'KM POR UNIDAD'!A52,'CORDOVA URIBE JOSE  ADRIAN'!V$40:V$46)+SUMIF('GUZMAN CHAPARRO PEDRO'!P$40:P$46,'KM POR UNIDAD'!A52,'GUZMAN CHAPARRO PEDRO'!V$40:V$46)+SUMIF('HERNANDEZ LICANO JOSE LUIS'!P$40:P$46,'KM POR UNIDAD'!A52,'HERNANDEZ LICANO JOSE LUIS'!V$40:V$46)+SUMIF('CARRERA REYES MARTIN SEBASTIAN'!P$41:P$47,'KM POR UNIDAD'!A52,'CARRERA REYES MARTIN SEBASTIAN'!V$41:V$47)+SUMIF('RUIZ SAUCEDO DANIEL ALEJANDRO'!P$40:P$46,'KM POR UNIDAD'!A52,'RUIZ SAUCEDO DANIEL ALEJANDRO'!V$40:V$46)+SUMIF('MARTINEZ RAMIREZ ROSALIO'!P$40:P$46,'KM POR UNIDAD'!A52,'MARTINEZ RAMIREZ ROSALIO'!V$40:V$46)+SUMIF('BALLEZA RAMIREZ JESUS JOSE'!P$40:P$46,'KM POR UNIDAD'!A52,'BALLEZA RAMIREZ JESUS JOSE'!V$40:V$46)+SUMIF('MONTERO BURROLA LUIS'!P$38:P$44,'KM POR UNIDAD'!A52,'MONTERO BURROLA LUIS'!V$38:V$44)+SUMIF('AGUILERA CONTRERAS LUIS GERARDO'!P$41:P$47,'KM POR UNIDAD'!A52,'AGUILERA CONTRERAS LUIS GERARDO'!V$41:V$47)+SUMIF('MORALES LOPEZ DE LARA MARIANO'!P$40:P$46,'KM POR UNIDAD'!A52,'MORALES LOPEZ DE LARA MARIANO'!V$40:V$46)+SUMIF('MELENDEZ SINALOA MANUEL ARAT'!P$40:P$46,'KM POR UNIDAD'!A52,'MELENDEZ SINALOA MANUEL ARAT'!V$40:V$46)+SUMIF('MORALES LECHUGA GONZALO'!P$40:P$46,'KM POR UNIDAD'!A52,'MORALES LECHUGA GONZALO'!V$40:V$46)+SUMIF('ORONA BECERRA MAURO JOSE'!P$40:P$46,'KM POR UNIDAD'!A52,'ORONA BECERRA MAURO JOSE'!V$40:V$46)+SUMIF('VALLES HERNANDEZ MANUEL MARCELI'!P$39:P$45,'KM POR UNIDAD'!A52,'VALLES HERNANDEZ MANUEL MARCELI'!V$39:V$45)+SUMIF('ORTIZ RAMIREZ HECTOR MANUEL'!P$40:P$46,'KM POR UNIDAD'!A52,'ORTIZ RAMIREZ HECTOR MANUEL'!V$40:V$46)+SUMIF('ONTIVEROS LIRA JUAN'!P$40:P$46,'KM POR UNIDAD'!A52,'ONTIVEROS LIRA JUAN'!V$40:V$46)+SUMIF('RODRIGUEZ FLORES BRYAN DARIO'!P$40:P$46,'KM POR UNIDAD'!A52,'RODRIGUEZ FLORES BRYAN DARIO'!V$40:V$46)+SUMIF('NUÑEZ RUIZ IRVING JAVIER.'!P$42:P$48,'KM POR UNIDAD'!A52,'NUÑEZ RUIZ IRVING JAVIER.'!V$42:V$48)+SUMIF('MACHADO MAZUCA ADOLFO'!P$40:P$46,'KM POR UNIDAD'!A52,'MACHADO MAZUCA ADOLFO'!V$40:V$46)+SUMIF('LIRA ARCEO JOEL EDUARDO'!P$40:P$46,'KM POR UNIDAD'!A52,'LIRA ARCEO JOEL EDUARDO'!V$40:V$46)+SUMIF('ANCHONDO ROMERO CESAR ALEJANDRO'!P$40:P$46,'KM POR UNIDAD'!A52,'ANCHONDO ROMERO CESAR ALEJANDRO'!V$40:V$46)</f>
        <v>0</v>
      </c>
      <c r="E52" s="145">
        <f t="shared" si="0"/>
        <v>0</v>
      </c>
      <c r="F52" s="144" t="e">
        <f ca="1">+SUMIF('AGUILAR ESQUIVEL CARLOS'!P$40:P$46,'KM POR UNIDAD'!A52,'AGUILAR ESQUIVEL CARLOS'!W$40:W$46)+SUMIF('AGUILAR RODRIGUEZ JORGE ALONSO'!P$40:P$46,'KM POR UNIDAD'!A52,'AGUILAR RODRIGUEZ JORGE ALONSO'!W$40:W$46)+SUMIF('REYES LARA DANTE'!T$40:T$46,'KM POR UNIDAD'!A52,'REYES LARA DANTE'!Y$40:Y$46)+SUMIF('RAMIREZ BAUTISTA ADRIAN'!T$40:T$46,'KM POR UNIDAD'!A52,'RAMIREZ BAUTISTA ADRIAN'!Y$40:Y$46)+SUMIF('FLORES BOJORQUEZ BRYAN OVED'!T$40:T$46,'KM POR UNIDAD'!A52,'FLORES BOJORQUEZ BRYAN OVED'!Y$40:Y$46)+SUMIF('BALDERRAMA ROBLES JORGE'!T$40:T$46,'KM POR UNIDAD'!A52,'BALDERRAMA ROBLES JORGE'!#REF!)+SUMIF('BURGOS TORRES RIGOBERTO'!T$39:T$45,'KM POR UNIDAD'!A52,'BURGOS TORRES RIGOBERTO'!Y$39:Y$45)+SUMIF('CORDOVA URIBE JOSE  ADRIAN'!T$40:T$46,'KM POR UNIDAD'!E52,'CORDOVA URIBE JOSE  ADRIAN'!Y$40:Y$46)+SUMIF('GUZMAN CHAPARRO PEDRO'!T$40:T$46,'KM POR UNIDAD'!E52,'GUZMAN CHAPARRO PEDRO'!Y$40:Y$46)+SUMIF('HERNANDEZ LICANO JOSE LUIS'!T$40:T$46,'KM POR UNIDAD'!E52,'HERNANDEZ LICANO JOSE LUIS'!#REF!)+SUMIF('CARRERA REYES MARTIN SEBASTIAN'!T$41:T$47,'KM POR UNIDAD'!E52,'CARRERA REYES MARTIN SEBASTIAN'!Y$41:Y$47)+SUMIF('RUIZ SAUCEDO DANIEL ALEJANDRO'!T$40:T$46,'KM POR UNIDAD'!E52,'RUIZ SAUCEDO DANIEL ALEJANDRO'!Y$40:Y$46)+SUMIF('MARTINEZ RAMIREZ ROSALIO'!T$40:T$46,'KM POR UNIDAD'!E52,'MARTINEZ RAMIREZ ROSALIO'!Y$40:Y$46)+SUMIF('BALLEZA RAMIREZ JESUS JOSE'!T$40:T$46,'KM POR UNIDAD'!E52,'BALLEZA RAMIREZ JESUS JOSE'!T$176:T$180)+SUMIF('MONTERO BURROLA LUIS'!T$38:T$44,'KM POR UNIDAD'!E52,'MONTERO BURROLA LUIS'!Y$38:Y$44)+SUMIF('AGUILERA CONTRERAS LUIS GERARDO'!T$41:T$47,'KM POR UNIDAD'!E52,'AGUILERA CONTRERAS LUIS GERARDO'!Y$41:Y$47)+SUMIF('MORALES LOPEZ DE LARA MARIANO'!T$40:T$46,'KM POR UNIDAD'!E52,'MORALES LOPEZ DE LARA MARIANO'!Y$40:Y$46)+SUMIF('MELENDEZ SINALOA MANUEL ARAT'!T$40:T$46,'KM POR UNIDAD'!E52,'MELENDEZ SINALOA MANUEL ARAT'!#REF!)+SUMIF('MORALES LECHUGA GONZALO'!T$40:T$46,'KM POR UNIDAD'!E52,'MORALES LECHUGA GONZALO'!Y$40:Y$46)+SUMIF('ORONA BECERRA MAURO JOSE'!T$40:T$46,'KM POR UNIDAD'!E52,'ORONA BECERRA MAURO JOSE'!Y$40:Y$46)+SUMIF('VALLES HERNANDEZ MANUEL MARCELI'!T$39:T$45,'KM POR UNIDAD'!E52,'VALLES HERNANDEZ MANUEL MARCELI'!Y$39:Y$45)+SUMIF('ORTIZ RAMIREZ HECTOR MANUEL'!T$40:T$46,'KM POR UNIDAD'!E52,'ORTIZ RAMIREZ HECTOR MANUEL'!Y$40:Y$46)+SUMIF('ONTIVEROS LIRA JUAN'!T$40:T$46,'KM POR UNIDAD'!E52,'ONTIVEROS LIRA JUAN'!Y$40:Y$46)+SUMIF('RODRIGUEZ FLORES BRYAN DARIO'!T$40:T$46,'KM POR UNIDAD'!E52,'RODRIGUEZ FLORES BRYAN DARIO'!Y$40:Y$46)+SUMIF('NUÑEZ RUIZ IRVING JAVIER.'!T$42:T$48,'KM POR UNIDAD'!E52,'NUÑEZ RUIZ IRVING JAVIER.'!Y$42:Y$48)+SUMIF('MACHADO MAZUCA ADOLFO'!T$40:T$46,'KM POR UNIDAD'!E52,'MACHADO MAZUCA ADOLFO'!Y$40:Y$46)+SUMIF('LIRA ARCEO JOEL EDUARDO'!T$40:T$46,'KM POR UNIDAD'!E52,'LIRA ARCEO JOEL EDUARDO'!Y$41:Y$46)+SUMIF('ANCHONDO ROMERO CESAR ALEJANDRO'!T$40:T$46,'KM POR UNIDAD'!E52,'ANCHONDO ROMERO CESAR ALEJANDRO'!Y$40:Y$46)</f>
        <v>#REF!</v>
      </c>
      <c r="G52" s="146"/>
      <c r="I52" s="228"/>
    </row>
    <row r="53" spans="1:9" x14ac:dyDescent="0.25">
      <c r="A53" s="143" t="s">
        <v>271</v>
      </c>
      <c r="B53" s="144">
        <f>+SUMIF('AGUILAR ESQUIVEL CARLOS'!P$40:P$46,'KM POR UNIDAD'!A53,'AGUILAR ESQUIVEL CARLOS'!U$40:U$46)+SUMIF('AGUILAR RODRIGUEZ JORGE ALONSO'!P$40:P$46,'KM POR UNIDAD'!A53,'AGUILAR RODRIGUEZ JORGE ALONSO'!U$40:U$46)+SUMIF('REYES LARA DANTE'!P$40:P$46,'KM POR UNIDAD'!A53,'REYES LARA DANTE'!U$40:U$46)+SUMIF('RAMIREZ BAUTISTA ADRIAN'!P$40:P$46,'KM POR UNIDAD'!A53,'RAMIREZ BAUTISTA ADRIAN'!U$40:U$46)+SUMIF('FLORES BOJORQUEZ BRYAN OVED'!P$40:P$46,'KM POR UNIDAD'!A53,'FLORES BOJORQUEZ BRYAN OVED'!U$40:U$46)+SUMIF('BALDERRAMA ROBLES JORGE'!P$40:P$46,'KM POR UNIDAD'!A53,'BALDERRAMA ROBLES JORGE'!U$40:U$46)+SUMIF('BURGOS TORRES RIGOBERTO'!P$39:P$45,'KM POR UNIDAD'!A53,'BURGOS TORRES RIGOBERTO'!U$39:U$45)+SUMIF('CORDOVA URIBE JOSE  ADRIAN'!P$40:P$46,'KM POR UNIDAD'!A53,'CORDOVA URIBE JOSE  ADRIAN'!U$40:U$46)+SUMIF('GUZMAN CHAPARRO PEDRO'!P$40:P$46,'KM POR UNIDAD'!A53,'GUZMAN CHAPARRO PEDRO'!U$40:U$46)+SUMIF('HERNANDEZ LICANO JOSE LUIS'!P$40:P$46,'KM POR UNIDAD'!A53,'HERNANDEZ LICANO JOSE LUIS'!U$40:U$46)+SUMIF('CARRERA REYES MARTIN SEBASTIAN'!P$41:P$47,'KM POR UNIDAD'!A53,'CARRERA REYES MARTIN SEBASTIAN'!U$41:U$47)+SUMIF('RUIZ SAUCEDO DANIEL ALEJANDRO'!P$40:P$46,'KM POR UNIDAD'!A53,'RUIZ SAUCEDO DANIEL ALEJANDRO'!U$40:U$46)+SUMIF('MARTINEZ RAMIREZ ROSALIO'!P$40:P$46,'KM POR UNIDAD'!A53,'MARTINEZ RAMIREZ ROSALIO'!U$40:U$46)+SUMIF('BALLEZA RAMIREZ JESUS JOSE'!P$40:P$46,'KM POR UNIDAD'!A53,'BALLEZA RAMIREZ JESUS JOSE'!U$40:U$46)+SUMIF('MONTERO BURROLA LUIS'!P$38:P$44,'KM POR UNIDAD'!A53,'MONTERO BURROLA LUIS'!U$38:U$44)+SUMIF('AGUILERA CONTRERAS LUIS GERARDO'!P$41:P$47,'KM POR UNIDAD'!A53,'AGUILERA CONTRERAS LUIS GERARDO'!U$41:U$47)+SUMIF('MORALES LOPEZ DE LARA MARIANO'!P$40:P$46,'KM POR UNIDAD'!A53,'MORALES LOPEZ DE LARA MARIANO'!U$40:U$46)+SUMIF('MELENDEZ SINALOA MANUEL ARAT'!P$40:P$46,'KM POR UNIDAD'!A53,'MELENDEZ SINALOA MANUEL ARAT'!U$40:U$46)+SUMIF('MORALES LECHUGA GONZALO'!P$40:P$46,'KM POR UNIDAD'!A53,'MORALES LECHUGA GONZALO'!U$40:U$46)+SUMIF('ORONA BECERRA MAURO JOSE'!P$40:P$46,'KM POR UNIDAD'!A53,'ORONA BECERRA MAURO JOSE'!U$40:U$46)+SUMIF('VALLES HERNANDEZ MANUEL MARCELI'!P$39:P$45,'KM POR UNIDAD'!A53,'VALLES HERNANDEZ MANUEL MARCELI'!U$39:U$45)+SUMIF('ORTIZ RAMIREZ HECTOR MANUEL'!P$40:P$46,'KM POR UNIDAD'!A53,'ORTIZ RAMIREZ HECTOR MANUEL'!U$40:U$46)+SUMIF('ONTIVEROS LIRA JUAN'!P$40:P$46,'KM POR UNIDAD'!A53,'ONTIVEROS LIRA JUAN'!U$40:U$46)+SUMIF('RODRIGUEZ FLORES BRYAN DARIO'!P$40:P$46,'KM POR UNIDAD'!A53,'RODRIGUEZ FLORES BRYAN DARIO'!U$40:U$46)+SUMIF('NUÑEZ RUIZ IRVING JAVIER.'!P$42:P$48,'KM POR UNIDAD'!A53,'NUÑEZ RUIZ IRVING JAVIER.'!U$42:U$48)+SUMIF('MACHADO MAZUCA ADOLFO'!P$40:P$46,'KM POR UNIDAD'!A53,'MACHADO MAZUCA ADOLFO'!U$40:U$46)+SUMIF('LIRA ARCEO JOEL EDUARDO'!P$40:P$46,'KM POR UNIDAD'!A53,'LIRA ARCEO JOEL EDUARDO'!U$40:U$46)+SUMIF('ANCHONDO ROMERO CESAR ALEJANDRO'!P$40:P$46,'KM POR UNIDAD'!A53,'ANCHONDO ROMERO CESAR ALEJANDRO'!U$40:U$46)</f>
        <v>0</v>
      </c>
      <c r="C53" s="150">
        <f ca="1">+SUMIF('AGUILAR ESQUIVEL CARLOS'!P$40:P$46,'KM POR UNIDAD'!A53,'AGUILAR ESQUIVEL CARLOS'!T$40:T$46)+SUMIF('AGUILAR RODRIGUEZ JORGE ALONSO'!P$40:P$46,'KM POR UNIDAD'!A53,'AGUILAR RODRIGUEZ JORGE ALONSO'!T$40:T$46)+SUMIF('REYES LARA DANTE'!P$40:P$46,'KM POR UNIDAD'!A53,'REYES LARA DANTE'!T$40:T$46)+SUMIF('RAMIREZ BAUTISTA ADRIAN'!P$40:P$46,'KM POR UNIDAD'!A53,'RAMIREZ BAUTISTA ADRIAN'!T$40:T$46)+SUMIF('FLORES BOJORQUEZ BRYAN OVED'!P$40:P$46,'KM POR UNIDAD'!A53,'FLORES BOJORQUEZ BRYAN OVED'!T$40:T$46)+SUMIF('BALDERRAMA ROBLES JORGE'!P$40:P$46,'KM POR UNIDAD'!A53,'BALDERRAMA ROBLES JORGE'!T$40:T$46)+SUMIF('BURGOS TORRES RIGOBERTO'!P$39:P$45,'KM POR UNIDAD'!A53,'BURGOS TORRES RIGOBERTO'!T$39:T$45)+SUMIF('CORDOVA URIBE JOSE  ADRIAN'!P$40:P$46,'KM POR UNIDAD'!A53,'CORDOVA URIBE JOSE  ADRIAN'!T$40:T$46)+SUMIF('GUZMAN CHAPARRO PEDRO'!P$40:P$46,'KM POR UNIDAD'!A53,'GUZMAN CHAPARRO PEDRO'!T$40:T$46)+SUMIF('HERNANDEZ LICANO JOSE LUIS'!P$40:P$46,'KM POR UNIDAD'!A53,'HERNANDEZ LICANO JOSE LUIS'!T$40:T$46)+SUMIF('CARRERA REYES MARTIN SEBASTIAN'!P$41:P$47,'KM POR UNIDAD'!A53,'CARRERA REYES MARTIN SEBASTIAN'!T$41:T$47)+SUMIF('RUIZ SAUCEDO DANIEL ALEJANDRO'!P$40:P$46,'KM POR UNIDAD'!A53,'RUIZ SAUCEDO DANIEL ALEJANDRO'!T$40:T$46)+SUMIF('MARTINEZ RAMIREZ ROSALIO'!P$40:P$46,'KM POR UNIDAD'!A53,'MARTINEZ RAMIREZ ROSALIO'!T$40:T$46)+SUMIF('BALLEZA RAMIREZ JESUS JOSE'!P$40:P$46,'KM POR UNIDAD'!A53,'BALLEZA RAMIREZ JESUS JOSE'!T$40:T$46)+SUMIF('MONTERO BURROLA LUIS'!P$38:P$44,'KM POR UNIDAD'!A53,'MONTERO BURROLA LUIS'!T$38:T$44)+SUMIF('AGUILERA CONTRERAS LUIS GERARDO'!P$41:P$47,'KM POR UNIDAD'!A53,'AGUILERA CONTRERAS LUIS GERARDO'!T$41:T$47)+SUMIF('MORALES LOPEZ DE LARA MARIANO'!P$40:P$46,'KM POR UNIDAD'!A53,'MORALES LOPEZ DE LARA MARIANO'!T$40:T$46)+SUMIF('MELENDEZ SINALOA MANUEL ARAT'!P$40:P$46,'KM POR UNIDAD'!A53,'MELENDEZ SINALOA MANUEL ARAT'!T$40:T$46)+SUMIF('MORALES LECHUGA GONZALO'!P$40:P$46,'KM POR UNIDAD'!A53,'MORALES LECHUGA GONZALO'!T$40:T$46)+SUMIF('ORONA BECERRA MAURO JOSE'!P$40:P$46,'KM POR UNIDAD'!A53,'ORONA BECERRA MAURO JOSE'!T$40:T$46)+SUMIF('VALLES HERNANDEZ MANUEL MARCELI'!P$39:P$45,'KM POR UNIDAD'!A53,'VALLES HERNANDEZ MANUEL MARCELI'!T$39:T$45)+SUMIF('ORTIZ RAMIREZ HECTOR MANUEL'!P$40:P$46,'KM POR UNIDAD'!A53,'ORTIZ RAMIREZ HECTOR MANUEL'!T$40:T$46)+SUMIF('ONTIVEROS LIRA JUAN'!P$40:P$446,'KM POR UNIDAD'!A53,'ONTIVEROS LIRA JUAN'!T$40:T$46)+SUMIF('RODRIGUEZ FLORES BRYAN DARIO'!P$40:P$46,'KM POR UNIDAD'!A53,'RODRIGUEZ FLORES BRYAN DARIO'!T$40:T$46)+SUMIF('NUÑEZ RUIZ IRVING JAVIER.'!P$42:P$48,'KM POR UNIDAD'!A53,'NUÑEZ RUIZ IRVING JAVIER.'!T$42:T$48)+SUMIF('MACHADO MAZUCA ADOLFO'!P$40:P$46,'KM POR UNIDAD'!A53,'MACHADO MAZUCA ADOLFO'!T$40:T$46)+SUMIF('LIRA ARCEO JOEL EDUARDO'!P$40:P$46,'KM POR UNIDAD'!A53,'LIRA ARCEO JOEL EDUARDO'!T$40:T$46)+SUMIF('ANCHONDO ROMERO CESAR ALEJANDRO'!P$40:P$46,'KM POR UNIDAD'!A53,'ANCHONDO ROMERO CESAR ALEJANDRO'!T$40:T$46)</f>
        <v>0</v>
      </c>
      <c r="D53" s="150">
        <f>+SUMIF('AGUILAR ESQUIVEL CARLOS'!P$40:P$46,'KM POR UNIDAD'!A53,'AGUILAR ESQUIVEL CARLOS'!V$40:V$46)+SUMIF('AGUILAR RODRIGUEZ JORGE ALONSO'!P$40:P$46,'KM POR UNIDAD'!A53,'AGUILAR RODRIGUEZ JORGE ALONSO'!V$40:V$46)+SUMIF('REYES LARA DANTE'!P$40:P$46,'KM POR UNIDAD'!A53,'REYES LARA DANTE'!V$40:V$46)+SUMIF('RAMIREZ BAUTISTA ADRIAN'!P$40:P$46,'KM POR UNIDAD'!A53,'RAMIREZ BAUTISTA ADRIAN'!V$40:V$46)+SUMIF('FLORES BOJORQUEZ BRYAN OVED'!P$40:P$46,'KM POR UNIDAD'!A53,'FLORES BOJORQUEZ BRYAN OVED'!V$40:V$46)+SUMIF('BALDERRAMA ROBLES JORGE'!P$40:P$46,'KM POR UNIDAD'!A53,'BALDERRAMA ROBLES JORGE'!V$40:V$46)+SUMIF('BURGOS TORRES RIGOBERTO'!P$39:P$45,'KM POR UNIDAD'!A53,'BURGOS TORRES RIGOBERTO'!V$39:V$45)+SUMIF('CORDOVA URIBE JOSE  ADRIAN'!P$40:P$46,'KM POR UNIDAD'!A53,'CORDOVA URIBE JOSE  ADRIAN'!V$40:V$46)+SUMIF('GUZMAN CHAPARRO PEDRO'!P$40:P$46,'KM POR UNIDAD'!A53,'GUZMAN CHAPARRO PEDRO'!V$40:V$46)+SUMIF('HERNANDEZ LICANO JOSE LUIS'!P$40:P$46,'KM POR UNIDAD'!A53,'HERNANDEZ LICANO JOSE LUIS'!V$40:V$46)+SUMIF('CARRERA REYES MARTIN SEBASTIAN'!P$41:P$47,'KM POR UNIDAD'!A53,'CARRERA REYES MARTIN SEBASTIAN'!V$41:V$47)+SUMIF('RUIZ SAUCEDO DANIEL ALEJANDRO'!P$40:P$46,'KM POR UNIDAD'!A53,'RUIZ SAUCEDO DANIEL ALEJANDRO'!V$40:V$46)+SUMIF('MARTINEZ RAMIREZ ROSALIO'!P$40:P$46,'KM POR UNIDAD'!A53,'MARTINEZ RAMIREZ ROSALIO'!V$40:V$46)+SUMIF('BALLEZA RAMIREZ JESUS JOSE'!P$40:P$46,'KM POR UNIDAD'!A53,'BALLEZA RAMIREZ JESUS JOSE'!V$40:V$46)+SUMIF('MONTERO BURROLA LUIS'!P$38:P$44,'KM POR UNIDAD'!A53,'MONTERO BURROLA LUIS'!V$38:V$44)+SUMIF('AGUILERA CONTRERAS LUIS GERARDO'!P$41:P$47,'KM POR UNIDAD'!A53,'AGUILERA CONTRERAS LUIS GERARDO'!V$41:V$47)+SUMIF('MORALES LOPEZ DE LARA MARIANO'!P$40:P$46,'KM POR UNIDAD'!A53,'MORALES LOPEZ DE LARA MARIANO'!V$40:V$46)+SUMIF('MELENDEZ SINALOA MANUEL ARAT'!P$40:P$46,'KM POR UNIDAD'!A53,'MELENDEZ SINALOA MANUEL ARAT'!V$40:V$46)+SUMIF('MORALES LECHUGA GONZALO'!P$40:P$46,'KM POR UNIDAD'!A53,'MORALES LECHUGA GONZALO'!V$40:V$46)+SUMIF('ORONA BECERRA MAURO JOSE'!P$40:P$46,'KM POR UNIDAD'!A53,'ORONA BECERRA MAURO JOSE'!V$40:V$46)+SUMIF('VALLES HERNANDEZ MANUEL MARCELI'!P$39:P$45,'KM POR UNIDAD'!A53,'VALLES HERNANDEZ MANUEL MARCELI'!V$39:V$45)+SUMIF('ORTIZ RAMIREZ HECTOR MANUEL'!P$40:P$46,'KM POR UNIDAD'!A53,'ORTIZ RAMIREZ HECTOR MANUEL'!V$40:V$46)+SUMIF('ONTIVEROS LIRA JUAN'!P$40:P$46,'KM POR UNIDAD'!A53,'ONTIVEROS LIRA JUAN'!V$40:V$46)+SUMIF('RODRIGUEZ FLORES BRYAN DARIO'!P$40:P$46,'KM POR UNIDAD'!A53,'RODRIGUEZ FLORES BRYAN DARIO'!V$40:V$46)+SUMIF('NUÑEZ RUIZ IRVING JAVIER.'!P$42:P$48,'KM POR UNIDAD'!A53,'NUÑEZ RUIZ IRVING JAVIER.'!V$42:V$48)+SUMIF('MACHADO MAZUCA ADOLFO'!P$40:P$46,'KM POR UNIDAD'!A53,'MACHADO MAZUCA ADOLFO'!V$40:V$46)+SUMIF('LIRA ARCEO JOEL EDUARDO'!P$40:P$46,'KM POR UNIDAD'!A53,'LIRA ARCEO JOEL EDUARDO'!V$40:V$46)+SUMIF('ANCHONDO ROMERO CESAR ALEJANDRO'!P$40:P$46,'KM POR UNIDAD'!A53,'ANCHONDO ROMERO CESAR ALEJANDRO'!V$40:V$46)</f>
        <v>0</v>
      </c>
      <c r="E53" s="145">
        <f t="shared" si="0"/>
        <v>0</v>
      </c>
      <c r="F53" s="144" t="e">
        <f ca="1">+SUMIF('AGUILAR ESQUIVEL CARLOS'!P$40:P$46,'KM POR UNIDAD'!A53,'AGUILAR ESQUIVEL CARLOS'!W$40:W$46)+SUMIF('AGUILAR RODRIGUEZ JORGE ALONSO'!P$40:P$46,'KM POR UNIDAD'!A53,'AGUILAR RODRIGUEZ JORGE ALONSO'!W$40:W$46)+SUMIF('REYES LARA DANTE'!T$40:T$46,'KM POR UNIDAD'!A53,'REYES LARA DANTE'!Y$40:Y$46)+SUMIF('RAMIREZ BAUTISTA ADRIAN'!T$40:T$46,'KM POR UNIDAD'!A53,'RAMIREZ BAUTISTA ADRIAN'!Y$40:Y$46)+SUMIF('FLORES BOJORQUEZ BRYAN OVED'!T$40:T$46,'KM POR UNIDAD'!A53,'FLORES BOJORQUEZ BRYAN OVED'!Y$40:Y$46)+SUMIF('BALDERRAMA ROBLES JORGE'!T$40:T$46,'KM POR UNIDAD'!A53,'BALDERRAMA ROBLES JORGE'!#REF!)+SUMIF('BURGOS TORRES RIGOBERTO'!T$39:T$45,'KM POR UNIDAD'!A53,'BURGOS TORRES RIGOBERTO'!Y$39:Y$45)+SUMIF('CORDOVA URIBE JOSE  ADRIAN'!T$40:T$46,'KM POR UNIDAD'!E53,'CORDOVA URIBE JOSE  ADRIAN'!Y$40:Y$46)+SUMIF('GUZMAN CHAPARRO PEDRO'!T$40:T$46,'KM POR UNIDAD'!E53,'GUZMAN CHAPARRO PEDRO'!Y$40:Y$46)+SUMIF('HERNANDEZ LICANO JOSE LUIS'!T$40:T$46,'KM POR UNIDAD'!E53,'HERNANDEZ LICANO JOSE LUIS'!#REF!)+SUMIF('CARRERA REYES MARTIN SEBASTIAN'!T$41:T$47,'KM POR UNIDAD'!E53,'CARRERA REYES MARTIN SEBASTIAN'!Y$41:Y$47)+SUMIF('RUIZ SAUCEDO DANIEL ALEJANDRO'!T$40:T$46,'KM POR UNIDAD'!E53,'RUIZ SAUCEDO DANIEL ALEJANDRO'!Y$40:Y$46)+SUMIF('MARTINEZ RAMIREZ ROSALIO'!T$40:T$46,'KM POR UNIDAD'!E53,'MARTINEZ RAMIREZ ROSALIO'!Y$40:Y$46)+SUMIF('BALLEZA RAMIREZ JESUS JOSE'!T$40:T$46,'KM POR UNIDAD'!E53,'BALLEZA RAMIREZ JESUS JOSE'!T$176:T$180)+SUMIF('MONTERO BURROLA LUIS'!T$38:T$44,'KM POR UNIDAD'!E53,'MONTERO BURROLA LUIS'!Y$38:Y$44)+SUMIF('AGUILERA CONTRERAS LUIS GERARDO'!T$41:T$47,'KM POR UNIDAD'!E53,'AGUILERA CONTRERAS LUIS GERARDO'!Y$41:Y$47)+SUMIF('MORALES LOPEZ DE LARA MARIANO'!T$40:T$46,'KM POR UNIDAD'!E53,'MORALES LOPEZ DE LARA MARIANO'!Y$40:Y$46)+SUMIF('MELENDEZ SINALOA MANUEL ARAT'!T$40:T$46,'KM POR UNIDAD'!E53,'MELENDEZ SINALOA MANUEL ARAT'!#REF!)+SUMIF('MORALES LECHUGA GONZALO'!T$40:T$46,'KM POR UNIDAD'!E53,'MORALES LECHUGA GONZALO'!Y$40:Y$46)+SUMIF('ORONA BECERRA MAURO JOSE'!T$40:T$46,'KM POR UNIDAD'!E53,'ORONA BECERRA MAURO JOSE'!Y$40:Y$46)+SUMIF('VALLES HERNANDEZ MANUEL MARCELI'!T$39:T$45,'KM POR UNIDAD'!E53,'VALLES HERNANDEZ MANUEL MARCELI'!Y$39:Y$45)+SUMIF('ORTIZ RAMIREZ HECTOR MANUEL'!T$40:T$46,'KM POR UNIDAD'!E53,'ORTIZ RAMIREZ HECTOR MANUEL'!Y$40:Y$46)+SUMIF('ONTIVEROS LIRA JUAN'!T$40:T$46,'KM POR UNIDAD'!E53,'ONTIVEROS LIRA JUAN'!Y$40:Y$46)+SUMIF('RODRIGUEZ FLORES BRYAN DARIO'!T$40:T$46,'KM POR UNIDAD'!E53,'RODRIGUEZ FLORES BRYAN DARIO'!Y$40:Y$46)+SUMIF('NUÑEZ RUIZ IRVING JAVIER.'!T$42:T$48,'KM POR UNIDAD'!E53,'NUÑEZ RUIZ IRVING JAVIER.'!Y$42:Y$48)+SUMIF('MACHADO MAZUCA ADOLFO'!T$40:T$46,'KM POR UNIDAD'!E53,'MACHADO MAZUCA ADOLFO'!Y$40:Y$46)+SUMIF('LIRA ARCEO JOEL EDUARDO'!T$40:T$46,'KM POR UNIDAD'!E53,'LIRA ARCEO JOEL EDUARDO'!Y$41:Y$46)+SUMIF('ANCHONDO ROMERO CESAR ALEJANDRO'!T$40:T$46,'KM POR UNIDAD'!E53,'ANCHONDO ROMERO CESAR ALEJANDRO'!Y$40:Y$46)</f>
        <v>#REF!</v>
      </c>
      <c r="G53" s="146"/>
    </row>
    <row r="54" spans="1:9" x14ac:dyDescent="0.25">
      <c r="A54" s="143" t="s">
        <v>331</v>
      </c>
      <c r="B54" s="144">
        <f>+SUMIF('AGUILAR ESQUIVEL CARLOS'!P$40:P$46,'KM POR UNIDAD'!A54,'AGUILAR ESQUIVEL CARLOS'!U$40:U$46)+SUMIF('AGUILAR RODRIGUEZ JORGE ALONSO'!P$40:P$46,'KM POR UNIDAD'!A54,'AGUILAR RODRIGUEZ JORGE ALONSO'!U$40:U$46)+SUMIF('REYES LARA DANTE'!P$40:P$46,'KM POR UNIDAD'!A54,'REYES LARA DANTE'!U$40:U$46)+SUMIF('RAMIREZ BAUTISTA ADRIAN'!P$40:P$46,'KM POR UNIDAD'!A54,'RAMIREZ BAUTISTA ADRIAN'!U$40:U$46)+SUMIF('FLORES BOJORQUEZ BRYAN OVED'!P$40:P$46,'KM POR UNIDAD'!A54,'FLORES BOJORQUEZ BRYAN OVED'!U$40:U$46)+SUMIF('BALDERRAMA ROBLES JORGE'!P$40:P$46,'KM POR UNIDAD'!A54,'BALDERRAMA ROBLES JORGE'!U$40:U$46)+SUMIF('BURGOS TORRES RIGOBERTO'!P$39:P$45,'KM POR UNIDAD'!A54,'BURGOS TORRES RIGOBERTO'!U$39:U$45)+SUMIF('CORDOVA URIBE JOSE  ADRIAN'!P$40:P$46,'KM POR UNIDAD'!A54,'CORDOVA URIBE JOSE  ADRIAN'!U$40:U$46)+SUMIF('GUZMAN CHAPARRO PEDRO'!P$40:P$46,'KM POR UNIDAD'!A54,'GUZMAN CHAPARRO PEDRO'!U$40:U$46)+SUMIF('HERNANDEZ LICANO JOSE LUIS'!P$40:P$46,'KM POR UNIDAD'!A54,'HERNANDEZ LICANO JOSE LUIS'!U$40:U$46)+SUMIF('CARRERA REYES MARTIN SEBASTIAN'!P$41:P$47,'KM POR UNIDAD'!A54,'CARRERA REYES MARTIN SEBASTIAN'!U$41:U$47)+SUMIF('RUIZ SAUCEDO DANIEL ALEJANDRO'!P$40:P$46,'KM POR UNIDAD'!A54,'RUIZ SAUCEDO DANIEL ALEJANDRO'!U$40:U$46)+SUMIF('MARTINEZ RAMIREZ ROSALIO'!P$40:P$46,'KM POR UNIDAD'!A54,'MARTINEZ RAMIREZ ROSALIO'!U$40:U$46)+SUMIF('BALLEZA RAMIREZ JESUS JOSE'!P$40:P$46,'KM POR UNIDAD'!A54,'BALLEZA RAMIREZ JESUS JOSE'!U$40:U$46)+SUMIF('MONTERO BURROLA LUIS'!P$38:P$44,'KM POR UNIDAD'!A54,'MONTERO BURROLA LUIS'!U$38:U$44)+SUMIF('AGUILERA CONTRERAS LUIS GERARDO'!P$41:P$47,'KM POR UNIDAD'!A54,'AGUILERA CONTRERAS LUIS GERARDO'!U$41:U$47)+SUMIF('MORALES LOPEZ DE LARA MARIANO'!P$40:P$46,'KM POR UNIDAD'!A54,'MORALES LOPEZ DE LARA MARIANO'!U$40:U$46)+SUMIF('MELENDEZ SINALOA MANUEL ARAT'!P$40:P$46,'KM POR UNIDAD'!A54,'MELENDEZ SINALOA MANUEL ARAT'!U$40:U$46)+SUMIF('MORALES LECHUGA GONZALO'!P$40:P$46,'KM POR UNIDAD'!A54,'MORALES LECHUGA GONZALO'!U$40:U$46)+SUMIF('ORONA BECERRA MAURO JOSE'!P$40:P$46,'KM POR UNIDAD'!A54,'ORONA BECERRA MAURO JOSE'!U$40:U$46)+SUMIF('VALLES HERNANDEZ MANUEL MARCELI'!P$39:P$45,'KM POR UNIDAD'!A54,'VALLES HERNANDEZ MANUEL MARCELI'!U$39:U$45)+SUMIF('ORTIZ RAMIREZ HECTOR MANUEL'!P$40:P$46,'KM POR UNIDAD'!A54,'ORTIZ RAMIREZ HECTOR MANUEL'!U$40:U$46)+SUMIF('ONTIVEROS LIRA JUAN'!P$40:P$46,'KM POR UNIDAD'!A54,'ONTIVEROS LIRA JUAN'!U$40:U$46)+SUMIF('RODRIGUEZ FLORES BRYAN DARIO'!P$40:P$46,'KM POR UNIDAD'!A54,'RODRIGUEZ FLORES BRYAN DARIO'!U$40:U$46)+SUMIF('NUÑEZ RUIZ IRVING JAVIER.'!P$42:P$48,'KM POR UNIDAD'!A54,'NUÑEZ RUIZ IRVING JAVIER.'!U$42:U$48)+SUMIF('MACHADO MAZUCA ADOLFO'!P$40:P$46,'KM POR UNIDAD'!A54,'MACHADO MAZUCA ADOLFO'!U$40:U$46)+SUMIF('LIRA ARCEO JOEL EDUARDO'!P$40:P$46,'KM POR UNIDAD'!A54,'LIRA ARCEO JOEL EDUARDO'!U$40:U$46)+SUMIF('ANCHONDO ROMERO CESAR ALEJANDRO'!P$40:P$46,'KM POR UNIDAD'!A54,'ANCHONDO ROMERO CESAR ALEJANDRO'!U$40:U$46)</f>
        <v>0</v>
      </c>
      <c r="C54" s="150">
        <f ca="1">+SUMIF('AGUILAR ESQUIVEL CARLOS'!P$40:P$46,'KM POR UNIDAD'!A54,'AGUILAR ESQUIVEL CARLOS'!T$40:T$46)+SUMIF('AGUILAR RODRIGUEZ JORGE ALONSO'!P$40:P$46,'KM POR UNIDAD'!A54,'AGUILAR RODRIGUEZ JORGE ALONSO'!T$40:T$46)+SUMIF('REYES LARA DANTE'!P$40:P$46,'KM POR UNIDAD'!A54,'REYES LARA DANTE'!T$40:T$46)+SUMIF('RAMIREZ BAUTISTA ADRIAN'!P$40:P$46,'KM POR UNIDAD'!A54,'RAMIREZ BAUTISTA ADRIAN'!T$40:T$46)+SUMIF('FLORES BOJORQUEZ BRYAN OVED'!P$40:P$46,'KM POR UNIDAD'!A54,'FLORES BOJORQUEZ BRYAN OVED'!T$40:T$46)+SUMIF('BALDERRAMA ROBLES JORGE'!P$40:P$46,'KM POR UNIDAD'!A54,'BALDERRAMA ROBLES JORGE'!T$40:T$46)+SUMIF('BURGOS TORRES RIGOBERTO'!P$39:P$45,'KM POR UNIDAD'!A54,'BURGOS TORRES RIGOBERTO'!T$39:T$45)+SUMIF('CORDOVA URIBE JOSE  ADRIAN'!P$40:P$46,'KM POR UNIDAD'!A54,'CORDOVA URIBE JOSE  ADRIAN'!T$40:T$46)+SUMIF('GUZMAN CHAPARRO PEDRO'!P$40:P$46,'KM POR UNIDAD'!A54,'GUZMAN CHAPARRO PEDRO'!T$40:T$46)+SUMIF('HERNANDEZ LICANO JOSE LUIS'!P$40:P$46,'KM POR UNIDAD'!A54,'HERNANDEZ LICANO JOSE LUIS'!T$40:T$46)+SUMIF('CARRERA REYES MARTIN SEBASTIAN'!P$41:P$47,'KM POR UNIDAD'!A54,'CARRERA REYES MARTIN SEBASTIAN'!T$41:T$47)+SUMIF('RUIZ SAUCEDO DANIEL ALEJANDRO'!P$40:P$46,'KM POR UNIDAD'!A54,'RUIZ SAUCEDO DANIEL ALEJANDRO'!T$40:T$46)+SUMIF('MARTINEZ RAMIREZ ROSALIO'!P$40:P$46,'KM POR UNIDAD'!A54,'MARTINEZ RAMIREZ ROSALIO'!T$40:T$46)+SUMIF('BALLEZA RAMIREZ JESUS JOSE'!P$40:P$46,'KM POR UNIDAD'!A54,'BALLEZA RAMIREZ JESUS JOSE'!T$40:T$46)+SUMIF('MONTERO BURROLA LUIS'!P$38:P$44,'KM POR UNIDAD'!A54,'MONTERO BURROLA LUIS'!T$38:T$44)+SUMIF('AGUILERA CONTRERAS LUIS GERARDO'!P$41:P$47,'KM POR UNIDAD'!A54,'AGUILERA CONTRERAS LUIS GERARDO'!T$41:T$47)+SUMIF('MORALES LOPEZ DE LARA MARIANO'!P$40:P$46,'KM POR UNIDAD'!A54,'MORALES LOPEZ DE LARA MARIANO'!T$40:T$46)+SUMIF('MELENDEZ SINALOA MANUEL ARAT'!P$40:P$46,'KM POR UNIDAD'!A54,'MELENDEZ SINALOA MANUEL ARAT'!T$40:T$46)+SUMIF('MORALES LECHUGA GONZALO'!P$40:P$46,'KM POR UNIDAD'!A54,'MORALES LECHUGA GONZALO'!T$40:T$46)+SUMIF('ORONA BECERRA MAURO JOSE'!P$40:P$46,'KM POR UNIDAD'!A54,'ORONA BECERRA MAURO JOSE'!T$40:T$46)+SUMIF('VALLES HERNANDEZ MANUEL MARCELI'!P$39:P$45,'KM POR UNIDAD'!A54,'VALLES HERNANDEZ MANUEL MARCELI'!T$39:T$45)+SUMIF('ORTIZ RAMIREZ HECTOR MANUEL'!P$40:P$46,'KM POR UNIDAD'!A54,'ORTIZ RAMIREZ HECTOR MANUEL'!T$40:T$46)+SUMIF('ONTIVEROS LIRA JUAN'!P$40:P$446,'KM POR UNIDAD'!A54,'ONTIVEROS LIRA JUAN'!T$40:T$46)+SUMIF('RODRIGUEZ FLORES BRYAN DARIO'!P$40:P$46,'KM POR UNIDAD'!A54,'RODRIGUEZ FLORES BRYAN DARIO'!T$40:T$46)+SUMIF('NUÑEZ RUIZ IRVING JAVIER.'!P$42:P$48,'KM POR UNIDAD'!A54,'NUÑEZ RUIZ IRVING JAVIER.'!T$42:T$48)+SUMIF('MACHADO MAZUCA ADOLFO'!P$40:P$46,'KM POR UNIDAD'!A54,'MACHADO MAZUCA ADOLFO'!T$40:T$46)+SUMIF('LIRA ARCEO JOEL EDUARDO'!P$40:P$46,'KM POR UNIDAD'!A54,'LIRA ARCEO JOEL EDUARDO'!T$40:T$46)+SUMIF('ANCHONDO ROMERO CESAR ALEJANDRO'!P$40:P$46,'KM POR UNIDAD'!A54,'ANCHONDO ROMERO CESAR ALEJANDRO'!T$40:T$46)</f>
        <v>0</v>
      </c>
      <c r="D54" s="150">
        <f>+SUMIF('AGUILAR ESQUIVEL CARLOS'!P$40:P$46,'KM POR UNIDAD'!A54,'AGUILAR ESQUIVEL CARLOS'!V$40:V$46)+SUMIF('AGUILAR RODRIGUEZ JORGE ALONSO'!P$40:P$46,'KM POR UNIDAD'!A54,'AGUILAR RODRIGUEZ JORGE ALONSO'!V$40:V$46)+SUMIF('REYES LARA DANTE'!P$40:P$46,'KM POR UNIDAD'!A54,'REYES LARA DANTE'!V$40:V$46)+SUMIF('RAMIREZ BAUTISTA ADRIAN'!P$40:P$46,'KM POR UNIDAD'!A54,'RAMIREZ BAUTISTA ADRIAN'!V$40:V$46)+SUMIF('FLORES BOJORQUEZ BRYAN OVED'!P$40:P$46,'KM POR UNIDAD'!A54,'FLORES BOJORQUEZ BRYAN OVED'!V$40:V$46)+SUMIF('BALDERRAMA ROBLES JORGE'!P$40:P$46,'KM POR UNIDAD'!A54,'BALDERRAMA ROBLES JORGE'!V$40:V$46)+SUMIF('BURGOS TORRES RIGOBERTO'!P$39:P$45,'KM POR UNIDAD'!A54,'BURGOS TORRES RIGOBERTO'!V$39:V$45)+SUMIF('CORDOVA URIBE JOSE  ADRIAN'!P$40:P$46,'KM POR UNIDAD'!A54,'CORDOVA URIBE JOSE  ADRIAN'!V$40:V$46)+SUMIF('GUZMAN CHAPARRO PEDRO'!P$40:P$46,'KM POR UNIDAD'!A54,'GUZMAN CHAPARRO PEDRO'!V$40:V$46)+SUMIF('HERNANDEZ LICANO JOSE LUIS'!P$40:P$46,'KM POR UNIDAD'!A54,'HERNANDEZ LICANO JOSE LUIS'!V$40:V$46)+SUMIF('CARRERA REYES MARTIN SEBASTIAN'!P$41:P$47,'KM POR UNIDAD'!A54,'CARRERA REYES MARTIN SEBASTIAN'!V$41:V$47)+SUMIF('RUIZ SAUCEDO DANIEL ALEJANDRO'!P$40:P$46,'KM POR UNIDAD'!A54,'RUIZ SAUCEDO DANIEL ALEJANDRO'!V$40:V$46)+SUMIF('MARTINEZ RAMIREZ ROSALIO'!P$40:P$46,'KM POR UNIDAD'!A54,'MARTINEZ RAMIREZ ROSALIO'!V$40:V$46)+SUMIF('BALLEZA RAMIREZ JESUS JOSE'!P$40:P$46,'KM POR UNIDAD'!A54,'BALLEZA RAMIREZ JESUS JOSE'!V$40:V$46)+SUMIF('MONTERO BURROLA LUIS'!P$38:P$44,'KM POR UNIDAD'!A54,'MONTERO BURROLA LUIS'!V$38:V$44)+SUMIF('AGUILERA CONTRERAS LUIS GERARDO'!P$41:P$47,'KM POR UNIDAD'!A54,'AGUILERA CONTRERAS LUIS GERARDO'!V$41:V$47)+SUMIF('MORALES LOPEZ DE LARA MARIANO'!P$40:P$46,'KM POR UNIDAD'!A54,'MORALES LOPEZ DE LARA MARIANO'!V$40:V$46)+SUMIF('MELENDEZ SINALOA MANUEL ARAT'!P$40:P$46,'KM POR UNIDAD'!A54,'MELENDEZ SINALOA MANUEL ARAT'!V$40:V$46)+SUMIF('MORALES LECHUGA GONZALO'!P$40:P$46,'KM POR UNIDAD'!A54,'MORALES LECHUGA GONZALO'!V$40:V$46)+SUMIF('ORONA BECERRA MAURO JOSE'!P$40:P$46,'KM POR UNIDAD'!A54,'ORONA BECERRA MAURO JOSE'!V$40:V$46)+SUMIF('VALLES HERNANDEZ MANUEL MARCELI'!P$39:P$45,'KM POR UNIDAD'!A54,'VALLES HERNANDEZ MANUEL MARCELI'!V$39:V$45)+SUMIF('ORTIZ RAMIREZ HECTOR MANUEL'!P$40:P$46,'KM POR UNIDAD'!A54,'ORTIZ RAMIREZ HECTOR MANUEL'!V$40:V$46)+SUMIF('ONTIVEROS LIRA JUAN'!P$40:P$46,'KM POR UNIDAD'!A54,'ONTIVEROS LIRA JUAN'!V$40:V$46)+SUMIF('RODRIGUEZ FLORES BRYAN DARIO'!P$40:P$46,'KM POR UNIDAD'!A54,'RODRIGUEZ FLORES BRYAN DARIO'!V$40:V$46)+SUMIF('NUÑEZ RUIZ IRVING JAVIER.'!P$42:P$48,'KM POR UNIDAD'!A54,'NUÑEZ RUIZ IRVING JAVIER.'!V$42:V$48)+SUMIF('MACHADO MAZUCA ADOLFO'!P$40:P$46,'KM POR UNIDAD'!A54,'MACHADO MAZUCA ADOLFO'!V$40:V$46)+SUMIF('LIRA ARCEO JOEL EDUARDO'!P$40:P$46,'KM POR UNIDAD'!A54,'LIRA ARCEO JOEL EDUARDO'!V$40:V$46)+SUMIF('ANCHONDO ROMERO CESAR ALEJANDRO'!P$40:P$46,'KM POR UNIDAD'!A54,'ANCHONDO ROMERO CESAR ALEJANDRO'!V$40:V$46)</f>
        <v>0</v>
      </c>
      <c r="E54" s="145">
        <f t="shared" ref="E54" si="3">IFERROR(B54/D54,0)</f>
        <v>0</v>
      </c>
      <c r="F54" s="144" t="e">
        <f ca="1">+SUMIF('AGUILAR ESQUIVEL CARLOS'!P$40:P$46,'KM POR UNIDAD'!A54,'AGUILAR ESQUIVEL CARLOS'!W$40:W$46)+SUMIF('AGUILAR RODRIGUEZ JORGE ALONSO'!P$40:P$46,'KM POR UNIDAD'!A54,'AGUILAR RODRIGUEZ JORGE ALONSO'!W$40:W$46)+SUMIF('REYES LARA DANTE'!T$40:T$46,'KM POR UNIDAD'!A54,'REYES LARA DANTE'!Y$40:Y$46)+SUMIF('RAMIREZ BAUTISTA ADRIAN'!T$40:T$46,'KM POR UNIDAD'!A54,'RAMIREZ BAUTISTA ADRIAN'!Y$40:Y$46)+SUMIF('FLORES BOJORQUEZ BRYAN OVED'!T$40:T$46,'KM POR UNIDAD'!A54,'FLORES BOJORQUEZ BRYAN OVED'!Y$40:Y$46)+SUMIF('BALDERRAMA ROBLES JORGE'!T$40:T$46,'KM POR UNIDAD'!A54,'BALDERRAMA ROBLES JORGE'!#REF!)+SUMIF('BURGOS TORRES RIGOBERTO'!T$39:T$45,'KM POR UNIDAD'!A54,'BURGOS TORRES RIGOBERTO'!Y$39:Y$45)+SUMIF('CORDOVA URIBE JOSE  ADRIAN'!T$40:T$46,'KM POR UNIDAD'!E54,'CORDOVA URIBE JOSE  ADRIAN'!Y$40:Y$46)+SUMIF('GUZMAN CHAPARRO PEDRO'!T$40:T$46,'KM POR UNIDAD'!E54,'GUZMAN CHAPARRO PEDRO'!Y$40:Y$46)+SUMIF('HERNANDEZ LICANO JOSE LUIS'!T$40:T$46,'KM POR UNIDAD'!E54,'HERNANDEZ LICANO JOSE LUIS'!#REF!)+SUMIF('CARRERA REYES MARTIN SEBASTIAN'!T$41:T$47,'KM POR UNIDAD'!E54,'CARRERA REYES MARTIN SEBASTIAN'!Y$41:Y$47)+SUMIF('RUIZ SAUCEDO DANIEL ALEJANDRO'!T$40:T$46,'KM POR UNIDAD'!E54,'RUIZ SAUCEDO DANIEL ALEJANDRO'!Y$40:Y$46)+SUMIF('MARTINEZ RAMIREZ ROSALIO'!T$40:T$46,'KM POR UNIDAD'!E54,'MARTINEZ RAMIREZ ROSALIO'!Y$40:Y$46)+SUMIF('BALLEZA RAMIREZ JESUS JOSE'!T$40:T$46,'KM POR UNIDAD'!E54,'BALLEZA RAMIREZ JESUS JOSE'!T$176:T$180)+SUMIF('MONTERO BURROLA LUIS'!T$38:T$44,'KM POR UNIDAD'!E54,'MONTERO BURROLA LUIS'!Y$38:Y$44)+SUMIF('AGUILERA CONTRERAS LUIS GERARDO'!T$41:T$47,'KM POR UNIDAD'!E54,'AGUILERA CONTRERAS LUIS GERARDO'!Y$41:Y$47)+SUMIF('MORALES LOPEZ DE LARA MARIANO'!T$40:T$46,'KM POR UNIDAD'!E54,'MORALES LOPEZ DE LARA MARIANO'!Y$40:Y$46)+SUMIF('MELENDEZ SINALOA MANUEL ARAT'!T$40:T$46,'KM POR UNIDAD'!E54,'MELENDEZ SINALOA MANUEL ARAT'!#REF!)+SUMIF('MORALES LECHUGA GONZALO'!T$40:T$46,'KM POR UNIDAD'!E54,'MORALES LECHUGA GONZALO'!Y$40:Y$46)+SUMIF('ORONA BECERRA MAURO JOSE'!T$40:T$46,'KM POR UNIDAD'!E54,'ORONA BECERRA MAURO JOSE'!Y$40:Y$46)+SUMIF('VALLES HERNANDEZ MANUEL MARCELI'!T$39:T$45,'KM POR UNIDAD'!E54,'VALLES HERNANDEZ MANUEL MARCELI'!Y$39:Y$45)+SUMIF('ORTIZ RAMIREZ HECTOR MANUEL'!T$40:T$46,'KM POR UNIDAD'!E54,'ORTIZ RAMIREZ HECTOR MANUEL'!Y$40:Y$46)+SUMIF('ONTIVEROS LIRA JUAN'!T$40:T$46,'KM POR UNIDAD'!E54,'ONTIVEROS LIRA JUAN'!Y$40:Y$46)+SUMIF('RODRIGUEZ FLORES BRYAN DARIO'!T$40:T$46,'KM POR UNIDAD'!E54,'RODRIGUEZ FLORES BRYAN DARIO'!Y$40:Y$46)+SUMIF('NUÑEZ RUIZ IRVING JAVIER.'!T$42:T$48,'KM POR UNIDAD'!E54,'NUÑEZ RUIZ IRVING JAVIER.'!Y$42:Y$48)+SUMIF('MACHADO MAZUCA ADOLFO'!T$40:T$46,'KM POR UNIDAD'!E54,'MACHADO MAZUCA ADOLFO'!Y$40:Y$46)+SUMIF('LIRA ARCEO JOEL EDUARDO'!T$40:T$46,'KM POR UNIDAD'!E54,'LIRA ARCEO JOEL EDUARDO'!Y$41:Y$46)+SUMIF('ANCHONDO ROMERO CESAR ALEJANDRO'!T$40:T$46,'KM POR UNIDAD'!E54,'ANCHONDO ROMERO CESAR ALEJANDRO'!Y$40:Y$46)</f>
        <v>#REF!</v>
      </c>
      <c r="G54" s="146"/>
    </row>
    <row r="55" spans="1:9" x14ac:dyDescent="0.25">
      <c r="A55" s="143" t="s">
        <v>272</v>
      </c>
      <c r="B55" s="144">
        <f>+SUMIF('AGUILAR ESQUIVEL CARLOS'!P$40:P$46,'KM POR UNIDAD'!A55,'AGUILAR ESQUIVEL CARLOS'!U$40:U$46)+SUMIF('AGUILAR RODRIGUEZ JORGE ALONSO'!P$40:P$46,'KM POR UNIDAD'!A55,'AGUILAR RODRIGUEZ JORGE ALONSO'!U$40:U$46)+SUMIF('REYES LARA DANTE'!P$40:P$46,'KM POR UNIDAD'!A55,'REYES LARA DANTE'!U$40:U$46)+SUMIF('RAMIREZ BAUTISTA ADRIAN'!P$40:P$46,'KM POR UNIDAD'!A55,'RAMIREZ BAUTISTA ADRIAN'!U$40:U$46)+SUMIF('FLORES BOJORQUEZ BRYAN OVED'!P$40:P$46,'KM POR UNIDAD'!A55,'FLORES BOJORQUEZ BRYAN OVED'!U$40:U$46)+SUMIF('BALDERRAMA ROBLES JORGE'!P$40:P$46,'KM POR UNIDAD'!A55,'BALDERRAMA ROBLES JORGE'!U$40:U$46)+SUMIF('BURGOS TORRES RIGOBERTO'!P$39:P$45,'KM POR UNIDAD'!A55,'BURGOS TORRES RIGOBERTO'!U$39:U$45)+SUMIF('CORDOVA URIBE JOSE  ADRIAN'!P$40:P$46,'KM POR UNIDAD'!A55,'CORDOVA URIBE JOSE  ADRIAN'!U$40:U$46)+SUMIF('GUZMAN CHAPARRO PEDRO'!P$40:P$46,'KM POR UNIDAD'!A55,'GUZMAN CHAPARRO PEDRO'!U$40:U$46)+SUMIF('HERNANDEZ LICANO JOSE LUIS'!P$40:P$46,'KM POR UNIDAD'!A55,'HERNANDEZ LICANO JOSE LUIS'!U$40:U$46)+SUMIF('CARRERA REYES MARTIN SEBASTIAN'!P$41:P$47,'KM POR UNIDAD'!A55,'CARRERA REYES MARTIN SEBASTIAN'!U$41:U$47)+SUMIF('RUIZ SAUCEDO DANIEL ALEJANDRO'!P$40:P$46,'KM POR UNIDAD'!A55,'RUIZ SAUCEDO DANIEL ALEJANDRO'!U$40:U$46)+SUMIF('MARTINEZ RAMIREZ ROSALIO'!P$40:P$46,'KM POR UNIDAD'!A55,'MARTINEZ RAMIREZ ROSALIO'!U$40:U$46)+SUMIF('BALLEZA RAMIREZ JESUS JOSE'!P$40:P$46,'KM POR UNIDAD'!A55,'BALLEZA RAMIREZ JESUS JOSE'!U$40:U$46)+SUMIF('MONTERO BURROLA LUIS'!P$38:P$44,'KM POR UNIDAD'!A55,'MONTERO BURROLA LUIS'!U$38:U$44)+SUMIF('AGUILERA CONTRERAS LUIS GERARDO'!P$41:P$47,'KM POR UNIDAD'!A55,'AGUILERA CONTRERAS LUIS GERARDO'!U$41:U$47)+SUMIF('MORALES LOPEZ DE LARA MARIANO'!P$40:P$46,'KM POR UNIDAD'!A55,'MORALES LOPEZ DE LARA MARIANO'!U$40:U$46)+SUMIF('MELENDEZ SINALOA MANUEL ARAT'!P$40:P$46,'KM POR UNIDAD'!A55,'MELENDEZ SINALOA MANUEL ARAT'!U$40:U$46)+SUMIF('MORALES LECHUGA GONZALO'!P$40:P$46,'KM POR UNIDAD'!A55,'MORALES LECHUGA GONZALO'!U$40:U$46)+SUMIF('ORONA BECERRA MAURO JOSE'!P$40:P$46,'KM POR UNIDAD'!A55,'ORONA BECERRA MAURO JOSE'!U$40:U$46)+SUMIF('VALLES HERNANDEZ MANUEL MARCELI'!P$39:P$45,'KM POR UNIDAD'!A55,'VALLES HERNANDEZ MANUEL MARCELI'!U$39:U$45)+SUMIF('ORTIZ RAMIREZ HECTOR MANUEL'!P$40:P$46,'KM POR UNIDAD'!A55,'ORTIZ RAMIREZ HECTOR MANUEL'!U$40:U$46)+SUMIF('ONTIVEROS LIRA JUAN'!P$40:P$46,'KM POR UNIDAD'!A55,'ONTIVEROS LIRA JUAN'!U$40:U$46)+SUMIF('RODRIGUEZ FLORES BRYAN DARIO'!P$40:P$46,'KM POR UNIDAD'!A55,'RODRIGUEZ FLORES BRYAN DARIO'!U$40:U$46)+SUMIF('NUÑEZ RUIZ IRVING JAVIER.'!P$42:P$48,'KM POR UNIDAD'!A55,'NUÑEZ RUIZ IRVING JAVIER.'!U$42:U$48)+SUMIF('MACHADO MAZUCA ADOLFO'!P$40:P$46,'KM POR UNIDAD'!A55,'MACHADO MAZUCA ADOLFO'!U$40:U$46)+SUMIF('LIRA ARCEO JOEL EDUARDO'!P$40:P$46,'KM POR UNIDAD'!A55,'LIRA ARCEO JOEL EDUARDO'!U$40:U$46)+SUMIF('ANCHONDO ROMERO CESAR ALEJANDRO'!P$40:P$46,'KM POR UNIDAD'!A55,'ANCHONDO ROMERO CESAR ALEJANDRO'!U$40:U$46)</f>
        <v>0</v>
      </c>
      <c r="C55" s="150">
        <f ca="1">+SUMIF('AGUILAR ESQUIVEL CARLOS'!P$40:P$46,'KM POR UNIDAD'!A55,'AGUILAR ESQUIVEL CARLOS'!T$40:T$46)+SUMIF('AGUILAR RODRIGUEZ JORGE ALONSO'!P$40:P$46,'KM POR UNIDAD'!A55,'AGUILAR RODRIGUEZ JORGE ALONSO'!T$40:T$46)+SUMIF('REYES LARA DANTE'!P$40:P$46,'KM POR UNIDAD'!A55,'REYES LARA DANTE'!T$40:T$46)+SUMIF('RAMIREZ BAUTISTA ADRIAN'!P$40:P$46,'KM POR UNIDAD'!A55,'RAMIREZ BAUTISTA ADRIAN'!T$40:T$46)+SUMIF('FLORES BOJORQUEZ BRYAN OVED'!P$40:P$46,'KM POR UNIDAD'!A55,'FLORES BOJORQUEZ BRYAN OVED'!T$40:T$46)+SUMIF('BALDERRAMA ROBLES JORGE'!P$40:P$46,'KM POR UNIDAD'!A55,'BALDERRAMA ROBLES JORGE'!T$40:T$46)+SUMIF('BURGOS TORRES RIGOBERTO'!P$39:P$45,'KM POR UNIDAD'!A55,'BURGOS TORRES RIGOBERTO'!T$39:T$45)+SUMIF('CORDOVA URIBE JOSE  ADRIAN'!P$40:P$46,'KM POR UNIDAD'!A55,'CORDOVA URIBE JOSE  ADRIAN'!T$40:T$46)+SUMIF('GUZMAN CHAPARRO PEDRO'!P$40:P$46,'KM POR UNIDAD'!A55,'GUZMAN CHAPARRO PEDRO'!T$40:T$46)+SUMIF('HERNANDEZ LICANO JOSE LUIS'!P$40:P$46,'KM POR UNIDAD'!A55,'HERNANDEZ LICANO JOSE LUIS'!T$40:T$46)+SUMIF('CARRERA REYES MARTIN SEBASTIAN'!P$41:P$47,'KM POR UNIDAD'!A55,'CARRERA REYES MARTIN SEBASTIAN'!T$41:T$47)+SUMIF('RUIZ SAUCEDO DANIEL ALEJANDRO'!P$40:P$46,'KM POR UNIDAD'!A55,'RUIZ SAUCEDO DANIEL ALEJANDRO'!T$40:T$46)+SUMIF('MARTINEZ RAMIREZ ROSALIO'!P$40:P$46,'KM POR UNIDAD'!A55,'MARTINEZ RAMIREZ ROSALIO'!T$40:T$46)+SUMIF('BALLEZA RAMIREZ JESUS JOSE'!P$40:P$46,'KM POR UNIDAD'!A55,'BALLEZA RAMIREZ JESUS JOSE'!T$40:T$46)+SUMIF('MONTERO BURROLA LUIS'!P$38:P$44,'KM POR UNIDAD'!A55,'MONTERO BURROLA LUIS'!T$38:T$44)+SUMIF('AGUILERA CONTRERAS LUIS GERARDO'!P$41:P$47,'KM POR UNIDAD'!A55,'AGUILERA CONTRERAS LUIS GERARDO'!T$41:T$47)+SUMIF('MORALES LOPEZ DE LARA MARIANO'!P$40:P$46,'KM POR UNIDAD'!A55,'MORALES LOPEZ DE LARA MARIANO'!T$40:T$46)+SUMIF('MELENDEZ SINALOA MANUEL ARAT'!P$40:P$46,'KM POR UNIDAD'!A55,'MELENDEZ SINALOA MANUEL ARAT'!T$40:T$46)+SUMIF('MORALES LECHUGA GONZALO'!P$40:P$46,'KM POR UNIDAD'!A55,'MORALES LECHUGA GONZALO'!T$40:T$46)+SUMIF('ORONA BECERRA MAURO JOSE'!P$40:P$46,'KM POR UNIDAD'!A55,'ORONA BECERRA MAURO JOSE'!T$40:T$46)+SUMIF('VALLES HERNANDEZ MANUEL MARCELI'!P$39:P$45,'KM POR UNIDAD'!A55,'VALLES HERNANDEZ MANUEL MARCELI'!T$39:T$45)+SUMIF('ORTIZ RAMIREZ HECTOR MANUEL'!P$40:P$46,'KM POR UNIDAD'!A55,'ORTIZ RAMIREZ HECTOR MANUEL'!T$40:T$46)+SUMIF('ONTIVEROS LIRA JUAN'!P$40:P$446,'KM POR UNIDAD'!A55,'ONTIVEROS LIRA JUAN'!T$40:T$46)+SUMIF('RODRIGUEZ FLORES BRYAN DARIO'!P$40:P$46,'KM POR UNIDAD'!A55,'RODRIGUEZ FLORES BRYAN DARIO'!T$40:T$46)+SUMIF('NUÑEZ RUIZ IRVING JAVIER.'!P$42:P$48,'KM POR UNIDAD'!A55,'NUÑEZ RUIZ IRVING JAVIER.'!T$42:T$48)+SUMIF('MACHADO MAZUCA ADOLFO'!P$40:P$46,'KM POR UNIDAD'!A55,'MACHADO MAZUCA ADOLFO'!T$40:T$46)+SUMIF('LIRA ARCEO JOEL EDUARDO'!P$40:P$46,'KM POR UNIDAD'!A55,'LIRA ARCEO JOEL EDUARDO'!T$40:T$46)+SUMIF('ANCHONDO ROMERO CESAR ALEJANDRO'!P$40:P$46,'KM POR UNIDAD'!A55,'ANCHONDO ROMERO CESAR ALEJANDRO'!T$40:T$46)</f>
        <v>0</v>
      </c>
      <c r="D55" s="150">
        <f>+SUMIF('AGUILAR ESQUIVEL CARLOS'!P$40:P$46,'KM POR UNIDAD'!A55,'AGUILAR ESQUIVEL CARLOS'!V$40:V$46)+SUMIF('AGUILAR RODRIGUEZ JORGE ALONSO'!P$40:P$46,'KM POR UNIDAD'!A55,'AGUILAR RODRIGUEZ JORGE ALONSO'!V$40:V$46)+SUMIF('REYES LARA DANTE'!P$40:P$46,'KM POR UNIDAD'!A55,'REYES LARA DANTE'!V$40:V$46)+SUMIF('RAMIREZ BAUTISTA ADRIAN'!P$40:P$46,'KM POR UNIDAD'!A55,'RAMIREZ BAUTISTA ADRIAN'!V$40:V$46)+SUMIF('FLORES BOJORQUEZ BRYAN OVED'!P$40:P$46,'KM POR UNIDAD'!A55,'FLORES BOJORQUEZ BRYAN OVED'!V$40:V$46)+SUMIF('BALDERRAMA ROBLES JORGE'!P$40:P$46,'KM POR UNIDAD'!A55,'BALDERRAMA ROBLES JORGE'!V$40:V$46)+SUMIF('BURGOS TORRES RIGOBERTO'!P$39:P$45,'KM POR UNIDAD'!A55,'BURGOS TORRES RIGOBERTO'!V$39:V$45)+SUMIF('CORDOVA URIBE JOSE  ADRIAN'!P$40:P$46,'KM POR UNIDAD'!A55,'CORDOVA URIBE JOSE  ADRIAN'!V$40:V$46)+SUMIF('GUZMAN CHAPARRO PEDRO'!P$40:P$46,'KM POR UNIDAD'!A55,'GUZMAN CHAPARRO PEDRO'!V$40:V$46)+SUMIF('HERNANDEZ LICANO JOSE LUIS'!P$40:P$46,'KM POR UNIDAD'!A55,'HERNANDEZ LICANO JOSE LUIS'!V$40:V$46)+SUMIF('CARRERA REYES MARTIN SEBASTIAN'!P$41:P$47,'KM POR UNIDAD'!A55,'CARRERA REYES MARTIN SEBASTIAN'!V$41:V$47)+SUMIF('RUIZ SAUCEDO DANIEL ALEJANDRO'!P$40:P$46,'KM POR UNIDAD'!A55,'RUIZ SAUCEDO DANIEL ALEJANDRO'!V$40:V$46)+SUMIF('MARTINEZ RAMIREZ ROSALIO'!P$40:P$46,'KM POR UNIDAD'!A55,'MARTINEZ RAMIREZ ROSALIO'!V$40:V$46)+SUMIF('BALLEZA RAMIREZ JESUS JOSE'!P$40:P$46,'KM POR UNIDAD'!A55,'BALLEZA RAMIREZ JESUS JOSE'!V$40:V$46)+SUMIF('MONTERO BURROLA LUIS'!P$38:P$44,'KM POR UNIDAD'!A55,'MONTERO BURROLA LUIS'!V$38:V$44)+SUMIF('AGUILERA CONTRERAS LUIS GERARDO'!P$41:P$47,'KM POR UNIDAD'!A55,'AGUILERA CONTRERAS LUIS GERARDO'!V$41:V$47)+SUMIF('MORALES LOPEZ DE LARA MARIANO'!P$40:P$46,'KM POR UNIDAD'!A55,'MORALES LOPEZ DE LARA MARIANO'!V$40:V$46)+SUMIF('MELENDEZ SINALOA MANUEL ARAT'!P$40:P$46,'KM POR UNIDAD'!A55,'MELENDEZ SINALOA MANUEL ARAT'!V$40:V$46)+SUMIF('MORALES LECHUGA GONZALO'!P$40:P$46,'KM POR UNIDAD'!A55,'MORALES LECHUGA GONZALO'!V$40:V$46)+SUMIF('ORONA BECERRA MAURO JOSE'!P$40:P$46,'KM POR UNIDAD'!A55,'ORONA BECERRA MAURO JOSE'!V$40:V$46)+SUMIF('VALLES HERNANDEZ MANUEL MARCELI'!P$39:P$45,'KM POR UNIDAD'!A55,'VALLES HERNANDEZ MANUEL MARCELI'!V$39:V$45)+SUMIF('ORTIZ RAMIREZ HECTOR MANUEL'!P$40:P$46,'KM POR UNIDAD'!A55,'ORTIZ RAMIREZ HECTOR MANUEL'!V$40:V$46)+SUMIF('ONTIVEROS LIRA JUAN'!P$40:P$46,'KM POR UNIDAD'!A55,'ONTIVEROS LIRA JUAN'!V$40:V$46)+SUMIF('RODRIGUEZ FLORES BRYAN DARIO'!P$40:P$46,'KM POR UNIDAD'!A55,'RODRIGUEZ FLORES BRYAN DARIO'!V$40:V$46)+SUMIF('NUÑEZ RUIZ IRVING JAVIER.'!P$42:P$48,'KM POR UNIDAD'!A55,'NUÑEZ RUIZ IRVING JAVIER.'!V$42:V$48)+SUMIF('MACHADO MAZUCA ADOLFO'!P$40:P$46,'KM POR UNIDAD'!A55,'MACHADO MAZUCA ADOLFO'!V$40:V$46)+SUMIF('LIRA ARCEO JOEL EDUARDO'!P$40:P$46,'KM POR UNIDAD'!A55,'LIRA ARCEO JOEL EDUARDO'!V$40:V$46)+SUMIF('ANCHONDO ROMERO CESAR ALEJANDRO'!P$40:P$46,'KM POR UNIDAD'!A55,'ANCHONDO ROMERO CESAR ALEJANDRO'!V$40:V$46)</f>
        <v>0</v>
      </c>
      <c r="E55" s="145">
        <f t="shared" si="0"/>
        <v>0</v>
      </c>
      <c r="F55" s="144" t="e">
        <f ca="1">+SUMIF('AGUILAR ESQUIVEL CARLOS'!P$40:P$46,'KM POR UNIDAD'!A55,'AGUILAR ESQUIVEL CARLOS'!W$40:W$46)+SUMIF('AGUILAR RODRIGUEZ JORGE ALONSO'!P$40:P$46,'KM POR UNIDAD'!A55,'AGUILAR RODRIGUEZ JORGE ALONSO'!W$40:W$46)+SUMIF('REYES LARA DANTE'!T$40:T$46,'KM POR UNIDAD'!A55,'REYES LARA DANTE'!Y$40:Y$46)+SUMIF('RAMIREZ BAUTISTA ADRIAN'!T$40:T$46,'KM POR UNIDAD'!A55,'RAMIREZ BAUTISTA ADRIAN'!Y$40:Y$46)+SUMIF('FLORES BOJORQUEZ BRYAN OVED'!T$40:T$46,'KM POR UNIDAD'!A55,'FLORES BOJORQUEZ BRYAN OVED'!Y$40:Y$46)+SUMIF('BALDERRAMA ROBLES JORGE'!T$40:T$46,'KM POR UNIDAD'!A55,'BALDERRAMA ROBLES JORGE'!#REF!)+SUMIF('BURGOS TORRES RIGOBERTO'!T$39:T$45,'KM POR UNIDAD'!A55,'BURGOS TORRES RIGOBERTO'!Y$39:Y$45)+SUMIF('CORDOVA URIBE JOSE  ADRIAN'!T$40:T$46,'KM POR UNIDAD'!E55,'CORDOVA URIBE JOSE  ADRIAN'!Y$40:Y$46)+SUMIF('GUZMAN CHAPARRO PEDRO'!T$40:T$46,'KM POR UNIDAD'!E55,'GUZMAN CHAPARRO PEDRO'!Y$40:Y$46)+SUMIF('HERNANDEZ LICANO JOSE LUIS'!T$40:T$46,'KM POR UNIDAD'!E55,'HERNANDEZ LICANO JOSE LUIS'!#REF!)+SUMIF('CARRERA REYES MARTIN SEBASTIAN'!T$41:T$47,'KM POR UNIDAD'!E55,'CARRERA REYES MARTIN SEBASTIAN'!Y$41:Y$47)+SUMIF('RUIZ SAUCEDO DANIEL ALEJANDRO'!T$40:T$46,'KM POR UNIDAD'!E55,'RUIZ SAUCEDO DANIEL ALEJANDRO'!Y$40:Y$46)+SUMIF('MARTINEZ RAMIREZ ROSALIO'!T$40:T$46,'KM POR UNIDAD'!E55,'MARTINEZ RAMIREZ ROSALIO'!Y$40:Y$46)+SUMIF('BALLEZA RAMIREZ JESUS JOSE'!T$40:T$46,'KM POR UNIDAD'!E55,'BALLEZA RAMIREZ JESUS JOSE'!T$176:T$180)+SUMIF('MONTERO BURROLA LUIS'!T$38:T$44,'KM POR UNIDAD'!E55,'MONTERO BURROLA LUIS'!Y$38:Y$44)+SUMIF('AGUILERA CONTRERAS LUIS GERARDO'!T$41:T$47,'KM POR UNIDAD'!E55,'AGUILERA CONTRERAS LUIS GERARDO'!Y$41:Y$47)+SUMIF('MORALES LOPEZ DE LARA MARIANO'!T$40:T$46,'KM POR UNIDAD'!E55,'MORALES LOPEZ DE LARA MARIANO'!Y$40:Y$46)+SUMIF('MELENDEZ SINALOA MANUEL ARAT'!T$40:T$46,'KM POR UNIDAD'!E55,'MELENDEZ SINALOA MANUEL ARAT'!#REF!)+SUMIF('MORALES LECHUGA GONZALO'!T$40:T$46,'KM POR UNIDAD'!E55,'MORALES LECHUGA GONZALO'!Y$40:Y$46)+SUMIF('ORONA BECERRA MAURO JOSE'!T$40:T$46,'KM POR UNIDAD'!E55,'ORONA BECERRA MAURO JOSE'!Y$40:Y$46)+SUMIF('VALLES HERNANDEZ MANUEL MARCELI'!T$39:T$45,'KM POR UNIDAD'!E55,'VALLES HERNANDEZ MANUEL MARCELI'!Y$39:Y$45)+SUMIF('ORTIZ RAMIREZ HECTOR MANUEL'!T$40:T$46,'KM POR UNIDAD'!E55,'ORTIZ RAMIREZ HECTOR MANUEL'!Y$40:Y$46)+SUMIF('ONTIVEROS LIRA JUAN'!T$40:T$46,'KM POR UNIDAD'!E55,'ONTIVEROS LIRA JUAN'!Y$40:Y$46)+SUMIF('RODRIGUEZ FLORES BRYAN DARIO'!T$40:T$46,'KM POR UNIDAD'!E55,'RODRIGUEZ FLORES BRYAN DARIO'!Y$40:Y$46)+SUMIF('NUÑEZ RUIZ IRVING JAVIER.'!T$42:T$48,'KM POR UNIDAD'!E55,'NUÑEZ RUIZ IRVING JAVIER.'!Y$42:Y$48)+SUMIF('MACHADO MAZUCA ADOLFO'!T$40:T$46,'KM POR UNIDAD'!E55,'MACHADO MAZUCA ADOLFO'!Y$40:Y$46)+SUMIF('LIRA ARCEO JOEL EDUARDO'!T$40:T$46,'KM POR UNIDAD'!E55,'LIRA ARCEO JOEL EDUARDO'!Y$41:Y$46)+SUMIF('ANCHONDO ROMERO CESAR ALEJANDRO'!T$40:T$46,'KM POR UNIDAD'!E55,'ANCHONDO ROMERO CESAR ALEJANDRO'!Y$40:Y$46)</f>
        <v>#REF!</v>
      </c>
      <c r="G55" s="146"/>
    </row>
    <row r="56" spans="1:9" x14ac:dyDescent="0.25">
      <c r="A56" s="143" t="s">
        <v>334</v>
      </c>
      <c r="B56" s="144">
        <f>+SUMIF('AGUILAR ESQUIVEL CARLOS'!P$40:P$46,'KM POR UNIDAD'!A56,'AGUILAR ESQUIVEL CARLOS'!U$40:U$46)+SUMIF('AGUILAR RODRIGUEZ JORGE ALONSO'!P$40:P$46,'KM POR UNIDAD'!A56,'AGUILAR RODRIGUEZ JORGE ALONSO'!U$40:U$46)+SUMIF('REYES LARA DANTE'!P$40:P$46,'KM POR UNIDAD'!A56,'REYES LARA DANTE'!U$40:U$46)+SUMIF('RAMIREZ BAUTISTA ADRIAN'!P$40:P$46,'KM POR UNIDAD'!A56,'RAMIREZ BAUTISTA ADRIAN'!U$40:U$46)+SUMIF('FLORES BOJORQUEZ BRYAN OVED'!P$40:P$46,'KM POR UNIDAD'!A56,'FLORES BOJORQUEZ BRYAN OVED'!U$40:U$46)+SUMIF('BALDERRAMA ROBLES JORGE'!P$40:P$46,'KM POR UNIDAD'!A56,'BALDERRAMA ROBLES JORGE'!U$40:U$46)+SUMIF('BURGOS TORRES RIGOBERTO'!P$39:P$45,'KM POR UNIDAD'!A56,'BURGOS TORRES RIGOBERTO'!U$39:U$45)+SUMIF('CORDOVA URIBE JOSE  ADRIAN'!P$40:P$46,'KM POR UNIDAD'!A56,'CORDOVA URIBE JOSE  ADRIAN'!U$40:U$46)+SUMIF('GUZMAN CHAPARRO PEDRO'!P$40:P$46,'KM POR UNIDAD'!A56,'GUZMAN CHAPARRO PEDRO'!U$40:U$46)+SUMIF('HERNANDEZ LICANO JOSE LUIS'!P$40:P$46,'KM POR UNIDAD'!A56,'HERNANDEZ LICANO JOSE LUIS'!U$40:U$46)+SUMIF('CARRERA REYES MARTIN SEBASTIAN'!P$41:P$47,'KM POR UNIDAD'!A56,'CARRERA REYES MARTIN SEBASTIAN'!U$41:U$47)+SUMIF('RUIZ SAUCEDO DANIEL ALEJANDRO'!P$40:P$46,'KM POR UNIDAD'!A56,'RUIZ SAUCEDO DANIEL ALEJANDRO'!U$40:U$46)+SUMIF('MARTINEZ RAMIREZ ROSALIO'!P$40:P$46,'KM POR UNIDAD'!A56,'MARTINEZ RAMIREZ ROSALIO'!U$40:U$46)+SUMIF('BALLEZA RAMIREZ JESUS JOSE'!P$40:P$46,'KM POR UNIDAD'!A56,'BALLEZA RAMIREZ JESUS JOSE'!U$40:U$46)+SUMIF('MONTERO BURROLA LUIS'!P$38:P$44,'KM POR UNIDAD'!A56,'MONTERO BURROLA LUIS'!U$38:U$44)+SUMIF('AGUILERA CONTRERAS LUIS GERARDO'!P$41:P$47,'KM POR UNIDAD'!A56,'AGUILERA CONTRERAS LUIS GERARDO'!U$41:U$47)+SUMIF('MORALES LOPEZ DE LARA MARIANO'!P$40:P$46,'KM POR UNIDAD'!A56,'MORALES LOPEZ DE LARA MARIANO'!U$40:U$46)+SUMIF('MELENDEZ SINALOA MANUEL ARAT'!P$40:P$46,'KM POR UNIDAD'!A56,'MELENDEZ SINALOA MANUEL ARAT'!U$40:U$46)+SUMIF('MORALES LECHUGA GONZALO'!P$40:P$46,'KM POR UNIDAD'!A56,'MORALES LECHUGA GONZALO'!U$40:U$46)+SUMIF('ORONA BECERRA MAURO JOSE'!P$40:P$46,'KM POR UNIDAD'!A56,'ORONA BECERRA MAURO JOSE'!U$40:U$46)+SUMIF('VALLES HERNANDEZ MANUEL MARCELI'!P$39:P$45,'KM POR UNIDAD'!A56,'VALLES HERNANDEZ MANUEL MARCELI'!U$39:U$45)+SUMIF('ORTIZ RAMIREZ HECTOR MANUEL'!P$40:P$46,'KM POR UNIDAD'!A56,'ORTIZ RAMIREZ HECTOR MANUEL'!U$40:U$46)+SUMIF('ONTIVEROS LIRA JUAN'!P$40:P$46,'KM POR UNIDAD'!A56,'ONTIVEROS LIRA JUAN'!U$40:U$46)+SUMIF('RODRIGUEZ FLORES BRYAN DARIO'!P$40:P$46,'KM POR UNIDAD'!A56,'RODRIGUEZ FLORES BRYAN DARIO'!U$40:U$46)+SUMIF('NUÑEZ RUIZ IRVING JAVIER.'!P$42:P$48,'KM POR UNIDAD'!A56,'NUÑEZ RUIZ IRVING JAVIER.'!U$42:U$48)+SUMIF('MACHADO MAZUCA ADOLFO'!P$40:P$46,'KM POR UNIDAD'!A56,'MACHADO MAZUCA ADOLFO'!U$40:U$46)+SUMIF('LIRA ARCEO JOEL EDUARDO'!P$40:P$46,'KM POR UNIDAD'!A56,'LIRA ARCEO JOEL EDUARDO'!U$40:U$46)+SUMIF('ANCHONDO ROMERO CESAR ALEJANDRO'!P$40:P$46,'KM POR UNIDAD'!A56,'ANCHONDO ROMERO CESAR ALEJANDRO'!U$40:U$46)</f>
        <v>1500</v>
      </c>
      <c r="C56" s="150">
        <f ca="1">+SUMIF('AGUILAR ESQUIVEL CARLOS'!P$40:P$46,'KM POR UNIDAD'!A56,'AGUILAR ESQUIVEL CARLOS'!T$40:T$46)+SUMIF('AGUILAR RODRIGUEZ JORGE ALONSO'!P$40:P$46,'KM POR UNIDAD'!A56,'AGUILAR RODRIGUEZ JORGE ALONSO'!T$40:T$46)+SUMIF('REYES LARA DANTE'!P$40:P$46,'KM POR UNIDAD'!A56,'REYES LARA DANTE'!T$40:T$46)+SUMIF('RAMIREZ BAUTISTA ADRIAN'!P$40:P$46,'KM POR UNIDAD'!A56,'RAMIREZ BAUTISTA ADRIAN'!T$40:T$46)+SUMIF('FLORES BOJORQUEZ BRYAN OVED'!P$40:P$46,'KM POR UNIDAD'!A56,'FLORES BOJORQUEZ BRYAN OVED'!T$40:T$46)+SUMIF('BALDERRAMA ROBLES JORGE'!P$40:P$46,'KM POR UNIDAD'!A56,'BALDERRAMA ROBLES JORGE'!T$40:T$46)+SUMIF('BURGOS TORRES RIGOBERTO'!P$39:P$45,'KM POR UNIDAD'!A56,'BURGOS TORRES RIGOBERTO'!T$39:T$45)+SUMIF('CORDOVA URIBE JOSE  ADRIAN'!P$40:P$46,'KM POR UNIDAD'!A56,'CORDOVA URIBE JOSE  ADRIAN'!T$40:T$46)+SUMIF('GUZMAN CHAPARRO PEDRO'!P$40:P$46,'KM POR UNIDAD'!A56,'GUZMAN CHAPARRO PEDRO'!T$40:T$46)+SUMIF('HERNANDEZ LICANO JOSE LUIS'!P$40:P$46,'KM POR UNIDAD'!A56,'HERNANDEZ LICANO JOSE LUIS'!T$40:T$46)+SUMIF('CARRERA REYES MARTIN SEBASTIAN'!P$41:P$47,'KM POR UNIDAD'!A56,'CARRERA REYES MARTIN SEBASTIAN'!T$41:T$47)+SUMIF('RUIZ SAUCEDO DANIEL ALEJANDRO'!P$40:P$46,'KM POR UNIDAD'!A56,'RUIZ SAUCEDO DANIEL ALEJANDRO'!T$40:T$46)+SUMIF('MARTINEZ RAMIREZ ROSALIO'!P$40:P$46,'KM POR UNIDAD'!A56,'MARTINEZ RAMIREZ ROSALIO'!T$40:T$46)+SUMIF('BALLEZA RAMIREZ JESUS JOSE'!P$40:P$46,'KM POR UNIDAD'!A56,'BALLEZA RAMIREZ JESUS JOSE'!T$40:T$46)+SUMIF('MONTERO BURROLA LUIS'!P$38:P$44,'KM POR UNIDAD'!A56,'MONTERO BURROLA LUIS'!T$38:T$44)+SUMIF('AGUILERA CONTRERAS LUIS GERARDO'!P$41:P$47,'KM POR UNIDAD'!A56,'AGUILERA CONTRERAS LUIS GERARDO'!T$41:T$47)+SUMIF('MORALES LOPEZ DE LARA MARIANO'!P$40:P$46,'KM POR UNIDAD'!A56,'MORALES LOPEZ DE LARA MARIANO'!T$40:T$46)+SUMIF('MELENDEZ SINALOA MANUEL ARAT'!P$40:P$46,'KM POR UNIDAD'!A56,'MELENDEZ SINALOA MANUEL ARAT'!T$40:T$46)+SUMIF('MORALES LECHUGA GONZALO'!P$40:P$46,'KM POR UNIDAD'!A56,'MORALES LECHUGA GONZALO'!T$40:T$46)+SUMIF('ORONA BECERRA MAURO JOSE'!P$40:P$46,'KM POR UNIDAD'!A56,'ORONA BECERRA MAURO JOSE'!T$40:T$46)+SUMIF('VALLES HERNANDEZ MANUEL MARCELI'!P$39:P$45,'KM POR UNIDAD'!A56,'VALLES HERNANDEZ MANUEL MARCELI'!T$39:T$45)+SUMIF('ORTIZ RAMIREZ HECTOR MANUEL'!P$40:P$46,'KM POR UNIDAD'!A56,'ORTIZ RAMIREZ HECTOR MANUEL'!T$40:T$46)+SUMIF('ONTIVEROS LIRA JUAN'!P$40:P$446,'KM POR UNIDAD'!A56,'ONTIVEROS LIRA JUAN'!T$40:T$46)+SUMIF('RODRIGUEZ FLORES BRYAN DARIO'!P$40:P$46,'KM POR UNIDAD'!A56,'RODRIGUEZ FLORES BRYAN DARIO'!T$40:T$46)+SUMIF('NUÑEZ RUIZ IRVING JAVIER.'!P$42:P$48,'KM POR UNIDAD'!A56,'NUÑEZ RUIZ IRVING JAVIER.'!T$42:T$48)+SUMIF('MACHADO MAZUCA ADOLFO'!P$40:P$46,'KM POR UNIDAD'!A56,'MACHADO MAZUCA ADOLFO'!T$40:T$46)+SUMIF('LIRA ARCEO JOEL EDUARDO'!P$40:P$46,'KM POR UNIDAD'!A56,'LIRA ARCEO JOEL EDUARDO'!T$40:T$46)+SUMIF('ANCHONDO ROMERO CESAR ALEJANDRO'!P$40:P$46,'KM POR UNIDAD'!A56,'ANCHONDO ROMERO CESAR ALEJANDRO'!T$40:T$46)</f>
        <v>1517</v>
      </c>
      <c r="D56" s="150">
        <f>+SUMIF('AGUILAR ESQUIVEL CARLOS'!P$40:P$46,'KM POR UNIDAD'!A56,'AGUILAR ESQUIVEL CARLOS'!V$40:V$46)+SUMIF('AGUILAR RODRIGUEZ JORGE ALONSO'!P$40:P$46,'KM POR UNIDAD'!A56,'AGUILAR RODRIGUEZ JORGE ALONSO'!V$40:V$46)+SUMIF('REYES LARA DANTE'!P$40:P$46,'KM POR UNIDAD'!A56,'REYES LARA DANTE'!V$40:V$46)+SUMIF('RAMIREZ BAUTISTA ADRIAN'!P$40:P$46,'KM POR UNIDAD'!A56,'RAMIREZ BAUTISTA ADRIAN'!V$40:V$46)+SUMIF('FLORES BOJORQUEZ BRYAN OVED'!P$40:P$46,'KM POR UNIDAD'!A56,'FLORES BOJORQUEZ BRYAN OVED'!V$40:V$46)+SUMIF('BALDERRAMA ROBLES JORGE'!P$40:P$46,'KM POR UNIDAD'!A56,'BALDERRAMA ROBLES JORGE'!V$40:V$46)+SUMIF('BURGOS TORRES RIGOBERTO'!P$39:P$45,'KM POR UNIDAD'!A56,'BURGOS TORRES RIGOBERTO'!V$39:V$45)+SUMIF('CORDOVA URIBE JOSE  ADRIAN'!P$40:P$46,'KM POR UNIDAD'!A56,'CORDOVA URIBE JOSE  ADRIAN'!V$40:V$46)+SUMIF('GUZMAN CHAPARRO PEDRO'!P$40:P$46,'KM POR UNIDAD'!A56,'GUZMAN CHAPARRO PEDRO'!V$40:V$46)+SUMIF('HERNANDEZ LICANO JOSE LUIS'!P$40:P$46,'KM POR UNIDAD'!A56,'HERNANDEZ LICANO JOSE LUIS'!V$40:V$46)+SUMIF('CARRERA REYES MARTIN SEBASTIAN'!P$41:P$47,'KM POR UNIDAD'!A56,'CARRERA REYES MARTIN SEBASTIAN'!V$41:V$47)+SUMIF('RUIZ SAUCEDO DANIEL ALEJANDRO'!P$40:P$46,'KM POR UNIDAD'!A56,'RUIZ SAUCEDO DANIEL ALEJANDRO'!V$40:V$46)+SUMIF('MARTINEZ RAMIREZ ROSALIO'!P$40:P$46,'KM POR UNIDAD'!A56,'MARTINEZ RAMIREZ ROSALIO'!V$40:V$46)+SUMIF('BALLEZA RAMIREZ JESUS JOSE'!P$40:P$46,'KM POR UNIDAD'!A56,'BALLEZA RAMIREZ JESUS JOSE'!V$40:V$46)+SUMIF('MONTERO BURROLA LUIS'!P$38:P$44,'KM POR UNIDAD'!A56,'MONTERO BURROLA LUIS'!V$38:V$44)+SUMIF('AGUILERA CONTRERAS LUIS GERARDO'!P$41:P$47,'KM POR UNIDAD'!A56,'AGUILERA CONTRERAS LUIS GERARDO'!V$41:V$47)+SUMIF('MORALES LOPEZ DE LARA MARIANO'!P$40:P$46,'KM POR UNIDAD'!A56,'MORALES LOPEZ DE LARA MARIANO'!V$40:V$46)+SUMIF('MELENDEZ SINALOA MANUEL ARAT'!P$40:P$46,'KM POR UNIDAD'!A56,'MELENDEZ SINALOA MANUEL ARAT'!V$40:V$46)+SUMIF('MORALES LECHUGA GONZALO'!P$40:P$46,'KM POR UNIDAD'!A56,'MORALES LECHUGA GONZALO'!V$40:V$46)+SUMIF('ORONA BECERRA MAURO JOSE'!P$40:P$46,'KM POR UNIDAD'!A56,'ORONA BECERRA MAURO JOSE'!V$40:V$46)+SUMIF('VALLES HERNANDEZ MANUEL MARCELI'!P$39:P$45,'KM POR UNIDAD'!A56,'VALLES HERNANDEZ MANUEL MARCELI'!V$39:V$45)+SUMIF('ORTIZ RAMIREZ HECTOR MANUEL'!P$40:P$46,'KM POR UNIDAD'!A56,'ORTIZ RAMIREZ HECTOR MANUEL'!V$40:V$46)+SUMIF('ONTIVEROS LIRA JUAN'!P$40:P$46,'KM POR UNIDAD'!A56,'ONTIVEROS LIRA JUAN'!V$40:V$46)+SUMIF('RODRIGUEZ FLORES BRYAN DARIO'!P$40:P$46,'KM POR UNIDAD'!A56,'RODRIGUEZ FLORES BRYAN DARIO'!V$40:V$46)+SUMIF('NUÑEZ RUIZ IRVING JAVIER.'!P$42:P$48,'KM POR UNIDAD'!A56,'NUÑEZ RUIZ IRVING JAVIER.'!V$42:V$48)+SUMIF('MACHADO MAZUCA ADOLFO'!P$40:P$46,'KM POR UNIDAD'!A56,'MACHADO MAZUCA ADOLFO'!V$40:V$46)+SUMIF('LIRA ARCEO JOEL EDUARDO'!P$40:P$46,'KM POR UNIDAD'!A56,'LIRA ARCEO JOEL EDUARDO'!V$40:V$46)+SUMIF('ANCHONDO ROMERO CESAR ALEJANDRO'!P$40:P$46,'KM POR UNIDAD'!A56,'ANCHONDO ROMERO CESAR ALEJANDRO'!V$40:V$46)</f>
        <v>431.03999999999996</v>
      </c>
      <c r="E56" s="145">
        <f t="shared" si="0"/>
        <v>3.4799554565701563</v>
      </c>
      <c r="F56" s="144" t="e">
        <f ca="1">+SUMIF('AGUILAR ESQUIVEL CARLOS'!P$40:P$46,'KM POR UNIDAD'!A56,'AGUILAR ESQUIVEL CARLOS'!W$40:W$46)+SUMIF('AGUILAR RODRIGUEZ JORGE ALONSO'!P$40:P$46,'KM POR UNIDAD'!A56,'AGUILAR RODRIGUEZ JORGE ALONSO'!W$40:W$46)+SUMIF('REYES LARA DANTE'!T$40:T$46,'KM POR UNIDAD'!A56,'REYES LARA DANTE'!Y$40:Y$46)+SUMIF('RAMIREZ BAUTISTA ADRIAN'!T$40:T$46,'KM POR UNIDAD'!A56,'RAMIREZ BAUTISTA ADRIAN'!Y$40:Y$46)+SUMIF('FLORES BOJORQUEZ BRYAN OVED'!T$40:T$46,'KM POR UNIDAD'!A56,'FLORES BOJORQUEZ BRYAN OVED'!Y$40:Y$46)+SUMIF('BALDERRAMA ROBLES JORGE'!T$40:T$46,'KM POR UNIDAD'!A56,'BALDERRAMA ROBLES JORGE'!#REF!)+SUMIF('BURGOS TORRES RIGOBERTO'!T$39:T$45,'KM POR UNIDAD'!A56,'BURGOS TORRES RIGOBERTO'!Y$39:Y$45)+SUMIF('CORDOVA URIBE JOSE  ADRIAN'!T$40:T$46,'KM POR UNIDAD'!E56,'CORDOVA URIBE JOSE  ADRIAN'!Y$40:Y$46)+SUMIF('GUZMAN CHAPARRO PEDRO'!T$40:T$46,'KM POR UNIDAD'!E56,'GUZMAN CHAPARRO PEDRO'!Y$40:Y$46)+SUMIF('HERNANDEZ LICANO JOSE LUIS'!T$40:T$46,'KM POR UNIDAD'!E56,'HERNANDEZ LICANO JOSE LUIS'!#REF!)+SUMIF('CARRERA REYES MARTIN SEBASTIAN'!T$41:T$47,'KM POR UNIDAD'!E56,'CARRERA REYES MARTIN SEBASTIAN'!Y$41:Y$47)+SUMIF('RUIZ SAUCEDO DANIEL ALEJANDRO'!T$40:T$46,'KM POR UNIDAD'!E56,'RUIZ SAUCEDO DANIEL ALEJANDRO'!Y$40:Y$46)+SUMIF('MARTINEZ RAMIREZ ROSALIO'!T$40:T$46,'KM POR UNIDAD'!E56,'MARTINEZ RAMIREZ ROSALIO'!Y$40:Y$46)+SUMIF('BALLEZA RAMIREZ JESUS JOSE'!T$40:T$46,'KM POR UNIDAD'!E56,'BALLEZA RAMIREZ JESUS JOSE'!T$176:T$180)+SUMIF('MONTERO BURROLA LUIS'!T$38:T$44,'KM POR UNIDAD'!E56,'MONTERO BURROLA LUIS'!Y$38:Y$44)+SUMIF('AGUILERA CONTRERAS LUIS GERARDO'!T$41:T$47,'KM POR UNIDAD'!E56,'AGUILERA CONTRERAS LUIS GERARDO'!Y$41:Y$47)+SUMIF('MORALES LOPEZ DE LARA MARIANO'!T$40:T$46,'KM POR UNIDAD'!E56,'MORALES LOPEZ DE LARA MARIANO'!Y$40:Y$46)+SUMIF('MELENDEZ SINALOA MANUEL ARAT'!T$40:T$46,'KM POR UNIDAD'!E56,'MELENDEZ SINALOA MANUEL ARAT'!#REF!)+SUMIF('MORALES LECHUGA GONZALO'!T$40:T$46,'KM POR UNIDAD'!E56,'MORALES LECHUGA GONZALO'!Y$40:Y$46)+SUMIF('ORONA BECERRA MAURO JOSE'!T$40:T$46,'KM POR UNIDAD'!E56,'ORONA BECERRA MAURO JOSE'!Y$40:Y$46)+SUMIF('VALLES HERNANDEZ MANUEL MARCELI'!T$39:T$45,'KM POR UNIDAD'!E56,'VALLES HERNANDEZ MANUEL MARCELI'!Y$39:Y$45)+SUMIF('ORTIZ RAMIREZ HECTOR MANUEL'!T$40:T$46,'KM POR UNIDAD'!E56,'ORTIZ RAMIREZ HECTOR MANUEL'!Y$40:Y$46)+SUMIF('ONTIVEROS LIRA JUAN'!T$40:T$46,'KM POR UNIDAD'!E56,'ONTIVEROS LIRA JUAN'!Y$40:Y$46)+SUMIF('RODRIGUEZ FLORES BRYAN DARIO'!T$40:T$46,'KM POR UNIDAD'!E56,'RODRIGUEZ FLORES BRYAN DARIO'!Y$40:Y$46)+SUMIF('NUÑEZ RUIZ IRVING JAVIER.'!T$42:T$48,'KM POR UNIDAD'!E56,'NUÑEZ RUIZ IRVING JAVIER.'!Y$42:Y$48)+SUMIF('MACHADO MAZUCA ADOLFO'!T$40:T$46,'KM POR UNIDAD'!E56,'MACHADO MAZUCA ADOLFO'!Y$40:Y$46)+SUMIF('LIRA ARCEO JOEL EDUARDO'!T$40:T$46,'KM POR UNIDAD'!E56,'LIRA ARCEO JOEL EDUARDO'!Y$41:Y$46)+SUMIF('ANCHONDO ROMERO CESAR ALEJANDRO'!T$40:T$46,'KM POR UNIDAD'!E56,'ANCHONDO ROMERO CESAR ALEJANDRO'!Y$40:Y$46)</f>
        <v>#REF!</v>
      </c>
      <c r="G56" s="146"/>
    </row>
    <row r="57" spans="1:9" x14ac:dyDescent="0.25">
      <c r="A57" s="143" t="s">
        <v>180</v>
      </c>
      <c r="B57" s="144">
        <f>+SUMIF('AGUILAR ESQUIVEL CARLOS'!P$40:P$46,'KM POR UNIDAD'!A57,'AGUILAR ESQUIVEL CARLOS'!U$40:U$46)+SUMIF('AGUILAR RODRIGUEZ JORGE ALONSO'!P$40:P$46,'KM POR UNIDAD'!A57,'AGUILAR RODRIGUEZ JORGE ALONSO'!U$40:U$46)+SUMIF('REYES LARA DANTE'!P$40:P$46,'KM POR UNIDAD'!A57,'REYES LARA DANTE'!U$40:U$46)+SUMIF('RAMIREZ BAUTISTA ADRIAN'!P$40:P$46,'KM POR UNIDAD'!A57,'RAMIREZ BAUTISTA ADRIAN'!U$40:U$46)+SUMIF('FLORES BOJORQUEZ BRYAN OVED'!P$40:P$46,'KM POR UNIDAD'!A57,'FLORES BOJORQUEZ BRYAN OVED'!U$40:U$46)+SUMIF('BALDERRAMA ROBLES JORGE'!P$40:P$46,'KM POR UNIDAD'!A57,'BALDERRAMA ROBLES JORGE'!U$40:U$46)+SUMIF('BURGOS TORRES RIGOBERTO'!P$39:P$45,'KM POR UNIDAD'!A57,'BURGOS TORRES RIGOBERTO'!U$39:U$45)+SUMIF('CORDOVA URIBE JOSE  ADRIAN'!P$40:P$46,'KM POR UNIDAD'!A57,'CORDOVA URIBE JOSE  ADRIAN'!U$40:U$46)+SUMIF('GUZMAN CHAPARRO PEDRO'!P$40:P$46,'KM POR UNIDAD'!A57,'GUZMAN CHAPARRO PEDRO'!U$40:U$46)+SUMIF('HERNANDEZ LICANO JOSE LUIS'!P$40:P$46,'KM POR UNIDAD'!A57,'HERNANDEZ LICANO JOSE LUIS'!U$40:U$46)+SUMIF('CARRERA REYES MARTIN SEBASTIAN'!P$41:P$47,'KM POR UNIDAD'!A57,'CARRERA REYES MARTIN SEBASTIAN'!U$41:U$47)+SUMIF('RUIZ SAUCEDO DANIEL ALEJANDRO'!P$40:P$46,'KM POR UNIDAD'!A57,'RUIZ SAUCEDO DANIEL ALEJANDRO'!U$40:U$46)+SUMIF('MARTINEZ RAMIREZ ROSALIO'!P$40:P$46,'KM POR UNIDAD'!A57,'MARTINEZ RAMIREZ ROSALIO'!U$40:U$46)+SUMIF('BALLEZA RAMIREZ JESUS JOSE'!P$40:P$46,'KM POR UNIDAD'!A57,'BALLEZA RAMIREZ JESUS JOSE'!U$40:U$46)+SUMIF('MONTERO BURROLA LUIS'!P$38:P$44,'KM POR UNIDAD'!A57,'MONTERO BURROLA LUIS'!U$38:U$44)+SUMIF('AGUILERA CONTRERAS LUIS GERARDO'!P$41:P$47,'KM POR UNIDAD'!A57,'AGUILERA CONTRERAS LUIS GERARDO'!U$41:U$47)+SUMIF('MORALES LOPEZ DE LARA MARIANO'!P$40:P$46,'KM POR UNIDAD'!A57,'MORALES LOPEZ DE LARA MARIANO'!U$40:U$46)+SUMIF('MELENDEZ SINALOA MANUEL ARAT'!P$40:P$46,'KM POR UNIDAD'!A57,'MELENDEZ SINALOA MANUEL ARAT'!U$40:U$46)+SUMIF('MORALES LECHUGA GONZALO'!P$40:P$46,'KM POR UNIDAD'!A57,'MORALES LECHUGA GONZALO'!U$40:U$46)+SUMIF('ORONA BECERRA MAURO JOSE'!P$40:P$46,'KM POR UNIDAD'!A57,'ORONA BECERRA MAURO JOSE'!U$40:U$46)+SUMIF('VALLES HERNANDEZ MANUEL MARCELI'!P$39:P$45,'KM POR UNIDAD'!A57,'VALLES HERNANDEZ MANUEL MARCELI'!U$39:U$45)+SUMIF('ORTIZ RAMIREZ HECTOR MANUEL'!P$40:P$46,'KM POR UNIDAD'!A57,'ORTIZ RAMIREZ HECTOR MANUEL'!U$40:U$46)+SUMIF('ONTIVEROS LIRA JUAN'!P$40:P$46,'KM POR UNIDAD'!A57,'ONTIVEROS LIRA JUAN'!U$40:U$46)+SUMIF('RODRIGUEZ FLORES BRYAN DARIO'!P$40:P$46,'KM POR UNIDAD'!A57,'RODRIGUEZ FLORES BRYAN DARIO'!U$40:U$46)+SUMIF('NUÑEZ RUIZ IRVING JAVIER.'!P$42:P$48,'KM POR UNIDAD'!A57,'NUÑEZ RUIZ IRVING JAVIER.'!U$42:U$48)+SUMIF('MACHADO MAZUCA ADOLFO'!P$40:P$46,'KM POR UNIDAD'!A57,'MACHADO MAZUCA ADOLFO'!U$40:U$46)+SUMIF('LIRA ARCEO JOEL EDUARDO'!P$40:P$46,'KM POR UNIDAD'!A57,'LIRA ARCEO JOEL EDUARDO'!U$40:U$46)+SUMIF('ANCHONDO ROMERO CESAR ALEJANDRO'!P$40:P$46,'KM POR UNIDAD'!A57,'ANCHONDO ROMERO CESAR ALEJANDRO'!U$40:U$46)</f>
        <v>0</v>
      </c>
      <c r="C57" s="150">
        <f ca="1">+SUMIF('AGUILAR ESQUIVEL CARLOS'!P$40:P$46,'KM POR UNIDAD'!A57,'AGUILAR ESQUIVEL CARLOS'!T$40:T$46)+SUMIF('AGUILAR RODRIGUEZ JORGE ALONSO'!P$40:P$46,'KM POR UNIDAD'!A57,'AGUILAR RODRIGUEZ JORGE ALONSO'!T$40:T$46)+SUMIF('REYES LARA DANTE'!P$40:P$46,'KM POR UNIDAD'!A57,'REYES LARA DANTE'!T$40:T$46)+SUMIF('RAMIREZ BAUTISTA ADRIAN'!P$40:P$46,'KM POR UNIDAD'!A57,'RAMIREZ BAUTISTA ADRIAN'!T$40:T$46)+SUMIF('FLORES BOJORQUEZ BRYAN OVED'!P$40:P$46,'KM POR UNIDAD'!A57,'FLORES BOJORQUEZ BRYAN OVED'!T$40:T$46)+SUMIF('BALDERRAMA ROBLES JORGE'!P$40:P$46,'KM POR UNIDAD'!A57,'BALDERRAMA ROBLES JORGE'!T$40:T$46)+SUMIF('BURGOS TORRES RIGOBERTO'!P$39:P$45,'KM POR UNIDAD'!A57,'BURGOS TORRES RIGOBERTO'!T$39:T$45)+SUMIF('CORDOVA URIBE JOSE  ADRIAN'!P$40:P$46,'KM POR UNIDAD'!A57,'CORDOVA URIBE JOSE  ADRIAN'!T$40:T$46)+SUMIF('GUZMAN CHAPARRO PEDRO'!P$40:P$46,'KM POR UNIDAD'!A57,'GUZMAN CHAPARRO PEDRO'!T$40:T$46)+SUMIF('HERNANDEZ LICANO JOSE LUIS'!P$40:P$46,'KM POR UNIDAD'!A57,'HERNANDEZ LICANO JOSE LUIS'!T$40:T$46)+SUMIF('CARRERA REYES MARTIN SEBASTIAN'!P$41:P$47,'KM POR UNIDAD'!A57,'CARRERA REYES MARTIN SEBASTIAN'!T$41:T$47)+SUMIF('RUIZ SAUCEDO DANIEL ALEJANDRO'!P$40:P$46,'KM POR UNIDAD'!A57,'RUIZ SAUCEDO DANIEL ALEJANDRO'!T$40:T$46)+SUMIF('MARTINEZ RAMIREZ ROSALIO'!P$40:P$46,'KM POR UNIDAD'!A57,'MARTINEZ RAMIREZ ROSALIO'!T$40:T$46)+SUMIF('BALLEZA RAMIREZ JESUS JOSE'!P$40:P$46,'KM POR UNIDAD'!A57,'BALLEZA RAMIREZ JESUS JOSE'!T$40:T$46)+SUMIF('MONTERO BURROLA LUIS'!P$38:P$44,'KM POR UNIDAD'!A57,'MONTERO BURROLA LUIS'!T$38:T$44)+SUMIF('AGUILERA CONTRERAS LUIS GERARDO'!P$41:P$47,'KM POR UNIDAD'!A57,'AGUILERA CONTRERAS LUIS GERARDO'!T$41:T$47)+SUMIF('MORALES LOPEZ DE LARA MARIANO'!P$40:P$46,'KM POR UNIDAD'!A57,'MORALES LOPEZ DE LARA MARIANO'!T$40:T$46)+SUMIF('MELENDEZ SINALOA MANUEL ARAT'!P$40:P$46,'KM POR UNIDAD'!A57,'MELENDEZ SINALOA MANUEL ARAT'!T$40:T$46)+SUMIF('MORALES LECHUGA GONZALO'!P$40:P$46,'KM POR UNIDAD'!A57,'MORALES LECHUGA GONZALO'!T$40:T$46)+SUMIF('ORONA BECERRA MAURO JOSE'!P$40:P$46,'KM POR UNIDAD'!A57,'ORONA BECERRA MAURO JOSE'!T$40:T$46)+SUMIF('VALLES HERNANDEZ MANUEL MARCELI'!P$39:P$45,'KM POR UNIDAD'!A57,'VALLES HERNANDEZ MANUEL MARCELI'!T$39:T$45)+SUMIF('ORTIZ RAMIREZ HECTOR MANUEL'!P$40:P$46,'KM POR UNIDAD'!A57,'ORTIZ RAMIREZ HECTOR MANUEL'!T$40:T$46)+SUMIF('ONTIVEROS LIRA JUAN'!P$40:P$446,'KM POR UNIDAD'!A57,'ONTIVEROS LIRA JUAN'!T$40:T$46)+SUMIF('RODRIGUEZ FLORES BRYAN DARIO'!P$40:P$46,'KM POR UNIDAD'!A57,'RODRIGUEZ FLORES BRYAN DARIO'!T$40:T$46)+SUMIF('NUÑEZ RUIZ IRVING JAVIER.'!P$42:P$48,'KM POR UNIDAD'!A57,'NUÑEZ RUIZ IRVING JAVIER.'!T$42:T$48)+SUMIF('MACHADO MAZUCA ADOLFO'!P$40:P$46,'KM POR UNIDAD'!A57,'MACHADO MAZUCA ADOLFO'!T$40:T$46)+SUMIF('LIRA ARCEO JOEL EDUARDO'!P$40:P$46,'KM POR UNIDAD'!A57,'LIRA ARCEO JOEL EDUARDO'!T$40:T$46)+SUMIF('ANCHONDO ROMERO CESAR ALEJANDRO'!P$40:P$46,'KM POR UNIDAD'!A57,'ANCHONDO ROMERO CESAR ALEJANDRO'!T$40:T$46)</f>
        <v>0</v>
      </c>
      <c r="D57" s="150">
        <f>+SUMIF('AGUILAR ESQUIVEL CARLOS'!P$40:P$46,'KM POR UNIDAD'!A57,'AGUILAR ESQUIVEL CARLOS'!V$40:V$46)+SUMIF('AGUILAR RODRIGUEZ JORGE ALONSO'!P$40:P$46,'KM POR UNIDAD'!A57,'AGUILAR RODRIGUEZ JORGE ALONSO'!V$40:V$46)+SUMIF('REYES LARA DANTE'!P$40:P$46,'KM POR UNIDAD'!A57,'REYES LARA DANTE'!V$40:V$46)+SUMIF('RAMIREZ BAUTISTA ADRIAN'!P$40:P$46,'KM POR UNIDAD'!A57,'RAMIREZ BAUTISTA ADRIAN'!V$40:V$46)+SUMIF('FLORES BOJORQUEZ BRYAN OVED'!P$40:P$46,'KM POR UNIDAD'!A57,'FLORES BOJORQUEZ BRYAN OVED'!V$40:V$46)+SUMIF('BALDERRAMA ROBLES JORGE'!P$40:P$46,'KM POR UNIDAD'!A57,'BALDERRAMA ROBLES JORGE'!V$40:V$46)+SUMIF('BURGOS TORRES RIGOBERTO'!P$39:P$45,'KM POR UNIDAD'!A57,'BURGOS TORRES RIGOBERTO'!V$39:V$45)+SUMIF('CORDOVA URIBE JOSE  ADRIAN'!P$40:P$46,'KM POR UNIDAD'!A57,'CORDOVA URIBE JOSE  ADRIAN'!V$40:V$46)+SUMIF('GUZMAN CHAPARRO PEDRO'!P$40:P$46,'KM POR UNIDAD'!A57,'GUZMAN CHAPARRO PEDRO'!V$40:V$46)+SUMIF('HERNANDEZ LICANO JOSE LUIS'!P$40:P$46,'KM POR UNIDAD'!A57,'HERNANDEZ LICANO JOSE LUIS'!V$40:V$46)+SUMIF('CARRERA REYES MARTIN SEBASTIAN'!P$41:P$47,'KM POR UNIDAD'!A57,'CARRERA REYES MARTIN SEBASTIAN'!V$41:V$47)+SUMIF('RUIZ SAUCEDO DANIEL ALEJANDRO'!P$40:P$46,'KM POR UNIDAD'!A57,'RUIZ SAUCEDO DANIEL ALEJANDRO'!V$40:V$46)+SUMIF('MARTINEZ RAMIREZ ROSALIO'!P$40:P$46,'KM POR UNIDAD'!A57,'MARTINEZ RAMIREZ ROSALIO'!V$40:V$46)+SUMIF('BALLEZA RAMIREZ JESUS JOSE'!P$40:P$46,'KM POR UNIDAD'!A57,'BALLEZA RAMIREZ JESUS JOSE'!V$40:V$46)+SUMIF('MONTERO BURROLA LUIS'!P$38:P$44,'KM POR UNIDAD'!A57,'MONTERO BURROLA LUIS'!V$38:V$44)+SUMIF('AGUILERA CONTRERAS LUIS GERARDO'!P$41:P$47,'KM POR UNIDAD'!A57,'AGUILERA CONTRERAS LUIS GERARDO'!V$41:V$47)+SUMIF('MORALES LOPEZ DE LARA MARIANO'!P$40:P$46,'KM POR UNIDAD'!A57,'MORALES LOPEZ DE LARA MARIANO'!V$40:V$46)+SUMIF('MELENDEZ SINALOA MANUEL ARAT'!P$40:P$46,'KM POR UNIDAD'!A57,'MELENDEZ SINALOA MANUEL ARAT'!V$40:V$46)+SUMIF('MORALES LECHUGA GONZALO'!P$40:P$46,'KM POR UNIDAD'!A57,'MORALES LECHUGA GONZALO'!V$40:V$46)+SUMIF('ORONA BECERRA MAURO JOSE'!P$40:P$46,'KM POR UNIDAD'!A57,'ORONA BECERRA MAURO JOSE'!V$40:V$46)+SUMIF('VALLES HERNANDEZ MANUEL MARCELI'!P$39:P$45,'KM POR UNIDAD'!A57,'VALLES HERNANDEZ MANUEL MARCELI'!V$39:V$45)+SUMIF('ORTIZ RAMIREZ HECTOR MANUEL'!P$40:P$46,'KM POR UNIDAD'!A57,'ORTIZ RAMIREZ HECTOR MANUEL'!V$40:V$46)+SUMIF('ONTIVEROS LIRA JUAN'!P$40:P$46,'KM POR UNIDAD'!A57,'ONTIVEROS LIRA JUAN'!V$40:V$46)+SUMIF('RODRIGUEZ FLORES BRYAN DARIO'!P$40:P$46,'KM POR UNIDAD'!A57,'RODRIGUEZ FLORES BRYAN DARIO'!V$40:V$46)+SUMIF('NUÑEZ RUIZ IRVING JAVIER.'!P$42:P$48,'KM POR UNIDAD'!A57,'NUÑEZ RUIZ IRVING JAVIER.'!V$42:V$48)+SUMIF('MACHADO MAZUCA ADOLFO'!P$40:P$46,'KM POR UNIDAD'!A57,'MACHADO MAZUCA ADOLFO'!V$40:V$46)+SUMIF('LIRA ARCEO JOEL EDUARDO'!P$40:P$46,'KM POR UNIDAD'!A57,'LIRA ARCEO JOEL EDUARDO'!V$40:V$46)+SUMIF('ANCHONDO ROMERO CESAR ALEJANDRO'!P$40:P$46,'KM POR UNIDAD'!A57,'ANCHONDO ROMERO CESAR ALEJANDRO'!V$40:V$46)</f>
        <v>0</v>
      </c>
      <c r="E57" s="145">
        <f t="shared" si="0"/>
        <v>0</v>
      </c>
      <c r="F57" s="144" t="e">
        <f ca="1">+SUMIF('AGUILAR ESQUIVEL CARLOS'!P$40:P$46,'KM POR UNIDAD'!A57,'AGUILAR ESQUIVEL CARLOS'!W$40:W$46)+SUMIF('AGUILAR RODRIGUEZ JORGE ALONSO'!P$40:P$46,'KM POR UNIDAD'!A57,'AGUILAR RODRIGUEZ JORGE ALONSO'!W$40:W$46)+SUMIF('REYES LARA DANTE'!T$40:T$46,'KM POR UNIDAD'!A57,'REYES LARA DANTE'!Y$40:Y$46)+SUMIF('RAMIREZ BAUTISTA ADRIAN'!T$40:T$46,'KM POR UNIDAD'!A57,'RAMIREZ BAUTISTA ADRIAN'!Y$40:Y$46)+SUMIF('FLORES BOJORQUEZ BRYAN OVED'!T$40:T$46,'KM POR UNIDAD'!A57,'FLORES BOJORQUEZ BRYAN OVED'!Y$40:Y$46)+SUMIF('BALDERRAMA ROBLES JORGE'!T$40:T$46,'KM POR UNIDAD'!A57,'BALDERRAMA ROBLES JORGE'!#REF!)+SUMIF('BURGOS TORRES RIGOBERTO'!T$39:T$45,'KM POR UNIDAD'!A57,'BURGOS TORRES RIGOBERTO'!Y$39:Y$45)+SUMIF('CORDOVA URIBE JOSE  ADRIAN'!T$40:T$46,'KM POR UNIDAD'!E57,'CORDOVA URIBE JOSE  ADRIAN'!Y$40:Y$46)+SUMIF('GUZMAN CHAPARRO PEDRO'!T$40:T$46,'KM POR UNIDAD'!E57,'GUZMAN CHAPARRO PEDRO'!Y$40:Y$46)+SUMIF('HERNANDEZ LICANO JOSE LUIS'!T$40:T$46,'KM POR UNIDAD'!E57,'HERNANDEZ LICANO JOSE LUIS'!#REF!)+SUMIF('CARRERA REYES MARTIN SEBASTIAN'!T$41:T$47,'KM POR UNIDAD'!E57,'CARRERA REYES MARTIN SEBASTIAN'!Y$41:Y$47)+SUMIF('RUIZ SAUCEDO DANIEL ALEJANDRO'!T$40:T$46,'KM POR UNIDAD'!E57,'RUIZ SAUCEDO DANIEL ALEJANDRO'!Y$40:Y$46)+SUMIF('MARTINEZ RAMIREZ ROSALIO'!T$40:T$46,'KM POR UNIDAD'!E57,'MARTINEZ RAMIREZ ROSALIO'!Y$40:Y$46)+SUMIF('BALLEZA RAMIREZ JESUS JOSE'!T$40:T$46,'KM POR UNIDAD'!E57,'BALLEZA RAMIREZ JESUS JOSE'!T$176:T$180)+SUMIF('MONTERO BURROLA LUIS'!T$38:T$44,'KM POR UNIDAD'!E57,'MONTERO BURROLA LUIS'!Y$38:Y$44)+SUMIF('AGUILERA CONTRERAS LUIS GERARDO'!T$41:T$47,'KM POR UNIDAD'!E57,'AGUILERA CONTRERAS LUIS GERARDO'!Y$41:Y$47)+SUMIF('MORALES LOPEZ DE LARA MARIANO'!T$40:T$46,'KM POR UNIDAD'!E57,'MORALES LOPEZ DE LARA MARIANO'!Y$40:Y$46)+SUMIF('MELENDEZ SINALOA MANUEL ARAT'!T$40:T$46,'KM POR UNIDAD'!E57,'MELENDEZ SINALOA MANUEL ARAT'!#REF!)+SUMIF('MORALES LECHUGA GONZALO'!T$40:T$46,'KM POR UNIDAD'!E57,'MORALES LECHUGA GONZALO'!Y$40:Y$46)+SUMIF('ORONA BECERRA MAURO JOSE'!T$40:T$46,'KM POR UNIDAD'!E57,'ORONA BECERRA MAURO JOSE'!Y$40:Y$46)+SUMIF('VALLES HERNANDEZ MANUEL MARCELI'!T$39:T$45,'KM POR UNIDAD'!E57,'VALLES HERNANDEZ MANUEL MARCELI'!Y$39:Y$45)+SUMIF('ORTIZ RAMIREZ HECTOR MANUEL'!T$40:T$46,'KM POR UNIDAD'!E57,'ORTIZ RAMIREZ HECTOR MANUEL'!Y$40:Y$46)+SUMIF('ONTIVEROS LIRA JUAN'!T$40:T$46,'KM POR UNIDAD'!E57,'ONTIVEROS LIRA JUAN'!Y$40:Y$46)+SUMIF('RODRIGUEZ FLORES BRYAN DARIO'!T$40:T$46,'KM POR UNIDAD'!E57,'RODRIGUEZ FLORES BRYAN DARIO'!Y$40:Y$46)+SUMIF('NUÑEZ RUIZ IRVING JAVIER.'!T$42:T$48,'KM POR UNIDAD'!E57,'NUÑEZ RUIZ IRVING JAVIER.'!Y$42:Y$48)+SUMIF('MACHADO MAZUCA ADOLFO'!T$40:T$46,'KM POR UNIDAD'!E57,'MACHADO MAZUCA ADOLFO'!Y$40:Y$46)+SUMIF('LIRA ARCEO JOEL EDUARDO'!T$40:T$46,'KM POR UNIDAD'!E57,'LIRA ARCEO JOEL EDUARDO'!Y$41:Y$46)+SUMIF('ANCHONDO ROMERO CESAR ALEJANDRO'!T$40:T$46,'KM POR UNIDAD'!E57,'ANCHONDO ROMERO CESAR ALEJANDRO'!Y$40:Y$46)</f>
        <v>#REF!</v>
      </c>
      <c r="G57" s="146"/>
    </row>
    <row r="58" spans="1:9" x14ac:dyDescent="0.25">
      <c r="A58" s="143" t="s">
        <v>254</v>
      </c>
      <c r="B58" s="144">
        <f>+SUMIF('AGUILAR ESQUIVEL CARLOS'!P$40:P$46,'KM POR UNIDAD'!A58,'AGUILAR ESQUIVEL CARLOS'!U$40:U$46)+SUMIF('AGUILAR RODRIGUEZ JORGE ALONSO'!P$40:P$46,'KM POR UNIDAD'!A58,'AGUILAR RODRIGUEZ JORGE ALONSO'!U$40:U$46)+SUMIF('REYES LARA DANTE'!P$40:P$46,'KM POR UNIDAD'!A58,'REYES LARA DANTE'!U$40:U$46)+SUMIF('RAMIREZ BAUTISTA ADRIAN'!P$40:P$46,'KM POR UNIDAD'!A58,'RAMIREZ BAUTISTA ADRIAN'!U$40:U$46)+SUMIF('FLORES BOJORQUEZ BRYAN OVED'!P$40:P$46,'KM POR UNIDAD'!A58,'FLORES BOJORQUEZ BRYAN OVED'!U$40:U$46)+SUMIF('BALDERRAMA ROBLES JORGE'!P$40:P$46,'KM POR UNIDAD'!A58,'BALDERRAMA ROBLES JORGE'!U$40:U$46)+SUMIF('BURGOS TORRES RIGOBERTO'!P$39:P$45,'KM POR UNIDAD'!A58,'BURGOS TORRES RIGOBERTO'!U$39:U$45)+SUMIF('CORDOVA URIBE JOSE  ADRIAN'!P$40:P$46,'KM POR UNIDAD'!A58,'CORDOVA URIBE JOSE  ADRIAN'!U$40:U$46)+SUMIF('GUZMAN CHAPARRO PEDRO'!P$40:P$46,'KM POR UNIDAD'!A58,'GUZMAN CHAPARRO PEDRO'!U$40:U$46)+SUMIF('HERNANDEZ LICANO JOSE LUIS'!P$40:P$46,'KM POR UNIDAD'!A58,'HERNANDEZ LICANO JOSE LUIS'!U$40:U$46)+SUMIF('CARRERA REYES MARTIN SEBASTIAN'!P$41:P$47,'KM POR UNIDAD'!A58,'CARRERA REYES MARTIN SEBASTIAN'!U$41:U$47)+SUMIF('RUIZ SAUCEDO DANIEL ALEJANDRO'!P$40:P$46,'KM POR UNIDAD'!A58,'RUIZ SAUCEDO DANIEL ALEJANDRO'!U$40:U$46)+SUMIF('MARTINEZ RAMIREZ ROSALIO'!P$40:P$46,'KM POR UNIDAD'!A58,'MARTINEZ RAMIREZ ROSALIO'!U$40:U$46)+SUMIF('BALLEZA RAMIREZ JESUS JOSE'!P$40:P$46,'KM POR UNIDAD'!A58,'BALLEZA RAMIREZ JESUS JOSE'!U$40:U$46)+SUMIF('MONTERO BURROLA LUIS'!P$38:P$44,'KM POR UNIDAD'!A58,'MONTERO BURROLA LUIS'!U$38:U$44)+SUMIF('AGUILERA CONTRERAS LUIS GERARDO'!P$41:P$47,'KM POR UNIDAD'!A58,'AGUILERA CONTRERAS LUIS GERARDO'!U$41:U$47)+SUMIF('MORALES LOPEZ DE LARA MARIANO'!P$40:P$46,'KM POR UNIDAD'!A58,'MORALES LOPEZ DE LARA MARIANO'!U$40:U$46)+SUMIF('MELENDEZ SINALOA MANUEL ARAT'!P$40:P$46,'KM POR UNIDAD'!A58,'MELENDEZ SINALOA MANUEL ARAT'!U$40:U$46)+SUMIF('MORALES LECHUGA GONZALO'!P$40:P$46,'KM POR UNIDAD'!A58,'MORALES LECHUGA GONZALO'!U$40:U$46)+SUMIF('ORONA BECERRA MAURO JOSE'!P$40:P$46,'KM POR UNIDAD'!A58,'ORONA BECERRA MAURO JOSE'!U$40:U$46)+SUMIF('VALLES HERNANDEZ MANUEL MARCELI'!P$39:P$45,'KM POR UNIDAD'!A58,'VALLES HERNANDEZ MANUEL MARCELI'!U$39:U$45)+SUMIF('ORTIZ RAMIREZ HECTOR MANUEL'!P$40:P$46,'KM POR UNIDAD'!A58,'ORTIZ RAMIREZ HECTOR MANUEL'!U$40:U$46)+SUMIF('ONTIVEROS LIRA JUAN'!P$40:P$46,'KM POR UNIDAD'!A58,'ONTIVEROS LIRA JUAN'!U$40:U$46)+SUMIF('RODRIGUEZ FLORES BRYAN DARIO'!P$40:P$46,'KM POR UNIDAD'!A58,'RODRIGUEZ FLORES BRYAN DARIO'!U$40:U$46)+SUMIF('NUÑEZ RUIZ IRVING JAVIER.'!P$42:P$48,'KM POR UNIDAD'!A58,'NUÑEZ RUIZ IRVING JAVIER.'!U$42:U$48)+SUMIF('MACHADO MAZUCA ADOLFO'!P$40:P$46,'KM POR UNIDAD'!A58,'MACHADO MAZUCA ADOLFO'!U$40:U$46)+SUMIF('LIRA ARCEO JOEL EDUARDO'!P$40:P$46,'KM POR UNIDAD'!A58,'LIRA ARCEO JOEL EDUARDO'!U$40:U$46)+SUMIF('ANCHONDO ROMERO CESAR ALEJANDRO'!P$40:P$46,'KM POR UNIDAD'!A58,'ANCHONDO ROMERO CESAR ALEJANDRO'!U$40:U$46)</f>
        <v>0</v>
      </c>
      <c r="C58" s="150">
        <f ca="1">+SUMIF('AGUILAR ESQUIVEL CARLOS'!P$40:P$46,'KM POR UNIDAD'!A58,'AGUILAR ESQUIVEL CARLOS'!T$40:T$46)+SUMIF('AGUILAR RODRIGUEZ JORGE ALONSO'!P$40:P$46,'KM POR UNIDAD'!A58,'AGUILAR RODRIGUEZ JORGE ALONSO'!T$40:T$46)+SUMIF('REYES LARA DANTE'!P$40:P$46,'KM POR UNIDAD'!A58,'REYES LARA DANTE'!T$40:T$46)+SUMIF('RAMIREZ BAUTISTA ADRIAN'!P$40:P$46,'KM POR UNIDAD'!A58,'RAMIREZ BAUTISTA ADRIAN'!T$40:T$46)+SUMIF('FLORES BOJORQUEZ BRYAN OVED'!P$40:P$46,'KM POR UNIDAD'!A58,'FLORES BOJORQUEZ BRYAN OVED'!T$40:T$46)+SUMIF('BALDERRAMA ROBLES JORGE'!P$40:P$46,'KM POR UNIDAD'!A58,'BALDERRAMA ROBLES JORGE'!T$40:T$46)+SUMIF('BURGOS TORRES RIGOBERTO'!P$39:P$45,'KM POR UNIDAD'!A58,'BURGOS TORRES RIGOBERTO'!T$39:T$45)+SUMIF('CORDOVA URIBE JOSE  ADRIAN'!P$40:P$46,'KM POR UNIDAD'!A58,'CORDOVA URIBE JOSE  ADRIAN'!T$40:T$46)+SUMIF('GUZMAN CHAPARRO PEDRO'!P$40:P$46,'KM POR UNIDAD'!A58,'GUZMAN CHAPARRO PEDRO'!T$40:T$46)+SUMIF('HERNANDEZ LICANO JOSE LUIS'!P$40:P$46,'KM POR UNIDAD'!A58,'HERNANDEZ LICANO JOSE LUIS'!T$40:T$46)+SUMIF('CARRERA REYES MARTIN SEBASTIAN'!P$41:P$47,'KM POR UNIDAD'!A58,'CARRERA REYES MARTIN SEBASTIAN'!T$41:T$47)+SUMIF('RUIZ SAUCEDO DANIEL ALEJANDRO'!P$40:P$46,'KM POR UNIDAD'!A58,'RUIZ SAUCEDO DANIEL ALEJANDRO'!T$40:T$46)+SUMIF('MARTINEZ RAMIREZ ROSALIO'!P$40:P$46,'KM POR UNIDAD'!A58,'MARTINEZ RAMIREZ ROSALIO'!T$40:T$46)+SUMIF('BALLEZA RAMIREZ JESUS JOSE'!P$40:P$46,'KM POR UNIDAD'!A58,'BALLEZA RAMIREZ JESUS JOSE'!T$40:T$46)+SUMIF('MONTERO BURROLA LUIS'!P$38:P$44,'KM POR UNIDAD'!A58,'MONTERO BURROLA LUIS'!T$38:T$44)+SUMIF('AGUILERA CONTRERAS LUIS GERARDO'!P$41:P$47,'KM POR UNIDAD'!A58,'AGUILERA CONTRERAS LUIS GERARDO'!T$41:T$47)+SUMIF('MORALES LOPEZ DE LARA MARIANO'!P$40:P$46,'KM POR UNIDAD'!A58,'MORALES LOPEZ DE LARA MARIANO'!T$40:T$46)+SUMIF('MELENDEZ SINALOA MANUEL ARAT'!P$40:P$46,'KM POR UNIDAD'!A58,'MELENDEZ SINALOA MANUEL ARAT'!T$40:T$46)+SUMIF('MORALES LECHUGA GONZALO'!P$40:P$46,'KM POR UNIDAD'!A58,'MORALES LECHUGA GONZALO'!T$40:T$46)+SUMIF('ORONA BECERRA MAURO JOSE'!P$40:P$46,'KM POR UNIDAD'!A58,'ORONA BECERRA MAURO JOSE'!T$40:T$46)+SUMIF('VALLES HERNANDEZ MANUEL MARCELI'!P$39:P$45,'KM POR UNIDAD'!A58,'VALLES HERNANDEZ MANUEL MARCELI'!T$39:T$45)+SUMIF('ORTIZ RAMIREZ HECTOR MANUEL'!P$40:P$46,'KM POR UNIDAD'!A58,'ORTIZ RAMIREZ HECTOR MANUEL'!T$40:T$46)+SUMIF('ONTIVEROS LIRA JUAN'!P$40:P$446,'KM POR UNIDAD'!A58,'ONTIVEROS LIRA JUAN'!T$40:T$46)+SUMIF('RODRIGUEZ FLORES BRYAN DARIO'!P$40:P$46,'KM POR UNIDAD'!A58,'RODRIGUEZ FLORES BRYAN DARIO'!T$40:T$46)+SUMIF('NUÑEZ RUIZ IRVING JAVIER.'!P$42:P$48,'KM POR UNIDAD'!A58,'NUÑEZ RUIZ IRVING JAVIER.'!T$42:T$48)+SUMIF('MACHADO MAZUCA ADOLFO'!P$40:P$46,'KM POR UNIDAD'!A58,'MACHADO MAZUCA ADOLFO'!T$40:T$46)+SUMIF('LIRA ARCEO JOEL EDUARDO'!P$40:P$46,'KM POR UNIDAD'!A58,'LIRA ARCEO JOEL EDUARDO'!T$40:T$46)+SUMIF('ANCHONDO ROMERO CESAR ALEJANDRO'!P$40:P$46,'KM POR UNIDAD'!A58,'ANCHONDO ROMERO CESAR ALEJANDRO'!T$40:T$46)</f>
        <v>0</v>
      </c>
      <c r="D58" s="150">
        <f>+SUMIF('AGUILAR ESQUIVEL CARLOS'!P$40:P$46,'KM POR UNIDAD'!A58,'AGUILAR ESQUIVEL CARLOS'!V$40:V$46)+SUMIF('AGUILAR RODRIGUEZ JORGE ALONSO'!P$40:P$46,'KM POR UNIDAD'!A58,'AGUILAR RODRIGUEZ JORGE ALONSO'!V$40:V$46)+SUMIF('REYES LARA DANTE'!P$40:P$46,'KM POR UNIDAD'!A58,'REYES LARA DANTE'!V$40:V$46)+SUMIF('RAMIREZ BAUTISTA ADRIAN'!P$40:P$46,'KM POR UNIDAD'!A58,'RAMIREZ BAUTISTA ADRIAN'!V$40:V$46)+SUMIF('FLORES BOJORQUEZ BRYAN OVED'!P$40:P$46,'KM POR UNIDAD'!A58,'FLORES BOJORQUEZ BRYAN OVED'!V$40:V$46)+SUMIF('BALDERRAMA ROBLES JORGE'!P$40:P$46,'KM POR UNIDAD'!A58,'BALDERRAMA ROBLES JORGE'!V$40:V$46)+SUMIF('BURGOS TORRES RIGOBERTO'!P$39:P$45,'KM POR UNIDAD'!A58,'BURGOS TORRES RIGOBERTO'!V$39:V$45)+SUMIF('CORDOVA URIBE JOSE  ADRIAN'!P$40:P$46,'KM POR UNIDAD'!A58,'CORDOVA URIBE JOSE  ADRIAN'!V$40:V$46)+SUMIF('GUZMAN CHAPARRO PEDRO'!P$40:P$46,'KM POR UNIDAD'!A58,'GUZMAN CHAPARRO PEDRO'!V$40:V$46)+SUMIF('HERNANDEZ LICANO JOSE LUIS'!P$40:P$46,'KM POR UNIDAD'!A58,'HERNANDEZ LICANO JOSE LUIS'!V$40:V$46)+SUMIF('CARRERA REYES MARTIN SEBASTIAN'!P$41:P$47,'KM POR UNIDAD'!A58,'CARRERA REYES MARTIN SEBASTIAN'!V$41:V$47)+SUMIF('RUIZ SAUCEDO DANIEL ALEJANDRO'!P$40:P$46,'KM POR UNIDAD'!A58,'RUIZ SAUCEDO DANIEL ALEJANDRO'!V$40:V$46)+SUMIF('MARTINEZ RAMIREZ ROSALIO'!P$40:P$46,'KM POR UNIDAD'!A58,'MARTINEZ RAMIREZ ROSALIO'!V$40:V$46)+SUMIF('BALLEZA RAMIREZ JESUS JOSE'!P$40:P$46,'KM POR UNIDAD'!A58,'BALLEZA RAMIREZ JESUS JOSE'!V$40:V$46)+SUMIF('MONTERO BURROLA LUIS'!P$38:P$44,'KM POR UNIDAD'!A58,'MONTERO BURROLA LUIS'!V$38:V$44)+SUMIF('AGUILERA CONTRERAS LUIS GERARDO'!P$41:P$47,'KM POR UNIDAD'!A58,'AGUILERA CONTRERAS LUIS GERARDO'!V$41:V$47)+SUMIF('MORALES LOPEZ DE LARA MARIANO'!P$40:P$46,'KM POR UNIDAD'!A58,'MORALES LOPEZ DE LARA MARIANO'!V$40:V$46)+SUMIF('MELENDEZ SINALOA MANUEL ARAT'!P$40:P$46,'KM POR UNIDAD'!A58,'MELENDEZ SINALOA MANUEL ARAT'!V$40:V$46)+SUMIF('MORALES LECHUGA GONZALO'!P$40:P$46,'KM POR UNIDAD'!A58,'MORALES LECHUGA GONZALO'!V$40:V$46)+SUMIF('ORONA BECERRA MAURO JOSE'!P$40:P$46,'KM POR UNIDAD'!A58,'ORONA BECERRA MAURO JOSE'!V$40:V$46)+SUMIF('VALLES HERNANDEZ MANUEL MARCELI'!P$39:P$45,'KM POR UNIDAD'!A58,'VALLES HERNANDEZ MANUEL MARCELI'!V$39:V$45)+SUMIF('ORTIZ RAMIREZ HECTOR MANUEL'!P$40:P$46,'KM POR UNIDAD'!A58,'ORTIZ RAMIREZ HECTOR MANUEL'!V$40:V$46)+SUMIF('ONTIVEROS LIRA JUAN'!P$40:P$46,'KM POR UNIDAD'!A58,'ONTIVEROS LIRA JUAN'!V$40:V$46)+SUMIF('RODRIGUEZ FLORES BRYAN DARIO'!P$40:P$46,'KM POR UNIDAD'!A58,'RODRIGUEZ FLORES BRYAN DARIO'!V$40:V$46)+SUMIF('NUÑEZ RUIZ IRVING JAVIER.'!P$42:P$48,'KM POR UNIDAD'!A58,'NUÑEZ RUIZ IRVING JAVIER.'!V$42:V$48)+SUMIF('MACHADO MAZUCA ADOLFO'!P$40:P$46,'KM POR UNIDAD'!A58,'MACHADO MAZUCA ADOLFO'!V$40:V$46)+SUMIF('LIRA ARCEO JOEL EDUARDO'!P$40:P$46,'KM POR UNIDAD'!A58,'LIRA ARCEO JOEL EDUARDO'!V$40:V$46)+SUMIF('ANCHONDO ROMERO CESAR ALEJANDRO'!P$40:P$46,'KM POR UNIDAD'!A58,'ANCHONDO ROMERO CESAR ALEJANDRO'!V$40:V$46)</f>
        <v>0</v>
      </c>
      <c r="E58" s="145">
        <f t="shared" si="0"/>
        <v>0</v>
      </c>
      <c r="F58" s="144" t="e">
        <f ca="1">+SUMIF('AGUILAR ESQUIVEL CARLOS'!P$40:P$46,'KM POR UNIDAD'!A58,'AGUILAR ESQUIVEL CARLOS'!W$40:W$46)+SUMIF('AGUILAR RODRIGUEZ JORGE ALONSO'!P$40:P$46,'KM POR UNIDAD'!A58,'AGUILAR RODRIGUEZ JORGE ALONSO'!W$40:W$46)+SUMIF('REYES LARA DANTE'!T$40:T$46,'KM POR UNIDAD'!A58,'REYES LARA DANTE'!Y$40:Y$46)+SUMIF('RAMIREZ BAUTISTA ADRIAN'!T$40:T$46,'KM POR UNIDAD'!A58,'RAMIREZ BAUTISTA ADRIAN'!Y$40:Y$46)+SUMIF('FLORES BOJORQUEZ BRYAN OVED'!T$40:T$46,'KM POR UNIDAD'!A58,'FLORES BOJORQUEZ BRYAN OVED'!Y$40:Y$46)+SUMIF('BALDERRAMA ROBLES JORGE'!T$40:T$46,'KM POR UNIDAD'!A58,'BALDERRAMA ROBLES JORGE'!#REF!)+SUMIF('BURGOS TORRES RIGOBERTO'!T$39:T$45,'KM POR UNIDAD'!A58,'BURGOS TORRES RIGOBERTO'!Y$39:Y$45)+SUMIF('CORDOVA URIBE JOSE  ADRIAN'!T$40:T$46,'KM POR UNIDAD'!E58,'CORDOVA URIBE JOSE  ADRIAN'!Y$40:Y$46)+SUMIF('GUZMAN CHAPARRO PEDRO'!T$40:T$46,'KM POR UNIDAD'!E58,'GUZMAN CHAPARRO PEDRO'!Y$40:Y$46)+SUMIF('HERNANDEZ LICANO JOSE LUIS'!T$40:T$46,'KM POR UNIDAD'!E58,'HERNANDEZ LICANO JOSE LUIS'!#REF!)+SUMIF('CARRERA REYES MARTIN SEBASTIAN'!T$41:T$47,'KM POR UNIDAD'!E58,'CARRERA REYES MARTIN SEBASTIAN'!Y$41:Y$47)+SUMIF('RUIZ SAUCEDO DANIEL ALEJANDRO'!T$40:T$46,'KM POR UNIDAD'!E58,'RUIZ SAUCEDO DANIEL ALEJANDRO'!Y$40:Y$46)+SUMIF('MARTINEZ RAMIREZ ROSALIO'!T$40:T$46,'KM POR UNIDAD'!E58,'MARTINEZ RAMIREZ ROSALIO'!Y$40:Y$46)+SUMIF('BALLEZA RAMIREZ JESUS JOSE'!T$40:T$46,'KM POR UNIDAD'!E58,'BALLEZA RAMIREZ JESUS JOSE'!T$176:T$180)+SUMIF('MONTERO BURROLA LUIS'!T$38:T$44,'KM POR UNIDAD'!E58,'MONTERO BURROLA LUIS'!Y$38:Y$44)+SUMIF('AGUILERA CONTRERAS LUIS GERARDO'!T$41:T$47,'KM POR UNIDAD'!E58,'AGUILERA CONTRERAS LUIS GERARDO'!Y$41:Y$47)+SUMIF('MORALES LOPEZ DE LARA MARIANO'!T$40:T$46,'KM POR UNIDAD'!E58,'MORALES LOPEZ DE LARA MARIANO'!Y$40:Y$46)+SUMIF('MELENDEZ SINALOA MANUEL ARAT'!T$40:T$46,'KM POR UNIDAD'!E58,'MELENDEZ SINALOA MANUEL ARAT'!#REF!)+SUMIF('MORALES LECHUGA GONZALO'!T$40:T$46,'KM POR UNIDAD'!E58,'MORALES LECHUGA GONZALO'!Y$40:Y$46)+SUMIF('ORONA BECERRA MAURO JOSE'!T$40:T$46,'KM POR UNIDAD'!E58,'ORONA BECERRA MAURO JOSE'!Y$40:Y$46)+SUMIF('VALLES HERNANDEZ MANUEL MARCELI'!T$39:T$45,'KM POR UNIDAD'!E58,'VALLES HERNANDEZ MANUEL MARCELI'!Y$39:Y$45)+SUMIF('ORTIZ RAMIREZ HECTOR MANUEL'!T$40:T$46,'KM POR UNIDAD'!E58,'ORTIZ RAMIREZ HECTOR MANUEL'!Y$40:Y$46)+SUMIF('ONTIVEROS LIRA JUAN'!T$40:T$46,'KM POR UNIDAD'!E58,'ONTIVEROS LIRA JUAN'!Y$40:Y$46)+SUMIF('RODRIGUEZ FLORES BRYAN DARIO'!T$40:T$46,'KM POR UNIDAD'!E58,'RODRIGUEZ FLORES BRYAN DARIO'!Y$40:Y$46)+SUMIF('NUÑEZ RUIZ IRVING JAVIER.'!T$42:T$48,'KM POR UNIDAD'!E58,'NUÑEZ RUIZ IRVING JAVIER.'!Y$42:Y$48)+SUMIF('MACHADO MAZUCA ADOLFO'!T$40:T$46,'KM POR UNIDAD'!E58,'MACHADO MAZUCA ADOLFO'!Y$40:Y$46)+SUMIF('LIRA ARCEO JOEL EDUARDO'!T$40:T$46,'KM POR UNIDAD'!E58,'LIRA ARCEO JOEL EDUARDO'!Y$41:Y$46)+SUMIF('ANCHONDO ROMERO CESAR ALEJANDRO'!T$40:T$46,'KM POR UNIDAD'!E58,'ANCHONDO ROMERO CESAR ALEJANDRO'!Y$40:Y$46)</f>
        <v>#REF!</v>
      </c>
      <c r="G58" s="146"/>
    </row>
    <row r="59" spans="1:9" x14ac:dyDescent="0.25">
      <c r="A59" s="143" t="s">
        <v>255</v>
      </c>
      <c r="B59" s="144">
        <f>+SUMIF('AGUILAR ESQUIVEL CARLOS'!P$40:P$46,'KM POR UNIDAD'!A59,'AGUILAR ESQUIVEL CARLOS'!U$40:U$46)+SUMIF('AGUILAR RODRIGUEZ JORGE ALONSO'!P$40:P$46,'KM POR UNIDAD'!A59,'AGUILAR RODRIGUEZ JORGE ALONSO'!U$40:U$46)+SUMIF('REYES LARA DANTE'!P$40:P$46,'KM POR UNIDAD'!A59,'REYES LARA DANTE'!U$40:U$46)+SUMIF('RAMIREZ BAUTISTA ADRIAN'!P$40:P$46,'KM POR UNIDAD'!A59,'RAMIREZ BAUTISTA ADRIAN'!U$40:U$46)+SUMIF('FLORES BOJORQUEZ BRYAN OVED'!P$40:P$46,'KM POR UNIDAD'!A59,'FLORES BOJORQUEZ BRYAN OVED'!U$40:U$46)+SUMIF('BALDERRAMA ROBLES JORGE'!P$40:P$46,'KM POR UNIDAD'!A59,'BALDERRAMA ROBLES JORGE'!U$40:U$46)+SUMIF('BURGOS TORRES RIGOBERTO'!P$39:P$45,'KM POR UNIDAD'!A59,'BURGOS TORRES RIGOBERTO'!U$39:U$45)+SUMIF('CORDOVA URIBE JOSE  ADRIAN'!P$40:P$46,'KM POR UNIDAD'!A59,'CORDOVA URIBE JOSE  ADRIAN'!U$40:U$46)+SUMIF('GUZMAN CHAPARRO PEDRO'!P$40:P$46,'KM POR UNIDAD'!A59,'GUZMAN CHAPARRO PEDRO'!U$40:U$46)+SUMIF('HERNANDEZ LICANO JOSE LUIS'!P$40:P$46,'KM POR UNIDAD'!A59,'HERNANDEZ LICANO JOSE LUIS'!U$40:U$46)+SUMIF('CARRERA REYES MARTIN SEBASTIAN'!P$41:P$47,'KM POR UNIDAD'!A59,'CARRERA REYES MARTIN SEBASTIAN'!U$41:U$47)+SUMIF('RUIZ SAUCEDO DANIEL ALEJANDRO'!P$40:P$46,'KM POR UNIDAD'!A59,'RUIZ SAUCEDO DANIEL ALEJANDRO'!U$40:U$46)+SUMIF('MARTINEZ RAMIREZ ROSALIO'!P$40:P$46,'KM POR UNIDAD'!A59,'MARTINEZ RAMIREZ ROSALIO'!U$40:U$46)+SUMIF('BALLEZA RAMIREZ JESUS JOSE'!P$40:P$46,'KM POR UNIDAD'!A59,'BALLEZA RAMIREZ JESUS JOSE'!U$40:U$46)+SUMIF('MONTERO BURROLA LUIS'!P$38:P$44,'KM POR UNIDAD'!A59,'MONTERO BURROLA LUIS'!U$38:U$44)+SUMIF('AGUILERA CONTRERAS LUIS GERARDO'!P$41:P$47,'KM POR UNIDAD'!A59,'AGUILERA CONTRERAS LUIS GERARDO'!U$41:U$47)+SUMIF('MORALES LOPEZ DE LARA MARIANO'!P$40:P$46,'KM POR UNIDAD'!A59,'MORALES LOPEZ DE LARA MARIANO'!U$40:U$46)+SUMIF('MELENDEZ SINALOA MANUEL ARAT'!P$40:P$46,'KM POR UNIDAD'!A59,'MELENDEZ SINALOA MANUEL ARAT'!U$40:U$46)+SUMIF('MORALES LECHUGA GONZALO'!P$40:P$46,'KM POR UNIDAD'!A59,'MORALES LECHUGA GONZALO'!U$40:U$46)+SUMIF('ORONA BECERRA MAURO JOSE'!P$40:P$46,'KM POR UNIDAD'!A59,'ORONA BECERRA MAURO JOSE'!U$40:U$46)+SUMIF('VALLES HERNANDEZ MANUEL MARCELI'!P$39:P$45,'KM POR UNIDAD'!A59,'VALLES HERNANDEZ MANUEL MARCELI'!U$39:U$45)+SUMIF('ORTIZ RAMIREZ HECTOR MANUEL'!P$40:P$46,'KM POR UNIDAD'!A59,'ORTIZ RAMIREZ HECTOR MANUEL'!U$40:U$46)+SUMIF('ONTIVEROS LIRA JUAN'!P$40:P$46,'KM POR UNIDAD'!A59,'ONTIVEROS LIRA JUAN'!U$40:U$46)+SUMIF('RODRIGUEZ FLORES BRYAN DARIO'!P$40:P$46,'KM POR UNIDAD'!A59,'RODRIGUEZ FLORES BRYAN DARIO'!U$40:U$46)+SUMIF('NUÑEZ RUIZ IRVING JAVIER.'!P$42:P$48,'KM POR UNIDAD'!A59,'NUÑEZ RUIZ IRVING JAVIER.'!U$42:U$48)+SUMIF('MACHADO MAZUCA ADOLFO'!P$40:P$46,'KM POR UNIDAD'!A59,'MACHADO MAZUCA ADOLFO'!U$40:U$46)+SUMIF('LIRA ARCEO JOEL EDUARDO'!P$40:P$46,'KM POR UNIDAD'!A59,'LIRA ARCEO JOEL EDUARDO'!U$40:U$46)+SUMIF('ANCHONDO ROMERO CESAR ALEJANDRO'!P$40:P$46,'KM POR UNIDAD'!A59,'ANCHONDO ROMERO CESAR ALEJANDRO'!U$40:U$46)</f>
        <v>0</v>
      </c>
      <c r="C59" s="150">
        <f ca="1">+SUMIF('AGUILAR ESQUIVEL CARLOS'!P$40:P$46,'KM POR UNIDAD'!A59,'AGUILAR ESQUIVEL CARLOS'!T$40:T$46)+SUMIF('AGUILAR RODRIGUEZ JORGE ALONSO'!P$40:P$46,'KM POR UNIDAD'!A59,'AGUILAR RODRIGUEZ JORGE ALONSO'!T$40:T$46)+SUMIF('REYES LARA DANTE'!P$40:P$46,'KM POR UNIDAD'!A59,'REYES LARA DANTE'!T$40:T$46)+SUMIF('RAMIREZ BAUTISTA ADRIAN'!P$40:P$46,'KM POR UNIDAD'!A59,'RAMIREZ BAUTISTA ADRIAN'!T$40:T$46)+SUMIF('FLORES BOJORQUEZ BRYAN OVED'!P$40:P$46,'KM POR UNIDAD'!A59,'FLORES BOJORQUEZ BRYAN OVED'!T$40:T$46)+SUMIF('BALDERRAMA ROBLES JORGE'!P$40:P$46,'KM POR UNIDAD'!A59,'BALDERRAMA ROBLES JORGE'!T$40:T$46)+SUMIF('BURGOS TORRES RIGOBERTO'!P$39:P$45,'KM POR UNIDAD'!A59,'BURGOS TORRES RIGOBERTO'!T$39:T$45)+SUMIF('CORDOVA URIBE JOSE  ADRIAN'!P$40:P$46,'KM POR UNIDAD'!A59,'CORDOVA URIBE JOSE  ADRIAN'!T$40:T$46)+SUMIF('GUZMAN CHAPARRO PEDRO'!P$40:P$46,'KM POR UNIDAD'!A59,'GUZMAN CHAPARRO PEDRO'!T$40:T$46)+SUMIF('HERNANDEZ LICANO JOSE LUIS'!P$40:P$46,'KM POR UNIDAD'!A59,'HERNANDEZ LICANO JOSE LUIS'!T$40:T$46)+SUMIF('CARRERA REYES MARTIN SEBASTIAN'!P$41:P$47,'KM POR UNIDAD'!A59,'CARRERA REYES MARTIN SEBASTIAN'!T$41:T$47)+SUMIF('RUIZ SAUCEDO DANIEL ALEJANDRO'!P$40:P$46,'KM POR UNIDAD'!A59,'RUIZ SAUCEDO DANIEL ALEJANDRO'!T$40:T$46)+SUMIF('MARTINEZ RAMIREZ ROSALIO'!P$40:P$46,'KM POR UNIDAD'!A59,'MARTINEZ RAMIREZ ROSALIO'!T$40:T$46)+SUMIF('BALLEZA RAMIREZ JESUS JOSE'!P$40:P$46,'KM POR UNIDAD'!A59,'BALLEZA RAMIREZ JESUS JOSE'!T$40:T$46)+SUMIF('MONTERO BURROLA LUIS'!P$38:P$44,'KM POR UNIDAD'!A59,'MONTERO BURROLA LUIS'!T$38:T$44)+SUMIF('AGUILERA CONTRERAS LUIS GERARDO'!P$41:P$47,'KM POR UNIDAD'!A59,'AGUILERA CONTRERAS LUIS GERARDO'!T$41:T$47)+SUMIF('MORALES LOPEZ DE LARA MARIANO'!P$40:P$46,'KM POR UNIDAD'!A59,'MORALES LOPEZ DE LARA MARIANO'!T$40:T$46)+SUMIF('MELENDEZ SINALOA MANUEL ARAT'!P$40:P$46,'KM POR UNIDAD'!A59,'MELENDEZ SINALOA MANUEL ARAT'!T$40:T$46)+SUMIF('MORALES LECHUGA GONZALO'!P$40:P$46,'KM POR UNIDAD'!A59,'MORALES LECHUGA GONZALO'!T$40:T$46)+SUMIF('ORONA BECERRA MAURO JOSE'!P$40:P$46,'KM POR UNIDAD'!A59,'ORONA BECERRA MAURO JOSE'!T$40:T$46)+SUMIF('VALLES HERNANDEZ MANUEL MARCELI'!P$39:P$45,'KM POR UNIDAD'!A59,'VALLES HERNANDEZ MANUEL MARCELI'!T$39:T$45)+SUMIF('ORTIZ RAMIREZ HECTOR MANUEL'!P$40:P$46,'KM POR UNIDAD'!A59,'ORTIZ RAMIREZ HECTOR MANUEL'!T$40:T$46)+SUMIF('ONTIVEROS LIRA JUAN'!P$40:P$446,'KM POR UNIDAD'!A59,'ONTIVEROS LIRA JUAN'!T$40:T$46)+SUMIF('RODRIGUEZ FLORES BRYAN DARIO'!P$40:P$46,'KM POR UNIDAD'!A59,'RODRIGUEZ FLORES BRYAN DARIO'!T$40:T$46)+SUMIF('NUÑEZ RUIZ IRVING JAVIER.'!P$42:P$48,'KM POR UNIDAD'!A59,'NUÑEZ RUIZ IRVING JAVIER.'!T$42:T$48)+SUMIF('MACHADO MAZUCA ADOLFO'!P$40:P$46,'KM POR UNIDAD'!A59,'MACHADO MAZUCA ADOLFO'!T$40:T$46)+SUMIF('LIRA ARCEO JOEL EDUARDO'!P$40:P$46,'KM POR UNIDAD'!A59,'LIRA ARCEO JOEL EDUARDO'!T$40:T$46)+SUMIF('ANCHONDO ROMERO CESAR ALEJANDRO'!P$40:P$46,'KM POR UNIDAD'!A59,'ANCHONDO ROMERO CESAR ALEJANDRO'!T$40:T$46)</f>
        <v>0</v>
      </c>
      <c r="D59" s="150">
        <f>+SUMIF('AGUILAR ESQUIVEL CARLOS'!P$40:P$46,'KM POR UNIDAD'!A59,'AGUILAR ESQUIVEL CARLOS'!V$40:V$46)+SUMIF('AGUILAR RODRIGUEZ JORGE ALONSO'!P$40:P$46,'KM POR UNIDAD'!A59,'AGUILAR RODRIGUEZ JORGE ALONSO'!V$40:V$46)+SUMIF('REYES LARA DANTE'!P$40:P$46,'KM POR UNIDAD'!A59,'REYES LARA DANTE'!V$40:V$46)+SUMIF('RAMIREZ BAUTISTA ADRIAN'!P$40:P$46,'KM POR UNIDAD'!A59,'RAMIREZ BAUTISTA ADRIAN'!V$40:V$46)+SUMIF('FLORES BOJORQUEZ BRYAN OVED'!P$40:P$46,'KM POR UNIDAD'!A59,'FLORES BOJORQUEZ BRYAN OVED'!V$40:V$46)+SUMIF('BALDERRAMA ROBLES JORGE'!P$40:P$46,'KM POR UNIDAD'!A59,'BALDERRAMA ROBLES JORGE'!V$40:V$46)+SUMIF('BURGOS TORRES RIGOBERTO'!P$39:P$45,'KM POR UNIDAD'!A59,'BURGOS TORRES RIGOBERTO'!V$39:V$45)+SUMIF('CORDOVA URIBE JOSE  ADRIAN'!P$40:P$46,'KM POR UNIDAD'!A59,'CORDOVA URIBE JOSE  ADRIAN'!V$40:V$46)+SUMIF('GUZMAN CHAPARRO PEDRO'!P$40:P$46,'KM POR UNIDAD'!A59,'GUZMAN CHAPARRO PEDRO'!V$40:V$46)+SUMIF('HERNANDEZ LICANO JOSE LUIS'!P$40:P$46,'KM POR UNIDAD'!A59,'HERNANDEZ LICANO JOSE LUIS'!V$40:V$46)+SUMIF('CARRERA REYES MARTIN SEBASTIAN'!P$41:P$47,'KM POR UNIDAD'!A59,'CARRERA REYES MARTIN SEBASTIAN'!V$41:V$47)+SUMIF('RUIZ SAUCEDO DANIEL ALEJANDRO'!P$40:P$46,'KM POR UNIDAD'!A59,'RUIZ SAUCEDO DANIEL ALEJANDRO'!V$40:V$46)+SUMIF('MARTINEZ RAMIREZ ROSALIO'!P$40:P$46,'KM POR UNIDAD'!A59,'MARTINEZ RAMIREZ ROSALIO'!V$40:V$46)+SUMIF('BALLEZA RAMIREZ JESUS JOSE'!P$40:P$46,'KM POR UNIDAD'!A59,'BALLEZA RAMIREZ JESUS JOSE'!V$40:V$46)+SUMIF('MONTERO BURROLA LUIS'!P$38:P$44,'KM POR UNIDAD'!A59,'MONTERO BURROLA LUIS'!V$38:V$44)+SUMIF('AGUILERA CONTRERAS LUIS GERARDO'!P$41:P$47,'KM POR UNIDAD'!A59,'AGUILERA CONTRERAS LUIS GERARDO'!V$41:V$47)+SUMIF('MORALES LOPEZ DE LARA MARIANO'!P$40:P$46,'KM POR UNIDAD'!A59,'MORALES LOPEZ DE LARA MARIANO'!V$40:V$46)+SUMIF('MELENDEZ SINALOA MANUEL ARAT'!P$40:P$46,'KM POR UNIDAD'!A59,'MELENDEZ SINALOA MANUEL ARAT'!V$40:V$46)+SUMIF('MORALES LECHUGA GONZALO'!P$40:P$46,'KM POR UNIDAD'!A59,'MORALES LECHUGA GONZALO'!V$40:V$46)+SUMIF('ORONA BECERRA MAURO JOSE'!P$40:P$46,'KM POR UNIDAD'!A59,'ORONA BECERRA MAURO JOSE'!V$40:V$46)+SUMIF('VALLES HERNANDEZ MANUEL MARCELI'!P$39:P$45,'KM POR UNIDAD'!A59,'VALLES HERNANDEZ MANUEL MARCELI'!V$39:V$45)+SUMIF('ORTIZ RAMIREZ HECTOR MANUEL'!P$40:P$46,'KM POR UNIDAD'!A59,'ORTIZ RAMIREZ HECTOR MANUEL'!V$40:V$46)+SUMIF('ONTIVEROS LIRA JUAN'!P$40:P$46,'KM POR UNIDAD'!A59,'ONTIVEROS LIRA JUAN'!V$40:V$46)+SUMIF('RODRIGUEZ FLORES BRYAN DARIO'!P$40:P$46,'KM POR UNIDAD'!A59,'RODRIGUEZ FLORES BRYAN DARIO'!V$40:V$46)+SUMIF('NUÑEZ RUIZ IRVING JAVIER.'!P$42:P$48,'KM POR UNIDAD'!A59,'NUÑEZ RUIZ IRVING JAVIER.'!V$42:V$48)+SUMIF('MACHADO MAZUCA ADOLFO'!P$40:P$46,'KM POR UNIDAD'!A59,'MACHADO MAZUCA ADOLFO'!V$40:V$46)+SUMIF('LIRA ARCEO JOEL EDUARDO'!P$40:P$46,'KM POR UNIDAD'!A59,'LIRA ARCEO JOEL EDUARDO'!V$40:V$46)+SUMIF('ANCHONDO ROMERO CESAR ALEJANDRO'!P$40:P$46,'KM POR UNIDAD'!A59,'ANCHONDO ROMERO CESAR ALEJANDRO'!V$40:V$46)</f>
        <v>0</v>
      </c>
      <c r="E59" s="145">
        <f t="shared" si="0"/>
        <v>0</v>
      </c>
      <c r="F59" s="144" t="e">
        <f ca="1">+SUMIF('AGUILAR ESQUIVEL CARLOS'!P$40:P$46,'KM POR UNIDAD'!A59,'AGUILAR ESQUIVEL CARLOS'!W$40:W$46)+SUMIF('AGUILAR RODRIGUEZ JORGE ALONSO'!P$40:P$46,'KM POR UNIDAD'!A59,'AGUILAR RODRIGUEZ JORGE ALONSO'!W$40:W$46)+SUMIF('REYES LARA DANTE'!T$40:T$46,'KM POR UNIDAD'!A59,'REYES LARA DANTE'!Y$40:Y$46)+SUMIF('RAMIREZ BAUTISTA ADRIAN'!T$40:T$46,'KM POR UNIDAD'!A59,'RAMIREZ BAUTISTA ADRIAN'!Y$40:Y$46)+SUMIF('FLORES BOJORQUEZ BRYAN OVED'!T$40:T$46,'KM POR UNIDAD'!A59,'FLORES BOJORQUEZ BRYAN OVED'!Y$40:Y$46)+SUMIF('BALDERRAMA ROBLES JORGE'!T$40:T$46,'KM POR UNIDAD'!A59,'BALDERRAMA ROBLES JORGE'!#REF!)+SUMIF('BURGOS TORRES RIGOBERTO'!T$39:T$45,'KM POR UNIDAD'!A59,'BURGOS TORRES RIGOBERTO'!Y$39:Y$45)+SUMIF('CORDOVA URIBE JOSE  ADRIAN'!T$40:T$46,'KM POR UNIDAD'!E59,'CORDOVA URIBE JOSE  ADRIAN'!Y$40:Y$46)+SUMIF('GUZMAN CHAPARRO PEDRO'!T$40:T$46,'KM POR UNIDAD'!E59,'GUZMAN CHAPARRO PEDRO'!Y$40:Y$46)+SUMIF('HERNANDEZ LICANO JOSE LUIS'!T$40:T$46,'KM POR UNIDAD'!E59,'HERNANDEZ LICANO JOSE LUIS'!#REF!)+SUMIF('CARRERA REYES MARTIN SEBASTIAN'!T$41:T$47,'KM POR UNIDAD'!E59,'CARRERA REYES MARTIN SEBASTIAN'!Y$41:Y$47)+SUMIF('RUIZ SAUCEDO DANIEL ALEJANDRO'!T$40:T$46,'KM POR UNIDAD'!E59,'RUIZ SAUCEDO DANIEL ALEJANDRO'!Y$40:Y$46)+SUMIF('MARTINEZ RAMIREZ ROSALIO'!T$40:T$46,'KM POR UNIDAD'!E59,'MARTINEZ RAMIREZ ROSALIO'!Y$40:Y$46)+SUMIF('BALLEZA RAMIREZ JESUS JOSE'!T$40:T$46,'KM POR UNIDAD'!E59,'BALLEZA RAMIREZ JESUS JOSE'!T$176:T$180)+SUMIF('MONTERO BURROLA LUIS'!T$38:T$44,'KM POR UNIDAD'!E59,'MONTERO BURROLA LUIS'!Y$38:Y$44)+SUMIF('AGUILERA CONTRERAS LUIS GERARDO'!T$41:T$47,'KM POR UNIDAD'!E59,'AGUILERA CONTRERAS LUIS GERARDO'!Y$41:Y$47)+SUMIF('MORALES LOPEZ DE LARA MARIANO'!T$40:T$46,'KM POR UNIDAD'!E59,'MORALES LOPEZ DE LARA MARIANO'!Y$40:Y$46)+SUMIF('MELENDEZ SINALOA MANUEL ARAT'!T$40:T$46,'KM POR UNIDAD'!E59,'MELENDEZ SINALOA MANUEL ARAT'!#REF!)+SUMIF('MORALES LECHUGA GONZALO'!T$40:T$46,'KM POR UNIDAD'!E59,'MORALES LECHUGA GONZALO'!Y$40:Y$46)+SUMIF('ORONA BECERRA MAURO JOSE'!T$40:T$46,'KM POR UNIDAD'!E59,'ORONA BECERRA MAURO JOSE'!Y$40:Y$46)+SUMIF('VALLES HERNANDEZ MANUEL MARCELI'!T$39:T$45,'KM POR UNIDAD'!E59,'VALLES HERNANDEZ MANUEL MARCELI'!Y$39:Y$45)+SUMIF('ORTIZ RAMIREZ HECTOR MANUEL'!T$40:T$46,'KM POR UNIDAD'!E59,'ORTIZ RAMIREZ HECTOR MANUEL'!Y$40:Y$46)+SUMIF('ONTIVEROS LIRA JUAN'!T$40:T$46,'KM POR UNIDAD'!E59,'ONTIVEROS LIRA JUAN'!Y$40:Y$46)+SUMIF('RODRIGUEZ FLORES BRYAN DARIO'!T$40:T$46,'KM POR UNIDAD'!E59,'RODRIGUEZ FLORES BRYAN DARIO'!Y$40:Y$46)+SUMIF('NUÑEZ RUIZ IRVING JAVIER.'!T$42:T$48,'KM POR UNIDAD'!E59,'NUÑEZ RUIZ IRVING JAVIER.'!Y$42:Y$48)+SUMIF('MACHADO MAZUCA ADOLFO'!T$40:T$46,'KM POR UNIDAD'!E59,'MACHADO MAZUCA ADOLFO'!Y$40:Y$46)+SUMIF('LIRA ARCEO JOEL EDUARDO'!T$40:T$46,'KM POR UNIDAD'!E59,'LIRA ARCEO JOEL EDUARDO'!Y$41:Y$46)+SUMIF('ANCHONDO ROMERO CESAR ALEJANDRO'!T$40:T$46,'KM POR UNIDAD'!E59,'ANCHONDO ROMERO CESAR ALEJANDRO'!Y$40:Y$46)</f>
        <v>#REF!</v>
      </c>
      <c r="G59" s="146"/>
    </row>
    <row r="60" spans="1:9" x14ac:dyDescent="0.25">
      <c r="A60" s="143" t="s">
        <v>256</v>
      </c>
      <c r="B60" s="144">
        <f>+SUMIF('AGUILAR ESQUIVEL CARLOS'!P$40:P$46,'KM POR UNIDAD'!A60,'AGUILAR ESQUIVEL CARLOS'!U$40:U$46)+SUMIF('AGUILAR RODRIGUEZ JORGE ALONSO'!P$40:P$46,'KM POR UNIDAD'!A60,'AGUILAR RODRIGUEZ JORGE ALONSO'!U$40:U$46)+SUMIF('REYES LARA DANTE'!P$40:P$46,'KM POR UNIDAD'!A60,'REYES LARA DANTE'!U$40:U$46)+SUMIF('RAMIREZ BAUTISTA ADRIAN'!P$40:P$46,'KM POR UNIDAD'!A60,'RAMIREZ BAUTISTA ADRIAN'!U$40:U$46)+SUMIF('FLORES BOJORQUEZ BRYAN OVED'!P$40:P$46,'KM POR UNIDAD'!A60,'FLORES BOJORQUEZ BRYAN OVED'!U$40:U$46)+SUMIF('BALDERRAMA ROBLES JORGE'!P$40:P$46,'KM POR UNIDAD'!A60,'BALDERRAMA ROBLES JORGE'!U$40:U$46)+SUMIF('BURGOS TORRES RIGOBERTO'!P$39:P$45,'KM POR UNIDAD'!A60,'BURGOS TORRES RIGOBERTO'!U$39:U$45)+SUMIF('CORDOVA URIBE JOSE  ADRIAN'!P$40:P$46,'KM POR UNIDAD'!A60,'CORDOVA URIBE JOSE  ADRIAN'!U$40:U$46)+SUMIF('GUZMAN CHAPARRO PEDRO'!P$40:P$46,'KM POR UNIDAD'!A60,'GUZMAN CHAPARRO PEDRO'!U$40:U$46)+SUMIF('HERNANDEZ LICANO JOSE LUIS'!P$40:P$46,'KM POR UNIDAD'!A60,'HERNANDEZ LICANO JOSE LUIS'!U$40:U$46)+SUMIF('CARRERA REYES MARTIN SEBASTIAN'!P$41:P$47,'KM POR UNIDAD'!A60,'CARRERA REYES MARTIN SEBASTIAN'!U$41:U$47)+SUMIF('RUIZ SAUCEDO DANIEL ALEJANDRO'!P$40:P$46,'KM POR UNIDAD'!A60,'RUIZ SAUCEDO DANIEL ALEJANDRO'!U$40:U$46)+SUMIF('MARTINEZ RAMIREZ ROSALIO'!P$40:P$46,'KM POR UNIDAD'!A60,'MARTINEZ RAMIREZ ROSALIO'!U$40:U$46)+SUMIF('BALLEZA RAMIREZ JESUS JOSE'!P$40:P$46,'KM POR UNIDAD'!A60,'BALLEZA RAMIREZ JESUS JOSE'!U$40:U$46)+SUMIF('MONTERO BURROLA LUIS'!P$38:P$44,'KM POR UNIDAD'!A60,'MONTERO BURROLA LUIS'!U$38:U$44)+SUMIF('AGUILERA CONTRERAS LUIS GERARDO'!P$41:P$47,'KM POR UNIDAD'!A60,'AGUILERA CONTRERAS LUIS GERARDO'!U$41:U$47)+SUMIF('MORALES LOPEZ DE LARA MARIANO'!P$40:P$46,'KM POR UNIDAD'!A60,'MORALES LOPEZ DE LARA MARIANO'!U$40:U$46)+SUMIF('MELENDEZ SINALOA MANUEL ARAT'!P$40:P$46,'KM POR UNIDAD'!A60,'MELENDEZ SINALOA MANUEL ARAT'!U$40:U$46)+SUMIF('MORALES LECHUGA GONZALO'!P$40:P$46,'KM POR UNIDAD'!A60,'MORALES LECHUGA GONZALO'!U$40:U$46)+SUMIF('ORONA BECERRA MAURO JOSE'!P$40:P$46,'KM POR UNIDAD'!A60,'ORONA BECERRA MAURO JOSE'!U$40:U$46)+SUMIF('VALLES HERNANDEZ MANUEL MARCELI'!P$39:P$45,'KM POR UNIDAD'!A60,'VALLES HERNANDEZ MANUEL MARCELI'!U$39:U$45)+SUMIF('ORTIZ RAMIREZ HECTOR MANUEL'!P$40:P$46,'KM POR UNIDAD'!A60,'ORTIZ RAMIREZ HECTOR MANUEL'!U$40:U$46)+SUMIF('ONTIVEROS LIRA JUAN'!P$40:P$46,'KM POR UNIDAD'!A60,'ONTIVEROS LIRA JUAN'!U$40:U$46)+SUMIF('RODRIGUEZ FLORES BRYAN DARIO'!P$40:P$46,'KM POR UNIDAD'!A60,'RODRIGUEZ FLORES BRYAN DARIO'!U$40:U$46)+SUMIF('NUÑEZ RUIZ IRVING JAVIER.'!P$42:P$48,'KM POR UNIDAD'!A60,'NUÑEZ RUIZ IRVING JAVIER.'!U$42:U$48)+SUMIF('MACHADO MAZUCA ADOLFO'!P$40:P$46,'KM POR UNIDAD'!A60,'MACHADO MAZUCA ADOLFO'!U$40:U$46)+SUMIF('LIRA ARCEO JOEL EDUARDO'!P$40:P$46,'KM POR UNIDAD'!A60,'LIRA ARCEO JOEL EDUARDO'!U$40:U$46)+SUMIF('ANCHONDO ROMERO CESAR ALEJANDRO'!P$40:P$46,'KM POR UNIDAD'!A60,'ANCHONDO ROMERO CESAR ALEJANDRO'!U$40:U$46)</f>
        <v>0</v>
      </c>
      <c r="C60" s="150">
        <f ca="1">+SUMIF('AGUILAR ESQUIVEL CARLOS'!P$40:P$46,'KM POR UNIDAD'!A60,'AGUILAR ESQUIVEL CARLOS'!T$40:T$46)+SUMIF('AGUILAR RODRIGUEZ JORGE ALONSO'!P$40:P$46,'KM POR UNIDAD'!A60,'AGUILAR RODRIGUEZ JORGE ALONSO'!T$40:T$46)+SUMIF('REYES LARA DANTE'!P$40:P$46,'KM POR UNIDAD'!A60,'REYES LARA DANTE'!T$40:T$46)+SUMIF('RAMIREZ BAUTISTA ADRIAN'!P$40:P$46,'KM POR UNIDAD'!A60,'RAMIREZ BAUTISTA ADRIAN'!T$40:T$46)+SUMIF('FLORES BOJORQUEZ BRYAN OVED'!P$40:P$46,'KM POR UNIDAD'!A60,'FLORES BOJORQUEZ BRYAN OVED'!T$40:T$46)+SUMIF('BALDERRAMA ROBLES JORGE'!P$40:P$46,'KM POR UNIDAD'!A60,'BALDERRAMA ROBLES JORGE'!T$40:T$46)+SUMIF('BURGOS TORRES RIGOBERTO'!P$39:P$45,'KM POR UNIDAD'!A60,'BURGOS TORRES RIGOBERTO'!T$39:T$45)+SUMIF('CORDOVA URIBE JOSE  ADRIAN'!P$40:P$46,'KM POR UNIDAD'!A60,'CORDOVA URIBE JOSE  ADRIAN'!T$40:T$46)+SUMIF('GUZMAN CHAPARRO PEDRO'!P$40:P$46,'KM POR UNIDAD'!A60,'GUZMAN CHAPARRO PEDRO'!T$40:T$46)+SUMIF('HERNANDEZ LICANO JOSE LUIS'!P$40:P$46,'KM POR UNIDAD'!A60,'HERNANDEZ LICANO JOSE LUIS'!T$40:T$46)+SUMIF('CARRERA REYES MARTIN SEBASTIAN'!P$41:P$47,'KM POR UNIDAD'!A60,'CARRERA REYES MARTIN SEBASTIAN'!T$41:T$47)+SUMIF('RUIZ SAUCEDO DANIEL ALEJANDRO'!P$40:P$46,'KM POR UNIDAD'!A60,'RUIZ SAUCEDO DANIEL ALEJANDRO'!T$40:T$46)+SUMIF('MARTINEZ RAMIREZ ROSALIO'!P$40:P$46,'KM POR UNIDAD'!A60,'MARTINEZ RAMIREZ ROSALIO'!T$40:T$46)+SUMIF('BALLEZA RAMIREZ JESUS JOSE'!P$40:P$46,'KM POR UNIDAD'!A60,'BALLEZA RAMIREZ JESUS JOSE'!T$40:T$46)+SUMIF('MONTERO BURROLA LUIS'!P$38:P$44,'KM POR UNIDAD'!A60,'MONTERO BURROLA LUIS'!T$38:T$44)+SUMIF('AGUILERA CONTRERAS LUIS GERARDO'!P$41:P$47,'KM POR UNIDAD'!A60,'AGUILERA CONTRERAS LUIS GERARDO'!T$41:T$47)+SUMIF('MORALES LOPEZ DE LARA MARIANO'!P$40:P$46,'KM POR UNIDAD'!A60,'MORALES LOPEZ DE LARA MARIANO'!T$40:T$46)+SUMIF('MELENDEZ SINALOA MANUEL ARAT'!P$40:P$46,'KM POR UNIDAD'!A60,'MELENDEZ SINALOA MANUEL ARAT'!T$40:T$46)+SUMIF('MORALES LECHUGA GONZALO'!P$40:P$46,'KM POR UNIDAD'!A60,'MORALES LECHUGA GONZALO'!T$40:T$46)+SUMIF('ORONA BECERRA MAURO JOSE'!P$40:P$46,'KM POR UNIDAD'!A60,'ORONA BECERRA MAURO JOSE'!T$40:T$46)+SUMIF('VALLES HERNANDEZ MANUEL MARCELI'!P$39:P$45,'KM POR UNIDAD'!A60,'VALLES HERNANDEZ MANUEL MARCELI'!T$39:T$45)+SUMIF('ORTIZ RAMIREZ HECTOR MANUEL'!P$40:P$46,'KM POR UNIDAD'!A60,'ORTIZ RAMIREZ HECTOR MANUEL'!T$40:T$46)+SUMIF('ONTIVEROS LIRA JUAN'!P$40:P$446,'KM POR UNIDAD'!A60,'ONTIVEROS LIRA JUAN'!T$40:T$46)+SUMIF('RODRIGUEZ FLORES BRYAN DARIO'!P$40:P$46,'KM POR UNIDAD'!A60,'RODRIGUEZ FLORES BRYAN DARIO'!T$40:T$46)+SUMIF('NUÑEZ RUIZ IRVING JAVIER.'!P$42:P$48,'KM POR UNIDAD'!A60,'NUÑEZ RUIZ IRVING JAVIER.'!T$42:T$48)+SUMIF('MACHADO MAZUCA ADOLFO'!P$40:P$46,'KM POR UNIDAD'!A60,'MACHADO MAZUCA ADOLFO'!T$40:T$46)+SUMIF('LIRA ARCEO JOEL EDUARDO'!P$40:P$46,'KM POR UNIDAD'!A60,'LIRA ARCEO JOEL EDUARDO'!T$40:T$46)+SUMIF('ANCHONDO ROMERO CESAR ALEJANDRO'!P$40:P$46,'KM POR UNIDAD'!A60,'ANCHONDO ROMERO CESAR ALEJANDRO'!T$40:T$46)</f>
        <v>0</v>
      </c>
      <c r="D60" s="150">
        <f>+SUMIF('AGUILAR ESQUIVEL CARLOS'!P$40:P$46,'KM POR UNIDAD'!A60,'AGUILAR ESQUIVEL CARLOS'!V$40:V$46)+SUMIF('AGUILAR RODRIGUEZ JORGE ALONSO'!P$40:P$46,'KM POR UNIDAD'!A60,'AGUILAR RODRIGUEZ JORGE ALONSO'!V$40:V$46)+SUMIF('REYES LARA DANTE'!P$40:P$46,'KM POR UNIDAD'!A60,'REYES LARA DANTE'!V$40:V$46)+SUMIF('RAMIREZ BAUTISTA ADRIAN'!P$40:P$46,'KM POR UNIDAD'!A60,'RAMIREZ BAUTISTA ADRIAN'!V$40:V$46)+SUMIF('FLORES BOJORQUEZ BRYAN OVED'!P$40:P$46,'KM POR UNIDAD'!A60,'FLORES BOJORQUEZ BRYAN OVED'!V$40:V$46)+SUMIF('BALDERRAMA ROBLES JORGE'!P$40:P$46,'KM POR UNIDAD'!A60,'BALDERRAMA ROBLES JORGE'!V$40:V$46)+SUMIF('BURGOS TORRES RIGOBERTO'!P$39:P$45,'KM POR UNIDAD'!A60,'BURGOS TORRES RIGOBERTO'!V$39:V$45)+SUMIF('CORDOVA URIBE JOSE  ADRIAN'!P$40:P$46,'KM POR UNIDAD'!A60,'CORDOVA URIBE JOSE  ADRIAN'!V$40:V$46)+SUMIF('GUZMAN CHAPARRO PEDRO'!P$40:P$46,'KM POR UNIDAD'!A60,'GUZMAN CHAPARRO PEDRO'!V$40:V$46)+SUMIF('HERNANDEZ LICANO JOSE LUIS'!P$40:P$46,'KM POR UNIDAD'!A60,'HERNANDEZ LICANO JOSE LUIS'!V$40:V$46)+SUMIF('CARRERA REYES MARTIN SEBASTIAN'!P$41:P$47,'KM POR UNIDAD'!A60,'CARRERA REYES MARTIN SEBASTIAN'!V$41:V$47)+SUMIF('RUIZ SAUCEDO DANIEL ALEJANDRO'!P$40:P$46,'KM POR UNIDAD'!A60,'RUIZ SAUCEDO DANIEL ALEJANDRO'!V$40:V$46)+SUMIF('MARTINEZ RAMIREZ ROSALIO'!P$40:P$46,'KM POR UNIDAD'!A60,'MARTINEZ RAMIREZ ROSALIO'!V$40:V$46)+SUMIF('BALLEZA RAMIREZ JESUS JOSE'!P$40:P$46,'KM POR UNIDAD'!A60,'BALLEZA RAMIREZ JESUS JOSE'!V$40:V$46)+SUMIF('MONTERO BURROLA LUIS'!P$38:P$44,'KM POR UNIDAD'!A60,'MONTERO BURROLA LUIS'!V$38:V$44)+SUMIF('AGUILERA CONTRERAS LUIS GERARDO'!P$41:P$47,'KM POR UNIDAD'!A60,'AGUILERA CONTRERAS LUIS GERARDO'!V$41:V$47)+SUMIF('MORALES LOPEZ DE LARA MARIANO'!P$40:P$46,'KM POR UNIDAD'!A60,'MORALES LOPEZ DE LARA MARIANO'!V$40:V$46)+SUMIF('MELENDEZ SINALOA MANUEL ARAT'!P$40:P$46,'KM POR UNIDAD'!A60,'MELENDEZ SINALOA MANUEL ARAT'!V$40:V$46)+SUMIF('MORALES LECHUGA GONZALO'!P$40:P$46,'KM POR UNIDAD'!A60,'MORALES LECHUGA GONZALO'!V$40:V$46)+SUMIF('ORONA BECERRA MAURO JOSE'!P$40:P$46,'KM POR UNIDAD'!A60,'ORONA BECERRA MAURO JOSE'!V$40:V$46)+SUMIF('VALLES HERNANDEZ MANUEL MARCELI'!P$39:P$45,'KM POR UNIDAD'!A60,'VALLES HERNANDEZ MANUEL MARCELI'!V$39:V$45)+SUMIF('ORTIZ RAMIREZ HECTOR MANUEL'!P$40:P$46,'KM POR UNIDAD'!A60,'ORTIZ RAMIREZ HECTOR MANUEL'!V$40:V$46)+SUMIF('ONTIVEROS LIRA JUAN'!P$40:P$46,'KM POR UNIDAD'!A60,'ONTIVEROS LIRA JUAN'!V$40:V$46)+SUMIF('RODRIGUEZ FLORES BRYAN DARIO'!P$40:P$46,'KM POR UNIDAD'!A60,'RODRIGUEZ FLORES BRYAN DARIO'!V$40:V$46)+SUMIF('NUÑEZ RUIZ IRVING JAVIER.'!P$42:P$48,'KM POR UNIDAD'!A60,'NUÑEZ RUIZ IRVING JAVIER.'!V$42:V$48)+SUMIF('MACHADO MAZUCA ADOLFO'!P$40:P$46,'KM POR UNIDAD'!A60,'MACHADO MAZUCA ADOLFO'!V$40:V$46)+SUMIF('LIRA ARCEO JOEL EDUARDO'!P$40:P$46,'KM POR UNIDAD'!A60,'LIRA ARCEO JOEL EDUARDO'!V$40:V$46)+SUMIF('ANCHONDO ROMERO CESAR ALEJANDRO'!P$40:P$46,'KM POR UNIDAD'!A60,'ANCHONDO ROMERO CESAR ALEJANDRO'!V$40:V$46)</f>
        <v>0</v>
      </c>
      <c r="E60" s="145">
        <f t="shared" si="0"/>
        <v>0</v>
      </c>
      <c r="F60" s="144" t="e">
        <f ca="1">+SUMIF('AGUILAR ESQUIVEL CARLOS'!P$40:P$46,'KM POR UNIDAD'!A60,'AGUILAR ESQUIVEL CARLOS'!W$40:W$46)+SUMIF('AGUILAR RODRIGUEZ JORGE ALONSO'!P$40:P$46,'KM POR UNIDAD'!A60,'AGUILAR RODRIGUEZ JORGE ALONSO'!W$40:W$46)+SUMIF('REYES LARA DANTE'!T$40:T$46,'KM POR UNIDAD'!A60,'REYES LARA DANTE'!Y$40:Y$46)+SUMIF('RAMIREZ BAUTISTA ADRIAN'!T$40:T$46,'KM POR UNIDAD'!A60,'RAMIREZ BAUTISTA ADRIAN'!Y$40:Y$46)+SUMIF('FLORES BOJORQUEZ BRYAN OVED'!T$40:T$46,'KM POR UNIDAD'!A60,'FLORES BOJORQUEZ BRYAN OVED'!Y$40:Y$46)+SUMIF('BALDERRAMA ROBLES JORGE'!T$40:T$46,'KM POR UNIDAD'!A60,'BALDERRAMA ROBLES JORGE'!#REF!)+SUMIF('BURGOS TORRES RIGOBERTO'!T$39:T$45,'KM POR UNIDAD'!A60,'BURGOS TORRES RIGOBERTO'!Y$39:Y$45)+SUMIF('CORDOVA URIBE JOSE  ADRIAN'!T$40:T$46,'KM POR UNIDAD'!E60,'CORDOVA URIBE JOSE  ADRIAN'!Y$40:Y$46)+SUMIF('GUZMAN CHAPARRO PEDRO'!T$40:T$46,'KM POR UNIDAD'!E60,'GUZMAN CHAPARRO PEDRO'!Y$40:Y$46)+SUMIF('HERNANDEZ LICANO JOSE LUIS'!T$40:T$46,'KM POR UNIDAD'!E60,'HERNANDEZ LICANO JOSE LUIS'!#REF!)+SUMIF('CARRERA REYES MARTIN SEBASTIAN'!T$41:T$47,'KM POR UNIDAD'!E60,'CARRERA REYES MARTIN SEBASTIAN'!Y$41:Y$47)+SUMIF('RUIZ SAUCEDO DANIEL ALEJANDRO'!T$40:T$46,'KM POR UNIDAD'!E60,'RUIZ SAUCEDO DANIEL ALEJANDRO'!Y$40:Y$46)+SUMIF('MARTINEZ RAMIREZ ROSALIO'!T$40:T$46,'KM POR UNIDAD'!E60,'MARTINEZ RAMIREZ ROSALIO'!Y$40:Y$46)+SUMIF('BALLEZA RAMIREZ JESUS JOSE'!T$40:T$46,'KM POR UNIDAD'!E60,'BALLEZA RAMIREZ JESUS JOSE'!T$176:T$180)+SUMIF('MONTERO BURROLA LUIS'!T$38:T$44,'KM POR UNIDAD'!E60,'MONTERO BURROLA LUIS'!Y$38:Y$44)+SUMIF('AGUILERA CONTRERAS LUIS GERARDO'!T$41:T$47,'KM POR UNIDAD'!E60,'AGUILERA CONTRERAS LUIS GERARDO'!Y$41:Y$47)+SUMIF('MORALES LOPEZ DE LARA MARIANO'!T$40:T$46,'KM POR UNIDAD'!E60,'MORALES LOPEZ DE LARA MARIANO'!Y$40:Y$46)+SUMIF('MELENDEZ SINALOA MANUEL ARAT'!T$40:T$46,'KM POR UNIDAD'!E60,'MELENDEZ SINALOA MANUEL ARAT'!#REF!)+SUMIF('MORALES LECHUGA GONZALO'!T$40:T$46,'KM POR UNIDAD'!E60,'MORALES LECHUGA GONZALO'!Y$40:Y$46)+SUMIF('ORONA BECERRA MAURO JOSE'!T$40:T$46,'KM POR UNIDAD'!E60,'ORONA BECERRA MAURO JOSE'!Y$40:Y$46)+SUMIF('VALLES HERNANDEZ MANUEL MARCELI'!T$39:T$45,'KM POR UNIDAD'!E60,'VALLES HERNANDEZ MANUEL MARCELI'!Y$39:Y$45)+SUMIF('ORTIZ RAMIREZ HECTOR MANUEL'!T$40:T$46,'KM POR UNIDAD'!E60,'ORTIZ RAMIREZ HECTOR MANUEL'!Y$40:Y$46)+SUMIF('ONTIVEROS LIRA JUAN'!T$40:T$46,'KM POR UNIDAD'!E60,'ONTIVEROS LIRA JUAN'!Y$40:Y$46)+SUMIF('RODRIGUEZ FLORES BRYAN DARIO'!T$40:T$46,'KM POR UNIDAD'!E60,'RODRIGUEZ FLORES BRYAN DARIO'!Y$40:Y$46)+SUMIF('NUÑEZ RUIZ IRVING JAVIER.'!T$42:T$48,'KM POR UNIDAD'!E60,'NUÑEZ RUIZ IRVING JAVIER.'!Y$42:Y$48)+SUMIF('MACHADO MAZUCA ADOLFO'!T$40:T$46,'KM POR UNIDAD'!E60,'MACHADO MAZUCA ADOLFO'!Y$40:Y$46)+SUMIF('LIRA ARCEO JOEL EDUARDO'!T$40:T$46,'KM POR UNIDAD'!E60,'LIRA ARCEO JOEL EDUARDO'!Y$41:Y$46)+SUMIF('ANCHONDO ROMERO CESAR ALEJANDRO'!T$40:T$46,'KM POR UNIDAD'!E60,'ANCHONDO ROMERO CESAR ALEJANDRO'!Y$40:Y$46)</f>
        <v>#REF!</v>
      </c>
      <c r="G60" s="146"/>
    </row>
    <row r="61" spans="1:9" x14ac:dyDescent="0.25">
      <c r="A61" s="143" t="s">
        <v>257</v>
      </c>
      <c r="B61" s="144">
        <f>+SUMIF('AGUILAR ESQUIVEL CARLOS'!P$40:P$46,'KM POR UNIDAD'!A61,'AGUILAR ESQUIVEL CARLOS'!U$40:U$46)+SUMIF('AGUILAR RODRIGUEZ JORGE ALONSO'!P$40:P$46,'KM POR UNIDAD'!A61,'AGUILAR RODRIGUEZ JORGE ALONSO'!U$40:U$46)+SUMIF('REYES LARA DANTE'!P$40:P$46,'KM POR UNIDAD'!A61,'REYES LARA DANTE'!U$40:U$46)+SUMIF('RAMIREZ BAUTISTA ADRIAN'!P$40:P$46,'KM POR UNIDAD'!A61,'RAMIREZ BAUTISTA ADRIAN'!U$40:U$46)+SUMIF('FLORES BOJORQUEZ BRYAN OVED'!P$40:P$46,'KM POR UNIDAD'!A61,'FLORES BOJORQUEZ BRYAN OVED'!U$40:U$46)+SUMIF('BALDERRAMA ROBLES JORGE'!P$40:P$46,'KM POR UNIDAD'!A61,'BALDERRAMA ROBLES JORGE'!U$40:U$46)+SUMIF('BURGOS TORRES RIGOBERTO'!P$39:P$45,'KM POR UNIDAD'!A61,'BURGOS TORRES RIGOBERTO'!U$39:U$45)+SUMIF('CORDOVA URIBE JOSE  ADRIAN'!P$40:P$46,'KM POR UNIDAD'!A61,'CORDOVA URIBE JOSE  ADRIAN'!U$40:U$46)+SUMIF('GUZMAN CHAPARRO PEDRO'!P$40:P$46,'KM POR UNIDAD'!A61,'GUZMAN CHAPARRO PEDRO'!U$40:U$46)+SUMIF('HERNANDEZ LICANO JOSE LUIS'!P$40:P$46,'KM POR UNIDAD'!A61,'HERNANDEZ LICANO JOSE LUIS'!U$40:U$46)+SUMIF('CARRERA REYES MARTIN SEBASTIAN'!P$41:P$47,'KM POR UNIDAD'!A61,'CARRERA REYES MARTIN SEBASTIAN'!U$41:U$47)+SUMIF('RUIZ SAUCEDO DANIEL ALEJANDRO'!P$40:P$46,'KM POR UNIDAD'!A61,'RUIZ SAUCEDO DANIEL ALEJANDRO'!U$40:U$46)+SUMIF('MARTINEZ RAMIREZ ROSALIO'!P$40:P$46,'KM POR UNIDAD'!A61,'MARTINEZ RAMIREZ ROSALIO'!U$40:U$46)+SUMIF('BALLEZA RAMIREZ JESUS JOSE'!P$40:P$46,'KM POR UNIDAD'!A61,'BALLEZA RAMIREZ JESUS JOSE'!U$40:U$46)+SUMIF('MONTERO BURROLA LUIS'!P$38:P$44,'KM POR UNIDAD'!A61,'MONTERO BURROLA LUIS'!U$38:U$44)+SUMIF('AGUILERA CONTRERAS LUIS GERARDO'!P$41:P$47,'KM POR UNIDAD'!A61,'AGUILERA CONTRERAS LUIS GERARDO'!U$41:U$47)+SUMIF('MORALES LOPEZ DE LARA MARIANO'!P$40:P$46,'KM POR UNIDAD'!A61,'MORALES LOPEZ DE LARA MARIANO'!U$40:U$46)+SUMIF('MELENDEZ SINALOA MANUEL ARAT'!P$40:P$46,'KM POR UNIDAD'!A61,'MELENDEZ SINALOA MANUEL ARAT'!U$40:U$46)+SUMIF('MORALES LECHUGA GONZALO'!P$40:P$46,'KM POR UNIDAD'!A61,'MORALES LECHUGA GONZALO'!U$40:U$46)+SUMIF('ORONA BECERRA MAURO JOSE'!P$40:P$46,'KM POR UNIDAD'!A61,'ORONA BECERRA MAURO JOSE'!U$40:U$46)+SUMIF('VALLES HERNANDEZ MANUEL MARCELI'!P$39:P$45,'KM POR UNIDAD'!A61,'VALLES HERNANDEZ MANUEL MARCELI'!U$39:U$45)+SUMIF('ORTIZ RAMIREZ HECTOR MANUEL'!P$40:P$46,'KM POR UNIDAD'!A61,'ORTIZ RAMIREZ HECTOR MANUEL'!U$40:U$46)+SUMIF('ONTIVEROS LIRA JUAN'!P$40:P$46,'KM POR UNIDAD'!A61,'ONTIVEROS LIRA JUAN'!U$40:U$46)+SUMIF('RODRIGUEZ FLORES BRYAN DARIO'!P$40:P$46,'KM POR UNIDAD'!A61,'RODRIGUEZ FLORES BRYAN DARIO'!U$40:U$46)+SUMIF('NUÑEZ RUIZ IRVING JAVIER.'!P$42:P$48,'KM POR UNIDAD'!A61,'NUÑEZ RUIZ IRVING JAVIER.'!U$42:U$48)+SUMIF('MACHADO MAZUCA ADOLFO'!P$40:P$46,'KM POR UNIDAD'!A61,'MACHADO MAZUCA ADOLFO'!U$40:U$46)+SUMIF('LIRA ARCEO JOEL EDUARDO'!P$40:P$46,'KM POR UNIDAD'!A61,'LIRA ARCEO JOEL EDUARDO'!U$40:U$46)+SUMIF('ANCHONDO ROMERO CESAR ALEJANDRO'!P$40:P$46,'KM POR UNIDAD'!A61,'ANCHONDO ROMERO CESAR ALEJANDRO'!U$40:U$46)</f>
        <v>0</v>
      </c>
      <c r="C61" s="150">
        <f ca="1">+SUMIF('AGUILAR ESQUIVEL CARLOS'!P$40:P$46,'KM POR UNIDAD'!A61,'AGUILAR ESQUIVEL CARLOS'!T$40:T$46)+SUMIF('AGUILAR RODRIGUEZ JORGE ALONSO'!P$40:P$46,'KM POR UNIDAD'!A61,'AGUILAR RODRIGUEZ JORGE ALONSO'!T$40:T$46)+SUMIF('REYES LARA DANTE'!P$40:P$46,'KM POR UNIDAD'!A61,'REYES LARA DANTE'!T$40:T$46)+SUMIF('RAMIREZ BAUTISTA ADRIAN'!P$40:P$46,'KM POR UNIDAD'!A61,'RAMIREZ BAUTISTA ADRIAN'!T$40:T$46)+SUMIF('FLORES BOJORQUEZ BRYAN OVED'!P$40:P$46,'KM POR UNIDAD'!A61,'FLORES BOJORQUEZ BRYAN OVED'!T$40:T$46)+SUMIF('BALDERRAMA ROBLES JORGE'!P$40:P$46,'KM POR UNIDAD'!A61,'BALDERRAMA ROBLES JORGE'!T$40:T$46)+SUMIF('BURGOS TORRES RIGOBERTO'!P$39:P$45,'KM POR UNIDAD'!A61,'BURGOS TORRES RIGOBERTO'!T$39:T$45)+SUMIF('CORDOVA URIBE JOSE  ADRIAN'!P$40:P$46,'KM POR UNIDAD'!A61,'CORDOVA URIBE JOSE  ADRIAN'!T$40:T$46)+SUMIF('GUZMAN CHAPARRO PEDRO'!P$40:P$46,'KM POR UNIDAD'!A61,'GUZMAN CHAPARRO PEDRO'!T$40:T$46)+SUMIF('HERNANDEZ LICANO JOSE LUIS'!P$40:P$46,'KM POR UNIDAD'!A61,'HERNANDEZ LICANO JOSE LUIS'!T$40:T$46)+SUMIF('CARRERA REYES MARTIN SEBASTIAN'!P$41:P$47,'KM POR UNIDAD'!A61,'CARRERA REYES MARTIN SEBASTIAN'!T$41:T$47)+SUMIF('RUIZ SAUCEDO DANIEL ALEJANDRO'!P$40:P$46,'KM POR UNIDAD'!A61,'RUIZ SAUCEDO DANIEL ALEJANDRO'!T$40:T$46)+SUMIF('MARTINEZ RAMIREZ ROSALIO'!P$40:P$46,'KM POR UNIDAD'!A61,'MARTINEZ RAMIREZ ROSALIO'!T$40:T$46)+SUMIF('BALLEZA RAMIREZ JESUS JOSE'!P$40:P$46,'KM POR UNIDAD'!A61,'BALLEZA RAMIREZ JESUS JOSE'!T$40:T$46)+SUMIF('MONTERO BURROLA LUIS'!P$38:P$44,'KM POR UNIDAD'!A61,'MONTERO BURROLA LUIS'!T$38:T$44)+SUMIF('AGUILERA CONTRERAS LUIS GERARDO'!P$41:P$47,'KM POR UNIDAD'!A61,'AGUILERA CONTRERAS LUIS GERARDO'!T$41:T$47)+SUMIF('MORALES LOPEZ DE LARA MARIANO'!P$40:P$46,'KM POR UNIDAD'!A61,'MORALES LOPEZ DE LARA MARIANO'!T$40:T$46)+SUMIF('MELENDEZ SINALOA MANUEL ARAT'!P$40:P$46,'KM POR UNIDAD'!A61,'MELENDEZ SINALOA MANUEL ARAT'!T$40:T$46)+SUMIF('MORALES LECHUGA GONZALO'!P$40:P$46,'KM POR UNIDAD'!A61,'MORALES LECHUGA GONZALO'!T$40:T$46)+SUMIF('ORONA BECERRA MAURO JOSE'!P$40:P$46,'KM POR UNIDAD'!A61,'ORONA BECERRA MAURO JOSE'!T$40:T$46)+SUMIF('VALLES HERNANDEZ MANUEL MARCELI'!P$39:P$45,'KM POR UNIDAD'!A61,'VALLES HERNANDEZ MANUEL MARCELI'!T$39:T$45)+SUMIF('ORTIZ RAMIREZ HECTOR MANUEL'!P$40:P$46,'KM POR UNIDAD'!A61,'ORTIZ RAMIREZ HECTOR MANUEL'!T$40:T$46)+SUMIF('ONTIVEROS LIRA JUAN'!P$40:P$446,'KM POR UNIDAD'!A61,'ONTIVEROS LIRA JUAN'!T$40:T$46)+SUMIF('RODRIGUEZ FLORES BRYAN DARIO'!P$40:P$46,'KM POR UNIDAD'!A61,'RODRIGUEZ FLORES BRYAN DARIO'!T$40:T$46)+SUMIF('NUÑEZ RUIZ IRVING JAVIER.'!P$42:P$48,'KM POR UNIDAD'!A61,'NUÑEZ RUIZ IRVING JAVIER.'!T$42:T$48)+SUMIF('MACHADO MAZUCA ADOLFO'!P$40:P$46,'KM POR UNIDAD'!A61,'MACHADO MAZUCA ADOLFO'!T$40:T$46)+SUMIF('LIRA ARCEO JOEL EDUARDO'!P$40:P$46,'KM POR UNIDAD'!A61,'LIRA ARCEO JOEL EDUARDO'!T$40:T$46)+SUMIF('ANCHONDO ROMERO CESAR ALEJANDRO'!P$40:P$46,'KM POR UNIDAD'!A61,'ANCHONDO ROMERO CESAR ALEJANDRO'!T$40:T$46)</f>
        <v>0</v>
      </c>
      <c r="D61" s="150">
        <f>+SUMIF('AGUILAR ESQUIVEL CARLOS'!P$40:P$46,'KM POR UNIDAD'!A61,'AGUILAR ESQUIVEL CARLOS'!V$40:V$46)+SUMIF('AGUILAR RODRIGUEZ JORGE ALONSO'!P$40:P$46,'KM POR UNIDAD'!A61,'AGUILAR RODRIGUEZ JORGE ALONSO'!V$40:V$46)+SUMIF('REYES LARA DANTE'!P$40:P$46,'KM POR UNIDAD'!A61,'REYES LARA DANTE'!V$40:V$46)+SUMIF('RAMIREZ BAUTISTA ADRIAN'!P$40:P$46,'KM POR UNIDAD'!A61,'RAMIREZ BAUTISTA ADRIAN'!V$40:V$46)+SUMIF('FLORES BOJORQUEZ BRYAN OVED'!P$40:P$46,'KM POR UNIDAD'!A61,'FLORES BOJORQUEZ BRYAN OVED'!V$40:V$46)+SUMIF('BALDERRAMA ROBLES JORGE'!P$40:P$46,'KM POR UNIDAD'!A61,'BALDERRAMA ROBLES JORGE'!V$40:V$46)+SUMIF('BURGOS TORRES RIGOBERTO'!P$39:P$45,'KM POR UNIDAD'!A61,'BURGOS TORRES RIGOBERTO'!V$39:V$45)+SUMIF('CORDOVA URIBE JOSE  ADRIAN'!P$40:P$46,'KM POR UNIDAD'!A61,'CORDOVA URIBE JOSE  ADRIAN'!V$40:V$46)+SUMIF('GUZMAN CHAPARRO PEDRO'!P$40:P$46,'KM POR UNIDAD'!A61,'GUZMAN CHAPARRO PEDRO'!V$40:V$46)+SUMIF('HERNANDEZ LICANO JOSE LUIS'!P$40:P$46,'KM POR UNIDAD'!A61,'HERNANDEZ LICANO JOSE LUIS'!V$40:V$46)+SUMIF('CARRERA REYES MARTIN SEBASTIAN'!P$41:P$47,'KM POR UNIDAD'!A61,'CARRERA REYES MARTIN SEBASTIAN'!V$41:V$47)+SUMIF('RUIZ SAUCEDO DANIEL ALEJANDRO'!P$40:P$46,'KM POR UNIDAD'!A61,'RUIZ SAUCEDO DANIEL ALEJANDRO'!V$40:V$46)+SUMIF('MARTINEZ RAMIREZ ROSALIO'!P$40:P$46,'KM POR UNIDAD'!A61,'MARTINEZ RAMIREZ ROSALIO'!V$40:V$46)+SUMIF('BALLEZA RAMIREZ JESUS JOSE'!P$40:P$46,'KM POR UNIDAD'!A61,'BALLEZA RAMIREZ JESUS JOSE'!V$40:V$46)+SUMIF('MONTERO BURROLA LUIS'!P$38:P$44,'KM POR UNIDAD'!A61,'MONTERO BURROLA LUIS'!V$38:V$44)+SUMIF('AGUILERA CONTRERAS LUIS GERARDO'!P$41:P$47,'KM POR UNIDAD'!A61,'AGUILERA CONTRERAS LUIS GERARDO'!V$41:V$47)+SUMIF('MORALES LOPEZ DE LARA MARIANO'!P$40:P$46,'KM POR UNIDAD'!A61,'MORALES LOPEZ DE LARA MARIANO'!V$40:V$46)+SUMIF('MELENDEZ SINALOA MANUEL ARAT'!P$40:P$46,'KM POR UNIDAD'!A61,'MELENDEZ SINALOA MANUEL ARAT'!V$40:V$46)+SUMIF('MORALES LECHUGA GONZALO'!P$40:P$46,'KM POR UNIDAD'!A61,'MORALES LECHUGA GONZALO'!V$40:V$46)+SUMIF('ORONA BECERRA MAURO JOSE'!P$40:P$46,'KM POR UNIDAD'!A61,'ORONA BECERRA MAURO JOSE'!V$40:V$46)+SUMIF('VALLES HERNANDEZ MANUEL MARCELI'!P$39:P$45,'KM POR UNIDAD'!A61,'VALLES HERNANDEZ MANUEL MARCELI'!V$39:V$45)+SUMIF('ORTIZ RAMIREZ HECTOR MANUEL'!P$40:P$46,'KM POR UNIDAD'!A61,'ORTIZ RAMIREZ HECTOR MANUEL'!V$40:V$46)+SUMIF('ONTIVEROS LIRA JUAN'!P$40:P$46,'KM POR UNIDAD'!A61,'ONTIVEROS LIRA JUAN'!V$40:V$46)+SUMIF('RODRIGUEZ FLORES BRYAN DARIO'!P$40:P$46,'KM POR UNIDAD'!A61,'RODRIGUEZ FLORES BRYAN DARIO'!V$40:V$46)+SUMIF('NUÑEZ RUIZ IRVING JAVIER.'!P$42:P$48,'KM POR UNIDAD'!A61,'NUÑEZ RUIZ IRVING JAVIER.'!V$42:V$48)+SUMIF('MACHADO MAZUCA ADOLFO'!P$40:P$46,'KM POR UNIDAD'!A61,'MACHADO MAZUCA ADOLFO'!V$40:V$46)+SUMIF('LIRA ARCEO JOEL EDUARDO'!P$40:P$46,'KM POR UNIDAD'!A61,'LIRA ARCEO JOEL EDUARDO'!V$40:V$46)+SUMIF('ANCHONDO ROMERO CESAR ALEJANDRO'!P$40:P$46,'KM POR UNIDAD'!A61,'ANCHONDO ROMERO CESAR ALEJANDRO'!V$40:V$46)</f>
        <v>0</v>
      </c>
      <c r="E61" s="145">
        <f t="shared" si="0"/>
        <v>0</v>
      </c>
      <c r="F61" s="144" t="e">
        <f ca="1">+SUMIF('AGUILAR ESQUIVEL CARLOS'!P$40:P$46,'KM POR UNIDAD'!A61,'AGUILAR ESQUIVEL CARLOS'!W$40:W$46)+SUMIF('AGUILAR RODRIGUEZ JORGE ALONSO'!P$40:P$46,'KM POR UNIDAD'!A61,'AGUILAR RODRIGUEZ JORGE ALONSO'!W$40:W$46)+SUMIF('REYES LARA DANTE'!T$40:T$46,'KM POR UNIDAD'!A61,'REYES LARA DANTE'!Y$40:Y$46)+SUMIF('RAMIREZ BAUTISTA ADRIAN'!T$40:T$46,'KM POR UNIDAD'!A61,'RAMIREZ BAUTISTA ADRIAN'!Y$40:Y$46)+SUMIF('FLORES BOJORQUEZ BRYAN OVED'!T$40:T$46,'KM POR UNIDAD'!A61,'FLORES BOJORQUEZ BRYAN OVED'!Y$40:Y$46)+SUMIF('BALDERRAMA ROBLES JORGE'!T$40:T$46,'KM POR UNIDAD'!A61,'BALDERRAMA ROBLES JORGE'!#REF!)+SUMIF('BURGOS TORRES RIGOBERTO'!T$39:T$45,'KM POR UNIDAD'!A61,'BURGOS TORRES RIGOBERTO'!Y$39:Y$45)+SUMIF('CORDOVA URIBE JOSE  ADRIAN'!T$40:T$46,'KM POR UNIDAD'!E61,'CORDOVA URIBE JOSE  ADRIAN'!Y$40:Y$46)+SUMIF('GUZMAN CHAPARRO PEDRO'!T$40:T$46,'KM POR UNIDAD'!E61,'GUZMAN CHAPARRO PEDRO'!Y$40:Y$46)+SUMIF('HERNANDEZ LICANO JOSE LUIS'!T$40:T$46,'KM POR UNIDAD'!E61,'HERNANDEZ LICANO JOSE LUIS'!#REF!)+SUMIF('CARRERA REYES MARTIN SEBASTIAN'!T$41:T$47,'KM POR UNIDAD'!E61,'CARRERA REYES MARTIN SEBASTIAN'!Y$41:Y$47)+SUMIF('RUIZ SAUCEDO DANIEL ALEJANDRO'!T$40:T$46,'KM POR UNIDAD'!E61,'RUIZ SAUCEDO DANIEL ALEJANDRO'!Y$40:Y$46)+SUMIF('MARTINEZ RAMIREZ ROSALIO'!T$40:T$46,'KM POR UNIDAD'!E61,'MARTINEZ RAMIREZ ROSALIO'!Y$40:Y$46)+SUMIF('BALLEZA RAMIREZ JESUS JOSE'!T$40:T$46,'KM POR UNIDAD'!E61,'BALLEZA RAMIREZ JESUS JOSE'!T$176:T$180)+SUMIF('MONTERO BURROLA LUIS'!T$38:T$44,'KM POR UNIDAD'!E61,'MONTERO BURROLA LUIS'!Y$38:Y$44)+SUMIF('AGUILERA CONTRERAS LUIS GERARDO'!T$41:T$47,'KM POR UNIDAD'!E61,'AGUILERA CONTRERAS LUIS GERARDO'!Y$41:Y$47)+SUMIF('MORALES LOPEZ DE LARA MARIANO'!T$40:T$46,'KM POR UNIDAD'!E61,'MORALES LOPEZ DE LARA MARIANO'!Y$40:Y$46)+SUMIF('MELENDEZ SINALOA MANUEL ARAT'!T$40:T$46,'KM POR UNIDAD'!E61,'MELENDEZ SINALOA MANUEL ARAT'!#REF!)+SUMIF('MORALES LECHUGA GONZALO'!T$40:T$46,'KM POR UNIDAD'!E61,'MORALES LECHUGA GONZALO'!Y$40:Y$46)+SUMIF('ORONA BECERRA MAURO JOSE'!T$40:T$46,'KM POR UNIDAD'!E61,'ORONA BECERRA MAURO JOSE'!Y$40:Y$46)+SUMIF('VALLES HERNANDEZ MANUEL MARCELI'!T$39:T$45,'KM POR UNIDAD'!E61,'VALLES HERNANDEZ MANUEL MARCELI'!Y$39:Y$45)+SUMIF('ORTIZ RAMIREZ HECTOR MANUEL'!T$40:T$46,'KM POR UNIDAD'!E61,'ORTIZ RAMIREZ HECTOR MANUEL'!Y$40:Y$46)+SUMIF('ONTIVEROS LIRA JUAN'!T$40:T$46,'KM POR UNIDAD'!E61,'ONTIVEROS LIRA JUAN'!Y$40:Y$46)+SUMIF('RODRIGUEZ FLORES BRYAN DARIO'!T$40:T$46,'KM POR UNIDAD'!E61,'RODRIGUEZ FLORES BRYAN DARIO'!Y$40:Y$46)+SUMIF('NUÑEZ RUIZ IRVING JAVIER.'!T$42:T$48,'KM POR UNIDAD'!E61,'NUÑEZ RUIZ IRVING JAVIER.'!Y$42:Y$48)+SUMIF('MACHADO MAZUCA ADOLFO'!T$40:T$46,'KM POR UNIDAD'!E61,'MACHADO MAZUCA ADOLFO'!Y$40:Y$46)+SUMIF('LIRA ARCEO JOEL EDUARDO'!T$40:T$46,'KM POR UNIDAD'!E61,'LIRA ARCEO JOEL EDUARDO'!Y$41:Y$46)+SUMIF('ANCHONDO ROMERO CESAR ALEJANDRO'!T$40:T$46,'KM POR UNIDAD'!E61,'ANCHONDO ROMERO CESAR ALEJANDRO'!Y$40:Y$46)</f>
        <v>#REF!</v>
      </c>
      <c r="G61" s="146"/>
    </row>
    <row r="62" spans="1:9" x14ac:dyDescent="0.25">
      <c r="A62" s="143" t="s">
        <v>258</v>
      </c>
      <c r="B62" s="144">
        <f>+SUMIF('AGUILAR ESQUIVEL CARLOS'!P$40:P$46,'KM POR UNIDAD'!A62,'AGUILAR ESQUIVEL CARLOS'!U$40:U$46)+SUMIF('AGUILAR RODRIGUEZ JORGE ALONSO'!P$40:P$46,'KM POR UNIDAD'!A62,'AGUILAR RODRIGUEZ JORGE ALONSO'!U$40:U$46)+SUMIF('REYES LARA DANTE'!P$40:P$46,'KM POR UNIDAD'!A62,'REYES LARA DANTE'!U$40:U$46)+SUMIF('RAMIREZ BAUTISTA ADRIAN'!P$40:P$46,'KM POR UNIDAD'!A62,'RAMIREZ BAUTISTA ADRIAN'!U$40:U$46)+SUMIF('FLORES BOJORQUEZ BRYAN OVED'!P$40:P$46,'KM POR UNIDAD'!A62,'FLORES BOJORQUEZ BRYAN OVED'!U$40:U$46)+SUMIF('BALDERRAMA ROBLES JORGE'!P$40:P$46,'KM POR UNIDAD'!A62,'BALDERRAMA ROBLES JORGE'!U$40:U$46)+SUMIF('BURGOS TORRES RIGOBERTO'!P$39:P$45,'KM POR UNIDAD'!A62,'BURGOS TORRES RIGOBERTO'!U$39:U$45)+SUMIF('CORDOVA URIBE JOSE  ADRIAN'!P$40:P$46,'KM POR UNIDAD'!A62,'CORDOVA URIBE JOSE  ADRIAN'!U$40:U$46)+SUMIF('GUZMAN CHAPARRO PEDRO'!P$40:P$46,'KM POR UNIDAD'!A62,'GUZMAN CHAPARRO PEDRO'!U$40:U$46)+SUMIF('HERNANDEZ LICANO JOSE LUIS'!P$40:P$46,'KM POR UNIDAD'!A62,'HERNANDEZ LICANO JOSE LUIS'!U$40:U$46)+SUMIF('CARRERA REYES MARTIN SEBASTIAN'!P$41:P$47,'KM POR UNIDAD'!A62,'CARRERA REYES MARTIN SEBASTIAN'!U$41:U$47)+SUMIF('RUIZ SAUCEDO DANIEL ALEJANDRO'!P$40:P$46,'KM POR UNIDAD'!A62,'RUIZ SAUCEDO DANIEL ALEJANDRO'!U$40:U$46)+SUMIF('MARTINEZ RAMIREZ ROSALIO'!P$40:P$46,'KM POR UNIDAD'!A62,'MARTINEZ RAMIREZ ROSALIO'!U$40:U$46)+SUMIF('BALLEZA RAMIREZ JESUS JOSE'!P$40:P$46,'KM POR UNIDAD'!A62,'BALLEZA RAMIREZ JESUS JOSE'!U$40:U$46)+SUMIF('MONTERO BURROLA LUIS'!P$38:P$44,'KM POR UNIDAD'!A62,'MONTERO BURROLA LUIS'!U$38:U$44)+SUMIF('AGUILERA CONTRERAS LUIS GERARDO'!P$41:P$47,'KM POR UNIDAD'!A62,'AGUILERA CONTRERAS LUIS GERARDO'!U$41:U$47)+SUMIF('MORALES LOPEZ DE LARA MARIANO'!P$40:P$46,'KM POR UNIDAD'!A62,'MORALES LOPEZ DE LARA MARIANO'!U$40:U$46)+SUMIF('MELENDEZ SINALOA MANUEL ARAT'!P$40:P$46,'KM POR UNIDAD'!A62,'MELENDEZ SINALOA MANUEL ARAT'!U$40:U$46)+SUMIF('MORALES LECHUGA GONZALO'!P$40:P$46,'KM POR UNIDAD'!A62,'MORALES LECHUGA GONZALO'!U$40:U$46)+SUMIF('ORONA BECERRA MAURO JOSE'!P$40:P$46,'KM POR UNIDAD'!A62,'ORONA BECERRA MAURO JOSE'!U$40:U$46)+SUMIF('VALLES HERNANDEZ MANUEL MARCELI'!P$39:P$45,'KM POR UNIDAD'!A62,'VALLES HERNANDEZ MANUEL MARCELI'!U$39:U$45)+SUMIF('ORTIZ RAMIREZ HECTOR MANUEL'!P$40:P$46,'KM POR UNIDAD'!A62,'ORTIZ RAMIREZ HECTOR MANUEL'!U$40:U$46)+SUMIF('ONTIVEROS LIRA JUAN'!P$40:P$46,'KM POR UNIDAD'!A62,'ONTIVEROS LIRA JUAN'!U$40:U$46)+SUMIF('RODRIGUEZ FLORES BRYAN DARIO'!P$40:P$46,'KM POR UNIDAD'!A62,'RODRIGUEZ FLORES BRYAN DARIO'!U$40:U$46)+SUMIF('NUÑEZ RUIZ IRVING JAVIER.'!P$42:P$48,'KM POR UNIDAD'!A62,'NUÑEZ RUIZ IRVING JAVIER.'!U$42:U$48)+SUMIF('MACHADO MAZUCA ADOLFO'!P$40:P$46,'KM POR UNIDAD'!A62,'MACHADO MAZUCA ADOLFO'!U$40:U$46)+SUMIF('LIRA ARCEO JOEL EDUARDO'!P$40:P$46,'KM POR UNIDAD'!A62,'LIRA ARCEO JOEL EDUARDO'!U$40:U$46)+SUMIF('ANCHONDO ROMERO CESAR ALEJANDRO'!P$40:P$46,'KM POR UNIDAD'!A62,'ANCHONDO ROMERO CESAR ALEJANDRO'!U$40:U$46)</f>
        <v>0</v>
      </c>
      <c r="C62" s="150">
        <f ca="1">+SUMIF('AGUILAR ESQUIVEL CARLOS'!P$40:P$46,'KM POR UNIDAD'!A62,'AGUILAR ESQUIVEL CARLOS'!T$40:T$46)+SUMIF('AGUILAR RODRIGUEZ JORGE ALONSO'!P$40:P$46,'KM POR UNIDAD'!A62,'AGUILAR RODRIGUEZ JORGE ALONSO'!T$40:T$46)+SUMIF('REYES LARA DANTE'!P$40:P$46,'KM POR UNIDAD'!A62,'REYES LARA DANTE'!T$40:T$46)+SUMIF('RAMIREZ BAUTISTA ADRIAN'!P$40:P$46,'KM POR UNIDAD'!A62,'RAMIREZ BAUTISTA ADRIAN'!T$40:T$46)+SUMIF('FLORES BOJORQUEZ BRYAN OVED'!P$40:P$46,'KM POR UNIDAD'!A62,'FLORES BOJORQUEZ BRYAN OVED'!T$40:T$46)+SUMIF('BALDERRAMA ROBLES JORGE'!P$40:P$46,'KM POR UNIDAD'!A62,'BALDERRAMA ROBLES JORGE'!T$40:T$46)+SUMIF('BURGOS TORRES RIGOBERTO'!P$39:P$45,'KM POR UNIDAD'!A62,'BURGOS TORRES RIGOBERTO'!T$39:T$45)+SUMIF('CORDOVA URIBE JOSE  ADRIAN'!P$40:P$46,'KM POR UNIDAD'!A62,'CORDOVA URIBE JOSE  ADRIAN'!T$40:T$46)+SUMIF('GUZMAN CHAPARRO PEDRO'!P$40:P$46,'KM POR UNIDAD'!A62,'GUZMAN CHAPARRO PEDRO'!T$40:T$46)+SUMIF('HERNANDEZ LICANO JOSE LUIS'!P$40:P$46,'KM POR UNIDAD'!A62,'HERNANDEZ LICANO JOSE LUIS'!T$40:T$46)+SUMIF('CARRERA REYES MARTIN SEBASTIAN'!P$41:P$47,'KM POR UNIDAD'!A62,'CARRERA REYES MARTIN SEBASTIAN'!T$41:T$47)+SUMIF('RUIZ SAUCEDO DANIEL ALEJANDRO'!P$40:P$46,'KM POR UNIDAD'!A62,'RUIZ SAUCEDO DANIEL ALEJANDRO'!T$40:T$46)+SUMIF('MARTINEZ RAMIREZ ROSALIO'!P$40:P$46,'KM POR UNIDAD'!A62,'MARTINEZ RAMIREZ ROSALIO'!T$40:T$46)+SUMIF('BALLEZA RAMIREZ JESUS JOSE'!P$40:P$46,'KM POR UNIDAD'!A62,'BALLEZA RAMIREZ JESUS JOSE'!T$40:T$46)+SUMIF('MONTERO BURROLA LUIS'!P$38:P$44,'KM POR UNIDAD'!A62,'MONTERO BURROLA LUIS'!T$38:T$44)+SUMIF('AGUILERA CONTRERAS LUIS GERARDO'!P$41:P$47,'KM POR UNIDAD'!A62,'AGUILERA CONTRERAS LUIS GERARDO'!T$41:T$47)+SUMIF('MORALES LOPEZ DE LARA MARIANO'!P$40:P$46,'KM POR UNIDAD'!A62,'MORALES LOPEZ DE LARA MARIANO'!T$40:T$46)+SUMIF('MELENDEZ SINALOA MANUEL ARAT'!P$40:P$46,'KM POR UNIDAD'!A62,'MELENDEZ SINALOA MANUEL ARAT'!T$40:T$46)+SUMIF('MORALES LECHUGA GONZALO'!P$40:P$46,'KM POR UNIDAD'!A62,'MORALES LECHUGA GONZALO'!T$40:T$46)+SUMIF('ORONA BECERRA MAURO JOSE'!P$40:P$46,'KM POR UNIDAD'!A62,'ORONA BECERRA MAURO JOSE'!T$40:T$46)+SUMIF('VALLES HERNANDEZ MANUEL MARCELI'!P$39:P$45,'KM POR UNIDAD'!A62,'VALLES HERNANDEZ MANUEL MARCELI'!T$39:T$45)+SUMIF('ORTIZ RAMIREZ HECTOR MANUEL'!P$40:P$46,'KM POR UNIDAD'!A62,'ORTIZ RAMIREZ HECTOR MANUEL'!T$40:T$46)+SUMIF('ONTIVEROS LIRA JUAN'!P$40:P$446,'KM POR UNIDAD'!A62,'ONTIVEROS LIRA JUAN'!T$40:T$46)+SUMIF('RODRIGUEZ FLORES BRYAN DARIO'!P$40:P$46,'KM POR UNIDAD'!A62,'RODRIGUEZ FLORES BRYAN DARIO'!T$40:T$46)+SUMIF('NUÑEZ RUIZ IRVING JAVIER.'!P$42:P$48,'KM POR UNIDAD'!A62,'NUÑEZ RUIZ IRVING JAVIER.'!T$42:T$48)+SUMIF('MACHADO MAZUCA ADOLFO'!P$40:P$46,'KM POR UNIDAD'!A62,'MACHADO MAZUCA ADOLFO'!T$40:T$46)+SUMIF('LIRA ARCEO JOEL EDUARDO'!P$40:P$46,'KM POR UNIDAD'!A62,'LIRA ARCEO JOEL EDUARDO'!T$40:T$46)+SUMIF('ANCHONDO ROMERO CESAR ALEJANDRO'!P$40:P$46,'KM POR UNIDAD'!A62,'ANCHONDO ROMERO CESAR ALEJANDRO'!T$40:T$46)</f>
        <v>0</v>
      </c>
      <c r="D62" s="150">
        <f>+SUMIF('AGUILAR ESQUIVEL CARLOS'!P$40:P$46,'KM POR UNIDAD'!A62,'AGUILAR ESQUIVEL CARLOS'!V$40:V$46)+SUMIF('AGUILAR RODRIGUEZ JORGE ALONSO'!P$40:P$46,'KM POR UNIDAD'!A62,'AGUILAR RODRIGUEZ JORGE ALONSO'!V$40:V$46)+SUMIF('REYES LARA DANTE'!P$40:P$46,'KM POR UNIDAD'!A62,'REYES LARA DANTE'!V$40:V$46)+SUMIF('RAMIREZ BAUTISTA ADRIAN'!P$40:P$46,'KM POR UNIDAD'!A62,'RAMIREZ BAUTISTA ADRIAN'!V$40:V$46)+SUMIF('FLORES BOJORQUEZ BRYAN OVED'!P$40:P$46,'KM POR UNIDAD'!A62,'FLORES BOJORQUEZ BRYAN OVED'!V$40:V$46)+SUMIF('BALDERRAMA ROBLES JORGE'!P$40:P$46,'KM POR UNIDAD'!A62,'BALDERRAMA ROBLES JORGE'!V$40:V$46)+SUMIF('BURGOS TORRES RIGOBERTO'!P$39:P$45,'KM POR UNIDAD'!A62,'BURGOS TORRES RIGOBERTO'!V$39:V$45)+SUMIF('CORDOVA URIBE JOSE  ADRIAN'!P$40:P$46,'KM POR UNIDAD'!A62,'CORDOVA URIBE JOSE  ADRIAN'!V$40:V$46)+SUMIF('GUZMAN CHAPARRO PEDRO'!P$40:P$46,'KM POR UNIDAD'!A62,'GUZMAN CHAPARRO PEDRO'!V$40:V$46)+SUMIF('HERNANDEZ LICANO JOSE LUIS'!P$40:P$46,'KM POR UNIDAD'!A62,'HERNANDEZ LICANO JOSE LUIS'!V$40:V$46)+SUMIF('CARRERA REYES MARTIN SEBASTIAN'!P$41:P$47,'KM POR UNIDAD'!A62,'CARRERA REYES MARTIN SEBASTIAN'!V$41:V$47)+SUMIF('RUIZ SAUCEDO DANIEL ALEJANDRO'!P$40:P$46,'KM POR UNIDAD'!A62,'RUIZ SAUCEDO DANIEL ALEJANDRO'!V$40:V$46)+SUMIF('MARTINEZ RAMIREZ ROSALIO'!P$40:P$46,'KM POR UNIDAD'!A62,'MARTINEZ RAMIREZ ROSALIO'!V$40:V$46)+SUMIF('BALLEZA RAMIREZ JESUS JOSE'!P$40:P$46,'KM POR UNIDAD'!A62,'BALLEZA RAMIREZ JESUS JOSE'!V$40:V$46)+SUMIF('MONTERO BURROLA LUIS'!P$38:P$44,'KM POR UNIDAD'!A62,'MONTERO BURROLA LUIS'!V$38:V$44)+SUMIF('AGUILERA CONTRERAS LUIS GERARDO'!P$41:P$47,'KM POR UNIDAD'!A62,'AGUILERA CONTRERAS LUIS GERARDO'!V$41:V$47)+SUMIF('MORALES LOPEZ DE LARA MARIANO'!P$40:P$46,'KM POR UNIDAD'!A62,'MORALES LOPEZ DE LARA MARIANO'!V$40:V$46)+SUMIF('MELENDEZ SINALOA MANUEL ARAT'!P$40:P$46,'KM POR UNIDAD'!A62,'MELENDEZ SINALOA MANUEL ARAT'!V$40:V$46)+SUMIF('MORALES LECHUGA GONZALO'!P$40:P$46,'KM POR UNIDAD'!A62,'MORALES LECHUGA GONZALO'!V$40:V$46)+SUMIF('ORONA BECERRA MAURO JOSE'!P$40:P$46,'KM POR UNIDAD'!A62,'ORONA BECERRA MAURO JOSE'!V$40:V$46)+SUMIF('VALLES HERNANDEZ MANUEL MARCELI'!P$39:P$45,'KM POR UNIDAD'!A62,'VALLES HERNANDEZ MANUEL MARCELI'!V$39:V$45)+SUMIF('ORTIZ RAMIREZ HECTOR MANUEL'!P$40:P$46,'KM POR UNIDAD'!A62,'ORTIZ RAMIREZ HECTOR MANUEL'!V$40:V$46)+SUMIF('ONTIVEROS LIRA JUAN'!P$40:P$46,'KM POR UNIDAD'!A62,'ONTIVEROS LIRA JUAN'!V$40:V$46)+SUMIF('RODRIGUEZ FLORES BRYAN DARIO'!P$40:P$46,'KM POR UNIDAD'!A62,'RODRIGUEZ FLORES BRYAN DARIO'!V$40:V$46)+SUMIF('NUÑEZ RUIZ IRVING JAVIER.'!P$42:P$48,'KM POR UNIDAD'!A62,'NUÑEZ RUIZ IRVING JAVIER.'!V$42:V$48)+SUMIF('MACHADO MAZUCA ADOLFO'!P$40:P$46,'KM POR UNIDAD'!A62,'MACHADO MAZUCA ADOLFO'!V$40:V$46)+SUMIF('LIRA ARCEO JOEL EDUARDO'!P$40:P$46,'KM POR UNIDAD'!A62,'LIRA ARCEO JOEL EDUARDO'!V$40:V$46)+SUMIF('ANCHONDO ROMERO CESAR ALEJANDRO'!P$40:P$46,'KM POR UNIDAD'!A62,'ANCHONDO ROMERO CESAR ALEJANDRO'!V$40:V$46)</f>
        <v>0</v>
      </c>
      <c r="E62" s="145">
        <f t="shared" si="0"/>
        <v>0</v>
      </c>
      <c r="F62" s="144" t="e">
        <f ca="1">+SUMIF('AGUILAR ESQUIVEL CARLOS'!P$40:P$46,'KM POR UNIDAD'!A62,'AGUILAR ESQUIVEL CARLOS'!W$40:W$46)+SUMIF('AGUILAR RODRIGUEZ JORGE ALONSO'!P$40:P$46,'KM POR UNIDAD'!A62,'AGUILAR RODRIGUEZ JORGE ALONSO'!W$40:W$46)+SUMIF('REYES LARA DANTE'!T$40:T$46,'KM POR UNIDAD'!A62,'REYES LARA DANTE'!Y$40:Y$46)+SUMIF('RAMIREZ BAUTISTA ADRIAN'!T$40:T$46,'KM POR UNIDAD'!A62,'RAMIREZ BAUTISTA ADRIAN'!Y$40:Y$46)+SUMIF('FLORES BOJORQUEZ BRYAN OVED'!T$40:T$46,'KM POR UNIDAD'!A62,'FLORES BOJORQUEZ BRYAN OVED'!Y$40:Y$46)+SUMIF('BALDERRAMA ROBLES JORGE'!T$40:T$46,'KM POR UNIDAD'!A62,'BALDERRAMA ROBLES JORGE'!#REF!)+SUMIF('BURGOS TORRES RIGOBERTO'!T$39:T$45,'KM POR UNIDAD'!A62,'BURGOS TORRES RIGOBERTO'!Y$39:Y$45)+SUMIF('CORDOVA URIBE JOSE  ADRIAN'!T$40:T$46,'KM POR UNIDAD'!E62,'CORDOVA URIBE JOSE  ADRIAN'!Y$40:Y$46)+SUMIF('GUZMAN CHAPARRO PEDRO'!T$40:T$46,'KM POR UNIDAD'!E62,'GUZMAN CHAPARRO PEDRO'!Y$40:Y$46)+SUMIF('HERNANDEZ LICANO JOSE LUIS'!T$40:T$46,'KM POR UNIDAD'!E62,'HERNANDEZ LICANO JOSE LUIS'!#REF!)+SUMIF('CARRERA REYES MARTIN SEBASTIAN'!T$41:T$47,'KM POR UNIDAD'!E62,'CARRERA REYES MARTIN SEBASTIAN'!Y$41:Y$47)+SUMIF('RUIZ SAUCEDO DANIEL ALEJANDRO'!T$40:T$46,'KM POR UNIDAD'!E62,'RUIZ SAUCEDO DANIEL ALEJANDRO'!Y$40:Y$46)+SUMIF('MARTINEZ RAMIREZ ROSALIO'!T$40:T$46,'KM POR UNIDAD'!E62,'MARTINEZ RAMIREZ ROSALIO'!Y$40:Y$46)+SUMIF('BALLEZA RAMIREZ JESUS JOSE'!T$40:T$46,'KM POR UNIDAD'!E62,'BALLEZA RAMIREZ JESUS JOSE'!T$176:T$180)+SUMIF('MONTERO BURROLA LUIS'!T$38:T$44,'KM POR UNIDAD'!E62,'MONTERO BURROLA LUIS'!Y$38:Y$44)+SUMIF('AGUILERA CONTRERAS LUIS GERARDO'!T$41:T$47,'KM POR UNIDAD'!E62,'AGUILERA CONTRERAS LUIS GERARDO'!Y$41:Y$47)+SUMIF('MORALES LOPEZ DE LARA MARIANO'!T$40:T$46,'KM POR UNIDAD'!E62,'MORALES LOPEZ DE LARA MARIANO'!Y$40:Y$46)+SUMIF('MELENDEZ SINALOA MANUEL ARAT'!T$40:T$46,'KM POR UNIDAD'!E62,'MELENDEZ SINALOA MANUEL ARAT'!#REF!)+SUMIF('MORALES LECHUGA GONZALO'!T$40:T$46,'KM POR UNIDAD'!E62,'MORALES LECHUGA GONZALO'!Y$40:Y$46)+SUMIF('ORONA BECERRA MAURO JOSE'!T$40:T$46,'KM POR UNIDAD'!E62,'ORONA BECERRA MAURO JOSE'!Y$40:Y$46)+SUMIF('VALLES HERNANDEZ MANUEL MARCELI'!T$39:T$45,'KM POR UNIDAD'!E62,'VALLES HERNANDEZ MANUEL MARCELI'!Y$39:Y$45)+SUMIF('ORTIZ RAMIREZ HECTOR MANUEL'!T$40:T$46,'KM POR UNIDAD'!E62,'ORTIZ RAMIREZ HECTOR MANUEL'!Y$40:Y$46)+SUMIF('ONTIVEROS LIRA JUAN'!T$40:T$46,'KM POR UNIDAD'!E62,'ONTIVEROS LIRA JUAN'!Y$40:Y$46)+SUMIF('RODRIGUEZ FLORES BRYAN DARIO'!T$40:T$46,'KM POR UNIDAD'!E62,'RODRIGUEZ FLORES BRYAN DARIO'!Y$40:Y$46)+SUMIF('NUÑEZ RUIZ IRVING JAVIER.'!T$42:T$48,'KM POR UNIDAD'!E62,'NUÑEZ RUIZ IRVING JAVIER.'!Y$42:Y$48)+SUMIF('MACHADO MAZUCA ADOLFO'!T$40:T$46,'KM POR UNIDAD'!E62,'MACHADO MAZUCA ADOLFO'!Y$40:Y$46)+SUMIF('LIRA ARCEO JOEL EDUARDO'!T$40:T$46,'KM POR UNIDAD'!E62,'LIRA ARCEO JOEL EDUARDO'!Y$41:Y$46)+SUMIF('ANCHONDO ROMERO CESAR ALEJANDRO'!T$40:T$46,'KM POR UNIDAD'!E62,'ANCHONDO ROMERO CESAR ALEJANDRO'!Y$40:Y$46)</f>
        <v>#REF!</v>
      </c>
      <c r="G62" s="146"/>
    </row>
    <row r="63" spans="1:9" x14ac:dyDescent="0.25">
      <c r="A63" s="143" t="s">
        <v>259</v>
      </c>
      <c r="B63" s="144">
        <f>+SUMIF('AGUILAR ESQUIVEL CARLOS'!P$40:P$46,'KM POR UNIDAD'!A63,'AGUILAR ESQUIVEL CARLOS'!U$40:U$46)+SUMIF('AGUILAR RODRIGUEZ JORGE ALONSO'!P$40:P$46,'KM POR UNIDAD'!A63,'AGUILAR RODRIGUEZ JORGE ALONSO'!U$40:U$46)+SUMIF('REYES LARA DANTE'!P$40:P$46,'KM POR UNIDAD'!A63,'REYES LARA DANTE'!U$40:U$46)+SUMIF('RAMIREZ BAUTISTA ADRIAN'!P$40:P$46,'KM POR UNIDAD'!A63,'RAMIREZ BAUTISTA ADRIAN'!U$40:U$46)+SUMIF('FLORES BOJORQUEZ BRYAN OVED'!P$40:P$46,'KM POR UNIDAD'!A63,'FLORES BOJORQUEZ BRYAN OVED'!U$40:U$46)+SUMIF('BALDERRAMA ROBLES JORGE'!P$40:P$46,'KM POR UNIDAD'!A63,'BALDERRAMA ROBLES JORGE'!U$40:U$46)+SUMIF('BURGOS TORRES RIGOBERTO'!P$39:P$45,'KM POR UNIDAD'!A63,'BURGOS TORRES RIGOBERTO'!U$39:U$45)+SUMIF('CORDOVA URIBE JOSE  ADRIAN'!P$40:P$46,'KM POR UNIDAD'!A63,'CORDOVA URIBE JOSE  ADRIAN'!U$40:U$46)+SUMIF('GUZMAN CHAPARRO PEDRO'!P$40:P$46,'KM POR UNIDAD'!A63,'GUZMAN CHAPARRO PEDRO'!U$40:U$46)+SUMIF('HERNANDEZ LICANO JOSE LUIS'!P$40:P$46,'KM POR UNIDAD'!A63,'HERNANDEZ LICANO JOSE LUIS'!U$40:U$46)+SUMIF('CARRERA REYES MARTIN SEBASTIAN'!P$41:P$47,'KM POR UNIDAD'!A63,'CARRERA REYES MARTIN SEBASTIAN'!U$41:U$47)+SUMIF('RUIZ SAUCEDO DANIEL ALEJANDRO'!P$40:P$46,'KM POR UNIDAD'!A63,'RUIZ SAUCEDO DANIEL ALEJANDRO'!U$40:U$46)+SUMIF('MARTINEZ RAMIREZ ROSALIO'!P$40:P$46,'KM POR UNIDAD'!A63,'MARTINEZ RAMIREZ ROSALIO'!U$40:U$46)+SUMIF('BALLEZA RAMIREZ JESUS JOSE'!P$40:P$46,'KM POR UNIDAD'!A63,'BALLEZA RAMIREZ JESUS JOSE'!U$40:U$46)+SUMIF('MONTERO BURROLA LUIS'!P$38:P$44,'KM POR UNIDAD'!A63,'MONTERO BURROLA LUIS'!U$38:U$44)+SUMIF('AGUILERA CONTRERAS LUIS GERARDO'!P$41:P$47,'KM POR UNIDAD'!A63,'AGUILERA CONTRERAS LUIS GERARDO'!U$41:U$47)+SUMIF('MORALES LOPEZ DE LARA MARIANO'!P$40:P$46,'KM POR UNIDAD'!A63,'MORALES LOPEZ DE LARA MARIANO'!U$40:U$46)+SUMIF('MELENDEZ SINALOA MANUEL ARAT'!P$40:P$46,'KM POR UNIDAD'!A63,'MELENDEZ SINALOA MANUEL ARAT'!U$40:U$46)+SUMIF('MORALES LECHUGA GONZALO'!P$40:P$46,'KM POR UNIDAD'!A63,'MORALES LECHUGA GONZALO'!U$40:U$46)+SUMIF('ORONA BECERRA MAURO JOSE'!P$40:P$46,'KM POR UNIDAD'!A63,'ORONA BECERRA MAURO JOSE'!U$40:U$46)+SUMIF('VALLES HERNANDEZ MANUEL MARCELI'!P$39:P$45,'KM POR UNIDAD'!A63,'VALLES HERNANDEZ MANUEL MARCELI'!U$39:U$45)+SUMIF('ORTIZ RAMIREZ HECTOR MANUEL'!P$40:P$46,'KM POR UNIDAD'!A63,'ORTIZ RAMIREZ HECTOR MANUEL'!U$40:U$46)+SUMIF('ONTIVEROS LIRA JUAN'!P$40:P$46,'KM POR UNIDAD'!A63,'ONTIVEROS LIRA JUAN'!U$40:U$46)+SUMIF('RODRIGUEZ FLORES BRYAN DARIO'!P$40:P$46,'KM POR UNIDAD'!A63,'RODRIGUEZ FLORES BRYAN DARIO'!U$40:U$46)+SUMIF('NUÑEZ RUIZ IRVING JAVIER.'!P$42:P$48,'KM POR UNIDAD'!A63,'NUÑEZ RUIZ IRVING JAVIER.'!U$42:U$48)+SUMIF('MACHADO MAZUCA ADOLFO'!P$40:P$46,'KM POR UNIDAD'!A63,'MACHADO MAZUCA ADOLFO'!U$40:U$46)+SUMIF('LIRA ARCEO JOEL EDUARDO'!P$40:P$46,'KM POR UNIDAD'!A63,'LIRA ARCEO JOEL EDUARDO'!U$40:U$46)+SUMIF('ANCHONDO ROMERO CESAR ALEJANDRO'!P$40:P$46,'KM POR UNIDAD'!A63,'ANCHONDO ROMERO CESAR ALEJANDRO'!U$40:U$46)</f>
        <v>0</v>
      </c>
      <c r="C63" s="150">
        <f ca="1">+SUMIF('AGUILAR ESQUIVEL CARLOS'!P$40:P$46,'KM POR UNIDAD'!A63,'AGUILAR ESQUIVEL CARLOS'!T$40:T$46)+SUMIF('AGUILAR RODRIGUEZ JORGE ALONSO'!P$40:P$46,'KM POR UNIDAD'!A63,'AGUILAR RODRIGUEZ JORGE ALONSO'!T$40:T$46)+SUMIF('REYES LARA DANTE'!P$40:P$46,'KM POR UNIDAD'!A63,'REYES LARA DANTE'!T$40:T$46)+SUMIF('RAMIREZ BAUTISTA ADRIAN'!P$40:P$46,'KM POR UNIDAD'!A63,'RAMIREZ BAUTISTA ADRIAN'!T$40:T$46)+SUMIF('FLORES BOJORQUEZ BRYAN OVED'!P$40:P$46,'KM POR UNIDAD'!A63,'FLORES BOJORQUEZ BRYAN OVED'!T$40:T$46)+SUMIF('BALDERRAMA ROBLES JORGE'!P$40:P$46,'KM POR UNIDAD'!A63,'BALDERRAMA ROBLES JORGE'!T$40:T$46)+SUMIF('BURGOS TORRES RIGOBERTO'!P$39:P$45,'KM POR UNIDAD'!A63,'BURGOS TORRES RIGOBERTO'!T$39:T$45)+SUMIF('CORDOVA URIBE JOSE  ADRIAN'!P$40:P$46,'KM POR UNIDAD'!A63,'CORDOVA URIBE JOSE  ADRIAN'!T$40:T$46)+SUMIF('GUZMAN CHAPARRO PEDRO'!P$40:P$46,'KM POR UNIDAD'!A63,'GUZMAN CHAPARRO PEDRO'!T$40:T$46)+SUMIF('HERNANDEZ LICANO JOSE LUIS'!P$40:P$46,'KM POR UNIDAD'!A63,'HERNANDEZ LICANO JOSE LUIS'!T$40:T$46)+SUMIF('CARRERA REYES MARTIN SEBASTIAN'!P$41:P$47,'KM POR UNIDAD'!A63,'CARRERA REYES MARTIN SEBASTIAN'!T$41:T$47)+SUMIF('RUIZ SAUCEDO DANIEL ALEJANDRO'!P$40:P$46,'KM POR UNIDAD'!A63,'RUIZ SAUCEDO DANIEL ALEJANDRO'!T$40:T$46)+SUMIF('MARTINEZ RAMIREZ ROSALIO'!P$40:P$46,'KM POR UNIDAD'!A63,'MARTINEZ RAMIREZ ROSALIO'!T$40:T$46)+SUMIF('BALLEZA RAMIREZ JESUS JOSE'!P$40:P$46,'KM POR UNIDAD'!A63,'BALLEZA RAMIREZ JESUS JOSE'!T$40:T$46)+SUMIF('MONTERO BURROLA LUIS'!P$38:P$44,'KM POR UNIDAD'!A63,'MONTERO BURROLA LUIS'!T$38:T$44)+SUMIF('AGUILERA CONTRERAS LUIS GERARDO'!P$41:P$47,'KM POR UNIDAD'!A63,'AGUILERA CONTRERAS LUIS GERARDO'!T$41:T$47)+SUMIF('MORALES LOPEZ DE LARA MARIANO'!P$40:P$46,'KM POR UNIDAD'!A63,'MORALES LOPEZ DE LARA MARIANO'!T$40:T$46)+SUMIF('MELENDEZ SINALOA MANUEL ARAT'!P$40:P$46,'KM POR UNIDAD'!A63,'MELENDEZ SINALOA MANUEL ARAT'!T$40:T$46)+SUMIF('MORALES LECHUGA GONZALO'!P$40:P$46,'KM POR UNIDAD'!A63,'MORALES LECHUGA GONZALO'!T$40:T$46)+SUMIF('ORONA BECERRA MAURO JOSE'!P$40:P$46,'KM POR UNIDAD'!A63,'ORONA BECERRA MAURO JOSE'!T$40:T$46)+SUMIF('VALLES HERNANDEZ MANUEL MARCELI'!P$39:P$45,'KM POR UNIDAD'!A63,'VALLES HERNANDEZ MANUEL MARCELI'!T$39:T$45)+SUMIF('ORTIZ RAMIREZ HECTOR MANUEL'!P$40:P$46,'KM POR UNIDAD'!A63,'ORTIZ RAMIREZ HECTOR MANUEL'!T$40:T$46)+SUMIF('ONTIVEROS LIRA JUAN'!P$40:P$446,'KM POR UNIDAD'!A63,'ONTIVEROS LIRA JUAN'!T$40:T$46)+SUMIF('RODRIGUEZ FLORES BRYAN DARIO'!P$40:P$46,'KM POR UNIDAD'!A63,'RODRIGUEZ FLORES BRYAN DARIO'!T$40:T$46)+SUMIF('NUÑEZ RUIZ IRVING JAVIER.'!P$42:P$48,'KM POR UNIDAD'!A63,'NUÑEZ RUIZ IRVING JAVIER.'!T$42:T$48)+SUMIF('MACHADO MAZUCA ADOLFO'!P$40:P$46,'KM POR UNIDAD'!A63,'MACHADO MAZUCA ADOLFO'!T$40:T$46)+SUMIF('LIRA ARCEO JOEL EDUARDO'!P$40:P$46,'KM POR UNIDAD'!A63,'LIRA ARCEO JOEL EDUARDO'!T$40:T$46)+SUMIF('ANCHONDO ROMERO CESAR ALEJANDRO'!P$40:P$46,'KM POR UNIDAD'!A63,'ANCHONDO ROMERO CESAR ALEJANDRO'!T$40:T$46)</f>
        <v>0</v>
      </c>
      <c r="D63" s="150">
        <f>+SUMIF('AGUILAR ESQUIVEL CARLOS'!P$40:P$46,'KM POR UNIDAD'!A63,'AGUILAR ESQUIVEL CARLOS'!V$40:V$46)+SUMIF('AGUILAR RODRIGUEZ JORGE ALONSO'!P$40:P$46,'KM POR UNIDAD'!A63,'AGUILAR RODRIGUEZ JORGE ALONSO'!V$40:V$46)+SUMIF('REYES LARA DANTE'!P$40:P$46,'KM POR UNIDAD'!A63,'REYES LARA DANTE'!V$40:V$46)+SUMIF('RAMIREZ BAUTISTA ADRIAN'!P$40:P$46,'KM POR UNIDAD'!A63,'RAMIREZ BAUTISTA ADRIAN'!V$40:V$46)+SUMIF('FLORES BOJORQUEZ BRYAN OVED'!P$40:P$46,'KM POR UNIDAD'!A63,'FLORES BOJORQUEZ BRYAN OVED'!V$40:V$46)+SUMIF('BALDERRAMA ROBLES JORGE'!P$40:P$46,'KM POR UNIDAD'!A63,'BALDERRAMA ROBLES JORGE'!V$40:V$46)+SUMIF('BURGOS TORRES RIGOBERTO'!P$39:P$45,'KM POR UNIDAD'!A63,'BURGOS TORRES RIGOBERTO'!V$39:V$45)+SUMIF('CORDOVA URIBE JOSE  ADRIAN'!P$40:P$46,'KM POR UNIDAD'!A63,'CORDOVA URIBE JOSE  ADRIAN'!V$40:V$46)+SUMIF('GUZMAN CHAPARRO PEDRO'!P$40:P$46,'KM POR UNIDAD'!A63,'GUZMAN CHAPARRO PEDRO'!V$40:V$46)+SUMIF('HERNANDEZ LICANO JOSE LUIS'!P$40:P$46,'KM POR UNIDAD'!A63,'HERNANDEZ LICANO JOSE LUIS'!V$40:V$46)+SUMIF('CARRERA REYES MARTIN SEBASTIAN'!P$41:P$47,'KM POR UNIDAD'!A63,'CARRERA REYES MARTIN SEBASTIAN'!V$41:V$47)+SUMIF('RUIZ SAUCEDO DANIEL ALEJANDRO'!P$40:P$46,'KM POR UNIDAD'!A63,'RUIZ SAUCEDO DANIEL ALEJANDRO'!V$40:V$46)+SUMIF('MARTINEZ RAMIREZ ROSALIO'!P$40:P$46,'KM POR UNIDAD'!A63,'MARTINEZ RAMIREZ ROSALIO'!V$40:V$46)+SUMIF('BALLEZA RAMIREZ JESUS JOSE'!P$40:P$46,'KM POR UNIDAD'!A63,'BALLEZA RAMIREZ JESUS JOSE'!V$40:V$46)+SUMIF('MONTERO BURROLA LUIS'!P$38:P$44,'KM POR UNIDAD'!A63,'MONTERO BURROLA LUIS'!V$38:V$44)+SUMIF('AGUILERA CONTRERAS LUIS GERARDO'!P$41:P$47,'KM POR UNIDAD'!A63,'AGUILERA CONTRERAS LUIS GERARDO'!V$41:V$47)+SUMIF('MORALES LOPEZ DE LARA MARIANO'!P$40:P$46,'KM POR UNIDAD'!A63,'MORALES LOPEZ DE LARA MARIANO'!V$40:V$46)+SUMIF('MELENDEZ SINALOA MANUEL ARAT'!P$40:P$46,'KM POR UNIDAD'!A63,'MELENDEZ SINALOA MANUEL ARAT'!V$40:V$46)+SUMIF('MORALES LECHUGA GONZALO'!P$40:P$46,'KM POR UNIDAD'!A63,'MORALES LECHUGA GONZALO'!V$40:V$46)+SUMIF('ORONA BECERRA MAURO JOSE'!P$40:P$46,'KM POR UNIDAD'!A63,'ORONA BECERRA MAURO JOSE'!V$40:V$46)+SUMIF('VALLES HERNANDEZ MANUEL MARCELI'!P$39:P$45,'KM POR UNIDAD'!A63,'VALLES HERNANDEZ MANUEL MARCELI'!V$39:V$45)+SUMIF('ORTIZ RAMIREZ HECTOR MANUEL'!P$40:P$46,'KM POR UNIDAD'!A63,'ORTIZ RAMIREZ HECTOR MANUEL'!V$40:V$46)+SUMIF('ONTIVEROS LIRA JUAN'!P$40:P$46,'KM POR UNIDAD'!A63,'ONTIVEROS LIRA JUAN'!V$40:V$46)+SUMIF('RODRIGUEZ FLORES BRYAN DARIO'!P$40:P$46,'KM POR UNIDAD'!A63,'RODRIGUEZ FLORES BRYAN DARIO'!V$40:V$46)+SUMIF('NUÑEZ RUIZ IRVING JAVIER.'!P$42:P$48,'KM POR UNIDAD'!A63,'NUÑEZ RUIZ IRVING JAVIER.'!V$42:V$48)+SUMIF('MACHADO MAZUCA ADOLFO'!P$40:P$46,'KM POR UNIDAD'!A63,'MACHADO MAZUCA ADOLFO'!V$40:V$46)+SUMIF('LIRA ARCEO JOEL EDUARDO'!P$40:P$46,'KM POR UNIDAD'!A63,'LIRA ARCEO JOEL EDUARDO'!V$40:V$46)+SUMIF('ANCHONDO ROMERO CESAR ALEJANDRO'!P$40:P$46,'KM POR UNIDAD'!A63,'ANCHONDO ROMERO CESAR ALEJANDRO'!V$40:V$46)</f>
        <v>0</v>
      </c>
      <c r="E63" s="145">
        <f t="shared" si="0"/>
        <v>0</v>
      </c>
      <c r="F63" s="144" t="e">
        <f ca="1">+SUMIF('AGUILAR ESQUIVEL CARLOS'!P$40:P$46,'KM POR UNIDAD'!A63,'AGUILAR ESQUIVEL CARLOS'!W$40:W$46)+SUMIF('AGUILAR RODRIGUEZ JORGE ALONSO'!P$40:P$46,'KM POR UNIDAD'!A63,'AGUILAR RODRIGUEZ JORGE ALONSO'!W$40:W$46)+SUMIF('REYES LARA DANTE'!T$40:T$46,'KM POR UNIDAD'!A63,'REYES LARA DANTE'!Y$40:Y$46)+SUMIF('RAMIREZ BAUTISTA ADRIAN'!T$40:T$46,'KM POR UNIDAD'!A63,'RAMIREZ BAUTISTA ADRIAN'!Y$40:Y$46)+SUMIF('FLORES BOJORQUEZ BRYAN OVED'!T$40:T$46,'KM POR UNIDAD'!A63,'FLORES BOJORQUEZ BRYAN OVED'!Y$40:Y$46)+SUMIF('BALDERRAMA ROBLES JORGE'!T$40:T$46,'KM POR UNIDAD'!A63,'BALDERRAMA ROBLES JORGE'!#REF!)+SUMIF('BURGOS TORRES RIGOBERTO'!T$39:T$45,'KM POR UNIDAD'!A63,'BURGOS TORRES RIGOBERTO'!Y$39:Y$45)+SUMIF('CORDOVA URIBE JOSE  ADRIAN'!T$40:T$46,'KM POR UNIDAD'!E63,'CORDOVA URIBE JOSE  ADRIAN'!Y$40:Y$46)+SUMIF('GUZMAN CHAPARRO PEDRO'!T$40:T$46,'KM POR UNIDAD'!E63,'GUZMAN CHAPARRO PEDRO'!Y$40:Y$46)+SUMIF('HERNANDEZ LICANO JOSE LUIS'!T$40:T$46,'KM POR UNIDAD'!E63,'HERNANDEZ LICANO JOSE LUIS'!#REF!)+SUMIF('CARRERA REYES MARTIN SEBASTIAN'!T$41:T$47,'KM POR UNIDAD'!E63,'CARRERA REYES MARTIN SEBASTIAN'!Y$41:Y$47)+SUMIF('RUIZ SAUCEDO DANIEL ALEJANDRO'!T$40:T$46,'KM POR UNIDAD'!E63,'RUIZ SAUCEDO DANIEL ALEJANDRO'!Y$40:Y$46)+SUMIF('MARTINEZ RAMIREZ ROSALIO'!T$40:T$46,'KM POR UNIDAD'!E63,'MARTINEZ RAMIREZ ROSALIO'!Y$40:Y$46)+SUMIF('BALLEZA RAMIREZ JESUS JOSE'!T$40:T$46,'KM POR UNIDAD'!E63,'BALLEZA RAMIREZ JESUS JOSE'!T$176:T$180)+SUMIF('MONTERO BURROLA LUIS'!T$38:T$44,'KM POR UNIDAD'!E63,'MONTERO BURROLA LUIS'!Y$38:Y$44)+SUMIF('AGUILERA CONTRERAS LUIS GERARDO'!T$41:T$47,'KM POR UNIDAD'!E63,'AGUILERA CONTRERAS LUIS GERARDO'!Y$41:Y$47)+SUMIF('MORALES LOPEZ DE LARA MARIANO'!T$40:T$46,'KM POR UNIDAD'!E63,'MORALES LOPEZ DE LARA MARIANO'!Y$40:Y$46)+SUMIF('MELENDEZ SINALOA MANUEL ARAT'!T$40:T$46,'KM POR UNIDAD'!E63,'MELENDEZ SINALOA MANUEL ARAT'!#REF!)+SUMIF('MORALES LECHUGA GONZALO'!T$40:T$46,'KM POR UNIDAD'!E63,'MORALES LECHUGA GONZALO'!Y$40:Y$46)+SUMIF('ORONA BECERRA MAURO JOSE'!T$40:T$46,'KM POR UNIDAD'!E63,'ORONA BECERRA MAURO JOSE'!Y$40:Y$46)+SUMIF('VALLES HERNANDEZ MANUEL MARCELI'!T$39:T$45,'KM POR UNIDAD'!E63,'VALLES HERNANDEZ MANUEL MARCELI'!Y$39:Y$45)+SUMIF('ORTIZ RAMIREZ HECTOR MANUEL'!T$40:T$46,'KM POR UNIDAD'!E63,'ORTIZ RAMIREZ HECTOR MANUEL'!Y$40:Y$46)+SUMIF('ONTIVEROS LIRA JUAN'!T$40:T$46,'KM POR UNIDAD'!E63,'ONTIVEROS LIRA JUAN'!Y$40:Y$46)+SUMIF('RODRIGUEZ FLORES BRYAN DARIO'!T$40:T$46,'KM POR UNIDAD'!E63,'RODRIGUEZ FLORES BRYAN DARIO'!Y$40:Y$46)+SUMIF('NUÑEZ RUIZ IRVING JAVIER.'!T$42:T$48,'KM POR UNIDAD'!E63,'NUÑEZ RUIZ IRVING JAVIER.'!Y$42:Y$48)+SUMIF('MACHADO MAZUCA ADOLFO'!T$40:T$46,'KM POR UNIDAD'!E63,'MACHADO MAZUCA ADOLFO'!Y$40:Y$46)+SUMIF('LIRA ARCEO JOEL EDUARDO'!T$40:T$46,'KM POR UNIDAD'!E63,'LIRA ARCEO JOEL EDUARDO'!Y$41:Y$46)+SUMIF('ANCHONDO ROMERO CESAR ALEJANDRO'!T$40:T$46,'KM POR UNIDAD'!E63,'ANCHONDO ROMERO CESAR ALEJANDRO'!Y$40:Y$46)</f>
        <v>#REF!</v>
      </c>
      <c r="G63" s="146"/>
    </row>
    <row r="64" spans="1:9" x14ac:dyDescent="0.25">
      <c r="A64" s="143" t="s">
        <v>260</v>
      </c>
      <c r="B64" s="144">
        <f>+SUMIF('AGUILAR ESQUIVEL CARLOS'!P$40:P$46,'KM POR UNIDAD'!A64,'AGUILAR ESQUIVEL CARLOS'!U$40:U$46)+SUMIF('AGUILAR RODRIGUEZ JORGE ALONSO'!P$40:P$46,'KM POR UNIDAD'!A64,'AGUILAR RODRIGUEZ JORGE ALONSO'!U$40:U$46)+SUMIF('REYES LARA DANTE'!P$40:P$46,'KM POR UNIDAD'!A64,'REYES LARA DANTE'!U$40:U$46)+SUMIF('RAMIREZ BAUTISTA ADRIAN'!P$40:P$46,'KM POR UNIDAD'!A64,'RAMIREZ BAUTISTA ADRIAN'!U$40:U$46)+SUMIF('FLORES BOJORQUEZ BRYAN OVED'!P$40:P$46,'KM POR UNIDAD'!A64,'FLORES BOJORQUEZ BRYAN OVED'!U$40:U$46)+SUMIF('BALDERRAMA ROBLES JORGE'!P$40:P$46,'KM POR UNIDAD'!A64,'BALDERRAMA ROBLES JORGE'!U$40:U$46)+SUMIF('BURGOS TORRES RIGOBERTO'!P$39:P$45,'KM POR UNIDAD'!A64,'BURGOS TORRES RIGOBERTO'!U$39:U$45)+SUMIF('CORDOVA URIBE JOSE  ADRIAN'!P$40:P$46,'KM POR UNIDAD'!A64,'CORDOVA URIBE JOSE  ADRIAN'!U$40:U$46)+SUMIF('GUZMAN CHAPARRO PEDRO'!P$40:P$46,'KM POR UNIDAD'!A64,'GUZMAN CHAPARRO PEDRO'!U$40:U$46)+SUMIF('HERNANDEZ LICANO JOSE LUIS'!P$40:P$46,'KM POR UNIDAD'!A64,'HERNANDEZ LICANO JOSE LUIS'!U$40:U$46)+SUMIF('CARRERA REYES MARTIN SEBASTIAN'!P$41:P$47,'KM POR UNIDAD'!A64,'CARRERA REYES MARTIN SEBASTIAN'!U$41:U$47)+SUMIF('RUIZ SAUCEDO DANIEL ALEJANDRO'!P$40:P$46,'KM POR UNIDAD'!A64,'RUIZ SAUCEDO DANIEL ALEJANDRO'!U$40:U$46)+SUMIF('MARTINEZ RAMIREZ ROSALIO'!P$40:P$46,'KM POR UNIDAD'!A64,'MARTINEZ RAMIREZ ROSALIO'!U$40:U$46)+SUMIF('BALLEZA RAMIREZ JESUS JOSE'!P$40:P$46,'KM POR UNIDAD'!A64,'BALLEZA RAMIREZ JESUS JOSE'!U$40:U$46)+SUMIF('MONTERO BURROLA LUIS'!P$38:P$44,'KM POR UNIDAD'!A64,'MONTERO BURROLA LUIS'!U$38:U$44)+SUMIF('AGUILERA CONTRERAS LUIS GERARDO'!P$41:P$47,'KM POR UNIDAD'!A64,'AGUILERA CONTRERAS LUIS GERARDO'!U$41:U$47)+SUMIF('MORALES LOPEZ DE LARA MARIANO'!P$40:P$46,'KM POR UNIDAD'!A64,'MORALES LOPEZ DE LARA MARIANO'!U$40:U$46)+SUMIF('MELENDEZ SINALOA MANUEL ARAT'!P$40:P$46,'KM POR UNIDAD'!A64,'MELENDEZ SINALOA MANUEL ARAT'!U$40:U$46)+SUMIF('MORALES LECHUGA GONZALO'!P$40:P$46,'KM POR UNIDAD'!A64,'MORALES LECHUGA GONZALO'!U$40:U$46)+SUMIF('ORONA BECERRA MAURO JOSE'!P$40:P$46,'KM POR UNIDAD'!A64,'ORONA BECERRA MAURO JOSE'!U$40:U$46)+SUMIF('VALLES HERNANDEZ MANUEL MARCELI'!P$39:P$45,'KM POR UNIDAD'!A64,'VALLES HERNANDEZ MANUEL MARCELI'!U$39:U$45)+SUMIF('ORTIZ RAMIREZ HECTOR MANUEL'!P$40:P$46,'KM POR UNIDAD'!A64,'ORTIZ RAMIREZ HECTOR MANUEL'!U$40:U$46)+SUMIF('ONTIVEROS LIRA JUAN'!P$40:P$46,'KM POR UNIDAD'!A64,'ONTIVEROS LIRA JUAN'!U$40:U$46)+SUMIF('RODRIGUEZ FLORES BRYAN DARIO'!P$40:P$46,'KM POR UNIDAD'!A64,'RODRIGUEZ FLORES BRYAN DARIO'!U$40:U$46)+SUMIF('NUÑEZ RUIZ IRVING JAVIER.'!P$42:P$48,'KM POR UNIDAD'!A64,'NUÑEZ RUIZ IRVING JAVIER.'!U$42:U$48)+SUMIF('MACHADO MAZUCA ADOLFO'!P$40:P$46,'KM POR UNIDAD'!A64,'MACHADO MAZUCA ADOLFO'!U$40:U$46)+SUMIF('LIRA ARCEO JOEL EDUARDO'!P$40:P$46,'KM POR UNIDAD'!A64,'LIRA ARCEO JOEL EDUARDO'!U$40:U$46)+SUMIF('ANCHONDO ROMERO CESAR ALEJANDRO'!P$40:P$46,'KM POR UNIDAD'!A64,'ANCHONDO ROMERO CESAR ALEJANDRO'!U$40:U$46)</f>
        <v>0</v>
      </c>
      <c r="C64" s="150">
        <f ca="1">+SUMIF('AGUILAR ESQUIVEL CARLOS'!P$40:P$46,'KM POR UNIDAD'!A64,'AGUILAR ESQUIVEL CARLOS'!T$40:T$46)+SUMIF('AGUILAR RODRIGUEZ JORGE ALONSO'!P$40:P$46,'KM POR UNIDAD'!A64,'AGUILAR RODRIGUEZ JORGE ALONSO'!T$40:T$46)+SUMIF('REYES LARA DANTE'!P$40:P$46,'KM POR UNIDAD'!A64,'REYES LARA DANTE'!T$40:T$46)+SUMIF('RAMIREZ BAUTISTA ADRIAN'!P$40:P$46,'KM POR UNIDAD'!A64,'RAMIREZ BAUTISTA ADRIAN'!T$40:T$46)+SUMIF('FLORES BOJORQUEZ BRYAN OVED'!P$40:P$46,'KM POR UNIDAD'!A64,'FLORES BOJORQUEZ BRYAN OVED'!T$40:T$46)+SUMIF('BALDERRAMA ROBLES JORGE'!P$40:P$46,'KM POR UNIDAD'!A64,'BALDERRAMA ROBLES JORGE'!T$40:T$46)+SUMIF('BURGOS TORRES RIGOBERTO'!P$39:P$45,'KM POR UNIDAD'!A64,'BURGOS TORRES RIGOBERTO'!T$39:T$45)+SUMIF('CORDOVA URIBE JOSE  ADRIAN'!P$40:P$46,'KM POR UNIDAD'!A64,'CORDOVA URIBE JOSE  ADRIAN'!T$40:T$46)+SUMIF('GUZMAN CHAPARRO PEDRO'!P$40:P$46,'KM POR UNIDAD'!A64,'GUZMAN CHAPARRO PEDRO'!T$40:T$46)+SUMIF('HERNANDEZ LICANO JOSE LUIS'!P$40:P$46,'KM POR UNIDAD'!A64,'HERNANDEZ LICANO JOSE LUIS'!T$40:T$46)+SUMIF('CARRERA REYES MARTIN SEBASTIAN'!P$41:P$47,'KM POR UNIDAD'!A64,'CARRERA REYES MARTIN SEBASTIAN'!T$41:T$47)+SUMIF('RUIZ SAUCEDO DANIEL ALEJANDRO'!P$40:P$46,'KM POR UNIDAD'!A64,'RUIZ SAUCEDO DANIEL ALEJANDRO'!T$40:T$46)+SUMIF('MARTINEZ RAMIREZ ROSALIO'!P$40:P$46,'KM POR UNIDAD'!A64,'MARTINEZ RAMIREZ ROSALIO'!T$40:T$46)+SUMIF('BALLEZA RAMIREZ JESUS JOSE'!P$40:P$46,'KM POR UNIDAD'!A64,'BALLEZA RAMIREZ JESUS JOSE'!T$40:T$46)+SUMIF('MONTERO BURROLA LUIS'!P$38:P$44,'KM POR UNIDAD'!A64,'MONTERO BURROLA LUIS'!T$38:T$44)+SUMIF('AGUILERA CONTRERAS LUIS GERARDO'!P$41:P$47,'KM POR UNIDAD'!A64,'AGUILERA CONTRERAS LUIS GERARDO'!T$41:T$47)+SUMIF('MORALES LOPEZ DE LARA MARIANO'!P$40:P$46,'KM POR UNIDAD'!A64,'MORALES LOPEZ DE LARA MARIANO'!T$40:T$46)+SUMIF('MELENDEZ SINALOA MANUEL ARAT'!P$40:P$46,'KM POR UNIDAD'!A64,'MELENDEZ SINALOA MANUEL ARAT'!T$40:T$46)+SUMIF('MORALES LECHUGA GONZALO'!P$40:P$46,'KM POR UNIDAD'!A64,'MORALES LECHUGA GONZALO'!T$40:T$46)+SUMIF('ORONA BECERRA MAURO JOSE'!P$40:P$46,'KM POR UNIDAD'!A64,'ORONA BECERRA MAURO JOSE'!T$40:T$46)+SUMIF('VALLES HERNANDEZ MANUEL MARCELI'!P$39:P$45,'KM POR UNIDAD'!A64,'VALLES HERNANDEZ MANUEL MARCELI'!T$39:T$45)+SUMIF('ORTIZ RAMIREZ HECTOR MANUEL'!P$40:P$46,'KM POR UNIDAD'!A64,'ORTIZ RAMIREZ HECTOR MANUEL'!T$40:T$46)+SUMIF('ONTIVEROS LIRA JUAN'!P$40:P$446,'KM POR UNIDAD'!A64,'ONTIVEROS LIRA JUAN'!T$40:T$46)+SUMIF('RODRIGUEZ FLORES BRYAN DARIO'!P$40:P$46,'KM POR UNIDAD'!A64,'RODRIGUEZ FLORES BRYAN DARIO'!T$40:T$46)+SUMIF('NUÑEZ RUIZ IRVING JAVIER.'!P$42:P$48,'KM POR UNIDAD'!A64,'NUÑEZ RUIZ IRVING JAVIER.'!T$42:T$48)+SUMIF('MACHADO MAZUCA ADOLFO'!P$40:P$46,'KM POR UNIDAD'!A64,'MACHADO MAZUCA ADOLFO'!T$40:T$46)+SUMIF('LIRA ARCEO JOEL EDUARDO'!P$40:P$46,'KM POR UNIDAD'!A64,'LIRA ARCEO JOEL EDUARDO'!T$40:T$46)+SUMIF('ANCHONDO ROMERO CESAR ALEJANDRO'!P$40:P$46,'KM POR UNIDAD'!A64,'ANCHONDO ROMERO CESAR ALEJANDRO'!T$40:T$46)</f>
        <v>0</v>
      </c>
      <c r="D64" s="150">
        <f>+SUMIF('AGUILAR ESQUIVEL CARLOS'!P$40:P$46,'KM POR UNIDAD'!A64,'AGUILAR ESQUIVEL CARLOS'!V$40:V$46)+SUMIF('AGUILAR RODRIGUEZ JORGE ALONSO'!P$40:P$46,'KM POR UNIDAD'!A64,'AGUILAR RODRIGUEZ JORGE ALONSO'!V$40:V$46)+SUMIF('REYES LARA DANTE'!P$40:P$46,'KM POR UNIDAD'!A64,'REYES LARA DANTE'!V$40:V$46)+SUMIF('RAMIREZ BAUTISTA ADRIAN'!P$40:P$46,'KM POR UNIDAD'!A64,'RAMIREZ BAUTISTA ADRIAN'!V$40:V$46)+SUMIF('FLORES BOJORQUEZ BRYAN OVED'!P$40:P$46,'KM POR UNIDAD'!A64,'FLORES BOJORQUEZ BRYAN OVED'!V$40:V$46)+SUMIF('BALDERRAMA ROBLES JORGE'!P$40:P$46,'KM POR UNIDAD'!A64,'BALDERRAMA ROBLES JORGE'!V$40:V$46)+SUMIF('BURGOS TORRES RIGOBERTO'!P$39:P$45,'KM POR UNIDAD'!A64,'BURGOS TORRES RIGOBERTO'!V$39:V$45)+SUMIF('CORDOVA URIBE JOSE  ADRIAN'!P$40:P$46,'KM POR UNIDAD'!A64,'CORDOVA URIBE JOSE  ADRIAN'!V$40:V$46)+SUMIF('GUZMAN CHAPARRO PEDRO'!P$40:P$46,'KM POR UNIDAD'!A64,'GUZMAN CHAPARRO PEDRO'!V$40:V$46)+SUMIF('HERNANDEZ LICANO JOSE LUIS'!P$40:P$46,'KM POR UNIDAD'!A64,'HERNANDEZ LICANO JOSE LUIS'!V$40:V$46)+SUMIF('CARRERA REYES MARTIN SEBASTIAN'!P$41:P$47,'KM POR UNIDAD'!A64,'CARRERA REYES MARTIN SEBASTIAN'!V$41:V$47)+SUMIF('RUIZ SAUCEDO DANIEL ALEJANDRO'!P$40:P$46,'KM POR UNIDAD'!A64,'RUIZ SAUCEDO DANIEL ALEJANDRO'!V$40:V$46)+SUMIF('MARTINEZ RAMIREZ ROSALIO'!P$40:P$46,'KM POR UNIDAD'!A64,'MARTINEZ RAMIREZ ROSALIO'!V$40:V$46)+SUMIF('BALLEZA RAMIREZ JESUS JOSE'!P$40:P$46,'KM POR UNIDAD'!A64,'BALLEZA RAMIREZ JESUS JOSE'!V$40:V$46)+SUMIF('MONTERO BURROLA LUIS'!P$38:P$44,'KM POR UNIDAD'!A64,'MONTERO BURROLA LUIS'!V$38:V$44)+SUMIF('AGUILERA CONTRERAS LUIS GERARDO'!P$41:P$47,'KM POR UNIDAD'!A64,'AGUILERA CONTRERAS LUIS GERARDO'!V$41:V$47)+SUMIF('MORALES LOPEZ DE LARA MARIANO'!P$40:P$46,'KM POR UNIDAD'!A64,'MORALES LOPEZ DE LARA MARIANO'!V$40:V$46)+SUMIF('MELENDEZ SINALOA MANUEL ARAT'!P$40:P$46,'KM POR UNIDAD'!A64,'MELENDEZ SINALOA MANUEL ARAT'!V$40:V$46)+SUMIF('MORALES LECHUGA GONZALO'!P$40:P$46,'KM POR UNIDAD'!A64,'MORALES LECHUGA GONZALO'!V$40:V$46)+SUMIF('ORONA BECERRA MAURO JOSE'!P$40:P$46,'KM POR UNIDAD'!A64,'ORONA BECERRA MAURO JOSE'!V$40:V$46)+SUMIF('VALLES HERNANDEZ MANUEL MARCELI'!P$39:P$45,'KM POR UNIDAD'!A64,'VALLES HERNANDEZ MANUEL MARCELI'!V$39:V$45)+SUMIF('ORTIZ RAMIREZ HECTOR MANUEL'!P$40:P$46,'KM POR UNIDAD'!A64,'ORTIZ RAMIREZ HECTOR MANUEL'!V$40:V$46)+SUMIF('ONTIVEROS LIRA JUAN'!P$40:P$46,'KM POR UNIDAD'!A64,'ONTIVEROS LIRA JUAN'!V$40:V$46)+SUMIF('RODRIGUEZ FLORES BRYAN DARIO'!P$40:P$46,'KM POR UNIDAD'!A64,'RODRIGUEZ FLORES BRYAN DARIO'!V$40:V$46)+SUMIF('NUÑEZ RUIZ IRVING JAVIER.'!P$42:P$48,'KM POR UNIDAD'!A64,'NUÑEZ RUIZ IRVING JAVIER.'!V$42:V$48)+SUMIF('MACHADO MAZUCA ADOLFO'!P$40:P$46,'KM POR UNIDAD'!A64,'MACHADO MAZUCA ADOLFO'!V$40:V$46)+SUMIF('LIRA ARCEO JOEL EDUARDO'!P$40:P$46,'KM POR UNIDAD'!A64,'LIRA ARCEO JOEL EDUARDO'!V$40:V$46)+SUMIF('ANCHONDO ROMERO CESAR ALEJANDRO'!P$40:P$46,'KM POR UNIDAD'!A64,'ANCHONDO ROMERO CESAR ALEJANDRO'!V$40:V$46)</f>
        <v>0</v>
      </c>
      <c r="E64" s="145">
        <f t="shared" si="0"/>
        <v>0</v>
      </c>
      <c r="F64" s="144" t="e">
        <f ca="1">+SUMIF('AGUILAR ESQUIVEL CARLOS'!P$40:P$46,'KM POR UNIDAD'!A64,'AGUILAR ESQUIVEL CARLOS'!W$40:W$46)+SUMIF('AGUILAR RODRIGUEZ JORGE ALONSO'!P$40:P$46,'KM POR UNIDAD'!A64,'AGUILAR RODRIGUEZ JORGE ALONSO'!W$40:W$46)+SUMIF('REYES LARA DANTE'!T$40:T$46,'KM POR UNIDAD'!A64,'REYES LARA DANTE'!Y$40:Y$46)+SUMIF('RAMIREZ BAUTISTA ADRIAN'!T$40:T$46,'KM POR UNIDAD'!A64,'RAMIREZ BAUTISTA ADRIAN'!Y$40:Y$46)+SUMIF('FLORES BOJORQUEZ BRYAN OVED'!T$40:T$46,'KM POR UNIDAD'!A64,'FLORES BOJORQUEZ BRYAN OVED'!Y$40:Y$46)+SUMIF('BALDERRAMA ROBLES JORGE'!T$40:T$46,'KM POR UNIDAD'!A64,'BALDERRAMA ROBLES JORGE'!#REF!)+SUMIF('BURGOS TORRES RIGOBERTO'!T$39:T$45,'KM POR UNIDAD'!A64,'BURGOS TORRES RIGOBERTO'!Y$39:Y$45)+SUMIF('CORDOVA URIBE JOSE  ADRIAN'!T$40:T$46,'KM POR UNIDAD'!E64,'CORDOVA URIBE JOSE  ADRIAN'!Y$40:Y$46)+SUMIF('GUZMAN CHAPARRO PEDRO'!T$40:T$46,'KM POR UNIDAD'!E64,'GUZMAN CHAPARRO PEDRO'!Y$40:Y$46)+SUMIF('HERNANDEZ LICANO JOSE LUIS'!T$40:T$46,'KM POR UNIDAD'!E64,'HERNANDEZ LICANO JOSE LUIS'!#REF!)+SUMIF('CARRERA REYES MARTIN SEBASTIAN'!T$41:T$47,'KM POR UNIDAD'!E64,'CARRERA REYES MARTIN SEBASTIAN'!Y$41:Y$47)+SUMIF('RUIZ SAUCEDO DANIEL ALEJANDRO'!T$40:T$46,'KM POR UNIDAD'!E64,'RUIZ SAUCEDO DANIEL ALEJANDRO'!Y$40:Y$46)+SUMIF('MARTINEZ RAMIREZ ROSALIO'!T$40:T$46,'KM POR UNIDAD'!E64,'MARTINEZ RAMIREZ ROSALIO'!Y$40:Y$46)+SUMIF('BALLEZA RAMIREZ JESUS JOSE'!T$40:T$46,'KM POR UNIDAD'!E64,'BALLEZA RAMIREZ JESUS JOSE'!T$176:T$180)+SUMIF('MONTERO BURROLA LUIS'!T$38:T$44,'KM POR UNIDAD'!E64,'MONTERO BURROLA LUIS'!Y$38:Y$44)+SUMIF('AGUILERA CONTRERAS LUIS GERARDO'!T$41:T$47,'KM POR UNIDAD'!E64,'AGUILERA CONTRERAS LUIS GERARDO'!Y$41:Y$47)+SUMIF('MORALES LOPEZ DE LARA MARIANO'!T$40:T$46,'KM POR UNIDAD'!E64,'MORALES LOPEZ DE LARA MARIANO'!Y$40:Y$46)+SUMIF('MELENDEZ SINALOA MANUEL ARAT'!T$40:T$46,'KM POR UNIDAD'!E64,'MELENDEZ SINALOA MANUEL ARAT'!#REF!)+SUMIF('MORALES LECHUGA GONZALO'!T$40:T$46,'KM POR UNIDAD'!E64,'MORALES LECHUGA GONZALO'!Y$40:Y$46)+SUMIF('ORONA BECERRA MAURO JOSE'!T$40:T$46,'KM POR UNIDAD'!E64,'ORONA BECERRA MAURO JOSE'!Y$40:Y$46)+SUMIF('VALLES HERNANDEZ MANUEL MARCELI'!T$39:T$45,'KM POR UNIDAD'!E64,'VALLES HERNANDEZ MANUEL MARCELI'!Y$39:Y$45)+SUMIF('ORTIZ RAMIREZ HECTOR MANUEL'!T$40:T$46,'KM POR UNIDAD'!E64,'ORTIZ RAMIREZ HECTOR MANUEL'!Y$40:Y$46)+SUMIF('ONTIVEROS LIRA JUAN'!T$40:T$46,'KM POR UNIDAD'!E64,'ONTIVEROS LIRA JUAN'!Y$40:Y$46)+SUMIF('RODRIGUEZ FLORES BRYAN DARIO'!T$40:T$46,'KM POR UNIDAD'!E64,'RODRIGUEZ FLORES BRYAN DARIO'!Y$40:Y$46)+SUMIF('NUÑEZ RUIZ IRVING JAVIER.'!T$42:T$48,'KM POR UNIDAD'!E64,'NUÑEZ RUIZ IRVING JAVIER.'!Y$42:Y$48)+SUMIF('MACHADO MAZUCA ADOLFO'!T$40:T$46,'KM POR UNIDAD'!E64,'MACHADO MAZUCA ADOLFO'!Y$40:Y$46)+SUMIF('LIRA ARCEO JOEL EDUARDO'!T$40:T$46,'KM POR UNIDAD'!E64,'LIRA ARCEO JOEL EDUARDO'!Y$41:Y$46)+SUMIF('ANCHONDO ROMERO CESAR ALEJANDRO'!T$40:T$46,'KM POR UNIDAD'!E64,'ANCHONDO ROMERO CESAR ALEJANDRO'!Y$40:Y$46)</f>
        <v>#REF!</v>
      </c>
      <c r="G64" s="146"/>
    </row>
    <row r="65" spans="1:7" x14ac:dyDescent="0.25">
      <c r="A65" s="143" t="s">
        <v>261</v>
      </c>
      <c r="B65" s="144">
        <f>+SUMIF('AGUILAR ESQUIVEL CARLOS'!P$40:P$46,'KM POR UNIDAD'!A65,'AGUILAR ESQUIVEL CARLOS'!U$40:U$46)+SUMIF('AGUILAR RODRIGUEZ JORGE ALONSO'!P$40:P$46,'KM POR UNIDAD'!A65,'AGUILAR RODRIGUEZ JORGE ALONSO'!U$40:U$46)+SUMIF('REYES LARA DANTE'!P$40:P$46,'KM POR UNIDAD'!A65,'REYES LARA DANTE'!U$40:U$46)+SUMIF('RAMIREZ BAUTISTA ADRIAN'!P$40:P$46,'KM POR UNIDAD'!A65,'RAMIREZ BAUTISTA ADRIAN'!U$40:U$46)+SUMIF('FLORES BOJORQUEZ BRYAN OVED'!P$40:P$46,'KM POR UNIDAD'!A65,'FLORES BOJORQUEZ BRYAN OVED'!U$40:U$46)+SUMIF('BALDERRAMA ROBLES JORGE'!P$40:P$46,'KM POR UNIDAD'!A65,'BALDERRAMA ROBLES JORGE'!U$40:U$46)+SUMIF('BURGOS TORRES RIGOBERTO'!P$39:P$45,'KM POR UNIDAD'!A65,'BURGOS TORRES RIGOBERTO'!U$39:U$45)+SUMIF('CORDOVA URIBE JOSE  ADRIAN'!P$40:P$46,'KM POR UNIDAD'!A65,'CORDOVA URIBE JOSE  ADRIAN'!U$40:U$46)+SUMIF('GUZMAN CHAPARRO PEDRO'!P$40:P$46,'KM POR UNIDAD'!A65,'GUZMAN CHAPARRO PEDRO'!U$40:U$46)+SUMIF('HERNANDEZ LICANO JOSE LUIS'!P$40:P$46,'KM POR UNIDAD'!A65,'HERNANDEZ LICANO JOSE LUIS'!U$40:U$46)+SUMIF('CARRERA REYES MARTIN SEBASTIAN'!P$41:P$47,'KM POR UNIDAD'!A65,'CARRERA REYES MARTIN SEBASTIAN'!U$41:U$47)+SUMIF('RUIZ SAUCEDO DANIEL ALEJANDRO'!P$40:P$46,'KM POR UNIDAD'!A65,'RUIZ SAUCEDO DANIEL ALEJANDRO'!U$40:U$46)+SUMIF('MARTINEZ RAMIREZ ROSALIO'!P$40:P$46,'KM POR UNIDAD'!A65,'MARTINEZ RAMIREZ ROSALIO'!U$40:U$46)+SUMIF('BALLEZA RAMIREZ JESUS JOSE'!P$40:P$46,'KM POR UNIDAD'!A65,'BALLEZA RAMIREZ JESUS JOSE'!U$40:U$46)+SUMIF('MONTERO BURROLA LUIS'!P$38:P$44,'KM POR UNIDAD'!A65,'MONTERO BURROLA LUIS'!U$38:U$44)+SUMIF('AGUILERA CONTRERAS LUIS GERARDO'!P$41:P$47,'KM POR UNIDAD'!A65,'AGUILERA CONTRERAS LUIS GERARDO'!U$41:U$47)+SUMIF('MORALES LOPEZ DE LARA MARIANO'!P$40:P$46,'KM POR UNIDAD'!A65,'MORALES LOPEZ DE LARA MARIANO'!U$40:U$46)+SUMIF('MELENDEZ SINALOA MANUEL ARAT'!P$40:P$46,'KM POR UNIDAD'!A65,'MELENDEZ SINALOA MANUEL ARAT'!U$40:U$46)+SUMIF('MORALES LECHUGA GONZALO'!P$40:P$46,'KM POR UNIDAD'!A65,'MORALES LECHUGA GONZALO'!U$40:U$46)+SUMIF('ORONA BECERRA MAURO JOSE'!P$40:P$46,'KM POR UNIDAD'!A65,'ORONA BECERRA MAURO JOSE'!U$40:U$46)+SUMIF('VALLES HERNANDEZ MANUEL MARCELI'!P$39:P$45,'KM POR UNIDAD'!A65,'VALLES HERNANDEZ MANUEL MARCELI'!U$39:U$45)+SUMIF('ORTIZ RAMIREZ HECTOR MANUEL'!P$40:P$46,'KM POR UNIDAD'!A65,'ORTIZ RAMIREZ HECTOR MANUEL'!U$40:U$46)+SUMIF('ONTIVEROS LIRA JUAN'!P$40:P$46,'KM POR UNIDAD'!A65,'ONTIVEROS LIRA JUAN'!U$40:U$46)+SUMIF('RODRIGUEZ FLORES BRYAN DARIO'!P$40:P$46,'KM POR UNIDAD'!A65,'RODRIGUEZ FLORES BRYAN DARIO'!U$40:U$46)+SUMIF('NUÑEZ RUIZ IRVING JAVIER.'!P$42:P$48,'KM POR UNIDAD'!A65,'NUÑEZ RUIZ IRVING JAVIER.'!U$42:U$48)+SUMIF('MACHADO MAZUCA ADOLFO'!P$40:P$46,'KM POR UNIDAD'!A65,'MACHADO MAZUCA ADOLFO'!U$40:U$46)+SUMIF('LIRA ARCEO JOEL EDUARDO'!P$40:P$46,'KM POR UNIDAD'!A65,'LIRA ARCEO JOEL EDUARDO'!U$40:U$46)+SUMIF('ANCHONDO ROMERO CESAR ALEJANDRO'!P$40:P$46,'KM POR UNIDAD'!A65,'ANCHONDO ROMERO CESAR ALEJANDRO'!U$40:U$46)</f>
        <v>0</v>
      </c>
      <c r="C65" s="150">
        <f ca="1">+SUMIF('AGUILAR ESQUIVEL CARLOS'!P$40:P$46,'KM POR UNIDAD'!A65,'AGUILAR ESQUIVEL CARLOS'!T$40:T$46)+SUMIF('AGUILAR RODRIGUEZ JORGE ALONSO'!P$40:P$46,'KM POR UNIDAD'!A65,'AGUILAR RODRIGUEZ JORGE ALONSO'!T$40:T$46)+SUMIF('REYES LARA DANTE'!P$40:P$46,'KM POR UNIDAD'!A65,'REYES LARA DANTE'!T$40:T$46)+SUMIF('RAMIREZ BAUTISTA ADRIAN'!P$40:P$46,'KM POR UNIDAD'!A65,'RAMIREZ BAUTISTA ADRIAN'!T$40:T$46)+SUMIF('FLORES BOJORQUEZ BRYAN OVED'!P$40:P$46,'KM POR UNIDAD'!A65,'FLORES BOJORQUEZ BRYAN OVED'!T$40:T$46)+SUMIF('BALDERRAMA ROBLES JORGE'!P$40:P$46,'KM POR UNIDAD'!A65,'BALDERRAMA ROBLES JORGE'!T$40:T$46)+SUMIF('BURGOS TORRES RIGOBERTO'!P$39:P$45,'KM POR UNIDAD'!A65,'BURGOS TORRES RIGOBERTO'!T$39:T$45)+SUMIF('CORDOVA URIBE JOSE  ADRIAN'!P$40:P$46,'KM POR UNIDAD'!A65,'CORDOVA URIBE JOSE  ADRIAN'!T$40:T$46)+SUMIF('GUZMAN CHAPARRO PEDRO'!P$40:P$46,'KM POR UNIDAD'!A65,'GUZMAN CHAPARRO PEDRO'!T$40:T$46)+SUMIF('HERNANDEZ LICANO JOSE LUIS'!P$40:P$46,'KM POR UNIDAD'!A65,'HERNANDEZ LICANO JOSE LUIS'!T$40:T$46)+SUMIF('CARRERA REYES MARTIN SEBASTIAN'!P$41:P$47,'KM POR UNIDAD'!A65,'CARRERA REYES MARTIN SEBASTIAN'!T$41:T$47)+SUMIF('RUIZ SAUCEDO DANIEL ALEJANDRO'!P$40:P$46,'KM POR UNIDAD'!A65,'RUIZ SAUCEDO DANIEL ALEJANDRO'!T$40:T$46)+SUMIF('MARTINEZ RAMIREZ ROSALIO'!P$40:P$46,'KM POR UNIDAD'!A65,'MARTINEZ RAMIREZ ROSALIO'!T$40:T$46)+SUMIF('BALLEZA RAMIREZ JESUS JOSE'!P$40:P$46,'KM POR UNIDAD'!A65,'BALLEZA RAMIREZ JESUS JOSE'!T$40:T$46)+SUMIF('MONTERO BURROLA LUIS'!P$38:P$44,'KM POR UNIDAD'!A65,'MONTERO BURROLA LUIS'!T$38:T$44)+SUMIF('AGUILERA CONTRERAS LUIS GERARDO'!P$41:P$47,'KM POR UNIDAD'!A65,'AGUILERA CONTRERAS LUIS GERARDO'!T$41:T$47)+SUMIF('MORALES LOPEZ DE LARA MARIANO'!P$40:P$46,'KM POR UNIDAD'!A65,'MORALES LOPEZ DE LARA MARIANO'!T$40:T$46)+SUMIF('MELENDEZ SINALOA MANUEL ARAT'!P$40:P$46,'KM POR UNIDAD'!A65,'MELENDEZ SINALOA MANUEL ARAT'!T$40:T$46)+SUMIF('MORALES LECHUGA GONZALO'!P$40:P$46,'KM POR UNIDAD'!A65,'MORALES LECHUGA GONZALO'!T$40:T$46)+SUMIF('ORONA BECERRA MAURO JOSE'!P$40:P$46,'KM POR UNIDAD'!A65,'ORONA BECERRA MAURO JOSE'!T$40:T$46)+SUMIF('VALLES HERNANDEZ MANUEL MARCELI'!P$39:P$45,'KM POR UNIDAD'!A65,'VALLES HERNANDEZ MANUEL MARCELI'!T$39:T$45)+SUMIF('ORTIZ RAMIREZ HECTOR MANUEL'!P$40:P$46,'KM POR UNIDAD'!A65,'ORTIZ RAMIREZ HECTOR MANUEL'!T$40:T$46)+SUMIF('ONTIVEROS LIRA JUAN'!P$40:P$446,'KM POR UNIDAD'!A65,'ONTIVEROS LIRA JUAN'!T$40:T$46)+SUMIF('RODRIGUEZ FLORES BRYAN DARIO'!P$40:P$46,'KM POR UNIDAD'!A65,'RODRIGUEZ FLORES BRYAN DARIO'!T$40:T$46)+SUMIF('NUÑEZ RUIZ IRVING JAVIER.'!P$42:P$48,'KM POR UNIDAD'!A65,'NUÑEZ RUIZ IRVING JAVIER.'!T$42:T$48)+SUMIF('MACHADO MAZUCA ADOLFO'!P$40:P$46,'KM POR UNIDAD'!A65,'MACHADO MAZUCA ADOLFO'!T$40:T$46)+SUMIF('LIRA ARCEO JOEL EDUARDO'!P$40:P$46,'KM POR UNIDAD'!A65,'LIRA ARCEO JOEL EDUARDO'!T$40:T$46)+SUMIF('ANCHONDO ROMERO CESAR ALEJANDRO'!P$40:P$46,'KM POR UNIDAD'!A65,'ANCHONDO ROMERO CESAR ALEJANDRO'!T$40:T$46)</f>
        <v>0</v>
      </c>
      <c r="D65" s="150">
        <f>+SUMIF('AGUILAR ESQUIVEL CARLOS'!P$40:P$46,'KM POR UNIDAD'!A65,'AGUILAR ESQUIVEL CARLOS'!V$40:V$46)+SUMIF('AGUILAR RODRIGUEZ JORGE ALONSO'!P$40:P$46,'KM POR UNIDAD'!A65,'AGUILAR RODRIGUEZ JORGE ALONSO'!V$40:V$46)+SUMIF('REYES LARA DANTE'!P$40:P$46,'KM POR UNIDAD'!A65,'REYES LARA DANTE'!V$40:V$46)+SUMIF('RAMIREZ BAUTISTA ADRIAN'!P$40:P$46,'KM POR UNIDAD'!A65,'RAMIREZ BAUTISTA ADRIAN'!V$40:V$46)+SUMIF('FLORES BOJORQUEZ BRYAN OVED'!P$40:P$46,'KM POR UNIDAD'!A65,'FLORES BOJORQUEZ BRYAN OVED'!V$40:V$46)+SUMIF('BALDERRAMA ROBLES JORGE'!P$40:P$46,'KM POR UNIDAD'!A65,'BALDERRAMA ROBLES JORGE'!V$40:V$46)+SUMIF('BURGOS TORRES RIGOBERTO'!P$39:P$45,'KM POR UNIDAD'!A65,'BURGOS TORRES RIGOBERTO'!V$39:V$45)+SUMIF('CORDOVA URIBE JOSE  ADRIAN'!P$40:P$46,'KM POR UNIDAD'!A65,'CORDOVA URIBE JOSE  ADRIAN'!V$40:V$46)+SUMIF('GUZMAN CHAPARRO PEDRO'!P$40:P$46,'KM POR UNIDAD'!A65,'GUZMAN CHAPARRO PEDRO'!V$40:V$46)+SUMIF('HERNANDEZ LICANO JOSE LUIS'!P$40:P$46,'KM POR UNIDAD'!A65,'HERNANDEZ LICANO JOSE LUIS'!V$40:V$46)+SUMIF('CARRERA REYES MARTIN SEBASTIAN'!P$41:P$47,'KM POR UNIDAD'!A65,'CARRERA REYES MARTIN SEBASTIAN'!V$41:V$47)+SUMIF('RUIZ SAUCEDO DANIEL ALEJANDRO'!P$40:P$46,'KM POR UNIDAD'!A65,'RUIZ SAUCEDO DANIEL ALEJANDRO'!V$40:V$46)+SUMIF('MARTINEZ RAMIREZ ROSALIO'!P$40:P$46,'KM POR UNIDAD'!A65,'MARTINEZ RAMIREZ ROSALIO'!V$40:V$46)+SUMIF('BALLEZA RAMIREZ JESUS JOSE'!P$40:P$46,'KM POR UNIDAD'!A65,'BALLEZA RAMIREZ JESUS JOSE'!V$40:V$46)+SUMIF('MONTERO BURROLA LUIS'!P$38:P$44,'KM POR UNIDAD'!A65,'MONTERO BURROLA LUIS'!V$38:V$44)+SUMIF('AGUILERA CONTRERAS LUIS GERARDO'!P$41:P$47,'KM POR UNIDAD'!A65,'AGUILERA CONTRERAS LUIS GERARDO'!V$41:V$47)+SUMIF('MORALES LOPEZ DE LARA MARIANO'!P$40:P$46,'KM POR UNIDAD'!A65,'MORALES LOPEZ DE LARA MARIANO'!V$40:V$46)+SUMIF('MELENDEZ SINALOA MANUEL ARAT'!P$40:P$46,'KM POR UNIDAD'!A65,'MELENDEZ SINALOA MANUEL ARAT'!V$40:V$46)+SUMIF('MORALES LECHUGA GONZALO'!P$40:P$46,'KM POR UNIDAD'!A65,'MORALES LECHUGA GONZALO'!V$40:V$46)+SUMIF('ORONA BECERRA MAURO JOSE'!P$40:P$46,'KM POR UNIDAD'!A65,'ORONA BECERRA MAURO JOSE'!V$40:V$46)+SUMIF('VALLES HERNANDEZ MANUEL MARCELI'!P$39:P$45,'KM POR UNIDAD'!A65,'VALLES HERNANDEZ MANUEL MARCELI'!V$39:V$45)+SUMIF('ORTIZ RAMIREZ HECTOR MANUEL'!P$40:P$46,'KM POR UNIDAD'!A65,'ORTIZ RAMIREZ HECTOR MANUEL'!V$40:V$46)+SUMIF('ONTIVEROS LIRA JUAN'!P$40:P$46,'KM POR UNIDAD'!A65,'ONTIVEROS LIRA JUAN'!V$40:V$46)+SUMIF('RODRIGUEZ FLORES BRYAN DARIO'!P$40:P$46,'KM POR UNIDAD'!A65,'RODRIGUEZ FLORES BRYAN DARIO'!V$40:V$46)+SUMIF('NUÑEZ RUIZ IRVING JAVIER.'!P$42:P$48,'KM POR UNIDAD'!A65,'NUÑEZ RUIZ IRVING JAVIER.'!V$42:V$48)+SUMIF('MACHADO MAZUCA ADOLFO'!P$40:P$46,'KM POR UNIDAD'!A65,'MACHADO MAZUCA ADOLFO'!V$40:V$46)+SUMIF('LIRA ARCEO JOEL EDUARDO'!P$40:P$46,'KM POR UNIDAD'!A65,'LIRA ARCEO JOEL EDUARDO'!V$40:V$46)+SUMIF('ANCHONDO ROMERO CESAR ALEJANDRO'!P$40:P$46,'KM POR UNIDAD'!A65,'ANCHONDO ROMERO CESAR ALEJANDRO'!V$40:V$46)</f>
        <v>0</v>
      </c>
      <c r="E65" s="145">
        <f t="shared" si="0"/>
        <v>0</v>
      </c>
      <c r="F65" s="144" t="e">
        <f ca="1">+SUMIF('AGUILAR ESQUIVEL CARLOS'!P$40:P$46,'KM POR UNIDAD'!A65,'AGUILAR ESQUIVEL CARLOS'!W$40:W$46)+SUMIF('AGUILAR RODRIGUEZ JORGE ALONSO'!P$40:P$46,'KM POR UNIDAD'!A65,'AGUILAR RODRIGUEZ JORGE ALONSO'!W$40:W$46)+SUMIF('REYES LARA DANTE'!T$40:T$46,'KM POR UNIDAD'!A65,'REYES LARA DANTE'!Y$40:Y$46)+SUMIF('RAMIREZ BAUTISTA ADRIAN'!T$40:T$46,'KM POR UNIDAD'!A65,'RAMIREZ BAUTISTA ADRIAN'!Y$40:Y$46)+SUMIF('FLORES BOJORQUEZ BRYAN OVED'!T$40:T$46,'KM POR UNIDAD'!A65,'FLORES BOJORQUEZ BRYAN OVED'!Y$40:Y$46)+SUMIF('BALDERRAMA ROBLES JORGE'!T$40:T$46,'KM POR UNIDAD'!A65,'BALDERRAMA ROBLES JORGE'!#REF!)+SUMIF('BURGOS TORRES RIGOBERTO'!T$39:T$45,'KM POR UNIDAD'!A65,'BURGOS TORRES RIGOBERTO'!Y$39:Y$45)+SUMIF('CORDOVA URIBE JOSE  ADRIAN'!T$40:T$46,'KM POR UNIDAD'!E65,'CORDOVA URIBE JOSE  ADRIAN'!Y$40:Y$46)+SUMIF('GUZMAN CHAPARRO PEDRO'!T$40:T$46,'KM POR UNIDAD'!E65,'GUZMAN CHAPARRO PEDRO'!Y$40:Y$46)+SUMIF('HERNANDEZ LICANO JOSE LUIS'!T$40:T$46,'KM POR UNIDAD'!E65,'HERNANDEZ LICANO JOSE LUIS'!#REF!)+SUMIF('CARRERA REYES MARTIN SEBASTIAN'!T$41:T$47,'KM POR UNIDAD'!E65,'CARRERA REYES MARTIN SEBASTIAN'!Y$41:Y$47)+SUMIF('RUIZ SAUCEDO DANIEL ALEJANDRO'!T$40:T$46,'KM POR UNIDAD'!E65,'RUIZ SAUCEDO DANIEL ALEJANDRO'!Y$40:Y$46)+SUMIF('MARTINEZ RAMIREZ ROSALIO'!T$40:T$46,'KM POR UNIDAD'!E65,'MARTINEZ RAMIREZ ROSALIO'!Y$40:Y$46)+SUMIF('BALLEZA RAMIREZ JESUS JOSE'!T$40:T$46,'KM POR UNIDAD'!E65,'BALLEZA RAMIREZ JESUS JOSE'!T$176:T$180)+SUMIF('MONTERO BURROLA LUIS'!T$38:T$44,'KM POR UNIDAD'!E65,'MONTERO BURROLA LUIS'!Y$38:Y$44)+SUMIF('AGUILERA CONTRERAS LUIS GERARDO'!T$41:T$47,'KM POR UNIDAD'!E65,'AGUILERA CONTRERAS LUIS GERARDO'!Y$41:Y$47)+SUMIF('MORALES LOPEZ DE LARA MARIANO'!T$40:T$46,'KM POR UNIDAD'!E65,'MORALES LOPEZ DE LARA MARIANO'!Y$40:Y$46)+SUMIF('MELENDEZ SINALOA MANUEL ARAT'!T$40:T$46,'KM POR UNIDAD'!E65,'MELENDEZ SINALOA MANUEL ARAT'!#REF!)+SUMIF('MORALES LECHUGA GONZALO'!T$40:T$46,'KM POR UNIDAD'!E65,'MORALES LECHUGA GONZALO'!Y$40:Y$46)+SUMIF('ORONA BECERRA MAURO JOSE'!T$40:T$46,'KM POR UNIDAD'!E65,'ORONA BECERRA MAURO JOSE'!Y$40:Y$46)+SUMIF('VALLES HERNANDEZ MANUEL MARCELI'!T$39:T$45,'KM POR UNIDAD'!E65,'VALLES HERNANDEZ MANUEL MARCELI'!Y$39:Y$45)+SUMIF('ORTIZ RAMIREZ HECTOR MANUEL'!T$40:T$46,'KM POR UNIDAD'!E65,'ORTIZ RAMIREZ HECTOR MANUEL'!Y$40:Y$46)+SUMIF('ONTIVEROS LIRA JUAN'!T$40:T$46,'KM POR UNIDAD'!E65,'ONTIVEROS LIRA JUAN'!Y$40:Y$46)+SUMIF('RODRIGUEZ FLORES BRYAN DARIO'!T$40:T$46,'KM POR UNIDAD'!E65,'RODRIGUEZ FLORES BRYAN DARIO'!Y$40:Y$46)+SUMIF('NUÑEZ RUIZ IRVING JAVIER.'!T$42:T$48,'KM POR UNIDAD'!E65,'NUÑEZ RUIZ IRVING JAVIER.'!Y$42:Y$48)+SUMIF('MACHADO MAZUCA ADOLFO'!T$40:T$46,'KM POR UNIDAD'!E65,'MACHADO MAZUCA ADOLFO'!Y$40:Y$46)+SUMIF('LIRA ARCEO JOEL EDUARDO'!T$40:T$46,'KM POR UNIDAD'!E65,'LIRA ARCEO JOEL EDUARDO'!Y$41:Y$46)+SUMIF('ANCHONDO ROMERO CESAR ALEJANDRO'!T$40:T$46,'KM POR UNIDAD'!E65,'ANCHONDO ROMERO CESAR ALEJANDRO'!Y$40:Y$46)</f>
        <v>#REF!</v>
      </c>
      <c r="G65" s="146"/>
    </row>
    <row r="66" spans="1:7" x14ac:dyDescent="0.25">
      <c r="A66" s="143" t="s">
        <v>253</v>
      </c>
      <c r="B66" s="144">
        <f>+SUMIF('AGUILAR ESQUIVEL CARLOS'!P$40:P$46,'KM POR UNIDAD'!A66,'AGUILAR ESQUIVEL CARLOS'!U$40:U$46)+SUMIF('AGUILAR RODRIGUEZ JORGE ALONSO'!P$40:P$46,'KM POR UNIDAD'!A66,'AGUILAR RODRIGUEZ JORGE ALONSO'!U$40:U$46)+SUMIF('REYES LARA DANTE'!P$40:P$46,'KM POR UNIDAD'!A66,'REYES LARA DANTE'!U$40:U$46)+SUMIF('RAMIREZ BAUTISTA ADRIAN'!P$40:P$46,'KM POR UNIDAD'!A66,'RAMIREZ BAUTISTA ADRIAN'!U$40:U$46)+SUMIF('FLORES BOJORQUEZ BRYAN OVED'!P$40:P$46,'KM POR UNIDAD'!A66,'FLORES BOJORQUEZ BRYAN OVED'!U$40:U$46)+SUMIF('BALDERRAMA ROBLES JORGE'!P$40:P$46,'KM POR UNIDAD'!A66,'BALDERRAMA ROBLES JORGE'!U$40:U$46)+SUMIF('BURGOS TORRES RIGOBERTO'!P$39:P$45,'KM POR UNIDAD'!A66,'BURGOS TORRES RIGOBERTO'!U$39:U$45)+SUMIF('CORDOVA URIBE JOSE  ADRIAN'!P$40:P$46,'KM POR UNIDAD'!A66,'CORDOVA URIBE JOSE  ADRIAN'!U$40:U$46)+SUMIF('GUZMAN CHAPARRO PEDRO'!P$40:P$46,'KM POR UNIDAD'!A66,'GUZMAN CHAPARRO PEDRO'!U$40:U$46)+SUMIF('HERNANDEZ LICANO JOSE LUIS'!P$40:P$46,'KM POR UNIDAD'!A66,'HERNANDEZ LICANO JOSE LUIS'!U$40:U$46)+SUMIF('CARRERA REYES MARTIN SEBASTIAN'!P$41:P$47,'KM POR UNIDAD'!A66,'CARRERA REYES MARTIN SEBASTIAN'!U$41:U$47)+SUMIF('RUIZ SAUCEDO DANIEL ALEJANDRO'!P$40:P$46,'KM POR UNIDAD'!A66,'RUIZ SAUCEDO DANIEL ALEJANDRO'!U$40:U$46)+SUMIF('MARTINEZ RAMIREZ ROSALIO'!P$40:P$46,'KM POR UNIDAD'!A66,'MARTINEZ RAMIREZ ROSALIO'!U$40:U$46)+SUMIF('BALLEZA RAMIREZ JESUS JOSE'!P$40:P$46,'KM POR UNIDAD'!A66,'BALLEZA RAMIREZ JESUS JOSE'!U$40:U$46)+SUMIF('MONTERO BURROLA LUIS'!P$38:P$44,'KM POR UNIDAD'!A66,'MONTERO BURROLA LUIS'!U$38:U$44)+SUMIF('AGUILERA CONTRERAS LUIS GERARDO'!P$41:P$47,'KM POR UNIDAD'!A66,'AGUILERA CONTRERAS LUIS GERARDO'!U$41:U$47)+SUMIF('MORALES LOPEZ DE LARA MARIANO'!P$40:P$46,'KM POR UNIDAD'!A66,'MORALES LOPEZ DE LARA MARIANO'!U$40:U$46)+SUMIF('MELENDEZ SINALOA MANUEL ARAT'!P$40:P$46,'KM POR UNIDAD'!A66,'MELENDEZ SINALOA MANUEL ARAT'!U$40:U$46)+SUMIF('MORALES LECHUGA GONZALO'!P$40:P$46,'KM POR UNIDAD'!A66,'MORALES LECHUGA GONZALO'!U$40:U$46)+SUMIF('ORONA BECERRA MAURO JOSE'!P$40:P$46,'KM POR UNIDAD'!A66,'ORONA BECERRA MAURO JOSE'!U$40:U$46)+SUMIF('VALLES HERNANDEZ MANUEL MARCELI'!P$39:P$45,'KM POR UNIDAD'!A66,'VALLES HERNANDEZ MANUEL MARCELI'!U$39:U$45)+SUMIF('ORTIZ RAMIREZ HECTOR MANUEL'!P$40:P$46,'KM POR UNIDAD'!A66,'ORTIZ RAMIREZ HECTOR MANUEL'!U$40:U$46)+SUMIF('ONTIVEROS LIRA JUAN'!P$40:P$46,'KM POR UNIDAD'!A66,'ONTIVEROS LIRA JUAN'!U$40:U$46)+SUMIF('RODRIGUEZ FLORES BRYAN DARIO'!P$40:P$46,'KM POR UNIDAD'!A66,'RODRIGUEZ FLORES BRYAN DARIO'!U$40:U$46)+SUMIF('NUÑEZ RUIZ IRVING JAVIER.'!P$42:P$48,'KM POR UNIDAD'!A66,'NUÑEZ RUIZ IRVING JAVIER.'!U$42:U$48)+SUMIF('MACHADO MAZUCA ADOLFO'!P$40:P$46,'KM POR UNIDAD'!A66,'MACHADO MAZUCA ADOLFO'!U$40:U$46)+SUMIF('LIRA ARCEO JOEL EDUARDO'!P$40:P$46,'KM POR UNIDAD'!A66,'LIRA ARCEO JOEL EDUARDO'!U$40:U$46)+SUMIF('ANCHONDO ROMERO CESAR ALEJANDRO'!P$40:P$46,'KM POR UNIDAD'!A66,'ANCHONDO ROMERO CESAR ALEJANDRO'!U$40:U$46)</f>
        <v>0</v>
      </c>
      <c r="C66" s="150">
        <f ca="1">+SUMIF('AGUILAR ESQUIVEL CARLOS'!P$40:P$46,'KM POR UNIDAD'!A66,'AGUILAR ESQUIVEL CARLOS'!T$40:T$46)+SUMIF('AGUILAR RODRIGUEZ JORGE ALONSO'!P$40:P$46,'KM POR UNIDAD'!A66,'AGUILAR RODRIGUEZ JORGE ALONSO'!T$40:T$46)+SUMIF('REYES LARA DANTE'!P$40:P$46,'KM POR UNIDAD'!A66,'REYES LARA DANTE'!T$40:T$46)+SUMIF('RAMIREZ BAUTISTA ADRIAN'!P$40:P$46,'KM POR UNIDAD'!A66,'RAMIREZ BAUTISTA ADRIAN'!T$40:T$46)+SUMIF('FLORES BOJORQUEZ BRYAN OVED'!P$40:P$46,'KM POR UNIDAD'!A66,'FLORES BOJORQUEZ BRYAN OVED'!T$40:T$46)+SUMIF('BALDERRAMA ROBLES JORGE'!P$40:P$46,'KM POR UNIDAD'!A66,'BALDERRAMA ROBLES JORGE'!T$40:T$46)+SUMIF('BURGOS TORRES RIGOBERTO'!P$39:P$45,'KM POR UNIDAD'!A66,'BURGOS TORRES RIGOBERTO'!T$39:T$45)+SUMIF('CORDOVA URIBE JOSE  ADRIAN'!P$40:P$46,'KM POR UNIDAD'!A66,'CORDOVA URIBE JOSE  ADRIAN'!T$40:T$46)+SUMIF('GUZMAN CHAPARRO PEDRO'!P$40:P$46,'KM POR UNIDAD'!A66,'GUZMAN CHAPARRO PEDRO'!T$40:T$46)+SUMIF('HERNANDEZ LICANO JOSE LUIS'!P$40:P$46,'KM POR UNIDAD'!A66,'HERNANDEZ LICANO JOSE LUIS'!T$40:T$46)+SUMIF('CARRERA REYES MARTIN SEBASTIAN'!P$41:P$47,'KM POR UNIDAD'!A66,'CARRERA REYES MARTIN SEBASTIAN'!T$41:T$47)+SUMIF('RUIZ SAUCEDO DANIEL ALEJANDRO'!P$40:P$46,'KM POR UNIDAD'!A66,'RUIZ SAUCEDO DANIEL ALEJANDRO'!T$40:T$46)+SUMIF('MARTINEZ RAMIREZ ROSALIO'!P$40:P$46,'KM POR UNIDAD'!A66,'MARTINEZ RAMIREZ ROSALIO'!T$40:T$46)+SUMIF('BALLEZA RAMIREZ JESUS JOSE'!P$40:P$46,'KM POR UNIDAD'!A66,'BALLEZA RAMIREZ JESUS JOSE'!T$40:T$46)+SUMIF('MONTERO BURROLA LUIS'!P$38:P$44,'KM POR UNIDAD'!A66,'MONTERO BURROLA LUIS'!T$38:T$44)+SUMIF('AGUILERA CONTRERAS LUIS GERARDO'!P$41:P$47,'KM POR UNIDAD'!A66,'AGUILERA CONTRERAS LUIS GERARDO'!T$41:T$47)+SUMIF('MORALES LOPEZ DE LARA MARIANO'!P$40:P$46,'KM POR UNIDAD'!A66,'MORALES LOPEZ DE LARA MARIANO'!T$40:T$46)+SUMIF('MELENDEZ SINALOA MANUEL ARAT'!P$40:P$46,'KM POR UNIDAD'!A66,'MELENDEZ SINALOA MANUEL ARAT'!T$40:T$46)+SUMIF('MORALES LECHUGA GONZALO'!P$40:P$46,'KM POR UNIDAD'!A66,'MORALES LECHUGA GONZALO'!T$40:T$46)+SUMIF('ORONA BECERRA MAURO JOSE'!P$40:P$46,'KM POR UNIDAD'!A66,'ORONA BECERRA MAURO JOSE'!T$40:T$46)+SUMIF('VALLES HERNANDEZ MANUEL MARCELI'!P$39:P$45,'KM POR UNIDAD'!A66,'VALLES HERNANDEZ MANUEL MARCELI'!T$39:T$45)+SUMIF('ORTIZ RAMIREZ HECTOR MANUEL'!P$40:P$46,'KM POR UNIDAD'!A66,'ORTIZ RAMIREZ HECTOR MANUEL'!T$40:T$46)+SUMIF('ONTIVEROS LIRA JUAN'!P$40:P$446,'KM POR UNIDAD'!A66,'ONTIVEROS LIRA JUAN'!T$40:T$46)+SUMIF('RODRIGUEZ FLORES BRYAN DARIO'!P$40:P$46,'KM POR UNIDAD'!A66,'RODRIGUEZ FLORES BRYAN DARIO'!T$40:T$46)+SUMIF('NUÑEZ RUIZ IRVING JAVIER.'!P$42:P$48,'KM POR UNIDAD'!A66,'NUÑEZ RUIZ IRVING JAVIER.'!T$42:T$48)+SUMIF('MACHADO MAZUCA ADOLFO'!P$40:P$46,'KM POR UNIDAD'!A66,'MACHADO MAZUCA ADOLFO'!T$40:T$46)+SUMIF('LIRA ARCEO JOEL EDUARDO'!P$40:P$46,'KM POR UNIDAD'!A66,'LIRA ARCEO JOEL EDUARDO'!T$40:T$46)+SUMIF('ANCHONDO ROMERO CESAR ALEJANDRO'!P$40:P$46,'KM POR UNIDAD'!A66,'ANCHONDO ROMERO CESAR ALEJANDRO'!T$40:T$46)</f>
        <v>0</v>
      </c>
      <c r="D66" s="150">
        <f>+SUMIF('AGUILAR ESQUIVEL CARLOS'!P$40:P$46,'KM POR UNIDAD'!A66,'AGUILAR ESQUIVEL CARLOS'!V$40:V$46)+SUMIF('AGUILAR RODRIGUEZ JORGE ALONSO'!P$40:P$46,'KM POR UNIDAD'!A66,'AGUILAR RODRIGUEZ JORGE ALONSO'!V$40:V$46)+SUMIF('REYES LARA DANTE'!P$40:P$46,'KM POR UNIDAD'!A66,'REYES LARA DANTE'!V$40:V$46)+SUMIF('RAMIREZ BAUTISTA ADRIAN'!P$40:P$46,'KM POR UNIDAD'!A66,'RAMIREZ BAUTISTA ADRIAN'!V$40:V$46)+SUMIF('FLORES BOJORQUEZ BRYAN OVED'!P$40:P$46,'KM POR UNIDAD'!A66,'FLORES BOJORQUEZ BRYAN OVED'!V$40:V$46)+SUMIF('BALDERRAMA ROBLES JORGE'!P$40:P$46,'KM POR UNIDAD'!A66,'BALDERRAMA ROBLES JORGE'!V$40:V$46)+SUMIF('BURGOS TORRES RIGOBERTO'!P$39:P$45,'KM POR UNIDAD'!A66,'BURGOS TORRES RIGOBERTO'!V$39:V$45)+SUMIF('CORDOVA URIBE JOSE  ADRIAN'!P$40:P$46,'KM POR UNIDAD'!A66,'CORDOVA URIBE JOSE  ADRIAN'!V$40:V$46)+SUMIF('GUZMAN CHAPARRO PEDRO'!P$40:P$46,'KM POR UNIDAD'!A66,'GUZMAN CHAPARRO PEDRO'!V$40:V$46)+SUMIF('HERNANDEZ LICANO JOSE LUIS'!P$40:P$46,'KM POR UNIDAD'!A66,'HERNANDEZ LICANO JOSE LUIS'!V$40:V$46)+SUMIF('CARRERA REYES MARTIN SEBASTIAN'!P$41:P$47,'KM POR UNIDAD'!A66,'CARRERA REYES MARTIN SEBASTIAN'!V$41:V$47)+SUMIF('RUIZ SAUCEDO DANIEL ALEJANDRO'!P$40:P$46,'KM POR UNIDAD'!A66,'RUIZ SAUCEDO DANIEL ALEJANDRO'!V$40:V$46)+SUMIF('MARTINEZ RAMIREZ ROSALIO'!P$40:P$46,'KM POR UNIDAD'!A66,'MARTINEZ RAMIREZ ROSALIO'!V$40:V$46)+SUMIF('BALLEZA RAMIREZ JESUS JOSE'!P$40:P$46,'KM POR UNIDAD'!A66,'BALLEZA RAMIREZ JESUS JOSE'!V$40:V$46)+SUMIF('MONTERO BURROLA LUIS'!P$38:P$44,'KM POR UNIDAD'!A66,'MONTERO BURROLA LUIS'!V$38:V$44)+SUMIF('AGUILERA CONTRERAS LUIS GERARDO'!P$41:P$47,'KM POR UNIDAD'!A66,'AGUILERA CONTRERAS LUIS GERARDO'!V$41:V$47)+SUMIF('MORALES LOPEZ DE LARA MARIANO'!P$40:P$46,'KM POR UNIDAD'!A66,'MORALES LOPEZ DE LARA MARIANO'!V$40:V$46)+SUMIF('MELENDEZ SINALOA MANUEL ARAT'!P$40:P$46,'KM POR UNIDAD'!A66,'MELENDEZ SINALOA MANUEL ARAT'!V$40:V$46)+SUMIF('MORALES LECHUGA GONZALO'!P$40:P$46,'KM POR UNIDAD'!A66,'MORALES LECHUGA GONZALO'!V$40:V$46)+SUMIF('ORONA BECERRA MAURO JOSE'!P$40:P$46,'KM POR UNIDAD'!A66,'ORONA BECERRA MAURO JOSE'!V$40:V$46)+SUMIF('VALLES HERNANDEZ MANUEL MARCELI'!P$39:P$45,'KM POR UNIDAD'!A66,'VALLES HERNANDEZ MANUEL MARCELI'!V$39:V$45)+SUMIF('ORTIZ RAMIREZ HECTOR MANUEL'!P$40:P$46,'KM POR UNIDAD'!A66,'ORTIZ RAMIREZ HECTOR MANUEL'!V$40:V$46)+SUMIF('ONTIVEROS LIRA JUAN'!P$40:P$46,'KM POR UNIDAD'!A66,'ONTIVEROS LIRA JUAN'!V$40:V$46)+SUMIF('RODRIGUEZ FLORES BRYAN DARIO'!P$40:P$46,'KM POR UNIDAD'!A66,'RODRIGUEZ FLORES BRYAN DARIO'!V$40:V$46)+SUMIF('NUÑEZ RUIZ IRVING JAVIER.'!P$42:P$48,'KM POR UNIDAD'!A66,'NUÑEZ RUIZ IRVING JAVIER.'!V$42:V$48)+SUMIF('MACHADO MAZUCA ADOLFO'!P$40:P$46,'KM POR UNIDAD'!A66,'MACHADO MAZUCA ADOLFO'!V$40:V$46)+SUMIF('LIRA ARCEO JOEL EDUARDO'!P$40:P$46,'KM POR UNIDAD'!A66,'LIRA ARCEO JOEL EDUARDO'!V$40:V$46)+SUMIF('ANCHONDO ROMERO CESAR ALEJANDRO'!P$40:P$46,'KM POR UNIDAD'!A66,'ANCHONDO ROMERO CESAR ALEJANDRO'!V$40:V$46)</f>
        <v>0</v>
      </c>
      <c r="E66" s="145">
        <f t="shared" si="0"/>
        <v>0</v>
      </c>
      <c r="F66" s="144" t="e">
        <f ca="1">+SUMIF('AGUILAR ESQUIVEL CARLOS'!P$40:P$46,'KM POR UNIDAD'!A66,'AGUILAR ESQUIVEL CARLOS'!W$40:W$46)+SUMIF('AGUILAR RODRIGUEZ JORGE ALONSO'!P$40:P$46,'KM POR UNIDAD'!A66,'AGUILAR RODRIGUEZ JORGE ALONSO'!W$40:W$46)+SUMIF('REYES LARA DANTE'!T$40:T$46,'KM POR UNIDAD'!A66,'REYES LARA DANTE'!Y$40:Y$46)+SUMIF('RAMIREZ BAUTISTA ADRIAN'!T$40:T$46,'KM POR UNIDAD'!A66,'RAMIREZ BAUTISTA ADRIAN'!Y$40:Y$46)+SUMIF('FLORES BOJORQUEZ BRYAN OVED'!T$40:T$46,'KM POR UNIDAD'!A66,'FLORES BOJORQUEZ BRYAN OVED'!Y$40:Y$46)+SUMIF('BALDERRAMA ROBLES JORGE'!T$40:T$46,'KM POR UNIDAD'!A66,'BALDERRAMA ROBLES JORGE'!#REF!)+SUMIF('BURGOS TORRES RIGOBERTO'!T$39:T$45,'KM POR UNIDAD'!A66,'BURGOS TORRES RIGOBERTO'!Y$39:Y$45)+SUMIF('CORDOVA URIBE JOSE  ADRIAN'!T$40:T$46,'KM POR UNIDAD'!E66,'CORDOVA URIBE JOSE  ADRIAN'!Y$40:Y$46)+SUMIF('GUZMAN CHAPARRO PEDRO'!T$40:T$46,'KM POR UNIDAD'!E66,'GUZMAN CHAPARRO PEDRO'!Y$40:Y$46)+SUMIF('HERNANDEZ LICANO JOSE LUIS'!T$40:T$46,'KM POR UNIDAD'!E66,'HERNANDEZ LICANO JOSE LUIS'!#REF!)+SUMIF('CARRERA REYES MARTIN SEBASTIAN'!T$41:T$47,'KM POR UNIDAD'!E66,'CARRERA REYES MARTIN SEBASTIAN'!Y$41:Y$47)+SUMIF('RUIZ SAUCEDO DANIEL ALEJANDRO'!T$40:T$46,'KM POR UNIDAD'!E66,'RUIZ SAUCEDO DANIEL ALEJANDRO'!Y$40:Y$46)+SUMIF('MARTINEZ RAMIREZ ROSALIO'!T$40:T$46,'KM POR UNIDAD'!E66,'MARTINEZ RAMIREZ ROSALIO'!Y$40:Y$46)+SUMIF('BALLEZA RAMIREZ JESUS JOSE'!T$40:T$46,'KM POR UNIDAD'!E66,'BALLEZA RAMIREZ JESUS JOSE'!T$176:T$180)+SUMIF('MONTERO BURROLA LUIS'!T$38:T$44,'KM POR UNIDAD'!E66,'MONTERO BURROLA LUIS'!Y$38:Y$44)+SUMIF('AGUILERA CONTRERAS LUIS GERARDO'!T$41:T$47,'KM POR UNIDAD'!E66,'AGUILERA CONTRERAS LUIS GERARDO'!Y$41:Y$47)+SUMIF('MORALES LOPEZ DE LARA MARIANO'!T$40:T$46,'KM POR UNIDAD'!E66,'MORALES LOPEZ DE LARA MARIANO'!Y$40:Y$46)+SUMIF('MELENDEZ SINALOA MANUEL ARAT'!T$40:T$46,'KM POR UNIDAD'!E66,'MELENDEZ SINALOA MANUEL ARAT'!#REF!)+SUMIF('MORALES LECHUGA GONZALO'!T$40:T$46,'KM POR UNIDAD'!E66,'MORALES LECHUGA GONZALO'!Y$40:Y$46)+SUMIF('ORONA BECERRA MAURO JOSE'!T$40:T$46,'KM POR UNIDAD'!E66,'ORONA BECERRA MAURO JOSE'!Y$40:Y$46)+SUMIF('VALLES HERNANDEZ MANUEL MARCELI'!T$39:T$45,'KM POR UNIDAD'!E66,'VALLES HERNANDEZ MANUEL MARCELI'!Y$39:Y$45)+SUMIF('ORTIZ RAMIREZ HECTOR MANUEL'!T$40:T$46,'KM POR UNIDAD'!E66,'ORTIZ RAMIREZ HECTOR MANUEL'!Y$40:Y$46)+SUMIF('ONTIVEROS LIRA JUAN'!T$40:T$46,'KM POR UNIDAD'!E66,'ONTIVEROS LIRA JUAN'!Y$40:Y$46)+SUMIF('RODRIGUEZ FLORES BRYAN DARIO'!T$40:T$46,'KM POR UNIDAD'!E66,'RODRIGUEZ FLORES BRYAN DARIO'!Y$40:Y$46)+SUMIF('NUÑEZ RUIZ IRVING JAVIER.'!T$42:T$48,'KM POR UNIDAD'!E66,'NUÑEZ RUIZ IRVING JAVIER.'!Y$42:Y$48)+SUMIF('MACHADO MAZUCA ADOLFO'!T$40:T$46,'KM POR UNIDAD'!E66,'MACHADO MAZUCA ADOLFO'!Y$40:Y$46)+SUMIF('LIRA ARCEO JOEL EDUARDO'!T$40:T$46,'KM POR UNIDAD'!E66,'LIRA ARCEO JOEL EDUARDO'!Y$41:Y$46)+SUMIF('ANCHONDO ROMERO CESAR ALEJANDRO'!T$40:T$46,'KM POR UNIDAD'!E66,'ANCHONDO ROMERO CESAR ALEJANDRO'!Y$40:Y$46)</f>
        <v>#REF!</v>
      </c>
      <c r="G66" s="146"/>
    </row>
    <row r="67" spans="1:7" x14ac:dyDescent="0.25">
      <c r="A67" s="143" t="s">
        <v>262</v>
      </c>
      <c r="B67" s="144">
        <f>+SUMIF('AGUILAR ESQUIVEL CARLOS'!P$40:P$46,'KM POR UNIDAD'!A67,'AGUILAR ESQUIVEL CARLOS'!U$40:U$46)+SUMIF('AGUILAR RODRIGUEZ JORGE ALONSO'!P$40:P$46,'KM POR UNIDAD'!A67,'AGUILAR RODRIGUEZ JORGE ALONSO'!U$40:U$46)+SUMIF('REYES LARA DANTE'!P$40:P$46,'KM POR UNIDAD'!A67,'REYES LARA DANTE'!U$40:U$46)+SUMIF('RAMIREZ BAUTISTA ADRIAN'!P$40:P$46,'KM POR UNIDAD'!A67,'RAMIREZ BAUTISTA ADRIAN'!U$40:U$46)+SUMIF('FLORES BOJORQUEZ BRYAN OVED'!P$40:P$46,'KM POR UNIDAD'!A67,'FLORES BOJORQUEZ BRYAN OVED'!U$40:U$46)+SUMIF('BALDERRAMA ROBLES JORGE'!P$40:P$46,'KM POR UNIDAD'!A67,'BALDERRAMA ROBLES JORGE'!U$40:U$46)+SUMIF('BURGOS TORRES RIGOBERTO'!P$39:P$45,'KM POR UNIDAD'!A67,'BURGOS TORRES RIGOBERTO'!U$39:U$45)+SUMIF('CORDOVA URIBE JOSE  ADRIAN'!P$40:P$46,'KM POR UNIDAD'!A67,'CORDOVA URIBE JOSE  ADRIAN'!U$40:U$46)+SUMIF('GUZMAN CHAPARRO PEDRO'!P$40:P$46,'KM POR UNIDAD'!A67,'GUZMAN CHAPARRO PEDRO'!U$40:U$46)+SUMIF('HERNANDEZ LICANO JOSE LUIS'!P$40:P$46,'KM POR UNIDAD'!A67,'HERNANDEZ LICANO JOSE LUIS'!U$40:U$46)+SUMIF('CARRERA REYES MARTIN SEBASTIAN'!P$41:P$47,'KM POR UNIDAD'!A67,'CARRERA REYES MARTIN SEBASTIAN'!U$41:U$47)+SUMIF('RUIZ SAUCEDO DANIEL ALEJANDRO'!P$40:P$46,'KM POR UNIDAD'!A67,'RUIZ SAUCEDO DANIEL ALEJANDRO'!U$40:U$46)+SUMIF('MARTINEZ RAMIREZ ROSALIO'!P$40:P$46,'KM POR UNIDAD'!A67,'MARTINEZ RAMIREZ ROSALIO'!U$40:U$46)+SUMIF('BALLEZA RAMIREZ JESUS JOSE'!P$40:P$46,'KM POR UNIDAD'!A67,'BALLEZA RAMIREZ JESUS JOSE'!U$40:U$46)+SUMIF('MONTERO BURROLA LUIS'!P$38:P$44,'KM POR UNIDAD'!A67,'MONTERO BURROLA LUIS'!U$38:U$44)+SUMIF('AGUILERA CONTRERAS LUIS GERARDO'!P$41:P$47,'KM POR UNIDAD'!A67,'AGUILERA CONTRERAS LUIS GERARDO'!U$41:U$47)+SUMIF('MORALES LOPEZ DE LARA MARIANO'!P$40:P$46,'KM POR UNIDAD'!A67,'MORALES LOPEZ DE LARA MARIANO'!U$40:U$46)+SUMIF('MELENDEZ SINALOA MANUEL ARAT'!P$40:P$46,'KM POR UNIDAD'!A67,'MELENDEZ SINALOA MANUEL ARAT'!U$40:U$46)+SUMIF('MORALES LECHUGA GONZALO'!P$40:P$46,'KM POR UNIDAD'!A67,'MORALES LECHUGA GONZALO'!U$40:U$46)+SUMIF('ORONA BECERRA MAURO JOSE'!P$40:P$46,'KM POR UNIDAD'!A67,'ORONA BECERRA MAURO JOSE'!U$40:U$46)+SUMIF('VALLES HERNANDEZ MANUEL MARCELI'!P$39:P$45,'KM POR UNIDAD'!A67,'VALLES HERNANDEZ MANUEL MARCELI'!U$39:U$45)+SUMIF('ORTIZ RAMIREZ HECTOR MANUEL'!P$40:P$46,'KM POR UNIDAD'!A67,'ORTIZ RAMIREZ HECTOR MANUEL'!U$40:U$46)+SUMIF('ONTIVEROS LIRA JUAN'!P$40:P$46,'KM POR UNIDAD'!A67,'ONTIVEROS LIRA JUAN'!U$40:U$46)+SUMIF('RODRIGUEZ FLORES BRYAN DARIO'!P$40:P$46,'KM POR UNIDAD'!A67,'RODRIGUEZ FLORES BRYAN DARIO'!U$40:U$46)+SUMIF('NUÑEZ RUIZ IRVING JAVIER.'!P$42:P$48,'KM POR UNIDAD'!A67,'NUÑEZ RUIZ IRVING JAVIER.'!U$42:U$48)+SUMIF('MACHADO MAZUCA ADOLFO'!P$40:P$46,'KM POR UNIDAD'!A67,'MACHADO MAZUCA ADOLFO'!U$40:U$46)+SUMIF('LIRA ARCEO JOEL EDUARDO'!P$40:P$46,'KM POR UNIDAD'!A67,'LIRA ARCEO JOEL EDUARDO'!U$40:U$46)+SUMIF('ANCHONDO ROMERO CESAR ALEJANDRO'!P$40:P$46,'KM POR UNIDAD'!A67,'ANCHONDO ROMERO CESAR ALEJANDRO'!U$40:U$46)</f>
        <v>4084</v>
      </c>
      <c r="C67" s="150">
        <f ca="1">+SUMIF('AGUILAR ESQUIVEL CARLOS'!P$40:P$46,'KM POR UNIDAD'!A67,'AGUILAR ESQUIVEL CARLOS'!T$40:T$46)+SUMIF('AGUILAR RODRIGUEZ JORGE ALONSO'!P$40:P$46,'KM POR UNIDAD'!A67,'AGUILAR RODRIGUEZ JORGE ALONSO'!T$40:T$46)+SUMIF('REYES LARA DANTE'!P$40:P$46,'KM POR UNIDAD'!A67,'REYES LARA DANTE'!T$40:T$46)+SUMIF('RAMIREZ BAUTISTA ADRIAN'!P$40:P$46,'KM POR UNIDAD'!A67,'RAMIREZ BAUTISTA ADRIAN'!T$40:T$46)+SUMIF('FLORES BOJORQUEZ BRYAN OVED'!P$40:P$46,'KM POR UNIDAD'!A67,'FLORES BOJORQUEZ BRYAN OVED'!T$40:T$46)+SUMIF('BALDERRAMA ROBLES JORGE'!P$40:P$46,'KM POR UNIDAD'!A67,'BALDERRAMA ROBLES JORGE'!T$40:T$46)+SUMIF('BURGOS TORRES RIGOBERTO'!P$39:P$45,'KM POR UNIDAD'!A67,'BURGOS TORRES RIGOBERTO'!T$39:T$45)+SUMIF('CORDOVA URIBE JOSE  ADRIAN'!P$40:P$46,'KM POR UNIDAD'!A67,'CORDOVA URIBE JOSE  ADRIAN'!T$40:T$46)+SUMIF('GUZMAN CHAPARRO PEDRO'!P$40:P$46,'KM POR UNIDAD'!A67,'GUZMAN CHAPARRO PEDRO'!T$40:T$46)+SUMIF('HERNANDEZ LICANO JOSE LUIS'!P$40:P$46,'KM POR UNIDAD'!A67,'HERNANDEZ LICANO JOSE LUIS'!T$40:T$46)+SUMIF('CARRERA REYES MARTIN SEBASTIAN'!P$41:P$47,'KM POR UNIDAD'!A67,'CARRERA REYES MARTIN SEBASTIAN'!T$41:T$47)+SUMIF('RUIZ SAUCEDO DANIEL ALEJANDRO'!P$40:P$46,'KM POR UNIDAD'!A67,'RUIZ SAUCEDO DANIEL ALEJANDRO'!T$40:T$46)+SUMIF('MARTINEZ RAMIREZ ROSALIO'!P$40:P$46,'KM POR UNIDAD'!A67,'MARTINEZ RAMIREZ ROSALIO'!T$40:T$46)+SUMIF('BALLEZA RAMIREZ JESUS JOSE'!P$40:P$46,'KM POR UNIDAD'!A67,'BALLEZA RAMIREZ JESUS JOSE'!T$40:T$46)+SUMIF('MONTERO BURROLA LUIS'!P$38:P$44,'KM POR UNIDAD'!A67,'MONTERO BURROLA LUIS'!T$38:T$44)+SUMIF('AGUILERA CONTRERAS LUIS GERARDO'!P$41:P$47,'KM POR UNIDAD'!A67,'AGUILERA CONTRERAS LUIS GERARDO'!T$41:T$47)+SUMIF('MORALES LOPEZ DE LARA MARIANO'!P$40:P$46,'KM POR UNIDAD'!A67,'MORALES LOPEZ DE LARA MARIANO'!T$40:T$46)+SUMIF('MELENDEZ SINALOA MANUEL ARAT'!P$40:P$46,'KM POR UNIDAD'!A67,'MELENDEZ SINALOA MANUEL ARAT'!T$40:T$46)+SUMIF('MORALES LECHUGA GONZALO'!P$40:P$46,'KM POR UNIDAD'!A67,'MORALES LECHUGA GONZALO'!T$40:T$46)+SUMIF('ORONA BECERRA MAURO JOSE'!P$40:P$46,'KM POR UNIDAD'!A67,'ORONA BECERRA MAURO JOSE'!T$40:T$46)+SUMIF('VALLES HERNANDEZ MANUEL MARCELI'!P$39:P$45,'KM POR UNIDAD'!A67,'VALLES HERNANDEZ MANUEL MARCELI'!T$39:T$45)+SUMIF('ORTIZ RAMIREZ HECTOR MANUEL'!P$40:P$46,'KM POR UNIDAD'!A67,'ORTIZ RAMIREZ HECTOR MANUEL'!T$40:T$46)+SUMIF('ONTIVEROS LIRA JUAN'!P$40:P$446,'KM POR UNIDAD'!A67,'ONTIVEROS LIRA JUAN'!T$40:T$46)+SUMIF('RODRIGUEZ FLORES BRYAN DARIO'!P$40:P$46,'KM POR UNIDAD'!A67,'RODRIGUEZ FLORES BRYAN DARIO'!T$40:T$46)+SUMIF('NUÑEZ RUIZ IRVING JAVIER.'!P$42:P$48,'KM POR UNIDAD'!A67,'NUÑEZ RUIZ IRVING JAVIER.'!T$42:T$48)+SUMIF('MACHADO MAZUCA ADOLFO'!P$40:P$46,'KM POR UNIDAD'!A67,'MACHADO MAZUCA ADOLFO'!T$40:T$46)+SUMIF('LIRA ARCEO JOEL EDUARDO'!P$40:P$46,'KM POR UNIDAD'!A67,'LIRA ARCEO JOEL EDUARDO'!T$40:T$46)+SUMIF('ANCHONDO ROMERO CESAR ALEJANDRO'!P$40:P$46,'KM POR UNIDAD'!A67,'ANCHONDO ROMERO CESAR ALEJANDRO'!T$40:T$46)</f>
        <v>6104</v>
      </c>
      <c r="D67" s="150">
        <f>+SUMIF('AGUILAR ESQUIVEL CARLOS'!P$40:P$46,'KM POR UNIDAD'!A67,'AGUILAR ESQUIVEL CARLOS'!V$40:V$46)+SUMIF('AGUILAR RODRIGUEZ JORGE ALONSO'!P$40:P$46,'KM POR UNIDAD'!A67,'AGUILAR RODRIGUEZ JORGE ALONSO'!V$40:V$46)+SUMIF('REYES LARA DANTE'!P$40:P$46,'KM POR UNIDAD'!A67,'REYES LARA DANTE'!V$40:V$46)+SUMIF('RAMIREZ BAUTISTA ADRIAN'!P$40:P$46,'KM POR UNIDAD'!A67,'RAMIREZ BAUTISTA ADRIAN'!V$40:V$46)+SUMIF('FLORES BOJORQUEZ BRYAN OVED'!P$40:P$46,'KM POR UNIDAD'!A67,'FLORES BOJORQUEZ BRYAN OVED'!V$40:V$46)+SUMIF('BALDERRAMA ROBLES JORGE'!P$40:P$46,'KM POR UNIDAD'!A67,'BALDERRAMA ROBLES JORGE'!V$40:V$46)+SUMIF('BURGOS TORRES RIGOBERTO'!P$39:P$45,'KM POR UNIDAD'!A67,'BURGOS TORRES RIGOBERTO'!V$39:V$45)+SUMIF('CORDOVA URIBE JOSE  ADRIAN'!P$40:P$46,'KM POR UNIDAD'!A67,'CORDOVA URIBE JOSE  ADRIAN'!V$40:V$46)+SUMIF('GUZMAN CHAPARRO PEDRO'!P$40:P$46,'KM POR UNIDAD'!A67,'GUZMAN CHAPARRO PEDRO'!V$40:V$46)+SUMIF('HERNANDEZ LICANO JOSE LUIS'!P$40:P$46,'KM POR UNIDAD'!A67,'HERNANDEZ LICANO JOSE LUIS'!V$40:V$46)+SUMIF('CARRERA REYES MARTIN SEBASTIAN'!P$41:P$47,'KM POR UNIDAD'!A67,'CARRERA REYES MARTIN SEBASTIAN'!V$41:V$47)+SUMIF('RUIZ SAUCEDO DANIEL ALEJANDRO'!P$40:P$46,'KM POR UNIDAD'!A67,'RUIZ SAUCEDO DANIEL ALEJANDRO'!V$40:V$46)+SUMIF('MARTINEZ RAMIREZ ROSALIO'!P$40:P$46,'KM POR UNIDAD'!A67,'MARTINEZ RAMIREZ ROSALIO'!V$40:V$46)+SUMIF('BALLEZA RAMIREZ JESUS JOSE'!P$40:P$46,'KM POR UNIDAD'!A67,'BALLEZA RAMIREZ JESUS JOSE'!V$40:V$46)+SUMIF('MONTERO BURROLA LUIS'!P$38:P$44,'KM POR UNIDAD'!A67,'MONTERO BURROLA LUIS'!V$38:V$44)+SUMIF('AGUILERA CONTRERAS LUIS GERARDO'!P$41:P$47,'KM POR UNIDAD'!A67,'AGUILERA CONTRERAS LUIS GERARDO'!V$41:V$47)+SUMIF('MORALES LOPEZ DE LARA MARIANO'!P$40:P$46,'KM POR UNIDAD'!A67,'MORALES LOPEZ DE LARA MARIANO'!V$40:V$46)+SUMIF('MELENDEZ SINALOA MANUEL ARAT'!P$40:P$46,'KM POR UNIDAD'!A67,'MELENDEZ SINALOA MANUEL ARAT'!V$40:V$46)+SUMIF('MORALES LECHUGA GONZALO'!P$40:P$46,'KM POR UNIDAD'!A67,'MORALES LECHUGA GONZALO'!V$40:V$46)+SUMIF('ORONA BECERRA MAURO JOSE'!P$40:P$46,'KM POR UNIDAD'!A67,'ORONA BECERRA MAURO JOSE'!V$40:V$46)+SUMIF('VALLES HERNANDEZ MANUEL MARCELI'!P$39:P$45,'KM POR UNIDAD'!A67,'VALLES HERNANDEZ MANUEL MARCELI'!V$39:V$45)+SUMIF('ORTIZ RAMIREZ HECTOR MANUEL'!P$40:P$46,'KM POR UNIDAD'!A67,'ORTIZ RAMIREZ HECTOR MANUEL'!V$40:V$46)+SUMIF('ONTIVEROS LIRA JUAN'!P$40:P$46,'KM POR UNIDAD'!A67,'ONTIVEROS LIRA JUAN'!V$40:V$46)+SUMIF('RODRIGUEZ FLORES BRYAN DARIO'!P$40:P$46,'KM POR UNIDAD'!A67,'RODRIGUEZ FLORES BRYAN DARIO'!V$40:V$46)+SUMIF('NUÑEZ RUIZ IRVING JAVIER.'!P$42:P$48,'KM POR UNIDAD'!A67,'NUÑEZ RUIZ IRVING JAVIER.'!V$42:V$48)+SUMIF('MACHADO MAZUCA ADOLFO'!P$40:P$46,'KM POR UNIDAD'!A67,'MACHADO MAZUCA ADOLFO'!V$40:V$46)+SUMIF('LIRA ARCEO JOEL EDUARDO'!P$40:P$46,'KM POR UNIDAD'!A67,'LIRA ARCEO JOEL EDUARDO'!V$40:V$46)+SUMIF('ANCHONDO ROMERO CESAR ALEJANDRO'!P$40:P$46,'KM POR UNIDAD'!A67,'ANCHONDO ROMERO CESAR ALEJANDRO'!V$40:V$46)</f>
        <v>1297.4000000000001</v>
      </c>
      <c r="E67" s="145">
        <f t="shared" ref="E67:E68" si="4">IFERROR(B67/D67,0)</f>
        <v>3.1478341297980572</v>
      </c>
      <c r="F67" s="144"/>
      <c r="G67" s="146"/>
    </row>
    <row r="68" spans="1:7" x14ac:dyDescent="0.25">
      <c r="A68" s="143" t="s">
        <v>311</v>
      </c>
      <c r="B68" s="144">
        <f>+SUMIF('AGUILAR ESQUIVEL CARLOS'!P$40:P$46,'KM POR UNIDAD'!A68,'AGUILAR ESQUIVEL CARLOS'!U$40:U$46)+SUMIF('AGUILAR RODRIGUEZ JORGE ALONSO'!P$40:P$46,'KM POR UNIDAD'!A68,'AGUILAR RODRIGUEZ JORGE ALONSO'!U$40:U$46)+SUMIF('REYES LARA DANTE'!P$40:P$46,'KM POR UNIDAD'!A68,'REYES LARA DANTE'!U$40:U$46)+SUMIF('RAMIREZ BAUTISTA ADRIAN'!P$40:P$46,'KM POR UNIDAD'!A68,'RAMIREZ BAUTISTA ADRIAN'!U$40:U$46)+SUMIF('FLORES BOJORQUEZ BRYAN OVED'!P$40:P$46,'KM POR UNIDAD'!A68,'FLORES BOJORQUEZ BRYAN OVED'!U$40:U$46)+SUMIF('BALDERRAMA ROBLES JORGE'!P$40:P$46,'KM POR UNIDAD'!A68,'BALDERRAMA ROBLES JORGE'!U$40:U$46)+SUMIF('BURGOS TORRES RIGOBERTO'!P$39:P$45,'KM POR UNIDAD'!A68,'BURGOS TORRES RIGOBERTO'!U$39:U$45)+SUMIF('CORDOVA URIBE JOSE  ADRIAN'!P$40:P$46,'KM POR UNIDAD'!A68,'CORDOVA URIBE JOSE  ADRIAN'!U$40:U$46)+SUMIF('GUZMAN CHAPARRO PEDRO'!P$40:P$46,'KM POR UNIDAD'!A68,'GUZMAN CHAPARRO PEDRO'!U$40:U$46)+SUMIF('HERNANDEZ LICANO JOSE LUIS'!P$40:P$46,'KM POR UNIDAD'!A68,'HERNANDEZ LICANO JOSE LUIS'!U$40:U$46)+SUMIF('CARRERA REYES MARTIN SEBASTIAN'!P$41:P$47,'KM POR UNIDAD'!A68,'CARRERA REYES MARTIN SEBASTIAN'!U$41:U$47)+SUMIF('RUIZ SAUCEDO DANIEL ALEJANDRO'!P$40:P$46,'KM POR UNIDAD'!A68,'RUIZ SAUCEDO DANIEL ALEJANDRO'!U$40:U$46)+SUMIF('MARTINEZ RAMIREZ ROSALIO'!P$40:P$46,'KM POR UNIDAD'!A68,'MARTINEZ RAMIREZ ROSALIO'!U$40:U$46)+SUMIF('BALLEZA RAMIREZ JESUS JOSE'!P$40:P$46,'KM POR UNIDAD'!A68,'BALLEZA RAMIREZ JESUS JOSE'!U$40:U$46)+SUMIF('MONTERO BURROLA LUIS'!P$38:P$44,'KM POR UNIDAD'!A68,'MONTERO BURROLA LUIS'!U$38:U$44)+SUMIF('AGUILERA CONTRERAS LUIS GERARDO'!P$41:P$47,'KM POR UNIDAD'!A68,'AGUILERA CONTRERAS LUIS GERARDO'!U$41:U$47)+SUMIF('MORALES LOPEZ DE LARA MARIANO'!P$40:P$46,'KM POR UNIDAD'!A68,'MORALES LOPEZ DE LARA MARIANO'!U$40:U$46)+SUMIF('MELENDEZ SINALOA MANUEL ARAT'!P$40:P$46,'KM POR UNIDAD'!A68,'MELENDEZ SINALOA MANUEL ARAT'!U$40:U$46)+SUMIF('MORALES LECHUGA GONZALO'!P$40:P$46,'KM POR UNIDAD'!A68,'MORALES LECHUGA GONZALO'!U$40:U$46)+SUMIF('ORONA BECERRA MAURO JOSE'!P$40:P$46,'KM POR UNIDAD'!A68,'ORONA BECERRA MAURO JOSE'!U$40:U$46)+SUMIF('VALLES HERNANDEZ MANUEL MARCELI'!P$39:P$45,'KM POR UNIDAD'!A68,'VALLES HERNANDEZ MANUEL MARCELI'!U$39:U$45)+SUMIF('ORTIZ RAMIREZ HECTOR MANUEL'!P$40:P$46,'KM POR UNIDAD'!A68,'ORTIZ RAMIREZ HECTOR MANUEL'!U$40:U$46)+SUMIF('ONTIVEROS LIRA JUAN'!P$40:P$46,'KM POR UNIDAD'!A68,'ONTIVEROS LIRA JUAN'!U$40:U$46)+SUMIF('RODRIGUEZ FLORES BRYAN DARIO'!P$40:P$46,'KM POR UNIDAD'!A68,'RODRIGUEZ FLORES BRYAN DARIO'!U$40:U$46)+SUMIF('NUÑEZ RUIZ IRVING JAVIER.'!P$42:P$48,'KM POR UNIDAD'!A68,'NUÑEZ RUIZ IRVING JAVIER.'!U$42:U$48)+SUMIF('MACHADO MAZUCA ADOLFO'!P$40:P$46,'KM POR UNIDAD'!A68,'MACHADO MAZUCA ADOLFO'!U$40:U$46)+SUMIF('LIRA ARCEO JOEL EDUARDO'!P$40:P$46,'KM POR UNIDAD'!A68,'LIRA ARCEO JOEL EDUARDO'!U$40:U$46)+SUMIF('ANCHONDO ROMERO CESAR ALEJANDRO'!P$40:P$46,'KM POR UNIDAD'!A68,'ANCHONDO ROMERO CESAR ALEJANDRO'!U$40:U$46)</f>
        <v>0</v>
      </c>
      <c r="C68" s="150">
        <f ca="1">+SUMIF('AGUILAR ESQUIVEL CARLOS'!P$40:P$46,'KM POR UNIDAD'!A68,'AGUILAR ESQUIVEL CARLOS'!T$40:T$46)+SUMIF('AGUILAR RODRIGUEZ JORGE ALONSO'!P$40:P$46,'KM POR UNIDAD'!A68,'AGUILAR RODRIGUEZ JORGE ALONSO'!T$40:T$46)+SUMIF('REYES LARA DANTE'!P$40:P$46,'KM POR UNIDAD'!A68,'REYES LARA DANTE'!T$40:T$46)+SUMIF('RAMIREZ BAUTISTA ADRIAN'!P$40:P$46,'KM POR UNIDAD'!A68,'RAMIREZ BAUTISTA ADRIAN'!T$40:T$46)+SUMIF('FLORES BOJORQUEZ BRYAN OVED'!P$40:P$46,'KM POR UNIDAD'!A68,'FLORES BOJORQUEZ BRYAN OVED'!T$40:T$46)+SUMIF('BALDERRAMA ROBLES JORGE'!P$40:P$46,'KM POR UNIDAD'!A68,'BALDERRAMA ROBLES JORGE'!T$40:T$46)+SUMIF('BURGOS TORRES RIGOBERTO'!P$39:P$45,'KM POR UNIDAD'!A68,'BURGOS TORRES RIGOBERTO'!T$39:T$45)+SUMIF('CORDOVA URIBE JOSE  ADRIAN'!P$40:P$46,'KM POR UNIDAD'!A68,'CORDOVA URIBE JOSE  ADRIAN'!T$40:T$46)+SUMIF('GUZMAN CHAPARRO PEDRO'!P$40:P$46,'KM POR UNIDAD'!A68,'GUZMAN CHAPARRO PEDRO'!T$40:T$46)+SUMIF('HERNANDEZ LICANO JOSE LUIS'!P$40:P$46,'KM POR UNIDAD'!A68,'HERNANDEZ LICANO JOSE LUIS'!T$40:T$46)+SUMIF('CARRERA REYES MARTIN SEBASTIAN'!P$41:P$47,'KM POR UNIDAD'!A68,'CARRERA REYES MARTIN SEBASTIAN'!T$41:T$47)+SUMIF('RUIZ SAUCEDO DANIEL ALEJANDRO'!P$40:P$46,'KM POR UNIDAD'!A68,'RUIZ SAUCEDO DANIEL ALEJANDRO'!T$40:T$46)+SUMIF('MARTINEZ RAMIREZ ROSALIO'!P$40:P$46,'KM POR UNIDAD'!A68,'MARTINEZ RAMIREZ ROSALIO'!T$40:T$46)+SUMIF('BALLEZA RAMIREZ JESUS JOSE'!P$40:P$46,'KM POR UNIDAD'!A68,'BALLEZA RAMIREZ JESUS JOSE'!T$40:T$46)+SUMIF('MONTERO BURROLA LUIS'!P$38:P$44,'KM POR UNIDAD'!A68,'MONTERO BURROLA LUIS'!T$38:T$44)+SUMIF('AGUILERA CONTRERAS LUIS GERARDO'!P$41:P$47,'KM POR UNIDAD'!A68,'AGUILERA CONTRERAS LUIS GERARDO'!T$41:T$47)+SUMIF('MORALES LOPEZ DE LARA MARIANO'!P$40:P$46,'KM POR UNIDAD'!A68,'MORALES LOPEZ DE LARA MARIANO'!T$40:T$46)+SUMIF('MELENDEZ SINALOA MANUEL ARAT'!P$40:P$46,'KM POR UNIDAD'!A68,'MELENDEZ SINALOA MANUEL ARAT'!T$40:T$46)+SUMIF('MORALES LECHUGA GONZALO'!P$40:P$46,'KM POR UNIDAD'!A68,'MORALES LECHUGA GONZALO'!T$40:T$46)+SUMIF('ORONA BECERRA MAURO JOSE'!P$40:P$46,'KM POR UNIDAD'!A68,'ORONA BECERRA MAURO JOSE'!T$40:T$46)+SUMIF('VALLES HERNANDEZ MANUEL MARCELI'!P$39:P$45,'KM POR UNIDAD'!A68,'VALLES HERNANDEZ MANUEL MARCELI'!T$39:T$45)+SUMIF('ORTIZ RAMIREZ HECTOR MANUEL'!P$40:P$46,'KM POR UNIDAD'!A68,'ORTIZ RAMIREZ HECTOR MANUEL'!T$40:T$46)+SUMIF('ONTIVEROS LIRA JUAN'!P$40:P$446,'KM POR UNIDAD'!A68,'ONTIVEROS LIRA JUAN'!T$40:T$46)+SUMIF('RODRIGUEZ FLORES BRYAN DARIO'!P$40:P$46,'KM POR UNIDAD'!A68,'RODRIGUEZ FLORES BRYAN DARIO'!T$40:T$46)+SUMIF('NUÑEZ RUIZ IRVING JAVIER.'!P$42:P$48,'KM POR UNIDAD'!A68,'NUÑEZ RUIZ IRVING JAVIER.'!T$42:T$48)+SUMIF('MACHADO MAZUCA ADOLFO'!P$40:P$46,'KM POR UNIDAD'!A68,'MACHADO MAZUCA ADOLFO'!T$40:T$46)+SUMIF('LIRA ARCEO JOEL EDUARDO'!P$40:P$46,'KM POR UNIDAD'!A68,'LIRA ARCEO JOEL EDUARDO'!T$40:T$46)+SUMIF('ANCHONDO ROMERO CESAR ALEJANDRO'!P$40:P$46,'KM POR UNIDAD'!A68,'ANCHONDO ROMERO CESAR ALEJANDRO'!T$40:T$46)</f>
        <v>0</v>
      </c>
      <c r="D68" s="150">
        <f>+SUMIF('AGUILAR ESQUIVEL CARLOS'!P$40:P$46,'KM POR UNIDAD'!A68,'AGUILAR ESQUIVEL CARLOS'!V$40:V$46)+SUMIF('AGUILAR RODRIGUEZ JORGE ALONSO'!P$40:P$46,'KM POR UNIDAD'!A68,'AGUILAR RODRIGUEZ JORGE ALONSO'!V$40:V$46)+SUMIF('REYES LARA DANTE'!P$40:P$46,'KM POR UNIDAD'!A68,'REYES LARA DANTE'!V$40:V$46)+SUMIF('RAMIREZ BAUTISTA ADRIAN'!P$40:P$46,'KM POR UNIDAD'!A68,'RAMIREZ BAUTISTA ADRIAN'!V$40:V$46)+SUMIF('FLORES BOJORQUEZ BRYAN OVED'!P$40:P$46,'KM POR UNIDAD'!A68,'FLORES BOJORQUEZ BRYAN OVED'!V$40:V$46)+SUMIF('BALDERRAMA ROBLES JORGE'!P$40:P$46,'KM POR UNIDAD'!A68,'BALDERRAMA ROBLES JORGE'!V$40:V$46)+SUMIF('BURGOS TORRES RIGOBERTO'!P$39:P$45,'KM POR UNIDAD'!A68,'BURGOS TORRES RIGOBERTO'!V$39:V$45)+SUMIF('CORDOVA URIBE JOSE  ADRIAN'!P$40:P$46,'KM POR UNIDAD'!A68,'CORDOVA URIBE JOSE  ADRIAN'!V$40:V$46)+SUMIF('GUZMAN CHAPARRO PEDRO'!P$40:P$46,'KM POR UNIDAD'!A68,'GUZMAN CHAPARRO PEDRO'!V$40:V$46)+SUMIF('HERNANDEZ LICANO JOSE LUIS'!P$40:P$46,'KM POR UNIDAD'!A68,'HERNANDEZ LICANO JOSE LUIS'!V$40:V$46)+SUMIF('CARRERA REYES MARTIN SEBASTIAN'!P$41:P$47,'KM POR UNIDAD'!A68,'CARRERA REYES MARTIN SEBASTIAN'!V$41:V$47)+SUMIF('RUIZ SAUCEDO DANIEL ALEJANDRO'!P$40:P$46,'KM POR UNIDAD'!A68,'RUIZ SAUCEDO DANIEL ALEJANDRO'!V$40:V$46)+SUMIF('MARTINEZ RAMIREZ ROSALIO'!P$40:P$46,'KM POR UNIDAD'!A68,'MARTINEZ RAMIREZ ROSALIO'!V$40:V$46)+SUMIF('BALLEZA RAMIREZ JESUS JOSE'!P$40:P$46,'KM POR UNIDAD'!A68,'BALLEZA RAMIREZ JESUS JOSE'!V$40:V$46)+SUMIF('MONTERO BURROLA LUIS'!P$38:P$44,'KM POR UNIDAD'!A68,'MONTERO BURROLA LUIS'!V$38:V$44)+SUMIF('AGUILERA CONTRERAS LUIS GERARDO'!P$41:P$47,'KM POR UNIDAD'!A68,'AGUILERA CONTRERAS LUIS GERARDO'!V$41:V$47)+SUMIF('MORALES LOPEZ DE LARA MARIANO'!P$40:P$46,'KM POR UNIDAD'!A68,'MORALES LOPEZ DE LARA MARIANO'!V$40:V$46)+SUMIF('MELENDEZ SINALOA MANUEL ARAT'!P$40:P$46,'KM POR UNIDAD'!A68,'MELENDEZ SINALOA MANUEL ARAT'!V$40:V$46)+SUMIF('MORALES LECHUGA GONZALO'!P$40:P$46,'KM POR UNIDAD'!A68,'MORALES LECHUGA GONZALO'!V$40:V$46)+SUMIF('ORONA BECERRA MAURO JOSE'!P$40:P$46,'KM POR UNIDAD'!A68,'ORONA BECERRA MAURO JOSE'!V$40:V$46)+SUMIF('VALLES HERNANDEZ MANUEL MARCELI'!P$39:P$45,'KM POR UNIDAD'!A68,'VALLES HERNANDEZ MANUEL MARCELI'!V$39:V$45)+SUMIF('ORTIZ RAMIREZ HECTOR MANUEL'!P$40:P$46,'KM POR UNIDAD'!A68,'ORTIZ RAMIREZ HECTOR MANUEL'!V$40:V$46)+SUMIF('ONTIVEROS LIRA JUAN'!P$40:P$46,'KM POR UNIDAD'!A68,'ONTIVEROS LIRA JUAN'!V$40:V$46)+SUMIF('RODRIGUEZ FLORES BRYAN DARIO'!P$40:P$46,'KM POR UNIDAD'!A68,'RODRIGUEZ FLORES BRYAN DARIO'!V$40:V$46)+SUMIF('NUÑEZ RUIZ IRVING JAVIER.'!P$42:P$48,'KM POR UNIDAD'!A68,'NUÑEZ RUIZ IRVING JAVIER.'!V$42:V$48)+SUMIF('MACHADO MAZUCA ADOLFO'!P$40:P$46,'KM POR UNIDAD'!A68,'MACHADO MAZUCA ADOLFO'!V$40:V$46)+SUMIF('LIRA ARCEO JOEL EDUARDO'!P$40:P$46,'KM POR UNIDAD'!A68,'LIRA ARCEO JOEL EDUARDO'!V$40:V$46)+SUMIF('ANCHONDO ROMERO CESAR ALEJANDRO'!P$40:P$46,'KM POR UNIDAD'!A68,'ANCHONDO ROMERO CESAR ALEJANDRO'!V$40:V$46)</f>
        <v>0</v>
      </c>
      <c r="E68" s="145">
        <f t="shared" si="4"/>
        <v>0</v>
      </c>
      <c r="F68" s="144"/>
      <c r="G68" s="146"/>
    </row>
    <row r="69" spans="1:7" x14ac:dyDescent="0.25">
      <c r="A69" s="143" t="s">
        <v>310</v>
      </c>
      <c r="B69" s="144">
        <f>+SUMIF('AGUILAR ESQUIVEL CARLOS'!P$40:P$46,'KM POR UNIDAD'!A69,'AGUILAR ESQUIVEL CARLOS'!U$40:U$46)+SUMIF('AGUILAR RODRIGUEZ JORGE ALONSO'!P$40:P$46,'KM POR UNIDAD'!A69,'AGUILAR RODRIGUEZ JORGE ALONSO'!U$40:U$46)+SUMIF('REYES LARA DANTE'!P$40:P$46,'KM POR UNIDAD'!A69,'REYES LARA DANTE'!U$40:U$46)+SUMIF('RAMIREZ BAUTISTA ADRIAN'!P$40:P$46,'KM POR UNIDAD'!A69,'RAMIREZ BAUTISTA ADRIAN'!U$40:U$46)+SUMIF('FLORES BOJORQUEZ BRYAN OVED'!P$40:P$46,'KM POR UNIDAD'!A69,'FLORES BOJORQUEZ BRYAN OVED'!U$40:U$46)+SUMIF('BALDERRAMA ROBLES JORGE'!P$40:P$46,'KM POR UNIDAD'!A69,'BALDERRAMA ROBLES JORGE'!U$40:U$46)+SUMIF('BURGOS TORRES RIGOBERTO'!P$39:P$45,'KM POR UNIDAD'!A69,'BURGOS TORRES RIGOBERTO'!U$39:U$45)+SUMIF('CORDOVA URIBE JOSE  ADRIAN'!P$40:P$46,'KM POR UNIDAD'!A69,'CORDOVA URIBE JOSE  ADRIAN'!U$40:U$46)+SUMIF('GUZMAN CHAPARRO PEDRO'!P$40:P$46,'KM POR UNIDAD'!A69,'GUZMAN CHAPARRO PEDRO'!U$40:U$46)+SUMIF('HERNANDEZ LICANO JOSE LUIS'!P$40:P$46,'KM POR UNIDAD'!A69,'HERNANDEZ LICANO JOSE LUIS'!U$40:U$46)+SUMIF('CARRERA REYES MARTIN SEBASTIAN'!P$41:P$47,'KM POR UNIDAD'!A69,'CARRERA REYES MARTIN SEBASTIAN'!U$41:U$47)+SUMIF('RUIZ SAUCEDO DANIEL ALEJANDRO'!P$40:P$46,'KM POR UNIDAD'!A69,'RUIZ SAUCEDO DANIEL ALEJANDRO'!U$40:U$46)+SUMIF('MARTINEZ RAMIREZ ROSALIO'!P$40:P$46,'KM POR UNIDAD'!A69,'MARTINEZ RAMIREZ ROSALIO'!U$40:U$46)+SUMIF('BALLEZA RAMIREZ JESUS JOSE'!P$40:P$46,'KM POR UNIDAD'!A69,'BALLEZA RAMIREZ JESUS JOSE'!U$40:U$46)+SUMIF('MONTERO BURROLA LUIS'!P$38:P$44,'KM POR UNIDAD'!A69,'MONTERO BURROLA LUIS'!U$38:U$44)+SUMIF('AGUILERA CONTRERAS LUIS GERARDO'!P$41:P$47,'KM POR UNIDAD'!A69,'AGUILERA CONTRERAS LUIS GERARDO'!U$41:U$47)+SUMIF('MORALES LOPEZ DE LARA MARIANO'!P$40:P$46,'KM POR UNIDAD'!A69,'MORALES LOPEZ DE LARA MARIANO'!U$40:U$46)+SUMIF('MELENDEZ SINALOA MANUEL ARAT'!P$40:P$46,'KM POR UNIDAD'!A69,'MELENDEZ SINALOA MANUEL ARAT'!U$40:U$46)+SUMIF('MORALES LECHUGA GONZALO'!P$40:P$46,'KM POR UNIDAD'!A69,'MORALES LECHUGA GONZALO'!U$40:U$46)+SUMIF('ORONA BECERRA MAURO JOSE'!P$40:P$46,'KM POR UNIDAD'!A69,'ORONA BECERRA MAURO JOSE'!U$40:U$46)+SUMIF('VALLES HERNANDEZ MANUEL MARCELI'!P$39:P$45,'KM POR UNIDAD'!A69,'VALLES HERNANDEZ MANUEL MARCELI'!U$39:U$45)+SUMIF('ORTIZ RAMIREZ HECTOR MANUEL'!P$40:P$46,'KM POR UNIDAD'!A69,'ORTIZ RAMIREZ HECTOR MANUEL'!U$40:U$46)+SUMIF('ONTIVEROS LIRA JUAN'!P$40:P$46,'KM POR UNIDAD'!A69,'ONTIVEROS LIRA JUAN'!U$40:U$46)+SUMIF('RODRIGUEZ FLORES BRYAN DARIO'!P$40:P$46,'KM POR UNIDAD'!A69,'RODRIGUEZ FLORES BRYAN DARIO'!U$40:U$46)+SUMIF('NUÑEZ RUIZ IRVING JAVIER.'!P$42:P$48,'KM POR UNIDAD'!A69,'NUÑEZ RUIZ IRVING JAVIER.'!U$42:U$48)+SUMIF('MACHADO MAZUCA ADOLFO'!P$40:P$46,'KM POR UNIDAD'!A69,'MACHADO MAZUCA ADOLFO'!U$40:U$46)+SUMIF('LIRA ARCEO JOEL EDUARDO'!P$40:P$46,'KM POR UNIDAD'!A69,'LIRA ARCEO JOEL EDUARDO'!U$40:U$46)+SUMIF('ANCHONDO ROMERO CESAR ALEJANDRO'!P$40:P$46,'KM POR UNIDAD'!A69,'ANCHONDO ROMERO CESAR ALEJANDRO'!U$40:U$46)</f>
        <v>0</v>
      </c>
      <c r="C69" s="150">
        <f ca="1">+SUMIF('AGUILAR ESQUIVEL CARLOS'!P$40:P$46,'KM POR UNIDAD'!A69,'AGUILAR ESQUIVEL CARLOS'!T$40:T$46)+SUMIF('AGUILAR RODRIGUEZ JORGE ALONSO'!P$40:P$46,'KM POR UNIDAD'!A69,'AGUILAR RODRIGUEZ JORGE ALONSO'!T$40:T$46)+SUMIF('REYES LARA DANTE'!P$40:P$46,'KM POR UNIDAD'!A69,'REYES LARA DANTE'!T$40:T$46)+SUMIF('RAMIREZ BAUTISTA ADRIAN'!P$40:P$46,'KM POR UNIDAD'!A69,'RAMIREZ BAUTISTA ADRIAN'!T$40:T$46)+SUMIF('FLORES BOJORQUEZ BRYAN OVED'!P$40:P$46,'KM POR UNIDAD'!A69,'FLORES BOJORQUEZ BRYAN OVED'!T$40:T$46)+SUMIF('BALDERRAMA ROBLES JORGE'!P$40:P$46,'KM POR UNIDAD'!A69,'BALDERRAMA ROBLES JORGE'!T$40:T$46)+SUMIF('BURGOS TORRES RIGOBERTO'!P$39:P$45,'KM POR UNIDAD'!A69,'BURGOS TORRES RIGOBERTO'!T$39:T$45)+SUMIF('CORDOVA URIBE JOSE  ADRIAN'!P$40:P$46,'KM POR UNIDAD'!A69,'CORDOVA URIBE JOSE  ADRIAN'!T$40:T$46)+SUMIF('GUZMAN CHAPARRO PEDRO'!P$40:P$46,'KM POR UNIDAD'!A69,'GUZMAN CHAPARRO PEDRO'!T$40:T$46)+SUMIF('HERNANDEZ LICANO JOSE LUIS'!P$40:P$46,'KM POR UNIDAD'!A69,'HERNANDEZ LICANO JOSE LUIS'!T$40:T$46)+SUMIF('CARRERA REYES MARTIN SEBASTIAN'!P$41:P$47,'KM POR UNIDAD'!A69,'CARRERA REYES MARTIN SEBASTIAN'!T$41:T$47)+SUMIF('RUIZ SAUCEDO DANIEL ALEJANDRO'!P$40:P$46,'KM POR UNIDAD'!A69,'RUIZ SAUCEDO DANIEL ALEJANDRO'!T$40:T$46)+SUMIF('MARTINEZ RAMIREZ ROSALIO'!P$40:P$46,'KM POR UNIDAD'!A69,'MARTINEZ RAMIREZ ROSALIO'!T$40:T$46)+SUMIF('BALLEZA RAMIREZ JESUS JOSE'!P$40:P$46,'KM POR UNIDAD'!A69,'BALLEZA RAMIREZ JESUS JOSE'!T$40:T$46)+SUMIF('MONTERO BURROLA LUIS'!P$38:P$44,'KM POR UNIDAD'!A69,'MONTERO BURROLA LUIS'!T$38:T$44)+SUMIF('AGUILERA CONTRERAS LUIS GERARDO'!P$41:P$47,'KM POR UNIDAD'!A69,'AGUILERA CONTRERAS LUIS GERARDO'!T$41:T$47)+SUMIF('MORALES LOPEZ DE LARA MARIANO'!P$40:P$46,'KM POR UNIDAD'!A69,'MORALES LOPEZ DE LARA MARIANO'!T$40:T$46)+SUMIF('MELENDEZ SINALOA MANUEL ARAT'!P$40:P$46,'KM POR UNIDAD'!A69,'MELENDEZ SINALOA MANUEL ARAT'!T$40:T$46)+SUMIF('MORALES LECHUGA GONZALO'!P$40:P$46,'KM POR UNIDAD'!A69,'MORALES LECHUGA GONZALO'!T$40:T$46)+SUMIF('ORONA BECERRA MAURO JOSE'!P$40:P$46,'KM POR UNIDAD'!A69,'ORONA BECERRA MAURO JOSE'!T$40:T$46)+SUMIF('VALLES HERNANDEZ MANUEL MARCELI'!P$39:P$45,'KM POR UNIDAD'!A69,'VALLES HERNANDEZ MANUEL MARCELI'!T$39:T$45)+SUMIF('ORTIZ RAMIREZ HECTOR MANUEL'!P$40:P$46,'KM POR UNIDAD'!A69,'ORTIZ RAMIREZ HECTOR MANUEL'!T$40:T$46)+SUMIF('ONTIVEROS LIRA JUAN'!P$40:P$446,'KM POR UNIDAD'!A69,'ONTIVEROS LIRA JUAN'!T$40:T$46)+SUMIF('RODRIGUEZ FLORES BRYAN DARIO'!P$40:P$46,'KM POR UNIDAD'!A69,'RODRIGUEZ FLORES BRYAN DARIO'!T$40:T$46)+SUMIF('NUÑEZ RUIZ IRVING JAVIER.'!P$42:P$48,'KM POR UNIDAD'!A69,'NUÑEZ RUIZ IRVING JAVIER.'!T$42:T$48)+SUMIF('MACHADO MAZUCA ADOLFO'!P$40:P$46,'KM POR UNIDAD'!A69,'MACHADO MAZUCA ADOLFO'!T$40:T$46)+SUMIF('LIRA ARCEO JOEL EDUARDO'!P$40:P$46,'KM POR UNIDAD'!A69,'LIRA ARCEO JOEL EDUARDO'!T$40:T$46)+SUMIF('ANCHONDO ROMERO CESAR ALEJANDRO'!P$40:P$46,'KM POR UNIDAD'!A69,'ANCHONDO ROMERO CESAR ALEJANDRO'!T$40:T$46)</f>
        <v>0</v>
      </c>
      <c r="D69" s="150">
        <f>+SUMIF('AGUILAR ESQUIVEL CARLOS'!P$40:P$46,'KM POR UNIDAD'!A69,'AGUILAR ESQUIVEL CARLOS'!V$40:V$46)+SUMIF('AGUILAR RODRIGUEZ JORGE ALONSO'!P$40:P$46,'KM POR UNIDAD'!A69,'AGUILAR RODRIGUEZ JORGE ALONSO'!V$40:V$46)+SUMIF('REYES LARA DANTE'!P$40:P$46,'KM POR UNIDAD'!A69,'REYES LARA DANTE'!V$40:V$46)+SUMIF('RAMIREZ BAUTISTA ADRIAN'!P$40:P$46,'KM POR UNIDAD'!A69,'RAMIREZ BAUTISTA ADRIAN'!V$40:V$46)+SUMIF('FLORES BOJORQUEZ BRYAN OVED'!P$40:P$46,'KM POR UNIDAD'!A69,'FLORES BOJORQUEZ BRYAN OVED'!V$40:V$46)+SUMIF('BALDERRAMA ROBLES JORGE'!P$40:P$46,'KM POR UNIDAD'!A69,'BALDERRAMA ROBLES JORGE'!V$40:V$46)+SUMIF('BURGOS TORRES RIGOBERTO'!P$39:P$45,'KM POR UNIDAD'!A69,'BURGOS TORRES RIGOBERTO'!V$39:V$45)+SUMIF('CORDOVA URIBE JOSE  ADRIAN'!P$40:P$46,'KM POR UNIDAD'!A69,'CORDOVA URIBE JOSE  ADRIAN'!V$40:V$46)+SUMIF('GUZMAN CHAPARRO PEDRO'!P$40:P$46,'KM POR UNIDAD'!A69,'GUZMAN CHAPARRO PEDRO'!V$40:V$46)+SUMIF('HERNANDEZ LICANO JOSE LUIS'!P$40:P$46,'KM POR UNIDAD'!A69,'HERNANDEZ LICANO JOSE LUIS'!V$40:V$46)+SUMIF('CARRERA REYES MARTIN SEBASTIAN'!P$41:P$47,'KM POR UNIDAD'!A69,'CARRERA REYES MARTIN SEBASTIAN'!V$41:V$47)+SUMIF('RUIZ SAUCEDO DANIEL ALEJANDRO'!P$40:P$46,'KM POR UNIDAD'!A69,'RUIZ SAUCEDO DANIEL ALEJANDRO'!V$40:V$46)+SUMIF('MARTINEZ RAMIREZ ROSALIO'!P$40:P$46,'KM POR UNIDAD'!A69,'MARTINEZ RAMIREZ ROSALIO'!V$40:V$46)+SUMIF('BALLEZA RAMIREZ JESUS JOSE'!P$40:P$46,'KM POR UNIDAD'!A69,'BALLEZA RAMIREZ JESUS JOSE'!V$40:V$46)+SUMIF('MONTERO BURROLA LUIS'!P$38:P$44,'KM POR UNIDAD'!A69,'MONTERO BURROLA LUIS'!V$38:V$44)+SUMIF('AGUILERA CONTRERAS LUIS GERARDO'!P$41:P$47,'KM POR UNIDAD'!A69,'AGUILERA CONTRERAS LUIS GERARDO'!V$41:V$47)+SUMIF('MORALES LOPEZ DE LARA MARIANO'!P$40:P$46,'KM POR UNIDAD'!A69,'MORALES LOPEZ DE LARA MARIANO'!V$40:V$46)+SUMIF('MELENDEZ SINALOA MANUEL ARAT'!P$40:P$46,'KM POR UNIDAD'!A69,'MELENDEZ SINALOA MANUEL ARAT'!V$40:V$46)+SUMIF('MORALES LECHUGA GONZALO'!P$40:P$46,'KM POR UNIDAD'!A69,'MORALES LECHUGA GONZALO'!V$40:V$46)+SUMIF('ORONA BECERRA MAURO JOSE'!P$40:P$46,'KM POR UNIDAD'!A69,'ORONA BECERRA MAURO JOSE'!V$40:V$46)+SUMIF('VALLES HERNANDEZ MANUEL MARCELI'!P$39:P$45,'KM POR UNIDAD'!A69,'VALLES HERNANDEZ MANUEL MARCELI'!V$39:V$45)+SUMIF('ORTIZ RAMIREZ HECTOR MANUEL'!P$40:P$46,'KM POR UNIDAD'!A69,'ORTIZ RAMIREZ HECTOR MANUEL'!V$40:V$46)+SUMIF('ONTIVEROS LIRA JUAN'!P$40:P$46,'KM POR UNIDAD'!A69,'ONTIVEROS LIRA JUAN'!V$40:V$46)+SUMIF('RODRIGUEZ FLORES BRYAN DARIO'!P$40:P$46,'KM POR UNIDAD'!A69,'RODRIGUEZ FLORES BRYAN DARIO'!V$40:V$46)+SUMIF('NUÑEZ RUIZ IRVING JAVIER.'!P$42:P$48,'KM POR UNIDAD'!A69,'NUÑEZ RUIZ IRVING JAVIER.'!V$42:V$48)+SUMIF('MACHADO MAZUCA ADOLFO'!P$40:P$46,'KM POR UNIDAD'!A69,'MACHADO MAZUCA ADOLFO'!V$40:V$46)+SUMIF('LIRA ARCEO JOEL EDUARDO'!P$40:P$46,'KM POR UNIDAD'!A69,'LIRA ARCEO JOEL EDUARDO'!V$40:V$46)+SUMIF('ANCHONDO ROMERO CESAR ALEJANDRO'!P$40:P$46,'KM POR UNIDAD'!A69,'ANCHONDO ROMERO CESAR ALEJANDRO'!V$40:V$46)</f>
        <v>0</v>
      </c>
      <c r="E69" s="145">
        <f t="shared" si="0"/>
        <v>0</v>
      </c>
      <c r="F69" s="144" t="e">
        <f ca="1">+SUMIF('AGUILAR ESQUIVEL CARLOS'!P$40:P$46,'KM POR UNIDAD'!A69,'AGUILAR ESQUIVEL CARLOS'!W$40:W$46)+SUMIF('AGUILAR RODRIGUEZ JORGE ALONSO'!P$40:P$46,'KM POR UNIDAD'!A69,'AGUILAR RODRIGUEZ JORGE ALONSO'!W$40:W$46)+SUMIF('REYES LARA DANTE'!T$40:T$46,'KM POR UNIDAD'!A69,'REYES LARA DANTE'!Y$40:Y$46)+SUMIF('RAMIREZ BAUTISTA ADRIAN'!T$40:T$46,'KM POR UNIDAD'!A69,'RAMIREZ BAUTISTA ADRIAN'!Y$40:Y$46)+SUMIF('FLORES BOJORQUEZ BRYAN OVED'!T$40:T$46,'KM POR UNIDAD'!A69,'FLORES BOJORQUEZ BRYAN OVED'!Y$40:Y$46)+SUMIF('BALDERRAMA ROBLES JORGE'!T$40:T$46,'KM POR UNIDAD'!A69,'BALDERRAMA ROBLES JORGE'!#REF!)+SUMIF('BURGOS TORRES RIGOBERTO'!T$39:T$45,'KM POR UNIDAD'!A69,'BURGOS TORRES RIGOBERTO'!Y$39:Y$45)+SUMIF('CORDOVA URIBE JOSE  ADRIAN'!T$40:T$46,'KM POR UNIDAD'!E69,'CORDOVA URIBE JOSE  ADRIAN'!Y$40:Y$46)+SUMIF('GUZMAN CHAPARRO PEDRO'!T$40:T$46,'KM POR UNIDAD'!E69,'GUZMAN CHAPARRO PEDRO'!Y$40:Y$46)+SUMIF('HERNANDEZ LICANO JOSE LUIS'!T$40:T$46,'KM POR UNIDAD'!E69,'HERNANDEZ LICANO JOSE LUIS'!#REF!)+SUMIF('CARRERA REYES MARTIN SEBASTIAN'!T$41:T$47,'KM POR UNIDAD'!E69,'CARRERA REYES MARTIN SEBASTIAN'!Y$41:Y$47)+SUMIF('RUIZ SAUCEDO DANIEL ALEJANDRO'!T$40:T$46,'KM POR UNIDAD'!E69,'RUIZ SAUCEDO DANIEL ALEJANDRO'!Y$40:Y$46)+SUMIF('MARTINEZ RAMIREZ ROSALIO'!T$40:T$46,'KM POR UNIDAD'!E69,'MARTINEZ RAMIREZ ROSALIO'!Y$40:Y$46)+SUMIF('BALLEZA RAMIREZ JESUS JOSE'!T$40:T$46,'KM POR UNIDAD'!E69,'BALLEZA RAMIREZ JESUS JOSE'!T$176:T$180)+SUMIF('MONTERO BURROLA LUIS'!T$38:T$44,'KM POR UNIDAD'!E69,'MONTERO BURROLA LUIS'!Y$38:Y$44)+SUMIF('AGUILERA CONTRERAS LUIS GERARDO'!T$41:T$47,'KM POR UNIDAD'!E69,'AGUILERA CONTRERAS LUIS GERARDO'!Y$41:Y$47)+SUMIF('MORALES LOPEZ DE LARA MARIANO'!T$40:T$46,'KM POR UNIDAD'!E69,'MORALES LOPEZ DE LARA MARIANO'!Y$40:Y$46)+SUMIF('MELENDEZ SINALOA MANUEL ARAT'!T$40:T$46,'KM POR UNIDAD'!E69,'MELENDEZ SINALOA MANUEL ARAT'!#REF!)+SUMIF('MORALES LECHUGA GONZALO'!T$40:T$46,'KM POR UNIDAD'!E69,'MORALES LECHUGA GONZALO'!Y$40:Y$46)+SUMIF('ORONA BECERRA MAURO JOSE'!T$40:T$46,'KM POR UNIDAD'!E69,'ORONA BECERRA MAURO JOSE'!Y$40:Y$46)+SUMIF('VALLES HERNANDEZ MANUEL MARCELI'!T$39:T$45,'KM POR UNIDAD'!E69,'VALLES HERNANDEZ MANUEL MARCELI'!Y$39:Y$45)+SUMIF('ORTIZ RAMIREZ HECTOR MANUEL'!T$40:T$46,'KM POR UNIDAD'!E69,'ORTIZ RAMIREZ HECTOR MANUEL'!Y$40:Y$46)+SUMIF('ONTIVEROS LIRA JUAN'!T$40:T$46,'KM POR UNIDAD'!E69,'ONTIVEROS LIRA JUAN'!Y$40:Y$46)+SUMIF('RODRIGUEZ FLORES BRYAN DARIO'!T$40:T$46,'KM POR UNIDAD'!E69,'RODRIGUEZ FLORES BRYAN DARIO'!Y$40:Y$46)+SUMIF('NUÑEZ RUIZ IRVING JAVIER.'!T$42:T$48,'KM POR UNIDAD'!E69,'NUÑEZ RUIZ IRVING JAVIER.'!Y$42:Y$48)+SUMIF('MACHADO MAZUCA ADOLFO'!T$40:T$46,'KM POR UNIDAD'!E69,'MACHADO MAZUCA ADOLFO'!Y$40:Y$46)+SUMIF('LIRA ARCEO JOEL EDUARDO'!T$40:T$46,'KM POR UNIDAD'!E69,'LIRA ARCEO JOEL EDUARDO'!Y$41:Y$46)+SUMIF('ANCHONDO ROMERO CESAR ALEJANDRO'!T$40:T$46,'KM POR UNIDAD'!E69,'ANCHONDO ROMERO CESAR ALEJANDRO'!Y$40:Y$46)</f>
        <v>#REF!</v>
      </c>
      <c r="G69" s="146"/>
    </row>
    <row r="70" spans="1:7" x14ac:dyDescent="0.25">
      <c r="A70" s="146"/>
      <c r="B70" s="234">
        <f>SUM(B3:B69)</f>
        <v>66161</v>
      </c>
      <c r="C70" s="234"/>
      <c r="D70" s="234">
        <f>SUM(D3:D57)</f>
        <v>17483.2</v>
      </c>
      <c r="E70" s="146"/>
      <c r="F70" s="144" t="e">
        <f ca="1">+SUMIF('AGUILAR ESQUIVEL CARLOS'!P$40:P$46,'KM POR UNIDAD'!A70,'AGUILAR ESQUIVEL CARLOS'!W$40:W$46)+SUMIF('AGUILAR RODRIGUEZ JORGE ALONSO'!P$40:P$46,'KM POR UNIDAD'!A70,'AGUILAR RODRIGUEZ JORGE ALONSO'!W$40:W$46)+SUMIF('REYES LARA DANTE'!T$40:T$46,'KM POR UNIDAD'!A70,'REYES LARA DANTE'!Y$40:Y$46)+SUMIF('RAMIREZ BAUTISTA ADRIAN'!T$40:T$46,'KM POR UNIDAD'!A70,'RAMIREZ BAUTISTA ADRIAN'!Y$40:Y$46)+SUMIF('FLORES BOJORQUEZ BRYAN OVED'!T$40:T$46,'KM POR UNIDAD'!A70,'FLORES BOJORQUEZ BRYAN OVED'!Y$40:Y$46)+SUMIF('BALDERRAMA ROBLES JORGE'!T$40:T$46,'KM POR UNIDAD'!A70,'BALDERRAMA ROBLES JORGE'!#REF!)+SUMIF('BURGOS TORRES RIGOBERTO'!T$39:T$45,'KM POR UNIDAD'!A70,'BURGOS TORRES RIGOBERTO'!Y$39:Y$45)+SUMIF('CORDOVA URIBE JOSE  ADRIAN'!T$40:T$46,'KM POR UNIDAD'!E70,'CORDOVA URIBE JOSE  ADRIAN'!Y$40:Y$46)+SUMIF('GUZMAN CHAPARRO PEDRO'!T$40:T$46,'KM POR UNIDAD'!E70,'GUZMAN CHAPARRO PEDRO'!Y$40:Y$46)+SUMIF('HERNANDEZ LICANO JOSE LUIS'!T$40:T$46,'KM POR UNIDAD'!E70,'HERNANDEZ LICANO JOSE LUIS'!#REF!)+SUMIF('CARRERA REYES MARTIN SEBASTIAN'!T$41:T$47,'KM POR UNIDAD'!E70,'CARRERA REYES MARTIN SEBASTIAN'!Y$41:Y$47)+SUMIF('RUIZ SAUCEDO DANIEL ALEJANDRO'!T$40:T$46,'KM POR UNIDAD'!E70,'RUIZ SAUCEDO DANIEL ALEJANDRO'!Y$40:Y$46)+SUMIF('MARTINEZ RAMIREZ ROSALIO'!T$40:T$46,'KM POR UNIDAD'!E70,'MARTINEZ RAMIREZ ROSALIO'!Y$40:Y$46)+SUMIF('BALLEZA RAMIREZ JESUS JOSE'!T$40:T$46,'KM POR UNIDAD'!E70,'BALLEZA RAMIREZ JESUS JOSE'!T$176:T$180)+SUMIF('MONTERO BURROLA LUIS'!T$38:T$44,'KM POR UNIDAD'!E70,'MONTERO BURROLA LUIS'!Y$38:Y$44)+SUMIF('AGUILERA CONTRERAS LUIS GERARDO'!T$41:T$47,'KM POR UNIDAD'!E70,'AGUILERA CONTRERAS LUIS GERARDO'!Y$41:Y$47)+SUMIF('MORALES LOPEZ DE LARA MARIANO'!T$40:T$46,'KM POR UNIDAD'!E70,'MORALES LOPEZ DE LARA MARIANO'!Y$40:Y$46)+SUMIF('MELENDEZ SINALOA MANUEL ARAT'!T$40:T$46,'KM POR UNIDAD'!E70,'MELENDEZ SINALOA MANUEL ARAT'!#REF!)+SUMIF('MORALES LECHUGA GONZALO'!T$40:T$46,'KM POR UNIDAD'!E70,'MORALES LECHUGA GONZALO'!Y$40:Y$46)+SUMIF('ORONA BECERRA MAURO JOSE'!T$40:T$46,'KM POR UNIDAD'!E70,'ORONA BECERRA MAURO JOSE'!Y$40:Y$46)+SUMIF('VALLES HERNANDEZ MANUEL MARCELI'!T$39:T$45,'KM POR UNIDAD'!E70,'VALLES HERNANDEZ MANUEL MARCELI'!Y$39:Y$45)+SUMIF('ORTIZ RAMIREZ HECTOR MANUEL'!T$40:T$46,'KM POR UNIDAD'!E70,'ORTIZ RAMIREZ HECTOR MANUEL'!Y$40:Y$46)+SUMIF('ONTIVEROS LIRA JUAN'!T$40:T$46,'KM POR UNIDAD'!E70,'ONTIVEROS LIRA JUAN'!Y$40:Y$46)+SUMIF('RODRIGUEZ FLORES BRYAN DARIO'!T$40:T$46,'KM POR UNIDAD'!E70,'RODRIGUEZ FLORES BRYAN DARIO'!Y$40:Y$46)+SUMIF('NUÑEZ RUIZ IRVING JAVIER.'!T$42:T$48,'KM POR UNIDAD'!E70,'NUÑEZ RUIZ IRVING JAVIER.'!Y$42:Y$48)+SUMIF('MACHADO MAZUCA ADOLFO'!T$40:T$46,'KM POR UNIDAD'!E70,'MACHADO MAZUCA ADOLFO'!Y$40:Y$46)+SUMIF('LIRA ARCEO JOEL EDUARDO'!T$40:T$46,'KM POR UNIDAD'!E70,'LIRA ARCEO JOEL EDUARDO'!Y$41:Y$46)+SUMIF('ANCHONDO ROMERO CESAR ALEJANDRO'!T$40:T$46,'KM POR UNIDAD'!E70,'ANCHONDO ROMERO CESAR ALEJANDRO'!Y$40:Y$46)</f>
        <v>#REF!</v>
      </c>
      <c r="G70" s="146"/>
    </row>
    <row r="71" spans="1:7" ht="16.5" thickBot="1" x14ac:dyDescent="0.3">
      <c r="B71" s="207">
        <f>+'KM POR CHOFER'!I31</f>
        <v>66161</v>
      </c>
      <c r="C71" s="140"/>
      <c r="D71" s="235"/>
      <c r="E71" s="140"/>
      <c r="F71" s="144" t="e">
        <f ca="1">+SUMIF('AGUILAR ESQUIVEL CARLOS'!P$40:P$46,'KM POR UNIDAD'!A71,'AGUILAR ESQUIVEL CARLOS'!W$40:W$46)+SUMIF('AGUILAR RODRIGUEZ JORGE ALONSO'!P$40:P$46,'KM POR UNIDAD'!A71,'AGUILAR RODRIGUEZ JORGE ALONSO'!W$40:W$46)+SUMIF('REYES LARA DANTE'!T$40:T$46,'KM POR UNIDAD'!A71,'REYES LARA DANTE'!Y$40:Y$46)+SUMIF('RAMIREZ BAUTISTA ADRIAN'!T$40:T$46,'KM POR UNIDAD'!A71,'RAMIREZ BAUTISTA ADRIAN'!Y$40:Y$46)+SUMIF('FLORES BOJORQUEZ BRYAN OVED'!T$40:T$46,'KM POR UNIDAD'!A71,'FLORES BOJORQUEZ BRYAN OVED'!Y$40:Y$46)+SUMIF('BALDERRAMA ROBLES JORGE'!T$40:T$46,'KM POR UNIDAD'!A71,'BALDERRAMA ROBLES JORGE'!#REF!)+SUMIF('BURGOS TORRES RIGOBERTO'!T$39:T$45,'KM POR UNIDAD'!A71,'BURGOS TORRES RIGOBERTO'!Y$39:Y$45)+SUMIF('CORDOVA URIBE JOSE  ADRIAN'!T$40:T$46,'KM POR UNIDAD'!E71,'CORDOVA URIBE JOSE  ADRIAN'!Y$40:Y$46)+SUMIF('GUZMAN CHAPARRO PEDRO'!T$40:T$46,'KM POR UNIDAD'!E71,'GUZMAN CHAPARRO PEDRO'!Y$40:Y$46)+SUMIF('HERNANDEZ LICANO JOSE LUIS'!T$40:T$46,'KM POR UNIDAD'!E71,'HERNANDEZ LICANO JOSE LUIS'!#REF!)+SUMIF('CARRERA REYES MARTIN SEBASTIAN'!T$41:T$47,'KM POR UNIDAD'!E71,'CARRERA REYES MARTIN SEBASTIAN'!Y$41:Y$47)+SUMIF('RUIZ SAUCEDO DANIEL ALEJANDRO'!T$40:T$46,'KM POR UNIDAD'!E71,'RUIZ SAUCEDO DANIEL ALEJANDRO'!Y$40:Y$46)+SUMIF('MARTINEZ RAMIREZ ROSALIO'!T$40:T$46,'KM POR UNIDAD'!E71,'MARTINEZ RAMIREZ ROSALIO'!Y$40:Y$46)+SUMIF('BALLEZA RAMIREZ JESUS JOSE'!T$40:T$46,'KM POR UNIDAD'!E71,'BALLEZA RAMIREZ JESUS JOSE'!T$176:T$180)+SUMIF('MONTERO BURROLA LUIS'!T$38:T$44,'KM POR UNIDAD'!E71,'MONTERO BURROLA LUIS'!Y$38:Y$44)+SUMIF('AGUILERA CONTRERAS LUIS GERARDO'!T$41:T$47,'KM POR UNIDAD'!E71,'AGUILERA CONTRERAS LUIS GERARDO'!Y$41:Y$47)+SUMIF('MORALES LOPEZ DE LARA MARIANO'!T$40:T$46,'KM POR UNIDAD'!E71,'MORALES LOPEZ DE LARA MARIANO'!Y$40:Y$46)+SUMIF('MELENDEZ SINALOA MANUEL ARAT'!T$40:T$46,'KM POR UNIDAD'!E71,'MELENDEZ SINALOA MANUEL ARAT'!#REF!)+SUMIF('MORALES LECHUGA GONZALO'!T$40:T$46,'KM POR UNIDAD'!E71,'MORALES LECHUGA GONZALO'!Y$40:Y$46)+SUMIF('ORONA BECERRA MAURO JOSE'!T$40:T$46,'KM POR UNIDAD'!E71,'ORONA BECERRA MAURO JOSE'!Y$40:Y$46)+SUMIF('VALLES HERNANDEZ MANUEL MARCELI'!T$39:T$45,'KM POR UNIDAD'!E71,'VALLES HERNANDEZ MANUEL MARCELI'!Y$39:Y$45)+SUMIF('ORTIZ RAMIREZ HECTOR MANUEL'!T$40:T$46,'KM POR UNIDAD'!E71,'ORTIZ RAMIREZ HECTOR MANUEL'!Y$40:Y$46)+SUMIF('ONTIVEROS LIRA JUAN'!T$40:T$46,'KM POR UNIDAD'!E71,'ONTIVEROS LIRA JUAN'!Y$40:Y$46)+SUMIF('RODRIGUEZ FLORES BRYAN DARIO'!T$40:T$46,'KM POR UNIDAD'!E71,'RODRIGUEZ FLORES BRYAN DARIO'!Y$40:Y$46)+SUMIF('NUÑEZ RUIZ IRVING JAVIER.'!T$42:T$48,'KM POR UNIDAD'!E71,'NUÑEZ RUIZ IRVING JAVIER.'!Y$42:Y$48)+SUMIF('MACHADO MAZUCA ADOLFO'!T$40:T$46,'KM POR UNIDAD'!E71,'MACHADO MAZUCA ADOLFO'!Y$40:Y$46)+SUMIF('LIRA ARCEO JOEL EDUARDO'!T$40:T$46,'KM POR UNIDAD'!E71,'LIRA ARCEO JOEL EDUARDO'!Y$41:Y$46)+SUMIF('ANCHONDO ROMERO CESAR ALEJANDRO'!T$40:T$46,'KM POR UNIDAD'!E71,'ANCHONDO ROMERO CESAR ALEJANDRO'!Y$40:Y$46)</f>
        <v>#REF!</v>
      </c>
    </row>
    <row r="72" spans="1:7" x14ac:dyDescent="0.25">
      <c r="B72" s="228">
        <f>B70-B71</f>
        <v>0</v>
      </c>
      <c r="C72" s="140"/>
      <c r="D72" s="235"/>
      <c r="E72" s="140"/>
      <c r="F72" s="144" t="e">
        <f ca="1">+SUMIF('AGUILAR ESQUIVEL CARLOS'!P$40:P$46,'KM POR UNIDAD'!A72,'AGUILAR ESQUIVEL CARLOS'!W$40:W$46)+SUMIF('AGUILAR RODRIGUEZ JORGE ALONSO'!P$40:P$46,'KM POR UNIDAD'!A72,'AGUILAR RODRIGUEZ JORGE ALONSO'!W$40:W$46)+SUMIF('REYES LARA DANTE'!T$40:T$46,'KM POR UNIDAD'!A72,'REYES LARA DANTE'!Y$40:Y$46)+SUMIF('RAMIREZ BAUTISTA ADRIAN'!T$40:T$46,'KM POR UNIDAD'!A72,'RAMIREZ BAUTISTA ADRIAN'!Y$40:Y$46)+SUMIF('FLORES BOJORQUEZ BRYAN OVED'!T$40:T$46,'KM POR UNIDAD'!A72,'FLORES BOJORQUEZ BRYAN OVED'!Y$40:Y$46)+SUMIF('BALDERRAMA ROBLES JORGE'!T$40:T$46,'KM POR UNIDAD'!A72,'BALDERRAMA ROBLES JORGE'!#REF!)+SUMIF('BURGOS TORRES RIGOBERTO'!T$39:T$45,'KM POR UNIDAD'!A72,'BURGOS TORRES RIGOBERTO'!Y$39:Y$45)+SUMIF('CORDOVA URIBE JOSE  ADRIAN'!T$40:T$46,'KM POR UNIDAD'!E72,'CORDOVA URIBE JOSE  ADRIAN'!Y$40:Y$46)+SUMIF('GUZMAN CHAPARRO PEDRO'!T$40:T$46,'KM POR UNIDAD'!E72,'GUZMAN CHAPARRO PEDRO'!Y$40:Y$46)+SUMIF('HERNANDEZ LICANO JOSE LUIS'!T$40:T$46,'KM POR UNIDAD'!E72,'HERNANDEZ LICANO JOSE LUIS'!#REF!)+SUMIF('CARRERA REYES MARTIN SEBASTIAN'!T$41:T$47,'KM POR UNIDAD'!E72,'CARRERA REYES MARTIN SEBASTIAN'!Y$41:Y$47)+SUMIF('RUIZ SAUCEDO DANIEL ALEJANDRO'!T$40:T$46,'KM POR UNIDAD'!E72,'RUIZ SAUCEDO DANIEL ALEJANDRO'!Y$40:Y$46)+SUMIF('MARTINEZ RAMIREZ ROSALIO'!T$40:T$46,'KM POR UNIDAD'!E72,'MARTINEZ RAMIREZ ROSALIO'!Y$40:Y$46)+SUMIF('BALLEZA RAMIREZ JESUS JOSE'!T$40:T$46,'KM POR UNIDAD'!E72,'BALLEZA RAMIREZ JESUS JOSE'!T$176:T$180)+SUMIF('MONTERO BURROLA LUIS'!T$38:T$44,'KM POR UNIDAD'!E72,'MONTERO BURROLA LUIS'!Y$38:Y$44)+SUMIF('AGUILERA CONTRERAS LUIS GERARDO'!T$41:T$47,'KM POR UNIDAD'!E72,'AGUILERA CONTRERAS LUIS GERARDO'!Y$41:Y$47)+SUMIF('MORALES LOPEZ DE LARA MARIANO'!T$40:T$46,'KM POR UNIDAD'!E72,'MORALES LOPEZ DE LARA MARIANO'!Y$40:Y$46)+SUMIF('MELENDEZ SINALOA MANUEL ARAT'!T$40:T$46,'KM POR UNIDAD'!E72,'MELENDEZ SINALOA MANUEL ARAT'!#REF!)+SUMIF('MORALES LECHUGA GONZALO'!T$40:T$46,'KM POR UNIDAD'!E72,'MORALES LECHUGA GONZALO'!Y$40:Y$46)+SUMIF('ORONA BECERRA MAURO JOSE'!T$40:T$46,'KM POR UNIDAD'!E72,'ORONA BECERRA MAURO JOSE'!Y$40:Y$46)+SUMIF('VALLES HERNANDEZ MANUEL MARCELI'!T$39:T$45,'KM POR UNIDAD'!E72,'VALLES HERNANDEZ MANUEL MARCELI'!Y$39:Y$45)+SUMIF('ORTIZ RAMIREZ HECTOR MANUEL'!T$40:T$46,'KM POR UNIDAD'!E72,'ORTIZ RAMIREZ HECTOR MANUEL'!Y$40:Y$46)+SUMIF('ONTIVEROS LIRA JUAN'!T$40:T$46,'KM POR UNIDAD'!E72,'ONTIVEROS LIRA JUAN'!Y$40:Y$46)+SUMIF('RODRIGUEZ FLORES BRYAN DARIO'!T$40:T$46,'KM POR UNIDAD'!E72,'RODRIGUEZ FLORES BRYAN DARIO'!Y$40:Y$46)+SUMIF('NUÑEZ RUIZ IRVING JAVIER.'!T$42:T$48,'KM POR UNIDAD'!E72,'NUÑEZ RUIZ IRVING JAVIER.'!Y$42:Y$48)+SUMIF('MACHADO MAZUCA ADOLFO'!T$40:T$46,'KM POR UNIDAD'!E72,'MACHADO MAZUCA ADOLFO'!Y$40:Y$46)+SUMIF('LIRA ARCEO JOEL EDUARDO'!T$40:T$46,'KM POR UNIDAD'!E72,'LIRA ARCEO JOEL EDUARDO'!Y$41:Y$46)+SUMIF('ANCHONDO ROMERO CESAR ALEJANDRO'!T$40:T$46,'KM POR UNIDAD'!E72,'ANCHONDO ROMERO CESAR ALEJANDRO'!Y$40:Y$46)</f>
        <v>#REF!</v>
      </c>
    </row>
    <row r="73" spans="1:7" x14ac:dyDescent="0.25">
      <c r="B73" s="228"/>
      <c r="C73" s="140"/>
      <c r="D73" s="235"/>
      <c r="E73" s="140"/>
    </row>
    <row r="74" spans="1:7" x14ac:dyDescent="0.25">
      <c r="B74" s="140"/>
      <c r="C74" s="140"/>
      <c r="D74" s="140"/>
      <c r="E74" s="140"/>
    </row>
    <row r="75" spans="1:7" x14ac:dyDescent="0.25">
      <c r="B75" s="148"/>
      <c r="C75" s="148"/>
      <c r="D75" s="148"/>
      <c r="E75" s="149"/>
    </row>
    <row r="76" spans="1:7" x14ac:dyDescent="0.25">
      <c r="B76" s="148"/>
      <c r="C76" s="148"/>
      <c r="D76" s="148"/>
      <c r="E76" s="149"/>
    </row>
  </sheetData>
  <mergeCells count="1">
    <mergeCell ref="A1:E1"/>
  </mergeCells>
  <phoneticPr fontId="32" type="noConversion"/>
  <pageMargins left="0.7" right="0.7" top="0.75" bottom="0.75" header="0.3" footer="0.3"/>
  <pageSetup orientation="landscape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 codeName="Hoja34"/>
  <dimension ref="B1:C40"/>
  <sheetViews>
    <sheetView zoomScale="85" zoomScaleNormal="85" workbookViewId="0">
      <selection activeCell="B2" sqref="B2:C37"/>
    </sheetView>
  </sheetViews>
  <sheetFormatPr baseColWidth="10" defaultColWidth="9.140625" defaultRowHeight="15" x14ac:dyDescent="0.25"/>
  <cols>
    <col min="1" max="1" width="9.140625" style="216"/>
    <col min="2" max="2" width="26.5703125" style="214" bestFit="1" customWidth="1"/>
    <col min="3" max="3" width="17.140625" style="215" bestFit="1" customWidth="1"/>
    <col min="4" max="246" width="9.140625" style="216"/>
    <col min="247" max="247" width="10.7109375" style="216" bestFit="1" customWidth="1"/>
    <col min="248" max="248" width="10" style="216" customWidth="1"/>
    <col min="249" max="249" width="13" style="216" customWidth="1"/>
    <col min="250" max="250" width="10.85546875" style="216" customWidth="1"/>
    <col min="251" max="251" width="11.7109375" style="216" customWidth="1"/>
    <col min="252" max="252" width="9.140625" style="216"/>
    <col min="253" max="253" width="11.5703125" style="216" customWidth="1"/>
    <col min="254" max="254" width="13.85546875" style="216" customWidth="1"/>
    <col min="255" max="502" width="9.140625" style="216"/>
    <col min="503" max="503" width="10.7109375" style="216" bestFit="1" customWidth="1"/>
    <col min="504" max="504" width="10" style="216" customWidth="1"/>
    <col min="505" max="505" width="13" style="216" customWidth="1"/>
    <col min="506" max="506" width="10.85546875" style="216" customWidth="1"/>
    <col min="507" max="507" width="11.7109375" style="216" customWidth="1"/>
    <col min="508" max="508" width="9.140625" style="216"/>
    <col min="509" max="509" width="11.5703125" style="216" customWidth="1"/>
    <col min="510" max="510" width="13.85546875" style="216" customWidth="1"/>
    <col min="511" max="758" width="9.140625" style="216"/>
    <col min="759" max="759" width="10.7109375" style="216" bestFit="1" customWidth="1"/>
    <col min="760" max="760" width="10" style="216" customWidth="1"/>
    <col min="761" max="761" width="13" style="216" customWidth="1"/>
    <col min="762" max="762" width="10.85546875" style="216" customWidth="1"/>
    <col min="763" max="763" width="11.7109375" style="216" customWidth="1"/>
    <col min="764" max="764" width="9.140625" style="216"/>
    <col min="765" max="765" width="11.5703125" style="216" customWidth="1"/>
    <col min="766" max="766" width="13.85546875" style="216" customWidth="1"/>
    <col min="767" max="1014" width="9.140625" style="216"/>
    <col min="1015" max="1015" width="10.7109375" style="216" bestFit="1" customWidth="1"/>
    <col min="1016" max="1016" width="10" style="216" customWidth="1"/>
    <col min="1017" max="1017" width="13" style="216" customWidth="1"/>
    <col min="1018" max="1018" width="10.85546875" style="216" customWidth="1"/>
    <col min="1019" max="1019" width="11.7109375" style="216" customWidth="1"/>
    <col min="1020" max="1020" width="9.140625" style="216"/>
    <col min="1021" max="1021" width="11.5703125" style="216" customWidth="1"/>
    <col min="1022" max="1022" width="13.85546875" style="216" customWidth="1"/>
    <col min="1023" max="1270" width="9.140625" style="216"/>
    <col min="1271" max="1271" width="10.7109375" style="216" bestFit="1" customWidth="1"/>
    <col min="1272" max="1272" width="10" style="216" customWidth="1"/>
    <col min="1273" max="1273" width="13" style="216" customWidth="1"/>
    <col min="1274" max="1274" width="10.85546875" style="216" customWidth="1"/>
    <col min="1275" max="1275" width="11.7109375" style="216" customWidth="1"/>
    <col min="1276" max="1276" width="9.140625" style="216"/>
    <col min="1277" max="1277" width="11.5703125" style="216" customWidth="1"/>
    <col min="1278" max="1278" width="13.85546875" style="216" customWidth="1"/>
    <col min="1279" max="1526" width="9.140625" style="216"/>
    <col min="1527" max="1527" width="10.7109375" style="216" bestFit="1" customWidth="1"/>
    <col min="1528" max="1528" width="10" style="216" customWidth="1"/>
    <col min="1529" max="1529" width="13" style="216" customWidth="1"/>
    <col min="1530" max="1530" width="10.85546875" style="216" customWidth="1"/>
    <col min="1531" max="1531" width="11.7109375" style="216" customWidth="1"/>
    <col min="1532" max="1532" width="9.140625" style="216"/>
    <col min="1533" max="1533" width="11.5703125" style="216" customWidth="1"/>
    <col min="1534" max="1534" width="13.85546875" style="216" customWidth="1"/>
    <col min="1535" max="1782" width="9.140625" style="216"/>
    <col min="1783" max="1783" width="10.7109375" style="216" bestFit="1" customWidth="1"/>
    <col min="1784" max="1784" width="10" style="216" customWidth="1"/>
    <col min="1785" max="1785" width="13" style="216" customWidth="1"/>
    <col min="1786" max="1786" width="10.85546875" style="216" customWidth="1"/>
    <col min="1787" max="1787" width="11.7109375" style="216" customWidth="1"/>
    <col min="1788" max="1788" width="9.140625" style="216"/>
    <col min="1789" max="1789" width="11.5703125" style="216" customWidth="1"/>
    <col min="1790" max="1790" width="13.85546875" style="216" customWidth="1"/>
    <col min="1791" max="2038" width="9.140625" style="216"/>
    <col min="2039" max="2039" width="10.7109375" style="216" bestFit="1" customWidth="1"/>
    <col min="2040" max="2040" width="10" style="216" customWidth="1"/>
    <col min="2041" max="2041" width="13" style="216" customWidth="1"/>
    <col min="2042" max="2042" width="10.85546875" style="216" customWidth="1"/>
    <col min="2043" max="2043" width="11.7109375" style="216" customWidth="1"/>
    <col min="2044" max="2044" width="9.140625" style="216"/>
    <col min="2045" max="2045" width="11.5703125" style="216" customWidth="1"/>
    <col min="2046" max="2046" width="13.85546875" style="216" customWidth="1"/>
    <col min="2047" max="2294" width="9.140625" style="216"/>
    <col min="2295" max="2295" width="10.7109375" style="216" bestFit="1" customWidth="1"/>
    <col min="2296" max="2296" width="10" style="216" customWidth="1"/>
    <col min="2297" max="2297" width="13" style="216" customWidth="1"/>
    <col min="2298" max="2298" width="10.85546875" style="216" customWidth="1"/>
    <col min="2299" max="2299" width="11.7109375" style="216" customWidth="1"/>
    <col min="2300" max="2300" width="9.140625" style="216"/>
    <col min="2301" max="2301" width="11.5703125" style="216" customWidth="1"/>
    <col min="2302" max="2302" width="13.85546875" style="216" customWidth="1"/>
    <col min="2303" max="2550" width="9.140625" style="216"/>
    <col min="2551" max="2551" width="10.7109375" style="216" bestFit="1" customWidth="1"/>
    <col min="2552" max="2552" width="10" style="216" customWidth="1"/>
    <col min="2553" max="2553" width="13" style="216" customWidth="1"/>
    <col min="2554" max="2554" width="10.85546875" style="216" customWidth="1"/>
    <col min="2555" max="2555" width="11.7109375" style="216" customWidth="1"/>
    <col min="2556" max="2556" width="9.140625" style="216"/>
    <col min="2557" max="2557" width="11.5703125" style="216" customWidth="1"/>
    <col min="2558" max="2558" width="13.85546875" style="216" customWidth="1"/>
    <col min="2559" max="2806" width="9.140625" style="216"/>
    <col min="2807" max="2807" width="10.7109375" style="216" bestFit="1" customWidth="1"/>
    <col min="2808" max="2808" width="10" style="216" customWidth="1"/>
    <col min="2809" max="2809" width="13" style="216" customWidth="1"/>
    <col min="2810" max="2810" width="10.85546875" style="216" customWidth="1"/>
    <col min="2811" max="2811" width="11.7109375" style="216" customWidth="1"/>
    <col min="2812" max="2812" width="9.140625" style="216"/>
    <col min="2813" max="2813" width="11.5703125" style="216" customWidth="1"/>
    <col min="2814" max="2814" width="13.85546875" style="216" customWidth="1"/>
    <col min="2815" max="3062" width="9.140625" style="216"/>
    <col min="3063" max="3063" width="10.7109375" style="216" bestFit="1" customWidth="1"/>
    <col min="3064" max="3064" width="10" style="216" customWidth="1"/>
    <col min="3065" max="3065" width="13" style="216" customWidth="1"/>
    <col min="3066" max="3066" width="10.85546875" style="216" customWidth="1"/>
    <col min="3067" max="3067" width="11.7109375" style="216" customWidth="1"/>
    <col min="3068" max="3068" width="9.140625" style="216"/>
    <col min="3069" max="3069" width="11.5703125" style="216" customWidth="1"/>
    <col min="3070" max="3070" width="13.85546875" style="216" customWidth="1"/>
    <col min="3071" max="3318" width="9.140625" style="216"/>
    <col min="3319" max="3319" width="10.7109375" style="216" bestFit="1" customWidth="1"/>
    <col min="3320" max="3320" width="10" style="216" customWidth="1"/>
    <col min="3321" max="3321" width="13" style="216" customWidth="1"/>
    <col min="3322" max="3322" width="10.85546875" style="216" customWidth="1"/>
    <col min="3323" max="3323" width="11.7109375" style="216" customWidth="1"/>
    <col min="3324" max="3324" width="9.140625" style="216"/>
    <col min="3325" max="3325" width="11.5703125" style="216" customWidth="1"/>
    <col min="3326" max="3326" width="13.85546875" style="216" customWidth="1"/>
    <col min="3327" max="3574" width="9.140625" style="216"/>
    <col min="3575" max="3575" width="10.7109375" style="216" bestFit="1" customWidth="1"/>
    <col min="3576" max="3576" width="10" style="216" customWidth="1"/>
    <col min="3577" max="3577" width="13" style="216" customWidth="1"/>
    <col min="3578" max="3578" width="10.85546875" style="216" customWidth="1"/>
    <col min="3579" max="3579" width="11.7109375" style="216" customWidth="1"/>
    <col min="3580" max="3580" width="9.140625" style="216"/>
    <col min="3581" max="3581" width="11.5703125" style="216" customWidth="1"/>
    <col min="3582" max="3582" width="13.85546875" style="216" customWidth="1"/>
    <col min="3583" max="3830" width="9.140625" style="216"/>
    <col min="3831" max="3831" width="10.7109375" style="216" bestFit="1" customWidth="1"/>
    <col min="3832" max="3832" width="10" style="216" customWidth="1"/>
    <col min="3833" max="3833" width="13" style="216" customWidth="1"/>
    <col min="3834" max="3834" width="10.85546875" style="216" customWidth="1"/>
    <col min="3835" max="3835" width="11.7109375" style="216" customWidth="1"/>
    <col min="3836" max="3836" width="9.140625" style="216"/>
    <col min="3837" max="3837" width="11.5703125" style="216" customWidth="1"/>
    <col min="3838" max="3838" width="13.85546875" style="216" customWidth="1"/>
    <col min="3839" max="4086" width="9.140625" style="216"/>
    <col min="4087" max="4087" width="10.7109375" style="216" bestFit="1" customWidth="1"/>
    <col min="4088" max="4088" width="10" style="216" customWidth="1"/>
    <col min="4089" max="4089" width="13" style="216" customWidth="1"/>
    <col min="4090" max="4090" width="10.85546875" style="216" customWidth="1"/>
    <col min="4091" max="4091" width="11.7109375" style="216" customWidth="1"/>
    <col min="4092" max="4092" width="9.140625" style="216"/>
    <col min="4093" max="4093" width="11.5703125" style="216" customWidth="1"/>
    <col min="4094" max="4094" width="13.85546875" style="216" customWidth="1"/>
    <col min="4095" max="4342" width="9.140625" style="216"/>
    <col min="4343" max="4343" width="10.7109375" style="216" bestFit="1" customWidth="1"/>
    <col min="4344" max="4344" width="10" style="216" customWidth="1"/>
    <col min="4345" max="4345" width="13" style="216" customWidth="1"/>
    <col min="4346" max="4346" width="10.85546875" style="216" customWidth="1"/>
    <col min="4347" max="4347" width="11.7109375" style="216" customWidth="1"/>
    <col min="4348" max="4348" width="9.140625" style="216"/>
    <col min="4349" max="4349" width="11.5703125" style="216" customWidth="1"/>
    <col min="4350" max="4350" width="13.85546875" style="216" customWidth="1"/>
    <col min="4351" max="4598" width="9.140625" style="216"/>
    <col min="4599" max="4599" width="10.7109375" style="216" bestFit="1" customWidth="1"/>
    <col min="4600" max="4600" width="10" style="216" customWidth="1"/>
    <col min="4601" max="4601" width="13" style="216" customWidth="1"/>
    <col min="4602" max="4602" width="10.85546875" style="216" customWidth="1"/>
    <col min="4603" max="4603" width="11.7109375" style="216" customWidth="1"/>
    <col min="4604" max="4604" width="9.140625" style="216"/>
    <col min="4605" max="4605" width="11.5703125" style="216" customWidth="1"/>
    <col min="4606" max="4606" width="13.85546875" style="216" customWidth="1"/>
    <col min="4607" max="4854" width="9.140625" style="216"/>
    <col min="4855" max="4855" width="10.7109375" style="216" bestFit="1" customWidth="1"/>
    <col min="4856" max="4856" width="10" style="216" customWidth="1"/>
    <col min="4857" max="4857" width="13" style="216" customWidth="1"/>
    <col min="4858" max="4858" width="10.85546875" style="216" customWidth="1"/>
    <col min="4859" max="4859" width="11.7109375" style="216" customWidth="1"/>
    <col min="4860" max="4860" width="9.140625" style="216"/>
    <col min="4861" max="4861" width="11.5703125" style="216" customWidth="1"/>
    <col min="4862" max="4862" width="13.85546875" style="216" customWidth="1"/>
    <col min="4863" max="5110" width="9.140625" style="216"/>
    <col min="5111" max="5111" width="10.7109375" style="216" bestFit="1" customWidth="1"/>
    <col min="5112" max="5112" width="10" style="216" customWidth="1"/>
    <col min="5113" max="5113" width="13" style="216" customWidth="1"/>
    <col min="5114" max="5114" width="10.85546875" style="216" customWidth="1"/>
    <col min="5115" max="5115" width="11.7109375" style="216" customWidth="1"/>
    <col min="5116" max="5116" width="9.140625" style="216"/>
    <col min="5117" max="5117" width="11.5703125" style="216" customWidth="1"/>
    <col min="5118" max="5118" width="13.85546875" style="216" customWidth="1"/>
    <col min="5119" max="5366" width="9.140625" style="216"/>
    <col min="5367" max="5367" width="10.7109375" style="216" bestFit="1" customWidth="1"/>
    <col min="5368" max="5368" width="10" style="216" customWidth="1"/>
    <col min="5369" max="5369" width="13" style="216" customWidth="1"/>
    <col min="5370" max="5370" width="10.85546875" style="216" customWidth="1"/>
    <col min="5371" max="5371" width="11.7109375" style="216" customWidth="1"/>
    <col min="5372" max="5372" width="9.140625" style="216"/>
    <col min="5373" max="5373" width="11.5703125" style="216" customWidth="1"/>
    <col min="5374" max="5374" width="13.85546875" style="216" customWidth="1"/>
    <col min="5375" max="5622" width="9.140625" style="216"/>
    <col min="5623" max="5623" width="10.7109375" style="216" bestFit="1" customWidth="1"/>
    <col min="5624" max="5624" width="10" style="216" customWidth="1"/>
    <col min="5625" max="5625" width="13" style="216" customWidth="1"/>
    <col min="5626" max="5626" width="10.85546875" style="216" customWidth="1"/>
    <col min="5627" max="5627" width="11.7109375" style="216" customWidth="1"/>
    <col min="5628" max="5628" width="9.140625" style="216"/>
    <col min="5629" max="5629" width="11.5703125" style="216" customWidth="1"/>
    <col min="5630" max="5630" width="13.85546875" style="216" customWidth="1"/>
    <col min="5631" max="5878" width="9.140625" style="216"/>
    <col min="5879" max="5879" width="10.7109375" style="216" bestFit="1" customWidth="1"/>
    <col min="5880" max="5880" width="10" style="216" customWidth="1"/>
    <col min="5881" max="5881" width="13" style="216" customWidth="1"/>
    <col min="5882" max="5882" width="10.85546875" style="216" customWidth="1"/>
    <col min="5883" max="5883" width="11.7109375" style="216" customWidth="1"/>
    <col min="5884" max="5884" width="9.140625" style="216"/>
    <col min="5885" max="5885" width="11.5703125" style="216" customWidth="1"/>
    <col min="5886" max="5886" width="13.85546875" style="216" customWidth="1"/>
    <col min="5887" max="6134" width="9.140625" style="216"/>
    <col min="6135" max="6135" width="10.7109375" style="216" bestFit="1" customWidth="1"/>
    <col min="6136" max="6136" width="10" style="216" customWidth="1"/>
    <col min="6137" max="6137" width="13" style="216" customWidth="1"/>
    <col min="6138" max="6138" width="10.85546875" style="216" customWidth="1"/>
    <col min="6139" max="6139" width="11.7109375" style="216" customWidth="1"/>
    <col min="6140" max="6140" width="9.140625" style="216"/>
    <col min="6141" max="6141" width="11.5703125" style="216" customWidth="1"/>
    <col min="6142" max="6142" width="13.85546875" style="216" customWidth="1"/>
    <col min="6143" max="6390" width="9.140625" style="216"/>
    <col min="6391" max="6391" width="10.7109375" style="216" bestFit="1" customWidth="1"/>
    <col min="6392" max="6392" width="10" style="216" customWidth="1"/>
    <col min="6393" max="6393" width="13" style="216" customWidth="1"/>
    <col min="6394" max="6394" width="10.85546875" style="216" customWidth="1"/>
    <col min="6395" max="6395" width="11.7109375" style="216" customWidth="1"/>
    <col min="6396" max="6396" width="9.140625" style="216"/>
    <col min="6397" max="6397" width="11.5703125" style="216" customWidth="1"/>
    <col min="6398" max="6398" width="13.85546875" style="216" customWidth="1"/>
    <col min="6399" max="6646" width="9.140625" style="216"/>
    <col min="6647" max="6647" width="10.7109375" style="216" bestFit="1" customWidth="1"/>
    <col min="6648" max="6648" width="10" style="216" customWidth="1"/>
    <col min="6649" max="6649" width="13" style="216" customWidth="1"/>
    <col min="6650" max="6650" width="10.85546875" style="216" customWidth="1"/>
    <col min="6651" max="6651" width="11.7109375" style="216" customWidth="1"/>
    <col min="6652" max="6652" width="9.140625" style="216"/>
    <col min="6653" max="6653" width="11.5703125" style="216" customWidth="1"/>
    <col min="6654" max="6654" width="13.85546875" style="216" customWidth="1"/>
    <col min="6655" max="6902" width="9.140625" style="216"/>
    <col min="6903" max="6903" width="10.7109375" style="216" bestFit="1" customWidth="1"/>
    <col min="6904" max="6904" width="10" style="216" customWidth="1"/>
    <col min="6905" max="6905" width="13" style="216" customWidth="1"/>
    <col min="6906" max="6906" width="10.85546875" style="216" customWidth="1"/>
    <col min="6907" max="6907" width="11.7109375" style="216" customWidth="1"/>
    <col min="6908" max="6908" width="9.140625" style="216"/>
    <col min="6909" max="6909" width="11.5703125" style="216" customWidth="1"/>
    <col min="6910" max="6910" width="13.85546875" style="216" customWidth="1"/>
    <col min="6911" max="7158" width="9.140625" style="216"/>
    <col min="7159" max="7159" width="10.7109375" style="216" bestFit="1" customWidth="1"/>
    <col min="7160" max="7160" width="10" style="216" customWidth="1"/>
    <col min="7161" max="7161" width="13" style="216" customWidth="1"/>
    <col min="7162" max="7162" width="10.85546875" style="216" customWidth="1"/>
    <col min="7163" max="7163" width="11.7109375" style="216" customWidth="1"/>
    <col min="7164" max="7164" width="9.140625" style="216"/>
    <col min="7165" max="7165" width="11.5703125" style="216" customWidth="1"/>
    <col min="7166" max="7166" width="13.85546875" style="216" customWidth="1"/>
    <col min="7167" max="7414" width="9.140625" style="216"/>
    <col min="7415" max="7415" width="10.7109375" style="216" bestFit="1" customWidth="1"/>
    <col min="7416" max="7416" width="10" style="216" customWidth="1"/>
    <col min="7417" max="7417" width="13" style="216" customWidth="1"/>
    <col min="7418" max="7418" width="10.85546875" style="216" customWidth="1"/>
    <col min="7419" max="7419" width="11.7109375" style="216" customWidth="1"/>
    <col min="7420" max="7420" width="9.140625" style="216"/>
    <col min="7421" max="7421" width="11.5703125" style="216" customWidth="1"/>
    <col min="7422" max="7422" width="13.85546875" style="216" customWidth="1"/>
    <col min="7423" max="7670" width="9.140625" style="216"/>
    <col min="7671" max="7671" width="10.7109375" style="216" bestFit="1" customWidth="1"/>
    <col min="7672" max="7672" width="10" style="216" customWidth="1"/>
    <col min="7673" max="7673" width="13" style="216" customWidth="1"/>
    <col min="7674" max="7674" width="10.85546875" style="216" customWidth="1"/>
    <col min="7675" max="7675" width="11.7109375" style="216" customWidth="1"/>
    <col min="7676" max="7676" width="9.140625" style="216"/>
    <col min="7677" max="7677" width="11.5703125" style="216" customWidth="1"/>
    <col min="7678" max="7678" width="13.85546875" style="216" customWidth="1"/>
    <col min="7679" max="7926" width="9.140625" style="216"/>
    <col min="7927" max="7927" width="10.7109375" style="216" bestFit="1" customWidth="1"/>
    <col min="7928" max="7928" width="10" style="216" customWidth="1"/>
    <col min="7929" max="7929" width="13" style="216" customWidth="1"/>
    <col min="7930" max="7930" width="10.85546875" style="216" customWidth="1"/>
    <col min="7931" max="7931" width="11.7109375" style="216" customWidth="1"/>
    <col min="7932" max="7932" width="9.140625" style="216"/>
    <col min="7933" max="7933" width="11.5703125" style="216" customWidth="1"/>
    <col min="7934" max="7934" width="13.85546875" style="216" customWidth="1"/>
    <col min="7935" max="8182" width="9.140625" style="216"/>
    <col min="8183" max="8183" width="10.7109375" style="216" bestFit="1" customWidth="1"/>
    <col min="8184" max="8184" width="10" style="216" customWidth="1"/>
    <col min="8185" max="8185" width="13" style="216" customWidth="1"/>
    <col min="8186" max="8186" width="10.85546875" style="216" customWidth="1"/>
    <col min="8187" max="8187" width="11.7109375" style="216" customWidth="1"/>
    <col min="8188" max="8188" width="9.140625" style="216"/>
    <col min="8189" max="8189" width="11.5703125" style="216" customWidth="1"/>
    <col min="8190" max="8190" width="13.85546875" style="216" customWidth="1"/>
    <col min="8191" max="8438" width="9.140625" style="216"/>
    <col min="8439" max="8439" width="10.7109375" style="216" bestFit="1" customWidth="1"/>
    <col min="8440" max="8440" width="10" style="216" customWidth="1"/>
    <col min="8441" max="8441" width="13" style="216" customWidth="1"/>
    <col min="8442" max="8442" width="10.85546875" style="216" customWidth="1"/>
    <col min="8443" max="8443" width="11.7109375" style="216" customWidth="1"/>
    <col min="8444" max="8444" width="9.140625" style="216"/>
    <col min="8445" max="8445" width="11.5703125" style="216" customWidth="1"/>
    <col min="8446" max="8446" width="13.85546875" style="216" customWidth="1"/>
    <col min="8447" max="8694" width="9.140625" style="216"/>
    <col min="8695" max="8695" width="10.7109375" style="216" bestFit="1" customWidth="1"/>
    <col min="8696" max="8696" width="10" style="216" customWidth="1"/>
    <col min="8697" max="8697" width="13" style="216" customWidth="1"/>
    <col min="8698" max="8698" width="10.85546875" style="216" customWidth="1"/>
    <col min="8699" max="8699" width="11.7109375" style="216" customWidth="1"/>
    <col min="8700" max="8700" width="9.140625" style="216"/>
    <col min="8701" max="8701" width="11.5703125" style="216" customWidth="1"/>
    <col min="8702" max="8702" width="13.85546875" style="216" customWidth="1"/>
    <col min="8703" max="8950" width="9.140625" style="216"/>
    <col min="8951" max="8951" width="10.7109375" style="216" bestFit="1" customWidth="1"/>
    <col min="8952" max="8952" width="10" style="216" customWidth="1"/>
    <col min="8953" max="8953" width="13" style="216" customWidth="1"/>
    <col min="8954" max="8954" width="10.85546875" style="216" customWidth="1"/>
    <col min="8955" max="8955" width="11.7109375" style="216" customWidth="1"/>
    <col min="8956" max="8956" width="9.140625" style="216"/>
    <col min="8957" max="8957" width="11.5703125" style="216" customWidth="1"/>
    <col min="8958" max="8958" width="13.85546875" style="216" customWidth="1"/>
    <col min="8959" max="9206" width="9.140625" style="216"/>
    <col min="9207" max="9207" width="10.7109375" style="216" bestFit="1" customWidth="1"/>
    <col min="9208" max="9208" width="10" style="216" customWidth="1"/>
    <col min="9209" max="9209" width="13" style="216" customWidth="1"/>
    <col min="9210" max="9210" width="10.85546875" style="216" customWidth="1"/>
    <col min="9211" max="9211" width="11.7109375" style="216" customWidth="1"/>
    <col min="9212" max="9212" width="9.140625" style="216"/>
    <col min="9213" max="9213" width="11.5703125" style="216" customWidth="1"/>
    <col min="9214" max="9214" width="13.85546875" style="216" customWidth="1"/>
    <col min="9215" max="9462" width="9.140625" style="216"/>
    <col min="9463" max="9463" width="10.7109375" style="216" bestFit="1" customWidth="1"/>
    <col min="9464" max="9464" width="10" style="216" customWidth="1"/>
    <col min="9465" max="9465" width="13" style="216" customWidth="1"/>
    <col min="9466" max="9466" width="10.85546875" style="216" customWidth="1"/>
    <col min="9467" max="9467" width="11.7109375" style="216" customWidth="1"/>
    <col min="9468" max="9468" width="9.140625" style="216"/>
    <col min="9469" max="9469" width="11.5703125" style="216" customWidth="1"/>
    <col min="9470" max="9470" width="13.85546875" style="216" customWidth="1"/>
    <col min="9471" max="9718" width="9.140625" style="216"/>
    <col min="9719" max="9719" width="10.7109375" style="216" bestFit="1" customWidth="1"/>
    <col min="9720" max="9720" width="10" style="216" customWidth="1"/>
    <col min="9721" max="9721" width="13" style="216" customWidth="1"/>
    <col min="9722" max="9722" width="10.85546875" style="216" customWidth="1"/>
    <col min="9723" max="9723" width="11.7109375" style="216" customWidth="1"/>
    <col min="9724" max="9724" width="9.140625" style="216"/>
    <col min="9725" max="9725" width="11.5703125" style="216" customWidth="1"/>
    <col min="9726" max="9726" width="13.85546875" style="216" customWidth="1"/>
    <col min="9727" max="9974" width="9.140625" style="216"/>
    <col min="9975" max="9975" width="10.7109375" style="216" bestFit="1" customWidth="1"/>
    <col min="9976" max="9976" width="10" style="216" customWidth="1"/>
    <col min="9977" max="9977" width="13" style="216" customWidth="1"/>
    <col min="9978" max="9978" width="10.85546875" style="216" customWidth="1"/>
    <col min="9979" max="9979" width="11.7109375" style="216" customWidth="1"/>
    <col min="9980" max="9980" width="9.140625" style="216"/>
    <col min="9981" max="9981" width="11.5703125" style="216" customWidth="1"/>
    <col min="9982" max="9982" width="13.85546875" style="216" customWidth="1"/>
    <col min="9983" max="10230" width="9.140625" style="216"/>
    <col min="10231" max="10231" width="10.7109375" style="216" bestFit="1" customWidth="1"/>
    <col min="10232" max="10232" width="10" style="216" customWidth="1"/>
    <col min="10233" max="10233" width="13" style="216" customWidth="1"/>
    <col min="10234" max="10234" width="10.85546875" style="216" customWidth="1"/>
    <col min="10235" max="10235" width="11.7109375" style="216" customWidth="1"/>
    <col min="10236" max="10236" width="9.140625" style="216"/>
    <col min="10237" max="10237" width="11.5703125" style="216" customWidth="1"/>
    <col min="10238" max="10238" width="13.85546875" style="216" customWidth="1"/>
    <col min="10239" max="10486" width="9.140625" style="216"/>
    <col min="10487" max="10487" width="10.7109375" style="216" bestFit="1" customWidth="1"/>
    <col min="10488" max="10488" width="10" style="216" customWidth="1"/>
    <col min="10489" max="10489" width="13" style="216" customWidth="1"/>
    <col min="10490" max="10490" width="10.85546875" style="216" customWidth="1"/>
    <col min="10491" max="10491" width="11.7109375" style="216" customWidth="1"/>
    <col min="10492" max="10492" width="9.140625" style="216"/>
    <col min="10493" max="10493" width="11.5703125" style="216" customWidth="1"/>
    <col min="10494" max="10494" width="13.85546875" style="216" customWidth="1"/>
    <col min="10495" max="10742" width="9.140625" style="216"/>
    <col min="10743" max="10743" width="10.7109375" style="216" bestFit="1" customWidth="1"/>
    <col min="10744" max="10744" width="10" style="216" customWidth="1"/>
    <col min="10745" max="10745" width="13" style="216" customWidth="1"/>
    <col min="10746" max="10746" width="10.85546875" style="216" customWidth="1"/>
    <col min="10747" max="10747" width="11.7109375" style="216" customWidth="1"/>
    <col min="10748" max="10748" width="9.140625" style="216"/>
    <col min="10749" max="10749" width="11.5703125" style="216" customWidth="1"/>
    <col min="10750" max="10750" width="13.85546875" style="216" customWidth="1"/>
    <col min="10751" max="10998" width="9.140625" style="216"/>
    <col min="10999" max="10999" width="10.7109375" style="216" bestFit="1" customWidth="1"/>
    <col min="11000" max="11000" width="10" style="216" customWidth="1"/>
    <col min="11001" max="11001" width="13" style="216" customWidth="1"/>
    <col min="11002" max="11002" width="10.85546875" style="216" customWidth="1"/>
    <col min="11003" max="11003" width="11.7109375" style="216" customWidth="1"/>
    <col min="11004" max="11004" width="9.140625" style="216"/>
    <col min="11005" max="11005" width="11.5703125" style="216" customWidth="1"/>
    <col min="11006" max="11006" width="13.85546875" style="216" customWidth="1"/>
    <col min="11007" max="11254" width="9.140625" style="216"/>
    <col min="11255" max="11255" width="10.7109375" style="216" bestFit="1" customWidth="1"/>
    <col min="11256" max="11256" width="10" style="216" customWidth="1"/>
    <col min="11257" max="11257" width="13" style="216" customWidth="1"/>
    <col min="11258" max="11258" width="10.85546875" style="216" customWidth="1"/>
    <col min="11259" max="11259" width="11.7109375" style="216" customWidth="1"/>
    <col min="11260" max="11260" width="9.140625" style="216"/>
    <col min="11261" max="11261" width="11.5703125" style="216" customWidth="1"/>
    <col min="11262" max="11262" width="13.85546875" style="216" customWidth="1"/>
    <col min="11263" max="11510" width="9.140625" style="216"/>
    <col min="11511" max="11511" width="10.7109375" style="216" bestFit="1" customWidth="1"/>
    <col min="11512" max="11512" width="10" style="216" customWidth="1"/>
    <col min="11513" max="11513" width="13" style="216" customWidth="1"/>
    <col min="11514" max="11514" width="10.85546875" style="216" customWidth="1"/>
    <col min="11515" max="11515" width="11.7109375" style="216" customWidth="1"/>
    <col min="11516" max="11516" width="9.140625" style="216"/>
    <col min="11517" max="11517" width="11.5703125" style="216" customWidth="1"/>
    <col min="11518" max="11518" width="13.85546875" style="216" customWidth="1"/>
    <col min="11519" max="11766" width="9.140625" style="216"/>
    <col min="11767" max="11767" width="10.7109375" style="216" bestFit="1" customWidth="1"/>
    <col min="11768" max="11768" width="10" style="216" customWidth="1"/>
    <col min="11769" max="11769" width="13" style="216" customWidth="1"/>
    <col min="11770" max="11770" width="10.85546875" style="216" customWidth="1"/>
    <col min="11771" max="11771" width="11.7109375" style="216" customWidth="1"/>
    <col min="11772" max="11772" width="9.140625" style="216"/>
    <col min="11773" max="11773" width="11.5703125" style="216" customWidth="1"/>
    <col min="11774" max="11774" width="13.85546875" style="216" customWidth="1"/>
    <col min="11775" max="12022" width="9.140625" style="216"/>
    <col min="12023" max="12023" width="10.7109375" style="216" bestFit="1" customWidth="1"/>
    <col min="12024" max="12024" width="10" style="216" customWidth="1"/>
    <col min="12025" max="12025" width="13" style="216" customWidth="1"/>
    <col min="12026" max="12026" width="10.85546875" style="216" customWidth="1"/>
    <col min="12027" max="12027" width="11.7109375" style="216" customWidth="1"/>
    <col min="12028" max="12028" width="9.140625" style="216"/>
    <col min="12029" max="12029" width="11.5703125" style="216" customWidth="1"/>
    <col min="12030" max="12030" width="13.85546875" style="216" customWidth="1"/>
    <col min="12031" max="12278" width="9.140625" style="216"/>
    <col min="12279" max="12279" width="10.7109375" style="216" bestFit="1" customWidth="1"/>
    <col min="12280" max="12280" width="10" style="216" customWidth="1"/>
    <col min="12281" max="12281" width="13" style="216" customWidth="1"/>
    <col min="12282" max="12282" width="10.85546875" style="216" customWidth="1"/>
    <col min="12283" max="12283" width="11.7109375" style="216" customWidth="1"/>
    <col min="12284" max="12284" width="9.140625" style="216"/>
    <col min="12285" max="12285" width="11.5703125" style="216" customWidth="1"/>
    <col min="12286" max="12286" width="13.85546875" style="216" customWidth="1"/>
    <col min="12287" max="12534" width="9.140625" style="216"/>
    <col min="12535" max="12535" width="10.7109375" style="216" bestFit="1" customWidth="1"/>
    <col min="12536" max="12536" width="10" style="216" customWidth="1"/>
    <col min="12537" max="12537" width="13" style="216" customWidth="1"/>
    <col min="12538" max="12538" width="10.85546875" style="216" customWidth="1"/>
    <col min="12539" max="12539" width="11.7109375" style="216" customWidth="1"/>
    <col min="12540" max="12540" width="9.140625" style="216"/>
    <col min="12541" max="12541" width="11.5703125" style="216" customWidth="1"/>
    <col min="12542" max="12542" width="13.85546875" style="216" customWidth="1"/>
    <col min="12543" max="12790" width="9.140625" style="216"/>
    <col min="12791" max="12791" width="10.7109375" style="216" bestFit="1" customWidth="1"/>
    <col min="12792" max="12792" width="10" style="216" customWidth="1"/>
    <col min="12793" max="12793" width="13" style="216" customWidth="1"/>
    <col min="12794" max="12794" width="10.85546875" style="216" customWidth="1"/>
    <col min="12795" max="12795" width="11.7109375" style="216" customWidth="1"/>
    <col min="12796" max="12796" width="9.140625" style="216"/>
    <col min="12797" max="12797" width="11.5703125" style="216" customWidth="1"/>
    <col min="12798" max="12798" width="13.85546875" style="216" customWidth="1"/>
    <col min="12799" max="13046" width="9.140625" style="216"/>
    <col min="13047" max="13047" width="10.7109375" style="216" bestFit="1" customWidth="1"/>
    <col min="13048" max="13048" width="10" style="216" customWidth="1"/>
    <col min="13049" max="13049" width="13" style="216" customWidth="1"/>
    <col min="13050" max="13050" width="10.85546875" style="216" customWidth="1"/>
    <col min="13051" max="13051" width="11.7109375" style="216" customWidth="1"/>
    <col min="13052" max="13052" width="9.140625" style="216"/>
    <col min="13053" max="13053" width="11.5703125" style="216" customWidth="1"/>
    <col min="13054" max="13054" width="13.85546875" style="216" customWidth="1"/>
    <col min="13055" max="13302" width="9.140625" style="216"/>
    <col min="13303" max="13303" width="10.7109375" style="216" bestFit="1" customWidth="1"/>
    <col min="13304" max="13304" width="10" style="216" customWidth="1"/>
    <col min="13305" max="13305" width="13" style="216" customWidth="1"/>
    <col min="13306" max="13306" width="10.85546875" style="216" customWidth="1"/>
    <col min="13307" max="13307" width="11.7109375" style="216" customWidth="1"/>
    <col min="13308" max="13308" width="9.140625" style="216"/>
    <col min="13309" max="13309" width="11.5703125" style="216" customWidth="1"/>
    <col min="13310" max="13310" width="13.85546875" style="216" customWidth="1"/>
    <col min="13311" max="13558" width="9.140625" style="216"/>
    <col min="13559" max="13559" width="10.7109375" style="216" bestFit="1" customWidth="1"/>
    <col min="13560" max="13560" width="10" style="216" customWidth="1"/>
    <col min="13561" max="13561" width="13" style="216" customWidth="1"/>
    <col min="13562" max="13562" width="10.85546875" style="216" customWidth="1"/>
    <col min="13563" max="13563" width="11.7109375" style="216" customWidth="1"/>
    <col min="13564" max="13564" width="9.140625" style="216"/>
    <col min="13565" max="13565" width="11.5703125" style="216" customWidth="1"/>
    <col min="13566" max="13566" width="13.85546875" style="216" customWidth="1"/>
    <col min="13567" max="13814" width="9.140625" style="216"/>
    <col min="13815" max="13815" width="10.7109375" style="216" bestFit="1" customWidth="1"/>
    <col min="13816" max="13816" width="10" style="216" customWidth="1"/>
    <col min="13817" max="13817" width="13" style="216" customWidth="1"/>
    <col min="13818" max="13818" width="10.85546875" style="216" customWidth="1"/>
    <col min="13819" max="13819" width="11.7109375" style="216" customWidth="1"/>
    <col min="13820" max="13820" width="9.140625" style="216"/>
    <col min="13821" max="13821" width="11.5703125" style="216" customWidth="1"/>
    <col min="13822" max="13822" width="13.85546875" style="216" customWidth="1"/>
    <col min="13823" max="14070" width="9.140625" style="216"/>
    <col min="14071" max="14071" width="10.7109375" style="216" bestFit="1" customWidth="1"/>
    <col min="14072" max="14072" width="10" style="216" customWidth="1"/>
    <col min="14073" max="14073" width="13" style="216" customWidth="1"/>
    <col min="14074" max="14074" width="10.85546875" style="216" customWidth="1"/>
    <col min="14075" max="14075" width="11.7109375" style="216" customWidth="1"/>
    <col min="14076" max="14076" width="9.140625" style="216"/>
    <col min="14077" max="14077" width="11.5703125" style="216" customWidth="1"/>
    <col min="14078" max="14078" width="13.85546875" style="216" customWidth="1"/>
    <col min="14079" max="14326" width="9.140625" style="216"/>
    <col min="14327" max="14327" width="10.7109375" style="216" bestFit="1" customWidth="1"/>
    <col min="14328" max="14328" width="10" style="216" customWidth="1"/>
    <col min="14329" max="14329" width="13" style="216" customWidth="1"/>
    <col min="14330" max="14330" width="10.85546875" style="216" customWidth="1"/>
    <col min="14331" max="14331" width="11.7109375" style="216" customWidth="1"/>
    <col min="14332" max="14332" width="9.140625" style="216"/>
    <col min="14333" max="14333" width="11.5703125" style="216" customWidth="1"/>
    <col min="14334" max="14334" width="13.85546875" style="216" customWidth="1"/>
    <col min="14335" max="14582" width="9.140625" style="216"/>
    <col min="14583" max="14583" width="10.7109375" style="216" bestFit="1" customWidth="1"/>
    <col min="14584" max="14584" width="10" style="216" customWidth="1"/>
    <col min="14585" max="14585" width="13" style="216" customWidth="1"/>
    <col min="14586" max="14586" width="10.85546875" style="216" customWidth="1"/>
    <col min="14587" max="14587" width="11.7109375" style="216" customWidth="1"/>
    <col min="14588" max="14588" width="9.140625" style="216"/>
    <col min="14589" max="14589" width="11.5703125" style="216" customWidth="1"/>
    <col min="14590" max="14590" width="13.85546875" style="216" customWidth="1"/>
    <col min="14591" max="14838" width="9.140625" style="216"/>
    <col min="14839" max="14839" width="10.7109375" style="216" bestFit="1" customWidth="1"/>
    <col min="14840" max="14840" width="10" style="216" customWidth="1"/>
    <col min="14841" max="14841" width="13" style="216" customWidth="1"/>
    <col min="14842" max="14842" width="10.85546875" style="216" customWidth="1"/>
    <col min="14843" max="14843" width="11.7109375" style="216" customWidth="1"/>
    <col min="14844" max="14844" width="9.140625" style="216"/>
    <col min="14845" max="14845" width="11.5703125" style="216" customWidth="1"/>
    <col min="14846" max="14846" width="13.85546875" style="216" customWidth="1"/>
    <col min="14847" max="15094" width="9.140625" style="216"/>
    <col min="15095" max="15095" width="10.7109375" style="216" bestFit="1" customWidth="1"/>
    <col min="15096" max="15096" width="10" style="216" customWidth="1"/>
    <col min="15097" max="15097" width="13" style="216" customWidth="1"/>
    <col min="15098" max="15098" width="10.85546875" style="216" customWidth="1"/>
    <col min="15099" max="15099" width="11.7109375" style="216" customWidth="1"/>
    <col min="15100" max="15100" width="9.140625" style="216"/>
    <col min="15101" max="15101" width="11.5703125" style="216" customWidth="1"/>
    <col min="15102" max="15102" width="13.85546875" style="216" customWidth="1"/>
    <col min="15103" max="15350" width="9.140625" style="216"/>
    <col min="15351" max="15351" width="10.7109375" style="216" bestFit="1" customWidth="1"/>
    <col min="15352" max="15352" width="10" style="216" customWidth="1"/>
    <col min="15353" max="15353" width="13" style="216" customWidth="1"/>
    <col min="15354" max="15354" width="10.85546875" style="216" customWidth="1"/>
    <col min="15355" max="15355" width="11.7109375" style="216" customWidth="1"/>
    <col min="15356" max="15356" width="9.140625" style="216"/>
    <col min="15357" max="15357" width="11.5703125" style="216" customWidth="1"/>
    <col min="15358" max="15358" width="13.85546875" style="216" customWidth="1"/>
    <col min="15359" max="15606" width="9.140625" style="216"/>
    <col min="15607" max="15607" width="10.7109375" style="216" bestFit="1" customWidth="1"/>
    <col min="15608" max="15608" width="10" style="216" customWidth="1"/>
    <col min="15609" max="15609" width="13" style="216" customWidth="1"/>
    <col min="15610" max="15610" width="10.85546875" style="216" customWidth="1"/>
    <col min="15611" max="15611" width="11.7109375" style="216" customWidth="1"/>
    <col min="15612" max="15612" width="9.140625" style="216"/>
    <col min="15613" max="15613" width="11.5703125" style="216" customWidth="1"/>
    <col min="15614" max="15614" width="13.85546875" style="216" customWidth="1"/>
    <col min="15615" max="15862" width="9.140625" style="216"/>
    <col min="15863" max="15863" width="10.7109375" style="216" bestFit="1" customWidth="1"/>
    <col min="15864" max="15864" width="10" style="216" customWidth="1"/>
    <col min="15865" max="15865" width="13" style="216" customWidth="1"/>
    <col min="15866" max="15866" width="10.85546875" style="216" customWidth="1"/>
    <col min="15867" max="15867" width="11.7109375" style="216" customWidth="1"/>
    <col min="15868" max="15868" width="9.140625" style="216"/>
    <col min="15869" max="15869" width="11.5703125" style="216" customWidth="1"/>
    <col min="15870" max="15870" width="13.85546875" style="216" customWidth="1"/>
    <col min="15871" max="16118" width="9.140625" style="216"/>
    <col min="16119" max="16119" width="10.7109375" style="216" bestFit="1" customWidth="1"/>
    <col min="16120" max="16120" width="10" style="216" customWidth="1"/>
    <col min="16121" max="16121" width="13" style="216" customWidth="1"/>
    <col min="16122" max="16122" width="10.85546875" style="216" customWidth="1"/>
    <col min="16123" max="16123" width="11.7109375" style="216" customWidth="1"/>
    <col min="16124" max="16124" width="9.140625" style="216"/>
    <col min="16125" max="16125" width="11.5703125" style="216" customWidth="1"/>
    <col min="16126" max="16126" width="13.85546875" style="216" customWidth="1"/>
    <col min="16127" max="16384" width="9.140625" style="216"/>
  </cols>
  <sheetData>
    <row r="1" spans="2:3" ht="15.75" thickBot="1" x14ac:dyDescent="0.3"/>
    <row r="2" spans="2:3" ht="15.75" thickBot="1" x14ac:dyDescent="0.3">
      <c r="B2" s="217" t="s">
        <v>31</v>
      </c>
      <c r="C2" s="218" t="s">
        <v>209</v>
      </c>
    </row>
    <row r="3" spans="2:3" x14ac:dyDescent="0.25">
      <c r="B3" s="219" t="s">
        <v>200</v>
      </c>
      <c r="C3" s="220">
        <f>+SUMIF('AGUILAR ESQUIVEL CARLOS'!P$19:P$32,'KM POR CLIENTE'!B3,'AGUILAR ESQUIVEL CARLOS'!J$19:J$32)+SUMIF('AGUILAR RODRIGUEZ JORGE ALONSO'!P$19:P$32,'KM POR CLIENTE'!B3,'AGUILAR RODRIGUEZ JORGE ALONSO'!J$19:J$32)+SUMIF('REYES LARA DANTE'!P$19:P$32,'KM POR CLIENTE'!B3,'REYES LARA DANTE'!J$19:J$32)+SUMIF('FLORES BOJORQUEZ BRYAN OVED'!P$19:P$34,'KM POR CLIENTE'!B3,'FLORES BOJORQUEZ BRYAN OVED'!J$19:J$34)+SUMIF('BALDERRAMA ROBLES JORGE'!P$19:P$32,'KM POR CLIENTE'!B3,'BALDERRAMA ROBLES JORGE'!J$19:J$32)+SUMIF('BURGOS TORRES RIGOBERTO'!P$19:P$31,'KM POR CLIENTE'!B3,'BURGOS TORRES RIGOBERTO'!J$19:J$31)+SUMIF('CORDOVA URIBE JOSE  ADRIAN'!P$19:P$32,'KM POR CLIENTE'!B3,'CORDOVA URIBE JOSE  ADRIAN'!J$19:J$32)+SUMIF('GUZMAN CHAPARRO PEDRO'!P$19:P$32,'KM POR CLIENTE'!B3,'GUZMAN CHAPARRO PEDRO'!J$19:J$32)+SUMIF('HERNANDEZ LICANO JOSE LUIS'!P$19:P$32,'KM POR CLIENTE'!B3,'HERNANDEZ LICANO JOSE LUIS'!J$19:J$32)+SUMIF('CARRERA REYES MARTIN SEBASTIAN'!P$19:P$33,'KM POR CLIENTE'!B3,'CARRERA REYES MARTIN SEBASTIAN'!J$19:J$33)+SUMIF('MACHADO MAZUCA ADOLFO'!P$19:P$32,'KM POR CLIENTE'!B3,'MACHADO MAZUCA ADOLFO'!J$19:J$32)+SUMIF('RUIZ SAUCEDO DANIEL ALEJANDRO'!P$19:P$32,'KM POR CLIENTE'!B3,'RUIZ SAUCEDO DANIEL ALEJANDRO'!J$19:J$32)+SUMIF('MARTINEZ RAMIREZ ROSALIO'!P$19:P$32,'KM POR CLIENTE'!B3,'MARTINEZ RAMIREZ ROSALIO'!J$19:J$32)+SUMIF('MONTERO BURROLA LUIS'!P$19:P$30,'KM POR CLIENTE'!B3,'MONTERO BURROLA LUIS'!J$19:J$30)+SUMIF('AGUILERA CONTRERAS LUIS GERARDO'!P$19:P$33,'KM POR CLIENTE'!B3,'AGUILERA CONTRERAS LUIS GERARDO'!J$19:J$33)+SUMIF('MORALES LOPEZ DE LARA MARIANO'!P$19:P$32,'KM POR CLIENTE'!B3,'MORALES LOPEZ DE LARA MARIANO'!J$19:J$32)+SUMIF('MELENDEZ SINALOA MANUEL ARAT'!P$19:P$32,'KM POR CLIENTE'!B3,'MELENDEZ SINALOA MANUEL ARAT'!J$19:J$32)+SUMIF('MORALES LECHUGA GONZALO'!P$19:P$32,'KM POR CLIENTE'!B3,'MORALES LECHUGA GONZALO'!J$19:J$32)+SUMIF('ORONA BECERRA MAURO JOSE'!P$19:P$32,'KM POR CLIENTE'!B3,'ORONA BECERRA MAURO JOSE'!J$19:J$32)+SUMIF('ORTIZ RAMIREZ HECTOR MANUEL'!P$19:P$32,'KM POR CLIENTE'!B3,'ORTIZ RAMIREZ HECTOR MANUEL'!J$19:J$32)+SUMIF('RAMIREZ BAUTISTA ADRIAN'!P$19:P$32,'KM POR CLIENTE'!B3,'RAMIREZ BAUTISTA ADRIAN'!J$19:J$32)+SUMIF('VALLES HERNANDEZ MANUEL MARCELI'!P$19:P$31,'KM POR CLIENTE'!B3,'VALLES HERNANDEZ MANUEL MARCELI'!J$19:J$31)+SUMIF('BALLEZA RAMIREZ JESUS JOSE'!P$19:P$32,'KM POR CLIENTE'!B3,'BALLEZA RAMIREZ JESUS JOSE'!J$19:J$32)+SUMIF('NUÑEZ RUIZ IRVING JAVIER.'!P$20:P$34,'KM POR CLIENTE'!B3,'NUÑEZ RUIZ IRVING JAVIER.'!J$20:J$34)+SUMIF('ONTIVEROS LIRA JUAN'!P$19:P$32,'KM POR CLIENTE'!B3,'ONTIVEROS LIRA JUAN'!J$19:J$32)+SUMIF('RODRIGUEZ FLORES BRYAN DARIO'!P$19:P$32,'KM POR CLIENTE'!B3,'RODRIGUEZ FLORES BRYAN DARIO'!J$19:J$32)+SUMIF('LIRA ARCEO JOEL EDUARDO'!P$19:P$32,'KM POR CLIENTE'!B3,'LIRA ARCEO JOEL EDUARDO'!J$19:J$32)+SUMIF('ANCHONDO ROMERO CESAR ALEJANDRO'!P$19:P$32,'KM POR CLIENTE'!B3,'ANCHONDO ROMERO CESAR ALEJANDRO'!J$19:J$32)</f>
        <v>8886</v>
      </c>
    </row>
    <row r="4" spans="2:3" x14ac:dyDescent="0.25">
      <c r="B4" s="221" t="s">
        <v>195</v>
      </c>
      <c r="C4" s="224">
        <f>+SUMIF('AGUILAR ESQUIVEL CARLOS'!P$19:P$32,'KM POR CLIENTE'!B4,'AGUILAR ESQUIVEL CARLOS'!J$19:J$32)+SUMIF('AGUILAR RODRIGUEZ JORGE ALONSO'!P$19:P$32,'KM POR CLIENTE'!B4,'AGUILAR RODRIGUEZ JORGE ALONSO'!J$19:J$32)+SUMIF('REYES LARA DANTE'!P$19:P$32,'KM POR CLIENTE'!B4,'REYES LARA DANTE'!J$19:J$32)+SUMIF('FLORES BOJORQUEZ BRYAN OVED'!P$19:P$34,'KM POR CLIENTE'!B4,'FLORES BOJORQUEZ BRYAN OVED'!J$19:J$34)+SUMIF('BALDERRAMA ROBLES JORGE'!P$19:P$32,'KM POR CLIENTE'!B4,'BALDERRAMA ROBLES JORGE'!J$19:J$32)+SUMIF('BURGOS TORRES RIGOBERTO'!P$19:P$31,'KM POR CLIENTE'!B4,'BURGOS TORRES RIGOBERTO'!J$19:J$31)+SUMIF('CORDOVA URIBE JOSE  ADRIAN'!P$19:P$32,'KM POR CLIENTE'!B4,'CORDOVA URIBE JOSE  ADRIAN'!J$19:J$32)+SUMIF('GUZMAN CHAPARRO PEDRO'!P$19:P$32,'KM POR CLIENTE'!B4,'GUZMAN CHAPARRO PEDRO'!J$19:J$32)+SUMIF('HERNANDEZ LICANO JOSE LUIS'!P$19:P$32,'KM POR CLIENTE'!B4,'HERNANDEZ LICANO JOSE LUIS'!J$19:J$32)+SUMIF('CARRERA REYES MARTIN SEBASTIAN'!P$19:P$33,'KM POR CLIENTE'!B4,'CARRERA REYES MARTIN SEBASTIAN'!J$19:J$33)+SUMIF('MACHADO MAZUCA ADOLFO'!P$19:P$32,'KM POR CLIENTE'!B4,'MACHADO MAZUCA ADOLFO'!J$19:J$32)+SUMIF('RUIZ SAUCEDO DANIEL ALEJANDRO'!P$19:P$32,'KM POR CLIENTE'!B4,'RUIZ SAUCEDO DANIEL ALEJANDRO'!J$19:J$32)+SUMIF('MARTINEZ RAMIREZ ROSALIO'!P$19:P$32,'KM POR CLIENTE'!B4,'MARTINEZ RAMIREZ ROSALIO'!J$19:J$32)+SUMIF('MONTERO BURROLA LUIS'!P$19:P$30,'KM POR CLIENTE'!B4,'MONTERO BURROLA LUIS'!J$19:J$30)+SUMIF('AGUILERA CONTRERAS LUIS GERARDO'!P$19:P$33,'KM POR CLIENTE'!B4,'AGUILERA CONTRERAS LUIS GERARDO'!J$19:J$33)+SUMIF('MORALES LOPEZ DE LARA MARIANO'!P$19:P$32,'KM POR CLIENTE'!B4,'MORALES LOPEZ DE LARA MARIANO'!J$19:J$32)+SUMIF('MELENDEZ SINALOA MANUEL ARAT'!P$19:P$32,'KM POR CLIENTE'!B4,'MELENDEZ SINALOA MANUEL ARAT'!J$19:J$32)+SUMIF('MORALES LECHUGA GONZALO'!P$19:P$32,'KM POR CLIENTE'!B4,'MORALES LECHUGA GONZALO'!J$19:J$32)+SUMIF('ORONA BECERRA MAURO JOSE'!P$19:P$32,'KM POR CLIENTE'!B4,'ORONA BECERRA MAURO JOSE'!J$19:J$32)+SUMIF('ORTIZ RAMIREZ HECTOR MANUEL'!P$19:P$32,'KM POR CLIENTE'!B4,'ORTIZ RAMIREZ HECTOR MANUEL'!J$19:J$32)+SUMIF('RAMIREZ BAUTISTA ADRIAN'!P$19:P$32,'KM POR CLIENTE'!B4,'RAMIREZ BAUTISTA ADRIAN'!J$19:J$32)+SUMIF('VALLES HERNANDEZ MANUEL MARCELI'!P$19:P$31,'KM POR CLIENTE'!B4,'VALLES HERNANDEZ MANUEL MARCELI'!J$19:J$31)+SUMIF('BALLEZA RAMIREZ JESUS JOSE'!P$19:P$32,'KM POR CLIENTE'!B4,'BALLEZA RAMIREZ JESUS JOSE'!J$19:J$32)+SUMIF('NUÑEZ RUIZ IRVING JAVIER.'!P$20:P$34,'KM POR CLIENTE'!B4,'NUÑEZ RUIZ IRVING JAVIER.'!J$20:J$34)+SUMIF('ONTIVEROS LIRA JUAN'!P$19:P$32,'KM POR CLIENTE'!B4,'ONTIVEROS LIRA JUAN'!J$19:J$32)+SUMIF('RODRIGUEZ FLORES BRYAN DARIO'!P$19:P$32,'KM POR CLIENTE'!B4,'RODRIGUEZ FLORES BRYAN DARIO'!J$19:J$32)+SUMIF('LIRA ARCEO JOEL EDUARDO'!P$19:P$32,'KM POR CLIENTE'!B4,'LIRA ARCEO JOEL EDUARDO'!J$19:J$32)+SUMIF('ANCHONDO ROMERO CESAR ALEJANDRO'!P$19:P$32,'KM POR CLIENTE'!B4,'ANCHONDO ROMERO CESAR ALEJANDRO'!J$19:J$32)</f>
        <v>1125</v>
      </c>
    </row>
    <row r="5" spans="2:3" x14ac:dyDescent="0.25">
      <c r="B5" s="221" t="s">
        <v>237</v>
      </c>
      <c r="C5" s="224">
        <f>+SUMIF('AGUILAR ESQUIVEL CARLOS'!P$19:P$32,'KM POR CLIENTE'!B5,'AGUILAR ESQUIVEL CARLOS'!J$19:J$32)+SUMIF('AGUILAR RODRIGUEZ JORGE ALONSO'!P$19:P$32,'KM POR CLIENTE'!B5,'AGUILAR RODRIGUEZ JORGE ALONSO'!J$19:J$32)+SUMIF('REYES LARA DANTE'!P$19:P$32,'KM POR CLIENTE'!B5,'REYES LARA DANTE'!J$19:J$32)+SUMIF('FLORES BOJORQUEZ BRYAN OVED'!P$19:P$34,'KM POR CLIENTE'!B5,'FLORES BOJORQUEZ BRYAN OVED'!J$19:J$34)+SUMIF('BALDERRAMA ROBLES JORGE'!P$19:P$32,'KM POR CLIENTE'!B5,'BALDERRAMA ROBLES JORGE'!J$19:J$32)+SUMIF('BURGOS TORRES RIGOBERTO'!P$19:P$31,'KM POR CLIENTE'!B5,'BURGOS TORRES RIGOBERTO'!J$19:J$31)+SUMIF('CORDOVA URIBE JOSE  ADRIAN'!P$19:P$32,'KM POR CLIENTE'!B5,'CORDOVA URIBE JOSE  ADRIAN'!J$19:J$32)+SUMIF('GUZMAN CHAPARRO PEDRO'!P$19:P$32,'KM POR CLIENTE'!B5,'GUZMAN CHAPARRO PEDRO'!J$19:J$32)+SUMIF('HERNANDEZ LICANO JOSE LUIS'!P$19:P$32,'KM POR CLIENTE'!B5,'HERNANDEZ LICANO JOSE LUIS'!J$19:J$32)+SUMIF('CARRERA REYES MARTIN SEBASTIAN'!P$19:P$33,'KM POR CLIENTE'!B5,'CARRERA REYES MARTIN SEBASTIAN'!J$19:J$33)+SUMIF('MACHADO MAZUCA ADOLFO'!P$19:P$32,'KM POR CLIENTE'!B5,'MACHADO MAZUCA ADOLFO'!J$19:J$32)+SUMIF('RUIZ SAUCEDO DANIEL ALEJANDRO'!P$19:P$32,'KM POR CLIENTE'!B5,'RUIZ SAUCEDO DANIEL ALEJANDRO'!J$19:J$32)+SUMIF('MARTINEZ RAMIREZ ROSALIO'!P$19:P$32,'KM POR CLIENTE'!B5,'MARTINEZ RAMIREZ ROSALIO'!J$19:J$32)+SUMIF('MONTERO BURROLA LUIS'!P$19:P$30,'KM POR CLIENTE'!B5,'MONTERO BURROLA LUIS'!J$19:J$30)+SUMIF('AGUILERA CONTRERAS LUIS GERARDO'!P$19:P$33,'KM POR CLIENTE'!B5,'AGUILERA CONTRERAS LUIS GERARDO'!J$19:J$33)+SUMIF('MORALES LOPEZ DE LARA MARIANO'!P$19:P$32,'KM POR CLIENTE'!B5,'MORALES LOPEZ DE LARA MARIANO'!J$19:J$32)+SUMIF('MELENDEZ SINALOA MANUEL ARAT'!P$19:P$32,'KM POR CLIENTE'!B5,'MELENDEZ SINALOA MANUEL ARAT'!J$19:J$32)+SUMIF('MORALES LECHUGA GONZALO'!P$19:P$32,'KM POR CLIENTE'!B5,'MORALES LECHUGA GONZALO'!J$19:J$32)+SUMIF('ORONA BECERRA MAURO JOSE'!P$19:P$32,'KM POR CLIENTE'!B5,'ORONA BECERRA MAURO JOSE'!J$19:J$32)+SUMIF('ORTIZ RAMIREZ HECTOR MANUEL'!P$19:P$32,'KM POR CLIENTE'!B5,'ORTIZ RAMIREZ HECTOR MANUEL'!J$19:J$32)+SUMIF('RAMIREZ BAUTISTA ADRIAN'!P$19:P$32,'KM POR CLIENTE'!B5,'RAMIREZ BAUTISTA ADRIAN'!J$19:J$32)+SUMIF('VALLES HERNANDEZ MANUEL MARCELI'!P$19:P$31,'KM POR CLIENTE'!B5,'VALLES HERNANDEZ MANUEL MARCELI'!J$19:J$31)+SUMIF('BALLEZA RAMIREZ JESUS JOSE'!P$19:P$32,'KM POR CLIENTE'!B5,'BALLEZA RAMIREZ JESUS JOSE'!J$19:J$32)+SUMIF('NUÑEZ RUIZ IRVING JAVIER.'!P$20:P$34,'KM POR CLIENTE'!B5,'NUÑEZ RUIZ IRVING JAVIER.'!J$20:J$34)+SUMIF('ONTIVEROS LIRA JUAN'!P$19:P$32,'KM POR CLIENTE'!B5,'ONTIVEROS LIRA JUAN'!J$19:J$32)+SUMIF('RODRIGUEZ FLORES BRYAN DARIO'!P$19:P$32,'KM POR CLIENTE'!B5,'RODRIGUEZ FLORES BRYAN DARIO'!J$19:J$32)+SUMIF('LIRA ARCEO JOEL EDUARDO'!P$19:P$32,'KM POR CLIENTE'!B5,'LIRA ARCEO JOEL EDUARDO'!J$19:J$32)+SUMIF('ANCHONDO ROMERO CESAR ALEJANDRO'!P$19:P$32,'KM POR CLIENTE'!B5,'ANCHONDO ROMERO CESAR ALEJANDRO'!J$19:J$32)</f>
        <v>0</v>
      </c>
    </row>
    <row r="6" spans="2:3" x14ac:dyDescent="0.25">
      <c r="B6" s="221" t="s">
        <v>192</v>
      </c>
      <c r="C6" s="224">
        <f>+SUMIF('AGUILAR ESQUIVEL CARLOS'!P$19:P$32,'KM POR CLIENTE'!B6,'AGUILAR ESQUIVEL CARLOS'!J$19:J$32)+SUMIF('AGUILAR RODRIGUEZ JORGE ALONSO'!P$19:P$32,'KM POR CLIENTE'!B6,'AGUILAR RODRIGUEZ JORGE ALONSO'!J$19:J$32)+SUMIF('REYES LARA DANTE'!P$19:P$32,'KM POR CLIENTE'!B6,'REYES LARA DANTE'!J$19:J$32)+SUMIF('FLORES BOJORQUEZ BRYAN OVED'!P$19:P$34,'KM POR CLIENTE'!B6,'FLORES BOJORQUEZ BRYAN OVED'!J$19:J$34)+SUMIF('BALDERRAMA ROBLES JORGE'!P$19:P$32,'KM POR CLIENTE'!B6,'BALDERRAMA ROBLES JORGE'!J$19:J$32)+SUMIF('BURGOS TORRES RIGOBERTO'!P$19:P$31,'KM POR CLIENTE'!B6,'BURGOS TORRES RIGOBERTO'!J$19:J$31)+SUMIF('CORDOVA URIBE JOSE  ADRIAN'!P$19:P$32,'KM POR CLIENTE'!B6,'CORDOVA URIBE JOSE  ADRIAN'!J$19:J$32)+SUMIF('GUZMAN CHAPARRO PEDRO'!P$19:P$32,'KM POR CLIENTE'!B6,'GUZMAN CHAPARRO PEDRO'!J$19:J$32)+SUMIF('HERNANDEZ LICANO JOSE LUIS'!P$19:P$32,'KM POR CLIENTE'!B6,'HERNANDEZ LICANO JOSE LUIS'!J$19:J$32)+SUMIF('CARRERA REYES MARTIN SEBASTIAN'!P$19:P$33,'KM POR CLIENTE'!B6,'CARRERA REYES MARTIN SEBASTIAN'!J$19:J$33)+SUMIF('MACHADO MAZUCA ADOLFO'!P$19:P$32,'KM POR CLIENTE'!B6,'MACHADO MAZUCA ADOLFO'!J$19:J$32)+SUMIF('RUIZ SAUCEDO DANIEL ALEJANDRO'!P$19:P$32,'KM POR CLIENTE'!B6,'RUIZ SAUCEDO DANIEL ALEJANDRO'!J$19:J$32)+SUMIF('MARTINEZ RAMIREZ ROSALIO'!P$19:P$32,'KM POR CLIENTE'!B6,'MARTINEZ RAMIREZ ROSALIO'!J$19:J$32)+SUMIF('MONTERO BURROLA LUIS'!P$19:P$30,'KM POR CLIENTE'!B6,'MONTERO BURROLA LUIS'!J$19:J$30)+SUMIF('AGUILERA CONTRERAS LUIS GERARDO'!P$19:P$33,'KM POR CLIENTE'!B6,'AGUILERA CONTRERAS LUIS GERARDO'!J$19:J$33)+SUMIF('MORALES LOPEZ DE LARA MARIANO'!P$19:P$32,'KM POR CLIENTE'!B6,'MORALES LOPEZ DE LARA MARIANO'!J$19:J$32)+SUMIF('MELENDEZ SINALOA MANUEL ARAT'!P$19:P$32,'KM POR CLIENTE'!B6,'MELENDEZ SINALOA MANUEL ARAT'!J$19:J$32)+SUMIF('MORALES LECHUGA GONZALO'!P$19:P$32,'KM POR CLIENTE'!B6,'MORALES LECHUGA GONZALO'!J$19:J$32)+SUMIF('ORONA BECERRA MAURO JOSE'!P$19:P$32,'KM POR CLIENTE'!B6,'ORONA BECERRA MAURO JOSE'!J$19:J$32)+SUMIF('ORTIZ RAMIREZ HECTOR MANUEL'!P$19:P$32,'KM POR CLIENTE'!B6,'ORTIZ RAMIREZ HECTOR MANUEL'!J$19:J$32)+SUMIF('RAMIREZ BAUTISTA ADRIAN'!P$19:P$32,'KM POR CLIENTE'!B6,'RAMIREZ BAUTISTA ADRIAN'!J$19:J$32)+SUMIF('VALLES HERNANDEZ MANUEL MARCELI'!P$19:P$31,'KM POR CLIENTE'!B6,'VALLES HERNANDEZ MANUEL MARCELI'!J$19:J$31)+SUMIF('BALLEZA RAMIREZ JESUS JOSE'!P$19:P$32,'KM POR CLIENTE'!B6,'BALLEZA RAMIREZ JESUS JOSE'!J$19:J$32)+SUMIF('NUÑEZ RUIZ IRVING JAVIER.'!P$20:P$34,'KM POR CLIENTE'!B6,'NUÑEZ RUIZ IRVING JAVIER.'!J$20:J$34)+SUMIF('ONTIVEROS LIRA JUAN'!P$19:P$32,'KM POR CLIENTE'!B6,'ONTIVEROS LIRA JUAN'!J$19:J$32)+SUMIF('RODRIGUEZ FLORES BRYAN DARIO'!P$19:P$32,'KM POR CLIENTE'!B6,'RODRIGUEZ FLORES BRYAN DARIO'!J$19:J$32)+SUMIF('LIRA ARCEO JOEL EDUARDO'!P$19:P$32,'KM POR CLIENTE'!B6,'LIRA ARCEO JOEL EDUARDO'!J$19:J$32)+SUMIF('ANCHONDO ROMERO CESAR ALEJANDRO'!P$19:P$32,'KM POR CLIENTE'!B6,'ANCHONDO ROMERO CESAR ALEJANDRO'!J$19:J$32)</f>
        <v>0</v>
      </c>
    </row>
    <row r="7" spans="2:3" x14ac:dyDescent="0.25">
      <c r="B7" s="221" t="s">
        <v>202</v>
      </c>
      <c r="C7" s="224">
        <f>+SUMIF('AGUILAR ESQUIVEL CARLOS'!P$19:P$32,'KM POR CLIENTE'!B7,'AGUILAR ESQUIVEL CARLOS'!J$19:J$32)+SUMIF('AGUILAR RODRIGUEZ JORGE ALONSO'!P$19:P$32,'KM POR CLIENTE'!B7,'AGUILAR RODRIGUEZ JORGE ALONSO'!J$19:J$32)+SUMIF('REYES LARA DANTE'!P$19:P$32,'KM POR CLIENTE'!B7,'REYES LARA DANTE'!J$19:J$32)+SUMIF('FLORES BOJORQUEZ BRYAN OVED'!P$19:P$34,'KM POR CLIENTE'!B7,'FLORES BOJORQUEZ BRYAN OVED'!J$19:J$34)+SUMIF('BALDERRAMA ROBLES JORGE'!P$19:P$32,'KM POR CLIENTE'!B7,'BALDERRAMA ROBLES JORGE'!J$19:J$32)+SUMIF('BURGOS TORRES RIGOBERTO'!P$19:P$31,'KM POR CLIENTE'!B7,'BURGOS TORRES RIGOBERTO'!J$19:J$31)+SUMIF('CORDOVA URIBE JOSE  ADRIAN'!P$19:P$32,'KM POR CLIENTE'!B7,'CORDOVA URIBE JOSE  ADRIAN'!J$19:J$32)+SUMIF('GUZMAN CHAPARRO PEDRO'!P$19:P$32,'KM POR CLIENTE'!B7,'GUZMAN CHAPARRO PEDRO'!J$19:J$32)+SUMIF('HERNANDEZ LICANO JOSE LUIS'!P$19:P$32,'KM POR CLIENTE'!B7,'HERNANDEZ LICANO JOSE LUIS'!J$19:J$32)+SUMIF('CARRERA REYES MARTIN SEBASTIAN'!P$19:P$33,'KM POR CLIENTE'!B7,'CARRERA REYES MARTIN SEBASTIAN'!J$19:J$33)+SUMIF('MACHADO MAZUCA ADOLFO'!P$19:P$32,'KM POR CLIENTE'!B7,'MACHADO MAZUCA ADOLFO'!J$19:J$32)+SUMIF('RUIZ SAUCEDO DANIEL ALEJANDRO'!P$19:P$32,'KM POR CLIENTE'!B7,'RUIZ SAUCEDO DANIEL ALEJANDRO'!J$19:J$32)+SUMIF('MARTINEZ RAMIREZ ROSALIO'!P$19:P$32,'KM POR CLIENTE'!B7,'MARTINEZ RAMIREZ ROSALIO'!J$19:J$32)+SUMIF('MONTERO BURROLA LUIS'!P$19:P$30,'KM POR CLIENTE'!B7,'MONTERO BURROLA LUIS'!J$19:J$30)+SUMIF('AGUILERA CONTRERAS LUIS GERARDO'!P$19:P$33,'KM POR CLIENTE'!B7,'AGUILERA CONTRERAS LUIS GERARDO'!J$19:J$33)+SUMIF('MORALES LOPEZ DE LARA MARIANO'!P$19:P$32,'KM POR CLIENTE'!B7,'MORALES LOPEZ DE LARA MARIANO'!J$19:J$32)+SUMIF('MELENDEZ SINALOA MANUEL ARAT'!P$19:P$32,'KM POR CLIENTE'!B7,'MELENDEZ SINALOA MANUEL ARAT'!J$19:J$32)+SUMIF('MORALES LECHUGA GONZALO'!P$19:P$32,'KM POR CLIENTE'!B7,'MORALES LECHUGA GONZALO'!J$19:J$32)+SUMIF('ORONA BECERRA MAURO JOSE'!P$19:P$32,'KM POR CLIENTE'!B7,'ORONA BECERRA MAURO JOSE'!J$19:J$32)+SUMIF('ORTIZ RAMIREZ HECTOR MANUEL'!P$19:P$32,'KM POR CLIENTE'!B7,'ORTIZ RAMIREZ HECTOR MANUEL'!J$19:J$32)+SUMIF('RAMIREZ BAUTISTA ADRIAN'!P$19:P$32,'KM POR CLIENTE'!B7,'RAMIREZ BAUTISTA ADRIAN'!J$19:J$32)+SUMIF('VALLES HERNANDEZ MANUEL MARCELI'!P$19:P$31,'KM POR CLIENTE'!B7,'VALLES HERNANDEZ MANUEL MARCELI'!J$19:J$31)+SUMIF('BALLEZA RAMIREZ JESUS JOSE'!P$19:P$32,'KM POR CLIENTE'!B7,'BALLEZA RAMIREZ JESUS JOSE'!J$19:J$32)+SUMIF('NUÑEZ RUIZ IRVING JAVIER.'!P$20:P$34,'KM POR CLIENTE'!B7,'NUÑEZ RUIZ IRVING JAVIER.'!J$20:J$34)+SUMIF('ONTIVEROS LIRA JUAN'!P$19:P$32,'KM POR CLIENTE'!B7,'ONTIVEROS LIRA JUAN'!J$19:J$32)+SUMIF('RODRIGUEZ FLORES BRYAN DARIO'!P$19:P$32,'KM POR CLIENTE'!B7,'RODRIGUEZ FLORES BRYAN DARIO'!J$19:J$32)+SUMIF('LIRA ARCEO JOEL EDUARDO'!P$19:P$32,'KM POR CLIENTE'!B7,'LIRA ARCEO JOEL EDUARDO'!J$19:J$32)+SUMIF('ANCHONDO ROMERO CESAR ALEJANDRO'!P$19:P$32,'KM POR CLIENTE'!B7,'ANCHONDO ROMERO CESAR ALEJANDRO'!J$19:J$32)</f>
        <v>3800</v>
      </c>
    </row>
    <row r="8" spans="2:3" x14ac:dyDescent="0.25">
      <c r="B8" s="221" t="s">
        <v>201</v>
      </c>
      <c r="C8" s="224">
        <f>+SUMIF('AGUILAR ESQUIVEL CARLOS'!P$19:P$32,'KM POR CLIENTE'!B8,'AGUILAR ESQUIVEL CARLOS'!J$19:J$32)+SUMIF('AGUILAR RODRIGUEZ JORGE ALONSO'!P$19:P$32,'KM POR CLIENTE'!B8,'AGUILAR RODRIGUEZ JORGE ALONSO'!J$19:J$32)+SUMIF('REYES LARA DANTE'!P$19:P$32,'KM POR CLIENTE'!B8,'REYES LARA DANTE'!J$19:J$32)+SUMIF('FLORES BOJORQUEZ BRYAN OVED'!P$19:P$34,'KM POR CLIENTE'!B8,'FLORES BOJORQUEZ BRYAN OVED'!J$19:J$34)+SUMIF('BALDERRAMA ROBLES JORGE'!P$19:P$32,'KM POR CLIENTE'!B8,'BALDERRAMA ROBLES JORGE'!J$19:J$32)+SUMIF('BURGOS TORRES RIGOBERTO'!P$19:P$31,'KM POR CLIENTE'!B8,'BURGOS TORRES RIGOBERTO'!J$19:J$31)+SUMIF('CORDOVA URIBE JOSE  ADRIAN'!P$19:P$32,'KM POR CLIENTE'!B8,'CORDOVA URIBE JOSE  ADRIAN'!J$19:J$32)+SUMIF('GUZMAN CHAPARRO PEDRO'!P$19:P$32,'KM POR CLIENTE'!B8,'GUZMAN CHAPARRO PEDRO'!J$19:J$32)+SUMIF('HERNANDEZ LICANO JOSE LUIS'!P$19:P$32,'KM POR CLIENTE'!B8,'HERNANDEZ LICANO JOSE LUIS'!J$19:J$32)+SUMIF('CARRERA REYES MARTIN SEBASTIAN'!P$19:P$33,'KM POR CLIENTE'!B8,'CARRERA REYES MARTIN SEBASTIAN'!J$19:J$33)+SUMIF('MACHADO MAZUCA ADOLFO'!P$19:P$32,'KM POR CLIENTE'!B8,'MACHADO MAZUCA ADOLFO'!J$19:J$32)+SUMIF('RUIZ SAUCEDO DANIEL ALEJANDRO'!P$19:P$32,'KM POR CLIENTE'!B8,'RUIZ SAUCEDO DANIEL ALEJANDRO'!J$19:J$32)+SUMIF('MARTINEZ RAMIREZ ROSALIO'!P$19:P$32,'KM POR CLIENTE'!B8,'MARTINEZ RAMIREZ ROSALIO'!J$19:J$32)+SUMIF('MONTERO BURROLA LUIS'!P$19:P$30,'KM POR CLIENTE'!B8,'MONTERO BURROLA LUIS'!J$19:J$30)+SUMIF('AGUILERA CONTRERAS LUIS GERARDO'!P$19:P$33,'KM POR CLIENTE'!B8,'AGUILERA CONTRERAS LUIS GERARDO'!J$19:J$33)+SUMIF('MORALES LOPEZ DE LARA MARIANO'!P$19:P$32,'KM POR CLIENTE'!B8,'MORALES LOPEZ DE LARA MARIANO'!J$19:J$32)+SUMIF('MELENDEZ SINALOA MANUEL ARAT'!P$19:P$32,'KM POR CLIENTE'!B8,'MELENDEZ SINALOA MANUEL ARAT'!J$19:J$32)+SUMIF('MORALES LECHUGA GONZALO'!P$19:P$32,'KM POR CLIENTE'!B8,'MORALES LECHUGA GONZALO'!J$19:J$32)+SUMIF('ORONA BECERRA MAURO JOSE'!P$19:P$32,'KM POR CLIENTE'!B8,'ORONA BECERRA MAURO JOSE'!J$19:J$32)+SUMIF('ORTIZ RAMIREZ HECTOR MANUEL'!P$19:P$32,'KM POR CLIENTE'!B8,'ORTIZ RAMIREZ HECTOR MANUEL'!J$19:J$32)+SUMIF('RAMIREZ BAUTISTA ADRIAN'!P$19:P$32,'KM POR CLIENTE'!B8,'RAMIREZ BAUTISTA ADRIAN'!J$19:J$32)+SUMIF('VALLES HERNANDEZ MANUEL MARCELI'!P$19:P$31,'KM POR CLIENTE'!B8,'VALLES HERNANDEZ MANUEL MARCELI'!J$19:J$31)+SUMIF('BALLEZA RAMIREZ JESUS JOSE'!P$19:P$32,'KM POR CLIENTE'!B8,'BALLEZA RAMIREZ JESUS JOSE'!J$19:J$32)+SUMIF('NUÑEZ RUIZ IRVING JAVIER.'!P$20:P$34,'KM POR CLIENTE'!B8,'NUÑEZ RUIZ IRVING JAVIER.'!J$20:J$34)+SUMIF('ONTIVEROS LIRA JUAN'!P$19:P$32,'KM POR CLIENTE'!B8,'ONTIVEROS LIRA JUAN'!J$19:J$32)+SUMIF('RODRIGUEZ FLORES BRYAN DARIO'!P$19:P$32,'KM POR CLIENTE'!B8,'RODRIGUEZ FLORES BRYAN DARIO'!J$19:J$32)+SUMIF('LIRA ARCEO JOEL EDUARDO'!P$19:P$32,'KM POR CLIENTE'!B8,'LIRA ARCEO JOEL EDUARDO'!J$19:J$32)+SUMIF('ANCHONDO ROMERO CESAR ALEJANDRO'!P$19:P$32,'KM POR CLIENTE'!B8,'ANCHONDO ROMERO CESAR ALEJANDRO'!J$19:J$32)</f>
        <v>3415</v>
      </c>
    </row>
    <row r="9" spans="2:3" x14ac:dyDescent="0.25">
      <c r="B9" s="221" t="s">
        <v>281</v>
      </c>
      <c r="C9" s="224">
        <f>+SUMIF('AGUILAR ESQUIVEL CARLOS'!P$19:P$32,'KM POR CLIENTE'!B9,'AGUILAR ESQUIVEL CARLOS'!J$19:J$32)+SUMIF('AGUILAR RODRIGUEZ JORGE ALONSO'!P$19:P$32,'KM POR CLIENTE'!B9,'AGUILAR RODRIGUEZ JORGE ALONSO'!J$19:J$32)+SUMIF('REYES LARA DANTE'!P$19:P$32,'KM POR CLIENTE'!B9,'REYES LARA DANTE'!J$19:J$32)+SUMIF('FLORES BOJORQUEZ BRYAN OVED'!P$19:P$34,'KM POR CLIENTE'!B9,'FLORES BOJORQUEZ BRYAN OVED'!J$19:J$34)+SUMIF('BALDERRAMA ROBLES JORGE'!P$19:P$32,'KM POR CLIENTE'!B9,'BALDERRAMA ROBLES JORGE'!J$19:J$32)+SUMIF('BURGOS TORRES RIGOBERTO'!P$19:P$31,'KM POR CLIENTE'!B9,'BURGOS TORRES RIGOBERTO'!J$19:J$31)+SUMIF('CORDOVA URIBE JOSE  ADRIAN'!P$19:P$32,'KM POR CLIENTE'!B9,'CORDOVA URIBE JOSE  ADRIAN'!J$19:J$32)+SUMIF('GUZMAN CHAPARRO PEDRO'!P$19:P$32,'KM POR CLIENTE'!B9,'GUZMAN CHAPARRO PEDRO'!J$19:J$32)+SUMIF('HERNANDEZ LICANO JOSE LUIS'!P$19:P$32,'KM POR CLIENTE'!B9,'HERNANDEZ LICANO JOSE LUIS'!J$19:J$32)+SUMIF('CARRERA REYES MARTIN SEBASTIAN'!P$19:P$33,'KM POR CLIENTE'!B9,'CARRERA REYES MARTIN SEBASTIAN'!J$19:J$33)+SUMIF('MACHADO MAZUCA ADOLFO'!P$19:P$32,'KM POR CLIENTE'!B9,'MACHADO MAZUCA ADOLFO'!J$19:J$32)+SUMIF('RUIZ SAUCEDO DANIEL ALEJANDRO'!P$19:P$32,'KM POR CLIENTE'!B9,'RUIZ SAUCEDO DANIEL ALEJANDRO'!J$19:J$32)+SUMIF('MARTINEZ RAMIREZ ROSALIO'!P$19:P$32,'KM POR CLIENTE'!B9,'MARTINEZ RAMIREZ ROSALIO'!J$19:J$32)+SUMIF('MONTERO BURROLA LUIS'!P$19:P$30,'KM POR CLIENTE'!B9,'MONTERO BURROLA LUIS'!J$19:J$30)+SUMIF('AGUILERA CONTRERAS LUIS GERARDO'!P$19:P$33,'KM POR CLIENTE'!B9,'AGUILERA CONTRERAS LUIS GERARDO'!J$19:J$33)+SUMIF('MORALES LOPEZ DE LARA MARIANO'!P$19:P$32,'KM POR CLIENTE'!B9,'MORALES LOPEZ DE LARA MARIANO'!J$19:J$32)+SUMIF('MELENDEZ SINALOA MANUEL ARAT'!P$19:P$32,'KM POR CLIENTE'!B9,'MELENDEZ SINALOA MANUEL ARAT'!J$19:J$32)+SUMIF('MORALES LECHUGA GONZALO'!P$19:P$32,'KM POR CLIENTE'!B9,'MORALES LECHUGA GONZALO'!J$19:J$32)+SUMIF('ORONA BECERRA MAURO JOSE'!P$19:P$32,'KM POR CLIENTE'!B9,'ORONA BECERRA MAURO JOSE'!J$19:J$32)+SUMIF('ORTIZ RAMIREZ HECTOR MANUEL'!P$19:P$32,'KM POR CLIENTE'!B9,'ORTIZ RAMIREZ HECTOR MANUEL'!J$19:J$32)+SUMIF('RAMIREZ BAUTISTA ADRIAN'!P$19:P$32,'KM POR CLIENTE'!B9,'RAMIREZ BAUTISTA ADRIAN'!J$19:J$32)+SUMIF('VALLES HERNANDEZ MANUEL MARCELI'!P$19:P$31,'KM POR CLIENTE'!B9,'VALLES HERNANDEZ MANUEL MARCELI'!J$19:J$31)+SUMIF('BALLEZA RAMIREZ JESUS JOSE'!P$19:P$32,'KM POR CLIENTE'!B9,'BALLEZA RAMIREZ JESUS JOSE'!J$19:J$32)+SUMIF('NUÑEZ RUIZ IRVING JAVIER.'!P$20:P$34,'KM POR CLIENTE'!B9,'NUÑEZ RUIZ IRVING JAVIER.'!J$20:J$34)+SUMIF('ONTIVEROS LIRA JUAN'!P$19:P$32,'KM POR CLIENTE'!B9,'ONTIVEROS LIRA JUAN'!J$19:J$32)+SUMIF('RODRIGUEZ FLORES BRYAN DARIO'!P$19:P$32,'KM POR CLIENTE'!B9,'RODRIGUEZ FLORES BRYAN DARIO'!J$19:J$32)+SUMIF('LIRA ARCEO JOEL EDUARDO'!P$19:P$32,'KM POR CLIENTE'!B9,'LIRA ARCEO JOEL EDUARDO'!J$19:J$32)+SUMIF('ANCHONDO ROMERO CESAR ALEJANDRO'!P$19:P$32,'KM POR CLIENTE'!B9,'ANCHONDO ROMERO CESAR ALEJANDRO'!J$19:J$32)</f>
        <v>0</v>
      </c>
    </row>
    <row r="10" spans="2:3" x14ac:dyDescent="0.25">
      <c r="B10" s="221" t="s">
        <v>204</v>
      </c>
      <c r="C10" s="224">
        <f>+SUMIF('AGUILAR ESQUIVEL CARLOS'!P$19:P$32,'KM POR CLIENTE'!B10,'AGUILAR ESQUIVEL CARLOS'!J$19:J$32)+SUMIF('AGUILAR RODRIGUEZ JORGE ALONSO'!P$19:P$32,'KM POR CLIENTE'!B10,'AGUILAR RODRIGUEZ JORGE ALONSO'!J$19:J$32)+SUMIF('REYES LARA DANTE'!P$19:P$32,'KM POR CLIENTE'!B10,'REYES LARA DANTE'!J$19:J$32)+SUMIF('FLORES BOJORQUEZ BRYAN OVED'!P$19:P$34,'KM POR CLIENTE'!B10,'FLORES BOJORQUEZ BRYAN OVED'!J$19:J$34)+SUMIF('BALDERRAMA ROBLES JORGE'!P$19:P$32,'KM POR CLIENTE'!B10,'BALDERRAMA ROBLES JORGE'!J$19:J$32)+SUMIF('BURGOS TORRES RIGOBERTO'!P$19:P$31,'KM POR CLIENTE'!B10,'BURGOS TORRES RIGOBERTO'!J$19:J$31)+SUMIF('CORDOVA URIBE JOSE  ADRIAN'!P$19:P$32,'KM POR CLIENTE'!B10,'CORDOVA URIBE JOSE  ADRIAN'!J$19:J$32)+SUMIF('GUZMAN CHAPARRO PEDRO'!P$19:P$32,'KM POR CLIENTE'!B10,'GUZMAN CHAPARRO PEDRO'!J$19:J$32)+SUMIF('HERNANDEZ LICANO JOSE LUIS'!P$19:P$32,'KM POR CLIENTE'!B10,'HERNANDEZ LICANO JOSE LUIS'!J$19:J$32)+SUMIF('CARRERA REYES MARTIN SEBASTIAN'!P$19:P$33,'KM POR CLIENTE'!B10,'CARRERA REYES MARTIN SEBASTIAN'!J$19:J$33)+SUMIF('MACHADO MAZUCA ADOLFO'!P$19:P$32,'KM POR CLIENTE'!B10,'MACHADO MAZUCA ADOLFO'!J$19:J$32)+SUMIF('RUIZ SAUCEDO DANIEL ALEJANDRO'!P$19:P$32,'KM POR CLIENTE'!B10,'RUIZ SAUCEDO DANIEL ALEJANDRO'!J$19:J$32)+SUMIF('MARTINEZ RAMIREZ ROSALIO'!P$19:P$32,'KM POR CLIENTE'!B10,'MARTINEZ RAMIREZ ROSALIO'!J$19:J$32)+SUMIF('MONTERO BURROLA LUIS'!P$19:P$30,'KM POR CLIENTE'!B10,'MONTERO BURROLA LUIS'!J$19:J$30)+SUMIF('AGUILERA CONTRERAS LUIS GERARDO'!P$19:P$33,'KM POR CLIENTE'!B10,'AGUILERA CONTRERAS LUIS GERARDO'!J$19:J$33)+SUMIF('MORALES LOPEZ DE LARA MARIANO'!P$19:P$32,'KM POR CLIENTE'!B10,'MORALES LOPEZ DE LARA MARIANO'!J$19:J$32)+SUMIF('MELENDEZ SINALOA MANUEL ARAT'!P$19:P$32,'KM POR CLIENTE'!B10,'MELENDEZ SINALOA MANUEL ARAT'!J$19:J$32)+SUMIF('MORALES LECHUGA GONZALO'!P$19:P$32,'KM POR CLIENTE'!B10,'MORALES LECHUGA GONZALO'!J$19:J$32)+SUMIF('ORONA BECERRA MAURO JOSE'!P$19:P$32,'KM POR CLIENTE'!B10,'ORONA BECERRA MAURO JOSE'!J$19:J$32)+SUMIF('ORTIZ RAMIREZ HECTOR MANUEL'!P$19:P$32,'KM POR CLIENTE'!B10,'ORTIZ RAMIREZ HECTOR MANUEL'!J$19:J$32)+SUMIF('RAMIREZ BAUTISTA ADRIAN'!P$19:P$32,'KM POR CLIENTE'!B10,'RAMIREZ BAUTISTA ADRIAN'!J$19:J$32)+SUMIF('VALLES HERNANDEZ MANUEL MARCELI'!P$19:P$31,'KM POR CLIENTE'!B10,'VALLES HERNANDEZ MANUEL MARCELI'!J$19:J$31)+SUMIF('BALLEZA RAMIREZ JESUS JOSE'!P$19:P$32,'KM POR CLIENTE'!B10,'BALLEZA RAMIREZ JESUS JOSE'!J$19:J$32)+SUMIF('NUÑEZ RUIZ IRVING JAVIER.'!P$20:P$34,'KM POR CLIENTE'!B10,'NUÑEZ RUIZ IRVING JAVIER.'!J$20:J$34)+SUMIF('ONTIVEROS LIRA JUAN'!P$19:P$32,'KM POR CLIENTE'!B10,'ONTIVEROS LIRA JUAN'!J$19:J$32)+SUMIF('RODRIGUEZ FLORES BRYAN DARIO'!P$19:P$32,'KM POR CLIENTE'!B10,'RODRIGUEZ FLORES BRYAN DARIO'!J$19:J$32)+SUMIF('LIRA ARCEO JOEL EDUARDO'!P$19:P$32,'KM POR CLIENTE'!B10,'LIRA ARCEO JOEL EDUARDO'!J$19:J$32)+SUMIF('ANCHONDO ROMERO CESAR ALEJANDRO'!P$19:P$32,'KM POR CLIENTE'!B10,'ANCHONDO ROMERO CESAR ALEJANDRO'!J$19:J$32)</f>
        <v>0</v>
      </c>
    </row>
    <row r="11" spans="2:3" x14ac:dyDescent="0.25">
      <c r="B11" s="221" t="s">
        <v>329</v>
      </c>
      <c r="C11" s="224">
        <f>+SUMIF('AGUILAR ESQUIVEL CARLOS'!P$19:P$32,'KM POR CLIENTE'!B11,'AGUILAR ESQUIVEL CARLOS'!J$19:J$32)+SUMIF('AGUILAR RODRIGUEZ JORGE ALONSO'!P$19:P$32,'KM POR CLIENTE'!B11,'AGUILAR RODRIGUEZ JORGE ALONSO'!J$19:J$32)+SUMIF('REYES LARA DANTE'!P$19:P$32,'KM POR CLIENTE'!B11,'REYES LARA DANTE'!J$19:J$32)+SUMIF('FLORES BOJORQUEZ BRYAN OVED'!P$19:P$34,'KM POR CLIENTE'!B11,'FLORES BOJORQUEZ BRYAN OVED'!J$19:J$34)+SUMIF('BALDERRAMA ROBLES JORGE'!P$19:P$32,'KM POR CLIENTE'!B11,'BALDERRAMA ROBLES JORGE'!J$19:J$32)+SUMIF('BURGOS TORRES RIGOBERTO'!P$19:P$31,'KM POR CLIENTE'!B11,'BURGOS TORRES RIGOBERTO'!J$19:J$31)+SUMIF('CORDOVA URIBE JOSE  ADRIAN'!P$19:P$32,'KM POR CLIENTE'!B11,'CORDOVA URIBE JOSE  ADRIAN'!J$19:J$32)+SUMIF('GUZMAN CHAPARRO PEDRO'!P$19:P$32,'KM POR CLIENTE'!B11,'GUZMAN CHAPARRO PEDRO'!J$19:J$32)+SUMIF('HERNANDEZ LICANO JOSE LUIS'!P$19:P$32,'KM POR CLIENTE'!B11,'HERNANDEZ LICANO JOSE LUIS'!J$19:J$32)+SUMIF('CARRERA REYES MARTIN SEBASTIAN'!P$19:P$33,'KM POR CLIENTE'!B11,'CARRERA REYES MARTIN SEBASTIAN'!J$19:J$33)+SUMIF('MACHADO MAZUCA ADOLFO'!P$19:P$32,'KM POR CLIENTE'!B11,'MACHADO MAZUCA ADOLFO'!J$19:J$32)+SUMIF('RUIZ SAUCEDO DANIEL ALEJANDRO'!P$19:P$32,'KM POR CLIENTE'!B11,'RUIZ SAUCEDO DANIEL ALEJANDRO'!J$19:J$32)+SUMIF('MARTINEZ RAMIREZ ROSALIO'!P$19:P$32,'KM POR CLIENTE'!B11,'MARTINEZ RAMIREZ ROSALIO'!J$19:J$32)+SUMIF('MONTERO BURROLA LUIS'!P$19:P$30,'KM POR CLIENTE'!B11,'MONTERO BURROLA LUIS'!J$19:J$30)+SUMIF('AGUILERA CONTRERAS LUIS GERARDO'!P$19:P$33,'KM POR CLIENTE'!B11,'AGUILERA CONTRERAS LUIS GERARDO'!J$19:J$33)+SUMIF('MORALES LOPEZ DE LARA MARIANO'!P$19:P$32,'KM POR CLIENTE'!B11,'MORALES LOPEZ DE LARA MARIANO'!J$19:J$32)+SUMIF('MELENDEZ SINALOA MANUEL ARAT'!P$19:P$32,'KM POR CLIENTE'!B11,'MELENDEZ SINALOA MANUEL ARAT'!J$19:J$32)+SUMIF('MORALES LECHUGA GONZALO'!P$19:P$32,'KM POR CLIENTE'!B11,'MORALES LECHUGA GONZALO'!J$19:J$32)+SUMIF('ORONA BECERRA MAURO JOSE'!P$19:P$32,'KM POR CLIENTE'!B11,'ORONA BECERRA MAURO JOSE'!J$19:J$32)+SUMIF('ORTIZ RAMIREZ HECTOR MANUEL'!P$19:P$32,'KM POR CLIENTE'!B11,'ORTIZ RAMIREZ HECTOR MANUEL'!J$19:J$32)+SUMIF('RAMIREZ BAUTISTA ADRIAN'!P$19:P$32,'KM POR CLIENTE'!B11,'RAMIREZ BAUTISTA ADRIAN'!J$19:J$32)+SUMIF('VALLES HERNANDEZ MANUEL MARCELI'!P$19:P$31,'KM POR CLIENTE'!B11,'VALLES HERNANDEZ MANUEL MARCELI'!J$19:J$31)+SUMIF('BALLEZA RAMIREZ JESUS JOSE'!P$19:P$32,'KM POR CLIENTE'!B11,'BALLEZA RAMIREZ JESUS JOSE'!J$19:J$32)+SUMIF('NUÑEZ RUIZ IRVING JAVIER.'!P$20:P$34,'KM POR CLIENTE'!B11,'NUÑEZ RUIZ IRVING JAVIER.'!J$20:J$34)+SUMIF('ONTIVEROS LIRA JUAN'!P$19:P$32,'KM POR CLIENTE'!B11,'ONTIVEROS LIRA JUAN'!J$19:J$32)+SUMIF('RODRIGUEZ FLORES BRYAN DARIO'!P$19:P$32,'KM POR CLIENTE'!B11,'RODRIGUEZ FLORES BRYAN DARIO'!J$19:J$32)+SUMIF('LIRA ARCEO JOEL EDUARDO'!P$19:P$32,'KM POR CLIENTE'!B11,'LIRA ARCEO JOEL EDUARDO'!J$19:J$32)+SUMIF('ANCHONDO ROMERO CESAR ALEJANDRO'!P$19:P$32,'KM POR CLIENTE'!B11,'ANCHONDO ROMERO CESAR ALEJANDRO'!J$19:J$32)</f>
        <v>0</v>
      </c>
    </row>
    <row r="12" spans="2:3" x14ac:dyDescent="0.25">
      <c r="B12" s="221" t="s">
        <v>288</v>
      </c>
      <c r="C12" s="224">
        <f>+SUMIF('AGUILAR ESQUIVEL CARLOS'!P$19:P$32,'KM POR CLIENTE'!B12,'AGUILAR ESQUIVEL CARLOS'!J$19:J$32)+SUMIF('AGUILAR RODRIGUEZ JORGE ALONSO'!P$19:P$32,'KM POR CLIENTE'!B12,'AGUILAR RODRIGUEZ JORGE ALONSO'!J$19:J$32)+SUMIF('REYES LARA DANTE'!P$19:P$32,'KM POR CLIENTE'!B12,'REYES LARA DANTE'!J$19:J$32)+SUMIF('FLORES BOJORQUEZ BRYAN OVED'!P$19:P$34,'KM POR CLIENTE'!B12,'FLORES BOJORQUEZ BRYAN OVED'!J$19:J$34)+SUMIF('BALDERRAMA ROBLES JORGE'!P$19:P$32,'KM POR CLIENTE'!B12,'BALDERRAMA ROBLES JORGE'!J$19:J$32)+SUMIF('BURGOS TORRES RIGOBERTO'!P$19:P$31,'KM POR CLIENTE'!B12,'BURGOS TORRES RIGOBERTO'!J$19:J$31)+SUMIF('CORDOVA URIBE JOSE  ADRIAN'!P$19:P$32,'KM POR CLIENTE'!B12,'CORDOVA URIBE JOSE  ADRIAN'!J$19:J$32)+SUMIF('GUZMAN CHAPARRO PEDRO'!P$19:P$32,'KM POR CLIENTE'!B12,'GUZMAN CHAPARRO PEDRO'!J$19:J$32)+SUMIF('HERNANDEZ LICANO JOSE LUIS'!P$19:P$32,'KM POR CLIENTE'!B12,'HERNANDEZ LICANO JOSE LUIS'!J$19:J$32)+SUMIF('CARRERA REYES MARTIN SEBASTIAN'!P$19:P$33,'KM POR CLIENTE'!B12,'CARRERA REYES MARTIN SEBASTIAN'!J$19:J$33)+SUMIF('MACHADO MAZUCA ADOLFO'!P$19:P$32,'KM POR CLIENTE'!B12,'MACHADO MAZUCA ADOLFO'!J$19:J$32)+SUMIF('RUIZ SAUCEDO DANIEL ALEJANDRO'!P$19:P$32,'KM POR CLIENTE'!B12,'RUIZ SAUCEDO DANIEL ALEJANDRO'!J$19:J$32)+SUMIF('MARTINEZ RAMIREZ ROSALIO'!P$19:P$32,'KM POR CLIENTE'!B12,'MARTINEZ RAMIREZ ROSALIO'!J$19:J$32)+SUMIF('MONTERO BURROLA LUIS'!P$19:P$30,'KM POR CLIENTE'!B12,'MONTERO BURROLA LUIS'!J$19:J$30)+SUMIF('AGUILERA CONTRERAS LUIS GERARDO'!P$19:P$33,'KM POR CLIENTE'!B12,'AGUILERA CONTRERAS LUIS GERARDO'!J$19:J$33)+SUMIF('MORALES LOPEZ DE LARA MARIANO'!P$19:P$32,'KM POR CLIENTE'!B12,'MORALES LOPEZ DE LARA MARIANO'!J$19:J$32)+SUMIF('MELENDEZ SINALOA MANUEL ARAT'!P$19:P$32,'KM POR CLIENTE'!B12,'MELENDEZ SINALOA MANUEL ARAT'!J$19:J$32)+SUMIF('MORALES LECHUGA GONZALO'!P$19:P$32,'KM POR CLIENTE'!B12,'MORALES LECHUGA GONZALO'!J$19:J$32)+SUMIF('ORONA BECERRA MAURO JOSE'!P$19:P$32,'KM POR CLIENTE'!B12,'ORONA BECERRA MAURO JOSE'!J$19:J$32)+SUMIF('ORTIZ RAMIREZ HECTOR MANUEL'!P$19:P$32,'KM POR CLIENTE'!B12,'ORTIZ RAMIREZ HECTOR MANUEL'!J$19:J$32)+SUMIF('RAMIREZ BAUTISTA ADRIAN'!P$19:P$32,'KM POR CLIENTE'!B12,'RAMIREZ BAUTISTA ADRIAN'!J$19:J$32)+SUMIF('VALLES HERNANDEZ MANUEL MARCELI'!P$19:P$31,'KM POR CLIENTE'!B12,'VALLES HERNANDEZ MANUEL MARCELI'!J$19:J$31)+SUMIF('BALLEZA RAMIREZ JESUS JOSE'!P$19:P$32,'KM POR CLIENTE'!B12,'BALLEZA RAMIREZ JESUS JOSE'!J$19:J$32)+SUMIF('NUÑEZ RUIZ IRVING JAVIER.'!P$20:P$34,'KM POR CLIENTE'!B12,'NUÑEZ RUIZ IRVING JAVIER.'!J$20:J$34)+SUMIF('ONTIVEROS LIRA JUAN'!P$19:P$32,'KM POR CLIENTE'!B12,'ONTIVEROS LIRA JUAN'!J$19:J$32)+SUMIF('RODRIGUEZ FLORES BRYAN DARIO'!P$19:P$32,'KM POR CLIENTE'!B12,'RODRIGUEZ FLORES BRYAN DARIO'!J$19:J$32)+SUMIF('LIRA ARCEO JOEL EDUARDO'!P$19:P$32,'KM POR CLIENTE'!B12,'LIRA ARCEO JOEL EDUARDO'!J$19:J$32)+SUMIF('ANCHONDO ROMERO CESAR ALEJANDRO'!P$19:P$32,'KM POR CLIENTE'!B12,'ANCHONDO ROMERO CESAR ALEJANDRO'!J$19:J$32)</f>
        <v>0</v>
      </c>
    </row>
    <row r="13" spans="2:3" x14ac:dyDescent="0.25">
      <c r="B13" s="221" t="s">
        <v>197</v>
      </c>
      <c r="C13" s="224">
        <f>+SUMIF('AGUILAR ESQUIVEL CARLOS'!P$19:P$32,'KM POR CLIENTE'!B13,'AGUILAR ESQUIVEL CARLOS'!J$19:J$32)+SUMIF('AGUILAR RODRIGUEZ JORGE ALONSO'!P$19:P$32,'KM POR CLIENTE'!B13,'AGUILAR RODRIGUEZ JORGE ALONSO'!J$19:J$32)+SUMIF('REYES LARA DANTE'!P$19:P$32,'KM POR CLIENTE'!B13,'REYES LARA DANTE'!J$19:J$32)+SUMIF('FLORES BOJORQUEZ BRYAN OVED'!P$19:P$34,'KM POR CLIENTE'!B13,'FLORES BOJORQUEZ BRYAN OVED'!J$19:J$34)+SUMIF('BALDERRAMA ROBLES JORGE'!P$19:P$32,'KM POR CLIENTE'!B13,'BALDERRAMA ROBLES JORGE'!J$19:J$32)+SUMIF('BURGOS TORRES RIGOBERTO'!P$19:P$31,'KM POR CLIENTE'!B13,'BURGOS TORRES RIGOBERTO'!J$19:J$31)+SUMIF('CORDOVA URIBE JOSE  ADRIAN'!P$19:P$32,'KM POR CLIENTE'!B13,'CORDOVA URIBE JOSE  ADRIAN'!J$19:J$32)+SUMIF('GUZMAN CHAPARRO PEDRO'!P$19:P$32,'KM POR CLIENTE'!B13,'GUZMAN CHAPARRO PEDRO'!J$19:J$32)+SUMIF('HERNANDEZ LICANO JOSE LUIS'!P$19:P$32,'KM POR CLIENTE'!B13,'HERNANDEZ LICANO JOSE LUIS'!J$19:J$32)+SUMIF('CARRERA REYES MARTIN SEBASTIAN'!P$19:P$33,'KM POR CLIENTE'!B13,'CARRERA REYES MARTIN SEBASTIAN'!J$19:J$33)+SUMIF('MACHADO MAZUCA ADOLFO'!P$19:P$32,'KM POR CLIENTE'!B13,'MACHADO MAZUCA ADOLFO'!J$19:J$32)+SUMIF('RUIZ SAUCEDO DANIEL ALEJANDRO'!P$19:P$32,'KM POR CLIENTE'!B13,'RUIZ SAUCEDO DANIEL ALEJANDRO'!J$19:J$32)+SUMIF('MARTINEZ RAMIREZ ROSALIO'!P$19:P$32,'KM POR CLIENTE'!B13,'MARTINEZ RAMIREZ ROSALIO'!J$19:J$32)+SUMIF('MONTERO BURROLA LUIS'!P$19:P$30,'KM POR CLIENTE'!B13,'MONTERO BURROLA LUIS'!J$19:J$30)+SUMIF('AGUILERA CONTRERAS LUIS GERARDO'!P$19:P$33,'KM POR CLIENTE'!B13,'AGUILERA CONTRERAS LUIS GERARDO'!J$19:J$33)+SUMIF('MORALES LOPEZ DE LARA MARIANO'!P$19:P$32,'KM POR CLIENTE'!B13,'MORALES LOPEZ DE LARA MARIANO'!J$19:J$32)+SUMIF('MELENDEZ SINALOA MANUEL ARAT'!P$19:P$32,'KM POR CLIENTE'!B13,'MELENDEZ SINALOA MANUEL ARAT'!J$19:J$32)+SUMIF('MORALES LECHUGA GONZALO'!P$19:P$32,'KM POR CLIENTE'!B13,'MORALES LECHUGA GONZALO'!J$19:J$32)+SUMIF('ORONA BECERRA MAURO JOSE'!P$19:P$32,'KM POR CLIENTE'!B13,'ORONA BECERRA MAURO JOSE'!J$19:J$32)+SUMIF('ORTIZ RAMIREZ HECTOR MANUEL'!P$19:P$32,'KM POR CLIENTE'!B13,'ORTIZ RAMIREZ HECTOR MANUEL'!J$19:J$32)+SUMIF('RAMIREZ BAUTISTA ADRIAN'!P$19:P$32,'KM POR CLIENTE'!B13,'RAMIREZ BAUTISTA ADRIAN'!J$19:J$32)+SUMIF('VALLES HERNANDEZ MANUEL MARCELI'!P$19:P$31,'KM POR CLIENTE'!B13,'VALLES HERNANDEZ MANUEL MARCELI'!J$19:J$31)+SUMIF('BALLEZA RAMIREZ JESUS JOSE'!P$19:P$32,'KM POR CLIENTE'!B13,'BALLEZA RAMIREZ JESUS JOSE'!J$19:J$32)+SUMIF('NUÑEZ RUIZ IRVING JAVIER.'!P$20:P$34,'KM POR CLIENTE'!B13,'NUÑEZ RUIZ IRVING JAVIER.'!J$20:J$34)+SUMIF('ONTIVEROS LIRA JUAN'!P$19:P$32,'KM POR CLIENTE'!B13,'ONTIVEROS LIRA JUAN'!J$19:J$32)+SUMIF('RODRIGUEZ FLORES BRYAN DARIO'!P$19:P$32,'KM POR CLIENTE'!B13,'RODRIGUEZ FLORES BRYAN DARIO'!J$19:J$32)+SUMIF('LIRA ARCEO JOEL EDUARDO'!P$19:P$32,'KM POR CLIENTE'!B13,'LIRA ARCEO JOEL EDUARDO'!J$19:J$32)+SUMIF('ANCHONDO ROMERO CESAR ALEJANDRO'!P$19:P$32,'KM POR CLIENTE'!B13,'ANCHONDO ROMERO CESAR ALEJANDRO'!J$19:J$32)</f>
        <v>1125</v>
      </c>
    </row>
    <row r="14" spans="2:3" x14ac:dyDescent="0.25">
      <c r="B14" s="221" t="s">
        <v>210</v>
      </c>
      <c r="C14" s="224">
        <f>+SUMIF('AGUILAR ESQUIVEL CARLOS'!P$19:P$32,'KM POR CLIENTE'!B14,'AGUILAR ESQUIVEL CARLOS'!J$19:J$32)+SUMIF('AGUILAR RODRIGUEZ JORGE ALONSO'!P$19:P$32,'KM POR CLIENTE'!B14,'AGUILAR RODRIGUEZ JORGE ALONSO'!J$19:J$32)+SUMIF('REYES LARA DANTE'!P$19:P$32,'KM POR CLIENTE'!B14,'REYES LARA DANTE'!J$19:J$32)+SUMIF('FLORES BOJORQUEZ BRYAN OVED'!P$19:P$34,'KM POR CLIENTE'!B14,'FLORES BOJORQUEZ BRYAN OVED'!J$19:J$34)+SUMIF('BALDERRAMA ROBLES JORGE'!P$19:P$32,'KM POR CLIENTE'!B14,'BALDERRAMA ROBLES JORGE'!J$19:J$32)+SUMIF('BURGOS TORRES RIGOBERTO'!P$19:P$31,'KM POR CLIENTE'!B14,'BURGOS TORRES RIGOBERTO'!J$19:J$31)+SUMIF('CORDOVA URIBE JOSE  ADRIAN'!P$19:P$32,'KM POR CLIENTE'!B14,'CORDOVA URIBE JOSE  ADRIAN'!J$19:J$32)+SUMIF('GUZMAN CHAPARRO PEDRO'!P$19:P$32,'KM POR CLIENTE'!B14,'GUZMAN CHAPARRO PEDRO'!J$19:J$32)+SUMIF('HERNANDEZ LICANO JOSE LUIS'!P$19:P$32,'KM POR CLIENTE'!B14,'HERNANDEZ LICANO JOSE LUIS'!J$19:J$32)+SUMIF('CARRERA REYES MARTIN SEBASTIAN'!P$19:P$33,'KM POR CLIENTE'!B14,'CARRERA REYES MARTIN SEBASTIAN'!J$19:J$33)+SUMIF('MACHADO MAZUCA ADOLFO'!P$19:P$32,'KM POR CLIENTE'!B14,'MACHADO MAZUCA ADOLFO'!J$19:J$32)+SUMIF('RUIZ SAUCEDO DANIEL ALEJANDRO'!P$19:P$32,'KM POR CLIENTE'!B14,'RUIZ SAUCEDO DANIEL ALEJANDRO'!J$19:J$32)+SUMIF('MARTINEZ RAMIREZ ROSALIO'!P$19:P$32,'KM POR CLIENTE'!B14,'MARTINEZ RAMIREZ ROSALIO'!J$19:J$32)+SUMIF('MONTERO BURROLA LUIS'!P$19:P$30,'KM POR CLIENTE'!B14,'MONTERO BURROLA LUIS'!J$19:J$30)+SUMIF('AGUILERA CONTRERAS LUIS GERARDO'!P$19:P$33,'KM POR CLIENTE'!B14,'AGUILERA CONTRERAS LUIS GERARDO'!J$19:J$33)+SUMIF('MORALES LOPEZ DE LARA MARIANO'!P$19:P$32,'KM POR CLIENTE'!B14,'MORALES LOPEZ DE LARA MARIANO'!J$19:J$32)+SUMIF('MELENDEZ SINALOA MANUEL ARAT'!P$19:P$32,'KM POR CLIENTE'!B14,'MELENDEZ SINALOA MANUEL ARAT'!J$19:J$32)+SUMIF('MORALES LECHUGA GONZALO'!P$19:P$32,'KM POR CLIENTE'!B14,'MORALES LECHUGA GONZALO'!J$19:J$32)+SUMIF('ORONA BECERRA MAURO JOSE'!P$19:P$32,'KM POR CLIENTE'!B14,'ORONA BECERRA MAURO JOSE'!J$19:J$32)+SUMIF('ORTIZ RAMIREZ HECTOR MANUEL'!P$19:P$32,'KM POR CLIENTE'!B14,'ORTIZ RAMIREZ HECTOR MANUEL'!J$19:J$32)+SUMIF('RAMIREZ BAUTISTA ADRIAN'!P$19:P$32,'KM POR CLIENTE'!B14,'RAMIREZ BAUTISTA ADRIAN'!J$19:J$32)+SUMIF('VALLES HERNANDEZ MANUEL MARCELI'!P$19:P$31,'KM POR CLIENTE'!B14,'VALLES HERNANDEZ MANUEL MARCELI'!J$19:J$31)+SUMIF('BALLEZA RAMIREZ JESUS JOSE'!P$19:P$32,'KM POR CLIENTE'!B14,'BALLEZA RAMIREZ JESUS JOSE'!J$19:J$32)+SUMIF('NUÑEZ RUIZ IRVING JAVIER.'!P$20:P$34,'KM POR CLIENTE'!B14,'NUÑEZ RUIZ IRVING JAVIER.'!J$20:J$34)+SUMIF('ONTIVEROS LIRA JUAN'!P$19:P$32,'KM POR CLIENTE'!B14,'ONTIVEROS LIRA JUAN'!J$19:J$32)+SUMIF('RODRIGUEZ FLORES BRYAN DARIO'!P$19:P$32,'KM POR CLIENTE'!B14,'RODRIGUEZ FLORES BRYAN DARIO'!J$19:J$32)+SUMIF('LIRA ARCEO JOEL EDUARDO'!P$19:P$32,'KM POR CLIENTE'!B14,'LIRA ARCEO JOEL EDUARDO'!J$19:J$32)+SUMIF('ANCHONDO ROMERO CESAR ALEJANDRO'!P$19:P$32,'KM POR CLIENTE'!B14,'ANCHONDO ROMERO CESAR ALEJANDRO'!J$19:J$32)</f>
        <v>0</v>
      </c>
    </row>
    <row r="15" spans="2:3" x14ac:dyDescent="0.25">
      <c r="B15" s="221" t="s">
        <v>322</v>
      </c>
      <c r="C15" s="224">
        <f>+SUMIF('AGUILAR ESQUIVEL CARLOS'!P$19:P$32,'KM POR CLIENTE'!B15,'AGUILAR ESQUIVEL CARLOS'!J$19:J$32)+SUMIF('AGUILAR RODRIGUEZ JORGE ALONSO'!P$19:P$32,'KM POR CLIENTE'!B15,'AGUILAR RODRIGUEZ JORGE ALONSO'!J$19:J$32)+SUMIF('REYES LARA DANTE'!P$19:P$32,'KM POR CLIENTE'!B15,'REYES LARA DANTE'!J$19:J$32)+SUMIF('FLORES BOJORQUEZ BRYAN OVED'!P$19:P$34,'KM POR CLIENTE'!B15,'FLORES BOJORQUEZ BRYAN OVED'!J$19:J$34)+SUMIF('BALDERRAMA ROBLES JORGE'!P$19:P$32,'KM POR CLIENTE'!B15,'BALDERRAMA ROBLES JORGE'!J$19:J$32)+SUMIF('BURGOS TORRES RIGOBERTO'!P$19:P$31,'KM POR CLIENTE'!B15,'BURGOS TORRES RIGOBERTO'!J$19:J$31)+SUMIF('CORDOVA URIBE JOSE  ADRIAN'!P$19:P$32,'KM POR CLIENTE'!B15,'CORDOVA URIBE JOSE  ADRIAN'!J$19:J$32)+SUMIF('GUZMAN CHAPARRO PEDRO'!P$19:P$32,'KM POR CLIENTE'!B15,'GUZMAN CHAPARRO PEDRO'!J$19:J$32)+SUMIF('HERNANDEZ LICANO JOSE LUIS'!P$19:P$32,'KM POR CLIENTE'!B15,'HERNANDEZ LICANO JOSE LUIS'!J$19:J$32)+SUMIF('CARRERA REYES MARTIN SEBASTIAN'!P$19:P$33,'KM POR CLIENTE'!B15,'CARRERA REYES MARTIN SEBASTIAN'!J$19:J$33)+SUMIF('MACHADO MAZUCA ADOLFO'!P$19:P$32,'KM POR CLIENTE'!B15,'MACHADO MAZUCA ADOLFO'!J$19:J$32)+SUMIF('RUIZ SAUCEDO DANIEL ALEJANDRO'!P$19:P$32,'KM POR CLIENTE'!B15,'RUIZ SAUCEDO DANIEL ALEJANDRO'!J$19:J$32)+SUMIF('MARTINEZ RAMIREZ ROSALIO'!P$19:P$32,'KM POR CLIENTE'!B15,'MARTINEZ RAMIREZ ROSALIO'!J$19:J$32)+SUMIF('MONTERO BURROLA LUIS'!P$19:P$30,'KM POR CLIENTE'!B15,'MONTERO BURROLA LUIS'!J$19:J$30)+SUMIF('AGUILERA CONTRERAS LUIS GERARDO'!P$19:P$33,'KM POR CLIENTE'!B15,'AGUILERA CONTRERAS LUIS GERARDO'!J$19:J$33)+SUMIF('MORALES LOPEZ DE LARA MARIANO'!P$19:P$32,'KM POR CLIENTE'!B15,'MORALES LOPEZ DE LARA MARIANO'!J$19:J$32)+SUMIF('MELENDEZ SINALOA MANUEL ARAT'!P$19:P$32,'KM POR CLIENTE'!B15,'MELENDEZ SINALOA MANUEL ARAT'!J$19:J$32)+SUMIF('MORALES LECHUGA GONZALO'!P$19:P$32,'KM POR CLIENTE'!B15,'MORALES LECHUGA GONZALO'!J$19:J$32)+SUMIF('ORONA BECERRA MAURO JOSE'!P$19:P$32,'KM POR CLIENTE'!B15,'ORONA BECERRA MAURO JOSE'!J$19:J$32)+SUMIF('ORTIZ RAMIREZ HECTOR MANUEL'!P$19:P$32,'KM POR CLIENTE'!B15,'ORTIZ RAMIREZ HECTOR MANUEL'!J$19:J$32)+SUMIF('RAMIREZ BAUTISTA ADRIAN'!P$19:P$32,'KM POR CLIENTE'!B15,'RAMIREZ BAUTISTA ADRIAN'!J$19:J$32)+SUMIF('VALLES HERNANDEZ MANUEL MARCELI'!P$19:P$31,'KM POR CLIENTE'!B15,'VALLES HERNANDEZ MANUEL MARCELI'!J$19:J$31)+SUMIF('BALLEZA RAMIREZ JESUS JOSE'!P$19:P$32,'KM POR CLIENTE'!B15,'BALLEZA RAMIREZ JESUS JOSE'!J$19:J$32)+SUMIF('NUÑEZ RUIZ IRVING JAVIER.'!P$20:P$34,'KM POR CLIENTE'!B15,'NUÑEZ RUIZ IRVING JAVIER.'!J$20:J$34)+SUMIF('ONTIVEROS LIRA JUAN'!P$19:P$32,'KM POR CLIENTE'!B15,'ONTIVEROS LIRA JUAN'!J$19:J$32)+SUMIF('RODRIGUEZ FLORES BRYAN DARIO'!P$19:P$32,'KM POR CLIENTE'!B15,'RODRIGUEZ FLORES BRYAN DARIO'!J$19:J$32)+SUMIF('LIRA ARCEO JOEL EDUARDO'!P$19:P$32,'KM POR CLIENTE'!B15,'LIRA ARCEO JOEL EDUARDO'!J$19:J$32)+SUMIF('ANCHONDO ROMERO CESAR ALEJANDRO'!P$19:P$32,'KM POR CLIENTE'!B15,'ANCHONDO ROMERO CESAR ALEJANDRO'!J$19:J$32)</f>
        <v>0</v>
      </c>
    </row>
    <row r="16" spans="2:3" x14ac:dyDescent="0.25">
      <c r="B16" s="221" t="s">
        <v>231</v>
      </c>
      <c r="C16" s="224">
        <f>+SUMIF('AGUILAR ESQUIVEL CARLOS'!P$19:P$32,'KM POR CLIENTE'!B16,'AGUILAR ESQUIVEL CARLOS'!J$19:J$32)+SUMIF('AGUILAR RODRIGUEZ JORGE ALONSO'!P$19:P$32,'KM POR CLIENTE'!B16,'AGUILAR RODRIGUEZ JORGE ALONSO'!J$19:J$32)+SUMIF('REYES LARA DANTE'!P$19:P$32,'KM POR CLIENTE'!B16,'REYES LARA DANTE'!J$19:J$32)+SUMIF('FLORES BOJORQUEZ BRYAN OVED'!P$19:P$34,'KM POR CLIENTE'!B16,'FLORES BOJORQUEZ BRYAN OVED'!J$19:J$34)+SUMIF('BALDERRAMA ROBLES JORGE'!P$19:P$32,'KM POR CLIENTE'!B16,'BALDERRAMA ROBLES JORGE'!J$19:J$32)+SUMIF('BURGOS TORRES RIGOBERTO'!P$19:P$31,'KM POR CLIENTE'!B16,'BURGOS TORRES RIGOBERTO'!J$19:J$31)+SUMIF('CORDOVA URIBE JOSE  ADRIAN'!P$19:P$32,'KM POR CLIENTE'!B16,'CORDOVA URIBE JOSE  ADRIAN'!J$19:J$32)+SUMIF('GUZMAN CHAPARRO PEDRO'!P$19:P$32,'KM POR CLIENTE'!B16,'GUZMAN CHAPARRO PEDRO'!J$19:J$32)+SUMIF('HERNANDEZ LICANO JOSE LUIS'!P$19:P$32,'KM POR CLIENTE'!B16,'HERNANDEZ LICANO JOSE LUIS'!J$19:J$32)+SUMIF('CARRERA REYES MARTIN SEBASTIAN'!P$19:P$33,'KM POR CLIENTE'!B16,'CARRERA REYES MARTIN SEBASTIAN'!J$19:J$33)+SUMIF('MACHADO MAZUCA ADOLFO'!P$19:P$32,'KM POR CLIENTE'!B16,'MACHADO MAZUCA ADOLFO'!J$19:J$32)+SUMIF('RUIZ SAUCEDO DANIEL ALEJANDRO'!P$19:P$32,'KM POR CLIENTE'!B16,'RUIZ SAUCEDO DANIEL ALEJANDRO'!J$19:J$32)+SUMIF('MARTINEZ RAMIREZ ROSALIO'!P$19:P$32,'KM POR CLIENTE'!B16,'MARTINEZ RAMIREZ ROSALIO'!J$19:J$32)+SUMIF('MONTERO BURROLA LUIS'!P$19:P$30,'KM POR CLIENTE'!B16,'MONTERO BURROLA LUIS'!J$19:J$30)+SUMIF('AGUILERA CONTRERAS LUIS GERARDO'!P$19:P$33,'KM POR CLIENTE'!B16,'AGUILERA CONTRERAS LUIS GERARDO'!J$19:J$33)+SUMIF('MORALES LOPEZ DE LARA MARIANO'!P$19:P$32,'KM POR CLIENTE'!B16,'MORALES LOPEZ DE LARA MARIANO'!J$19:J$32)+SUMIF('MELENDEZ SINALOA MANUEL ARAT'!P$19:P$32,'KM POR CLIENTE'!B16,'MELENDEZ SINALOA MANUEL ARAT'!J$19:J$32)+SUMIF('MORALES LECHUGA GONZALO'!P$19:P$32,'KM POR CLIENTE'!B16,'MORALES LECHUGA GONZALO'!J$19:J$32)+SUMIF('ORONA BECERRA MAURO JOSE'!P$19:P$32,'KM POR CLIENTE'!B16,'ORONA BECERRA MAURO JOSE'!J$19:J$32)+SUMIF('ORTIZ RAMIREZ HECTOR MANUEL'!P$19:P$32,'KM POR CLIENTE'!B16,'ORTIZ RAMIREZ HECTOR MANUEL'!J$19:J$32)+SUMIF('RAMIREZ BAUTISTA ADRIAN'!P$19:P$32,'KM POR CLIENTE'!B16,'RAMIREZ BAUTISTA ADRIAN'!J$19:J$32)+SUMIF('VALLES HERNANDEZ MANUEL MARCELI'!P$19:P$31,'KM POR CLIENTE'!B16,'VALLES HERNANDEZ MANUEL MARCELI'!J$19:J$31)+SUMIF('BALLEZA RAMIREZ JESUS JOSE'!P$19:P$32,'KM POR CLIENTE'!B16,'BALLEZA RAMIREZ JESUS JOSE'!J$19:J$32)+SUMIF('NUÑEZ RUIZ IRVING JAVIER.'!P$20:P$34,'KM POR CLIENTE'!B16,'NUÑEZ RUIZ IRVING JAVIER.'!J$20:J$34)+SUMIF('ONTIVEROS LIRA JUAN'!P$19:P$32,'KM POR CLIENTE'!B16,'ONTIVEROS LIRA JUAN'!J$19:J$32)+SUMIF('RODRIGUEZ FLORES BRYAN DARIO'!P$19:P$32,'KM POR CLIENTE'!B16,'RODRIGUEZ FLORES BRYAN DARIO'!J$19:J$32)+SUMIF('LIRA ARCEO JOEL EDUARDO'!P$19:P$32,'KM POR CLIENTE'!B16,'LIRA ARCEO JOEL EDUARDO'!J$19:J$32)+SUMIF('ANCHONDO ROMERO CESAR ALEJANDRO'!P$19:P$32,'KM POR CLIENTE'!B16,'ANCHONDO ROMERO CESAR ALEJANDRO'!J$19:J$32)</f>
        <v>0</v>
      </c>
    </row>
    <row r="17" spans="2:3" x14ac:dyDescent="0.25">
      <c r="B17" s="221" t="s">
        <v>211</v>
      </c>
      <c r="C17" s="224">
        <f>+SUMIF('AGUILAR ESQUIVEL CARLOS'!P$19:P$32,'KM POR CLIENTE'!B17,'AGUILAR ESQUIVEL CARLOS'!J$19:J$32)+SUMIF('AGUILAR RODRIGUEZ JORGE ALONSO'!P$19:P$32,'KM POR CLIENTE'!B17,'AGUILAR RODRIGUEZ JORGE ALONSO'!J$19:J$32)+SUMIF('REYES LARA DANTE'!P$19:P$32,'KM POR CLIENTE'!B17,'REYES LARA DANTE'!J$19:J$32)+SUMIF('FLORES BOJORQUEZ BRYAN OVED'!P$19:P$34,'KM POR CLIENTE'!B17,'FLORES BOJORQUEZ BRYAN OVED'!J$19:J$34)+SUMIF('BALDERRAMA ROBLES JORGE'!P$19:P$32,'KM POR CLIENTE'!B17,'BALDERRAMA ROBLES JORGE'!J$19:J$32)+SUMIF('BURGOS TORRES RIGOBERTO'!P$19:P$31,'KM POR CLIENTE'!B17,'BURGOS TORRES RIGOBERTO'!J$19:J$31)+SUMIF('CORDOVA URIBE JOSE  ADRIAN'!P$19:P$32,'KM POR CLIENTE'!B17,'CORDOVA URIBE JOSE  ADRIAN'!J$19:J$32)+SUMIF('GUZMAN CHAPARRO PEDRO'!P$19:P$32,'KM POR CLIENTE'!B17,'GUZMAN CHAPARRO PEDRO'!J$19:J$32)+SUMIF('HERNANDEZ LICANO JOSE LUIS'!P$19:P$32,'KM POR CLIENTE'!B17,'HERNANDEZ LICANO JOSE LUIS'!J$19:J$32)+SUMIF('CARRERA REYES MARTIN SEBASTIAN'!P$19:P$33,'KM POR CLIENTE'!B17,'CARRERA REYES MARTIN SEBASTIAN'!J$19:J$33)+SUMIF('MACHADO MAZUCA ADOLFO'!P$19:P$32,'KM POR CLIENTE'!B17,'MACHADO MAZUCA ADOLFO'!J$19:J$32)+SUMIF('RUIZ SAUCEDO DANIEL ALEJANDRO'!P$19:P$32,'KM POR CLIENTE'!B17,'RUIZ SAUCEDO DANIEL ALEJANDRO'!J$19:J$32)+SUMIF('MARTINEZ RAMIREZ ROSALIO'!P$19:P$32,'KM POR CLIENTE'!B17,'MARTINEZ RAMIREZ ROSALIO'!J$19:J$32)+SUMIF('MONTERO BURROLA LUIS'!P$19:P$30,'KM POR CLIENTE'!B17,'MONTERO BURROLA LUIS'!J$19:J$30)+SUMIF('AGUILERA CONTRERAS LUIS GERARDO'!P$19:P$33,'KM POR CLIENTE'!B17,'AGUILERA CONTRERAS LUIS GERARDO'!J$19:J$33)+SUMIF('MORALES LOPEZ DE LARA MARIANO'!P$19:P$32,'KM POR CLIENTE'!B17,'MORALES LOPEZ DE LARA MARIANO'!J$19:J$32)+SUMIF('MELENDEZ SINALOA MANUEL ARAT'!P$19:P$32,'KM POR CLIENTE'!B17,'MELENDEZ SINALOA MANUEL ARAT'!J$19:J$32)+SUMIF('MORALES LECHUGA GONZALO'!P$19:P$32,'KM POR CLIENTE'!B17,'MORALES LECHUGA GONZALO'!J$19:J$32)+SUMIF('ORONA BECERRA MAURO JOSE'!P$19:P$32,'KM POR CLIENTE'!B17,'ORONA BECERRA MAURO JOSE'!J$19:J$32)+SUMIF('ORTIZ RAMIREZ HECTOR MANUEL'!P$19:P$32,'KM POR CLIENTE'!B17,'ORTIZ RAMIREZ HECTOR MANUEL'!J$19:J$32)+SUMIF('RAMIREZ BAUTISTA ADRIAN'!P$19:P$32,'KM POR CLIENTE'!B17,'RAMIREZ BAUTISTA ADRIAN'!J$19:J$32)+SUMIF('VALLES HERNANDEZ MANUEL MARCELI'!P$19:P$31,'KM POR CLIENTE'!B17,'VALLES HERNANDEZ MANUEL MARCELI'!J$19:J$31)+SUMIF('BALLEZA RAMIREZ JESUS JOSE'!P$19:P$32,'KM POR CLIENTE'!B17,'BALLEZA RAMIREZ JESUS JOSE'!J$19:J$32)+SUMIF('NUÑEZ RUIZ IRVING JAVIER.'!P$20:P$34,'KM POR CLIENTE'!B17,'NUÑEZ RUIZ IRVING JAVIER.'!J$20:J$34)+SUMIF('ONTIVEROS LIRA JUAN'!P$19:P$32,'KM POR CLIENTE'!B17,'ONTIVEROS LIRA JUAN'!J$19:J$32)+SUMIF('RODRIGUEZ FLORES BRYAN DARIO'!P$19:P$32,'KM POR CLIENTE'!B17,'RODRIGUEZ FLORES BRYAN DARIO'!J$19:J$32)+SUMIF('LIRA ARCEO JOEL EDUARDO'!P$19:P$32,'KM POR CLIENTE'!B17,'LIRA ARCEO JOEL EDUARDO'!J$19:J$32)+SUMIF('ANCHONDO ROMERO CESAR ALEJANDRO'!P$19:P$32,'KM POR CLIENTE'!B17,'ANCHONDO ROMERO CESAR ALEJANDRO'!J$19:J$32)</f>
        <v>375</v>
      </c>
    </row>
    <row r="18" spans="2:3" x14ac:dyDescent="0.25">
      <c r="B18" s="221" t="s">
        <v>212</v>
      </c>
      <c r="C18" s="224">
        <f>+SUMIF('AGUILAR ESQUIVEL CARLOS'!P$19:P$32,'KM POR CLIENTE'!B18,'AGUILAR ESQUIVEL CARLOS'!J$19:J$32)+SUMIF('AGUILAR RODRIGUEZ JORGE ALONSO'!P$19:P$32,'KM POR CLIENTE'!B18,'AGUILAR RODRIGUEZ JORGE ALONSO'!J$19:J$32)+SUMIF('REYES LARA DANTE'!P$19:P$32,'KM POR CLIENTE'!B18,'REYES LARA DANTE'!J$19:J$32)+SUMIF('FLORES BOJORQUEZ BRYAN OVED'!P$19:P$34,'KM POR CLIENTE'!B18,'FLORES BOJORQUEZ BRYAN OVED'!J$19:J$34)+SUMIF('BALDERRAMA ROBLES JORGE'!P$19:P$32,'KM POR CLIENTE'!B18,'BALDERRAMA ROBLES JORGE'!J$19:J$32)+SUMIF('BURGOS TORRES RIGOBERTO'!P$19:P$31,'KM POR CLIENTE'!B18,'BURGOS TORRES RIGOBERTO'!J$19:J$31)+SUMIF('CORDOVA URIBE JOSE  ADRIAN'!P$19:P$32,'KM POR CLIENTE'!B18,'CORDOVA URIBE JOSE  ADRIAN'!J$19:J$32)+SUMIF('GUZMAN CHAPARRO PEDRO'!P$19:P$32,'KM POR CLIENTE'!B18,'GUZMAN CHAPARRO PEDRO'!J$19:J$32)+SUMIF('HERNANDEZ LICANO JOSE LUIS'!P$19:P$32,'KM POR CLIENTE'!B18,'HERNANDEZ LICANO JOSE LUIS'!J$19:J$32)+SUMIF('CARRERA REYES MARTIN SEBASTIAN'!P$19:P$33,'KM POR CLIENTE'!B18,'CARRERA REYES MARTIN SEBASTIAN'!J$19:J$33)+SUMIF('MACHADO MAZUCA ADOLFO'!P$19:P$32,'KM POR CLIENTE'!B18,'MACHADO MAZUCA ADOLFO'!J$19:J$32)+SUMIF('RUIZ SAUCEDO DANIEL ALEJANDRO'!P$19:P$32,'KM POR CLIENTE'!B18,'RUIZ SAUCEDO DANIEL ALEJANDRO'!J$19:J$32)+SUMIF('MARTINEZ RAMIREZ ROSALIO'!P$19:P$32,'KM POR CLIENTE'!B18,'MARTINEZ RAMIREZ ROSALIO'!J$19:J$32)+SUMIF('MONTERO BURROLA LUIS'!P$19:P$30,'KM POR CLIENTE'!B18,'MONTERO BURROLA LUIS'!J$19:J$30)+SUMIF('AGUILERA CONTRERAS LUIS GERARDO'!P$19:P$33,'KM POR CLIENTE'!B18,'AGUILERA CONTRERAS LUIS GERARDO'!J$19:J$33)+SUMIF('MORALES LOPEZ DE LARA MARIANO'!P$19:P$32,'KM POR CLIENTE'!B18,'MORALES LOPEZ DE LARA MARIANO'!J$19:J$32)+SUMIF('MELENDEZ SINALOA MANUEL ARAT'!P$19:P$32,'KM POR CLIENTE'!B18,'MELENDEZ SINALOA MANUEL ARAT'!J$19:J$32)+SUMIF('MORALES LECHUGA GONZALO'!P$19:P$32,'KM POR CLIENTE'!B18,'MORALES LECHUGA GONZALO'!J$19:J$32)+SUMIF('ORONA BECERRA MAURO JOSE'!P$19:P$32,'KM POR CLIENTE'!B18,'ORONA BECERRA MAURO JOSE'!J$19:J$32)+SUMIF('ORTIZ RAMIREZ HECTOR MANUEL'!P$19:P$32,'KM POR CLIENTE'!B18,'ORTIZ RAMIREZ HECTOR MANUEL'!J$19:J$32)+SUMIF('RAMIREZ BAUTISTA ADRIAN'!P$19:P$32,'KM POR CLIENTE'!B18,'RAMIREZ BAUTISTA ADRIAN'!J$19:J$32)+SUMIF('VALLES HERNANDEZ MANUEL MARCELI'!P$19:P$31,'KM POR CLIENTE'!B18,'VALLES HERNANDEZ MANUEL MARCELI'!J$19:J$31)+SUMIF('BALLEZA RAMIREZ JESUS JOSE'!P$19:P$32,'KM POR CLIENTE'!B18,'BALLEZA RAMIREZ JESUS JOSE'!J$19:J$32)+SUMIF('NUÑEZ RUIZ IRVING JAVIER.'!P$20:P$34,'KM POR CLIENTE'!B18,'NUÑEZ RUIZ IRVING JAVIER.'!J$20:J$34)+SUMIF('ONTIVEROS LIRA JUAN'!P$19:P$32,'KM POR CLIENTE'!B18,'ONTIVEROS LIRA JUAN'!J$19:J$32)+SUMIF('RODRIGUEZ FLORES BRYAN DARIO'!P$19:P$32,'KM POR CLIENTE'!B18,'RODRIGUEZ FLORES BRYAN DARIO'!J$19:J$32)+SUMIF('LIRA ARCEO JOEL EDUARDO'!P$19:P$32,'KM POR CLIENTE'!B18,'LIRA ARCEO JOEL EDUARDO'!J$19:J$32)+SUMIF('ANCHONDO ROMERO CESAR ALEJANDRO'!P$19:P$32,'KM POR CLIENTE'!B18,'ANCHONDO ROMERO CESAR ALEJANDRO'!J$19:J$32)</f>
        <v>0</v>
      </c>
    </row>
    <row r="19" spans="2:3" x14ac:dyDescent="0.25">
      <c r="B19" s="221" t="s">
        <v>199</v>
      </c>
      <c r="C19" s="224">
        <f>+SUMIF('AGUILAR ESQUIVEL CARLOS'!P$19:P$32,'KM POR CLIENTE'!B19,'AGUILAR ESQUIVEL CARLOS'!J$19:J$32)+SUMIF('AGUILAR RODRIGUEZ JORGE ALONSO'!P$19:P$32,'KM POR CLIENTE'!B19,'AGUILAR RODRIGUEZ JORGE ALONSO'!J$19:J$32)+SUMIF('REYES LARA DANTE'!P$19:P$32,'KM POR CLIENTE'!B19,'REYES LARA DANTE'!J$19:J$32)+SUMIF('FLORES BOJORQUEZ BRYAN OVED'!P$19:P$34,'KM POR CLIENTE'!B19,'FLORES BOJORQUEZ BRYAN OVED'!J$19:J$34)+SUMIF('BALDERRAMA ROBLES JORGE'!P$19:P$32,'KM POR CLIENTE'!B19,'BALDERRAMA ROBLES JORGE'!J$19:J$32)+SUMIF('BURGOS TORRES RIGOBERTO'!P$19:P$31,'KM POR CLIENTE'!B19,'BURGOS TORRES RIGOBERTO'!J$19:J$31)+SUMIF('CORDOVA URIBE JOSE  ADRIAN'!P$19:P$32,'KM POR CLIENTE'!B19,'CORDOVA URIBE JOSE  ADRIAN'!J$19:J$32)+SUMIF('GUZMAN CHAPARRO PEDRO'!P$19:P$32,'KM POR CLIENTE'!B19,'GUZMAN CHAPARRO PEDRO'!J$19:J$32)+SUMIF('HERNANDEZ LICANO JOSE LUIS'!P$19:P$32,'KM POR CLIENTE'!B19,'HERNANDEZ LICANO JOSE LUIS'!J$19:J$32)+SUMIF('CARRERA REYES MARTIN SEBASTIAN'!P$19:P$33,'KM POR CLIENTE'!B19,'CARRERA REYES MARTIN SEBASTIAN'!J$19:J$33)+SUMIF('MACHADO MAZUCA ADOLFO'!P$19:P$32,'KM POR CLIENTE'!B19,'MACHADO MAZUCA ADOLFO'!J$19:J$32)+SUMIF('RUIZ SAUCEDO DANIEL ALEJANDRO'!P$19:P$32,'KM POR CLIENTE'!B19,'RUIZ SAUCEDO DANIEL ALEJANDRO'!J$19:J$32)+SUMIF('MARTINEZ RAMIREZ ROSALIO'!P$19:P$32,'KM POR CLIENTE'!B19,'MARTINEZ RAMIREZ ROSALIO'!J$19:J$32)+SUMIF('MONTERO BURROLA LUIS'!P$19:P$30,'KM POR CLIENTE'!B19,'MONTERO BURROLA LUIS'!J$19:J$30)+SUMIF('AGUILERA CONTRERAS LUIS GERARDO'!P$19:P$33,'KM POR CLIENTE'!B19,'AGUILERA CONTRERAS LUIS GERARDO'!J$19:J$33)+SUMIF('MORALES LOPEZ DE LARA MARIANO'!P$19:P$32,'KM POR CLIENTE'!B19,'MORALES LOPEZ DE LARA MARIANO'!J$19:J$32)+SUMIF('MELENDEZ SINALOA MANUEL ARAT'!P$19:P$32,'KM POR CLIENTE'!B19,'MELENDEZ SINALOA MANUEL ARAT'!J$19:J$32)+SUMIF('MORALES LECHUGA GONZALO'!P$19:P$32,'KM POR CLIENTE'!B19,'MORALES LECHUGA GONZALO'!J$19:J$32)+SUMIF('ORONA BECERRA MAURO JOSE'!P$19:P$32,'KM POR CLIENTE'!B19,'ORONA BECERRA MAURO JOSE'!J$19:J$32)+SUMIF('ORTIZ RAMIREZ HECTOR MANUEL'!P$19:P$32,'KM POR CLIENTE'!B19,'ORTIZ RAMIREZ HECTOR MANUEL'!J$19:J$32)+SUMIF('RAMIREZ BAUTISTA ADRIAN'!P$19:P$32,'KM POR CLIENTE'!B19,'RAMIREZ BAUTISTA ADRIAN'!J$19:J$32)+SUMIF('VALLES HERNANDEZ MANUEL MARCELI'!P$19:P$31,'KM POR CLIENTE'!B19,'VALLES HERNANDEZ MANUEL MARCELI'!J$19:J$31)+SUMIF('BALLEZA RAMIREZ JESUS JOSE'!P$19:P$32,'KM POR CLIENTE'!B19,'BALLEZA RAMIREZ JESUS JOSE'!J$19:J$32)+SUMIF('NUÑEZ RUIZ IRVING JAVIER.'!P$20:P$34,'KM POR CLIENTE'!B19,'NUÑEZ RUIZ IRVING JAVIER.'!J$20:J$34)+SUMIF('ONTIVEROS LIRA JUAN'!P$19:P$32,'KM POR CLIENTE'!B19,'ONTIVEROS LIRA JUAN'!J$19:J$32)+SUMIF('RODRIGUEZ FLORES BRYAN DARIO'!P$19:P$32,'KM POR CLIENTE'!B19,'RODRIGUEZ FLORES BRYAN DARIO'!J$19:J$32)+SUMIF('LIRA ARCEO JOEL EDUARDO'!P$19:P$32,'KM POR CLIENTE'!B19,'LIRA ARCEO JOEL EDUARDO'!J$19:J$32)+SUMIF('ANCHONDO ROMERO CESAR ALEJANDRO'!P$19:P$32,'KM POR CLIENTE'!B19,'ANCHONDO ROMERO CESAR ALEJANDRO'!J$19:J$32)</f>
        <v>11675</v>
      </c>
    </row>
    <row r="20" spans="2:3" x14ac:dyDescent="0.25">
      <c r="B20" s="221" t="s">
        <v>213</v>
      </c>
      <c r="C20" s="224">
        <f>+SUMIF('AGUILAR ESQUIVEL CARLOS'!P$19:P$32,'KM POR CLIENTE'!B20,'AGUILAR ESQUIVEL CARLOS'!J$19:J$32)+SUMIF('AGUILAR RODRIGUEZ JORGE ALONSO'!P$19:P$32,'KM POR CLIENTE'!B20,'AGUILAR RODRIGUEZ JORGE ALONSO'!J$19:J$32)+SUMIF('REYES LARA DANTE'!P$19:P$32,'KM POR CLIENTE'!B20,'REYES LARA DANTE'!J$19:J$32)+SUMIF('FLORES BOJORQUEZ BRYAN OVED'!P$19:P$34,'KM POR CLIENTE'!B20,'FLORES BOJORQUEZ BRYAN OVED'!J$19:J$34)+SUMIF('BALDERRAMA ROBLES JORGE'!P$19:P$32,'KM POR CLIENTE'!B20,'BALDERRAMA ROBLES JORGE'!J$19:J$32)+SUMIF('BURGOS TORRES RIGOBERTO'!P$19:P$31,'KM POR CLIENTE'!B20,'BURGOS TORRES RIGOBERTO'!J$19:J$31)+SUMIF('CORDOVA URIBE JOSE  ADRIAN'!P$19:P$32,'KM POR CLIENTE'!B20,'CORDOVA URIBE JOSE  ADRIAN'!J$19:J$32)+SUMIF('GUZMAN CHAPARRO PEDRO'!P$19:P$32,'KM POR CLIENTE'!B20,'GUZMAN CHAPARRO PEDRO'!J$19:J$32)+SUMIF('HERNANDEZ LICANO JOSE LUIS'!P$19:P$32,'KM POR CLIENTE'!B20,'HERNANDEZ LICANO JOSE LUIS'!J$19:J$32)+SUMIF('CARRERA REYES MARTIN SEBASTIAN'!P$19:P$33,'KM POR CLIENTE'!B20,'CARRERA REYES MARTIN SEBASTIAN'!J$19:J$33)+SUMIF('MACHADO MAZUCA ADOLFO'!P$19:P$32,'KM POR CLIENTE'!B20,'MACHADO MAZUCA ADOLFO'!J$19:J$32)+SUMIF('RUIZ SAUCEDO DANIEL ALEJANDRO'!P$19:P$32,'KM POR CLIENTE'!B20,'RUIZ SAUCEDO DANIEL ALEJANDRO'!J$19:J$32)+SUMIF('MARTINEZ RAMIREZ ROSALIO'!P$19:P$32,'KM POR CLIENTE'!B20,'MARTINEZ RAMIREZ ROSALIO'!J$19:J$32)+SUMIF('MONTERO BURROLA LUIS'!P$19:P$30,'KM POR CLIENTE'!B20,'MONTERO BURROLA LUIS'!J$19:J$30)+SUMIF('AGUILERA CONTRERAS LUIS GERARDO'!P$19:P$33,'KM POR CLIENTE'!B20,'AGUILERA CONTRERAS LUIS GERARDO'!J$19:J$33)+SUMIF('MORALES LOPEZ DE LARA MARIANO'!P$19:P$32,'KM POR CLIENTE'!B20,'MORALES LOPEZ DE LARA MARIANO'!J$19:J$32)+SUMIF('MELENDEZ SINALOA MANUEL ARAT'!P$19:P$32,'KM POR CLIENTE'!B20,'MELENDEZ SINALOA MANUEL ARAT'!J$19:J$32)+SUMIF('MORALES LECHUGA GONZALO'!P$19:P$32,'KM POR CLIENTE'!B20,'MORALES LECHUGA GONZALO'!J$19:J$32)+SUMIF('ORONA BECERRA MAURO JOSE'!P$19:P$32,'KM POR CLIENTE'!B20,'ORONA BECERRA MAURO JOSE'!J$19:J$32)+SUMIF('ORTIZ RAMIREZ HECTOR MANUEL'!P$19:P$32,'KM POR CLIENTE'!B20,'ORTIZ RAMIREZ HECTOR MANUEL'!J$19:J$32)+SUMIF('RAMIREZ BAUTISTA ADRIAN'!P$19:P$32,'KM POR CLIENTE'!B20,'RAMIREZ BAUTISTA ADRIAN'!J$19:J$32)+SUMIF('VALLES HERNANDEZ MANUEL MARCELI'!P$19:P$31,'KM POR CLIENTE'!B20,'VALLES HERNANDEZ MANUEL MARCELI'!J$19:J$31)+SUMIF('BALLEZA RAMIREZ JESUS JOSE'!P$19:P$32,'KM POR CLIENTE'!B20,'BALLEZA RAMIREZ JESUS JOSE'!J$19:J$32)+SUMIF('NUÑEZ RUIZ IRVING JAVIER.'!P$20:P$34,'KM POR CLIENTE'!B20,'NUÑEZ RUIZ IRVING JAVIER.'!J$20:J$34)+SUMIF('ONTIVEROS LIRA JUAN'!P$19:P$32,'KM POR CLIENTE'!B20,'ONTIVEROS LIRA JUAN'!J$19:J$32)+SUMIF('RODRIGUEZ FLORES BRYAN DARIO'!P$19:P$32,'KM POR CLIENTE'!B20,'RODRIGUEZ FLORES BRYAN DARIO'!J$19:J$32)+SUMIF('LIRA ARCEO JOEL EDUARDO'!P$19:P$32,'KM POR CLIENTE'!B20,'LIRA ARCEO JOEL EDUARDO'!J$19:J$32)+SUMIF('ANCHONDO ROMERO CESAR ALEJANDRO'!P$19:P$32,'KM POR CLIENTE'!B20,'ANCHONDO ROMERO CESAR ALEJANDRO'!J$19:J$32)</f>
        <v>0</v>
      </c>
    </row>
    <row r="21" spans="2:3" x14ac:dyDescent="0.25">
      <c r="B21" s="221" t="s">
        <v>226</v>
      </c>
      <c r="C21" s="224">
        <f>+SUMIF('AGUILAR ESQUIVEL CARLOS'!P$19:P$32,'KM POR CLIENTE'!B21,'AGUILAR ESQUIVEL CARLOS'!J$19:J$32)+SUMIF('AGUILAR RODRIGUEZ JORGE ALONSO'!P$19:P$32,'KM POR CLIENTE'!B21,'AGUILAR RODRIGUEZ JORGE ALONSO'!J$19:J$32)+SUMIF('REYES LARA DANTE'!P$19:P$32,'KM POR CLIENTE'!B21,'REYES LARA DANTE'!J$19:J$32)+SUMIF('FLORES BOJORQUEZ BRYAN OVED'!P$19:P$34,'KM POR CLIENTE'!B21,'FLORES BOJORQUEZ BRYAN OVED'!J$19:J$34)+SUMIF('BALDERRAMA ROBLES JORGE'!P$19:P$32,'KM POR CLIENTE'!B21,'BALDERRAMA ROBLES JORGE'!J$19:J$32)+SUMIF('BURGOS TORRES RIGOBERTO'!P$19:P$31,'KM POR CLIENTE'!B21,'BURGOS TORRES RIGOBERTO'!J$19:J$31)+SUMIF('CORDOVA URIBE JOSE  ADRIAN'!P$19:P$32,'KM POR CLIENTE'!B21,'CORDOVA URIBE JOSE  ADRIAN'!J$19:J$32)+SUMIF('GUZMAN CHAPARRO PEDRO'!P$19:P$32,'KM POR CLIENTE'!B21,'GUZMAN CHAPARRO PEDRO'!J$19:J$32)+SUMIF('HERNANDEZ LICANO JOSE LUIS'!P$19:P$32,'KM POR CLIENTE'!B21,'HERNANDEZ LICANO JOSE LUIS'!J$19:J$32)+SUMIF('CARRERA REYES MARTIN SEBASTIAN'!P$19:P$33,'KM POR CLIENTE'!B21,'CARRERA REYES MARTIN SEBASTIAN'!J$19:J$33)+SUMIF('MACHADO MAZUCA ADOLFO'!P$19:P$32,'KM POR CLIENTE'!B21,'MACHADO MAZUCA ADOLFO'!J$19:J$32)+SUMIF('RUIZ SAUCEDO DANIEL ALEJANDRO'!P$19:P$32,'KM POR CLIENTE'!B21,'RUIZ SAUCEDO DANIEL ALEJANDRO'!J$19:J$32)+SUMIF('MARTINEZ RAMIREZ ROSALIO'!P$19:P$32,'KM POR CLIENTE'!B21,'MARTINEZ RAMIREZ ROSALIO'!J$19:J$32)+SUMIF('MONTERO BURROLA LUIS'!P$19:P$30,'KM POR CLIENTE'!B21,'MONTERO BURROLA LUIS'!J$19:J$30)+SUMIF('AGUILERA CONTRERAS LUIS GERARDO'!P$19:P$33,'KM POR CLIENTE'!B21,'AGUILERA CONTRERAS LUIS GERARDO'!J$19:J$33)+SUMIF('MORALES LOPEZ DE LARA MARIANO'!P$19:P$32,'KM POR CLIENTE'!B21,'MORALES LOPEZ DE LARA MARIANO'!J$19:J$32)+SUMIF('MELENDEZ SINALOA MANUEL ARAT'!P$19:P$32,'KM POR CLIENTE'!B21,'MELENDEZ SINALOA MANUEL ARAT'!J$19:J$32)+SUMIF('MORALES LECHUGA GONZALO'!P$19:P$32,'KM POR CLIENTE'!B21,'MORALES LECHUGA GONZALO'!J$19:J$32)+SUMIF('ORONA BECERRA MAURO JOSE'!P$19:P$32,'KM POR CLIENTE'!B21,'ORONA BECERRA MAURO JOSE'!J$19:J$32)+SUMIF('ORTIZ RAMIREZ HECTOR MANUEL'!P$19:P$32,'KM POR CLIENTE'!B21,'ORTIZ RAMIREZ HECTOR MANUEL'!J$19:J$32)+SUMIF('RAMIREZ BAUTISTA ADRIAN'!P$19:P$32,'KM POR CLIENTE'!B21,'RAMIREZ BAUTISTA ADRIAN'!J$19:J$32)+SUMIF('VALLES HERNANDEZ MANUEL MARCELI'!P$19:P$31,'KM POR CLIENTE'!B21,'VALLES HERNANDEZ MANUEL MARCELI'!J$19:J$31)+SUMIF('BALLEZA RAMIREZ JESUS JOSE'!P$19:P$32,'KM POR CLIENTE'!B21,'BALLEZA RAMIREZ JESUS JOSE'!J$19:J$32)+SUMIF('NUÑEZ RUIZ IRVING JAVIER.'!P$20:P$34,'KM POR CLIENTE'!B21,'NUÑEZ RUIZ IRVING JAVIER.'!J$20:J$34)+SUMIF('ONTIVEROS LIRA JUAN'!P$19:P$32,'KM POR CLIENTE'!B21,'ONTIVEROS LIRA JUAN'!J$19:J$32)+SUMIF('RODRIGUEZ FLORES BRYAN DARIO'!P$19:P$32,'KM POR CLIENTE'!B21,'RODRIGUEZ FLORES BRYAN DARIO'!J$19:J$32)+SUMIF('LIRA ARCEO JOEL EDUARDO'!P$19:P$32,'KM POR CLIENTE'!B21,'LIRA ARCEO JOEL EDUARDO'!J$19:J$32)+SUMIF('ANCHONDO ROMERO CESAR ALEJANDRO'!P$19:P$32,'KM POR CLIENTE'!B21,'ANCHONDO ROMERO CESAR ALEJANDRO'!J$19:J$32)</f>
        <v>0</v>
      </c>
    </row>
    <row r="22" spans="2:3" x14ac:dyDescent="0.25">
      <c r="B22" s="221" t="s">
        <v>274</v>
      </c>
      <c r="C22" s="224">
        <f>+SUMIF('AGUILAR ESQUIVEL CARLOS'!P$19:P$32,'KM POR CLIENTE'!B22,'AGUILAR ESQUIVEL CARLOS'!J$19:J$32)+SUMIF('AGUILAR RODRIGUEZ JORGE ALONSO'!P$19:P$32,'KM POR CLIENTE'!B22,'AGUILAR RODRIGUEZ JORGE ALONSO'!J$19:J$32)+SUMIF('REYES LARA DANTE'!P$19:P$32,'KM POR CLIENTE'!B22,'REYES LARA DANTE'!J$19:J$32)+SUMIF('FLORES BOJORQUEZ BRYAN OVED'!P$19:P$34,'KM POR CLIENTE'!B22,'FLORES BOJORQUEZ BRYAN OVED'!J$19:J$34)+SUMIF('BALDERRAMA ROBLES JORGE'!P$19:P$32,'KM POR CLIENTE'!B22,'BALDERRAMA ROBLES JORGE'!J$19:J$32)+SUMIF('BURGOS TORRES RIGOBERTO'!P$19:P$31,'KM POR CLIENTE'!B22,'BURGOS TORRES RIGOBERTO'!J$19:J$31)+SUMIF('CORDOVA URIBE JOSE  ADRIAN'!P$19:P$32,'KM POR CLIENTE'!B22,'CORDOVA URIBE JOSE  ADRIAN'!J$19:J$32)+SUMIF('GUZMAN CHAPARRO PEDRO'!P$19:P$32,'KM POR CLIENTE'!B22,'GUZMAN CHAPARRO PEDRO'!J$19:J$32)+SUMIF('HERNANDEZ LICANO JOSE LUIS'!P$19:P$32,'KM POR CLIENTE'!B22,'HERNANDEZ LICANO JOSE LUIS'!J$19:J$32)+SUMIF('CARRERA REYES MARTIN SEBASTIAN'!P$19:P$33,'KM POR CLIENTE'!B22,'CARRERA REYES MARTIN SEBASTIAN'!J$19:J$33)+SUMIF('MACHADO MAZUCA ADOLFO'!P$19:P$32,'KM POR CLIENTE'!B22,'MACHADO MAZUCA ADOLFO'!J$19:J$32)+SUMIF('RUIZ SAUCEDO DANIEL ALEJANDRO'!P$19:P$32,'KM POR CLIENTE'!B22,'RUIZ SAUCEDO DANIEL ALEJANDRO'!J$19:J$32)+SUMIF('MARTINEZ RAMIREZ ROSALIO'!P$19:P$32,'KM POR CLIENTE'!B22,'MARTINEZ RAMIREZ ROSALIO'!J$19:J$32)+SUMIF('MONTERO BURROLA LUIS'!P$19:P$30,'KM POR CLIENTE'!B22,'MONTERO BURROLA LUIS'!J$19:J$30)+SUMIF('AGUILERA CONTRERAS LUIS GERARDO'!P$19:P$33,'KM POR CLIENTE'!B22,'AGUILERA CONTRERAS LUIS GERARDO'!J$19:J$33)+SUMIF('MORALES LOPEZ DE LARA MARIANO'!P$19:P$32,'KM POR CLIENTE'!B22,'MORALES LOPEZ DE LARA MARIANO'!J$19:J$32)+SUMIF('MELENDEZ SINALOA MANUEL ARAT'!P$19:P$32,'KM POR CLIENTE'!B22,'MELENDEZ SINALOA MANUEL ARAT'!J$19:J$32)+SUMIF('MORALES LECHUGA GONZALO'!P$19:P$32,'KM POR CLIENTE'!B22,'MORALES LECHUGA GONZALO'!J$19:J$32)+SUMIF('ORONA BECERRA MAURO JOSE'!P$19:P$32,'KM POR CLIENTE'!B22,'ORONA BECERRA MAURO JOSE'!J$19:J$32)+SUMIF('ORTIZ RAMIREZ HECTOR MANUEL'!P$19:P$32,'KM POR CLIENTE'!B22,'ORTIZ RAMIREZ HECTOR MANUEL'!J$19:J$32)+SUMIF('RAMIREZ BAUTISTA ADRIAN'!P$19:P$32,'KM POR CLIENTE'!B22,'RAMIREZ BAUTISTA ADRIAN'!J$19:J$32)+SUMIF('VALLES HERNANDEZ MANUEL MARCELI'!P$19:P$31,'KM POR CLIENTE'!B22,'VALLES HERNANDEZ MANUEL MARCELI'!J$19:J$31)+SUMIF('BALLEZA RAMIREZ JESUS JOSE'!P$19:P$32,'KM POR CLIENTE'!B22,'BALLEZA RAMIREZ JESUS JOSE'!J$19:J$32)+SUMIF('NUÑEZ RUIZ IRVING JAVIER.'!P$20:P$34,'KM POR CLIENTE'!B22,'NUÑEZ RUIZ IRVING JAVIER.'!J$20:J$34)+SUMIF('ONTIVEROS LIRA JUAN'!P$19:P$32,'KM POR CLIENTE'!B22,'ONTIVEROS LIRA JUAN'!J$19:J$32)+SUMIF('RODRIGUEZ FLORES BRYAN DARIO'!P$19:P$32,'KM POR CLIENTE'!B22,'RODRIGUEZ FLORES BRYAN DARIO'!J$19:J$32)+SUMIF('LIRA ARCEO JOEL EDUARDO'!P$19:P$32,'KM POR CLIENTE'!B22,'LIRA ARCEO JOEL EDUARDO'!J$19:J$32)+SUMIF('ANCHONDO ROMERO CESAR ALEJANDRO'!P$19:P$32,'KM POR CLIENTE'!B22,'ANCHONDO ROMERO CESAR ALEJANDRO'!J$19:J$32)</f>
        <v>0</v>
      </c>
    </row>
    <row r="23" spans="2:3" x14ac:dyDescent="0.25">
      <c r="B23" s="221" t="s">
        <v>203</v>
      </c>
      <c r="C23" s="224">
        <f>+SUMIF('AGUILAR ESQUIVEL CARLOS'!P$19:P$32,'KM POR CLIENTE'!B23,'AGUILAR ESQUIVEL CARLOS'!J$19:J$32)+SUMIF('AGUILAR RODRIGUEZ JORGE ALONSO'!P$19:P$32,'KM POR CLIENTE'!B23,'AGUILAR RODRIGUEZ JORGE ALONSO'!J$19:J$32)+SUMIF('REYES LARA DANTE'!P$19:P$32,'KM POR CLIENTE'!B23,'REYES LARA DANTE'!J$19:J$32)+SUMIF('FLORES BOJORQUEZ BRYAN OVED'!P$19:P$34,'KM POR CLIENTE'!B23,'FLORES BOJORQUEZ BRYAN OVED'!J$19:J$34)+SUMIF('BALDERRAMA ROBLES JORGE'!P$19:P$32,'KM POR CLIENTE'!B23,'BALDERRAMA ROBLES JORGE'!J$19:J$32)+SUMIF('BURGOS TORRES RIGOBERTO'!P$19:P$31,'KM POR CLIENTE'!B23,'BURGOS TORRES RIGOBERTO'!J$19:J$31)+SUMIF('CORDOVA URIBE JOSE  ADRIAN'!P$19:P$32,'KM POR CLIENTE'!B23,'CORDOVA URIBE JOSE  ADRIAN'!J$19:J$32)+SUMIF('GUZMAN CHAPARRO PEDRO'!P$19:P$32,'KM POR CLIENTE'!B23,'GUZMAN CHAPARRO PEDRO'!J$19:J$32)+SUMIF('HERNANDEZ LICANO JOSE LUIS'!P$19:P$32,'KM POR CLIENTE'!B23,'HERNANDEZ LICANO JOSE LUIS'!J$19:J$32)+SUMIF('CARRERA REYES MARTIN SEBASTIAN'!P$19:P$33,'KM POR CLIENTE'!B23,'CARRERA REYES MARTIN SEBASTIAN'!J$19:J$33)+SUMIF('MACHADO MAZUCA ADOLFO'!P$19:P$32,'KM POR CLIENTE'!B23,'MACHADO MAZUCA ADOLFO'!J$19:J$32)+SUMIF('RUIZ SAUCEDO DANIEL ALEJANDRO'!P$19:P$32,'KM POR CLIENTE'!B23,'RUIZ SAUCEDO DANIEL ALEJANDRO'!J$19:J$32)+SUMIF('MARTINEZ RAMIREZ ROSALIO'!P$19:P$32,'KM POR CLIENTE'!B23,'MARTINEZ RAMIREZ ROSALIO'!J$19:J$32)+SUMIF('MONTERO BURROLA LUIS'!P$19:P$30,'KM POR CLIENTE'!B23,'MONTERO BURROLA LUIS'!J$19:J$30)+SUMIF('AGUILERA CONTRERAS LUIS GERARDO'!P$19:P$33,'KM POR CLIENTE'!B23,'AGUILERA CONTRERAS LUIS GERARDO'!J$19:J$33)+SUMIF('MORALES LOPEZ DE LARA MARIANO'!P$19:P$32,'KM POR CLIENTE'!B23,'MORALES LOPEZ DE LARA MARIANO'!J$19:J$32)+SUMIF('MELENDEZ SINALOA MANUEL ARAT'!P$19:P$32,'KM POR CLIENTE'!B23,'MELENDEZ SINALOA MANUEL ARAT'!J$19:J$32)+SUMIF('MORALES LECHUGA GONZALO'!P$19:P$32,'KM POR CLIENTE'!B23,'MORALES LECHUGA GONZALO'!J$19:J$32)+SUMIF('ORONA BECERRA MAURO JOSE'!P$19:P$32,'KM POR CLIENTE'!B23,'ORONA BECERRA MAURO JOSE'!J$19:J$32)+SUMIF('ORTIZ RAMIREZ HECTOR MANUEL'!P$19:P$32,'KM POR CLIENTE'!B23,'ORTIZ RAMIREZ HECTOR MANUEL'!J$19:J$32)+SUMIF('RAMIREZ BAUTISTA ADRIAN'!P$19:P$32,'KM POR CLIENTE'!B23,'RAMIREZ BAUTISTA ADRIAN'!J$19:J$32)+SUMIF('VALLES HERNANDEZ MANUEL MARCELI'!P$19:P$31,'KM POR CLIENTE'!B23,'VALLES HERNANDEZ MANUEL MARCELI'!J$19:J$31)+SUMIF('BALLEZA RAMIREZ JESUS JOSE'!P$19:P$32,'KM POR CLIENTE'!B23,'BALLEZA RAMIREZ JESUS JOSE'!J$19:J$32)+SUMIF('NUÑEZ RUIZ IRVING JAVIER.'!P$20:P$34,'KM POR CLIENTE'!B23,'NUÑEZ RUIZ IRVING JAVIER.'!J$20:J$34)+SUMIF('ONTIVEROS LIRA JUAN'!P$19:P$32,'KM POR CLIENTE'!B23,'ONTIVEROS LIRA JUAN'!J$19:J$32)+SUMIF('RODRIGUEZ FLORES BRYAN DARIO'!P$19:P$32,'KM POR CLIENTE'!B23,'RODRIGUEZ FLORES BRYAN DARIO'!J$19:J$32)+SUMIF('LIRA ARCEO JOEL EDUARDO'!P$19:P$32,'KM POR CLIENTE'!B23,'LIRA ARCEO JOEL EDUARDO'!J$19:J$32)+SUMIF('ANCHONDO ROMERO CESAR ALEJANDRO'!P$19:P$32,'KM POR CLIENTE'!B23,'ANCHONDO ROMERO CESAR ALEJANDRO'!J$19:J$32)</f>
        <v>3120</v>
      </c>
    </row>
    <row r="24" spans="2:3" x14ac:dyDescent="0.25">
      <c r="B24" s="221" t="s">
        <v>292</v>
      </c>
      <c r="C24" s="224">
        <f>+SUMIF('AGUILAR ESQUIVEL CARLOS'!P$19:P$32,'KM POR CLIENTE'!B24,'AGUILAR ESQUIVEL CARLOS'!J$19:J$32)+SUMIF('AGUILAR RODRIGUEZ JORGE ALONSO'!P$19:P$32,'KM POR CLIENTE'!B24,'AGUILAR RODRIGUEZ JORGE ALONSO'!J$19:J$32)+SUMIF('REYES LARA DANTE'!P$19:P$32,'KM POR CLIENTE'!B24,'REYES LARA DANTE'!J$19:J$32)+SUMIF('FLORES BOJORQUEZ BRYAN OVED'!P$19:P$34,'KM POR CLIENTE'!B24,'FLORES BOJORQUEZ BRYAN OVED'!J$19:J$34)+SUMIF('BALDERRAMA ROBLES JORGE'!P$19:P$32,'KM POR CLIENTE'!B24,'BALDERRAMA ROBLES JORGE'!J$19:J$32)+SUMIF('BURGOS TORRES RIGOBERTO'!P$19:P$31,'KM POR CLIENTE'!B24,'BURGOS TORRES RIGOBERTO'!J$19:J$31)+SUMIF('CORDOVA URIBE JOSE  ADRIAN'!P$19:P$32,'KM POR CLIENTE'!B24,'CORDOVA URIBE JOSE  ADRIAN'!J$19:J$32)+SUMIF('GUZMAN CHAPARRO PEDRO'!P$19:P$32,'KM POR CLIENTE'!B24,'GUZMAN CHAPARRO PEDRO'!J$19:J$32)+SUMIF('HERNANDEZ LICANO JOSE LUIS'!P$19:P$32,'KM POR CLIENTE'!B24,'HERNANDEZ LICANO JOSE LUIS'!J$19:J$32)+SUMIF('CARRERA REYES MARTIN SEBASTIAN'!P$19:P$33,'KM POR CLIENTE'!B24,'CARRERA REYES MARTIN SEBASTIAN'!J$19:J$33)+SUMIF('MACHADO MAZUCA ADOLFO'!P$19:P$32,'KM POR CLIENTE'!B24,'MACHADO MAZUCA ADOLFO'!J$19:J$32)+SUMIF('RUIZ SAUCEDO DANIEL ALEJANDRO'!P$19:P$32,'KM POR CLIENTE'!B24,'RUIZ SAUCEDO DANIEL ALEJANDRO'!J$19:J$32)+SUMIF('MARTINEZ RAMIREZ ROSALIO'!P$19:P$32,'KM POR CLIENTE'!B24,'MARTINEZ RAMIREZ ROSALIO'!J$19:J$32)+SUMIF('MONTERO BURROLA LUIS'!P$19:P$30,'KM POR CLIENTE'!B24,'MONTERO BURROLA LUIS'!J$19:J$30)+SUMIF('AGUILERA CONTRERAS LUIS GERARDO'!P$19:P$33,'KM POR CLIENTE'!B24,'AGUILERA CONTRERAS LUIS GERARDO'!J$19:J$33)+SUMIF('MORALES LOPEZ DE LARA MARIANO'!P$19:P$32,'KM POR CLIENTE'!B24,'MORALES LOPEZ DE LARA MARIANO'!J$19:J$32)+SUMIF('MELENDEZ SINALOA MANUEL ARAT'!P$19:P$32,'KM POR CLIENTE'!B24,'MELENDEZ SINALOA MANUEL ARAT'!J$19:J$32)+SUMIF('MORALES LECHUGA GONZALO'!P$19:P$32,'KM POR CLIENTE'!B24,'MORALES LECHUGA GONZALO'!J$19:J$32)+SUMIF('ORONA BECERRA MAURO JOSE'!P$19:P$32,'KM POR CLIENTE'!B24,'ORONA BECERRA MAURO JOSE'!J$19:J$32)+SUMIF('ORTIZ RAMIREZ HECTOR MANUEL'!P$19:P$32,'KM POR CLIENTE'!B24,'ORTIZ RAMIREZ HECTOR MANUEL'!J$19:J$32)+SUMIF('RAMIREZ BAUTISTA ADRIAN'!P$19:P$32,'KM POR CLIENTE'!B24,'RAMIREZ BAUTISTA ADRIAN'!J$19:J$32)+SUMIF('VALLES HERNANDEZ MANUEL MARCELI'!P$19:P$31,'KM POR CLIENTE'!B24,'VALLES HERNANDEZ MANUEL MARCELI'!J$19:J$31)+SUMIF('BALLEZA RAMIREZ JESUS JOSE'!P$19:P$32,'KM POR CLIENTE'!B24,'BALLEZA RAMIREZ JESUS JOSE'!J$19:J$32)+SUMIF('NUÑEZ RUIZ IRVING JAVIER.'!P$20:P$34,'KM POR CLIENTE'!B24,'NUÑEZ RUIZ IRVING JAVIER.'!J$20:J$34)+SUMIF('ONTIVEROS LIRA JUAN'!P$19:P$32,'KM POR CLIENTE'!B24,'ONTIVEROS LIRA JUAN'!J$19:J$32)+SUMIF('RODRIGUEZ FLORES BRYAN DARIO'!P$19:P$32,'KM POR CLIENTE'!B24,'RODRIGUEZ FLORES BRYAN DARIO'!J$19:J$32)+SUMIF('LIRA ARCEO JOEL EDUARDO'!P$19:P$32,'KM POR CLIENTE'!B24,'LIRA ARCEO JOEL EDUARDO'!J$19:J$32)+SUMIF('ANCHONDO ROMERO CESAR ALEJANDRO'!P$19:P$32,'KM POR CLIENTE'!B24,'ANCHONDO ROMERO CESAR ALEJANDRO'!J$19:J$32)</f>
        <v>0</v>
      </c>
    </row>
    <row r="25" spans="2:3" x14ac:dyDescent="0.25">
      <c r="B25" s="221" t="s">
        <v>214</v>
      </c>
      <c r="C25" s="224">
        <f>+SUMIF('AGUILAR ESQUIVEL CARLOS'!P$19:P$32,'KM POR CLIENTE'!B25,'AGUILAR ESQUIVEL CARLOS'!J$19:J$32)+SUMIF('AGUILAR RODRIGUEZ JORGE ALONSO'!P$19:P$32,'KM POR CLIENTE'!B25,'AGUILAR RODRIGUEZ JORGE ALONSO'!J$19:J$32)+SUMIF('REYES LARA DANTE'!P$19:P$32,'KM POR CLIENTE'!B25,'REYES LARA DANTE'!J$19:J$32)+SUMIF('FLORES BOJORQUEZ BRYAN OVED'!P$19:P$34,'KM POR CLIENTE'!B25,'FLORES BOJORQUEZ BRYAN OVED'!J$19:J$34)+SUMIF('BALDERRAMA ROBLES JORGE'!P$19:P$32,'KM POR CLIENTE'!B25,'BALDERRAMA ROBLES JORGE'!J$19:J$32)+SUMIF('BURGOS TORRES RIGOBERTO'!P$19:P$31,'KM POR CLIENTE'!B25,'BURGOS TORRES RIGOBERTO'!J$19:J$31)+SUMIF('CORDOVA URIBE JOSE  ADRIAN'!P$19:P$32,'KM POR CLIENTE'!B25,'CORDOVA URIBE JOSE  ADRIAN'!J$19:J$32)+SUMIF('GUZMAN CHAPARRO PEDRO'!P$19:P$32,'KM POR CLIENTE'!B25,'GUZMAN CHAPARRO PEDRO'!J$19:J$32)+SUMIF('HERNANDEZ LICANO JOSE LUIS'!P$19:P$32,'KM POR CLIENTE'!B25,'HERNANDEZ LICANO JOSE LUIS'!J$19:J$32)+SUMIF('CARRERA REYES MARTIN SEBASTIAN'!P$19:P$33,'KM POR CLIENTE'!B25,'CARRERA REYES MARTIN SEBASTIAN'!J$19:J$33)+SUMIF('MACHADO MAZUCA ADOLFO'!P$19:P$32,'KM POR CLIENTE'!B25,'MACHADO MAZUCA ADOLFO'!J$19:J$32)+SUMIF('RUIZ SAUCEDO DANIEL ALEJANDRO'!P$19:P$32,'KM POR CLIENTE'!B25,'RUIZ SAUCEDO DANIEL ALEJANDRO'!J$19:J$32)+SUMIF('MARTINEZ RAMIREZ ROSALIO'!P$19:P$32,'KM POR CLIENTE'!B25,'MARTINEZ RAMIREZ ROSALIO'!J$19:J$32)+SUMIF('MONTERO BURROLA LUIS'!P$19:P$30,'KM POR CLIENTE'!B25,'MONTERO BURROLA LUIS'!J$19:J$30)+SUMIF('AGUILERA CONTRERAS LUIS GERARDO'!P$19:P$33,'KM POR CLIENTE'!B25,'AGUILERA CONTRERAS LUIS GERARDO'!J$19:J$33)+SUMIF('MORALES LOPEZ DE LARA MARIANO'!P$19:P$32,'KM POR CLIENTE'!B25,'MORALES LOPEZ DE LARA MARIANO'!J$19:J$32)+SUMIF('MELENDEZ SINALOA MANUEL ARAT'!P$19:P$32,'KM POR CLIENTE'!B25,'MELENDEZ SINALOA MANUEL ARAT'!J$19:J$32)+SUMIF('MORALES LECHUGA GONZALO'!P$19:P$32,'KM POR CLIENTE'!B25,'MORALES LECHUGA GONZALO'!J$19:J$32)+SUMIF('ORONA BECERRA MAURO JOSE'!P$19:P$32,'KM POR CLIENTE'!B25,'ORONA BECERRA MAURO JOSE'!J$19:J$32)+SUMIF('ORTIZ RAMIREZ HECTOR MANUEL'!P$19:P$32,'KM POR CLIENTE'!B25,'ORTIZ RAMIREZ HECTOR MANUEL'!J$19:J$32)+SUMIF('RAMIREZ BAUTISTA ADRIAN'!P$19:P$32,'KM POR CLIENTE'!B25,'RAMIREZ BAUTISTA ADRIAN'!J$19:J$32)+SUMIF('VALLES HERNANDEZ MANUEL MARCELI'!P$19:P$31,'KM POR CLIENTE'!B25,'VALLES HERNANDEZ MANUEL MARCELI'!J$19:J$31)+SUMIF('BALLEZA RAMIREZ JESUS JOSE'!P$19:P$32,'KM POR CLIENTE'!B25,'BALLEZA RAMIREZ JESUS JOSE'!J$19:J$32)+SUMIF('NUÑEZ RUIZ IRVING JAVIER.'!P$20:P$34,'KM POR CLIENTE'!B25,'NUÑEZ RUIZ IRVING JAVIER.'!J$20:J$34)+SUMIF('ONTIVEROS LIRA JUAN'!P$19:P$32,'KM POR CLIENTE'!B25,'ONTIVEROS LIRA JUAN'!J$19:J$32)+SUMIF('RODRIGUEZ FLORES BRYAN DARIO'!P$19:P$32,'KM POR CLIENTE'!B25,'RODRIGUEZ FLORES BRYAN DARIO'!J$19:J$32)+SUMIF('LIRA ARCEO JOEL EDUARDO'!P$19:P$32,'KM POR CLIENTE'!B25,'LIRA ARCEO JOEL EDUARDO'!J$19:J$32)+SUMIF('ANCHONDO ROMERO CESAR ALEJANDRO'!P$19:P$32,'KM POR CLIENTE'!B25,'ANCHONDO ROMERO CESAR ALEJANDRO'!J$19:J$32)</f>
        <v>0</v>
      </c>
    </row>
    <row r="26" spans="2:3" x14ac:dyDescent="0.25">
      <c r="B26" s="221" t="s">
        <v>215</v>
      </c>
      <c r="C26" s="224">
        <f>+SUMIF('AGUILAR ESQUIVEL CARLOS'!P$19:P$32,'KM POR CLIENTE'!B26,'AGUILAR ESQUIVEL CARLOS'!J$19:J$32)+SUMIF('AGUILAR RODRIGUEZ JORGE ALONSO'!P$19:P$32,'KM POR CLIENTE'!B26,'AGUILAR RODRIGUEZ JORGE ALONSO'!J$19:J$32)+SUMIF('REYES LARA DANTE'!P$19:P$32,'KM POR CLIENTE'!B26,'REYES LARA DANTE'!J$19:J$32)+SUMIF('FLORES BOJORQUEZ BRYAN OVED'!P$19:P$34,'KM POR CLIENTE'!B26,'FLORES BOJORQUEZ BRYAN OVED'!J$19:J$34)+SUMIF('BALDERRAMA ROBLES JORGE'!P$19:P$32,'KM POR CLIENTE'!B26,'BALDERRAMA ROBLES JORGE'!J$19:J$32)+SUMIF('BURGOS TORRES RIGOBERTO'!P$19:P$31,'KM POR CLIENTE'!B26,'BURGOS TORRES RIGOBERTO'!J$19:J$31)+SUMIF('CORDOVA URIBE JOSE  ADRIAN'!P$19:P$32,'KM POR CLIENTE'!B26,'CORDOVA URIBE JOSE  ADRIAN'!J$19:J$32)+SUMIF('GUZMAN CHAPARRO PEDRO'!P$19:P$32,'KM POR CLIENTE'!B26,'GUZMAN CHAPARRO PEDRO'!J$19:J$32)+SUMIF('HERNANDEZ LICANO JOSE LUIS'!P$19:P$32,'KM POR CLIENTE'!B26,'HERNANDEZ LICANO JOSE LUIS'!J$19:J$32)+SUMIF('CARRERA REYES MARTIN SEBASTIAN'!P$19:P$33,'KM POR CLIENTE'!B26,'CARRERA REYES MARTIN SEBASTIAN'!J$19:J$33)+SUMIF('MACHADO MAZUCA ADOLFO'!P$19:P$32,'KM POR CLIENTE'!B26,'MACHADO MAZUCA ADOLFO'!J$19:J$32)+SUMIF('RUIZ SAUCEDO DANIEL ALEJANDRO'!P$19:P$32,'KM POR CLIENTE'!B26,'RUIZ SAUCEDO DANIEL ALEJANDRO'!J$19:J$32)+SUMIF('MARTINEZ RAMIREZ ROSALIO'!P$19:P$32,'KM POR CLIENTE'!B26,'MARTINEZ RAMIREZ ROSALIO'!J$19:J$32)+SUMIF('MONTERO BURROLA LUIS'!P$19:P$30,'KM POR CLIENTE'!B26,'MONTERO BURROLA LUIS'!J$19:J$30)+SUMIF('AGUILERA CONTRERAS LUIS GERARDO'!P$19:P$33,'KM POR CLIENTE'!B26,'AGUILERA CONTRERAS LUIS GERARDO'!J$19:J$33)+SUMIF('MORALES LOPEZ DE LARA MARIANO'!P$19:P$32,'KM POR CLIENTE'!B26,'MORALES LOPEZ DE LARA MARIANO'!J$19:J$32)+SUMIF('MELENDEZ SINALOA MANUEL ARAT'!P$19:P$32,'KM POR CLIENTE'!B26,'MELENDEZ SINALOA MANUEL ARAT'!J$19:J$32)+SUMIF('MORALES LECHUGA GONZALO'!P$19:P$32,'KM POR CLIENTE'!B26,'MORALES LECHUGA GONZALO'!J$19:J$32)+SUMIF('ORONA BECERRA MAURO JOSE'!P$19:P$32,'KM POR CLIENTE'!B26,'ORONA BECERRA MAURO JOSE'!J$19:J$32)+SUMIF('ORTIZ RAMIREZ HECTOR MANUEL'!P$19:P$32,'KM POR CLIENTE'!B26,'ORTIZ RAMIREZ HECTOR MANUEL'!J$19:J$32)+SUMIF('RAMIREZ BAUTISTA ADRIAN'!P$19:P$32,'KM POR CLIENTE'!B26,'RAMIREZ BAUTISTA ADRIAN'!J$19:J$32)+SUMIF('VALLES HERNANDEZ MANUEL MARCELI'!P$19:P$31,'KM POR CLIENTE'!B26,'VALLES HERNANDEZ MANUEL MARCELI'!J$19:J$31)+SUMIF('BALLEZA RAMIREZ JESUS JOSE'!P$19:P$32,'KM POR CLIENTE'!B26,'BALLEZA RAMIREZ JESUS JOSE'!J$19:J$32)+SUMIF('NUÑEZ RUIZ IRVING JAVIER.'!P$20:P$34,'KM POR CLIENTE'!B26,'NUÑEZ RUIZ IRVING JAVIER.'!J$20:J$34)+SUMIF('ONTIVEROS LIRA JUAN'!P$19:P$32,'KM POR CLIENTE'!B26,'ONTIVEROS LIRA JUAN'!J$19:J$32)+SUMIF('RODRIGUEZ FLORES BRYAN DARIO'!P$19:P$32,'KM POR CLIENTE'!B26,'RODRIGUEZ FLORES BRYAN DARIO'!J$19:J$32)+SUMIF('LIRA ARCEO JOEL EDUARDO'!P$19:P$32,'KM POR CLIENTE'!B26,'LIRA ARCEO JOEL EDUARDO'!J$19:J$32)+SUMIF('ANCHONDO ROMERO CESAR ALEJANDRO'!P$19:P$32,'KM POR CLIENTE'!B26,'ANCHONDO ROMERO CESAR ALEJANDRO'!J$19:J$32)</f>
        <v>0</v>
      </c>
    </row>
    <row r="27" spans="2:3" x14ac:dyDescent="0.25">
      <c r="B27" s="221" t="s">
        <v>196</v>
      </c>
      <c r="C27" s="224">
        <f>+SUMIF('AGUILAR ESQUIVEL CARLOS'!P$19:P$32,'KM POR CLIENTE'!B27,'AGUILAR ESQUIVEL CARLOS'!J$19:J$32)+SUMIF('AGUILAR RODRIGUEZ JORGE ALONSO'!P$19:P$32,'KM POR CLIENTE'!B27,'AGUILAR RODRIGUEZ JORGE ALONSO'!J$19:J$32)+SUMIF('REYES LARA DANTE'!P$19:P$32,'KM POR CLIENTE'!B27,'REYES LARA DANTE'!J$19:J$32)+SUMIF('FLORES BOJORQUEZ BRYAN OVED'!P$19:P$34,'KM POR CLIENTE'!B27,'FLORES BOJORQUEZ BRYAN OVED'!J$19:J$34)+SUMIF('BALDERRAMA ROBLES JORGE'!P$19:P$32,'KM POR CLIENTE'!B27,'BALDERRAMA ROBLES JORGE'!J$19:J$32)+SUMIF('BURGOS TORRES RIGOBERTO'!P$19:P$31,'KM POR CLIENTE'!B27,'BURGOS TORRES RIGOBERTO'!J$19:J$31)+SUMIF('CORDOVA URIBE JOSE  ADRIAN'!P$19:P$32,'KM POR CLIENTE'!B27,'CORDOVA URIBE JOSE  ADRIAN'!J$19:J$32)+SUMIF('GUZMAN CHAPARRO PEDRO'!P$19:P$32,'KM POR CLIENTE'!B27,'GUZMAN CHAPARRO PEDRO'!J$19:J$32)+SUMIF('HERNANDEZ LICANO JOSE LUIS'!P$19:P$32,'KM POR CLIENTE'!B27,'HERNANDEZ LICANO JOSE LUIS'!J$19:J$32)+SUMIF('CARRERA REYES MARTIN SEBASTIAN'!P$19:P$33,'KM POR CLIENTE'!B27,'CARRERA REYES MARTIN SEBASTIAN'!J$19:J$33)+SUMIF('MACHADO MAZUCA ADOLFO'!P$19:P$32,'KM POR CLIENTE'!B27,'MACHADO MAZUCA ADOLFO'!J$19:J$32)+SUMIF('RUIZ SAUCEDO DANIEL ALEJANDRO'!P$19:P$32,'KM POR CLIENTE'!B27,'RUIZ SAUCEDO DANIEL ALEJANDRO'!J$19:J$32)+SUMIF('MARTINEZ RAMIREZ ROSALIO'!P$19:P$32,'KM POR CLIENTE'!B27,'MARTINEZ RAMIREZ ROSALIO'!J$19:J$32)+SUMIF('MONTERO BURROLA LUIS'!P$19:P$30,'KM POR CLIENTE'!B27,'MONTERO BURROLA LUIS'!J$19:J$30)+SUMIF('AGUILERA CONTRERAS LUIS GERARDO'!P$19:P$33,'KM POR CLIENTE'!B27,'AGUILERA CONTRERAS LUIS GERARDO'!J$19:J$33)+SUMIF('MORALES LOPEZ DE LARA MARIANO'!P$19:P$32,'KM POR CLIENTE'!B27,'MORALES LOPEZ DE LARA MARIANO'!J$19:J$32)+SUMIF('MELENDEZ SINALOA MANUEL ARAT'!P$19:P$32,'KM POR CLIENTE'!B27,'MELENDEZ SINALOA MANUEL ARAT'!J$19:J$32)+SUMIF('MORALES LECHUGA GONZALO'!P$19:P$32,'KM POR CLIENTE'!B27,'MORALES LECHUGA GONZALO'!J$19:J$32)+SUMIF('ORONA BECERRA MAURO JOSE'!P$19:P$32,'KM POR CLIENTE'!B27,'ORONA BECERRA MAURO JOSE'!J$19:J$32)+SUMIF('ORTIZ RAMIREZ HECTOR MANUEL'!P$19:P$32,'KM POR CLIENTE'!B27,'ORTIZ RAMIREZ HECTOR MANUEL'!J$19:J$32)+SUMIF('RAMIREZ BAUTISTA ADRIAN'!P$19:P$32,'KM POR CLIENTE'!B27,'RAMIREZ BAUTISTA ADRIAN'!J$19:J$32)+SUMIF('VALLES HERNANDEZ MANUEL MARCELI'!P$19:P$31,'KM POR CLIENTE'!B27,'VALLES HERNANDEZ MANUEL MARCELI'!J$19:J$31)+SUMIF('BALLEZA RAMIREZ JESUS JOSE'!P$19:P$32,'KM POR CLIENTE'!B27,'BALLEZA RAMIREZ JESUS JOSE'!J$19:J$32)+SUMIF('NUÑEZ RUIZ IRVING JAVIER.'!P$20:P$34,'KM POR CLIENTE'!B27,'NUÑEZ RUIZ IRVING JAVIER.'!J$20:J$34)+SUMIF('ONTIVEROS LIRA JUAN'!P$19:P$32,'KM POR CLIENTE'!B27,'ONTIVEROS LIRA JUAN'!J$19:J$32)+SUMIF('RODRIGUEZ FLORES BRYAN DARIO'!P$19:P$32,'KM POR CLIENTE'!B27,'RODRIGUEZ FLORES BRYAN DARIO'!J$19:J$32)+SUMIF('LIRA ARCEO JOEL EDUARDO'!P$19:P$32,'KM POR CLIENTE'!B27,'LIRA ARCEO JOEL EDUARDO'!J$19:J$32)+SUMIF('ANCHONDO ROMERO CESAR ALEJANDRO'!P$19:P$32,'KM POR CLIENTE'!B27,'ANCHONDO ROMERO CESAR ALEJANDRO'!J$19:J$32)</f>
        <v>0</v>
      </c>
    </row>
    <row r="28" spans="2:3" x14ac:dyDescent="0.25">
      <c r="B28" s="221" t="s">
        <v>326</v>
      </c>
      <c r="C28" s="224">
        <f>+SUMIF('AGUILAR ESQUIVEL CARLOS'!P$19:P$32,'KM POR CLIENTE'!B28,'AGUILAR ESQUIVEL CARLOS'!J$19:J$32)+SUMIF('AGUILAR RODRIGUEZ JORGE ALONSO'!P$19:P$32,'KM POR CLIENTE'!B28,'AGUILAR RODRIGUEZ JORGE ALONSO'!J$19:J$32)+SUMIF('REYES LARA DANTE'!P$19:P$32,'KM POR CLIENTE'!B28,'REYES LARA DANTE'!J$19:J$32)+SUMIF('FLORES BOJORQUEZ BRYAN OVED'!P$19:P$34,'KM POR CLIENTE'!B28,'FLORES BOJORQUEZ BRYAN OVED'!J$19:J$34)+SUMIF('BALDERRAMA ROBLES JORGE'!P$19:P$32,'KM POR CLIENTE'!B28,'BALDERRAMA ROBLES JORGE'!J$19:J$32)+SUMIF('BURGOS TORRES RIGOBERTO'!P$19:P$31,'KM POR CLIENTE'!B28,'BURGOS TORRES RIGOBERTO'!J$19:J$31)+SUMIF('CORDOVA URIBE JOSE  ADRIAN'!P$19:P$32,'KM POR CLIENTE'!B28,'CORDOVA URIBE JOSE  ADRIAN'!J$19:J$32)+SUMIF('GUZMAN CHAPARRO PEDRO'!P$19:P$32,'KM POR CLIENTE'!B28,'GUZMAN CHAPARRO PEDRO'!J$19:J$32)+SUMIF('HERNANDEZ LICANO JOSE LUIS'!P$19:P$32,'KM POR CLIENTE'!B28,'HERNANDEZ LICANO JOSE LUIS'!J$19:J$32)+SUMIF('CARRERA REYES MARTIN SEBASTIAN'!P$19:P$33,'KM POR CLIENTE'!B28,'CARRERA REYES MARTIN SEBASTIAN'!J$19:J$33)+SUMIF('MACHADO MAZUCA ADOLFO'!P$19:P$32,'KM POR CLIENTE'!B28,'MACHADO MAZUCA ADOLFO'!J$19:J$32)+SUMIF('RUIZ SAUCEDO DANIEL ALEJANDRO'!P$19:P$32,'KM POR CLIENTE'!B28,'RUIZ SAUCEDO DANIEL ALEJANDRO'!J$19:J$32)+SUMIF('MARTINEZ RAMIREZ ROSALIO'!P$19:P$32,'KM POR CLIENTE'!B28,'MARTINEZ RAMIREZ ROSALIO'!J$19:J$32)+SUMIF('MONTERO BURROLA LUIS'!P$19:P$30,'KM POR CLIENTE'!B28,'MONTERO BURROLA LUIS'!J$19:J$30)+SUMIF('AGUILERA CONTRERAS LUIS GERARDO'!P$19:P$33,'KM POR CLIENTE'!B28,'AGUILERA CONTRERAS LUIS GERARDO'!J$19:J$33)+SUMIF('MORALES LOPEZ DE LARA MARIANO'!P$19:P$32,'KM POR CLIENTE'!B28,'MORALES LOPEZ DE LARA MARIANO'!J$19:J$32)+SUMIF('MELENDEZ SINALOA MANUEL ARAT'!P$19:P$32,'KM POR CLIENTE'!B28,'MELENDEZ SINALOA MANUEL ARAT'!J$19:J$32)+SUMIF('MORALES LECHUGA GONZALO'!P$19:P$32,'KM POR CLIENTE'!B28,'MORALES LECHUGA GONZALO'!J$19:J$32)+SUMIF('ORONA BECERRA MAURO JOSE'!P$19:P$32,'KM POR CLIENTE'!B28,'ORONA BECERRA MAURO JOSE'!J$19:J$32)+SUMIF('ORTIZ RAMIREZ HECTOR MANUEL'!P$19:P$32,'KM POR CLIENTE'!B28,'ORTIZ RAMIREZ HECTOR MANUEL'!J$19:J$32)+SUMIF('RAMIREZ BAUTISTA ADRIAN'!P$19:P$32,'KM POR CLIENTE'!B28,'RAMIREZ BAUTISTA ADRIAN'!J$19:J$32)+SUMIF('VALLES HERNANDEZ MANUEL MARCELI'!P$19:P$31,'KM POR CLIENTE'!B28,'VALLES HERNANDEZ MANUEL MARCELI'!J$19:J$31)+SUMIF('BALLEZA RAMIREZ JESUS JOSE'!P$19:P$32,'KM POR CLIENTE'!B28,'BALLEZA RAMIREZ JESUS JOSE'!J$19:J$32)+SUMIF('NUÑEZ RUIZ IRVING JAVIER.'!P$20:P$34,'KM POR CLIENTE'!B28,'NUÑEZ RUIZ IRVING JAVIER.'!J$20:J$34)+SUMIF('ONTIVEROS LIRA JUAN'!P$19:P$32,'KM POR CLIENTE'!B28,'ONTIVEROS LIRA JUAN'!J$19:J$32)+SUMIF('RODRIGUEZ FLORES BRYAN DARIO'!P$19:P$32,'KM POR CLIENTE'!B28,'RODRIGUEZ FLORES BRYAN DARIO'!J$19:J$32)+SUMIF('LIRA ARCEO JOEL EDUARDO'!P$19:P$32,'KM POR CLIENTE'!B28,'LIRA ARCEO JOEL EDUARDO'!J$19:J$32)+SUMIF('ANCHONDO ROMERO CESAR ALEJANDRO'!P$19:P$32,'KM POR CLIENTE'!B28,'ANCHONDO ROMERO CESAR ALEJANDRO'!J$19:J$32)</f>
        <v>0</v>
      </c>
    </row>
    <row r="29" spans="2:3" x14ac:dyDescent="0.25">
      <c r="B29" s="221" t="s">
        <v>198</v>
      </c>
      <c r="C29" s="224">
        <f>+SUMIF('AGUILAR ESQUIVEL CARLOS'!P$19:P$32,'KM POR CLIENTE'!B29,'AGUILAR ESQUIVEL CARLOS'!J$19:J$32)+SUMIF('AGUILAR RODRIGUEZ JORGE ALONSO'!P$19:P$32,'KM POR CLIENTE'!B29,'AGUILAR RODRIGUEZ JORGE ALONSO'!J$19:J$32)+SUMIF('REYES LARA DANTE'!P$19:P$32,'KM POR CLIENTE'!B29,'REYES LARA DANTE'!J$19:J$32)+SUMIF('FLORES BOJORQUEZ BRYAN OVED'!P$19:P$34,'KM POR CLIENTE'!B29,'FLORES BOJORQUEZ BRYAN OVED'!J$19:J$34)+SUMIF('BALDERRAMA ROBLES JORGE'!P$19:P$32,'KM POR CLIENTE'!B29,'BALDERRAMA ROBLES JORGE'!J$19:J$32)+SUMIF('BURGOS TORRES RIGOBERTO'!P$19:P$31,'KM POR CLIENTE'!B29,'BURGOS TORRES RIGOBERTO'!J$19:J$31)+SUMIF('CORDOVA URIBE JOSE  ADRIAN'!P$19:P$32,'KM POR CLIENTE'!B29,'CORDOVA URIBE JOSE  ADRIAN'!J$19:J$32)+SUMIF('GUZMAN CHAPARRO PEDRO'!P$19:P$32,'KM POR CLIENTE'!B29,'GUZMAN CHAPARRO PEDRO'!J$19:J$32)+SUMIF('HERNANDEZ LICANO JOSE LUIS'!P$19:P$32,'KM POR CLIENTE'!B29,'HERNANDEZ LICANO JOSE LUIS'!J$19:J$32)+SUMIF('CARRERA REYES MARTIN SEBASTIAN'!P$19:P$33,'KM POR CLIENTE'!B29,'CARRERA REYES MARTIN SEBASTIAN'!J$19:J$33)+SUMIF('MACHADO MAZUCA ADOLFO'!P$19:P$32,'KM POR CLIENTE'!B29,'MACHADO MAZUCA ADOLFO'!J$19:J$32)+SUMIF('RUIZ SAUCEDO DANIEL ALEJANDRO'!P$19:P$32,'KM POR CLIENTE'!B29,'RUIZ SAUCEDO DANIEL ALEJANDRO'!J$19:J$32)+SUMIF('MARTINEZ RAMIREZ ROSALIO'!P$19:P$32,'KM POR CLIENTE'!B29,'MARTINEZ RAMIREZ ROSALIO'!J$19:J$32)+SUMIF('MONTERO BURROLA LUIS'!P$19:P$30,'KM POR CLIENTE'!B29,'MONTERO BURROLA LUIS'!J$19:J$30)+SUMIF('AGUILERA CONTRERAS LUIS GERARDO'!P$19:P$33,'KM POR CLIENTE'!B29,'AGUILERA CONTRERAS LUIS GERARDO'!J$19:J$33)+SUMIF('MORALES LOPEZ DE LARA MARIANO'!P$19:P$32,'KM POR CLIENTE'!B29,'MORALES LOPEZ DE LARA MARIANO'!J$19:J$32)+SUMIF('MELENDEZ SINALOA MANUEL ARAT'!P$19:P$32,'KM POR CLIENTE'!B29,'MELENDEZ SINALOA MANUEL ARAT'!J$19:J$32)+SUMIF('MORALES LECHUGA GONZALO'!P$19:P$32,'KM POR CLIENTE'!B29,'MORALES LECHUGA GONZALO'!J$19:J$32)+SUMIF('ORONA BECERRA MAURO JOSE'!P$19:P$32,'KM POR CLIENTE'!B29,'ORONA BECERRA MAURO JOSE'!J$19:J$32)+SUMIF('ORTIZ RAMIREZ HECTOR MANUEL'!P$19:P$32,'KM POR CLIENTE'!B29,'ORTIZ RAMIREZ HECTOR MANUEL'!J$19:J$32)+SUMIF('RAMIREZ BAUTISTA ADRIAN'!P$19:P$32,'KM POR CLIENTE'!B29,'RAMIREZ BAUTISTA ADRIAN'!J$19:J$32)+SUMIF('VALLES HERNANDEZ MANUEL MARCELI'!P$19:P$31,'KM POR CLIENTE'!B29,'VALLES HERNANDEZ MANUEL MARCELI'!J$19:J$31)+SUMIF('BALLEZA RAMIREZ JESUS JOSE'!P$19:P$32,'KM POR CLIENTE'!B29,'BALLEZA RAMIREZ JESUS JOSE'!J$19:J$32)+SUMIF('NUÑEZ RUIZ IRVING JAVIER.'!P$20:P$34,'KM POR CLIENTE'!B29,'NUÑEZ RUIZ IRVING JAVIER.'!J$20:J$34)+SUMIF('ONTIVEROS LIRA JUAN'!P$19:P$32,'KM POR CLIENTE'!B29,'ONTIVEROS LIRA JUAN'!J$19:J$32)+SUMIF('RODRIGUEZ FLORES BRYAN DARIO'!P$19:P$32,'KM POR CLIENTE'!B29,'RODRIGUEZ FLORES BRYAN DARIO'!J$19:J$32)+SUMIF('LIRA ARCEO JOEL EDUARDO'!P$19:P$32,'KM POR CLIENTE'!B29,'LIRA ARCEO JOEL EDUARDO'!J$19:J$32)+SUMIF('ANCHONDO ROMERO CESAR ALEJANDRO'!P$19:P$32,'KM POR CLIENTE'!B29,'ANCHONDO ROMERO CESAR ALEJANDRO'!J$19:J$32)</f>
        <v>9977</v>
      </c>
    </row>
    <row r="30" spans="2:3" x14ac:dyDescent="0.25">
      <c r="B30" s="221" t="s">
        <v>191</v>
      </c>
      <c r="C30" s="224">
        <f>+SUMIF('AGUILAR ESQUIVEL CARLOS'!P$19:P$32,'KM POR CLIENTE'!B30,'AGUILAR ESQUIVEL CARLOS'!J$19:J$32)+SUMIF('AGUILAR RODRIGUEZ JORGE ALONSO'!P$19:P$32,'KM POR CLIENTE'!B30,'AGUILAR RODRIGUEZ JORGE ALONSO'!J$19:J$32)+SUMIF('REYES LARA DANTE'!P$19:P$32,'KM POR CLIENTE'!B30,'REYES LARA DANTE'!J$19:J$32)+SUMIF('FLORES BOJORQUEZ BRYAN OVED'!P$19:P$34,'KM POR CLIENTE'!B30,'FLORES BOJORQUEZ BRYAN OVED'!J$19:J$34)+SUMIF('BALDERRAMA ROBLES JORGE'!P$19:P$32,'KM POR CLIENTE'!B30,'BALDERRAMA ROBLES JORGE'!J$19:J$32)+SUMIF('BURGOS TORRES RIGOBERTO'!P$19:P$31,'KM POR CLIENTE'!B30,'BURGOS TORRES RIGOBERTO'!J$19:J$31)+SUMIF('CORDOVA URIBE JOSE  ADRIAN'!P$19:P$32,'KM POR CLIENTE'!B30,'CORDOVA URIBE JOSE  ADRIAN'!J$19:J$32)+SUMIF('GUZMAN CHAPARRO PEDRO'!P$19:P$32,'KM POR CLIENTE'!B30,'GUZMAN CHAPARRO PEDRO'!J$19:J$32)+SUMIF('HERNANDEZ LICANO JOSE LUIS'!P$19:P$32,'KM POR CLIENTE'!B30,'HERNANDEZ LICANO JOSE LUIS'!J$19:J$32)+SUMIF('CARRERA REYES MARTIN SEBASTIAN'!P$19:P$33,'KM POR CLIENTE'!B30,'CARRERA REYES MARTIN SEBASTIAN'!J$19:J$33)+SUMIF('MACHADO MAZUCA ADOLFO'!P$19:P$32,'KM POR CLIENTE'!B30,'MACHADO MAZUCA ADOLFO'!J$19:J$32)+SUMIF('RUIZ SAUCEDO DANIEL ALEJANDRO'!P$19:P$32,'KM POR CLIENTE'!B30,'RUIZ SAUCEDO DANIEL ALEJANDRO'!J$19:J$32)+SUMIF('MARTINEZ RAMIREZ ROSALIO'!P$19:P$32,'KM POR CLIENTE'!B30,'MARTINEZ RAMIREZ ROSALIO'!J$19:J$32)+SUMIF('MONTERO BURROLA LUIS'!P$19:P$30,'KM POR CLIENTE'!B30,'MONTERO BURROLA LUIS'!J$19:J$30)+SUMIF('AGUILERA CONTRERAS LUIS GERARDO'!P$19:P$33,'KM POR CLIENTE'!B30,'AGUILERA CONTRERAS LUIS GERARDO'!J$19:J$33)+SUMIF('MORALES LOPEZ DE LARA MARIANO'!P$19:P$32,'KM POR CLIENTE'!B30,'MORALES LOPEZ DE LARA MARIANO'!J$19:J$32)+SUMIF('MELENDEZ SINALOA MANUEL ARAT'!P$19:P$32,'KM POR CLIENTE'!B30,'MELENDEZ SINALOA MANUEL ARAT'!J$19:J$32)+SUMIF('MORALES LECHUGA GONZALO'!P$19:P$32,'KM POR CLIENTE'!B30,'MORALES LECHUGA GONZALO'!J$19:J$32)+SUMIF('ORONA BECERRA MAURO JOSE'!P$19:P$32,'KM POR CLIENTE'!B30,'ORONA BECERRA MAURO JOSE'!J$19:J$32)+SUMIF('ORTIZ RAMIREZ HECTOR MANUEL'!P$19:P$32,'KM POR CLIENTE'!B30,'ORTIZ RAMIREZ HECTOR MANUEL'!J$19:J$32)+SUMIF('RAMIREZ BAUTISTA ADRIAN'!P$19:P$32,'KM POR CLIENTE'!B30,'RAMIREZ BAUTISTA ADRIAN'!J$19:J$32)+SUMIF('VALLES HERNANDEZ MANUEL MARCELI'!P$19:P$31,'KM POR CLIENTE'!B30,'VALLES HERNANDEZ MANUEL MARCELI'!J$19:J$31)+SUMIF('BALLEZA RAMIREZ JESUS JOSE'!P$19:P$32,'KM POR CLIENTE'!B30,'BALLEZA RAMIREZ JESUS JOSE'!J$19:J$32)+SUMIF('NUÑEZ RUIZ IRVING JAVIER.'!P$20:P$34,'KM POR CLIENTE'!B30,'NUÑEZ RUIZ IRVING JAVIER.'!J$20:J$34)+SUMIF('ONTIVEROS LIRA JUAN'!P$19:P$32,'KM POR CLIENTE'!B30,'ONTIVEROS LIRA JUAN'!J$19:J$32)+SUMIF('RODRIGUEZ FLORES BRYAN DARIO'!P$19:P$32,'KM POR CLIENTE'!B30,'RODRIGUEZ FLORES BRYAN DARIO'!J$19:J$32)+SUMIF('LIRA ARCEO JOEL EDUARDO'!P$19:P$32,'KM POR CLIENTE'!B30,'LIRA ARCEO JOEL EDUARDO'!J$19:J$32)+SUMIF('ANCHONDO ROMERO CESAR ALEJANDRO'!P$19:P$32,'KM POR CLIENTE'!B30,'ANCHONDO ROMERO CESAR ALEJANDRO'!J$19:J$32)</f>
        <v>8333</v>
      </c>
    </row>
    <row r="31" spans="2:3" x14ac:dyDescent="0.25">
      <c r="B31" s="221" t="s">
        <v>193</v>
      </c>
      <c r="C31" s="224">
        <f>+SUMIF('AGUILAR ESQUIVEL CARLOS'!P$19:P$32,'KM POR CLIENTE'!B31,'AGUILAR ESQUIVEL CARLOS'!J$19:J$32)+SUMIF('AGUILAR RODRIGUEZ JORGE ALONSO'!P$19:P$32,'KM POR CLIENTE'!B31,'AGUILAR RODRIGUEZ JORGE ALONSO'!J$19:J$32)+SUMIF('REYES LARA DANTE'!P$19:P$32,'KM POR CLIENTE'!B31,'REYES LARA DANTE'!J$19:J$32)+SUMIF('FLORES BOJORQUEZ BRYAN OVED'!P$19:P$34,'KM POR CLIENTE'!B31,'FLORES BOJORQUEZ BRYAN OVED'!J$19:J$34)+SUMIF('BALDERRAMA ROBLES JORGE'!P$19:P$32,'KM POR CLIENTE'!B31,'BALDERRAMA ROBLES JORGE'!J$19:J$32)+SUMIF('BURGOS TORRES RIGOBERTO'!P$19:P$31,'KM POR CLIENTE'!B31,'BURGOS TORRES RIGOBERTO'!J$19:J$31)+SUMIF('CORDOVA URIBE JOSE  ADRIAN'!P$19:P$32,'KM POR CLIENTE'!B31,'CORDOVA URIBE JOSE  ADRIAN'!J$19:J$32)+SUMIF('GUZMAN CHAPARRO PEDRO'!P$19:P$32,'KM POR CLIENTE'!B31,'GUZMAN CHAPARRO PEDRO'!J$19:J$32)+SUMIF('HERNANDEZ LICANO JOSE LUIS'!P$19:P$32,'KM POR CLIENTE'!B31,'HERNANDEZ LICANO JOSE LUIS'!J$19:J$32)+SUMIF('CARRERA REYES MARTIN SEBASTIAN'!P$19:P$33,'KM POR CLIENTE'!B31,'CARRERA REYES MARTIN SEBASTIAN'!J$19:J$33)+SUMIF('MACHADO MAZUCA ADOLFO'!P$19:P$32,'KM POR CLIENTE'!B31,'MACHADO MAZUCA ADOLFO'!J$19:J$32)+SUMIF('RUIZ SAUCEDO DANIEL ALEJANDRO'!P$19:P$32,'KM POR CLIENTE'!B31,'RUIZ SAUCEDO DANIEL ALEJANDRO'!J$19:J$32)+SUMIF('MARTINEZ RAMIREZ ROSALIO'!P$19:P$32,'KM POR CLIENTE'!B31,'MARTINEZ RAMIREZ ROSALIO'!J$19:J$32)+SUMIF('MONTERO BURROLA LUIS'!P$19:P$30,'KM POR CLIENTE'!B31,'MONTERO BURROLA LUIS'!J$19:J$30)+SUMIF('AGUILERA CONTRERAS LUIS GERARDO'!P$19:P$33,'KM POR CLIENTE'!B31,'AGUILERA CONTRERAS LUIS GERARDO'!J$19:J$33)+SUMIF('MORALES LOPEZ DE LARA MARIANO'!P$19:P$32,'KM POR CLIENTE'!B31,'MORALES LOPEZ DE LARA MARIANO'!J$19:J$32)+SUMIF('MELENDEZ SINALOA MANUEL ARAT'!P$19:P$32,'KM POR CLIENTE'!B31,'MELENDEZ SINALOA MANUEL ARAT'!J$19:J$32)+SUMIF('MORALES LECHUGA GONZALO'!P$19:P$32,'KM POR CLIENTE'!B31,'MORALES LECHUGA GONZALO'!J$19:J$32)+SUMIF('ORONA BECERRA MAURO JOSE'!P$19:P$32,'KM POR CLIENTE'!B31,'ORONA BECERRA MAURO JOSE'!J$19:J$32)+SUMIF('ORTIZ RAMIREZ HECTOR MANUEL'!P$19:P$32,'KM POR CLIENTE'!B31,'ORTIZ RAMIREZ HECTOR MANUEL'!J$19:J$32)+SUMIF('RAMIREZ BAUTISTA ADRIAN'!P$19:P$32,'KM POR CLIENTE'!B31,'RAMIREZ BAUTISTA ADRIAN'!J$19:J$32)+SUMIF('VALLES HERNANDEZ MANUEL MARCELI'!P$19:P$31,'KM POR CLIENTE'!B31,'VALLES HERNANDEZ MANUEL MARCELI'!J$19:J$31)+SUMIF('BALLEZA RAMIREZ JESUS JOSE'!P$19:P$32,'KM POR CLIENTE'!B31,'BALLEZA RAMIREZ JESUS JOSE'!J$19:J$32)+SUMIF('NUÑEZ RUIZ IRVING JAVIER.'!P$20:P$34,'KM POR CLIENTE'!B31,'NUÑEZ RUIZ IRVING JAVIER.'!J$20:J$34)+SUMIF('ONTIVEROS LIRA JUAN'!P$19:P$32,'KM POR CLIENTE'!B31,'ONTIVEROS LIRA JUAN'!J$19:J$32)+SUMIF('RODRIGUEZ FLORES BRYAN DARIO'!P$19:P$32,'KM POR CLIENTE'!B31,'RODRIGUEZ FLORES BRYAN DARIO'!J$19:J$32)+SUMIF('LIRA ARCEO JOEL EDUARDO'!P$19:P$32,'KM POR CLIENTE'!B31,'LIRA ARCEO JOEL EDUARDO'!J$19:J$32)+SUMIF('ANCHONDO ROMERO CESAR ALEJANDRO'!P$19:P$32,'KM POR CLIENTE'!B31,'ANCHONDO ROMERO CESAR ALEJANDRO'!J$19:J$32)</f>
        <v>1540</v>
      </c>
    </row>
    <row r="32" spans="2:3" x14ac:dyDescent="0.25">
      <c r="B32" s="221" t="s">
        <v>216</v>
      </c>
      <c r="C32" s="224">
        <f>+SUMIF('AGUILAR ESQUIVEL CARLOS'!P$19:P$32,'KM POR CLIENTE'!B32,'AGUILAR ESQUIVEL CARLOS'!J$19:J$32)+SUMIF('AGUILAR RODRIGUEZ JORGE ALONSO'!P$19:P$32,'KM POR CLIENTE'!B32,'AGUILAR RODRIGUEZ JORGE ALONSO'!J$19:J$32)+SUMIF('REYES LARA DANTE'!P$19:P$32,'KM POR CLIENTE'!B32,'REYES LARA DANTE'!J$19:J$32)+SUMIF('FLORES BOJORQUEZ BRYAN OVED'!P$19:P$34,'KM POR CLIENTE'!B32,'FLORES BOJORQUEZ BRYAN OVED'!J$19:J$34)+SUMIF('BALDERRAMA ROBLES JORGE'!P$19:P$32,'KM POR CLIENTE'!B32,'BALDERRAMA ROBLES JORGE'!J$19:J$32)+SUMIF('BURGOS TORRES RIGOBERTO'!P$19:P$31,'KM POR CLIENTE'!B32,'BURGOS TORRES RIGOBERTO'!J$19:J$31)+SUMIF('CORDOVA URIBE JOSE  ADRIAN'!P$19:P$32,'KM POR CLIENTE'!B32,'CORDOVA URIBE JOSE  ADRIAN'!J$19:J$32)+SUMIF('GUZMAN CHAPARRO PEDRO'!P$19:P$32,'KM POR CLIENTE'!B32,'GUZMAN CHAPARRO PEDRO'!J$19:J$32)+SUMIF('HERNANDEZ LICANO JOSE LUIS'!P$19:P$32,'KM POR CLIENTE'!B32,'HERNANDEZ LICANO JOSE LUIS'!J$19:J$32)+SUMIF('CARRERA REYES MARTIN SEBASTIAN'!P$19:P$33,'KM POR CLIENTE'!B32,'CARRERA REYES MARTIN SEBASTIAN'!J$19:J$33)+SUMIF('MACHADO MAZUCA ADOLFO'!P$19:P$32,'KM POR CLIENTE'!B32,'MACHADO MAZUCA ADOLFO'!J$19:J$32)+SUMIF('RUIZ SAUCEDO DANIEL ALEJANDRO'!P$19:P$32,'KM POR CLIENTE'!B32,'RUIZ SAUCEDO DANIEL ALEJANDRO'!J$19:J$32)+SUMIF('MARTINEZ RAMIREZ ROSALIO'!P$19:P$32,'KM POR CLIENTE'!B32,'MARTINEZ RAMIREZ ROSALIO'!J$19:J$32)+SUMIF('MONTERO BURROLA LUIS'!P$19:P$30,'KM POR CLIENTE'!B32,'MONTERO BURROLA LUIS'!J$19:J$30)+SUMIF('AGUILERA CONTRERAS LUIS GERARDO'!P$19:P$33,'KM POR CLIENTE'!B32,'AGUILERA CONTRERAS LUIS GERARDO'!J$19:J$33)+SUMIF('MORALES LOPEZ DE LARA MARIANO'!P$19:P$32,'KM POR CLIENTE'!B32,'MORALES LOPEZ DE LARA MARIANO'!J$19:J$32)+SUMIF('MELENDEZ SINALOA MANUEL ARAT'!P$19:P$32,'KM POR CLIENTE'!B32,'MELENDEZ SINALOA MANUEL ARAT'!J$19:J$32)+SUMIF('MORALES LECHUGA GONZALO'!P$19:P$32,'KM POR CLIENTE'!B32,'MORALES LECHUGA GONZALO'!J$19:J$32)+SUMIF('ORONA BECERRA MAURO JOSE'!P$19:P$32,'KM POR CLIENTE'!B32,'ORONA BECERRA MAURO JOSE'!J$19:J$32)+SUMIF('ORTIZ RAMIREZ HECTOR MANUEL'!P$19:P$32,'KM POR CLIENTE'!B32,'ORTIZ RAMIREZ HECTOR MANUEL'!J$19:J$32)+SUMIF('RAMIREZ BAUTISTA ADRIAN'!P$19:P$32,'KM POR CLIENTE'!B32,'RAMIREZ BAUTISTA ADRIAN'!J$19:J$32)+SUMIF('VALLES HERNANDEZ MANUEL MARCELI'!P$19:P$31,'KM POR CLIENTE'!B32,'VALLES HERNANDEZ MANUEL MARCELI'!J$19:J$31)+SUMIF('BALLEZA RAMIREZ JESUS JOSE'!P$19:P$32,'KM POR CLIENTE'!B32,'BALLEZA RAMIREZ JESUS JOSE'!J$19:J$32)+SUMIF('NUÑEZ RUIZ IRVING JAVIER.'!P$20:P$34,'KM POR CLIENTE'!B32,'NUÑEZ RUIZ IRVING JAVIER.'!J$20:J$34)+SUMIF('ONTIVEROS LIRA JUAN'!P$19:P$32,'KM POR CLIENTE'!B32,'ONTIVEROS LIRA JUAN'!J$19:J$32)+SUMIF('RODRIGUEZ FLORES BRYAN DARIO'!P$19:P$32,'KM POR CLIENTE'!B32,'RODRIGUEZ FLORES BRYAN DARIO'!J$19:J$32)+SUMIF('LIRA ARCEO JOEL EDUARDO'!P$19:P$32,'KM POR CLIENTE'!B32,'LIRA ARCEO JOEL EDUARDO'!J$19:J$32)+SUMIF('ANCHONDO ROMERO CESAR ALEJANDRO'!P$19:P$32,'KM POR CLIENTE'!B32,'ANCHONDO ROMERO CESAR ALEJANDRO'!J$19:J$32)</f>
        <v>0</v>
      </c>
    </row>
    <row r="33" spans="2:3" x14ac:dyDescent="0.25">
      <c r="B33" s="221" t="s">
        <v>217</v>
      </c>
      <c r="C33" s="224">
        <f>+SUMIF('AGUILAR ESQUIVEL CARLOS'!P$19:P$32,'KM POR CLIENTE'!B33,'AGUILAR ESQUIVEL CARLOS'!J$19:J$32)+SUMIF('AGUILAR RODRIGUEZ JORGE ALONSO'!P$19:P$32,'KM POR CLIENTE'!B33,'AGUILAR RODRIGUEZ JORGE ALONSO'!J$19:J$32)+SUMIF('REYES LARA DANTE'!P$19:P$32,'KM POR CLIENTE'!B33,'REYES LARA DANTE'!J$19:J$32)+SUMIF('FLORES BOJORQUEZ BRYAN OVED'!P$19:P$34,'KM POR CLIENTE'!B33,'FLORES BOJORQUEZ BRYAN OVED'!J$19:J$34)+SUMIF('BALDERRAMA ROBLES JORGE'!P$19:P$32,'KM POR CLIENTE'!B33,'BALDERRAMA ROBLES JORGE'!J$19:J$32)+SUMIF('BURGOS TORRES RIGOBERTO'!P$19:P$31,'KM POR CLIENTE'!B33,'BURGOS TORRES RIGOBERTO'!J$19:J$31)+SUMIF('CORDOVA URIBE JOSE  ADRIAN'!P$19:P$32,'KM POR CLIENTE'!B33,'CORDOVA URIBE JOSE  ADRIAN'!J$19:J$32)+SUMIF('GUZMAN CHAPARRO PEDRO'!P$19:P$32,'KM POR CLIENTE'!B33,'GUZMAN CHAPARRO PEDRO'!J$19:J$32)+SUMIF('HERNANDEZ LICANO JOSE LUIS'!P$19:P$32,'KM POR CLIENTE'!B33,'HERNANDEZ LICANO JOSE LUIS'!J$19:J$32)+SUMIF('CARRERA REYES MARTIN SEBASTIAN'!P$19:P$33,'KM POR CLIENTE'!B33,'CARRERA REYES MARTIN SEBASTIAN'!J$19:J$33)+SUMIF('MACHADO MAZUCA ADOLFO'!P$19:P$32,'KM POR CLIENTE'!B33,'MACHADO MAZUCA ADOLFO'!J$19:J$32)+SUMIF('RUIZ SAUCEDO DANIEL ALEJANDRO'!P$19:P$32,'KM POR CLIENTE'!B33,'RUIZ SAUCEDO DANIEL ALEJANDRO'!J$19:J$32)+SUMIF('MARTINEZ RAMIREZ ROSALIO'!P$19:P$32,'KM POR CLIENTE'!B33,'MARTINEZ RAMIREZ ROSALIO'!J$19:J$32)+SUMIF('MONTERO BURROLA LUIS'!P$19:P$30,'KM POR CLIENTE'!B33,'MONTERO BURROLA LUIS'!J$19:J$30)+SUMIF('AGUILERA CONTRERAS LUIS GERARDO'!P$19:P$33,'KM POR CLIENTE'!B33,'AGUILERA CONTRERAS LUIS GERARDO'!J$19:J$33)+SUMIF('MORALES LOPEZ DE LARA MARIANO'!P$19:P$32,'KM POR CLIENTE'!B33,'MORALES LOPEZ DE LARA MARIANO'!J$19:J$32)+SUMIF('MELENDEZ SINALOA MANUEL ARAT'!P$19:P$32,'KM POR CLIENTE'!B33,'MELENDEZ SINALOA MANUEL ARAT'!J$19:J$32)+SUMIF('MORALES LECHUGA GONZALO'!P$19:P$32,'KM POR CLIENTE'!B33,'MORALES LECHUGA GONZALO'!J$19:J$32)+SUMIF('ORONA BECERRA MAURO JOSE'!P$19:P$32,'KM POR CLIENTE'!B33,'ORONA BECERRA MAURO JOSE'!J$19:J$32)+SUMIF('ORTIZ RAMIREZ HECTOR MANUEL'!P$19:P$32,'KM POR CLIENTE'!B33,'ORTIZ RAMIREZ HECTOR MANUEL'!J$19:J$32)+SUMIF('RAMIREZ BAUTISTA ADRIAN'!P$19:P$32,'KM POR CLIENTE'!B33,'RAMIREZ BAUTISTA ADRIAN'!J$19:J$32)+SUMIF('VALLES HERNANDEZ MANUEL MARCELI'!P$19:P$31,'KM POR CLIENTE'!B33,'VALLES HERNANDEZ MANUEL MARCELI'!J$19:J$31)+SUMIF('BALLEZA RAMIREZ JESUS JOSE'!P$19:P$32,'KM POR CLIENTE'!B33,'BALLEZA RAMIREZ JESUS JOSE'!J$19:J$32)+SUMIF('NUÑEZ RUIZ IRVING JAVIER.'!P$20:P$34,'KM POR CLIENTE'!B33,'NUÑEZ RUIZ IRVING JAVIER.'!J$20:J$34)+SUMIF('ONTIVEROS LIRA JUAN'!P$19:P$32,'KM POR CLIENTE'!B33,'ONTIVEROS LIRA JUAN'!J$19:J$32)+SUMIF('RODRIGUEZ FLORES BRYAN DARIO'!P$19:P$32,'KM POR CLIENTE'!B33,'RODRIGUEZ FLORES BRYAN DARIO'!J$19:J$32)+SUMIF('LIRA ARCEO JOEL EDUARDO'!P$19:P$32,'KM POR CLIENTE'!B33,'LIRA ARCEO JOEL EDUARDO'!J$19:J$32)+SUMIF('ANCHONDO ROMERO CESAR ALEJANDRO'!P$19:P$32,'KM POR CLIENTE'!B33,'ANCHONDO ROMERO CESAR ALEJANDRO'!J$19:J$32)</f>
        <v>0</v>
      </c>
    </row>
    <row r="34" spans="2:3" x14ac:dyDescent="0.25">
      <c r="B34" s="221" t="s">
        <v>218</v>
      </c>
      <c r="C34" s="224">
        <f>+SUMIF('AGUILAR ESQUIVEL CARLOS'!P$19:P$32,'KM POR CLIENTE'!B34,'AGUILAR ESQUIVEL CARLOS'!J$19:J$32)+SUMIF('AGUILAR RODRIGUEZ JORGE ALONSO'!P$19:P$32,'KM POR CLIENTE'!B34,'AGUILAR RODRIGUEZ JORGE ALONSO'!J$19:J$32)+SUMIF('REYES LARA DANTE'!P$19:P$32,'KM POR CLIENTE'!B34,'REYES LARA DANTE'!J$19:J$32)+SUMIF('FLORES BOJORQUEZ BRYAN OVED'!P$19:P$34,'KM POR CLIENTE'!B34,'FLORES BOJORQUEZ BRYAN OVED'!J$19:J$34)+SUMIF('BALDERRAMA ROBLES JORGE'!P$19:P$32,'KM POR CLIENTE'!B34,'BALDERRAMA ROBLES JORGE'!J$19:J$32)+SUMIF('BURGOS TORRES RIGOBERTO'!P$19:P$31,'KM POR CLIENTE'!B34,'BURGOS TORRES RIGOBERTO'!J$19:J$31)+SUMIF('CORDOVA URIBE JOSE  ADRIAN'!P$19:P$32,'KM POR CLIENTE'!B34,'CORDOVA URIBE JOSE  ADRIAN'!J$19:J$32)+SUMIF('GUZMAN CHAPARRO PEDRO'!P$19:P$32,'KM POR CLIENTE'!B34,'GUZMAN CHAPARRO PEDRO'!J$19:J$32)+SUMIF('HERNANDEZ LICANO JOSE LUIS'!P$19:P$32,'KM POR CLIENTE'!B34,'HERNANDEZ LICANO JOSE LUIS'!J$19:J$32)+SUMIF('CARRERA REYES MARTIN SEBASTIAN'!P$19:P$33,'KM POR CLIENTE'!B34,'CARRERA REYES MARTIN SEBASTIAN'!J$19:J$33)+SUMIF('MACHADO MAZUCA ADOLFO'!P$19:P$32,'KM POR CLIENTE'!B34,'MACHADO MAZUCA ADOLFO'!J$19:J$32)+SUMIF('RUIZ SAUCEDO DANIEL ALEJANDRO'!P$19:P$32,'KM POR CLIENTE'!B34,'RUIZ SAUCEDO DANIEL ALEJANDRO'!J$19:J$32)+SUMIF('MARTINEZ RAMIREZ ROSALIO'!P$19:P$32,'KM POR CLIENTE'!B34,'MARTINEZ RAMIREZ ROSALIO'!J$19:J$32)+SUMIF('MONTERO BURROLA LUIS'!P$19:P$30,'KM POR CLIENTE'!B34,'MONTERO BURROLA LUIS'!J$19:J$30)+SUMIF('AGUILERA CONTRERAS LUIS GERARDO'!P$19:P$33,'KM POR CLIENTE'!B34,'AGUILERA CONTRERAS LUIS GERARDO'!J$19:J$33)+SUMIF('MORALES LOPEZ DE LARA MARIANO'!P$19:P$32,'KM POR CLIENTE'!B34,'MORALES LOPEZ DE LARA MARIANO'!J$19:J$32)+SUMIF('MELENDEZ SINALOA MANUEL ARAT'!P$19:P$32,'KM POR CLIENTE'!B34,'MELENDEZ SINALOA MANUEL ARAT'!J$19:J$32)+SUMIF('MORALES LECHUGA GONZALO'!P$19:P$32,'KM POR CLIENTE'!B34,'MORALES LECHUGA GONZALO'!J$19:J$32)+SUMIF('ORONA BECERRA MAURO JOSE'!P$19:P$32,'KM POR CLIENTE'!B34,'ORONA BECERRA MAURO JOSE'!J$19:J$32)+SUMIF('ORTIZ RAMIREZ HECTOR MANUEL'!P$19:P$32,'KM POR CLIENTE'!B34,'ORTIZ RAMIREZ HECTOR MANUEL'!J$19:J$32)+SUMIF('RAMIREZ BAUTISTA ADRIAN'!P$19:P$32,'KM POR CLIENTE'!B34,'RAMIREZ BAUTISTA ADRIAN'!J$19:J$32)+SUMIF('VALLES HERNANDEZ MANUEL MARCELI'!P$19:P$31,'KM POR CLIENTE'!B34,'VALLES HERNANDEZ MANUEL MARCELI'!J$19:J$31)+SUMIF('BALLEZA RAMIREZ JESUS JOSE'!P$19:P$32,'KM POR CLIENTE'!B34,'BALLEZA RAMIREZ JESUS JOSE'!J$19:J$32)+SUMIF('NUÑEZ RUIZ IRVING JAVIER.'!P$20:P$34,'KM POR CLIENTE'!B34,'NUÑEZ RUIZ IRVING JAVIER.'!J$20:J$34)+SUMIF('ONTIVEROS LIRA JUAN'!P$19:P$32,'KM POR CLIENTE'!B34,'ONTIVEROS LIRA JUAN'!J$19:J$32)+SUMIF('RODRIGUEZ FLORES BRYAN DARIO'!P$19:P$32,'KM POR CLIENTE'!B34,'RODRIGUEZ FLORES BRYAN DARIO'!J$19:J$32)+SUMIF('LIRA ARCEO JOEL EDUARDO'!P$19:P$32,'KM POR CLIENTE'!B34,'LIRA ARCEO JOEL EDUARDO'!J$19:J$32)+SUMIF('ANCHONDO ROMERO CESAR ALEJANDRO'!P$19:P$32,'KM POR CLIENTE'!B34,'ANCHONDO ROMERO CESAR ALEJANDRO'!J$19:J$32)</f>
        <v>0</v>
      </c>
    </row>
    <row r="35" spans="2:3" x14ac:dyDescent="0.25">
      <c r="B35" s="221" t="s">
        <v>263</v>
      </c>
      <c r="C35" s="224">
        <f>+SUMIF('AGUILAR ESQUIVEL CARLOS'!P$19:P$32,'KM POR CLIENTE'!B35,'AGUILAR ESQUIVEL CARLOS'!J$19:J$32)+SUMIF('AGUILAR RODRIGUEZ JORGE ALONSO'!P$19:P$32,'KM POR CLIENTE'!B35,'AGUILAR RODRIGUEZ JORGE ALONSO'!J$19:J$32)+SUMIF('REYES LARA DANTE'!P$19:P$32,'KM POR CLIENTE'!B35,'REYES LARA DANTE'!J$19:J$32)+SUMIF('FLORES BOJORQUEZ BRYAN OVED'!P$19:P$34,'KM POR CLIENTE'!B35,'FLORES BOJORQUEZ BRYAN OVED'!J$19:J$34)+SUMIF('BALDERRAMA ROBLES JORGE'!P$19:P$32,'KM POR CLIENTE'!B35,'BALDERRAMA ROBLES JORGE'!J$19:J$32)+SUMIF('BURGOS TORRES RIGOBERTO'!P$19:P$31,'KM POR CLIENTE'!B35,'BURGOS TORRES RIGOBERTO'!J$19:J$31)+SUMIF('CORDOVA URIBE JOSE  ADRIAN'!P$19:P$32,'KM POR CLIENTE'!B35,'CORDOVA URIBE JOSE  ADRIAN'!J$19:J$32)+SUMIF('GUZMAN CHAPARRO PEDRO'!P$19:P$32,'KM POR CLIENTE'!B35,'GUZMAN CHAPARRO PEDRO'!J$19:J$32)+SUMIF('HERNANDEZ LICANO JOSE LUIS'!P$19:P$32,'KM POR CLIENTE'!B35,'HERNANDEZ LICANO JOSE LUIS'!J$19:J$32)+SUMIF('CARRERA REYES MARTIN SEBASTIAN'!P$19:P$33,'KM POR CLIENTE'!B35,'CARRERA REYES MARTIN SEBASTIAN'!J$19:J$33)+SUMIF('MACHADO MAZUCA ADOLFO'!P$19:P$32,'KM POR CLIENTE'!B35,'MACHADO MAZUCA ADOLFO'!J$19:J$32)+SUMIF('RUIZ SAUCEDO DANIEL ALEJANDRO'!P$19:P$32,'KM POR CLIENTE'!B35,'RUIZ SAUCEDO DANIEL ALEJANDRO'!J$19:J$32)+SUMIF('MARTINEZ RAMIREZ ROSALIO'!P$19:P$32,'KM POR CLIENTE'!B35,'MARTINEZ RAMIREZ ROSALIO'!J$19:J$32)+SUMIF('MONTERO BURROLA LUIS'!P$19:P$30,'KM POR CLIENTE'!B35,'MONTERO BURROLA LUIS'!J$19:J$30)+SUMIF('AGUILERA CONTRERAS LUIS GERARDO'!P$19:P$33,'KM POR CLIENTE'!B35,'AGUILERA CONTRERAS LUIS GERARDO'!J$19:J$33)+SUMIF('MORALES LOPEZ DE LARA MARIANO'!P$19:P$32,'KM POR CLIENTE'!B35,'MORALES LOPEZ DE LARA MARIANO'!J$19:J$32)+SUMIF('MELENDEZ SINALOA MANUEL ARAT'!P$19:P$32,'KM POR CLIENTE'!B35,'MELENDEZ SINALOA MANUEL ARAT'!J$19:J$32)+SUMIF('MORALES LECHUGA GONZALO'!P$19:P$32,'KM POR CLIENTE'!B35,'MORALES LECHUGA GONZALO'!J$19:J$32)+SUMIF('ORONA BECERRA MAURO JOSE'!P$19:P$32,'KM POR CLIENTE'!B35,'ORONA BECERRA MAURO JOSE'!J$19:J$32)+SUMIF('ORTIZ RAMIREZ HECTOR MANUEL'!P$19:P$32,'KM POR CLIENTE'!B35,'ORTIZ RAMIREZ HECTOR MANUEL'!J$19:J$32)+SUMIF('RAMIREZ BAUTISTA ADRIAN'!P$19:P$32,'KM POR CLIENTE'!B35,'RAMIREZ BAUTISTA ADRIAN'!J$19:J$32)+SUMIF('VALLES HERNANDEZ MANUEL MARCELI'!P$19:P$31,'KM POR CLIENTE'!B35,'VALLES HERNANDEZ MANUEL MARCELI'!J$19:J$31)+SUMIF('BALLEZA RAMIREZ JESUS JOSE'!P$19:P$32,'KM POR CLIENTE'!B35,'BALLEZA RAMIREZ JESUS JOSE'!J$19:J$32)+SUMIF('NUÑEZ RUIZ IRVING JAVIER.'!P$20:P$34,'KM POR CLIENTE'!B35,'NUÑEZ RUIZ IRVING JAVIER.'!J$20:J$34)+SUMIF('ONTIVEROS LIRA JUAN'!P$19:P$32,'KM POR CLIENTE'!B35,'ONTIVEROS LIRA JUAN'!J$19:J$32)+SUMIF('RODRIGUEZ FLORES BRYAN DARIO'!P$19:P$32,'KM POR CLIENTE'!B35,'RODRIGUEZ FLORES BRYAN DARIO'!J$19:J$32)+SUMIF('LIRA ARCEO JOEL EDUARDO'!P$19:P$32,'KM POR CLIENTE'!B35,'LIRA ARCEO JOEL EDUARDO'!J$19:J$32)+SUMIF('ANCHONDO ROMERO CESAR ALEJANDRO'!P$19:P$32,'KM POR CLIENTE'!B35,'ANCHONDO ROMERO CESAR ALEJANDRO'!J$19:J$32)</f>
        <v>0</v>
      </c>
    </row>
    <row r="36" spans="2:3" x14ac:dyDescent="0.25">
      <c r="B36" s="302" t="s">
        <v>247</v>
      </c>
      <c r="C36" s="303">
        <f>+SUMIF('AGUILAR ESQUIVEL CARLOS'!P$19:P$32,'KM POR CLIENTE'!B36,'AGUILAR ESQUIVEL CARLOS'!J$19:J$32)+SUMIF('AGUILAR RODRIGUEZ JORGE ALONSO'!P$19:P$32,'KM POR CLIENTE'!B36,'AGUILAR RODRIGUEZ JORGE ALONSO'!J$19:J$32)+SUMIF('REYES LARA DANTE'!P$19:P$32,'KM POR CLIENTE'!B36,'REYES LARA DANTE'!J$19:J$32)+SUMIF('FLORES BOJORQUEZ BRYAN OVED'!P$19:P$34,'KM POR CLIENTE'!B36,'FLORES BOJORQUEZ BRYAN OVED'!J$19:J$34)+SUMIF('BALDERRAMA ROBLES JORGE'!P$19:P$32,'KM POR CLIENTE'!B36,'BALDERRAMA ROBLES JORGE'!J$19:J$32)+SUMIF('BURGOS TORRES RIGOBERTO'!P$19:P$31,'KM POR CLIENTE'!B36,'BURGOS TORRES RIGOBERTO'!J$19:J$31)+SUMIF('CORDOVA URIBE JOSE  ADRIAN'!P$19:P$32,'KM POR CLIENTE'!B36,'CORDOVA URIBE JOSE  ADRIAN'!J$19:J$32)+SUMIF('GUZMAN CHAPARRO PEDRO'!P$19:P$32,'KM POR CLIENTE'!B36,'GUZMAN CHAPARRO PEDRO'!J$19:J$32)+SUMIF('HERNANDEZ LICANO JOSE LUIS'!P$19:P$32,'KM POR CLIENTE'!B36,'HERNANDEZ LICANO JOSE LUIS'!J$19:J$32)+SUMIF('CARRERA REYES MARTIN SEBASTIAN'!P$19:P$33,'KM POR CLIENTE'!B36,'CARRERA REYES MARTIN SEBASTIAN'!J$19:J$33)+SUMIF('MACHADO MAZUCA ADOLFO'!P$19:P$32,'KM POR CLIENTE'!B36,'MACHADO MAZUCA ADOLFO'!J$19:J$32)+SUMIF('RUIZ SAUCEDO DANIEL ALEJANDRO'!P$19:P$32,'KM POR CLIENTE'!B36,'RUIZ SAUCEDO DANIEL ALEJANDRO'!J$19:J$32)+SUMIF('MARTINEZ RAMIREZ ROSALIO'!P$19:P$32,'KM POR CLIENTE'!B36,'MARTINEZ RAMIREZ ROSALIO'!J$19:J$32)+SUMIF('MONTERO BURROLA LUIS'!P$19:P$30,'KM POR CLIENTE'!B36,'MONTERO BURROLA LUIS'!J$19:J$30)+SUMIF('AGUILERA CONTRERAS LUIS GERARDO'!P$19:P$33,'KM POR CLIENTE'!B36,'AGUILERA CONTRERAS LUIS GERARDO'!J$19:J$33)+SUMIF('MORALES LOPEZ DE LARA MARIANO'!P$19:P$32,'KM POR CLIENTE'!B36,'MORALES LOPEZ DE LARA MARIANO'!J$19:J$32)+SUMIF('MELENDEZ SINALOA MANUEL ARAT'!P$19:P$32,'KM POR CLIENTE'!B36,'MELENDEZ SINALOA MANUEL ARAT'!J$19:J$32)+SUMIF('MORALES LECHUGA GONZALO'!P$19:P$32,'KM POR CLIENTE'!B36,'MORALES LECHUGA GONZALO'!J$19:J$32)+SUMIF('ORONA BECERRA MAURO JOSE'!P$19:P$32,'KM POR CLIENTE'!B36,'ORONA BECERRA MAURO JOSE'!J$19:J$32)+SUMIF('ORTIZ RAMIREZ HECTOR MANUEL'!P$19:P$32,'KM POR CLIENTE'!B36,'ORTIZ RAMIREZ HECTOR MANUEL'!J$19:J$32)+SUMIF('RAMIREZ BAUTISTA ADRIAN'!P$19:P$32,'KM POR CLIENTE'!B36,'RAMIREZ BAUTISTA ADRIAN'!J$19:J$32)+SUMIF('VALLES HERNANDEZ MANUEL MARCELI'!P$19:P$31,'KM POR CLIENTE'!B36,'VALLES HERNANDEZ MANUEL MARCELI'!J$19:J$31)+SUMIF('BALLEZA RAMIREZ JESUS JOSE'!P$19:P$32,'KM POR CLIENTE'!B36,'BALLEZA RAMIREZ JESUS JOSE'!J$19:J$32)+SUMIF('NUÑEZ RUIZ IRVING JAVIER.'!P$20:P$34,'KM POR CLIENTE'!B36,'NUÑEZ RUIZ IRVING JAVIER.'!J$20:J$34)+SUMIF('ONTIVEROS LIRA JUAN'!P$19:P$32,'KM POR CLIENTE'!B36,'ONTIVEROS LIRA JUAN'!J$19:J$32)+SUMIF('RODRIGUEZ FLORES BRYAN DARIO'!P$19:P$32,'KM POR CLIENTE'!B36,'RODRIGUEZ FLORES BRYAN DARIO'!J$19:J$32)+SUMIF('LIRA ARCEO JOEL EDUARDO'!P$19:P$32,'KM POR CLIENTE'!B36,'LIRA ARCEO JOEL EDUARDO'!J$19:J$32)+SUMIF('ANCHONDO ROMERO CESAR ALEJANDRO'!P$19:P$32,'KM POR CLIENTE'!B36,'ANCHONDO ROMERO CESAR ALEJANDRO'!J$19:J$32)</f>
        <v>9415</v>
      </c>
    </row>
    <row r="37" spans="2:3" ht="15.75" thickBot="1" x14ac:dyDescent="0.3">
      <c r="B37" s="225" t="s">
        <v>194</v>
      </c>
      <c r="C37" s="226">
        <f>+SUMIF('AGUILAR ESQUIVEL CARLOS'!P$19:P$32,'KM POR CLIENTE'!B37,'AGUILAR ESQUIVEL CARLOS'!J$19:J$32)+SUMIF('AGUILAR RODRIGUEZ JORGE ALONSO'!P$19:P$32,'KM POR CLIENTE'!B37,'AGUILAR RODRIGUEZ JORGE ALONSO'!J$19:J$32)+SUMIF('REYES LARA DANTE'!P$19:P$32,'KM POR CLIENTE'!B37,'REYES LARA DANTE'!J$19:J$32)+SUMIF('FLORES BOJORQUEZ BRYAN OVED'!P$19:P$34,'KM POR CLIENTE'!B37,'FLORES BOJORQUEZ BRYAN OVED'!J$19:J$34)+SUMIF('BALDERRAMA ROBLES JORGE'!P$19:P$32,'KM POR CLIENTE'!B37,'BALDERRAMA ROBLES JORGE'!J$19:J$32)+SUMIF('BURGOS TORRES RIGOBERTO'!P$19:P$31,'KM POR CLIENTE'!B37,'BURGOS TORRES RIGOBERTO'!J$19:J$31)+SUMIF('CORDOVA URIBE JOSE  ADRIAN'!P$19:P$32,'KM POR CLIENTE'!B37,'CORDOVA URIBE JOSE  ADRIAN'!J$19:J$32)+SUMIF('GUZMAN CHAPARRO PEDRO'!P$19:P$32,'KM POR CLIENTE'!B37,'GUZMAN CHAPARRO PEDRO'!J$19:J$32)+SUMIF('HERNANDEZ LICANO JOSE LUIS'!P$19:P$32,'KM POR CLIENTE'!B37,'HERNANDEZ LICANO JOSE LUIS'!J$19:J$32)+SUMIF('CARRERA REYES MARTIN SEBASTIAN'!P$19:P$33,'KM POR CLIENTE'!B37,'CARRERA REYES MARTIN SEBASTIAN'!J$19:J$33)+SUMIF('MACHADO MAZUCA ADOLFO'!P$19:P$32,'KM POR CLIENTE'!B37,'MACHADO MAZUCA ADOLFO'!J$19:J$32)+SUMIF('RUIZ SAUCEDO DANIEL ALEJANDRO'!P$19:P$32,'KM POR CLIENTE'!B37,'RUIZ SAUCEDO DANIEL ALEJANDRO'!J$19:J$32)+SUMIF('MARTINEZ RAMIREZ ROSALIO'!P$19:P$32,'KM POR CLIENTE'!B37,'MARTINEZ RAMIREZ ROSALIO'!J$19:J$32)+SUMIF('MONTERO BURROLA LUIS'!P$19:P$30,'KM POR CLIENTE'!B37,'MONTERO BURROLA LUIS'!J$19:J$30)+SUMIF('AGUILERA CONTRERAS LUIS GERARDO'!P$19:P$33,'KM POR CLIENTE'!B37,'AGUILERA CONTRERAS LUIS GERARDO'!J$19:J$33)+SUMIF('MORALES LOPEZ DE LARA MARIANO'!P$19:P$32,'KM POR CLIENTE'!B37,'MORALES LOPEZ DE LARA MARIANO'!J$19:J$32)+SUMIF('MELENDEZ SINALOA MANUEL ARAT'!P$19:P$32,'KM POR CLIENTE'!B37,'MELENDEZ SINALOA MANUEL ARAT'!J$19:J$32)+SUMIF('MORALES LECHUGA GONZALO'!P$19:P$32,'KM POR CLIENTE'!B37,'MORALES LECHUGA GONZALO'!J$19:J$32)+SUMIF('ORONA BECERRA MAURO JOSE'!P$19:P$32,'KM POR CLIENTE'!B37,'ORONA BECERRA MAURO JOSE'!J$19:J$32)+SUMIF('ORTIZ RAMIREZ HECTOR MANUEL'!P$19:P$32,'KM POR CLIENTE'!B37,'ORTIZ RAMIREZ HECTOR MANUEL'!J$19:J$32)+SUMIF('RAMIREZ BAUTISTA ADRIAN'!P$19:P$32,'KM POR CLIENTE'!B37,'RAMIREZ BAUTISTA ADRIAN'!J$19:J$32)+SUMIF('VALLES HERNANDEZ MANUEL MARCELI'!P$19:P$31,'KM POR CLIENTE'!B37,'VALLES HERNANDEZ MANUEL MARCELI'!J$19:J$31)+SUMIF('BALLEZA RAMIREZ JESUS JOSE'!P$19:P$32,'KM POR CLIENTE'!B37,'BALLEZA RAMIREZ JESUS JOSE'!J$19:J$32)+SUMIF('NUÑEZ RUIZ IRVING JAVIER.'!P$20:P$34,'KM POR CLIENTE'!B37,'NUÑEZ RUIZ IRVING JAVIER.'!J$20:J$34)+SUMIF('ONTIVEROS LIRA JUAN'!P$19:P$32,'KM POR CLIENTE'!B37,'ONTIVEROS LIRA JUAN'!J$19:J$32)+SUMIF('RODRIGUEZ FLORES BRYAN DARIO'!P$19:P$32,'KM POR CLIENTE'!B37,'RODRIGUEZ FLORES BRYAN DARIO'!J$19:J$32)+SUMIF('LIRA ARCEO JOEL EDUARDO'!P$19:P$32,'KM POR CLIENTE'!B37,'LIRA ARCEO JOEL EDUARDO'!J$19:J$32)+SUMIF('ANCHONDO ROMERO CESAR ALEJANDRO'!P$19:P$32,'KM POR CLIENTE'!B37,'ANCHONDO ROMERO CESAR ALEJANDRO'!J$19:J$32)</f>
        <v>3375</v>
      </c>
    </row>
    <row r="38" spans="2:3" ht="15.75" thickBot="1" x14ac:dyDescent="0.3">
      <c r="B38" s="222" t="s">
        <v>208</v>
      </c>
      <c r="C38" s="223">
        <f>SUM(C3:C37)</f>
        <v>66161</v>
      </c>
    </row>
    <row r="39" spans="2:3" x14ac:dyDescent="0.25">
      <c r="C39" s="269">
        <f>+'KM POR CHOFER'!I31</f>
        <v>66161</v>
      </c>
    </row>
    <row r="40" spans="2:3" x14ac:dyDescent="0.25">
      <c r="C40" s="215">
        <f>+C39-C38</f>
        <v>0</v>
      </c>
    </row>
  </sheetData>
  <pageMargins left="0.7" right="0.7" top="0.75" bottom="0.75" header="0.3" footer="0.3"/>
  <pageSetup orientation="landscape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 codeName="Hoja28"/>
  <dimension ref="B1:P38"/>
  <sheetViews>
    <sheetView topLeftCell="A11" zoomScaleNormal="100" workbookViewId="0">
      <selection activeCell="O27" sqref="O27"/>
    </sheetView>
  </sheetViews>
  <sheetFormatPr baseColWidth="10" defaultRowHeight="15" x14ac:dyDescent="0.25"/>
  <cols>
    <col min="1" max="1" width="8.28515625" style="59" customWidth="1"/>
    <col min="2" max="2" width="3" style="59" bestFit="1" customWidth="1"/>
    <col min="3" max="6" width="6.7109375" style="59" customWidth="1"/>
    <col min="7" max="7" width="7.7109375" style="60" bestFit="1" customWidth="1"/>
    <col min="8" max="8" width="3.7109375" style="59" customWidth="1"/>
    <col min="9" max="9" width="9.42578125" style="59" bestFit="1" customWidth="1"/>
    <col min="10" max="10" width="13.5703125" style="59" bestFit="1" customWidth="1"/>
    <col min="11" max="11" width="9.42578125" style="59" bestFit="1" customWidth="1"/>
    <col min="12" max="12" width="8" style="59" bestFit="1" customWidth="1"/>
    <col min="13" max="13" width="9.28515625" style="59" bestFit="1" customWidth="1"/>
    <col min="14" max="14" width="12.7109375" style="59" bestFit="1" customWidth="1"/>
    <col min="15" max="15" width="12.28515625" style="59" bestFit="1" customWidth="1"/>
    <col min="16" max="16" width="13.28515625" style="59" bestFit="1" customWidth="1"/>
    <col min="17" max="16384" width="11.42578125" style="59"/>
  </cols>
  <sheetData>
    <row r="1" spans="2:16" ht="15.75" thickBot="1" x14ac:dyDescent="0.3"/>
    <row r="2" spans="2:16" ht="15.75" thickBot="1" x14ac:dyDescent="0.3">
      <c r="B2" s="694" t="s">
        <v>111</v>
      </c>
      <c r="C2" s="695"/>
      <c r="D2" s="695"/>
      <c r="E2" s="695"/>
      <c r="F2" s="695"/>
      <c r="G2" s="696"/>
    </row>
    <row r="3" spans="2:16" ht="15.75" thickBot="1" x14ac:dyDescent="0.3">
      <c r="B3" s="103" t="s">
        <v>112</v>
      </c>
      <c r="C3" s="697" t="s">
        <v>24</v>
      </c>
      <c r="D3" s="697"/>
      <c r="E3" s="698" t="s">
        <v>25</v>
      </c>
      <c r="F3" s="698"/>
      <c r="G3" s="104" t="s">
        <v>26</v>
      </c>
      <c r="I3" s="330" t="s">
        <v>240</v>
      </c>
      <c r="J3" s="330" t="s">
        <v>28</v>
      </c>
      <c r="K3" s="330" t="s">
        <v>138</v>
      </c>
      <c r="L3" s="59">
        <v>3.4</v>
      </c>
      <c r="M3" s="330" t="s">
        <v>27</v>
      </c>
      <c r="N3" s="330" t="s">
        <v>250</v>
      </c>
      <c r="O3" s="330" t="s">
        <v>241</v>
      </c>
      <c r="P3" s="330" t="s">
        <v>140</v>
      </c>
    </row>
    <row r="4" spans="2:16" ht="15.75" thickBot="1" x14ac:dyDescent="0.3">
      <c r="B4" s="105">
        <v>1</v>
      </c>
      <c r="C4" s="699" t="s">
        <v>47</v>
      </c>
      <c r="D4" s="699"/>
      <c r="E4" s="699" t="s">
        <v>78</v>
      </c>
      <c r="F4" s="699"/>
      <c r="G4" s="106">
        <v>425</v>
      </c>
      <c r="I4" s="331">
        <v>750</v>
      </c>
      <c r="J4" s="331">
        <v>2.4500000000000002</v>
      </c>
      <c r="K4" s="331">
        <v>306</v>
      </c>
      <c r="L4" s="59">
        <f>+I4/L3</f>
        <v>220.58823529411765</v>
      </c>
      <c r="M4" s="332">
        <f>+K4-L4</f>
        <v>85.411764705882348</v>
      </c>
      <c r="N4" s="333">
        <f>+M4*14.85</f>
        <v>1268.3647058823528</v>
      </c>
      <c r="O4" s="333">
        <v>220</v>
      </c>
      <c r="P4" s="333">
        <f>+O4+N4</f>
        <v>1488.3647058823528</v>
      </c>
    </row>
    <row r="5" spans="2:16" x14ac:dyDescent="0.25">
      <c r="B5" s="84">
        <v>2</v>
      </c>
      <c r="C5" s="692" t="s">
        <v>47</v>
      </c>
      <c r="D5" s="692"/>
      <c r="E5" s="692" t="s">
        <v>46</v>
      </c>
      <c r="F5" s="692"/>
      <c r="G5" s="85">
        <v>375</v>
      </c>
      <c r="I5" s="331">
        <v>750</v>
      </c>
      <c r="J5" s="331">
        <v>2.37</v>
      </c>
      <c r="K5" s="331">
        <v>316</v>
      </c>
      <c r="L5" s="59">
        <f>+I5/L3</f>
        <v>220.58823529411765</v>
      </c>
      <c r="M5" s="332">
        <f>+K5-L5</f>
        <v>95.411764705882348</v>
      </c>
      <c r="N5" s="333">
        <f>+M5*14.85</f>
        <v>1416.8647058823528</v>
      </c>
      <c r="O5" s="333">
        <v>220</v>
      </c>
      <c r="P5" s="333">
        <f>+O5+N5</f>
        <v>1636.8647058823528</v>
      </c>
    </row>
    <row r="6" spans="2:16" x14ac:dyDescent="0.25">
      <c r="B6" s="86">
        <v>3</v>
      </c>
      <c r="C6" s="700" t="s">
        <v>108</v>
      </c>
      <c r="D6" s="700"/>
      <c r="E6" s="700" t="s">
        <v>47</v>
      </c>
      <c r="F6" s="700"/>
      <c r="G6" s="87">
        <v>375</v>
      </c>
      <c r="I6" s="331"/>
      <c r="J6" s="331"/>
      <c r="K6" s="331"/>
      <c r="M6" s="332"/>
      <c r="N6" s="333"/>
      <c r="O6" s="333"/>
      <c r="P6" s="333"/>
    </row>
    <row r="7" spans="2:16" ht="15.75" thickBot="1" x14ac:dyDescent="0.3">
      <c r="B7" s="109">
        <v>4</v>
      </c>
      <c r="C7" s="701" t="s">
        <v>107</v>
      </c>
      <c r="D7" s="702"/>
      <c r="E7" s="701" t="s">
        <v>46</v>
      </c>
      <c r="F7" s="702"/>
      <c r="G7" s="90">
        <v>415</v>
      </c>
    </row>
    <row r="8" spans="2:16" x14ac:dyDescent="0.25">
      <c r="B8" s="84">
        <v>5</v>
      </c>
      <c r="C8" s="691" t="s">
        <v>47</v>
      </c>
      <c r="D8" s="692"/>
      <c r="E8" s="691" t="s">
        <v>106</v>
      </c>
      <c r="F8" s="692"/>
      <c r="G8" s="91">
        <v>457</v>
      </c>
    </row>
    <row r="9" spans="2:16" ht="15.75" thickBot="1" x14ac:dyDescent="0.3">
      <c r="B9" s="108">
        <v>6</v>
      </c>
      <c r="C9" s="687" t="s">
        <v>106</v>
      </c>
      <c r="D9" s="687"/>
      <c r="E9" s="687" t="s">
        <v>47</v>
      </c>
      <c r="F9" s="687"/>
      <c r="G9" s="89">
        <v>457</v>
      </c>
      <c r="I9" s="330"/>
      <c r="J9" s="330"/>
      <c r="L9" s="330"/>
      <c r="M9" s="330"/>
      <c r="N9" s="330"/>
    </row>
    <row r="10" spans="2:16" x14ac:dyDescent="0.25">
      <c r="B10" s="84">
        <v>7</v>
      </c>
      <c r="C10" s="691" t="s">
        <v>66</v>
      </c>
      <c r="D10" s="691"/>
      <c r="E10" s="691" t="s">
        <v>47</v>
      </c>
      <c r="F10" s="691"/>
      <c r="G10" s="91">
        <v>480</v>
      </c>
      <c r="I10" s="331"/>
      <c r="L10" s="333"/>
      <c r="M10" s="333"/>
      <c r="N10" s="333"/>
    </row>
    <row r="11" spans="2:16" ht="15.75" thickBot="1" x14ac:dyDescent="0.3">
      <c r="B11" s="108">
        <v>8</v>
      </c>
      <c r="C11" s="687" t="s">
        <v>47</v>
      </c>
      <c r="D11" s="687"/>
      <c r="E11" s="687" t="s">
        <v>66</v>
      </c>
      <c r="F11" s="687"/>
      <c r="G11" s="89">
        <v>480</v>
      </c>
      <c r="I11" s="331"/>
      <c r="J11" s="330"/>
      <c r="L11" s="333"/>
      <c r="M11" s="333"/>
      <c r="N11" s="333"/>
    </row>
    <row r="12" spans="2:16" x14ac:dyDescent="0.25">
      <c r="B12" s="84">
        <v>9</v>
      </c>
      <c r="C12" s="691" t="s">
        <v>189</v>
      </c>
      <c r="D12" s="692"/>
      <c r="E12" s="691" t="s">
        <v>46</v>
      </c>
      <c r="F12" s="692"/>
      <c r="G12" s="91">
        <v>105</v>
      </c>
      <c r="I12" s="331"/>
      <c r="L12" s="333"/>
      <c r="M12" s="333"/>
      <c r="N12" s="333"/>
    </row>
    <row r="13" spans="2:16" ht="15.75" thickBot="1" x14ac:dyDescent="0.3">
      <c r="B13" s="108">
        <v>10</v>
      </c>
      <c r="C13" s="687" t="s">
        <v>108</v>
      </c>
      <c r="D13" s="688"/>
      <c r="E13" s="687" t="s">
        <v>189</v>
      </c>
      <c r="F13" s="688"/>
      <c r="G13" s="89">
        <v>105</v>
      </c>
    </row>
    <row r="14" spans="2:16" x14ac:dyDescent="0.25">
      <c r="B14" s="84">
        <v>11</v>
      </c>
      <c r="C14" s="691" t="s">
        <v>47</v>
      </c>
      <c r="D14" s="692"/>
      <c r="E14" s="691" t="s">
        <v>65</v>
      </c>
      <c r="F14" s="692"/>
      <c r="G14" s="91">
        <v>490</v>
      </c>
    </row>
    <row r="15" spans="2:16" ht="15.75" thickBot="1" x14ac:dyDescent="0.3">
      <c r="B15" s="108">
        <v>12</v>
      </c>
      <c r="C15" s="687" t="s">
        <v>65</v>
      </c>
      <c r="D15" s="688"/>
      <c r="E15" s="687" t="s">
        <v>47</v>
      </c>
      <c r="F15" s="688"/>
      <c r="G15" s="89">
        <v>490</v>
      </c>
    </row>
    <row r="16" spans="2:16" x14ac:dyDescent="0.25">
      <c r="B16" s="84">
        <v>13</v>
      </c>
      <c r="C16" s="691" t="s">
        <v>47</v>
      </c>
      <c r="D16" s="692"/>
      <c r="E16" s="691" t="s">
        <v>69</v>
      </c>
      <c r="F16" s="692"/>
      <c r="G16" s="91">
        <v>680</v>
      </c>
    </row>
    <row r="17" spans="2:7" ht="15.75" thickBot="1" x14ac:dyDescent="0.3">
      <c r="B17" s="109">
        <v>14</v>
      </c>
      <c r="C17" s="701" t="s">
        <v>69</v>
      </c>
      <c r="D17" s="702"/>
      <c r="E17" s="701" t="s">
        <v>47</v>
      </c>
      <c r="F17" s="702"/>
      <c r="G17" s="90">
        <v>680</v>
      </c>
    </row>
    <row r="18" spans="2:7" x14ac:dyDescent="0.25">
      <c r="B18" s="84">
        <v>15</v>
      </c>
      <c r="C18" s="691" t="s">
        <v>47</v>
      </c>
      <c r="D18" s="692"/>
      <c r="E18" s="691" t="s">
        <v>64</v>
      </c>
      <c r="F18" s="692"/>
      <c r="G18" s="91">
        <v>1021</v>
      </c>
    </row>
    <row r="19" spans="2:7" ht="15.75" thickBot="1" x14ac:dyDescent="0.3">
      <c r="B19" s="108">
        <v>16</v>
      </c>
      <c r="C19" s="687" t="s">
        <v>64</v>
      </c>
      <c r="D19" s="688"/>
      <c r="E19" s="687" t="s">
        <v>47</v>
      </c>
      <c r="F19" s="688"/>
      <c r="G19" s="89">
        <v>1021</v>
      </c>
    </row>
    <row r="20" spans="2:7" x14ac:dyDescent="0.25">
      <c r="B20" s="84">
        <v>17</v>
      </c>
      <c r="C20" s="691" t="s">
        <v>47</v>
      </c>
      <c r="D20" s="692"/>
      <c r="E20" s="691" t="s">
        <v>68</v>
      </c>
      <c r="F20" s="692"/>
      <c r="G20" s="91">
        <v>1330</v>
      </c>
    </row>
    <row r="21" spans="2:7" ht="15.75" thickBot="1" x14ac:dyDescent="0.3">
      <c r="B21" s="108">
        <v>18</v>
      </c>
      <c r="C21" s="687" t="s">
        <v>68</v>
      </c>
      <c r="D21" s="688"/>
      <c r="E21" s="687" t="s">
        <v>47</v>
      </c>
      <c r="F21" s="688"/>
      <c r="G21" s="89">
        <v>1330</v>
      </c>
    </row>
    <row r="22" spans="2:7" x14ac:dyDescent="0.25">
      <c r="B22" s="84">
        <v>19</v>
      </c>
      <c r="C22" s="692" t="s">
        <v>47</v>
      </c>
      <c r="D22" s="692"/>
      <c r="E22" s="692" t="s">
        <v>67</v>
      </c>
      <c r="F22" s="692"/>
      <c r="G22" s="91">
        <v>219</v>
      </c>
    </row>
    <row r="23" spans="2:7" ht="15.75" thickBot="1" x14ac:dyDescent="0.3">
      <c r="B23" s="108">
        <v>20</v>
      </c>
      <c r="C23" s="688" t="s">
        <v>67</v>
      </c>
      <c r="D23" s="688"/>
      <c r="E23" s="688" t="s">
        <v>47</v>
      </c>
      <c r="F23" s="688"/>
      <c r="G23" s="89">
        <v>219</v>
      </c>
    </row>
    <row r="24" spans="2:7" x14ac:dyDescent="0.25">
      <c r="B24" s="84">
        <v>21</v>
      </c>
      <c r="C24" s="703" t="s">
        <v>108</v>
      </c>
      <c r="D24" s="703"/>
      <c r="E24" s="703" t="s">
        <v>67</v>
      </c>
      <c r="F24" s="703"/>
      <c r="G24" s="91">
        <v>348</v>
      </c>
    </row>
    <row r="25" spans="2:7" ht="15.75" thickBot="1" x14ac:dyDescent="0.3">
      <c r="B25" s="108">
        <v>22</v>
      </c>
      <c r="C25" s="704" t="s">
        <v>67</v>
      </c>
      <c r="D25" s="704"/>
      <c r="E25" s="704" t="s">
        <v>46</v>
      </c>
      <c r="F25" s="704"/>
      <c r="G25" s="89">
        <v>348</v>
      </c>
    </row>
    <row r="26" spans="2:7" x14ac:dyDescent="0.25">
      <c r="B26" s="102">
        <v>23</v>
      </c>
      <c r="C26" s="693" t="s">
        <v>47</v>
      </c>
      <c r="D26" s="693"/>
      <c r="E26" s="693" t="s">
        <v>115</v>
      </c>
      <c r="F26" s="693"/>
      <c r="G26" s="107">
        <v>425</v>
      </c>
    </row>
    <row r="27" spans="2:7" ht="15.75" thickBot="1" x14ac:dyDescent="0.3">
      <c r="B27" s="86">
        <v>24</v>
      </c>
      <c r="C27" s="690" t="s">
        <v>107</v>
      </c>
      <c r="D27" s="690"/>
      <c r="E27" s="690" t="s">
        <v>117</v>
      </c>
      <c r="F27" s="690"/>
      <c r="G27" s="90">
        <v>465</v>
      </c>
    </row>
    <row r="28" spans="2:7" x14ac:dyDescent="0.25">
      <c r="B28" s="110">
        <v>25</v>
      </c>
      <c r="C28" s="706" t="s">
        <v>47</v>
      </c>
      <c r="D28" s="703"/>
      <c r="E28" s="703" t="s">
        <v>118</v>
      </c>
      <c r="F28" s="703"/>
      <c r="G28" s="91">
        <v>538</v>
      </c>
    </row>
    <row r="29" spans="2:7" ht="15.75" thickBot="1" x14ac:dyDescent="0.3">
      <c r="B29" s="110">
        <v>26</v>
      </c>
      <c r="C29" s="705" t="s">
        <v>118</v>
      </c>
      <c r="D29" s="704"/>
      <c r="E29" s="704" t="s">
        <v>47</v>
      </c>
      <c r="F29" s="704"/>
      <c r="G29" s="89">
        <v>538</v>
      </c>
    </row>
    <row r="30" spans="2:7" x14ac:dyDescent="0.25">
      <c r="B30" s="86">
        <v>27</v>
      </c>
      <c r="C30" s="693" t="s">
        <v>108</v>
      </c>
      <c r="D30" s="693"/>
      <c r="E30" s="693" t="s">
        <v>120</v>
      </c>
      <c r="F30" s="693"/>
      <c r="G30" s="107">
        <v>415</v>
      </c>
    </row>
    <row r="31" spans="2:7" x14ac:dyDescent="0.25">
      <c r="B31" s="86">
        <v>28</v>
      </c>
      <c r="C31" s="689" t="s">
        <v>107</v>
      </c>
      <c r="D31" s="689"/>
      <c r="E31" s="689" t="s">
        <v>115</v>
      </c>
      <c r="F31" s="689"/>
      <c r="G31" s="88">
        <v>465</v>
      </c>
    </row>
    <row r="32" spans="2:7" x14ac:dyDescent="0.25">
      <c r="B32" s="86">
        <v>29</v>
      </c>
      <c r="C32" s="689" t="s">
        <v>107</v>
      </c>
      <c r="D32" s="689"/>
      <c r="E32" s="689" t="s">
        <v>121</v>
      </c>
      <c r="F32" s="689"/>
      <c r="G32" s="88">
        <v>465</v>
      </c>
    </row>
    <row r="33" spans="2:7" x14ac:dyDescent="0.25">
      <c r="B33" s="86">
        <v>30</v>
      </c>
      <c r="C33" s="689" t="s">
        <v>47</v>
      </c>
      <c r="D33" s="689"/>
      <c r="E33" s="689" t="s">
        <v>122</v>
      </c>
      <c r="F33" s="689"/>
      <c r="G33" s="88">
        <v>425</v>
      </c>
    </row>
    <row r="34" spans="2:7" x14ac:dyDescent="0.25">
      <c r="B34" s="86">
        <v>31</v>
      </c>
      <c r="C34" s="689" t="s">
        <v>121</v>
      </c>
      <c r="D34" s="689"/>
      <c r="E34" s="689" t="s">
        <v>47</v>
      </c>
      <c r="F34" s="689"/>
      <c r="G34" s="88">
        <v>425</v>
      </c>
    </row>
    <row r="35" spans="2:7" ht="15.75" thickBot="1" x14ac:dyDescent="0.3">
      <c r="B35" s="109">
        <v>32</v>
      </c>
      <c r="C35" s="690" t="s">
        <v>107</v>
      </c>
      <c r="D35" s="690"/>
      <c r="E35" s="690" t="s">
        <v>122</v>
      </c>
      <c r="F35" s="690"/>
      <c r="G35" s="90">
        <v>465</v>
      </c>
    </row>
    <row r="36" spans="2:7" x14ac:dyDescent="0.25">
      <c r="B36" s="84">
        <v>33</v>
      </c>
      <c r="C36" s="691" t="s">
        <v>190</v>
      </c>
      <c r="D36" s="692"/>
      <c r="E36" s="691" t="s">
        <v>46</v>
      </c>
      <c r="F36" s="692"/>
      <c r="G36" s="91">
        <v>145</v>
      </c>
    </row>
    <row r="37" spans="2:7" ht="15.75" thickBot="1" x14ac:dyDescent="0.3">
      <c r="B37" s="108">
        <v>34</v>
      </c>
      <c r="C37" s="687" t="s">
        <v>46</v>
      </c>
      <c r="D37" s="688"/>
      <c r="E37" s="687" t="s">
        <v>190</v>
      </c>
      <c r="F37" s="688"/>
      <c r="G37" s="89">
        <v>145</v>
      </c>
    </row>
    <row r="38" spans="2:7" ht="15.75" thickBot="1" x14ac:dyDescent="0.3">
      <c r="B38" s="108">
        <v>35</v>
      </c>
      <c r="C38" s="687" t="s">
        <v>46</v>
      </c>
      <c r="D38" s="688"/>
      <c r="E38" s="687" t="s">
        <v>64</v>
      </c>
      <c r="F38" s="688"/>
      <c r="G38" s="89">
        <v>1131</v>
      </c>
    </row>
  </sheetData>
  <mergeCells count="73">
    <mergeCell ref="C29:D29"/>
    <mergeCell ref="E29:F29"/>
    <mergeCell ref="C27:D27"/>
    <mergeCell ref="E27:F27"/>
    <mergeCell ref="C28:D28"/>
    <mergeCell ref="E28:F28"/>
    <mergeCell ref="C24:D24"/>
    <mergeCell ref="E24:F24"/>
    <mergeCell ref="C25:D25"/>
    <mergeCell ref="E25:F25"/>
    <mergeCell ref="C26:D26"/>
    <mergeCell ref="E26:F26"/>
    <mergeCell ref="C18:D18"/>
    <mergeCell ref="E18:F18"/>
    <mergeCell ref="C19:D19"/>
    <mergeCell ref="E19:F19"/>
    <mergeCell ref="C20:D20"/>
    <mergeCell ref="E20:F20"/>
    <mergeCell ref="C21:D21"/>
    <mergeCell ref="E21:F21"/>
    <mergeCell ref="C22:D22"/>
    <mergeCell ref="E22:F22"/>
    <mergeCell ref="C23:D23"/>
    <mergeCell ref="E23:F23"/>
    <mergeCell ref="C12:D12"/>
    <mergeCell ref="E12:F12"/>
    <mergeCell ref="C13:D13"/>
    <mergeCell ref="E13:F13"/>
    <mergeCell ref="C14:D14"/>
    <mergeCell ref="E14:F14"/>
    <mergeCell ref="C15:D15"/>
    <mergeCell ref="E15:F15"/>
    <mergeCell ref="C16:D16"/>
    <mergeCell ref="E16:F16"/>
    <mergeCell ref="C17:D17"/>
    <mergeCell ref="E17:F17"/>
    <mergeCell ref="C11:D11"/>
    <mergeCell ref="E11:F11"/>
    <mergeCell ref="C5:D5"/>
    <mergeCell ref="E5:F5"/>
    <mergeCell ref="C8:D8"/>
    <mergeCell ref="E8:F8"/>
    <mergeCell ref="C9:D9"/>
    <mergeCell ref="B2:G2"/>
    <mergeCell ref="C3:D3"/>
    <mergeCell ref="E3:F3"/>
    <mergeCell ref="E9:F9"/>
    <mergeCell ref="C10:D10"/>
    <mergeCell ref="E10:F10"/>
    <mergeCell ref="C4:D4"/>
    <mergeCell ref="E4:F4"/>
    <mergeCell ref="C6:D6"/>
    <mergeCell ref="E6:F6"/>
    <mergeCell ref="C7:D7"/>
    <mergeCell ref="E7:F7"/>
    <mergeCell ref="C33:D33"/>
    <mergeCell ref="E33:F33"/>
    <mergeCell ref="C30:D30"/>
    <mergeCell ref="E30:F30"/>
    <mergeCell ref="C31:D31"/>
    <mergeCell ref="E31:F31"/>
    <mergeCell ref="C32:D32"/>
    <mergeCell ref="E32:F32"/>
    <mergeCell ref="C38:D38"/>
    <mergeCell ref="E38:F38"/>
    <mergeCell ref="C37:D37"/>
    <mergeCell ref="E37:F37"/>
    <mergeCell ref="C34:D34"/>
    <mergeCell ref="E34:F34"/>
    <mergeCell ref="C35:D35"/>
    <mergeCell ref="E35:F35"/>
    <mergeCell ref="C36:D36"/>
    <mergeCell ref="E36:F36"/>
  </mergeCells>
  <phoneticPr fontId="32" type="noConversion"/>
  <pageMargins left="0.31496062992125984" right="0.31496062992125984" top="0.74803149606299213" bottom="0.74803149606299213" header="0.31496062992125984" footer="0.31496062992125984"/>
  <pageSetup paperSize="9" scale="70"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 codeName="Hoja29"/>
  <dimension ref="B1:M59"/>
  <sheetViews>
    <sheetView topLeftCell="A16" workbookViewId="0">
      <selection activeCell="C37" sqref="C37"/>
    </sheetView>
  </sheetViews>
  <sheetFormatPr baseColWidth="10" defaultRowHeight="14.25" x14ac:dyDescent="0.2"/>
  <cols>
    <col min="2" max="2" width="9.140625" style="179" bestFit="1" customWidth="1"/>
    <col min="3" max="3" width="16.42578125" style="179" bestFit="1" customWidth="1"/>
  </cols>
  <sheetData>
    <row r="1" spans="2:7" ht="15" thickBot="1" x14ac:dyDescent="0.25"/>
    <row r="2" spans="2:7" ht="15.75" thickBot="1" x14ac:dyDescent="0.3">
      <c r="B2" s="183" t="s">
        <v>71</v>
      </c>
      <c r="C2" s="184" t="s">
        <v>185</v>
      </c>
    </row>
    <row r="3" spans="2:7" x14ac:dyDescent="0.2">
      <c r="B3" s="181" t="s">
        <v>55</v>
      </c>
      <c r="C3" s="182">
        <v>2.3734099999999998</v>
      </c>
    </row>
    <row r="4" spans="2:7" x14ac:dyDescent="0.2">
      <c r="B4" s="177" t="s">
        <v>150</v>
      </c>
      <c r="C4" s="182">
        <v>2.3734099999999998</v>
      </c>
    </row>
    <row r="5" spans="2:7" x14ac:dyDescent="0.2">
      <c r="B5" s="177" t="s">
        <v>57</v>
      </c>
      <c r="C5" s="182">
        <v>2.3734099999999998</v>
      </c>
    </row>
    <row r="6" spans="2:7" x14ac:dyDescent="0.2">
      <c r="B6" s="177" t="s">
        <v>132</v>
      </c>
      <c r="C6" s="182">
        <v>2.3734099999999998</v>
      </c>
    </row>
    <row r="7" spans="2:7" x14ac:dyDescent="0.2">
      <c r="B7" s="177" t="s">
        <v>56</v>
      </c>
      <c r="C7" s="182">
        <v>2.3734099999999998</v>
      </c>
    </row>
    <row r="8" spans="2:7" x14ac:dyDescent="0.2">
      <c r="B8" s="177" t="s">
        <v>133</v>
      </c>
      <c r="C8" s="182">
        <v>2.3734099999999998</v>
      </c>
    </row>
    <row r="9" spans="2:7" x14ac:dyDescent="0.2">
      <c r="B9" s="177" t="s">
        <v>113</v>
      </c>
      <c r="C9" s="182">
        <v>2.3734099999999998</v>
      </c>
    </row>
    <row r="10" spans="2:7" x14ac:dyDescent="0.2">
      <c r="B10" s="177" t="s">
        <v>123</v>
      </c>
      <c r="C10" s="182">
        <v>2.3734099999999998</v>
      </c>
    </row>
    <row r="11" spans="2:7" x14ac:dyDescent="0.2">
      <c r="B11" s="177" t="s">
        <v>131</v>
      </c>
      <c r="C11" s="182">
        <v>2.3734099999999998</v>
      </c>
    </row>
    <row r="12" spans="2:7" x14ac:dyDescent="0.2">
      <c r="B12" s="177" t="s">
        <v>58</v>
      </c>
      <c r="C12" s="182">
        <v>2.3734099999999998</v>
      </c>
    </row>
    <row r="13" spans="2:7" x14ac:dyDescent="0.2">
      <c r="B13" s="177" t="s">
        <v>52</v>
      </c>
      <c r="C13" s="182">
        <v>2.3734099999999998</v>
      </c>
    </row>
    <row r="14" spans="2:7" x14ac:dyDescent="0.2">
      <c r="B14" s="177" t="s">
        <v>129</v>
      </c>
      <c r="C14" s="182">
        <v>2.3734099999999998</v>
      </c>
    </row>
    <row r="15" spans="2:7" x14ac:dyDescent="0.2">
      <c r="B15" s="177" t="s">
        <v>114</v>
      </c>
      <c r="C15" s="182">
        <v>2.3734099999999998</v>
      </c>
      <c r="F15" t="s">
        <v>301</v>
      </c>
      <c r="G15">
        <v>750</v>
      </c>
    </row>
    <row r="16" spans="2:7" x14ac:dyDescent="0.2">
      <c r="B16" s="177" t="s">
        <v>128</v>
      </c>
      <c r="C16" s="182">
        <v>2.3734099999999998</v>
      </c>
      <c r="F16" t="s">
        <v>299</v>
      </c>
      <c r="G16">
        <v>2.3734099999999998</v>
      </c>
    </row>
    <row r="17" spans="2:13" x14ac:dyDescent="0.2">
      <c r="B17" s="177" t="s">
        <v>151</v>
      </c>
      <c r="C17" s="182">
        <v>2.3734099999999998</v>
      </c>
      <c r="K17" t="s">
        <v>301</v>
      </c>
    </row>
    <row r="18" spans="2:13" x14ac:dyDescent="0.2">
      <c r="B18" s="177" t="s">
        <v>77</v>
      </c>
      <c r="C18" s="182">
        <v>2.3734099999999998</v>
      </c>
      <c r="F18" t="s">
        <v>300</v>
      </c>
      <c r="G18">
        <f>+G15/G16</f>
        <v>316.00102805667797</v>
      </c>
      <c r="K18" t="s">
        <v>304</v>
      </c>
      <c r="L18">
        <v>110</v>
      </c>
    </row>
    <row r="19" spans="2:13" x14ac:dyDescent="0.2">
      <c r="B19" s="177" t="s">
        <v>75</v>
      </c>
      <c r="C19" s="182">
        <v>2.3734099999999998</v>
      </c>
      <c r="F19" t="s">
        <v>302</v>
      </c>
      <c r="G19">
        <v>224.73</v>
      </c>
      <c r="K19" t="s">
        <v>305</v>
      </c>
      <c r="L19">
        <v>55</v>
      </c>
    </row>
    <row r="20" spans="2:13" x14ac:dyDescent="0.2">
      <c r="B20" s="177" t="s">
        <v>152</v>
      </c>
      <c r="C20" s="178">
        <v>2.4509799999999999</v>
      </c>
      <c r="G20">
        <f>+G18-G19</f>
        <v>91.271028056677977</v>
      </c>
      <c r="I20">
        <v>14.85</v>
      </c>
      <c r="J20" t="s">
        <v>303</v>
      </c>
    </row>
    <row r="21" spans="2:13" x14ac:dyDescent="0.2">
      <c r="B21" s="177" t="s">
        <v>153</v>
      </c>
      <c r="C21" s="178">
        <v>2.4509799999999999</v>
      </c>
      <c r="H21">
        <f>+G20*I20</f>
        <v>1355.374766641668</v>
      </c>
      <c r="M21" s="292"/>
    </row>
    <row r="22" spans="2:13" x14ac:dyDescent="0.2">
      <c r="B22" s="177" t="s">
        <v>154</v>
      </c>
      <c r="C22" s="178">
        <v>2.4509799999999999</v>
      </c>
    </row>
    <row r="23" spans="2:13" x14ac:dyDescent="0.2">
      <c r="B23" s="177" t="s">
        <v>155</v>
      </c>
      <c r="C23" s="178">
        <v>2.4509799999999999</v>
      </c>
    </row>
    <row r="24" spans="2:13" x14ac:dyDescent="0.2">
      <c r="B24" s="177" t="s">
        <v>156</v>
      </c>
      <c r="C24" s="178">
        <v>2.4509799999999999</v>
      </c>
      <c r="L24" s="277"/>
    </row>
    <row r="25" spans="2:13" x14ac:dyDescent="0.2">
      <c r="B25" s="177" t="s">
        <v>157</v>
      </c>
      <c r="C25" s="178">
        <v>2.4509799999999999</v>
      </c>
    </row>
    <row r="26" spans="2:13" x14ac:dyDescent="0.2">
      <c r="B26" s="177" t="s">
        <v>158</v>
      </c>
      <c r="C26" s="178">
        <v>2.4509799999999999</v>
      </c>
      <c r="G26">
        <v>2.6</v>
      </c>
      <c r="H26">
        <f>+G31/G26</f>
        <v>288.46153846153845</v>
      </c>
      <c r="L26" s="292"/>
    </row>
    <row r="27" spans="2:13" x14ac:dyDescent="0.2">
      <c r="B27" s="177" t="s">
        <v>159</v>
      </c>
      <c r="C27" s="178">
        <v>2.4509799999999999</v>
      </c>
      <c r="G27">
        <v>2.11</v>
      </c>
      <c r="H27">
        <f>+G31/G27</f>
        <v>355.45023696682466</v>
      </c>
      <c r="I27">
        <f>+G31/C39</f>
        <v>355.00101766958397</v>
      </c>
      <c r="L27" s="277"/>
    </row>
    <row r="28" spans="2:13" x14ac:dyDescent="0.2">
      <c r="B28" s="177" t="s">
        <v>160</v>
      </c>
      <c r="C28" s="178">
        <v>2.4509799999999999</v>
      </c>
      <c r="G28">
        <v>2.37</v>
      </c>
      <c r="H28">
        <f>+G31/G28</f>
        <v>316.45569620253161</v>
      </c>
      <c r="I28">
        <f>+G31/C19</f>
        <v>316.00102805667797</v>
      </c>
    </row>
    <row r="29" spans="2:13" x14ac:dyDescent="0.2">
      <c r="B29" s="177" t="s">
        <v>161</v>
      </c>
      <c r="C29" s="178">
        <v>2.4509799999999999</v>
      </c>
    </row>
    <row r="30" spans="2:13" x14ac:dyDescent="0.2">
      <c r="B30" s="177" t="s">
        <v>162</v>
      </c>
      <c r="C30" s="178">
        <v>2.4509799999999999</v>
      </c>
      <c r="F30">
        <v>375</v>
      </c>
    </row>
    <row r="31" spans="2:13" x14ac:dyDescent="0.2">
      <c r="B31" s="177" t="s">
        <v>318</v>
      </c>
      <c r="C31" s="178">
        <v>2.4509799999999999</v>
      </c>
      <c r="F31">
        <v>375</v>
      </c>
      <c r="G31">
        <f>++F31+F30</f>
        <v>750</v>
      </c>
      <c r="H31">
        <f>+G31/C33</f>
        <v>288.32070488645928</v>
      </c>
    </row>
    <row r="32" spans="2:13" x14ac:dyDescent="0.2">
      <c r="B32" s="177" t="s">
        <v>163</v>
      </c>
      <c r="C32" s="178">
        <v>2.4509799999999999</v>
      </c>
    </row>
    <row r="33" spans="2:3" x14ac:dyDescent="0.2">
      <c r="B33" s="177" t="s">
        <v>164</v>
      </c>
      <c r="C33" s="178">
        <v>2.60127</v>
      </c>
    </row>
    <row r="34" spans="2:3" x14ac:dyDescent="0.2">
      <c r="B34" s="177" t="s">
        <v>165</v>
      </c>
      <c r="C34" s="178">
        <v>2.60127</v>
      </c>
    </row>
    <row r="35" spans="2:3" x14ac:dyDescent="0.2">
      <c r="B35" s="177" t="s">
        <v>166</v>
      </c>
      <c r="C35" s="178">
        <v>2.60127</v>
      </c>
    </row>
    <row r="36" spans="2:3" x14ac:dyDescent="0.2">
      <c r="B36" s="177" t="s">
        <v>60</v>
      </c>
      <c r="C36" s="178">
        <v>2.11267</v>
      </c>
    </row>
    <row r="37" spans="2:3" x14ac:dyDescent="0.2">
      <c r="B37" s="177" t="s">
        <v>334</v>
      </c>
      <c r="C37" s="178">
        <v>2.4509799999999999</v>
      </c>
    </row>
    <row r="38" spans="2:3" x14ac:dyDescent="0.2">
      <c r="B38" s="177" t="s">
        <v>134</v>
      </c>
      <c r="C38" s="182">
        <v>2.3734099999999998</v>
      </c>
    </row>
    <row r="39" spans="2:3" x14ac:dyDescent="0.2">
      <c r="B39" s="177" t="s">
        <v>51</v>
      </c>
      <c r="C39" s="178">
        <v>2.11267</v>
      </c>
    </row>
    <row r="40" spans="2:3" x14ac:dyDescent="0.2">
      <c r="B40" s="177" t="s">
        <v>167</v>
      </c>
      <c r="C40" s="178">
        <v>2.11267</v>
      </c>
    </row>
    <row r="41" spans="2:3" x14ac:dyDescent="0.2">
      <c r="B41" s="177" t="s">
        <v>168</v>
      </c>
      <c r="C41" s="182">
        <v>2.3734099999999998</v>
      </c>
    </row>
    <row r="42" spans="2:3" x14ac:dyDescent="0.2">
      <c r="B42" s="177" t="s">
        <v>144</v>
      </c>
      <c r="C42" s="182">
        <v>2.3734099999999998</v>
      </c>
    </row>
    <row r="43" spans="2:3" x14ac:dyDescent="0.2">
      <c r="B43" s="177" t="s">
        <v>169</v>
      </c>
      <c r="C43" s="182">
        <v>2.11267</v>
      </c>
    </row>
    <row r="44" spans="2:3" x14ac:dyDescent="0.2">
      <c r="B44" s="177" t="s">
        <v>79</v>
      </c>
      <c r="C44" s="178">
        <v>2.11267</v>
      </c>
    </row>
    <row r="45" spans="2:3" x14ac:dyDescent="0.2">
      <c r="B45" s="177" t="s">
        <v>81</v>
      </c>
      <c r="C45" s="178">
        <v>2.11267</v>
      </c>
    </row>
    <row r="46" spans="2:3" x14ac:dyDescent="0.2">
      <c r="B46" s="177" t="s">
        <v>63</v>
      </c>
      <c r="C46" s="182">
        <v>2.3734099999999998</v>
      </c>
    </row>
    <row r="47" spans="2:3" x14ac:dyDescent="0.2">
      <c r="B47" s="177" t="s">
        <v>136</v>
      </c>
      <c r="C47" s="182">
        <v>2.3734099999999998</v>
      </c>
    </row>
    <row r="48" spans="2:3" x14ac:dyDescent="0.2">
      <c r="B48" s="177" t="s">
        <v>170</v>
      </c>
      <c r="C48" s="182">
        <v>2.3734099999999998</v>
      </c>
    </row>
    <row r="49" spans="2:3" x14ac:dyDescent="0.2">
      <c r="B49" s="177" t="s">
        <v>171</v>
      </c>
      <c r="C49" s="182">
        <v>2.3734099999999998</v>
      </c>
    </row>
    <row r="50" spans="2:3" x14ac:dyDescent="0.2">
      <c r="B50" s="177" t="s">
        <v>172</v>
      </c>
      <c r="C50" s="182">
        <v>2.3734099999999998</v>
      </c>
    </row>
    <row r="51" spans="2:3" x14ac:dyDescent="0.2">
      <c r="B51" s="177" t="s">
        <v>173</v>
      </c>
      <c r="C51" s="182">
        <v>2.3734099999999998</v>
      </c>
    </row>
    <row r="52" spans="2:3" x14ac:dyDescent="0.2">
      <c r="B52" s="177" t="s">
        <v>174</v>
      </c>
      <c r="C52" s="182">
        <v>2.3734099999999998</v>
      </c>
    </row>
    <row r="53" spans="2:3" x14ac:dyDescent="0.2">
      <c r="B53" s="177" t="s">
        <v>175</v>
      </c>
      <c r="C53" s="182">
        <v>2.3734099999999998</v>
      </c>
    </row>
    <row r="54" spans="2:3" x14ac:dyDescent="0.2">
      <c r="B54" s="177" t="s">
        <v>176</v>
      </c>
      <c r="C54" s="182">
        <v>2.3734099999999998</v>
      </c>
    </row>
    <row r="55" spans="2:3" x14ac:dyDescent="0.2">
      <c r="B55" s="177" t="s">
        <v>177</v>
      </c>
      <c r="C55" s="182">
        <v>2.3734099999999998</v>
      </c>
    </row>
    <row r="56" spans="2:3" x14ac:dyDescent="0.2">
      <c r="B56" s="177" t="s">
        <v>223</v>
      </c>
      <c r="C56" s="182">
        <v>2.11267</v>
      </c>
    </row>
    <row r="57" spans="2:3" x14ac:dyDescent="0.2">
      <c r="B57" s="177" t="s">
        <v>178</v>
      </c>
      <c r="C57" s="182">
        <v>2.3734099999999998</v>
      </c>
    </row>
    <row r="58" spans="2:3" x14ac:dyDescent="0.2">
      <c r="B58" s="177" t="s">
        <v>179</v>
      </c>
      <c r="C58" s="182">
        <v>2.3734099999999998</v>
      </c>
    </row>
    <row r="59" spans="2:3" ht="15" thickBot="1" x14ac:dyDescent="0.25">
      <c r="B59" s="180" t="s">
        <v>180</v>
      </c>
      <c r="C59" s="182">
        <v>2.3734099999999998</v>
      </c>
    </row>
  </sheetData>
  <phoneticPr fontId="33" type="noConversion"/>
  <pageMargins left="0.70866141732283472" right="0.70866141732283472" top="0.15748031496062992" bottom="0.15748031496062992" header="0.31496062992125984" footer="0.31496062992125984"/>
  <pageSetup paperSize="9" orientation="portrait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 codeName="Hoja30"/>
  <dimension ref="B3:L5"/>
  <sheetViews>
    <sheetView workbookViewId="0">
      <selection activeCell="H24" sqref="H24"/>
    </sheetView>
  </sheetViews>
  <sheetFormatPr baseColWidth="10" defaultRowHeight="12.75" x14ac:dyDescent="0.2"/>
  <sheetData>
    <row r="3" spans="2:12" x14ac:dyDescent="0.2">
      <c r="B3" s="20"/>
      <c r="C3" s="20"/>
      <c r="D3" s="20"/>
      <c r="E3" s="20"/>
      <c r="J3" s="20" t="s">
        <v>61</v>
      </c>
    </row>
    <row r="4" spans="2:12" x14ac:dyDescent="0.2">
      <c r="D4" s="18"/>
      <c r="I4">
        <f>((IF(F4=1,((C4-40)*0.3)))+(IF(F4=2,((C4-40)*0.15))))/2</f>
        <v>0</v>
      </c>
      <c r="K4" s="707" t="s">
        <v>32</v>
      </c>
      <c r="L4" s="707"/>
    </row>
    <row r="5" spans="2:12" x14ac:dyDescent="0.2">
      <c r="I5">
        <f>((SUM(B4:B5)-40)/2.11)-C5</f>
        <v>-18.957345971563981</v>
      </c>
      <c r="K5" s="707" t="s">
        <v>62</v>
      </c>
      <c r="L5" s="707"/>
    </row>
  </sheetData>
  <mergeCells count="2">
    <mergeCell ref="K4:L4"/>
    <mergeCell ref="K5:L5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35</vt:i4>
      </vt:variant>
    </vt:vector>
  </HeadingPairs>
  <TitlesOfParts>
    <vt:vector size="35" baseType="lpstr">
      <vt:lpstr>NOMINA</vt:lpstr>
      <vt:lpstr>AGUILAR ESQUIVEL CARLOS</vt:lpstr>
      <vt:lpstr>AGUILAR RODRIGUEZ JORGE ALONSO</vt:lpstr>
      <vt:lpstr>AGUILERA CONTRERAS LUIS GERARDO</vt:lpstr>
      <vt:lpstr>ANCHONDO ROMERO CESAR ALEJANDRO</vt:lpstr>
      <vt:lpstr>BALDERRAMA ROBLES JORGE</vt:lpstr>
      <vt:lpstr>BALLEZA RAMIREZ JESUS JOSE</vt:lpstr>
      <vt:lpstr>BURGOS TORRES RIGOBERTO</vt:lpstr>
      <vt:lpstr>CARRERA REYES MARTIN SEBASTIAN</vt:lpstr>
      <vt:lpstr>CORDOVA URIBE JOSE  ADRIAN</vt:lpstr>
      <vt:lpstr>FLORES BOJORQUEZ BRYAN OVED</vt:lpstr>
      <vt:lpstr>GUZMAN CHAPARRO PEDRO</vt:lpstr>
      <vt:lpstr>HERNANDEZ LICANO JOSE LUIS</vt:lpstr>
      <vt:lpstr>LIRA ARCEO JOEL EDUARDO</vt:lpstr>
      <vt:lpstr>MARTINEZ RAMIREZ ROSALIO</vt:lpstr>
      <vt:lpstr>MACHADO MAZUCA ADOLFO</vt:lpstr>
      <vt:lpstr>MELENDEZ SINALOA MANUEL ARAT</vt:lpstr>
      <vt:lpstr>MONTERO BURROLA LUIS</vt:lpstr>
      <vt:lpstr>MORALES LECHUGA GONZALO</vt:lpstr>
      <vt:lpstr>MORALES LOPEZ DE LARA MARIANO</vt:lpstr>
      <vt:lpstr>NUÑEZ RUIZ IRVING JAVIER.</vt:lpstr>
      <vt:lpstr>ONTIVEROS LIRA JUAN</vt:lpstr>
      <vt:lpstr>ORONA BECERRA MAURO JOSE</vt:lpstr>
      <vt:lpstr>ORTIZ RAMIREZ HECTOR MANUEL</vt:lpstr>
      <vt:lpstr>RAMIREZ BAUTISTA ADRIAN</vt:lpstr>
      <vt:lpstr>REYES LARA DANTE</vt:lpstr>
      <vt:lpstr>RODRIGUEZ FLORES BRYAN DARIO</vt:lpstr>
      <vt:lpstr>RUIZ SAUCEDO DANIEL ALEJANDRO</vt:lpstr>
      <vt:lpstr>VALLES HERNANDEZ MANUEL MARCELI</vt:lpstr>
      <vt:lpstr>KM POR CHOFER</vt:lpstr>
      <vt:lpstr>KM POR UNIDAD</vt:lpstr>
      <vt:lpstr>KM POR CLIENTE</vt:lpstr>
      <vt:lpstr>KILOMETRAJE</vt:lpstr>
      <vt:lpstr>UNIDADES</vt:lpstr>
      <vt:lpstr>FORMULAS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Alan Alejandro Damian Esparza</dc:creator>
  <cp:lastModifiedBy>Heriberto Reyes Olvera</cp:lastModifiedBy>
  <cp:lastPrinted>2025-11-06T02:30:09Z</cp:lastPrinted>
  <dcterms:created xsi:type="dcterms:W3CDTF">2022-05-18T16:55:03Z</dcterms:created>
  <dcterms:modified xsi:type="dcterms:W3CDTF">2025-12-30T22:16:51Z</dcterms:modified>
</cp:coreProperties>
</file>