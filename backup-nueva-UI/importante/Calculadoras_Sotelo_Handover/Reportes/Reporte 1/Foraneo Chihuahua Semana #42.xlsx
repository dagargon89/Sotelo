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Chihuahua\10.-Octubre 40 - 43\"/>
    </mc:Choice>
  </mc:AlternateContent>
  <xr:revisionPtr revIDLastSave="0" documentId="13_ncr:1_{4F1F810F-55E9-4052-B4F5-9175709AF996}" xr6:coauthVersionLast="47" xr6:coauthVersionMax="47" xr10:uidLastSave="{00000000-0000-0000-0000-000000000000}"/>
  <bookViews>
    <workbookView xWindow="-120" yWindow="-120" windowWidth="29040" windowHeight="15840" firstSheet="25" activeTab="28" xr2:uid="{00000000-000D-0000-FFFF-FFFF00000000}"/>
  </bookViews>
  <sheets>
    <sheet name="NOMINA" sheetId="27" r:id="rId1"/>
    <sheet name="AGUILAR ESQUIVEL CARLOS" sheetId="1" r:id="rId2"/>
    <sheet name="AGUILAR RODRIGUEZ JORGE ALONSO" sheetId="4" r:id="rId3"/>
    <sheet name="AGUILERA CONTRERAS LUIS GERARDO" sheetId="10" r:id="rId4"/>
    <sheet name="ANCHONDO ROMERO CESAR ALEJANDRO" sheetId="48" r:id="rId5"/>
    <sheet name="BALDERRAMA ROBLES JORGE" sheetId="23" r:id="rId6"/>
    <sheet name="BALLEZA RAMIREZ JESUS JOSE" sheetId="31" r:id="rId7"/>
    <sheet name="BURGOS TORRES RIGOBERTO" sheetId="28" r:id="rId8"/>
    <sheet name="CARDENAS CARDENAS JAVIER " sheetId="22" r:id="rId9"/>
    <sheet name="CARRERA REYES MARTIN SEBASTIAN" sheetId="11" r:id="rId10"/>
    <sheet name="CORDOVA URIBE JOSE  ADRIAN" sheetId="24" r:id="rId11"/>
    <sheet name="GUZMAN CHAPARRO PEDRO" sheetId="20" r:id="rId12"/>
    <sheet name="HERNANDEZ LICANO JOSE LUIS" sheetId="29" r:id="rId13"/>
    <sheet name="LIRA ARCEO JOEL EDUARDO" sheetId="47" r:id="rId14"/>
    <sheet name="MARTINEZ RAMIREZ ROSALIO" sheetId="30" r:id="rId15"/>
    <sheet name="MACHADO MAZUCA ADOLFO" sheetId="44" r:id="rId16"/>
    <sheet name="MELENDEZ SINALOA MANUEL ARAT" sheetId="13" r:id="rId17"/>
    <sheet name="MERCADO LOPEZ JESUS" sheetId="33" r:id="rId18"/>
    <sheet name="MONTERO BURROLA LUIS" sheetId="9" r:id="rId19"/>
    <sheet name="MORALES LOPEZ DE LARA MARIANO" sheetId="25" r:id="rId20"/>
    <sheet name="NUÑEZ RUIZ IRVING JAVIER." sheetId="43" r:id="rId21"/>
    <sheet name="ONTIVEROS LIRA JUAN" sheetId="39" r:id="rId22"/>
    <sheet name="ORONA BECERRA MAURO JOSE" sheetId="16" r:id="rId23"/>
    <sheet name="ORTIZ RAMIREZ HECTOR MANUEL" sheetId="38" r:id="rId24"/>
    <sheet name="RAMIREZ BAUTISTA ADRIAN" sheetId="15" r:id="rId25"/>
    <sheet name="REYES LARA DANTE" sheetId="17" r:id="rId26"/>
    <sheet name="RODRIGUEZ FLORES BRYAN DARIO" sheetId="41" r:id="rId27"/>
    <sheet name="RUIZ SAUCEDO DANIEL ALEJANDRO" sheetId="35" r:id="rId28"/>
    <sheet name="VALLES HERNANDEZ MANUEL MARCELI" sheetId="26" r:id="rId29"/>
    <sheet name="KM POR CHOFER" sheetId="36" r:id="rId30"/>
    <sheet name="KM POR UNIDAD" sheetId="37" r:id="rId31"/>
    <sheet name="KM POR CLIENTE" sheetId="45" r:id="rId32"/>
    <sheet name="KILOMETRAJE" sheetId="21" r:id="rId33"/>
    <sheet name="UNIDADES" sheetId="42" r:id="rId34"/>
    <sheet name="FORMULAS" sheetId="18" r:id="rId35"/>
  </sheets>
  <externalReferences>
    <externalReference r:id="rId36"/>
    <externalReference r:id="rId37"/>
    <externalReference r:id="rId38"/>
  </externalReferences>
  <definedNames>
    <definedName name="ANDRES" localSheetId="7">#REF!</definedName>
    <definedName name="ANDRES" localSheetId="32">#REF!</definedName>
    <definedName name="ANDRES" localSheetId="29">#REF!</definedName>
    <definedName name="ANDRES">#REF!</definedName>
    <definedName name="ARON">#REF!</definedName>
    <definedName name="AUX">[1]SEM.01!$AJ$6:$AK$45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[1]SEM.01!$AG$6:$AH$45</definedName>
    <definedName name="TABLA3">#REF!</definedName>
    <definedName name="TABLA4">#REF!</definedName>
    <definedName name="TABLA7">#REF!</definedName>
    <definedName name="TABLA7.05">#REF!</definedName>
    <definedName name="TABLA7.08">[1]SEM.01!$AM$6:$AN$45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7" i="43" l="1"/>
  <c r="J27" i="43"/>
  <c r="Q27" i="43" s="1"/>
  <c r="I27" i="43"/>
  <c r="H27" i="43"/>
  <c r="J26" i="43"/>
  <c r="Q26" i="43" s="1"/>
  <c r="I26" i="43"/>
  <c r="H26" i="43"/>
  <c r="R25" i="43"/>
  <c r="J25" i="43"/>
  <c r="Q25" i="43" s="1"/>
  <c r="I25" i="43"/>
  <c r="H25" i="43"/>
  <c r="S27" i="43" l="1"/>
  <c r="T27" i="43" s="1"/>
  <c r="L27" i="43"/>
  <c r="J26" i="15" l="1"/>
  <c r="Q26" i="15" s="1"/>
  <c r="I26" i="15"/>
  <c r="H26" i="15"/>
  <c r="J25" i="15"/>
  <c r="I25" i="15"/>
  <c r="H25" i="15"/>
  <c r="R26" i="15"/>
  <c r="R22" i="16"/>
  <c r="J22" i="16"/>
  <c r="Q22" i="16" s="1"/>
  <c r="I22" i="16"/>
  <c r="H22" i="16"/>
  <c r="J21" i="16"/>
  <c r="Q21" i="16" s="1"/>
  <c r="I21" i="16"/>
  <c r="H21" i="16"/>
  <c r="R28" i="31"/>
  <c r="J28" i="31"/>
  <c r="Q28" i="31" s="1"/>
  <c r="I28" i="31"/>
  <c r="H28" i="31"/>
  <c r="J27" i="31"/>
  <c r="Q27" i="31" s="1"/>
  <c r="I27" i="31"/>
  <c r="H27" i="31"/>
  <c r="J24" i="20"/>
  <c r="Q24" i="20" s="1"/>
  <c r="I24" i="20"/>
  <c r="H24" i="20"/>
  <c r="J23" i="20"/>
  <c r="Q23" i="20" s="1"/>
  <c r="I23" i="20"/>
  <c r="H23" i="20"/>
  <c r="R24" i="20"/>
  <c r="R28" i="9"/>
  <c r="J28" i="9"/>
  <c r="Q28" i="9" s="1"/>
  <c r="I28" i="9"/>
  <c r="H28" i="9"/>
  <c r="J27" i="9"/>
  <c r="Q27" i="9" s="1"/>
  <c r="I27" i="9"/>
  <c r="H27" i="9"/>
  <c r="J22" i="48"/>
  <c r="Q22" i="48" s="1"/>
  <c r="I22" i="48"/>
  <c r="H22" i="48"/>
  <c r="J21" i="48"/>
  <c r="I21" i="48"/>
  <c r="H21" i="48"/>
  <c r="R22" i="48"/>
  <c r="J26" i="1"/>
  <c r="Q26" i="1" s="1"/>
  <c r="I26" i="1"/>
  <c r="H26" i="1"/>
  <c r="J25" i="1"/>
  <c r="Q25" i="1" s="1"/>
  <c r="I25" i="1"/>
  <c r="H25" i="1"/>
  <c r="R26" i="1"/>
  <c r="J26" i="10"/>
  <c r="Q26" i="10" s="1"/>
  <c r="I26" i="10"/>
  <c r="H26" i="10"/>
  <c r="J25" i="10"/>
  <c r="I25" i="10"/>
  <c r="H25" i="10"/>
  <c r="R26" i="10"/>
  <c r="L22" i="48" l="1"/>
  <c r="L26" i="15"/>
  <c r="Q25" i="15"/>
  <c r="S26" i="15"/>
  <c r="T26" i="15" s="1"/>
  <c r="L22" i="16"/>
  <c r="S22" i="16"/>
  <c r="T22" i="16" s="1"/>
  <c r="L26" i="10"/>
  <c r="S28" i="31"/>
  <c r="T28" i="31" s="1"/>
  <c r="S28" i="9"/>
  <c r="T28" i="9" s="1"/>
  <c r="L28" i="9"/>
  <c r="L28" i="31"/>
  <c r="S24" i="20"/>
  <c r="T24" i="20" s="1"/>
  <c r="L24" i="20"/>
  <c r="S22" i="48"/>
  <c r="T22" i="48" s="1"/>
  <c r="Q21" i="48"/>
  <c r="L26" i="1"/>
  <c r="S26" i="1"/>
  <c r="T26" i="1" s="1"/>
  <c r="Q25" i="10"/>
  <c r="S26" i="10"/>
  <c r="T26" i="10" s="1"/>
  <c r="R26" i="11"/>
  <c r="J26" i="11"/>
  <c r="I26" i="11"/>
  <c r="H26" i="11"/>
  <c r="J25" i="11"/>
  <c r="Q25" i="11" s="1"/>
  <c r="I25" i="11"/>
  <c r="H25" i="11"/>
  <c r="R26" i="26"/>
  <c r="J26" i="26"/>
  <c r="Q26" i="26" s="1"/>
  <c r="I26" i="26"/>
  <c r="H26" i="26"/>
  <c r="J25" i="26"/>
  <c r="Q25" i="26" s="1"/>
  <c r="I25" i="26"/>
  <c r="H25" i="26"/>
  <c r="R24" i="28"/>
  <c r="J24" i="28"/>
  <c r="I24" i="28"/>
  <c r="H24" i="28"/>
  <c r="J23" i="28"/>
  <c r="Q23" i="28" s="1"/>
  <c r="I23" i="28"/>
  <c r="H23" i="28"/>
  <c r="J24" i="43"/>
  <c r="I24" i="43"/>
  <c r="H24" i="43"/>
  <c r="R26" i="13"/>
  <c r="J26" i="13"/>
  <c r="Q26" i="13" s="1"/>
  <c r="I26" i="13"/>
  <c r="H26" i="13"/>
  <c r="J25" i="13"/>
  <c r="I25" i="13"/>
  <c r="H25" i="13"/>
  <c r="J24" i="10"/>
  <c r="Q24" i="10" s="1"/>
  <c r="I24" i="10"/>
  <c r="H24" i="10"/>
  <c r="J23" i="10"/>
  <c r="Q23" i="10" s="1"/>
  <c r="I23" i="10"/>
  <c r="H23" i="10"/>
  <c r="R24" i="10"/>
  <c r="J24" i="29"/>
  <c r="Q24" i="29" s="1"/>
  <c r="I24" i="29"/>
  <c r="H24" i="29"/>
  <c r="J23" i="29"/>
  <c r="I23" i="29"/>
  <c r="H23" i="29"/>
  <c r="R24" i="29"/>
  <c r="J24" i="44"/>
  <c r="Q24" i="44" s="1"/>
  <c r="I24" i="44"/>
  <c r="H24" i="44"/>
  <c r="J23" i="44"/>
  <c r="I23" i="44"/>
  <c r="H23" i="44"/>
  <c r="R24" i="44"/>
  <c r="J24" i="30"/>
  <c r="Q24" i="30" s="1"/>
  <c r="I24" i="30"/>
  <c r="H24" i="30"/>
  <c r="J23" i="30"/>
  <c r="I23" i="30"/>
  <c r="H23" i="30"/>
  <c r="R24" i="30"/>
  <c r="J26" i="9"/>
  <c r="Q26" i="9" s="1"/>
  <c r="I26" i="9"/>
  <c r="H26" i="9"/>
  <c r="J25" i="9"/>
  <c r="I25" i="9"/>
  <c r="H25" i="9"/>
  <c r="R26" i="9"/>
  <c r="J26" i="31"/>
  <c r="Q26" i="31" s="1"/>
  <c r="I26" i="31"/>
  <c r="H26" i="31"/>
  <c r="J25" i="31"/>
  <c r="Q25" i="31" s="1"/>
  <c r="I25" i="31"/>
  <c r="H25" i="31"/>
  <c r="R26" i="31"/>
  <c r="J22" i="17"/>
  <c r="Q22" i="17" s="1"/>
  <c r="I22" i="17"/>
  <c r="H22" i="17"/>
  <c r="J21" i="17"/>
  <c r="Q21" i="17" s="1"/>
  <c r="I21" i="17"/>
  <c r="H21" i="17"/>
  <c r="R22" i="17"/>
  <c r="H23" i="1"/>
  <c r="I23" i="1"/>
  <c r="J23" i="1"/>
  <c r="Q23" i="1" s="1"/>
  <c r="H24" i="1"/>
  <c r="I24" i="1"/>
  <c r="J24" i="1"/>
  <c r="Q24" i="1" s="1"/>
  <c r="R24" i="1"/>
  <c r="R24" i="31"/>
  <c r="J24" i="31"/>
  <c r="Q24" i="31" s="1"/>
  <c r="I24" i="31"/>
  <c r="H24" i="31"/>
  <c r="J23" i="31"/>
  <c r="I23" i="31"/>
  <c r="H23" i="31"/>
  <c r="J24" i="15"/>
  <c r="Q24" i="15" s="1"/>
  <c r="I24" i="15"/>
  <c r="H24" i="15"/>
  <c r="J23" i="15"/>
  <c r="I23" i="15"/>
  <c r="H23" i="15"/>
  <c r="R24" i="15"/>
  <c r="J24" i="41"/>
  <c r="Q24" i="41" s="1"/>
  <c r="I24" i="41"/>
  <c r="H24" i="41"/>
  <c r="J23" i="41"/>
  <c r="Q23" i="41" s="1"/>
  <c r="I23" i="41"/>
  <c r="H23" i="41"/>
  <c r="R24" i="41"/>
  <c r="J22" i="41"/>
  <c r="Q22" i="41" s="1"/>
  <c r="I22" i="41"/>
  <c r="H22" i="41"/>
  <c r="J21" i="41"/>
  <c r="Q21" i="41" s="1"/>
  <c r="I21" i="41"/>
  <c r="H21" i="41"/>
  <c r="R22" i="41"/>
  <c r="Q24" i="43" l="1"/>
  <c r="S25" i="43"/>
  <c r="T25" i="43" s="1"/>
  <c r="L25" i="43"/>
  <c r="S26" i="31"/>
  <c r="T26" i="31" s="1"/>
  <c r="L24" i="29"/>
  <c r="L26" i="9"/>
  <c r="L24" i="15"/>
  <c r="L24" i="41"/>
  <c r="L24" i="31"/>
  <c r="L26" i="13"/>
  <c r="S24" i="41"/>
  <c r="T24" i="41" s="1"/>
  <c r="Q23" i="15"/>
  <c r="Q23" i="29"/>
  <c r="Q25" i="13"/>
  <c r="L24" i="28"/>
  <c r="Q25" i="9"/>
  <c r="L26" i="11"/>
  <c r="S24" i="31"/>
  <c r="T24" i="31" s="1"/>
  <c r="S24" i="15"/>
  <c r="T24" i="15" s="1"/>
  <c r="S26" i="13"/>
  <c r="T26" i="13" s="1"/>
  <c r="Q24" i="28"/>
  <c r="S24" i="28"/>
  <c r="T24" i="28" s="1"/>
  <c r="S26" i="26"/>
  <c r="T26" i="26" s="1"/>
  <c r="S26" i="11"/>
  <c r="T26" i="11" s="1"/>
  <c r="Q26" i="11"/>
  <c r="L26" i="26"/>
  <c r="L24" i="10"/>
  <c r="S24" i="10"/>
  <c r="T24" i="10" s="1"/>
  <c r="S24" i="29"/>
  <c r="T24" i="29" s="1"/>
  <c r="L24" i="44"/>
  <c r="Q23" i="44"/>
  <c r="S24" i="44"/>
  <c r="T24" i="44" s="1"/>
  <c r="L24" i="30"/>
  <c r="Q23" i="30"/>
  <c r="S24" i="30"/>
  <c r="T24" i="30" s="1"/>
  <c r="S26" i="9"/>
  <c r="T26" i="9" s="1"/>
  <c r="L26" i="31"/>
  <c r="L22" i="17"/>
  <c r="S22" i="17"/>
  <c r="T22" i="17" s="1"/>
  <c r="L24" i="1"/>
  <c r="S24" i="1"/>
  <c r="T24" i="1" s="1"/>
  <c r="Q23" i="31"/>
  <c r="L22" i="41"/>
  <c r="S22" i="41"/>
  <c r="T22" i="41" s="1"/>
  <c r="J24" i="11"/>
  <c r="I24" i="11"/>
  <c r="H24" i="11"/>
  <c r="J23" i="11"/>
  <c r="Q23" i="11" s="1"/>
  <c r="I23" i="11"/>
  <c r="H23" i="11"/>
  <c r="R24" i="11"/>
  <c r="L24" i="11" l="1"/>
  <c r="Q24" i="11"/>
  <c r="S24" i="11"/>
  <c r="T24" i="11" s="1"/>
  <c r="J24" i="13"/>
  <c r="Q24" i="13" s="1"/>
  <c r="I24" i="13"/>
  <c r="H24" i="13"/>
  <c r="J23" i="13"/>
  <c r="Q23" i="13" s="1"/>
  <c r="I23" i="13"/>
  <c r="H23" i="13"/>
  <c r="R26" i="4"/>
  <c r="J26" i="4"/>
  <c r="Q26" i="4" s="1"/>
  <c r="I26" i="4"/>
  <c r="H26" i="4"/>
  <c r="J25" i="4"/>
  <c r="I25" i="4"/>
  <c r="H25" i="4"/>
  <c r="R24" i="4"/>
  <c r="J24" i="4"/>
  <c r="Q24" i="4" s="1"/>
  <c r="I24" i="4"/>
  <c r="H24" i="4"/>
  <c r="J23" i="4"/>
  <c r="I23" i="4"/>
  <c r="H23" i="4"/>
  <c r="R22" i="4"/>
  <c r="J22" i="4"/>
  <c r="Q22" i="4" s="1"/>
  <c r="I22" i="4"/>
  <c r="H22" i="4"/>
  <c r="J21" i="4"/>
  <c r="Q21" i="4" s="1"/>
  <c r="I21" i="4"/>
  <c r="H21" i="4"/>
  <c r="R22" i="30"/>
  <c r="J22" i="30"/>
  <c r="Q22" i="30" s="1"/>
  <c r="I22" i="30"/>
  <c r="H22" i="30"/>
  <c r="J21" i="30"/>
  <c r="Q21" i="30" s="1"/>
  <c r="I21" i="30"/>
  <c r="H21" i="30"/>
  <c r="R22" i="11"/>
  <c r="L26" i="4" l="1"/>
  <c r="L24" i="4"/>
  <c r="S26" i="4"/>
  <c r="T26" i="4" s="1"/>
  <c r="Q23" i="4"/>
  <c r="S22" i="4"/>
  <c r="T22" i="4" s="1"/>
  <c r="Q25" i="4"/>
  <c r="S22" i="30"/>
  <c r="T22" i="30" s="1"/>
  <c r="L22" i="30"/>
  <c r="S24" i="4"/>
  <c r="T24" i="4" s="1"/>
  <c r="L24" i="13"/>
  <c r="S24" i="13"/>
  <c r="T24" i="13" s="1"/>
  <c r="L22" i="4"/>
  <c r="J22" i="11"/>
  <c r="Q22" i="11" s="1"/>
  <c r="I22" i="11"/>
  <c r="H22" i="11"/>
  <c r="J21" i="11"/>
  <c r="I21" i="11"/>
  <c r="H21" i="11"/>
  <c r="J23" i="43"/>
  <c r="Q23" i="43" s="1"/>
  <c r="I23" i="43"/>
  <c r="H23" i="43"/>
  <c r="J22" i="43"/>
  <c r="I22" i="43"/>
  <c r="H22" i="43"/>
  <c r="R23" i="43"/>
  <c r="R24" i="26"/>
  <c r="J24" i="26"/>
  <c r="Q24" i="26" s="1"/>
  <c r="I24" i="26"/>
  <c r="H24" i="26"/>
  <c r="J23" i="26"/>
  <c r="I23" i="26"/>
  <c r="H23" i="26"/>
  <c r="R22" i="26"/>
  <c r="J22" i="26"/>
  <c r="Q22" i="26" s="1"/>
  <c r="I22" i="26"/>
  <c r="H22" i="26"/>
  <c r="J21" i="26"/>
  <c r="Q21" i="26" s="1"/>
  <c r="I21" i="26"/>
  <c r="H21" i="26"/>
  <c r="S22" i="11" l="1"/>
  <c r="T22" i="11" s="1"/>
  <c r="L24" i="26"/>
  <c r="Q23" i="26"/>
  <c r="S24" i="26"/>
  <c r="T24" i="26" s="1"/>
  <c r="L22" i="26"/>
  <c r="S22" i="26"/>
  <c r="T22" i="26" s="1"/>
  <c r="L22" i="11"/>
  <c r="Q21" i="11"/>
  <c r="L23" i="43"/>
  <c r="Q22" i="43"/>
  <c r="S23" i="43"/>
  <c r="T23" i="43" s="1"/>
  <c r="R22" i="15"/>
  <c r="J22" i="15"/>
  <c r="Q22" i="15" s="1"/>
  <c r="I22" i="15"/>
  <c r="H22" i="15"/>
  <c r="J21" i="15"/>
  <c r="I21" i="15"/>
  <c r="H21" i="15"/>
  <c r="R22" i="39"/>
  <c r="J22" i="39"/>
  <c r="Q22" i="39" s="1"/>
  <c r="I22" i="39"/>
  <c r="H22" i="39"/>
  <c r="J21" i="39"/>
  <c r="I21" i="39"/>
  <c r="H21" i="39"/>
  <c r="R22" i="44"/>
  <c r="J22" i="44"/>
  <c r="Q22" i="44" s="1"/>
  <c r="I22" i="44"/>
  <c r="H22" i="44"/>
  <c r="J21" i="44"/>
  <c r="I21" i="44"/>
  <c r="H21" i="44"/>
  <c r="R22" i="20"/>
  <c r="J22" i="20"/>
  <c r="Q22" i="20" s="1"/>
  <c r="I22" i="20"/>
  <c r="H22" i="20"/>
  <c r="J21" i="20"/>
  <c r="Q21" i="20" s="1"/>
  <c r="I21" i="20"/>
  <c r="H21" i="20"/>
  <c r="J22" i="29"/>
  <c r="Q22" i="29" s="1"/>
  <c r="I22" i="29"/>
  <c r="H22" i="29"/>
  <c r="J21" i="29"/>
  <c r="Q21" i="29" s="1"/>
  <c r="I21" i="29"/>
  <c r="H21" i="29"/>
  <c r="R22" i="29"/>
  <c r="R24" i="9"/>
  <c r="J24" i="9"/>
  <c r="Q24" i="9" s="1"/>
  <c r="I24" i="9"/>
  <c r="H24" i="9"/>
  <c r="J23" i="9"/>
  <c r="Q23" i="9" s="1"/>
  <c r="I23" i="9"/>
  <c r="H23" i="9"/>
  <c r="J22" i="10"/>
  <c r="Q22" i="10" s="1"/>
  <c r="I22" i="10"/>
  <c r="H22" i="10"/>
  <c r="J21" i="10"/>
  <c r="Q21" i="10" s="1"/>
  <c r="I21" i="10"/>
  <c r="H21" i="10"/>
  <c r="R22" i="10"/>
  <c r="R22" i="28"/>
  <c r="J22" i="28"/>
  <c r="Q22" i="28" s="1"/>
  <c r="I22" i="28"/>
  <c r="H22" i="28"/>
  <c r="J21" i="28"/>
  <c r="Q21" i="28" s="1"/>
  <c r="I21" i="28"/>
  <c r="H21" i="28"/>
  <c r="J22" i="13"/>
  <c r="Q22" i="13" s="1"/>
  <c r="I22" i="13"/>
  <c r="H22" i="13"/>
  <c r="J21" i="13"/>
  <c r="I21" i="13"/>
  <c r="H21" i="13"/>
  <c r="R22" i="31"/>
  <c r="J22" i="31"/>
  <c r="Q22" i="31" s="1"/>
  <c r="I22" i="31"/>
  <c r="H22" i="31"/>
  <c r="J21" i="31"/>
  <c r="Q21" i="31" s="1"/>
  <c r="I21" i="31"/>
  <c r="H21" i="31"/>
  <c r="R22" i="1"/>
  <c r="J22" i="1"/>
  <c r="Q22" i="1" s="1"/>
  <c r="I22" i="1"/>
  <c r="H22" i="1"/>
  <c r="J21" i="1"/>
  <c r="Q21" i="1" s="1"/>
  <c r="I21" i="1"/>
  <c r="H21" i="1"/>
  <c r="L22" i="15" l="1"/>
  <c r="L22" i="39"/>
  <c r="L22" i="44"/>
  <c r="Q21" i="44"/>
  <c r="S22" i="20"/>
  <c r="T22" i="20" s="1"/>
  <c r="S22" i="44"/>
  <c r="T22" i="44" s="1"/>
  <c r="S24" i="9"/>
  <c r="T24" i="9" s="1"/>
  <c r="L24" i="9"/>
  <c r="S22" i="1"/>
  <c r="T22" i="1" s="1"/>
  <c r="S22" i="31"/>
  <c r="T22" i="31" s="1"/>
  <c r="L22" i="20"/>
  <c r="Q21" i="39"/>
  <c r="L22" i="1"/>
  <c r="L22" i="13"/>
  <c r="Q21" i="15"/>
  <c r="S22" i="39"/>
  <c r="T22" i="39" s="1"/>
  <c r="S22" i="15"/>
  <c r="T22" i="15" s="1"/>
  <c r="S22" i="28"/>
  <c r="T22" i="28" s="1"/>
  <c r="L22" i="28"/>
  <c r="L22" i="29"/>
  <c r="S22" i="29"/>
  <c r="T22" i="29" s="1"/>
  <c r="L22" i="10"/>
  <c r="S22" i="10"/>
  <c r="T22" i="10" s="1"/>
  <c r="S22" i="13"/>
  <c r="T22" i="13" s="1"/>
  <c r="Q21" i="13"/>
  <c r="L22" i="31"/>
  <c r="J22" i="9"/>
  <c r="Q22" i="9" s="1"/>
  <c r="I22" i="9"/>
  <c r="H22" i="9"/>
  <c r="J21" i="9"/>
  <c r="I21" i="9"/>
  <c r="H21" i="9"/>
  <c r="R22" i="9"/>
  <c r="L22" i="9" l="1"/>
  <c r="Q21" i="9"/>
  <c r="S22" i="9"/>
  <c r="T22" i="9" s="1"/>
  <c r="R20" i="15" l="1"/>
  <c r="J20" i="13"/>
  <c r="I20" i="13"/>
  <c r="H20" i="13"/>
  <c r="J19" i="13"/>
  <c r="I19" i="13"/>
  <c r="H19" i="13"/>
  <c r="U43" i="44" l="1"/>
  <c r="J19" i="29" l="1"/>
  <c r="I19" i="29"/>
  <c r="H19" i="29"/>
  <c r="W43" i="28" l="1"/>
  <c r="W44" i="28"/>
  <c r="U44" i="28"/>
  <c r="V43" i="28"/>
  <c r="V42" i="28"/>
  <c r="W41" i="44" l="1"/>
  <c r="W42" i="44"/>
  <c r="V42" i="44"/>
  <c r="V41" i="44"/>
  <c r="U42" i="44" l="1"/>
  <c r="Q19" i="29" l="1"/>
  <c r="R20" i="41"/>
  <c r="J20" i="41"/>
  <c r="Q20" i="41" s="1"/>
  <c r="I20" i="41"/>
  <c r="H20" i="41"/>
  <c r="J19" i="41"/>
  <c r="I19" i="41"/>
  <c r="H19" i="41"/>
  <c r="L20" i="41" l="1"/>
  <c r="S20" i="41"/>
  <c r="T20" i="41" s="1"/>
  <c r="Q19" i="41"/>
  <c r="J20" i="17" l="1"/>
  <c r="I20" i="17"/>
  <c r="H20" i="17"/>
  <c r="J19" i="17"/>
  <c r="I19" i="17"/>
  <c r="H19" i="17"/>
  <c r="R20" i="28"/>
  <c r="V43" i="9" l="1"/>
  <c r="W43" i="9"/>
  <c r="U43" i="9" l="1"/>
  <c r="U45" i="10"/>
  <c r="W46" i="43" l="1"/>
  <c r="W45" i="11"/>
  <c r="U46" i="43" l="1"/>
  <c r="U45" i="11"/>
  <c r="W43" i="10" l="1"/>
  <c r="U43" i="10" l="1"/>
  <c r="F38" i="38" l="1"/>
  <c r="T40" i="38" l="1"/>
  <c r="V44" i="10" l="1"/>
  <c r="U45" i="30" l="1"/>
  <c r="W43" i="17" l="1"/>
  <c r="U44" i="10"/>
  <c r="W44" i="10"/>
  <c r="U43" i="17" l="1"/>
  <c r="I19" i="47" l="1"/>
  <c r="J19" i="47"/>
  <c r="E32" i="27" l="1"/>
  <c r="F32" i="27"/>
  <c r="G32" i="27"/>
  <c r="H32" i="27"/>
  <c r="I32" i="27"/>
  <c r="J32" i="27"/>
  <c r="V40" i="9" l="1"/>
  <c r="W42" i="26" l="1"/>
  <c r="R20" i="26"/>
  <c r="J19" i="26"/>
  <c r="Q19" i="26" s="1"/>
  <c r="I19" i="26"/>
  <c r="H19" i="26"/>
  <c r="R20" i="13" l="1"/>
  <c r="U43" i="28"/>
  <c r="V43" i="26"/>
  <c r="W44" i="26"/>
  <c r="W43" i="26"/>
  <c r="U44" i="26"/>
  <c r="U43" i="26" l="1"/>
  <c r="V41" i="28" l="1"/>
  <c r="W41" i="28"/>
  <c r="W40" i="28"/>
  <c r="V40" i="28"/>
  <c r="W42" i="9"/>
  <c r="W41" i="9"/>
  <c r="V42" i="9"/>
  <c r="U42" i="9"/>
  <c r="V42" i="26"/>
  <c r="W41" i="26"/>
  <c r="V41" i="26"/>
  <c r="U41" i="9" l="1"/>
  <c r="U41" i="28"/>
  <c r="U42" i="26"/>
  <c r="V40" i="26" l="1"/>
  <c r="U41" i="26"/>
  <c r="W40" i="9" l="1"/>
  <c r="V41" i="9"/>
  <c r="U40" i="9" l="1"/>
  <c r="W40" i="26"/>
  <c r="W39" i="26"/>
  <c r="V39" i="26"/>
  <c r="U40" i="26"/>
  <c r="J20" i="26"/>
  <c r="S20" i="26" s="1"/>
  <c r="I20" i="26"/>
  <c r="H20" i="26"/>
  <c r="T20" i="26" l="1"/>
  <c r="F38" i="26" s="1"/>
  <c r="U39" i="26"/>
  <c r="Q20" i="26"/>
  <c r="F37" i="26" s="1"/>
  <c r="U40" i="28"/>
  <c r="R20" i="44" l="1"/>
  <c r="M35" i="25" l="1"/>
  <c r="Q3" i="33" l="1"/>
  <c r="J16" i="33"/>
  <c r="H19" i="33"/>
  <c r="I19" i="33"/>
  <c r="J19" i="33"/>
  <c r="H20" i="33"/>
  <c r="I20" i="33"/>
  <c r="J20" i="33"/>
  <c r="Q20" i="33" s="1"/>
  <c r="R20" i="33"/>
  <c r="U41" i="33"/>
  <c r="U44" i="33"/>
  <c r="F34" i="33"/>
  <c r="H34" i="33" s="1"/>
  <c r="I34" i="33" s="1"/>
  <c r="J34" i="33" s="1"/>
  <c r="K34" i="33" s="1"/>
  <c r="L34" i="33" s="1"/>
  <c r="M35" i="33"/>
  <c r="F40" i="33" s="1"/>
  <c r="T40" i="33"/>
  <c r="V40" i="33"/>
  <c r="W40" i="33"/>
  <c r="T41" i="33"/>
  <c r="V41" i="33"/>
  <c r="W41" i="33"/>
  <c r="T42" i="33"/>
  <c r="U42" i="33"/>
  <c r="V42" i="33"/>
  <c r="W42" i="33"/>
  <c r="T43" i="33"/>
  <c r="U43" i="33"/>
  <c r="V43" i="33"/>
  <c r="W43" i="33"/>
  <c r="T44" i="33"/>
  <c r="V44" i="33"/>
  <c r="W44" i="33"/>
  <c r="T45" i="33"/>
  <c r="U45" i="33"/>
  <c r="V45" i="33"/>
  <c r="W45" i="33"/>
  <c r="L46" i="33"/>
  <c r="U46" i="33"/>
  <c r="V46" i="33"/>
  <c r="W46" i="33"/>
  <c r="S20" i="33" l="1"/>
  <c r="T20" i="33" s="1"/>
  <c r="F39" i="33" s="1"/>
  <c r="L20" i="33"/>
  <c r="F16" i="33"/>
  <c r="P16" i="33" s="1"/>
  <c r="U40" i="33"/>
  <c r="Q19" i="33"/>
  <c r="F38" i="33" s="1"/>
  <c r="F49" i="33" l="1"/>
  <c r="Q37" i="33" s="1"/>
  <c r="J20" i="28"/>
  <c r="Q20" i="28" s="1"/>
  <c r="I20" i="28"/>
  <c r="H20" i="28"/>
  <c r="J19" i="28"/>
  <c r="I19" i="28"/>
  <c r="H19" i="28"/>
  <c r="S20" i="28" l="1"/>
  <c r="T20" i="28" s="1"/>
  <c r="F38" i="28" s="1"/>
  <c r="Q19" i="28"/>
  <c r="F37" i="28" s="1"/>
  <c r="U39" i="28"/>
  <c r="L20" i="28"/>
  <c r="R20" i="1" l="1"/>
  <c r="U41" i="44" l="1"/>
  <c r="W42" i="28" l="1"/>
  <c r="U42" i="28"/>
  <c r="W39" i="28" l="1"/>
  <c r="V39" i="28" l="1"/>
  <c r="V40" i="44" l="1"/>
  <c r="V44" i="28" l="1"/>
  <c r="T39" i="28"/>
  <c r="H19" i="47" l="1"/>
  <c r="J19" i="44" l="1"/>
  <c r="Q19" i="44" s="1"/>
  <c r="I19" i="44"/>
  <c r="H19" i="44"/>
  <c r="J20" i="44"/>
  <c r="Q20" i="44" s="1"/>
  <c r="I20" i="44"/>
  <c r="H20" i="44"/>
  <c r="F38" i="44" l="1"/>
  <c r="S20" i="44"/>
  <c r="T20" i="44" s="1"/>
  <c r="F39" i="44" s="1"/>
  <c r="U40" i="44"/>
  <c r="L20" i="44"/>
  <c r="T41" i="11" l="1"/>
  <c r="R20" i="25" l="1"/>
  <c r="T42" i="11" l="1"/>
  <c r="Q6" i="4" l="1"/>
  <c r="W43" i="44" l="1"/>
  <c r="W40" i="23" l="1"/>
  <c r="T45" i="31" l="1"/>
  <c r="W41" i="11"/>
  <c r="V44" i="11"/>
  <c r="V45" i="11"/>
  <c r="U44" i="11" l="1"/>
  <c r="W44" i="11" l="1"/>
  <c r="V43" i="11"/>
  <c r="R20" i="22" l="1"/>
  <c r="T41" i="48" l="1"/>
  <c r="T42" i="48"/>
  <c r="U43" i="11" l="1"/>
  <c r="W45" i="10" l="1"/>
  <c r="W41" i="10"/>
  <c r="W42" i="10"/>
  <c r="R20" i="10" l="1"/>
  <c r="V45" i="10" l="1"/>
  <c r="V43" i="10"/>
  <c r="V42" i="10"/>
  <c r="V41" i="10"/>
  <c r="U46" i="10"/>
  <c r="U42" i="10"/>
  <c r="J20" i="10"/>
  <c r="Q20" i="10" s="1"/>
  <c r="I20" i="10"/>
  <c r="H20" i="10"/>
  <c r="T41" i="10"/>
  <c r="R20" i="4" l="1"/>
  <c r="R20" i="16" l="1"/>
  <c r="R20" i="31" l="1"/>
  <c r="K18" i="36" l="1"/>
  <c r="U41" i="39"/>
  <c r="H19" i="31" l="1"/>
  <c r="T40" i="24"/>
  <c r="K11" i="27" l="1"/>
  <c r="F10" i="27"/>
  <c r="W41" i="47" l="1"/>
  <c r="J23" i="27" l="1"/>
  <c r="I23" i="27"/>
  <c r="H23" i="27"/>
  <c r="G23" i="27"/>
  <c r="W43" i="11" l="1"/>
  <c r="H5" i="27" l="1"/>
  <c r="I5" i="27"/>
  <c r="J5" i="27"/>
  <c r="R21" i="43" l="1"/>
  <c r="T45" i="43" l="1"/>
  <c r="R20" i="47" l="1"/>
  <c r="T43" i="28" l="1"/>
  <c r="T41" i="28"/>
  <c r="D68" i="37" l="1"/>
  <c r="C68" i="37"/>
  <c r="B68" i="37"/>
  <c r="E68" i="37" l="1"/>
  <c r="U41" i="23" l="1"/>
  <c r="U42" i="20"/>
  <c r="U42" i="23"/>
  <c r="U42" i="31" l="1"/>
  <c r="U42" i="24"/>
  <c r="U41" i="31" l="1"/>
  <c r="U42" i="11"/>
  <c r="U41" i="20" l="1"/>
  <c r="U41" i="24"/>
  <c r="U43" i="31" l="1"/>
  <c r="U44" i="23"/>
  <c r="T40" i="47" l="1"/>
  <c r="T43" i="47"/>
  <c r="T42" i="47"/>
  <c r="T41" i="47"/>
  <c r="J19" i="16"/>
  <c r="J20" i="16"/>
  <c r="Q20" i="16" s="1"/>
  <c r="R20" i="9"/>
  <c r="Q19" i="16" l="1"/>
  <c r="F38" i="16" s="1"/>
  <c r="S20" i="16"/>
  <c r="T20" i="16" s="1"/>
  <c r="F39" i="16" s="1"/>
  <c r="R20" i="23" l="1"/>
  <c r="L46" i="47" l="1"/>
  <c r="U42" i="48" l="1"/>
  <c r="U41" i="38"/>
  <c r="U42" i="1"/>
  <c r="U43" i="16"/>
  <c r="U43" i="29"/>
  <c r="U43" i="25"/>
  <c r="U44" i="22"/>
  <c r="U45" i="22"/>
  <c r="U43" i="47"/>
  <c r="F34" i="22"/>
  <c r="U43" i="22" l="1"/>
  <c r="U41" i="22"/>
  <c r="C29" i="36"/>
  <c r="U42" i="16" l="1"/>
  <c r="U42" i="30"/>
  <c r="U41" i="16"/>
  <c r="U42" i="17"/>
  <c r="U42" i="25"/>
  <c r="U42" i="29"/>
  <c r="U41" i="48"/>
  <c r="U42" i="47"/>
  <c r="U41" i="29" l="1"/>
  <c r="U41" i="25" l="1"/>
  <c r="U41" i="47"/>
  <c r="U41" i="4"/>
  <c r="U41" i="1"/>
  <c r="U41" i="17"/>
  <c r="U41" i="30" l="1"/>
  <c r="R20" i="30" l="1"/>
  <c r="H19" i="30"/>
  <c r="I19" i="30"/>
  <c r="J19" i="30"/>
  <c r="H20" i="30"/>
  <c r="I20" i="30"/>
  <c r="J20" i="30"/>
  <c r="Q20" i="30" s="1"/>
  <c r="J16" i="26"/>
  <c r="S20" i="30" l="1"/>
  <c r="T20" i="30" s="1"/>
  <c r="F39" i="30" s="1"/>
  <c r="Q19" i="30"/>
  <c r="F38" i="30" s="1"/>
  <c r="U40" i="30"/>
  <c r="L20" i="30"/>
  <c r="H19" i="23" l="1"/>
  <c r="J19" i="31" l="1"/>
  <c r="R20" i="11" l="1"/>
  <c r="R20" i="24"/>
  <c r="F36" i="43"/>
  <c r="H36" i="43" s="1"/>
  <c r="G18" i="42" l="1"/>
  <c r="G20" i="42" s="1"/>
  <c r="H21" i="42" s="1"/>
  <c r="R20" i="39" l="1"/>
  <c r="J20" i="39"/>
  <c r="Q20" i="39" s="1"/>
  <c r="I20" i="39"/>
  <c r="H20" i="39"/>
  <c r="J19" i="39"/>
  <c r="I19" i="39"/>
  <c r="H19" i="39"/>
  <c r="S20" i="39" l="1"/>
  <c r="T20" i="39" s="1"/>
  <c r="F39" i="39" s="1"/>
  <c r="U40" i="39"/>
  <c r="L20" i="39"/>
  <c r="Q19" i="39"/>
  <c r="F38" i="39" s="1"/>
  <c r="J19" i="10" l="1"/>
  <c r="S20" i="10" s="1"/>
  <c r="T20" i="10" s="1"/>
  <c r="F40" i="10" s="1"/>
  <c r="I19" i="10"/>
  <c r="H19" i="10"/>
  <c r="L20" i="10" l="1"/>
  <c r="U41" i="10"/>
  <c r="Q19" i="10"/>
  <c r="F39" i="10" s="1"/>
  <c r="U45" i="15" l="1"/>
  <c r="G31" i="42"/>
  <c r="H28" i="42" s="1"/>
  <c r="I28" i="42" l="1"/>
  <c r="H31" i="42"/>
  <c r="H26" i="42"/>
  <c r="I27" i="42"/>
  <c r="H27" i="42"/>
  <c r="W42" i="25"/>
  <c r="V42" i="25"/>
  <c r="W40" i="1" l="1"/>
  <c r="V41" i="1"/>
  <c r="V40" i="1"/>
  <c r="J20" i="4"/>
  <c r="Q20" i="4" s="1"/>
  <c r="I20" i="4"/>
  <c r="H20" i="4"/>
  <c r="J19" i="4"/>
  <c r="I19" i="4"/>
  <c r="H19" i="4"/>
  <c r="Q19" i="4" l="1"/>
  <c r="F38" i="4" s="1"/>
  <c r="S20" i="4"/>
  <c r="T20" i="4" s="1"/>
  <c r="F39" i="4" s="1"/>
  <c r="L20" i="4"/>
  <c r="T42" i="25"/>
  <c r="T42" i="26" l="1"/>
  <c r="U39" i="9" l="1"/>
  <c r="J20" i="23" l="1"/>
  <c r="Q20" i="23" s="1"/>
  <c r="I20" i="23"/>
  <c r="H20" i="23"/>
  <c r="J19" i="23"/>
  <c r="I19" i="23"/>
  <c r="S20" i="23" l="1"/>
  <c r="T20" i="23" s="1"/>
  <c r="F39" i="23" s="1"/>
  <c r="L20" i="23"/>
  <c r="U40" i="23"/>
  <c r="Q19" i="23"/>
  <c r="F38" i="23" s="1"/>
  <c r="T41" i="38"/>
  <c r="T42" i="38"/>
  <c r="T43" i="38"/>
  <c r="T44" i="38"/>
  <c r="T45" i="38"/>
  <c r="T46" i="38"/>
  <c r="F34" i="16"/>
  <c r="H34" i="16" s="1"/>
  <c r="I34" i="16" s="1"/>
  <c r="J34" i="16" s="1"/>
  <c r="K34" i="16" s="1"/>
  <c r="L34" i="16" s="1"/>
  <c r="M35" i="16"/>
  <c r="Q3" i="4" l="1"/>
  <c r="W44" i="29"/>
  <c r="V44" i="29"/>
  <c r="U44" i="29" l="1"/>
  <c r="T44" i="31"/>
  <c r="W43" i="29"/>
  <c r="V43" i="29"/>
  <c r="T43" i="31"/>
  <c r="W42" i="29"/>
  <c r="V42" i="29"/>
  <c r="W40" i="29"/>
  <c r="W41" i="29"/>
  <c r="V41" i="29"/>
  <c r="R20" i="29"/>
  <c r="V40" i="29"/>
  <c r="J20" i="29"/>
  <c r="Q20" i="29" s="1"/>
  <c r="I20" i="29"/>
  <c r="H20" i="29"/>
  <c r="W43" i="30"/>
  <c r="V43" i="30"/>
  <c r="W42" i="30"/>
  <c r="V42" i="30"/>
  <c r="V41" i="30"/>
  <c r="W41" i="30"/>
  <c r="F34" i="4"/>
  <c r="T42" i="31"/>
  <c r="T41" i="31"/>
  <c r="T40" i="31"/>
  <c r="U40" i="29" l="1"/>
  <c r="L20" i="29"/>
  <c r="S20" i="29"/>
  <c r="T20" i="29" s="1"/>
  <c r="U43" i="30"/>
  <c r="F38" i="29"/>
  <c r="F39" i="29" l="1"/>
  <c r="T46" i="25"/>
  <c r="T44" i="9"/>
  <c r="T46" i="48"/>
  <c r="T45" i="48"/>
  <c r="T46" i="20"/>
  <c r="T45" i="20"/>
  <c r="B4" i="37"/>
  <c r="B5" i="37"/>
  <c r="B8" i="37"/>
  <c r="B16" i="37"/>
  <c r="B32" i="37"/>
  <c r="B35" i="37"/>
  <c r="B39" i="37"/>
  <c r="B40" i="37"/>
  <c r="B41" i="37"/>
  <c r="B42" i="37"/>
  <c r="B43" i="37"/>
  <c r="B44" i="37"/>
  <c r="B47" i="37"/>
  <c r="B48" i="37"/>
  <c r="B49" i="37"/>
  <c r="B50" i="37"/>
  <c r="B51" i="37"/>
  <c r="B53" i="37"/>
  <c r="B54" i="37"/>
  <c r="B57" i="37"/>
  <c r="B62" i="37"/>
  <c r="B63" i="37"/>
  <c r="B66" i="37"/>
  <c r="U44" i="13"/>
  <c r="L46" i="29"/>
  <c r="W45" i="16" l="1"/>
  <c r="W43" i="35"/>
  <c r="W42" i="35"/>
  <c r="V43" i="35"/>
  <c r="V42" i="35"/>
  <c r="W44" i="31"/>
  <c r="W43" i="31"/>
  <c r="W45" i="29"/>
  <c r="V45" i="29"/>
  <c r="U45" i="29"/>
  <c r="R20" i="48" l="1"/>
  <c r="U42" i="35" l="1"/>
  <c r="U43" i="35"/>
  <c r="T40" i="15" l="1"/>
  <c r="T44" i="43" l="1"/>
  <c r="F34" i="24" l="1"/>
  <c r="H34" i="24" s="1"/>
  <c r="W44" i="35" l="1"/>
  <c r="W40" i="30" l="1"/>
  <c r="W39" i="9"/>
  <c r="T44" i="35" l="1"/>
  <c r="U44" i="35"/>
  <c r="V44" i="35"/>
  <c r="T43" i="30"/>
  <c r="T43" i="1" l="1"/>
  <c r="T44" i="1"/>
  <c r="T45" i="1"/>
  <c r="T40" i="28" l="1"/>
  <c r="W40" i="38" l="1"/>
  <c r="M29" i="36" l="1"/>
  <c r="M28" i="36"/>
  <c r="M27" i="36"/>
  <c r="M26" i="36"/>
  <c r="M25" i="36"/>
  <c r="M24" i="36"/>
  <c r="M23" i="36"/>
  <c r="M21" i="36"/>
  <c r="M20" i="36"/>
  <c r="M19" i="36"/>
  <c r="M17" i="36"/>
  <c r="M16" i="36"/>
  <c r="M15" i="36"/>
  <c r="M12" i="36"/>
  <c r="M11" i="36"/>
  <c r="M10" i="36"/>
  <c r="M9" i="36"/>
  <c r="M8" i="36"/>
  <c r="M7" i="36"/>
  <c r="M5" i="36"/>
  <c r="M4" i="36"/>
  <c r="W45" i="26"/>
  <c r="V45" i="26"/>
  <c r="U45" i="26"/>
  <c r="V44" i="26"/>
  <c r="W44" i="47"/>
  <c r="W43" i="47"/>
  <c r="W42" i="47"/>
  <c r="W40" i="47"/>
  <c r="U46" i="47"/>
  <c r="U45" i="47"/>
  <c r="U44" i="47"/>
  <c r="B7" i="37"/>
  <c r="W46" i="47"/>
  <c r="V46" i="47"/>
  <c r="W45" i="47"/>
  <c r="V45" i="47"/>
  <c r="V44" i="47"/>
  <c r="V43" i="47"/>
  <c r="V42" i="47"/>
  <c r="V41" i="47"/>
  <c r="V40" i="47"/>
  <c r="W46" i="15"/>
  <c r="W45" i="15"/>
  <c r="W44" i="15"/>
  <c r="W43" i="15"/>
  <c r="W42" i="15"/>
  <c r="W41" i="15"/>
  <c r="W40" i="15"/>
  <c r="V46" i="15"/>
  <c r="U46" i="15"/>
  <c r="V45" i="15"/>
  <c r="V44" i="15"/>
  <c r="U44" i="15"/>
  <c r="V43" i="15"/>
  <c r="U43" i="15"/>
  <c r="V42" i="15"/>
  <c r="U42" i="15"/>
  <c r="V41" i="15"/>
  <c r="U41" i="15"/>
  <c r="V40" i="15"/>
  <c r="U46" i="39"/>
  <c r="U44" i="39"/>
  <c r="U43" i="39"/>
  <c r="U42" i="39"/>
  <c r="W46" i="39"/>
  <c r="W45" i="39"/>
  <c r="W44" i="39"/>
  <c r="W43" i="39"/>
  <c r="W42" i="39"/>
  <c r="W41" i="39"/>
  <c r="W40" i="39"/>
  <c r="V46" i="39"/>
  <c r="V45" i="39"/>
  <c r="U45" i="39"/>
  <c r="V44" i="39"/>
  <c r="V43" i="39"/>
  <c r="V42" i="39"/>
  <c r="V41" i="39"/>
  <c r="V40" i="39"/>
  <c r="W46" i="38"/>
  <c r="W45" i="38"/>
  <c r="W44" i="38"/>
  <c r="W43" i="38"/>
  <c r="W42" i="38"/>
  <c r="W41" i="38"/>
  <c r="U46" i="38"/>
  <c r="U45" i="38"/>
  <c r="U44" i="38"/>
  <c r="U43" i="38"/>
  <c r="U42" i="38"/>
  <c r="V46" i="38"/>
  <c r="V45" i="38"/>
  <c r="V44" i="38"/>
  <c r="V43" i="38"/>
  <c r="V42" i="38"/>
  <c r="V41" i="38"/>
  <c r="V40" i="38"/>
  <c r="W46" i="17"/>
  <c r="W45" i="17"/>
  <c r="W44" i="17"/>
  <c r="W42" i="17"/>
  <c r="W41" i="17"/>
  <c r="W40" i="17"/>
  <c r="U46" i="17"/>
  <c r="U45" i="17"/>
  <c r="U44" i="17"/>
  <c r="V46" i="17"/>
  <c r="V45" i="17"/>
  <c r="V44" i="17"/>
  <c r="V43" i="17"/>
  <c r="V42" i="17"/>
  <c r="V41" i="17"/>
  <c r="V40" i="17"/>
  <c r="U48" i="43"/>
  <c r="U47" i="43"/>
  <c r="U45" i="43"/>
  <c r="U44" i="43"/>
  <c r="U43" i="43"/>
  <c r="V48" i="43"/>
  <c r="V47" i="43"/>
  <c r="V46" i="43"/>
  <c r="V45" i="43"/>
  <c r="V44" i="43"/>
  <c r="V43" i="43"/>
  <c r="V42" i="43"/>
  <c r="W48" i="43"/>
  <c r="W47" i="43"/>
  <c r="W45" i="43"/>
  <c r="W44" i="43"/>
  <c r="W43" i="43"/>
  <c r="W42" i="43"/>
  <c r="U46" i="44"/>
  <c r="U45" i="44"/>
  <c r="U44" i="44"/>
  <c r="V46" i="44"/>
  <c r="V45" i="44"/>
  <c r="V44" i="44"/>
  <c r="V43" i="44"/>
  <c r="W46" i="44"/>
  <c r="W45" i="44"/>
  <c r="W44" i="44"/>
  <c r="W40" i="44"/>
  <c r="U45" i="41"/>
  <c r="U44" i="41"/>
  <c r="U43" i="41"/>
  <c r="U42" i="41"/>
  <c r="U41" i="41"/>
  <c r="W46" i="41"/>
  <c r="W45" i="41"/>
  <c r="W44" i="41"/>
  <c r="W43" i="41"/>
  <c r="W42" i="41"/>
  <c r="W41" i="41"/>
  <c r="W40" i="41"/>
  <c r="V46" i="41"/>
  <c r="V45" i="41"/>
  <c r="V44" i="41"/>
  <c r="V43" i="41"/>
  <c r="V42" i="41"/>
  <c r="V41" i="41"/>
  <c r="V40" i="41"/>
  <c r="U46" i="41"/>
  <c r="V46" i="16"/>
  <c r="U46" i="16"/>
  <c r="V45" i="16"/>
  <c r="U45" i="16"/>
  <c r="V44" i="16"/>
  <c r="U44" i="16"/>
  <c r="V43" i="16"/>
  <c r="V42" i="16"/>
  <c r="V41" i="16"/>
  <c r="V40" i="16"/>
  <c r="W46" i="16"/>
  <c r="W44" i="16"/>
  <c r="W43" i="16"/>
  <c r="W42" i="16"/>
  <c r="W41" i="16"/>
  <c r="W40" i="16"/>
  <c r="V46" i="25"/>
  <c r="U46" i="25"/>
  <c r="V45" i="25"/>
  <c r="U45" i="25"/>
  <c r="V44" i="25"/>
  <c r="U44" i="25"/>
  <c r="V43" i="25"/>
  <c r="V41" i="25"/>
  <c r="V40" i="25"/>
  <c r="W46" i="25"/>
  <c r="W45" i="25"/>
  <c r="W44" i="25"/>
  <c r="W43" i="25"/>
  <c r="W41" i="25"/>
  <c r="W40" i="25"/>
  <c r="W38" i="9"/>
  <c r="W46" i="30"/>
  <c r="W45" i="30"/>
  <c r="W44" i="30"/>
  <c r="W46" i="48"/>
  <c r="W45" i="48"/>
  <c r="W44" i="48"/>
  <c r="W43" i="48"/>
  <c r="W42" i="48"/>
  <c r="W41" i="48"/>
  <c r="W40" i="48"/>
  <c r="W46" i="20"/>
  <c r="W45" i="20"/>
  <c r="W44" i="20"/>
  <c r="W43" i="20"/>
  <c r="W42" i="20"/>
  <c r="W41" i="20"/>
  <c r="W40" i="20"/>
  <c r="W46" i="35"/>
  <c r="W45" i="35"/>
  <c r="W41" i="35"/>
  <c r="W40" i="35"/>
  <c r="W46" i="24"/>
  <c r="W45" i="24"/>
  <c r="W44" i="24"/>
  <c r="W43" i="24"/>
  <c r="W42" i="24"/>
  <c r="W41" i="24"/>
  <c r="W40" i="24"/>
  <c r="W47" i="11"/>
  <c r="W46" i="11"/>
  <c r="W42" i="11"/>
  <c r="W45" i="28"/>
  <c r="W46" i="23"/>
  <c r="W45" i="23"/>
  <c r="W44" i="23"/>
  <c r="W43" i="23"/>
  <c r="W42" i="23"/>
  <c r="W41" i="23"/>
  <c r="W46" i="31"/>
  <c r="W45" i="31"/>
  <c r="W42" i="31"/>
  <c r="W41" i="31"/>
  <c r="W40" i="31"/>
  <c r="W46" i="22"/>
  <c r="W45" i="22"/>
  <c r="W44" i="22"/>
  <c r="W43" i="22"/>
  <c r="W42" i="22"/>
  <c r="W41" i="22"/>
  <c r="W40" i="22"/>
  <c r="W47" i="10"/>
  <c r="W46" i="10"/>
  <c r="W46" i="13"/>
  <c r="W45" i="13"/>
  <c r="W44" i="13"/>
  <c r="W43" i="13"/>
  <c r="W42" i="13"/>
  <c r="W41" i="13"/>
  <c r="W40" i="13"/>
  <c r="W46" i="4"/>
  <c r="W45" i="4"/>
  <c r="W44" i="4"/>
  <c r="W43" i="4"/>
  <c r="W42" i="4"/>
  <c r="W41" i="4"/>
  <c r="W40" i="4"/>
  <c r="W46" i="1"/>
  <c r="W45" i="1"/>
  <c r="W44" i="1"/>
  <c r="W43" i="1"/>
  <c r="W42" i="1"/>
  <c r="W41" i="1"/>
  <c r="V39" i="9"/>
  <c r="V38" i="9"/>
  <c r="V46" i="30"/>
  <c r="U46" i="30"/>
  <c r="V44" i="30"/>
  <c r="U44" i="30"/>
  <c r="V40" i="30"/>
  <c r="V46" i="48"/>
  <c r="V45" i="48"/>
  <c r="V44" i="48"/>
  <c r="V43" i="48"/>
  <c r="V42" i="48"/>
  <c r="V41" i="48"/>
  <c r="V40" i="48"/>
  <c r="U46" i="48"/>
  <c r="U45" i="48"/>
  <c r="U44" i="48"/>
  <c r="U43" i="48"/>
  <c r="U46" i="20"/>
  <c r="U45" i="20"/>
  <c r="U44" i="20"/>
  <c r="U43" i="20"/>
  <c r="V46" i="20"/>
  <c r="V45" i="20"/>
  <c r="V44" i="20"/>
  <c r="V43" i="20"/>
  <c r="V42" i="20"/>
  <c r="V41" i="20"/>
  <c r="V40" i="20"/>
  <c r="V46" i="35"/>
  <c r="V45" i="35"/>
  <c r="V41" i="35"/>
  <c r="V40" i="35"/>
  <c r="U46" i="35"/>
  <c r="U45" i="35"/>
  <c r="U41" i="35"/>
  <c r="V46" i="24"/>
  <c r="U46" i="24"/>
  <c r="V45" i="24"/>
  <c r="U45" i="24"/>
  <c r="V44" i="24"/>
  <c r="U44" i="24"/>
  <c r="V43" i="24"/>
  <c r="U43" i="24"/>
  <c r="V42" i="24"/>
  <c r="V41" i="24"/>
  <c r="V40" i="24"/>
  <c r="U47" i="11"/>
  <c r="U46" i="11"/>
  <c r="V47" i="11"/>
  <c r="V46" i="11"/>
  <c r="V42" i="11"/>
  <c r="V41" i="11"/>
  <c r="V45" i="28"/>
  <c r="U45" i="28"/>
  <c r="U46" i="23"/>
  <c r="U45" i="23"/>
  <c r="U43" i="23"/>
  <c r="B61" i="37"/>
  <c r="V46" i="23"/>
  <c r="V45" i="23"/>
  <c r="V44" i="23"/>
  <c r="V43" i="23"/>
  <c r="V42" i="23"/>
  <c r="V41" i="23"/>
  <c r="V40" i="23"/>
  <c r="U46" i="31"/>
  <c r="U45" i="31"/>
  <c r="U44" i="31"/>
  <c r="V46" i="31"/>
  <c r="V45" i="31"/>
  <c r="V44" i="31"/>
  <c r="V43" i="31"/>
  <c r="V42" i="31"/>
  <c r="V41" i="31"/>
  <c r="V40" i="31"/>
  <c r="U46" i="22"/>
  <c r="B45" i="37"/>
  <c r="U42" i="22"/>
  <c r="V46" i="22"/>
  <c r="V45" i="22"/>
  <c r="V44" i="22"/>
  <c r="V43" i="22"/>
  <c r="V42" i="22"/>
  <c r="V41" i="22"/>
  <c r="V40" i="22"/>
  <c r="V47" i="10"/>
  <c r="U47" i="10"/>
  <c r="V46" i="10"/>
  <c r="B6" i="37"/>
  <c r="M36" i="10"/>
  <c r="U46" i="13"/>
  <c r="U45" i="13"/>
  <c r="U43" i="13"/>
  <c r="U42" i="13"/>
  <c r="U41" i="13"/>
  <c r="V46" i="13"/>
  <c r="V45" i="13"/>
  <c r="V44" i="13"/>
  <c r="V43" i="13"/>
  <c r="V42" i="13"/>
  <c r="V41" i="13"/>
  <c r="V40" i="13"/>
  <c r="V46" i="4"/>
  <c r="V45" i="4"/>
  <c r="V44" i="4"/>
  <c r="V43" i="4"/>
  <c r="V42" i="4"/>
  <c r="V41" i="4"/>
  <c r="V40" i="4"/>
  <c r="U46" i="4"/>
  <c r="U45" i="4"/>
  <c r="U44" i="4"/>
  <c r="U43" i="4"/>
  <c r="U42" i="4"/>
  <c r="M3" i="36"/>
  <c r="V46" i="1"/>
  <c r="V45" i="1"/>
  <c r="V44" i="1"/>
  <c r="V43" i="1"/>
  <c r="V42" i="1"/>
  <c r="U46" i="1"/>
  <c r="U45" i="1"/>
  <c r="U44" i="1"/>
  <c r="U43" i="1"/>
  <c r="M35" i="1"/>
  <c r="F40" i="1" s="1"/>
  <c r="D29" i="37" l="1"/>
  <c r="D67" i="37"/>
  <c r="B59" i="37"/>
  <c r="M31" i="36"/>
  <c r="B65" i="37" l="1"/>
  <c r="J20" i="38"/>
  <c r="I20" i="38"/>
  <c r="H20" i="38"/>
  <c r="J19" i="38"/>
  <c r="I19" i="38"/>
  <c r="H19" i="38"/>
  <c r="S20" i="38" l="1"/>
  <c r="T20" i="38" s="1"/>
  <c r="L20" i="38"/>
  <c r="U40" i="38"/>
  <c r="B58" i="37" s="1"/>
  <c r="F16" i="38"/>
  <c r="F39" i="38" l="1"/>
  <c r="B69" i="37"/>
  <c r="T41" i="23"/>
  <c r="F35" i="10" l="1"/>
  <c r="H35" i="10" s="1"/>
  <c r="T42" i="1"/>
  <c r="T41" i="1"/>
  <c r="T44" i="4"/>
  <c r="T42" i="39" l="1"/>
  <c r="R20" i="20" l="1"/>
  <c r="T41" i="20"/>
  <c r="T41" i="9" l="1"/>
  <c r="M35" i="41" l="1"/>
  <c r="T41" i="13" l="1"/>
  <c r="I19" i="31" l="1"/>
  <c r="H20" i="31"/>
  <c r="I20" i="31"/>
  <c r="J20" i="31"/>
  <c r="S20" i="31" s="1"/>
  <c r="U40" i="31" l="1"/>
  <c r="T20" i="31"/>
  <c r="F39" i="31" s="1"/>
  <c r="Q19" i="31"/>
  <c r="L20" i="31"/>
  <c r="Q20" i="31"/>
  <c r="F38" i="31" l="1"/>
  <c r="T43" i="35"/>
  <c r="T45" i="35"/>
  <c r="T43" i="22" l="1"/>
  <c r="T40" i="22" l="1"/>
  <c r="J20" i="22"/>
  <c r="Q20" i="22" s="1"/>
  <c r="I20" i="22"/>
  <c r="H20" i="22"/>
  <c r="J19" i="22"/>
  <c r="I19" i="22"/>
  <c r="H19" i="22"/>
  <c r="R20" i="17"/>
  <c r="T40" i="17"/>
  <c r="Q20" i="17"/>
  <c r="S20" i="22" l="1"/>
  <c r="T20" i="22" s="1"/>
  <c r="Q19" i="22"/>
  <c r="F38" i="22" s="1"/>
  <c r="U40" i="22"/>
  <c r="U40" i="17"/>
  <c r="L20" i="17"/>
  <c r="Q19" i="17"/>
  <c r="F38" i="17" s="1"/>
  <c r="S20" i="17"/>
  <c r="T20" i="17" s="1"/>
  <c r="L20" i="22"/>
  <c r="F39" i="17" l="1"/>
  <c r="T41" i="39"/>
  <c r="T40" i="13" l="1"/>
  <c r="T40" i="26"/>
  <c r="T41" i="26"/>
  <c r="T43" i="26"/>
  <c r="T44" i="26"/>
  <c r="T45" i="26"/>
  <c r="T39" i="26"/>
  <c r="R20" i="35" l="1"/>
  <c r="T41" i="35"/>
  <c r="T40" i="35"/>
  <c r="J20" i="35"/>
  <c r="Q20" i="35" s="1"/>
  <c r="I20" i="35"/>
  <c r="H20" i="35"/>
  <c r="J19" i="35"/>
  <c r="I19" i="35"/>
  <c r="H19" i="35"/>
  <c r="U40" i="35" l="1"/>
  <c r="S20" i="35"/>
  <c r="T20" i="35" s="1"/>
  <c r="F39" i="35" s="1"/>
  <c r="L20" i="35"/>
  <c r="Q19" i="35"/>
  <c r="F38" i="35" s="1"/>
  <c r="T43" i="4" l="1"/>
  <c r="T46" i="17"/>
  <c r="M36" i="11" l="1"/>
  <c r="F41" i="11" s="1"/>
  <c r="T44" i="20" l="1"/>
  <c r="T45" i="15" l="1"/>
  <c r="M35" i="29" l="1"/>
  <c r="M35" i="35"/>
  <c r="F40" i="35" s="1"/>
  <c r="J20" i="25" l="1"/>
  <c r="M35" i="15" l="1"/>
  <c r="M35" i="47" l="1"/>
  <c r="F40" i="47" s="1"/>
  <c r="T42" i="30"/>
  <c r="T45" i="4" l="1"/>
  <c r="H34" i="4"/>
  <c r="T46" i="16" l="1"/>
  <c r="T47" i="10" l="1"/>
  <c r="T46" i="10"/>
  <c r="T45" i="10"/>
  <c r="T44" i="10"/>
  <c r="T43" i="10"/>
  <c r="T42" i="10"/>
  <c r="T45" i="28" l="1"/>
  <c r="T45" i="29"/>
  <c r="T45" i="13" l="1"/>
  <c r="T46" i="35" l="1"/>
  <c r="T46" i="44" l="1"/>
  <c r="K30" i="27" l="1"/>
  <c r="T46" i="41"/>
  <c r="K18" i="27" l="1"/>
  <c r="J19" i="27"/>
  <c r="J22" i="27"/>
  <c r="J24" i="27"/>
  <c r="J25" i="27"/>
  <c r="J26" i="27"/>
  <c r="J17" i="27"/>
  <c r="J27" i="27"/>
  <c r="J28" i="27"/>
  <c r="K17" i="27"/>
  <c r="T46" i="47"/>
  <c r="T48" i="43"/>
  <c r="K24" i="27"/>
  <c r="B67" i="37" l="1"/>
  <c r="E67" i="37" s="1"/>
  <c r="B64" i="37"/>
  <c r="T40" i="23"/>
  <c r="Q3" i="26" l="1"/>
  <c r="T40" i="29"/>
  <c r="T41" i="29"/>
  <c r="T42" i="29"/>
  <c r="T43" i="29"/>
  <c r="T44" i="29"/>
  <c r="H20" i="20" l="1"/>
  <c r="I20" i="20" l="1"/>
  <c r="T46" i="15"/>
  <c r="T44" i="13" l="1"/>
  <c r="T43" i="13"/>
  <c r="T42" i="13"/>
  <c r="H20" i="16" l="1"/>
  <c r="I20" i="16"/>
  <c r="F7" i="27" l="1"/>
  <c r="T43" i="20"/>
  <c r="T44" i="28" l="1"/>
  <c r="T43" i="24"/>
  <c r="T42" i="28"/>
  <c r="T42" i="20"/>
  <c r="T42" i="4"/>
  <c r="T41" i="4"/>
  <c r="T42" i="24" l="1"/>
  <c r="T41" i="24"/>
  <c r="F32" i="9" l="1"/>
  <c r="H32" i="9" s="1"/>
  <c r="I32" i="9" s="1"/>
  <c r="J32" i="9" s="1"/>
  <c r="K32" i="9" s="1"/>
  <c r="L32" i="9" s="1"/>
  <c r="M33" i="9"/>
  <c r="F38" i="9" s="1"/>
  <c r="M35" i="31" l="1"/>
  <c r="F40" i="31" s="1"/>
  <c r="T41" i="15" l="1"/>
  <c r="T42" i="15"/>
  <c r="T43" i="15"/>
  <c r="T44" i="15"/>
  <c r="T40" i="16"/>
  <c r="T41" i="16"/>
  <c r="T42" i="16"/>
  <c r="T43" i="16"/>
  <c r="T44" i="16"/>
  <c r="T45" i="16"/>
  <c r="T44" i="48" l="1"/>
  <c r="J20" i="1" l="1"/>
  <c r="Q20" i="1" s="1"/>
  <c r="I20" i="1"/>
  <c r="H20" i="1"/>
  <c r="J19" i="1"/>
  <c r="I19" i="1"/>
  <c r="H19" i="1"/>
  <c r="S20" i="1" l="1"/>
  <c r="T20" i="1" s="1"/>
  <c r="F39" i="1" s="1"/>
  <c r="Q19" i="1"/>
  <c r="F38" i="1" s="1"/>
  <c r="L20" i="1"/>
  <c r="U40" i="1"/>
  <c r="B60" i="37"/>
  <c r="B22" i="37"/>
  <c r="I19" i="16"/>
  <c r="H19" i="16"/>
  <c r="I21" i="43"/>
  <c r="H21" i="43"/>
  <c r="I20" i="43"/>
  <c r="H20" i="43"/>
  <c r="J20" i="48"/>
  <c r="I20" i="48"/>
  <c r="H20" i="48"/>
  <c r="J19" i="48"/>
  <c r="I19" i="48"/>
  <c r="H19" i="48"/>
  <c r="J20" i="20"/>
  <c r="J19" i="20"/>
  <c r="I19" i="20"/>
  <c r="H19" i="20"/>
  <c r="S20" i="20" l="1"/>
  <c r="T20" i="20" s="1"/>
  <c r="F39" i="20" s="1"/>
  <c r="B20" i="37"/>
  <c r="U40" i="20"/>
  <c r="S20" i="48"/>
  <c r="T20" i="48" s="1"/>
  <c r="F39" i="48" s="1"/>
  <c r="U40" i="48"/>
  <c r="U40" i="16"/>
  <c r="L20" i="20"/>
  <c r="F16" i="16"/>
  <c r="U40" i="4"/>
  <c r="B19" i="37" s="1"/>
  <c r="B55" i="37"/>
  <c r="B11" i="37"/>
  <c r="B21" i="37"/>
  <c r="L20" i="16"/>
  <c r="B36" i="37" l="1"/>
  <c r="B33" i="37"/>
  <c r="B28" i="37"/>
  <c r="B34" i="37"/>
  <c r="T42" i="23"/>
  <c r="L20" i="26" l="1"/>
  <c r="F16" i="26"/>
  <c r="B29" i="37"/>
  <c r="B37" i="37" l="1"/>
  <c r="D58" i="37"/>
  <c r="D59" i="37"/>
  <c r="D60" i="37"/>
  <c r="D61" i="37"/>
  <c r="D62" i="37"/>
  <c r="D63" i="37"/>
  <c r="D64" i="37"/>
  <c r="D65" i="37"/>
  <c r="D66" i="37"/>
  <c r="D69" i="37"/>
  <c r="C60" i="37"/>
  <c r="C61" i="37"/>
  <c r="C62" i="37"/>
  <c r="C69" i="37"/>
  <c r="E60" i="37" l="1"/>
  <c r="E64" i="37"/>
  <c r="E62" i="37"/>
  <c r="E65" i="37"/>
  <c r="E66" i="37"/>
  <c r="E58" i="37"/>
  <c r="E61" i="37"/>
  <c r="E69" i="37"/>
  <c r="E63" i="37"/>
  <c r="T40" i="9" l="1"/>
  <c r="T40" i="1" l="1"/>
  <c r="F40" i="25" l="1"/>
  <c r="T42" i="22" l="1"/>
  <c r="C11" i="45" l="1"/>
  <c r="J20" i="11"/>
  <c r="Q20" i="11" s="1"/>
  <c r="I20" i="11"/>
  <c r="H20" i="11"/>
  <c r="H19" i="24"/>
  <c r="Q20" i="48" l="1"/>
  <c r="L5" i="21" l="1"/>
  <c r="L4" i="21"/>
  <c r="M4" i="21" l="1"/>
  <c r="N4" i="21" s="1"/>
  <c r="M5" i="21"/>
  <c r="N5" i="21" s="1"/>
  <c r="P5" i="21" l="1"/>
  <c r="P4" i="21"/>
  <c r="T40" i="48"/>
  <c r="T43" i="48"/>
  <c r="T41" i="25" l="1"/>
  <c r="T40" i="25"/>
  <c r="Q20" i="25"/>
  <c r="I20" i="25"/>
  <c r="H20" i="25"/>
  <c r="J19" i="25"/>
  <c r="S20" i="25" s="1"/>
  <c r="I19" i="25"/>
  <c r="H19" i="25"/>
  <c r="L20" i="25" l="1"/>
  <c r="T20" i="25"/>
  <c r="F39" i="25" s="1"/>
  <c r="U40" i="25"/>
  <c r="B31" i="37" s="1"/>
  <c r="B30" i="37"/>
  <c r="Q19" i="25"/>
  <c r="F38" i="25" s="1"/>
  <c r="L20" i="48" l="1"/>
  <c r="Q19" i="48"/>
  <c r="F38" i="48" s="1"/>
  <c r="C34" i="45" l="1"/>
  <c r="C33" i="45"/>
  <c r="C32" i="45"/>
  <c r="C27" i="45"/>
  <c r="C25" i="45"/>
  <c r="C24" i="45"/>
  <c r="C21" i="45"/>
  <c r="C20" i="45"/>
  <c r="C15" i="45"/>
  <c r="C14" i="45"/>
  <c r="T40" i="20" l="1"/>
  <c r="Q19" i="20" l="1"/>
  <c r="Q20" i="20"/>
  <c r="F38" i="20" l="1"/>
  <c r="C66" i="37"/>
  <c r="J21" i="43" l="1"/>
  <c r="Q21" i="43" s="1"/>
  <c r="J20" i="43"/>
  <c r="Q20" i="43" l="1"/>
  <c r="F40" i="43" s="1"/>
  <c r="S21" i="43"/>
  <c r="L21" i="43"/>
  <c r="U42" i="43"/>
  <c r="T21" i="43" l="1"/>
  <c r="F41" i="43" s="1"/>
  <c r="K22" i="36"/>
  <c r="B52" i="37"/>
  <c r="T41" i="30"/>
  <c r="M35" i="22" l="1"/>
  <c r="F40" i="22" s="1"/>
  <c r="T40" i="39" l="1"/>
  <c r="T41" i="41"/>
  <c r="T40" i="41"/>
  <c r="M35" i="23" l="1"/>
  <c r="F40" i="23" s="1"/>
  <c r="F16" i="10" l="1"/>
  <c r="T40" i="30" l="1"/>
  <c r="C12" i="45"/>
  <c r="T40" i="4"/>
  <c r="J19" i="11"/>
  <c r="S20" i="11" s="1"/>
  <c r="I19" i="11"/>
  <c r="H19" i="11"/>
  <c r="U41" i="11" l="1"/>
  <c r="C9" i="45"/>
  <c r="Q19" i="11"/>
  <c r="F39" i="11" s="1"/>
  <c r="T20" i="11"/>
  <c r="F40" i="11" s="1"/>
  <c r="L20" i="11"/>
  <c r="C5" i="45"/>
  <c r="C7" i="27" l="1"/>
  <c r="T41" i="22" l="1"/>
  <c r="H20" i="24" l="1"/>
  <c r="I20" i="24"/>
  <c r="J20" i="24"/>
  <c r="Q20" i="24" l="1"/>
  <c r="D48" i="37" l="1"/>
  <c r="E48" i="37" l="1"/>
  <c r="D4" i="37" l="1"/>
  <c r="C5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30" i="37"/>
  <c r="D31" i="37"/>
  <c r="C32" i="37"/>
  <c r="D32" i="37"/>
  <c r="C33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C47" i="37"/>
  <c r="D47" i="37"/>
  <c r="D49" i="37"/>
  <c r="D50" i="37"/>
  <c r="D51" i="37"/>
  <c r="D52" i="37"/>
  <c r="D53" i="37"/>
  <c r="D54" i="37"/>
  <c r="D55" i="37"/>
  <c r="D56" i="37"/>
  <c r="C57" i="37"/>
  <c r="D57" i="37"/>
  <c r="D3" i="37"/>
  <c r="P16" i="36"/>
  <c r="P28" i="36"/>
  <c r="O16" i="36"/>
  <c r="O28" i="36"/>
  <c r="N16" i="36"/>
  <c r="N28" i="36"/>
  <c r="H16" i="36"/>
  <c r="H28" i="36"/>
  <c r="G16" i="36"/>
  <c r="G28" i="36"/>
  <c r="E16" i="36"/>
  <c r="E28" i="36"/>
  <c r="D16" i="36"/>
  <c r="D28" i="36"/>
  <c r="C16" i="36"/>
  <c r="J10" i="27"/>
  <c r="J8" i="27"/>
  <c r="I8" i="27"/>
  <c r="H8" i="27"/>
  <c r="G8" i="27"/>
  <c r="F8" i="27"/>
  <c r="E8" i="27"/>
  <c r="D70" i="37" l="1"/>
  <c r="L46" i="48"/>
  <c r="M35" i="48"/>
  <c r="F40" i="48" s="1"/>
  <c r="F34" i="48"/>
  <c r="J16" i="48"/>
  <c r="J16" i="36" s="1"/>
  <c r="H34" i="48" l="1"/>
  <c r="I34" i="48" s="1"/>
  <c r="J34" i="48" s="1"/>
  <c r="K34" i="48" s="1"/>
  <c r="L34" i="48" s="1"/>
  <c r="F16" i="36"/>
  <c r="I16" i="36" s="1"/>
  <c r="L16" i="36" s="1"/>
  <c r="F48" i="48"/>
  <c r="F16" i="48"/>
  <c r="P16" i="48" s="1"/>
  <c r="Q3" i="20"/>
  <c r="K16" i="36" l="1"/>
  <c r="L46" i="39"/>
  <c r="Q37" i="48" l="1"/>
  <c r="Q3" i="16"/>
  <c r="Q3" i="43"/>
  <c r="Q3" i="25"/>
  <c r="Q3" i="9"/>
  <c r="Q3" i="44"/>
  <c r="Q3" i="13"/>
  <c r="Q3" i="24"/>
  <c r="Q3" i="22"/>
  <c r="Q3" i="39"/>
  <c r="Q3" i="17"/>
  <c r="D8" i="27" l="1"/>
  <c r="Q3" i="15"/>
  <c r="Q3" i="30"/>
  <c r="Q3" i="47"/>
  <c r="Q3" i="38"/>
  <c r="Q3" i="31"/>
  <c r="Q3" i="23"/>
  <c r="Q3" i="35"/>
  <c r="Q3" i="28" l="1"/>
  <c r="Q3" i="10" s="1"/>
  <c r="Q3" i="29" l="1"/>
  <c r="Q3" i="48"/>
  <c r="Q3" i="11"/>
  <c r="Q3" i="41" s="1"/>
  <c r="L47" i="11"/>
  <c r="E54" i="37" l="1"/>
  <c r="L48" i="43" l="1"/>
  <c r="L46" i="13" l="1"/>
  <c r="L45" i="26" l="1"/>
  <c r="L46" i="31"/>
  <c r="L46" i="15"/>
  <c r="L46" i="38"/>
  <c r="L46" i="16"/>
  <c r="L46" i="25"/>
  <c r="L47" i="10"/>
  <c r="L44" i="9"/>
  <c r="L46" i="30"/>
  <c r="L46" i="44"/>
  <c r="L46" i="41"/>
  <c r="L46" i="20"/>
  <c r="L46" i="35"/>
  <c r="L46" i="24"/>
  <c r="L45" i="28"/>
  <c r="L46" i="23"/>
  <c r="L46" i="22"/>
  <c r="L46" i="17"/>
  <c r="L46" i="4"/>
  <c r="L46" i="1"/>
  <c r="N10" i="36" l="1"/>
  <c r="N22" i="36"/>
  <c r="N25" i="36"/>
  <c r="N8" i="36"/>
  <c r="N29" i="36"/>
  <c r="N27" i="36"/>
  <c r="N24" i="36"/>
  <c r="N23" i="36"/>
  <c r="N14" i="36"/>
  <c r="N21" i="36"/>
  <c r="N12" i="36"/>
  <c r="N20" i="36"/>
  <c r="N19" i="36"/>
  <c r="N18" i="36"/>
  <c r="N30" i="36"/>
  <c r="N17" i="36"/>
  <c r="N15" i="36"/>
  <c r="N13" i="36"/>
  <c r="N11" i="36"/>
  <c r="N9" i="36"/>
  <c r="N7" i="36"/>
  <c r="N6" i="36"/>
  <c r="N5" i="36"/>
  <c r="N4" i="36"/>
  <c r="N26" i="36"/>
  <c r="N3" i="36"/>
  <c r="F13" i="36" l="1"/>
  <c r="M34" i="28" l="1"/>
  <c r="F39" i="28" s="1"/>
  <c r="F33" i="28"/>
  <c r="H33" i="28" s="1"/>
  <c r="I33" i="28" s="1"/>
  <c r="M35" i="24"/>
  <c r="F40" i="24" s="1"/>
  <c r="I34" i="24"/>
  <c r="J34" i="24" s="1"/>
  <c r="K34" i="24" s="1"/>
  <c r="L34" i="24" s="1"/>
  <c r="F34" i="35"/>
  <c r="H34" i="35" s="1"/>
  <c r="I34" i="35" s="1"/>
  <c r="J34" i="35" s="1"/>
  <c r="K34" i="35" s="1"/>
  <c r="L34" i="35" s="1"/>
  <c r="M35" i="20"/>
  <c r="F34" i="20"/>
  <c r="F40" i="29"/>
  <c r="F34" i="29"/>
  <c r="F40" i="41"/>
  <c r="F34" i="41"/>
  <c r="H34" i="41" s="1"/>
  <c r="I34" i="41" s="1"/>
  <c r="F35" i="11"/>
  <c r="M35" i="44"/>
  <c r="F40" i="44" s="1"/>
  <c r="F34" i="44"/>
  <c r="H34" i="44" s="1"/>
  <c r="I34" i="44" s="1"/>
  <c r="J34" i="44" s="1"/>
  <c r="K34" i="44" s="1"/>
  <c r="L34" i="44" s="1"/>
  <c r="M35" i="30"/>
  <c r="F40" i="30" s="1"/>
  <c r="F34" i="30"/>
  <c r="H34" i="30" s="1"/>
  <c r="I34" i="30" s="1"/>
  <c r="J34" i="30" s="1"/>
  <c r="K34" i="30" s="1"/>
  <c r="L34" i="30" s="1"/>
  <c r="F41" i="10"/>
  <c r="F50" i="10" s="1"/>
  <c r="F34" i="25"/>
  <c r="M35" i="13"/>
  <c r="F40" i="13" s="1"/>
  <c r="F34" i="13"/>
  <c r="F40" i="16"/>
  <c r="M35" i="38"/>
  <c r="F40" i="38" s="1"/>
  <c r="F34" i="38"/>
  <c r="H34" i="38" s="1"/>
  <c r="I34" i="38" s="1"/>
  <c r="J34" i="38" s="1"/>
  <c r="K34" i="38" s="1"/>
  <c r="L34" i="38" s="1"/>
  <c r="F40" i="15"/>
  <c r="F34" i="15"/>
  <c r="M34" i="26"/>
  <c r="F39" i="26" s="1"/>
  <c r="F48" i="26" s="1"/>
  <c r="F34" i="47"/>
  <c r="H34" i="47" s="1"/>
  <c r="I34" i="47" s="1"/>
  <c r="J34" i="47" s="1"/>
  <c r="K34" i="47" s="1"/>
  <c r="L34" i="47" s="1"/>
  <c r="M37" i="43"/>
  <c r="F42" i="43" s="1"/>
  <c r="I36" i="43"/>
  <c r="J36" i="43" s="1"/>
  <c r="K36" i="43" s="1"/>
  <c r="L36" i="43" s="1"/>
  <c r="M35" i="39"/>
  <c r="F40" i="39" s="1"/>
  <c r="F49" i="39" s="1"/>
  <c r="F34" i="39"/>
  <c r="H34" i="39" s="1"/>
  <c r="H34" i="22"/>
  <c r="I34" i="22" s="1"/>
  <c r="J34" i="22" s="1"/>
  <c r="K34" i="22" s="1"/>
  <c r="L34" i="22" s="1"/>
  <c r="F34" i="17"/>
  <c r="F33" i="26" s="1"/>
  <c r="H33" i="26" s="1"/>
  <c r="I33" i="26" s="1"/>
  <c r="I34" i="4"/>
  <c r="M35" i="4"/>
  <c r="F40" i="4" s="1"/>
  <c r="T45" i="17"/>
  <c r="T44" i="17"/>
  <c r="T43" i="17"/>
  <c r="T42" i="17"/>
  <c r="C54" i="37" s="1"/>
  <c r="T41" i="17"/>
  <c r="M35" i="17"/>
  <c r="F40" i="17" s="1"/>
  <c r="T45" i="22"/>
  <c r="T44" i="22"/>
  <c r="T45" i="23"/>
  <c r="T44" i="23"/>
  <c r="T43" i="23"/>
  <c r="T45" i="24"/>
  <c r="T44" i="24"/>
  <c r="T42" i="35"/>
  <c r="T45" i="41"/>
  <c r="T44" i="41"/>
  <c r="T43" i="41"/>
  <c r="T42" i="41"/>
  <c r="T46" i="11"/>
  <c r="T45" i="11"/>
  <c r="T44" i="11"/>
  <c r="T43" i="11"/>
  <c r="T45" i="44"/>
  <c r="T44" i="44"/>
  <c r="T43" i="44"/>
  <c r="T42" i="44"/>
  <c r="T41" i="44"/>
  <c r="T40" i="44"/>
  <c r="C36" i="37" s="1"/>
  <c r="T45" i="30"/>
  <c r="T44" i="30"/>
  <c r="T43" i="9"/>
  <c r="T42" i="9"/>
  <c r="T39" i="9"/>
  <c r="C37" i="37" s="1"/>
  <c r="T38" i="9"/>
  <c r="T45" i="25"/>
  <c r="T44" i="25"/>
  <c r="T43" i="25"/>
  <c r="C34" i="37"/>
  <c r="T45" i="47"/>
  <c r="T44" i="47"/>
  <c r="C48" i="37"/>
  <c r="C59" i="37"/>
  <c r="T47" i="43"/>
  <c r="T46" i="43"/>
  <c r="C40" i="37" s="1"/>
  <c r="T43" i="43"/>
  <c r="C53" i="37" s="1"/>
  <c r="T42" i="43"/>
  <c r="T45" i="39"/>
  <c r="T44" i="39"/>
  <c r="T43" i="39"/>
  <c r="C65" i="37" l="1"/>
  <c r="C58" i="37"/>
  <c r="C64" i="37"/>
  <c r="C67" i="37"/>
  <c r="H35" i="11"/>
  <c r="I35" i="11" s="1"/>
  <c r="J35" i="11" s="1"/>
  <c r="K35" i="11" s="1"/>
  <c r="L35" i="11" s="1"/>
  <c r="H34" i="29"/>
  <c r="I34" i="29" s="1"/>
  <c r="J34" i="29" s="1"/>
  <c r="K34" i="29" s="1"/>
  <c r="L34" i="29" s="1"/>
  <c r="F40" i="20"/>
  <c r="F49" i="20" s="1"/>
  <c r="H34" i="20"/>
  <c r="I34" i="20" s="1"/>
  <c r="J34" i="20" s="1"/>
  <c r="K34" i="20" s="1"/>
  <c r="L34" i="20" s="1"/>
  <c r="F70" i="37"/>
  <c r="F65" i="37"/>
  <c r="F72" i="37"/>
  <c r="F71" i="37"/>
  <c r="F62" i="37"/>
  <c r="F60" i="37"/>
  <c r="F58" i="37"/>
  <c r="F64" i="37"/>
  <c r="F63" i="37"/>
  <c r="F66" i="37"/>
  <c r="F69" i="37"/>
  <c r="F61" i="37"/>
  <c r="F48" i="37"/>
  <c r="F54" i="37"/>
  <c r="J34" i="41"/>
  <c r="K34" i="41" s="1"/>
  <c r="L34" i="41" s="1"/>
  <c r="C46" i="37"/>
  <c r="C63" i="37"/>
  <c r="C28" i="37"/>
  <c r="J33" i="28"/>
  <c r="K33" i="28" s="1"/>
  <c r="L33" i="28" s="1"/>
  <c r="C35" i="37"/>
  <c r="C27" i="37"/>
  <c r="J33" i="26"/>
  <c r="K33" i="26" s="1"/>
  <c r="L33" i="26" s="1"/>
  <c r="I34" i="39"/>
  <c r="J34" i="39" s="1"/>
  <c r="K34" i="39" s="1"/>
  <c r="L34" i="39" s="1"/>
  <c r="H34" i="13"/>
  <c r="I34" i="13" s="1"/>
  <c r="J34" i="13" s="1"/>
  <c r="K34" i="13" s="1"/>
  <c r="L34" i="13" s="1"/>
  <c r="F34" i="23"/>
  <c r="F34" i="31" s="1"/>
  <c r="H34" i="31" s="1"/>
  <c r="I34" i="31" s="1"/>
  <c r="J34" i="31" s="1"/>
  <c r="K34" i="31" s="1"/>
  <c r="L34" i="31" s="1"/>
  <c r="C20" i="37"/>
  <c r="C26" i="37"/>
  <c r="C21" i="37"/>
  <c r="C51" i="37"/>
  <c r="C50" i="37"/>
  <c r="C24" i="37"/>
  <c r="C56" i="37"/>
  <c r="C29" i="37"/>
  <c r="C10" i="37"/>
  <c r="C31" i="37"/>
  <c r="C14" i="37"/>
  <c r="C19" i="37"/>
  <c r="C45" i="37"/>
  <c r="C49" i="37"/>
  <c r="C9" i="37"/>
  <c r="C6" i="37"/>
  <c r="C55" i="37"/>
  <c r="C11" i="37"/>
  <c r="C22" i="37"/>
  <c r="C3" i="37"/>
  <c r="C4" i="37"/>
  <c r="C42" i="37"/>
  <c r="C25" i="37"/>
  <c r="C39" i="37"/>
  <c r="C41" i="37"/>
  <c r="C52" i="37"/>
  <c r="C44" i="37"/>
  <c r="C38" i="37"/>
  <c r="C13" i="37"/>
  <c r="C7" i="37"/>
  <c r="C12" i="37"/>
  <c r="C43" i="37"/>
  <c r="H34" i="25"/>
  <c r="I34" i="25" s="1"/>
  <c r="J34" i="25" s="1"/>
  <c r="K34" i="25" s="1"/>
  <c r="L34" i="25" s="1"/>
  <c r="H34" i="15"/>
  <c r="I34" i="15" s="1"/>
  <c r="J34" i="15" s="1"/>
  <c r="K34" i="15" s="1"/>
  <c r="L34" i="15" s="1"/>
  <c r="I35" i="10"/>
  <c r="J35" i="10" s="1"/>
  <c r="K35" i="10" s="1"/>
  <c r="L35" i="10" s="1"/>
  <c r="C18" i="37"/>
  <c r="H34" i="23" l="1"/>
  <c r="I34" i="23" s="1"/>
  <c r="J34" i="23" s="1"/>
  <c r="K34" i="23" s="1"/>
  <c r="L34" i="23" s="1"/>
  <c r="F21" i="36"/>
  <c r="F49" i="25" l="1"/>
  <c r="Q37" i="25" s="1"/>
  <c r="F24" i="36" l="1"/>
  <c r="F26" i="36"/>
  <c r="J19" i="9"/>
  <c r="I19" i="9"/>
  <c r="H19" i="9"/>
  <c r="Q19" i="9" l="1"/>
  <c r="F49" i="38" l="1"/>
  <c r="Q37" i="38" s="1"/>
  <c r="F49" i="16"/>
  <c r="Q37" i="16" s="1"/>
  <c r="F10" i="36" l="1"/>
  <c r="K29" i="27" l="1"/>
  <c r="J29" i="27"/>
  <c r="I29" i="27"/>
  <c r="J18" i="27"/>
  <c r="I18" i="27"/>
  <c r="H18" i="27"/>
  <c r="J30" i="27"/>
  <c r="I30" i="27"/>
  <c r="H30" i="27"/>
  <c r="F50" i="23" l="1"/>
  <c r="F7" i="36"/>
  <c r="I24" i="27" l="1"/>
  <c r="H24" i="27"/>
  <c r="Q37" i="23" l="1"/>
  <c r="D9" i="27" s="1"/>
  <c r="C22" i="45" l="1"/>
  <c r="S20" i="47" l="1"/>
  <c r="T20" i="47" s="1"/>
  <c r="F39" i="47" s="1"/>
  <c r="U40" i="47"/>
  <c r="B10" i="37" s="1"/>
  <c r="H25" i="36"/>
  <c r="Q20" i="47"/>
  <c r="F25" i="36"/>
  <c r="F22" i="36"/>
  <c r="Q19" i="47"/>
  <c r="L20" i="47"/>
  <c r="F38" i="47" l="1"/>
  <c r="E59" i="37"/>
  <c r="F59" i="37" s="1"/>
  <c r="F49" i="47" l="1"/>
  <c r="Q37" i="47" s="1"/>
  <c r="G25" i="36"/>
  <c r="I25" i="36" s="1"/>
  <c r="Q6" i="17" l="1"/>
  <c r="Q6" i="22" l="1"/>
  <c r="Q6" i="23" s="1"/>
  <c r="I17" i="27"/>
  <c r="H17" i="27"/>
  <c r="G17" i="27"/>
  <c r="F17" i="27"/>
  <c r="E17" i="27"/>
  <c r="E28" i="27"/>
  <c r="E49" i="37"/>
  <c r="F49" i="37" s="1"/>
  <c r="P25" i="36"/>
  <c r="O25" i="36"/>
  <c r="E25" i="36"/>
  <c r="E29" i="36"/>
  <c r="D25" i="36"/>
  <c r="D29" i="36"/>
  <c r="C25" i="36"/>
  <c r="J16" i="47"/>
  <c r="J25" i="36" s="1"/>
  <c r="F16" i="47" l="1"/>
  <c r="P16" i="47" s="1"/>
  <c r="K25" i="36" l="1"/>
  <c r="D17" i="27" l="1"/>
  <c r="H22" i="36" l="1"/>
  <c r="G22" i="36"/>
  <c r="H10" i="36"/>
  <c r="G10" i="36"/>
  <c r="F9" i="36" l="1"/>
  <c r="E35" i="37"/>
  <c r="F35" i="37" s="1"/>
  <c r="E36" i="37"/>
  <c r="F36" i="37" s="1"/>
  <c r="J9" i="27" l="1"/>
  <c r="I9" i="27"/>
  <c r="I10" i="27"/>
  <c r="H10" i="27"/>
  <c r="I28" i="27"/>
  <c r="F48" i="28" l="1"/>
  <c r="Q36" i="28" s="1"/>
  <c r="I25" i="27" l="1"/>
  <c r="H25" i="27"/>
  <c r="G25" i="27"/>
  <c r="F25" i="27"/>
  <c r="E25" i="27"/>
  <c r="G30" i="27" l="1"/>
  <c r="F30" i="27"/>
  <c r="E30" i="27"/>
  <c r="H8" i="36" l="1"/>
  <c r="H26" i="36"/>
  <c r="H24" i="36"/>
  <c r="G21" i="36"/>
  <c r="H21" i="36"/>
  <c r="H12" i="36"/>
  <c r="H15" i="36"/>
  <c r="G9" i="36"/>
  <c r="H9" i="36"/>
  <c r="G7" i="36"/>
  <c r="H7" i="36"/>
  <c r="H6" i="36"/>
  <c r="G3" i="36"/>
  <c r="F21" i="27" l="1"/>
  <c r="D4" i="36" l="1"/>
  <c r="D6" i="36"/>
  <c r="G13" i="36" l="1"/>
  <c r="H13" i="36"/>
  <c r="G24" i="27" l="1"/>
  <c r="F24" i="27"/>
  <c r="E24" i="27"/>
  <c r="G18" i="27"/>
  <c r="F18" i="27"/>
  <c r="E18" i="27"/>
  <c r="P18" i="36"/>
  <c r="P22" i="36"/>
  <c r="O18" i="36"/>
  <c r="O22" i="36"/>
  <c r="D22" i="36"/>
  <c r="D18" i="36"/>
  <c r="E18" i="36"/>
  <c r="E22" i="36"/>
  <c r="C18" i="36"/>
  <c r="C22" i="36"/>
  <c r="J16" i="44"/>
  <c r="J18" i="36" s="1"/>
  <c r="J17" i="43"/>
  <c r="J22" i="36" s="1"/>
  <c r="F51" i="43" l="1"/>
  <c r="Q38" i="43" s="1"/>
  <c r="D24" i="27" s="1"/>
  <c r="H18" i="36"/>
  <c r="F18" i="36"/>
  <c r="G18" i="36"/>
  <c r="F16" i="44"/>
  <c r="F17" i="43"/>
  <c r="F49" i="44" l="1"/>
  <c r="Q37" i="44" s="1"/>
  <c r="I18" i="36"/>
  <c r="P17" i="43"/>
  <c r="P16" i="44"/>
  <c r="D18" i="27" l="1"/>
  <c r="U40" i="13" l="1"/>
  <c r="S20" i="13"/>
  <c r="T20" i="13" s="1"/>
  <c r="L20" i="13"/>
  <c r="C17" i="45"/>
  <c r="H14" i="36"/>
  <c r="Q19" i="13"/>
  <c r="F14" i="36"/>
  <c r="Q20" i="13"/>
  <c r="G14" i="36"/>
  <c r="F38" i="13" l="1"/>
  <c r="F39" i="13"/>
  <c r="K14" i="36"/>
  <c r="I14" i="36"/>
  <c r="F49" i="13" l="1"/>
  <c r="Q37" i="13" s="1"/>
  <c r="D20" i="27" s="1"/>
  <c r="K12" i="27"/>
  <c r="J12" i="27"/>
  <c r="I12" i="27"/>
  <c r="K27" i="27"/>
  <c r="I27" i="27"/>
  <c r="K22" i="27"/>
  <c r="I22" i="27"/>
  <c r="E10" i="36" l="1"/>
  <c r="J16" i="39" l="1"/>
  <c r="J10" i="36" s="1"/>
  <c r="E27" i="27"/>
  <c r="F27" i="27"/>
  <c r="G27" i="27"/>
  <c r="H27" i="27"/>
  <c r="U40" i="41" l="1"/>
  <c r="B38" i="37" s="1"/>
  <c r="H30" i="36"/>
  <c r="G30" i="36"/>
  <c r="H4" i="36"/>
  <c r="F30" i="36"/>
  <c r="F38" i="41"/>
  <c r="F16" i="39"/>
  <c r="P16" i="39" s="1"/>
  <c r="I10" i="36"/>
  <c r="I22" i="36"/>
  <c r="L22" i="36" s="1"/>
  <c r="B13" i="37" l="1"/>
  <c r="B23" i="37"/>
  <c r="I30" i="36"/>
  <c r="Q37" i="39"/>
  <c r="K10" i="36"/>
  <c r="F39" i="41" l="1"/>
  <c r="F49" i="41" s="1"/>
  <c r="Q37" i="41" s="1"/>
  <c r="D30" i="27" s="1"/>
  <c r="D25" i="27"/>
  <c r="F3" i="36" l="1"/>
  <c r="H3" i="36"/>
  <c r="I3" i="36" l="1"/>
  <c r="K3" i="36"/>
  <c r="F49" i="1" l="1"/>
  <c r="Q37" i="1" s="1"/>
  <c r="D5" i="27" s="1"/>
  <c r="I21" i="36"/>
  <c r="E14" i="36" l="1"/>
  <c r="F28" i="36" l="1"/>
  <c r="F50" i="11" l="1"/>
  <c r="Q38" i="11" s="1"/>
  <c r="K28" i="36"/>
  <c r="I28" i="36"/>
  <c r="D5" i="36"/>
  <c r="D13" i="27" l="1"/>
  <c r="J20" i="15"/>
  <c r="Q20" i="15" s="1"/>
  <c r="I20" i="15"/>
  <c r="H20" i="15"/>
  <c r="E20" i="27"/>
  <c r="F20" i="27"/>
  <c r="G20" i="27"/>
  <c r="H20" i="27"/>
  <c r="I20" i="27"/>
  <c r="J20" i="27"/>
  <c r="C28" i="45" l="1"/>
  <c r="C26" i="45"/>
  <c r="C35" i="45"/>
  <c r="F12" i="36"/>
  <c r="G12" i="36"/>
  <c r="K20" i="27"/>
  <c r="K14" i="27"/>
  <c r="J14" i="27"/>
  <c r="J11" i="27"/>
  <c r="Q38" i="10" l="1"/>
  <c r="I12" i="36"/>
  <c r="D7" i="27" l="1"/>
  <c r="J31" i="27"/>
  <c r="I31" i="27"/>
  <c r="H31" i="27"/>
  <c r="P30" i="36"/>
  <c r="O30" i="36"/>
  <c r="D30" i="36"/>
  <c r="D11" i="36"/>
  <c r="E30" i="36"/>
  <c r="E11" i="36"/>
  <c r="C30" i="36"/>
  <c r="J16" i="41" l="1"/>
  <c r="J30" i="36" s="1"/>
  <c r="F16" i="41" l="1"/>
  <c r="P8" i="36"/>
  <c r="O8" i="36"/>
  <c r="D8" i="36"/>
  <c r="D24" i="36"/>
  <c r="E8" i="36"/>
  <c r="C8" i="36"/>
  <c r="G10" i="27"/>
  <c r="E10" i="27"/>
  <c r="P16" i="41" l="1"/>
  <c r="G31" i="27" l="1"/>
  <c r="P10" i="36" l="1"/>
  <c r="O10" i="36"/>
  <c r="D10" i="36"/>
  <c r="C10" i="36" l="1"/>
  <c r="L10" i="36"/>
  <c r="P26" i="36" l="1"/>
  <c r="O26" i="36"/>
  <c r="E26" i="36"/>
  <c r="E13" i="36"/>
  <c r="D26" i="36"/>
  <c r="C26" i="36"/>
  <c r="J16" i="38"/>
  <c r="J26" i="36" s="1"/>
  <c r="G26" i="36" l="1"/>
  <c r="I26" i="36" l="1"/>
  <c r="L26" i="36" s="1"/>
  <c r="D27" i="27"/>
  <c r="K26" i="36"/>
  <c r="P16" i="38"/>
  <c r="J21" i="27" l="1"/>
  <c r="I21" i="27"/>
  <c r="J7" i="27"/>
  <c r="K19" i="27"/>
  <c r="J13" i="27"/>
  <c r="K16" i="27"/>
  <c r="J16" i="27"/>
  <c r="J15" i="27"/>
  <c r="I15" i="27"/>
  <c r="H15" i="27"/>
  <c r="G15" i="27"/>
  <c r="H29" i="27"/>
  <c r="G29" i="27"/>
  <c r="F29" i="27"/>
  <c r="E20" i="37" l="1"/>
  <c r="E4" i="37"/>
  <c r="F4" i="37" s="1"/>
  <c r="E29" i="37"/>
  <c r="F29" i="37" s="1"/>
  <c r="E21" i="37"/>
  <c r="F21" i="37" s="1"/>
  <c r="E22" i="37"/>
  <c r="F22" i="37" s="1"/>
  <c r="E6" i="37"/>
  <c r="F6" i="37" s="1"/>
  <c r="E32" i="37"/>
  <c r="F32" i="37" s="1"/>
  <c r="E23" i="37"/>
  <c r="F23" i="37" s="1"/>
  <c r="E34" i="37"/>
  <c r="F34" i="37" s="1"/>
  <c r="E28" i="37"/>
  <c r="F28" i="37" s="1"/>
  <c r="E30" i="37"/>
  <c r="F30" i="37" s="1"/>
  <c r="E31" i="37"/>
  <c r="F31" i="37" s="1"/>
  <c r="E33" i="37"/>
  <c r="F33" i="37" s="1"/>
  <c r="E7" i="37"/>
  <c r="F7" i="37" s="1"/>
  <c r="E38" i="37"/>
  <c r="F38" i="37" s="1"/>
  <c r="E39" i="37"/>
  <c r="F39" i="37" s="1"/>
  <c r="E40" i="37"/>
  <c r="F40" i="37" s="1"/>
  <c r="E41" i="37"/>
  <c r="F41" i="37" s="1"/>
  <c r="E43" i="37"/>
  <c r="F43" i="37" s="1"/>
  <c r="E45" i="37"/>
  <c r="F45" i="37" s="1"/>
  <c r="E50" i="37"/>
  <c r="F50" i="37" s="1"/>
  <c r="E51" i="37"/>
  <c r="F51" i="37" s="1"/>
  <c r="E52" i="37"/>
  <c r="F52" i="37" s="1"/>
  <c r="E53" i="37"/>
  <c r="F53" i="37" s="1"/>
  <c r="E55" i="37"/>
  <c r="F55" i="37" s="1"/>
  <c r="E57" i="37"/>
  <c r="F57" i="37" s="1"/>
  <c r="C23" i="37"/>
  <c r="E21" i="36" l="1"/>
  <c r="E20" i="36"/>
  <c r="E19" i="36"/>
  <c r="O29" i="36"/>
  <c r="P29" i="36"/>
  <c r="P24" i="36"/>
  <c r="O24" i="36"/>
  <c r="P23" i="36"/>
  <c r="O23" i="36"/>
  <c r="P14" i="36"/>
  <c r="O14" i="36"/>
  <c r="P21" i="36"/>
  <c r="O21" i="36"/>
  <c r="P12" i="36"/>
  <c r="O12" i="36"/>
  <c r="P20" i="36"/>
  <c r="O20" i="36"/>
  <c r="P19" i="36"/>
  <c r="O19" i="36"/>
  <c r="P13" i="36"/>
  <c r="O13" i="36"/>
  <c r="P17" i="36"/>
  <c r="P15" i="36"/>
  <c r="P11" i="36"/>
  <c r="P9" i="36"/>
  <c r="P7" i="36"/>
  <c r="P6" i="36"/>
  <c r="P27" i="36"/>
  <c r="P5" i="36"/>
  <c r="P4" i="36"/>
  <c r="P3" i="36"/>
  <c r="O17" i="36"/>
  <c r="O15" i="36"/>
  <c r="O11" i="36"/>
  <c r="O9" i="36"/>
  <c r="O7" i="36"/>
  <c r="O6" i="36"/>
  <c r="O27" i="36"/>
  <c r="O5" i="36"/>
  <c r="O4" i="36"/>
  <c r="O3" i="36"/>
  <c r="N31" i="36" l="1"/>
  <c r="O31" i="36"/>
  <c r="P31" i="36"/>
  <c r="D23" i="36"/>
  <c r="D14" i="36"/>
  <c r="D21" i="36"/>
  <c r="D12" i="36"/>
  <c r="D20" i="36"/>
  <c r="D19" i="36"/>
  <c r="D13" i="36"/>
  <c r="D17" i="36"/>
  <c r="D15" i="36"/>
  <c r="D9" i="36"/>
  <c r="D7" i="36"/>
  <c r="D27" i="36"/>
  <c r="D3" i="36"/>
  <c r="E24" i="36"/>
  <c r="E23" i="36"/>
  <c r="E12" i="36"/>
  <c r="E17" i="36"/>
  <c r="E15" i="36"/>
  <c r="E9" i="36"/>
  <c r="E7" i="36"/>
  <c r="E6" i="36"/>
  <c r="E27" i="36"/>
  <c r="E5" i="36"/>
  <c r="E4" i="36"/>
  <c r="E3" i="36"/>
  <c r="C24" i="36"/>
  <c r="C23" i="36"/>
  <c r="C14" i="36"/>
  <c r="C21" i="36"/>
  <c r="C12" i="36"/>
  <c r="C20" i="36"/>
  <c r="C19" i="36"/>
  <c r="C13" i="36"/>
  <c r="C28" i="36"/>
  <c r="C17" i="36"/>
  <c r="C15" i="36"/>
  <c r="C11" i="36"/>
  <c r="C9" i="36"/>
  <c r="C7" i="36"/>
  <c r="C6" i="36"/>
  <c r="C27" i="36"/>
  <c r="C5" i="36"/>
  <c r="C4" i="36"/>
  <c r="C3" i="36"/>
  <c r="E31" i="36" l="1"/>
  <c r="F19" i="36" l="1"/>
  <c r="H19" i="36"/>
  <c r="G19" i="36"/>
  <c r="K19" i="36" l="1"/>
  <c r="I19" i="36"/>
  <c r="F23" i="27" l="1"/>
  <c r="K26" i="27" l="1"/>
  <c r="F31" i="27" l="1"/>
  <c r="E31" i="27"/>
  <c r="J16" i="35" l="1"/>
  <c r="J13" i="36" s="1"/>
  <c r="I13" i="36" l="1"/>
  <c r="F49" i="35"/>
  <c r="Q37" i="35" s="1"/>
  <c r="D31" i="27" s="1"/>
  <c r="F16" i="35"/>
  <c r="H21" i="27"/>
  <c r="E8" i="37" l="1"/>
  <c r="F8" i="37" s="1"/>
  <c r="P16" i="35"/>
  <c r="H12" i="27" l="1"/>
  <c r="G21" i="27" l="1"/>
  <c r="E21" i="27"/>
  <c r="J23" i="36"/>
  <c r="B14" i="37" l="1"/>
  <c r="E14" i="37" s="1"/>
  <c r="F14" i="37" s="1"/>
  <c r="B25" i="37"/>
  <c r="E25" i="37" s="1"/>
  <c r="F25" i="37" s="1"/>
  <c r="C18" i="45"/>
  <c r="C3" i="45"/>
  <c r="C23" i="45"/>
  <c r="G23" i="36"/>
  <c r="F23" i="36"/>
  <c r="H23" i="36"/>
  <c r="B27" i="37" l="1"/>
  <c r="E27" i="37" s="1"/>
  <c r="F27" i="37" s="1"/>
  <c r="I23" i="36"/>
  <c r="L23" i="36" s="1"/>
  <c r="K23" i="36"/>
  <c r="D21" i="27" l="1"/>
  <c r="J6" i="27" l="1"/>
  <c r="I6" i="27"/>
  <c r="H6" i="27"/>
  <c r="J20" i="9" l="1"/>
  <c r="S20" i="9" s="1"/>
  <c r="I20" i="9"/>
  <c r="H20" i="9"/>
  <c r="J19" i="24"/>
  <c r="S20" i="24" s="1"/>
  <c r="I19" i="24"/>
  <c r="I7" i="36"/>
  <c r="J19" i="15"/>
  <c r="I19" i="15"/>
  <c r="H19" i="15"/>
  <c r="S20" i="15" l="1"/>
  <c r="T20" i="15" s="1"/>
  <c r="Q19" i="15"/>
  <c r="T20" i="9"/>
  <c r="F37" i="9" s="1"/>
  <c r="C4" i="45"/>
  <c r="L20" i="15"/>
  <c r="H27" i="36"/>
  <c r="L20" i="24"/>
  <c r="U40" i="24"/>
  <c r="B9" i="37" s="1"/>
  <c r="U38" i="9"/>
  <c r="B46" i="37" s="1"/>
  <c r="G27" i="36"/>
  <c r="T20" i="24"/>
  <c r="F39" i="24" s="1"/>
  <c r="C10" i="45"/>
  <c r="U40" i="15"/>
  <c r="B56" i="37" s="1"/>
  <c r="E56" i="37" s="1"/>
  <c r="F56" i="37" s="1"/>
  <c r="Q20" i="9"/>
  <c r="F36" i="9" s="1"/>
  <c r="C8" i="45"/>
  <c r="F38" i="15"/>
  <c r="L20" i="9"/>
  <c r="C6" i="45"/>
  <c r="C37" i="45"/>
  <c r="C29" i="45"/>
  <c r="C31" i="45"/>
  <c r="C16" i="45"/>
  <c r="C13" i="45"/>
  <c r="C19" i="45"/>
  <c r="C36" i="45"/>
  <c r="C30" i="45"/>
  <c r="C7" i="45"/>
  <c r="H29" i="36"/>
  <c r="H17" i="36"/>
  <c r="F4" i="36"/>
  <c r="F15" i="36"/>
  <c r="H11" i="36"/>
  <c r="G11" i="36"/>
  <c r="G5" i="36"/>
  <c r="F5" i="36"/>
  <c r="F6" i="36"/>
  <c r="F8" i="36"/>
  <c r="F49" i="31"/>
  <c r="F17" i="36"/>
  <c r="F20" i="36"/>
  <c r="F29" i="36"/>
  <c r="F11" i="36"/>
  <c r="Q19" i="24"/>
  <c r="F38" i="24" s="1"/>
  <c r="F27" i="36"/>
  <c r="G4" i="36"/>
  <c r="H20" i="36"/>
  <c r="H5" i="36"/>
  <c r="G20" i="36"/>
  <c r="L25" i="36"/>
  <c r="G15" i="36"/>
  <c r="G29" i="36"/>
  <c r="G6" i="36"/>
  <c r="G17" i="36"/>
  <c r="G8" i="36"/>
  <c r="G24" i="36"/>
  <c r="E47" i="37"/>
  <c r="F47" i="37" s="1"/>
  <c r="E42" i="37"/>
  <c r="F42" i="37" s="1"/>
  <c r="K21" i="36"/>
  <c r="F16" i="29"/>
  <c r="K12" i="36"/>
  <c r="B26" i="37" l="1"/>
  <c r="E26" i="37" s="1"/>
  <c r="F26" i="37" s="1"/>
  <c r="B17" i="37"/>
  <c r="E17" i="37" s="1"/>
  <c r="F17" i="37" s="1"/>
  <c r="I27" i="36"/>
  <c r="B12" i="37"/>
  <c r="E12" i="37" s="1"/>
  <c r="F12" i="37" s="1"/>
  <c r="B3" i="37"/>
  <c r="E3" i="37" s="1"/>
  <c r="F3" i="37" s="1"/>
  <c r="B18" i="37"/>
  <c r="B15" i="37"/>
  <c r="E15" i="37" s="1"/>
  <c r="F15" i="37" s="1"/>
  <c r="B24" i="37"/>
  <c r="E24" i="37" s="1"/>
  <c r="F24" i="37" s="1"/>
  <c r="E19" i="37"/>
  <c r="F19" i="37" s="1"/>
  <c r="F39" i="15"/>
  <c r="F47" i="9"/>
  <c r="Q35" i="9" s="1"/>
  <c r="Q36" i="26"/>
  <c r="D32" i="27" s="1"/>
  <c r="F49" i="4"/>
  <c r="Q37" i="4" s="1"/>
  <c r="I4" i="36"/>
  <c r="I11" i="36"/>
  <c r="C38" i="45"/>
  <c r="I5" i="36"/>
  <c r="F49" i="17"/>
  <c r="Q37" i="17" s="1"/>
  <c r="F39" i="22"/>
  <c r="F49" i="22" s="1"/>
  <c r="Q37" i="22" s="1"/>
  <c r="Q37" i="31"/>
  <c r="H31" i="36"/>
  <c r="I20" i="36"/>
  <c r="I8" i="36"/>
  <c r="I15" i="36"/>
  <c r="I29" i="36"/>
  <c r="K29" i="36"/>
  <c r="F31" i="36"/>
  <c r="I6" i="36"/>
  <c r="I17" i="36"/>
  <c r="G31" i="36"/>
  <c r="I24" i="36"/>
  <c r="I9" i="36"/>
  <c r="K4" i="36"/>
  <c r="K7" i="36"/>
  <c r="K17" i="36"/>
  <c r="K8" i="36"/>
  <c r="K27" i="36"/>
  <c r="K5" i="36"/>
  <c r="K9" i="36"/>
  <c r="K15" i="36"/>
  <c r="K11" i="36"/>
  <c r="K20" i="36"/>
  <c r="E11" i="37"/>
  <c r="F11" i="37" s="1"/>
  <c r="E16" i="37"/>
  <c r="F16" i="37" s="1"/>
  <c r="E5" i="37"/>
  <c r="F5" i="37" s="1"/>
  <c r="E37" i="37"/>
  <c r="F37" i="37" s="1"/>
  <c r="E10" i="37"/>
  <c r="F10" i="37" s="1"/>
  <c r="E13" i="37"/>
  <c r="F13" i="37" s="1"/>
  <c r="E44" i="37"/>
  <c r="F44" i="37" s="1"/>
  <c r="E9" i="37"/>
  <c r="F9" i="37" s="1"/>
  <c r="E46" i="37"/>
  <c r="F46" i="37" s="1"/>
  <c r="I13" i="27"/>
  <c r="H13" i="27"/>
  <c r="G13" i="27"/>
  <c r="I16" i="27"/>
  <c r="I14" i="27"/>
  <c r="H14" i="27"/>
  <c r="G14" i="27"/>
  <c r="H28" i="27"/>
  <c r="G28" i="27"/>
  <c r="I19" i="27"/>
  <c r="H19" i="27"/>
  <c r="G19" i="27"/>
  <c r="I7" i="27"/>
  <c r="I31" i="36" l="1"/>
  <c r="C39" i="45" s="1"/>
  <c r="B70" i="37"/>
  <c r="E18" i="37"/>
  <c r="F18" i="37" s="1"/>
  <c r="F49" i="24"/>
  <c r="Q37" i="24" s="1"/>
  <c r="Q37" i="20"/>
  <c r="D15" i="27" s="1"/>
  <c r="F49" i="29"/>
  <c r="Q37" i="29" s="1"/>
  <c r="J16" i="13"/>
  <c r="J14" i="36" s="1"/>
  <c r="L14" i="36" s="1"/>
  <c r="H7" i="27"/>
  <c r="J16" i="17"/>
  <c r="J5" i="36" s="1"/>
  <c r="H16" i="27"/>
  <c r="I11" i="27"/>
  <c r="J16" i="28"/>
  <c r="J9" i="36" s="1"/>
  <c r="J16" i="31"/>
  <c r="J8" i="36" s="1"/>
  <c r="F19" i="27"/>
  <c r="E19" i="27"/>
  <c r="J16" i="30"/>
  <c r="J19" i="36" s="1"/>
  <c r="I26" i="27"/>
  <c r="H26" i="27"/>
  <c r="G16" i="27"/>
  <c r="F16" i="27"/>
  <c r="E16" i="27"/>
  <c r="J16" i="29"/>
  <c r="J17" i="36" s="1"/>
  <c r="B71" i="37" l="1"/>
  <c r="B72" i="37" s="1"/>
  <c r="C40" i="45"/>
  <c r="F16" i="1"/>
  <c r="K24" i="36"/>
  <c r="K31" i="36" s="1"/>
  <c r="F16" i="28"/>
  <c r="L9" i="36" s="1"/>
  <c r="F16" i="23"/>
  <c r="F16" i="17"/>
  <c r="L5" i="36" s="1"/>
  <c r="F16" i="13"/>
  <c r="F16" i="31"/>
  <c r="L8" i="36" s="1"/>
  <c r="F16" i="30"/>
  <c r="H22" i="27"/>
  <c r="H9" i="27"/>
  <c r="G5" i="27"/>
  <c r="H11" i="27"/>
  <c r="G26" i="27"/>
  <c r="F26" i="27"/>
  <c r="E26" i="27"/>
  <c r="E23" i="27"/>
  <c r="G7" i="27"/>
  <c r="E7" i="27"/>
  <c r="G22" i="27"/>
  <c r="F22" i="27"/>
  <c r="E22" i="27"/>
  <c r="F13" i="27"/>
  <c r="E13" i="27"/>
  <c r="F15" i="27"/>
  <c r="E15" i="27"/>
  <c r="G11" i="27"/>
  <c r="F14" i="27"/>
  <c r="E14" i="27"/>
  <c r="F11" i="27"/>
  <c r="E11" i="27"/>
  <c r="P16" i="29" l="1"/>
  <c r="L17" i="36"/>
  <c r="P16" i="30"/>
  <c r="L19" i="36"/>
  <c r="P16" i="31"/>
  <c r="P16" i="28"/>
  <c r="D10" i="27" l="1"/>
  <c r="D16" i="27" l="1"/>
  <c r="D11" i="27"/>
  <c r="G9" i="27"/>
  <c r="F9" i="27"/>
  <c r="E9" i="27"/>
  <c r="G12" i="27"/>
  <c r="F12" i="27"/>
  <c r="E12" i="27"/>
  <c r="F28" i="27"/>
  <c r="E29" i="27"/>
  <c r="G6" i="27"/>
  <c r="F6" i="27"/>
  <c r="E6" i="27"/>
  <c r="F5" i="27"/>
  <c r="E5" i="27"/>
  <c r="L11" i="1"/>
  <c r="L11" i="33" s="1"/>
  <c r="L11" i="17"/>
  <c r="L11" i="48" s="1"/>
  <c r="P16" i="26"/>
  <c r="J16" i="25"/>
  <c r="J21" i="36" s="1"/>
  <c r="F16" i="9"/>
  <c r="F16" i="22"/>
  <c r="F16" i="4"/>
  <c r="J16" i="24"/>
  <c r="J11" i="36" s="1"/>
  <c r="J16" i="23"/>
  <c r="J7" i="36" s="1"/>
  <c r="L7" i="36" s="1"/>
  <c r="J16" i="22"/>
  <c r="J6" i="36" s="1"/>
  <c r="C17" i="37" l="1"/>
  <c r="C15" i="37"/>
  <c r="C30" i="37"/>
  <c r="C16" i="37"/>
  <c r="L11" i="47"/>
  <c r="C8" i="37"/>
  <c r="J29" i="36"/>
  <c r="L11" i="44"/>
  <c r="L11" i="43"/>
  <c r="L11" i="41"/>
  <c r="L11" i="39"/>
  <c r="L11" i="38"/>
  <c r="L11" i="35"/>
  <c r="L11" i="31"/>
  <c r="L11" i="30"/>
  <c r="L11" i="22"/>
  <c r="L11" i="29"/>
  <c r="F16" i="20"/>
  <c r="F16" i="11"/>
  <c r="L11" i="24"/>
  <c r="L11" i="25"/>
  <c r="F16" i="25"/>
  <c r="P16" i="22"/>
  <c r="F16" i="15"/>
  <c r="F16" i="24"/>
  <c r="P16" i="23"/>
  <c r="L11" i="11"/>
  <c r="L11" i="10"/>
  <c r="L11" i="20"/>
  <c r="L11" i="9"/>
  <c r="L11" i="4"/>
  <c r="L11" i="26"/>
  <c r="I5" i="18"/>
  <c r="L29" i="36" l="1"/>
  <c r="P16" i="25"/>
  <c r="P16" i="24"/>
  <c r="L11" i="16"/>
  <c r="L11" i="23"/>
  <c r="L11" i="13"/>
  <c r="L11" i="15"/>
  <c r="J16" i="20"/>
  <c r="J15" i="36" s="1"/>
  <c r="L15" i="36" s="1"/>
  <c r="I4" i="18"/>
  <c r="J16" i="16"/>
  <c r="J24" i="36" s="1"/>
  <c r="L24" i="36" s="1"/>
  <c r="J16" i="15"/>
  <c r="J16" i="11"/>
  <c r="J28" i="36" s="1"/>
  <c r="J16" i="10"/>
  <c r="J16" i="9"/>
  <c r="L11" i="36" l="1"/>
  <c r="D12" i="27"/>
  <c r="P16" i="9"/>
  <c r="J20" i="36"/>
  <c r="L20" i="36" s="1"/>
  <c r="P16" i="15"/>
  <c r="J27" i="36"/>
  <c r="L27" i="36" s="1"/>
  <c r="L21" i="36"/>
  <c r="J12" i="36"/>
  <c r="L28" i="36"/>
  <c r="D23" i="27"/>
  <c r="L11" i="28"/>
  <c r="P16" i="20"/>
  <c r="P16" i="16"/>
  <c r="P16" i="17"/>
  <c r="P16" i="13"/>
  <c r="P16" i="11"/>
  <c r="P16" i="10"/>
  <c r="J16" i="4"/>
  <c r="J4" i="36" s="1"/>
  <c r="J16" i="1"/>
  <c r="J3" i="36" s="1"/>
  <c r="L12" i="36" l="1"/>
  <c r="J31" i="36"/>
  <c r="L3" i="36"/>
  <c r="L4" i="36"/>
  <c r="D14" i="27"/>
  <c r="P16" i="4"/>
  <c r="P16" i="1"/>
  <c r="L31" i="36" l="1"/>
  <c r="D26" i="27" l="1"/>
  <c r="D29" i="27"/>
  <c r="D6" i="27" l="1"/>
  <c r="D34" i="27" s="1"/>
  <c r="D33" i="27" l="1"/>
  <c r="F49" i="15"/>
  <c r="Q37" i="15" s="1"/>
  <c r="D28" i="27" l="1"/>
  <c r="D22" i="27"/>
  <c r="D37" i="27" l="1"/>
  <c r="H34" i="1"/>
  <c r="I34" i="1" s="1"/>
  <c r="J34" i="1" s="1"/>
  <c r="K34" i="1" s="1"/>
  <c r="L34" i="1" s="1"/>
  <c r="J34" i="4"/>
  <c r="K34" i="4" s="1"/>
  <c r="L34" i="4" s="1"/>
  <c r="H34" i="17"/>
  <c r="I34" i="17" s="1"/>
  <c r="J34" i="17" s="1"/>
  <c r="K34" i="17" s="1"/>
  <c r="L34" i="17" s="1"/>
  <c r="F49" i="30"/>
  <c r="Q37" i="30" s="1"/>
  <c r="Q6" i="31"/>
  <c r="Q6" i="28" s="1"/>
  <c r="Q6" i="39" s="1"/>
  <c r="D19" i="27" l="1"/>
  <c r="D35" i="27" s="1"/>
  <c r="Q6" i="24"/>
  <c r="Q6" i="10" s="1"/>
  <c r="Q6" i="35" s="1"/>
  <c r="Q6" i="20" l="1"/>
  <c r="Q6" i="48" s="1"/>
  <c r="Q6" i="29" s="1"/>
  <c r="Q6" i="44" s="1"/>
  <c r="Q6" i="30" s="1"/>
  <c r="Q6" i="9" s="1"/>
  <c r="Q6" i="25" l="1"/>
  <c r="Q6" i="43" s="1"/>
  <c r="Q6" i="33" s="1"/>
  <c r="Q6" i="16" l="1"/>
  <c r="Q6" i="47" s="1"/>
  <c r="Q6" i="38" s="1"/>
  <c r="Q6" i="15" s="1"/>
  <c r="Q6" i="11" s="1"/>
  <c r="Q6" i="26" s="1"/>
</calcChain>
</file>

<file path=xl/sharedStrings.xml><?xml version="1.0" encoding="utf-8"?>
<sst xmlns="http://schemas.openxmlformats.org/spreadsheetml/2006/main" count="3213" uniqueCount="590">
  <si>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</si>
  <si>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</si>
  <si>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</si>
  <si>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</si>
  <si>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</si>
  <si>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</si>
  <si>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</si>
  <si>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</si>
  <si>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</si>
  <si>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</si>
  <si>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</si>
  <si>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</si>
  <si>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</si>
  <si>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</si>
  <si>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</si>
  <si>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</si>
  <si>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</si>
  <si>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</si>
  <si>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</si>
  <si>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</si>
  <si>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</si>
  <si>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</si>
  <si>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</si>
  <si>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</si>
  <si>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</si>
  <si>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</si>
  <si>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</si>
  <si>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</si>
  <si>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</si>
  <si>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</si>
  <si>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</si>
  <si>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</si>
  <si>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</si>
  <si>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</si>
  <si>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</si>
  <si>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</si>
  <si>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</si>
  <si>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</si>
  <si>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</si>
  <si>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ESTANCIAS</t>
  </si>
  <si>
    <t>CRUCE PERICAS</t>
  </si>
  <si>
    <t>TOTAL DEDUCCIONES:</t>
  </si>
  <si>
    <t>TOTAL DE PERCEPCIONES:</t>
  </si>
  <si>
    <t>OBSERVACIONES:</t>
  </si>
  <si>
    <t>FIRMA DE AUTORIZACION</t>
  </si>
  <si>
    <t>FIRMA DE CONFORMIDAD</t>
  </si>
  <si>
    <t>CHIH.</t>
  </si>
  <si>
    <t>JRZ</t>
  </si>
  <si>
    <t>CODIGO C/V/PT</t>
  </si>
  <si>
    <t>CARGADO</t>
  </si>
  <si>
    <t>AGUILAR ESQUIVEL CARLOS</t>
  </si>
  <si>
    <t>F-051</t>
  </si>
  <si>
    <t>F-012</t>
  </si>
  <si>
    <t>AGUILAR RODRIGUEZ JORGE ALONSO</t>
  </si>
  <si>
    <t>MONTERO BURROLA LUIS</t>
  </si>
  <si>
    <t>F-002</t>
  </si>
  <si>
    <t>F-006</t>
  </si>
  <si>
    <t>F-004</t>
  </si>
  <si>
    <t>F-011</t>
  </si>
  <si>
    <t>ORONA BECERRA MAURO JOSE</t>
  </si>
  <si>
    <t>F-045</t>
  </si>
  <si>
    <t xml:space="preserve">PARA LOS QUE HACEN MOVIMIENTOS EN JUAREZ </t>
  </si>
  <si>
    <t>LITROS A PAGAR</t>
  </si>
  <si>
    <t>F-086</t>
  </si>
  <si>
    <t>OBRG</t>
  </si>
  <si>
    <t>DELICIAS</t>
  </si>
  <si>
    <t>CUAHU.</t>
  </si>
  <si>
    <t>JANOS</t>
  </si>
  <si>
    <t>GUAMUCHIL</t>
  </si>
  <si>
    <t>PARRAL</t>
  </si>
  <si>
    <t>FOLIO</t>
  </si>
  <si>
    <t>UNIDAD</t>
  </si>
  <si>
    <t>ODM. INICIAL</t>
  </si>
  <si>
    <t>ODM. FINAL</t>
  </si>
  <si>
    <t>KM. RECORR</t>
  </si>
  <si>
    <t>F-019</t>
  </si>
  <si>
    <t>BALDERRAMA ROBLES JORGE</t>
  </si>
  <si>
    <t>F-017</t>
  </si>
  <si>
    <t>CHIH.(HAW)</t>
  </si>
  <si>
    <t>F-074</t>
  </si>
  <si>
    <t>MORALES LOPEZ DE LARA MARIANO</t>
  </si>
  <si>
    <t>F-082</t>
  </si>
  <si>
    <t>VALLES HERNANDEZ MANUEL MARCELINO</t>
  </si>
  <si>
    <t>FLETES SOTELO S.A. DE C.V.</t>
  </si>
  <si>
    <t>VIAJES FORANEOS JUAREZ - CHIHUAHUA</t>
  </si>
  <si>
    <t>#</t>
  </si>
  <si>
    <t>EMPLEADO</t>
  </si>
  <si>
    <t>VIAJES FORANEOS</t>
  </si>
  <si>
    <t>NO. DE REPORTE</t>
  </si>
  <si>
    <t>0001</t>
  </si>
  <si>
    <t>1332</t>
  </si>
  <si>
    <t>0028</t>
  </si>
  <si>
    <t>0035</t>
  </si>
  <si>
    <t>BURGOS TORRES RIGOBERTO</t>
  </si>
  <si>
    <t>CORDOVA URIBE JOSE ADRIAN</t>
  </si>
  <si>
    <t>1089</t>
  </si>
  <si>
    <t>HERNANDEZ LICANO JOSE LUIS</t>
  </si>
  <si>
    <t>1047</t>
  </si>
  <si>
    <t xml:space="preserve">MARTINEZ RAMIREZ ROSALIO </t>
  </si>
  <si>
    <t>0176</t>
  </si>
  <si>
    <t xml:space="preserve">MONTERO BURROLA LUIS LEOBARDO </t>
  </si>
  <si>
    <t>0178</t>
  </si>
  <si>
    <t xml:space="preserve">MORALES LOPEZ DE LARA MARIANO </t>
  </si>
  <si>
    <t>1133</t>
  </si>
  <si>
    <t>0273</t>
  </si>
  <si>
    <t xml:space="preserve">VALLES HERNANDEZ MANUEL MARCELINO </t>
  </si>
  <si>
    <t xml:space="preserve">TOTAL </t>
  </si>
  <si>
    <t>CANANEA</t>
  </si>
  <si>
    <t xml:space="preserve">ELP. </t>
  </si>
  <si>
    <t xml:space="preserve">CHIH. </t>
  </si>
  <si>
    <t>MARTINEZ RAMIREZ ROSALIO</t>
  </si>
  <si>
    <t>TALLER EXTERNO</t>
  </si>
  <si>
    <t>DISTANCIA KILOMETROS JRZ-CHIH</t>
  </si>
  <si>
    <t>R</t>
  </si>
  <si>
    <t>F-008</t>
  </si>
  <si>
    <t>F-014</t>
  </si>
  <si>
    <t>CHIH. (FOKKER)</t>
  </si>
  <si>
    <t xml:space="preserve">BONO QMS </t>
  </si>
  <si>
    <t>CHIH. (HAW)</t>
  </si>
  <si>
    <t>IMURIS</t>
  </si>
  <si>
    <t>ONTIVEROS LIRA JUAN</t>
  </si>
  <si>
    <t>ELP</t>
  </si>
  <si>
    <t>CHIH. (HAWK)</t>
  </si>
  <si>
    <t>CHIH (AMPRI)</t>
  </si>
  <si>
    <t>F-009</t>
  </si>
  <si>
    <t>BONO TRANSERVICIOS</t>
  </si>
  <si>
    <t>CONCEPTO</t>
  </si>
  <si>
    <t>FECHA</t>
  </si>
  <si>
    <t>MONTO</t>
  </si>
  <si>
    <t>F-015</t>
  </si>
  <si>
    <t>F-013</t>
  </si>
  <si>
    <t>PT</t>
  </si>
  <si>
    <t>F-010</t>
  </si>
  <si>
    <t>F-005</t>
  </si>
  <si>
    <t>F-007</t>
  </si>
  <si>
    <t>F-050</t>
  </si>
  <si>
    <t>VACIO</t>
  </si>
  <si>
    <t>F-087</t>
  </si>
  <si>
    <t>NOMBRES</t>
  </si>
  <si>
    <t>DIESEL</t>
  </si>
  <si>
    <t>PAGADO</t>
  </si>
  <si>
    <t>TOTAL</t>
  </si>
  <si>
    <t>CARGADOS</t>
  </si>
  <si>
    <t>VACIOS</t>
  </si>
  <si>
    <t>LIQUIDACIONES</t>
  </si>
  <si>
    <t>F-061</t>
  </si>
  <si>
    <t>KM. LIQUID</t>
  </si>
  <si>
    <t>LTS</t>
  </si>
  <si>
    <t xml:space="preserve"> KMS LIQ.</t>
  </si>
  <si>
    <t>KMS ODOM.</t>
  </si>
  <si>
    <t>LTS.DIESEL</t>
  </si>
  <si>
    <t>F-003</t>
  </si>
  <si>
    <t>F-016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</si>
  <si>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</si>
  <si>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</si>
  <si>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</si>
  <si>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</si>
  <si>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</si>
  <si>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</si>
  <si>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</si>
  <si>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</si>
  <si>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</si>
  <si>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</si>
  <si>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</si>
  <si>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F-033</t>
  </si>
  <si>
    <t>F-034</t>
  </si>
  <si>
    <t>F-035</t>
  </si>
  <si>
    <t>F-036</t>
  </si>
  <si>
    <t>F-059</t>
  </si>
  <si>
    <t>F-060</t>
  </si>
  <si>
    <t>F-069</t>
  </si>
  <si>
    <t>F-088</t>
  </si>
  <si>
    <t>F-089</t>
  </si>
  <si>
    <t>F-090</t>
  </si>
  <si>
    <t>F-091</t>
  </si>
  <si>
    <t>F-092</t>
  </si>
  <si>
    <t>F-097</t>
  </si>
  <si>
    <t>F-098</t>
  </si>
  <si>
    <t>F-099</t>
  </si>
  <si>
    <t>F-107</t>
  </si>
  <si>
    <t>F-108</t>
  </si>
  <si>
    <t>F-110</t>
  </si>
  <si>
    <t xml:space="preserve"> </t>
  </si>
  <si>
    <t>ORTIZ RAMIREZ HECTOR MANUEL</t>
  </si>
  <si>
    <t>2018</t>
  </si>
  <si>
    <t>RENDIMIENTO PAGO</t>
  </si>
  <si>
    <t>RENIDMIENTO</t>
  </si>
  <si>
    <t>DOBLETE</t>
  </si>
  <si>
    <t>RAMIREZ BAUTISTA ADRIAN</t>
  </si>
  <si>
    <t>2046</t>
  </si>
  <si>
    <t>CUAHU. 1</t>
  </si>
  <si>
    <t>CUAHU. 2</t>
  </si>
  <si>
    <t>SMTC</t>
  </si>
  <si>
    <t>COFICAB</t>
  </si>
  <si>
    <t>SOUTHCO</t>
  </si>
  <si>
    <t>XOMOX</t>
  </si>
  <si>
    <t>APTIV</t>
  </si>
  <si>
    <t>PETSCHE</t>
  </si>
  <si>
    <t>CFI</t>
  </si>
  <si>
    <t>SAFRAN</t>
  </si>
  <si>
    <t>G. AMERICAN</t>
  </si>
  <si>
    <t>YAZAKI</t>
  </si>
  <si>
    <t>YAZAKI COM.</t>
  </si>
  <si>
    <t>SOTELO</t>
  </si>
  <si>
    <t>LYN LOG.</t>
  </si>
  <si>
    <t>BORGWARNER</t>
  </si>
  <si>
    <t>KM CARG.</t>
  </si>
  <si>
    <t>KM VAC.</t>
  </si>
  <si>
    <t>KM PT.</t>
  </si>
  <si>
    <t>TOTAL KM</t>
  </si>
  <si>
    <t>KM POR CLIENTE</t>
  </si>
  <si>
    <t>CH ROBINSON</t>
  </si>
  <si>
    <t>CHANDLER</t>
  </si>
  <si>
    <t>ESC. REPRES.</t>
  </si>
  <si>
    <t>HAAS</t>
  </si>
  <si>
    <t>MEXTAPE</t>
  </si>
  <si>
    <t>PACTIV</t>
  </si>
  <si>
    <t>SYSCOM</t>
  </si>
  <si>
    <t>TRANSERVICIOS</t>
  </si>
  <si>
    <t>V. REYES</t>
  </si>
  <si>
    <t>PAGO POR KM</t>
  </si>
  <si>
    <t>DIESEL A FAVOR</t>
  </si>
  <si>
    <t>F-038</t>
  </si>
  <si>
    <t>F-037</t>
  </si>
  <si>
    <t>F-100</t>
  </si>
  <si>
    <t>BONO POSTURA</t>
  </si>
  <si>
    <t>CORDOVA URIBE ADRIAN</t>
  </si>
  <si>
    <t>PLESANT</t>
  </si>
  <si>
    <t>RECONOCIMIENTO</t>
  </si>
  <si>
    <t>CARGADO/ELP</t>
  </si>
  <si>
    <t>CARGADO FOK/HAW</t>
  </si>
  <si>
    <t>CARGADO FOK/HAW-EL P</t>
  </si>
  <si>
    <t>COYOTE</t>
  </si>
  <si>
    <t>BALLEZA RAMIREZ JESUS JOSE</t>
  </si>
  <si>
    <t>0029</t>
  </si>
  <si>
    <t>PROMEDIO SEMANAL</t>
  </si>
  <si>
    <t>GUZMAN CHAPARRO PEDRO</t>
  </si>
  <si>
    <t>2319</t>
  </si>
  <si>
    <t>AUT. GALINDO</t>
  </si>
  <si>
    <t>Relacion Diciembre 2023</t>
  </si>
  <si>
    <t>RELACION DICIEMBRE 2023</t>
  </si>
  <si>
    <t>KM</t>
  </si>
  <si>
    <t>PAGO KM</t>
  </si>
  <si>
    <t>194</t>
  </si>
  <si>
    <t>BONO SIERRA</t>
  </si>
  <si>
    <t>0007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</si>
  <si>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</si>
  <si>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</si>
  <si>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XYLEM</t>
  </si>
  <si>
    <t>% VIAJE ACCIDENTE</t>
  </si>
  <si>
    <t>2067</t>
  </si>
  <si>
    <t>PAGO</t>
  </si>
  <si>
    <t>ODM.INICIAL</t>
  </si>
  <si>
    <t>ODOM.FINAL</t>
  </si>
  <si>
    <t>F-119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</si>
  <si>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</si>
  <si>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</si>
  <si>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</si>
  <si>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</si>
  <si>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</si>
  <si>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</si>
  <si>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</si>
  <si>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</si>
  <si>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F-120</t>
  </si>
  <si>
    <t>SENATOR INTERNACIONAL</t>
  </si>
  <si>
    <t xml:space="preserve">REPORTE </t>
  </si>
  <si>
    <t>ODOM.INC</t>
  </si>
  <si>
    <t>ODOM.FIN</t>
  </si>
  <si>
    <t>AGUILERA CONTRERAS LUIS GERARDO</t>
  </si>
  <si>
    <t>LN-38</t>
  </si>
  <si>
    <t>LN-45</t>
  </si>
  <si>
    <t>LN-42</t>
  </si>
  <si>
    <t>LN-43</t>
  </si>
  <si>
    <t>LN-46</t>
  </si>
  <si>
    <t>LN-36</t>
  </si>
  <si>
    <t>DEMO TECHNIC</t>
  </si>
  <si>
    <t>PEND</t>
  </si>
  <si>
    <t xml:space="preserve">  </t>
  </si>
  <si>
    <t>2505</t>
  </si>
  <si>
    <t>REYES LARA DANTE</t>
  </si>
  <si>
    <t>2020</t>
  </si>
  <si>
    <t>2508</t>
  </si>
  <si>
    <t>ADS</t>
  </si>
  <si>
    <t xml:space="preserve">   </t>
  </si>
  <si>
    <t xml:space="preserve">PT </t>
  </si>
  <si>
    <t>PESO</t>
  </si>
  <si>
    <t>PESO DE CARGA (kg)</t>
  </si>
  <si>
    <t>PESO  PROMEDIO DE CARGA (kg)</t>
  </si>
  <si>
    <t>g</t>
  </si>
  <si>
    <t>CASTMETAL FWF DE MEXICO</t>
  </si>
  <si>
    <t xml:space="preserve">                                                                                     </t>
  </si>
  <si>
    <t xml:space="preserve">                                                       </t>
  </si>
  <si>
    <t>LOCAL</t>
  </si>
  <si>
    <t>CASTMETAL</t>
  </si>
  <si>
    <t>COMPENSACION ALTO CONSUMO</t>
  </si>
  <si>
    <t>PT POR CRUCE</t>
  </si>
  <si>
    <t>2546</t>
  </si>
  <si>
    <t>CARRERA REYES MARTIN SEBASTIAN</t>
  </si>
  <si>
    <t>2548</t>
  </si>
  <si>
    <t>2549</t>
  </si>
  <si>
    <t>2550</t>
  </si>
  <si>
    <t>f-016</t>
  </si>
  <si>
    <t>litros</t>
  </si>
  <si>
    <t>km</t>
  </si>
  <si>
    <t>recarga</t>
  </si>
  <si>
    <t>por litro</t>
  </si>
  <si>
    <t>cargado</t>
  </si>
  <si>
    <t>vacio pt</t>
  </si>
  <si>
    <t>OPERADOR</t>
  </si>
  <si>
    <t>DOBLE OPERADOR</t>
  </si>
  <si>
    <t xml:space="preserve">BONO CAMARA </t>
  </si>
  <si>
    <t>BONO CAMARAS</t>
  </si>
  <si>
    <t>F-122</t>
  </si>
  <si>
    <t>F-121</t>
  </si>
  <si>
    <t>NUÑEZ RUIZ IRVING JAVIER</t>
  </si>
  <si>
    <t xml:space="preserve">RENDIMIENTO </t>
  </si>
  <si>
    <t>ADELANTO</t>
  </si>
  <si>
    <t xml:space="preserve">ADELANTO </t>
  </si>
  <si>
    <t>BONO CAMARA</t>
  </si>
  <si>
    <t>AMARRE</t>
  </si>
  <si>
    <t>F-040</t>
  </si>
  <si>
    <t xml:space="preserve">BONO SIERRA </t>
  </si>
  <si>
    <t>apoyo pacifico</t>
  </si>
  <si>
    <t>RECONOCIMIENTO AUTORIZO SR. SOTELO</t>
  </si>
  <si>
    <t>INTERLOAD FORWARDING</t>
  </si>
  <si>
    <t>ANTICIPO DE VIAJE 44253</t>
  </si>
  <si>
    <t xml:space="preserve">F-040 </t>
  </si>
  <si>
    <t xml:space="preserve">INDUCCION A PACIFICO </t>
  </si>
  <si>
    <t>CFI LOGISTICA</t>
  </si>
  <si>
    <t xml:space="preserve"> F-026</t>
  </si>
  <si>
    <t xml:space="preserve">F-023 </t>
  </si>
  <si>
    <t>CAROLINA LOGISTICS</t>
  </si>
  <si>
    <t>AUT. NAUM SOTELO PRUEBA L027</t>
  </si>
  <si>
    <t>L-027</t>
  </si>
  <si>
    <t>MELENDEZ SINALOA MANUEL ARAT</t>
  </si>
  <si>
    <t>RUIZ SAUCEDO DANIEL ALEJANDRO</t>
  </si>
  <si>
    <t>MERCADO LOPEZ JESUS</t>
  </si>
  <si>
    <t>F-042</t>
  </si>
  <si>
    <t>2590</t>
  </si>
  <si>
    <t>2616</t>
  </si>
  <si>
    <t>AUT. HINOJOS 10 LTS</t>
  </si>
  <si>
    <t xml:space="preserve">F-005 </t>
  </si>
  <si>
    <t>.</t>
  </si>
  <si>
    <t>AUTORIZO NAHUM 20 LTS</t>
  </si>
  <si>
    <t xml:space="preserve">F-014 </t>
  </si>
  <si>
    <t>BONO DE LA SIERRA</t>
  </si>
  <si>
    <t xml:space="preserve">F-029 </t>
  </si>
  <si>
    <t>RODRIGUEZ FLORES BRYAN DARIO</t>
  </si>
  <si>
    <t xml:space="preserve">F-012 </t>
  </si>
  <si>
    <t xml:space="preserve">pendiente </t>
  </si>
  <si>
    <t xml:space="preserve">PENDIENTE </t>
  </si>
  <si>
    <t>PENDIENTE</t>
  </si>
  <si>
    <t xml:space="preserve">F-030 </t>
  </si>
  <si>
    <t>PT POR EXPO</t>
  </si>
  <si>
    <t>PENDIENTE SEMNA 33</t>
  </si>
  <si>
    <t>CARDENAS CARDENAS JAVIER ALEJANDRO</t>
  </si>
  <si>
    <t xml:space="preserve">10 LTS ALINEACION </t>
  </si>
  <si>
    <t>QMS</t>
  </si>
  <si>
    <t>SALIDA</t>
  </si>
  <si>
    <t>NA</t>
  </si>
  <si>
    <t>MACHADO MAZUCA ADOLFO</t>
  </si>
  <si>
    <t xml:space="preserve">REGRESO </t>
  </si>
  <si>
    <t>REGRESO</t>
  </si>
  <si>
    <t>LIRA ARCEO JOEL EDUARDO</t>
  </si>
  <si>
    <t>20 LTS</t>
  </si>
  <si>
    <t xml:space="preserve">AMARRE </t>
  </si>
  <si>
    <t>F-027 F-026</t>
  </si>
  <si>
    <t>F-010 F-012</t>
  </si>
  <si>
    <t>F-002 F-009 F-050</t>
  </si>
  <si>
    <t>anticipo viaje en ruta</t>
  </si>
  <si>
    <t xml:space="preserve">PT POR CANCELACION DE IMPO </t>
  </si>
  <si>
    <t>SEMANA #42 PERIODO DEL 06 AL 12 DE OCTUBRE  DEL 2025</t>
  </si>
  <si>
    <t>2873938-3</t>
  </si>
  <si>
    <t>2873956-3</t>
  </si>
  <si>
    <t>BS35089</t>
  </si>
  <si>
    <t>FSM48532</t>
  </si>
  <si>
    <t>BS35030</t>
  </si>
  <si>
    <t>BS35096</t>
  </si>
  <si>
    <t>2874140-4</t>
  </si>
  <si>
    <t>2874276-2</t>
  </si>
  <si>
    <t>2874270-1</t>
  </si>
  <si>
    <t>FSA30905</t>
  </si>
  <si>
    <t>2873931-2</t>
  </si>
  <si>
    <t>2874076-3</t>
  </si>
  <si>
    <t>T001</t>
  </si>
  <si>
    <t>BS35078</t>
  </si>
  <si>
    <t>2874002-4</t>
  </si>
  <si>
    <t>2873905-3</t>
  </si>
  <si>
    <t>BS35061</t>
  </si>
  <si>
    <t>BS35062</t>
  </si>
  <si>
    <t>2873460-4</t>
  </si>
  <si>
    <t>2874244-3</t>
  </si>
  <si>
    <t>BS35111</t>
  </si>
  <si>
    <t>BS53752</t>
  </si>
  <si>
    <t>2873916-3</t>
  </si>
  <si>
    <t>2874004-4</t>
  </si>
  <si>
    <t>2873913-3</t>
  </si>
  <si>
    <t>BS35137</t>
  </si>
  <si>
    <t>BS30737</t>
  </si>
  <si>
    <t>2874235-2</t>
  </si>
  <si>
    <t>BS35064</t>
  </si>
  <si>
    <t>2874119-3</t>
  </si>
  <si>
    <t>2874214-4</t>
  </si>
  <si>
    <t>2874142-3</t>
  </si>
  <si>
    <t>2874215-5</t>
  </si>
  <si>
    <t>BS35088</t>
  </si>
  <si>
    <t>2874120-4</t>
  </si>
  <si>
    <t>2874306-6</t>
  </si>
  <si>
    <t>BS35058</t>
  </si>
  <si>
    <t>FSM53958</t>
  </si>
  <si>
    <t>2873977-5</t>
  </si>
  <si>
    <t>2874177-3</t>
  </si>
  <si>
    <t>BS35091</t>
  </si>
  <si>
    <t>2873954-10</t>
  </si>
  <si>
    <t>2874510-2</t>
  </si>
  <si>
    <t>FSA54441</t>
  </si>
  <si>
    <t>BS35083</t>
  </si>
  <si>
    <t>FSA53044</t>
  </si>
  <si>
    <t>BM54099</t>
  </si>
  <si>
    <t>2874191-2</t>
  </si>
  <si>
    <t>2873748-2</t>
  </si>
  <si>
    <t>FALTANTE DE 30 LTS F-040</t>
  </si>
  <si>
    <t>2874075-3</t>
  </si>
  <si>
    <t>2874277-2</t>
  </si>
  <si>
    <t>BS35106</t>
  </si>
  <si>
    <t>2873439-4</t>
  </si>
  <si>
    <t>FSA31779</t>
  </si>
  <si>
    <t>2874315-2</t>
  </si>
  <si>
    <t>2874560-1</t>
  </si>
  <si>
    <t>2874331-3</t>
  </si>
  <si>
    <t>2874511-2</t>
  </si>
  <si>
    <t>FSA48900</t>
  </si>
  <si>
    <t>BS35027</t>
  </si>
  <si>
    <t>FSM53913</t>
  </si>
  <si>
    <t>2874436-2</t>
  </si>
  <si>
    <t>2874359-6</t>
  </si>
  <si>
    <t>BS53008</t>
  </si>
  <si>
    <t>2874100-3</t>
  </si>
  <si>
    <t>2874347-3</t>
  </si>
  <si>
    <t>2874316-4</t>
  </si>
  <si>
    <t>2874754-1</t>
  </si>
  <si>
    <t>BS35109</t>
  </si>
  <si>
    <t>FSA30487</t>
  </si>
  <si>
    <t>2874269-1</t>
  </si>
  <si>
    <t>2874371-3</t>
  </si>
  <si>
    <t>2874547-2</t>
  </si>
  <si>
    <t>2874645-3</t>
  </si>
  <si>
    <t>2874794-2</t>
  </si>
  <si>
    <t>AN530804</t>
  </si>
  <si>
    <t>2874481-3</t>
  </si>
  <si>
    <t>2874750-1</t>
  </si>
  <si>
    <t>2874320-4</t>
  </si>
  <si>
    <t>2874751-1</t>
  </si>
  <si>
    <t>FSM53909</t>
  </si>
  <si>
    <t>BS53009</t>
  </si>
  <si>
    <t>2874345-4</t>
  </si>
  <si>
    <t>2874278-4</t>
  </si>
  <si>
    <t>2874074-4</t>
  </si>
  <si>
    <t>2874260-4</t>
  </si>
  <si>
    <t>BM54160</t>
  </si>
  <si>
    <t>DM35135</t>
  </si>
  <si>
    <t>FSA48889</t>
  </si>
  <si>
    <t>FSM48522</t>
  </si>
  <si>
    <t>2874310-3</t>
  </si>
  <si>
    <t>2874649-3</t>
  </si>
  <si>
    <t>2874566-1</t>
  </si>
  <si>
    <t>2874490-2</t>
  </si>
  <si>
    <t>2874102-4</t>
  </si>
  <si>
    <t>2874367-5</t>
  </si>
  <si>
    <t>BS35046</t>
  </si>
  <si>
    <t>FSA30547</t>
  </si>
  <si>
    <t>2874318-3</t>
  </si>
  <si>
    <t>2874565-1</t>
  </si>
  <si>
    <t>BS35023</t>
  </si>
  <si>
    <t>2874607-3</t>
  </si>
  <si>
    <t>2874779-3</t>
  </si>
  <si>
    <t>FSM53982</t>
  </si>
  <si>
    <t>FSA53037</t>
  </si>
  <si>
    <t>2874597-1</t>
  </si>
  <si>
    <t>2874317-3</t>
  </si>
  <si>
    <t>2874413-3</t>
  </si>
  <si>
    <t>2874363-3</t>
  </si>
  <si>
    <t>BS35121</t>
  </si>
  <si>
    <t>FSM53941</t>
  </si>
  <si>
    <t>2874653-3</t>
  </si>
  <si>
    <t>2874217-4</t>
  </si>
  <si>
    <t>2872025-4</t>
  </si>
  <si>
    <t>2872146-3</t>
  </si>
  <si>
    <t>FSM53919</t>
  </si>
  <si>
    <t>2872532-3</t>
  </si>
  <si>
    <t>2872472-3</t>
  </si>
  <si>
    <t>2873000-2</t>
  </si>
  <si>
    <t>2872856-3</t>
  </si>
  <si>
    <t>FSA53041</t>
  </si>
  <si>
    <t>FSM53925</t>
  </si>
  <si>
    <t>2873206-2</t>
  </si>
  <si>
    <t>2873392-2</t>
  </si>
  <si>
    <t>FSM53033</t>
  </si>
  <si>
    <t>BS35040</t>
  </si>
  <si>
    <t>BS35035</t>
  </si>
  <si>
    <t>2874685-4</t>
  </si>
  <si>
    <t>2874804-2</t>
  </si>
  <si>
    <t>BS53755</t>
  </si>
  <si>
    <t>2874684-2</t>
  </si>
  <si>
    <t>2874805-2</t>
  </si>
  <si>
    <t>2873984-3</t>
  </si>
  <si>
    <t>2874213-2</t>
  </si>
  <si>
    <t>FSM53927</t>
  </si>
  <si>
    <t>FSM53907</t>
  </si>
  <si>
    <t>BS35080</t>
  </si>
  <si>
    <t>2874311-5</t>
  </si>
  <si>
    <t>2874748-1</t>
  </si>
  <si>
    <t>2874899-2</t>
  </si>
  <si>
    <t>2875000-3</t>
  </si>
  <si>
    <t>2874736-4</t>
  </si>
  <si>
    <t>2874852-2</t>
  </si>
  <si>
    <t>2874886-2</t>
  </si>
  <si>
    <t>2874860-3</t>
  </si>
  <si>
    <t>2874731-3</t>
  </si>
  <si>
    <t>2874723-4</t>
  </si>
  <si>
    <t>BS35095</t>
  </si>
  <si>
    <t>FSM48536</t>
  </si>
  <si>
    <t>2874938-4</t>
  </si>
  <si>
    <t>2874595-3</t>
  </si>
  <si>
    <t>2874596-3</t>
  </si>
  <si>
    <t>BS35004</t>
  </si>
  <si>
    <t>2874530-4</t>
  </si>
  <si>
    <t>SS538942</t>
  </si>
  <si>
    <t>BS35124</t>
  </si>
  <si>
    <t>2874831-2</t>
  </si>
  <si>
    <t>2874793-4</t>
  </si>
  <si>
    <t>FSM48519</t>
  </si>
  <si>
    <t>BS35015</t>
  </si>
  <si>
    <t>2874591-7</t>
  </si>
  <si>
    <t>2875024-3</t>
  </si>
  <si>
    <t>ANCHONDO ROMERO CESAR ALEJANDRO</t>
  </si>
  <si>
    <t>FSM53979</t>
  </si>
  <si>
    <t>BS35073</t>
  </si>
  <si>
    <t>2874734-4</t>
  </si>
  <si>
    <t>2874871-4</t>
  </si>
  <si>
    <t>AN53008</t>
  </si>
  <si>
    <t>AN5301392</t>
  </si>
  <si>
    <t>2874622-3</t>
  </si>
  <si>
    <t>2873851-5</t>
  </si>
  <si>
    <t>BS35066</t>
  </si>
  <si>
    <t>DM53933</t>
  </si>
  <si>
    <t>2874603-4</t>
  </si>
  <si>
    <t>2875015-2</t>
  </si>
  <si>
    <t>2874654-6</t>
  </si>
  <si>
    <t>2874746-4</t>
  </si>
  <si>
    <t>SS35044</t>
  </si>
  <si>
    <t>2874609-4</t>
  </si>
  <si>
    <t>2874845-2</t>
  </si>
  <si>
    <t>BS35001</t>
  </si>
  <si>
    <t>2874934-3</t>
  </si>
  <si>
    <t>2875055-3</t>
  </si>
  <si>
    <t>2874729-2</t>
  </si>
  <si>
    <t>2874638-4</t>
  </si>
  <si>
    <t>2874844-3</t>
  </si>
  <si>
    <t>2873982-5</t>
  </si>
  <si>
    <t>FSA31063</t>
  </si>
  <si>
    <t>2874830-3</t>
  </si>
  <si>
    <t>2875089-1</t>
  </si>
  <si>
    <t>FSM54135</t>
  </si>
  <si>
    <t>2874929-2</t>
  </si>
  <si>
    <t>2875119-3</t>
  </si>
  <si>
    <t>SS537024</t>
  </si>
  <si>
    <t>2874872-3</t>
  </si>
  <si>
    <t>2875293-4</t>
  </si>
  <si>
    <t>BS53757</t>
  </si>
  <si>
    <t>2875104-1</t>
  </si>
  <si>
    <t>2875247-5</t>
  </si>
  <si>
    <t>2874652-3</t>
  </si>
  <si>
    <t>2875125-3</t>
  </si>
  <si>
    <t>2875199-3</t>
  </si>
  <si>
    <t>2875368-2</t>
  </si>
  <si>
    <t>BS53004</t>
  </si>
  <si>
    <t>BS35112</t>
  </si>
  <si>
    <t>2874833-3</t>
  </si>
  <si>
    <t>2874890-3</t>
  </si>
  <si>
    <t>2875146-3</t>
  </si>
  <si>
    <t>2875215-5</t>
  </si>
  <si>
    <t>2875323-3</t>
  </si>
  <si>
    <t>2875171-4</t>
  </si>
  <si>
    <t>BS35094</t>
  </si>
  <si>
    <t>2874847-2</t>
  </si>
  <si>
    <t>2875122-4</t>
  </si>
  <si>
    <t>2874832-4</t>
  </si>
  <si>
    <t>2875298-3</t>
  </si>
  <si>
    <t>safran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</si>
</sst>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_-* #,##0.000_-;\-* #,##0.000_-;_-* &quot;-&quot;??_-;_-@_-"/>
    <numFmt numFmtId="173" formatCode="[$-F400]h:mm:ss\ AM/PM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8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7" fillId="0" borderId="0" applyNumberFormat="0" applyFill="0" applyBorder="0" applyAlignment="0" applyProtection="0"/>
  </cellStyleXfs>
  <cellXfs count="690">
    <xf numFmtId="0" fontId="0" fillId="0" borderId="0" xfId="0"/>
    <xf numFmtId="0" fontId="10" fillId="2" borderId="3" xfId="0" applyFont="1" applyFill="1" applyBorder="1"/>
    <xf numFmtId="0" fontId="11" fillId="2" borderId="4" xfId="0" applyFont="1" applyFill="1" applyBorder="1"/>
    <xf numFmtId="0" fontId="10" fillId="2" borderId="4" xfId="0" applyFont="1" applyFill="1" applyBorder="1" applyAlignment="1">
      <alignment horizontal="right"/>
    </xf>
    <xf numFmtId="0" fontId="10" fillId="2" borderId="6" xfId="0" applyFont="1" applyFill="1" applyBorder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right"/>
    </xf>
    <xf numFmtId="165" fontId="10" fillId="2" borderId="9" xfId="0" applyNumberFormat="1" applyFont="1" applyFill="1" applyBorder="1"/>
    <xf numFmtId="0" fontId="12" fillId="2" borderId="12" xfId="0" applyFont="1" applyFill="1" applyBorder="1" applyAlignment="1">
      <alignment horizontal="center" vertical="center"/>
    </xf>
    <xf numFmtId="16" fontId="12" fillId="2" borderId="12" xfId="0" applyNumberFormat="1" applyFont="1" applyFill="1" applyBorder="1" applyAlignment="1">
      <alignment horizontal="center"/>
    </xf>
    <xf numFmtId="166" fontId="12" fillId="2" borderId="12" xfId="2" applyFont="1" applyFill="1" applyBorder="1"/>
    <xf numFmtId="0" fontId="13" fillId="0" borderId="0" xfId="0" applyFont="1"/>
    <xf numFmtId="164" fontId="13" fillId="0" borderId="0" xfId="1" applyFont="1"/>
    <xf numFmtId="14" fontId="12" fillId="2" borderId="16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1" fillId="0" borderId="0" xfId="0" applyFont="1"/>
    <xf numFmtId="164" fontId="12" fillId="2" borderId="21" xfId="1" applyFont="1" applyFill="1" applyBorder="1"/>
    <xf numFmtId="0" fontId="10" fillId="0" borderId="0" xfId="0" applyFont="1"/>
    <xf numFmtId="0" fontId="12" fillId="0" borderId="0" xfId="0" applyFont="1"/>
    <xf numFmtId="0" fontId="12" fillId="2" borderId="12" xfId="1" applyNumberFormat="1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6" fontId="12" fillId="2" borderId="21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6" fontId="12" fillId="2" borderId="21" xfId="2" applyFont="1" applyFill="1" applyBorder="1"/>
    <xf numFmtId="166" fontId="12" fillId="2" borderId="22" xfId="2" applyFont="1" applyFill="1" applyBorder="1"/>
    <xf numFmtId="0" fontId="12" fillId="2" borderId="21" xfId="1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16" fontId="12" fillId="2" borderId="25" xfId="0" applyNumberFormat="1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 vertical="center"/>
    </xf>
    <xf numFmtId="166" fontId="12" fillId="2" borderId="25" xfId="2" applyFont="1" applyFill="1" applyBorder="1"/>
    <xf numFmtId="166" fontId="12" fillId="2" borderId="26" xfId="2" applyFont="1" applyFill="1" applyBorder="1"/>
    <xf numFmtId="16" fontId="12" fillId="2" borderId="16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167" fontId="12" fillId="2" borderId="16" xfId="0" applyNumberFormat="1" applyFont="1" applyFill="1" applyBorder="1" applyAlignment="1">
      <alignment horizontal="center" vertical="center"/>
    </xf>
    <xf numFmtId="166" fontId="12" fillId="2" borderId="16" xfId="2" applyFont="1" applyFill="1" applyBorder="1"/>
    <xf numFmtId="166" fontId="12" fillId="2" borderId="17" xfId="2" applyFont="1" applyFill="1" applyBorder="1"/>
    <xf numFmtId="2" fontId="12" fillId="2" borderId="25" xfId="0" applyNumberFormat="1" applyFont="1" applyFill="1" applyBorder="1" applyAlignment="1">
      <alignment horizontal="center" vertical="center"/>
    </xf>
    <xf numFmtId="167" fontId="12" fillId="2" borderId="25" xfId="0" applyNumberFormat="1" applyFont="1" applyFill="1" applyBorder="1" applyAlignment="1">
      <alignment horizontal="center" vertical="center"/>
    </xf>
    <xf numFmtId="2" fontId="12" fillId="2" borderId="16" xfId="2" applyNumberFormat="1" applyFont="1" applyFill="1" applyBorder="1"/>
    <xf numFmtId="2" fontId="12" fillId="2" borderId="21" xfId="2" applyNumberFormat="1" applyFont="1" applyFill="1" applyBorder="1"/>
    <xf numFmtId="0" fontId="12" fillId="2" borderId="16" xfId="1" applyNumberFormat="1" applyFont="1" applyFill="1" applyBorder="1" applyAlignment="1">
      <alignment horizontal="center" vertical="center"/>
    </xf>
    <xf numFmtId="164" fontId="12" fillId="2" borderId="16" xfId="1" applyFont="1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67" fontId="12" fillId="2" borderId="16" xfId="1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/>
    </xf>
    <xf numFmtId="16" fontId="12" fillId="2" borderId="41" xfId="0" applyNumberFormat="1" applyFont="1" applyFill="1" applyBorder="1" applyAlignment="1">
      <alignment horizontal="center"/>
    </xf>
    <xf numFmtId="0" fontId="7" fillId="0" borderId="0" xfId="4"/>
    <xf numFmtId="0" fontId="7" fillId="0" borderId="0" xfId="4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/>
    </xf>
    <xf numFmtId="2" fontId="12" fillId="2" borderId="16" xfId="0" applyNumberFormat="1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6" fontId="12" fillId="2" borderId="46" xfId="2" applyFont="1" applyFill="1" applyBorder="1"/>
    <xf numFmtId="0" fontId="12" fillId="2" borderId="46" xfId="0" applyFont="1" applyFill="1" applyBorder="1" applyAlignment="1">
      <alignment horizontal="center"/>
    </xf>
    <xf numFmtId="16" fontId="12" fillId="2" borderId="46" xfId="0" applyNumberFormat="1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 vertical="center"/>
    </xf>
    <xf numFmtId="0" fontId="12" fillId="2" borderId="46" xfId="1" applyNumberFormat="1" applyFont="1" applyFill="1" applyBorder="1" applyAlignment="1">
      <alignment horizontal="center" vertical="center"/>
    </xf>
    <xf numFmtId="167" fontId="12" fillId="2" borderId="46" xfId="0" applyNumberFormat="1" applyFont="1" applyFill="1" applyBorder="1" applyAlignment="1">
      <alignment horizontal="center" vertical="center"/>
    </xf>
    <xf numFmtId="166" fontId="12" fillId="2" borderId="33" xfId="2" applyFont="1" applyFill="1" applyBorder="1"/>
    <xf numFmtId="0" fontId="12" fillId="2" borderId="36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2" fillId="2" borderId="20" xfId="0" applyFont="1" applyFill="1" applyBorder="1"/>
    <xf numFmtId="0" fontId="10" fillId="0" borderId="30" xfId="0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6" xfId="1" applyNumberFormat="1" applyFont="1" applyFill="1" applyBorder="1" applyAlignment="1">
      <alignment horizontal="center"/>
    </xf>
    <xf numFmtId="166" fontId="12" fillId="2" borderId="49" xfId="2" applyFont="1" applyFill="1" applyBorder="1"/>
    <xf numFmtId="0" fontId="12" fillId="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" fontId="12" fillId="2" borderId="49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 vertical="center"/>
    </xf>
    <xf numFmtId="0" fontId="12" fillId="2" borderId="49" xfId="1" applyNumberFormat="1" applyFont="1" applyFill="1" applyBorder="1" applyAlignment="1">
      <alignment horizontal="center" vertical="center"/>
    </xf>
    <xf numFmtId="167" fontId="12" fillId="2" borderId="49" xfId="0" applyNumberFormat="1" applyFont="1" applyFill="1" applyBorder="1" applyAlignment="1">
      <alignment horizontal="center" vertical="center"/>
    </xf>
    <xf numFmtId="0" fontId="12" fillId="2" borderId="32" xfId="0" applyFont="1" applyFill="1" applyBorder="1"/>
    <xf numFmtId="0" fontId="10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4" xfId="3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9" fillId="0" borderId="51" xfId="4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6" fontId="12" fillId="2" borderId="29" xfId="2" applyFont="1" applyFill="1" applyBorder="1" applyAlignment="1">
      <alignment horizontal="center"/>
    </xf>
    <xf numFmtId="167" fontId="12" fillId="2" borderId="21" xfId="1" applyNumberFormat="1" applyFont="1" applyFill="1" applyBorder="1" applyAlignment="1">
      <alignment horizontal="center" vertical="center"/>
    </xf>
    <xf numFmtId="0" fontId="13" fillId="2" borderId="32" xfId="0" applyFont="1" applyFill="1" applyBorder="1"/>
    <xf numFmtId="0" fontId="12" fillId="2" borderId="47" xfId="0" applyFont="1" applyFill="1" applyBorder="1" applyAlignment="1">
      <alignment horizontal="center"/>
    </xf>
    <xf numFmtId="166" fontId="12" fillId="2" borderId="33" xfId="2" applyFont="1" applyFill="1" applyBorder="1" applyAlignment="1">
      <alignment horizontal="center"/>
    </xf>
    <xf numFmtId="0" fontId="22" fillId="0" borderId="12" xfId="5" applyFont="1" applyBorder="1" applyAlignment="1">
      <alignment horizontal="left" vertical="center"/>
    </xf>
    <xf numFmtId="14" fontId="12" fillId="2" borderId="12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166" fontId="13" fillId="0" borderId="0" xfId="0" applyNumberFormat="1" applyFont="1"/>
    <xf numFmtId="2" fontId="12" fillId="2" borderId="25" xfId="2" applyNumberFormat="1" applyFont="1" applyFill="1" applyBorder="1"/>
    <xf numFmtId="0" fontId="11" fillId="0" borderId="0" xfId="5"/>
    <xf numFmtId="0" fontId="20" fillId="0" borderId="0" xfId="5" applyFont="1" applyAlignment="1">
      <alignment horizontal="center" vertical="center" wrapText="1"/>
    </xf>
    <xf numFmtId="0" fontId="11" fillId="0" borderId="0" xfId="5" applyAlignment="1">
      <alignment wrapText="1"/>
    </xf>
    <xf numFmtId="0" fontId="22" fillId="0" borderId="12" xfId="10" applyNumberFormat="1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11" fillId="0" borderId="0" xfId="5" applyAlignment="1">
      <alignment horizontal="center"/>
    </xf>
    <xf numFmtId="0" fontId="11" fillId="0" borderId="0" xfId="5" applyAlignment="1">
      <alignment horizontal="left"/>
    </xf>
    <xf numFmtId="164" fontId="11" fillId="0" borderId="0" xfId="5" applyNumberFormat="1" applyAlignment="1">
      <alignment horizontal="center"/>
    </xf>
    <xf numFmtId="0" fontId="11" fillId="2" borderId="0" xfId="0" applyFont="1" applyFill="1"/>
    <xf numFmtId="0" fontId="22" fillId="0" borderId="30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 wrapText="1"/>
    </xf>
    <xf numFmtId="0" fontId="22" fillId="0" borderId="31" xfId="5" applyFont="1" applyBorder="1" applyAlignment="1">
      <alignment horizontal="center" vertical="center" wrapText="1"/>
    </xf>
    <xf numFmtId="0" fontId="22" fillId="0" borderId="29" xfId="5" applyFont="1" applyBorder="1" applyAlignment="1">
      <alignment horizontal="center" vertical="center" wrapText="1"/>
    </xf>
    <xf numFmtId="0" fontId="26" fillId="2" borderId="31" xfId="2" applyNumberFormat="1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0" fontId="4" fillId="0" borderId="0" xfId="18"/>
    <xf numFmtId="0" fontId="28" fillId="5" borderId="12" xfId="18" applyFont="1" applyFill="1" applyBorder="1" applyAlignment="1">
      <alignment horizontal="center"/>
    </xf>
    <xf numFmtId="0" fontId="28" fillId="5" borderId="49" xfId="18" applyFont="1" applyFill="1" applyBorder="1" applyAlignment="1">
      <alignment horizontal="center"/>
    </xf>
    <xf numFmtId="0" fontId="29" fillId="3" borderId="12" xfId="18" applyFont="1" applyFill="1" applyBorder="1" applyAlignment="1">
      <alignment horizontal="center"/>
    </xf>
    <xf numFmtId="168" fontId="29" fillId="3" borderId="12" xfId="19" applyNumberFormat="1" applyFont="1" applyFill="1" applyBorder="1"/>
    <xf numFmtId="167" fontId="29" fillId="3" borderId="12" xfId="18" applyNumberFormat="1" applyFont="1" applyFill="1" applyBorder="1" applyAlignment="1">
      <alignment horizontal="center"/>
    </xf>
    <xf numFmtId="0" fontId="4" fillId="3" borderId="0" xfId="18" applyFill="1"/>
    <xf numFmtId="0" fontId="4" fillId="0" borderId="0" xfId="18" applyAlignment="1">
      <alignment horizontal="center"/>
    </xf>
    <xf numFmtId="168" fontId="4" fillId="0" borderId="0" xfId="19" applyNumberFormat="1"/>
    <xf numFmtId="167" fontId="4" fillId="0" borderId="0" xfId="18" applyNumberFormat="1"/>
    <xf numFmtId="164" fontId="29" fillId="3" borderId="12" xfId="19" applyFont="1" applyFill="1" applyBorder="1"/>
    <xf numFmtId="168" fontId="25" fillId="0" borderId="12" xfId="10" applyNumberFormat="1" applyFont="1" applyBorder="1" applyAlignment="1">
      <alignment horizontal="center" vertical="center" wrapText="1"/>
    </xf>
    <xf numFmtId="168" fontId="18" fillId="0" borderId="12" xfId="10" applyNumberFormat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3" fillId="0" borderId="36" xfId="5" applyFont="1" applyBorder="1" applyAlignment="1">
      <alignment horizontal="center" vertical="center"/>
    </xf>
    <xf numFmtId="0" fontId="23" fillId="0" borderId="37" xfId="5" applyFont="1" applyBorder="1" applyAlignment="1">
      <alignment horizontal="center" vertical="center"/>
    </xf>
    <xf numFmtId="164" fontId="23" fillId="0" borderId="37" xfId="10" applyFont="1" applyBorder="1" applyAlignment="1">
      <alignment horizontal="center" vertical="center"/>
    </xf>
    <xf numFmtId="169" fontId="23" fillId="0" borderId="38" xfId="10" applyNumberFormat="1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164" fontId="22" fillId="4" borderId="41" xfId="10" applyFont="1" applyFill="1" applyBorder="1" applyAlignment="1">
      <alignment horizontal="center"/>
    </xf>
    <xf numFmtId="165" fontId="22" fillId="4" borderId="42" xfId="10" applyNumberFormat="1" applyFont="1" applyFill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 wrapText="1"/>
    </xf>
    <xf numFmtId="0" fontId="22" fillId="0" borderId="18" xfId="5" applyFont="1" applyBorder="1" applyAlignment="1">
      <alignment horizontal="center" vertical="center" wrapText="1"/>
    </xf>
    <xf numFmtId="0" fontId="22" fillId="0" borderId="10" xfId="5" applyFont="1" applyBorder="1" applyAlignment="1">
      <alignment horizontal="center" vertical="center" wrapText="1"/>
    </xf>
    <xf numFmtId="165" fontId="22" fillId="3" borderId="12" xfId="10" applyNumberFormat="1" applyFont="1" applyFill="1" applyBorder="1" applyAlignment="1">
      <alignment horizontal="center" vertical="center" wrapText="1"/>
    </xf>
    <xf numFmtId="0" fontId="18" fillId="0" borderId="12" xfId="5" applyFont="1" applyBorder="1" applyAlignment="1">
      <alignment horizontal="left" vertical="center" wrapText="1"/>
    </xf>
    <xf numFmtId="168" fontId="22" fillId="0" borderId="12" xfId="10" applyNumberFormat="1" applyFont="1" applyBorder="1" applyAlignment="1">
      <alignment horizontal="center" vertical="center" wrapText="1"/>
    </xf>
    <xf numFmtId="0" fontId="22" fillId="0" borderId="16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center" vertical="center" wrapText="1"/>
    </xf>
    <xf numFmtId="165" fontId="22" fillId="3" borderId="16" xfId="10" applyNumberFormat="1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 wrapText="1"/>
    </xf>
    <xf numFmtId="0" fontId="22" fillId="0" borderId="21" xfId="5" applyFont="1" applyBorder="1" applyAlignment="1">
      <alignment horizontal="center" vertical="center" wrapText="1"/>
    </xf>
    <xf numFmtId="165" fontId="22" fillId="3" borderId="21" xfId="10" applyNumberFormat="1" applyFont="1" applyFill="1" applyBorder="1" applyAlignment="1">
      <alignment horizontal="center" vertical="center" wrapText="1"/>
    </xf>
    <xf numFmtId="0" fontId="22" fillId="0" borderId="22" xfId="5" applyFont="1" applyBorder="1" applyAlignment="1">
      <alignment horizontal="center" vertical="center" wrapText="1"/>
    </xf>
    <xf numFmtId="0" fontId="11" fillId="0" borderId="0" xfId="5" applyAlignment="1">
      <alignment horizontal="center" vertical="center"/>
    </xf>
    <xf numFmtId="0" fontId="12" fillId="2" borderId="30" xfId="0" applyFont="1" applyFill="1" applyBorder="1"/>
    <xf numFmtId="0" fontId="30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70" fontId="12" fillId="2" borderId="21" xfId="1" applyNumberFormat="1" applyFont="1" applyFill="1" applyBorder="1"/>
    <xf numFmtId="164" fontId="12" fillId="2" borderId="25" xfId="1" applyFont="1" applyFill="1" applyBorder="1"/>
    <xf numFmtId="170" fontId="12" fillId="2" borderId="16" xfId="1" applyNumberFormat="1" applyFont="1" applyFill="1" applyBorder="1"/>
    <xf numFmtId="170" fontId="12" fillId="2" borderId="25" xfId="1" applyNumberFormat="1" applyFont="1" applyFill="1" applyBorder="1"/>
    <xf numFmtId="170" fontId="13" fillId="0" borderId="0" xfId="1" applyNumberFormat="1" applyFont="1"/>
    <xf numFmtId="171" fontId="12" fillId="2" borderId="21" xfId="1" applyNumberFormat="1" applyFont="1" applyFill="1" applyBorder="1"/>
    <xf numFmtId="171" fontId="12" fillId="2" borderId="16" xfId="1" applyNumberFormat="1" applyFont="1" applyFill="1" applyBorder="1"/>
    <xf numFmtId="171" fontId="12" fillId="2" borderId="25" xfId="1" applyNumberFormat="1" applyFont="1" applyFill="1" applyBorder="1"/>
    <xf numFmtId="171" fontId="13" fillId="0" borderId="0" xfId="1" applyNumberFormat="1" applyFont="1"/>
    <xf numFmtId="164" fontId="12" fillId="2" borderId="46" xfId="1" applyFont="1" applyFill="1" applyBorder="1"/>
    <xf numFmtId="164" fontId="12" fillId="2" borderId="12" xfId="1" applyFont="1" applyFill="1" applyBorder="1"/>
    <xf numFmtId="164" fontId="12" fillId="2" borderId="49" xfId="1" applyFont="1" applyFill="1" applyBorder="1"/>
    <xf numFmtId="171" fontId="12" fillId="2" borderId="46" xfId="1" applyNumberFormat="1" applyFont="1" applyFill="1" applyBorder="1"/>
    <xf numFmtId="0" fontId="11" fillId="2" borderId="5" xfId="0" applyFont="1" applyFill="1" applyBorder="1"/>
    <xf numFmtId="164" fontId="22" fillId="0" borderId="16" xfId="10" applyFont="1" applyFill="1" applyBorder="1" applyAlignment="1">
      <alignment vertical="center" wrapText="1"/>
    </xf>
    <xf numFmtId="164" fontId="22" fillId="0" borderId="12" xfId="10" applyFont="1" applyFill="1" applyBorder="1" applyAlignment="1">
      <alignment vertical="center" wrapText="1"/>
    </xf>
    <xf numFmtId="167" fontId="12" fillId="2" borderId="25" xfId="1" applyNumberFormat="1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/>
    </xf>
    <xf numFmtId="164" fontId="23" fillId="0" borderId="37" xfId="1" applyFont="1" applyBorder="1" applyAlignment="1">
      <alignment horizontal="center" vertical="center"/>
    </xf>
    <xf numFmtId="164" fontId="22" fillId="0" borderId="16" xfId="1" applyFont="1" applyFill="1" applyBorder="1" applyAlignment="1">
      <alignment vertical="center" wrapText="1"/>
    </xf>
    <xf numFmtId="164" fontId="22" fillId="0" borderId="12" xfId="1" applyFont="1" applyFill="1" applyBorder="1" applyAlignment="1">
      <alignment vertical="center" wrapText="1"/>
    </xf>
    <xf numFmtId="164" fontId="22" fillId="0" borderId="21" xfId="1" applyFont="1" applyFill="1" applyBorder="1" applyAlignment="1">
      <alignment vertical="center" wrapText="1"/>
    </xf>
    <xf numFmtId="164" fontId="22" fillId="4" borderId="41" xfId="1" applyFont="1" applyFill="1" applyBorder="1" applyAlignment="1">
      <alignment horizontal="center"/>
    </xf>
    <xf numFmtId="164" fontId="11" fillId="0" borderId="0" xfId="1" applyAlignment="1">
      <alignment horizontal="center"/>
    </xf>
    <xf numFmtId="164" fontId="22" fillId="0" borderId="16" xfId="1" applyFont="1" applyBorder="1" applyAlignment="1">
      <alignment horizontal="center" vertical="center" wrapText="1"/>
    </xf>
    <xf numFmtId="164" fontId="22" fillId="0" borderId="12" xfId="1" applyFont="1" applyBorder="1" applyAlignment="1">
      <alignment horizontal="center" vertical="center" wrapText="1"/>
    </xf>
    <xf numFmtId="164" fontId="22" fillId="0" borderId="21" xfId="1" applyFont="1" applyBorder="1" applyAlignment="1">
      <alignment horizontal="center" vertical="center" wrapText="1"/>
    </xf>
    <xf numFmtId="164" fontId="22" fillId="4" borderId="41" xfId="1" applyFont="1" applyFill="1" applyBorder="1" applyAlignment="1">
      <alignment horizontal="left" vertical="center"/>
    </xf>
    <xf numFmtId="164" fontId="11" fillId="0" borderId="0" xfId="1" applyAlignment="1">
      <alignment horizontal="center" vertical="center"/>
    </xf>
    <xf numFmtId="0" fontId="3" fillId="0" borderId="0" xfId="20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20"/>
    <xf numFmtId="0" fontId="9" fillId="0" borderId="36" xfId="20" applyFont="1" applyBorder="1" applyAlignment="1">
      <alignment horizontal="center"/>
    </xf>
    <xf numFmtId="164" fontId="9" fillId="0" borderId="38" xfId="1" applyFont="1" applyBorder="1" applyAlignment="1">
      <alignment horizontal="center"/>
    </xf>
    <xf numFmtId="0" fontId="9" fillId="0" borderId="30" xfId="20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9" fillId="0" borderId="31" xfId="20" applyFont="1" applyBorder="1" applyAlignment="1">
      <alignment horizontal="center"/>
    </xf>
    <xf numFmtId="0" fontId="9" fillId="0" borderId="40" xfId="20" applyFont="1" applyBorder="1" applyAlignment="1">
      <alignment horizontal="center"/>
    </xf>
    <xf numFmtId="164" fontId="9" fillId="0" borderId="42" xfId="1" applyFont="1" applyBorder="1" applyAlignment="1">
      <alignment horizontal="center"/>
    </xf>
    <xf numFmtId="164" fontId="3" fillId="0" borderId="29" xfId="1" applyFont="1" applyBorder="1" applyAlignment="1">
      <alignment horizontal="center"/>
    </xf>
    <xf numFmtId="0" fontId="9" fillId="0" borderId="32" xfId="20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3" fontId="12" fillId="2" borderId="16" xfId="0" applyNumberFormat="1" applyFont="1" applyFill="1" applyBorder="1" applyAlignment="1">
      <alignment horizontal="center" wrapText="1"/>
    </xf>
    <xf numFmtId="168" fontId="4" fillId="0" borderId="0" xfId="18" applyNumberFormat="1"/>
    <xf numFmtId="0" fontId="18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 wrapText="1"/>
    </xf>
    <xf numFmtId="164" fontId="22" fillId="0" borderId="46" xfId="1" applyFont="1" applyBorder="1" applyAlignment="1">
      <alignment horizontal="center" vertical="center" wrapText="1"/>
    </xf>
    <xf numFmtId="0" fontId="22" fillId="0" borderId="33" xfId="5" applyFont="1" applyBorder="1" applyAlignment="1">
      <alignment horizontal="center" vertical="center" wrapText="1"/>
    </xf>
    <xf numFmtId="171" fontId="12" fillId="2" borderId="49" xfId="1" applyNumberFormat="1" applyFont="1" applyFill="1" applyBorder="1"/>
    <xf numFmtId="164" fontId="4" fillId="3" borderId="0" xfId="18" applyNumberFormat="1" applyFill="1"/>
    <xf numFmtId="43" fontId="4" fillId="0" borderId="0" xfId="18" applyNumberFormat="1"/>
    <xf numFmtId="166" fontId="12" fillId="2" borderId="16" xfId="2" applyFont="1" applyFill="1" applyBorder="1" applyAlignment="1">
      <alignment horizontal="center" vertical="center"/>
    </xf>
    <xf numFmtId="0" fontId="12" fillId="2" borderId="16" xfId="2" applyNumberFormat="1" applyFont="1" applyFill="1" applyBorder="1" applyAlignment="1">
      <alignment horizontal="center" vertical="center"/>
    </xf>
    <xf numFmtId="0" fontId="12" fillId="2" borderId="39" xfId="0" applyFont="1" applyFill="1" applyBorder="1"/>
    <xf numFmtId="0" fontId="12" fillId="2" borderId="47" xfId="0" applyFont="1" applyFill="1" applyBorder="1"/>
    <xf numFmtId="0" fontId="12" fillId="2" borderId="40" xfId="0" applyFont="1" applyFill="1" applyBorder="1"/>
    <xf numFmtId="166" fontId="12" fillId="2" borderId="21" xfId="2" applyFont="1" applyFill="1" applyBorder="1" applyAlignment="1">
      <alignment horizontal="center" vertical="center"/>
    </xf>
    <xf numFmtId="0" fontId="12" fillId="2" borderId="21" xfId="2" applyNumberFormat="1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44" fontId="13" fillId="0" borderId="0" xfId="0" applyNumberFormat="1" applyFont="1"/>
    <xf numFmtId="43" fontId="13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166" fontId="34" fillId="0" borderId="0" xfId="2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13" fillId="3" borderId="10" xfId="0" applyFont="1" applyFill="1" applyBorder="1"/>
    <xf numFmtId="0" fontId="11" fillId="2" borderId="7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166" fontId="12" fillId="2" borderId="25" xfId="2" applyFont="1" applyFill="1" applyBorder="1" applyAlignment="1">
      <alignment horizontal="center" vertical="center"/>
    </xf>
    <xf numFmtId="0" fontId="12" fillId="2" borderId="25" xfId="2" applyNumberFormat="1" applyFont="1" applyFill="1" applyBorder="1" applyAlignment="1">
      <alignment horizontal="center" vertical="center"/>
    </xf>
    <xf numFmtId="0" fontId="12" fillId="2" borderId="50" xfId="0" applyFont="1" applyFill="1" applyBorder="1"/>
    <xf numFmtId="166" fontId="12" fillId="2" borderId="49" xfId="2" applyFont="1" applyFill="1" applyBorder="1" applyAlignment="1">
      <alignment horizontal="center" vertical="center"/>
    </xf>
    <xf numFmtId="0" fontId="12" fillId="2" borderId="49" xfId="2" applyNumberFormat="1" applyFont="1" applyFill="1" applyBorder="1" applyAlignment="1">
      <alignment horizontal="center" vertical="center"/>
    </xf>
    <xf numFmtId="0" fontId="13" fillId="2" borderId="22" xfId="0" applyFont="1" applyFill="1" applyBorder="1"/>
    <xf numFmtId="0" fontId="13" fillId="2" borderId="20" xfId="0" applyFont="1" applyFill="1" applyBorder="1"/>
    <xf numFmtId="164" fontId="11" fillId="2" borderId="9" xfId="1" applyFont="1" applyFill="1" applyBorder="1"/>
    <xf numFmtId="164" fontId="22" fillId="0" borderId="46" xfId="10" applyFont="1" applyFill="1" applyBorder="1" applyAlignment="1">
      <alignment vertical="center" wrapText="1"/>
    </xf>
    <xf numFmtId="0" fontId="2" fillId="0" borderId="0" xfId="18" applyFont="1"/>
    <xf numFmtId="164" fontId="4" fillId="0" borderId="0" xfId="18" applyNumberFormat="1"/>
    <xf numFmtId="0" fontId="12" fillId="2" borderId="2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4" borderId="41" xfId="1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vertical="center" wrapText="1"/>
    </xf>
    <xf numFmtId="164" fontId="22" fillId="0" borderId="21" xfId="10" applyFont="1" applyFill="1" applyBorder="1" applyAlignment="1">
      <alignment vertical="center" wrapText="1"/>
    </xf>
    <xf numFmtId="2" fontId="22" fillId="0" borderId="12" xfId="5" applyNumberFormat="1" applyFont="1" applyBorder="1" applyAlignment="1">
      <alignment vertical="center" wrapText="1"/>
    </xf>
    <xf numFmtId="0" fontId="12" fillId="2" borderId="28" xfId="1" applyNumberFormat="1" applyFont="1" applyFill="1" applyBorder="1" applyAlignment="1">
      <alignment horizontal="center" vertical="center"/>
    </xf>
    <xf numFmtId="44" fontId="0" fillId="0" borderId="0" xfId="0" applyNumberFormat="1"/>
    <xf numFmtId="166" fontId="13" fillId="0" borderId="0" xfId="2" applyFont="1"/>
    <xf numFmtId="0" fontId="22" fillId="0" borderId="47" xfId="5" applyFont="1" applyBorder="1" applyAlignment="1">
      <alignment horizontal="center" vertical="center" wrapText="1"/>
    </xf>
    <xf numFmtId="44" fontId="12" fillId="0" borderId="0" xfId="0" applyNumberFormat="1" applyFont="1"/>
    <xf numFmtId="0" fontId="22" fillId="0" borderId="21" xfId="10" applyNumberFormat="1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/>
    </xf>
    <xf numFmtId="166" fontId="12" fillId="2" borderId="22" xfId="2" applyFont="1" applyFill="1" applyBorder="1" applyAlignment="1">
      <alignment horizontal="center"/>
    </xf>
    <xf numFmtId="166" fontId="10" fillId="2" borderId="18" xfId="2" applyFont="1" applyFill="1" applyBorder="1" applyAlignment="1">
      <alignment horizontal="center"/>
    </xf>
    <xf numFmtId="14" fontId="12" fillId="2" borderId="21" xfId="0" applyNumberFormat="1" applyFont="1" applyFill="1" applyBorder="1" applyAlignment="1">
      <alignment horizontal="center"/>
    </xf>
    <xf numFmtId="168" fontId="22" fillId="0" borderId="46" xfId="10" applyNumberFormat="1" applyFont="1" applyBorder="1" applyAlignment="1">
      <alignment horizontal="center" vertical="center" wrapText="1"/>
    </xf>
    <xf numFmtId="0" fontId="22" fillId="0" borderId="46" xfId="10" applyNumberFormat="1" applyFont="1" applyBorder="1" applyAlignment="1">
      <alignment horizontal="center" vertical="center" wrapText="1"/>
    </xf>
    <xf numFmtId="0" fontId="22" fillId="0" borderId="21" xfId="5" applyFont="1" applyBorder="1" applyAlignment="1">
      <alignment horizontal="left" vertical="center"/>
    </xf>
    <xf numFmtId="0" fontId="22" fillId="0" borderId="46" xfId="5" applyFont="1" applyBorder="1" applyAlignment="1">
      <alignment horizontal="left" vertical="center" wrapText="1"/>
    </xf>
    <xf numFmtId="168" fontId="18" fillId="0" borderId="21" xfId="10" applyNumberFormat="1" applyFont="1" applyBorder="1" applyAlignment="1">
      <alignment horizontal="center" vertical="center" wrapText="1"/>
    </xf>
    <xf numFmtId="0" fontId="18" fillId="0" borderId="46" xfId="5" applyFont="1" applyBorder="1" applyAlignment="1">
      <alignment horizontal="center" vertical="center" wrapText="1"/>
    </xf>
    <xf numFmtId="166" fontId="0" fillId="0" borderId="0" xfId="2" applyFont="1"/>
    <xf numFmtId="44" fontId="10" fillId="2" borderId="1" xfId="0" applyNumberFormat="1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44" fontId="10" fillId="2" borderId="2" xfId="0" applyNumberFormat="1" applyFont="1" applyFill="1" applyBorder="1" applyAlignment="1">
      <alignment vertical="center"/>
    </xf>
    <xf numFmtId="0" fontId="36" fillId="0" borderId="0" xfId="0" applyFont="1"/>
    <xf numFmtId="164" fontId="12" fillId="0" borderId="0" xfId="1" applyFont="1"/>
    <xf numFmtId="0" fontId="12" fillId="0" borderId="0" xfId="0" applyFont="1" applyAlignment="1">
      <alignment horizontal="center"/>
    </xf>
    <xf numFmtId="167" fontId="12" fillId="2" borderId="46" xfId="1" applyNumberFormat="1" applyFont="1" applyFill="1" applyBorder="1" applyAlignment="1">
      <alignment horizontal="center" vertical="center"/>
    </xf>
    <xf numFmtId="166" fontId="12" fillId="2" borderId="15" xfId="2" applyFont="1" applyFill="1" applyBorder="1"/>
    <xf numFmtId="166" fontId="12" fillId="2" borderId="20" xfId="2" applyFont="1" applyFill="1" applyBorder="1"/>
    <xf numFmtId="0" fontId="9" fillId="0" borderId="47" xfId="20" applyFont="1" applyBorder="1" applyAlignment="1">
      <alignment horizontal="center"/>
    </xf>
    <xf numFmtId="164" fontId="3" fillId="0" borderId="33" xfId="1" applyFont="1" applyBorder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59" xfId="0" applyFont="1" applyFill="1" applyBorder="1"/>
    <xf numFmtId="0" fontId="26" fillId="2" borderId="28" xfId="2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20" xfId="2" applyNumberFormat="1" applyFont="1" applyFill="1" applyBorder="1" applyAlignment="1">
      <alignment horizontal="center" vertical="center"/>
    </xf>
    <xf numFmtId="0" fontId="12" fillId="2" borderId="61" xfId="0" applyFont="1" applyFill="1" applyBorder="1"/>
    <xf numFmtId="0" fontId="26" fillId="2" borderId="3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  <xf numFmtId="166" fontId="12" fillId="2" borderId="34" xfId="2" applyFont="1" applyFill="1" applyBorder="1" applyAlignment="1">
      <alignment horizontal="center"/>
    </xf>
    <xf numFmtId="166" fontId="12" fillId="2" borderId="26" xfId="2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3" fontId="12" fillId="2" borderId="16" xfId="0" applyNumberFormat="1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14" fontId="12" fillId="2" borderId="31" xfId="0" applyNumberFormat="1" applyFont="1" applyFill="1" applyBorder="1" applyAlignment="1">
      <alignment horizontal="center"/>
    </xf>
    <xf numFmtId="0" fontId="12" fillId="2" borderId="60" xfId="0" applyFont="1" applyFill="1" applyBorder="1"/>
    <xf numFmtId="14" fontId="12" fillId="2" borderId="15" xfId="0" applyNumberFormat="1" applyFont="1" applyFill="1" applyBorder="1"/>
    <xf numFmtId="0" fontId="1" fillId="0" borderId="0" xfId="4" applyFont="1"/>
    <xf numFmtId="164" fontId="1" fillId="0" borderId="0" xfId="1" applyFont="1"/>
    <xf numFmtId="164" fontId="7" fillId="0" borderId="0" xfId="4" applyNumberFormat="1"/>
    <xf numFmtId="166" fontId="1" fillId="0" borderId="0" xfId="2" applyFont="1"/>
    <xf numFmtId="0" fontId="12" fillId="2" borderId="41" xfId="1" applyNumberFormat="1" applyFont="1" applyFill="1" applyBorder="1" applyAlignment="1">
      <alignment horizontal="center" vertical="center"/>
    </xf>
    <xf numFmtId="167" fontId="12" fillId="2" borderId="41" xfId="0" applyNumberFormat="1" applyFont="1" applyFill="1" applyBorder="1" applyAlignment="1">
      <alignment horizontal="center" vertical="center"/>
    </xf>
    <xf numFmtId="166" fontId="12" fillId="2" borderId="41" xfId="2" applyFont="1" applyFill="1" applyBorder="1"/>
    <xf numFmtId="171" fontId="12" fillId="2" borderId="41" xfId="1" applyNumberFormat="1" applyFont="1" applyFill="1" applyBorder="1"/>
    <xf numFmtId="164" fontId="12" fillId="2" borderId="41" xfId="1" applyFont="1" applyFill="1" applyBorder="1"/>
    <xf numFmtId="171" fontId="12" fillId="2" borderId="12" xfId="1" applyNumberFormat="1" applyFont="1" applyFill="1" applyBorder="1"/>
    <xf numFmtId="0" fontId="12" fillId="2" borderId="64" xfId="0" applyFont="1" applyFill="1" applyBorder="1"/>
    <xf numFmtId="0" fontId="13" fillId="6" borderId="0" xfId="0" applyFont="1" applyFill="1"/>
    <xf numFmtId="15" fontId="12" fillId="2" borderId="16" xfId="0" applyNumberFormat="1" applyFont="1" applyFill="1" applyBorder="1" applyAlignment="1">
      <alignment horizontal="center"/>
    </xf>
    <xf numFmtId="0" fontId="12" fillId="2" borderId="55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56" xfId="0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/>
    </xf>
    <xf numFmtId="166" fontId="10" fillId="0" borderId="0" xfId="2" applyFont="1" applyFill="1" applyBorder="1" applyAlignment="1">
      <alignment horizontal="center"/>
    </xf>
    <xf numFmtId="164" fontId="12" fillId="2" borderId="16" xfId="1" applyFont="1" applyFill="1" applyBorder="1" applyAlignment="1">
      <alignment horizontal="center" vertical="center"/>
    </xf>
    <xf numFmtId="164" fontId="12" fillId="2" borderId="21" xfId="1" applyFont="1" applyFill="1" applyBorder="1" applyAlignment="1">
      <alignment horizontal="center" vertical="center"/>
    </xf>
    <xf numFmtId="164" fontId="12" fillId="2" borderId="25" xfId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164" fontId="12" fillId="2" borderId="17" xfId="0" applyNumberFormat="1" applyFont="1" applyFill="1" applyBorder="1"/>
    <xf numFmtId="164" fontId="12" fillId="2" borderId="29" xfId="0" applyNumberFormat="1" applyFont="1" applyFill="1" applyBorder="1"/>
    <xf numFmtId="164" fontId="12" fillId="2" borderId="22" xfId="0" applyNumberFormat="1" applyFont="1" applyFill="1" applyBorder="1"/>
    <xf numFmtId="0" fontId="24" fillId="0" borderId="0" xfId="5" applyFont="1"/>
    <xf numFmtId="169" fontId="23" fillId="0" borderId="5" xfId="10" applyNumberFormat="1" applyFont="1" applyBorder="1" applyAlignment="1">
      <alignment vertical="center"/>
    </xf>
    <xf numFmtId="164" fontId="22" fillId="3" borderId="16" xfId="1" applyFont="1" applyFill="1" applyBorder="1" applyAlignment="1">
      <alignment vertical="center" wrapText="1"/>
    </xf>
    <xf numFmtId="164" fontId="22" fillId="3" borderId="12" xfId="1" applyFont="1" applyFill="1" applyBorder="1" applyAlignment="1">
      <alignment vertical="center" wrapText="1"/>
    </xf>
    <xf numFmtId="164" fontId="22" fillId="3" borderId="46" xfId="1" applyFont="1" applyFill="1" applyBorder="1" applyAlignment="1">
      <alignment vertical="center" wrapText="1"/>
    </xf>
    <xf numFmtId="164" fontId="22" fillId="3" borderId="21" xfId="1" applyFont="1" applyFill="1" applyBorder="1" applyAlignment="1">
      <alignment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3" fillId="2" borderId="58" xfId="0" applyFont="1" applyFill="1" applyBorder="1"/>
    <xf numFmtId="0" fontId="13" fillId="3" borderId="0" xfId="0" applyFont="1" applyFill="1" applyAlignment="1">
      <alignment horizontal="center" vertical="center" wrapText="1"/>
    </xf>
    <xf numFmtId="164" fontId="22" fillId="4" borderId="9" xfId="1" applyFont="1" applyFill="1" applyBorder="1" applyAlignment="1">
      <alignment vertical="center" wrapText="1"/>
    </xf>
    <xf numFmtId="0" fontId="12" fillId="2" borderId="47" xfId="0" applyFont="1" applyFill="1" applyBorder="1" applyAlignment="1">
      <alignment horizontal="left"/>
    </xf>
    <xf numFmtId="0" fontId="12" fillId="2" borderId="46" xfId="0" applyFont="1" applyFill="1" applyBorder="1" applyAlignment="1">
      <alignment horizontal="left"/>
    </xf>
    <xf numFmtId="167" fontId="12" fillId="2" borderId="12" xfId="1" applyNumberFormat="1" applyFont="1" applyFill="1" applyBorder="1" applyAlignment="1">
      <alignment horizontal="center" vertical="center"/>
    </xf>
    <xf numFmtId="164" fontId="12" fillId="2" borderId="46" xfId="1" applyFont="1" applyFill="1" applyBorder="1" applyAlignment="1">
      <alignment horizontal="center" vertical="center"/>
    </xf>
    <xf numFmtId="164" fontId="12" fillId="2" borderId="12" xfId="1" applyFont="1" applyFill="1" applyBorder="1" applyAlignment="1">
      <alignment horizontal="center" vertical="center"/>
    </xf>
    <xf numFmtId="0" fontId="12" fillId="2" borderId="25" xfId="0" applyFont="1" applyFill="1" applyBorder="1"/>
    <xf numFmtId="0" fontId="12" fillId="2" borderId="46" xfId="0" applyFont="1" applyFill="1" applyBorder="1"/>
    <xf numFmtId="0" fontId="11" fillId="2" borderId="7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166" fontId="12" fillId="2" borderId="38" xfId="2" applyFont="1" applyFill="1" applyBorder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2" fontId="12" fillId="2" borderId="46" xfId="2" applyNumberFormat="1" applyFont="1" applyFill="1" applyBorder="1"/>
    <xf numFmtId="172" fontId="4" fillId="0" borderId="0" xfId="18" applyNumberFormat="1"/>
    <xf numFmtId="0" fontId="12" fillId="2" borderId="31" xfId="0" applyFont="1" applyFill="1" applyBorder="1"/>
    <xf numFmtId="44" fontId="10" fillId="2" borderId="66" xfId="0" applyNumberFormat="1" applyFont="1" applyFill="1" applyBorder="1" applyAlignment="1">
      <alignment vertical="center"/>
    </xf>
    <xf numFmtId="0" fontId="12" fillId="2" borderId="12" xfId="0" applyFont="1" applyFill="1" applyBorder="1" applyAlignment="1">
      <alignment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wrapText="1"/>
    </xf>
    <xf numFmtId="164" fontId="12" fillId="2" borderId="41" xfId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/>
    </xf>
    <xf numFmtId="166" fontId="19" fillId="0" borderId="41" xfId="2" applyFont="1" applyFill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164" fontId="0" fillId="0" borderId="0" xfId="1" applyFont="1" applyFill="1"/>
    <xf numFmtId="49" fontId="17" fillId="8" borderId="43" xfId="0" applyNumberFormat="1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164" fontId="17" fillId="8" borderId="45" xfId="1" applyFont="1" applyFill="1" applyBorder="1" applyAlignment="1">
      <alignment horizontal="center" vertical="center" wrapText="1"/>
    </xf>
    <xf numFmtId="164" fontId="13" fillId="0" borderId="0" xfId="1" applyFont="1" applyBorder="1"/>
    <xf numFmtId="164" fontId="13" fillId="0" borderId="24" xfId="1" applyFont="1" applyBorder="1"/>
    <xf numFmtId="0" fontId="37" fillId="0" borderId="0" xfId="21"/>
    <xf numFmtId="164" fontId="22" fillId="0" borderId="12" xfId="1" applyFont="1" applyFill="1" applyBorder="1"/>
    <xf numFmtId="164" fontId="22" fillId="0" borderId="29" xfId="1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3"/>
    </xf>
    <xf numFmtId="164" fontId="22" fillId="0" borderId="17" xfId="1" applyFont="1" applyFill="1" applyBorder="1"/>
    <xf numFmtId="0" fontId="13" fillId="0" borderId="69" xfId="0" applyFont="1" applyBorder="1"/>
    <xf numFmtId="164" fontId="22" fillId="0" borderId="21" xfId="1" applyFont="1" applyFill="1" applyBorder="1"/>
    <xf numFmtId="164" fontId="22" fillId="0" borderId="22" xfId="1" applyFont="1" applyFill="1" applyBorder="1"/>
    <xf numFmtId="49" fontId="22" fillId="0" borderId="47" xfId="5" applyNumberFormat="1" applyFont="1" applyBorder="1"/>
    <xf numFmtId="166" fontId="12" fillId="2" borderId="57" xfId="2" applyFont="1" applyFill="1" applyBorder="1" applyAlignment="1">
      <alignment horizontal="center"/>
    </xf>
    <xf numFmtId="14" fontId="12" fillId="2" borderId="12" xfId="0" applyNumberFormat="1" applyFont="1" applyFill="1" applyBorder="1"/>
    <xf numFmtId="166" fontId="12" fillId="2" borderId="23" xfId="2" applyFont="1" applyFill="1" applyBorder="1" applyAlignment="1">
      <alignment horizontal="center"/>
    </xf>
    <xf numFmtId="166" fontId="12" fillId="2" borderId="59" xfId="2" applyFont="1" applyFill="1" applyBorder="1" applyAlignment="1">
      <alignment horizontal="center"/>
    </xf>
    <xf numFmtId="14" fontId="12" fillId="2" borderId="30" xfId="0" applyNumberFormat="1" applyFont="1" applyFill="1" applyBorder="1"/>
    <xf numFmtId="14" fontId="12" fillId="2" borderId="16" xfId="0" applyNumberFormat="1" applyFont="1" applyFill="1" applyBorder="1"/>
    <xf numFmtId="1" fontId="12" fillId="2" borderId="17" xfId="0" applyNumberFormat="1" applyFont="1" applyFill="1" applyBorder="1" applyAlignment="1">
      <alignment horizontal="center"/>
    </xf>
    <xf numFmtId="1" fontId="12" fillId="2" borderId="29" xfId="0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4" fontId="12" fillId="2" borderId="3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7" xfId="0" applyFont="1" applyFill="1" applyBorder="1"/>
    <xf numFmtId="164" fontId="22" fillId="0" borderId="31" xfId="1" applyFont="1" applyFill="1" applyBorder="1"/>
    <xf numFmtId="164" fontId="22" fillId="0" borderId="30" xfId="1" applyFont="1" applyFill="1" applyBorder="1"/>
    <xf numFmtId="164" fontId="22" fillId="0" borderId="16" xfId="1" applyFont="1" applyFill="1" applyBorder="1"/>
    <xf numFmtId="164" fontId="22" fillId="0" borderId="12" xfId="1" applyFont="1" applyFill="1" applyBorder="1" applyAlignment="1">
      <alignment horizontal="center" vertical="center"/>
    </xf>
    <xf numFmtId="164" fontId="22" fillId="0" borderId="32" xfId="1" applyFont="1" applyFill="1" applyBorder="1"/>
    <xf numFmtId="166" fontId="12" fillId="2" borderId="12" xfId="2" applyFont="1" applyFill="1" applyBorder="1" applyAlignment="1">
      <alignment horizontal="center" vertical="center"/>
    </xf>
    <xf numFmtId="0" fontId="12" fillId="2" borderId="12" xfId="2" applyNumberFormat="1" applyFont="1" applyFill="1" applyBorder="1" applyAlignment="1">
      <alignment horizontal="center" vertical="center"/>
    </xf>
    <xf numFmtId="14" fontId="12" fillId="2" borderId="60" xfId="0" applyNumberFormat="1" applyFont="1" applyFill="1" applyBorder="1"/>
    <xf numFmtId="14" fontId="12" fillId="2" borderId="14" xfId="0" applyNumberFormat="1" applyFont="1" applyFill="1" applyBorder="1"/>
    <xf numFmtId="16" fontId="12" fillId="2" borderId="15" xfId="0" applyNumberFormat="1" applyFont="1" applyFill="1" applyBorder="1"/>
    <xf numFmtId="0" fontId="12" fillId="2" borderId="58" xfId="0" applyFont="1" applyFill="1" applyBorder="1" applyAlignment="1">
      <alignment horizontal="center" vertical="center"/>
    </xf>
    <xf numFmtId="16" fontId="12" fillId="2" borderId="37" xfId="0" applyNumberFormat="1" applyFont="1" applyFill="1" applyBorder="1" applyAlignment="1">
      <alignment horizontal="center"/>
    </xf>
    <xf numFmtId="0" fontId="12" fillId="2" borderId="15" xfId="0" applyFont="1" applyFill="1" applyBorder="1"/>
    <xf numFmtId="164" fontId="12" fillId="2" borderId="37" xfId="1" applyFont="1" applyFill="1" applyBorder="1" applyAlignment="1">
      <alignment horizontal="center" vertical="center"/>
    </xf>
    <xf numFmtId="0" fontId="12" fillId="2" borderId="36" xfId="0" applyFont="1" applyFill="1" applyBorder="1"/>
    <xf numFmtId="166" fontId="12" fillId="2" borderId="37" xfId="2" applyFont="1" applyFill="1" applyBorder="1" applyAlignment="1">
      <alignment horizontal="center" vertical="center"/>
    </xf>
    <xf numFmtId="0" fontId="12" fillId="2" borderId="37" xfId="2" applyNumberFormat="1" applyFont="1" applyFill="1" applyBorder="1" applyAlignment="1">
      <alignment horizontal="center" vertical="center"/>
    </xf>
    <xf numFmtId="167" fontId="12" fillId="2" borderId="37" xfId="0" applyNumberFormat="1" applyFont="1" applyFill="1" applyBorder="1" applyAlignment="1">
      <alignment horizontal="center" vertical="center"/>
    </xf>
    <xf numFmtId="166" fontId="12" fillId="2" borderId="37" xfId="2" applyFont="1" applyFill="1" applyBorder="1"/>
    <xf numFmtId="171" fontId="12" fillId="2" borderId="37" xfId="1" applyNumberFormat="1" applyFont="1" applyFill="1" applyBorder="1"/>
    <xf numFmtId="164" fontId="12" fillId="2" borderId="37" xfId="1" applyFont="1" applyFill="1" applyBorder="1"/>
    <xf numFmtId="0" fontId="12" fillId="2" borderId="37" xfId="1" applyNumberFormat="1" applyFont="1" applyFill="1" applyBorder="1" applyAlignment="1">
      <alignment horizontal="center"/>
    </xf>
    <xf numFmtId="0" fontId="12" fillId="2" borderId="37" xfId="1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13" fillId="0" borderId="0" xfId="0" quotePrefix="1" applyFont="1"/>
    <xf numFmtId="0" fontId="18" fillId="9" borderId="46" xfId="5" applyFont="1" applyFill="1" applyBorder="1" applyAlignment="1">
      <alignment horizontal="left" vertical="center"/>
    </xf>
    <xf numFmtId="166" fontId="19" fillId="9" borderId="46" xfId="2" applyFont="1" applyFill="1" applyBorder="1"/>
    <xf numFmtId="0" fontId="18" fillId="9" borderId="46" xfId="0" applyFont="1" applyFill="1" applyBorder="1" applyAlignment="1">
      <alignment horizontal="center"/>
    </xf>
    <xf numFmtId="0" fontId="18" fillId="9" borderId="67" xfId="0" applyFont="1" applyFill="1" applyBorder="1" applyAlignment="1">
      <alignment horizontal="center"/>
    </xf>
    <xf numFmtId="2" fontId="12" fillId="2" borderId="49" xfId="2" applyNumberFormat="1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20" fontId="13" fillId="0" borderId="0" xfId="0" applyNumberFormat="1" applyFont="1"/>
    <xf numFmtId="0" fontId="12" fillId="2" borderId="21" xfId="1" applyNumberFormat="1" applyFont="1" applyFill="1" applyBorder="1"/>
    <xf numFmtId="173" fontId="13" fillId="0" borderId="0" xfId="1" applyNumberFormat="1" applyFont="1"/>
    <xf numFmtId="173" fontId="13" fillId="0" borderId="0" xfId="0" applyNumberFormat="1" applyFont="1"/>
    <xf numFmtId="0" fontId="12" fillId="2" borderId="68" xfId="0" applyFont="1" applyFill="1" applyBorder="1" applyAlignment="1">
      <alignment horizontal="center" vertical="center" wrapText="1"/>
    </xf>
    <xf numFmtId="166" fontId="12" fillId="2" borderId="55" xfId="2" applyFont="1" applyFill="1" applyBorder="1"/>
    <xf numFmtId="166" fontId="12" fillId="2" borderId="58" xfId="2" applyFont="1" applyFill="1" applyBorder="1"/>
    <xf numFmtId="166" fontId="12" fillId="2" borderId="56" xfId="2" applyFont="1" applyFill="1" applyBorder="1"/>
    <xf numFmtId="166" fontId="12" fillId="2" borderId="65" xfId="2" applyFont="1" applyFill="1" applyBorder="1"/>
    <xf numFmtId="0" fontId="12" fillId="2" borderId="4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6" fontId="12" fillId="2" borderId="67" xfId="2" applyFont="1" applyFill="1" applyBorder="1"/>
    <xf numFmtId="166" fontId="13" fillId="0" borderId="0" xfId="2" applyFont="1" applyAlignment="1"/>
    <xf numFmtId="0" fontId="12" fillId="0" borderId="0" xfId="0" applyFont="1" applyAlignment="1">
      <alignment vertical="center"/>
    </xf>
    <xf numFmtId="0" fontId="12" fillId="2" borderId="36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166" fontId="12" fillId="2" borderId="71" xfId="2" applyFont="1" applyFill="1" applyBorder="1"/>
    <xf numFmtId="166" fontId="12" fillId="2" borderId="54" xfId="2" applyFont="1" applyFill="1" applyBorder="1"/>
    <xf numFmtId="20" fontId="12" fillId="2" borderId="12" xfId="0" applyNumberFormat="1" applyFont="1" applyFill="1" applyBorder="1" applyAlignment="1">
      <alignment vertical="center"/>
    </xf>
    <xf numFmtId="166" fontId="12" fillId="2" borderId="68" xfId="2" applyFont="1" applyFill="1" applyBorder="1"/>
    <xf numFmtId="20" fontId="12" fillId="2" borderId="12" xfId="0" applyNumberFormat="1" applyFont="1" applyFill="1" applyBorder="1" applyAlignment="1">
      <alignment horizontal="center" vertic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17" xfId="2" applyNumberFormat="1" applyFont="1" applyFill="1" applyBorder="1" applyAlignment="1">
      <alignment horizontal="center" vertical="center"/>
    </xf>
    <xf numFmtId="0" fontId="12" fillId="2" borderId="22" xfId="2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44" fontId="12" fillId="2" borderId="3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2" fillId="2" borderId="41" xfId="0" applyNumberFormat="1" applyFont="1" applyFill="1" applyBorder="1" applyAlignment="1">
      <alignment horizontal="center" vertical="center"/>
    </xf>
    <xf numFmtId="44" fontId="12" fillId="2" borderId="25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46" xfId="2" applyNumberFormat="1" applyFont="1" applyFill="1" applyBorder="1" applyAlignment="1">
      <alignment horizontal="center" vertical="center"/>
    </xf>
    <xf numFmtId="0" fontId="12" fillId="2" borderId="33" xfId="2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166" fontId="12" fillId="2" borderId="72" xfId="2" applyFont="1" applyFill="1" applyBorder="1"/>
    <xf numFmtId="166" fontId="12" fillId="2" borderId="62" xfId="2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166" fontId="12" fillId="2" borderId="38" xfId="2" applyFont="1" applyFill="1" applyBorder="1"/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167" fontId="12" fillId="2" borderId="41" xfId="1" applyNumberFormat="1" applyFont="1" applyFill="1" applyBorder="1" applyAlignment="1">
      <alignment horizontal="center" vertical="center"/>
    </xf>
    <xf numFmtId="166" fontId="12" fillId="2" borderId="41" xfId="2" applyFont="1" applyFill="1" applyBorder="1" applyAlignment="1">
      <alignment horizontal="center" vertical="center"/>
    </xf>
    <xf numFmtId="0" fontId="12" fillId="2" borderId="41" xfId="2" applyNumberFormat="1" applyFont="1" applyFill="1" applyBorder="1" applyAlignment="1">
      <alignment horizontal="center" vertical="center"/>
    </xf>
    <xf numFmtId="49" fontId="18" fillId="0" borderId="30" xfId="5" applyNumberFormat="1" applyFont="1" applyBorder="1"/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49" fontId="18" fillId="0" borderId="31" xfId="5" applyNumberFormat="1" applyFont="1" applyBorder="1"/>
    <xf numFmtId="0" fontId="18" fillId="0" borderId="1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18" fillId="0" borderId="47" xfId="5" applyNumberFormat="1" applyFont="1" applyBorder="1"/>
    <xf numFmtId="0" fontId="18" fillId="0" borderId="4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49" fontId="18" fillId="0" borderId="32" xfId="5" applyNumberFormat="1" applyFont="1" applyBorder="1"/>
    <xf numFmtId="0" fontId="18" fillId="0" borderId="2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20" fontId="12" fillId="0" borderId="0" xfId="0" applyNumberFormat="1" applyFont="1"/>
    <xf numFmtId="20" fontId="26" fillId="0" borderId="0" xfId="2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44" fontId="12" fillId="2" borderId="21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16" fontId="12" fillId="2" borderId="32" xfId="0" applyNumberFormat="1" applyFont="1" applyFill="1" applyBorder="1"/>
    <xf numFmtId="166" fontId="12" fillId="2" borderId="21" xfId="0" applyNumberFormat="1" applyFont="1" applyFill="1" applyBorder="1" applyAlignment="1">
      <alignment horizontal="center" vertical="center"/>
    </xf>
    <xf numFmtId="20" fontId="12" fillId="2" borderId="25" xfId="0" applyNumberFormat="1" applyFont="1" applyFill="1" applyBorder="1" applyAlignment="1">
      <alignment horizontal="center" vertical="center"/>
    </xf>
    <xf numFmtId="0" fontId="18" fillId="10" borderId="12" xfId="5" applyFont="1" applyFill="1" applyBorder="1" applyAlignment="1">
      <alignment horizontal="left" vertical="center"/>
    </xf>
    <xf numFmtId="166" fontId="19" fillId="10" borderId="12" xfId="2" applyFont="1" applyFill="1" applyBorder="1"/>
    <xf numFmtId="0" fontId="18" fillId="10" borderId="12" xfId="0" applyFont="1" applyFill="1" applyBorder="1" applyAlignment="1">
      <alignment horizontal="center"/>
    </xf>
    <xf numFmtId="166" fontId="23" fillId="10" borderId="12" xfId="2" applyFont="1" applyFill="1" applyBorder="1"/>
    <xf numFmtId="0" fontId="22" fillId="10" borderId="12" xfId="0" applyFont="1" applyFill="1" applyBorder="1" applyAlignment="1">
      <alignment horizontal="center"/>
    </xf>
    <xf numFmtId="0" fontId="18" fillId="10" borderId="46" xfId="5" applyFont="1" applyFill="1" applyBorder="1" applyAlignment="1">
      <alignment horizontal="left" vertical="center"/>
    </xf>
    <xf numFmtId="0" fontId="18" fillId="11" borderId="12" xfId="5" applyFont="1" applyFill="1" applyBorder="1" applyAlignment="1">
      <alignment horizontal="left" vertical="center"/>
    </xf>
    <xf numFmtId="166" fontId="19" fillId="11" borderId="12" xfId="2" applyFont="1" applyFill="1" applyBorder="1"/>
    <xf numFmtId="0" fontId="18" fillId="11" borderId="12" xfId="0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22" fillId="11" borderId="12" xfId="5" applyFont="1" applyFill="1" applyBorder="1" applyAlignment="1">
      <alignment horizontal="left" vertical="center"/>
    </xf>
    <xf numFmtId="166" fontId="23" fillId="11" borderId="12" xfId="2" applyFont="1" applyFill="1" applyBorder="1"/>
    <xf numFmtId="0" fontId="22" fillId="11" borderId="12" xfId="0" applyFont="1" applyFill="1" applyBorder="1" applyAlignment="1">
      <alignment horizontal="center"/>
    </xf>
    <xf numFmtId="0" fontId="18" fillId="11" borderId="46" xfId="5" applyFont="1" applyFill="1" applyBorder="1" applyAlignment="1">
      <alignment horizontal="left" vertical="center"/>
    </xf>
    <xf numFmtId="166" fontId="19" fillId="10" borderId="16" xfId="2" applyFont="1" applyFill="1" applyBorder="1"/>
    <xf numFmtId="0" fontId="18" fillId="10" borderId="16" xfId="0" applyFont="1" applyFill="1" applyBorder="1" applyAlignment="1">
      <alignment horizontal="center"/>
    </xf>
    <xf numFmtId="0" fontId="18" fillId="10" borderId="16" xfId="5" applyFont="1" applyFill="1" applyBorder="1" applyAlignment="1">
      <alignment horizontal="left" vertical="center"/>
    </xf>
    <xf numFmtId="0" fontId="22" fillId="10" borderId="46" xfId="5" applyFont="1" applyFill="1" applyBorder="1" applyAlignment="1">
      <alignment horizontal="left" vertical="center"/>
    </xf>
    <xf numFmtId="166" fontId="19" fillId="10" borderId="46" xfId="2" applyFont="1" applyFill="1" applyBorder="1"/>
    <xf numFmtId="0" fontId="18" fillId="10" borderId="46" xfId="0" applyFont="1" applyFill="1" applyBorder="1" applyAlignment="1">
      <alignment horizontal="center"/>
    </xf>
    <xf numFmtId="0" fontId="18" fillId="10" borderId="46" xfId="0" applyFont="1" applyFill="1" applyBorder="1" applyAlignment="1">
      <alignment horizontal="left" vertical="center"/>
    </xf>
    <xf numFmtId="0" fontId="18" fillId="10" borderId="21" xfId="5" applyFont="1" applyFill="1" applyBorder="1" applyAlignment="1">
      <alignment horizontal="left" vertical="center"/>
    </xf>
    <xf numFmtId="166" fontId="19" fillId="10" borderId="21" xfId="2" applyFont="1" applyFill="1" applyBorder="1"/>
    <xf numFmtId="0" fontId="18" fillId="10" borderId="21" xfId="0" applyFont="1" applyFill="1" applyBorder="1" applyAlignment="1">
      <alignment horizontal="center"/>
    </xf>
    <xf numFmtId="0" fontId="12" fillId="2" borderId="14" xfId="0" applyFont="1" applyFill="1" applyBorder="1"/>
    <xf numFmtId="0" fontId="12" fillId="2" borderId="23" xfId="0" applyFont="1" applyFill="1" applyBorder="1"/>
    <xf numFmtId="0" fontId="12" fillId="2" borderId="27" xfId="0" applyFont="1" applyFill="1" applyBorder="1"/>
    <xf numFmtId="0" fontId="12" fillId="2" borderId="57" xfId="0" applyFont="1" applyFill="1" applyBorder="1"/>
    <xf numFmtId="14" fontId="12" fillId="2" borderId="70" xfId="0" applyNumberFormat="1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166" fontId="12" fillId="2" borderId="21" xfId="2" applyFont="1" applyFill="1" applyBorder="1" applyAlignment="1">
      <alignment horizontal="left"/>
    </xf>
    <xf numFmtId="166" fontId="12" fillId="2" borderId="22" xfId="2" applyFont="1" applyFill="1" applyBorder="1" applyAlignment="1">
      <alignment horizontal="left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52" xfId="0" applyFont="1" applyFill="1" applyBorder="1" applyAlignment="1">
      <alignment horizontal="center"/>
    </xf>
    <xf numFmtId="166" fontId="10" fillId="2" borderId="54" xfId="2" applyFont="1" applyFill="1" applyBorder="1" applyAlignment="1">
      <alignment horizontal="center"/>
    </xf>
    <xf numFmtId="166" fontId="10" fillId="2" borderId="10" xfId="2" applyFont="1" applyFill="1" applyBorder="1" applyAlignment="1">
      <alignment horizontal="center"/>
    </xf>
    <xf numFmtId="0" fontId="12" fillId="2" borderId="31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6" fontId="12" fillId="2" borderId="12" xfId="2" applyFont="1" applyFill="1" applyBorder="1" applyAlignment="1">
      <alignment horizontal="center"/>
    </xf>
    <xf numFmtId="166" fontId="12" fillId="2" borderId="29" xfId="2" applyFont="1" applyFill="1" applyBorder="1" applyAlignment="1">
      <alignment horizontal="center"/>
    </xf>
    <xf numFmtId="166" fontId="12" fillId="2" borderId="12" xfId="2" applyFont="1" applyFill="1" applyBorder="1" applyAlignment="1">
      <alignment horizontal="left"/>
    </xf>
    <xf numFmtId="166" fontId="12" fillId="2" borderId="29" xfId="2" applyFont="1" applyFill="1" applyBorder="1" applyAlignment="1">
      <alignment horizontal="left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1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166" fontId="12" fillId="2" borderId="16" xfId="2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5" xfId="0" applyNumberFormat="1" applyFont="1" applyFill="1" applyBorder="1" applyAlignment="1">
      <alignment horizontal="center" vertical="center"/>
    </xf>
    <xf numFmtId="166" fontId="12" fillId="2" borderId="19" xfId="2" applyFont="1" applyFill="1" applyBorder="1" applyAlignment="1">
      <alignment horizontal="center"/>
    </xf>
    <xf numFmtId="166" fontId="12" fillId="2" borderId="20" xfId="2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NumberFormat="1" applyFont="1" applyFill="1" applyBorder="1" applyAlignment="1">
      <alignment horizontal="center" vertical="center"/>
    </xf>
    <xf numFmtId="0" fontId="10" fillId="2" borderId="10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/>
    </xf>
    <xf numFmtId="166" fontId="12" fillId="7" borderId="19" xfId="2" applyFont="1" applyFill="1" applyBorder="1" applyAlignment="1">
      <alignment horizontal="center"/>
    </xf>
    <xf numFmtId="166" fontId="12" fillId="7" borderId="20" xfId="2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166" fontId="12" fillId="2" borderId="56" xfId="2" applyFont="1" applyFill="1" applyBorder="1" applyAlignment="1">
      <alignment horizontal="center"/>
    </xf>
    <xf numFmtId="166" fontId="12" fillId="2" borderId="57" xfId="2" applyFont="1" applyFill="1" applyBorder="1" applyAlignment="1">
      <alignment horizontal="center"/>
    </xf>
    <xf numFmtId="0" fontId="12" fillId="2" borderId="6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16" fontId="11" fillId="2" borderId="0" xfId="0" applyNumberFormat="1" applyFont="1" applyFill="1" applyAlignment="1">
      <alignment horizontal="left"/>
    </xf>
    <xf numFmtId="0" fontId="24" fillId="0" borderId="6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2" fillId="4" borderId="1" xfId="5" applyFont="1" applyFill="1" applyBorder="1" applyAlignment="1">
      <alignment horizontal="center" wrapText="1"/>
    </xf>
    <xf numFmtId="0" fontId="22" fillId="4" borderId="11" xfId="5" applyFont="1" applyFill="1" applyBorder="1" applyAlignment="1">
      <alignment horizontal="center" wrapText="1"/>
    </xf>
    <xf numFmtId="0" fontId="22" fillId="4" borderId="44" xfId="5" applyFont="1" applyFill="1" applyBorder="1" applyAlignment="1">
      <alignment horizontal="center" wrapText="1"/>
    </xf>
    <xf numFmtId="0" fontId="9" fillId="0" borderId="24" xfId="18" applyFont="1" applyBorder="1" applyAlignment="1">
      <alignment horizontal="center" vertical="center"/>
    </xf>
    <xf numFmtId="0" fontId="10" fillId="0" borderId="21" xfId="4" applyFont="1" applyBorder="1" applyAlignment="1">
      <alignment horizontal="center"/>
    </xf>
    <xf numFmtId="0" fontId="9" fillId="0" borderId="21" xfId="4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16" xfId="4" applyFont="1" applyBorder="1" applyAlignment="1">
      <alignment horizontal="center"/>
    </xf>
    <xf numFmtId="0" fontId="9" fillId="0" borderId="16" xfId="4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0" borderId="45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/>
    </xf>
    <xf numFmtId="0" fontId="9" fillId="0" borderId="49" xfId="4" applyFont="1" applyBorder="1" applyAlignment="1">
      <alignment horizontal="center"/>
    </xf>
    <xf numFmtId="0" fontId="9" fillId="0" borderId="12" xfId="4" applyFont="1" applyBorder="1" applyAlignment="1">
      <alignment horizontal="center"/>
    </xf>
    <xf numFmtId="0" fontId="10" fillId="0" borderId="46" xfId="4" applyFont="1" applyBorder="1" applyAlignment="1">
      <alignment horizontal="center"/>
    </xf>
    <xf numFmtId="0" fontId="9" fillId="0" borderId="46" xfId="4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2">
    <cellStyle name="Hipervínculo" xfId="21" builtinId="8"/>
    <cellStyle name="Millares" xfId="1" builtinId="3"/>
    <cellStyle name="Millares 2" xfId="6" xr:uid="{00000000-0005-0000-0000-000002000000}"/>
    <cellStyle name="Millares 2 2" xfId="13" xr:uid="{00000000-0005-0000-0000-000003000000}"/>
    <cellStyle name="Millares 2 3" xfId="19" xr:uid="{00000000-0005-0000-0000-000004000000}"/>
    <cellStyle name="Millares 3" xfId="10" xr:uid="{00000000-0005-0000-0000-000005000000}"/>
    <cellStyle name="Millares 3 2" xfId="17" xr:uid="{00000000-0005-0000-0000-000006000000}"/>
    <cellStyle name="Moneda" xfId="2" builtinId="4"/>
    <cellStyle name="Moneda 2" xfId="7" xr:uid="{00000000-0005-0000-0000-000008000000}"/>
    <cellStyle name="Moneda 2 2" xfId="14" xr:uid="{00000000-0005-0000-0000-000009000000}"/>
    <cellStyle name="Normal" xfId="0" builtinId="0"/>
    <cellStyle name="Normal 2" xfId="3" xr:uid="{00000000-0005-0000-0000-00000B000000}"/>
    <cellStyle name="Normal 2 2" xfId="4" xr:uid="{00000000-0005-0000-0000-00000C000000}"/>
    <cellStyle name="Normal 2 2 2" xfId="9" xr:uid="{00000000-0005-0000-0000-00000D000000}"/>
    <cellStyle name="Normal 2 2 2 2" xfId="16" xr:uid="{00000000-0005-0000-0000-00000E000000}"/>
    <cellStyle name="Normal 2 2 3" xfId="12" xr:uid="{00000000-0005-0000-0000-00000F000000}"/>
    <cellStyle name="Normal 2 3" xfId="8" xr:uid="{00000000-0005-0000-0000-000010000000}"/>
    <cellStyle name="Normal 2 3 2" xfId="15" xr:uid="{00000000-0005-0000-0000-000011000000}"/>
    <cellStyle name="Normal 2 4" xfId="11" xr:uid="{00000000-0005-0000-0000-000012000000}"/>
    <cellStyle name="Normal 4" xfId="18" xr:uid="{00000000-0005-0000-0000-000013000000}"/>
    <cellStyle name="Normal 4 2" xfId="20" xr:uid="{00000000-0005-0000-0000-000014000000}"/>
    <cellStyle name="Normal 72 2" xfId="5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0</xdr:row>
      <xdr:rowOff>0</xdr:rowOff>
    </xdr:from>
    <xdr:ext cx="180975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71973A9-7D33-4291-B209-3832AF11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809750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186267</xdr:colOff>
      <xdr:row>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61949"/>
          <a:ext cx="160549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2</xdr:row>
      <xdr:rowOff>114299</xdr:rowOff>
    </xdr:from>
    <xdr:to>
      <xdr:col>6</xdr:col>
      <xdr:colOff>272224</xdr:colOff>
      <xdr:row>6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E078C-0EE1-4D58-BF3C-899AE96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28624"/>
          <a:ext cx="2920174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204258</xdr:colOff>
      <xdr:row>7</xdr:row>
      <xdr:rowOff>121708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8E95E-E211-4ED2-BA82-05B994D6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61950"/>
          <a:ext cx="15906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7</xdr:col>
      <xdr:colOff>219074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C98C-6B87-49CE-85F2-8E0CDBE4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" y="361950"/>
          <a:ext cx="2124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256213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DD42E-1ABE-4808-9A12-813946E0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442" y="354542"/>
          <a:ext cx="117580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67504</xdr:colOff>
      <xdr:row>0</xdr:row>
      <xdr:rowOff>138732</xdr:rowOff>
    </xdr:from>
    <xdr:to>
      <xdr:col>5</xdr:col>
      <xdr:colOff>459441</xdr:colOff>
      <xdr:row>4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9BB-0BB0-41BF-938B-3E51674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592" y="138732"/>
          <a:ext cx="2196084" cy="65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517525</xdr:colOff>
      <xdr:row>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9C48-B350-4BE8-8D3D-E29389F7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442" y="354542"/>
          <a:ext cx="1608667" cy="66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467783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AD7C1-C46F-450F-8CA3-51F2A75D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243415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EB5A-9C87-468A-859C-3F0C5017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107" y="354542"/>
          <a:ext cx="126047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7</xdr:col>
      <xdr:colOff>224446</xdr:colOff>
      <xdr:row>9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85180-2FA2-46B3-AEC1-437D8EB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354542"/>
          <a:ext cx="2244725" cy="101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348853</xdr:colOff>
      <xdr:row>4</xdr:row>
      <xdr:rowOff>127000</xdr:rowOff>
    </xdr:from>
    <xdr:to>
      <xdr:col>6</xdr:col>
      <xdr:colOff>126074</xdr:colOff>
      <xdr:row>8</xdr:row>
      <xdr:rowOff>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09B8-511A-411A-BA4A-FA239A88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56" y="791766"/>
          <a:ext cx="1592924" cy="527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265545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9702-9A22-4C0C-8B56-920DD329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025" y="354542"/>
          <a:ext cx="171555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200023</xdr:colOff>
      <xdr:row>2</xdr:row>
      <xdr:rowOff>47624</xdr:rowOff>
    </xdr:from>
    <xdr:to>
      <xdr:col>5</xdr:col>
      <xdr:colOff>143774</xdr:colOff>
      <xdr:row>6</xdr:row>
      <xdr:rowOff>80873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676E7-D775-4FB6-81B1-E1A788E5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028" y="380100"/>
          <a:ext cx="1273656" cy="71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251883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9445B-9431-4E2F-B784-74BA58AA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108" y="354542"/>
          <a:ext cx="1503892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ED8B-ABD6-41B6-8EC3-110EED38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296332</xdr:colOff>
      <xdr:row>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BE3A2-6A68-4D07-AC4A-F9C1DBD8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354542"/>
          <a:ext cx="148272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199702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A259-49F8-4BA9-8194-692914F8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530226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F5420-F3D6-4B12-B700-FD515C6D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159808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703E-0F21-4CD5-8402-4C88EA7F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10583</xdr:colOff>
      <xdr:row>6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4DC4D-3A6E-4361-A365-51F194B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75" y="354542"/>
          <a:ext cx="1101725" cy="7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480483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3122C-30ED-4884-9802-76309ACD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E2A7-18BB-4C09-B66E-8A5E3BDA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5</xdr:col>
      <xdr:colOff>552450</xdr:colOff>
      <xdr:row>8</xdr:row>
      <xdr:rowOff>13758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5D763-D55B-4458-8FC1-888E3089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650"/>
          <a:ext cx="2114550" cy="909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7</xdr:col>
      <xdr:colOff>271353</xdr:colOff>
      <xdr:row>7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AE1A0-6617-46FC-9792-E75B2A6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61949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518583</xdr:colOff>
      <xdr:row>7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EE2B-565A-4895-87D2-79EB6803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540808</xdr:colOff>
      <xdr:row>8</xdr:row>
      <xdr:rowOff>68791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9CA8A-7643-4A57-B8DB-D56D7BAB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Z-FACT-006\Users\KO0942Z0\Desktop\Heriberto\Nominas%202022\Operadores%20Cruce\05.-Mayo\Documents%20and%20Settings\admin\Escritorio\Reportes%20pancho\AND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0942Z0\Desktop\LIQUIDACIONES\Nominas%202023\Nomina%20Foraneos\Foraneo%20Chihuahua\12.-Diciembre%2048%20-%2052\Foraneo%20Chihuahua%20Semana%20%2351.xlsx" TargetMode="External"/><Relationship Id="rId1" Type="http://schemas.openxmlformats.org/officeDocument/2006/relationships/externalLinkPath" Target="file:///\\JZ-FACT-006\Users\KO0942Z0\Desktop\LIQUIDACIONES\Nominas%202023\Nomina%20Foraneos\Foraneo%20Chihuahua\12.-Diciembre%2048%20-%2052\Foraneo%20Chihuahua%20Semana%20%235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Chihuahua\09.-Septiembre%2036%20-%2039\Foraneo%20Chihuahua%20Semana%20%23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EM.01"/>
      <sheetName val="SEM.52"/>
      <sheetName val="SEM.51"/>
      <sheetName val="SEM.50"/>
      <sheetName val="SEM.49"/>
      <sheetName val="SEM.48"/>
      <sheetName val="SEM.47"/>
      <sheetName val="SEM.46"/>
      <sheetName val="SEM.45"/>
      <sheetName val="SEM.44"/>
      <sheetName val="SEM.43"/>
      <sheetName val="SEM.42"/>
      <sheetName val="SEM.41"/>
      <sheetName val="SEM.40"/>
      <sheetName val="SEM.39"/>
      <sheetName val="SEM.38"/>
      <sheetName val="SEM.37"/>
      <sheetName val="SEM.36"/>
      <sheetName val="SEM.35"/>
      <sheetName val="SEM.34"/>
      <sheetName val="SEM.33"/>
      <sheetName val="SEM.32"/>
      <sheetName val="SEM.31"/>
      <sheetName val="SEM.30"/>
      <sheetName val="SEM.29"/>
      <sheetName val="SEM.28"/>
      <sheetName val="SEM.27"/>
      <sheetName val="SEM.26"/>
      <sheetName val="SEM.25"/>
      <sheetName val="SEM.24"/>
      <sheetName val="SEM.23"/>
      <sheetName val="SEM.22"/>
      <sheetName val="SEM.21"/>
      <sheetName val="SEM.20"/>
      <sheetName val="SEM.19"/>
      <sheetName val="SEM.18"/>
      <sheetName val="SEM.17"/>
      <sheetName val="SEM.16"/>
      <sheetName val="LUGARES"/>
      <sheetName val="Nomina"/>
    </sheetNames>
    <sheetDataSet>
      <sheetData sheetId="0" refreshError="1"/>
      <sheetData sheetId="1" refreshError="1">
        <row r="6">
          <cell r="AG6">
            <v>0.25</v>
          </cell>
          <cell r="AH6">
            <v>55.95</v>
          </cell>
          <cell r="AJ6">
            <v>0.25</v>
          </cell>
          <cell r="AK6">
            <v>52.2</v>
          </cell>
          <cell r="AM6">
            <v>0.25</v>
          </cell>
          <cell r="AN6">
            <v>49.7</v>
          </cell>
        </row>
        <row r="7">
          <cell r="AG7">
            <v>0.5</v>
          </cell>
          <cell r="AH7">
            <v>111.9</v>
          </cell>
          <cell r="AJ7">
            <v>0.5</v>
          </cell>
          <cell r="AK7">
            <v>104.4</v>
          </cell>
          <cell r="AM7">
            <v>0.5</v>
          </cell>
          <cell r="AN7">
            <v>99.4</v>
          </cell>
        </row>
        <row r="8">
          <cell r="AG8">
            <v>0.75</v>
          </cell>
          <cell r="AH8">
            <v>167.85</v>
          </cell>
          <cell r="AJ8">
            <v>0.75</v>
          </cell>
          <cell r="AK8">
            <v>156.6</v>
          </cell>
          <cell r="AM8">
            <v>0.75</v>
          </cell>
          <cell r="AN8">
            <v>149.1</v>
          </cell>
        </row>
        <row r="9">
          <cell r="AG9">
            <v>1</v>
          </cell>
          <cell r="AH9">
            <v>223.8</v>
          </cell>
          <cell r="AJ9">
            <v>1</v>
          </cell>
          <cell r="AK9">
            <v>208.8</v>
          </cell>
          <cell r="AM9">
            <v>1</v>
          </cell>
          <cell r="AN9">
            <v>198.8</v>
          </cell>
        </row>
        <row r="10">
          <cell r="AG10">
            <v>1.25</v>
          </cell>
          <cell r="AH10">
            <v>279.75</v>
          </cell>
          <cell r="AJ10">
            <v>1.25</v>
          </cell>
          <cell r="AK10">
            <v>261</v>
          </cell>
          <cell r="AM10">
            <v>1.25</v>
          </cell>
          <cell r="AN10">
            <v>248.5</v>
          </cell>
        </row>
        <row r="11">
          <cell r="AG11">
            <v>1.5</v>
          </cell>
          <cell r="AH11">
            <v>335.70000000000005</v>
          </cell>
          <cell r="AJ11">
            <v>1.5</v>
          </cell>
          <cell r="AK11">
            <v>313.20000000000005</v>
          </cell>
          <cell r="AM11">
            <v>1.5</v>
          </cell>
          <cell r="AN11">
            <v>298.20000000000005</v>
          </cell>
        </row>
        <row r="12">
          <cell r="AG12">
            <v>1.75</v>
          </cell>
          <cell r="AH12">
            <v>391.65000000000003</v>
          </cell>
          <cell r="AJ12">
            <v>1.75</v>
          </cell>
          <cell r="AK12">
            <v>365.40000000000003</v>
          </cell>
          <cell r="AM12">
            <v>1.75</v>
          </cell>
          <cell r="AN12">
            <v>347.90000000000003</v>
          </cell>
        </row>
        <row r="13">
          <cell r="AG13">
            <v>2</v>
          </cell>
          <cell r="AH13">
            <v>447.6</v>
          </cell>
          <cell r="AJ13">
            <v>2</v>
          </cell>
          <cell r="AK13">
            <v>417.6</v>
          </cell>
          <cell r="AM13">
            <v>2</v>
          </cell>
          <cell r="AN13">
            <v>397.6</v>
          </cell>
        </row>
        <row r="14">
          <cell r="AG14">
            <v>2.25</v>
          </cell>
          <cell r="AH14">
            <v>503.55</v>
          </cell>
          <cell r="AJ14">
            <v>2.25</v>
          </cell>
          <cell r="AK14">
            <v>469.8</v>
          </cell>
          <cell r="AM14">
            <v>2.25</v>
          </cell>
          <cell r="AN14">
            <v>447.3</v>
          </cell>
        </row>
        <row r="15">
          <cell r="AG15">
            <v>2.5</v>
          </cell>
          <cell r="AH15">
            <v>559.5</v>
          </cell>
          <cell r="AJ15">
            <v>2.5</v>
          </cell>
          <cell r="AK15">
            <v>522</v>
          </cell>
          <cell r="AM15">
            <v>2.5</v>
          </cell>
          <cell r="AN15">
            <v>497</v>
          </cell>
        </row>
        <row r="16">
          <cell r="AG16">
            <v>2.75</v>
          </cell>
          <cell r="AH16">
            <v>615.45000000000005</v>
          </cell>
          <cell r="AJ16">
            <v>2.75</v>
          </cell>
          <cell r="AK16">
            <v>574.20000000000005</v>
          </cell>
          <cell r="AM16">
            <v>2.75</v>
          </cell>
          <cell r="AN16">
            <v>546.70000000000005</v>
          </cell>
        </row>
        <row r="17">
          <cell r="AG17">
            <v>3</v>
          </cell>
          <cell r="AH17">
            <v>671.40000000000009</v>
          </cell>
          <cell r="AJ17">
            <v>3</v>
          </cell>
          <cell r="AK17">
            <v>626.40000000000009</v>
          </cell>
          <cell r="AM17">
            <v>3</v>
          </cell>
          <cell r="AN17">
            <v>596.40000000000009</v>
          </cell>
        </row>
        <row r="18">
          <cell r="AG18">
            <v>3.25</v>
          </cell>
          <cell r="AH18">
            <v>727.35</v>
          </cell>
          <cell r="AJ18">
            <v>3.25</v>
          </cell>
          <cell r="AK18">
            <v>678.6</v>
          </cell>
          <cell r="AM18">
            <v>3.25</v>
          </cell>
          <cell r="AN18">
            <v>646.1</v>
          </cell>
        </row>
        <row r="19">
          <cell r="AG19">
            <v>3.5</v>
          </cell>
          <cell r="AH19">
            <v>783.30000000000007</v>
          </cell>
          <cell r="AJ19">
            <v>3.5</v>
          </cell>
          <cell r="AK19">
            <v>730.80000000000007</v>
          </cell>
          <cell r="AM19">
            <v>3.5</v>
          </cell>
          <cell r="AN19">
            <v>695.80000000000007</v>
          </cell>
        </row>
        <row r="20">
          <cell r="AG20">
            <v>3.75</v>
          </cell>
          <cell r="AH20">
            <v>839.25</v>
          </cell>
          <cell r="AJ20">
            <v>3.75</v>
          </cell>
          <cell r="AK20">
            <v>783</v>
          </cell>
          <cell r="AM20">
            <v>3.75</v>
          </cell>
          <cell r="AN20">
            <v>745.5</v>
          </cell>
        </row>
        <row r="21">
          <cell r="AG21">
            <v>4</v>
          </cell>
          <cell r="AH21">
            <v>895.2</v>
          </cell>
          <cell r="AJ21">
            <v>4</v>
          </cell>
          <cell r="AK21">
            <v>835.2</v>
          </cell>
          <cell r="AM21">
            <v>4</v>
          </cell>
          <cell r="AN21">
            <v>795.2</v>
          </cell>
        </row>
        <row r="22">
          <cell r="AG22">
            <v>4.25</v>
          </cell>
          <cell r="AH22">
            <v>951.15000000000009</v>
          </cell>
          <cell r="AJ22">
            <v>4.25</v>
          </cell>
          <cell r="AK22">
            <v>887.40000000000009</v>
          </cell>
          <cell r="AM22">
            <v>4.25</v>
          </cell>
          <cell r="AN22">
            <v>844.90000000000009</v>
          </cell>
        </row>
        <row r="23">
          <cell r="AG23">
            <v>4.5</v>
          </cell>
          <cell r="AH23">
            <v>1007.1</v>
          </cell>
          <cell r="AJ23">
            <v>4.5</v>
          </cell>
          <cell r="AK23">
            <v>939.6</v>
          </cell>
          <cell r="AM23">
            <v>4.5</v>
          </cell>
          <cell r="AN23">
            <v>894.6</v>
          </cell>
        </row>
        <row r="24">
          <cell r="AG24">
            <v>4.75</v>
          </cell>
          <cell r="AH24">
            <v>1063.05</v>
          </cell>
          <cell r="AJ24">
            <v>4.75</v>
          </cell>
          <cell r="AK24">
            <v>991.80000000000007</v>
          </cell>
          <cell r="AM24">
            <v>4.75</v>
          </cell>
          <cell r="AN24">
            <v>944.30000000000007</v>
          </cell>
        </row>
        <row r="25">
          <cell r="AG25">
            <v>5</v>
          </cell>
          <cell r="AH25">
            <v>1119</v>
          </cell>
          <cell r="AJ25">
            <v>5</v>
          </cell>
          <cell r="AK25">
            <v>1044</v>
          </cell>
          <cell r="AM25">
            <v>5</v>
          </cell>
          <cell r="AN25">
            <v>994</v>
          </cell>
        </row>
        <row r="26">
          <cell r="AG26">
            <v>5.25</v>
          </cell>
          <cell r="AH26">
            <v>1174.95</v>
          </cell>
          <cell r="AJ26">
            <v>5.25</v>
          </cell>
          <cell r="AK26">
            <v>1096.2</v>
          </cell>
          <cell r="AM26">
            <v>5.25</v>
          </cell>
          <cell r="AN26">
            <v>1043.7</v>
          </cell>
        </row>
        <row r="27">
          <cell r="AG27">
            <v>5.5</v>
          </cell>
          <cell r="AH27">
            <v>1230.9000000000001</v>
          </cell>
          <cell r="AJ27">
            <v>5.5</v>
          </cell>
          <cell r="AK27">
            <v>1148.4000000000001</v>
          </cell>
          <cell r="AM27">
            <v>5.5</v>
          </cell>
          <cell r="AN27">
            <v>1093.4000000000001</v>
          </cell>
        </row>
        <row r="28">
          <cell r="AG28">
            <v>5.75</v>
          </cell>
          <cell r="AH28">
            <v>1286.8500000000001</v>
          </cell>
          <cell r="AJ28">
            <v>5.75</v>
          </cell>
          <cell r="AK28">
            <v>1200.6000000000001</v>
          </cell>
          <cell r="AM28">
            <v>5.75</v>
          </cell>
          <cell r="AN28">
            <v>1143.1000000000001</v>
          </cell>
        </row>
        <row r="29">
          <cell r="AG29">
            <v>6</v>
          </cell>
          <cell r="AH29">
            <v>1342.8000000000002</v>
          </cell>
          <cell r="AJ29">
            <v>6</v>
          </cell>
          <cell r="AK29">
            <v>1252.8000000000002</v>
          </cell>
          <cell r="AM29">
            <v>6</v>
          </cell>
          <cell r="AN29">
            <v>1192.8000000000002</v>
          </cell>
        </row>
        <row r="30">
          <cell r="AG30">
            <v>6.25</v>
          </cell>
          <cell r="AH30">
            <v>1398.75</v>
          </cell>
          <cell r="AJ30">
            <v>6.25</v>
          </cell>
          <cell r="AK30">
            <v>1305</v>
          </cell>
          <cell r="AM30">
            <v>6.25</v>
          </cell>
          <cell r="AN30">
            <v>1242.5</v>
          </cell>
        </row>
        <row r="31">
          <cell r="AG31">
            <v>6.5</v>
          </cell>
          <cell r="AH31">
            <v>1454.7</v>
          </cell>
          <cell r="AJ31">
            <v>6.5</v>
          </cell>
          <cell r="AK31">
            <v>1357.2</v>
          </cell>
          <cell r="AM31">
            <v>6.5</v>
          </cell>
          <cell r="AN31">
            <v>1292.2</v>
          </cell>
        </row>
        <row r="32">
          <cell r="AG32">
            <v>6.75</v>
          </cell>
          <cell r="AH32">
            <v>1510.65</v>
          </cell>
          <cell r="AJ32">
            <v>6.75</v>
          </cell>
          <cell r="AK32">
            <v>1409.4</v>
          </cell>
          <cell r="AM32">
            <v>6.75</v>
          </cell>
          <cell r="AN32">
            <v>1341.9</v>
          </cell>
        </row>
        <row r="33">
          <cell r="AG33">
            <v>7</v>
          </cell>
          <cell r="AH33">
            <v>1566.6000000000001</v>
          </cell>
          <cell r="AJ33">
            <v>7</v>
          </cell>
          <cell r="AK33">
            <v>1461.6000000000001</v>
          </cell>
          <cell r="AM33">
            <v>7</v>
          </cell>
          <cell r="AN33">
            <v>1391.6000000000001</v>
          </cell>
        </row>
        <row r="34">
          <cell r="AG34">
            <v>7.25</v>
          </cell>
          <cell r="AH34">
            <v>1622.5500000000002</v>
          </cell>
          <cell r="AJ34">
            <v>7.25</v>
          </cell>
          <cell r="AK34">
            <v>1513.8000000000002</v>
          </cell>
          <cell r="AM34">
            <v>7.25</v>
          </cell>
          <cell r="AN34">
            <v>1441.3000000000002</v>
          </cell>
        </row>
        <row r="35">
          <cell r="AG35">
            <v>7.5</v>
          </cell>
          <cell r="AH35">
            <v>1678.5</v>
          </cell>
          <cell r="AJ35">
            <v>7.5</v>
          </cell>
          <cell r="AK35">
            <v>1566</v>
          </cell>
          <cell r="AM35">
            <v>7.5</v>
          </cell>
          <cell r="AN35">
            <v>1491</v>
          </cell>
        </row>
        <row r="36">
          <cell r="AG36">
            <v>7.75</v>
          </cell>
          <cell r="AH36">
            <v>1734.45</v>
          </cell>
          <cell r="AJ36">
            <v>7.75</v>
          </cell>
          <cell r="AK36">
            <v>1618.2</v>
          </cell>
          <cell r="AM36">
            <v>7.75</v>
          </cell>
          <cell r="AN36">
            <v>1540.7</v>
          </cell>
        </row>
        <row r="37">
          <cell r="AG37">
            <v>8</v>
          </cell>
          <cell r="AH37">
            <v>1790.4</v>
          </cell>
          <cell r="AJ37">
            <v>8</v>
          </cell>
          <cell r="AK37">
            <v>1670.4</v>
          </cell>
          <cell r="AM37">
            <v>8</v>
          </cell>
          <cell r="AN37">
            <v>1590.4</v>
          </cell>
        </row>
        <row r="38">
          <cell r="AG38">
            <v>8.25</v>
          </cell>
          <cell r="AH38">
            <v>1846.3500000000001</v>
          </cell>
          <cell r="AJ38">
            <v>8.25</v>
          </cell>
          <cell r="AK38">
            <v>1722.6000000000001</v>
          </cell>
          <cell r="AM38">
            <v>8.25</v>
          </cell>
          <cell r="AN38">
            <v>1640.1000000000001</v>
          </cell>
        </row>
        <row r="39">
          <cell r="AG39">
            <v>8.5</v>
          </cell>
          <cell r="AH39">
            <v>1902.3000000000002</v>
          </cell>
          <cell r="AJ39">
            <v>8.5</v>
          </cell>
          <cell r="AK39">
            <v>1774.8000000000002</v>
          </cell>
          <cell r="AM39">
            <v>8.5</v>
          </cell>
          <cell r="AN39">
            <v>1689.8000000000002</v>
          </cell>
        </row>
        <row r="40">
          <cell r="AG40">
            <v>8.75</v>
          </cell>
          <cell r="AH40">
            <v>1958.25</v>
          </cell>
          <cell r="AJ40">
            <v>8.75</v>
          </cell>
          <cell r="AK40">
            <v>1827</v>
          </cell>
          <cell r="AM40">
            <v>8.75</v>
          </cell>
          <cell r="AN40">
            <v>1739.5</v>
          </cell>
        </row>
        <row r="41">
          <cell r="AG41">
            <v>9</v>
          </cell>
          <cell r="AH41">
            <v>2014.2</v>
          </cell>
          <cell r="AJ41">
            <v>9</v>
          </cell>
          <cell r="AK41">
            <v>1879.2</v>
          </cell>
          <cell r="AM41">
            <v>9</v>
          </cell>
          <cell r="AN41">
            <v>1789.2</v>
          </cell>
        </row>
        <row r="42">
          <cell r="AG42">
            <v>8</v>
          </cell>
          <cell r="AH42">
            <v>1790.4</v>
          </cell>
          <cell r="AJ42">
            <v>8</v>
          </cell>
          <cell r="AK42">
            <v>1670.4</v>
          </cell>
          <cell r="AM42">
            <v>8</v>
          </cell>
          <cell r="AN42">
            <v>1590.4</v>
          </cell>
        </row>
        <row r="43">
          <cell r="AG43">
            <v>9.5</v>
          </cell>
          <cell r="AH43">
            <v>2126.1</v>
          </cell>
          <cell r="AJ43">
            <v>9.5</v>
          </cell>
          <cell r="AK43">
            <v>1983.6000000000001</v>
          </cell>
          <cell r="AM43">
            <v>9.5</v>
          </cell>
          <cell r="AN43">
            <v>1888.6000000000001</v>
          </cell>
        </row>
        <row r="44">
          <cell r="AG44">
            <v>9.75</v>
          </cell>
          <cell r="AH44">
            <v>2182.0500000000002</v>
          </cell>
          <cell r="AJ44">
            <v>9.75</v>
          </cell>
          <cell r="AK44">
            <v>2035.8000000000002</v>
          </cell>
          <cell r="AM44">
            <v>9.75</v>
          </cell>
          <cell r="AN44">
            <v>1938.3000000000002</v>
          </cell>
        </row>
        <row r="45">
          <cell r="AG45">
            <v>10</v>
          </cell>
          <cell r="AH45">
            <v>2238</v>
          </cell>
          <cell r="AJ45">
            <v>10</v>
          </cell>
          <cell r="AK45">
            <v>2088</v>
          </cell>
          <cell r="AM45">
            <v>10</v>
          </cell>
          <cell r="AN45">
            <v>1988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AGUILAR"/>
      <sheetName val="AGUILAR JORGE"/>
      <sheetName val="ALDACO"/>
      <sheetName val="AZAR"/>
      <sheetName val="BALDERRAMA"/>
      <sheetName val="BALLEZA"/>
      <sheetName val="BURGOS"/>
      <sheetName val="COLLAZO"/>
      <sheetName val="CORDOVA"/>
      <sheetName val="MARIN JOSE"/>
      <sheetName val="GONZALEZ FLORES"/>
      <sheetName val="GONZALEZ MARTINEZ"/>
      <sheetName val="CHAPARRO GUZMAN"/>
      <sheetName val="GUZMAN"/>
      <sheetName val="HERNANDEZ"/>
      <sheetName val="HERNANDEZ ROBLEDO JOSE"/>
      <sheetName val="MAGALLANES"/>
      <sheetName val="MARTINEZ"/>
      <sheetName val="MONTERO"/>
      <sheetName val="MARIANO"/>
      <sheetName val="MURILLO ANDRE"/>
      <sheetName val="ONTIVEROS"/>
      <sheetName val="ORONA"/>
      <sheetName val="ORTIZ H."/>
      <sheetName val="ORTIZ"/>
      <sheetName val="RAMIREZ "/>
      <sheetName val="ROJO"/>
      <sheetName val="VALLES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GUILAR ESQUIVEL CARLOS"/>
      <sheetName val="AGUILAR RODRIGUEZ JORGE ALONSO"/>
      <sheetName val="AGUILERA CONTRERAS LUIS GERARDO"/>
      <sheetName val="BALDERRAMA ROBLES JORGE"/>
      <sheetName val="BALLEZA RAMIREZ JESUS JOSE"/>
      <sheetName val="BURGOS TORRES RIGOBERTO"/>
      <sheetName val="CARDENAS CARDENAS JAVIER "/>
      <sheetName val="CARRERA REYES MARTIN SEBASTIAN"/>
      <sheetName val="CORDOVA URIBE JOSE  ADRIAN"/>
      <sheetName val="GUZMAN CHAPARRO PEDRO"/>
      <sheetName val="HERNANDEZ FAVELA ROBERTO"/>
      <sheetName val="HERNANDEZ LICANO JOSE LUIS"/>
      <sheetName val="MARTINEZ RAMIREZ ROSALIO"/>
      <sheetName val="MELENDEZ SINALOA MANUEL ARAT"/>
      <sheetName val="MERCADO LOPEZ JESUS"/>
      <sheetName val="MONTERO BURROLA LUIS"/>
      <sheetName val="MORALES LOPEZ DE LARA MARIANO"/>
      <sheetName val="NUÑEZ RUIZ IRVING JAVIER."/>
      <sheetName val="ONTIVEROS LIRA JUAN"/>
      <sheetName val="ORONA BECERRA MAURO JOSE"/>
      <sheetName val="ORONA VILLARREAL JUAN PABLO"/>
      <sheetName val="ORTIZ RAMIREZ HECTOR MANUEL"/>
      <sheetName val="RAMIREZ BAUTISTA ADRIAN"/>
      <sheetName val="REYES LARA DANTE"/>
      <sheetName val="RODRIGUEZ FLORES BRYAN DARIO"/>
      <sheetName val="RUIZ SAUCEDO DANIEL ALEJANDRO"/>
      <sheetName val="RUEDA SALAZAR ISMAEL"/>
      <sheetName val="VALLES HERNANDEZ MANUEL MARCELI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>
        <row r="3">
          <cell r="B3" t="str">
            <v>F-002</v>
          </cell>
          <cell r="C3">
            <v>2.3734099999999998</v>
          </cell>
        </row>
        <row r="4">
          <cell r="B4" t="str">
            <v>F-003</v>
          </cell>
          <cell r="C4">
            <v>2.3734099999999998</v>
          </cell>
        </row>
        <row r="5">
          <cell r="B5" t="str">
            <v>F-004</v>
          </cell>
          <cell r="C5">
            <v>2.3734099999999998</v>
          </cell>
        </row>
        <row r="6">
          <cell r="B6" t="str">
            <v>F-005</v>
          </cell>
          <cell r="C6">
            <v>2.3734099999999998</v>
          </cell>
        </row>
        <row r="7">
          <cell r="B7" t="str">
            <v>F-006</v>
          </cell>
          <cell r="C7">
            <v>2.3734099999999998</v>
          </cell>
        </row>
        <row r="8">
          <cell r="B8" t="str">
            <v>F-007</v>
          </cell>
          <cell r="C8">
            <v>2.3734099999999998</v>
          </cell>
        </row>
        <row r="9">
          <cell r="B9" t="str">
            <v>F-008</v>
          </cell>
          <cell r="C9">
            <v>2.3734099999999998</v>
          </cell>
        </row>
        <row r="10">
          <cell r="B10" t="str">
            <v>F-009</v>
          </cell>
          <cell r="C10">
            <v>2.3734099999999998</v>
          </cell>
        </row>
        <row r="11">
          <cell r="B11" t="str">
            <v>F-010</v>
          </cell>
          <cell r="C11">
            <v>2.3734099999999998</v>
          </cell>
        </row>
        <row r="12">
          <cell r="B12" t="str">
            <v>F-011</v>
          </cell>
          <cell r="C12">
            <v>2.3734099999999998</v>
          </cell>
        </row>
        <row r="13">
          <cell r="B13" t="str">
            <v>F-012</v>
          </cell>
          <cell r="C13">
            <v>2.3734099999999998</v>
          </cell>
        </row>
        <row r="14">
          <cell r="B14" t="str">
            <v>F-013</v>
          </cell>
          <cell r="C14">
            <v>2.3734099999999998</v>
          </cell>
        </row>
        <row r="15">
          <cell r="B15" t="str">
            <v>F-014</v>
          </cell>
          <cell r="C15">
            <v>2.3734099999999998</v>
          </cell>
        </row>
        <row r="16">
          <cell r="B16" t="str">
            <v>F-015</v>
          </cell>
          <cell r="C16">
            <v>2.3734099999999998</v>
          </cell>
        </row>
        <row r="17">
          <cell r="B17" t="str">
            <v>F-016</v>
          </cell>
          <cell r="C17">
            <v>2.3734099999999998</v>
          </cell>
        </row>
        <row r="18">
          <cell r="B18" t="str">
            <v>F-017</v>
          </cell>
          <cell r="C18">
            <v>2.3734099999999998</v>
          </cell>
        </row>
        <row r="19">
          <cell r="B19" t="str">
            <v>F-019</v>
          </cell>
          <cell r="C19">
            <v>2.3734099999999998</v>
          </cell>
        </row>
        <row r="20">
          <cell r="B20" t="str">
            <v>F-021</v>
          </cell>
          <cell r="C20">
            <v>2.4509799999999999</v>
          </cell>
        </row>
        <row r="21">
          <cell r="B21" t="str">
            <v>F-022</v>
          </cell>
          <cell r="C21">
            <v>2.4509799999999999</v>
          </cell>
        </row>
        <row r="22">
          <cell r="B22" t="str">
            <v>F-023</v>
          </cell>
          <cell r="C22">
            <v>2.4509799999999999</v>
          </cell>
        </row>
        <row r="23">
          <cell r="B23" t="str">
            <v>F-024</v>
          </cell>
          <cell r="C23">
            <v>2.4509799999999999</v>
          </cell>
        </row>
        <row r="24">
          <cell r="B24" t="str">
            <v>F-025</v>
          </cell>
          <cell r="C24">
            <v>2.4509799999999999</v>
          </cell>
        </row>
        <row r="25">
          <cell r="B25" t="str">
            <v>F-026</v>
          </cell>
          <cell r="C25">
            <v>2.4509799999999999</v>
          </cell>
        </row>
        <row r="26">
          <cell r="B26" t="str">
            <v>F-027</v>
          </cell>
          <cell r="C26">
            <v>2.4509799999999999</v>
          </cell>
        </row>
        <row r="27">
          <cell r="B27" t="str">
            <v>F-028</v>
          </cell>
          <cell r="C27">
            <v>2.4509799999999999</v>
          </cell>
        </row>
        <row r="28">
          <cell r="B28" t="str">
            <v>F-029</v>
          </cell>
          <cell r="C28">
            <v>2.4509799999999999</v>
          </cell>
        </row>
        <row r="29">
          <cell r="B29" t="str">
            <v>F-030</v>
          </cell>
          <cell r="C29">
            <v>2.4509799999999999</v>
          </cell>
        </row>
        <row r="30">
          <cell r="B30" t="str">
            <v>F-031</v>
          </cell>
          <cell r="C30">
            <v>2.4509799999999999</v>
          </cell>
        </row>
        <row r="31">
          <cell r="B31" t="str">
            <v>F-040</v>
          </cell>
          <cell r="C31">
            <v>2.4509799999999999</v>
          </cell>
        </row>
        <row r="32">
          <cell r="B32" t="str">
            <v>F-033</v>
          </cell>
          <cell r="C32">
            <v>2.4509799999999999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F-045</v>
          </cell>
          <cell r="C36">
            <v>2.11267</v>
          </cell>
        </row>
        <row r="37">
          <cell r="B37" t="str">
            <v>F-042</v>
          </cell>
          <cell r="C37">
            <v>2.4509799999999999</v>
          </cell>
        </row>
        <row r="38">
          <cell r="B38" t="str">
            <v>F-050</v>
          </cell>
          <cell r="C38">
            <v>2.3734099999999998</v>
          </cell>
        </row>
        <row r="39">
          <cell r="B39" t="str">
            <v>F-051</v>
          </cell>
          <cell r="C39">
            <v>2.11267</v>
          </cell>
        </row>
        <row r="40">
          <cell r="B40" t="str">
            <v>F-059</v>
          </cell>
          <cell r="C40">
            <v>2.11267</v>
          </cell>
        </row>
        <row r="41">
          <cell r="B41" t="str">
            <v>F-060</v>
          </cell>
          <cell r="C41">
            <v>2.3734099999999998</v>
          </cell>
        </row>
        <row r="42">
          <cell r="B42" t="str">
            <v>F-061</v>
          </cell>
          <cell r="C42">
            <v>2.3734099999999998</v>
          </cell>
        </row>
        <row r="43">
          <cell r="B43" t="str">
            <v>F-069</v>
          </cell>
          <cell r="C43">
            <v>2.11267</v>
          </cell>
        </row>
        <row r="44">
          <cell r="B44" t="str">
            <v>F-074</v>
          </cell>
          <cell r="C44">
            <v>2.11267</v>
          </cell>
        </row>
        <row r="45">
          <cell r="B45" t="str">
            <v>F-082</v>
          </cell>
          <cell r="C45">
            <v>2.11267</v>
          </cell>
        </row>
        <row r="46">
          <cell r="B46" t="str">
            <v>F-086</v>
          </cell>
          <cell r="C46">
            <v>2.3734099999999998</v>
          </cell>
        </row>
        <row r="47">
          <cell r="B47" t="str">
            <v>F-087</v>
          </cell>
          <cell r="C47">
            <v>2.3734099999999998</v>
          </cell>
        </row>
        <row r="48">
          <cell r="B48" t="str">
            <v>F-088</v>
          </cell>
          <cell r="C48">
            <v>2.3734099999999998</v>
          </cell>
        </row>
        <row r="49">
          <cell r="B49" t="str">
            <v>F-089</v>
          </cell>
          <cell r="C49">
            <v>2.3734099999999998</v>
          </cell>
        </row>
        <row r="50">
          <cell r="B50" t="str">
            <v>F-090</v>
          </cell>
          <cell r="C50">
            <v>2.3734099999999998</v>
          </cell>
        </row>
        <row r="51">
          <cell r="B51" t="str">
            <v>F-091</v>
          </cell>
          <cell r="C51">
            <v>2.3734099999999998</v>
          </cell>
        </row>
        <row r="52">
          <cell r="B52" t="str">
            <v>F-092</v>
          </cell>
          <cell r="C52">
            <v>2.3734099999999998</v>
          </cell>
        </row>
        <row r="53">
          <cell r="B53" t="str">
            <v>F-097</v>
          </cell>
          <cell r="C53">
            <v>2.3734099999999998</v>
          </cell>
        </row>
        <row r="54">
          <cell r="B54" t="str">
            <v>F-098</v>
          </cell>
          <cell r="C54">
            <v>2.3734099999999998</v>
          </cell>
        </row>
        <row r="55">
          <cell r="B55" t="str">
            <v>F-099</v>
          </cell>
          <cell r="C55">
            <v>2.3734099999999998</v>
          </cell>
        </row>
        <row r="56">
          <cell r="B56" t="str">
            <v>F-100</v>
          </cell>
          <cell r="C56">
            <v>2.11267</v>
          </cell>
        </row>
        <row r="57">
          <cell r="B57" t="str">
            <v>F-107</v>
          </cell>
          <cell r="C57">
            <v>2.3734099999999998</v>
          </cell>
        </row>
        <row r="58">
          <cell r="B58" t="str">
            <v>F-108</v>
          </cell>
          <cell r="C58">
            <v>2.3734099999999998</v>
          </cell>
        </row>
        <row r="59">
          <cell r="B59" t="str">
            <v>F-110</v>
          </cell>
          <cell r="C59">
            <v>2.3734099999999998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39"/>
  <sheetViews>
    <sheetView zoomScaleNormal="100" workbookViewId="0">
      <selection activeCell="C32" sqref="A1:S39"/>
    </sheetView>
  </sheetViews>
  <sheetFormatPr baseColWidth="10" defaultRowHeight="12.75" x14ac:dyDescent="0.2"/>
  <cols>
    <col min="2" max="2" width="6.42578125" bestFit="1" customWidth="1"/>
    <col min="3" max="3" width="51.42578125" customWidth="1"/>
    <col min="4" max="4" width="21.5703125" customWidth="1"/>
    <col min="5" max="11" width="10.85546875" customWidth="1"/>
    <col min="13" max="13" width="12.5703125" bestFit="1" customWidth="1"/>
  </cols>
  <sheetData>
    <row r="1" spans="2:19" ht="20.25" x14ac:dyDescent="0.2">
      <c r="B1" s="558" t="s">
        <v>83</v>
      </c>
      <c r="C1" s="558"/>
      <c r="D1" s="558"/>
      <c r="E1" s="558"/>
      <c r="F1" s="558"/>
      <c r="G1" s="558"/>
      <c r="H1" s="558"/>
      <c r="I1" s="558"/>
      <c r="J1" s="558"/>
      <c r="K1" s="558"/>
    </row>
    <row r="2" spans="2:19" ht="18" x14ac:dyDescent="0.2">
      <c r="B2" s="559" t="s">
        <v>84</v>
      </c>
      <c r="C2" s="559"/>
      <c r="D2" s="559"/>
      <c r="E2" s="559"/>
      <c r="F2" s="559"/>
      <c r="G2" s="559"/>
      <c r="H2" s="559"/>
      <c r="I2" s="559"/>
      <c r="J2" s="559"/>
      <c r="K2" s="559"/>
    </row>
    <row r="3" spans="2:19" ht="18.75" thickBot="1" x14ac:dyDescent="0.25">
      <c r="B3" s="559" t="s">
        <v>371</v>
      </c>
      <c r="C3" s="559"/>
      <c r="D3" s="559"/>
      <c r="E3" s="559"/>
      <c r="F3" s="559"/>
      <c r="G3" s="559"/>
      <c r="H3" s="559"/>
      <c r="I3" s="559"/>
      <c r="J3" s="559"/>
      <c r="K3" s="559"/>
    </row>
    <row r="4" spans="2:19" ht="32.25" thickBot="1" x14ac:dyDescent="0.25">
      <c r="B4" s="395"/>
      <c r="C4" s="396" t="s">
        <v>86</v>
      </c>
      <c r="D4" s="397" t="s">
        <v>87</v>
      </c>
      <c r="E4" s="560" t="s">
        <v>88</v>
      </c>
      <c r="F4" s="561"/>
      <c r="G4" s="561"/>
      <c r="H4" s="561"/>
      <c r="I4" s="561"/>
      <c r="J4" s="561"/>
      <c r="K4" s="562"/>
      <c r="L4" s="563" t="s">
        <v>315</v>
      </c>
      <c r="M4" s="564"/>
      <c r="N4" s="564"/>
      <c r="O4" s="564"/>
      <c r="P4" s="564"/>
      <c r="Q4" s="564"/>
      <c r="R4" s="565"/>
    </row>
    <row r="5" spans="2:19" ht="15.75" x14ac:dyDescent="0.25">
      <c r="B5" s="504" t="s">
        <v>89</v>
      </c>
      <c r="C5" s="545" t="s">
        <v>50</v>
      </c>
      <c r="D5" s="543">
        <f>+'AGUILAR ESQUIVEL CARLOS'!Q37</f>
        <v>9671.029058224467</v>
      </c>
      <c r="E5" s="544">
        <f>+'AGUILAR ESQUIVEL CARLOS'!O40</f>
        <v>45901</v>
      </c>
      <c r="F5" s="544">
        <f>+'AGUILAR ESQUIVEL CARLOS'!O41</f>
        <v>45913</v>
      </c>
      <c r="G5" s="544">
        <f>+'AGUILAR ESQUIVEL CARLOS'!O42</f>
        <v>45944</v>
      </c>
      <c r="H5" s="544">
        <f>+'AGUILAR ESQUIVEL CARLOS'!O43</f>
        <v>45980</v>
      </c>
      <c r="I5" s="505">
        <f>+'AGUILAR ESQUIVEL CARLOS'!O44</f>
        <v>0</v>
      </c>
      <c r="J5" s="505">
        <f>+'AGUILAR ESQUIVEL CARLOS'!O45</f>
        <v>0</v>
      </c>
      <c r="K5" s="506">
        <v>0</v>
      </c>
      <c r="L5" s="423"/>
      <c r="M5" s="424"/>
      <c r="N5" s="424"/>
      <c r="O5" s="424"/>
      <c r="P5" s="424"/>
      <c r="Q5" s="424"/>
      <c r="R5" s="405"/>
      <c r="S5" s="394"/>
    </row>
    <row r="6" spans="2:19" ht="15.75" x14ac:dyDescent="0.25">
      <c r="B6" s="507" t="s">
        <v>90</v>
      </c>
      <c r="C6" s="529" t="s">
        <v>53</v>
      </c>
      <c r="D6" s="530">
        <f>+'AGUILAR RODRIGUEZ JORGE ALONSO'!Q37</f>
        <v>8324.5218358659768</v>
      </c>
      <c r="E6" s="531">
        <f>+'AGUILAR RODRIGUEZ JORGE ALONSO'!O40</f>
        <v>45859</v>
      </c>
      <c r="F6" s="531">
        <f>+'AGUILAR RODRIGUEZ JORGE ALONSO'!O41</f>
        <v>45885</v>
      </c>
      <c r="G6" s="531">
        <f>+'AGUILAR RODRIGUEZ JORGE ALONSO'!O42</f>
        <v>46315</v>
      </c>
      <c r="H6" s="531">
        <f>+'AGUILAR RODRIGUEZ JORGE ALONSO'!O43</f>
        <v>46333</v>
      </c>
      <c r="I6" s="508">
        <f>+'AGUILAR RODRIGUEZ JORGE ALONSO'!O44</f>
        <v>0</v>
      </c>
      <c r="J6" s="508">
        <f>+'AGUILAR RODRIGUEZ JORGE ALONSO'!O45</f>
        <v>0</v>
      </c>
      <c r="K6" s="509">
        <v>0</v>
      </c>
      <c r="L6" s="422"/>
      <c r="M6" s="401"/>
      <c r="N6" s="401"/>
      <c r="O6" s="401"/>
      <c r="P6" s="401"/>
      <c r="Q6" s="401"/>
      <c r="R6" s="402"/>
      <c r="S6" s="394"/>
    </row>
    <row r="7" spans="2:19" ht="15.75" x14ac:dyDescent="0.25">
      <c r="B7" s="507" t="s">
        <v>250</v>
      </c>
      <c r="C7" s="529" t="str">
        <f>+'AGUILERA CONTRERAS LUIS GERARDO'!E11</f>
        <v>AGUILERA CONTRERAS LUIS GERARDO</v>
      </c>
      <c r="D7" s="530">
        <f>+'AGUILERA CONTRERAS LUIS GERARDO'!Q38</f>
        <v>6532.4526343427824</v>
      </c>
      <c r="E7" s="531">
        <f>+'AGUILERA CONTRERAS LUIS GERARDO'!O41</f>
        <v>46386</v>
      </c>
      <c r="F7" s="531">
        <f>+'AGUILERA CONTRERAS LUIS GERARDO'!O42</f>
        <v>45920</v>
      </c>
      <c r="G7" s="531">
        <f>+'AGUILERA CONTRERAS LUIS GERARDO'!O43</f>
        <v>45931</v>
      </c>
      <c r="H7" s="531">
        <f>+'AGUILERA CONTRERAS LUIS GERARDO'!O44</f>
        <v>45964</v>
      </c>
      <c r="I7" s="508">
        <f>+'AGUILERA CONTRERAS LUIS GERARDO'!O45</f>
        <v>0</v>
      </c>
      <c r="J7" s="508">
        <f>+'AGUILERA CONTRERAS LUIS GERARDO'!O46</f>
        <v>0</v>
      </c>
      <c r="K7" s="509"/>
      <c r="L7" s="422"/>
      <c r="M7" s="401"/>
      <c r="N7" s="401"/>
      <c r="O7" s="401"/>
      <c r="P7" s="401"/>
      <c r="Q7" s="401"/>
      <c r="R7" s="402"/>
      <c r="S7" s="394"/>
    </row>
    <row r="8" spans="2:19" ht="18.75" customHeight="1" x14ac:dyDescent="0.25">
      <c r="B8" s="507" t="s">
        <v>278</v>
      </c>
      <c r="C8" s="529" t="s">
        <v>535</v>
      </c>
      <c r="D8" s="530">
        <f>+'ANCHONDO ROMERO CESAR ALEJANDRO'!Q37</f>
        <v>2113.3390041122329</v>
      </c>
      <c r="E8" s="531">
        <f>+'ANCHONDO ROMERO CESAR ALEJANDRO'!O40</f>
        <v>45949</v>
      </c>
      <c r="F8" s="531">
        <f>+'ANCHONDO ROMERO CESAR ALEJANDRO'!O41</f>
        <v>45967</v>
      </c>
      <c r="G8" s="531">
        <f>+'ANCHONDO ROMERO CESAR ALEJANDRO'!O42</f>
        <v>0</v>
      </c>
      <c r="H8" s="531">
        <f>+'ANCHONDO ROMERO CESAR ALEJANDRO'!O43</f>
        <v>0</v>
      </c>
      <c r="I8" s="508">
        <f>+'ANCHONDO ROMERO CESAR ALEJANDRO'!O44</f>
        <v>0</v>
      </c>
      <c r="J8" s="508">
        <f>+'ANCHONDO ROMERO CESAR ALEJANDRO'!O45</f>
        <v>0</v>
      </c>
      <c r="K8" s="509"/>
      <c r="L8" s="422"/>
      <c r="M8" s="401"/>
      <c r="N8" s="401"/>
      <c r="O8" s="401"/>
      <c r="P8" s="401"/>
      <c r="Q8" s="401"/>
      <c r="R8" s="402"/>
      <c r="S8" s="394"/>
    </row>
    <row r="9" spans="2:19" ht="15.75" x14ac:dyDescent="0.25">
      <c r="B9" s="507" t="s">
        <v>245</v>
      </c>
      <c r="C9" s="542" t="s">
        <v>76</v>
      </c>
      <c r="D9" s="536" t="e">
        <f>+'BALDERRAMA ROBLES JORGE'!Q37</f>
        <v>#N/A</v>
      </c>
      <c r="E9" s="537">
        <f>+'BALDERRAMA ROBLES JORGE'!O40</f>
        <v>0</v>
      </c>
      <c r="F9" s="537">
        <f>+'BALDERRAMA ROBLES JORGE'!O41</f>
        <v>0</v>
      </c>
      <c r="G9" s="537">
        <f>+'BALDERRAMA ROBLES JORGE'!O42</f>
        <v>0</v>
      </c>
      <c r="H9" s="537">
        <f>+'BALDERRAMA ROBLES JORGE'!O43</f>
        <v>0</v>
      </c>
      <c r="I9" s="508">
        <f>+'BALDERRAMA ROBLES JORGE'!O44</f>
        <v>0</v>
      </c>
      <c r="J9" s="508">
        <f>+'BALDERRAMA ROBLES JORGE'!O45</f>
        <v>0</v>
      </c>
      <c r="K9" s="509"/>
      <c r="L9" s="422"/>
      <c r="M9" s="401"/>
      <c r="N9" s="401"/>
      <c r="O9" s="401"/>
      <c r="P9" s="401"/>
      <c r="Q9" s="401"/>
      <c r="R9" s="402"/>
      <c r="S9" s="394"/>
    </row>
    <row r="10" spans="2:19" ht="15.75" x14ac:dyDescent="0.25">
      <c r="B10" s="507" t="s">
        <v>91</v>
      </c>
      <c r="C10" s="529" t="s">
        <v>233</v>
      </c>
      <c r="D10" s="530">
        <f>+'BALLEZA RAMIREZ JESUS JOSE'!Q37</f>
        <v>14125.009385280584</v>
      </c>
      <c r="E10" s="531">
        <f>+'BALLEZA RAMIREZ JESUS JOSE'!O40</f>
        <v>46394</v>
      </c>
      <c r="F10" s="531">
        <f>+'BALLEZA RAMIREZ JESUS JOSE'!O41</f>
        <v>45912</v>
      </c>
      <c r="G10" s="531">
        <f>+'BALLEZA RAMIREZ JESUS JOSE'!O42</f>
        <v>45955</v>
      </c>
      <c r="H10" s="531">
        <f>+'BALLEZA RAMIREZ JESUS JOSE'!O43</f>
        <v>45946</v>
      </c>
      <c r="I10" s="531">
        <f>+'BALLEZA RAMIREZ JESUS JOSE'!O44</f>
        <v>45983</v>
      </c>
      <c r="J10" s="508">
        <f>+'BALLEZA RAMIREZ JESUS JOSE'!O45</f>
        <v>0</v>
      </c>
      <c r="K10" s="509"/>
      <c r="L10" s="422"/>
      <c r="M10" s="401"/>
      <c r="N10" s="401"/>
      <c r="O10" s="401"/>
      <c r="P10" s="401"/>
      <c r="Q10" s="401"/>
      <c r="R10" s="402"/>
      <c r="S10" s="394"/>
    </row>
    <row r="11" spans="2:19" ht="15.75" x14ac:dyDescent="0.25">
      <c r="B11" s="507" t="s">
        <v>234</v>
      </c>
      <c r="C11" s="529" t="s">
        <v>93</v>
      </c>
      <c r="D11" s="530">
        <f>+'BURGOS TORRES RIGOBERTO'!Q36</f>
        <v>8962.2219311683493</v>
      </c>
      <c r="E11" s="531">
        <f>+'BURGOS TORRES RIGOBERTO'!O39</f>
        <v>46392</v>
      </c>
      <c r="F11" s="531">
        <f>+'BURGOS TORRES RIGOBERTO'!O40</f>
        <v>45916</v>
      </c>
      <c r="G11" s="531">
        <f>+'BURGOS TORRES RIGOBERTO'!O41</f>
        <v>45952</v>
      </c>
      <c r="H11" s="531">
        <f>+'BURGOS TORRES RIGOBERTO'!O42</f>
        <v>0</v>
      </c>
      <c r="I11" s="531">
        <f>+'BURGOS TORRES RIGOBERTO'!O43</f>
        <v>0</v>
      </c>
      <c r="J11" s="508">
        <f>+'BURGOS TORRES RIGOBERTO'!O44</f>
        <v>0</v>
      </c>
      <c r="K11" s="509">
        <f>+'BURGOS TORRES RIGOBERTO'!O45</f>
        <v>0</v>
      </c>
      <c r="L11" s="422"/>
      <c r="M11" s="401"/>
      <c r="N11" s="401"/>
      <c r="O11" s="401"/>
      <c r="P11" s="401"/>
      <c r="Q11" s="401"/>
      <c r="R11" s="402"/>
      <c r="S11" s="394"/>
    </row>
    <row r="12" spans="2:19" ht="15.75" x14ac:dyDescent="0.25">
      <c r="B12" s="507" t="s">
        <v>300</v>
      </c>
      <c r="C12" s="535" t="s">
        <v>355</v>
      </c>
      <c r="D12" s="536" t="e">
        <f>+'CARDENAS CARDENAS JAVIER '!Q37</f>
        <v>#N/A</v>
      </c>
      <c r="E12" s="537">
        <f>+'CARDENAS CARDENAS JAVIER '!O40</f>
        <v>0</v>
      </c>
      <c r="F12" s="537">
        <f>+'CARDENAS CARDENAS JAVIER '!O41</f>
        <v>0</v>
      </c>
      <c r="G12" s="537">
        <f>+'CARDENAS CARDENAS JAVIER '!O42</f>
        <v>0</v>
      </c>
      <c r="H12" s="537">
        <f>+'CARDENAS CARDENAS JAVIER '!O43</f>
        <v>0</v>
      </c>
      <c r="I12" s="508">
        <f>+'CARDENAS CARDENAS JAVIER '!O44</f>
        <v>0</v>
      </c>
      <c r="J12" s="508">
        <f>+'CARDENAS CARDENAS JAVIER '!O45</f>
        <v>0</v>
      </c>
      <c r="K12" s="509">
        <f>+'CARDENAS CARDENAS JAVIER '!O46</f>
        <v>0</v>
      </c>
      <c r="L12" s="422"/>
      <c r="M12" s="425"/>
      <c r="N12" s="401"/>
      <c r="O12" s="401"/>
      <c r="P12" s="401"/>
      <c r="Q12" s="401"/>
      <c r="R12" s="402"/>
      <c r="S12" s="394"/>
    </row>
    <row r="13" spans="2:19" ht="15.75" x14ac:dyDescent="0.25">
      <c r="B13" s="507" t="s">
        <v>92</v>
      </c>
      <c r="C13" s="529" t="s">
        <v>297</v>
      </c>
      <c r="D13" s="530">
        <f>+'CARRERA REYES MARTIN SEBASTIAN'!Q38</f>
        <v>7511.5417165666713</v>
      </c>
      <c r="E13" s="531">
        <f>+'CARRERA REYES MARTIN SEBASTIAN'!O41</f>
        <v>46381</v>
      </c>
      <c r="F13" s="531">
        <f>+'CARRERA REYES MARTIN SEBASTIAN'!O42</f>
        <v>45917</v>
      </c>
      <c r="G13" s="531">
        <f>+'CARRERA REYES MARTIN SEBASTIAN'!O43</f>
        <v>45932</v>
      </c>
      <c r="H13" s="531">
        <f>+'CARRERA REYES MARTIN SEBASTIAN'!O44</f>
        <v>45962</v>
      </c>
      <c r="I13" s="508">
        <f>+'CARRERA REYES MARTIN SEBASTIAN'!O45</f>
        <v>0</v>
      </c>
      <c r="J13" s="508">
        <f>+'CARRERA REYES MARTIN SEBASTIAN'!O46</f>
        <v>0</v>
      </c>
      <c r="K13" s="509"/>
      <c r="L13" s="422"/>
      <c r="M13" s="401"/>
      <c r="N13" s="401"/>
      <c r="O13" s="401"/>
      <c r="P13" s="401"/>
      <c r="Q13" s="401"/>
      <c r="R13" s="402"/>
      <c r="S13" s="394"/>
    </row>
    <row r="14" spans="2:19" ht="15.75" x14ac:dyDescent="0.25">
      <c r="B14" s="507" t="s">
        <v>298</v>
      </c>
      <c r="C14" s="539" t="s">
        <v>94</v>
      </c>
      <c r="D14" s="540" t="e">
        <f>+'CORDOVA URIBE JOSE  ADRIAN'!Q37</f>
        <v>#N/A</v>
      </c>
      <c r="E14" s="541">
        <f>+'CORDOVA URIBE JOSE  ADRIAN'!O40</f>
        <v>0</v>
      </c>
      <c r="F14" s="541">
        <f>+'CORDOVA URIBE JOSE  ADRIAN'!O41</f>
        <v>0</v>
      </c>
      <c r="G14" s="541">
        <f>+'CORDOVA URIBE JOSE  ADRIAN'!O42</f>
        <v>0</v>
      </c>
      <c r="H14" s="541">
        <f>+'CORDOVA URIBE JOSE  ADRIAN'!O43</f>
        <v>0</v>
      </c>
      <c r="I14" s="510">
        <f>+'CORDOVA URIBE JOSE  ADRIAN'!O44</f>
        <v>0</v>
      </c>
      <c r="J14" s="510">
        <f>+'CORDOVA URIBE JOSE  ADRIAN'!O45</f>
        <v>0</v>
      </c>
      <c r="K14" s="509">
        <f>+'CORDOVA URIBE JOSE  ADRIAN'!O46</f>
        <v>0</v>
      </c>
      <c r="L14" s="422"/>
      <c r="M14" s="401"/>
      <c r="N14" s="401"/>
      <c r="O14" s="401"/>
      <c r="P14" s="401"/>
      <c r="Q14" s="401"/>
      <c r="R14" s="402"/>
      <c r="S14" s="394"/>
    </row>
    <row r="15" spans="2:19" ht="15.75" x14ac:dyDescent="0.25">
      <c r="B15" s="507" t="s">
        <v>281</v>
      </c>
      <c r="C15" s="529" t="s">
        <v>236</v>
      </c>
      <c r="D15" s="530">
        <f>+'GUZMAN CHAPARRO PEDRO'!Q37</f>
        <v>5842.5320207539007</v>
      </c>
      <c r="E15" s="531">
        <f>+'GUZMAN CHAPARRO PEDRO'!O40</f>
        <v>45902</v>
      </c>
      <c r="F15" s="531">
        <f>+'GUZMAN CHAPARRO PEDRO'!O41</f>
        <v>45927</v>
      </c>
      <c r="G15" s="531">
        <f>+'GUZMAN CHAPARRO PEDRO'!O42</f>
        <v>45971</v>
      </c>
      <c r="H15" s="531">
        <f>+'GUZMAN CHAPARRO PEDRO'!O43</f>
        <v>0</v>
      </c>
      <c r="I15" s="508">
        <f>+'GUZMAN CHAPARRO PEDRO'!O44</f>
        <v>0</v>
      </c>
      <c r="J15" s="508">
        <f>+'GUZMAN CHAPARRO PEDRO'!O45</f>
        <v>0</v>
      </c>
      <c r="K15" s="509"/>
      <c r="L15" s="422"/>
      <c r="M15" s="401"/>
      <c r="N15" s="401"/>
      <c r="O15" s="401"/>
      <c r="P15" s="401"/>
      <c r="Q15" s="401"/>
      <c r="R15" s="402"/>
      <c r="S15" s="394"/>
    </row>
    <row r="16" spans="2:19" ht="15.75" x14ac:dyDescent="0.25">
      <c r="B16" s="507"/>
      <c r="C16" s="529" t="s">
        <v>96</v>
      </c>
      <c r="D16" s="530">
        <f>+'HERNANDEZ LICANO JOSE LUIS'!Q37</f>
        <v>6324.7247499250034</v>
      </c>
      <c r="E16" s="531">
        <f>+'HERNANDEZ LICANO JOSE LUIS'!O40</f>
        <v>45907</v>
      </c>
      <c r="F16" s="531">
        <f>+'HERNANDEZ LICANO JOSE LUIS'!O41</f>
        <v>45926</v>
      </c>
      <c r="G16" s="531">
        <f>+'HERNANDEZ LICANO JOSE LUIS'!O42</f>
        <v>45951</v>
      </c>
      <c r="H16" s="531">
        <f>+'HERNANDEZ LICANO JOSE LUIS'!O43</f>
        <v>0</v>
      </c>
      <c r="I16" s="508">
        <f>+'HERNANDEZ LICANO JOSE LUIS'!O44</f>
        <v>0</v>
      </c>
      <c r="J16" s="508">
        <f>+'HERNANDEZ LICANO JOSE LUIS'!O45</f>
        <v>0</v>
      </c>
      <c r="K16" s="509">
        <f>+'HERNANDEZ LICANO JOSE LUIS'!O46</f>
        <v>0</v>
      </c>
      <c r="L16" s="422"/>
      <c r="M16" s="401"/>
      <c r="N16" s="401"/>
      <c r="O16" s="401"/>
      <c r="P16" s="401"/>
      <c r="Q16" s="401"/>
      <c r="R16" s="402"/>
      <c r="S16" s="394"/>
    </row>
    <row r="17" spans="1:19" ht="15.75" x14ac:dyDescent="0.25">
      <c r="A17" t="s">
        <v>182</v>
      </c>
      <c r="B17" s="507" t="s">
        <v>280</v>
      </c>
      <c r="C17" s="529" t="s">
        <v>363</v>
      </c>
      <c r="D17" s="530">
        <f>+'LIRA ARCEO JOEL EDUARDO'!Q37</f>
        <v>689.70190109694511</v>
      </c>
      <c r="E17" s="531">
        <f>+'LIRA ARCEO JOEL EDUARDO'!O40</f>
        <v>46358</v>
      </c>
      <c r="F17" s="531">
        <f>+'LIRA ARCEO JOEL EDUARDO'!O41</f>
        <v>0</v>
      </c>
      <c r="G17" s="531">
        <f>+'LIRA ARCEO JOEL EDUARDO'!O42</f>
        <v>0</v>
      </c>
      <c r="H17" s="531">
        <f>+'LIRA ARCEO JOEL EDUARDO'!O43</f>
        <v>0</v>
      </c>
      <c r="I17" s="508">
        <f>+'LIRA ARCEO JOEL EDUARDO'!O44</f>
        <v>0</v>
      </c>
      <c r="J17" s="508">
        <f>+'LIRA ARCEO JOEL EDUARDO'!O45</f>
        <v>0</v>
      </c>
      <c r="K17" s="509">
        <f>+'LIRA ARCEO JOEL EDUARDO'!O46</f>
        <v>0</v>
      </c>
      <c r="L17" s="422"/>
      <c r="M17" s="401"/>
      <c r="N17" s="401"/>
      <c r="O17" s="401"/>
      <c r="P17" s="401"/>
      <c r="Q17" s="401"/>
      <c r="R17" s="402"/>
      <c r="S17" s="394"/>
    </row>
    <row r="18" spans="1:19" ht="15.75" x14ac:dyDescent="0.25">
      <c r="B18" s="507" t="s">
        <v>103</v>
      </c>
      <c r="C18" s="529" t="s">
        <v>360</v>
      </c>
      <c r="D18" s="530">
        <f>+'MACHADO MAZUCA ADOLFO'!Q37</f>
        <v>4905.4380999250034</v>
      </c>
      <c r="E18" s="531">
        <f>+'MACHADO MAZUCA ADOLFO'!O40</f>
        <v>45905</v>
      </c>
      <c r="F18" s="531">
        <f>+'MACHADO MAZUCA ADOLFO'!O41</f>
        <v>45924</v>
      </c>
      <c r="G18" s="531">
        <f>+'MACHADO MAZUCA ADOLFO'!O42</f>
        <v>45950</v>
      </c>
      <c r="H18" s="531">
        <f>+'MACHADO MAZUCA ADOLFO'!O43</f>
        <v>0</v>
      </c>
      <c r="I18" s="508">
        <f>+'MACHADO MAZUCA ADOLFO'!O44</f>
        <v>0</v>
      </c>
      <c r="J18" s="508">
        <f>+'MACHADO MAZUCA ADOLFO'!O45</f>
        <v>0</v>
      </c>
      <c r="K18" s="509">
        <f>+'MACHADO MAZUCA ADOLFO'!O46</f>
        <v>0</v>
      </c>
      <c r="L18" s="422"/>
      <c r="M18" s="401"/>
      <c r="N18" s="401"/>
      <c r="O18" s="401"/>
      <c r="P18" s="401"/>
      <c r="Q18" s="401"/>
      <c r="R18" s="402"/>
      <c r="S18" s="394"/>
    </row>
    <row r="19" spans="1:19" ht="15.75" x14ac:dyDescent="0.25">
      <c r="B19" s="507" t="s">
        <v>237</v>
      </c>
      <c r="C19" s="529" t="s">
        <v>98</v>
      </c>
      <c r="D19" s="530">
        <f>+'MARTINEZ RAMIREZ ROSALIO'!Q37</f>
        <v>4966.2125311683503</v>
      </c>
      <c r="E19" s="531">
        <f>+'MARTINEZ RAMIREZ ROSALIO'!O40</f>
        <v>45908</v>
      </c>
      <c r="F19" s="531">
        <f>+'MARTINEZ RAMIREZ ROSALIO'!O41</f>
        <v>45948</v>
      </c>
      <c r="G19" s="531">
        <f>+'MARTINEZ RAMIREZ ROSALIO'!O42</f>
        <v>45960</v>
      </c>
      <c r="H19" s="531">
        <f>+'MARTINEZ RAMIREZ ROSALIO'!O43</f>
        <v>0</v>
      </c>
      <c r="I19" s="508">
        <f>+'MARTINEZ RAMIREZ ROSALIO'!O44</f>
        <v>0</v>
      </c>
      <c r="J19" s="508">
        <f>+'MARTINEZ RAMIREZ ROSALIO'!O45</f>
        <v>0</v>
      </c>
      <c r="K19" s="509">
        <f>+'MARTINEZ RAMIREZ ROSALIO'!O46</f>
        <v>0</v>
      </c>
      <c r="L19" s="422"/>
      <c r="M19" s="401"/>
      <c r="N19" s="401"/>
      <c r="O19" s="401"/>
      <c r="P19" s="401"/>
      <c r="Q19" s="401"/>
      <c r="R19" s="402"/>
      <c r="S19" s="394"/>
    </row>
    <row r="20" spans="1:19" ht="15.75" x14ac:dyDescent="0.25">
      <c r="B20" s="507" t="s">
        <v>299</v>
      </c>
      <c r="C20" s="529" t="s">
        <v>334</v>
      </c>
      <c r="D20" s="530">
        <f>+'MELENDEZ SINALOA MANUEL ARAT'!Q37</f>
        <v>6162.6722873955687</v>
      </c>
      <c r="E20" s="531">
        <f>+'MELENDEZ SINALOA MANUEL ARAT'!O40</f>
        <v>46384</v>
      </c>
      <c r="F20" s="531">
        <f>+'MELENDEZ SINALOA MANUEL ARAT'!O41</f>
        <v>45918</v>
      </c>
      <c r="G20" s="531">
        <f>+'MELENDEZ SINALOA MANUEL ARAT'!O42</f>
        <v>45930</v>
      </c>
      <c r="H20" s="531">
        <f>+'MELENDEZ SINALOA MANUEL ARAT'!O43</f>
        <v>45961</v>
      </c>
      <c r="I20" s="508">
        <f>+'MELENDEZ SINALOA MANUEL ARAT'!O44</f>
        <v>0</v>
      </c>
      <c r="J20" s="508">
        <f>+'MELENDEZ SINALOA MANUEL ARAT'!O45</f>
        <v>0</v>
      </c>
      <c r="K20" s="509">
        <f>+'MELENDEZ SINALOA MANUEL ARAT'!O46</f>
        <v>0</v>
      </c>
      <c r="L20" s="422"/>
      <c r="M20" s="401"/>
      <c r="N20" s="401"/>
      <c r="O20" s="401"/>
      <c r="P20" s="401"/>
      <c r="Q20" s="401"/>
      <c r="R20" s="402"/>
      <c r="S20" s="394"/>
    </row>
    <row r="21" spans="1:19" ht="15.75" x14ac:dyDescent="0.25">
      <c r="A21" t="s">
        <v>182</v>
      </c>
      <c r="B21" s="507" t="s">
        <v>95</v>
      </c>
      <c r="C21" s="535" t="s">
        <v>336</v>
      </c>
      <c r="D21" s="536" t="e">
        <f>+'MERCADO LOPEZ JESUS'!Q37</f>
        <v>#N/A</v>
      </c>
      <c r="E21" s="537">
        <f>+'MERCADO LOPEZ JESUS'!O40</f>
        <v>0</v>
      </c>
      <c r="F21" s="537">
        <f>+'MERCADO LOPEZ JESUS'!O41</f>
        <v>0</v>
      </c>
      <c r="G21" s="537">
        <f>+'MERCADO LOPEZ JESUS'!O42</f>
        <v>0</v>
      </c>
      <c r="H21" s="537">
        <f>+'MERCADO LOPEZ JESUS'!O43</f>
        <v>0</v>
      </c>
      <c r="I21" s="537">
        <f>+'MERCADO LOPEZ JESUS'!O44</f>
        <v>0</v>
      </c>
      <c r="J21" s="537">
        <f>+'MERCADO LOPEZ JESUS'!O45</f>
        <v>0</v>
      </c>
      <c r="K21" s="538"/>
      <c r="L21" s="422"/>
      <c r="M21" s="401"/>
      <c r="N21" s="401"/>
      <c r="O21" s="401"/>
      <c r="P21" s="401"/>
      <c r="Q21" s="401"/>
      <c r="R21" s="402"/>
      <c r="S21" s="394"/>
    </row>
    <row r="22" spans="1:19" ht="15.75" x14ac:dyDescent="0.25">
      <c r="B22" s="507" t="s">
        <v>97</v>
      </c>
      <c r="C22" s="529" t="s">
        <v>100</v>
      </c>
      <c r="D22" s="530">
        <f>+'MONTERO BURROLA LUIS'!Q35</f>
        <v>16970.180235280583</v>
      </c>
      <c r="E22" s="531">
        <f>+'MONTERO BURROLA LUIS'!O38</f>
        <v>46393</v>
      </c>
      <c r="F22" s="531">
        <f>+'MONTERO BURROLA LUIS'!O39</f>
        <v>45911</v>
      </c>
      <c r="G22" s="531">
        <f>+'MONTERO BURROLA LUIS'!O40</f>
        <v>45945</v>
      </c>
      <c r="H22" s="531">
        <f>+'MONTERO BURROLA LUIS'!O41</f>
        <v>45953</v>
      </c>
      <c r="I22" s="531">
        <f>+'MONTERO BURROLA LUIS'!O42</f>
        <v>45982</v>
      </c>
      <c r="J22" s="508">
        <f>+'MONTERO BURROLA LUIS'!O43</f>
        <v>0</v>
      </c>
      <c r="K22" s="509">
        <f>+'MONTERO BURROLA LUIS'!O44</f>
        <v>0</v>
      </c>
      <c r="L22" s="422"/>
      <c r="M22" s="401"/>
      <c r="N22" s="401"/>
      <c r="O22" s="401"/>
      <c r="P22" s="401"/>
      <c r="Q22" s="401"/>
      <c r="R22" s="402"/>
      <c r="S22" s="394"/>
    </row>
    <row r="23" spans="1:19" ht="15.75" x14ac:dyDescent="0.25">
      <c r="B23" s="507" t="s">
        <v>99</v>
      </c>
      <c r="C23" s="535" t="s">
        <v>102</v>
      </c>
      <c r="D23" s="536" t="e">
        <f>+'MORALES LOPEZ DE LARA MARIANO'!Q37</f>
        <v>#N/A</v>
      </c>
      <c r="E23" s="537">
        <f>+'MORALES LOPEZ DE LARA MARIANO'!O40</f>
        <v>0</v>
      </c>
      <c r="F23" s="537">
        <f>+'MORALES LOPEZ DE LARA MARIANO'!O41</f>
        <v>0</v>
      </c>
      <c r="G23" s="537">
        <f>+'MORALES LOPEZ DE LARA MARIANO'!O42</f>
        <v>0</v>
      </c>
      <c r="H23" s="537">
        <f>+'MORALES LOPEZ DE LARA MARIANO'!O43</f>
        <v>0</v>
      </c>
      <c r="I23" s="508">
        <f>+'MORALES LOPEZ DE LARA MARIANO'!O44</f>
        <v>0</v>
      </c>
      <c r="J23" s="508">
        <f>+'MORALES LOPEZ DE LARA MARIANO'!O45</f>
        <v>0</v>
      </c>
      <c r="K23" s="509"/>
      <c r="L23" s="422"/>
      <c r="M23" s="401"/>
      <c r="N23" s="401"/>
      <c r="O23" s="401"/>
      <c r="P23" s="401"/>
      <c r="Q23" s="401"/>
      <c r="R23" s="402"/>
      <c r="S23" s="394"/>
    </row>
    <row r="24" spans="1:19" ht="15.75" x14ac:dyDescent="0.25">
      <c r="B24" s="507" t="s">
        <v>101</v>
      </c>
      <c r="C24" s="529" t="s">
        <v>314</v>
      </c>
      <c r="D24" s="530">
        <f>+'NUÑEZ RUIZ IRVING JAVIER.'!Q38</f>
        <v>6280.1659843427824</v>
      </c>
      <c r="E24" s="531">
        <f>+'NUÑEZ RUIZ IRVING JAVIER.'!O42</f>
        <v>46360</v>
      </c>
      <c r="F24" s="531">
        <f>+'NUÑEZ RUIZ IRVING JAVIER.'!O43</f>
        <v>45922</v>
      </c>
      <c r="G24" s="531">
        <f>+'NUÑEZ RUIZ IRVING JAVIER.'!O44</f>
        <v>45934</v>
      </c>
      <c r="H24" s="531">
        <f>+'NUÑEZ RUIZ IRVING JAVIER.'!O45</f>
        <v>45966</v>
      </c>
      <c r="I24" s="508">
        <f>+'NUÑEZ RUIZ IRVING JAVIER.'!O46</f>
        <v>0</v>
      </c>
      <c r="J24" s="508">
        <f>+'NUÑEZ RUIZ IRVING JAVIER.'!O47</f>
        <v>0</v>
      </c>
      <c r="K24" s="509">
        <f>+'NUÑEZ RUIZ IRVING JAVIER.'!O48</f>
        <v>0</v>
      </c>
      <c r="L24" s="422"/>
      <c r="M24" s="401"/>
      <c r="N24" s="401"/>
      <c r="O24" s="401"/>
      <c r="P24" s="401"/>
      <c r="Q24" s="401"/>
      <c r="R24" s="402"/>
      <c r="S24" s="394"/>
    </row>
    <row r="25" spans="1:19" ht="15.75" x14ac:dyDescent="0.25">
      <c r="B25" s="507" t="s">
        <v>338</v>
      </c>
      <c r="C25" s="546" t="s">
        <v>120</v>
      </c>
      <c r="D25" s="532">
        <f>+'ONTIVEROS LIRA JUAN'!Q37</f>
        <v>6540.2785010594471</v>
      </c>
      <c r="E25" s="533">
        <f>+'ONTIVEROS LIRA JUAN'!O40</f>
        <v>45903</v>
      </c>
      <c r="F25" s="533">
        <f>+'ONTIVEROS LIRA JUAN'!O41</f>
        <v>45915</v>
      </c>
      <c r="G25" s="533">
        <f>+'ONTIVEROS LIRA JUAN'!O42</f>
        <v>0</v>
      </c>
      <c r="H25" s="533">
        <f>+'ONTIVEROS LIRA JUAN'!O43</f>
        <v>0</v>
      </c>
      <c r="I25" s="510">
        <f>+'ONTIVEROS LIRA JUAN'!O44</f>
        <v>0</v>
      </c>
      <c r="J25" s="510">
        <f>+'ONTIVEROS LIRA JUAN'!O45</f>
        <v>0</v>
      </c>
      <c r="K25" s="509"/>
      <c r="L25" s="422"/>
      <c r="M25" s="401"/>
      <c r="N25" s="401"/>
      <c r="O25" s="401"/>
      <c r="P25" s="401"/>
      <c r="Q25" s="401"/>
      <c r="R25" s="402"/>
      <c r="S25" s="394"/>
    </row>
    <row r="26" spans="1:19" ht="15.75" x14ac:dyDescent="0.25">
      <c r="B26" s="507" t="s">
        <v>243</v>
      </c>
      <c r="C26" s="529" t="s">
        <v>59</v>
      </c>
      <c r="D26" s="530">
        <f>+'ORONA BECERRA MAURO JOSE'!Q37</f>
        <v>4160.5008541122334</v>
      </c>
      <c r="E26" s="531">
        <f>+'ORONA BECERRA MAURO JOSE'!O40</f>
        <v>45936</v>
      </c>
      <c r="F26" s="531">
        <f>+'ORONA BECERRA MAURO JOSE'!O41</f>
        <v>45987</v>
      </c>
      <c r="G26" s="531">
        <f>+'ORONA BECERRA MAURO JOSE'!O42</f>
        <v>0</v>
      </c>
      <c r="H26" s="531">
        <f>+'ORONA BECERRA MAURO JOSE'!O43</f>
        <v>0</v>
      </c>
      <c r="I26" s="508">
        <f>+'ORONA BECERRA MAURO JOSE'!O44</f>
        <v>0</v>
      </c>
      <c r="J26" s="508">
        <f>+'ORONA BECERRA MAURO JOSE'!O45</f>
        <v>0</v>
      </c>
      <c r="K26" s="509">
        <f>+'ORONA BECERRA MAURO JOSE'!O46</f>
        <v>0</v>
      </c>
      <c r="L26" s="422"/>
      <c r="M26" s="401"/>
      <c r="N26" s="401"/>
      <c r="O26" s="401"/>
      <c r="P26" s="401"/>
      <c r="Q26" s="401"/>
      <c r="R26" s="402"/>
      <c r="S26" s="394"/>
    </row>
    <row r="27" spans="1:19" ht="15.75" x14ac:dyDescent="0.25">
      <c r="B27" s="507" t="s">
        <v>339</v>
      </c>
      <c r="C27" s="529" t="s">
        <v>183</v>
      </c>
      <c r="D27" s="530">
        <f>+'ORTIZ RAMIREZ HECTOR MANUEL'!Q37</f>
        <v>4579.2184481481463</v>
      </c>
      <c r="E27" s="531">
        <f>+'ORTIZ RAMIREZ HECTOR MANUEL'!O40</f>
        <v>46390</v>
      </c>
      <c r="F27" s="531">
        <f>+'ORTIZ RAMIREZ HECTOR MANUEL'!O41</f>
        <v>0</v>
      </c>
      <c r="G27" s="531">
        <f>+'ORTIZ RAMIREZ HECTOR MANUEL'!O42</f>
        <v>0</v>
      </c>
      <c r="H27" s="531">
        <f>+'ORTIZ RAMIREZ HECTOR MANUEL'!O43</f>
        <v>0</v>
      </c>
      <c r="I27" s="508">
        <f>+'ORTIZ RAMIREZ HECTOR MANUEL'!O44</f>
        <v>0</v>
      </c>
      <c r="J27" s="508">
        <f>+'ORTIZ RAMIREZ HECTOR MANUEL'!O45</f>
        <v>0</v>
      </c>
      <c r="K27" s="509">
        <f>+'ORTIZ RAMIREZ HECTOR MANUEL'!O46</f>
        <v>0</v>
      </c>
      <c r="L27" s="422"/>
      <c r="M27" s="401"/>
      <c r="N27" s="401"/>
      <c r="O27" s="401"/>
      <c r="P27" s="401"/>
      <c r="Q27" s="401"/>
      <c r="R27" s="402"/>
      <c r="S27" s="394"/>
    </row>
    <row r="28" spans="1:19" ht="15.75" x14ac:dyDescent="0.25">
      <c r="B28" s="511" t="s">
        <v>184</v>
      </c>
      <c r="C28" s="534" t="s">
        <v>188</v>
      </c>
      <c r="D28" s="547">
        <f>+'RAMIREZ BAUTISTA ADRIAN'!Q37</f>
        <v>7964.8635665666716</v>
      </c>
      <c r="E28" s="548">
        <f>+'RAMIREZ BAUTISTA ADRIAN'!O40</f>
        <v>46387</v>
      </c>
      <c r="F28" s="548">
        <f>+'RAMIREZ BAUTISTA ADRIAN'!O41</f>
        <v>45921</v>
      </c>
      <c r="G28" s="548">
        <f>+'RAMIREZ BAUTISTA ADRIAN'!O42</f>
        <v>45933</v>
      </c>
      <c r="H28" s="548">
        <f>+'RAMIREZ BAUTISTA ADRIAN'!O43</f>
        <v>45965</v>
      </c>
      <c r="I28" s="512">
        <f>+'RAMIREZ BAUTISTA ADRIAN'!O44</f>
        <v>0</v>
      </c>
      <c r="J28" s="512">
        <f>+'RAMIREZ BAUTISTA ADRIAN'!O45</f>
        <v>0</v>
      </c>
      <c r="K28" s="513"/>
      <c r="L28" s="422"/>
      <c r="M28" s="401"/>
      <c r="N28" s="401"/>
      <c r="O28" s="401"/>
      <c r="P28" s="401"/>
      <c r="Q28" s="401"/>
      <c r="R28" s="402"/>
      <c r="S28" s="394"/>
    </row>
    <row r="29" spans="1:19" ht="15.75" x14ac:dyDescent="0.25">
      <c r="B29" s="507" t="s">
        <v>189</v>
      </c>
      <c r="C29" s="529" t="s">
        <v>279</v>
      </c>
      <c r="D29" s="530">
        <f>+'REYES LARA DANTE'!Q37</f>
        <v>3529.4270832833354</v>
      </c>
      <c r="E29" s="548">
        <f>+'REYES LARA DANTE'!O40</f>
        <v>46385</v>
      </c>
      <c r="F29" s="531">
        <f>+'REYES LARA DANTE'!O41</f>
        <v>45935</v>
      </c>
      <c r="G29" s="531">
        <f>+'REYES LARA DANTE'!O42</f>
        <v>0</v>
      </c>
      <c r="H29" s="531">
        <f>+'REYES LARA DANTE'!O43</f>
        <v>0</v>
      </c>
      <c r="I29" s="508">
        <f>+'REYES LARA DANTE'!O44</f>
        <v>0</v>
      </c>
      <c r="J29" s="508">
        <f>+'REYES LARA DANTE'!O45</f>
        <v>0</v>
      </c>
      <c r="K29" s="509">
        <f>+'REYES LARA DANTE'!O46</f>
        <v>0</v>
      </c>
      <c r="L29" s="422"/>
      <c r="M29" s="401"/>
      <c r="N29" s="401"/>
      <c r="O29" s="401"/>
      <c r="P29" s="401"/>
      <c r="Q29" s="401"/>
      <c r="R29" s="402"/>
      <c r="S29" s="394"/>
    </row>
    <row r="30" spans="1:19" ht="15.75" x14ac:dyDescent="0.25">
      <c r="B30" s="409"/>
      <c r="C30" s="549" t="s">
        <v>347</v>
      </c>
      <c r="D30" s="547">
        <f>+'RODRIGUEZ FLORES BRYAN DARIO'!Q37</f>
        <v>4239.3922811683497</v>
      </c>
      <c r="E30" s="548">
        <f>+'RODRIGUEZ FLORES BRYAN DARIO'!O40</f>
        <v>45906</v>
      </c>
      <c r="F30" s="548">
        <f>+'RODRIGUEZ FLORES BRYAN DARIO'!O41</f>
        <v>45925</v>
      </c>
      <c r="G30" s="548">
        <f>+'RODRIGUEZ FLORES BRYAN DARIO'!O42</f>
        <v>45959</v>
      </c>
      <c r="H30" s="548">
        <f>+'RODRIGUEZ FLORES BRYAN DARIO'!O43</f>
        <v>0</v>
      </c>
      <c r="I30" s="512">
        <f>+'RODRIGUEZ FLORES BRYAN DARIO'!O44</f>
        <v>0</v>
      </c>
      <c r="J30" s="512">
        <f>+'RODRIGUEZ FLORES BRYAN DARIO'!O45</f>
        <v>0</v>
      </c>
      <c r="K30" s="513">
        <f>+'RODRIGUEZ FLORES BRYAN DARIO'!O46</f>
        <v>0</v>
      </c>
      <c r="L30" s="422"/>
      <c r="M30" s="401"/>
      <c r="N30" s="401"/>
      <c r="O30" s="401"/>
      <c r="P30" s="401"/>
      <c r="Q30" s="401"/>
      <c r="R30" s="402"/>
      <c r="S30" s="394"/>
    </row>
    <row r="31" spans="1:19" ht="15.75" x14ac:dyDescent="0.25">
      <c r="B31" s="409" t="s">
        <v>296</v>
      </c>
      <c r="C31" s="447" t="s">
        <v>335</v>
      </c>
      <c r="D31" s="448" t="e">
        <f>+'RUIZ SAUCEDO DANIEL ALEJANDRO'!Q37</f>
        <v>#N/A</v>
      </c>
      <c r="E31" s="449">
        <f>+'RUIZ SAUCEDO DANIEL ALEJANDRO'!O40</f>
        <v>0</v>
      </c>
      <c r="F31" s="449">
        <f>+'RUIZ SAUCEDO DANIEL ALEJANDRO'!O41</f>
        <v>0</v>
      </c>
      <c r="G31" s="449">
        <f>+'RUIZ SAUCEDO DANIEL ALEJANDRO'!O42</f>
        <v>0</v>
      </c>
      <c r="H31" s="449">
        <f>+'RUIZ SAUCEDO DANIEL ALEJANDRO'!O43</f>
        <v>0</v>
      </c>
      <c r="I31" s="449">
        <f>+'RUIZ SAUCEDO DANIEL ALEJANDRO'!O44</f>
        <v>0</v>
      </c>
      <c r="J31" s="449">
        <f>+'RUIZ SAUCEDO DANIEL ALEJANDRO'!O45</f>
        <v>0</v>
      </c>
      <c r="K31" s="450"/>
      <c r="L31" s="422"/>
      <c r="M31" s="401"/>
      <c r="N31" s="401"/>
      <c r="O31" s="401"/>
      <c r="P31" s="401"/>
      <c r="Q31" s="401"/>
      <c r="R31" s="402"/>
      <c r="S31" s="394"/>
    </row>
    <row r="32" spans="1:19" ht="16.5" thickBot="1" x14ac:dyDescent="0.3">
      <c r="B32" s="514" t="s">
        <v>104</v>
      </c>
      <c r="C32" s="550" t="s">
        <v>105</v>
      </c>
      <c r="D32" s="551">
        <f>+'VALLES HERNANDEZ MANUEL MARCELI'!Q36</f>
        <v>9784.705108224467</v>
      </c>
      <c r="E32" s="552">
        <f>+'VALLES HERNANDEZ MANUEL MARCELI'!O39</f>
        <v>45904</v>
      </c>
      <c r="F32" s="552">
        <f>+'VALLES HERNANDEZ MANUEL MARCELI'!O40</f>
        <v>45914</v>
      </c>
      <c r="G32" s="552">
        <f>+'VALLES HERNANDEZ MANUEL MARCELI'!O41</f>
        <v>45947</v>
      </c>
      <c r="H32" s="552">
        <f>+'VALLES HERNANDEZ MANUEL MARCELI'!O42</f>
        <v>45954</v>
      </c>
      <c r="I32" s="552">
        <f>+'VALLES HERNANDEZ MANUEL MARCELI'!O43</f>
        <v>0</v>
      </c>
      <c r="J32" s="515">
        <f>+'VALLES HERNANDEZ MANUEL MARCELI'!O44</f>
        <v>0</v>
      </c>
      <c r="K32" s="516"/>
      <c r="L32" s="426"/>
      <c r="M32" s="407"/>
      <c r="N32" s="407"/>
      <c r="O32" s="407"/>
      <c r="P32" s="407"/>
      <c r="Q32" s="407"/>
      <c r="R32" s="408"/>
      <c r="S32" s="394"/>
    </row>
    <row r="33" spans="2:13" ht="16.5" thickBot="1" x14ac:dyDescent="0.3">
      <c r="B33" s="389"/>
      <c r="C33" s="390" t="s">
        <v>106</v>
      </c>
      <c r="D33" s="391" t="e">
        <f>SUM(D5:D32)</f>
        <v>#N/A</v>
      </c>
      <c r="E33" s="392"/>
      <c r="F33" s="392"/>
      <c r="G33" s="392"/>
      <c r="H33" s="392"/>
      <c r="I33" s="392"/>
      <c r="J33" s="392"/>
      <c r="K33" s="393"/>
    </row>
    <row r="34" spans="2:13" x14ac:dyDescent="0.2">
      <c r="D34" t="e">
        <f>SUM(D16:D18,D20,D26:D29+D23+D24)+D14+D12+D11+D10+D9+D7+D6+D5</f>
        <v>#VALUE!</v>
      </c>
    </row>
    <row r="35" spans="2:13" x14ac:dyDescent="0.2">
      <c r="D35" s="277" t="e">
        <f>+D32+D29+D28+D27+D26+D24+D23+D20+D18+D17+D16+D14+D12+D11+D10+D9+D7+D6+D5</f>
        <v>#N/A</v>
      </c>
    </row>
    <row r="37" spans="2:13" x14ac:dyDescent="0.2">
      <c r="D37" s="277" t="e">
        <f>+D31+D30+D28+D24+D23+D20+D18+D16+D13+D11+D6</f>
        <v>#N/A</v>
      </c>
    </row>
    <row r="38" spans="2:13" x14ac:dyDescent="0.2">
      <c r="D38" s="277"/>
      <c r="M38" s="277"/>
    </row>
    <row r="39" spans="2:13" x14ac:dyDescent="0.2">
      <c r="C39" s="394"/>
    </row>
  </sheetData>
  <sortState xmlns:xlrd2="http://schemas.microsoft.com/office/spreadsheetml/2017/richdata2" ref="B5:K32">
    <sortCondition ref="C5:C32"/>
  </sortState>
  <mergeCells count="5">
    <mergeCell ref="B1:K1"/>
    <mergeCell ref="B2:K2"/>
    <mergeCell ref="B3:K3"/>
    <mergeCell ref="E4:K4"/>
    <mergeCell ref="L4:R4"/>
  </mergeCells>
  <pageMargins left="0.7" right="0.7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1:X57"/>
  <sheetViews>
    <sheetView topLeftCell="A9" zoomScaleNormal="100" workbookViewId="0">
      <selection activeCell="N41" sqref="N41"/>
    </sheetView>
  </sheetViews>
  <sheetFormatPr baseColWidth="10" defaultColWidth="9.140625" defaultRowHeight="12" x14ac:dyDescent="0.2"/>
  <cols>
    <col min="1" max="1" width="2" style="14" customWidth="1"/>
    <col min="2" max="2" width="4.85546875" style="14" customWidth="1"/>
    <col min="3" max="3" width="13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140625" style="14" bestFit="1" customWidth="1"/>
    <col min="9" max="9" width="16" style="14" customWidth="1"/>
    <col min="10" max="10" width="10.85546875" style="14" customWidth="1"/>
    <col min="11" max="11" width="10.42578125" style="14" customWidth="1"/>
    <col min="12" max="12" width="13" style="14" customWidth="1"/>
    <col min="13" max="13" width="12" style="14" customWidth="1"/>
    <col min="14" max="14" width="8.140625" style="14" customWidth="1"/>
    <col min="15" max="15" width="13.85546875" style="14" customWidth="1"/>
    <col min="16" max="17" width="11.85546875" style="14" customWidth="1"/>
    <col min="18" max="18" width="14.42578125" style="14" hidden="1" customWidth="1"/>
    <col min="19" max="19" width="10.5703125" style="14" customWidth="1"/>
    <col min="20" max="20" width="10.85546875" style="14" customWidth="1"/>
    <col min="21" max="21" width="12.140625" style="14" hidden="1" customWidth="1"/>
    <col min="22" max="22" width="9.28515625" style="14" hidden="1" customWidth="1"/>
    <col min="23" max="23" width="11.7109375" style="14" hidden="1" customWidth="1"/>
    <col min="24" max="24" width="12.85546875" style="14" customWidth="1"/>
    <col min="25" max="26" width="9.14062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0" ht="12.75" thickBot="1" x14ac:dyDescent="0.25"/>
    <row r="2" spans="4:20" ht="12" customHeight="1" thickBot="1" x14ac:dyDescent="0.25">
      <c r="Q2" s="615" t="s">
        <v>0</v>
      </c>
      <c r="R2" s="616"/>
      <c r="S2" s="617"/>
    </row>
    <row r="3" spans="4:20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v>42</v>
      </c>
      <c r="R3" s="621"/>
      <c r="S3" s="594"/>
    </row>
    <row r="4" spans="4:20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20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20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v>25</v>
      </c>
      <c r="R6" s="636"/>
      <c r="S6" s="637"/>
    </row>
    <row r="7" spans="4:20" ht="9" customHeight="1" x14ac:dyDescent="0.2"/>
    <row r="8" spans="4:20" ht="6.75" customHeight="1" thickBot="1" x14ac:dyDescent="0.25"/>
    <row r="9" spans="4:20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20" ht="11.25" customHeight="1" thickBot="1" x14ac:dyDescent="0.25">
      <c r="T10" s="14" t="s">
        <v>182</v>
      </c>
    </row>
    <row r="11" spans="4:20" ht="12.75" x14ac:dyDescent="0.2">
      <c r="D11" s="1" t="s">
        <v>7</v>
      </c>
      <c r="E11" s="638" t="s">
        <v>50</v>
      </c>
      <c r="F11" s="638"/>
      <c r="G11" s="638"/>
      <c r="H11" s="638"/>
      <c r="I11" s="2"/>
      <c r="J11" s="2"/>
      <c r="K11" s="3" t="s">
        <v>8</v>
      </c>
      <c r="L11" s="2" t="str">
        <f>+NOMINA!B3</f>
        <v>SEMANA #42 PERIODO DEL 06 AL 12 DE OCTUBRE  DEL 2025</v>
      </c>
      <c r="M11" s="2"/>
      <c r="N11" s="2"/>
      <c r="O11" s="2"/>
      <c r="P11" s="2"/>
      <c r="Q11" s="2"/>
      <c r="R11" s="2"/>
      <c r="S11" s="198"/>
    </row>
    <row r="12" spans="4:20" ht="12.75" x14ac:dyDescent="0.2">
      <c r="D12" s="4" t="s">
        <v>9</v>
      </c>
      <c r="E12" s="606" t="s">
        <v>153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0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0" ht="12.75" x14ac:dyDescent="0.2">
      <c r="D14" s="607" t="s">
        <v>10</v>
      </c>
      <c r="E14" s="608"/>
      <c r="F14" s="130">
        <v>157771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0" ht="12.75" x14ac:dyDescent="0.2">
      <c r="D15" s="607" t="s">
        <v>13</v>
      </c>
      <c r="E15" s="608"/>
      <c r="F15" s="130">
        <v>158520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0" ht="13.5" thickBot="1" x14ac:dyDescent="0.25">
      <c r="D16" s="609" t="s">
        <v>16</v>
      </c>
      <c r="E16" s="610"/>
      <c r="F16" s="257">
        <f>SUM(J19:J32)</f>
        <v>3160</v>
      </c>
      <c r="G16" s="257"/>
      <c r="H16" s="257"/>
      <c r="I16" s="9" t="s">
        <v>17</v>
      </c>
      <c r="J16" s="257">
        <f>SUM(K19:K32)</f>
        <v>878.66100000000006</v>
      </c>
      <c r="K16" s="257"/>
      <c r="L16" s="257"/>
      <c r="M16" s="257"/>
      <c r="N16" s="257"/>
      <c r="O16" s="9" t="s">
        <v>18</v>
      </c>
      <c r="P16" s="10">
        <f>+F16/J16</f>
        <v>3.5963813120190835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  <c r="X18" s="14" t="s">
        <v>182</v>
      </c>
    </row>
    <row r="19" spans="3:24" ht="12.75" customHeight="1" x14ac:dyDescent="0.2">
      <c r="C19" s="176">
        <v>45901</v>
      </c>
      <c r="D19" s="43" t="s">
        <v>378</v>
      </c>
      <c r="E19" s="42">
        <v>45937</v>
      </c>
      <c r="F19" s="42">
        <v>45938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255.05</v>
      </c>
      <c r="N19" s="24">
        <v>4</v>
      </c>
      <c r="O19" s="24" t="s">
        <v>376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9"/>
      <c r="U19" s="24" t="s">
        <v>359</v>
      </c>
      <c r="V19" s="79" t="s">
        <v>359</v>
      </c>
    </row>
    <row r="20" spans="3:24" ht="12.75" thickBot="1" x14ac:dyDescent="0.25">
      <c r="C20" s="101"/>
      <c r="D20" s="25" t="s">
        <v>379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222.02600000000001</v>
      </c>
      <c r="L20" s="28">
        <f>SUM(J19:J20)/K20</f>
        <v>3.5581418392440525</v>
      </c>
      <c r="M20" s="352">
        <v>4177.7299999999996</v>
      </c>
      <c r="N20" s="27">
        <v>1</v>
      </c>
      <c r="O20" s="27" t="s">
        <v>377</v>
      </c>
      <c r="P20" s="27" t="s">
        <v>248</v>
      </c>
      <c r="Q20" s="29">
        <f t="shared" si="0"/>
        <v>109.99874999999999</v>
      </c>
      <c r="R20" s="190">
        <f>+LOOKUP(P40,UNIDADES!B$3:B$59,UNIDADES!C$3:C$59)</f>
        <v>2.4509799999999999</v>
      </c>
      <c r="S20" s="50">
        <f>+((SUM(J19:J20)-40)/R20)-K20</f>
        <v>83.974048960007849</v>
      </c>
      <c r="T20" s="460">
        <f>+S20*14.85</f>
        <v>1247.0146270561165</v>
      </c>
      <c r="U20" s="27">
        <v>57</v>
      </c>
      <c r="V20" s="55">
        <v>60</v>
      </c>
    </row>
    <row r="21" spans="3:24" ht="11.25" customHeight="1" x14ac:dyDescent="0.2">
      <c r="C21" s="176">
        <v>45913</v>
      </c>
      <c r="D21" s="43" t="s">
        <v>427</v>
      </c>
      <c r="E21" s="42">
        <v>45938</v>
      </c>
      <c r="F21" s="42">
        <v>45939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1219</v>
      </c>
      <c r="N21" s="24">
        <v>4</v>
      </c>
      <c r="O21" s="24">
        <v>53507</v>
      </c>
      <c r="P21" s="24" t="s">
        <v>199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9"/>
      <c r="U21" s="24" t="s">
        <v>359</v>
      </c>
      <c r="V21" s="79" t="s">
        <v>359</v>
      </c>
    </row>
    <row r="22" spans="3:24" ht="12.75" thickBot="1" x14ac:dyDescent="0.25">
      <c r="C22" s="101"/>
      <c r="D22" s="25" t="s">
        <v>428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210.02</v>
      </c>
      <c r="L22" s="28">
        <f>SUM(J21:J22)/K22</f>
        <v>3.7615465193791064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+LOOKUP(P41,UNIDADES!B$3:B$59,UNIDADES!C$3:C$59)</f>
        <v>2.4509799999999999</v>
      </c>
      <c r="S22" s="50">
        <f>+((SUM(J21:J22)-40)/R22)-K22</f>
        <v>95.980048960007849</v>
      </c>
      <c r="T22" s="460">
        <f>+S22*14.85</f>
        <v>1425.3037270561165</v>
      </c>
      <c r="U22" s="27">
        <v>57</v>
      </c>
      <c r="V22" s="55">
        <v>57</v>
      </c>
    </row>
    <row r="23" spans="3:24" x14ac:dyDescent="0.2">
      <c r="C23" s="238">
        <v>45944</v>
      </c>
      <c r="D23" s="36" t="s">
        <v>518</v>
      </c>
      <c r="E23" s="37">
        <v>45939</v>
      </c>
      <c r="F23" s="37">
        <v>45940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764.58</v>
      </c>
      <c r="N23" s="38">
        <v>1</v>
      </c>
      <c r="O23" s="38" t="s">
        <v>389</v>
      </c>
      <c r="P23" s="38" t="s">
        <v>248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62"/>
      <c r="U23" s="38" t="s">
        <v>359</v>
      </c>
      <c r="V23" s="38" t="s">
        <v>359</v>
      </c>
    </row>
    <row r="24" spans="3:24" ht="12.75" thickBot="1" x14ac:dyDescent="0.25">
      <c r="C24" s="239"/>
      <c r="D24" s="69" t="s">
        <v>519</v>
      </c>
      <c r="E24" s="69">
        <v>45940</v>
      </c>
      <c r="F24" s="69">
        <v>45940</v>
      </c>
      <c r="G24" s="68">
        <v>27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ELP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415</v>
      </c>
      <c r="K24" s="70">
        <v>250.54400000000001</v>
      </c>
      <c r="L24" s="72">
        <f>SUM(J23:J24)/K24</f>
        <v>3.1531387700364006</v>
      </c>
      <c r="M24" s="373">
        <v>3780.65</v>
      </c>
      <c r="N24" s="70">
        <v>4</v>
      </c>
      <c r="O24" s="70" t="s">
        <v>520</v>
      </c>
      <c r="P24" s="70" t="s">
        <v>200</v>
      </c>
      <c r="Q24" s="67">
        <f t="shared" si="2"/>
        <v>109.99874999999999</v>
      </c>
      <c r="R24" s="197">
        <f>+LOOKUP(P42,UNIDADES!B$3:B$59,UNIDADES!C$3:C$59)</f>
        <v>2.4509799999999999</v>
      </c>
      <c r="S24" s="381">
        <f>+((SUM(J23:J24)-40)/R24)-K24</f>
        <v>55.456048960007848</v>
      </c>
      <c r="T24" s="465">
        <f>+S24*14.85</f>
        <v>823.52232705611652</v>
      </c>
      <c r="U24" s="70">
        <v>57</v>
      </c>
      <c r="V24" s="70">
        <v>57</v>
      </c>
    </row>
    <row r="25" spans="3:24" ht="12" customHeight="1" x14ac:dyDescent="0.2">
      <c r="C25" s="176">
        <v>45980</v>
      </c>
      <c r="D25" s="43" t="s">
        <v>570</v>
      </c>
      <c r="E25" s="42">
        <v>45941</v>
      </c>
      <c r="F25" s="42">
        <v>45943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0</v>
      </c>
      <c r="N25" s="24">
        <v>2</v>
      </c>
      <c r="O25" s="24" t="s">
        <v>569</v>
      </c>
      <c r="P25" s="24" t="s">
        <v>203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54.999749999999999</v>
      </c>
      <c r="R25" s="187"/>
      <c r="S25" s="49"/>
      <c r="T25" s="459"/>
      <c r="U25" s="24" t="s">
        <v>359</v>
      </c>
      <c r="V25" s="79" t="s">
        <v>359</v>
      </c>
    </row>
    <row r="26" spans="3:24" ht="15" customHeight="1" thickBot="1" x14ac:dyDescent="0.25">
      <c r="C26" s="101"/>
      <c r="D26" s="62" t="s">
        <v>571</v>
      </c>
      <c r="E26" s="25">
        <v>45943</v>
      </c>
      <c r="F26" s="25">
        <v>45943</v>
      </c>
      <c r="G26" s="62">
        <v>27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27">
        <v>196.071</v>
      </c>
      <c r="L26" s="28">
        <f>SUM(J25:J26)/K26</f>
        <v>4.0291527048875153</v>
      </c>
      <c r="M26" s="352">
        <v>1413.46</v>
      </c>
      <c r="N26" s="27">
        <v>4</v>
      </c>
      <c r="O26" s="27" t="s">
        <v>569</v>
      </c>
      <c r="P26" s="27" t="s">
        <v>200</v>
      </c>
      <c r="Q26" s="29">
        <f t="shared" si="3"/>
        <v>109.99874999999999</v>
      </c>
      <c r="R26" s="190">
        <f>+LOOKUP(P43,UNIDADES!B$3:B$59,UNIDADES!C$3:C$59)</f>
        <v>2.4509799999999999</v>
      </c>
      <c r="S26" s="50">
        <f>+((SUM(J25:J26)-40)/R26)-K26</f>
        <v>109.92904896000786</v>
      </c>
      <c r="T26" s="460">
        <f>+S26*14.85</f>
        <v>1632.4463770561167</v>
      </c>
      <c r="U26" s="27">
        <v>57</v>
      </c>
      <c r="V26" s="55">
        <v>57</v>
      </c>
    </row>
    <row r="27" spans="3:24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88"/>
      <c r="S27" s="121"/>
      <c r="T27" s="462"/>
      <c r="U27" s="487"/>
      <c r="V27" s="38"/>
    </row>
    <row r="28" spans="3:24" ht="1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50"/>
      <c r="T28" s="460"/>
      <c r="U28" s="11"/>
      <c r="V28" s="11"/>
    </row>
    <row r="29" spans="3:24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351"/>
      <c r="N29" s="24"/>
      <c r="O29" s="24"/>
      <c r="P29" s="24"/>
      <c r="Q29" s="45"/>
      <c r="R29" s="187"/>
      <c r="S29" s="49"/>
      <c r="T29" s="459"/>
      <c r="U29" s="11"/>
      <c r="V29" s="11"/>
    </row>
    <row r="30" spans="3:24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90"/>
      <c r="S30" s="50"/>
      <c r="T30" s="460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188"/>
      <c r="S31" s="121"/>
      <c r="T31" s="462"/>
      <c r="U31" s="11"/>
      <c r="V31" s="11"/>
    </row>
    <row r="32" spans="3:24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85"/>
      <c r="S32" s="50"/>
      <c r="T32" s="460"/>
      <c r="U32" s="11"/>
      <c r="V32" s="11"/>
    </row>
    <row r="33" spans="3:24" ht="12.75" thickBot="1" x14ac:dyDescent="0.25">
      <c r="I33" s="15"/>
      <c r="R33" s="189"/>
      <c r="U33" s="467"/>
      <c r="V33" s="467"/>
    </row>
    <row r="34" spans="3:24" x14ac:dyDescent="0.2">
      <c r="E34" s="611" t="s">
        <v>34</v>
      </c>
      <c r="F34" s="628"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4" ht="12.75" thickBot="1" x14ac:dyDescent="0.25">
      <c r="E35" s="612"/>
      <c r="F35" s="630"/>
      <c r="G35" s="631"/>
      <c r="H35" s="29">
        <v>750</v>
      </c>
      <c r="I35" s="29">
        <v>750</v>
      </c>
      <c r="J35" s="29">
        <v>900</v>
      </c>
      <c r="K35" s="29">
        <v>500</v>
      </c>
      <c r="L35" s="29">
        <v>500</v>
      </c>
      <c r="M35" s="30">
        <f>SUM(F35:L35)</f>
        <v>3400</v>
      </c>
    </row>
    <row r="36" spans="3:24" ht="12.75" thickBot="1" x14ac:dyDescent="0.25">
      <c r="I36" s="15" t="s">
        <v>182</v>
      </c>
    </row>
    <row r="37" spans="3:24" ht="13.5" thickBot="1" x14ac:dyDescent="0.25">
      <c r="C37" s="590" t="s">
        <v>36</v>
      </c>
      <c r="D37" s="591"/>
      <c r="E37" s="591"/>
      <c r="F37" s="591"/>
      <c r="G37" s="592"/>
      <c r="I37" s="602"/>
      <c r="J37" s="603"/>
      <c r="K37" s="603"/>
      <c r="L37" s="604"/>
      <c r="M37" s="298"/>
      <c r="O37" s="593" t="s">
        <v>38</v>
      </c>
      <c r="P37" s="594"/>
      <c r="Q37" s="595">
        <f>+F49-L46</f>
        <v>9671.029058224467</v>
      </c>
      <c r="R37" s="596"/>
      <c r="S37" s="597"/>
    </row>
    <row r="38" spans="3:24" ht="12.75" thickBot="1" x14ac:dyDescent="0.25">
      <c r="C38" s="598" t="s">
        <v>220</v>
      </c>
      <c r="D38" s="599"/>
      <c r="E38" s="599"/>
      <c r="F38" s="600">
        <f>SUM(Q18:Q33)</f>
        <v>769.99199999999985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4" ht="13.5" customHeight="1" thickBot="1" x14ac:dyDescent="0.25">
      <c r="C39" s="584" t="s">
        <v>221</v>
      </c>
      <c r="D39" s="585"/>
      <c r="E39" s="585"/>
      <c r="F39" s="586">
        <f>SUM(T18:T33)</f>
        <v>5128.2870582244659</v>
      </c>
      <c r="G39" s="587"/>
      <c r="I39" s="347"/>
      <c r="J39" s="347"/>
      <c r="K39" s="347"/>
      <c r="L39" s="119"/>
      <c r="M39" s="349"/>
      <c r="O39" s="74" t="s">
        <v>70</v>
      </c>
      <c r="P39" s="75" t="s">
        <v>71</v>
      </c>
      <c r="Q39" s="328" t="s">
        <v>72</v>
      </c>
      <c r="R39" s="64"/>
      <c r="S39" s="315" t="s">
        <v>73</v>
      </c>
      <c r="T39" s="329" t="s">
        <v>74</v>
      </c>
      <c r="U39" s="328" t="s">
        <v>146</v>
      </c>
      <c r="V39" s="355" t="s">
        <v>147</v>
      </c>
      <c r="W39" s="329" t="s">
        <v>285</v>
      </c>
    </row>
    <row r="40" spans="3:24" x14ac:dyDescent="0.2">
      <c r="C40" s="584" t="s">
        <v>34</v>
      </c>
      <c r="D40" s="585"/>
      <c r="E40" s="585"/>
      <c r="F40" s="586">
        <f>+M35</f>
        <v>3400</v>
      </c>
      <c r="G40" s="587"/>
      <c r="I40" s="94"/>
      <c r="J40" s="117"/>
      <c r="K40" s="61"/>
      <c r="L40" s="111"/>
      <c r="M40" s="349"/>
      <c r="O40" s="78">
        <v>45901</v>
      </c>
      <c r="P40" s="79" t="s">
        <v>153</v>
      </c>
      <c r="Q40" s="319">
        <v>184246</v>
      </c>
      <c r="R40" s="38"/>
      <c r="S40" s="314">
        <v>185013</v>
      </c>
      <c r="T40" s="326">
        <f t="shared" ref="T40:T45" si="4">+S40-Q40</f>
        <v>767</v>
      </c>
      <c r="U40" s="137">
        <f>SUM(J19:J20)</f>
        <v>790</v>
      </c>
      <c r="V40" s="346">
        <f>+K20</f>
        <v>222.02600000000001</v>
      </c>
      <c r="W40" s="356">
        <f>(SUM(M19:M20)/2)</f>
        <v>2216.39</v>
      </c>
      <c r="X40" s="398"/>
    </row>
    <row r="41" spans="3:24" x14ac:dyDescent="0.2">
      <c r="C41" s="584" t="s">
        <v>187</v>
      </c>
      <c r="D41" s="585"/>
      <c r="E41" s="585"/>
      <c r="F41" s="586">
        <v>100</v>
      </c>
      <c r="G41" s="587"/>
      <c r="I41" s="94"/>
      <c r="J41" s="117"/>
      <c r="K41" s="61"/>
      <c r="L41" s="111"/>
      <c r="M41" s="349"/>
      <c r="O41" s="319">
        <v>45913</v>
      </c>
      <c r="P41" s="314" t="s">
        <v>153</v>
      </c>
      <c r="Q41" s="314">
        <v>185013</v>
      </c>
      <c r="R41" s="38"/>
      <c r="S41" s="319">
        <v>185782</v>
      </c>
      <c r="T41" s="326">
        <f t="shared" si="4"/>
        <v>769</v>
      </c>
      <c r="U41" s="321">
        <f>SUM(J21:J22)</f>
        <v>790</v>
      </c>
      <c r="V41" s="354">
        <f>+K22</f>
        <v>210.02</v>
      </c>
      <c r="W41" s="357">
        <f>(SUM(M21:M22)/2)</f>
        <v>609.5</v>
      </c>
      <c r="X41" s="398"/>
    </row>
    <row r="42" spans="3:24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19">
        <v>45944</v>
      </c>
      <c r="P42" s="314" t="s">
        <v>153</v>
      </c>
      <c r="Q42" s="319">
        <v>185752</v>
      </c>
      <c r="R42" s="38"/>
      <c r="S42" s="32">
        <v>186627</v>
      </c>
      <c r="T42" s="326">
        <f t="shared" si="4"/>
        <v>875</v>
      </c>
      <c r="U42" s="321">
        <f>SUM(J23:J24)</f>
        <v>790</v>
      </c>
      <c r="V42" s="354">
        <f>+K24</f>
        <v>250.54400000000001</v>
      </c>
      <c r="W42" s="357">
        <f>(SUM(M23:M24)/2)</f>
        <v>2272.6150000000002</v>
      </c>
      <c r="X42" s="398"/>
    </row>
    <row r="43" spans="3:24" x14ac:dyDescent="0.2">
      <c r="C43" s="584" t="s">
        <v>117</v>
      </c>
      <c r="D43" s="585"/>
      <c r="E43" s="585"/>
      <c r="F43" s="586"/>
      <c r="G43" s="587"/>
      <c r="I43" s="313"/>
      <c r="J43" s="117"/>
      <c r="K43" s="61"/>
      <c r="L43" s="111"/>
      <c r="M43" s="349"/>
      <c r="O43" s="32">
        <v>45980</v>
      </c>
      <c r="P43" s="53" t="s">
        <v>153</v>
      </c>
      <c r="Q43" s="32">
        <v>186627</v>
      </c>
      <c r="R43" s="11"/>
      <c r="S43" s="53">
        <v>187389</v>
      </c>
      <c r="T43" s="326">
        <f t="shared" si="4"/>
        <v>762</v>
      </c>
      <c r="U43" s="136">
        <f>SUM(J25:J26)</f>
        <v>790</v>
      </c>
      <c r="V43" s="348">
        <f>+K26</f>
        <v>196.071</v>
      </c>
      <c r="W43" s="357">
        <f>(SUM(M25:M26)/2)</f>
        <v>706.73</v>
      </c>
      <c r="X43" s="398"/>
    </row>
    <row r="44" spans="3:24" x14ac:dyDescent="0.2">
      <c r="C44" s="584" t="s">
        <v>40</v>
      </c>
      <c r="D44" s="585"/>
      <c r="E44" s="585"/>
      <c r="F44" s="586">
        <v>50</v>
      </c>
      <c r="G44" s="587"/>
      <c r="I44" s="94"/>
      <c r="J44" s="117"/>
      <c r="K44" s="61"/>
      <c r="L44" s="111"/>
      <c r="M44" s="349"/>
      <c r="O44" s="32"/>
      <c r="P44" s="53"/>
      <c r="Q44" s="32"/>
      <c r="R44" s="61"/>
      <c r="S44" s="53"/>
      <c r="T44" s="326">
        <f t="shared" si="4"/>
        <v>0</v>
      </c>
      <c r="U44" s="136">
        <f>SUM(J27:J28)</f>
        <v>0</v>
      </c>
      <c r="V44" s="348">
        <f>+K28</f>
        <v>0</v>
      </c>
      <c r="W44" s="357">
        <f>(SUM(M27:M28)/2)</f>
        <v>0</v>
      </c>
      <c r="X44" s="398"/>
    </row>
    <row r="45" spans="3:24" ht="12.75" thickBot="1" x14ac:dyDescent="0.25">
      <c r="C45" s="584" t="s">
        <v>364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32"/>
      <c r="R45" s="61"/>
      <c r="S45" s="53"/>
      <c r="T45" s="326">
        <f t="shared" si="4"/>
        <v>0</v>
      </c>
      <c r="U45" s="136">
        <f>SUM(J29:J30)</f>
        <v>0</v>
      </c>
      <c r="V45" s="348">
        <f>+K30</f>
        <v>0</v>
      </c>
      <c r="W45" s="357">
        <f>(SUM(M29:M30)/2)</f>
        <v>0</v>
      </c>
      <c r="X45" s="398"/>
    </row>
    <row r="46" spans="3:24" ht="13.5" customHeight="1" thickBot="1" x14ac:dyDescent="0.25">
      <c r="C46" s="584" t="s">
        <v>187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113"/>
      <c r="R46" s="81"/>
      <c r="S46" s="82"/>
      <c r="T46" s="311"/>
      <c r="U46" s="136">
        <f>SUM(J31:J32)</f>
        <v>0</v>
      </c>
      <c r="V46" s="348">
        <f>+K32</f>
        <v>0</v>
      </c>
      <c r="W46" s="357">
        <f>(SUM(M31:M32)/2)</f>
        <v>0</v>
      </c>
      <c r="X46" s="399"/>
    </row>
    <row r="47" spans="3:24" ht="13.5" customHeight="1" x14ac:dyDescent="0.2">
      <c r="C47" s="584" t="s">
        <v>295</v>
      </c>
      <c r="D47" s="585"/>
      <c r="E47" s="585"/>
      <c r="F47" s="588">
        <v>222.75</v>
      </c>
      <c r="G47" s="589"/>
      <c r="R47" s="21"/>
      <c r="S47" s="21"/>
      <c r="T47" s="21"/>
      <c r="U47" s="139"/>
      <c r="V47" s="271"/>
    </row>
    <row r="48" spans="3:24" ht="13.5" customHeight="1" thickBot="1" x14ac:dyDescent="0.25">
      <c r="C48" s="575" t="s">
        <v>365</v>
      </c>
      <c r="D48" s="576"/>
      <c r="E48" s="576"/>
      <c r="F48" s="577"/>
      <c r="G48" s="578"/>
      <c r="H48" s="120"/>
      <c r="P48" s="454"/>
      <c r="Q48" s="454"/>
      <c r="R48" s="517"/>
      <c r="S48" s="21"/>
      <c r="T48" s="280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9671.029058224467</v>
      </c>
      <c r="G49" s="583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C44:E44"/>
    <mergeCell ref="F44:G44"/>
    <mergeCell ref="C39:E39"/>
    <mergeCell ref="F39:G39"/>
    <mergeCell ref="C40:E40"/>
    <mergeCell ref="F40:G40"/>
    <mergeCell ref="C41:E41"/>
    <mergeCell ref="F41:G41"/>
    <mergeCell ref="C43:E43"/>
    <mergeCell ref="F43:G43"/>
    <mergeCell ref="C48:E48"/>
    <mergeCell ref="F48:G48"/>
    <mergeCell ref="C49:E49"/>
    <mergeCell ref="F49:G49"/>
    <mergeCell ref="C45:E45"/>
    <mergeCell ref="F45:G45"/>
    <mergeCell ref="C46:E46"/>
    <mergeCell ref="F46:G46"/>
    <mergeCell ref="C47:E47"/>
    <mergeCell ref="F47:G47"/>
    <mergeCell ref="Q51:R51"/>
    <mergeCell ref="Q52:R52"/>
    <mergeCell ref="P50:R50"/>
    <mergeCell ref="Q56:R56"/>
    <mergeCell ref="Q55:R55"/>
    <mergeCell ref="Q54:R54"/>
    <mergeCell ref="Q53:R5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Z57"/>
  <sheetViews>
    <sheetView topLeftCell="B11" zoomScaleNormal="100" workbookViewId="0">
      <selection activeCell="J52" sqref="J52"/>
    </sheetView>
  </sheetViews>
  <sheetFormatPr baseColWidth="10" defaultColWidth="9.140625" defaultRowHeight="12" x14ac:dyDescent="0.2"/>
  <cols>
    <col min="1" max="1" width="2.85546875" style="14" customWidth="1"/>
    <col min="2" max="2" width="4.5703125" style="14" customWidth="1"/>
    <col min="3" max="3" width="12.85546875" style="14" customWidth="1"/>
    <col min="4" max="4" width="12" style="14" bestFit="1" customWidth="1"/>
    <col min="5" max="5" width="12.28515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4.85546875" style="14" customWidth="1"/>
    <col min="10" max="10" width="9.85546875" style="14" bestFit="1" customWidth="1"/>
    <col min="11" max="11" width="14" style="14" customWidth="1"/>
    <col min="12" max="12" width="12.140625" style="14" customWidth="1"/>
    <col min="13" max="13" width="11.28515625" style="14" bestFit="1" customWidth="1"/>
    <col min="14" max="14" width="8.7109375" style="14" bestFit="1" customWidth="1"/>
    <col min="15" max="15" width="13.85546875" style="14" customWidth="1"/>
    <col min="16" max="16" width="12.42578125" style="14" bestFit="1" customWidth="1"/>
    <col min="17" max="17" width="12.140625" style="14" customWidth="1"/>
    <col min="18" max="18" width="12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12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6" ht="12.75" thickBot="1" x14ac:dyDescent="0.25"/>
    <row r="2" spans="4:26" ht="12" customHeight="1" thickBot="1" x14ac:dyDescent="0.25">
      <c r="Q2" s="615" t="s">
        <v>0</v>
      </c>
      <c r="R2" s="616"/>
      <c r="S2" s="617"/>
    </row>
    <row r="3" spans="4:26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+'AGUILAR ESQUIVEL CARLOS'!Q3:S3</f>
        <v>42</v>
      </c>
      <c r="R3" s="621"/>
      <c r="S3" s="594"/>
    </row>
    <row r="4" spans="4:26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26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26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+'AGUILAR ESQUIVEL CARLOS'!Q6+1</f>
        <v>26</v>
      </c>
      <c r="R6" s="636"/>
      <c r="S6" s="637"/>
    </row>
    <row r="7" spans="4:26" ht="9" customHeight="1" x14ac:dyDescent="0.2"/>
    <row r="8" spans="4:26" ht="6.75" customHeight="1" thickBot="1" x14ac:dyDescent="0.25">
      <c r="T8" s="14" t="s">
        <v>182</v>
      </c>
    </row>
    <row r="9" spans="4:26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26" ht="11.25" customHeight="1" thickBot="1" x14ac:dyDescent="0.25">
      <c r="Z10" s="298"/>
    </row>
    <row r="11" spans="4:26" ht="12.75" x14ac:dyDescent="0.2">
      <c r="D11" s="1" t="s">
        <v>7</v>
      </c>
      <c r="E11" s="2" t="s">
        <v>53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  <c r="Z11" s="298"/>
    </row>
    <row r="12" spans="4:26" ht="12.75" x14ac:dyDescent="0.2">
      <c r="D12" s="4" t="s">
        <v>9</v>
      </c>
      <c r="E12" s="606" t="s">
        <v>346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6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6" ht="12.75" x14ac:dyDescent="0.2">
      <c r="D14" s="607" t="s">
        <v>10</v>
      </c>
      <c r="E14" s="608"/>
      <c r="F14" s="130">
        <v>167918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6" ht="12.75" x14ac:dyDescent="0.2">
      <c r="D15" s="607" t="s">
        <v>13</v>
      </c>
      <c r="E15" s="608"/>
      <c r="F15" s="130">
        <v>168634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6" ht="13.5" thickBot="1" x14ac:dyDescent="0.25">
      <c r="D16" s="609" t="s">
        <v>16</v>
      </c>
      <c r="E16" s="610"/>
      <c r="F16" s="257">
        <f>SUM(J19:J32)</f>
        <v>3050</v>
      </c>
      <c r="G16" s="257"/>
      <c r="H16" s="257"/>
      <c r="I16" s="9" t="s">
        <v>17</v>
      </c>
      <c r="J16" s="257">
        <f>SUM(K19:K32)</f>
        <v>880.93200000000002</v>
      </c>
      <c r="K16" s="257"/>
      <c r="L16" s="257"/>
      <c r="M16" s="257"/>
      <c r="N16" s="257"/>
      <c r="O16" s="9" t="s">
        <v>18</v>
      </c>
      <c r="P16" s="10">
        <f>+F16/J16</f>
        <v>3.462242261604755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2:22" x14ac:dyDescent="0.2">
      <c r="B19" s="14" t="s">
        <v>357</v>
      </c>
      <c r="C19" s="176">
        <v>45859</v>
      </c>
      <c r="D19" s="43" t="s">
        <v>486</v>
      </c>
      <c r="E19" s="42">
        <v>45926</v>
      </c>
      <c r="F19" s="42">
        <v>45927</v>
      </c>
      <c r="G19" s="43">
        <v>23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 (FOKKER)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51">
        <v>5918.9</v>
      </c>
      <c r="N19" s="24">
        <v>5</v>
      </c>
      <c r="O19" s="24" t="s">
        <v>436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9"/>
      <c r="U19" s="24">
        <v>60</v>
      </c>
      <c r="V19" s="79">
        <v>60</v>
      </c>
    </row>
    <row r="20" spans="2:22" ht="12.75" thickBot="1" x14ac:dyDescent="0.25">
      <c r="B20" s="14" t="s">
        <v>357</v>
      </c>
      <c r="C20" s="113"/>
      <c r="D20" s="25" t="s">
        <v>487</v>
      </c>
      <c r="E20" s="25">
        <v>45927</v>
      </c>
      <c r="F20" s="25">
        <v>45927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219.95</v>
      </c>
      <c r="L20" s="28">
        <f>SUM(J19:J20)/K20</f>
        <v>3.6371902705160264</v>
      </c>
      <c r="M20" s="352">
        <v>3915</v>
      </c>
      <c r="N20" s="27">
        <v>1</v>
      </c>
      <c r="O20" s="27" t="s">
        <v>488</v>
      </c>
      <c r="P20" s="27" t="s">
        <v>199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+((SUM(J19:J20))/R20)-K20</f>
        <v>106.4500522240084</v>
      </c>
      <c r="T20" s="460">
        <f>+S20*14.85</f>
        <v>1580.7832755265247</v>
      </c>
      <c r="U20" s="27" t="s">
        <v>359</v>
      </c>
      <c r="V20" s="55" t="s">
        <v>359</v>
      </c>
    </row>
    <row r="21" spans="2:22" ht="12.75" customHeight="1" x14ac:dyDescent="0.2">
      <c r="C21" s="176">
        <v>45885</v>
      </c>
      <c r="D21" s="43" t="s">
        <v>489</v>
      </c>
      <c r="E21" s="42">
        <v>45929</v>
      </c>
      <c r="F21" s="42">
        <v>45930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3740.7809999999999</v>
      </c>
      <c r="N21" s="24">
        <v>1</v>
      </c>
      <c r="O21" s="24" t="s">
        <v>405</v>
      </c>
      <c r="P21" s="24" t="s">
        <v>192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9"/>
      <c r="U21" s="24">
        <v>60</v>
      </c>
      <c r="V21" s="79">
        <v>60</v>
      </c>
    </row>
    <row r="22" spans="2:22" ht="12.75" thickBot="1" x14ac:dyDescent="0.25">
      <c r="B22" s="14" t="s">
        <v>357</v>
      </c>
      <c r="C22" s="101"/>
      <c r="D22" s="62" t="s">
        <v>490</v>
      </c>
      <c r="E22" s="25">
        <v>45930</v>
      </c>
      <c r="F22" s="25">
        <v>45930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220.01</v>
      </c>
      <c r="L22" s="28">
        <f>SUM(J21:J22)/K22</f>
        <v>3.4089359574564795</v>
      </c>
      <c r="M22" s="352">
        <v>3228</v>
      </c>
      <c r="N22" s="27">
        <v>1</v>
      </c>
      <c r="O22" s="27" t="s">
        <v>459</v>
      </c>
      <c r="P22" s="27" t="s">
        <v>199</v>
      </c>
      <c r="Q22" s="29">
        <f t="shared" ref="Q22:Q26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50">
        <f>+((SUM(J21:J22))/R22)-K22</f>
        <v>85.990048960007869</v>
      </c>
      <c r="T22" s="460">
        <f>+S22*14.85</f>
        <v>1276.9522270561167</v>
      </c>
      <c r="U22" s="27" t="s">
        <v>359</v>
      </c>
      <c r="V22" s="55" t="s">
        <v>359</v>
      </c>
    </row>
    <row r="23" spans="2:22" ht="11.25" customHeight="1" x14ac:dyDescent="0.2">
      <c r="B23" s="14" t="s">
        <v>357</v>
      </c>
      <c r="C23" s="238">
        <v>46315</v>
      </c>
      <c r="D23" s="36" t="s">
        <v>491</v>
      </c>
      <c r="E23" s="37">
        <v>45931</v>
      </c>
      <c r="F23" s="37">
        <v>45932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29.43</v>
      </c>
      <c r="N23" s="38">
        <v>1</v>
      </c>
      <c r="O23" s="38" t="s">
        <v>493</v>
      </c>
      <c r="P23" s="38" t="s">
        <v>195</v>
      </c>
      <c r="Q23" s="40">
        <f t="shared" si="1"/>
        <v>109.99874999999999</v>
      </c>
      <c r="R23" s="188"/>
      <c r="S23" s="121"/>
      <c r="T23" s="462"/>
      <c r="U23" s="38" t="s">
        <v>359</v>
      </c>
      <c r="V23" s="38" t="s">
        <v>359</v>
      </c>
    </row>
    <row r="24" spans="2:22" ht="12.75" thickBot="1" x14ac:dyDescent="0.25">
      <c r="B24" s="14" t="s">
        <v>357</v>
      </c>
      <c r="C24" s="239"/>
      <c r="D24" s="68" t="s">
        <v>492</v>
      </c>
      <c r="E24" s="69">
        <v>45932</v>
      </c>
      <c r="F24" s="69">
        <v>45932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215.97399999999999</v>
      </c>
      <c r="L24" s="72">
        <f>SUM(J23:J24)/K24</f>
        <v>3.4726402252122943</v>
      </c>
      <c r="M24" s="373">
        <v>4801</v>
      </c>
      <c r="N24" s="70">
        <v>1</v>
      </c>
      <c r="O24" s="70" t="s">
        <v>494</v>
      </c>
      <c r="P24" s="70" t="s">
        <v>199</v>
      </c>
      <c r="Q24" s="67">
        <f t="shared" si="1"/>
        <v>109.99874999999999</v>
      </c>
      <c r="R24" s="197">
        <f>+LOOKUP(P42,UNIDADES!B$3:B$59,UNIDADES!C$3:C$59)</f>
        <v>2.3734099999999998</v>
      </c>
      <c r="S24" s="381">
        <f>+((SUM(J23:J24))/R24)-K24</f>
        <v>100.02702805667798</v>
      </c>
      <c r="T24" s="465">
        <f>+S24*14.85</f>
        <v>1485.4013666416679</v>
      </c>
      <c r="U24" s="70">
        <v>55</v>
      </c>
      <c r="V24" s="70">
        <v>60</v>
      </c>
    </row>
    <row r="25" spans="2:22" x14ac:dyDescent="0.2">
      <c r="B25" s="14" t="s">
        <v>357</v>
      </c>
      <c r="C25" s="176">
        <v>46333</v>
      </c>
      <c r="D25" s="43" t="s">
        <v>495</v>
      </c>
      <c r="E25" s="42">
        <v>45932</v>
      </c>
      <c r="F25" s="42">
        <v>45933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2052.5100000000002</v>
      </c>
      <c r="N25" s="24">
        <v>1</v>
      </c>
      <c r="O25" s="24" t="s">
        <v>497</v>
      </c>
      <c r="P25" s="24" t="s">
        <v>200</v>
      </c>
      <c r="Q25" s="45">
        <f t="shared" si="1"/>
        <v>109.99874999999999</v>
      </c>
      <c r="R25" s="45"/>
      <c r="S25" s="49"/>
      <c r="T25" s="459"/>
      <c r="U25" s="24" t="s">
        <v>359</v>
      </c>
      <c r="V25" s="79" t="s">
        <v>359</v>
      </c>
    </row>
    <row r="26" spans="2:22" ht="12.75" thickBot="1" x14ac:dyDescent="0.25">
      <c r="B26" s="14" t="s">
        <v>357</v>
      </c>
      <c r="C26" s="101"/>
      <c r="D26" s="62" t="s">
        <v>496</v>
      </c>
      <c r="E26" s="25">
        <v>45933</v>
      </c>
      <c r="F26" s="25">
        <v>45933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224.99799999999999</v>
      </c>
      <c r="L26" s="28">
        <f>SUM(J25:J26)/K26</f>
        <v>3.3333629632263397</v>
      </c>
      <c r="M26" s="352">
        <v>1905</v>
      </c>
      <c r="N26" s="27">
        <v>1</v>
      </c>
      <c r="O26" s="27" t="s">
        <v>498</v>
      </c>
      <c r="P26" s="27" t="s">
        <v>199</v>
      </c>
      <c r="Q26" s="29">
        <f t="shared" si="1"/>
        <v>109.99874999999999</v>
      </c>
      <c r="R26" s="190">
        <f>+LOOKUP(P43,UNIDADES!B$3:B$59,UNIDADES!C$3:C$59)</f>
        <v>2.3734099999999998</v>
      </c>
      <c r="S26" s="50">
        <f>+((SUM(J25:J26))/R26)-K26</f>
        <v>91.003028056677977</v>
      </c>
      <c r="T26" s="460">
        <f>+S26*14.85</f>
        <v>1351.3949666416679</v>
      </c>
      <c r="U26" s="27">
        <v>60</v>
      </c>
      <c r="V26" s="55">
        <v>60</v>
      </c>
    </row>
    <row r="27" spans="2:22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21"/>
      <c r="S27" s="121"/>
      <c r="T27" s="462"/>
      <c r="U27" s="38"/>
      <c r="V27" s="38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455"/>
      <c r="S28" s="50"/>
      <c r="T28" s="460"/>
      <c r="U28" s="11"/>
      <c r="V28" s="11"/>
    </row>
    <row r="29" spans="2:22" ht="10.5" hidden="1" customHeight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40"/>
      <c r="S29" s="121"/>
      <c r="T29" s="462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85"/>
      <c r="S30" s="50"/>
      <c r="T30" s="460"/>
      <c r="U30" s="11"/>
      <c r="V30" s="11"/>
    </row>
    <row r="31" spans="2:22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40"/>
      <c r="S31" s="121"/>
      <c r="T31" s="462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29"/>
      <c r="S32" s="19"/>
      <c r="T32" s="460"/>
      <c r="U32" s="11"/>
      <c r="V32" s="11"/>
    </row>
    <row r="33" spans="3:23" ht="12.75" thickBot="1" x14ac:dyDescent="0.25">
      <c r="I33" s="15"/>
    </row>
    <row r="34" spans="3:23" x14ac:dyDescent="0.2">
      <c r="E34" s="611" t="s">
        <v>34</v>
      </c>
      <c r="F34" s="628">
        <f>+'AGUILAR ESQUIVEL CARLOS'!F34:G34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9"/>
      <c r="G35" s="64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8324.5218358659768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879.9899999999999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5694.531835865977</v>
      </c>
      <c r="G39" s="587"/>
      <c r="I39" s="331"/>
      <c r="J39" s="553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313"/>
      <c r="J40" s="117"/>
      <c r="K40" s="61"/>
      <c r="L40" s="111"/>
      <c r="M40" s="349"/>
      <c r="O40" s="78">
        <v>45859</v>
      </c>
      <c r="P40" s="79" t="s">
        <v>164</v>
      </c>
      <c r="Q40" s="78">
        <v>432015</v>
      </c>
      <c r="R40" s="24"/>
      <c r="S40" s="24">
        <v>432764</v>
      </c>
      <c r="T40" s="79">
        <f t="shared" ref="T40:T43" si="2">+S40-Q40</f>
        <v>749</v>
      </c>
      <c r="U40" s="137">
        <f>SUM(J19:J20)</f>
        <v>800</v>
      </c>
      <c r="V40" s="79">
        <f>+K20</f>
        <v>219.95</v>
      </c>
      <c r="W40" s="356">
        <f>(SUM(M19:M20)/2)</f>
        <v>4916.95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>
        <v>45885</v>
      </c>
      <c r="P41" s="53" t="s">
        <v>164</v>
      </c>
      <c r="Q41" s="32">
        <v>432764</v>
      </c>
      <c r="R41" s="11"/>
      <c r="S41" s="11">
        <v>433457</v>
      </c>
      <c r="T41" s="53">
        <f t="shared" si="2"/>
        <v>693</v>
      </c>
      <c r="U41" s="312">
        <f>SUM(J21:J22)</f>
        <v>750</v>
      </c>
      <c r="V41" s="53">
        <f>+K22</f>
        <v>220.01</v>
      </c>
      <c r="W41" s="357">
        <f>(SUM(M21:M22)/2)</f>
        <v>3484.3905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46315</v>
      </c>
      <c r="P42" s="53" t="s">
        <v>130</v>
      </c>
      <c r="Q42" s="32">
        <v>197159</v>
      </c>
      <c r="R42" s="63"/>
      <c r="S42" s="11">
        <v>197888</v>
      </c>
      <c r="T42" s="53">
        <f t="shared" si="2"/>
        <v>729</v>
      </c>
      <c r="U42" s="136">
        <f>SUM(J23:J24)</f>
        <v>750</v>
      </c>
      <c r="V42" s="53">
        <f>+K24</f>
        <v>215.97399999999999</v>
      </c>
      <c r="W42" s="357">
        <f>(SUM(M23:M24)/2)</f>
        <v>2415.2150000000001</v>
      </c>
    </row>
    <row r="43" spans="3:23" x14ac:dyDescent="0.2">
      <c r="C43" s="584" t="s">
        <v>117</v>
      </c>
      <c r="D43" s="585"/>
      <c r="E43" s="585"/>
      <c r="F43" s="586">
        <v>1750</v>
      </c>
      <c r="G43" s="587"/>
      <c r="I43" s="94"/>
      <c r="J43" s="117"/>
      <c r="K43" s="61"/>
      <c r="L43" s="111"/>
      <c r="M43" s="349"/>
      <c r="O43" s="32">
        <v>46333</v>
      </c>
      <c r="P43" s="53" t="s">
        <v>130</v>
      </c>
      <c r="Q43" s="32">
        <v>197889</v>
      </c>
      <c r="R43" s="63"/>
      <c r="S43" s="11">
        <v>198621</v>
      </c>
      <c r="T43" s="53">
        <f t="shared" si="2"/>
        <v>732</v>
      </c>
      <c r="U43" s="136">
        <f>SUM(J25:J26)</f>
        <v>750</v>
      </c>
      <c r="V43" s="53">
        <f>+K26</f>
        <v>224.99799999999999</v>
      </c>
      <c r="W43" s="357">
        <f>(SUM(M25:M26)/2)</f>
        <v>1978.7550000000001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113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/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8324.5218358659768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O37:P37"/>
    <mergeCell ref="Q37:S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C38:E38"/>
    <mergeCell ref="F38:G38"/>
    <mergeCell ref="I37:L37"/>
    <mergeCell ref="C39:E39"/>
    <mergeCell ref="F39:G39"/>
    <mergeCell ref="C37:G37"/>
    <mergeCell ref="C40:E40"/>
    <mergeCell ref="F40:G40"/>
    <mergeCell ref="C41:E41"/>
    <mergeCell ref="F41:G41"/>
    <mergeCell ref="C42:E42"/>
    <mergeCell ref="F42:G42"/>
    <mergeCell ref="I46:K46"/>
    <mergeCell ref="F43:G43"/>
    <mergeCell ref="F44:G44"/>
    <mergeCell ref="C44:E44"/>
    <mergeCell ref="C43:E43"/>
    <mergeCell ref="C45:E45"/>
    <mergeCell ref="F45:G45"/>
    <mergeCell ref="C46:E46"/>
    <mergeCell ref="F46:G46"/>
    <mergeCell ref="C47:E47"/>
    <mergeCell ref="F47:G47"/>
    <mergeCell ref="C48:E48"/>
    <mergeCell ref="F48:G48"/>
    <mergeCell ref="Q53:R53"/>
    <mergeCell ref="Q54:R54"/>
    <mergeCell ref="Q55:R55"/>
    <mergeCell ref="Q56:R56"/>
    <mergeCell ref="C49:E49"/>
    <mergeCell ref="Q52:R52"/>
    <mergeCell ref="D56:H56"/>
    <mergeCell ref="J56:N56"/>
    <mergeCell ref="F49:G49"/>
    <mergeCell ref="P50:R50"/>
    <mergeCell ref="Q51:R51"/>
  </mergeCells>
  <pageMargins left="0.19685039370078741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>
    <pageSetUpPr fitToPage="1"/>
  </sheetPr>
  <dimension ref="C1:W61"/>
  <sheetViews>
    <sheetView topLeftCell="A7" zoomScale="112" zoomScaleNormal="112" workbookViewId="0">
      <selection activeCell="M38" sqref="M38"/>
    </sheetView>
  </sheetViews>
  <sheetFormatPr baseColWidth="10" defaultColWidth="9.140625" defaultRowHeight="12" x14ac:dyDescent="0.2"/>
  <cols>
    <col min="1" max="1" width="1.85546875" style="14" customWidth="1"/>
    <col min="2" max="2" width="1.28515625" style="14" customWidth="1"/>
    <col min="3" max="3" width="14" style="14" customWidth="1"/>
    <col min="4" max="4" width="12" style="14" bestFit="1" customWidth="1"/>
    <col min="5" max="5" width="8.7109375" style="14" customWidth="1"/>
    <col min="6" max="6" width="9.5703125" style="14" customWidth="1"/>
    <col min="7" max="7" width="4.28515625" style="14" customWidth="1"/>
    <col min="8" max="8" width="11" style="14" customWidth="1"/>
    <col min="9" max="9" width="10" style="14" customWidth="1"/>
    <col min="10" max="10" width="9.85546875" style="14" bestFit="1" customWidth="1"/>
    <col min="11" max="11" width="11.5703125" style="14" customWidth="1"/>
    <col min="12" max="13" width="12.7109375" style="14" customWidth="1"/>
    <col min="14" max="14" width="10.5703125" style="14" customWidth="1"/>
    <col min="15" max="15" width="10.140625" style="14" customWidth="1"/>
    <col min="16" max="16" width="15" style="14" customWidth="1"/>
    <col min="17" max="17" width="12.140625" style="14" bestFit="1" customWidth="1"/>
    <col min="18" max="18" width="11.28515625" style="14" hidden="1" customWidth="1"/>
    <col min="19" max="20" width="10.7109375" style="14" customWidth="1"/>
    <col min="21" max="21" width="7.5703125" style="14" hidden="1" customWidth="1"/>
    <col min="22" max="22" width="9.28515625" style="14" hidden="1" customWidth="1"/>
    <col min="23" max="23" width="14.42578125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+'BURGOS TORRES RIGOBERTO'!Q3:S3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+'CORDOVA URIBE JOSE  ADRIAN'!Q6+1</f>
        <v>34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268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75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121469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122158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SUM(J19:J33)</f>
        <v>3050</v>
      </c>
      <c r="G16" s="257"/>
      <c r="H16" s="257"/>
      <c r="I16" s="9" t="s">
        <v>17</v>
      </c>
      <c r="J16" s="257">
        <f>SUM(K19:K33)</f>
        <v>904.09699999999998</v>
      </c>
      <c r="K16" s="257"/>
      <c r="L16" s="257"/>
      <c r="M16" s="257"/>
      <c r="N16" s="257"/>
      <c r="O16" s="9" t="s">
        <v>18</v>
      </c>
      <c r="P16" s="10">
        <f>+F16/J16</f>
        <v>3.373531822359769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68" t="s">
        <v>358</v>
      </c>
      <c r="V18" s="469" t="s">
        <v>361</v>
      </c>
    </row>
    <row r="19" spans="3:22" ht="12.75" customHeight="1" x14ac:dyDescent="0.2">
      <c r="C19" s="176">
        <v>46386</v>
      </c>
      <c r="D19" s="43" t="s">
        <v>387</v>
      </c>
      <c r="E19" s="42">
        <v>45936</v>
      </c>
      <c r="F19" s="42">
        <v>45937</v>
      </c>
      <c r="G19" s="43">
        <v>23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 (FOKKER)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56"/>
      <c r="M19" s="351">
        <v>1170.0039999999999</v>
      </c>
      <c r="N19" s="24">
        <v>5</v>
      </c>
      <c r="O19" s="24" t="s">
        <v>388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63</v>
      </c>
      <c r="V19" s="79">
        <v>61</v>
      </c>
    </row>
    <row r="20" spans="3:22" ht="13.5" customHeight="1" thickBot="1" x14ac:dyDescent="0.25">
      <c r="C20" s="101"/>
      <c r="D20" s="62" t="s">
        <v>443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215.999</v>
      </c>
      <c r="L20" s="112">
        <f>SUM(J19:J20)/K20</f>
        <v>3.7037208505594936</v>
      </c>
      <c r="M20" s="352">
        <v>0</v>
      </c>
      <c r="N20" s="27">
        <v>3</v>
      </c>
      <c r="O20" s="27"/>
      <c r="P20" s="27" t="s">
        <v>203</v>
      </c>
      <c r="Q20" s="29">
        <f t="shared" si="0"/>
        <v>54.999749999999999</v>
      </c>
      <c r="R20" s="190">
        <f>+LOOKUP(P41,UNIDADES!B$3:B$59,UNIDADES!C$3:C$59)</f>
        <v>2.3734099999999998</v>
      </c>
      <c r="S20" s="19">
        <f>+((SUM(J19:J20))/R20)-K20</f>
        <v>121.06876326045651</v>
      </c>
      <c r="T20" s="460">
        <f>+S20*14.85</f>
        <v>1797.8711344177791</v>
      </c>
      <c r="U20" s="27" t="s">
        <v>359</v>
      </c>
      <c r="V20" s="55" t="s">
        <v>359</v>
      </c>
    </row>
    <row r="21" spans="3:22" x14ac:dyDescent="0.2">
      <c r="C21" s="176">
        <v>45920</v>
      </c>
      <c r="D21" s="43" t="s">
        <v>444</v>
      </c>
      <c r="E21" s="42">
        <v>45938</v>
      </c>
      <c r="F21" s="42">
        <v>45939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56"/>
      <c r="M21" s="351">
        <v>3962.91</v>
      </c>
      <c r="N21" s="24">
        <v>1</v>
      </c>
      <c r="O21" s="24" t="s">
        <v>442</v>
      </c>
      <c r="P21" s="24" t="s">
        <v>200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63</v>
      </c>
      <c r="V21" s="79">
        <v>61</v>
      </c>
    </row>
    <row r="22" spans="3:22" ht="13.5" customHeight="1" thickBot="1" x14ac:dyDescent="0.25">
      <c r="C22" s="239"/>
      <c r="D22" s="68" t="s">
        <v>445</v>
      </c>
      <c r="E22" s="69">
        <v>45939</v>
      </c>
      <c r="F22" s="69">
        <v>45939</v>
      </c>
      <c r="G22" s="68">
        <v>3</v>
      </c>
      <c r="H22" s="70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236.03100000000001</v>
      </c>
      <c r="L22" s="299">
        <f>SUM(J21:J22)/K22</f>
        <v>3.177548711821752</v>
      </c>
      <c r="M22" s="373">
        <v>2736.21</v>
      </c>
      <c r="N22" s="70">
        <v>1</v>
      </c>
      <c r="O22" s="70">
        <v>53503</v>
      </c>
      <c r="P22" s="70" t="s">
        <v>248</v>
      </c>
      <c r="Q22" s="67">
        <f t="shared" si="1"/>
        <v>109.99874999999999</v>
      </c>
      <c r="R22" s="197">
        <f>+LOOKUP(P42,UNIDADES!B$3:B$59,UNIDADES!C$3:C$59)</f>
        <v>2.3734099999999998</v>
      </c>
      <c r="S22" s="194">
        <f>+((SUM(J21:J22))/R22)-K22</f>
        <v>79.970028056677961</v>
      </c>
      <c r="T22" s="465">
        <f>+S22*14.85</f>
        <v>1187.5549166416677</v>
      </c>
      <c r="U22" s="70" t="s">
        <v>359</v>
      </c>
      <c r="V22" s="488" t="s">
        <v>359</v>
      </c>
    </row>
    <row r="23" spans="3:22" x14ac:dyDescent="0.2">
      <c r="C23" s="176">
        <v>45931</v>
      </c>
      <c r="D23" s="43" t="s">
        <v>551</v>
      </c>
      <c r="E23" s="42">
        <v>45939</v>
      </c>
      <c r="F23" s="42">
        <v>45940</v>
      </c>
      <c r="G23" s="43">
        <v>2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56"/>
      <c r="M23" s="351">
        <v>1073.67</v>
      </c>
      <c r="N23" s="24">
        <v>1</v>
      </c>
      <c r="O23" s="24" t="s">
        <v>550</v>
      </c>
      <c r="P23" s="24" t="s">
        <v>248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24">
        <v>61</v>
      </c>
      <c r="V23" s="79">
        <v>61</v>
      </c>
    </row>
    <row r="24" spans="3:22" ht="13.5" customHeight="1" thickBot="1" x14ac:dyDescent="0.25">
      <c r="C24" s="101"/>
      <c r="D24" s="62" t="s">
        <v>552</v>
      </c>
      <c r="E24" s="25">
        <v>45940</v>
      </c>
      <c r="F24" s="25">
        <v>45940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216.07400000000001</v>
      </c>
      <c r="L24" s="112">
        <f>SUM(J23:J24)/K24</f>
        <v>3.47103307200311</v>
      </c>
      <c r="M24" s="352">
        <v>942.74</v>
      </c>
      <c r="N24" s="27">
        <v>1</v>
      </c>
      <c r="O24" s="27">
        <v>1056</v>
      </c>
      <c r="P24" s="27" t="s">
        <v>204</v>
      </c>
      <c r="Q24" s="29">
        <f t="shared" si="2"/>
        <v>109.99874999999999</v>
      </c>
      <c r="R24" s="190">
        <f>+LOOKUP(P43,UNIDADES!B$3:B$59,UNIDADES!C$3:C$59)</f>
        <v>2.3734099999999998</v>
      </c>
      <c r="S24" s="19">
        <f>+((SUM(J23:J24))/R24)-K24</f>
        <v>99.927028056677955</v>
      </c>
      <c r="T24" s="460">
        <f>+S24*14.85</f>
        <v>1483.9163666416675</v>
      </c>
      <c r="U24" s="27" t="s">
        <v>359</v>
      </c>
      <c r="V24" s="55" t="s">
        <v>359</v>
      </c>
    </row>
    <row r="25" spans="3:22" x14ac:dyDescent="0.2">
      <c r="C25" s="176">
        <v>45964</v>
      </c>
      <c r="D25" s="43" t="s">
        <v>567</v>
      </c>
      <c r="E25" s="42">
        <v>45940</v>
      </c>
      <c r="F25" s="42">
        <v>45941</v>
      </c>
      <c r="G25" s="43">
        <v>2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56"/>
      <c r="M25" s="351">
        <v>377.34</v>
      </c>
      <c r="N25" s="24">
        <v>1</v>
      </c>
      <c r="O25" s="24" t="s">
        <v>566</v>
      </c>
      <c r="P25" s="24" t="s">
        <v>248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24"/>
      <c r="V25" s="79"/>
    </row>
    <row r="26" spans="3:22" ht="13.5" customHeight="1" thickBot="1" x14ac:dyDescent="0.25">
      <c r="C26" s="101"/>
      <c r="D26" s="62" t="s">
        <v>568</v>
      </c>
      <c r="E26" s="25">
        <v>45943</v>
      </c>
      <c r="F26" s="25">
        <v>45943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235.99299999999999</v>
      </c>
      <c r="L26" s="112">
        <f>SUM(J25:J26)/K26</f>
        <v>3.1780603661973026</v>
      </c>
      <c r="M26" s="352">
        <v>4288.491</v>
      </c>
      <c r="N26" s="27">
        <v>1</v>
      </c>
      <c r="O26" s="27" t="s">
        <v>473</v>
      </c>
      <c r="P26" s="27" t="s">
        <v>192</v>
      </c>
      <c r="Q26" s="29">
        <f t="shared" si="3"/>
        <v>109.99874999999999</v>
      </c>
      <c r="R26" s="190">
        <f>+LOOKUP(P44,UNIDADES!B$3:B$59,UNIDADES!C$3:C$59)</f>
        <v>2.3734099999999998</v>
      </c>
      <c r="S26" s="19">
        <f>+((SUM(J25:J26))/R26)-K26</f>
        <v>80.008028056677972</v>
      </c>
      <c r="T26" s="460">
        <f>+S26*14.85</f>
        <v>1188.1192166416679</v>
      </c>
      <c r="U26" s="27"/>
      <c r="V26" s="55"/>
    </row>
    <row r="27" spans="3:22" ht="12.75" hidden="1" customHeight="1" thickBot="1" x14ac:dyDescent="0.25">
      <c r="C27" s="240"/>
      <c r="D27" s="57"/>
      <c r="E27" s="58"/>
      <c r="F27" s="58"/>
      <c r="G27" s="57"/>
      <c r="H27" s="322"/>
      <c r="I27" s="322"/>
      <c r="J27" s="337"/>
      <c r="K27" s="322"/>
      <c r="L27" s="501"/>
      <c r="M27" s="388"/>
      <c r="N27" s="322"/>
      <c r="O27" s="322"/>
      <c r="P27" s="322"/>
      <c r="Q27" s="339"/>
      <c r="R27" s="340"/>
      <c r="S27" s="341"/>
      <c r="T27" s="474"/>
      <c r="U27" s="487"/>
      <c r="V27" s="38"/>
    </row>
    <row r="28" spans="3:22" hidden="1" x14ac:dyDescent="0.2">
      <c r="C28" s="176"/>
      <c r="D28" s="43"/>
      <c r="E28" s="42"/>
      <c r="F28" s="42"/>
      <c r="G28" s="43"/>
      <c r="H28" s="24"/>
      <c r="I28" s="24"/>
      <c r="J28" s="51"/>
      <c r="K28" s="24"/>
      <c r="L28" s="56"/>
      <c r="M28" s="351"/>
      <c r="N28" s="24"/>
      <c r="O28" s="24"/>
      <c r="P28" s="24"/>
      <c r="Q28" s="45"/>
      <c r="R28" s="191"/>
      <c r="S28" s="52"/>
      <c r="T28" s="459"/>
      <c r="U28" s="11"/>
      <c r="V28" s="11"/>
    </row>
    <row r="29" spans="3:22" ht="13.5" hidden="1" customHeight="1" thickBot="1" x14ac:dyDescent="0.25">
      <c r="C29" s="101"/>
      <c r="D29" s="62"/>
      <c r="E29" s="25"/>
      <c r="F29" s="25"/>
      <c r="G29" s="62"/>
      <c r="H29" s="27"/>
      <c r="I29" s="27"/>
      <c r="J29" s="31"/>
      <c r="K29" s="27"/>
      <c r="L29" s="112"/>
      <c r="M29" s="352"/>
      <c r="N29" s="27"/>
      <c r="O29" s="27"/>
      <c r="P29" s="27"/>
      <c r="Q29" s="29"/>
      <c r="R29" s="190"/>
      <c r="S29" s="19"/>
      <c r="T29" s="460"/>
      <c r="U29" s="11"/>
      <c r="V29" s="11"/>
    </row>
    <row r="30" spans="3:22" hidden="1" x14ac:dyDescent="0.2">
      <c r="C30" s="375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2"/>
      <c r="U30" s="11"/>
      <c r="V30" s="11"/>
    </row>
    <row r="31" spans="3:22" ht="13.5" hidden="1" customHeight="1" x14ac:dyDescent="0.2">
      <c r="C31" s="385"/>
      <c r="D31" s="386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1"/>
      <c r="U31" s="11"/>
      <c r="V31" s="11"/>
    </row>
    <row r="32" spans="3:22" hidden="1" x14ac:dyDescent="0.2">
      <c r="C32" s="385"/>
      <c r="D32" s="387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1"/>
      <c r="U32" s="11"/>
      <c r="V32" s="11"/>
    </row>
    <row r="33" spans="3:23" ht="13.5" hidden="1" customHeight="1" thickBot="1" x14ac:dyDescent="0.25">
      <c r="C33" s="347"/>
      <c r="D33" s="61"/>
      <c r="E33" s="12"/>
      <c r="F33" s="12"/>
      <c r="G33" s="61"/>
      <c r="H33" s="366"/>
      <c r="I33" s="11"/>
      <c r="J33" s="22"/>
      <c r="K33" s="11"/>
      <c r="L33" s="23"/>
      <c r="M33" s="374"/>
      <c r="N33" s="11"/>
      <c r="O33" s="11"/>
      <c r="P33" s="11"/>
      <c r="Q33" s="13"/>
      <c r="R33" s="342"/>
      <c r="S33" s="195"/>
      <c r="T33" s="461"/>
      <c r="U33" s="470"/>
      <c r="V33" s="471"/>
    </row>
    <row r="34" spans="3:23" ht="12.75" thickBot="1" x14ac:dyDescent="0.25">
      <c r="I34" s="15"/>
      <c r="R34" s="193"/>
      <c r="S34" s="15"/>
    </row>
    <row r="35" spans="3:23" x14ac:dyDescent="0.2">
      <c r="E35" s="611" t="s">
        <v>34</v>
      </c>
      <c r="F35" s="628">
        <f>+'AGUILAR ESQUIVEL CARLOS'!F34</f>
        <v>45936</v>
      </c>
      <c r="G35" s="629"/>
      <c r="H35" s="16">
        <f>+F35+1</f>
        <v>45937</v>
      </c>
      <c r="I35" s="16">
        <f>+H35+1</f>
        <v>45938</v>
      </c>
      <c r="J35" s="16">
        <f>+I35+1</f>
        <v>45939</v>
      </c>
      <c r="K35" s="16">
        <f>+J35+1</f>
        <v>45940</v>
      </c>
      <c r="L35" s="16">
        <f>+K35+2</f>
        <v>45942</v>
      </c>
      <c r="M35" s="17" t="s">
        <v>35</v>
      </c>
    </row>
    <row r="36" spans="3:23" ht="12.75" thickBot="1" x14ac:dyDescent="0.25">
      <c r="E36" s="612"/>
      <c r="F36" s="630"/>
      <c r="G36" s="631"/>
      <c r="H36" s="29"/>
      <c r="I36" s="29"/>
      <c r="J36" s="29"/>
      <c r="K36" s="29"/>
      <c r="L36" s="29"/>
      <c r="M36" s="30">
        <f>SUM(F36:L36)</f>
        <v>0</v>
      </c>
      <c r="P36" s="14" t="s">
        <v>182</v>
      </c>
    </row>
    <row r="37" spans="3:23" ht="12.75" thickBot="1" x14ac:dyDescent="0.25">
      <c r="I37" s="15"/>
      <c r="K37" s="14" t="s">
        <v>182</v>
      </c>
    </row>
    <row r="38" spans="3:23" ht="13.5" thickBot="1" x14ac:dyDescent="0.25">
      <c r="C38" s="590" t="s">
        <v>36</v>
      </c>
      <c r="D38" s="591"/>
      <c r="E38" s="591"/>
      <c r="F38" s="591"/>
      <c r="G38" s="592"/>
      <c r="I38" s="602" t="s">
        <v>37</v>
      </c>
      <c r="J38" s="603"/>
      <c r="K38" s="603"/>
      <c r="L38" s="604"/>
      <c r="M38" s="298"/>
      <c r="O38" s="593" t="s">
        <v>38</v>
      </c>
      <c r="P38" s="594"/>
      <c r="Q38" s="293">
        <f>+F50-L47</f>
        <v>6532.4526343427824</v>
      </c>
      <c r="R38" s="294"/>
      <c r="S38" s="295"/>
    </row>
    <row r="39" spans="3:23" ht="12.75" thickBot="1" x14ac:dyDescent="0.25">
      <c r="C39" s="598" t="s">
        <v>220</v>
      </c>
      <c r="D39" s="599"/>
      <c r="E39" s="599"/>
      <c r="F39" s="600">
        <f>SUM(Q18:Q34)</f>
        <v>824.99099999999987</v>
      </c>
      <c r="G39" s="601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584" t="s">
        <v>221</v>
      </c>
      <c r="D40" s="585"/>
      <c r="E40" s="585"/>
      <c r="F40" s="586">
        <f>SUM(T18:T34)</f>
        <v>5657.4616343427824</v>
      </c>
      <c r="G40" s="587"/>
      <c r="I40" s="414"/>
      <c r="J40" s="415"/>
      <c r="K40" s="416"/>
      <c r="L40" s="412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329" t="s">
        <v>285</v>
      </c>
    </row>
    <row r="41" spans="3:23" x14ac:dyDescent="0.2">
      <c r="C41" s="584" t="s">
        <v>34</v>
      </c>
      <c r="D41" s="585"/>
      <c r="E41" s="585"/>
      <c r="F41" s="586">
        <f>+M36</f>
        <v>0</v>
      </c>
      <c r="G41" s="587"/>
      <c r="I41" s="330"/>
      <c r="J41" s="117"/>
      <c r="K41" s="417"/>
      <c r="L41" s="410"/>
      <c r="M41" s="349"/>
      <c r="O41" s="78">
        <v>46386</v>
      </c>
      <c r="P41" s="79" t="s">
        <v>75</v>
      </c>
      <c r="Q41" s="80">
        <v>229698</v>
      </c>
      <c r="R41" s="80"/>
      <c r="S41" s="63">
        <v>230448</v>
      </c>
      <c r="T41" s="53">
        <f>+S41-Q41</f>
        <v>750</v>
      </c>
      <c r="U41" s="137">
        <f>SUM(J19:J20)</f>
        <v>800</v>
      </c>
      <c r="V41" s="79">
        <f>+K20</f>
        <v>215.999</v>
      </c>
      <c r="W41" s="356">
        <f>(SUM(M19:M20)/2)</f>
        <v>585.00199999999995</v>
      </c>
    </row>
    <row r="42" spans="3:23" x14ac:dyDescent="0.2">
      <c r="C42" s="584" t="s">
        <v>187</v>
      </c>
      <c r="D42" s="585"/>
      <c r="E42" s="585"/>
      <c r="F42" s="586">
        <v>0</v>
      </c>
      <c r="G42" s="587"/>
      <c r="I42" s="330"/>
      <c r="J42" s="117"/>
      <c r="K42" s="417"/>
      <c r="L42" s="410"/>
      <c r="M42" s="349"/>
      <c r="O42" s="32">
        <v>45920</v>
      </c>
      <c r="P42" s="53" t="s">
        <v>75</v>
      </c>
      <c r="Q42" s="63">
        <v>230448</v>
      </c>
      <c r="R42" s="63"/>
      <c r="S42" s="63">
        <v>231146</v>
      </c>
      <c r="T42" s="53">
        <f t="shared" ref="T42:T44" si="4">+S42-Q42</f>
        <v>698</v>
      </c>
      <c r="U42" s="136">
        <f>SUM(J21:J22)</f>
        <v>750</v>
      </c>
      <c r="V42" s="53">
        <f>+K22</f>
        <v>236.03100000000001</v>
      </c>
      <c r="W42" s="357">
        <f>(SUM(M21:M22)/2)</f>
        <v>3349.56</v>
      </c>
    </row>
    <row r="43" spans="3:23" x14ac:dyDescent="0.2">
      <c r="C43" s="584" t="s">
        <v>39</v>
      </c>
      <c r="D43" s="585"/>
      <c r="E43" s="585"/>
      <c r="F43" s="586"/>
      <c r="G43" s="587"/>
      <c r="I43" s="330"/>
      <c r="J43" s="117"/>
      <c r="K43" s="417"/>
      <c r="L43" s="410"/>
      <c r="M43" s="349"/>
      <c r="O43" s="32">
        <v>45931</v>
      </c>
      <c r="P43" s="53" t="s">
        <v>75</v>
      </c>
      <c r="Q43" s="63">
        <v>231146</v>
      </c>
      <c r="R43" s="63"/>
      <c r="S43" s="63">
        <v>231865</v>
      </c>
      <c r="T43" s="53">
        <f t="shared" si="4"/>
        <v>719</v>
      </c>
      <c r="U43" s="136">
        <f>SUM(J23:J24)</f>
        <v>750</v>
      </c>
      <c r="V43" s="53">
        <f>+K24</f>
        <v>216.07400000000001</v>
      </c>
      <c r="W43" s="357">
        <f>(SUM(M23:M24)/2)</f>
        <v>1008.205</v>
      </c>
    </row>
    <row r="44" spans="3:23" x14ac:dyDescent="0.2">
      <c r="C44" s="584" t="s">
        <v>117</v>
      </c>
      <c r="D44" s="585"/>
      <c r="E44" s="585"/>
      <c r="F44" s="586"/>
      <c r="G44" s="587"/>
      <c r="I44" s="330"/>
      <c r="J44" s="117"/>
      <c r="K44" s="417"/>
      <c r="L44" s="410"/>
      <c r="M44" s="349"/>
      <c r="O44" s="32">
        <v>45964</v>
      </c>
      <c r="P44" s="53" t="s">
        <v>75</v>
      </c>
      <c r="Q44" s="63">
        <v>231865</v>
      </c>
      <c r="R44" s="63"/>
      <c r="S44" s="11">
        <v>232880</v>
      </c>
      <c r="T44" s="53">
        <f t="shared" si="4"/>
        <v>1015</v>
      </c>
      <c r="U44" s="136">
        <f>SUM(J25:J27)</f>
        <v>750</v>
      </c>
      <c r="V44" s="53">
        <f>+K26</f>
        <v>235.99299999999999</v>
      </c>
      <c r="W44" s="357">
        <f>(SUM(M25:M27)/2)</f>
        <v>2332.9155000000001</v>
      </c>
    </row>
    <row r="45" spans="3:23" x14ac:dyDescent="0.2">
      <c r="C45" s="584" t="s">
        <v>40</v>
      </c>
      <c r="D45" s="585"/>
      <c r="E45" s="585"/>
      <c r="F45" s="586">
        <v>50</v>
      </c>
      <c r="G45" s="587"/>
      <c r="I45" s="330"/>
      <c r="J45" s="117"/>
      <c r="K45" s="418"/>
      <c r="L45" s="410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SUM(J28:J29)</f>
        <v>0</v>
      </c>
      <c r="V45" s="53">
        <f>+K29</f>
        <v>0</v>
      </c>
      <c r="W45" s="357">
        <f>(SUM(M28:M29)/2)</f>
        <v>0</v>
      </c>
    </row>
    <row r="46" spans="3:23" ht="12.75" thickBot="1" x14ac:dyDescent="0.25">
      <c r="C46" s="584" t="s">
        <v>125</v>
      </c>
      <c r="D46" s="585"/>
      <c r="E46" s="585"/>
      <c r="F46" s="586"/>
      <c r="G46" s="587"/>
      <c r="I46" s="419"/>
      <c r="J46" s="285"/>
      <c r="K46" s="420"/>
      <c r="L46" s="413"/>
      <c r="M46" s="349"/>
      <c r="O46" s="32"/>
      <c r="P46" s="53"/>
      <c r="Q46" s="63"/>
      <c r="R46" s="95"/>
      <c r="S46" s="11"/>
      <c r="T46" s="53">
        <f t="shared" ref="T46" si="5">+S46-Q46</f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584" t="s">
        <v>244</v>
      </c>
      <c r="D47" s="585"/>
      <c r="E47" s="585"/>
      <c r="F47" s="588"/>
      <c r="G47" s="589"/>
      <c r="I47" s="579" t="s">
        <v>41</v>
      </c>
      <c r="J47" s="580"/>
      <c r="K47" s="614"/>
      <c r="L47" s="284">
        <f>SUM(L40:L46)</f>
        <v>0</v>
      </c>
      <c r="M47" s="350"/>
      <c r="O47" s="113"/>
      <c r="P47" s="264"/>
      <c r="Q47" s="265"/>
      <c r="R47" s="83"/>
      <c r="S47" s="81"/>
      <c r="T47" s="82">
        <f>+S47-Q47</f>
        <v>0</v>
      </c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584" t="s">
        <v>349</v>
      </c>
      <c r="D48" s="585"/>
      <c r="E48" s="585"/>
      <c r="F48" s="588"/>
      <c r="G48" s="589"/>
      <c r="R48" s="21"/>
      <c r="S48" s="21"/>
      <c r="T48" s="21"/>
      <c r="U48" s="139"/>
      <c r="V48" s="271"/>
    </row>
    <row r="49" spans="3:22" ht="13.5" customHeight="1" thickBot="1" x14ac:dyDescent="0.25">
      <c r="C49" s="575" t="s">
        <v>316</v>
      </c>
      <c r="D49" s="576"/>
      <c r="E49" s="576"/>
      <c r="F49" s="577"/>
      <c r="G49" s="578"/>
      <c r="R49" s="21"/>
      <c r="S49" s="21"/>
      <c r="T49" s="21"/>
      <c r="U49" s="139"/>
      <c r="V49" s="271"/>
    </row>
    <row r="50" spans="3:22" ht="13.5" thickBot="1" x14ac:dyDescent="0.25">
      <c r="C50" s="579" t="s">
        <v>42</v>
      </c>
      <c r="D50" s="580"/>
      <c r="E50" s="581"/>
      <c r="F50" s="582">
        <f>SUM(F39:G49)</f>
        <v>6532.4526343427824</v>
      </c>
      <c r="G50" s="583"/>
      <c r="R50" s="21"/>
      <c r="S50" s="21"/>
      <c r="T50" s="21"/>
      <c r="U50" s="139"/>
      <c r="V50" s="271"/>
    </row>
    <row r="51" spans="3:22" ht="13.5" customHeight="1" thickBot="1" x14ac:dyDescent="0.25">
      <c r="P51" s="570" t="s">
        <v>48</v>
      </c>
      <c r="Q51" s="571"/>
      <c r="R51" s="572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66" t="s">
        <v>49</v>
      </c>
      <c r="R52" s="567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68" t="s">
        <v>136</v>
      </c>
      <c r="R53" s="569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68" t="s">
        <v>131</v>
      </c>
      <c r="R54" s="569"/>
      <c r="S54" s="21"/>
      <c r="T54" s="249"/>
    </row>
    <row r="55" spans="3:22" x14ac:dyDescent="0.2">
      <c r="P55" s="32">
        <v>4</v>
      </c>
      <c r="Q55" s="568" t="s">
        <v>229</v>
      </c>
      <c r="R55" s="569"/>
      <c r="S55" s="21"/>
      <c r="T55" s="249"/>
    </row>
    <row r="56" spans="3:22" ht="12.75" thickBot="1" x14ac:dyDescent="0.25">
      <c r="P56" s="32">
        <v>5</v>
      </c>
      <c r="Q56" s="568" t="s">
        <v>230</v>
      </c>
      <c r="R56" s="569"/>
      <c r="S56" s="21"/>
    </row>
    <row r="57" spans="3:22" ht="14.25" customHeight="1" thickTop="1" thickBot="1" x14ac:dyDescent="0.25">
      <c r="D57" s="613" t="s">
        <v>44</v>
      </c>
      <c r="E57" s="613"/>
      <c r="F57" s="613"/>
      <c r="G57" s="613"/>
      <c r="H57" s="613"/>
      <c r="J57" s="613" t="s">
        <v>45</v>
      </c>
      <c r="K57" s="613"/>
      <c r="L57" s="613"/>
      <c r="M57" s="613"/>
      <c r="N57" s="613"/>
      <c r="P57" s="54">
        <v>6</v>
      </c>
      <c r="Q57" s="573" t="s">
        <v>231</v>
      </c>
      <c r="R57" s="574"/>
      <c r="S57" s="21"/>
      <c r="T57" s="21"/>
    </row>
    <row r="58" spans="3:22" x14ac:dyDescent="0.2">
      <c r="S58" s="21"/>
      <c r="T58" s="21"/>
    </row>
    <row r="61" spans="3:22" ht="15" customHeight="1" x14ac:dyDescent="0.2"/>
  </sheetData>
  <mergeCells count="55">
    <mergeCell ref="D57:H57"/>
    <mergeCell ref="J57:N57"/>
    <mergeCell ref="I47:K47"/>
    <mergeCell ref="C49:E49"/>
    <mergeCell ref="F49:G49"/>
    <mergeCell ref="C50:E50"/>
    <mergeCell ref="F50:G50"/>
    <mergeCell ref="C48:E48"/>
    <mergeCell ref="F48:G48"/>
    <mergeCell ref="C47:E47"/>
    <mergeCell ref="F47:G47"/>
    <mergeCell ref="F46:G46"/>
    <mergeCell ref="C41:E41"/>
    <mergeCell ref="F41:G41"/>
    <mergeCell ref="C38:G38"/>
    <mergeCell ref="C45:E45"/>
    <mergeCell ref="C46:E46"/>
    <mergeCell ref="C39:E39"/>
    <mergeCell ref="F39:G39"/>
    <mergeCell ref="C42:E42"/>
    <mergeCell ref="F42:G42"/>
    <mergeCell ref="C43:E43"/>
    <mergeCell ref="F43:G43"/>
    <mergeCell ref="F44:G44"/>
    <mergeCell ref="C44:E44"/>
    <mergeCell ref="C40:E40"/>
    <mergeCell ref="F40:G40"/>
    <mergeCell ref="F35:G35"/>
    <mergeCell ref="F36:G36"/>
    <mergeCell ref="F45:G45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Q54:R54"/>
    <mergeCell ref="Q55:R55"/>
    <mergeCell ref="Q56:R56"/>
    <mergeCell ref="Q57:R57"/>
    <mergeCell ref="Q2:S2"/>
    <mergeCell ref="P51:R51"/>
    <mergeCell ref="Q52:R52"/>
    <mergeCell ref="Q53:R53"/>
    <mergeCell ref="O38:P38"/>
    <mergeCell ref="I3:O3"/>
    <mergeCell ref="Q3:S3"/>
    <mergeCell ref="I4:O4"/>
    <mergeCell ref="I5:O5"/>
    <mergeCell ref="Q5:S5"/>
    <mergeCell ref="I6:O6"/>
  </mergeCells>
  <phoneticPr fontId="21" type="noConversion"/>
  <pageMargins left="0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5">
    <pageSetUpPr fitToPage="1"/>
  </sheetPr>
  <dimension ref="C1:W56"/>
  <sheetViews>
    <sheetView topLeftCell="A6" zoomScaleNormal="100" workbookViewId="0">
      <selection activeCell="C47" sqref="C47:E47"/>
    </sheetView>
  </sheetViews>
  <sheetFormatPr baseColWidth="10" defaultColWidth="9.140625" defaultRowHeight="12" x14ac:dyDescent="0.2"/>
  <cols>
    <col min="1" max="1" width="2.85546875" style="14" customWidth="1"/>
    <col min="2" max="2" width="2.42578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7109375" style="14" customWidth="1"/>
    <col min="12" max="12" width="13.7109375" style="14" customWidth="1"/>
    <col min="13" max="13" width="10" style="14" customWidth="1"/>
    <col min="14" max="14" width="10.140625" style="14" customWidth="1"/>
    <col min="15" max="15" width="11.85546875" style="14" customWidth="1"/>
    <col min="16" max="16" width="13.5703125" style="14" customWidth="1"/>
    <col min="17" max="17" width="10.85546875" style="14" customWidth="1"/>
    <col min="18" max="18" width="9" style="14" hidden="1" customWidth="1"/>
    <col min="19" max="19" width="10.140625" style="14" customWidth="1"/>
    <col min="20" max="20" width="11.5703125" style="14" customWidth="1"/>
    <col min="21" max="22" width="9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'AGUILERA CONTRERAS LUIS GERARDO'!Q3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+'GUZMAN CHAPARRO PEDRO'!Q6+1</f>
        <v>37</v>
      </c>
      <c r="R6" s="636"/>
      <c r="S6" s="637"/>
    </row>
    <row r="8" spans="4:19" ht="12.75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2.75" thickBot="1" x14ac:dyDescent="0.25"/>
    <row r="11" spans="4:19" ht="12.75" x14ac:dyDescent="0.2">
      <c r="D11" s="1" t="s">
        <v>7</v>
      </c>
      <c r="E11" s="2" t="s">
        <v>535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156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1500</v>
      </c>
      <c r="G16" s="257"/>
      <c r="H16" s="257"/>
      <c r="I16" s="9" t="s">
        <v>17</v>
      </c>
      <c r="J16" s="257">
        <f>SUM(K19:K32)</f>
        <v>499.31700000000001</v>
      </c>
      <c r="K16" s="257"/>
      <c r="L16" s="257"/>
      <c r="M16" s="257"/>
      <c r="N16" s="257"/>
      <c r="O16" s="9" t="s">
        <v>18</v>
      </c>
      <c r="P16" s="10">
        <f>+F16/J16</f>
        <v>3.0041036055251471</v>
      </c>
      <c r="Q16" s="257"/>
      <c r="R16" s="257"/>
      <c r="S16" s="258"/>
    </row>
    <row r="17" spans="3:23" ht="12.75" thickBot="1" x14ac:dyDescent="0.25"/>
    <row r="18" spans="3:23" ht="36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>
        <v>1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3:23" x14ac:dyDescent="0.2">
      <c r="C19" s="176">
        <v>45949</v>
      </c>
      <c r="D19" s="43" t="s">
        <v>538</v>
      </c>
      <c r="E19" s="42">
        <v>45939</v>
      </c>
      <c r="F19" s="42">
        <v>45940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478</v>
      </c>
      <c r="N19" s="24">
        <v>1</v>
      </c>
      <c r="O19" s="24" t="s">
        <v>536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>
        <v>7</v>
      </c>
      <c r="V19" s="17">
        <v>7</v>
      </c>
    </row>
    <row r="20" spans="3:23" ht="11.25" customHeight="1" thickBot="1" x14ac:dyDescent="0.25">
      <c r="C20" s="239"/>
      <c r="D20" s="68" t="s">
        <v>539</v>
      </c>
      <c r="E20" s="69">
        <v>45940</v>
      </c>
      <c r="F20" s="69">
        <v>45941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223.83</v>
      </c>
      <c r="L20" s="72">
        <f>SUM(J19:J20)/K20</f>
        <v>3.3507572711432783</v>
      </c>
      <c r="M20" s="373">
        <v>12195.433999999999</v>
      </c>
      <c r="N20" s="70">
        <v>1</v>
      </c>
      <c r="O20" s="70" t="s">
        <v>537</v>
      </c>
      <c r="P20" s="70" t="s">
        <v>195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82.170048960007847</v>
      </c>
      <c r="T20" s="465">
        <f>+S20*14.85</f>
        <v>1220.2252270561164</v>
      </c>
      <c r="U20" s="68">
        <v>7</v>
      </c>
      <c r="V20" s="482">
        <v>7</v>
      </c>
      <c r="W20" s="244"/>
    </row>
    <row r="21" spans="3:23" ht="11.25" customHeight="1" x14ac:dyDescent="0.2">
      <c r="C21" s="176">
        <v>45967</v>
      </c>
      <c r="D21" s="43" t="s">
        <v>572</v>
      </c>
      <c r="E21" s="42">
        <v>45940</v>
      </c>
      <c r="F21" s="42">
        <v>45941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18970</v>
      </c>
      <c r="N21" s="24">
        <v>1</v>
      </c>
      <c r="O21" s="24">
        <v>37427</v>
      </c>
      <c r="P21" s="24" t="s">
        <v>198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>
        <v>7</v>
      </c>
      <c r="V21" s="17">
        <v>9</v>
      </c>
    </row>
    <row r="22" spans="3:23" ht="13.5" customHeight="1" thickBot="1" x14ac:dyDescent="0.25">
      <c r="C22" s="240"/>
      <c r="D22" s="57" t="s">
        <v>573</v>
      </c>
      <c r="E22" s="58">
        <v>45943</v>
      </c>
      <c r="F22" s="58">
        <v>45943</v>
      </c>
      <c r="G22" s="57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275.48700000000002</v>
      </c>
      <c r="L22" s="28">
        <f>SUM(J21:J22)/K22</f>
        <v>2.7224515131385507</v>
      </c>
      <c r="M22" s="352">
        <v>10296</v>
      </c>
      <c r="N22" s="27">
        <v>1</v>
      </c>
      <c r="O22" s="27" t="s">
        <v>381</v>
      </c>
      <c r="P22" s="27" t="s">
        <v>202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30.513048960007836</v>
      </c>
      <c r="T22" s="460">
        <f>+S22*14.85</f>
        <v>453.11877705611636</v>
      </c>
      <c r="U22" s="62">
        <v>7</v>
      </c>
      <c r="V22" s="420">
        <v>9</v>
      </c>
    </row>
    <row r="23" spans="3:23" hidden="1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24"/>
      <c r="V23" s="79"/>
    </row>
    <row r="24" spans="3:23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27"/>
      <c r="V24" s="55"/>
    </row>
    <row r="25" spans="3:23" hidden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8"/>
      <c r="V25" s="38"/>
    </row>
    <row r="26" spans="3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3" ht="14.2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4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N33" s="14" t="s">
        <v>182</v>
      </c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+F48-L46</f>
        <v>2113.3390041122329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439.99499999999995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1673.3440041122328</v>
      </c>
      <c r="G39" s="587"/>
      <c r="I39" s="331"/>
      <c r="J39" s="553"/>
      <c r="K39" s="434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61"/>
      <c r="L40" s="111"/>
      <c r="M40" s="349"/>
      <c r="N40" s="403"/>
      <c r="O40" s="78">
        <v>45949</v>
      </c>
      <c r="P40" s="79" t="s">
        <v>156</v>
      </c>
      <c r="Q40" s="78">
        <v>1595048</v>
      </c>
      <c r="R40" s="80"/>
      <c r="S40" s="24">
        <v>1595771</v>
      </c>
      <c r="T40" s="79">
        <f t="shared" ref="T40:T42" si="2">+S40-Q40</f>
        <v>723</v>
      </c>
      <c r="U40" s="309">
        <f>SUM(J19:J20)</f>
        <v>750</v>
      </c>
      <c r="V40" s="79">
        <f>+K20</f>
        <v>223.83</v>
      </c>
      <c r="W40" s="356">
        <f>(SUM(M19:M20)/2)</f>
        <v>6336.7169999999996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N41" s="403"/>
      <c r="O41" s="319">
        <v>45967</v>
      </c>
      <c r="P41" s="314" t="s">
        <v>156</v>
      </c>
      <c r="Q41" s="319">
        <v>1595771</v>
      </c>
      <c r="R41" s="320"/>
      <c r="S41" s="98">
        <v>1596515</v>
      </c>
      <c r="T41" s="324">
        <f t="shared" ref="T41" si="3">+S41-Q41</f>
        <v>744</v>
      </c>
      <c r="U41" s="325">
        <f>SUM(J21:J22)</f>
        <v>750</v>
      </c>
      <c r="V41" s="314">
        <f>+K22</f>
        <v>275.48700000000002</v>
      </c>
      <c r="W41" s="357">
        <f>(SUM(M21:M22)/2)</f>
        <v>14633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N42" s="403"/>
      <c r="O42" s="32"/>
      <c r="P42" s="53"/>
      <c r="Q42" s="32"/>
      <c r="R42" s="63"/>
      <c r="S42" s="11"/>
      <c r="T42" s="53">
        <f t="shared" si="2"/>
        <v>0</v>
      </c>
      <c r="U42" s="307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>
        <v>0</v>
      </c>
      <c r="G43" s="587"/>
      <c r="I43" s="94"/>
      <c r="J43" s="117"/>
      <c r="K43" s="61"/>
      <c r="L43" s="111"/>
      <c r="M43" s="349"/>
      <c r="N43" s="403"/>
      <c r="O43" s="32"/>
      <c r="P43" s="53"/>
      <c r="Q43" s="11"/>
      <c r="R43" s="63"/>
      <c r="S43" s="11"/>
      <c r="T43" s="53">
        <f>+S43-Q43</f>
        <v>0</v>
      </c>
      <c r="U43" s="307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307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307">
        <f>SUM(J29:J30)</f>
        <v>0</v>
      </c>
      <c r="V45" s="53">
        <f>+K30</f>
        <v>0</v>
      </c>
      <c r="W45" s="357">
        <f>(SUM(M29:M30)/2)</f>
        <v>0</v>
      </c>
    </row>
    <row r="46" spans="3:23" ht="13.5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113"/>
      <c r="R46" s="83"/>
      <c r="S46" s="81"/>
      <c r="T46" s="82">
        <f>+S46-Q46</f>
        <v>0</v>
      </c>
      <c r="U46" s="310">
        <f>SUM(J31:J32)</f>
        <v>0</v>
      </c>
      <c r="V46" s="55">
        <f>+K32</f>
        <v>0</v>
      </c>
      <c r="W46" s="358">
        <f>(SUM(M31:M32)/2)</f>
        <v>0</v>
      </c>
    </row>
    <row r="47" spans="3:23" ht="12.75" thickBot="1" x14ac:dyDescent="0.25">
      <c r="C47" s="575"/>
      <c r="D47" s="576"/>
      <c r="E47" s="576"/>
      <c r="F47" s="577"/>
      <c r="G47" s="578"/>
      <c r="R47" s="21"/>
      <c r="S47" s="21"/>
      <c r="T47" s="21"/>
      <c r="U47" s="139"/>
      <c r="V47" s="271"/>
    </row>
    <row r="48" spans="3:23" ht="13.5" thickBot="1" x14ac:dyDescent="0.25">
      <c r="C48" s="579" t="s">
        <v>42</v>
      </c>
      <c r="D48" s="580"/>
      <c r="E48" s="581"/>
      <c r="F48" s="582">
        <f>SUM(F38:G47)</f>
        <v>2113.3390041122329</v>
      </c>
      <c r="G48" s="583"/>
      <c r="R48" s="21"/>
      <c r="S48" s="21"/>
      <c r="T48" s="21"/>
      <c r="U48" s="139"/>
      <c r="V48" s="271"/>
    </row>
    <row r="49" spans="3:22" ht="12.75" thickBot="1" x14ac:dyDescent="0.25">
      <c r="P49" s="570" t="s">
        <v>48</v>
      </c>
      <c r="Q49" s="571"/>
      <c r="R49" s="572"/>
      <c r="S49" s="21"/>
      <c r="T49" s="21"/>
      <c r="U49" s="139"/>
      <c r="V49" s="271"/>
    </row>
    <row r="50" spans="3:22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66" t="s">
        <v>49</v>
      </c>
      <c r="R50" s="567"/>
      <c r="S50" s="21"/>
      <c r="T50" s="21"/>
      <c r="U50" s="249"/>
    </row>
    <row r="51" spans="3:22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68" t="s">
        <v>136</v>
      </c>
      <c r="R51" s="569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68" t="s">
        <v>131</v>
      </c>
      <c r="R52" s="569"/>
      <c r="S52" s="21"/>
      <c r="T52" s="249"/>
    </row>
    <row r="53" spans="3:22" x14ac:dyDescent="0.2">
      <c r="P53" s="32">
        <v>4</v>
      </c>
      <c r="Q53" s="568" t="s">
        <v>229</v>
      </c>
      <c r="R53" s="569"/>
      <c r="S53" s="21"/>
      <c r="T53" s="249"/>
    </row>
    <row r="54" spans="3:22" ht="12.75" thickBot="1" x14ac:dyDescent="0.25">
      <c r="P54" s="32">
        <v>5</v>
      </c>
      <c r="Q54" s="568" t="s">
        <v>230</v>
      </c>
      <c r="R54" s="569"/>
      <c r="S54" s="21"/>
    </row>
    <row r="55" spans="3:22" ht="13.5" thickTop="1" thickBot="1" x14ac:dyDescent="0.25">
      <c r="D55" s="613" t="s">
        <v>44</v>
      </c>
      <c r="E55" s="613"/>
      <c r="F55" s="613"/>
      <c r="G55" s="613"/>
      <c r="H55" s="613"/>
      <c r="J55" s="613" t="s">
        <v>45</v>
      </c>
      <c r="K55" s="613"/>
      <c r="L55" s="613"/>
      <c r="M55" s="613"/>
      <c r="N55" s="613"/>
      <c r="P55" s="54">
        <v>6</v>
      </c>
      <c r="Q55" s="573" t="s">
        <v>231</v>
      </c>
      <c r="R55" s="574"/>
      <c r="S55" s="21"/>
      <c r="T55" s="21"/>
    </row>
    <row r="56" spans="3:22" x14ac:dyDescent="0.2">
      <c r="S56" s="21"/>
      <c r="T56" s="21"/>
    </row>
  </sheetData>
  <mergeCells count="54">
    <mergeCell ref="D55:H55"/>
    <mergeCell ref="J55:N55"/>
    <mergeCell ref="Q55:R55"/>
    <mergeCell ref="C48:E48"/>
    <mergeCell ref="F48:G48"/>
    <mergeCell ref="P49:R49"/>
    <mergeCell ref="Q53:R53"/>
    <mergeCell ref="Q54:R54"/>
    <mergeCell ref="Q51:R51"/>
    <mergeCell ref="Q52:R52"/>
    <mergeCell ref="Q50:R50"/>
    <mergeCell ref="I46:K46"/>
    <mergeCell ref="C42:E42"/>
    <mergeCell ref="F42:G42"/>
    <mergeCell ref="C43:E43"/>
    <mergeCell ref="F43:G43"/>
    <mergeCell ref="C44:E44"/>
    <mergeCell ref="F44:G44"/>
    <mergeCell ref="C47:E47"/>
    <mergeCell ref="F47:G47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37:G37"/>
    <mergeCell ref="I37:L37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pageSetUpPr fitToPage="1"/>
  </sheetPr>
  <dimension ref="C1:W59"/>
  <sheetViews>
    <sheetView topLeftCell="A7" zoomScaleNormal="100" workbookViewId="0">
      <selection activeCell="N53" sqref="N53"/>
    </sheetView>
  </sheetViews>
  <sheetFormatPr baseColWidth="10" defaultColWidth="9.140625" defaultRowHeight="12" x14ac:dyDescent="0.2"/>
  <cols>
    <col min="1" max="1" width="1.85546875" style="14" customWidth="1"/>
    <col min="2" max="2" width="2.5703125" style="14" customWidth="1"/>
    <col min="3" max="3" width="11.7109375" style="14" customWidth="1"/>
    <col min="4" max="4" width="11.42578125" style="14" customWidth="1"/>
    <col min="5" max="5" width="7.28515625" style="14" customWidth="1"/>
    <col min="6" max="6" width="8.85546875" style="14" customWidth="1"/>
    <col min="7" max="7" width="4" style="14" bestFit="1" customWidth="1"/>
    <col min="8" max="8" width="10.5703125" style="14" customWidth="1"/>
    <col min="9" max="9" width="10.28515625" style="14" customWidth="1"/>
    <col min="10" max="10" width="10" style="14" customWidth="1"/>
    <col min="11" max="11" width="9.5703125" style="14" customWidth="1"/>
    <col min="12" max="13" width="13" style="14" customWidth="1"/>
    <col min="14" max="14" width="9.7109375" style="14" customWidth="1"/>
    <col min="15" max="15" width="10.140625" style="14" customWidth="1"/>
    <col min="16" max="16" width="12.28515625" style="14" customWidth="1"/>
    <col min="17" max="17" width="10.140625" style="14" customWidth="1"/>
    <col min="18" max="18" width="10.85546875" style="14" customWidth="1"/>
    <col min="19" max="19" width="11.5703125" style="14" bestFit="1" customWidth="1"/>
    <col min="20" max="20" width="14" style="14" bestFit="1" customWidth="1"/>
    <col min="21" max="21" width="10.28515625" style="14" customWidth="1"/>
    <col min="22" max="22" width="7.28515625" style="14" customWidth="1"/>
    <col min="23" max="23" width="11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24" customHeight="1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+'CARDENAS CARDENAS JAVIER '!Q6+1</f>
        <v>29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638" t="s">
        <v>76</v>
      </c>
      <c r="F11" s="638"/>
      <c r="G11" s="638"/>
      <c r="H11" s="638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156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ref="Q20" si="0">((((IF(N20=1,((J20)*0.29333)))+(IF(N20=2,((J20)*0.146666)))+(IF(N20=3,((J20)*0.146666)))))+(IF(N20=4,((J20-40)*0.29333)))+(IF(N20=5,((J20-50)*0.29333)))+(IF(N20=6,((J20-90)*0.29333))))</f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</row>
    <row r="21" spans="3:21" x14ac:dyDescent="0.2">
      <c r="C21" s="238"/>
      <c r="D21" s="36"/>
      <c r="E21" s="37"/>
      <c r="F21" s="37"/>
      <c r="G21" s="36"/>
      <c r="H21" s="259"/>
      <c r="I21" s="259"/>
      <c r="J21" s="260"/>
      <c r="K21" s="38"/>
      <c r="L21" s="48"/>
      <c r="M21" s="353"/>
      <c r="N21" s="38"/>
      <c r="O21" s="38"/>
      <c r="P21" s="38"/>
      <c r="Q21" s="40"/>
      <c r="R21" s="192"/>
      <c r="S21" s="186"/>
      <c r="T21" s="41"/>
    </row>
    <row r="22" spans="3:21" ht="12.75" thickBot="1" x14ac:dyDescent="0.25">
      <c r="C22" s="343"/>
      <c r="D22" s="36"/>
      <c r="E22" s="25"/>
      <c r="F22" s="25"/>
      <c r="G22" s="62"/>
      <c r="H22" s="27"/>
      <c r="I22" s="27"/>
      <c r="J22" s="31"/>
      <c r="K22" s="27"/>
      <c r="L22" s="28"/>
      <c r="M22" s="353"/>
      <c r="N22" s="27"/>
      <c r="O22" s="27"/>
      <c r="P22" s="38"/>
      <c r="Q22" s="29"/>
      <c r="R22" s="190"/>
      <c r="S22" s="19"/>
      <c r="T22" s="30"/>
    </row>
    <row r="23" spans="3:21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0"/>
      <c r="R23" s="192"/>
      <c r="S23" s="186"/>
      <c r="T23" s="41"/>
    </row>
    <row r="24" spans="3:21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322"/>
      <c r="Q24" s="29"/>
      <c r="R24" s="190"/>
      <c r="S24" s="19"/>
      <c r="T24" s="30"/>
    </row>
    <row r="25" spans="3:21" hidden="1" x14ac:dyDescent="0.2">
      <c r="C25" s="238"/>
      <c r="D25" s="36"/>
      <c r="E25" s="37"/>
      <c r="F25" s="37"/>
      <c r="G25" s="36"/>
      <c r="H25" s="47"/>
      <c r="I25" s="38"/>
      <c r="J25" s="39"/>
      <c r="K25" s="38"/>
      <c r="L25" s="48"/>
      <c r="M25" s="351"/>
      <c r="N25" s="38"/>
      <c r="O25" s="38"/>
      <c r="P25" s="38"/>
      <c r="Q25" s="40"/>
      <c r="R25" s="192"/>
      <c r="S25" s="186"/>
      <c r="T25" s="41"/>
    </row>
    <row r="26" spans="3:21" ht="12" hidden="1" customHeight="1" thickBot="1" x14ac:dyDescent="0.25">
      <c r="C26" s="101"/>
      <c r="D26" s="62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238"/>
      <c r="D27" s="36"/>
      <c r="E27" s="37"/>
      <c r="F27" s="37"/>
      <c r="G27" s="36"/>
      <c r="H27" s="47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1"/>
    </row>
    <row r="28" spans="3:21" hidden="1" x14ac:dyDescent="0.2">
      <c r="C28" s="239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+'MELENDEZ SINALOA MANUEL ARAT'!F34:G34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141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U36" s="245"/>
      <c r="V36" s="24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+F50-L46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SUM(T18:T33)</f>
        <v>#N/A</v>
      </c>
      <c r="G39" s="587"/>
      <c r="I39" s="429"/>
      <c r="J39" s="430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330"/>
      <c r="J40" s="117"/>
      <c r="K40" s="61"/>
      <c r="L40" s="111"/>
      <c r="M40" s="349"/>
      <c r="O40" s="78"/>
      <c r="P40" s="79"/>
      <c r="Q40" s="80"/>
      <c r="R40" s="80"/>
      <c r="S40" s="63"/>
      <c r="T40" s="79">
        <f t="shared" ref="T40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11"/>
      <c r="R42" s="63"/>
      <c r="S42" s="63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>
        <v>0</v>
      </c>
      <c r="G43" s="587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:T45" si="2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322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244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x14ac:dyDescent="0.2">
      <c r="C48" s="370" t="s">
        <v>310</v>
      </c>
      <c r="D48" s="371"/>
      <c r="E48" s="371"/>
      <c r="F48" s="642"/>
      <c r="G48" s="643"/>
      <c r="R48" s="21"/>
      <c r="S48" s="21"/>
      <c r="T48" s="21"/>
      <c r="U48" s="139"/>
      <c r="V48" s="271"/>
    </row>
    <row r="49" spans="3:22" ht="13.5" customHeight="1" thickBot="1" x14ac:dyDescent="0.25">
      <c r="C49" s="575" t="s">
        <v>351</v>
      </c>
      <c r="D49" s="576"/>
      <c r="E49" s="576"/>
      <c r="F49" s="577"/>
      <c r="G49" s="578"/>
      <c r="R49" s="21"/>
      <c r="S49" s="21"/>
      <c r="T49" s="21"/>
      <c r="U49" s="139"/>
      <c r="V49" s="271"/>
    </row>
    <row r="50" spans="3:22" ht="13.5" thickBot="1" x14ac:dyDescent="0.25">
      <c r="C50" s="579" t="s">
        <v>42</v>
      </c>
      <c r="D50" s="580"/>
      <c r="E50" s="581"/>
      <c r="F50" s="582" t="e">
        <f>SUM(F38:G49)</f>
        <v>#N/A</v>
      </c>
      <c r="G50" s="583"/>
      <c r="R50" s="21"/>
      <c r="S50" s="21"/>
      <c r="T50" s="21"/>
      <c r="U50" s="139"/>
      <c r="V50" s="271"/>
    </row>
    <row r="51" spans="3:22" ht="13.5" customHeight="1" thickBot="1" x14ac:dyDescent="0.25">
      <c r="P51" s="570" t="s">
        <v>48</v>
      </c>
      <c r="Q51" s="571"/>
      <c r="R51" s="572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66" t="s">
        <v>49</v>
      </c>
      <c r="R52" s="567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68" t="s">
        <v>136</v>
      </c>
      <c r="R53" s="569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68" t="s">
        <v>131</v>
      </c>
      <c r="R54" s="569"/>
      <c r="S54" s="21"/>
      <c r="T54" s="249"/>
    </row>
    <row r="55" spans="3:22" x14ac:dyDescent="0.2">
      <c r="P55" s="32">
        <v>4</v>
      </c>
      <c r="Q55" s="568" t="s">
        <v>229</v>
      </c>
      <c r="R55" s="569"/>
      <c r="S55" s="21"/>
      <c r="T55" s="249"/>
    </row>
    <row r="56" spans="3:22" ht="12.75" thickBot="1" x14ac:dyDescent="0.25">
      <c r="P56" s="32">
        <v>5</v>
      </c>
      <c r="Q56" s="568" t="s">
        <v>230</v>
      </c>
      <c r="R56" s="569"/>
      <c r="S56" s="21"/>
    </row>
    <row r="57" spans="3:22" ht="14.25" customHeight="1" thickTop="1" thickBot="1" x14ac:dyDescent="0.25">
      <c r="D57" s="613" t="s">
        <v>44</v>
      </c>
      <c r="E57" s="613"/>
      <c r="F57" s="613"/>
      <c r="G57" s="613"/>
      <c r="H57" s="613"/>
      <c r="J57" s="613" t="s">
        <v>45</v>
      </c>
      <c r="K57" s="613"/>
      <c r="L57" s="613"/>
      <c r="M57" s="613"/>
      <c r="N57" s="613"/>
      <c r="P57" s="54">
        <v>6</v>
      </c>
      <c r="Q57" s="573" t="s">
        <v>231</v>
      </c>
      <c r="R57" s="574"/>
      <c r="S57" s="21"/>
      <c r="T57" s="21"/>
    </row>
    <row r="58" spans="3:22" x14ac:dyDescent="0.2">
      <c r="S58" s="21"/>
      <c r="T58" s="21"/>
    </row>
    <row r="59" spans="3:22" ht="10.5" customHeight="1" x14ac:dyDescent="0.2"/>
  </sheetData>
  <mergeCells count="58">
    <mergeCell ref="C47:E47"/>
    <mergeCell ref="F47:G47"/>
    <mergeCell ref="C49:E49"/>
    <mergeCell ref="F49:G49"/>
    <mergeCell ref="C50:E50"/>
    <mergeCell ref="F50:G50"/>
    <mergeCell ref="F48:G48"/>
    <mergeCell ref="I46:K46"/>
    <mergeCell ref="C42:E42"/>
    <mergeCell ref="F42:G42"/>
    <mergeCell ref="F43:G43"/>
    <mergeCell ref="C43:E43"/>
    <mergeCell ref="C46:E46"/>
    <mergeCell ref="F46:G46"/>
    <mergeCell ref="F44:G44"/>
    <mergeCell ref="C45:E45"/>
    <mergeCell ref="F45:G45"/>
    <mergeCell ref="C44:E44"/>
    <mergeCell ref="C41:E41"/>
    <mergeCell ref="F41:G41"/>
    <mergeCell ref="O37:P37"/>
    <mergeCell ref="Q37:S37"/>
    <mergeCell ref="C38:E38"/>
    <mergeCell ref="F38:G38"/>
    <mergeCell ref="I37:L37"/>
    <mergeCell ref="C37:G37"/>
    <mergeCell ref="C39:E39"/>
    <mergeCell ref="F39:G39"/>
    <mergeCell ref="C40:E40"/>
    <mergeCell ref="F40:G40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D57:H57"/>
    <mergeCell ref="J57:N57"/>
    <mergeCell ref="Q56:R56"/>
    <mergeCell ref="Q57:R57"/>
    <mergeCell ref="P51:R51"/>
    <mergeCell ref="Q52:R52"/>
    <mergeCell ref="Q53:R53"/>
    <mergeCell ref="Q54:R54"/>
    <mergeCell ref="Q55:R55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4">
    <pageSetUpPr fitToPage="1"/>
  </sheetPr>
  <dimension ref="B1:Z58"/>
  <sheetViews>
    <sheetView topLeftCell="A10" zoomScale="110" zoomScaleNormal="110" workbookViewId="0">
      <selection activeCell="N50" sqref="N50"/>
    </sheetView>
  </sheetViews>
  <sheetFormatPr baseColWidth="10" defaultColWidth="9.140625" defaultRowHeight="12" x14ac:dyDescent="0.2"/>
  <cols>
    <col min="1" max="1" width="1.5703125" style="14" customWidth="1"/>
    <col min="2" max="2" width="4.710937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2.85546875" style="14" customWidth="1"/>
    <col min="8" max="8" width="9.42578125" style="14" customWidth="1"/>
    <col min="9" max="9" width="10.5703125" style="14" customWidth="1"/>
    <col min="10" max="10" width="9.85546875" style="14" customWidth="1"/>
    <col min="11" max="11" width="10.42578125" style="14" customWidth="1"/>
    <col min="12" max="12" width="13" style="14" customWidth="1"/>
    <col min="13" max="13" width="10" style="14" customWidth="1"/>
    <col min="14" max="14" width="8.140625" style="14" customWidth="1"/>
    <col min="15" max="15" width="10.140625" style="14" customWidth="1"/>
    <col min="16" max="16" width="12.28515625" style="14" customWidth="1"/>
    <col min="17" max="17" width="11.140625" style="14" customWidth="1"/>
    <col min="18" max="18" width="10" style="14" hidden="1" customWidth="1"/>
    <col min="19" max="19" width="9.7109375" style="14" customWidth="1"/>
    <col min="20" max="20" width="9.85546875" style="14" customWidth="1"/>
    <col min="21" max="21" width="11" style="14" hidden="1" customWidth="1"/>
    <col min="22" max="22" width="9.5703125" style="14" hidden="1" customWidth="1"/>
    <col min="23" max="23" width="9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+'BALDERRAMA ROBLES JORGE'!Q6+1</f>
        <v>30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233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130" t="s">
        <v>326</v>
      </c>
      <c r="F12" s="130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3990</v>
      </c>
      <c r="G16" s="257"/>
      <c r="H16" s="257"/>
      <c r="I16" s="9" t="s">
        <v>17</v>
      </c>
      <c r="J16" s="257">
        <f>SUM(K19:K32)</f>
        <v>1158.9549999999999</v>
      </c>
      <c r="K16" s="257"/>
      <c r="L16" s="257"/>
      <c r="M16" s="257"/>
      <c r="N16" s="257"/>
      <c r="O16" s="9" t="s">
        <v>18</v>
      </c>
      <c r="P16" s="10">
        <f>+F16/J16</f>
        <v>3.4427566212665721</v>
      </c>
      <c r="Q16" s="257"/>
      <c r="R16" s="257"/>
      <c r="S16" s="258"/>
    </row>
    <row r="17" spans="2:26" ht="7.5" customHeight="1" thickBot="1" x14ac:dyDescent="0.25"/>
    <row r="18" spans="2:26" ht="36.75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</row>
    <row r="19" spans="2:26" x14ac:dyDescent="0.2">
      <c r="B19" s="14" t="s">
        <v>357</v>
      </c>
      <c r="C19" s="176">
        <v>46394</v>
      </c>
      <c r="D19" s="43" t="s">
        <v>422</v>
      </c>
      <c r="E19" s="42">
        <v>45937</v>
      </c>
      <c r="F19" s="42">
        <v>45938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7281.48</v>
      </c>
      <c r="N19" s="24">
        <v>4</v>
      </c>
      <c r="O19" s="24" t="s">
        <v>424</v>
      </c>
      <c r="P19" s="24" t="s">
        <v>200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10</v>
      </c>
      <c r="V19" s="79">
        <v>8</v>
      </c>
    </row>
    <row r="20" spans="2:26" ht="12.75" thickBot="1" x14ac:dyDescent="0.25">
      <c r="B20" s="14" t="s">
        <v>357</v>
      </c>
      <c r="C20" s="101"/>
      <c r="D20" s="62" t="s">
        <v>423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222.999</v>
      </c>
      <c r="L20" s="112">
        <f>SUM(J19:J20)/K20</f>
        <v>3.5426167830349016</v>
      </c>
      <c r="M20" s="352">
        <v>4108</v>
      </c>
      <c r="N20" s="27">
        <v>1</v>
      </c>
      <c r="O20" s="27" t="s">
        <v>392</v>
      </c>
      <c r="P20" s="27" t="s">
        <v>199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83.001048960007864</v>
      </c>
      <c r="T20" s="460">
        <f>+S20*14.85</f>
        <v>1232.5655770561168</v>
      </c>
      <c r="U20" s="27">
        <v>11</v>
      </c>
      <c r="V20" s="55">
        <v>10</v>
      </c>
    </row>
    <row r="21" spans="2:26" x14ac:dyDescent="0.2">
      <c r="B21" s="14" t="s">
        <v>357</v>
      </c>
      <c r="C21" s="176">
        <v>45912</v>
      </c>
      <c r="D21" s="43" t="s">
        <v>429</v>
      </c>
      <c r="E21" s="42">
        <v>45938</v>
      </c>
      <c r="F21" s="42">
        <v>45939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1945.92</v>
      </c>
      <c r="N21" s="24">
        <v>4</v>
      </c>
      <c r="O21" s="24" t="s">
        <v>431</v>
      </c>
      <c r="P21" s="24" t="s">
        <v>202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8</v>
      </c>
      <c r="V21" s="79">
        <v>11</v>
      </c>
      <c r="Z21" s="278"/>
    </row>
    <row r="22" spans="2:26" ht="12.75" thickBot="1" x14ac:dyDescent="0.25">
      <c r="B22" s="14" t="s">
        <v>357</v>
      </c>
      <c r="C22" s="101"/>
      <c r="D22" s="62" t="s">
        <v>430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250.001</v>
      </c>
      <c r="L22" s="112">
        <f>SUM(J21:J22)/K22</f>
        <v>3.1599873600505597</v>
      </c>
      <c r="M22" s="352">
        <v>4064</v>
      </c>
      <c r="N22" s="27">
        <v>1</v>
      </c>
      <c r="O22" s="27" t="s">
        <v>408</v>
      </c>
      <c r="P22" s="27" t="s">
        <v>199</v>
      </c>
      <c r="Q22" s="29">
        <f t="shared" ref="Q22:Q28" si="2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+((SUM(J21:J22)-40)/R22)-K22</f>
        <v>55.999048960007855</v>
      </c>
      <c r="T22" s="460">
        <f>+S22*14.85</f>
        <v>831.5858770561166</v>
      </c>
      <c r="U22" s="27">
        <v>10</v>
      </c>
      <c r="V22" s="55">
        <v>11</v>
      </c>
    </row>
    <row r="23" spans="2:26" x14ac:dyDescent="0.2">
      <c r="C23" s="238">
        <v>45955</v>
      </c>
      <c r="D23" s="38" t="s">
        <v>516</v>
      </c>
      <c r="E23" s="37">
        <v>45940</v>
      </c>
      <c r="F23" s="37">
        <v>45940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3">
        <v>7281.48</v>
      </c>
      <c r="N23" s="38">
        <v>4</v>
      </c>
      <c r="O23" s="38" t="s">
        <v>470</v>
      </c>
      <c r="P23" s="38" t="s">
        <v>200</v>
      </c>
      <c r="Q23" s="40">
        <f t="shared" si="2"/>
        <v>109.99874999999999</v>
      </c>
      <c r="R23" s="192"/>
      <c r="S23" s="186"/>
      <c r="T23" s="462"/>
      <c r="U23" s="38"/>
      <c r="V23" s="314"/>
    </row>
    <row r="24" spans="2:26" ht="12.75" thickBot="1" x14ac:dyDescent="0.25">
      <c r="B24" s="14" t="s">
        <v>357</v>
      </c>
      <c r="C24" s="101"/>
      <c r="D24" s="27" t="s">
        <v>517</v>
      </c>
      <c r="E24" s="25">
        <v>45941</v>
      </c>
      <c r="F24" s="25">
        <v>45941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250</v>
      </c>
      <c r="L24" s="28">
        <f>SUM(J23:J24)/K24</f>
        <v>3.16</v>
      </c>
      <c r="M24" s="352">
        <v>3421</v>
      </c>
      <c r="N24" s="27">
        <v>1</v>
      </c>
      <c r="O24" s="27" t="s">
        <v>460</v>
      </c>
      <c r="P24" s="27" t="s">
        <v>199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+((SUM(J23:J24)-40)/R24)-K24</f>
        <v>56.000048960007859</v>
      </c>
      <c r="T24" s="460">
        <f>+S24*14.85</f>
        <v>831.60072705611674</v>
      </c>
      <c r="U24" s="27"/>
      <c r="V24" s="55"/>
    </row>
    <row r="25" spans="2:26" x14ac:dyDescent="0.2">
      <c r="B25" s="14" t="s">
        <v>357</v>
      </c>
      <c r="C25" s="176">
        <v>45946</v>
      </c>
      <c r="D25" s="43" t="s">
        <v>524</v>
      </c>
      <c r="E25" s="42">
        <v>45939</v>
      </c>
      <c r="F25" s="42">
        <v>45940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1567.41</v>
      </c>
      <c r="N25" s="24">
        <v>4</v>
      </c>
      <c r="O25" s="24" t="s">
        <v>525</v>
      </c>
      <c r="P25" s="24" t="s">
        <v>200</v>
      </c>
      <c r="Q25" s="45">
        <f t="shared" si="2"/>
        <v>109.99874999999999</v>
      </c>
      <c r="R25" s="191"/>
      <c r="S25" s="52"/>
      <c r="T25" s="45"/>
      <c r="U25" s="24">
        <v>11</v>
      </c>
      <c r="V25" s="79">
        <v>11</v>
      </c>
    </row>
    <row r="26" spans="2:26" ht="12.75" thickBot="1" x14ac:dyDescent="0.25">
      <c r="C26" s="101"/>
      <c r="D26" s="62" t="s">
        <v>526</v>
      </c>
      <c r="E26" s="25">
        <v>45940</v>
      </c>
      <c r="F26" s="25">
        <v>45940</v>
      </c>
      <c r="G26" s="62">
        <v>27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27">
        <v>205.94800000000001</v>
      </c>
      <c r="L26" s="112">
        <f>SUM(J25:J26)/K26</f>
        <v>4.0301435313768526</v>
      </c>
      <c r="M26" s="352">
        <v>4671.95</v>
      </c>
      <c r="N26" s="27">
        <v>4</v>
      </c>
      <c r="O26" s="31" t="s">
        <v>527</v>
      </c>
      <c r="P26" s="27" t="s">
        <v>200</v>
      </c>
      <c r="Q26" s="29">
        <f t="shared" si="2"/>
        <v>109.99874999999999</v>
      </c>
      <c r="R26" s="190">
        <f>+LOOKUP(P43,UNIDADES!B$3:B$59,UNIDADES!C$3:C$59)</f>
        <v>2.4509799999999999</v>
      </c>
      <c r="S26" s="19">
        <f>+((SUM(J25:J26)-80)/R26)-K26</f>
        <v>100.05204896000785</v>
      </c>
      <c r="T26" s="29">
        <f>+S26*14.85</f>
        <v>1485.7729270561165</v>
      </c>
      <c r="U26" s="27">
        <v>11</v>
      </c>
      <c r="V26" s="55">
        <v>12</v>
      </c>
    </row>
    <row r="27" spans="2:26" x14ac:dyDescent="0.2">
      <c r="C27" s="176">
        <v>45983</v>
      </c>
      <c r="D27" s="43" t="s">
        <v>580</v>
      </c>
      <c r="E27" s="42">
        <v>45943</v>
      </c>
      <c r="F27" s="42">
        <v>45944</v>
      </c>
      <c r="G27" s="43">
        <v>4</v>
      </c>
      <c r="H27" s="236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36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37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24"/>
      <c r="L27" s="44"/>
      <c r="M27" s="435">
        <v>4252</v>
      </c>
      <c r="N27" s="24">
        <v>4</v>
      </c>
      <c r="O27" s="24" t="s">
        <v>398</v>
      </c>
      <c r="P27" s="24" t="s">
        <v>199</v>
      </c>
      <c r="Q27" s="45">
        <f t="shared" si="2"/>
        <v>109.99874999999999</v>
      </c>
      <c r="R27" s="191"/>
      <c r="S27" s="52"/>
      <c r="T27" s="459"/>
      <c r="U27" s="24">
        <v>8</v>
      </c>
      <c r="V27" s="79">
        <v>9</v>
      </c>
    </row>
    <row r="28" spans="2:26" ht="11.25" customHeight="1" thickBot="1" x14ac:dyDescent="0.25">
      <c r="C28" s="101"/>
      <c r="D28" s="62" t="s">
        <v>581</v>
      </c>
      <c r="E28" s="25">
        <v>45944</v>
      </c>
      <c r="F28" s="25">
        <v>45944</v>
      </c>
      <c r="G28" s="62">
        <v>3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230.00700000000001</v>
      </c>
      <c r="L28" s="112">
        <f>SUM(J27:J28)/K28</f>
        <v>3.4346780750151082</v>
      </c>
      <c r="M28" s="352">
        <v>12108.823</v>
      </c>
      <c r="N28" s="27">
        <v>1</v>
      </c>
      <c r="O28" s="27" t="s">
        <v>469</v>
      </c>
      <c r="P28" s="27" t="s">
        <v>195</v>
      </c>
      <c r="Q28" s="29">
        <f t="shared" si="2"/>
        <v>109.99874999999999</v>
      </c>
      <c r="R28" s="190">
        <f>+LOOKUP(P44,UNIDADES!B$3:B$59,UNIDADES!C$3:C$59)</f>
        <v>2.4509799999999999</v>
      </c>
      <c r="S28" s="19">
        <f>+((SUM(J27:J28)-40)/R28)-K28</f>
        <v>75.993048960007854</v>
      </c>
      <c r="T28" s="460">
        <f>+S28*14.85</f>
        <v>1128.4967770561166</v>
      </c>
      <c r="U28" s="27">
        <v>10</v>
      </c>
      <c r="V28" s="55">
        <v>10</v>
      </c>
    </row>
    <row r="29" spans="2:26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495"/>
      <c r="V29" s="495"/>
    </row>
    <row r="30" spans="2:26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472"/>
      <c r="V30" s="472"/>
    </row>
    <row r="31" spans="2:26" hidden="1" x14ac:dyDescent="0.2">
      <c r="C31" s="176"/>
      <c r="D31" s="43"/>
      <c r="E31" s="42"/>
      <c r="F31" s="42"/>
      <c r="G31" s="43"/>
      <c r="H31" s="65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59"/>
      <c r="U31" s="472"/>
      <c r="V31" s="472"/>
    </row>
    <row r="32" spans="2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0"/>
      <c r="U32" s="472"/>
      <c r="V32" s="472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+'BALDERRAMA ROBLES JORGE'!F34:G34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>
        <v>1250</v>
      </c>
      <c r="I35" s="29">
        <v>1250</v>
      </c>
      <c r="J35" s="29">
        <v>1875</v>
      </c>
      <c r="K35" s="29">
        <v>1125</v>
      </c>
      <c r="L35" s="29">
        <v>750</v>
      </c>
      <c r="M35" s="30">
        <f>SUM(F35:L35)</f>
        <v>6250</v>
      </c>
      <c r="P35" s="454"/>
      <c r="Q35" s="454"/>
      <c r="R35" s="454"/>
    </row>
    <row r="36" spans="3:23" ht="12.75" thickBot="1" x14ac:dyDescent="0.25">
      <c r="H36" s="14" t="s">
        <v>277</v>
      </c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14125.009385280584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1099.9875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5510.0218852805829</v>
      </c>
      <c r="G39" s="587"/>
      <c r="I39" s="644" t="s">
        <v>421</v>
      </c>
      <c r="J39" s="645"/>
      <c r="K39" s="646"/>
      <c r="L39" s="412">
        <v>435</v>
      </c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584" t="s">
        <v>34</v>
      </c>
      <c r="D40" s="585"/>
      <c r="E40" s="585"/>
      <c r="F40" s="586">
        <f>+M35</f>
        <v>6250</v>
      </c>
      <c r="G40" s="587"/>
      <c r="I40" s="94"/>
      <c r="J40" s="117"/>
      <c r="K40" s="418"/>
      <c r="L40" s="410"/>
      <c r="M40" s="349"/>
      <c r="O40" s="78">
        <v>46394</v>
      </c>
      <c r="P40" s="79" t="s">
        <v>320</v>
      </c>
      <c r="Q40" s="78">
        <v>77667</v>
      </c>
      <c r="R40" s="24"/>
      <c r="S40" s="24">
        <v>78440</v>
      </c>
      <c r="T40" s="79">
        <f t="shared" ref="T40:T45" si="3">+S40-Q40</f>
        <v>773</v>
      </c>
      <c r="U40" s="137">
        <f>SUM(J19:J20)</f>
        <v>790</v>
      </c>
      <c r="V40" s="24">
        <f>+K20</f>
        <v>222.999</v>
      </c>
      <c r="W40" s="356">
        <f>(SUM(M19:M20)/2)</f>
        <v>5694.74</v>
      </c>
    </row>
    <row r="41" spans="3:23" x14ac:dyDescent="0.2">
      <c r="C41" s="584" t="s">
        <v>187</v>
      </c>
      <c r="D41" s="585"/>
      <c r="E41" s="585"/>
      <c r="F41" s="586">
        <v>200</v>
      </c>
      <c r="G41" s="587"/>
      <c r="I41" s="94"/>
      <c r="J41" s="117"/>
      <c r="K41" s="418"/>
      <c r="L41" s="410"/>
      <c r="M41" s="349"/>
      <c r="O41" s="32">
        <v>45912</v>
      </c>
      <c r="P41" s="53" t="s">
        <v>320</v>
      </c>
      <c r="Q41" s="24">
        <v>78440</v>
      </c>
      <c r="R41" s="11"/>
      <c r="S41" s="32">
        <v>79256</v>
      </c>
      <c r="T41" s="53">
        <f t="shared" si="3"/>
        <v>816</v>
      </c>
      <c r="U41" s="312">
        <f>SUM(J21:J22)</f>
        <v>790</v>
      </c>
      <c r="V41" s="11">
        <f>+K22</f>
        <v>250.001</v>
      </c>
      <c r="W41" s="357">
        <f>(SUM(M21:M22)/2)</f>
        <v>3004.96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>
        <v>45955</v>
      </c>
      <c r="P42" s="53" t="s">
        <v>320</v>
      </c>
      <c r="Q42" s="32">
        <v>80051</v>
      </c>
      <c r="R42" s="11"/>
      <c r="S42" s="11">
        <v>80777</v>
      </c>
      <c r="T42" s="53">
        <f t="shared" si="3"/>
        <v>726</v>
      </c>
      <c r="U42" s="136">
        <f>SUM(J23:J24)</f>
        <v>790</v>
      </c>
      <c r="V42" s="11">
        <f>+K24</f>
        <v>250</v>
      </c>
      <c r="W42" s="357">
        <f>(SUM(M23:M24)/2)</f>
        <v>5351.24</v>
      </c>
    </row>
    <row r="43" spans="3:23" x14ac:dyDescent="0.2">
      <c r="C43" s="584" t="s">
        <v>117</v>
      </c>
      <c r="D43" s="585"/>
      <c r="E43" s="585"/>
      <c r="F43" s="586">
        <v>1500</v>
      </c>
      <c r="G43" s="587"/>
      <c r="I43" s="94"/>
      <c r="J43" s="117"/>
      <c r="K43" s="418"/>
      <c r="L43" s="410"/>
      <c r="M43" s="349"/>
      <c r="O43" s="32">
        <v>45946</v>
      </c>
      <c r="P43" s="53" t="s">
        <v>320</v>
      </c>
      <c r="Q43" s="32">
        <v>79256</v>
      </c>
      <c r="R43" s="11"/>
      <c r="S43" s="11">
        <v>80051</v>
      </c>
      <c r="T43" s="53">
        <f t="shared" si="3"/>
        <v>795</v>
      </c>
      <c r="U43" s="136">
        <f>SUM(J25:J26)</f>
        <v>830</v>
      </c>
      <c r="V43" s="11">
        <f>+K26</f>
        <v>205.94800000000001</v>
      </c>
      <c r="W43" s="357">
        <f>(SUM(M25:M26)/2)</f>
        <v>3119.68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>
        <v>45983</v>
      </c>
      <c r="P44" s="53" t="s">
        <v>320</v>
      </c>
      <c r="Q44" s="32">
        <v>80777</v>
      </c>
      <c r="R44" s="61"/>
      <c r="S44" s="11">
        <v>81549</v>
      </c>
      <c r="T44" s="53">
        <f t="shared" si="3"/>
        <v>772</v>
      </c>
      <c r="U44" s="136">
        <f>SUM(J27:J28)</f>
        <v>790</v>
      </c>
      <c r="V44" s="11">
        <f>+K28</f>
        <v>230.00700000000001</v>
      </c>
      <c r="W44" s="357">
        <f>(SUM(M27:M28)/2)</f>
        <v>8180.4115000000002</v>
      </c>
    </row>
    <row r="45" spans="3:23" ht="12.75" thickBot="1" x14ac:dyDescent="0.25">
      <c r="C45" s="584" t="s">
        <v>187</v>
      </c>
      <c r="D45" s="585"/>
      <c r="E45" s="585"/>
      <c r="F45" s="586"/>
      <c r="G45" s="587"/>
      <c r="I45" s="282"/>
      <c r="J45" s="285"/>
      <c r="K45" s="420"/>
      <c r="L45" s="413"/>
      <c r="M45" s="349"/>
      <c r="O45" s="32"/>
      <c r="P45" s="53"/>
      <c r="Q45" s="32"/>
      <c r="R45" s="61"/>
      <c r="S45" s="11"/>
      <c r="T45" s="53">
        <f t="shared" si="3"/>
        <v>0</v>
      </c>
      <c r="U45" s="136">
        <f>SUM(J29:J30)</f>
        <v>0</v>
      </c>
      <c r="V45" s="11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435</v>
      </c>
      <c r="M46" s="350"/>
      <c r="O46" s="113"/>
      <c r="P46" s="264"/>
      <c r="Q46" s="113"/>
      <c r="R46" s="81"/>
      <c r="S46" s="81"/>
      <c r="T46" s="82"/>
      <c r="U46" s="138">
        <f>SUM(J31:J32)</f>
        <v>0</v>
      </c>
      <c r="V46" s="27">
        <f>+K32</f>
        <v>0</v>
      </c>
      <c r="W46" s="358">
        <f>(SUM(M31:M32)/2)</f>
        <v>0</v>
      </c>
    </row>
    <row r="47" spans="3:23" ht="13.5" customHeight="1" x14ac:dyDescent="0.2">
      <c r="C47" s="584" t="s">
        <v>131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H48" s="120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14560.009385280584</v>
      </c>
      <c r="G49" s="583"/>
      <c r="J49" s="454"/>
      <c r="K49" s="454"/>
      <c r="L49" s="454"/>
      <c r="M49" s="454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F45:G45"/>
    <mergeCell ref="C42:E42"/>
    <mergeCell ref="F42:G42"/>
    <mergeCell ref="F43:G43"/>
    <mergeCell ref="C45:E45"/>
    <mergeCell ref="F44:G44"/>
    <mergeCell ref="C44:E44"/>
    <mergeCell ref="C43:E43"/>
    <mergeCell ref="I39:K39"/>
    <mergeCell ref="F40:G40"/>
    <mergeCell ref="C37:G37"/>
    <mergeCell ref="O37:P37"/>
    <mergeCell ref="Q37:S37"/>
    <mergeCell ref="C38:E38"/>
    <mergeCell ref="F38:G38"/>
    <mergeCell ref="I37:L37"/>
    <mergeCell ref="C41:E41"/>
    <mergeCell ref="F41:G41"/>
    <mergeCell ref="D13:E13"/>
    <mergeCell ref="D14:E14"/>
    <mergeCell ref="D15:E15"/>
    <mergeCell ref="D16:E16"/>
    <mergeCell ref="E34:E35"/>
    <mergeCell ref="F34:G34"/>
    <mergeCell ref="F35:G35"/>
    <mergeCell ref="C39:E39"/>
    <mergeCell ref="F39:G39"/>
    <mergeCell ref="C40:E40"/>
    <mergeCell ref="I6:O6"/>
    <mergeCell ref="Q6:S6"/>
    <mergeCell ref="I9:O9"/>
    <mergeCell ref="L11:S11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Q51:R51"/>
    <mergeCell ref="Q52:R52"/>
    <mergeCell ref="P50:R50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X56"/>
  <sheetViews>
    <sheetView zoomScale="85" zoomScaleNormal="85" workbookViewId="0">
      <selection activeCell="F45" sqref="F45:G45"/>
    </sheetView>
  </sheetViews>
  <sheetFormatPr baseColWidth="10" defaultColWidth="9.140625" defaultRowHeight="12" x14ac:dyDescent="0.2"/>
  <cols>
    <col min="1" max="1" width="2.5703125" style="14" customWidth="1"/>
    <col min="2" max="2" width="5" style="14" bestFit="1" customWidth="1"/>
    <col min="3" max="3" width="12.140625" style="14" customWidth="1"/>
    <col min="4" max="4" width="14.140625" style="14" customWidth="1"/>
    <col min="5" max="5" width="13" style="14" customWidth="1"/>
    <col min="6" max="6" width="10.5703125" style="14" customWidth="1"/>
    <col min="7" max="7" width="4" style="14" bestFit="1" customWidth="1"/>
    <col min="8" max="8" width="12.140625" style="14" bestFit="1" customWidth="1"/>
    <col min="9" max="9" width="12" style="14" customWidth="1"/>
    <col min="10" max="10" width="11.85546875" style="14" bestFit="1" customWidth="1"/>
    <col min="11" max="11" width="13" style="14" customWidth="1"/>
    <col min="12" max="13" width="13.42578125" style="14" customWidth="1"/>
    <col min="14" max="14" width="7.42578125" style="14" customWidth="1"/>
    <col min="15" max="15" width="12" style="14" customWidth="1"/>
    <col min="16" max="16" width="11.85546875" style="14" customWidth="1"/>
    <col min="17" max="17" width="12.5703125" style="14" customWidth="1"/>
    <col min="18" max="18" width="13.28515625" style="14" hidden="1" customWidth="1"/>
    <col min="19" max="19" width="11.85546875" style="14" customWidth="1"/>
    <col min="20" max="20" width="12" style="14" bestFit="1" customWidth="1"/>
    <col min="21" max="21" width="11.5703125" style="14" hidden="1" customWidth="1"/>
    <col min="22" max="22" width="8.7109375" style="14" hidden="1" customWidth="1"/>
    <col min="23" max="23" width="11.5703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3" ht="12.75" thickBot="1" x14ac:dyDescent="0.25"/>
    <row r="2" spans="4:23" ht="12" customHeight="1" thickBot="1" x14ac:dyDescent="0.25">
      <c r="Q2" s="615" t="s">
        <v>0</v>
      </c>
      <c r="R2" s="616"/>
      <c r="S2" s="617"/>
    </row>
    <row r="3" spans="4:23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+'BALDERRAMA ROBLES JORGE'!Q3</f>
        <v>42</v>
      </c>
      <c r="R3" s="621"/>
      <c r="S3" s="594"/>
    </row>
    <row r="4" spans="4:23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23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23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+'BALLEZA RAMIREZ JESUS JOSE'!Q6+1</f>
        <v>31</v>
      </c>
      <c r="R6" s="636"/>
      <c r="S6" s="637"/>
      <c r="U6" s="14" t="s">
        <v>290</v>
      </c>
    </row>
    <row r="7" spans="4:23" ht="9" customHeight="1" x14ac:dyDescent="0.2"/>
    <row r="8" spans="4:23" ht="6.75" customHeight="1" thickBot="1" x14ac:dyDescent="0.25"/>
    <row r="9" spans="4:23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23" ht="11.25" customHeight="1" thickBot="1" x14ac:dyDescent="0.25"/>
    <row r="11" spans="4:23" ht="12.75" x14ac:dyDescent="0.2">
      <c r="D11" s="1" t="s">
        <v>7</v>
      </c>
      <c r="E11" s="2" t="s">
        <v>93</v>
      </c>
      <c r="F11" s="2"/>
      <c r="G11" s="2"/>
      <c r="H11" s="2"/>
      <c r="I11" s="2"/>
      <c r="J11" s="2"/>
      <c r="K11" s="3" t="s">
        <v>8</v>
      </c>
      <c r="L11" s="638" t="str">
        <f>+'BALDERRAMA ROBLES JORGE'!L11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23" ht="12.75" x14ac:dyDescent="0.2">
      <c r="D12" s="4" t="s">
        <v>9</v>
      </c>
      <c r="E12" s="606" t="s">
        <v>330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3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3" ht="12.75" x14ac:dyDescent="0.2">
      <c r="D14" s="607" t="s">
        <v>10</v>
      </c>
      <c r="E14" s="608"/>
      <c r="F14" s="130">
        <v>71591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3" ht="12.75" x14ac:dyDescent="0.2">
      <c r="D15" s="607" t="s">
        <v>13</v>
      </c>
      <c r="E15" s="608"/>
      <c r="F15" s="130">
        <v>73120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3" ht="13.5" thickBot="1" x14ac:dyDescent="0.25">
      <c r="D16" s="609" t="s">
        <v>16</v>
      </c>
      <c r="E16" s="610"/>
      <c r="F16" s="257">
        <f>SUM(J19:J31)</f>
        <v>2410</v>
      </c>
      <c r="G16" s="257"/>
      <c r="H16" s="257"/>
      <c r="I16" s="9" t="s">
        <v>17</v>
      </c>
      <c r="J16" s="257">
        <f>SUM(K19:K31)</f>
        <v>733.67499999999995</v>
      </c>
      <c r="K16" s="257"/>
      <c r="L16" s="257"/>
      <c r="M16" s="257"/>
      <c r="N16" s="257"/>
      <c r="O16" s="9" t="s">
        <v>18</v>
      </c>
      <c r="P16" s="10">
        <f>+F16/J16</f>
        <v>3.284833202712373</v>
      </c>
      <c r="Q16" s="257"/>
      <c r="R16" s="257"/>
      <c r="S16" s="258"/>
      <c r="W16" s="14" t="s">
        <v>182</v>
      </c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362</v>
      </c>
    </row>
    <row r="19" spans="2:23" x14ac:dyDescent="0.2">
      <c r="B19" s="14" t="s">
        <v>357</v>
      </c>
      <c r="C19" s="176">
        <v>46392</v>
      </c>
      <c r="D19" s="43" t="s">
        <v>437</v>
      </c>
      <c r="E19" s="42">
        <v>45937</v>
      </c>
      <c r="F19" s="42">
        <v>45938</v>
      </c>
      <c r="G19" s="43">
        <v>4</v>
      </c>
      <c r="H19" s="23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 xml:space="preserve">ELP. </v>
      </c>
      <c r="I19" s="23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237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415</v>
      </c>
      <c r="K19" s="24"/>
      <c r="L19" s="44"/>
      <c r="M19" s="351">
        <v>1864.2570000000001</v>
      </c>
      <c r="N19" s="24">
        <v>4</v>
      </c>
      <c r="O19" s="24" t="s">
        <v>436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61"/>
      <c r="V19" s="61"/>
    </row>
    <row r="20" spans="2:23" ht="12.75" thickBot="1" x14ac:dyDescent="0.25">
      <c r="C20" s="239"/>
      <c r="D20" s="68" t="s">
        <v>438</v>
      </c>
      <c r="E20" s="69">
        <v>45938</v>
      </c>
      <c r="F20" s="69">
        <v>45938</v>
      </c>
      <c r="G20" s="68">
        <v>27</v>
      </c>
      <c r="H20" s="70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70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ELP</v>
      </c>
      <c r="J20" s="7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415</v>
      </c>
      <c r="K20" s="70">
        <v>246.31800000000001</v>
      </c>
      <c r="L20" s="299">
        <f>SUM(J19:J20)/K20</f>
        <v>3.3696278794079197</v>
      </c>
      <c r="M20" s="373">
        <v>3505.0010000000002</v>
      </c>
      <c r="N20" s="70">
        <v>4</v>
      </c>
      <c r="O20" s="70" t="s">
        <v>398</v>
      </c>
      <c r="P20" s="70" t="s">
        <v>275</v>
      </c>
      <c r="Q20" s="67">
        <f t="shared" si="0"/>
        <v>109.99874999999999</v>
      </c>
      <c r="R20" s="197">
        <f>+LOOKUP(P39,UNIDADES!B$3:B$59,UNIDADES!C$3:C$59)</f>
        <v>2.4509799999999999</v>
      </c>
      <c r="S20" s="194">
        <f>+((SUM(J19:J20)-80)/R20)-K20</f>
        <v>59.682048960007847</v>
      </c>
      <c r="T20" s="465">
        <f>+S20*14.85</f>
        <v>886.27842705611647</v>
      </c>
      <c r="U20" s="68"/>
      <c r="V20" s="68"/>
    </row>
    <row r="21" spans="2:23" ht="13.5" customHeight="1" x14ac:dyDescent="0.2">
      <c r="B21" s="14" t="s">
        <v>357</v>
      </c>
      <c r="C21" s="176">
        <v>45916</v>
      </c>
      <c r="D21" s="43" t="s">
        <v>439</v>
      </c>
      <c r="E21" s="42">
        <v>45938</v>
      </c>
      <c r="F21" s="42">
        <v>45939</v>
      </c>
      <c r="G21" s="43">
        <v>4</v>
      </c>
      <c r="H21" s="24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 xml:space="preserve">ELP. </v>
      </c>
      <c r="I21" s="24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5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415</v>
      </c>
      <c r="K21" s="24"/>
      <c r="L21" s="56"/>
      <c r="M21" s="351">
        <v>1102</v>
      </c>
      <c r="N21" s="24">
        <v>4</v>
      </c>
      <c r="O21" s="24" t="s">
        <v>441</v>
      </c>
      <c r="P21" s="24" t="s">
        <v>199</v>
      </c>
      <c r="Q21" s="45">
        <f t="shared" ref="Q21:Q24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>
        <v>59</v>
      </c>
      <c r="V21" s="17">
        <v>61</v>
      </c>
      <c r="W21" s="244"/>
    </row>
    <row r="22" spans="2:23" ht="12.75" thickBot="1" x14ac:dyDescent="0.25">
      <c r="C22" s="101"/>
      <c r="D22" s="62" t="s">
        <v>440</v>
      </c>
      <c r="E22" s="25">
        <v>45939</v>
      </c>
      <c r="F22" s="25">
        <v>45939</v>
      </c>
      <c r="G22" s="62">
        <v>3</v>
      </c>
      <c r="H22" s="27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 xml:space="preserve">CHIH. </v>
      </c>
      <c r="I22" s="27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JRZ</v>
      </c>
      <c r="J22" s="31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27">
        <v>220.13300000000001</v>
      </c>
      <c r="L22" s="112">
        <f>SUM(J21:J22)/K22</f>
        <v>3.5887395347358186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+LOOKUP(P40,UNIDADES!B$3:B$59,UNIDADES!C$3:C$59)</f>
        <v>2.4509799999999999</v>
      </c>
      <c r="S22" s="19">
        <f>+((SUM(J21:J22)-40)/R22)-K22</f>
        <v>85.86704896000785</v>
      </c>
      <c r="T22" s="460">
        <f>+S22*14.85</f>
        <v>1275.1256770561165</v>
      </c>
      <c r="U22" s="62" t="s">
        <v>359</v>
      </c>
      <c r="V22" s="420" t="s">
        <v>359</v>
      </c>
    </row>
    <row r="23" spans="2:23" ht="12.75" x14ac:dyDescent="0.2">
      <c r="B23" s="14" t="s">
        <v>357</v>
      </c>
      <c r="C23" s="176">
        <v>45952</v>
      </c>
      <c r="D23" s="43" t="s">
        <v>558</v>
      </c>
      <c r="E23" s="42">
        <v>45940</v>
      </c>
      <c r="F23" s="42">
        <v>45941</v>
      </c>
      <c r="G23" s="445">
        <v>4</v>
      </c>
      <c r="H23" s="24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 xml:space="preserve">ELP. </v>
      </c>
      <c r="I23" s="24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CHIH.</v>
      </c>
      <c r="J23" s="5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415</v>
      </c>
      <c r="K23" s="24"/>
      <c r="L23" s="56"/>
      <c r="M23" s="351">
        <v>17649.527999999998</v>
      </c>
      <c r="N23" s="24">
        <v>4</v>
      </c>
      <c r="O23" s="24" t="s">
        <v>418</v>
      </c>
      <c r="P23" s="24" t="s">
        <v>202</v>
      </c>
      <c r="Q23" s="45">
        <f t="shared" si="1"/>
        <v>109.99874999999999</v>
      </c>
      <c r="R23" s="191"/>
      <c r="S23" s="52"/>
      <c r="T23" s="459"/>
      <c r="U23" s="24"/>
      <c r="V23" s="79"/>
      <c r="W23" s="244"/>
    </row>
    <row r="24" spans="2:23" ht="13.5" customHeight="1" thickBot="1" x14ac:dyDescent="0.25">
      <c r="C24" s="101"/>
      <c r="D24" s="62" t="s">
        <v>559</v>
      </c>
      <c r="E24" s="25">
        <v>45941</v>
      </c>
      <c r="F24" s="25">
        <v>45941</v>
      </c>
      <c r="G24" s="62">
        <v>3</v>
      </c>
      <c r="H24" s="241" t="str">
        <f>IF(G24=1,[2]KILOMETRAJE!C$4,IF(G24=2,[2]KILOMETRAJE!C$5,IF(G24=3,[2]KILOMETRAJE!C$6,IF(G24=4,[2]KILOMETRAJE!C$7,IF(G24=5,[2]KILOMETRAJE!C$8,IF(G24=6,[2]KILOMETRAJE!C$9,IF(G24=7,[2]KILOMETRAJE!C$10,IF(G24=8,[2]KILOMETRAJE!C$11,IF(G24=9,[2]KILOMETRAJE!C$12,IF(G24=10,[2]KILOMETRAJE!C$13,IF(G24=11,[2]KILOMETRAJE!C$14,IF(G24=12,[2]KILOMETRAJE!C$15,IF(G24=13,[2]KILOMETRAJE!C$16,IF(G24=14,[2]KILOMETRAJE!C$17,IF(G24=15,[2]KILOMETRAJE!C$18,IF(G24=16,[2]KILOMETRAJE!C$19,IF(G24=17,[2]KILOMETRAJE!C$20,IF(G24=18,[2]KILOMETRAJE!C$21,IF(G24=19,[2]KILOMETRAJE!C$22,IF(G24=20,[2]KILOMETRAJE!C$23,IF(G24=21,[2]KILOMETRAJE!C$24,IF(G24=22,[2]KILOMETRAJE!C$25,IF(G24=23,[2]KILOMETRAJE!C$26,IF(G24=24,[2]KILOMETRAJE!C$27,IF(G24=25,[2]KILOMETRAJE!C$28,IF(G24=26,[2]KILOMETRAJE!C$29,IF(G24=27,[2]KILOMETRAJE!C$30,IF(G24=28,[2]KILOMETRAJE!C$31,IF(G24=29,[2]KILOMETRAJE!C$32,IF(G24=30,[2]KILOMETRAJE!C$33,IF(G24=31,[2]KILOMETRAJE!C$34,IF(G24=32,[2]KILOMETRAJE!C$35,IF(G24=33,[2]KILOMETRAJE!C$36,IF(G24=34,[2]KILOMETRAJE!C$37,IF(G24=35,[2]KILOMETRAJE!C$38,IF(G24=36,[2]KILOMETRAJE!C$39,IF(G24=37,[2]KILOMETRAJE!C$40,IF(G24=38,[2]KILOMETRAJE!C$41,IF(G24=39,[2]KILOMETRAJE!C$42,IF(G24=40,[2]KILOMETRAJE!C$43,IF(G24=41,[2]KILOMETRAJE!C$44,IF(G24=42,[2]KILOMETRAJE!C$45,IF(G24=43,[2]KILOMETRAJE!C$46,IF(G24=44,[2]KILOMETRAJE!C$47,IF(G24=45,[2]KILOMETRAJE!C$48,IF(G24=46,[2]KILOMETRAJE!C$49,IF(G24=47,[2]KILOMETRAJE!C$50,IF(G24=48,[2]KILOMETRAJE!C$51,IF(G24=49,[2]KILOMETRAJE!C$52,IF(G24=50,[2]KILOMETRAJE!C$53,IF(G24=51,[2]KILOMETRAJE!C$54,IF(G24=52,[2]KILOMETRAJE!C$55,IF(G24=53,[2]KILOMETRAJE!C$56,IF(G24=54,[2]KILOMETRAJE!C$57,IF(G24=55,[2]KILOMETRAJE!C$58,IF(G24=56,[2]KILOMETRAJE!C$59,IF(G24=57,[2]KILOMETRAJE!C$60,IF(G24=58,[2]KILOMETRAJE!C$61,IF(G24=59,[2]KILOMETRAJE!C$62,IF(G24=60,[2]KILOMETRAJE!C$63,IF(G24=61,[2]KILOMETRAJE!C$64,IF(G24=62,[2]KILOMETRAJE!C$65,IF(G24=63,[2]KILOMETRAJE!C$66)))))))))))))))))))))))))))))))))))))))))))))))))))))))))))))))</f>
        <v xml:space="preserve">CHIH. </v>
      </c>
      <c r="I24" s="241" t="str">
        <f>IF(G24=1,[2]KILOMETRAJE!E$4,IF(G24=2,[2]KILOMETRAJE!E$5,IF(G24=3,[2]KILOMETRAJE!E$6,IF(G24=4,[2]KILOMETRAJE!E$7,IF(G24=5,[2]KILOMETRAJE!E$8,IF(G24=6,[2]KILOMETRAJE!E$9,IF(G24=7,[2]KILOMETRAJE!E$10,IF(G24=8,[2]KILOMETRAJE!E$11,IF(G24=9,[2]KILOMETRAJE!E$12,IF(G24=10,[2]KILOMETRAJE!E$13,IF(G24=11,[2]KILOMETRAJE!E$14,IF(G24=12,[2]KILOMETRAJE!E$15,IF(G24=13,[2]KILOMETRAJE!E$16,IF(G24=14,[2]KILOMETRAJE!E$17,IF(G24=15,[2]KILOMETRAJE!E$18,IF(G24=16,[2]KILOMETRAJE!E$19,IF(G24=17,[2]KILOMETRAJE!E$20,IF(G24=18,[2]KILOMETRAJE!E$21,IF(G24=19,[2]KILOMETRAJE!E$22,IF(G24=20,[2]KILOMETRAJE!E$23,IF(G24=21,[2]KILOMETRAJE!E$24,IF(G24=22,[2]KILOMETRAJE!E$25,IF(G24=23,[2]KILOMETRAJE!E$26,IF(G24=24,[2]KILOMETRAJE!E$27,IF(G24=25,[2]KILOMETRAJE!E$28,IF(G24=26,[2]KILOMETRAJE!E$29,IF(G24=27,[2]KILOMETRAJE!E$30,IF(G24=28,[2]KILOMETRAJE!E$31,IF(G24=29,[2]KILOMETRAJE!E$32,IF(G24=30,[2]KILOMETRAJE!E$33,IF(G24=31,[2]KILOMETRAJE!E$34,IF(G24=32,[2]KILOMETRAJE!E$35,IF(G24=33,[2]KILOMETRAJE!E$36,IF(G24=34,[2]KILOMETRAJE!E$37,IF(G24=35,[2]KILOMETRAJE!E$38,IF(G24=36,[2]KILOMETRAJE!E$39,IF(G24=37,[2]KILOMETRAJE!E$40,IF(G24=38,[2]KILOMETRAJE!E$41,IF(G24=39,[2]KILOMETRAJE!E$42,IF(G24=40,[2]KILOMETRAJE!E$43,IF(G24=41,[2]KILOMETRAJE!E$44,IF(G24=42,[2]KILOMETRAJE!E$45,IF(G24=43,[2]KILOMETRAJE!E$46,IF(G24=44,[2]KILOMETRAJE!E$47,IF(G24=45,[2]KILOMETRAJE!E$48,IF(G24=46,[2]KILOMETRAJE!E$49,IF(G24=47,[2]KILOMETRAJE!E$50,IF(G24=48,[2]KILOMETRAJE!E$51,IF(G24=49,[2]KILOMETRAJE!E$52,IF(G24=50,[2]KILOMETRAJE!E$53,IF(G24=51,[2]KILOMETRAJE!E$54,IF(G24=52,[2]KILOMETRAJE!E$55,IF(G24=53,[2]KILOMETRAJE!E$56,IF(G24=54,[2]KILOMETRAJE!E$57,IF(G24=55,[2]KILOMETRAJE!E$58,IF(G24=56,[2]KILOMETRAJE!E$59,IF(G24=57,[2]KILOMETRAJE!E$60,IF(G24=58,[2]KILOMETRAJE!E$61,IF(G24=59,[2]KILOMETRAJE!E$62,IF(G24=60,[2]KILOMETRAJE!E$63,IF(G24=61,[2]KILOMETRAJE!E$64,IF(G24=62,[2]KILOMETRAJE!E$65,IF(G24=63,[2]KILOMETRAJE!E$66)))))))))))))))))))))))))))))))))))))))))))))))))))))))))))))))</f>
        <v>JRZ</v>
      </c>
      <c r="J24" s="242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7">
        <v>267.22399999999999</v>
      </c>
      <c r="L24" s="28">
        <f>SUM(J23:J24)/K24</f>
        <v>2.9563212885070205</v>
      </c>
      <c r="M24" s="352">
        <v>514</v>
      </c>
      <c r="N24" s="27">
        <v>1</v>
      </c>
      <c r="O24" s="27" t="s">
        <v>560</v>
      </c>
      <c r="P24" s="27" t="s">
        <v>199</v>
      </c>
      <c r="Q24" s="29">
        <f t="shared" si="1"/>
        <v>109.99874999999999</v>
      </c>
      <c r="R24" s="190">
        <f>+LOOKUP(P41,UNIDADES!B$3:B$59,UNIDADES!C$3:C$59)</f>
        <v>2.4509799999999999</v>
      </c>
      <c r="S24" s="19">
        <f>+((SUM(J23:J24)-40)/R24)-K24</f>
        <v>38.77604896000787</v>
      </c>
      <c r="T24" s="460">
        <f>+S24*14.85</f>
        <v>575.82432705611689</v>
      </c>
      <c r="U24" s="27"/>
      <c r="V24" s="55"/>
    </row>
    <row r="25" spans="2:23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59"/>
      <c r="U25" s="24"/>
      <c r="V25" s="79"/>
    </row>
    <row r="26" spans="2:23" ht="12.75" hidden="1" thickBot="1" x14ac:dyDescent="0.25">
      <c r="C26" s="240"/>
      <c r="D26" s="57"/>
      <c r="E26" s="58"/>
      <c r="F26" s="58"/>
      <c r="G26" s="57"/>
      <c r="H26" s="502"/>
      <c r="I26" s="502"/>
      <c r="J26" s="503"/>
      <c r="K26" s="322"/>
      <c r="L26" s="338"/>
      <c r="M26" s="388"/>
      <c r="N26" s="322"/>
      <c r="O26" s="322"/>
      <c r="P26" s="322"/>
      <c r="Q26" s="339"/>
      <c r="R26" s="340"/>
      <c r="S26" s="341"/>
      <c r="T26" s="339"/>
      <c r="U26" s="62"/>
      <c r="V26" s="420"/>
    </row>
    <row r="27" spans="2:23" hidden="1" x14ac:dyDescent="0.2">
      <c r="C27" s="375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92"/>
      <c r="S27" s="186"/>
      <c r="T27" s="40"/>
      <c r="U27" s="36"/>
      <c r="V27" s="36"/>
    </row>
    <row r="28" spans="2:23" hidden="1" x14ac:dyDescent="0.2">
      <c r="C28" s="347"/>
      <c r="D28" s="61"/>
      <c r="E28" s="12"/>
      <c r="F28" s="12"/>
      <c r="G28" s="61"/>
      <c r="H28" s="427"/>
      <c r="I28" s="427"/>
      <c r="J28" s="428"/>
      <c r="K28" s="11"/>
      <c r="L28" s="23"/>
      <c r="M28" s="374"/>
      <c r="N28" s="11"/>
      <c r="O28" s="11"/>
      <c r="P28" s="11"/>
      <c r="Q28" s="13"/>
      <c r="R28" s="342"/>
      <c r="S28" s="195"/>
      <c r="T28" s="13"/>
      <c r="U28" s="61"/>
      <c r="V28" s="61"/>
    </row>
    <row r="29" spans="2:23" hidden="1" x14ac:dyDescent="0.2">
      <c r="C29" s="347"/>
      <c r="D29" s="61"/>
      <c r="E29" s="12"/>
      <c r="F29" s="12"/>
      <c r="G29" s="61"/>
      <c r="H29" s="11"/>
      <c r="I29" s="11"/>
      <c r="J29" s="22"/>
      <c r="K29" s="11"/>
      <c r="L29" s="372"/>
      <c r="M29" s="374"/>
      <c r="N29" s="11"/>
      <c r="O29" s="11"/>
      <c r="P29" s="11"/>
      <c r="Q29" s="13"/>
      <c r="R29" s="342"/>
      <c r="S29" s="195"/>
      <c r="T29" s="13"/>
      <c r="U29" s="61"/>
      <c r="V29" s="61"/>
    </row>
    <row r="30" spans="2:23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  <c r="U30" s="61"/>
      <c r="V30" s="61"/>
    </row>
    <row r="31" spans="2:23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  <c r="U31" s="61"/>
      <c r="V31" s="61"/>
    </row>
    <row r="32" spans="2:23" ht="12.75" thickBot="1" x14ac:dyDescent="0.25">
      <c r="I32" s="297"/>
      <c r="R32" s="193"/>
      <c r="S32" s="15"/>
    </row>
    <row r="33" spans="2:24" ht="15.75" customHeight="1" x14ac:dyDescent="0.2">
      <c r="E33" s="611" t="s">
        <v>34</v>
      </c>
      <c r="F33" s="628">
        <f>+'AGUILAR ESQUIVEL CARLOS'!F34</f>
        <v>45936</v>
      </c>
      <c r="G33" s="629"/>
      <c r="H33" s="16">
        <f>+F33+1</f>
        <v>45937</v>
      </c>
      <c r="I33" s="16">
        <f>+H33+1</f>
        <v>45938</v>
      </c>
      <c r="J33" s="16">
        <f>+I33+1</f>
        <v>45939</v>
      </c>
      <c r="K33" s="16">
        <f>+J33+1</f>
        <v>45940</v>
      </c>
      <c r="L33" s="16">
        <f>+K33+2</f>
        <v>45942</v>
      </c>
      <c r="M33" s="17" t="s">
        <v>35</v>
      </c>
    </row>
    <row r="34" spans="2:24" ht="12.75" thickBot="1" x14ac:dyDescent="0.25">
      <c r="E34" s="612"/>
      <c r="F34" s="630"/>
      <c r="G34" s="631"/>
      <c r="H34" s="29">
        <v>1695</v>
      </c>
      <c r="I34" s="29">
        <v>625</v>
      </c>
      <c r="J34" s="29">
        <v>1000</v>
      </c>
      <c r="K34" s="29">
        <v>1500</v>
      </c>
      <c r="L34" s="29"/>
      <c r="M34" s="30">
        <f>SUM(F34:L34)</f>
        <v>4820</v>
      </c>
    </row>
    <row r="35" spans="2:24" ht="12.75" thickBot="1" x14ac:dyDescent="0.25">
      <c r="I35" s="15"/>
    </row>
    <row r="36" spans="2:24" ht="13.5" thickBot="1" x14ac:dyDescent="0.25">
      <c r="C36" s="590" t="s">
        <v>36</v>
      </c>
      <c r="D36" s="591"/>
      <c r="E36" s="591"/>
      <c r="F36" s="591"/>
      <c r="G36" s="592"/>
      <c r="I36" s="602" t="s">
        <v>37</v>
      </c>
      <c r="J36" s="603"/>
      <c r="K36" s="603"/>
      <c r="L36" s="604"/>
      <c r="M36" s="298"/>
      <c r="O36" s="593" t="s">
        <v>38</v>
      </c>
      <c r="P36" s="594"/>
      <c r="Q36" s="595">
        <f>+F48-L45</f>
        <v>8962.2219311683493</v>
      </c>
      <c r="R36" s="596"/>
      <c r="S36" s="597"/>
      <c r="W36" s="245"/>
      <c r="X36" s="245"/>
    </row>
    <row r="37" spans="2:24" ht="12.75" thickBot="1" x14ac:dyDescent="0.25">
      <c r="C37" s="598" t="s">
        <v>220</v>
      </c>
      <c r="D37" s="599"/>
      <c r="E37" s="599"/>
      <c r="F37" s="600">
        <f>SUM(Q18:Q32)</f>
        <v>604.99349999999993</v>
      </c>
      <c r="G37" s="601"/>
      <c r="I37" s="114" t="s">
        <v>126</v>
      </c>
      <c r="J37" s="68" t="s">
        <v>127</v>
      </c>
      <c r="K37" s="68" t="s">
        <v>70</v>
      </c>
      <c r="L37" s="115" t="s">
        <v>128</v>
      </c>
      <c r="M37" s="349"/>
    </row>
    <row r="38" spans="2:24" ht="13.5" customHeight="1" thickBot="1" x14ac:dyDescent="0.25">
      <c r="C38" s="584" t="s">
        <v>221</v>
      </c>
      <c r="D38" s="585"/>
      <c r="E38" s="585"/>
      <c r="F38" s="586">
        <f>SUM(T18:T32)</f>
        <v>2737.2284311683497</v>
      </c>
      <c r="G38" s="587"/>
      <c r="I38" s="331"/>
      <c r="J38" s="430"/>
      <c r="K38" s="554"/>
      <c r="L38" s="412"/>
      <c r="M38" s="349"/>
      <c r="O38" s="74" t="s">
        <v>70</v>
      </c>
      <c r="P38" s="75" t="s">
        <v>71</v>
      </c>
      <c r="Q38" s="76" t="s">
        <v>72</v>
      </c>
      <c r="R38" s="76"/>
      <c r="S38" s="77" t="s">
        <v>73</v>
      </c>
      <c r="T38" s="75" t="s">
        <v>74</v>
      </c>
      <c r="U38" s="74" t="s">
        <v>146</v>
      </c>
      <c r="V38" s="75" t="s">
        <v>147</v>
      </c>
      <c r="W38" s="75" t="s">
        <v>285</v>
      </c>
    </row>
    <row r="39" spans="2:24" x14ac:dyDescent="0.2">
      <c r="C39" s="584" t="s">
        <v>34</v>
      </c>
      <c r="D39" s="585"/>
      <c r="E39" s="585"/>
      <c r="F39" s="586">
        <f>+M34</f>
        <v>4820</v>
      </c>
      <c r="G39" s="587"/>
      <c r="I39" s="383"/>
      <c r="J39" s="117"/>
      <c r="K39" s="418"/>
      <c r="L39" s="410"/>
      <c r="M39" s="349"/>
      <c r="O39" s="78">
        <v>46392</v>
      </c>
      <c r="P39" s="79" t="s">
        <v>164</v>
      </c>
      <c r="Q39" s="11">
        <v>435825</v>
      </c>
      <c r="R39" s="24"/>
      <c r="S39" s="24">
        <v>436613</v>
      </c>
      <c r="T39" s="79">
        <f>+S39-Q39</f>
        <v>788</v>
      </c>
      <c r="U39" s="137">
        <f>SUM(J19:J20)</f>
        <v>830</v>
      </c>
      <c r="V39" s="79">
        <f>+K20</f>
        <v>246.31800000000001</v>
      </c>
      <c r="W39" s="356">
        <f>(SUM(M19:M20)/2)</f>
        <v>2684.6289999999999</v>
      </c>
    </row>
    <row r="40" spans="2:24" x14ac:dyDescent="0.2">
      <c r="C40" s="584" t="s">
        <v>187</v>
      </c>
      <c r="D40" s="585"/>
      <c r="E40" s="585"/>
      <c r="F40" s="586"/>
      <c r="G40" s="587"/>
      <c r="I40" s="383"/>
      <c r="J40" s="117"/>
      <c r="K40" s="418"/>
      <c r="L40" s="410"/>
      <c r="M40" s="349"/>
      <c r="O40" s="32">
        <v>45916</v>
      </c>
      <c r="P40" s="53" t="s">
        <v>164</v>
      </c>
      <c r="Q40" s="32">
        <v>436613</v>
      </c>
      <c r="R40" s="11"/>
      <c r="S40" s="11">
        <v>437357</v>
      </c>
      <c r="T40" s="53">
        <f t="shared" ref="T40:T45" si="2">+S40-Q40</f>
        <v>744</v>
      </c>
      <c r="U40" s="136">
        <f>SUM(J21:J22)</f>
        <v>790</v>
      </c>
      <c r="V40" s="53">
        <f>+K22</f>
        <v>220.13300000000001</v>
      </c>
      <c r="W40" s="357">
        <f>(SUM(M21:M22)/2)</f>
        <v>551</v>
      </c>
    </row>
    <row r="41" spans="2:24" x14ac:dyDescent="0.2">
      <c r="C41" s="584" t="s">
        <v>39</v>
      </c>
      <c r="D41" s="585"/>
      <c r="E41" s="585"/>
      <c r="F41" s="586"/>
      <c r="G41" s="587"/>
      <c r="I41" s="383"/>
      <c r="J41" s="117"/>
      <c r="K41" s="418"/>
      <c r="L41" s="410"/>
      <c r="M41" s="349"/>
      <c r="O41" s="32">
        <v>45952</v>
      </c>
      <c r="P41" s="53" t="s">
        <v>164</v>
      </c>
      <c r="Q41" s="32">
        <v>437357</v>
      </c>
      <c r="R41" s="11"/>
      <c r="S41" s="11">
        <v>438124</v>
      </c>
      <c r="T41" s="53">
        <f t="shared" si="2"/>
        <v>767</v>
      </c>
      <c r="U41" s="136">
        <f>SUM(J23:J24)</f>
        <v>790</v>
      </c>
      <c r="V41" s="53">
        <f>+K24</f>
        <v>267.22399999999999</v>
      </c>
      <c r="W41" s="357">
        <f>(SUM(M23:M24)/2)</f>
        <v>9081.7639999999992</v>
      </c>
    </row>
    <row r="42" spans="2:24" x14ac:dyDescent="0.2">
      <c r="C42" s="584" t="s">
        <v>117</v>
      </c>
      <c r="D42" s="585"/>
      <c r="E42" s="585"/>
      <c r="F42" s="586">
        <v>750</v>
      </c>
      <c r="G42" s="587"/>
      <c r="I42" s="383"/>
      <c r="J42" s="117"/>
      <c r="K42" s="418"/>
      <c r="L42" s="410"/>
      <c r="M42" s="349"/>
      <c r="O42" s="32"/>
      <c r="P42" s="53"/>
      <c r="Q42" s="11"/>
      <c r="R42" s="11"/>
      <c r="S42" s="11"/>
      <c r="T42" s="53">
        <f t="shared" si="2"/>
        <v>0</v>
      </c>
      <c r="U42" s="136">
        <f>SUM(J25:J26)</f>
        <v>0</v>
      </c>
      <c r="V42" s="53">
        <f>+K26</f>
        <v>0</v>
      </c>
      <c r="W42" s="357">
        <f>(SUM(M25:M26)/2)</f>
        <v>0</v>
      </c>
    </row>
    <row r="43" spans="2:24" x14ac:dyDescent="0.2">
      <c r="C43" s="584" t="s">
        <v>40</v>
      </c>
      <c r="D43" s="585"/>
      <c r="E43" s="585"/>
      <c r="F43" s="586">
        <v>50</v>
      </c>
      <c r="G43" s="587"/>
      <c r="I43" s="383"/>
      <c r="J43" s="117"/>
      <c r="K43" s="418"/>
      <c r="L43" s="410"/>
      <c r="M43" s="349"/>
      <c r="O43" s="32"/>
      <c r="P43" s="53"/>
      <c r="Q43" s="32"/>
      <c r="R43" s="95"/>
      <c r="S43" s="11"/>
      <c r="T43" s="53">
        <f t="shared" si="2"/>
        <v>0</v>
      </c>
      <c r="U43" s="136">
        <f>SUM(J27:J28)</f>
        <v>0</v>
      </c>
      <c r="V43" s="53">
        <f>+K28</f>
        <v>0</v>
      </c>
      <c r="W43" s="357">
        <f>(SUM(M27:M28)/2)</f>
        <v>0</v>
      </c>
    </row>
    <row r="44" spans="2:24" ht="12.75" thickBot="1" x14ac:dyDescent="0.25">
      <c r="C44" s="584" t="s">
        <v>309</v>
      </c>
      <c r="D44" s="585"/>
      <c r="E44" s="585"/>
      <c r="F44" s="586"/>
      <c r="G44" s="587"/>
      <c r="I44" s="282"/>
      <c r="J44" s="285"/>
      <c r="K44" s="420"/>
      <c r="L44" s="413"/>
      <c r="M44" s="349"/>
      <c r="O44" s="32"/>
      <c r="P44" s="53"/>
      <c r="Q44" s="32"/>
      <c r="R44" s="95"/>
      <c r="S44" s="11"/>
      <c r="T44" s="53">
        <f t="shared" si="2"/>
        <v>0</v>
      </c>
      <c r="U44" s="136">
        <f>SUM(J29:J30)</f>
        <v>0</v>
      </c>
      <c r="V44" s="53">
        <f>+K31</f>
        <v>0</v>
      </c>
      <c r="W44" s="357">
        <f>(SUM(M29:M30)/2)</f>
        <v>0</v>
      </c>
    </row>
    <row r="45" spans="2:24" ht="13.5" customHeight="1" thickBot="1" x14ac:dyDescent="0.25">
      <c r="B45" s="344"/>
      <c r="C45" s="584" t="s">
        <v>350</v>
      </c>
      <c r="D45" s="585"/>
      <c r="E45" s="585"/>
      <c r="F45" s="588"/>
      <c r="G45" s="589"/>
      <c r="I45" s="579" t="s">
        <v>41</v>
      </c>
      <c r="J45" s="580"/>
      <c r="K45" s="614"/>
      <c r="L45" s="284">
        <f>SUM(L38:L44)</f>
        <v>0</v>
      </c>
      <c r="M45" s="350"/>
      <c r="O45" s="113"/>
      <c r="P45" s="264"/>
      <c r="Q45" s="113"/>
      <c r="R45" s="83"/>
      <c r="S45" s="81"/>
      <c r="T45" s="82">
        <f t="shared" si="2"/>
        <v>0</v>
      </c>
      <c r="U45" s="138">
        <f>SUM(J30:J31)</f>
        <v>0</v>
      </c>
      <c r="V45" s="55">
        <f>+K31</f>
        <v>0</v>
      </c>
      <c r="W45" s="358">
        <f>(SUM(M30:M31)/2)</f>
        <v>0</v>
      </c>
    </row>
    <row r="46" spans="2:24" ht="13.5" customHeight="1" x14ac:dyDescent="0.2">
      <c r="C46" s="584" t="s">
        <v>244</v>
      </c>
      <c r="D46" s="585"/>
      <c r="E46" s="585"/>
      <c r="F46" s="588"/>
      <c r="G46" s="589"/>
      <c r="R46" s="21"/>
      <c r="S46" s="21"/>
      <c r="T46" s="21"/>
      <c r="U46" s="139"/>
      <c r="V46" s="271"/>
    </row>
    <row r="47" spans="2:24" ht="13.5" customHeight="1" thickBot="1" x14ac:dyDescent="0.25">
      <c r="C47" s="575" t="s">
        <v>310</v>
      </c>
      <c r="D47" s="576"/>
      <c r="E47" s="576"/>
      <c r="F47" s="577"/>
      <c r="G47" s="578"/>
      <c r="Q47" s="454"/>
      <c r="R47" s="517"/>
      <c r="S47" s="517"/>
      <c r="T47" s="21"/>
      <c r="U47" s="139"/>
      <c r="V47" s="271"/>
    </row>
    <row r="48" spans="2:24" ht="13.5" thickBot="1" x14ac:dyDescent="0.25">
      <c r="C48" s="579" t="s">
        <v>42</v>
      </c>
      <c r="D48" s="580"/>
      <c r="E48" s="581"/>
      <c r="F48" s="582">
        <f>SUM(F37:G47)</f>
        <v>8962.2219311683493</v>
      </c>
      <c r="G48" s="583"/>
      <c r="R48" s="21"/>
      <c r="S48" s="21"/>
      <c r="T48" s="21"/>
      <c r="U48" s="139"/>
      <c r="V48" s="271"/>
    </row>
    <row r="49" spans="3:22" ht="13.5" customHeight="1" thickBot="1" x14ac:dyDescent="0.25">
      <c r="P49" s="570" t="s">
        <v>48</v>
      </c>
      <c r="Q49" s="571"/>
      <c r="R49" s="572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66" t="s">
        <v>49</v>
      </c>
      <c r="R50" s="567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68" t="s">
        <v>136</v>
      </c>
      <c r="R51" s="569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68" t="s">
        <v>131</v>
      </c>
      <c r="R52" s="569"/>
      <c r="S52" s="21"/>
      <c r="T52" s="249"/>
    </row>
    <row r="53" spans="3:22" x14ac:dyDescent="0.2">
      <c r="P53" s="32">
        <v>4</v>
      </c>
      <c r="Q53" s="568" t="s">
        <v>229</v>
      </c>
      <c r="R53" s="569"/>
      <c r="S53" s="21"/>
      <c r="T53" s="249"/>
    </row>
    <row r="54" spans="3:22" ht="12.75" thickBot="1" x14ac:dyDescent="0.25">
      <c r="P54" s="32">
        <v>5</v>
      </c>
      <c r="Q54" s="568" t="s">
        <v>230</v>
      </c>
      <c r="R54" s="569"/>
      <c r="S54" s="21"/>
    </row>
    <row r="55" spans="3:22" ht="14.25" customHeight="1" thickTop="1" thickBot="1" x14ac:dyDescent="0.25">
      <c r="D55" s="613" t="s">
        <v>44</v>
      </c>
      <c r="E55" s="613"/>
      <c r="F55" s="613"/>
      <c r="G55" s="613"/>
      <c r="H55" s="613"/>
      <c r="J55" s="613" t="s">
        <v>45</v>
      </c>
      <c r="K55" s="613"/>
      <c r="L55" s="613"/>
      <c r="M55" s="613"/>
      <c r="N55" s="613"/>
      <c r="P55" s="54">
        <v>6</v>
      </c>
      <c r="Q55" s="573" t="s">
        <v>231</v>
      </c>
      <c r="R55" s="574"/>
      <c r="S55" s="21"/>
      <c r="T55" s="21"/>
    </row>
    <row r="56" spans="3:22" x14ac:dyDescent="0.2">
      <c r="S56" s="21"/>
      <c r="T56" s="21"/>
    </row>
  </sheetData>
  <mergeCells count="56">
    <mergeCell ref="O36:P36"/>
    <mergeCell ref="Q36:S36"/>
    <mergeCell ref="I36:L36"/>
    <mergeCell ref="Q54:R54"/>
    <mergeCell ref="P49:R49"/>
    <mergeCell ref="Q50:R50"/>
    <mergeCell ref="Q51:R51"/>
    <mergeCell ref="Q52:R52"/>
    <mergeCell ref="Q53:R53"/>
    <mergeCell ref="Q2:S2"/>
    <mergeCell ref="I3:O3"/>
    <mergeCell ref="Q3:S3"/>
    <mergeCell ref="I4:O4"/>
    <mergeCell ref="I5:O5"/>
    <mergeCell ref="Q5:S5"/>
    <mergeCell ref="D13:E13"/>
    <mergeCell ref="D14:E14"/>
    <mergeCell ref="D15:E15"/>
    <mergeCell ref="D16:E16"/>
    <mergeCell ref="E33:E34"/>
    <mergeCell ref="I6:O6"/>
    <mergeCell ref="Q6:S6"/>
    <mergeCell ref="I9:O9"/>
    <mergeCell ref="L11:S11"/>
    <mergeCell ref="E12:F12"/>
    <mergeCell ref="C38:E38"/>
    <mergeCell ref="F38:G38"/>
    <mergeCell ref="F33:G33"/>
    <mergeCell ref="F34:G34"/>
    <mergeCell ref="C39:E39"/>
    <mergeCell ref="F39:G39"/>
    <mergeCell ref="C36:G36"/>
    <mergeCell ref="C37:E37"/>
    <mergeCell ref="F37:G37"/>
    <mergeCell ref="F42:G42"/>
    <mergeCell ref="C40:E40"/>
    <mergeCell ref="F40:G40"/>
    <mergeCell ref="C41:E41"/>
    <mergeCell ref="F41:G41"/>
    <mergeCell ref="C42:E42"/>
    <mergeCell ref="Q55:R55"/>
    <mergeCell ref="F43:G43"/>
    <mergeCell ref="C44:E44"/>
    <mergeCell ref="F44:G44"/>
    <mergeCell ref="C43:E43"/>
    <mergeCell ref="C45:E45"/>
    <mergeCell ref="F45:G45"/>
    <mergeCell ref="D55:H55"/>
    <mergeCell ref="J55:N55"/>
    <mergeCell ref="I45:K45"/>
    <mergeCell ref="F46:G46"/>
    <mergeCell ref="C47:E47"/>
    <mergeCell ref="F47:G47"/>
    <mergeCell ref="C48:E48"/>
    <mergeCell ref="F48:G48"/>
    <mergeCell ref="C46:E46"/>
  </mergeCells>
  <phoneticPr fontId="27" type="noConversion"/>
  <pageMargins left="0" right="0" top="0.15748031496062992" bottom="0.15748031496062992" header="0.31496062992125984" footer="0.31496062992125984"/>
  <pageSetup paperSize="9" scale="72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C1:X57"/>
  <sheetViews>
    <sheetView topLeftCell="A8" zoomScale="115" zoomScaleNormal="115" workbookViewId="0">
      <selection activeCell="T20" sqref="T20"/>
    </sheetView>
  </sheetViews>
  <sheetFormatPr baseColWidth="10" defaultColWidth="9.140625" defaultRowHeight="12" x14ac:dyDescent="0.2"/>
  <cols>
    <col min="1" max="1" width="5" style="14" customWidth="1"/>
    <col min="2" max="2" width="15" style="14" bestFit="1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3.140625" style="14" customWidth="1"/>
    <col min="10" max="10" width="11" style="14" customWidth="1"/>
    <col min="11" max="11" width="10.42578125" style="14" customWidth="1"/>
    <col min="12" max="12" width="12.85546875" style="14" customWidth="1"/>
    <col min="13" max="13" width="11.28515625" style="14" bestFit="1" customWidth="1"/>
    <col min="14" max="14" width="9.28515625" style="14" customWidth="1"/>
    <col min="15" max="15" width="10.140625" style="14" customWidth="1"/>
    <col min="16" max="16" width="11.85546875" style="14" customWidth="1"/>
    <col min="17" max="17" width="11.140625" style="14" customWidth="1"/>
    <col min="18" max="18" width="10" style="14" customWidth="1"/>
    <col min="19" max="19" width="9.8554687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9.140625" style="14" customWidth="1"/>
    <col min="24" max="24" width="10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+'REYES LARA DANTE'!Q6+1</f>
        <v>28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638" t="s">
        <v>355</v>
      </c>
      <c r="F11" s="638"/>
      <c r="G11" s="638"/>
      <c r="H11" s="638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366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145742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146480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3:24" x14ac:dyDescent="0.2">
      <c r="C19" s="176"/>
      <c r="D19" s="227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9"/>
      <c r="U19" s="61"/>
      <c r="V19" s="61"/>
    </row>
    <row r="20" spans="3:24" ht="13.5" customHeight="1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67">
        <f>((((IF(N20=1,((J19:J20)*0.29333)))+(IF(N20=2,((J20)*0.146666)))+(IF(N20=3,((J20)*0.146666)))))+(IF(N20=4,((J20-40)*0.29333)))+(IF(N20=5,((J20-50)*0.29333)))+(IF(N20=6,((J20-90)*0.29333))))</f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5" t="e">
        <f>+S20*14.85</f>
        <v>#N/A</v>
      </c>
      <c r="U20" s="68"/>
      <c r="V20" s="68"/>
      <c r="W20" s="244"/>
      <c r="X20" s="244"/>
    </row>
    <row r="21" spans="3:24" x14ac:dyDescent="0.2">
      <c r="C21" s="176"/>
      <c r="D21" s="227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59"/>
      <c r="U21" s="24"/>
      <c r="V21" s="79"/>
      <c r="X21" s="245"/>
    </row>
    <row r="22" spans="3:24" ht="13.5" customHeight="1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465"/>
      <c r="U22" s="70"/>
      <c r="V22" s="488"/>
      <c r="X22" s="244"/>
    </row>
    <row r="23" spans="3:24" x14ac:dyDescent="0.2">
      <c r="C23" s="176"/>
      <c r="D23" s="227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43"/>
      <c r="V23" s="17"/>
    </row>
    <row r="24" spans="3:24" ht="13.5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62"/>
      <c r="V24" s="420"/>
    </row>
    <row r="25" spans="3:24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43"/>
      <c r="V25" s="17"/>
    </row>
    <row r="26" spans="3:24" ht="13.5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62"/>
      <c r="V26" s="420"/>
    </row>
    <row r="27" spans="3:24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43"/>
      <c r="V27" s="17"/>
    </row>
    <row r="28" spans="3:24" ht="13.5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2"/>
      <c r="V28" s="420"/>
    </row>
    <row r="29" spans="3:24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36"/>
      <c r="V29" s="36"/>
    </row>
    <row r="30" spans="3:24" ht="13.5" hidden="1" customHeight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3.5" hidden="1" customHeight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246</v>
      </c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H37" s="14" t="s">
        <v>247</v>
      </c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+F49-L46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SUM(Q19:Q32)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SUM(T19:T32)</f>
        <v>#N/A</v>
      </c>
      <c r="G39" s="587"/>
      <c r="I39" s="644"/>
      <c r="J39" s="645"/>
      <c r="K39" s="647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 t="s">
        <v>182</v>
      </c>
      <c r="J40" s="117"/>
      <c r="K40" s="61"/>
      <c r="L40" s="111"/>
      <c r="M40" s="349"/>
      <c r="O40" s="452"/>
      <c r="P40" s="308"/>
      <c r="Q40" s="452"/>
      <c r="R40" s="453"/>
      <c r="S40" s="308"/>
      <c r="T40" s="304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313"/>
      <c r="J41" s="117"/>
      <c r="K41" s="61"/>
      <c r="L41" s="111"/>
      <c r="M41" s="349"/>
      <c r="O41" s="32"/>
      <c r="P41" s="53"/>
      <c r="Q41" s="32"/>
      <c r="R41" s="11"/>
      <c r="S41" s="53"/>
      <c r="T41" s="305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32"/>
      <c r="R42" s="11"/>
      <c r="S42" s="53"/>
      <c r="T42" s="305">
        <f t="shared" ref="T42" si="0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/>
      <c r="P43" s="53"/>
      <c r="Q43" s="53"/>
      <c r="R43" s="11"/>
      <c r="S43" s="53"/>
      <c r="T43" s="305">
        <f t="shared" ref="T43:T45" si="1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32"/>
      <c r="R44" s="95"/>
      <c r="S44" s="53"/>
      <c r="T44" s="305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32"/>
      <c r="R45" s="95"/>
      <c r="S45" s="53"/>
      <c r="T45" s="305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113"/>
      <c r="R46" s="83"/>
      <c r="S46" s="82"/>
      <c r="T46" s="306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228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 t="e">
        <f>SUM(F38:G48)</f>
        <v>#N/A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8">
    <mergeCell ref="D56:H56"/>
    <mergeCell ref="J56:N56"/>
    <mergeCell ref="I46:K46"/>
    <mergeCell ref="C47:E47"/>
    <mergeCell ref="F47:G47"/>
    <mergeCell ref="C48:E48"/>
    <mergeCell ref="F48:G48"/>
    <mergeCell ref="C49:E49"/>
    <mergeCell ref="F49:G49"/>
    <mergeCell ref="C46:E46"/>
    <mergeCell ref="F46:G46"/>
    <mergeCell ref="I9:O9"/>
    <mergeCell ref="E11:H11"/>
    <mergeCell ref="L11:S11"/>
    <mergeCell ref="C45:E45"/>
    <mergeCell ref="C43:E43"/>
    <mergeCell ref="F45:G45"/>
    <mergeCell ref="F43:G43"/>
    <mergeCell ref="C41:E41"/>
    <mergeCell ref="F41:G41"/>
    <mergeCell ref="C42:E42"/>
    <mergeCell ref="F42:G42"/>
    <mergeCell ref="C44:E44"/>
    <mergeCell ref="F44:G44"/>
    <mergeCell ref="C40:E40"/>
    <mergeCell ref="F40:G40"/>
    <mergeCell ref="C37:G37"/>
    <mergeCell ref="I37:L37"/>
    <mergeCell ref="E12:F12"/>
    <mergeCell ref="D13:E13"/>
    <mergeCell ref="D14:E14"/>
    <mergeCell ref="D15:E15"/>
    <mergeCell ref="D16:E16"/>
    <mergeCell ref="F34:G34"/>
    <mergeCell ref="F35:G35"/>
    <mergeCell ref="E34:E35"/>
    <mergeCell ref="C38:E38"/>
    <mergeCell ref="F38:G38"/>
    <mergeCell ref="C39:E39"/>
    <mergeCell ref="F39:G39"/>
    <mergeCell ref="Q54:R54"/>
    <mergeCell ref="I39:K39"/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I6:O6"/>
    <mergeCell ref="Q6:S6"/>
  </mergeCells>
  <pageMargins left="0.19685039370078741" right="0" top="0.35433070866141736" bottom="0.35433070866141736" header="0.31496062992125984" footer="0.31496062992125984"/>
  <pageSetup paperSize="9" scale="82" fitToWidth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C1:W58"/>
  <sheetViews>
    <sheetView topLeftCell="A3" zoomScale="87" zoomScaleNormal="87" workbookViewId="0">
      <selection activeCell="I40" sqref="I40:L45"/>
    </sheetView>
  </sheetViews>
  <sheetFormatPr baseColWidth="10" defaultColWidth="9.140625" defaultRowHeight="12" x14ac:dyDescent="0.2"/>
  <cols>
    <col min="1" max="1" width="2.28515625" style="14" customWidth="1"/>
    <col min="2" max="2" width="2.5703125" style="14" customWidth="1"/>
    <col min="3" max="3" width="11.85546875" style="14" customWidth="1"/>
    <col min="4" max="4" width="12" style="14" bestFit="1" customWidth="1"/>
    <col min="5" max="5" width="7.85546875" style="14" customWidth="1"/>
    <col min="6" max="6" width="8.85546875" style="14" customWidth="1"/>
    <col min="7" max="7" width="3" style="14" bestFit="1" customWidth="1"/>
    <col min="8" max="8" width="12.140625" style="14" customWidth="1"/>
    <col min="9" max="9" width="12.28515625" style="14" customWidth="1"/>
    <col min="10" max="10" width="11.140625" style="14" customWidth="1"/>
    <col min="11" max="11" width="11.85546875" style="14" customWidth="1"/>
    <col min="12" max="12" width="13.5703125" style="14" customWidth="1"/>
    <col min="13" max="13" width="12.140625" style="14" bestFit="1" customWidth="1"/>
    <col min="14" max="15" width="10.28515625" style="14" customWidth="1"/>
    <col min="16" max="16" width="11.85546875" style="14" customWidth="1"/>
    <col min="17" max="17" width="12.140625" style="14" bestFit="1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8.85546875" style="14" hidden="1" customWidth="1"/>
    <col min="23" max="23" width="13.710937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'AGUILERA CONTRERAS LUIS GERARDO'!Q3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+'RAMIREZ BAUTISTA ADRIAN'!Q6+1</f>
        <v>47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297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58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SUM(J19:J33)</f>
        <v>3000</v>
      </c>
      <c r="G16" s="257"/>
      <c r="H16" s="257"/>
      <c r="I16" s="9" t="s">
        <v>17</v>
      </c>
      <c r="J16" s="257">
        <f>SUM(K19:K33)</f>
        <v>844.37099999999998</v>
      </c>
      <c r="K16" s="257"/>
      <c r="L16" s="257"/>
      <c r="M16" s="257"/>
      <c r="N16" s="257"/>
      <c r="O16" s="9" t="s">
        <v>18</v>
      </c>
      <c r="P16" s="10">
        <f>+F16/J16</f>
        <v>3.5529405912803731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362</v>
      </c>
    </row>
    <row r="19" spans="3:22" x14ac:dyDescent="0.2">
      <c r="C19" s="176">
        <v>46381</v>
      </c>
      <c r="D19" s="43" t="s">
        <v>372</v>
      </c>
      <c r="E19" s="42">
        <v>45936</v>
      </c>
      <c r="F19" s="42">
        <v>45937</v>
      </c>
      <c r="G19" s="43">
        <v>2</v>
      </c>
      <c r="H19" s="24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JRZ</v>
      </c>
      <c r="I19" s="24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51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375</v>
      </c>
      <c r="K19" s="24"/>
      <c r="L19" s="44"/>
      <c r="M19" s="351">
        <v>2526.9279999999999</v>
      </c>
      <c r="N19" s="24">
        <v>1</v>
      </c>
      <c r="O19" s="24" t="s">
        <v>374</v>
      </c>
      <c r="P19" s="24" t="s">
        <v>192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10</v>
      </c>
      <c r="V19" s="79">
        <v>10</v>
      </c>
    </row>
    <row r="20" spans="3:22" ht="12" customHeight="1" thickBot="1" x14ac:dyDescent="0.25">
      <c r="C20" s="101"/>
      <c r="D20" s="62" t="s">
        <v>373</v>
      </c>
      <c r="E20" s="25">
        <v>45937</v>
      </c>
      <c r="F20" s="25">
        <v>45937</v>
      </c>
      <c r="G20" s="62">
        <v>3</v>
      </c>
      <c r="H20" s="27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27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3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7">
        <v>200.072</v>
      </c>
      <c r="L20" s="28">
        <f>SUM(J19:J20)/K20</f>
        <v>3.7486504858251029</v>
      </c>
      <c r="M20" s="352">
        <v>19000</v>
      </c>
      <c r="N20" s="27">
        <v>1</v>
      </c>
      <c r="O20" s="27" t="s">
        <v>375</v>
      </c>
      <c r="P20" s="27" t="s">
        <v>202</v>
      </c>
      <c r="Q20" s="29">
        <f t="shared" si="0"/>
        <v>109.99874999999999</v>
      </c>
      <c r="R20" s="190">
        <f>+LOOKUP(P41,UNIDADES!B$3:B$59,UNIDADES!C$3:C$59)</f>
        <v>2.3734099999999998</v>
      </c>
      <c r="S20" s="19">
        <f>+((SUM(J19:J20))/R20)-K20</f>
        <v>115.92902805667796</v>
      </c>
      <c r="T20" s="460">
        <f>+S20*14.85</f>
        <v>1721.5460666416677</v>
      </c>
      <c r="U20" s="27" t="s">
        <v>359</v>
      </c>
      <c r="V20" s="55" t="s">
        <v>359</v>
      </c>
    </row>
    <row r="21" spans="3:22" x14ac:dyDescent="0.2">
      <c r="C21" s="176">
        <v>45917</v>
      </c>
      <c r="D21" s="43" t="s">
        <v>480</v>
      </c>
      <c r="E21" s="42">
        <v>45938</v>
      </c>
      <c r="F21" s="42">
        <v>45939</v>
      </c>
      <c r="G21" s="43">
        <v>2</v>
      </c>
      <c r="H21" s="65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>JRZ</v>
      </c>
      <c r="I21" s="24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5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4"/>
      <c r="L21" s="44"/>
      <c r="M21" s="351">
        <v>7912.982</v>
      </c>
      <c r="N21" s="24">
        <v>1</v>
      </c>
      <c r="O21" s="33" t="s">
        <v>482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10</v>
      </c>
      <c r="V21" s="79">
        <v>9</v>
      </c>
    </row>
    <row r="22" spans="3:22" ht="13.5" customHeight="1" thickBot="1" x14ac:dyDescent="0.25">
      <c r="C22" s="240"/>
      <c r="D22" s="57" t="s">
        <v>481</v>
      </c>
      <c r="E22" s="58">
        <v>45939</v>
      </c>
      <c r="F22" s="58">
        <v>45939</v>
      </c>
      <c r="G22" s="57">
        <v>3</v>
      </c>
      <c r="H22" s="486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 xml:space="preserve">CHIH. </v>
      </c>
      <c r="I22" s="322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JRZ</v>
      </c>
      <c r="J22" s="337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322">
        <v>225.626</v>
      </c>
      <c r="L22" s="338">
        <f>SUM(J21:J22)/K22</f>
        <v>3.3240849902050296</v>
      </c>
      <c r="M22" s="352">
        <v>19000</v>
      </c>
      <c r="N22" s="322">
        <v>1</v>
      </c>
      <c r="O22" s="27" t="s">
        <v>483</v>
      </c>
      <c r="P22" s="322" t="s">
        <v>202</v>
      </c>
      <c r="Q22" s="339">
        <f t="shared" si="1"/>
        <v>109.99874999999999</v>
      </c>
      <c r="R22" s="340">
        <f>+LOOKUP(P42,UNIDADES!B$3:B$59,UNIDADES!C$3:C$59)</f>
        <v>2.3734099999999998</v>
      </c>
      <c r="S22" s="341">
        <f>+((SUM(J21:J22))/R22)-K22</f>
        <v>90.375028056677962</v>
      </c>
      <c r="T22" s="474">
        <f>+S22*14.85</f>
        <v>1342.0691666416676</v>
      </c>
      <c r="U22" s="27" t="s">
        <v>359</v>
      </c>
      <c r="V22" s="55" t="s">
        <v>359</v>
      </c>
    </row>
    <row r="23" spans="3:22" x14ac:dyDescent="0.2">
      <c r="C23" s="176">
        <v>45932</v>
      </c>
      <c r="D23" s="43" t="s">
        <v>503</v>
      </c>
      <c r="E23" s="42">
        <v>45939</v>
      </c>
      <c r="F23" s="42">
        <v>45940</v>
      </c>
      <c r="G23" s="43">
        <v>2</v>
      </c>
      <c r="H23" s="65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JRZ</v>
      </c>
      <c r="I23" s="24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CHIH.</v>
      </c>
      <c r="J23" s="5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4"/>
      <c r="L23" s="44"/>
      <c r="M23" s="351">
        <v>3600</v>
      </c>
      <c r="N23" s="24">
        <v>1</v>
      </c>
      <c r="O23" s="24" t="s">
        <v>393</v>
      </c>
      <c r="P23" s="24" t="s">
        <v>192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24">
        <v>9</v>
      </c>
      <c r="V23" s="79">
        <v>10</v>
      </c>
    </row>
    <row r="24" spans="3:22" ht="12.75" thickBot="1" x14ac:dyDescent="0.25">
      <c r="C24" s="101"/>
      <c r="D24" s="62" t="s">
        <v>504</v>
      </c>
      <c r="E24" s="25">
        <v>45940</v>
      </c>
      <c r="F24" s="25">
        <v>45940</v>
      </c>
      <c r="G24" s="62">
        <v>3</v>
      </c>
      <c r="H24" s="26" t="str">
        <f>IF(G24=1,[2]KILOMETRAJE!C$4,IF(G24=2,[2]KILOMETRAJE!C$5,IF(G24=3,[2]KILOMETRAJE!C$6,IF(G24=4,[2]KILOMETRAJE!C$7,IF(G24=5,[2]KILOMETRAJE!C$8,IF(G24=6,[2]KILOMETRAJE!C$9,IF(G24=7,[2]KILOMETRAJE!C$10,IF(G24=8,[2]KILOMETRAJE!C$11,IF(G24=9,[2]KILOMETRAJE!C$12,IF(G24=10,[2]KILOMETRAJE!C$13,IF(G24=11,[2]KILOMETRAJE!C$14,IF(G24=12,[2]KILOMETRAJE!C$15,IF(G24=13,[2]KILOMETRAJE!C$16,IF(G24=14,[2]KILOMETRAJE!C$17,IF(G24=15,[2]KILOMETRAJE!C$18,IF(G24=16,[2]KILOMETRAJE!C$19,IF(G24=17,[2]KILOMETRAJE!C$20,IF(G24=18,[2]KILOMETRAJE!C$21,IF(G24=19,[2]KILOMETRAJE!C$22,IF(G24=20,[2]KILOMETRAJE!C$23,IF(G24=21,[2]KILOMETRAJE!C$24,IF(G24=22,[2]KILOMETRAJE!C$25,IF(G24=23,[2]KILOMETRAJE!C$26,IF(G24=24,[2]KILOMETRAJE!C$27,IF(G24=25,[2]KILOMETRAJE!C$28,IF(G24=26,[2]KILOMETRAJE!C$29,IF(G24=27,[2]KILOMETRAJE!C$30,IF(G24=28,[2]KILOMETRAJE!C$31,IF(G24=29,[2]KILOMETRAJE!C$32,IF(G24=30,[2]KILOMETRAJE!C$33,IF(G24=31,[2]KILOMETRAJE!C$34,IF(G24=32,[2]KILOMETRAJE!C$35,IF(G24=33,[2]KILOMETRAJE!C$36,IF(G24=34,[2]KILOMETRAJE!C$37,IF(G24=35,[2]KILOMETRAJE!C$38,IF(G24=36,[2]KILOMETRAJE!C$39,IF(G24=37,[2]KILOMETRAJE!C$40,IF(G24=38,[2]KILOMETRAJE!C$41,IF(G24=39,[2]KILOMETRAJE!C$42,IF(G24=40,[2]KILOMETRAJE!C$43,IF(G24=41,[2]KILOMETRAJE!C$44,IF(G24=42,[2]KILOMETRAJE!C$45,IF(G24=43,[2]KILOMETRAJE!C$46,IF(G24=44,[2]KILOMETRAJE!C$47,IF(G24=45,[2]KILOMETRAJE!C$48,IF(G24=46,[2]KILOMETRAJE!C$49,IF(G24=47,[2]KILOMETRAJE!C$50,IF(G24=48,[2]KILOMETRAJE!C$51,IF(G24=49,[2]KILOMETRAJE!C$52,IF(G24=50,[2]KILOMETRAJE!C$53,IF(G24=51,[2]KILOMETRAJE!C$54,IF(G24=52,[2]KILOMETRAJE!C$55,IF(G24=53,[2]KILOMETRAJE!C$56,IF(G24=54,[2]KILOMETRAJE!C$57,IF(G24=55,[2]KILOMETRAJE!C$58,IF(G24=56,[2]KILOMETRAJE!C$59,IF(G24=57,[2]KILOMETRAJE!C$60,IF(G24=58,[2]KILOMETRAJE!C$61,IF(G24=59,[2]KILOMETRAJE!C$62,IF(G24=60,[2]KILOMETRAJE!C$63,IF(G24=61,[2]KILOMETRAJE!C$64,IF(G24=62,[2]KILOMETRAJE!C$65,IF(G24=63,[2]KILOMETRAJE!C$66)))))))))))))))))))))))))))))))))))))))))))))))))))))))))))))))</f>
        <v xml:space="preserve">CHIH. </v>
      </c>
      <c r="I24" s="27" t="str">
        <f>IF(G24=1,[2]KILOMETRAJE!E$4,IF(G24=2,[2]KILOMETRAJE!E$5,IF(G24=3,[2]KILOMETRAJE!E$6,IF(G24=4,[2]KILOMETRAJE!E$7,IF(G24=5,[2]KILOMETRAJE!E$8,IF(G24=6,[2]KILOMETRAJE!E$9,IF(G24=7,[2]KILOMETRAJE!E$10,IF(G24=8,[2]KILOMETRAJE!E$11,IF(G24=9,[2]KILOMETRAJE!E$12,IF(G24=10,[2]KILOMETRAJE!E$13,IF(G24=11,[2]KILOMETRAJE!E$14,IF(G24=12,[2]KILOMETRAJE!E$15,IF(G24=13,[2]KILOMETRAJE!E$16,IF(G24=14,[2]KILOMETRAJE!E$17,IF(G24=15,[2]KILOMETRAJE!E$18,IF(G24=16,[2]KILOMETRAJE!E$19,IF(G24=17,[2]KILOMETRAJE!E$20,IF(G24=18,[2]KILOMETRAJE!E$21,IF(G24=19,[2]KILOMETRAJE!E$22,IF(G24=20,[2]KILOMETRAJE!E$23,IF(G24=21,[2]KILOMETRAJE!E$24,IF(G24=22,[2]KILOMETRAJE!E$25,IF(G24=23,[2]KILOMETRAJE!E$26,IF(G24=24,[2]KILOMETRAJE!E$27,IF(G24=25,[2]KILOMETRAJE!E$28,IF(G24=26,[2]KILOMETRAJE!E$29,IF(G24=27,[2]KILOMETRAJE!E$30,IF(G24=28,[2]KILOMETRAJE!E$31,IF(G24=29,[2]KILOMETRAJE!E$32,IF(G24=30,[2]KILOMETRAJE!E$33,IF(G24=31,[2]KILOMETRAJE!E$34,IF(G24=32,[2]KILOMETRAJE!E$35,IF(G24=33,[2]KILOMETRAJE!E$36,IF(G24=34,[2]KILOMETRAJE!E$37,IF(G24=35,[2]KILOMETRAJE!E$38,IF(G24=36,[2]KILOMETRAJE!E$39,IF(G24=37,[2]KILOMETRAJE!E$40,IF(G24=38,[2]KILOMETRAJE!E$41,IF(G24=39,[2]KILOMETRAJE!E$42,IF(G24=40,[2]KILOMETRAJE!E$43,IF(G24=41,[2]KILOMETRAJE!E$44,IF(G24=42,[2]KILOMETRAJE!E$45,IF(G24=43,[2]KILOMETRAJE!E$46,IF(G24=44,[2]KILOMETRAJE!E$47,IF(G24=45,[2]KILOMETRAJE!E$48,IF(G24=46,[2]KILOMETRAJE!E$49,IF(G24=47,[2]KILOMETRAJE!E$50,IF(G24=48,[2]KILOMETRAJE!E$51,IF(G24=49,[2]KILOMETRAJE!E$52,IF(G24=50,[2]KILOMETRAJE!E$53,IF(G24=51,[2]KILOMETRAJE!E$54,IF(G24=52,[2]KILOMETRAJE!E$55,IF(G24=53,[2]KILOMETRAJE!E$56,IF(G24=54,[2]KILOMETRAJE!E$57,IF(G24=55,[2]KILOMETRAJE!E$58,IF(G24=56,[2]KILOMETRAJE!E$59,IF(G24=57,[2]KILOMETRAJE!E$60,IF(G24=58,[2]KILOMETRAJE!E$61,IF(G24=59,[2]KILOMETRAJE!E$62,IF(G24=60,[2]KILOMETRAJE!E$63,IF(G24=61,[2]KILOMETRAJE!E$64,IF(G24=62,[2]KILOMETRAJE!E$65,IF(G24=63,[2]KILOMETRAJE!E$66)))))))))))))))))))))))))))))))))))))))))))))))))))))))))))))))</f>
        <v>JRZ</v>
      </c>
      <c r="J24" s="31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7">
        <v>203.56100000000001</v>
      </c>
      <c r="L24" s="28">
        <f>SUM(J23:J24)/K24</f>
        <v>3.6843992709801974</v>
      </c>
      <c r="M24" s="352">
        <v>4308.46</v>
      </c>
      <c r="N24" s="27">
        <v>1</v>
      </c>
      <c r="O24" s="27" t="s">
        <v>502</v>
      </c>
      <c r="P24" s="27" t="s">
        <v>248</v>
      </c>
      <c r="Q24" s="29">
        <f t="shared" si="2"/>
        <v>109.99874999999999</v>
      </c>
      <c r="R24" s="190">
        <f>+LOOKUP(P43,UNIDADES!B$3:B$59,UNIDADES!C$3:C$59)</f>
        <v>2.3734099999999998</v>
      </c>
      <c r="S24" s="19">
        <f>+((SUM(J23:J24))/R24)-K24</f>
        <v>112.44002805667796</v>
      </c>
      <c r="T24" s="460">
        <f>+S24*14.85</f>
        <v>1669.7344166416676</v>
      </c>
      <c r="U24" s="27" t="s">
        <v>359</v>
      </c>
      <c r="V24" s="55" t="s">
        <v>359</v>
      </c>
    </row>
    <row r="25" spans="3:22" x14ac:dyDescent="0.2">
      <c r="C25" s="238">
        <v>45962</v>
      </c>
      <c r="D25" s="36" t="s">
        <v>564</v>
      </c>
      <c r="E25" s="37">
        <v>45940</v>
      </c>
      <c r="F25" s="37">
        <v>45941</v>
      </c>
      <c r="G25" s="36">
        <v>2</v>
      </c>
      <c r="H25" s="38" t="str">
        <f>IF(G25=1,[2]KILOMETRAJE!C$4,IF(G25=2,[2]KILOMETRAJE!C$5,IF(G25=3,[2]KILOMETRAJE!C$6,IF(G25=4,[2]KILOMETRAJE!C$7,IF(G25=5,[2]KILOMETRAJE!C$8,IF(G25=6,[2]KILOMETRAJE!C$9,IF(G25=7,[2]KILOMETRAJE!C$10,IF(G25=8,[2]KILOMETRAJE!C$11,IF(G25=9,[2]KILOMETRAJE!C$12,IF(G25=10,[2]KILOMETRAJE!C$13,IF(G25=11,[2]KILOMETRAJE!C$14,IF(G25=12,[2]KILOMETRAJE!C$15,IF(G25=13,[2]KILOMETRAJE!C$16,IF(G25=14,[2]KILOMETRAJE!C$17,IF(G25=15,[2]KILOMETRAJE!C$18,IF(G25=16,[2]KILOMETRAJE!C$19,IF(G25=17,[2]KILOMETRAJE!C$20,IF(G25=18,[2]KILOMETRAJE!C$21,IF(G25=19,[2]KILOMETRAJE!C$22,IF(G25=20,[2]KILOMETRAJE!C$23,IF(G25=21,[2]KILOMETRAJE!C$24,IF(G25=22,[2]KILOMETRAJE!C$25,IF(G25=23,[2]KILOMETRAJE!C$26,IF(G25=24,[2]KILOMETRAJE!C$27,IF(G25=25,[2]KILOMETRAJE!C$28,IF(G25=26,[2]KILOMETRAJE!C$29,IF(G25=27,[2]KILOMETRAJE!C$30,IF(G25=28,[2]KILOMETRAJE!C$31,IF(G25=29,[2]KILOMETRAJE!C$32,IF(G25=30,[2]KILOMETRAJE!C$33,IF(G25=31,[2]KILOMETRAJE!C$34,IF(G25=32,[2]KILOMETRAJE!C$35,IF(G25=33,[2]KILOMETRAJE!C$36,IF(G25=34,[2]KILOMETRAJE!C$37,IF(G25=35,[2]KILOMETRAJE!C$38,IF(G25=36,[2]KILOMETRAJE!C$39,IF(G25=37,[2]KILOMETRAJE!C$40,IF(G25=38,[2]KILOMETRAJE!C$41,IF(G25=39,[2]KILOMETRAJE!C$42,IF(G25=40,[2]KILOMETRAJE!C$43,IF(G25=41,[2]KILOMETRAJE!C$44,IF(G25=42,[2]KILOMETRAJE!C$45,IF(G25=43,[2]KILOMETRAJE!C$46,IF(G25=44,[2]KILOMETRAJE!C$47,IF(G25=45,[2]KILOMETRAJE!C$48,IF(G25=46,[2]KILOMETRAJE!C$49,IF(G25=47,[2]KILOMETRAJE!C$50,IF(G25=48,[2]KILOMETRAJE!C$51,IF(G25=49,[2]KILOMETRAJE!C$52,IF(G25=50,[2]KILOMETRAJE!C$53,IF(G25=51,[2]KILOMETRAJE!C$54,IF(G25=52,[2]KILOMETRAJE!C$55,IF(G25=53,[2]KILOMETRAJE!C$56,IF(G25=54,[2]KILOMETRAJE!C$57,IF(G25=55,[2]KILOMETRAJE!C$58,IF(G25=56,[2]KILOMETRAJE!C$59,IF(G25=57,[2]KILOMETRAJE!C$60,IF(G25=58,[2]KILOMETRAJE!C$61,IF(G25=59,[2]KILOMETRAJE!C$62,IF(G25=60,[2]KILOMETRAJE!C$63,IF(G25=61,[2]KILOMETRAJE!C$64,IF(G25=62,[2]KILOMETRAJE!C$65,IF(G25=63,[2]KILOMETRAJE!C$66)))))))))))))))))))))))))))))))))))))))))))))))))))))))))))))))</f>
        <v>JRZ</v>
      </c>
      <c r="I25" s="38" t="str">
        <f>IF(G25=1,[2]KILOMETRAJE!E$4,IF(G25=2,[2]KILOMETRAJE!E$5,IF(G25=3,[2]KILOMETRAJE!E$6,IF(G25=4,[2]KILOMETRAJE!E$7,IF(G25=5,[2]KILOMETRAJE!E$8,IF(G25=6,[2]KILOMETRAJE!E$9,IF(G25=7,[2]KILOMETRAJE!E$10,IF(G25=8,[2]KILOMETRAJE!E$11,IF(G25=9,[2]KILOMETRAJE!E$12,IF(G25=10,[2]KILOMETRAJE!E$13,IF(G25=11,[2]KILOMETRAJE!E$14,IF(G25=12,[2]KILOMETRAJE!E$15,IF(G25=13,[2]KILOMETRAJE!E$16,IF(G25=14,[2]KILOMETRAJE!E$17,IF(G25=15,[2]KILOMETRAJE!E$18,IF(G25=16,[2]KILOMETRAJE!E$19,IF(G25=17,[2]KILOMETRAJE!E$20,IF(G25=18,[2]KILOMETRAJE!E$21,IF(G25=19,[2]KILOMETRAJE!E$22,IF(G25=20,[2]KILOMETRAJE!E$23,IF(G25=21,[2]KILOMETRAJE!E$24,IF(G25=22,[2]KILOMETRAJE!E$25,IF(G25=23,[2]KILOMETRAJE!E$26,IF(G25=24,[2]KILOMETRAJE!E$27,IF(G25=25,[2]KILOMETRAJE!E$28,IF(G25=26,[2]KILOMETRAJE!E$29,IF(G25=27,[2]KILOMETRAJE!E$30,IF(G25=28,[2]KILOMETRAJE!E$31,IF(G25=29,[2]KILOMETRAJE!E$32,IF(G25=30,[2]KILOMETRAJE!E$33,IF(G25=31,[2]KILOMETRAJE!E$34,IF(G25=32,[2]KILOMETRAJE!E$35,IF(G25=33,[2]KILOMETRAJE!E$36,IF(G25=34,[2]KILOMETRAJE!E$37,IF(G25=35,[2]KILOMETRAJE!E$38,IF(G25=36,[2]KILOMETRAJE!E$39,IF(G25=37,[2]KILOMETRAJE!E$40,IF(G25=38,[2]KILOMETRAJE!E$41,IF(G25=39,[2]KILOMETRAJE!E$42,IF(G25=40,[2]KILOMETRAJE!E$43,IF(G25=41,[2]KILOMETRAJE!E$44,IF(G25=42,[2]KILOMETRAJE!E$45,IF(G25=43,[2]KILOMETRAJE!E$46,IF(G25=44,[2]KILOMETRAJE!E$47,IF(G25=45,[2]KILOMETRAJE!E$48,IF(G25=46,[2]KILOMETRAJE!E$49,IF(G25=47,[2]KILOMETRAJE!E$50,IF(G25=48,[2]KILOMETRAJE!E$51,IF(G25=49,[2]KILOMETRAJE!E$52,IF(G25=50,[2]KILOMETRAJE!E$53,IF(G25=51,[2]KILOMETRAJE!E$54,IF(G25=52,[2]KILOMETRAJE!E$55,IF(G25=53,[2]KILOMETRAJE!E$56,IF(G25=54,[2]KILOMETRAJE!E$57,IF(G25=55,[2]KILOMETRAJE!E$58,IF(G25=56,[2]KILOMETRAJE!E$59,IF(G25=57,[2]KILOMETRAJE!E$60,IF(G25=58,[2]KILOMETRAJE!E$61,IF(G25=59,[2]KILOMETRAJE!E$62,IF(G25=60,[2]KILOMETRAJE!E$63,IF(G25=61,[2]KILOMETRAJE!E$64,IF(G25=62,[2]KILOMETRAJE!E$65,IF(G25=63,[2]KILOMETRAJE!E$66)))))))))))))))))))))))))))))))))))))))))))))))))))))))))))))))</f>
        <v>CHIH.</v>
      </c>
      <c r="J25" s="39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38"/>
      <c r="L25" s="48"/>
      <c r="M25" s="353">
        <v>37485.582000000002</v>
      </c>
      <c r="N25" s="38">
        <v>1</v>
      </c>
      <c r="O25" s="38" t="s">
        <v>381</v>
      </c>
      <c r="P25" s="38" t="s">
        <v>195</v>
      </c>
      <c r="Q25" s="40">
        <f t="shared" si="2"/>
        <v>109.99874999999999</v>
      </c>
      <c r="R25" s="192"/>
      <c r="S25" s="186"/>
      <c r="T25" s="462"/>
      <c r="U25" s="38">
        <v>10</v>
      </c>
      <c r="V25" s="38">
        <v>10</v>
      </c>
    </row>
    <row r="26" spans="3:22" ht="12" customHeight="1" thickBot="1" x14ac:dyDescent="0.25">
      <c r="C26" s="101"/>
      <c r="D26" s="62" t="s">
        <v>565</v>
      </c>
      <c r="E26" s="25">
        <v>45942</v>
      </c>
      <c r="F26" s="25">
        <v>45942</v>
      </c>
      <c r="G26" s="62">
        <v>3</v>
      </c>
      <c r="H26" s="27" t="str">
        <f>IF(G26=1,[2]KILOMETRAJE!C$4,IF(G26=2,[2]KILOMETRAJE!C$5,IF(G26=3,[2]KILOMETRAJE!C$6,IF(G26=4,[2]KILOMETRAJE!C$7,IF(G26=5,[2]KILOMETRAJE!C$8,IF(G26=6,[2]KILOMETRAJE!C$9,IF(G26=7,[2]KILOMETRAJE!C$10,IF(G26=8,[2]KILOMETRAJE!C$11,IF(G26=9,[2]KILOMETRAJE!C$12,IF(G26=10,[2]KILOMETRAJE!C$13,IF(G26=11,[2]KILOMETRAJE!C$14,IF(G26=12,[2]KILOMETRAJE!C$15,IF(G26=13,[2]KILOMETRAJE!C$16,IF(G26=14,[2]KILOMETRAJE!C$17,IF(G26=15,[2]KILOMETRAJE!C$18,IF(G26=16,[2]KILOMETRAJE!C$19,IF(G26=17,[2]KILOMETRAJE!C$20,IF(G26=18,[2]KILOMETRAJE!C$21,IF(G26=19,[2]KILOMETRAJE!C$22,IF(G26=20,[2]KILOMETRAJE!C$23,IF(G26=21,[2]KILOMETRAJE!C$24,IF(G26=22,[2]KILOMETRAJE!C$25,IF(G26=23,[2]KILOMETRAJE!C$26,IF(G26=24,[2]KILOMETRAJE!C$27,IF(G26=25,[2]KILOMETRAJE!C$28,IF(G26=26,[2]KILOMETRAJE!C$29,IF(G26=27,[2]KILOMETRAJE!C$30,IF(G26=28,[2]KILOMETRAJE!C$31,IF(G26=29,[2]KILOMETRAJE!C$32,IF(G26=30,[2]KILOMETRAJE!C$33,IF(G26=31,[2]KILOMETRAJE!C$34,IF(G26=32,[2]KILOMETRAJE!C$35,IF(G26=33,[2]KILOMETRAJE!C$36,IF(G26=34,[2]KILOMETRAJE!C$37,IF(G26=35,[2]KILOMETRAJE!C$38,IF(G26=36,[2]KILOMETRAJE!C$39,IF(G26=37,[2]KILOMETRAJE!C$40,IF(G26=38,[2]KILOMETRAJE!C$41,IF(G26=39,[2]KILOMETRAJE!C$42,IF(G26=40,[2]KILOMETRAJE!C$43,IF(G26=41,[2]KILOMETRAJE!C$44,IF(G26=42,[2]KILOMETRAJE!C$45,IF(G26=43,[2]KILOMETRAJE!C$46,IF(G26=44,[2]KILOMETRAJE!C$47,IF(G26=45,[2]KILOMETRAJE!C$48,IF(G26=46,[2]KILOMETRAJE!C$49,IF(G26=47,[2]KILOMETRAJE!C$50,IF(G26=48,[2]KILOMETRAJE!C$51,IF(G26=49,[2]KILOMETRAJE!C$52,IF(G26=50,[2]KILOMETRAJE!C$53,IF(G26=51,[2]KILOMETRAJE!C$54,IF(G26=52,[2]KILOMETRAJE!C$55,IF(G26=53,[2]KILOMETRAJE!C$56,IF(G26=54,[2]KILOMETRAJE!C$57,IF(G26=55,[2]KILOMETRAJE!C$58,IF(G26=56,[2]KILOMETRAJE!C$59,IF(G26=57,[2]KILOMETRAJE!C$60,IF(G26=58,[2]KILOMETRAJE!C$61,IF(G26=59,[2]KILOMETRAJE!C$62,IF(G26=60,[2]KILOMETRAJE!C$63,IF(G26=61,[2]KILOMETRAJE!C$64,IF(G26=62,[2]KILOMETRAJE!C$65,IF(G26=63,[2]KILOMETRAJE!C$66)))))))))))))))))))))))))))))))))))))))))))))))))))))))))))))))</f>
        <v xml:space="preserve">CHIH. </v>
      </c>
      <c r="I26" s="27" t="str">
        <f>IF(G26=1,[2]KILOMETRAJE!E$4,IF(G26=2,[2]KILOMETRAJE!E$5,IF(G26=3,[2]KILOMETRAJE!E$6,IF(G26=4,[2]KILOMETRAJE!E$7,IF(G26=5,[2]KILOMETRAJE!E$8,IF(G26=6,[2]KILOMETRAJE!E$9,IF(G26=7,[2]KILOMETRAJE!E$10,IF(G26=8,[2]KILOMETRAJE!E$11,IF(G26=9,[2]KILOMETRAJE!E$12,IF(G26=10,[2]KILOMETRAJE!E$13,IF(G26=11,[2]KILOMETRAJE!E$14,IF(G26=12,[2]KILOMETRAJE!E$15,IF(G26=13,[2]KILOMETRAJE!E$16,IF(G26=14,[2]KILOMETRAJE!E$17,IF(G26=15,[2]KILOMETRAJE!E$18,IF(G26=16,[2]KILOMETRAJE!E$19,IF(G26=17,[2]KILOMETRAJE!E$20,IF(G26=18,[2]KILOMETRAJE!E$21,IF(G26=19,[2]KILOMETRAJE!E$22,IF(G26=20,[2]KILOMETRAJE!E$23,IF(G26=21,[2]KILOMETRAJE!E$24,IF(G26=22,[2]KILOMETRAJE!E$25,IF(G26=23,[2]KILOMETRAJE!E$26,IF(G26=24,[2]KILOMETRAJE!E$27,IF(G26=25,[2]KILOMETRAJE!E$28,IF(G26=26,[2]KILOMETRAJE!E$29,IF(G26=27,[2]KILOMETRAJE!E$30,IF(G26=28,[2]KILOMETRAJE!E$31,IF(G26=29,[2]KILOMETRAJE!E$32,IF(G26=30,[2]KILOMETRAJE!E$33,IF(G26=31,[2]KILOMETRAJE!E$34,IF(G26=32,[2]KILOMETRAJE!E$35,IF(G26=33,[2]KILOMETRAJE!E$36,IF(G26=34,[2]KILOMETRAJE!E$37,IF(G26=35,[2]KILOMETRAJE!E$38,IF(G26=36,[2]KILOMETRAJE!E$39,IF(G26=37,[2]KILOMETRAJE!E$40,IF(G26=38,[2]KILOMETRAJE!E$41,IF(G26=39,[2]KILOMETRAJE!E$42,IF(G26=40,[2]KILOMETRAJE!E$43,IF(G26=41,[2]KILOMETRAJE!E$44,IF(G26=42,[2]KILOMETRAJE!E$45,IF(G26=43,[2]KILOMETRAJE!E$46,IF(G26=44,[2]KILOMETRAJE!E$47,IF(G26=45,[2]KILOMETRAJE!E$48,IF(G26=46,[2]KILOMETRAJE!E$49,IF(G26=47,[2]KILOMETRAJE!E$50,IF(G26=48,[2]KILOMETRAJE!E$51,IF(G26=49,[2]KILOMETRAJE!E$52,IF(G26=50,[2]KILOMETRAJE!E$53,IF(G26=51,[2]KILOMETRAJE!E$54,IF(G26=52,[2]KILOMETRAJE!E$55,IF(G26=53,[2]KILOMETRAJE!E$56,IF(G26=54,[2]KILOMETRAJE!E$57,IF(G26=55,[2]KILOMETRAJE!E$58,IF(G26=56,[2]KILOMETRAJE!E$59,IF(G26=57,[2]KILOMETRAJE!E$60,IF(G26=58,[2]KILOMETRAJE!E$61,IF(G26=59,[2]KILOMETRAJE!E$62,IF(G26=60,[2]KILOMETRAJE!E$63,IF(G26=61,[2]KILOMETRAJE!E$64,IF(G26=62,[2]KILOMETRAJE!E$65,IF(G26=63,[2]KILOMETRAJE!E$66)))))))))))))))))))))))))))))))))))))))))))))))))))))))))))))))</f>
        <v>JRZ</v>
      </c>
      <c r="J26" s="31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375</v>
      </c>
      <c r="K26" s="27">
        <v>215.11199999999999</v>
      </c>
      <c r="L26" s="28">
        <f>SUM(J25:J26)/K26</f>
        <v>3.4865558406783443</v>
      </c>
      <c r="M26" s="352">
        <v>5940</v>
      </c>
      <c r="N26" s="27">
        <v>1</v>
      </c>
      <c r="O26" s="27" t="s">
        <v>521</v>
      </c>
      <c r="P26" s="27" t="s">
        <v>202</v>
      </c>
      <c r="Q26" s="29">
        <f t="shared" si="2"/>
        <v>109.99874999999999</v>
      </c>
      <c r="R26" s="190">
        <f>+LOOKUP(P44,UNIDADES!B$3:B$59,UNIDADES!C$3:C$59)</f>
        <v>2.3734099999999998</v>
      </c>
      <c r="S26" s="19">
        <f>+((SUM(J25:J26))/R26)-K26</f>
        <v>100.88902805667797</v>
      </c>
      <c r="T26" s="460">
        <f>+S26*14.85</f>
        <v>1498.2020666416679</v>
      </c>
      <c r="U26" s="11" t="s">
        <v>359</v>
      </c>
      <c r="V26" s="11" t="s">
        <v>359</v>
      </c>
    </row>
    <row r="27" spans="3:22" ht="12" hidden="1" customHeight="1" x14ac:dyDescent="0.2">
      <c r="C27" s="261"/>
      <c r="D27" s="96"/>
      <c r="E27" s="97"/>
      <c r="F27" s="97"/>
      <c r="G27" s="96"/>
      <c r="H27" s="98"/>
      <c r="I27" s="98"/>
      <c r="J27" s="99"/>
      <c r="K27" s="98"/>
      <c r="L27" s="100"/>
      <c r="M27" s="380"/>
      <c r="N27" s="98"/>
      <c r="O27" s="98"/>
      <c r="P27" s="98"/>
      <c r="Q27" s="93"/>
      <c r="R27" s="233"/>
      <c r="S27" s="196"/>
      <c r="T27" s="473"/>
      <c r="U27" s="11"/>
      <c r="V27" s="11"/>
    </row>
    <row r="28" spans="3:22" hidden="1" x14ac:dyDescent="0.2">
      <c r="C28" s="347"/>
      <c r="D28" s="61"/>
      <c r="E28" s="12"/>
      <c r="F28" s="12"/>
      <c r="G28" s="61"/>
      <c r="H28" s="11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1"/>
      <c r="U28" s="11"/>
      <c r="V28" s="11"/>
    </row>
    <row r="29" spans="3:22" hidden="1" x14ac:dyDescent="0.2">
      <c r="C29" s="383"/>
      <c r="D29" s="61"/>
      <c r="E29" s="12"/>
      <c r="F29" s="12"/>
      <c r="G29" s="61"/>
      <c r="H29" s="11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1"/>
      <c r="U29" s="11"/>
      <c r="V29" s="11"/>
    </row>
    <row r="30" spans="3:22" hidden="1" x14ac:dyDescent="0.2">
      <c r="C30" s="383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11"/>
      <c r="V30" s="11"/>
    </row>
    <row r="31" spans="3:22" hidden="1" x14ac:dyDescent="0.2">
      <c r="C31" s="383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1"/>
      <c r="U31" s="11"/>
      <c r="V31" s="11"/>
    </row>
    <row r="32" spans="3:22" hidden="1" x14ac:dyDescent="0.2">
      <c r="C32" s="383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1"/>
      <c r="U32" s="11"/>
      <c r="V32" s="11"/>
    </row>
    <row r="33" spans="3:23" ht="12.75" hidden="1" thickBot="1" x14ac:dyDescent="0.25">
      <c r="C33" s="240"/>
      <c r="D33" s="57"/>
      <c r="E33" s="58"/>
      <c r="F33" s="58"/>
      <c r="G33" s="57"/>
      <c r="H33" s="322"/>
      <c r="I33" s="322"/>
      <c r="J33" s="337"/>
      <c r="K33" s="322"/>
      <c r="L33" s="338"/>
      <c r="M33" s="388"/>
      <c r="N33" s="322"/>
      <c r="O33" s="322"/>
      <c r="P33" s="322"/>
      <c r="Q33" s="339"/>
      <c r="R33" s="340"/>
      <c r="S33" s="341"/>
      <c r="T33" s="474"/>
      <c r="U33" s="481"/>
      <c r="V33" s="481"/>
    </row>
    <row r="34" spans="3:23" ht="12.75" thickBot="1" x14ac:dyDescent="0.25">
      <c r="I34" s="15"/>
      <c r="R34" s="193"/>
      <c r="S34" s="15"/>
    </row>
    <row r="35" spans="3:23" x14ac:dyDescent="0.2">
      <c r="E35" s="611" t="s">
        <v>34</v>
      </c>
      <c r="F35" s="628">
        <f>+'AGUILAR ESQUIVEL CARLOS'!F34</f>
        <v>45936</v>
      </c>
      <c r="G35" s="629"/>
      <c r="H35" s="16">
        <f>+F35+1</f>
        <v>45937</v>
      </c>
      <c r="I35" s="16">
        <f>+H35+1</f>
        <v>45938</v>
      </c>
      <c r="J35" s="16">
        <f>+I35+1</f>
        <v>45939</v>
      </c>
      <c r="K35" s="16">
        <f>+J35+1</f>
        <v>45940</v>
      </c>
      <c r="L35" s="16">
        <f>+K35+2</f>
        <v>45942</v>
      </c>
      <c r="M35" s="17" t="s">
        <v>35</v>
      </c>
    </row>
    <row r="36" spans="3:23" ht="12.75" thickBot="1" x14ac:dyDescent="0.25">
      <c r="E36" s="612"/>
      <c r="F36" s="630"/>
      <c r="G36" s="631"/>
      <c r="H36" s="29"/>
      <c r="I36" s="29"/>
      <c r="J36" s="29"/>
      <c r="K36" s="29"/>
      <c r="L36" s="29"/>
      <c r="M36" s="30">
        <f>SUM(F36:L36)</f>
        <v>0</v>
      </c>
    </row>
    <row r="37" spans="3:23" ht="12.75" thickBot="1" x14ac:dyDescent="0.25">
      <c r="I37" s="15"/>
    </row>
    <row r="38" spans="3:23" ht="13.5" thickBot="1" x14ac:dyDescent="0.25">
      <c r="C38" s="590" t="s">
        <v>36</v>
      </c>
      <c r="D38" s="591"/>
      <c r="E38" s="591"/>
      <c r="F38" s="591"/>
      <c r="G38" s="592"/>
      <c r="I38" s="602" t="s">
        <v>37</v>
      </c>
      <c r="J38" s="603"/>
      <c r="K38" s="603"/>
      <c r="L38" s="604"/>
      <c r="M38" s="298"/>
      <c r="O38" s="593" t="s">
        <v>38</v>
      </c>
      <c r="P38" s="594"/>
      <c r="Q38" s="293">
        <f>+F50-L47</f>
        <v>7511.5417165666713</v>
      </c>
      <c r="R38" s="294"/>
      <c r="S38" s="295"/>
    </row>
    <row r="39" spans="3:23" ht="12.75" thickBot="1" x14ac:dyDescent="0.25">
      <c r="C39" s="598" t="s">
        <v>220</v>
      </c>
      <c r="D39" s="599"/>
      <c r="E39" s="599"/>
      <c r="F39" s="600">
        <f>SUM(Q18:Q34)</f>
        <v>879.9899999999999</v>
      </c>
      <c r="G39" s="601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584" t="s">
        <v>221</v>
      </c>
      <c r="D40" s="585"/>
      <c r="E40" s="585"/>
      <c r="F40" s="586">
        <f>SUM(T18:T34)</f>
        <v>6231.5517165666715</v>
      </c>
      <c r="G40" s="587"/>
      <c r="I40" s="331"/>
      <c r="J40" s="332"/>
      <c r="K40" s="43"/>
      <c r="L40" s="119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75" t="s">
        <v>285</v>
      </c>
    </row>
    <row r="41" spans="3:23" x14ac:dyDescent="0.2">
      <c r="C41" s="584" t="s">
        <v>34</v>
      </c>
      <c r="D41" s="585"/>
      <c r="E41" s="585"/>
      <c r="F41" s="586">
        <f>+M36</f>
        <v>0</v>
      </c>
      <c r="G41" s="587"/>
      <c r="I41" s="94"/>
      <c r="J41" s="117"/>
      <c r="K41" s="61"/>
      <c r="L41" s="111"/>
      <c r="M41" s="349"/>
      <c r="O41" s="78">
        <v>46381</v>
      </c>
      <c r="P41" s="79" t="s">
        <v>55</v>
      </c>
      <c r="Q41" s="80">
        <v>143768</v>
      </c>
      <c r="R41" s="80"/>
      <c r="S41" s="63">
        <v>144450</v>
      </c>
      <c r="T41" s="53">
        <f>+S41-Q41</f>
        <v>682</v>
      </c>
      <c r="U41" s="137">
        <f>SUM(J19:J20)</f>
        <v>750</v>
      </c>
      <c r="V41" s="79">
        <f>+K20</f>
        <v>200.072</v>
      </c>
      <c r="W41" s="356">
        <f>(SUM(M19:M20)/2)</f>
        <v>10763.464</v>
      </c>
    </row>
    <row r="42" spans="3:23" x14ac:dyDescent="0.2">
      <c r="C42" s="584" t="s">
        <v>187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45917</v>
      </c>
      <c r="P42" s="53" t="s">
        <v>55</v>
      </c>
      <c r="Q42" s="63">
        <v>144451</v>
      </c>
      <c r="R42" s="63"/>
      <c r="S42" s="11">
        <v>145135</v>
      </c>
      <c r="T42" s="53">
        <f>+S42-Q42</f>
        <v>684</v>
      </c>
      <c r="U42" s="136">
        <f>SUM(J21:J22)</f>
        <v>750</v>
      </c>
      <c r="V42" s="53">
        <f>+K22</f>
        <v>225.626</v>
      </c>
      <c r="W42" s="357">
        <f>(SUM(M21:M22)/2)</f>
        <v>13456.491</v>
      </c>
    </row>
    <row r="43" spans="3:23" x14ac:dyDescent="0.2">
      <c r="C43" s="584" t="s">
        <v>39</v>
      </c>
      <c r="D43" s="585"/>
      <c r="E43" s="585"/>
      <c r="F43" s="586">
        <v>400</v>
      </c>
      <c r="G43" s="587"/>
      <c r="I43" s="94"/>
      <c r="J43" s="117"/>
      <c r="K43" s="61"/>
      <c r="L43" s="111"/>
      <c r="M43" s="349"/>
      <c r="O43" s="32">
        <v>45932</v>
      </c>
      <c r="P43" s="53" t="s">
        <v>55</v>
      </c>
      <c r="Q43" s="11">
        <v>145135</v>
      </c>
      <c r="R43" s="63"/>
      <c r="S43" s="11">
        <v>145819</v>
      </c>
      <c r="T43" s="53">
        <f t="shared" ref="T43:T46" si="3">+S43-Q43</f>
        <v>684</v>
      </c>
      <c r="U43" s="136">
        <f>SUM(J23:J24)</f>
        <v>750</v>
      </c>
      <c r="V43" s="53">
        <f>+K24</f>
        <v>203.56100000000001</v>
      </c>
      <c r="W43" s="357">
        <f>(SUM(M23:M25)/2)</f>
        <v>22697.021000000001</v>
      </c>
    </row>
    <row r="44" spans="3:23" x14ac:dyDescent="0.2">
      <c r="C44" s="584" t="s">
        <v>117</v>
      </c>
      <c r="D44" s="585"/>
      <c r="E44" s="585"/>
      <c r="F44" s="586">
        <v>0</v>
      </c>
      <c r="G44" s="587"/>
      <c r="I44" s="94"/>
      <c r="J44" s="117"/>
      <c r="K44" s="61"/>
      <c r="L44" s="111"/>
      <c r="M44" s="349"/>
      <c r="O44" s="32">
        <v>45962</v>
      </c>
      <c r="P44" s="53" t="s">
        <v>55</v>
      </c>
      <c r="Q44" s="11">
        <v>145819</v>
      </c>
      <c r="R44" s="63"/>
      <c r="S44" s="63">
        <v>146491</v>
      </c>
      <c r="T44" s="53">
        <f t="shared" si="3"/>
        <v>672</v>
      </c>
      <c r="U44" s="136">
        <f>SUM(J25:J26)</f>
        <v>750</v>
      </c>
      <c r="V44" s="53">
        <f>+K26</f>
        <v>215.11199999999999</v>
      </c>
      <c r="W44" s="357">
        <f>(SUM(M25:M30)/2)</f>
        <v>21712.791000000001</v>
      </c>
    </row>
    <row r="45" spans="3:23" x14ac:dyDescent="0.2">
      <c r="C45" s="584" t="s">
        <v>40</v>
      </c>
      <c r="D45" s="585"/>
      <c r="E45" s="585"/>
      <c r="F45" s="586"/>
      <c r="G45" s="587"/>
      <c r="I45" s="94"/>
      <c r="J45" s="117"/>
      <c r="K45" s="61"/>
      <c r="L45" s="111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SUM(J27:J29)</f>
        <v>0</v>
      </c>
      <c r="V45" s="53">
        <f>+K29</f>
        <v>0</v>
      </c>
      <c r="W45" s="357">
        <f>(SUM(M27:M29)/2)</f>
        <v>0</v>
      </c>
    </row>
    <row r="46" spans="3:23" ht="12.75" thickBot="1" x14ac:dyDescent="0.25">
      <c r="C46" s="584" t="s">
        <v>125</v>
      </c>
      <c r="D46" s="585"/>
      <c r="E46" s="585"/>
      <c r="F46" s="586">
        <v>0</v>
      </c>
      <c r="G46" s="587"/>
      <c r="I46" s="282"/>
      <c r="J46" s="285"/>
      <c r="K46" s="62"/>
      <c r="L46" s="283"/>
      <c r="M46" s="349"/>
      <c r="O46" s="32"/>
      <c r="P46" s="53"/>
      <c r="Q46" s="63"/>
      <c r="R46" s="95"/>
      <c r="S46" s="11"/>
      <c r="T46" s="53">
        <f t="shared" si="3"/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584" t="s">
        <v>225</v>
      </c>
      <c r="D47" s="585"/>
      <c r="E47" s="585"/>
      <c r="F47" s="588">
        <v>0</v>
      </c>
      <c r="G47" s="589"/>
      <c r="I47" s="579" t="s">
        <v>41</v>
      </c>
      <c r="J47" s="580"/>
      <c r="K47" s="614"/>
      <c r="L47" s="284">
        <f>SUM(L40:L46)</f>
        <v>0</v>
      </c>
      <c r="M47" s="350"/>
      <c r="O47" s="113"/>
      <c r="P47" s="264"/>
      <c r="Q47" s="265"/>
      <c r="R47" s="83"/>
      <c r="S47" s="81"/>
      <c r="T47" s="82"/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584" t="s">
        <v>111</v>
      </c>
      <c r="D48" s="585"/>
      <c r="E48" s="585"/>
      <c r="F48" s="588"/>
      <c r="G48" s="589"/>
      <c r="R48" s="21"/>
      <c r="S48" s="21"/>
      <c r="T48" s="21"/>
      <c r="U48" s="139"/>
      <c r="V48" s="271"/>
    </row>
    <row r="49" spans="3:22" ht="13.5" customHeight="1" thickBot="1" x14ac:dyDescent="0.25">
      <c r="C49" s="575" t="s">
        <v>317</v>
      </c>
      <c r="D49" s="576"/>
      <c r="E49" s="576"/>
      <c r="F49" s="577"/>
      <c r="G49" s="578"/>
      <c r="R49" s="21"/>
      <c r="S49" s="21"/>
      <c r="T49" s="21"/>
      <c r="U49" s="139"/>
      <c r="V49" s="271"/>
    </row>
    <row r="50" spans="3:22" ht="13.5" thickBot="1" x14ac:dyDescent="0.25">
      <c r="C50" s="579" t="s">
        <v>42</v>
      </c>
      <c r="D50" s="580"/>
      <c r="E50" s="581"/>
      <c r="F50" s="582">
        <f>SUM(F39:G49)</f>
        <v>7511.5417165666713</v>
      </c>
      <c r="G50" s="583"/>
      <c r="R50" s="21"/>
      <c r="S50" s="21"/>
      <c r="T50" s="21"/>
      <c r="U50" s="139"/>
      <c r="V50" s="271"/>
    </row>
    <row r="51" spans="3:22" ht="13.5" customHeight="1" thickBot="1" x14ac:dyDescent="0.25">
      <c r="P51" s="570" t="s">
        <v>48</v>
      </c>
      <c r="Q51" s="571"/>
      <c r="R51" s="572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66" t="s">
        <v>49</v>
      </c>
      <c r="R52" s="567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68" t="s">
        <v>136</v>
      </c>
      <c r="R53" s="569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68" t="s">
        <v>131</v>
      </c>
      <c r="R54" s="569"/>
      <c r="S54" s="21"/>
      <c r="T54" s="249"/>
    </row>
    <row r="55" spans="3:22" x14ac:dyDescent="0.2">
      <c r="P55" s="32">
        <v>4</v>
      </c>
      <c r="Q55" s="568" t="s">
        <v>229</v>
      </c>
      <c r="R55" s="569"/>
      <c r="S55" s="21"/>
      <c r="T55" s="249"/>
    </row>
    <row r="56" spans="3:22" ht="12.75" thickBot="1" x14ac:dyDescent="0.25">
      <c r="P56" s="32">
        <v>5</v>
      </c>
      <c r="Q56" s="568" t="s">
        <v>230</v>
      </c>
      <c r="R56" s="569"/>
      <c r="S56" s="21"/>
    </row>
    <row r="57" spans="3:22" ht="14.25" customHeight="1" thickTop="1" thickBot="1" x14ac:dyDescent="0.25">
      <c r="D57" s="613" t="s">
        <v>44</v>
      </c>
      <c r="E57" s="613"/>
      <c r="F57" s="613"/>
      <c r="G57" s="613"/>
      <c r="H57" s="613"/>
      <c r="J57" s="613" t="s">
        <v>45</v>
      </c>
      <c r="K57" s="613"/>
      <c r="L57" s="613"/>
      <c r="M57" s="613"/>
      <c r="N57" s="613"/>
      <c r="P57" s="54">
        <v>6</v>
      </c>
      <c r="Q57" s="573" t="s">
        <v>231</v>
      </c>
      <c r="R57" s="574"/>
      <c r="S57" s="21"/>
      <c r="T57" s="21"/>
    </row>
    <row r="58" spans="3:22" x14ac:dyDescent="0.2">
      <c r="S58" s="21"/>
      <c r="T58" s="21"/>
    </row>
  </sheetData>
  <mergeCells count="55">
    <mergeCell ref="D57:H57"/>
    <mergeCell ref="J57:N57"/>
    <mergeCell ref="I47:K47"/>
    <mergeCell ref="F48:G48"/>
    <mergeCell ref="C49:E49"/>
    <mergeCell ref="F49:G49"/>
    <mergeCell ref="C50:E50"/>
    <mergeCell ref="F50:G50"/>
    <mergeCell ref="C48:E48"/>
    <mergeCell ref="C46:E46"/>
    <mergeCell ref="F46:G46"/>
    <mergeCell ref="C45:E45"/>
    <mergeCell ref="C47:E47"/>
    <mergeCell ref="F47:G47"/>
    <mergeCell ref="F44:G44"/>
    <mergeCell ref="C44:E44"/>
    <mergeCell ref="C41:E41"/>
    <mergeCell ref="F41:G41"/>
    <mergeCell ref="F45:G45"/>
    <mergeCell ref="C42:E42"/>
    <mergeCell ref="F42:G42"/>
    <mergeCell ref="C39:E39"/>
    <mergeCell ref="F39:G39"/>
    <mergeCell ref="C43:E43"/>
    <mergeCell ref="F43:G43"/>
    <mergeCell ref="C40:E40"/>
    <mergeCell ref="F40:G40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35:G35"/>
    <mergeCell ref="F36:G36"/>
    <mergeCell ref="C38:G38"/>
    <mergeCell ref="Q57:R57"/>
    <mergeCell ref="Q2:S2"/>
    <mergeCell ref="I3:O3"/>
    <mergeCell ref="Q3:S3"/>
    <mergeCell ref="I4:O4"/>
    <mergeCell ref="I5:O5"/>
    <mergeCell ref="Q5:S5"/>
    <mergeCell ref="O38:P38"/>
    <mergeCell ref="P51:R51"/>
    <mergeCell ref="Q52:R52"/>
    <mergeCell ref="Q53:R53"/>
    <mergeCell ref="Q54:R54"/>
    <mergeCell ref="Q55:R55"/>
    <mergeCell ref="Q56:R56"/>
    <mergeCell ref="I6:O6"/>
    <mergeCell ref="Q6:S6"/>
  </mergeCells>
  <phoneticPr fontId="20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C1:W57"/>
  <sheetViews>
    <sheetView topLeftCell="A4" zoomScaleNormal="100" workbookViewId="0">
      <selection activeCell="M50" sqref="M50"/>
    </sheetView>
  </sheetViews>
  <sheetFormatPr baseColWidth="10" defaultColWidth="9.140625" defaultRowHeight="12" x14ac:dyDescent="0.2"/>
  <cols>
    <col min="1" max="1" width="1.5703125" style="14" customWidth="1"/>
    <col min="2" max="2" width="2.85546875" style="14" customWidth="1"/>
    <col min="3" max="3" width="11.85546875" style="14" customWidth="1"/>
    <col min="4" max="4" width="10.85546875" style="14" customWidth="1"/>
    <col min="5" max="5" width="7.42578125" style="14" customWidth="1"/>
    <col min="6" max="6" width="9.140625" style="14" bestFit="1" customWidth="1"/>
    <col min="7" max="7" width="3" style="14" bestFit="1" customWidth="1"/>
    <col min="8" max="8" width="11.42578125" style="14" customWidth="1"/>
    <col min="9" max="9" width="10.28515625" style="14" customWidth="1"/>
    <col min="10" max="10" width="10" style="14" bestFit="1" customWidth="1"/>
    <col min="11" max="11" width="9.5703125" style="14" customWidth="1"/>
    <col min="12" max="13" width="13.7109375" style="14" customWidth="1"/>
    <col min="14" max="14" width="10" style="14" bestFit="1" customWidth="1"/>
    <col min="15" max="15" width="10.28515625" style="14" customWidth="1"/>
    <col min="16" max="23" width="11.7109375" style="14" customWidth="1"/>
    <col min="24" max="24" width="11.28515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+'ONTIVEROS LIRA JUAN'!Q6+1</f>
        <v>33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226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114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3" x14ac:dyDescent="0.2">
      <c r="C19" s="327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43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3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62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  <c r="W20" s="244"/>
    </row>
    <row r="21" spans="3:23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43"/>
      <c r="P21" s="24"/>
      <c r="Q21" s="45"/>
      <c r="R21" s="191"/>
      <c r="S21" s="52"/>
      <c r="T21" s="46"/>
    </row>
    <row r="22" spans="3:23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62"/>
      <c r="P22" s="27"/>
      <c r="Q22" s="29"/>
      <c r="R22" s="190"/>
      <c r="S22" s="19"/>
      <c r="T22" s="30"/>
    </row>
    <row r="23" spans="3:23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43"/>
      <c r="P23" s="24"/>
      <c r="Q23" s="45"/>
      <c r="R23" s="191"/>
      <c r="S23" s="52"/>
      <c r="T23" s="46"/>
      <c r="V23" s="244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62"/>
      <c r="P24" s="27"/>
      <c r="Q24" s="29"/>
      <c r="R24" s="190"/>
      <c r="S24" s="19"/>
      <c r="T24" s="30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43"/>
      <c r="P25" s="24"/>
      <c r="Q25" s="45"/>
      <c r="R25" s="191"/>
      <c r="S25" s="52"/>
      <c r="T25" s="46"/>
    </row>
    <row r="26" spans="3:23" ht="11.2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62"/>
      <c r="P26" s="27"/>
      <c r="Q26" s="29"/>
      <c r="R26" s="190"/>
      <c r="S26" s="19"/>
      <c r="T26" s="30"/>
    </row>
    <row r="27" spans="3:23" hidden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73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+F49-L46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SUM(T18:T33)</f>
        <v>#N/A</v>
      </c>
      <c r="G39" s="587"/>
      <c r="I39" s="176"/>
      <c r="J39" s="415"/>
      <c r="K39" s="17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418"/>
      <c r="L40" s="410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418"/>
      <c r="L41" s="410"/>
      <c r="M41" s="349"/>
      <c r="O41" s="32"/>
      <c r="P41" s="53"/>
      <c r="Q41" s="63"/>
      <c r="R41" s="63"/>
      <c r="S41" s="11"/>
      <c r="T41" s="53">
        <f t="shared" ref="T41:T43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/>
      <c r="P42" s="53"/>
      <c r="Q42" s="276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ref="T44:T45" si="2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 t="e">
        <f>SUM(F38:G48)</f>
        <v>#N/A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D56:H56"/>
    <mergeCell ref="J56:N56"/>
    <mergeCell ref="I46:K46"/>
    <mergeCell ref="C48:E48"/>
    <mergeCell ref="F48:G48"/>
    <mergeCell ref="C49:E49"/>
    <mergeCell ref="F49:G49"/>
    <mergeCell ref="Q52:R52"/>
    <mergeCell ref="Q53:R53"/>
    <mergeCell ref="Q54:R54"/>
    <mergeCell ref="Q55:R55"/>
    <mergeCell ref="Q56:R56"/>
    <mergeCell ref="C45:E45"/>
    <mergeCell ref="F45:G45"/>
    <mergeCell ref="C46:E46"/>
    <mergeCell ref="F46:G46"/>
    <mergeCell ref="C47:E47"/>
    <mergeCell ref="F47:G47"/>
    <mergeCell ref="F44:G44"/>
    <mergeCell ref="C44:E44"/>
    <mergeCell ref="C43:E43"/>
    <mergeCell ref="C37:G37"/>
    <mergeCell ref="O37:P37"/>
    <mergeCell ref="C42:E42"/>
    <mergeCell ref="F42:G42"/>
    <mergeCell ref="F43:G43"/>
    <mergeCell ref="C39:E39"/>
    <mergeCell ref="F39:G39"/>
    <mergeCell ref="C40:E40"/>
    <mergeCell ref="F40:G40"/>
    <mergeCell ref="C41:E41"/>
    <mergeCell ref="F41:G41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W57"/>
  <sheetViews>
    <sheetView topLeftCell="A7" zoomScaleNormal="100" workbookViewId="0">
      <selection activeCell="AD36" sqref="AD36"/>
    </sheetView>
  </sheetViews>
  <sheetFormatPr baseColWidth="10" defaultColWidth="4.42578125" defaultRowHeight="12" x14ac:dyDescent="0.2"/>
  <cols>
    <col min="1" max="1" width="2" style="14" customWidth="1"/>
    <col min="2" max="2" width="4.28515625" style="14" customWidth="1"/>
    <col min="3" max="3" width="13.28515625" style="14" customWidth="1"/>
    <col min="4" max="4" width="12" style="14" bestFit="1" customWidth="1"/>
    <col min="5" max="5" width="7.85546875" style="14" bestFit="1" customWidth="1"/>
    <col min="6" max="6" width="9.140625" style="14" bestFit="1" customWidth="1"/>
    <col min="7" max="7" width="4" style="14" bestFit="1" customWidth="1"/>
    <col min="8" max="8" width="13.28515625" style="14" customWidth="1"/>
    <col min="9" max="9" width="12.85546875" style="14" customWidth="1"/>
    <col min="10" max="10" width="9.85546875" style="14" bestFit="1" customWidth="1"/>
    <col min="11" max="11" width="9.85546875" style="14" customWidth="1"/>
    <col min="12" max="12" width="13.5703125" style="14" customWidth="1"/>
    <col min="13" max="13" width="12.5703125" style="14" customWidth="1"/>
    <col min="14" max="14" width="8.140625" style="14" customWidth="1"/>
    <col min="15" max="15" width="10.42578125" style="14" customWidth="1"/>
    <col min="16" max="16" width="14.425781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2" width="11" style="14" hidden="1" customWidth="1"/>
    <col min="23" max="23" width="10.7109375" style="14" hidden="1" customWidth="1"/>
    <col min="24" max="24" width="4.42578125" style="14" customWidth="1"/>
    <col min="25" max="16384" width="4.425781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+'RUIZ SAUCEDO DANIEL ALEJANDRO'!Q6+1</f>
        <v>36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638" t="s">
        <v>236</v>
      </c>
      <c r="F11" s="638"/>
      <c r="G11" s="638"/>
      <c r="H11" s="638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156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2943090</v>
      </c>
      <c r="G14" s="130"/>
      <c r="H14" s="130"/>
      <c r="I14" s="6" t="s">
        <v>11</v>
      </c>
      <c r="J14" s="6"/>
      <c r="K14" s="130"/>
      <c r="L14" s="40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SUM(J19:J28)</f>
        <v>2290</v>
      </c>
      <c r="G16" s="257"/>
      <c r="H16" s="257"/>
      <c r="I16" s="9" t="s">
        <v>17</v>
      </c>
      <c r="J16" s="257">
        <f>SUM(K19:K28)</f>
        <v>646.01199999999994</v>
      </c>
      <c r="K16" s="257"/>
      <c r="L16" s="257"/>
      <c r="M16" s="257"/>
      <c r="N16" s="257"/>
      <c r="O16" s="9" t="s">
        <v>18</v>
      </c>
      <c r="P16" s="10">
        <f>+F16/J16</f>
        <v>3.5448257927097333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</row>
    <row r="19" spans="2:22" ht="14.25" customHeight="1" x14ac:dyDescent="0.2">
      <c r="C19" s="176">
        <v>45902</v>
      </c>
      <c r="D19" s="43" t="s">
        <v>403</v>
      </c>
      <c r="E19" s="42">
        <v>45937</v>
      </c>
      <c r="F19" s="42">
        <v>45938</v>
      </c>
      <c r="G19" s="43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837.69</v>
      </c>
      <c r="N19" s="24">
        <v>4</v>
      </c>
      <c r="O19" s="24">
        <v>55422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  <c r="U19" s="11">
        <v>9</v>
      </c>
      <c r="V19" s="11">
        <v>8</v>
      </c>
    </row>
    <row r="20" spans="2:22" ht="12.75" thickBot="1" x14ac:dyDescent="0.25">
      <c r="C20" s="239"/>
      <c r="D20" s="68" t="s">
        <v>404</v>
      </c>
      <c r="E20" s="69">
        <v>45938</v>
      </c>
      <c r="F20" s="69">
        <v>45938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210</v>
      </c>
      <c r="L20" s="72">
        <f>SUM(J19:J20)/K20</f>
        <v>3.7619047619047619</v>
      </c>
      <c r="M20" s="373">
        <v>4146.9889999999996</v>
      </c>
      <c r="N20" s="70">
        <v>1</v>
      </c>
      <c r="O20" s="70" t="s">
        <v>405</v>
      </c>
      <c r="P20" s="70" t="s">
        <v>192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+((SUM(J19:J20)-40)/R20)-K20</f>
        <v>96.000048960007859</v>
      </c>
      <c r="T20" s="73">
        <f>+S20*14.85</f>
        <v>1425.6007270561167</v>
      </c>
      <c r="U20" s="70">
        <v>9</v>
      </c>
      <c r="V20" s="70">
        <v>9</v>
      </c>
    </row>
    <row r="21" spans="2:22" x14ac:dyDescent="0.2">
      <c r="B21" s="14" t="s">
        <v>357</v>
      </c>
      <c r="C21" s="176">
        <v>45927</v>
      </c>
      <c r="D21" s="43" t="s">
        <v>451</v>
      </c>
      <c r="E21" s="42">
        <v>45938</v>
      </c>
      <c r="F21" s="42">
        <v>45939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1668.13</v>
      </c>
      <c r="N21" s="24">
        <v>1</v>
      </c>
      <c r="O21" s="24">
        <v>1056</v>
      </c>
      <c r="P21" s="24" t="s">
        <v>204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24" t="s">
        <v>359</v>
      </c>
      <c r="V21" s="79" t="s">
        <v>359</v>
      </c>
    </row>
    <row r="22" spans="2:22" ht="12" customHeight="1" thickBot="1" x14ac:dyDescent="0.25">
      <c r="C22" s="101"/>
      <c r="D22" s="62" t="s">
        <v>452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206.006</v>
      </c>
      <c r="L22" s="28">
        <f>SUM(J21:J22)/K22</f>
        <v>3.6406706600778618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+LOOKUP(P41,UNIDADES!B$3:B$59,UNIDADES!C$3:C$59)</f>
        <v>2.3734099999999998</v>
      </c>
      <c r="S22" s="19">
        <f>+((SUM(J21:J22))/R22)-K22</f>
        <v>109.99502805667797</v>
      </c>
      <c r="T22" s="30">
        <f>+S22*14.85</f>
        <v>1633.4261666416678</v>
      </c>
      <c r="U22" s="27">
        <v>58</v>
      </c>
      <c r="V22" s="55">
        <v>58</v>
      </c>
    </row>
    <row r="23" spans="2:22" x14ac:dyDescent="0.2">
      <c r="C23" s="176">
        <v>45971</v>
      </c>
      <c r="D23" s="43" t="s">
        <v>578</v>
      </c>
      <c r="E23" s="42">
        <v>45941</v>
      </c>
      <c r="F23" s="42">
        <v>45941</v>
      </c>
      <c r="G23" s="43">
        <v>2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817</v>
      </c>
      <c r="N23" s="24">
        <v>1</v>
      </c>
      <c r="O23" s="24" t="s">
        <v>577</v>
      </c>
      <c r="P23" s="24" t="s">
        <v>199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"/>
      <c r="U23" s="24" t="s">
        <v>359</v>
      </c>
      <c r="V23" s="79" t="s">
        <v>359</v>
      </c>
    </row>
    <row r="24" spans="2:22" ht="12.75" thickBot="1" x14ac:dyDescent="0.25">
      <c r="C24" s="101"/>
      <c r="D24" s="62" t="s">
        <v>579</v>
      </c>
      <c r="E24" s="25">
        <v>45943</v>
      </c>
      <c r="F24" s="25">
        <v>45944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230.006</v>
      </c>
      <c r="L24" s="28">
        <f>SUM(J23:J24)/K24</f>
        <v>3.2607845012738799</v>
      </c>
      <c r="M24" s="352">
        <v>6980.9960000000001</v>
      </c>
      <c r="N24" s="27">
        <v>1</v>
      </c>
      <c r="O24" s="27" t="s">
        <v>389</v>
      </c>
      <c r="P24" s="27" t="s">
        <v>192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75.994048960007859</v>
      </c>
      <c r="T24" s="30">
        <f>+S24*14.85</f>
        <v>1128.5116270561166</v>
      </c>
      <c r="U24" s="27">
        <v>59</v>
      </c>
      <c r="V24" s="55">
        <v>61</v>
      </c>
    </row>
    <row r="25" spans="2:22" ht="13.5" hidden="1" customHeight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1"/>
      <c r="U25" s="38"/>
      <c r="V25" s="38"/>
    </row>
    <row r="26" spans="2:22" ht="16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  <c r="U26" s="11"/>
      <c r="V26" s="11"/>
    </row>
    <row r="27" spans="2:22" hidden="1" x14ac:dyDescent="0.2">
      <c r="C27" s="176"/>
      <c r="D27" s="36"/>
      <c r="E27" s="42"/>
      <c r="F27" s="42"/>
      <c r="G27" s="92"/>
      <c r="H27" s="24"/>
      <c r="I27" s="24"/>
      <c r="J27" s="51"/>
      <c r="K27" s="24"/>
      <c r="L27" s="56"/>
      <c r="M27" s="351"/>
      <c r="N27" s="24"/>
      <c r="O27" s="24"/>
      <c r="P27" s="24"/>
      <c r="Q27" s="45"/>
      <c r="R27" s="191"/>
      <c r="S27" s="52"/>
      <c r="T27" s="46"/>
      <c r="U27" s="11"/>
      <c r="V27" s="11"/>
    </row>
    <row r="28" spans="2:22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  <c r="U28" s="11"/>
      <c r="V28" s="11"/>
    </row>
    <row r="29" spans="2:22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  <c r="U30" s="11"/>
      <c r="V30" s="11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59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  <c r="Q34" s="454"/>
      <c r="R34" s="454"/>
      <c r="S34" s="454"/>
      <c r="T34" s="454"/>
      <c r="U34" s="454"/>
    </row>
    <row r="35" spans="3:23" ht="12.75" thickBot="1" x14ac:dyDescent="0.25">
      <c r="E35" s="612"/>
      <c r="F35" s="630"/>
      <c r="G35" s="631"/>
      <c r="H35" s="29">
        <v>750</v>
      </c>
      <c r="I35" s="29"/>
      <c r="J35" s="29"/>
      <c r="K35" s="29"/>
      <c r="L35" s="29"/>
      <c r="M35" s="30">
        <f>SUM(F35:L35)</f>
        <v>750</v>
      </c>
      <c r="R35" s="454"/>
      <c r="S35" s="454"/>
      <c r="T35" s="454"/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5842.5320207539007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604.99349999999993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4187.5385207539011</v>
      </c>
      <c r="G39" s="587"/>
      <c r="I39" s="176"/>
      <c r="J39" s="332"/>
      <c r="K39" s="17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750</v>
      </c>
      <c r="G40" s="587"/>
      <c r="I40" s="94"/>
      <c r="J40" s="117"/>
      <c r="K40" s="418"/>
      <c r="L40" s="410"/>
      <c r="M40" s="349"/>
      <c r="O40" s="78">
        <v>45902</v>
      </c>
      <c r="P40" s="79" t="s">
        <v>156</v>
      </c>
      <c r="Q40" s="78">
        <v>420770</v>
      </c>
      <c r="R40" s="80"/>
      <c r="S40" s="33">
        <v>421544</v>
      </c>
      <c r="T40" s="308">
        <f t="shared" ref="T40:T44" si="3">+S40-Q40</f>
        <v>774</v>
      </c>
      <c r="U40" s="309">
        <f>SUM(J19:J20)</f>
        <v>790</v>
      </c>
      <c r="V40" s="79">
        <f>+K20</f>
        <v>210</v>
      </c>
      <c r="W40" s="356">
        <f>(SUM(M19:M20)/2)</f>
        <v>2492.3395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418"/>
      <c r="L41" s="410"/>
      <c r="M41" s="349"/>
      <c r="O41" s="32">
        <v>45927</v>
      </c>
      <c r="P41" s="53" t="s">
        <v>52</v>
      </c>
      <c r="Q41" s="63">
        <v>565170</v>
      </c>
      <c r="R41" s="63"/>
      <c r="S41" s="11">
        <v>565682</v>
      </c>
      <c r="T41" s="53">
        <f t="shared" ref="T41" si="4">+S41-Q41</f>
        <v>512</v>
      </c>
      <c r="U41" s="136">
        <f>SUM(J21:J22)</f>
        <v>750</v>
      </c>
      <c r="V41" s="53">
        <f>+K22</f>
        <v>206.006</v>
      </c>
      <c r="W41" s="357">
        <f>(SUM(M21:M22)/2)</f>
        <v>834.06500000000005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>
        <v>45971</v>
      </c>
      <c r="P42" s="53" t="s">
        <v>163</v>
      </c>
      <c r="Q42" s="63">
        <v>236602</v>
      </c>
      <c r="R42" s="63"/>
      <c r="S42" s="11">
        <v>237312</v>
      </c>
      <c r="T42" s="53">
        <f t="shared" si="3"/>
        <v>710</v>
      </c>
      <c r="U42" s="136">
        <f>SUM(J23:J24)</f>
        <v>750</v>
      </c>
      <c r="V42" s="53">
        <f>+K24</f>
        <v>230.006</v>
      </c>
      <c r="W42" s="357">
        <f>(SUM(M23:M24)/2)</f>
        <v>3898.998</v>
      </c>
    </row>
    <row r="43" spans="3:23" x14ac:dyDescent="0.2">
      <c r="C43" s="584" t="s">
        <v>117</v>
      </c>
      <c r="D43" s="585"/>
      <c r="E43" s="585"/>
      <c r="F43" s="586">
        <v>250</v>
      </c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>
        <v>50</v>
      </c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284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5842.5320207539007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7">
    <mergeCell ref="C45:E45"/>
    <mergeCell ref="F45:G45"/>
    <mergeCell ref="C49:E49"/>
    <mergeCell ref="F49:G49"/>
    <mergeCell ref="C46:E46"/>
    <mergeCell ref="F46:G46"/>
    <mergeCell ref="C47:E47"/>
    <mergeCell ref="F47:G47"/>
    <mergeCell ref="C40:E40"/>
    <mergeCell ref="F40:G40"/>
    <mergeCell ref="C37:G37"/>
    <mergeCell ref="D56:H56"/>
    <mergeCell ref="J56:N56"/>
    <mergeCell ref="C41:E41"/>
    <mergeCell ref="F41:G41"/>
    <mergeCell ref="F43:G43"/>
    <mergeCell ref="F44:G44"/>
    <mergeCell ref="F42:G42"/>
    <mergeCell ref="C42:E42"/>
    <mergeCell ref="C44:E44"/>
    <mergeCell ref="C43:E43"/>
    <mergeCell ref="I46:K46"/>
    <mergeCell ref="C48:E48"/>
    <mergeCell ref="F48:G48"/>
    <mergeCell ref="C38:E38"/>
    <mergeCell ref="F38:G38"/>
    <mergeCell ref="I37:L37"/>
    <mergeCell ref="C39:E39"/>
    <mergeCell ref="F39:G39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E11:H11"/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Q54:R54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C1:X57"/>
  <sheetViews>
    <sheetView topLeftCell="A2" zoomScaleNormal="100" workbookViewId="0">
      <selection activeCell="I39" sqref="I39:L44"/>
    </sheetView>
  </sheetViews>
  <sheetFormatPr baseColWidth="10" defaultColWidth="9.140625" defaultRowHeight="12" x14ac:dyDescent="0.2"/>
  <cols>
    <col min="1" max="1" width="2.5703125" style="14" customWidth="1"/>
    <col min="2" max="2" width="3.28515625" style="14" customWidth="1"/>
    <col min="3" max="3" width="11.85546875" style="14" customWidth="1"/>
    <col min="4" max="4" width="10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6" style="14" bestFit="1" customWidth="1"/>
    <col min="9" max="9" width="14.7109375" style="14" customWidth="1"/>
    <col min="10" max="10" width="12.140625" style="14" customWidth="1"/>
    <col min="11" max="11" width="12.7109375" style="14" customWidth="1"/>
    <col min="12" max="12" width="13.7109375" style="14" customWidth="1"/>
    <col min="13" max="13" width="11.42578125" style="14" customWidth="1"/>
    <col min="14" max="14" width="12.85546875" style="14" customWidth="1"/>
    <col min="15" max="15" width="12.5703125" style="14" customWidth="1"/>
    <col min="16" max="16" width="12.5703125" style="14" bestFit="1" customWidth="1"/>
    <col min="17" max="17" width="9.85546875" style="14" customWidth="1"/>
    <col min="18" max="18" width="10" style="14" hidden="1" customWidth="1"/>
    <col min="19" max="19" width="10.28515625" style="14" customWidth="1"/>
    <col min="20" max="20" width="11.7109375" style="14" customWidth="1"/>
    <col min="21" max="21" width="11.7109375" style="14" hidden="1" customWidth="1"/>
    <col min="22" max="22" width="9.7109375" style="14" hidden="1" customWidth="1"/>
    <col min="23" max="23" width="10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4" ht="12.75" thickBot="1" x14ac:dyDescent="0.25"/>
    <row r="2" spans="4:24" ht="13.5" thickBot="1" x14ac:dyDescent="0.25">
      <c r="Q2" s="615" t="s">
        <v>0</v>
      </c>
      <c r="R2" s="616"/>
      <c r="S2" s="617"/>
    </row>
    <row r="3" spans="4:24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'AGUILERA CONTRERAS LUIS GERARDO'!Q3</f>
        <v>42</v>
      </c>
      <c r="R3" s="621"/>
      <c r="S3" s="594"/>
    </row>
    <row r="4" spans="4:24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24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24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+'ANCHONDO ROMERO CESAR ALEJANDRO'!Q6+1</f>
        <v>38</v>
      </c>
      <c r="R6" s="636"/>
      <c r="S6" s="637"/>
    </row>
    <row r="8" spans="4:24" ht="12.75" thickBot="1" x14ac:dyDescent="0.25"/>
    <row r="9" spans="4:24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24" ht="12.75" thickBot="1" x14ac:dyDescent="0.25"/>
    <row r="11" spans="4:24" ht="12.75" x14ac:dyDescent="0.2">
      <c r="D11" s="1" t="s">
        <v>7</v>
      </c>
      <c r="E11" s="2" t="s">
        <v>96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24" ht="12.75" x14ac:dyDescent="0.2">
      <c r="D12" s="4" t="s">
        <v>9</v>
      </c>
      <c r="E12" s="130" t="s">
        <v>341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4" ht="12.75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4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4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  <c r="X15" s="14" t="s">
        <v>182</v>
      </c>
    </row>
    <row r="16" spans="4:24" ht="13.5" thickBot="1" x14ac:dyDescent="0.25">
      <c r="D16" s="609" t="s">
        <v>16</v>
      </c>
      <c r="E16" s="610"/>
      <c r="F16" s="257">
        <f>SUM(J19:J32)</f>
        <v>2250</v>
      </c>
      <c r="G16" s="257"/>
      <c r="H16" s="257"/>
      <c r="I16" s="9" t="s">
        <v>17</v>
      </c>
      <c r="J16" s="257">
        <f>SUM(K19:K32)</f>
        <v>566.20299999999997</v>
      </c>
      <c r="K16" s="257"/>
      <c r="L16" s="257"/>
      <c r="M16" s="257"/>
      <c r="N16" s="257"/>
      <c r="O16" s="9" t="s">
        <v>18</v>
      </c>
      <c r="P16" s="10">
        <f>+F16/J16</f>
        <v>3.9738397712481213</v>
      </c>
      <c r="Q16" s="257"/>
      <c r="R16" s="257"/>
      <c r="S16" s="258"/>
    </row>
    <row r="17" spans="3:24" ht="12.75" thickBot="1" x14ac:dyDescent="0.25"/>
    <row r="18" spans="3:24" ht="24.75" thickBot="1" x14ac:dyDescent="0.25">
      <c r="C18" s="519" t="s">
        <v>19</v>
      </c>
      <c r="D18" s="520" t="s">
        <v>20</v>
      </c>
      <c r="E18" s="521" t="s">
        <v>21</v>
      </c>
      <c r="F18" s="521" t="s">
        <v>22</v>
      </c>
      <c r="G18" s="521" t="s">
        <v>23</v>
      </c>
      <c r="H18" s="521" t="s">
        <v>24</v>
      </c>
      <c r="I18" s="521" t="s">
        <v>25</v>
      </c>
      <c r="J18" s="521" t="s">
        <v>26</v>
      </c>
      <c r="K18" s="521" t="s">
        <v>27</v>
      </c>
      <c r="L18" s="521" t="s">
        <v>28</v>
      </c>
      <c r="M18" s="521" t="s">
        <v>286</v>
      </c>
      <c r="N18" s="521" t="s">
        <v>29</v>
      </c>
      <c r="O18" s="521" t="s">
        <v>30</v>
      </c>
      <c r="P18" s="520" t="s">
        <v>31</v>
      </c>
      <c r="Q18" s="521" t="s">
        <v>220</v>
      </c>
      <c r="R18" s="521" t="s">
        <v>185</v>
      </c>
      <c r="S18" s="521" t="s">
        <v>33</v>
      </c>
      <c r="T18" s="522" t="s">
        <v>221</v>
      </c>
      <c r="U18" s="524" t="s">
        <v>358</v>
      </c>
      <c r="V18" s="525" t="s">
        <v>361</v>
      </c>
    </row>
    <row r="19" spans="3:24" x14ac:dyDescent="0.2">
      <c r="C19" s="261">
        <v>45907</v>
      </c>
      <c r="D19" s="96" t="s">
        <v>406</v>
      </c>
      <c r="E19" s="97">
        <v>45937</v>
      </c>
      <c r="F19" s="97">
        <v>45938</v>
      </c>
      <c r="G19" s="96">
        <v>2</v>
      </c>
      <c r="H19" s="25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6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63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98"/>
      <c r="L19" s="100"/>
      <c r="M19" s="380">
        <v>1036</v>
      </c>
      <c r="N19" s="98">
        <v>1</v>
      </c>
      <c r="O19" s="98" t="s">
        <v>408</v>
      </c>
      <c r="P19" s="98" t="s">
        <v>199</v>
      </c>
      <c r="Q19" s="93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233"/>
      <c r="S19" s="196"/>
      <c r="T19" s="473"/>
      <c r="U19" s="36">
        <v>58</v>
      </c>
      <c r="V19" s="483">
        <v>58</v>
      </c>
    </row>
    <row r="20" spans="3:24" ht="13.5" customHeight="1" thickBot="1" x14ac:dyDescent="0.25">
      <c r="C20" s="101"/>
      <c r="D20" s="62" t="s">
        <v>407</v>
      </c>
      <c r="E20" s="25">
        <v>45938</v>
      </c>
      <c r="F20" s="25">
        <v>45939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190.041</v>
      </c>
      <c r="L20" s="28">
        <f>SUM(J19:J20)/K20</f>
        <v>3.9465168042685526</v>
      </c>
      <c r="M20" s="352">
        <v>5535</v>
      </c>
      <c r="N20" s="27">
        <v>1</v>
      </c>
      <c r="O20" s="27" t="s">
        <v>409</v>
      </c>
      <c r="P20" s="27" t="s">
        <v>196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125.96002805667797</v>
      </c>
      <c r="T20" s="460">
        <f>+S20*14.85</f>
        <v>1870.5064166416678</v>
      </c>
      <c r="U20" s="62" t="s">
        <v>359</v>
      </c>
      <c r="V20" s="420" t="s">
        <v>359</v>
      </c>
      <c r="W20" s="244"/>
      <c r="X20" s="244"/>
    </row>
    <row r="21" spans="3:24" x14ac:dyDescent="0.2">
      <c r="C21" s="176">
        <v>45926</v>
      </c>
      <c r="D21" s="43" t="s">
        <v>449</v>
      </c>
      <c r="E21" s="42">
        <v>45939</v>
      </c>
      <c r="F21" s="42">
        <v>45939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2424.2939999999999</v>
      </c>
      <c r="N21" s="24">
        <v>1</v>
      </c>
      <c r="O21" s="24" t="s">
        <v>448</v>
      </c>
      <c r="P21" s="24" t="s">
        <v>195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58</v>
      </c>
      <c r="V21" s="479">
        <v>59</v>
      </c>
      <c r="X21" s="245"/>
    </row>
    <row r="22" spans="3:24" ht="13.5" customHeight="1" thickBot="1" x14ac:dyDescent="0.25">
      <c r="C22" s="101"/>
      <c r="D22" s="62" t="s">
        <v>450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190.10499999999999</v>
      </c>
      <c r="L22" s="28">
        <f>SUM(J21:J22)/K22</f>
        <v>3.9451881854764475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+LOOKUP(P41,UNIDADES!B$3:B$59,UNIDADES!C$3:C$59)</f>
        <v>2.3734099999999998</v>
      </c>
      <c r="S22" s="19">
        <f>+((SUM(J21:J22))/R22)-K22</f>
        <v>125.89602805667798</v>
      </c>
      <c r="T22" s="460">
        <f>+S22*14.85</f>
        <v>1869.5560166416678</v>
      </c>
      <c r="U22" s="27" t="s">
        <v>359</v>
      </c>
      <c r="V22" s="480" t="s">
        <v>359</v>
      </c>
    </row>
    <row r="23" spans="3:24" x14ac:dyDescent="0.2">
      <c r="C23" s="238">
        <v>45951</v>
      </c>
      <c r="D23" s="36" t="s">
        <v>546</v>
      </c>
      <c r="E23" s="37">
        <v>45939</v>
      </c>
      <c r="F23" s="37">
        <v>45940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3150</v>
      </c>
      <c r="N23" s="38">
        <v>1</v>
      </c>
      <c r="O23" s="38" t="s">
        <v>544</v>
      </c>
      <c r="P23" s="38" t="s">
        <v>199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>
        <v>59</v>
      </c>
      <c r="V23" s="260">
        <v>59</v>
      </c>
    </row>
    <row r="24" spans="3:24" ht="13.5" customHeight="1" x14ac:dyDescent="0.2">
      <c r="C24" s="239"/>
      <c r="D24" s="68" t="s">
        <v>547</v>
      </c>
      <c r="E24" s="69">
        <v>45941</v>
      </c>
      <c r="F24" s="69">
        <v>45941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186.05699999999999</v>
      </c>
      <c r="L24" s="72">
        <f>SUM(J23:J24)/K24</f>
        <v>4.031022751092407</v>
      </c>
      <c r="M24" s="373">
        <v>1279.9100000000001</v>
      </c>
      <c r="N24" s="70">
        <v>1</v>
      </c>
      <c r="O24" s="70" t="s">
        <v>545</v>
      </c>
      <c r="P24" s="70" t="s">
        <v>248</v>
      </c>
      <c r="Q24" s="67">
        <f t="shared" si="2"/>
        <v>109.99874999999999</v>
      </c>
      <c r="R24" s="197">
        <f>+LOOKUP(P42,UNIDADES!B$3:B$59,UNIDADES!C$3:C$59)</f>
        <v>2.3734099999999998</v>
      </c>
      <c r="S24" s="194">
        <f>+((SUM(J23:J24))/R24)-K24</f>
        <v>129.94402805667798</v>
      </c>
      <c r="T24" s="465">
        <f>+S24*14.85</f>
        <v>1929.6688166416679</v>
      </c>
      <c r="U24" s="11" t="s">
        <v>359</v>
      </c>
      <c r="V24" s="428" t="s">
        <v>359</v>
      </c>
    </row>
    <row r="25" spans="3:24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11"/>
      <c r="V25" s="11"/>
    </row>
    <row r="26" spans="3:24" ht="15.7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4" ht="11.25" hidden="1" customHeight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61"/>
      <c r="V27" s="61"/>
    </row>
    <row r="28" spans="3:24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1"/>
      <c r="V28" s="61"/>
    </row>
    <row r="29" spans="3:24" hidden="1" x14ac:dyDescent="0.2">
      <c r="C29" s="375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</row>
    <row r="30" spans="3:24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4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3:24" hidden="1" x14ac:dyDescent="0.2">
      <c r="C32" s="347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48" t="s">
        <v>37</v>
      </c>
      <c r="J37" s="649"/>
      <c r="K37" s="649"/>
      <c r="L37" s="650"/>
      <c r="M37" s="298"/>
      <c r="O37" s="593" t="s">
        <v>38</v>
      </c>
      <c r="P37" s="594"/>
      <c r="Q37" s="595">
        <f>+F49-L46</f>
        <v>6324.7247499250034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604.99349999999993</v>
      </c>
      <c r="G38" s="601"/>
      <c r="I38" s="378" t="s">
        <v>126</v>
      </c>
      <c r="J38" s="76" t="s">
        <v>127</v>
      </c>
      <c r="K38" s="77" t="s">
        <v>70</v>
      </c>
      <c r="L38" s="379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5669.7312499250038</v>
      </c>
      <c r="G39" s="587"/>
      <c r="I39" s="176"/>
      <c r="J39" s="415"/>
      <c r="K39" s="17"/>
      <c r="L39" s="412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418"/>
      <c r="L40" s="410"/>
      <c r="O40" s="78">
        <v>45907</v>
      </c>
      <c r="P40" s="79" t="s">
        <v>133</v>
      </c>
      <c r="Q40" s="80">
        <v>410056</v>
      </c>
      <c r="R40" s="80"/>
      <c r="S40" s="63">
        <v>410720</v>
      </c>
      <c r="T40" s="79">
        <f t="shared" ref="T40" si="3">+S40-Q40</f>
        <v>664</v>
      </c>
      <c r="U40" s="137">
        <f>SUM(J19:J20)</f>
        <v>750</v>
      </c>
      <c r="V40" s="79">
        <f>+K20</f>
        <v>190.041</v>
      </c>
      <c r="W40" s="356">
        <f>(SUM(M19:M20)/2)</f>
        <v>3285.5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418"/>
      <c r="L41" s="410"/>
      <c r="O41" s="32">
        <v>45926</v>
      </c>
      <c r="P41" s="53" t="s">
        <v>133</v>
      </c>
      <c r="Q41" s="63">
        <v>410720</v>
      </c>
      <c r="R41" s="63"/>
      <c r="S41" s="11">
        <v>411366</v>
      </c>
      <c r="T41" s="53">
        <f>+S41-Q41</f>
        <v>646</v>
      </c>
      <c r="U41" s="136">
        <f>SUM(J21:J22)</f>
        <v>750</v>
      </c>
      <c r="V41" s="53">
        <f>+K22</f>
        <v>190.10499999999999</v>
      </c>
      <c r="W41" s="357">
        <f>(SUM(M21:M22)/2)</f>
        <v>1212.1469999999999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O42" s="32">
        <v>45951</v>
      </c>
      <c r="P42" s="53" t="s">
        <v>133</v>
      </c>
      <c r="Q42" s="11">
        <v>411365</v>
      </c>
      <c r="R42" s="63"/>
      <c r="S42" s="11">
        <v>412007</v>
      </c>
      <c r="T42" s="53">
        <f t="shared" ref="T42:T45" si="4">+S42-Q42</f>
        <v>642</v>
      </c>
      <c r="U42" s="136">
        <f>SUM(J23:J24)</f>
        <v>750</v>
      </c>
      <c r="V42" s="53">
        <f>+K24</f>
        <v>186.05699999999999</v>
      </c>
      <c r="W42" s="357">
        <f>(SUM(M23:M24)/2)</f>
        <v>2214.9549999999999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O43" s="32"/>
      <c r="P43" s="53"/>
      <c r="Q43" s="63"/>
      <c r="R43" s="63"/>
      <c r="S43" s="11"/>
      <c r="T43" s="53">
        <f t="shared" si="4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>
        <v>50</v>
      </c>
      <c r="G44" s="587"/>
      <c r="I44" s="94"/>
      <c r="J44" s="117"/>
      <c r="K44" s="418"/>
      <c r="L44" s="410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420"/>
      <c r="L45" s="413"/>
      <c r="O45" s="32"/>
      <c r="P45" s="53"/>
      <c r="Q45" s="63"/>
      <c r="R45" s="95"/>
      <c r="S45" s="11"/>
      <c r="T45" s="53">
        <f t="shared" si="4"/>
        <v>0</v>
      </c>
      <c r="U45" s="136">
        <f>SUM(J31:J32)</f>
        <v>0</v>
      </c>
      <c r="V45" s="53">
        <f>+K32</f>
        <v>0</v>
      </c>
      <c r="W45" s="357">
        <f>(SUM(M31:M32)/2)</f>
        <v>0</v>
      </c>
    </row>
    <row r="46" spans="3:23" ht="13.5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O46" s="113"/>
      <c r="P46" s="264"/>
      <c r="Q46" s="265"/>
      <c r="R46" s="83"/>
      <c r="S46" s="81"/>
      <c r="T46" s="82"/>
      <c r="U46" s="138">
        <v>0</v>
      </c>
      <c r="V46" s="55">
        <v>0</v>
      </c>
      <c r="W46" s="358">
        <v>0</v>
      </c>
    </row>
    <row r="47" spans="3:23" x14ac:dyDescent="0.2">
      <c r="C47" s="584" t="s">
        <v>111</v>
      </c>
      <c r="D47" s="585"/>
      <c r="E47" s="585"/>
      <c r="F47" s="588">
        <v>0</v>
      </c>
      <c r="G47" s="589"/>
      <c r="N47" s="349"/>
      <c r="R47" s="21"/>
      <c r="S47" s="21"/>
      <c r="T47" s="21"/>
      <c r="U47" s="139"/>
      <c r="V47" s="271"/>
    </row>
    <row r="48" spans="3:23" ht="12.75" thickBot="1" x14ac:dyDescent="0.25">
      <c r="C48" s="575" t="s">
        <v>317</v>
      </c>
      <c r="D48" s="576"/>
      <c r="E48" s="576"/>
      <c r="F48" s="577"/>
      <c r="G48" s="578"/>
      <c r="N48" s="349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6324.7247499250034</v>
      </c>
      <c r="G49" s="583"/>
      <c r="N49" s="349"/>
      <c r="R49" s="21"/>
      <c r="S49" s="21"/>
      <c r="T49" s="21"/>
      <c r="U49" s="139"/>
      <c r="V49" s="271"/>
    </row>
    <row r="50" spans="3:22" ht="12.75" thickBot="1" x14ac:dyDescent="0.25">
      <c r="N50" s="349"/>
      <c r="P50" s="570" t="s">
        <v>48</v>
      </c>
      <c r="Q50" s="571"/>
      <c r="R50" s="572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N51" s="349"/>
      <c r="P51" s="78">
        <v>1</v>
      </c>
      <c r="Q51" s="566" t="s">
        <v>49</v>
      </c>
      <c r="R51" s="567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N52" s="349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N53" s="349"/>
      <c r="P53" s="32">
        <v>3</v>
      </c>
      <c r="Q53" s="568" t="s">
        <v>131</v>
      </c>
      <c r="R53" s="569"/>
      <c r="S53" s="21"/>
      <c r="T53" s="249"/>
    </row>
    <row r="54" spans="3:22" ht="12.75" x14ac:dyDescent="0.2">
      <c r="N54" s="350"/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3.5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5">
    <mergeCell ref="P50:R50"/>
    <mergeCell ref="Q51:R51"/>
    <mergeCell ref="Q52:R52"/>
    <mergeCell ref="Q53:R53"/>
    <mergeCell ref="C46:E46"/>
    <mergeCell ref="F46:G46"/>
    <mergeCell ref="C47:E47"/>
    <mergeCell ref="F47:G47"/>
    <mergeCell ref="C48:E48"/>
    <mergeCell ref="F48:G4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Q54:R54"/>
    <mergeCell ref="Q55:R55"/>
    <mergeCell ref="Q56:R56"/>
    <mergeCell ref="C42:E42"/>
    <mergeCell ref="F42:G42"/>
    <mergeCell ref="F43:G43"/>
    <mergeCell ref="C45:E45"/>
    <mergeCell ref="F45:G45"/>
    <mergeCell ref="F44:G44"/>
    <mergeCell ref="C44:E44"/>
    <mergeCell ref="C43:E43"/>
    <mergeCell ref="I46:K46"/>
    <mergeCell ref="C49:E49"/>
    <mergeCell ref="F49:G49"/>
    <mergeCell ref="D56:H56"/>
    <mergeCell ref="J56:N56"/>
  </mergeCells>
  <phoneticPr fontId="21" type="noConversion"/>
  <pageMargins left="0.19685039370078741" right="0.19685039370078741" top="0.35433070866141736" bottom="0.15748031496062992" header="0.31496062992125984" footer="0.31496062992125984"/>
  <pageSetup paperSize="9" scale="7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pageSetUpPr fitToPage="1"/>
  </sheetPr>
  <dimension ref="C1:Y58"/>
  <sheetViews>
    <sheetView topLeftCell="B4" zoomScaleNormal="100" workbookViewId="0">
      <selection activeCell="I39" sqref="I39:L43"/>
    </sheetView>
  </sheetViews>
  <sheetFormatPr baseColWidth="10" defaultColWidth="9.140625" defaultRowHeight="12" x14ac:dyDescent="0.2"/>
  <cols>
    <col min="1" max="1" width="3.28515625" style="14" customWidth="1"/>
    <col min="2" max="2" width="4.5703125" style="14" customWidth="1"/>
    <col min="3" max="3" width="12.7109375" style="14" customWidth="1"/>
    <col min="4" max="4" width="11.42578125" style="14" customWidth="1"/>
    <col min="5" max="5" width="13.28515625" style="14" customWidth="1"/>
    <col min="6" max="6" width="8.85546875" style="14" customWidth="1"/>
    <col min="7" max="7" width="3" style="14" bestFit="1" customWidth="1"/>
    <col min="8" max="8" width="12.85546875" style="14" customWidth="1"/>
    <col min="9" max="9" width="11.7109375" style="14" customWidth="1"/>
    <col min="10" max="10" width="10" style="14" customWidth="1"/>
    <col min="11" max="11" width="12.85546875" style="14" customWidth="1"/>
    <col min="12" max="13" width="12.42578125" style="14" customWidth="1"/>
    <col min="14" max="14" width="11.7109375" style="14" customWidth="1"/>
    <col min="15" max="15" width="13.140625" style="14" customWidth="1"/>
    <col min="16" max="16" width="13" style="14" customWidth="1"/>
    <col min="17" max="17" width="10.7109375" style="14" customWidth="1"/>
    <col min="18" max="18" width="10" style="14" hidden="1" customWidth="1"/>
    <col min="19" max="19" width="14" style="14" customWidth="1"/>
    <col min="20" max="20" width="12.85546875" style="14" customWidth="1"/>
    <col min="21" max="21" width="10.28515625" style="14" hidden="1" customWidth="1"/>
    <col min="22" max="22" width="9.5703125" style="14" hidden="1" customWidth="1"/>
    <col min="23" max="23" width="9.140625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+'ORONA BECERRA MAURO JOSE'!Q6+1</f>
        <v>44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363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368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425</v>
      </c>
      <c r="G16" s="257"/>
      <c r="H16" s="257"/>
      <c r="I16" s="9" t="s">
        <v>17</v>
      </c>
      <c r="J16" s="257">
        <f>SUM(K19:K32)</f>
        <v>140.03</v>
      </c>
      <c r="K16" s="257"/>
      <c r="L16" s="257"/>
      <c r="M16" s="257"/>
      <c r="N16" s="257"/>
      <c r="O16" s="9" t="s">
        <v>18</v>
      </c>
      <c r="P16" s="10">
        <f>+F16/J16</f>
        <v>3.035063914875384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11" t="s">
        <v>358</v>
      </c>
      <c r="V18" s="11" t="s">
        <v>362</v>
      </c>
    </row>
    <row r="19" spans="3:22" x14ac:dyDescent="0.2">
      <c r="C19" s="176">
        <v>46358</v>
      </c>
      <c r="D19" s="42" t="s">
        <v>425</v>
      </c>
      <c r="E19" s="42">
        <v>45933</v>
      </c>
      <c r="F19" s="42">
        <v>45934</v>
      </c>
      <c r="G19" s="43">
        <v>23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 (FOKKER)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51">
        <v>4151.62</v>
      </c>
      <c r="N19" s="24">
        <v>5</v>
      </c>
      <c r="O19" s="346" t="s">
        <v>426</v>
      </c>
      <c r="P19" s="24" t="s">
        <v>199</v>
      </c>
      <c r="Q19" s="300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11"/>
      <c r="V19" s="11"/>
    </row>
    <row r="20" spans="3:22" x14ac:dyDescent="0.2">
      <c r="C20" s="239"/>
      <c r="D20" s="69"/>
      <c r="E20" s="69"/>
      <c r="F20" s="69"/>
      <c r="G20" s="68"/>
      <c r="H20" s="70"/>
      <c r="I20" s="70"/>
      <c r="J20" s="71"/>
      <c r="K20" s="70">
        <v>140.03</v>
      </c>
      <c r="L20" s="72">
        <f>SUM(J19:J20)/K20</f>
        <v>3.035063914875384</v>
      </c>
      <c r="M20" s="373"/>
      <c r="N20" s="70"/>
      <c r="O20" s="491"/>
      <c r="P20" s="70"/>
      <c r="Q20" s="492">
        <f t="shared" si="0"/>
        <v>0</v>
      </c>
      <c r="R20" s="197">
        <f>+LOOKUP(P40,UNIDADES!B$3:B$59,UNIDADES!C$3:C$59)</f>
        <v>2.3734099999999998</v>
      </c>
      <c r="S20" s="194">
        <f>+((SUM(J19:J20))/R20)-K20</f>
        <v>39.037249232117517</v>
      </c>
      <c r="T20" s="465">
        <f>+S20*14.85</f>
        <v>579.70315109694513</v>
      </c>
      <c r="U20" s="70"/>
      <c r="V20" s="70"/>
    </row>
    <row r="21" spans="3:22" hidden="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346"/>
      <c r="P21" s="24"/>
      <c r="Q21" s="300"/>
      <c r="R21" s="191"/>
      <c r="S21" s="52"/>
      <c r="T21" s="459"/>
      <c r="U21" s="24"/>
      <c r="V21" s="79"/>
    </row>
    <row r="22" spans="3:22" ht="12.75" hidden="1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432"/>
      <c r="P22" s="27"/>
      <c r="Q22" s="301"/>
      <c r="R22" s="190"/>
      <c r="S22" s="19"/>
      <c r="T22" s="460"/>
      <c r="U22" s="27"/>
      <c r="V22" s="55"/>
    </row>
    <row r="23" spans="3:22" hidden="1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54"/>
      <c r="P23" s="38"/>
      <c r="Q23" s="493"/>
      <c r="R23" s="192"/>
      <c r="S23" s="186"/>
      <c r="T23" s="462"/>
      <c r="U23" s="38"/>
      <c r="V23" s="38"/>
    </row>
    <row r="24" spans="3:22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432"/>
      <c r="P24" s="27"/>
      <c r="Q24" s="301"/>
      <c r="R24" s="190"/>
      <c r="S24" s="19"/>
      <c r="T24" s="460"/>
      <c r="U24" s="11"/>
      <c r="V24" s="11"/>
    </row>
    <row r="25" spans="3:22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346"/>
      <c r="P25" s="24"/>
      <c r="Q25" s="300"/>
      <c r="R25" s="191"/>
      <c r="S25" s="52"/>
      <c r="T25" s="459"/>
      <c r="U25" s="11"/>
      <c r="V25" s="11"/>
    </row>
    <row r="26" spans="3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432"/>
      <c r="P26" s="27"/>
      <c r="Q26" s="301"/>
      <c r="R26" s="190"/>
      <c r="S26" s="19"/>
      <c r="T26" s="460"/>
      <c r="U26" s="11"/>
      <c r="V26" s="11"/>
    </row>
    <row r="27" spans="3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11"/>
      <c r="V27" s="11"/>
    </row>
    <row r="28" spans="3:22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2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44"/>
      <c r="N29" s="24"/>
      <c r="O29" s="24"/>
      <c r="P29" s="24"/>
      <c r="Q29" s="45"/>
      <c r="R29" s="191"/>
      <c r="S29" s="52"/>
      <c r="T29" s="459"/>
      <c r="U29" s="11"/>
      <c r="V29" s="11"/>
    </row>
    <row r="30" spans="3:22" ht="12.75" hidden="1" thickBot="1" x14ac:dyDescent="0.25">
      <c r="C30" s="261"/>
      <c r="D30" s="96"/>
      <c r="E30" s="97"/>
      <c r="F30" s="97"/>
      <c r="G30" s="96"/>
      <c r="H30" s="262"/>
      <c r="I30" s="262"/>
      <c r="J30" s="263"/>
      <c r="K30" s="98"/>
      <c r="L30" s="100"/>
      <c r="M30" s="100"/>
      <c r="N30" s="98"/>
      <c r="O30" s="98"/>
      <c r="P30" s="98"/>
      <c r="Q30" s="93"/>
      <c r="R30" s="233"/>
      <c r="S30" s="196"/>
      <c r="T30" s="473"/>
      <c r="U30" s="11"/>
      <c r="V30" s="11"/>
    </row>
    <row r="31" spans="3:22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44"/>
      <c r="M31" s="44"/>
      <c r="N31" s="24"/>
      <c r="O31" s="24"/>
      <c r="P31" s="24"/>
      <c r="Q31" s="45"/>
      <c r="R31" s="191"/>
      <c r="S31" s="52"/>
      <c r="T31" s="459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0"/>
      <c r="U32" s="11"/>
      <c r="V32" s="11"/>
    </row>
    <row r="33" spans="3:25" ht="12.75" thickBot="1" x14ac:dyDescent="0.25">
      <c r="I33" s="15"/>
      <c r="R33" s="193"/>
      <c r="S33" s="15"/>
      <c r="U33" s="485"/>
      <c r="V33" s="485"/>
    </row>
    <row r="34" spans="3:25" ht="12.75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  <c r="Y34"/>
    </row>
    <row r="35" spans="3:25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5" ht="12.75" thickBot="1" x14ac:dyDescent="0.25">
      <c r="I36" s="15" t="s">
        <v>182</v>
      </c>
    </row>
    <row r="37" spans="3:25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689.70190109694511</v>
      </c>
      <c r="R37" s="596"/>
      <c r="S37" s="597"/>
    </row>
    <row r="38" spans="3:25" ht="12.75" thickBot="1" x14ac:dyDescent="0.25">
      <c r="C38" s="598" t="s">
        <v>220</v>
      </c>
      <c r="D38" s="599"/>
      <c r="E38" s="599"/>
      <c r="F38" s="600">
        <f>SUM(Q18:Q33)</f>
        <v>109.99874999999999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  <c r="U38" s="245"/>
      <c r="V38" s="245"/>
    </row>
    <row r="39" spans="3:25" ht="13.5" customHeight="1" thickBot="1" x14ac:dyDescent="0.25">
      <c r="C39" s="584" t="s">
        <v>221</v>
      </c>
      <c r="D39" s="585"/>
      <c r="E39" s="585"/>
      <c r="F39" s="586">
        <f>SUM(T18:T33)</f>
        <v>579.70315109694513</v>
      </c>
      <c r="G39" s="587"/>
      <c r="I39" s="331"/>
      <c r="J39" s="332"/>
      <c r="K39" s="421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5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418"/>
      <c r="L40" s="410"/>
      <c r="M40" s="349"/>
      <c r="O40" s="78">
        <v>46358</v>
      </c>
      <c r="P40" s="79" t="s">
        <v>135</v>
      </c>
      <c r="Q40" s="78">
        <v>270764</v>
      </c>
      <c r="R40" s="80"/>
      <c r="S40" s="24"/>
      <c r="T40" s="79">
        <f>+S40-Q40</f>
        <v>-270764</v>
      </c>
      <c r="U40" s="137">
        <f>SUM(J19:J20)</f>
        <v>425</v>
      </c>
      <c r="V40" s="79">
        <f>+K20</f>
        <v>140.03</v>
      </c>
      <c r="W40" s="356">
        <f>(SUM(M19:M20)/2)</f>
        <v>2075.81</v>
      </c>
    </row>
    <row r="41" spans="3:25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418"/>
      <c r="L41" s="410"/>
      <c r="M41" s="349"/>
      <c r="O41" s="319"/>
      <c r="P41" s="314"/>
      <c r="Q41" s="320"/>
      <c r="R41" s="320"/>
      <c r="S41" s="38"/>
      <c r="T41" s="314">
        <f t="shared" ref="T41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5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ref="T42:T45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5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5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5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5" ht="13.5" customHeight="1" thickBot="1" x14ac:dyDescent="0.25">
      <c r="C46" s="584" t="s">
        <v>325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5" ht="13.5" customHeight="1" x14ac:dyDescent="0.2">
      <c r="C47" s="584" t="s">
        <v>323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5" ht="13.5" customHeight="1" thickBot="1" x14ac:dyDescent="0.25">
      <c r="C48" s="575" t="s">
        <v>345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689.70190109694511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651"/>
      <c r="E51" s="651"/>
      <c r="F51" s="651"/>
      <c r="G51" s="651"/>
      <c r="H51" s="651"/>
      <c r="I51" s="651"/>
      <c r="J51" s="651"/>
      <c r="K51" s="651"/>
      <c r="L51" s="652"/>
      <c r="M51" s="368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653"/>
      <c r="E52" s="653"/>
      <c r="F52" s="653"/>
      <c r="G52" s="653"/>
      <c r="H52" s="653"/>
      <c r="I52" s="653"/>
      <c r="J52" s="653"/>
      <c r="K52" s="653"/>
      <c r="L52" s="654"/>
      <c r="M52" s="368"/>
      <c r="P52" s="32">
        <v>2</v>
      </c>
      <c r="Q52" s="568" t="s">
        <v>136</v>
      </c>
      <c r="R52" s="569"/>
      <c r="S52" s="21"/>
      <c r="T52" s="249"/>
    </row>
    <row r="53" spans="3:22" ht="13.5" customHeight="1" thickBot="1" x14ac:dyDescent="0.25">
      <c r="C53" s="253"/>
      <c r="D53" s="655"/>
      <c r="E53" s="655"/>
      <c r="F53" s="655"/>
      <c r="G53" s="655"/>
      <c r="H53" s="655"/>
      <c r="I53" s="655"/>
      <c r="J53" s="655"/>
      <c r="K53" s="655"/>
      <c r="L53" s="656"/>
      <c r="M53" s="368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D56:H56"/>
    <mergeCell ref="J56:N56"/>
    <mergeCell ref="I46:K46"/>
    <mergeCell ref="C46:E46"/>
    <mergeCell ref="F46:G46"/>
    <mergeCell ref="C47:E47"/>
    <mergeCell ref="F47:G47"/>
    <mergeCell ref="P50:R50"/>
    <mergeCell ref="Q51:R51"/>
    <mergeCell ref="Q52:R52"/>
    <mergeCell ref="C45:E45"/>
    <mergeCell ref="F45:G45"/>
    <mergeCell ref="C48:E48"/>
    <mergeCell ref="F48:G48"/>
    <mergeCell ref="C49:E49"/>
    <mergeCell ref="F49:G49"/>
    <mergeCell ref="D51:L53"/>
    <mergeCell ref="Q53:R53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C41:E41"/>
    <mergeCell ref="F41:G41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pageSetUpPr fitToPage="1"/>
  </sheetPr>
  <dimension ref="C1:W57"/>
  <sheetViews>
    <sheetView zoomScale="106" zoomScaleNormal="106" workbookViewId="0">
      <selection activeCell="AA24" sqref="AA24"/>
    </sheetView>
  </sheetViews>
  <sheetFormatPr baseColWidth="10" defaultColWidth="9.140625" defaultRowHeight="12" x14ac:dyDescent="0.2"/>
  <cols>
    <col min="1" max="1" width="2.5703125" style="14" customWidth="1"/>
    <col min="2" max="2" width="3" style="14" customWidth="1"/>
    <col min="3" max="3" width="13.42578125" style="14" customWidth="1"/>
    <col min="4" max="4" width="12.140625" style="14" bestFit="1" customWidth="1"/>
    <col min="5" max="5" width="7.85546875" style="14" customWidth="1"/>
    <col min="6" max="6" width="8.85546875" style="14" customWidth="1"/>
    <col min="7" max="7" width="4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42578125" style="14" customWidth="1"/>
    <col min="12" max="13" width="12.85546875" style="14" customWidth="1"/>
    <col min="14" max="14" width="9.85546875" style="14" customWidth="1"/>
    <col min="15" max="15" width="10.5703125" style="14" customWidth="1"/>
    <col min="16" max="16" width="16" style="14" customWidth="1"/>
    <col min="17" max="17" width="10.42578125" style="14" customWidth="1"/>
    <col min="18" max="18" width="10" style="14" hidden="1" customWidth="1"/>
    <col min="19" max="19" width="10.85546875" style="14" customWidth="1"/>
    <col min="20" max="20" width="11.5703125" style="14" bestFit="1" customWidth="1"/>
    <col min="21" max="21" width="10.28515625" style="14" hidden="1" customWidth="1"/>
    <col min="22" max="22" width="9.7109375" style="14" hidden="1" customWidth="1"/>
    <col min="23" max="23" width="11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+'MACHADO MAZUCA ADOLFO'!Q6</f>
        <v>39</v>
      </c>
      <c r="R6" s="636"/>
      <c r="S6" s="637"/>
    </row>
    <row r="8" spans="4:19" ht="12.75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2.75" thickBot="1" x14ac:dyDescent="0.25"/>
    <row r="11" spans="4:19" ht="12.75" x14ac:dyDescent="0.2">
      <c r="D11" s="1" t="s">
        <v>7</v>
      </c>
      <c r="E11" s="638" t="s">
        <v>110</v>
      </c>
      <c r="F11" s="638"/>
      <c r="G11" s="638"/>
      <c r="H11" s="638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329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2250</v>
      </c>
      <c r="G16" s="257"/>
      <c r="H16" s="257"/>
      <c r="I16" s="9" t="s">
        <v>17</v>
      </c>
      <c r="J16" s="257">
        <f>SUM(K19:K32)</f>
        <v>628.01900000000001</v>
      </c>
      <c r="K16" s="257"/>
      <c r="L16" s="257"/>
      <c r="M16" s="257"/>
      <c r="N16" s="257"/>
      <c r="O16" s="9" t="s">
        <v>18</v>
      </c>
      <c r="P16" s="10">
        <f>+F16/J16</f>
        <v>3.5826941541577564</v>
      </c>
      <c r="Q16" s="257"/>
      <c r="R16" s="257"/>
      <c r="S16" s="258"/>
    </row>
    <row r="17" spans="3:22" ht="12.75" thickBot="1" x14ac:dyDescent="0.25"/>
    <row r="18" spans="3:22" ht="24.75" thickBot="1" x14ac:dyDescent="0.25">
      <c r="C18" s="519" t="s">
        <v>19</v>
      </c>
      <c r="D18" s="520" t="s">
        <v>20</v>
      </c>
      <c r="E18" s="521" t="s">
        <v>21</v>
      </c>
      <c r="F18" s="521" t="s">
        <v>22</v>
      </c>
      <c r="G18" s="521" t="s">
        <v>23</v>
      </c>
      <c r="H18" s="521" t="s">
        <v>24</v>
      </c>
      <c r="I18" s="521" t="s">
        <v>25</v>
      </c>
      <c r="J18" s="521" t="s">
        <v>26</v>
      </c>
      <c r="K18" s="521" t="s">
        <v>27</v>
      </c>
      <c r="L18" s="521" t="s">
        <v>28</v>
      </c>
      <c r="M18" s="521" t="s">
        <v>286</v>
      </c>
      <c r="N18" s="521" t="s">
        <v>29</v>
      </c>
      <c r="O18" s="521" t="s">
        <v>30</v>
      </c>
      <c r="P18" s="520" t="s">
        <v>31</v>
      </c>
      <c r="Q18" s="521" t="s">
        <v>220</v>
      </c>
      <c r="R18" s="521" t="s">
        <v>185</v>
      </c>
      <c r="S18" s="521" t="s">
        <v>33</v>
      </c>
      <c r="T18" s="522" t="s">
        <v>221</v>
      </c>
      <c r="U18" s="520" t="s">
        <v>358</v>
      </c>
      <c r="V18" s="464" t="s">
        <v>362</v>
      </c>
    </row>
    <row r="19" spans="3:22" x14ac:dyDescent="0.2">
      <c r="C19" s="176">
        <v>45908</v>
      </c>
      <c r="D19" s="42" t="s">
        <v>410</v>
      </c>
      <c r="E19" s="42">
        <v>45937</v>
      </c>
      <c r="F19" s="42">
        <v>45938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2158.6999999999998</v>
      </c>
      <c r="N19" s="24">
        <v>1</v>
      </c>
      <c r="O19" s="24" t="s">
        <v>412</v>
      </c>
      <c r="P19" s="24" t="s">
        <v>248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62</v>
      </c>
      <c r="V19" s="79">
        <v>62</v>
      </c>
    </row>
    <row r="20" spans="3:22" ht="12.75" thickBot="1" x14ac:dyDescent="0.25">
      <c r="C20" s="101"/>
      <c r="D20" s="25" t="s">
        <v>411</v>
      </c>
      <c r="E20" s="25">
        <v>45938</v>
      </c>
      <c r="F20" s="25">
        <v>45939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206.006</v>
      </c>
      <c r="L20" s="28">
        <f>SUM(J19:J20)/K20</f>
        <v>3.6406706600778618</v>
      </c>
      <c r="M20" s="352">
        <v>4541</v>
      </c>
      <c r="N20" s="27">
        <v>1</v>
      </c>
      <c r="O20" s="27">
        <v>45863</v>
      </c>
      <c r="P20" s="27" t="s">
        <v>198</v>
      </c>
      <c r="Q20" s="29">
        <f t="shared" si="0"/>
        <v>109.99874999999999</v>
      </c>
      <c r="R20" s="190">
        <f>+LOOKUP(P40,UNIDADES!B$3:B$59,UNIDADES!C$3:C$59)</f>
        <v>2.4509799999999999</v>
      </c>
      <c r="S20" s="19">
        <f>+((SUM(J19:J20))/R20)-K20</f>
        <v>99.994048960007859</v>
      </c>
      <c r="T20" s="460">
        <f>+S20*14.85</f>
        <v>1484.9116270561167</v>
      </c>
      <c r="U20" s="523" t="s">
        <v>359</v>
      </c>
      <c r="V20" s="55" t="s">
        <v>359</v>
      </c>
    </row>
    <row r="21" spans="3:22" x14ac:dyDescent="0.2">
      <c r="C21" s="176">
        <v>45948</v>
      </c>
      <c r="D21" s="42" t="s">
        <v>484</v>
      </c>
      <c r="E21" s="42">
        <v>45939</v>
      </c>
      <c r="F21" s="42">
        <v>45939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10816.985000000001</v>
      </c>
      <c r="N21" s="24">
        <v>1</v>
      </c>
      <c r="O21" s="24" t="s">
        <v>377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62</v>
      </c>
      <c r="V21" s="79">
        <v>62</v>
      </c>
    </row>
    <row r="22" spans="3:22" ht="12.75" thickBot="1" x14ac:dyDescent="0.25">
      <c r="C22" s="526"/>
      <c r="D22" s="25" t="s">
        <v>485</v>
      </c>
      <c r="E22" s="25">
        <v>45940</v>
      </c>
      <c r="F22" s="25">
        <v>45940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219.00399999999999</v>
      </c>
      <c r="L22" s="28">
        <f>SUM(J21:J22)/K22</f>
        <v>3.4245949845664923</v>
      </c>
      <c r="M22" s="352">
        <v>6420.9979999999996</v>
      </c>
      <c r="N22" s="27">
        <v>1</v>
      </c>
      <c r="O22" s="27" t="s">
        <v>374</v>
      </c>
      <c r="P22" s="27" t="s">
        <v>192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86.996048960007869</v>
      </c>
      <c r="T22" s="460">
        <f>+S22*14.85</f>
        <v>1291.8913270561168</v>
      </c>
      <c r="U22" s="527" t="s">
        <v>359</v>
      </c>
      <c r="V22" s="55" t="s">
        <v>359</v>
      </c>
    </row>
    <row r="23" spans="3:22" x14ac:dyDescent="0.2">
      <c r="C23" s="176">
        <v>45960</v>
      </c>
      <c r="D23" s="433" t="s">
        <v>533</v>
      </c>
      <c r="E23" s="42">
        <v>45940</v>
      </c>
      <c r="F23" s="42">
        <v>45941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883.85</v>
      </c>
      <c r="N23" s="24">
        <v>1</v>
      </c>
      <c r="O23" s="24" t="s">
        <v>531</v>
      </c>
      <c r="P23" s="24" t="s">
        <v>200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24">
        <v>62</v>
      </c>
      <c r="V23" s="79">
        <v>62</v>
      </c>
    </row>
    <row r="24" spans="3:22" ht="12.75" thickBot="1" x14ac:dyDescent="0.25">
      <c r="C24" s="101"/>
      <c r="D24" s="25" t="s">
        <v>534</v>
      </c>
      <c r="E24" s="25">
        <v>45941</v>
      </c>
      <c r="F24" s="25">
        <v>45941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203.00899999999999</v>
      </c>
      <c r="L24" s="28">
        <f>SUM(J23:J24)/K24</f>
        <v>3.6944174888798038</v>
      </c>
      <c r="M24" s="352">
        <v>975.43</v>
      </c>
      <c r="N24" s="27">
        <v>1</v>
      </c>
      <c r="O24" s="27" t="s">
        <v>532</v>
      </c>
      <c r="P24" s="27" t="s">
        <v>248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102.99104896000787</v>
      </c>
      <c r="T24" s="460">
        <f>+S24*14.85</f>
        <v>1529.4170770561168</v>
      </c>
      <c r="U24" s="523" t="s">
        <v>359</v>
      </c>
      <c r="V24" s="55" t="s">
        <v>359</v>
      </c>
    </row>
    <row r="25" spans="3:22" hidden="1" x14ac:dyDescent="0.2">
      <c r="C25" s="238"/>
      <c r="D25" s="36"/>
      <c r="E25" s="37"/>
      <c r="F25" s="37"/>
      <c r="G25" s="36"/>
      <c r="H25" s="259"/>
      <c r="I25" s="259"/>
      <c r="J25" s="260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8"/>
      <c r="V25" s="38"/>
    </row>
    <row r="26" spans="3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11"/>
      <c r="V27" s="11"/>
    </row>
    <row r="28" spans="3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11"/>
      <c r="V29" s="11"/>
    </row>
    <row r="30" spans="3:22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11"/>
      <c r="V30" s="11"/>
    </row>
    <row r="31" spans="3:22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3:22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4966.2125311683503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SUM(Q18:Q34)</f>
        <v>659.99249999999995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4306.22003116835</v>
      </c>
      <c r="G39" s="587"/>
      <c r="I39" s="644"/>
      <c r="J39" s="647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61"/>
      <c r="L40" s="111"/>
      <c r="M40" s="349"/>
      <c r="O40" s="78">
        <v>45908</v>
      </c>
      <c r="P40" s="79" t="s">
        <v>158</v>
      </c>
      <c r="Q40" s="80">
        <v>123898</v>
      </c>
      <c r="R40" s="80"/>
      <c r="S40" s="24">
        <v>124636</v>
      </c>
      <c r="T40" s="79">
        <f>+S40-Q40</f>
        <v>738</v>
      </c>
      <c r="U40" s="137">
        <f>SUM(J19:J20)</f>
        <v>750</v>
      </c>
      <c r="V40" s="79">
        <f>+K20</f>
        <v>206.006</v>
      </c>
      <c r="W40" s="356">
        <f>(SUM(M19:M20)/2)</f>
        <v>3349.85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61"/>
      <c r="L41" s="111"/>
      <c r="M41" s="349"/>
      <c r="O41" s="32">
        <v>45948</v>
      </c>
      <c r="P41" s="53" t="s">
        <v>158</v>
      </c>
      <c r="Q41" s="63">
        <v>124636</v>
      </c>
      <c r="R41" s="63"/>
      <c r="S41" s="11">
        <v>125340</v>
      </c>
      <c r="T41" s="53">
        <f>+S41-Q41</f>
        <v>704</v>
      </c>
      <c r="U41" s="136">
        <f>SUM(J21:J22)</f>
        <v>750</v>
      </c>
      <c r="V41" s="53">
        <f>+K22</f>
        <v>219.00399999999999</v>
      </c>
      <c r="W41" s="357">
        <f>(SUM(M21:M22)/2)</f>
        <v>8618.9915000000001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45960</v>
      </c>
      <c r="P42" s="53" t="s">
        <v>158</v>
      </c>
      <c r="Q42" s="63">
        <v>125390</v>
      </c>
      <c r="R42" s="63"/>
      <c r="S42" s="11">
        <v>126109</v>
      </c>
      <c r="T42" s="53">
        <f>+S42-Q42</f>
        <v>719</v>
      </c>
      <c r="U42" s="136">
        <f>SUM(J23:J24)</f>
        <v>750</v>
      </c>
      <c r="V42" s="53">
        <f>+K24</f>
        <v>203.00899999999999</v>
      </c>
      <c r="W42" s="357">
        <f>(SUM(M23:M24)/2)</f>
        <v>929.64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" si="3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ref="T44:T45" si="4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v>0</v>
      </c>
      <c r="W45" s="357">
        <f>(SUM(M29:M30)/2)</f>
        <v>0</v>
      </c>
    </row>
    <row r="46" spans="3:23" ht="13.5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2.75" thickBot="1" x14ac:dyDescent="0.25">
      <c r="C48" s="575" t="s">
        <v>354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4966.2125311683503</v>
      </c>
      <c r="G49" s="583"/>
      <c r="R49" s="21"/>
      <c r="S49" s="21"/>
      <c r="T49" s="21"/>
      <c r="U49" s="139"/>
      <c r="V49" s="271"/>
    </row>
    <row r="50" spans="3:22" ht="12.75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3.5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8">
    <mergeCell ref="I39:J39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C39:E39"/>
    <mergeCell ref="F39:G39"/>
    <mergeCell ref="C40:E40"/>
    <mergeCell ref="F40:G40"/>
    <mergeCell ref="C41:E41"/>
    <mergeCell ref="F41:G41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F43:G43"/>
    <mergeCell ref="C45:E45"/>
    <mergeCell ref="F45:G45"/>
    <mergeCell ref="F44:G44"/>
    <mergeCell ref="C44:E44"/>
    <mergeCell ref="C43:E4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2">
    <pageSetUpPr fitToPage="1"/>
  </sheetPr>
  <dimension ref="C1:X57"/>
  <sheetViews>
    <sheetView zoomScale="90" zoomScaleNormal="90" workbookViewId="0">
      <selection activeCell="I39" sqref="I39:L42"/>
    </sheetView>
  </sheetViews>
  <sheetFormatPr baseColWidth="10" defaultColWidth="9.140625" defaultRowHeight="12" x14ac:dyDescent="0.2"/>
  <cols>
    <col min="1" max="1" width="3.85546875" style="14" customWidth="1"/>
    <col min="2" max="2" width="4.4257812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28515625" style="14" customWidth="1"/>
    <col min="9" max="10" width="10" style="14" customWidth="1"/>
    <col min="11" max="11" width="9.42578125" style="14" customWidth="1"/>
    <col min="12" max="12" width="12.28515625" style="14" customWidth="1"/>
    <col min="13" max="13" width="11.5703125" style="14" customWidth="1"/>
    <col min="14" max="14" width="9.7109375" style="14" customWidth="1"/>
    <col min="15" max="15" width="10.140625" style="14" customWidth="1"/>
    <col min="16" max="16" width="11.85546875" style="14" bestFit="1" customWidth="1"/>
    <col min="17" max="17" width="10.7109375" style="14" customWidth="1"/>
    <col min="18" max="18" width="12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42578125" style="14" hidden="1" customWidth="1"/>
    <col min="23" max="23" width="17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+'HERNANDEZ LICANO JOSE LUIS'!Q6+1</f>
        <v>39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360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367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2250</v>
      </c>
      <c r="G16" s="257"/>
      <c r="H16" s="257"/>
      <c r="I16" s="9" t="s">
        <v>17</v>
      </c>
      <c r="J16" s="257">
        <f>SUM(K19:K32)</f>
        <v>670.53200000000004</v>
      </c>
      <c r="K16" s="257"/>
      <c r="L16" s="257"/>
      <c r="M16" s="257"/>
      <c r="N16" s="257"/>
      <c r="O16" s="9" t="s">
        <v>18</v>
      </c>
      <c r="P16" s="10">
        <f>+F16/J16</f>
        <v>3.3555445526835408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63" t="s">
        <v>358</v>
      </c>
      <c r="V18" s="464" t="s">
        <v>361</v>
      </c>
    </row>
    <row r="19" spans="3:24" x14ac:dyDescent="0.2">
      <c r="C19" s="176">
        <v>45905</v>
      </c>
      <c r="D19" s="43" t="s">
        <v>419</v>
      </c>
      <c r="E19" s="42">
        <v>45937</v>
      </c>
      <c r="F19" s="42">
        <v>45938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3482.498</v>
      </c>
      <c r="N19" s="24">
        <v>1</v>
      </c>
      <c r="O19" s="24" t="s">
        <v>417</v>
      </c>
      <c r="P19" s="24" t="s">
        <v>192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 t="s">
        <v>359</v>
      </c>
      <c r="V19" s="17" t="s">
        <v>359</v>
      </c>
    </row>
    <row r="20" spans="3:24" ht="12.75" thickBot="1" x14ac:dyDescent="0.25">
      <c r="C20" s="101"/>
      <c r="D20" s="62" t="s">
        <v>420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245.12299999999999</v>
      </c>
      <c r="L20" s="28">
        <f>SUM(J19:J20)/K20</f>
        <v>3.0596884013332084</v>
      </c>
      <c r="M20" s="352">
        <v>10296</v>
      </c>
      <c r="N20" s="27">
        <v>1</v>
      </c>
      <c r="O20" s="27" t="s">
        <v>418</v>
      </c>
      <c r="P20" s="27" t="s">
        <v>202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70.878028056677977</v>
      </c>
      <c r="T20" s="460">
        <f>+S20*14.85</f>
        <v>1052.5387166416679</v>
      </c>
      <c r="U20" s="62">
        <v>44</v>
      </c>
      <c r="V20" s="420">
        <v>50</v>
      </c>
    </row>
    <row r="21" spans="3:24" x14ac:dyDescent="0.2">
      <c r="C21" s="436">
        <v>45924</v>
      </c>
      <c r="D21" s="433" t="s">
        <v>455</v>
      </c>
      <c r="E21" s="433">
        <v>45938</v>
      </c>
      <c r="F21" s="433">
        <v>45939</v>
      </c>
      <c r="G21" s="77">
        <v>2</v>
      </c>
      <c r="H21" s="43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3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3"/>
      <c r="L21" s="439"/>
      <c r="M21" s="435">
        <v>3430</v>
      </c>
      <c r="N21" s="33">
        <v>1</v>
      </c>
      <c r="O21" s="33" t="s">
        <v>453</v>
      </c>
      <c r="P21" s="33" t="s">
        <v>199</v>
      </c>
      <c r="Q21" s="44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441"/>
      <c r="S21" s="442"/>
      <c r="T21" s="476"/>
      <c r="U21" s="43" t="s">
        <v>359</v>
      </c>
      <c r="V21" s="17" t="s">
        <v>359</v>
      </c>
    </row>
    <row r="22" spans="3:24" ht="12.75" thickBot="1" x14ac:dyDescent="0.25">
      <c r="C22" s="101"/>
      <c r="D22" s="62" t="s">
        <v>456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225.40100000000001</v>
      </c>
      <c r="L22" s="28">
        <f>SUM(J21:J22)/K22</f>
        <v>3.3274031614766568</v>
      </c>
      <c r="M22" s="352">
        <v>10296</v>
      </c>
      <c r="N22" s="27">
        <v>1</v>
      </c>
      <c r="O22" s="27" t="s">
        <v>454</v>
      </c>
      <c r="P22" s="27" t="s">
        <v>202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90.600028056677957</v>
      </c>
      <c r="T22" s="460">
        <f>+S22*14.85</f>
        <v>1345.4104166416676</v>
      </c>
      <c r="U22" s="62">
        <v>50</v>
      </c>
      <c r="V22" s="420">
        <v>51</v>
      </c>
    </row>
    <row r="23" spans="3:24" x14ac:dyDescent="0.2">
      <c r="C23" s="176">
        <v>45950</v>
      </c>
      <c r="D23" s="43" t="s">
        <v>542</v>
      </c>
      <c r="E23" s="42">
        <v>45939</v>
      </c>
      <c r="F23" s="42">
        <v>45940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604</v>
      </c>
      <c r="N23" s="24">
        <v>1</v>
      </c>
      <c r="O23" s="24" t="s">
        <v>540</v>
      </c>
      <c r="P23" s="24" t="s">
        <v>200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43" t="s">
        <v>359</v>
      </c>
      <c r="V23" s="17" t="s">
        <v>359</v>
      </c>
    </row>
    <row r="24" spans="3:24" ht="12.75" thickBot="1" x14ac:dyDescent="0.25">
      <c r="C24" s="101"/>
      <c r="D24" s="62" t="s">
        <v>543</v>
      </c>
      <c r="E24" s="25">
        <v>45940</v>
      </c>
      <c r="F24" s="25">
        <v>45940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200.00800000000001</v>
      </c>
      <c r="L24" s="28">
        <f>SUM(J23:J24)/K24</f>
        <v>3.7498500059997597</v>
      </c>
      <c r="M24" s="352">
        <v>2920.991</v>
      </c>
      <c r="N24" s="27">
        <v>1</v>
      </c>
      <c r="O24" s="27" t="s">
        <v>541</v>
      </c>
      <c r="P24" s="27" t="s">
        <v>192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115.99302805667796</v>
      </c>
      <c r="T24" s="460">
        <f>+S24*14.85</f>
        <v>1722.4964666416677</v>
      </c>
      <c r="U24" s="62">
        <v>51</v>
      </c>
      <c r="V24" s="420">
        <v>53</v>
      </c>
    </row>
    <row r="25" spans="3:24" hidden="1" x14ac:dyDescent="0.2">
      <c r="C25" s="375"/>
      <c r="D25" s="36"/>
      <c r="E25" s="37"/>
      <c r="F25" s="37"/>
      <c r="G25" s="36"/>
      <c r="H25" s="259"/>
      <c r="I25" s="259"/>
      <c r="J25" s="260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6"/>
      <c r="V25" s="36"/>
      <c r="X25" s="245"/>
    </row>
    <row r="26" spans="3:24" hidden="1" x14ac:dyDescent="0.2">
      <c r="C26" s="347"/>
      <c r="D26" s="61"/>
      <c r="E26" s="12"/>
      <c r="F26" s="12"/>
      <c r="G26" s="61"/>
      <c r="H26" s="11"/>
      <c r="I26" s="11"/>
      <c r="J26" s="22"/>
      <c r="K26" s="11"/>
      <c r="L26" s="23"/>
      <c r="M26" s="374"/>
      <c r="N26" s="11"/>
      <c r="O26" s="11"/>
      <c r="P26" s="11"/>
      <c r="Q26" s="13"/>
      <c r="R26" s="342"/>
      <c r="S26" s="195"/>
      <c r="T26" s="461"/>
      <c r="U26" s="61"/>
      <c r="V26" s="61"/>
      <c r="X26" s="245"/>
    </row>
    <row r="27" spans="3:24" hidden="1" x14ac:dyDescent="0.2">
      <c r="C27" s="347"/>
      <c r="D27" s="61"/>
      <c r="E27" s="12"/>
      <c r="F27" s="12"/>
      <c r="G27" s="61"/>
      <c r="H27" s="366"/>
      <c r="I27" s="11"/>
      <c r="J27" s="22"/>
      <c r="K27" s="11"/>
      <c r="L27" s="23"/>
      <c r="M27" s="374"/>
      <c r="N27" s="11"/>
      <c r="O27" s="11"/>
      <c r="P27" s="11"/>
      <c r="Q27" s="13"/>
      <c r="R27" s="342"/>
      <c r="S27" s="195"/>
      <c r="T27" s="461"/>
      <c r="U27" s="61"/>
      <c r="V27" s="61"/>
    </row>
    <row r="28" spans="3:24" hidden="1" x14ac:dyDescent="0.2">
      <c r="C28" s="347"/>
      <c r="D28" s="61"/>
      <c r="E28" s="12"/>
      <c r="F28" s="12"/>
      <c r="G28" s="61"/>
      <c r="H28" s="366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1"/>
      <c r="U28" s="61"/>
      <c r="V28" s="61"/>
    </row>
    <row r="29" spans="3:24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1"/>
      <c r="U29" s="61"/>
      <c r="V29" s="61"/>
    </row>
    <row r="30" spans="3:24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>
        <v>0</v>
      </c>
      <c r="G35" s="631"/>
      <c r="H35" s="29"/>
      <c r="I35" s="29">
        <v>125</v>
      </c>
      <c r="J35" s="29"/>
      <c r="K35" s="29"/>
      <c r="L35" s="29"/>
      <c r="M35" s="30">
        <f>SUM(F35:L35)</f>
        <v>125</v>
      </c>
    </row>
    <row r="36" spans="3:23" ht="12.75" thickBot="1" x14ac:dyDescent="0.25">
      <c r="I36" s="15"/>
      <c r="J36" s="296"/>
      <c r="K36" s="296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4905.4380999250034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659.99249999999995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4120.4455999250031</v>
      </c>
      <c r="G39" s="587"/>
      <c r="I39" s="331"/>
      <c r="J39" s="430"/>
      <c r="K39" s="554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125</v>
      </c>
      <c r="G40" s="587"/>
      <c r="I40" s="555"/>
      <c r="J40" s="557"/>
      <c r="K40" s="556"/>
      <c r="L40" s="410"/>
      <c r="M40" s="349"/>
      <c r="O40" s="78">
        <v>45905</v>
      </c>
      <c r="P40" s="79" t="s">
        <v>132</v>
      </c>
      <c r="Q40" s="80">
        <v>2312926</v>
      </c>
      <c r="R40" s="80"/>
      <c r="S40" s="63">
        <v>2313665</v>
      </c>
      <c r="T40" s="79">
        <f>+S40-Q40</f>
        <v>739</v>
      </c>
      <c r="U40" s="137">
        <f>SUM(J19:J20)</f>
        <v>750</v>
      </c>
      <c r="V40" s="79">
        <f>+K20</f>
        <v>245.12299999999999</v>
      </c>
      <c r="W40" s="356">
        <f>(SUM(M19:M20)/2)</f>
        <v>6889.2489999999998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418"/>
      <c r="L41" s="410"/>
      <c r="M41" s="349"/>
      <c r="O41" s="32">
        <v>45924</v>
      </c>
      <c r="P41" s="53" t="s">
        <v>132</v>
      </c>
      <c r="Q41" s="63">
        <v>2313666</v>
      </c>
      <c r="R41" s="63"/>
      <c r="S41" s="11">
        <v>2314010</v>
      </c>
      <c r="T41" s="53">
        <f>+S41-Q41</f>
        <v>344</v>
      </c>
      <c r="U41" s="136">
        <f>SUM(J21:J22)</f>
        <v>750</v>
      </c>
      <c r="V41" s="53">
        <f>+K22</f>
        <v>225.40100000000001</v>
      </c>
      <c r="W41" s="357">
        <f>(SUM(M21:M22)/2)</f>
        <v>6863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>
        <v>45950</v>
      </c>
      <c r="P42" s="53" t="s">
        <v>132</v>
      </c>
      <c r="Q42" s="11">
        <v>2614766</v>
      </c>
      <c r="R42" s="63"/>
      <c r="S42" s="11"/>
      <c r="T42" s="53">
        <f t="shared" ref="T42:T45" si="3">+S42-Q42</f>
        <v>-2614766</v>
      </c>
      <c r="U42" s="136">
        <f>SUM(J23:J24)</f>
        <v>750</v>
      </c>
      <c r="V42" s="53">
        <f>+K24</f>
        <v>200.00800000000001</v>
      </c>
      <c r="W42" s="357">
        <f>(SUM(M23:M24)/2)</f>
        <v>1762.4955</v>
      </c>
    </row>
    <row r="43" spans="3:23" x14ac:dyDescent="0.2">
      <c r="C43" s="584" t="s">
        <v>117</v>
      </c>
      <c r="D43" s="585"/>
      <c r="E43" s="585"/>
      <c r="F43" s="586">
        <v>0</v>
      </c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SUM(J25:J32)</f>
        <v>0</v>
      </c>
      <c r="V43" s="53">
        <f>+K26</f>
        <v>0</v>
      </c>
      <c r="W43" s="357">
        <f>(SUM(M26)/2)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321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228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4905.4380999250034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C46:E46"/>
    <mergeCell ref="F46:G46"/>
    <mergeCell ref="C47:E47"/>
    <mergeCell ref="F47:G47"/>
    <mergeCell ref="F45:G45"/>
    <mergeCell ref="C45:E45"/>
    <mergeCell ref="C48:E48"/>
    <mergeCell ref="F48:G48"/>
    <mergeCell ref="C49:E49"/>
    <mergeCell ref="F49:G49"/>
    <mergeCell ref="C42:E42"/>
    <mergeCell ref="F42:G42"/>
    <mergeCell ref="C43:E43"/>
    <mergeCell ref="F43:G43"/>
    <mergeCell ref="F44:G44"/>
    <mergeCell ref="C44:E44"/>
    <mergeCell ref="C39:E39"/>
    <mergeCell ref="F39:G39"/>
    <mergeCell ref="C40:E40"/>
    <mergeCell ref="F40:G40"/>
    <mergeCell ref="C41:E41"/>
    <mergeCell ref="F41:G41"/>
    <mergeCell ref="Q37:S37"/>
    <mergeCell ref="C38:E38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8:G38"/>
    <mergeCell ref="F34:G34"/>
    <mergeCell ref="F35:G35"/>
    <mergeCell ref="C37:G37"/>
    <mergeCell ref="I37:L37"/>
    <mergeCell ref="O37:P37"/>
    <mergeCell ref="D13:E13"/>
    <mergeCell ref="D14:E14"/>
    <mergeCell ref="D15:E15"/>
    <mergeCell ref="D16:E16"/>
    <mergeCell ref="E34:E35"/>
    <mergeCell ref="Q53:R53"/>
    <mergeCell ref="Q54:R54"/>
    <mergeCell ref="Q55:R55"/>
    <mergeCell ref="Q56:R56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82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>
    <pageSetUpPr fitToPage="1"/>
  </sheetPr>
  <dimension ref="C1:Z58"/>
  <sheetViews>
    <sheetView topLeftCell="A5" zoomScaleNormal="100" workbookViewId="0">
      <selection activeCell="I39" sqref="I39:L42"/>
    </sheetView>
  </sheetViews>
  <sheetFormatPr baseColWidth="10" defaultColWidth="9.140625" defaultRowHeight="12" x14ac:dyDescent="0.2"/>
  <cols>
    <col min="1" max="1" width="2.140625" style="14" customWidth="1"/>
    <col min="2" max="2" width="2.28515625" style="14" customWidth="1"/>
    <col min="3" max="3" width="11.7109375" style="14" customWidth="1"/>
    <col min="4" max="4" width="11.28515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9.85546875" style="14" customWidth="1"/>
    <col min="9" max="9" width="10.5703125" style="14" customWidth="1"/>
    <col min="10" max="10" width="9.7109375" style="14" customWidth="1"/>
    <col min="11" max="11" width="10.5703125" style="14" customWidth="1"/>
    <col min="12" max="13" width="12" style="14" customWidth="1"/>
    <col min="14" max="14" width="10" style="14" bestFit="1" customWidth="1"/>
    <col min="15" max="15" width="10.28515625" style="14" customWidth="1"/>
    <col min="16" max="16" width="12.85546875" style="14" customWidth="1"/>
    <col min="17" max="17" width="11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/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334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160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147755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" customHeight="1" x14ac:dyDescent="0.2">
      <c r="D15" s="607" t="s">
        <v>13</v>
      </c>
      <c r="E15" s="608"/>
      <c r="F15" s="130">
        <v>149221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3000</v>
      </c>
      <c r="G16" s="257"/>
      <c r="H16" s="257"/>
      <c r="I16" s="9" t="s">
        <v>17</v>
      </c>
      <c r="J16" s="257">
        <f>SUM(K19:K32)</f>
        <v>915.202</v>
      </c>
      <c r="K16" s="257"/>
      <c r="L16" s="257"/>
      <c r="M16" s="257"/>
      <c r="N16" s="257"/>
      <c r="O16" s="9" t="s">
        <v>18</v>
      </c>
      <c r="P16" s="10">
        <f>+F16/J16</f>
        <v>3.2779648645872714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</row>
    <row r="19" spans="3:24" ht="12.75" customHeight="1" x14ac:dyDescent="0.2">
      <c r="C19" s="176">
        <v>46384</v>
      </c>
      <c r="D19" s="24" t="s">
        <v>394</v>
      </c>
      <c r="E19" s="42">
        <v>45936</v>
      </c>
      <c r="F19" s="42">
        <v>45664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6917.74</v>
      </c>
      <c r="N19" s="24">
        <v>1</v>
      </c>
      <c r="O19" s="24" t="s">
        <v>392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>
        <v>61</v>
      </c>
      <c r="V19" s="17">
        <v>63</v>
      </c>
    </row>
    <row r="20" spans="3:24" ht="12.75" thickBot="1" x14ac:dyDescent="0.25">
      <c r="C20" s="101"/>
      <c r="D20" s="27" t="s">
        <v>395</v>
      </c>
      <c r="E20" s="25">
        <v>45937</v>
      </c>
      <c r="F20" s="25">
        <v>45937</v>
      </c>
      <c r="G20" s="62">
        <v>3</v>
      </c>
      <c r="H20" s="2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220.02099999999999</v>
      </c>
      <c r="L20" s="28">
        <f>SUM(J19:J20)/K20</f>
        <v>3.4087655269269752</v>
      </c>
      <c r="M20" s="352">
        <v>5311.9939999999997</v>
      </c>
      <c r="N20" s="27">
        <v>1</v>
      </c>
      <c r="O20" s="27" t="s">
        <v>393</v>
      </c>
      <c r="P20" s="27" t="s">
        <v>192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95.98002805667798</v>
      </c>
      <c r="T20" s="460">
        <f>+S20*14.85</f>
        <v>1425.303416641668</v>
      </c>
      <c r="U20" s="62" t="s">
        <v>359</v>
      </c>
      <c r="V20" s="420" t="s">
        <v>359</v>
      </c>
      <c r="X20" s="278"/>
    </row>
    <row r="21" spans="3:24" x14ac:dyDescent="0.2">
      <c r="C21" s="238">
        <v>45918</v>
      </c>
      <c r="D21" s="38" t="s">
        <v>434</v>
      </c>
      <c r="E21" s="37">
        <v>45938</v>
      </c>
      <c r="F21" s="37">
        <v>45939</v>
      </c>
      <c r="G21" s="36">
        <v>2</v>
      </c>
      <c r="H21" s="4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39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8"/>
      <c r="L21" s="48"/>
      <c r="M21" s="353">
        <v>5799.9970000000003</v>
      </c>
      <c r="N21" s="38">
        <v>1</v>
      </c>
      <c r="O21" s="38" t="s">
        <v>432</v>
      </c>
      <c r="P21" s="38" t="s">
        <v>192</v>
      </c>
      <c r="Q21" s="4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2"/>
      <c r="S21" s="186"/>
      <c r="T21" s="462"/>
      <c r="U21" s="38">
        <v>61</v>
      </c>
      <c r="V21" s="260">
        <v>61</v>
      </c>
    </row>
    <row r="22" spans="3:24" ht="12.75" thickBot="1" x14ac:dyDescent="0.25">
      <c r="C22" s="239"/>
      <c r="D22" s="70" t="s">
        <v>435</v>
      </c>
      <c r="E22" s="69">
        <v>45939</v>
      </c>
      <c r="F22" s="69">
        <v>45939</v>
      </c>
      <c r="G22" s="68">
        <v>3</v>
      </c>
      <c r="H22" s="36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225.75700000000001</v>
      </c>
      <c r="L22" s="72">
        <f>SUM(J21:J22)/K22</f>
        <v>3.322156123619644</v>
      </c>
      <c r="M22" s="373">
        <v>5133.93</v>
      </c>
      <c r="N22" s="70">
        <v>1</v>
      </c>
      <c r="O22" s="70" t="s">
        <v>433</v>
      </c>
      <c r="P22" s="70" t="s">
        <v>202</v>
      </c>
      <c r="Q22" s="67">
        <f t="shared" si="1"/>
        <v>109.99874999999999</v>
      </c>
      <c r="R22" s="197">
        <v>2.4509799999999999</v>
      </c>
      <c r="S22" s="194">
        <f>+((SUM(J21:J22))/R22)-K22</f>
        <v>80.243048960007854</v>
      </c>
      <c r="T22" s="465">
        <f>+S22*14.85</f>
        <v>1191.6092770561165</v>
      </c>
      <c r="U22" s="70">
        <v>62</v>
      </c>
      <c r="V22" s="489">
        <v>61</v>
      </c>
    </row>
    <row r="23" spans="3:24" x14ac:dyDescent="0.2">
      <c r="C23" s="176">
        <v>45930</v>
      </c>
      <c r="D23" s="43" t="s">
        <v>500</v>
      </c>
      <c r="E23" s="42">
        <v>45939</v>
      </c>
      <c r="F23" s="42">
        <v>45940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14423</v>
      </c>
      <c r="N23" s="24">
        <v>1</v>
      </c>
      <c r="O23" s="24">
        <v>44801</v>
      </c>
      <c r="P23" s="24" t="s">
        <v>198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24">
        <v>61</v>
      </c>
      <c r="V23" s="479">
        <v>62</v>
      </c>
    </row>
    <row r="24" spans="3:24" ht="12.75" thickBot="1" x14ac:dyDescent="0.25">
      <c r="C24" s="101"/>
      <c r="D24" s="62" t="s">
        <v>501</v>
      </c>
      <c r="E24" s="25">
        <v>45940</v>
      </c>
      <c r="F24" s="25">
        <v>45940</v>
      </c>
      <c r="G24" s="62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218.82</v>
      </c>
      <c r="L24" s="28">
        <f>SUM(J23:J24)/K24</f>
        <v>3.4274746366876885</v>
      </c>
      <c r="M24" s="352">
        <v>3087.97</v>
      </c>
      <c r="N24" s="27">
        <v>1</v>
      </c>
      <c r="O24" s="27" t="s">
        <v>499</v>
      </c>
      <c r="P24" s="27" t="s">
        <v>248</v>
      </c>
      <c r="Q24" s="29">
        <f t="shared" si="2"/>
        <v>109.99874999999999</v>
      </c>
      <c r="R24" s="190">
        <v>2.4509799999999999</v>
      </c>
      <c r="S24" s="19">
        <f>+((SUM(J23:J24))/R24)-K24</f>
        <v>87.180048960007866</v>
      </c>
      <c r="T24" s="460">
        <f>+S24*14.85</f>
        <v>1294.6237270561169</v>
      </c>
      <c r="U24" s="27">
        <v>61</v>
      </c>
      <c r="V24" s="480">
        <v>62</v>
      </c>
    </row>
    <row r="25" spans="3:24" x14ac:dyDescent="0.2">
      <c r="C25" s="238">
        <v>45961</v>
      </c>
      <c r="D25" s="36" t="s">
        <v>554</v>
      </c>
      <c r="E25" s="37">
        <v>45940</v>
      </c>
      <c r="F25" s="37">
        <v>45941</v>
      </c>
      <c r="G25" s="36">
        <v>2</v>
      </c>
      <c r="H25" s="4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3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39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3">
        <v>2520.7249999999999</v>
      </c>
      <c r="N25" s="38">
        <v>1</v>
      </c>
      <c r="O25" s="38" t="s">
        <v>553</v>
      </c>
      <c r="P25" s="38" t="s">
        <v>195</v>
      </c>
      <c r="Q25" s="40">
        <f t="shared" si="2"/>
        <v>109.99874999999999</v>
      </c>
      <c r="R25" s="192"/>
      <c r="S25" s="186"/>
      <c r="T25" s="462"/>
      <c r="U25" s="36">
        <v>52</v>
      </c>
      <c r="V25" s="36"/>
    </row>
    <row r="26" spans="3:24" ht="12.75" thickBot="1" x14ac:dyDescent="0.25">
      <c r="C26" s="101"/>
      <c r="D26" s="62" t="s">
        <v>555</v>
      </c>
      <c r="E26" s="25">
        <v>45942</v>
      </c>
      <c r="F26" s="25">
        <v>45942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250.60400000000001</v>
      </c>
      <c r="L26" s="28">
        <f>SUM(J25:J26)/K26</f>
        <v>2.9927694689629853</v>
      </c>
      <c r="M26" s="352">
        <v>19000</v>
      </c>
      <c r="N26" s="27">
        <v>1</v>
      </c>
      <c r="O26" s="27" t="s">
        <v>488</v>
      </c>
      <c r="P26" s="27" t="s">
        <v>202</v>
      </c>
      <c r="Q26" s="29">
        <f t="shared" si="2"/>
        <v>109.99874999999999</v>
      </c>
      <c r="R26" s="190">
        <f>+LOOKUP(P43,UNIDADES!B$3:B$59,UNIDADES!C$3:C$59)</f>
        <v>2.3734099999999998</v>
      </c>
      <c r="S26" s="19">
        <f>+((SUM(J25:J26))/R26)-K26</f>
        <v>65.397028056677954</v>
      </c>
      <c r="T26" s="460">
        <f>+S26*14.85</f>
        <v>971.14586664166757</v>
      </c>
      <c r="U26" s="61" t="s">
        <v>359</v>
      </c>
      <c r="V26" s="61"/>
    </row>
    <row r="27" spans="3:24" ht="10.5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61"/>
      <c r="V27" s="61"/>
    </row>
    <row r="28" spans="3:24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1"/>
      <c r="V28" s="61"/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61"/>
      <c r="V29" s="61"/>
    </row>
    <row r="30" spans="3:24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6" ht="12.75" thickBot="1" x14ac:dyDescent="0.25">
      <c r="I33" s="15"/>
      <c r="N33" s="446"/>
      <c r="R33" s="193"/>
      <c r="S33" s="15"/>
    </row>
    <row r="34" spans="3:26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6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6" ht="12.75" thickBot="1" x14ac:dyDescent="0.25">
      <c r="I36" s="15"/>
    </row>
    <row r="37" spans="3:26" ht="13.5" thickBot="1" x14ac:dyDescent="0.25">
      <c r="C37" s="590" t="s">
        <v>36</v>
      </c>
      <c r="D37" s="591"/>
      <c r="E37" s="591"/>
      <c r="F37" s="591"/>
      <c r="G37" s="592"/>
      <c r="I37" s="648" t="s">
        <v>37</v>
      </c>
      <c r="J37" s="649"/>
      <c r="K37" s="649"/>
      <c r="L37" s="650"/>
      <c r="M37" s="298"/>
      <c r="O37" s="593" t="s">
        <v>38</v>
      </c>
      <c r="P37" s="594"/>
      <c r="Q37" s="595">
        <f>+F49-L46</f>
        <v>6162.6722873955687</v>
      </c>
      <c r="R37" s="596"/>
      <c r="S37" s="597"/>
    </row>
    <row r="38" spans="3:26" ht="12.75" thickBot="1" x14ac:dyDescent="0.25">
      <c r="C38" s="598" t="s">
        <v>220</v>
      </c>
      <c r="D38" s="599"/>
      <c r="E38" s="599"/>
      <c r="F38" s="600">
        <f>SUM(Q18:Q33)</f>
        <v>879.9899999999999</v>
      </c>
      <c r="G38" s="601"/>
      <c r="I38" s="318" t="s">
        <v>126</v>
      </c>
      <c r="J38" s="64" t="s">
        <v>127</v>
      </c>
      <c r="K38" s="315" t="s">
        <v>70</v>
      </c>
      <c r="L38" s="316" t="s">
        <v>128</v>
      </c>
      <c r="M38" s="349"/>
    </row>
    <row r="39" spans="3:26" ht="12.75" thickBot="1" x14ac:dyDescent="0.25">
      <c r="C39" s="584" t="s">
        <v>221</v>
      </c>
      <c r="D39" s="585"/>
      <c r="E39" s="585"/>
      <c r="F39" s="586">
        <f>SUM(T18:T33)</f>
        <v>4882.6822873955689</v>
      </c>
      <c r="G39" s="587"/>
      <c r="I39" s="331"/>
      <c r="J39" s="430"/>
      <c r="K39" s="434"/>
      <c r="L39" s="317"/>
      <c r="M39" s="349"/>
      <c r="O39" s="74"/>
      <c r="P39" s="75"/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6" ht="12.75" thickBot="1" x14ac:dyDescent="0.25">
      <c r="C40" s="584" t="s">
        <v>34</v>
      </c>
      <c r="D40" s="585"/>
      <c r="E40" s="585"/>
      <c r="F40" s="586">
        <f>+M35</f>
        <v>0</v>
      </c>
      <c r="G40" s="587"/>
      <c r="I40" s="313"/>
      <c r="J40" s="117"/>
      <c r="K40" s="61"/>
      <c r="L40" s="111"/>
      <c r="M40" s="349"/>
      <c r="O40" s="78">
        <v>46384</v>
      </c>
      <c r="P40" s="79" t="s">
        <v>152</v>
      </c>
      <c r="Q40" s="80">
        <v>932191</v>
      </c>
      <c r="R40" s="80"/>
      <c r="S40" s="24">
        <v>932893</v>
      </c>
      <c r="T40" s="79">
        <f>+S40-Q40</f>
        <v>702</v>
      </c>
      <c r="U40" s="137">
        <f>SUM(J19:J20)</f>
        <v>750</v>
      </c>
      <c r="V40" s="79">
        <f>+K20</f>
        <v>220.02099999999999</v>
      </c>
      <c r="W40" s="356">
        <f>(SUM(M19:M20)/2)</f>
        <v>6114.8670000000002</v>
      </c>
      <c r="Z40" s="244"/>
    </row>
    <row r="41" spans="3:26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19">
        <v>45918</v>
      </c>
      <c r="P41" s="314" t="s">
        <v>337</v>
      </c>
      <c r="Q41" s="24">
        <v>22813</v>
      </c>
      <c r="R41" s="320"/>
      <c r="S41" s="38">
        <v>23551</v>
      </c>
      <c r="T41" s="314">
        <f>+S41-Q41</f>
        <v>738</v>
      </c>
      <c r="U41" s="321">
        <f>SUM(J21:J22)</f>
        <v>750</v>
      </c>
      <c r="V41" s="314">
        <f>+K22</f>
        <v>225.75700000000001</v>
      </c>
      <c r="W41" s="357">
        <f>(SUM(M21:M22)/2)</f>
        <v>5466.9634999999998</v>
      </c>
    </row>
    <row r="42" spans="3:26" x14ac:dyDescent="0.2">
      <c r="C42" s="584" t="s">
        <v>39</v>
      </c>
      <c r="D42" s="585"/>
      <c r="E42" s="585"/>
      <c r="F42" s="586">
        <v>400</v>
      </c>
      <c r="G42" s="587"/>
      <c r="I42" s="94"/>
      <c r="J42" s="117"/>
      <c r="K42" s="61"/>
      <c r="L42" s="111"/>
      <c r="M42" s="349"/>
      <c r="O42" s="32">
        <v>45930</v>
      </c>
      <c r="P42" s="53" t="s">
        <v>337</v>
      </c>
      <c r="Q42" s="38">
        <v>23551</v>
      </c>
      <c r="R42" s="63"/>
      <c r="S42" s="11">
        <v>24271</v>
      </c>
      <c r="T42" s="53">
        <f t="shared" ref="T42:T45" si="3">+S42-Q42</f>
        <v>720</v>
      </c>
      <c r="U42" s="136">
        <f>SUM(J23:J24)</f>
        <v>750</v>
      </c>
      <c r="V42" s="53">
        <f>+K24</f>
        <v>218.82</v>
      </c>
      <c r="W42" s="357">
        <f>(SUM(M23:M24)/2)</f>
        <v>8755.4850000000006</v>
      </c>
    </row>
    <row r="43" spans="3:26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>
        <v>45961</v>
      </c>
      <c r="P43" s="53" t="s">
        <v>63</v>
      </c>
      <c r="Q43" s="63">
        <v>52283</v>
      </c>
      <c r="R43" s="63"/>
      <c r="S43" s="11">
        <v>53345</v>
      </c>
      <c r="T43" s="53">
        <f t="shared" si="3"/>
        <v>1062</v>
      </c>
      <c r="U43" s="136">
        <f>SUM(J25:J26)</f>
        <v>750</v>
      </c>
      <c r="V43" s="53">
        <f>+K26</f>
        <v>250.60400000000001</v>
      </c>
      <c r="W43" s="357">
        <f>(SUM(M25:M26)/2)</f>
        <v>10760.362499999999</v>
      </c>
    </row>
    <row r="44" spans="3:26" x14ac:dyDescent="0.2">
      <c r="C44" s="584" t="s">
        <v>40</v>
      </c>
      <c r="D44" s="585"/>
      <c r="E44" s="585"/>
      <c r="F44" s="586"/>
      <c r="G44" s="643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6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6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6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6" ht="13.5" customHeight="1" thickBot="1" x14ac:dyDescent="0.25">
      <c r="C48" s="575" t="s">
        <v>276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6162.6722873955687</v>
      </c>
      <c r="G49" s="583"/>
      <c r="R49" s="21"/>
      <c r="S49" s="517"/>
      <c r="T49" s="517"/>
      <c r="U49" s="518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40:G40"/>
    <mergeCell ref="C37:G37"/>
    <mergeCell ref="C41:E41"/>
    <mergeCell ref="F41:G41"/>
    <mergeCell ref="F39:G39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55:R55"/>
    <mergeCell ref="Q56:R56"/>
    <mergeCell ref="D13:E13"/>
    <mergeCell ref="D14:E14"/>
    <mergeCell ref="D15:E15"/>
    <mergeCell ref="D16:E16"/>
    <mergeCell ref="E34:E35"/>
    <mergeCell ref="O37:P37"/>
    <mergeCell ref="F34:G34"/>
    <mergeCell ref="F35:G35"/>
    <mergeCell ref="I37:L37"/>
    <mergeCell ref="Q37:S37"/>
    <mergeCell ref="C38:E38"/>
    <mergeCell ref="F38:G38"/>
    <mergeCell ref="C39:E39"/>
    <mergeCell ref="C40:E40"/>
  </mergeCells>
  <pageMargins left="0" right="0" top="0.15748031496062992" bottom="0.15748031496062992" header="0.31496062992125984" footer="0.31496062992125984"/>
  <pageSetup paperSize="9" scale="82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">
    <pageSetUpPr fitToPage="1"/>
  </sheetPr>
  <dimension ref="C1:W58"/>
  <sheetViews>
    <sheetView topLeftCell="A4" zoomScaleNormal="100" workbookViewId="0">
      <selection activeCell="P40" sqref="P40"/>
    </sheetView>
  </sheetViews>
  <sheetFormatPr baseColWidth="10" defaultColWidth="9.140625" defaultRowHeight="12" x14ac:dyDescent="0.2"/>
  <cols>
    <col min="1" max="1" width="2.28515625" style="14" customWidth="1"/>
    <col min="2" max="2" width="3.5703125" style="14" customWidth="1"/>
    <col min="3" max="3" width="11.85546875" style="14" customWidth="1"/>
    <col min="4" max="4" width="12.8554687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85546875" style="14" customWidth="1"/>
    <col min="9" max="9" width="12.28515625" style="14" customWidth="1"/>
    <col min="10" max="10" width="10" style="14" customWidth="1"/>
    <col min="11" max="11" width="9.5703125" style="14" customWidth="1"/>
    <col min="12" max="12" width="12.42578125" style="14" customWidth="1"/>
    <col min="13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0.5703125" style="14" customWidth="1"/>
    <col min="18" max="18" width="10" style="14" customWidth="1"/>
    <col min="19" max="19" width="10.28515625" style="14" customWidth="1"/>
    <col min="20" max="20" width="11.5703125" style="14" bestFit="1" customWidth="1"/>
    <col min="21" max="21" width="10" style="14" customWidth="1"/>
    <col min="22" max="22" width="7.85546875" style="14" customWidth="1"/>
    <col min="23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+'NUÑEZ RUIZ IRVING JAVIER.'!Q6+1</f>
        <v>43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336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159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  <c r="U21" s="120"/>
    </row>
    <row r="22" spans="3:21" ht="12" customHeight="1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30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25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120"/>
    </row>
    <row r="25" spans="3:21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52"/>
      <c r="N26" s="27"/>
      <c r="O26" s="27"/>
      <c r="P26" s="27"/>
      <c r="Q26" s="29"/>
      <c r="R26" s="190"/>
      <c r="S26" s="19"/>
      <c r="T26" s="30"/>
    </row>
    <row r="27" spans="3:21" ht="13.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56"/>
      <c r="M27" s="351"/>
      <c r="N27" s="24"/>
      <c r="O27" s="24"/>
      <c r="P27" s="24"/>
      <c r="Q27" s="45"/>
      <c r="R27" s="191"/>
      <c r="S27" s="52"/>
      <c r="T27" s="46"/>
    </row>
    <row r="28" spans="3:21" hidden="1" x14ac:dyDescent="0.2">
      <c r="C28" s="239"/>
      <c r="D28" s="68"/>
      <c r="E28" s="69"/>
      <c r="F28" s="69"/>
      <c r="G28" s="68"/>
      <c r="H28" s="70"/>
      <c r="I28" s="70"/>
      <c r="J28" s="71"/>
      <c r="K28" s="70"/>
      <c r="L28" s="299"/>
      <c r="M28" s="373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56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3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182</v>
      </c>
      <c r="I36" s="15"/>
      <c r="S36" s="244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+F49-L46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SUM(T18:T33)</f>
        <v>#N/A</v>
      </c>
      <c r="G39" s="587"/>
      <c r="I39" s="644"/>
      <c r="J39" s="645"/>
      <c r="K39" s="646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418"/>
      <c r="L40" s="410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584" t="s">
        <v>235</v>
      </c>
      <c r="D41" s="585"/>
      <c r="E41" s="585"/>
      <c r="F41" s="586">
        <v>0</v>
      </c>
      <c r="G41" s="587"/>
      <c r="H41" s="120"/>
      <c r="I41" s="94"/>
      <c r="J41" s="117"/>
      <c r="K41" s="418"/>
      <c r="L41" s="410"/>
      <c r="M41" s="349"/>
      <c r="O41" s="32"/>
      <c r="P41" s="53"/>
      <c r="Q41" s="24"/>
      <c r="R41" s="63"/>
      <c r="S41" s="11"/>
      <c r="T41" s="79">
        <f t="shared" ref="T41:T44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ref="T45" si="2"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327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R48" s="21"/>
      <c r="S48" s="21"/>
      <c r="T48" s="280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 t="e">
        <f>SUM(F38:G48)</f>
        <v>#N/A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D56:H56"/>
    <mergeCell ref="I9:O9"/>
    <mergeCell ref="L11:S11"/>
    <mergeCell ref="E12:F12"/>
    <mergeCell ref="C42:E42"/>
    <mergeCell ref="F42:G42"/>
    <mergeCell ref="F34:G34"/>
    <mergeCell ref="F35:G35"/>
    <mergeCell ref="C41:E41"/>
    <mergeCell ref="F41:G41"/>
    <mergeCell ref="C38:E38"/>
    <mergeCell ref="F38:G38"/>
    <mergeCell ref="I37:L37"/>
    <mergeCell ref="C37:G37"/>
    <mergeCell ref="C39:E39"/>
    <mergeCell ref="D13:E13"/>
    <mergeCell ref="F39:G39"/>
    <mergeCell ref="D14:E14"/>
    <mergeCell ref="D15:E15"/>
    <mergeCell ref="D16:E16"/>
    <mergeCell ref="E34:E35"/>
    <mergeCell ref="Q53:R53"/>
    <mergeCell ref="C43:E43"/>
    <mergeCell ref="F43:G43"/>
    <mergeCell ref="F44:G44"/>
    <mergeCell ref="C40:E40"/>
    <mergeCell ref="F40:G40"/>
    <mergeCell ref="C45:E45"/>
    <mergeCell ref="F45:G45"/>
    <mergeCell ref="C44:E44"/>
    <mergeCell ref="I39:K39"/>
    <mergeCell ref="Q54:R54"/>
    <mergeCell ref="Q55:R55"/>
    <mergeCell ref="Q56:R56"/>
    <mergeCell ref="Q2:S2"/>
    <mergeCell ref="P50:R50"/>
    <mergeCell ref="Q51:R51"/>
    <mergeCell ref="Q52:R52"/>
    <mergeCell ref="O37:P37"/>
    <mergeCell ref="Q37:S37"/>
    <mergeCell ref="I3:O3"/>
    <mergeCell ref="Q3:S3"/>
    <mergeCell ref="I4:O4"/>
    <mergeCell ref="I5:O5"/>
    <mergeCell ref="Q5:S5"/>
    <mergeCell ref="I6:O6"/>
    <mergeCell ref="Q6:S6"/>
  </mergeCells>
  <phoneticPr fontId="27" type="noConversion"/>
  <pageMargins left="0.19685039370078741" right="0.19685039370078741" top="0.35433070866141736" bottom="0.35433070866141736" header="0.31496062992125984" footer="0.31496062992125984"/>
  <pageSetup paperSize="9" scale="66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W55"/>
  <sheetViews>
    <sheetView topLeftCell="B7" zoomScaleNormal="100" workbookViewId="0">
      <selection activeCell="I37" sqref="I37:L41"/>
    </sheetView>
  </sheetViews>
  <sheetFormatPr baseColWidth="10" defaultColWidth="9.140625" defaultRowHeight="12" x14ac:dyDescent="0.2"/>
  <cols>
    <col min="1" max="1" width="3.42578125" style="14" customWidth="1"/>
    <col min="2" max="2" width="4.7109375" style="14" customWidth="1"/>
    <col min="3" max="3" width="12.7109375" style="14" customWidth="1"/>
    <col min="4" max="4" width="11.42578125" style="14" customWidth="1"/>
    <col min="5" max="5" width="14" style="14" customWidth="1"/>
    <col min="6" max="6" width="8.85546875" style="14" customWidth="1"/>
    <col min="7" max="7" width="3" style="14" bestFit="1" customWidth="1"/>
    <col min="8" max="8" width="10" style="14" bestFit="1" customWidth="1"/>
    <col min="9" max="9" width="12.140625" style="14" customWidth="1"/>
    <col min="10" max="11" width="10" style="14" customWidth="1"/>
    <col min="12" max="13" width="12.5703125" style="14" customWidth="1"/>
    <col min="14" max="14" width="10.7109375" style="14" customWidth="1"/>
    <col min="15" max="15" width="13" style="14" customWidth="1"/>
    <col min="16" max="16" width="14.28515625" style="14" bestFit="1" customWidth="1"/>
    <col min="17" max="17" width="12.28515625" style="14" customWidth="1"/>
    <col min="18" max="18" width="12.140625" style="14" hidden="1" customWidth="1"/>
    <col min="19" max="20" width="12.140625" style="14" bestFit="1" customWidth="1"/>
    <col min="21" max="21" width="13" style="14" hidden="1" customWidth="1"/>
    <col min="22" max="22" width="12.42578125" style="14" hidden="1" customWidth="1"/>
    <col min="23" max="23" width="12" style="14" hidden="1" customWidth="1"/>
    <col min="24" max="24" width="11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+'MARTINEZ RAMIREZ ROSALIO'!Q6+1</f>
        <v>40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54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157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225076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225835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SUM(J19:J30)</f>
        <v>3950</v>
      </c>
      <c r="G16" s="257"/>
      <c r="H16" s="257"/>
      <c r="I16" s="9" t="s">
        <v>17</v>
      </c>
      <c r="J16" s="257">
        <f>SUM(K19:K30)</f>
        <v>1063.9939999999999</v>
      </c>
      <c r="K16" s="257"/>
      <c r="L16" s="257"/>
      <c r="M16" s="257"/>
      <c r="N16" s="257"/>
      <c r="O16" s="9" t="s">
        <v>18</v>
      </c>
      <c r="P16" s="10">
        <f>+F16/J16</f>
        <v>3.7124269497760327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362</v>
      </c>
    </row>
    <row r="19" spans="2:23" x14ac:dyDescent="0.2">
      <c r="B19" s="14" t="s">
        <v>357</v>
      </c>
      <c r="C19" s="176">
        <v>46393</v>
      </c>
      <c r="D19" s="43" t="s">
        <v>383</v>
      </c>
      <c r="E19" s="42">
        <v>45937</v>
      </c>
      <c r="F19" s="42">
        <v>45937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3609.56</v>
      </c>
      <c r="N19" s="24">
        <v>4</v>
      </c>
      <c r="O19" s="24" t="s">
        <v>384</v>
      </c>
      <c r="P19" s="24" t="s">
        <v>204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>
        <v>61</v>
      </c>
      <c r="V19" s="17">
        <v>61</v>
      </c>
    </row>
    <row r="20" spans="2:23" ht="13.5" customHeight="1" thickBot="1" x14ac:dyDescent="0.25">
      <c r="B20" s="14" t="s">
        <v>357</v>
      </c>
      <c r="C20" s="101"/>
      <c r="D20" s="62" t="s">
        <v>386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215.999</v>
      </c>
      <c r="L20" s="28">
        <f>SUM(J19:J20)/K20</f>
        <v>3.6574243399274997</v>
      </c>
      <c r="M20" s="352">
        <v>5072.4870000000001</v>
      </c>
      <c r="N20" s="27">
        <v>1</v>
      </c>
      <c r="O20" s="27" t="s">
        <v>385</v>
      </c>
      <c r="P20" s="27" t="s">
        <v>192</v>
      </c>
      <c r="Q20" s="29">
        <f>((((IF(N20=1,((J19:J20)*0.29333)))+(IF(N20=2,((J20)*0.146666)))+(IF(N20=3,((J20)*0.146666)))))+(IF(N20=4,((J20-40)*0.29333)))+(IF(N20=5,((J20-50)*0.29333)))+(IF(N20=6,((J20-90)*0.29333))))</f>
        <v>109.99874999999999</v>
      </c>
      <c r="R20" s="190">
        <f>+LOOKUP(P38,UNIDADES!B$3:B$59,UNIDADES!C$3:C$59)</f>
        <v>2.4509799999999999</v>
      </c>
      <c r="S20" s="19">
        <f>+((SUM(J19:J20)-40)/R20)-K20</f>
        <v>90.001048960007864</v>
      </c>
      <c r="T20" s="460">
        <f>+S20*14.85</f>
        <v>1336.5155770561169</v>
      </c>
      <c r="U20" s="62" t="s">
        <v>359</v>
      </c>
      <c r="V20" s="420" t="s">
        <v>359</v>
      </c>
    </row>
    <row r="21" spans="2:23" x14ac:dyDescent="0.2">
      <c r="B21" s="14" t="s">
        <v>357</v>
      </c>
      <c r="C21" s="176">
        <v>45911</v>
      </c>
      <c r="D21" s="24" t="s">
        <v>413</v>
      </c>
      <c r="E21" s="42">
        <v>45938</v>
      </c>
      <c r="F21" s="42">
        <v>45938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242</v>
      </c>
      <c r="N21" s="24">
        <v>4</v>
      </c>
      <c r="O21" s="24" t="s">
        <v>416</v>
      </c>
      <c r="P21" s="24" t="s">
        <v>216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>
        <v>61</v>
      </c>
      <c r="V21" s="17">
        <v>62</v>
      </c>
    </row>
    <row r="22" spans="2:23" ht="12.75" thickBot="1" x14ac:dyDescent="0.25">
      <c r="C22" s="101"/>
      <c r="D22" s="27" t="s">
        <v>414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205.995</v>
      </c>
      <c r="L22" s="28">
        <f>SUM(J21:J22)/K22</f>
        <v>3.8350445399160171</v>
      </c>
      <c r="M22" s="352">
        <v>4512.3999999999996</v>
      </c>
      <c r="N22" s="27">
        <v>1</v>
      </c>
      <c r="O22" s="27" t="s">
        <v>415</v>
      </c>
      <c r="P22" s="27" t="s">
        <v>248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+LOOKUP(P39,UNIDADES!B$3:B$59,UNIDADES!C$3:C$59)</f>
        <v>2.4509799999999999</v>
      </c>
      <c r="S22" s="19">
        <f>+((SUM(J21:J22)-40)/R22)-K22</f>
        <v>100.00504896000785</v>
      </c>
      <c r="T22" s="460">
        <f>+S22*14.85</f>
        <v>1485.0749770561167</v>
      </c>
      <c r="U22" s="62" t="s">
        <v>359</v>
      </c>
      <c r="V22" s="420" t="s">
        <v>359</v>
      </c>
    </row>
    <row r="23" spans="2:23" ht="11.25" customHeight="1" x14ac:dyDescent="0.2">
      <c r="C23" s="176">
        <v>45945</v>
      </c>
      <c r="D23" s="43" t="s">
        <v>446</v>
      </c>
      <c r="E23" s="42">
        <v>45939</v>
      </c>
      <c r="F23" s="42">
        <v>45939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2171.4699999999998</v>
      </c>
      <c r="N23" s="24">
        <v>4</v>
      </c>
      <c r="O23" s="24">
        <v>1058</v>
      </c>
      <c r="P23" s="24" t="s">
        <v>204</v>
      </c>
      <c r="Q23" s="45">
        <f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43">
        <v>62</v>
      </c>
      <c r="V23" s="17">
        <v>62</v>
      </c>
    </row>
    <row r="24" spans="2:23" ht="13.5" customHeight="1" thickBot="1" x14ac:dyDescent="0.25">
      <c r="B24" s="14" t="s">
        <v>357</v>
      </c>
      <c r="C24" s="101"/>
      <c r="D24" s="62" t="s">
        <v>447</v>
      </c>
      <c r="E24" s="25">
        <v>45940</v>
      </c>
      <c r="F24" s="25">
        <v>45940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205.995</v>
      </c>
      <c r="L24" s="28">
        <f>SUM(J23:J24)/K24</f>
        <v>3.8350445399160171</v>
      </c>
      <c r="M24" s="352">
        <v>2624</v>
      </c>
      <c r="N24" s="27">
        <v>1</v>
      </c>
      <c r="O24" s="27" t="s">
        <v>436</v>
      </c>
      <c r="P24" s="27" t="s">
        <v>199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+LOOKUP(P40,UNIDADES!B$3:B$59,UNIDADES!C$3:C$59)</f>
        <v>2.4509799999999999</v>
      </c>
      <c r="S24" s="19">
        <f>+((SUM(J23:J24)-40)/R24)-K24</f>
        <v>100.00504896000785</v>
      </c>
      <c r="T24" s="460">
        <f>+S24*14.85</f>
        <v>1485.0749770561167</v>
      </c>
      <c r="U24" s="62" t="s">
        <v>359</v>
      </c>
      <c r="V24" s="420" t="s">
        <v>359</v>
      </c>
    </row>
    <row r="25" spans="2:23" x14ac:dyDescent="0.2">
      <c r="B25" s="14" t="s">
        <v>357</v>
      </c>
      <c r="C25" s="176">
        <v>45953</v>
      </c>
      <c r="D25" s="43" t="s">
        <v>529</v>
      </c>
      <c r="E25" s="42">
        <v>45940</v>
      </c>
      <c r="F25" s="42">
        <v>45941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1951.97</v>
      </c>
      <c r="N25" s="24">
        <v>4</v>
      </c>
      <c r="O25" s="24">
        <v>1055</v>
      </c>
      <c r="P25" s="24" t="s">
        <v>204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24">
        <v>62</v>
      </c>
      <c r="V25" s="79">
        <v>61</v>
      </c>
    </row>
    <row r="26" spans="2:23" ht="15" customHeight="1" thickBot="1" x14ac:dyDescent="0.25">
      <c r="C26" s="101"/>
      <c r="D26" s="62" t="s">
        <v>530</v>
      </c>
      <c r="E26" s="25">
        <v>45941</v>
      </c>
      <c r="F26" s="25">
        <v>45941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225.99600000000001</v>
      </c>
      <c r="L26" s="28">
        <f>SUM(J25:J26)/K26</f>
        <v>3.4956370909219632</v>
      </c>
      <c r="M26" s="352">
        <v>10296</v>
      </c>
      <c r="N26" s="27">
        <v>1</v>
      </c>
      <c r="O26" s="27" t="s">
        <v>528</v>
      </c>
      <c r="P26" s="27" t="s">
        <v>202</v>
      </c>
      <c r="Q26" s="29">
        <f>((((IF(N26=1,((J25:J26)*0.29333)))+(IF(N26=2,((J26)*0.146666)))+(IF(N26=3,((J26)*0.146666)))))+(IF(N26=4,((J26-40)*0.29333)))+(IF(N26=5,((J26-50)*0.29333)))+(IF(N26=6,((J26-90)*0.29333))))</f>
        <v>109.99874999999999</v>
      </c>
      <c r="R26" s="190">
        <f>+LOOKUP(P41,UNIDADES!B$3:B$59,UNIDADES!C$3:C$59)</f>
        <v>2.4509799999999999</v>
      </c>
      <c r="S26" s="19">
        <f>+((SUM(J25:J26)-40)/R26)-K26</f>
        <v>80.00404896000785</v>
      </c>
      <c r="T26" s="460">
        <f>+S26*14.85</f>
        <v>1188.0601270561165</v>
      </c>
      <c r="U26" s="27" t="s">
        <v>359</v>
      </c>
      <c r="V26" s="55" t="s">
        <v>359</v>
      </c>
    </row>
    <row r="27" spans="2:23" x14ac:dyDescent="0.2">
      <c r="B27" s="14" t="s">
        <v>357</v>
      </c>
      <c r="C27" s="176">
        <v>45982</v>
      </c>
      <c r="D27" s="43" t="s">
        <v>574</v>
      </c>
      <c r="E27" s="42">
        <v>45943</v>
      </c>
      <c r="F27" s="42">
        <v>45944</v>
      </c>
      <c r="G27" s="43">
        <v>4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4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5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24"/>
      <c r="L27" s="44"/>
      <c r="M27" s="351">
        <v>102</v>
      </c>
      <c r="N27" s="24">
        <v>4</v>
      </c>
      <c r="O27" s="24" t="s">
        <v>576</v>
      </c>
      <c r="P27" s="24" t="s">
        <v>199</v>
      </c>
      <c r="Q27" s="45">
        <f>((((IF(N27=1,((J27)*0.29333)))+(IF(N27=2,((J27)*0.146666)))+(IF(N27=3,((J27)*0.146666)))))+(IF(N27=4,((J27-40)*0.29333)))+(IF(N27=5,((J27-50)*0.29333)))+(IF(N27=6,((J27-90)*0.29333))))</f>
        <v>109.99874999999999</v>
      </c>
      <c r="R27" s="191"/>
      <c r="S27" s="52"/>
      <c r="T27" s="459"/>
      <c r="U27" s="24">
        <v>61</v>
      </c>
      <c r="V27" s="79">
        <v>61</v>
      </c>
      <c r="W27" s="454"/>
    </row>
    <row r="28" spans="2:23" ht="13.5" customHeight="1" thickBot="1" x14ac:dyDescent="0.25">
      <c r="C28" s="101"/>
      <c r="D28" s="62" t="s">
        <v>575</v>
      </c>
      <c r="E28" s="25">
        <v>45944</v>
      </c>
      <c r="F28" s="25">
        <v>45944</v>
      </c>
      <c r="G28" s="62">
        <v>3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210.00899999999999</v>
      </c>
      <c r="L28" s="28">
        <f>SUM(J27:J28)/K28</f>
        <v>3.761743544324291</v>
      </c>
      <c r="M28" s="352">
        <v>6430.86</v>
      </c>
      <c r="N28" s="27">
        <v>1</v>
      </c>
      <c r="O28" s="27">
        <v>53505</v>
      </c>
      <c r="P28" s="27" t="s">
        <v>248</v>
      </c>
      <c r="Q28" s="29">
        <f>((((IF(N28=1,((J27:J28)*0.29333)))+(IF(N28=2,((J28)*0.146666)))+(IF(N28=3,((J28)*0.146666)))))+(IF(N28=4,((J28-40)*0.29333)))+(IF(N28=5,((J28-50)*0.29333)))+(IF(N28=6,((J28-90)*0.29333))))</f>
        <v>109.99874999999999</v>
      </c>
      <c r="R28" s="190">
        <f>+LOOKUP(P42,UNIDADES!B$3:B$59,UNIDADES!C$3:C$59)</f>
        <v>2.4509799999999999</v>
      </c>
      <c r="S28" s="19">
        <f>+((SUM(J27:J28)-40)/R28)-K28</f>
        <v>95.991048960007873</v>
      </c>
      <c r="T28" s="460">
        <f>+S28*14.85</f>
        <v>1425.467077056117</v>
      </c>
      <c r="U28" s="27" t="s">
        <v>359</v>
      </c>
      <c r="V28" s="55" t="s">
        <v>359</v>
      </c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36"/>
      <c r="V29" s="36"/>
    </row>
    <row r="30" spans="2:23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2:23" ht="12.75" thickBot="1" x14ac:dyDescent="0.25">
      <c r="I31" s="15"/>
      <c r="R31" s="456"/>
      <c r="S31" s="456"/>
      <c r="T31" s="457"/>
    </row>
    <row r="32" spans="2:23" x14ac:dyDescent="0.2">
      <c r="E32" s="611" t="s">
        <v>34</v>
      </c>
      <c r="F32" s="628">
        <f>+'AGUILAR ESQUIVEL CARLOS'!F34</f>
        <v>45936</v>
      </c>
      <c r="G32" s="629"/>
      <c r="H32" s="16">
        <f>+F32+1</f>
        <v>45937</v>
      </c>
      <c r="I32" s="16">
        <f>+H32+1</f>
        <v>45938</v>
      </c>
      <c r="J32" s="16">
        <f>+I32+1</f>
        <v>45939</v>
      </c>
      <c r="K32" s="16">
        <f>+J32+1</f>
        <v>45940</v>
      </c>
      <c r="L32" s="16">
        <f>+K32+2</f>
        <v>45942</v>
      </c>
      <c r="M32" s="17" t="s">
        <v>35</v>
      </c>
      <c r="P32" s="454"/>
      <c r="Q32" s="454"/>
      <c r="R32" s="454"/>
      <c r="S32" s="454"/>
      <c r="U32" s="454"/>
      <c r="V32" s="454"/>
      <c r="W32" s="454"/>
    </row>
    <row r="33" spans="3:23" ht="12.75" thickBot="1" x14ac:dyDescent="0.25">
      <c r="E33" s="612"/>
      <c r="F33" s="630"/>
      <c r="G33" s="631"/>
      <c r="H33" s="29">
        <v>1250</v>
      </c>
      <c r="I33" s="29">
        <v>1900</v>
      </c>
      <c r="J33" s="29">
        <v>1200</v>
      </c>
      <c r="K33" s="29">
        <v>1850</v>
      </c>
      <c r="L33" s="29">
        <v>1250</v>
      </c>
      <c r="M33" s="30">
        <f>SUM(F33:L33)</f>
        <v>7450</v>
      </c>
    </row>
    <row r="34" spans="3:23" ht="12.75" thickBot="1" x14ac:dyDescent="0.25">
      <c r="H34" s="120" t="s">
        <v>182</v>
      </c>
      <c r="I34" s="15"/>
    </row>
    <row r="35" spans="3:23" ht="14.25" customHeight="1" thickBot="1" x14ac:dyDescent="0.25">
      <c r="C35" s="590" t="s">
        <v>36</v>
      </c>
      <c r="D35" s="591"/>
      <c r="E35" s="591"/>
      <c r="F35" s="591"/>
      <c r="G35" s="592"/>
      <c r="I35" s="602" t="s">
        <v>37</v>
      </c>
      <c r="J35" s="603"/>
      <c r="K35" s="603"/>
      <c r="L35" s="604"/>
      <c r="M35" s="298"/>
      <c r="O35" s="593" t="s">
        <v>38</v>
      </c>
      <c r="P35" s="594"/>
      <c r="Q35" s="595">
        <f>+F47-L44</f>
        <v>16970.180235280583</v>
      </c>
      <c r="R35" s="596"/>
      <c r="S35" s="597"/>
    </row>
    <row r="36" spans="3:23" ht="12.75" thickBot="1" x14ac:dyDescent="0.25">
      <c r="C36" s="598" t="s">
        <v>220</v>
      </c>
      <c r="D36" s="599"/>
      <c r="E36" s="599"/>
      <c r="F36" s="600">
        <f>SUM(Q18:Q31)</f>
        <v>1099.9875</v>
      </c>
      <c r="G36" s="601"/>
      <c r="I36" s="114" t="s">
        <v>126</v>
      </c>
      <c r="J36" s="68" t="s">
        <v>127</v>
      </c>
      <c r="K36" s="68" t="s">
        <v>70</v>
      </c>
      <c r="L36" s="115" t="s">
        <v>128</v>
      </c>
      <c r="M36" s="349"/>
    </row>
    <row r="37" spans="3:23" ht="12.75" thickBot="1" x14ac:dyDescent="0.25">
      <c r="C37" s="584" t="s">
        <v>221</v>
      </c>
      <c r="D37" s="585"/>
      <c r="E37" s="585"/>
      <c r="F37" s="586">
        <f>SUM(T18:T31)</f>
        <v>6920.1927352805842</v>
      </c>
      <c r="G37" s="587"/>
      <c r="I37" s="176"/>
      <c r="J37" s="415"/>
      <c r="K37" s="43"/>
      <c r="L37" s="119"/>
      <c r="M37" s="349"/>
      <c r="O37" s="74" t="s">
        <v>265</v>
      </c>
      <c r="P37" s="75" t="s">
        <v>71</v>
      </c>
      <c r="Q37" s="76" t="s">
        <v>266</v>
      </c>
      <c r="R37" s="64"/>
      <c r="S37" s="77" t="s">
        <v>267</v>
      </c>
      <c r="T37" s="75" t="s">
        <v>74</v>
      </c>
      <c r="U37" s="74" t="s">
        <v>146</v>
      </c>
      <c r="V37" s="75" t="s">
        <v>147</v>
      </c>
      <c r="W37" s="75" t="s">
        <v>285</v>
      </c>
    </row>
    <row r="38" spans="3:23" x14ac:dyDescent="0.2">
      <c r="C38" s="584" t="s">
        <v>34</v>
      </c>
      <c r="D38" s="585"/>
      <c r="E38" s="585"/>
      <c r="F38" s="586">
        <f>+M33</f>
        <v>7450</v>
      </c>
      <c r="G38" s="587"/>
      <c r="I38" s="94"/>
      <c r="J38" s="117"/>
      <c r="K38" s="61"/>
      <c r="L38" s="111"/>
      <c r="M38" s="349"/>
      <c r="O38" s="78">
        <v>46393</v>
      </c>
      <c r="P38" s="79" t="s">
        <v>157</v>
      </c>
      <c r="Q38" s="80">
        <v>84509</v>
      </c>
      <c r="R38" s="80"/>
      <c r="S38" s="24">
        <v>85281</v>
      </c>
      <c r="T38" s="79">
        <f t="shared" ref="T38:T43" si="0">+S38-Q38</f>
        <v>772</v>
      </c>
      <c r="U38" s="137">
        <f>SUM(J19:J20)</f>
        <v>790</v>
      </c>
      <c r="V38" s="79">
        <f>+K20</f>
        <v>215.999</v>
      </c>
      <c r="W38" s="356">
        <f>(SUM(M19:M20)/2)</f>
        <v>4341.0235000000002</v>
      </c>
    </row>
    <row r="39" spans="3:23" x14ac:dyDescent="0.2">
      <c r="C39" s="584" t="s">
        <v>187</v>
      </c>
      <c r="D39" s="585"/>
      <c r="E39" s="585"/>
      <c r="F39" s="586"/>
      <c r="G39" s="587"/>
      <c r="I39" s="94"/>
      <c r="J39" s="117"/>
      <c r="K39" s="61"/>
      <c r="L39" s="111"/>
      <c r="M39" s="349"/>
      <c r="O39" s="32">
        <v>45911</v>
      </c>
      <c r="P39" s="53" t="s">
        <v>157</v>
      </c>
      <c r="Q39" s="63">
        <v>85281</v>
      </c>
      <c r="R39" s="63"/>
      <c r="S39" s="11">
        <v>86055</v>
      </c>
      <c r="T39" s="53">
        <f t="shared" si="0"/>
        <v>774</v>
      </c>
      <c r="U39" s="136">
        <f>SUM(J21:J22)</f>
        <v>790</v>
      </c>
      <c r="V39" s="53">
        <f>+K22</f>
        <v>205.995</v>
      </c>
      <c r="W39" s="357">
        <f>(SUM(M21:M22)/2)</f>
        <v>2377.1999999999998</v>
      </c>
    </row>
    <row r="40" spans="3:23" x14ac:dyDescent="0.2">
      <c r="C40" s="584" t="s">
        <v>39</v>
      </c>
      <c r="D40" s="585"/>
      <c r="E40" s="585"/>
      <c r="F40" s="586"/>
      <c r="G40" s="587"/>
      <c r="I40" s="94"/>
      <c r="J40" s="117"/>
      <c r="K40" s="61"/>
      <c r="L40" s="111"/>
      <c r="M40" s="349"/>
      <c r="O40" s="32">
        <v>45945</v>
      </c>
      <c r="P40" s="53" t="s">
        <v>157</v>
      </c>
      <c r="Q40" s="11">
        <v>86054</v>
      </c>
      <c r="R40" s="63"/>
      <c r="S40" s="11">
        <v>86814</v>
      </c>
      <c r="T40" s="53">
        <f t="shared" ref="T40:T41" si="1">+S40-Q40</f>
        <v>760</v>
      </c>
      <c r="U40" s="136">
        <f>SUM(J23:J24)</f>
        <v>790</v>
      </c>
      <c r="V40" s="53">
        <f>+K24</f>
        <v>205.995</v>
      </c>
      <c r="W40" s="357">
        <f>(SUM(M23:M24)/2)</f>
        <v>2397.7349999999997</v>
      </c>
    </row>
    <row r="41" spans="3:23" x14ac:dyDescent="0.2">
      <c r="C41" s="584" t="s">
        <v>117</v>
      </c>
      <c r="D41" s="585"/>
      <c r="E41" s="585"/>
      <c r="F41" s="586">
        <v>1500</v>
      </c>
      <c r="G41" s="587"/>
      <c r="I41" s="94"/>
      <c r="J41" s="117"/>
      <c r="K41" s="61"/>
      <c r="L41" s="111"/>
      <c r="M41" s="349"/>
      <c r="O41" s="32">
        <v>45953</v>
      </c>
      <c r="P41" s="53" t="s">
        <v>157</v>
      </c>
      <c r="Q41" s="11">
        <v>86815</v>
      </c>
      <c r="R41" s="63"/>
      <c r="S41" s="63">
        <v>87578</v>
      </c>
      <c r="T41" s="53">
        <f t="shared" si="1"/>
        <v>763</v>
      </c>
      <c r="U41" s="136">
        <f>SUM(J25:J26)</f>
        <v>790</v>
      </c>
      <c r="V41" s="53">
        <f>+K26</f>
        <v>225.99600000000001</v>
      </c>
      <c r="W41" s="357">
        <f>(SUM(M25:M26)/2)</f>
        <v>6123.9849999999997</v>
      </c>
    </row>
    <row r="42" spans="3:23" x14ac:dyDescent="0.2">
      <c r="C42" s="584" t="s">
        <v>40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45982</v>
      </c>
      <c r="P42" s="53" t="s">
        <v>157</v>
      </c>
      <c r="Q42" s="63">
        <v>87577</v>
      </c>
      <c r="R42" s="95"/>
      <c r="S42" s="11">
        <v>88346</v>
      </c>
      <c r="T42" s="53">
        <f t="shared" si="0"/>
        <v>769</v>
      </c>
      <c r="U42" s="136">
        <f>SUM(J27:J28)</f>
        <v>790</v>
      </c>
      <c r="V42" s="53">
        <f>+K28</f>
        <v>210.00899999999999</v>
      </c>
      <c r="W42" s="357">
        <f>(SUM(M27:M28)/2)</f>
        <v>3266.43</v>
      </c>
    </row>
    <row r="43" spans="3:23" ht="12.75" thickBot="1" x14ac:dyDescent="0.25">
      <c r="C43" s="584" t="s">
        <v>125</v>
      </c>
      <c r="D43" s="585"/>
      <c r="E43" s="585"/>
      <c r="F43" s="586"/>
      <c r="G43" s="587"/>
      <c r="I43" s="282"/>
      <c r="J43" s="285"/>
      <c r="K43" s="62"/>
      <c r="L43" s="283"/>
      <c r="M43" s="349"/>
      <c r="O43" s="32"/>
      <c r="P43" s="53"/>
      <c r="Q43" s="63"/>
      <c r="R43" s="95"/>
      <c r="S43" s="11"/>
      <c r="T43" s="53">
        <f t="shared" si="0"/>
        <v>0</v>
      </c>
      <c r="U43" s="136">
        <f>SUM(J29:J30)</f>
        <v>0</v>
      </c>
      <c r="V43" s="53">
        <f>+K30</f>
        <v>0</v>
      </c>
      <c r="W43" s="357">
        <f>(SUM(M29:M30)/2)</f>
        <v>0</v>
      </c>
    </row>
    <row r="44" spans="3:23" ht="13.5" customHeight="1" thickBot="1" x14ac:dyDescent="0.25">
      <c r="C44" s="584" t="s">
        <v>225</v>
      </c>
      <c r="D44" s="585"/>
      <c r="E44" s="585"/>
      <c r="F44" s="588"/>
      <c r="G44" s="589"/>
      <c r="I44" s="579" t="s">
        <v>41</v>
      </c>
      <c r="J44" s="580"/>
      <c r="K44" s="614"/>
      <c r="L44" s="284">
        <f>SUM(L37:L43)</f>
        <v>0</v>
      </c>
      <c r="M44" s="350"/>
      <c r="O44" s="113"/>
      <c r="P44" s="264"/>
      <c r="Q44" s="265"/>
      <c r="R44" s="83"/>
      <c r="S44" s="81"/>
      <c r="T44" s="82">
        <f>+S44-Q44</f>
        <v>0</v>
      </c>
      <c r="U44" s="138">
        <v>0</v>
      </c>
      <c r="V44" s="55">
        <v>0</v>
      </c>
      <c r="W44" s="358">
        <v>0</v>
      </c>
    </row>
    <row r="45" spans="3:23" ht="15" customHeight="1" x14ac:dyDescent="0.2">
      <c r="C45" s="584" t="s">
        <v>343</v>
      </c>
      <c r="D45" s="585"/>
      <c r="E45" s="585"/>
      <c r="F45" s="588"/>
      <c r="G45" s="589"/>
      <c r="R45" s="21"/>
      <c r="S45" s="21"/>
      <c r="T45" s="21"/>
      <c r="U45" s="139"/>
      <c r="V45" s="271"/>
    </row>
    <row r="46" spans="3:23" ht="13.5" customHeight="1" thickBot="1" x14ac:dyDescent="0.25">
      <c r="C46" s="575" t="s">
        <v>370</v>
      </c>
      <c r="D46" s="576"/>
      <c r="E46" s="576"/>
      <c r="F46" s="577"/>
      <c r="G46" s="578"/>
      <c r="R46" s="21"/>
      <c r="S46" s="21"/>
      <c r="T46" s="21"/>
      <c r="U46" s="139"/>
      <c r="V46" s="271"/>
    </row>
    <row r="47" spans="3:23" ht="13.5" thickBot="1" x14ac:dyDescent="0.25">
      <c r="C47" s="579" t="s">
        <v>42</v>
      </c>
      <c r="D47" s="580"/>
      <c r="E47" s="581"/>
      <c r="F47" s="582">
        <f>SUM(F36:G46)</f>
        <v>16970.180235280583</v>
      </c>
      <c r="G47" s="583"/>
      <c r="I47" s="454"/>
      <c r="J47" s="454"/>
      <c r="K47" s="454"/>
      <c r="L47" s="454"/>
      <c r="R47" s="21"/>
      <c r="S47" s="21"/>
      <c r="T47" s="21"/>
      <c r="U47" s="139"/>
      <c r="V47" s="271"/>
    </row>
    <row r="48" spans="3:23" ht="13.5" customHeight="1" thickBot="1" x14ac:dyDescent="0.25">
      <c r="M48" s="454"/>
      <c r="N48" s="454"/>
      <c r="O48" s="454"/>
      <c r="P48" s="570" t="s">
        <v>48</v>
      </c>
      <c r="Q48" s="571"/>
      <c r="R48" s="572"/>
      <c r="S48" s="21"/>
      <c r="T48" s="21"/>
      <c r="U48" s="139"/>
      <c r="V48" s="271"/>
    </row>
    <row r="49" spans="3:21" ht="12.75" customHeight="1" x14ac:dyDescent="0.2">
      <c r="C49" s="246" t="s">
        <v>43</v>
      </c>
      <c r="D49" s="247"/>
      <c r="E49" s="247"/>
      <c r="F49" s="247"/>
      <c r="G49" s="247"/>
      <c r="H49" s="247"/>
      <c r="I49" s="247"/>
      <c r="J49" s="247"/>
      <c r="K49" s="247"/>
      <c r="L49" s="248"/>
      <c r="P49" s="78">
        <v>1</v>
      </c>
      <c r="Q49" s="566" t="s">
        <v>49</v>
      </c>
      <c r="R49" s="567"/>
      <c r="S49" s="21"/>
      <c r="T49" s="21"/>
      <c r="U49" s="249"/>
    </row>
    <row r="50" spans="3:21" ht="12.75" customHeight="1" x14ac:dyDescent="0.2">
      <c r="C50" s="250"/>
      <c r="D50" s="251"/>
      <c r="E50" s="251"/>
      <c r="F50" s="251"/>
      <c r="G50" s="251"/>
      <c r="H50" s="251"/>
      <c r="I50" s="251"/>
      <c r="J50" s="251"/>
      <c r="K50" s="251"/>
      <c r="L50" s="252"/>
      <c r="P50" s="32">
        <v>2</v>
      </c>
      <c r="Q50" s="568" t="s">
        <v>136</v>
      </c>
      <c r="R50" s="569"/>
      <c r="S50" s="21"/>
      <c r="T50" s="249"/>
    </row>
    <row r="51" spans="3:21" ht="12.75" thickBot="1" x14ac:dyDescent="0.25">
      <c r="C51" s="253"/>
      <c r="D51" s="254"/>
      <c r="E51" s="254"/>
      <c r="F51" s="254"/>
      <c r="G51" s="254"/>
      <c r="H51" s="254"/>
      <c r="I51" s="254"/>
      <c r="J51" s="254"/>
      <c r="K51" s="254"/>
      <c r="L51" s="255"/>
      <c r="P51" s="32">
        <v>3</v>
      </c>
      <c r="Q51" s="568" t="s">
        <v>131</v>
      </c>
      <c r="R51" s="569"/>
      <c r="S51" s="21"/>
      <c r="T51" s="249"/>
    </row>
    <row r="52" spans="3:21" x14ac:dyDescent="0.2">
      <c r="P52" s="32">
        <v>4</v>
      </c>
      <c r="Q52" s="568" t="s">
        <v>229</v>
      </c>
      <c r="R52" s="569"/>
      <c r="S52" s="21"/>
      <c r="T52" s="249"/>
    </row>
    <row r="53" spans="3:21" ht="12.75" thickBot="1" x14ac:dyDescent="0.25">
      <c r="P53" s="32">
        <v>5</v>
      </c>
      <c r="Q53" s="568" t="s">
        <v>230</v>
      </c>
      <c r="R53" s="569"/>
      <c r="S53" s="21"/>
    </row>
    <row r="54" spans="3:21" ht="14.25" customHeight="1" thickTop="1" thickBot="1" x14ac:dyDescent="0.25">
      <c r="D54" s="613" t="s">
        <v>44</v>
      </c>
      <c r="E54" s="613"/>
      <c r="F54" s="613"/>
      <c r="G54" s="613"/>
      <c r="H54" s="613"/>
      <c r="J54" s="613" t="s">
        <v>45</v>
      </c>
      <c r="K54" s="613"/>
      <c r="L54" s="613"/>
      <c r="M54" s="613"/>
      <c r="N54" s="613"/>
      <c r="P54" s="54">
        <v>6</v>
      </c>
      <c r="Q54" s="573" t="s">
        <v>231</v>
      </c>
      <c r="R54" s="574"/>
      <c r="S54" s="21"/>
      <c r="T54" s="21"/>
    </row>
    <row r="55" spans="3:21" x14ac:dyDescent="0.2">
      <c r="S55" s="21"/>
      <c r="T55" s="21"/>
    </row>
  </sheetData>
  <mergeCells count="56">
    <mergeCell ref="D54:H54"/>
    <mergeCell ref="J54:N54"/>
    <mergeCell ref="I44:K44"/>
    <mergeCell ref="F45:G45"/>
    <mergeCell ref="C46:E46"/>
    <mergeCell ref="F46:G46"/>
    <mergeCell ref="C47:E47"/>
    <mergeCell ref="F47:G47"/>
    <mergeCell ref="C45:E45"/>
    <mergeCell ref="C43:E43"/>
    <mergeCell ref="F43:G43"/>
    <mergeCell ref="C42:E42"/>
    <mergeCell ref="C44:E44"/>
    <mergeCell ref="F44:G44"/>
    <mergeCell ref="F41:G41"/>
    <mergeCell ref="C41:E41"/>
    <mergeCell ref="C38:E38"/>
    <mergeCell ref="F38:G38"/>
    <mergeCell ref="F42:G42"/>
    <mergeCell ref="C39:E39"/>
    <mergeCell ref="F39:G39"/>
    <mergeCell ref="C36:E36"/>
    <mergeCell ref="F36:G36"/>
    <mergeCell ref="C40:E40"/>
    <mergeCell ref="F40:G40"/>
    <mergeCell ref="C37:E37"/>
    <mergeCell ref="F37:G37"/>
    <mergeCell ref="Q6:S6"/>
    <mergeCell ref="I9:O9"/>
    <mergeCell ref="L11:S11"/>
    <mergeCell ref="E12:F12"/>
    <mergeCell ref="I35:L35"/>
    <mergeCell ref="D13:E13"/>
    <mergeCell ref="D14:E14"/>
    <mergeCell ref="D15:E15"/>
    <mergeCell ref="D16:E16"/>
    <mergeCell ref="E32:E33"/>
    <mergeCell ref="F32:G32"/>
    <mergeCell ref="F33:G33"/>
    <mergeCell ref="C35:G35"/>
    <mergeCell ref="Q54:R54"/>
    <mergeCell ref="Q2:S2"/>
    <mergeCell ref="I3:O3"/>
    <mergeCell ref="Q3:S3"/>
    <mergeCell ref="I4:O4"/>
    <mergeCell ref="I5:O5"/>
    <mergeCell ref="Q5:S5"/>
    <mergeCell ref="O35:P35"/>
    <mergeCell ref="Q35:S35"/>
    <mergeCell ref="P48:R48"/>
    <mergeCell ref="Q49:R49"/>
    <mergeCell ref="Q50:R50"/>
    <mergeCell ref="Q51:R51"/>
    <mergeCell ref="Q52:R52"/>
    <mergeCell ref="Q53:R53"/>
    <mergeCell ref="I6:O6"/>
  </mergeCells>
  <pageMargins left="0.19685039370078741" right="0.19685039370078741" top="0.35433070866141736" bottom="0.35433070866141736" header="0.31496062992125984" footer="0.31496062992125984"/>
  <pageSetup paperSize="9" scale="73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C1:X57"/>
  <sheetViews>
    <sheetView topLeftCell="C4" zoomScaleNormal="100" workbookViewId="0">
      <selection activeCell="O50" sqref="O50"/>
    </sheetView>
  </sheetViews>
  <sheetFormatPr baseColWidth="10" defaultColWidth="9.140625" defaultRowHeight="12" x14ac:dyDescent="0.2"/>
  <cols>
    <col min="1" max="1" width="3.28515625" style="14" customWidth="1"/>
    <col min="2" max="2" width="5.140625" style="14" customWidth="1"/>
    <col min="3" max="3" width="11.85546875" style="14" customWidth="1"/>
    <col min="4" max="4" width="11.140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11.140625" style="14" customWidth="1"/>
    <col min="10" max="10" width="10" style="14" customWidth="1"/>
    <col min="11" max="11" width="9.7109375" style="14" customWidth="1"/>
    <col min="12" max="13" width="12.7109375" style="14" customWidth="1"/>
    <col min="14" max="14" width="9.7109375" style="14" customWidth="1"/>
    <col min="15" max="15" width="10.140625" style="14" customWidth="1"/>
    <col min="16" max="16" width="13.140625" style="14" customWidth="1"/>
    <col min="17" max="17" width="15" style="14" customWidth="1"/>
    <col min="18" max="18" width="10" style="14" customWidth="1"/>
    <col min="19" max="19" width="9.85546875" style="14" customWidth="1"/>
    <col min="20" max="20" width="10.7109375" style="14" customWidth="1"/>
    <col min="21" max="21" width="10.28515625" style="14" customWidth="1"/>
    <col min="22" max="22" width="7" style="14" customWidth="1"/>
    <col min="23" max="23" width="11" style="14" customWidth="1"/>
    <col min="24" max="24" width="11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+'MONTERO BURROLA LUIS'!Q6+1</f>
        <v>41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80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164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2943090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4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4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73"/>
      <c r="N20" s="27"/>
      <c r="O20" s="27"/>
      <c r="P20" s="27"/>
      <c r="Q20" s="29">
        <f>((((IF(N20=1,((J20)*0.29333)))+(IF(N20=2,((J20)*0.146666)))+(IF(N20=3,((J20)*0.146666)))))+(IF(N20=4,((J20-40)*0.29333)))+(IF(N20=5,((J20-50)*0.29333)))+(IF(N20=6,((J20-90)*0.29333))))</f>
        <v>0</v>
      </c>
      <c r="R20" s="190" t="e">
        <f>+LOOKUP(P40,UNIDADES!B$3:B$59,UNIDADES!C$3:C$59)</f>
        <v>#N/A</v>
      </c>
      <c r="S20" s="19" t="e">
        <f>+((SUM(J19:J20)-40)/R20)-K20</f>
        <v>#N/A</v>
      </c>
      <c r="T20" s="30" t="e">
        <f>+S20*14.85</f>
        <v>#N/A</v>
      </c>
    </row>
    <row r="21" spans="3:24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</row>
    <row r="22" spans="3:24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30"/>
    </row>
    <row r="23" spans="3:24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4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</row>
    <row r="25" spans="3:24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  <c r="X25" s="244"/>
    </row>
    <row r="26" spans="3:24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4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4" ht="12.75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3:24" hidden="1" x14ac:dyDescent="0.2">
      <c r="C29" s="375"/>
      <c r="D29" s="37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</row>
    <row r="30" spans="3:24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4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3:24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G33" s="14" t="s">
        <v>342</v>
      </c>
      <c r="I33" s="15"/>
      <c r="Q33" s="120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+F49-L46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SUM(T18:T33)</f>
        <v>#N/A</v>
      </c>
      <c r="G39" s="587"/>
      <c r="I39" s="331"/>
      <c r="J39" s="332"/>
      <c r="K39" s="43"/>
      <c r="L39" s="119"/>
      <c r="M39" s="349"/>
      <c r="O39" s="328" t="s">
        <v>70</v>
      </c>
      <c r="P39" s="329" t="s">
        <v>71</v>
      </c>
      <c r="Q39" s="64" t="s">
        <v>72</v>
      </c>
      <c r="R39" s="64"/>
      <c r="S39" s="315" t="s">
        <v>73</v>
      </c>
      <c r="T39" s="329" t="s">
        <v>74</v>
      </c>
      <c r="U39" s="328" t="s">
        <v>146</v>
      </c>
      <c r="V39" s="329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61"/>
      <c r="L40" s="111"/>
      <c r="M40" s="349"/>
      <c r="N40" s="404"/>
      <c r="O40" s="319"/>
      <c r="P40" s="314"/>
      <c r="Q40" s="320"/>
      <c r="R40" s="320"/>
      <c r="S40" s="63"/>
      <c r="T40" s="314">
        <f t="shared" ref="T40:T45" si="1">+S40-Q40</f>
        <v>0</v>
      </c>
      <c r="U40" s="321">
        <f>SUM(J19:J20)</f>
        <v>0</v>
      </c>
      <c r="V40" s="314">
        <f>+K20</f>
        <v>0</v>
      </c>
      <c r="W40" s="356">
        <f>(SUM(M19:M20)/2)</f>
        <v>0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11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/>
      <c r="P43" s="53"/>
      <c r="Q43" s="11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N46" s="403"/>
      <c r="O46" s="101"/>
      <c r="P46" s="82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340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353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 t="e">
        <f>SUM(F38:G48)</f>
        <v>#N/A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39:G39"/>
    <mergeCell ref="C40:E40"/>
    <mergeCell ref="F40:G40"/>
    <mergeCell ref="C41:E41"/>
    <mergeCell ref="F41:G41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5:R55"/>
    <mergeCell ref="Q56:R56"/>
    <mergeCell ref="D13:E13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65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3">
    <pageSetUpPr fitToPage="1"/>
  </sheetPr>
  <dimension ref="C1:W60"/>
  <sheetViews>
    <sheetView zoomScale="90" zoomScaleNormal="90" workbookViewId="0">
      <selection activeCell="I41" sqref="I41:L47"/>
    </sheetView>
  </sheetViews>
  <sheetFormatPr baseColWidth="10" defaultColWidth="9.140625" defaultRowHeight="12" x14ac:dyDescent="0.2"/>
  <cols>
    <col min="1" max="1" width="4.5703125" style="14" customWidth="1"/>
    <col min="2" max="2" width="3" style="14" customWidth="1"/>
    <col min="3" max="3" width="16.140625" style="14" bestFit="1" customWidth="1"/>
    <col min="4" max="4" width="13.5703125" style="14" bestFit="1" customWidth="1"/>
    <col min="5" max="5" width="11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1.42578125" style="14" customWidth="1"/>
    <col min="10" max="10" width="9.85546875" style="14" bestFit="1" customWidth="1"/>
    <col min="11" max="11" width="14.42578125" style="14" customWidth="1"/>
    <col min="12" max="13" width="12.42578125" style="14" bestFit="1" customWidth="1"/>
    <col min="14" max="14" width="8.7109375" style="14" bestFit="1" customWidth="1"/>
    <col min="15" max="15" width="11.85546875" style="14" customWidth="1"/>
    <col min="16" max="16" width="12.28515625" style="14" customWidth="1"/>
    <col min="17" max="17" width="12.140625" style="14" bestFit="1" customWidth="1"/>
    <col min="18" max="18" width="11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8.8554687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+'MORALES LOPEZ DE LARA MARIANO'!Q6+1</f>
        <v>42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308</v>
      </c>
      <c r="E11" s="2" t="s">
        <v>314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/>
      <c r="E12" s="130"/>
      <c r="F12" s="130"/>
      <c r="G12" s="130"/>
      <c r="H12" s="130"/>
      <c r="I12" s="130"/>
      <c r="J12" s="130"/>
      <c r="K12" s="6"/>
      <c r="L12" s="5"/>
      <c r="M12" s="5"/>
      <c r="N12" s="5"/>
      <c r="O12" s="5"/>
      <c r="P12" s="5"/>
      <c r="Q12" s="5"/>
      <c r="R12" s="5"/>
      <c r="S12" s="377"/>
    </row>
    <row r="13" spans="4:19" ht="12.75" x14ac:dyDescent="0.2">
      <c r="D13" s="4" t="s">
        <v>9</v>
      </c>
      <c r="E13" s="606" t="s">
        <v>344</v>
      </c>
      <c r="F13" s="606"/>
      <c r="G13" s="5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9.75" customHeight="1" x14ac:dyDescent="0.2">
      <c r="D14" s="605"/>
      <c r="E14" s="60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256"/>
    </row>
    <row r="15" spans="4:19" ht="12.75" x14ac:dyDescent="0.2">
      <c r="D15" s="607" t="s">
        <v>10</v>
      </c>
      <c r="E15" s="608"/>
      <c r="F15" s="130">
        <v>329130</v>
      </c>
      <c r="G15" s="130"/>
      <c r="H15" s="130"/>
      <c r="I15" s="6" t="s">
        <v>11</v>
      </c>
      <c r="J15" s="6"/>
      <c r="K15" s="130"/>
      <c r="L15" s="130"/>
      <c r="M15" s="130"/>
      <c r="N15" s="130"/>
      <c r="O15" s="6" t="s">
        <v>12</v>
      </c>
      <c r="P15" s="7"/>
      <c r="Q15" s="7"/>
      <c r="R15" s="7"/>
      <c r="S15" s="8"/>
    </row>
    <row r="16" spans="4:19" ht="12.75" x14ac:dyDescent="0.2">
      <c r="D16" s="607" t="s">
        <v>13</v>
      </c>
      <c r="E16" s="608"/>
      <c r="F16" s="130">
        <v>329904</v>
      </c>
      <c r="G16" s="130"/>
      <c r="H16" s="130"/>
      <c r="I16" s="6" t="s">
        <v>14</v>
      </c>
      <c r="J16" s="6"/>
      <c r="K16" s="130"/>
      <c r="L16" s="130"/>
      <c r="M16" s="130"/>
      <c r="N16" s="130"/>
      <c r="O16" s="6" t="s">
        <v>15</v>
      </c>
      <c r="P16" s="130"/>
      <c r="Q16" s="130"/>
      <c r="R16" s="130"/>
      <c r="S16" s="256"/>
    </row>
    <row r="17" spans="3:22" ht="13.5" thickBot="1" x14ac:dyDescent="0.25">
      <c r="D17" s="609" t="s">
        <v>16</v>
      </c>
      <c r="E17" s="610"/>
      <c r="F17" s="257">
        <f>SUM(J20:J34)</f>
        <v>3050</v>
      </c>
      <c r="G17" s="257"/>
      <c r="H17" s="257"/>
      <c r="I17" s="9" t="s">
        <v>17</v>
      </c>
      <c r="J17" s="257">
        <f>SUM(K20:K34)</f>
        <v>921.08600000000001</v>
      </c>
      <c r="K17" s="257"/>
      <c r="L17" s="257"/>
      <c r="M17" s="257"/>
      <c r="N17" s="257"/>
      <c r="O17" s="9" t="s">
        <v>18</v>
      </c>
      <c r="P17" s="10">
        <f>+F17/J17</f>
        <v>3.3113086074481646</v>
      </c>
      <c r="Q17" s="257"/>
      <c r="R17" s="257"/>
      <c r="S17" s="258"/>
    </row>
    <row r="18" spans="3:22" ht="7.5" customHeight="1" thickBot="1" x14ac:dyDescent="0.25"/>
    <row r="19" spans="3:22" ht="33" customHeight="1" thickBot="1" x14ac:dyDescent="0.25">
      <c r="C19" s="243" t="s">
        <v>19</v>
      </c>
      <c r="D19" s="33" t="s">
        <v>20</v>
      </c>
      <c r="E19" s="34" t="s">
        <v>21</v>
      </c>
      <c r="F19" s="34" t="s">
        <v>22</v>
      </c>
      <c r="G19" s="34" t="s">
        <v>23</v>
      </c>
      <c r="H19" s="34" t="s">
        <v>24</v>
      </c>
      <c r="I19" s="34" t="s">
        <v>25</v>
      </c>
      <c r="J19" s="34" t="s">
        <v>26</v>
      </c>
      <c r="K19" s="34" t="s">
        <v>27</v>
      </c>
      <c r="L19" s="34" t="s">
        <v>28</v>
      </c>
      <c r="M19" s="34" t="s">
        <v>286</v>
      </c>
      <c r="N19" s="34" t="s">
        <v>29</v>
      </c>
      <c r="O19" s="34" t="s">
        <v>30</v>
      </c>
      <c r="P19" s="33" t="s">
        <v>31</v>
      </c>
      <c r="Q19" s="34" t="s">
        <v>220</v>
      </c>
      <c r="R19" s="34" t="s">
        <v>185</v>
      </c>
      <c r="S19" s="34" t="s">
        <v>33</v>
      </c>
      <c r="T19" s="35" t="s">
        <v>221</v>
      </c>
      <c r="U19" s="452" t="s">
        <v>358</v>
      </c>
      <c r="V19" s="308" t="s">
        <v>362</v>
      </c>
    </row>
    <row r="20" spans="3:22" x14ac:dyDescent="0.2">
      <c r="C20" s="176">
        <v>46360</v>
      </c>
      <c r="D20" s="43" t="s">
        <v>390</v>
      </c>
      <c r="E20" s="42">
        <v>45933</v>
      </c>
      <c r="F20" s="42">
        <v>45934</v>
      </c>
      <c r="G20" s="43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3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237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4"/>
      <c r="L20" s="44"/>
      <c r="M20" s="351">
        <v>4372.1499999999996</v>
      </c>
      <c r="N20" s="24">
        <v>1</v>
      </c>
      <c r="O20" s="24">
        <v>1057</v>
      </c>
      <c r="P20" s="24" t="s">
        <v>204</v>
      </c>
      <c r="Q20" s="45">
        <f t="shared" ref="Q20:Q21" si="0">((((IF(N20=1,((J20)*0.29333)))+(IF(N20=2,((J20)*0.146666)))+(IF(N20=3,((J20)*0.146666)))))+(IF(N20=4,((J20-40)*0.29333)))+(IF(N20=5,((J20-50)*0.29333)))+(IF(N20=6,((J20-90)*0.29333))))</f>
        <v>109.99874999999999</v>
      </c>
      <c r="R20" s="187"/>
      <c r="S20" s="49"/>
      <c r="T20" s="459"/>
      <c r="U20" s="24">
        <v>61</v>
      </c>
      <c r="V20" s="79">
        <v>61</v>
      </c>
    </row>
    <row r="21" spans="3:22" ht="12.75" thickBot="1" x14ac:dyDescent="0.25">
      <c r="C21" s="101"/>
      <c r="D21" s="25" t="s">
        <v>391</v>
      </c>
      <c r="E21" s="25">
        <v>45938</v>
      </c>
      <c r="F21" s="25">
        <v>45938</v>
      </c>
      <c r="G21" s="62">
        <v>3</v>
      </c>
      <c r="H21" s="2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2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3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7">
        <v>219.96</v>
      </c>
      <c r="L21" s="28">
        <f>SUM(J20:J21)/K21</f>
        <v>3.409710856519367</v>
      </c>
      <c r="M21" s="352">
        <v>964.53</v>
      </c>
      <c r="N21" s="27">
        <v>1</v>
      </c>
      <c r="O21" s="27" t="s">
        <v>389</v>
      </c>
      <c r="P21" s="27" t="s">
        <v>248</v>
      </c>
      <c r="Q21" s="29">
        <f t="shared" si="0"/>
        <v>109.99874999999999</v>
      </c>
      <c r="R21" s="190">
        <f>+LOOKUP(P42,UNIDADES!B$3:B$59,UNIDADES!C$3:C$59)</f>
        <v>2.3734099999999998</v>
      </c>
      <c r="S21" s="50">
        <f>+((SUM(J20:J21))/R21)-K21</f>
        <v>96.041028056677959</v>
      </c>
      <c r="T21" s="460">
        <f>+S21*14.85</f>
        <v>1426.2092666416677</v>
      </c>
      <c r="U21" s="27" t="s">
        <v>359</v>
      </c>
      <c r="V21" s="55" t="s">
        <v>359</v>
      </c>
    </row>
    <row r="22" spans="3:22" x14ac:dyDescent="0.2">
      <c r="C22" s="238">
        <v>45922</v>
      </c>
      <c r="D22" s="36" t="s">
        <v>479</v>
      </c>
      <c r="E22" s="37">
        <v>45938</v>
      </c>
      <c r="F22" s="37">
        <v>45939</v>
      </c>
      <c r="G22" s="36">
        <v>2</v>
      </c>
      <c r="H22" s="25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59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260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38"/>
      <c r="L22" s="48"/>
      <c r="M22" s="353">
        <v>11977.867</v>
      </c>
      <c r="N22" s="38">
        <v>1</v>
      </c>
      <c r="O22" s="38" t="s">
        <v>477</v>
      </c>
      <c r="P22" s="38" t="s">
        <v>194</v>
      </c>
      <c r="Q22" s="40">
        <f t="shared" ref="Q22:Q23" si="1">((((IF(N22=1,((J22)*0.29333)))+(IF(N22=2,((J22)*0.146666)))+(IF(N22=3,((J22)*0.146666)))))+(IF(N22=4,((J22-40)*0.29333)))+(IF(N22=5,((J22-50)*0.29333)))+(IF(N22=6,((J22-90)*0.29333))))</f>
        <v>109.99874999999999</v>
      </c>
      <c r="R22" s="188"/>
      <c r="S22" s="121"/>
      <c r="T22" s="462"/>
      <c r="U22" s="24">
        <v>61</v>
      </c>
      <c r="V22" s="79">
        <v>60</v>
      </c>
    </row>
    <row r="23" spans="3:22" ht="12.75" thickBot="1" x14ac:dyDescent="0.25">
      <c r="C23" s="101"/>
      <c r="D23" s="62" t="s">
        <v>478</v>
      </c>
      <c r="E23" s="25">
        <v>45939</v>
      </c>
      <c r="F23" s="25">
        <v>45939</v>
      </c>
      <c r="G23" s="62">
        <v>3</v>
      </c>
      <c r="H23" s="2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2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7">
        <v>216.00700000000001</v>
      </c>
      <c r="L23" s="28">
        <f>SUM(J22:J23)/K23</f>
        <v>3.4721097001486063</v>
      </c>
      <c r="M23" s="352">
        <v>0</v>
      </c>
      <c r="N23" s="27">
        <v>3</v>
      </c>
      <c r="O23" s="27"/>
      <c r="P23" s="27" t="s">
        <v>203</v>
      </c>
      <c r="Q23" s="29">
        <f t="shared" si="1"/>
        <v>54.999749999999999</v>
      </c>
      <c r="R23" s="190">
        <f>+LOOKUP(P43,UNIDADES!B$3:B$59,UNIDADES!C$3:C$59)</f>
        <v>2.3734099999999998</v>
      </c>
      <c r="S23" s="50">
        <f>+((SUM(J22:J23))/R23)-K23</f>
        <v>99.994028056677962</v>
      </c>
      <c r="T23" s="460">
        <f>+S23*14.85</f>
        <v>1484.9113166416678</v>
      </c>
      <c r="U23" s="27" t="s">
        <v>359</v>
      </c>
      <c r="V23" s="55" t="s">
        <v>359</v>
      </c>
    </row>
    <row r="24" spans="3:22" x14ac:dyDescent="0.2">
      <c r="C24" s="176">
        <v>45934</v>
      </c>
      <c r="D24" s="43" t="s">
        <v>556</v>
      </c>
      <c r="E24" s="42">
        <v>45939</v>
      </c>
      <c r="F24" s="42">
        <v>45940</v>
      </c>
      <c r="G24" s="43">
        <v>2</v>
      </c>
      <c r="H24" s="23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3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237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4"/>
      <c r="L24" s="44"/>
      <c r="M24" s="351">
        <v>9230.8799999999992</v>
      </c>
      <c r="N24" s="24">
        <v>1</v>
      </c>
      <c r="O24" s="24">
        <v>53503</v>
      </c>
      <c r="P24" s="24" t="s">
        <v>192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109.99874999999999</v>
      </c>
      <c r="R24" s="187"/>
      <c r="S24" s="49"/>
      <c r="T24" s="459"/>
      <c r="U24" s="11">
        <v>60</v>
      </c>
      <c r="V24" s="11">
        <v>61</v>
      </c>
    </row>
    <row r="25" spans="3:22" ht="12.75" thickBot="1" x14ac:dyDescent="0.25">
      <c r="C25" s="101"/>
      <c r="D25" s="62" t="s">
        <v>557</v>
      </c>
      <c r="E25" s="25">
        <v>45940</v>
      </c>
      <c r="F25" s="25">
        <v>45940</v>
      </c>
      <c r="G25" s="62">
        <v>3</v>
      </c>
      <c r="H25" s="2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2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240.01900000000001</v>
      </c>
      <c r="L25" s="28">
        <f>SUM(J24:J25)/K25</f>
        <v>3.1247526237506196</v>
      </c>
      <c r="M25" s="352">
        <v>929.61</v>
      </c>
      <c r="N25" s="27">
        <v>1</v>
      </c>
      <c r="O25" s="27">
        <v>1057</v>
      </c>
      <c r="P25" s="27" t="s">
        <v>204</v>
      </c>
      <c r="Q25" s="29">
        <f t="shared" si="2"/>
        <v>109.99874999999999</v>
      </c>
      <c r="R25" s="190">
        <f>+LOOKUP(P44,UNIDADES!B$3:B$59,UNIDADES!C$3:C$59)</f>
        <v>2.3734099999999998</v>
      </c>
      <c r="S25" s="50">
        <f>+((SUM(J24:J25))/R25)-K25</f>
        <v>75.982028056677962</v>
      </c>
      <c r="T25" s="460">
        <f>+S25*14.85</f>
        <v>1128.3331166416676</v>
      </c>
      <c r="U25" s="11" t="s">
        <v>359</v>
      </c>
      <c r="V25" s="11" t="s">
        <v>359</v>
      </c>
    </row>
    <row r="26" spans="3:22" x14ac:dyDescent="0.2">
      <c r="C26" s="238">
        <v>45966</v>
      </c>
      <c r="D26" s="36" t="s">
        <v>587</v>
      </c>
      <c r="E26" s="37">
        <v>45940</v>
      </c>
      <c r="F26" s="37">
        <v>45940</v>
      </c>
      <c r="G26" s="36">
        <v>1</v>
      </c>
      <c r="H26" s="23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23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CHIH.(HAW)</v>
      </c>
      <c r="J26" s="237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425</v>
      </c>
      <c r="K26" s="24"/>
      <c r="L26" s="44"/>
      <c r="M26" s="351">
        <v>3649.06</v>
      </c>
      <c r="N26" s="24">
        <v>5</v>
      </c>
      <c r="O26" s="24">
        <v>53503</v>
      </c>
      <c r="P26" s="24" t="s">
        <v>589</v>
      </c>
      <c r="Q26" s="45">
        <f t="shared" ref="Q26:Q27" si="3">((((IF(N26=1,((J26)*0.29333)))+(IF(N26=2,((J26)*0.146666)))+(IF(N26=3,((J26)*0.146666)))))+(IF(N26=4,((J26-40)*0.29333)))+(IF(N26=5,((J26-50)*0.29333)))+(IF(N26=6,((J26-90)*0.29333))))</f>
        <v>109.99874999999999</v>
      </c>
      <c r="R26" s="187"/>
      <c r="S26" s="49"/>
      <c r="T26" s="459"/>
      <c r="U26" s="11">
        <v>60</v>
      </c>
      <c r="V26" s="11">
        <v>61</v>
      </c>
    </row>
    <row r="27" spans="3:22" ht="12.75" thickBot="1" x14ac:dyDescent="0.25">
      <c r="C27" s="101"/>
      <c r="D27" s="62" t="s">
        <v>588</v>
      </c>
      <c r="E27" s="25">
        <v>45941</v>
      </c>
      <c r="F27" s="25">
        <v>45941</v>
      </c>
      <c r="G27" s="62">
        <v>3</v>
      </c>
      <c r="H27" s="27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CHIH. </v>
      </c>
      <c r="I27" s="2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31">
        <f>IF(G27=1,[2]KILOMETRAJE!G$4,IF(G27=2,[2]KILOMETRAJE!G$5,IF(G27=3,[2]KILOMETRAJE!G$6,IF(G27=4,[2]KILOMETRAJE!G$7,IF(G27=5,[2]KILOMETRAJE!G$8,IF(G27=6,[2]KILOMETRAJE!G$9,IF(G27=7,[2]KILOMETRAJE!G$10,IF(G27=8,[2]KILOMETRAJE!G$11,IF(G27=9,[2]KILOMETRAJE!G$12,IF(G27=10,[2]KILOMETRAJE!G$13,IF(G27=11,[2]KILOMETRAJE!G$14,IF(G27=12,[2]KILOMETRAJE!G$15,IF(G27=13,[2]KILOMETRAJE!G$16,IF(G27=14,[2]KILOMETRAJE!G$17,IF(G27=15,[2]KILOMETRAJE!G$18,IF(G27=16,[2]KILOMETRAJE!G$19,IF(G27=17,[2]KILOMETRAJE!G$20,IF(G27=18,[2]KILOMETRAJE!G$21,IF(G27=19,[2]KILOMETRAJE!G$22,IF(G27=20,[2]KILOMETRAJE!G$23,IF(G27=21,[2]KILOMETRAJE!G$24,IF(G27=22,[2]KILOMETRAJE!G$25,IF(G27=23,[2]KILOMETRAJE!G$26,IF(G27=24,[2]KILOMETRAJE!G$27,IF(G27=25,[2]KILOMETRAJE!G$28,IF(G27=26,[2]KILOMETRAJE!G$29,IF(G27=27,[2]KILOMETRAJE!G$30,IF(G27=28,[2]KILOMETRAJE!G$31,IF(G27=29,[2]KILOMETRAJE!G$32,IF(G27=30,[2]KILOMETRAJE!G$33,IF(G27=31,[2]KILOMETRAJE!G$34,IF(G27=32,[2]KILOMETRAJE!G$35,IF(G27=33,[2]KILOMETRAJE!G$36,IF(G27=34,[2]KILOMETRAJE!G$37,IF(G27=35,[2]KILOMETRAJE!G$38,IF(G27=36,[2]KILOMETRAJE!G$39,IF(G27=37,[2]KILOMETRAJE!G$40,IF(G27=38,[2]KILOMETRAJE!G$41,IF(G27=39,[2]KILOMETRAJE!G$42,IF(G27=40,[2]KILOMETRAJE!G$43,IF(G27=41,[2]KILOMETRAJE!G$44,IF(G27=42,[2]KILOMETRAJE!G$45,IF(G27=43,[2]KILOMETRAJE!G$46,IF(G27=44,[2]KILOMETRAJE!G$47,IF(G27=45,[2]KILOMETRAJE!G$48,IF(G27=46,[2]KILOMETRAJE!G$49,IF(G27=47,[2]KILOMETRAJE!G$50,IF(G27=48,[2]KILOMETRAJE!G$51,IF(G27=49,[2]KILOMETRAJE!G$52,IF(G27=50,[2]KILOMETRAJE!G$53,IF(G27=51,[2]KILOMETRAJE!G$54,IF(G27=52,[2]KILOMETRAJE!G$55,IF(G27=53,[2]KILOMETRAJE!G$56,IF(G27=54,[2]KILOMETRAJE!G$57,IF(G27=55,[2]KILOMETRAJE!G$58,IF(G27=56,[2]KILOMETRAJE!G$59,IF(G27=57,[2]KILOMETRAJE!G$60,IF(G27=58,[2]KILOMETRAJE!G$61,IF(G27=59,[2]KILOMETRAJE!G$62,IF(G27=60,[2]KILOMETRAJE!G$63,IF(G27=61,[2]KILOMETRAJE!G$64,IF(G27=62,[2]KILOMETRAJE!G$65,IF(G27=63,[2]KILOMETRAJE!G$66)))))))))))))))))))))))))))))))))))))))))))))))))))))))))))))))</f>
        <v>375</v>
      </c>
      <c r="K27" s="27">
        <v>245.1</v>
      </c>
      <c r="L27" s="28">
        <f>SUM(J26:J27)/K27</f>
        <v>3.2639738882088944</v>
      </c>
      <c r="M27" s="352">
        <v>19000</v>
      </c>
      <c r="N27" s="27">
        <v>1</v>
      </c>
      <c r="O27" s="27">
        <v>1057</v>
      </c>
      <c r="P27" s="27" t="s">
        <v>202</v>
      </c>
      <c r="Q27" s="29">
        <f t="shared" si="3"/>
        <v>109.99874999999999</v>
      </c>
      <c r="R27" s="190">
        <f>+LOOKUP(P45,UNIDADES!B$3:B$59,UNIDADES!C$3:C$59)</f>
        <v>2.3734099999999998</v>
      </c>
      <c r="S27" s="50">
        <f>+((SUM(J26:J27))/R27)-K27</f>
        <v>91.967763260456508</v>
      </c>
      <c r="T27" s="460">
        <f>+S27*14.85</f>
        <v>1365.7212844177791</v>
      </c>
      <c r="U27" s="11" t="s">
        <v>359</v>
      </c>
      <c r="V27" s="11" t="s">
        <v>359</v>
      </c>
    </row>
    <row r="28" spans="3:22" hidden="1" x14ac:dyDescent="0.2">
      <c r="C28" s="261"/>
      <c r="D28" s="96"/>
      <c r="E28" s="97"/>
      <c r="F28" s="97"/>
      <c r="G28" s="96"/>
      <c r="H28" s="98"/>
      <c r="I28" s="98"/>
      <c r="J28" s="99"/>
      <c r="K28" s="98"/>
      <c r="L28" s="100"/>
      <c r="M28" s="380"/>
      <c r="N28" s="98"/>
      <c r="O28" s="98"/>
      <c r="P28" s="98"/>
      <c r="Q28" s="93"/>
      <c r="R28" s="233"/>
      <c r="S28" s="451"/>
      <c r="T28" s="473"/>
      <c r="U28" s="477"/>
      <c r="V28" s="477"/>
    </row>
    <row r="29" spans="3:22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23"/>
      <c r="N29" s="11"/>
      <c r="O29" s="11"/>
      <c r="P29" s="11"/>
      <c r="Q29" s="13"/>
      <c r="R29" s="342"/>
      <c r="S29" s="195"/>
      <c r="T29" s="461"/>
      <c r="U29" s="477"/>
      <c r="V29" s="477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28"/>
      <c r="N30" s="27"/>
      <c r="O30" s="27"/>
      <c r="P30" s="27"/>
      <c r="Q30" s="29"/>
      <c r="R30" s="190"/>
      <c r="S30" s="19"/>
      <c r="T30" s="460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44"/>
      <c r="N31" s="38"/>
      <c r="O31" s="38"/>
      <c r="P31" s="38"/>
      <c r="Q31" s="40"/>
      <c r="R31" s="191"/>
      <c r="S31" s="186"/>
      <c r="T31" s="462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30"/>
      <c r="U32" s="485"/>
      <c r="V32" s="485"/>
    </row>
    <row r="33" spans="3:23" hidden="1" x14ac:dyDescent="0.2">
      <c r="C33" s="176"/>
      <c r="D33" s="43"/>
      <c r="E33" s="42"/>
      <c r="F33" s="42"/>
      <c r="G33" s="43"/>
      <c r="H33" s="65"/>
      <c r="I33" s="24"/>
      <c r="J33" s="51"/>
      <c r="K33" s="24"/>
      <c r="L33" s="44"/>
      <c r="M33" s="44"/>
      <c r="N33" s="24"/>
      <c r="O33" s="24"/>
      <c r="P33" s="24"/>
      <c r="Q33" s="45"/>
      <c r="R33" s="192"/>
      <c r="S33" s="52"/>
      <c r="T33" s="46"/>
      <c r="U33" s="485"/>
      <c r="V33" s="485"/>
    </row>
    <row r="34" spans="3:23" ht="12.75" hidden="1" thickBot="1" x14ac:dyDescent="0.25">
      <c r="C34" s="101"/>
      <c r="D34" s="62"/>
      <c r="E34" s="25"/>
      <c r="F34" s="25"/>
      <c r="G34" s="62"/>
      <c r="H34" s="26"/>
      <c r="I34" s="27"/>
      <c r="J34" s="31"/>
      <c r="K34" s="27"/>
      <c r="L34" s="28"/>
      <c r="M34" s="28"/>
      <c r="N34" s="27"/>
      <c r="O34" s="27"/>
      <c r="P34" s="27"/>
      <c r="Q34" s="29"/>
      <c r="R34" s="190"/>
      <c r="S34" s="19"/>
      <c r="T34" s="30"/>
      <c r="U34" s="485"/>
      <c r="V34" s="485"/>
    </row>
    <row r="35" spans="3:23" ht="12.75" thickBot="1" x14ac:dyDescent="0.25">
      <c r="I35" s="15"/>
      <c r="R35" s="193"/>
      <c r="S35" s="15"/>
    </row>
    <row r="36" spans="3:23" x14ac:dyDescent="0.2">
      <c r="E36" s="611" t="s">
        <v>292</v>
      </c>
      <c r="F36" s="628">
        <f>+'AGUILAR ESQUIVEL CARLOS'!F34</f>
        <v>45936</v>
      </c>
      <c r="G36" s="629"/>
      <c r="H36" s="16">
        <f>F36+1</f>
        <v>45937</v>
      </c>
      <c r="I36" s="16">
        <f>+H36+1</f>
        <v>45938</v>
      </c>
      <c r="J36" s="16">
        <f>+I36+1</f>
        <v>45939</v>
      </c>
      <c r="K36" s="16">
        <f>+J36+1</f>
        <v>45940</v>
      </c>
      <c r="L36" s="16">
        <f>+K36+2</f>
        <v>45942</v>
      </c>
      <c r="M36" s="17" t="s">
        <v>35</v>
      </c>
    </row>
    <row r="37" spans="3:23" ht="12.75" thickBot="1" x14ac:dyDescent="0.25">
      <c r="E37" s="612"/>
      <c r="F37" s="630"/>
      <c r="G37" s="631"/>
      <c r="H37" s="29"/>
      <c r="I37" s="29"/>
      <c r="J37" s="29"/>
      <c r="K37" s="29"/>
      <c r="L37" s="29"/>
      <c r="M37" s="30">
        <f>SUM(F37:L37)</f>
        <v>0</v>
      </c>
    </row>
    <row r="38" spans="3:23" ht="13.5" thickBot="1" x14ac:dyDescent="0.25">
      <c r="I38" s="15"/>
      <c r="N38" s="20"/>
      <c r="O38" s="593" t="s">
        <v>38</v>
      </c>
      <c r="P38" s="594"/>
      <c r="Q38" s="384">
        <f>+F51-L48</f>
        <v>6280.1659843427824</v>
      </c>
      <c r="R38"/>
      <c r="S38"/>
    </row>
    <row r="39" spans="3:23" ht="13.5" thickBot="1" x14ac:dyDescent="0.25">
      <c r="C39" s="590" t="s">
        <v>36</v>
      </c>
      <c r="D39" s="591"/>
      <c r="E39" s="591"/>
      <c r="F39" s="591"/>
      <c r="G39" s="592"/>
      <c r="I39" s="602" t="s">
        <v>37</v>
      </c>
      <c r="J39" s="603"/>
      <c r="K39" s="603"/>
      <c r="L39" s="604"/>
      <c r="M39" s="298"/>
      <c r="Q39" s="657"/>
      <c r="R39" s="657"/>
      <c r="S39" s="657"/>
    </row>
    <row r="40" spans="3:23" ht="12.75" thickBot="1" x14ac:dyDescent="0.25">
      <c r="C40" s="598" t="s">
        <v>220</v>
      </c>
      <c r="D40" s="599"/>
      <c r="E40" s="599"/>
      <c r="F40" s="600">
        <f>SUM(Q19:Q35)</f>
        <v>824.99099999999987</v>
      </c>
      <c r="G40" s="601"/>
      <c r="I40" s="114" t="s">
        <v>126</v>
      </c>
      <c r="J40" s="68" t="s">
        <v>127</v>
      </c>
      <c r="K40" s="68" t="s">
        <v>70</v>
      </c>
      <c r="L40" s="115" t="s">
        <v>128</v>
      </c>
      <c r="M40" s="349"/>
    </row>
    <row r="41" spans="3:23" ht="13.5" customHeight="1" thickBot="1" x14ac:dyDescent="0.25">
      <c r="C41" s="584" t="s">
        <v>221</v>
      </c>
      <c r="D41" s="585"/>
      <c r="E41" s="585"/>
      <c r="F41" s="586">
        <f>SUM(T19:T35)</f>
        <v>5405.1749843427824</v>
      </c>
      <c r="G41" s="587"/>
      <c r="I41" s="331"/>
      <c r="J41" s="431"/>
      <c r="K41" s="43"/>
      <c r="L41" s="119"/>
      <c r="M41" s="349"/>
      <c r="O41" s="74" t="s">
        <v>70</v>
      </c>
      <c r="P41" s="75" t="s">
        <v>71</v>
      </c>
      <c r="Q41" s="76" t="s">
        <v>72</v>
      </c>
      <c r="R41" s="64"/>
      <c r="S41" s="77" t="s">
        <v>73</v>
      </c>
      <c r="T41" s="75" t="s">
        <v>74</v>
      </c>
      <c r="U41" s="74" t="s">
        <v>146</v>
      </c>
      <c r="V41" s="75" t="s">
        <v>147</v>
      </c>
      <c r="W41" s="75" t="s">
        <v>285</v>
      </c>
    </row>
    <row r="42" spans="3:23" ht="12.75" thickBot="1" x14ac:dyDescent="0.25">
      <c r="C42" s="584" t="s">
        <v>34</v>
      </c>
      <c r="D42" s="585"/>
      <c r="E42" s="585"/>
      <c r="F42" s="586">
        <f>+M37</f>
        <v>0</v>
      </c>
      <c r="G42" s="587"/>
      <c r="I42" s="94"/>
      <c r="J42" s="117"/>
      <c r="K42" s="61"/>
      <c r="L42" s="111"/>
      <c r="M42" s="349"/>
      <c r="O42" s="78">
        <v>46360</v>
      </c>
      <c r="P42" s="79" t="s">
        <v>115</v>
      </c>
      <c r="Q42" s="80">
        <v>944514</v>
      </c>
      <c r="R42" s="80"/>
      <c r="S42" s="24">
        <v>951644</v>
      </c>
      <c r="T42" s="79">
        <f>+S42-Q42</f>
        <v>7130</v>
      </c>
      <c r="U42" s="137">
        <f>SUM(J20:J21)</f>
        <v>750</v>
      </c>
      <c r="V42" s="79">
        <f>+K21</f>
        <v>219.96</v>
      </c>
      <c r="W42" s="356">
        <f>(SUM(M20:M21)/2)</f>
        <v>2668.3399999999997</v>
      </c>
    </row>
    <row r="43" spans="3:23" x14ac:dyDescent="0.2">
      <c r="C43" s="584" t="s">
        <v>187</v>
      </c>
      <c r="D43" s="585"/>
      <c r="E43" s="585"/>
      <c r="F43" s="586">
        <v>0</v>
      </c>
      <c r="G43" s="587"/>
      <c r="I43" s="94"/>
      <c r="J43" s="117"/>
      <c r="K43" s="61"/>
      <c r="L43" s="111"/>
      <c r="M43" s="349"/>
      <c r="O43" s="32">
        <v>45922</v>
      </c>
      <c r="P43" s="53" t="s">
        <v>115</v>
      </c>
      <c r="Q43" s="24">
        <v>951665</v>
      </c>
      <c r="R43" s="63"/>
      <c r="S43" s="11">
        <v>958808</v>
      </c>
      <c r="T43" s="53">
        <f>+S43-Q43</f>
        <v>7143</v>
      </c>
      <c r="U43" s="136">
        <f>SUM(J22:J23)</f>
        <v>750</v>
      </c>
      <c r="V43" s="53">
        <f>+K23</f>
        <v>216.00700000000001</v>
      </c>
      <c r="W43" s="357">
        <f>(SUM(M22:M23)/2)</f>
        <v>5988.9335000000001</v>
      </c>
    </row>
    <row r="44" spans="3:23" x14ac:dyDescent="0.2">
      <c r="C44" s="584" t="s">
        <v>39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>
        <v>45934</v>
      </c>
      <c r="P44" s="53" t="s">
        <v>115</v>
      </c>
      <c r="Q44" s="11">
        <v>958808</v>
      </c>
      <c r="R44" s="63"/>
      <c r="S44" s="11">
        <v>966144</v>
      </c>
      <c r="T44" s="53">
        <f>+S44-Q44</f>
        <v>7336</v>
      </c>
      <c r="U44" s="136">
        <f>SUM(J24:J25)</f>
        <v>750</v>
      </c>
      <c r="V44" s="53">
        <f>+K25</f>
        <v>240.01900000000001</v>
      </c>
      <c r="W44" s="357">
        <f>(SUM(M24:M25)/2)</f>
        <v>5080.2449999999999</v>
      </c>
    </row>
    <row r="45" spans="3:23" x14ac:dyDescent="0.2">
      <c r="C45" s="584" t="s">
        <v>117</v>
      </c>
      <c r="D45" s="585"/>
      <c r="E45" s="585"/>
      <c r="F45" s="586"/>
      <c r="G45" s="587"/>
      <c r="I45" s="94"/>
      <c r="J45" s="117"/>
      <c r="K45" s="61"/>
      <c r="L45" s="111"/>
      <c r="M45" s="349"/>
      <c r="O45" s="32">
        <v>45966</v>
      </c>
      <c r="P45" s="53" t="s">
        <v>115</v>
      </c>
      <c r="Q45" s="63">
        <v>966144</v>
      </c>
      <c r="R45" s="63"/>
      <c r="S45" s="11">
        <v>973765</v>
      </c>
      <c r="T45" s="53">
        <f t="shared" ref="T45:T47" si="4">+S45-Q45</f>
        <v>7621</v>
      </c>
      <c r="U45" s="136">
        <f>SUM(J26:J27)</f>
        <v>800</v>
      </c>
      <c r="V45" s="53">
        <f>+K27</f>
        <v>245.1</v>
      </c>
      <c r="W45" s="357">
        <f>(SUM(M26:M27)/2)</f>
        <v>11324.53</v>
      </c>
    </row>
    <row r="46" spans="3:23" x14ac:dyDescent="0.2">
      <c r="C46" s="584" t="s">
        <v>40</v>
      </c>
      <c r="D46" s="585"/>
      <c r="E46" s="585"/>
      <c r="F46" s="586">
        <v>50</v>
      </c>
      <c r="G46" s="587"/>
      <c r="I46" s="94"/>
      <c r="J46" s="117"/>
      <c r="K46" s="61"/>
      <c r="L46" s="111"/>
      <c r="M46" s="349"/>
      <c r="O46" s="32"/>
      <c r="P46" s="53"/>
      <c r="Q46" s="63"/>
      <c r="R46" s="95"/>
      <c r="S46" s="11"/>
      <c r="T46" s="53">
        <f t="shared" si="4"/>
        <v>0</v>
      </c>
      <c r="U46" s="136">
        <f>SUM(J28:J30)</f>
        <v>0</v>
      </c>
      <c r="V46" s="53">
        <f>+K30</f>
        <v>0</v>
      </c>
      <c r="W46" s="357">
        <f>(SUM(M28:M30)/2)</f>
        <v>0</v>
      </c>
    </row>
    <row r="47" spans="3:23" ht="12.75" thickBot="1" x14ac:dyDescent="0.25">
      <c r="C47" s="584" t="s">
        <v>125</v>
      </c>
      <c r="D47" s="585"/>
      <c r="E47" s="585"/>
      <c r="F47" s="586">
        <v>0</v>
      </c>
      <c r="G47" s="587"/>
      <c r="I47" s="282"/>
      <c r="J47" s="285"/>
      <c r="K47" s="62"/>
      <c r="L47" s="283"/>
      <c r="M47" s="349"/>
      <c r="O47" s="32"/>
      <c r="P47" s="53"/>
      <c r="Q47" s="63"/>
      <c r="R47" s="95"/>
      <c r="S47" s="11"/>
      <c r="T47" s="53">
        <f t="shared" si="4"/>
        <v>0</v>
      </c>
      <c r="U47" s="136">
        <f>SUM(J31:J32)</f>
        <v>0</v>
      </c>
      <c r="V47" s="53">
        <f>+K32</f>
        <v>0</v>
      </c>
      <c r="W47" s="357">
        <f>(SUM(M31:M32)/2)</f>
        <v>0</v>
      </c>
    </row>
    <row r="48" spans="3:23" ht="13.5" customHeight="1" thickBot="1" x14ac:dyDescent="0.25">
      <c r="C48" s="584" t="s">
        <v>225</v>
      </c>
      <c r="D48" s="585"/>
      <c r="E48" s="585"/>
      <c r="F48" s="588"/>
      <c r="G48" s="589"/>
      <c r="I48" s="579" t="s">
        <v>41</v>
      </c>
      <c r="J48" s="580"/>
      <c r="K48" s="614"/>
      <c r="L48" s="284">
        <f>SUM(L41:L47)</f>
        <v>0</v>
      </c>
      <c r="M48" s="350"/>
      <c r="O48" s="113"/>
      <c r="P48" s="264"/>
      <c r="Q48" s="265"/>
      <c r="R48" s="83"/>
      <c r="S48" s="81"/>
      <c r="T48" s="82">
        <f>+S48-Q48</f>
        <v>0</v>
      </c>
      <c r="U48" s="138">
        <f>SUM(J33:J34)</f>
        <v>0</v>
      </c>
      <c r="V48" s="55">
        <f>+K34</f>
        <v>0</v>
      </c>
      <c r="W48" s="358">
        <f>(SUM(M33:M34)/2)</f>
        <v>0</v>
      </c>
    </row>
    <row r="49" spans="3:22" ht="13.5" customHeight="1" x14ac:dyDescent="0.2">
      <c r="C49" s="584" t="s">
        <v>111</v>
      </c>
      <c r="D49" s="585"/>
      <c r="E49" s="585"/>
      <c r="F49" s="588"/>
      <c r="G49" s="589"/>
      <c r="R49" s="21"/>
      <c r="S49" s="21"/>
      <c r="T49" s="21"/>
      <c r="U49" s="139"/>
      <c r="V49" s="271"/>
    </row>
    <row r="50" spans="3:22" ht="13.5" customHeight="1" thickBot="1" x14ac:dyDescent="0.25">
      <c r="C50" s="575" t="s">
        <v>317</v>
      </c>
      <c r="D50" s="576"/>
      <c r="E50" s="576"/>
      <c r="F50" s="577"/>
      <c r="G50" s="578"/>
      <c r="R50" s="21"/>
      <c r="S50" s="21"/>
      <c r="T50" s="21"/>
      <c r="U50" s="139"/>
      <c r="V50" s="271"/>
    </row>
    <row r="51" spans="3:22" ht="13.5" thickBot="1" x14ac:dyDescent="0.25">
      <c r="C51" s="579" t="s">
        <v>42</v>
      </c>
      <c r="D51" s="580"/>
      <c r="E51" s="581"/>
      <c r="F51" s="582">
        <f>SUM(F40:G50)</f>
        <v>6280.1659843427824</v>
      </c>
      <c r="G51" s="583"/>
      <c r="R51" s="21"/>
      <c r="S51" s="21"/>
      <c r="T51" s="21"/>
      <c r="U51" s="139"/>
      <c r="V51" s="271"/>
    </row>
    <row r="52" spans="3:22" ht="13.5" customHeight="1" thickBot="1" x14ac:dyDescent="0.25">
      <c r="P52" s="570" t="s">
        <v>48</v>
      </c>
      <c r="Q52" s="571"/>
      <c r="R52" s="572"/>
      <c r="S52" s="21"/>
      <c r="T52" s="21"/>
      <c r="U52" s="139"/>
      <c r="V52" s="271"/>
    </row>
    <row r="53" spans="3:22" ht="12.75" customHeight="1" x14ac:dyDescent="0.2">
      <c r="C53" s="246" t="s">
        <v>43</v>
      </c>
      <c r="D53" s="247"/>
      <c r="E53" s="247"/>
      <c r="F53" s="247"/>
      <c r="G53" s="247"/>
      <c r="H53" s="247"/>
      <c r="I53" s="247"/>
      <c r="J53" s="247"/>
      <c r="K53" s="247"/>
      <c r="L53" s="248"/>
      <c r="M53" s="251"/>
      <c r="P53" s="78">
        <v>1</v>
      </c>
      <c r="Q53" s="566" t="s">
        <v>49</v>
      </c>
      <c r="R53" s="567"/>
      <c r="S53" s="21"/>
      <c r="T53" s="21"/>
      <c r="U53" s="249"/>
    </row>
    <row r="54" spans="3:22" ht="12.75" customHeight="1" x14ac:dyDescent="0.2">
      <c r="C54" s="250"/>
      <c r="D54" s="251"/>
      <c r="E54" s="251"/>
      <c r="F54" s="251"/>
      <c r="G54" s="251"/>
      <c r="H54" s="251"/>
      <c r="I54" s="251"/>
      <c r="J54" s="251"/>
      <c r="K54" s="251"/>
      <c r="L54" s="252"/>
      <c r="M54" s="251"/>
      <c r="P54" s="32">
        <v>2</v>
      </c>
      <c r="Q54" s="568" t="s">
        <v>136</v>
      </c>
      <c r="R54" s="569"/>
      <c r="S54" s="21"/>
      <c r="T54" s="249"/>
    </row>
    <row r="55" spans="3:22" ht="12.75" thickBot="1" x14ac:dyDescent="0.25">
      <c r="C55" s="253"/>
      <c r="D55" s="254"/>
      <c r="E55" s="254"/>
      <c r="F55" s="254"/>
      <c r="G55" s="254"/>
      <c r="H55" s="254"/>
      <c r="I55" s="254"/>
      <c r="J55" s="254"/>
      <c r="K55" s="254"/>
      <c r="L55" s="255"/>
      <c r="M55" s="251"/>
      <c r="P55" s="32">
        <v>3</v>
      </c>
      <c r="Q55" s="568" t="s">
        <v>131</v>
      </c>
      <c r="R55" s="569"/>
      <c r="S55" s="21"/>
      <c r="T55" s="249"/>
    </row>
    <row r="56" spans="3:22" x14ac:dyDescent="0.2">
      <c r="P56" s="32">
        <v>4</v>
      </c>
      <c r="Q56" s="568" t="s">
        <v>229</v>
      </c>
      <c r="R56" s="569"/>
      <c r="S56" s="21"/>
      <c r="T56" s="249"/>
    </row>
    <row r="57" spans="3:22" ht="12.75" thickBot="1" x14ac:dyDescent="0.25">
      <c r="P57" s="32">
        <v>5</v>
      </c>
      <c r="Q57" s="568" t="s">
        <v>230</v>
      </c>
      <c r="R57" s="569"/>
      <c r="S57" s="21"/>
    </row>
    <row r="58" spans="3:22" ht="14.25" customHeight="1" thickTop="1" thickBot="1" x14ac:dyDescent="0.25">
      <c r="D58" s="613" t="s">
        <v>44</v>
      </c>
      <c r="E58" s="613"/>
      <c r="F58" s="613"/>
      <c r="G58" s="613"/>
      <c r="H58" s="613"/>
      <c r="J58" s="613" t="s">
        <v>45</v>
      </c>
      <c r="K58" s="613"/>
      <c r="L58" s="613"/>
      <c r="M58" s="613"/>
      <c r="N58" s="613"/>
      <c r="P58" s="54">
        <v>6</v>
      </c>
      <c r="Q58" s="573" t="s">
        <v>231</v>
      </c>
      <c r="R58" s="574"/>
      <c r="S58" s="21"/>
      <c r="T58" s="21"/>
    </row>
    <row r="59" spans="3:22" x14ac:dyDescent="0.2">
      <c r="S59" s="21"/>
      <c r="T59" s="21"/>
    </row>
    <row r="60" spans="3:22" x14ac:dyDescent="0.2">
      <c r="P60" s="21"/>
      <c r="Q60" s="21"/>
      <c r="R60" s="21"/>
      <c r="S60" s="21"/>
      <c r="T60" s="21"/>
    </row>
  </sheetData>
  <mergeCells count="56">
    <mergeCell ref="P52:R52"/>
    <mergeCell ref="Q53:R53"/>
    <mergeCell ref="Q54:R54"/>
    <mergeCell ref="F47:G47"/>
    <mergeCell ref="D58:H58"/>
    <mergeCell ref="J58:N58"/>
    <mergeCell ref="I48:K48"/>
    <mergeCell ref="C48:E48"/>
    <mergeCell ref="F48:G48"/>
    <mergeCell ref="C49:E49"/>
    <mergeCell ref="F49:G49"/>
    <mergeCell ref="C50:E50"/>
    <mergeCell ref="F50:G50"/>
    <mergeCell ref="C51:E51"/>
    <mergeCell ref="F51:G51"/>
    <mergeCell ref="C47:E47"/>
    <mergeCell ref="F46:G46"/>
    <mergeCell ref="C46:E46"/>
    <mergeCell ref="C44:E44"/>
    <mergeCell ref="F44:G44"/>
    <mergeCell ref="C45:E45"/>
    <mergeCell ref="F45:G45"/>
    <mergeCell ref="C41:E41"/>
    <mergeCell ref="F41:G41"/>
    <mergeCell ref="C42:E42"/>
    <mergeCell ref="F42:G42"/>
    <mergeCell ref="C43:E43"/>
    <mergeCell ref="F43:G43"/>
    <mergeCell ref="O38:P38"/>
    <mergeCell ref="I6:O6"/>
    <mergeCell ref="Q6:S6"/>
    <mergeCell ref="I9:O9"/>
    <mergeCell ref="L11:S11"/>
    <mergeCell ref="E13:F13"/>
    <mergeCell ref="Q2:S2"/>
    <mergeCell ref="I3:O3"/>
    <mergeCell ref="Q3:S3"/>
    <mergeCell ref="I4:O4"/>
    <mergeCell ref="I5:O5"/>
    <mergeCell ref="Q5:S5"/>
    <mergeCell ref="Q55:R55"/>
    <mergeCell ref="Q56:R56"/>
    <mergeCell ref="Q57:R57"/>
    <mergeCell ref="Q58:R58"/>
    <mergeCell ref="D14:E14"/>
    <mergeCell ref="D15:E15"/>
    <mergeCell ref="D16:E16"/>
    <mergeCell ref="D17:E17"/>
    <mergeCell ref="E36:E37"/>
    <mergeCell ref="F36:G36"/>
    <mergeCell ref="F37:G37"/>
    <mergeCell ref="C39:G39"/>
    <mergeCell ref="I39:L39"/>
    <mergeCell ref="Q39:S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>
    <pageSetUpPr fitToPage="1"/>
  </sheetPr>
  <dimension ref="B1:W58"/>
  <sheetViews>
    <sheetView topLeftCell="A4" zoomScaleNormal="100" workbookViewId="0">
      <selection activeCell="Y22" sqref="Y22"/>
    </sheetView>
  </sheetViews>
  <sheetFormatPr baseColWidth="10" defaultColWidth="9.140625" defaultRowHeight="12" x14ac:dyDescent="0.2"/>
  <cols>
    <col min="1" max="1" width="0.7109375" style="14" customWidth="1"/>
    <col min="2" max="2" width="5.140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0.140625" style="14" customWidth="1"/>
    <col min="7" max="7" width="3.85546875" style="14" customWidth="1"/>
    <col min="8" max="8" width="12.140625" style="14" customWidth="1"/>
    <col min="9" max="10" width="10" style="14" customWidth="1"/>
    <col min="11" max="11" width="10.42578125" style="14" customWidth="1"/>
    <col min="12" max="13" width="12.5703125" style="14" customWidth="1"/>
    <col min="14" max="14" width="10.7109375" style="14" customWidth="1"/>
    <col min="15" max="15" width="10.28515625" style="14" customWidth="1"/>
    <col min="16" max="16" width="13.140625" style="14" bestFit="1" customWidth="1"/>
    <col min="17" max="17" width="12.140625" style="14" customWidth="1"/>
    <col min="18" max="18" width="10" style="14" hidden="1" customWidth="1"/>
    <col min="19" max="19" width="9.42578125" style="14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.285156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+'BURGOS TORRES RIGOBERTO'!Q6+1</f>
        <v>32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120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63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66">
        <f>SUM(J19:J29)</f>
        <v>1670</v>
      </c>
      <c r="G16" s="257"/>
      <c r="H16" s="257"/>
      <c r="I16" s="9" t="s">
        <v>17</v>
      </c>
      <c r="J16" s="257">
        <f>SUM(K19:K29)</f>
        <v>452.71299999999997</v>
      </c>
      <c r="K16" s="257"/>
      <c r="L16" s="257"/>
      <c r="M16" s="257"/>
      <c r="N16" s="257"/>
      <c r="O16" s="9" t="s">
        <v>18</v>
      </c>
      <c r="P16" s="10">
        <f>+F16/J16</f>
        <v>3.6888713158226074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2:22" x14ac:dyDescent="0.2">
      <c r="B19" s="14" t="s">
        <v>357</v>
      </c>
      <c r="C19" s="176">
        <v>45903</v>
      </c>
      <c r="D19" s="43" t="s">
        <v>457</v>
      </c>
      <c r="E19" s="42">
        <v>45937</v>
      </c>
      <c r="F19" s="42">
        <v>45938</v>
      </c>
      <c r="G19" s="43">
        <v>28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 (FOKKER)</v>
      </c>
      <c r="J19" s="44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465</v>
      </c>
      <c r="K19" s="24"/>
      <c r="L19" s="44"/>
      <c r="M19" s="351">
        <v>1582.88</v>
      </c>
      <c r="N19" s="24">
        <v>6</v>
      </c>
      <c r="O19" s="24" t="s">
        <v>459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118">
        <v>53</v>
      </c>
      <c r="V19" s="17"/>
    </row>
    <row r="20" spans="2:22" ht="12.75" thickBot="1" x14ac:dyDescent="0.25">
      <c r="C20" s="101"/>
      <c r="D20" s="25" t="s">
        <v>458</v>
      </c>
      <c r="E20" s="25">
        <v>45938</v>
      </c>
      <c r="F20" s="25">
        <v>45938</v>
      </c>
      <c r="G20" s="62">
        <v>27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27">
        <v>216.679</v>
      </c>
      <c r="L20" s="28">
        <f>SUM(J19:J20)/K20</f>
        <v>4.0613072794317864</v>
      </c>
      <c r="M20" s="352">
        <v>3671.66</v>
      </c>
      <c r="N20" s="27">
        <v>4</v>
      </c>
      <c r="O20" s="27" t="s">
        <v>460</v>
      </c>
      <c r="P20" s="322" t="s">
        <v>200</v>
      </c>
      <c r="Q20" s="339">
        <f t="shared" si="0"/>
        <v>109.99874999999999</v>
      </c>
      <c r="R20" s="190">
        <f>+LOOKUP(P40,UNIDADES!B$3:B$59,UNIDADES!C$3:C$59)</f>
        <v>2.3734099999999998</v>
      </c>
      <c r="S20" s="19">
        <f>+((SUM(J19:J20)-80)/R20)-K20</f>
        <v>120.3887632604565</v>
      </c>
      <c r="T20" s="460">
        <f>+S20*14.85</f>
        <v>1787.7731344177789</v>
      </c>
      <c r="U20" s="484" t="s">
        <v>359</v>
      </c>
      <c r="V20" s="420"/>
    </row>
    <row r="21" spans="2:22" x14ac:dyDescent="0.2">
      <c r="B21" s="14" t="s">
        <v>357</v>
      </c>
      <c r="C21" s="238">
        <v>45915</v>
      </c>
      <c r="D21" s="36" t="s">
        <v>463</v>
      </c>
      <c r="E21" s="37">
        <v>45938</v>
      </c>
      <c r="F21" s="37">
        <v>45939</v>
      </c>
      <c r="G21" s="36">
        <v>4</v>
      </c>
      <c r="H21" s="25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59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39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38"/>
      <c r="L21" s="48"/>
      <c r="M21" s="353">
        <v>294.88</v>
      </c>
      <c r="N21" s="38">
        <v>4</v>
      </c>
      <c r="O21" s="38" t="s">
        <v>461</v>
      </c>
      <c r="P21" s="38" t="s">
        <v>200</v>
      </c>
      <c r="Q21" s="4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2"/>
      <c r="S21" s="186"/>
      <c r="T21" s="462"/>
      <c r="U21" s="313"/>
      <c r="V21" s="483">
        <v>53</v>
      </c>
    </row>
    <row r="22" spans="2:22" ht="12.75" thickBot="1" x14ac:dyDescent="0.25">
      <c r="C22" s="101"/>
      <c r="D22" s="25" t="s">
        <v>464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236.03399999999999</v>
      </c>
      <c r="L22" s="28">
        <f>SUM(J21:J22)/K22</f>
        <v>3.3469754357423085</v>
      </c>
      <c r="M22" s="352">
        <v>3056.68</v>
      </c>
      <c r="N22" s="27">
        <v>1</v>
      </c>
      <c r="O22" s="27" t="s">
        <v>462</v>
      </c>
      <c r="P22" s="27" t="s">
        <v>196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+((SUM(J21:J22)-40)/R22)-K22</f>
        <v>79.967028056677975</v>
      </c>
      <c r="T22" s="460">
        <f>+S22*14.85</f>
        <v>1187.5103666416678</v>
      </c>
      <c r="U22" s="114"/>
      <c r="V22" s="482" t="s">
        <v>359</v>
      </c>
    </row>
    <row r="23" spans="2:22" hidden="1" x14ac:dyDescent="0.2">
      <c r="C23" s="238"/>
      <c r="D23" s="37"/>
      <c r="E23" s="37"/>
      <c r="F23" s="37"/>
      <c r="G23" s="36"/>
      <c r="H23" s="236"/>
      <c r="I23" s="236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118"/>
      <c r="V23" s="17"/>
    </row>
    <row r="24" spans="2:22" ht="12.75" hidden="1" thickBot="1" x14ac:dyDescent="0.25">
      <c r="C24" s="239"/>
      <c r="D24" s="68"/>
      <c r="E24" s="69"/>
      <c r="F24" s="69"/>
      <c r="G24" s="68"/>
      <c r="H24" s="27"/>
      <c r="I24" s="27"/>
      <c r="J24" s="31"/>
      <c r="K24" s="27"/>
      <c r="L24" s="28"/>
      <c r="M24" s="352"/>
      <c r="N24" s="27"/>
      <c r="O24" s="27"/>
      <c r="P24" s="27" t="s">
        <v>182</v>
      </c>
      <c r="Q24" s="29"/>
      <c r="R24" s="190"/>
      <c r="S24" s="19"/>
      <c r="T24" s="460"/>
      <c r="U24" s="282"/>
      <c r="V24" s="420"/>
    </row>
    <row r="25" spans="2:22" hidden="1" x14ac:dyDescent="0.2">
      <c r="C25" s="176"/>
      <c r="D25" s="43"/>
      <c r="E25" s="42"/>
      <c r="F25" s="42"/>
      <c r="G25" s="43"/>
      <c r="H25" s="236"/>
      <c r="I25" s="236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118"/>
      <c r="V25" s="17"/>
    </row>
    <row r="26" spans="2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282"/>
      <c r="V26" s="420"/>
    </row>
    <row r="27" spans="2:2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62"/>
      <c r="U27" s="313"/>
      <c r="V27" s="483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94"/>
      <c r="V28" s="418"/>
    </row>
    <row r="29" spans="2:22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94"/>
      <c r="V29" s="418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94"/>
      <c r="V30" s="418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59"/>
      <c r="U31" s="94"/>
      <c r="V31" s="418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282"/>
      <c r="V32" s="420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>
        <v>1000</v>
      </c>
      <c r="I35" s="29">
        <v>1500</v>
      </c>
      <c r="J35" s="29">
        <v>125</v>
      </c>
      <c r="K35" s="29"/>
      <c r="L35" s="29"/>
      <c r="M35" s="30">
        <f>SUM(F35:L35)</f>
        <v>2625</v>
      </c>
    </row>
    <row r="36" spans="3:23" ht="12.75" thickBot="1" x14ac:dyDescent="0.25">
      <c r="I36" s="15" t="s">
        <v>182</v>
      </c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6540.2785010594471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SUM(Q18:Q34)</f>
        <v>439.99499999999995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2975.2835010594467</v>
      </c>
      <c r="G39" s="587"/>
      <c r="I39" s="331"/>
      <c r="J39" s="332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2625</v>
      </c>
      <c r="G40" s="587"/>
      <c r="I40" s="94"/>
      <c r="J40" s="117"/>
      <c r="K40" s="117"/>
      <c r="L40" s="111"/>
      <c r="M40" s="349"/>
      <c r="O40" s="78">
        <v>45903</v>
      </c>
      <c r="P40" s="79" t="s">
        <v>63</v>
      </c>
      <c r="Q40" s="80">
        <v>551305</v>
      </c>
      <c r="R40" s="80"/>
      <c r="S40" s="63">
        <v>552105</v>
      </c>
      <c r="T40" s="53">
        <f>+S40-Q40</f>
        <v>800</v>
      </c>
      <c r="U40" s="137">
        <f>SUM(J19:J20)</f>
        <v>880</v>
      </c>
      <c r="V40" s="79">
        <f>+K20</f>
        <v>216.679</v>
      </c>
      <c r="W40" s="356">
        <f>(SUM(M19:M20)/2)</f>
        <v>2627.27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>
        <v>45915</v>
      </c>
      <c r="P41" s="53" t="s">
        <v>63</v>
      </c>
      <c r="Q41" s="63">
        <v>552105</v>
      </c>
      <c r="R41" s="63"/>
      <c r="S41" s="11">
        <v>552805</v>
      </c>
      <c r="T41" s="53">
        <f>+S41-Q41</f>
        <v>700</v>
      </c>
      <c r="U41" s="136">
        <f>SUM(J21:J22)</f>
        <v>790</v>
      </c>
      <c r="V41" s="53">
        <f>+K22</f>
        <v>236.03399999999999</v>
      </c>
      <c r="W41" s="357">
        <f>(SUM(M21:M22)/2)</f>
        <v>1675.78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>
        <v>500</v>
      </c>
      <c r="G43" s="587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:T45" si="2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356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319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244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318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6540.2785010594471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3:R53"/>
    <mergeCell ref="F48:G48"/>
    <mergeCell ref="C46:E46"/>
    <mergeCell ref="P50:R50"/>
    <mergeCell ref="Q51:R51"/>
    <mergeCell ref="Q52:R52"/>
    <mergeCell ref="D14:E14"/>
    <mergeCell ref="D15:E15"/>
    <mergeCell ref="D16:E16"/>
    <mergeCell ref="F34:G34"/>
    <mergeCell ref="F35:G35"/>
    <mergeCell ref="E34:E35"/>
    <mergeCell ref="O37:P37"/>
    <mergeCell ref="Q37:S37"/>
    <mergeCell ref="C39:E39"/>
    <mergeCell ref="F39:G39"/>
    <mergeCell ref="C40:E40"/>
    <mergeCell ref="F40:G40"/>
    <mergeCell ref="C38:E38"/>
    <mergeCell ref="F38:G38"/>
    <mergeCell ref="C37:G37"/>
    <mergeCell ref="I37:L37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C43:E43"/>
    <mergeCell ref="C41:E41"/>
    <mergeCell ref="F41:G41"/>
    <mergeCell ref="C42:E42"/>
    <mergeCell ref="F42:G42"/>
    <mergeCell ref="F43:G43"/>
    <mergeCell ref="Q54:R54"/>
    <mergeCell ref="Q55:R55"/>
    <mergeCell ref="Q56:R56"/>
    <mergeCell ref="F44:G44"/>
    <mergeCell ref="C45:E45"/>
    <mergeCell ref="F45:G45"/>
    <mergeCell ref="C44:E44"/>
    <mergeCell ref="I46:K46"/>
    <mergeCell ref="C49:E49"/>
    <mergeCell ref="F49:G49"/>
    <mergeCell ref="D56:H56"/>
    <mergeCell ref="J56:N56"/>
    <mergeCell ref="F46:G46"/>
    <mergeCell ref="C47:E47"/>
    <mergeCell ref="F47:G47"/>
    <mergeCell ref="C48:E48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B1:X58"/>
  <sheetViews>
    <sheetView topLeftCell="B11" zoomScale="112" zoomScaleNormal="112" workbookViewId="0">
      <selection activeCell="I60" sqref="I60"/>
    </sheetView>
  </sheetViews>
  <sheetFormatPr baseColWidth="10" defaultColWidth="9.140625" defaultRowHeight="12" x14ac:dyDescent="0.2"/>
  <cols>
    <col min="1" max="1" width="2.7109375" style="14" customWidth="1"/>
    <col min="2" max="2" width="5.42578125" style="14" customWidth="1"/>
    <col min="3" max="3" width="11.5703125" style="14" customWidth="1"/>
    <col min="4" max="4" width="12" style="14" bestFit="1" customWidth="1"/>
    <col min="5" max="5" width="7.7109375" style="14" bestFit="1" customWidth="1"/>
    <col min="6" max="6" width="8.5703125" style="14" bestFit="1" customWidth="1"/>
    <col min="7" max="7" width="3" style="14" bestFit="1" customWidth="1"/>
    <col min="8" max="8" width="9.85546875" style="14" bestFit="1" customWidth="1"/>
    <col min="9" max="9" width="12.140625" style="14" customWidth="1"/>
    <col min="10" max="10" width="9.85546875" style="14" bestFit="1" customWidth="1"/>
    <col min="11" max="11" width="10.5703125" style="14" customWidth="1"/>
    <col min="12" max="12" width="13.42578125" style="14" customWidth="1"/>
    <col min="13" max="13" width="11" style="14" bestFit="1" customWidth="1"/>
    <col min="14" max="14" width="8" style="14" bestFit="1" customWidth="1"/>
    <col min="15" max="15" width="15.28515625" style="14" bestFit="1" customWidth="1"/>
    <col min="16" max="16" width="11.5703125" style="14" bestFit="1" customWidth="1"/>
    <col min="17" max="17" width="11.42578125" style="14" bestFit="1" customWidth="1"/>
    <col min="18" max="18" width="9.85546875" style="14" hidden="1" customWidth="1"/>
    <col min="19" max="19" width="10.28515625" style="14" bestFit="1" customWidth="1"/>
    <col min="20" max="20" width="11.28515625" style="14" bestFit="1" customWidth="1"/>
    <col min="21" max="21" width="9.85546875" style="14" hidden="1" customWidth="1"/>
    <col min="22" max="22" width="9.42578125" style="14" hidden="1" customWidth="1"/>
    <col min="23" max="23" width="10.85546875" style="14" hidden="1" customWidth="1"/>
    <col min="24" max="24" width="10.5703125" style="14" customWidth="1"/>
    <col min="25" max="25" width="9.140625" style="14"/>
    <col min="26" max="26" width="17.8554687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+'MERCADO LOPEZ JESUS'!Q6</f>
        <v>43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658" t="s">
        <v>59</v>
      </c>
      <c r="F11" s="658"/>
      <c r="G11" s="658"/>
      <c r="H11" s="658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154</v>
      </c>
      <c r="F12" s="606"/>
      <c r="G12" s="606"/>
      <c r="H12" s="606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7" t="s">
        <v>12</v>
      </c>
      <c r="O14" s="6"/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1500</v>
      </c>
      <c r="G16" s="257"/>
      <c r="H16" s="257"/>
      <c r="I16" s="9" t="s">
        <v>17</v>
      </c>
      <c r="J16" s="257">
        <f>SUM(K19:K30)</f>
        <v>378.29600000000005</v>
      </c>
      <c r="K16" s="257"/>
      <c r="L16" s="257"/>
      <c r="M16" s="257"/>
      <c r="N16" s="257"/>
      <c r="O16" s="9" t="s">
        <v>18</v>
      </c>
      <c r="P16" s="10">
        <f>+F16/J16</f>
        <v>3.9651489838644864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2:24" x14ac:dyDescent="0.2">
      <c r="C19" s="176">
        <v>45936</v>
      </c>
      <c r="D19" s="43" t="s">
        <v>548</v>
      </c>
      <c r="E19" s="42">
        <v>45939</v>
      </c>
      <c r="F19" s="42">
        <v>45940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4316.9399999999996</v>
      </c>
      <c r="N19" s="24">
        <v>1</v>
      </c>
      <c r="O19" s="24" t="s">
        <v>460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37">
        <v>58</v>
      </c>
      <c r="V19" s="479">
        <v>59</v>
      </c>
      <c r="W19" s="278"/>
      <c r="X19" s="278"/>
    </row>
    <row r="20" spans="2:24" ht="13.5" customHeight="1" thickBot="1" x14ac:dyDescent="0.25">
      <c r="C20" s="261"/>
      <c r="D20" s="96" t="s">
        <v>549</v>
      </c>
      <c r="E20" s="97">
        <v>45940</v>
      </c>
      <c r="F20" s="97">
        <v>45940</v>
      </c>
      <c r="G20" s="96">
        <v>3</v>
      </c>
      <c r="H20" s="36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197.29400000000001</v>
      </c>
      <c r="L20" s="72">
        <f>SUM(J19:J20)/K20</f>
        <v>3.8014333938183622</v>
      </c>
      <c r="M20" s="373">
        <v>7335.9920000000002</v>
      </c>
      <c r="N20" s="70">
        <v>1</v>
      </c>
      <c r="O20" s="98" t="s">
        <v>432</v>
      </c>
      <c r="P20" s="98" t="s">
        <v>192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108.70604896000785</v>
      </c>
      <c r="T20" s="465">
        <f>+S20*14.85</f>
        <v>1614.2848270561165</v>
      </c>
      <c r="U20" s="489" t="s">
        <v>359</v>
      </c>
      <c r="V20" s="490" t="s">
        <v>359</v>
      </c>
      <c r="W20" s="278"/>
      <c r="X20" s="278"/>
    </row>
    <row r="21" spans="2:24" ht="11.25" customHeight="1" x14ac:dyDescent="0.2">
      <c r="C21" s="176">
        <v>45987</v>
      </c>
      <c r="D21" s="323" t="s">
        <v>582</v>
      </c>
      <c r="E21" s="42">
        <v>45943</v>
      </c>
      <c r="F21" s="42">
        <v>45944</v>
      </c>
      <c r="G21" s="43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2849.933</v>
      </c>
      <c r="N21" s="24">
        <v>1</v>
      </c>
      <c r="O21" s="24" t="s">
        <v>374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37">
        <v>59</v>
      </c>
      <c r="V21" s="479">
        <v>60</v>
      </c>
      <c r="W21" s="278"/>
      <c r="X21" s="278"/>
    </row>
    <row r="22" spans="2:24" ht="13.5" customHeight="1" thickBot="1" x14ac:dyDescent="0.25">
      <c r="B22" s="14" t="s">
        <v>357</v>
      </c>
      <c r="C22" s="101"/>
      <c r="D22" s="62" t="s">
        <v>583</v>
      </c>
      <c r="E22" s="25">
        <v>45944</v>
      </c>
      <c r="F22" s="25">
        <v>45944</v>
      </c>
      <c r="G22" s="57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181.00200000000001</v>
      </c>
      <c r="L22" s="28">
        <f>SUM(J21:J22)/K22</f>
        <v>4.1436006231975337</v>
      </c>
      <c r="M22" s="352">
        <v>1679</v>
      </c>
      <c r="N22" s="27">
        <v>1</v>
      </c>
      <c r="O22" s="322" t="s">
        <v>584</v>
      </c>
      <c r="P22" s="322" t="s">
        <v>199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124.99804896000785</v>
      </c>
      <c r="T22" s="460">
        <f>+S22*14.85</f>
        <v>1856.2210270561166</v>
      </c>
      <c r="U22" s="242" t="s">
        <v>359</v>
      </c>
      <c r="V22" s="480" t="s">
        <v>359</v>
      </c>
      <c r="W22" s="466"/>
      <c r="X22" s="278"/>
    </row>
    <row r="23" spans="2:24" hidden="1" x14ac:dyDescent="0.2">
      <c r="C23" s="238"/>
      <c r="D23" s="478"/>
      <c r="E23" s="37"/>
      <c r="F23" s="37"/>
      <c r="G23" s="36"/>
      <c r="H23" s="47"/>
      <c r="I23" s="38"/>
      <c r="J23" s="39"/>
      <c r="K23" s="38"/>
      <c r="L23" s="48"/>
      <c r="M23" s="353"/>
      <c r="N23" s="38"/>
      <c r="O23" s="38"/>
      <c r="P23" s="38"/>
      <c r="Q23" s="40"/>
      <c r="R23" s="192"/>
      <c r="S23" s="186"/>
      <c r="T23" s="462"/>
      <c r="U23" s="260"/>
      <c r="V23" s="260"/>
      <c r="W23" s="278"/>
      <c r="X23" s="278"/>
    </row>
    <row r="24" spans="2:24" ht="13.5" hidden="1" customHeight="1" thickBot="1" x14ac:dyDescent="0.25">
      <c r="C24" s="101"/>
      <c r="D24" s="62"/>
      <c r="E24" s="25"/>
      <c r="F24" s="25"/>
      <c r="G24" s="57"/>
      <c r="H24" s="26"/>
      <c r="I24" s="27"/>
      <c r="J24" s="31"/>
      <c r="K24" s="27"/>
      <c r="L24" s="28"/>
      <c r="M24" s="352"/>
      <c r="N24" s="27"/>
      <c r="O24" s="322"/>
      <c r="P24" s="322"/>
      <c r="Q24" s="29"/>
      <c r="R24" s="190"/>
      <c r="S24" s="19"/>
      <c r="T24" s="460"/>
      <c r="U24" s="428"/>
      <c r="V24" s="428"/>
      <c r="W24" s="278"/>
      <c r="X24" s="278"/>
    </row>
    <row r="25" spans="2:24" hidden="1" x14ac:dyDescent="0.2">
      <c r="C25" s="176"/>
      <c r="D25" s="323"/>
      <c r="E25" s="42"/>
      <c r="F25" s="42"/>
      <c r="G25" s="43"/>
      <c r="H25" s="65"/>
      <c r="I25" s="24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428"/>
      <c r="V25" s="428"/>
      <c r="W25" s="278"/>
      <c r="X25" s="278"/>
    </row>
    <row r="26" spans="2:24" ht="13.5" hidden="1" customHeight="1" thickBot="1" x14ac:dyDescent="0.25">
      <c r="C26" s="101"/>
      <c r="D26" s="62"/>
      <c r="E26" s="25"/>
      <c r="F26" s="25"/>
      <c r="G26" s="57"/>
      <c r="H26" s="26"/>
      <c r="I26" s="27"/>
      <c r="J26" s="31"/>
      <c r="K26" s="27"/>
      <c r="L26" s="28"/>
      <c r="M26" s="352"/>
      <c r="N26" s="27"/>
      <c r="O26" s="322"/>
      <c r="P26" s="322"/>
      <c r="Q26" s="29"/>
      <c r="R26" s="190"/>
      <c r="S26" s="19"/>
      <c r="T26" s="460"/>
      <c r="U26" s="428"/>
      <c r="V26" s="428"/>
      <c r="W26" s="278"/>
      <c r="X26" s="278"/>
    </row>
    <row r="27" spans="2:24" ht="12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428"/>
      <c r="V27" s="428"/>
      <c r="W27" s="278"/>
      <c r="X27" s="278"/>
    </row>
    <row r="28" spans="2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322"/>
      <c r="P28" s="322"/>
      <c r="Q28" s="29"/>
      <c r="R28" s="190"/>
      <c r="S28" s="19"/>
      <c r="T28" s="460"/>
      <c r="U28" s="428"/>
      <c r="V28" s="428"/>
      <c r="W28" s="278"/>
      <c r="X28" s="278"/>
    </row>
    <row r="29" spans="2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2:24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2:24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1"/>
      <c r="N31" s="38"/>
      <c r="O31" s="38"/>
      <c r="P31" s="38"/>
      <c r="Q31" s="40"/>
      <c r="R31" s="192"/>
      <c r="S31" s="186"/>
      <c r="T31" s="462"/>
      <c r="U31" s="11"/>
      <c r="V31" s="11"/>
    </row>
    <row r="32" spans="2:24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G33" s="14" t="s">
        <v>182</v>
      </c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4160.5008541122334</v>
      </c>
      <c r="R37" s="596"/>
      <c r="S37" s="597"/>
      <c r="T37" s="244"/>
    </row>
    <row r="38" spans="3:23" ht="12.75" thickBot="1" x14ac:dyDescent="0.25">
      <c r="C38" s="598" t="s">
        <v>220</v>
      </c>
      <c r="D38" s="599"/>
      <c r="E38" s="599"/>
      <c r="F38" s="600">
        <f>SUM(Q18:Q33)</f>
        <v>439.99499999999995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3470.505854112233</v>
      </c>
      <c r="G39" s="587"/>
      <c r="I39" s="644"/>
      <c r="J39" s="647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94"/>
      <c r="J40" s="117"/>
      <c r="K40" s="61"/>
      <c r="L40" s="111"/>
      <c r="M40" s="349"/>
      <c r="O40" s="78">
        <v>45936</v>
      </c>
      <c r="P40" s="79" t="s">
        <v>154</v>
      </c>
      <c r="Q40" s="80">
        <v>123191</v>
      </c>
      <c r="R40" s="80"/>
      <c r="S40" s="24">
        <v>123923</v>
      </c>
      <c r="T40" s="79">
        <f t="shared" ref="T40" si="2">+S40-Q40</f>
        <v>732</v>
      </c>
      <c r="U40" s="137">
        <f>SUM(J19:J20)</f>
        <v>750</v>
      </c>
      <c r="V40" s="79">
        <f>+K20</f>
        <v>197.29400000000001</v>
      </c>
      <c r="W40" s="356">
        <f>(SUM(M19:M20)/2)</f>
        <v>5826.4660000000003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>
        <v>45987</v>
      </c>
      <c r="P41" s="53" t="s">
        <v>154</v>
      </c>
      <c r="Q41" s="63">
        <v>123923</v>
      </c>
      <c r="R41" s="63"/>
      <c r="S41" s="11">
        <v>124671</v>
      </c>
      <c r="T41" s="53">
        <f>+S41-Q41</f>
        <v>748</v>
      </c>
      <c r="U41" s="136">
        <f>SUM(J21:J22)</f>
        <v>750</v>
      </c>
      <c r="V41" s="53">
        <f>+K22</f>
        <v>181.00200000000001</v>
      </c>
      <c r="W41" s="357">
        <f>(SUM(M21:M22)/2)</f>
        <v>2264.4665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 t="shared" ref="T42:T46" si="3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>
        <v>250</v>
      </c>
      <c r="G43" s="587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" si="4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63"/>
      <c r="S44" s="11"/>
      <c r="T44" s="53">
        <f t="shared" ref="T44" si="5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3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244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4160.5008541122334</v>
      </c>
      <c r="G49" s="583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8">
    <mergeCell ref="Q55:R55"/>
    <mergeCell ref="P50:R50"/>
    <mergeCell ref="Q51:R51"/>
    <mergeCell ref="Q52:R52"/>
    <mergeCell ref="Q53:R53"/>
    <mergeCell ref="Q54:R5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F43:G43"/>
    <mergeCell ref="C43:E43"/>
    <mergeCell ref="F44:G44"/>
    <mergeCell ref="C45:E45"/>
    <mergeCell ref="F45:G45"/>
    <mergeCell ref="C44:E44"/>
    <mergeCell ref="Q37:S37"/>
    <mergeCell ref="C37:G37"/>
    <mergeCell ref="C41:E41"/>
    <mergeCell ref="F41:G41"/>
    <mergeCell ref="C42:E42"/>
    <mergeCell ref="F42:G42"/>
    <mergeCell ref="C38:E38"/>
    <mergeCell ref="F38:G38"/>
    <mergeCell ref="C39:E39"/>
    <mergeCell ref="F39:G39"/>
    <mergeCell ref="C40:E40"/>
    <mergeCell ref="F40:G40"/>
    <mergeCell ref="I39:J39"/>
    <mergeCell ref="Q2:S2"/>
    <mergeCell ref="I3:O3"/>
    <mergeCell ref="Q3:S3"/>
    <mergeCell ref="I4:O4"/>
    <mergeCell ref="I5:O5"/>
    <mergeCell ref="Q5:S5"/>
    <mergeCell ref="E12:H12"/>
    <mergeCell ref="Q56:R56"/>
    <mergeCell ref="D13:E13"/>
    <mergeCell ref="I6:O6"/>
    <mergeCell ref="Q6:S6"/>
    <mergeCell ref="I9:O9"/>
    <mergeCell ref="E11:H11"/>
    <mergeCell ref="L11:S11"/>
    <mergeCell ref="D14:E14"/>
    <mergeCell ref="D15:E15"/>
    <mergeCell ref="D16:E16"/>
    <mergeCell ref="E34:E35"/>
    <mergeCell ref="F34:G34"/>
    <mergeCell ref="F35:G35"/>
    <mergeCell ref="I37:L37"/>
    <mergeCell ref="O37:P37"/>
  </mergeCells>
  <pageMargins left="0.19685039370078741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C1:W58"/>
  <sheetViews>
    <sheetView topLeftCell="A6" zoomScale="112" zoomScaleNormal="112" workbookViewId="0">
      <selection activeCell="I51" sqref="I51"/>
    </sheetView>
  </sheetViews>
  <sheetFormatPr baseColWidth="10" defaultColWidth="9.140625" defaultRowHeight="12" x14ac:dyDescent="0.2"/>
  <cols>
    <col min="1" max="1" width="2.28515625" style="14" customWidth="1"/>
    <col min="2" max="2" width="2.710937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5" style="14" bestFit="1" customWidth="1"/>
    <col min="8" max="8" width="10.28515625" style="14" customWidth="1"/>
    <col min="9" max="9" width="10.7109375" style="14" customWidth="1"/>
    <col min="10" max="10" width="10" style="14" customWidth="1"/>
    <col min="11" max="11" width="10.42578125" style="14" customWidth="1"/>
    <col min="12" max="12" width="12.42578125" style="14" customWidth="1"/>
    <col min="13" max="13" width="11.140625" style="14" customWidth="1"/>
    <col min="14" max="14" width="8.42578125" style="14" customWidth="1"/>
    <col min="15" max="15" width="10.5703125" style="14" customWidth="1"/>
    <col min="16" max="16" width="11.85546875" style="14" customWidth="1"/>
    <col min="17" max="17" width="11.42578125" style="14" customWidth="1"/>
    <col min="18" max="18" width="9.85546875" style="14" hidden="1" customWidth="1"/>
    <col min="19" max="19" width="11" style="14" bestFit="1" customWidth="1"/>
    <col min="20" max="20" width="11.28515625" style="14" bestFit="1" customWidth="1"/>
    <col min="21" max="21" width="8.7109375" style="14" hidden="1" customWidth="1"/>
    <col min="22" max="22" width="10.140625" style="14" hidden="1" customWidth="1"/>
    <col min="23" max="23" width="12.140625" style="14" hidden="1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288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+'LIRA ARCEO JOEL EDUARDO'!Q6+1</f>
        <v>45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183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263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2042</v>
      </c>
      <c r="G16" s="257"/>
      <c r="H16" s="257"/>
      <c r="I16" s="9" t="s">
        <v>17</v>
      </c>
      <c r="J16" s="257">
        <f>SUM(K19:K32)</f>
        <v>588.39499999999998</v>
      </c>
      <c r="K16" s="257"/>
      <c r="L16" s="257"/>
      <c r="M16" s="257"/>
      <c r="N16" s="257"/>
      <c r="O16" s="9" t="s">
        <v>18</v>
      </c>
      <c r="P16" s="10">
        <f>+F16/J16</f>
        <v>3.4704577707152509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362</v>
      </c>
    </row>
    <row r="19" spans="3:22" x14ac:dyDescent="0.2">
      <c r="C19" s="176">
        <v>46390</v>
      </c>
      <c r="D19" s="43" t="s">
        <v>505</v>
      </c>
      <c r="E19" s="42">
        <v>45936</v>
      </c>
      <c r="F19" s="42">
        <v>45937</v>
      </c>
      <c r="G19" s="43">
        <v>15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24"/>
      <c r="L19" s="44"/>
      <c r="M19" s="374">
        <v>5911.37</v>
      </c>
      <c r="N19" s="24">
        <v>1</v>
      </c>
      <c r="O19" s="24" t="s">
        <v>508</v>
      </c>
      <c r="P19" s="24" t="s">
        <v>201</v>
      </c>
      <c r="Q19" s="45">
        <v>306.3</v>
      </c>
      <c r="R19" s="191"/>
      <c r="S19" s="52"/>
      <c r="T19" s="46"/>
      <c r="U19" s="472">
        <v>10</v>
      </c>
      <c r="V19" s="472">
        <v>11</v>
      </c>
    </row>
    <row r="20" spans="3:22" x14ac:dyDescent="0.2">
      <c r="C20" s="239"/>
      <c r="D20" s="68" t="s">
        <v>506</v>
      </c>
      <c r="E20" s="69">
        <v>45937</v>
      </c>
      <c r="F20" s="69">
        <v>45938</v>
      </c>
      <c r="G20" s="68">
        <v>16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70">
        <v>588.39499999999998</v>
      </c>
      <c r="L20" s="72">
        <f>SUM(J19:J20)/K20</f>
        <v>3.4704577707152509</v>
      </c>
      <c r="M20" s="380">
        <v>5786.96</v>
      </c>
      <c r="N20" s="70">
        <v>1</v>
      </c>
      <c r="O20" s="70" t="s">
        <v>507</v>
      </c>
      <c r="P20" s="70" t="s">
        <v>201</v>
      </c>
      <c r="Q20" s="67">
        <v>306.3</v>
      </c>
      <c r="R20" s="197">
        <v>2.7</v>
      </c>
      <c r="S20" s="194">
        <f>+((SUM(J19:J20))/R20)-K20</f>
        <v>167.90129629629621</v>
      </c>
      <c r="T20" s="73">
        <f>+S20*18.86</f>
        <v>3166.6184481481464</v>
      </c>
      <c r="U20" s="494">
        <v>10</v>
      </c>
      <c r="V20" s="494">
        <v>10</v>
      </c>
    </row>
    <row r="21" spans="3:22" hidden="1" x14ac:dyDescent="0.2">
      <c r="C21" s="436"/>
      <c r="D21" s="77"/>
      <c r="E21" s="433"/>
      <c r="F21" s="433"/>
      <c r="G21" s="77"/>
      <c r="H21" s="437"/>
      <c r="I21" s="437"/>
      <c r="J21" s="438"/>
      <c r="K21" s="33"/>
      <c r="L21" s="439"/>
      <c r="M21" s="435"/>
      <c r="N21" s="33"/>
      <c r="O21" s="33"/>
      <c r="P21" s="33"/>
      <c r="Q21" s="440"/>
      <c r="R21" s="441"/>
      <c r="S21" s="442"/>
      <c r="T21" s="496"/>
      <c r="U21" s="497"/>
      <c r="V21" s="498"/>
    </row>
    <row r="22" spans="3:22" ht="12.75" hidden="1" thickBot="1" x14ac:dyDescent="0.25">
      <c r="C22" s="101"/>
      <c r="D22" s="62"/>
      <c r="E22" s="25"/>
      <c r="F22" s="25"/>
      <c r="G22" s="62"/>
      <c r="H22" s="241"/>
      <c r="I22" s="241"/>
      <c r="J22" s="242"/>
      <c r="K22" s="27"/>
      <c r="L22" s="28"/>
      <c r="M22" s="352"/>
      <c r="N22" s="27"/>
      <c r="O22" s="27"/>
      <c r="P22" s="27"/>
      <c r="Q22" s="29"/>
      <c r="R22" s="190"/>
      <c r="S22" s="19"/>
      <c r="T22" s="30"/>
      <c r="U22" s="499"/>
      <c r="V22" s="500"/>
    </row>
    <row r="23" spans="3:22" ht="11.25" hidden="1" customHeight="1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8"/>
      <c r="P23" s="38"/>
      <c r="Q23" s="40"/>
      <c r="R23" s="192"/>
      <c r="S23" s="186"/>
      <c r="T23" s="41"/>
      <c r="U23" s="495"/>
      <c r="V23" s="495"/>
    </row>
    <row r="24" spans="3:22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472"/>
      <c r="V24" s="472"/>
    </row>
    <row r="25" spans="3:22" hidden="1" x14ac:dyDescent="0.2">
      <c r="C25" s="176"/>
      <c r="D25" s="43"/>
      <c r="E25" s="42"/>
      <c r="F25" s="42"/>
      <c r="G25" s="43"/>
      <c r="H25" s="65"/>
      <c r="I25" s="24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6"/>
      <c r="U25" s="472"/>
      <c r="V25" s="472"/>
    </row>
    <row r="26" spans="3:22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  <c r="U26" s="475"/>
      <c r="V26" s="475"/>
    </row>
    <row r="27" spans="3:22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  <c r="U27" s="475"/>
      <c r="V27" s="475"/>
    </row>
    <row r="28" spans="3:22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  <c r="U28" s="472"/>
      <c r="V28" s="472"/>
    </row>
    <row r="29" spans="3:2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  <c r="U29" s="472"/>
      <c r="V29" s="472"/>
    </row>
    <row r="30" spans="3:22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4579.2184481481463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612.6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3166.6184481481464</v>
      </c>
      <c r="G39" s="587"/>
      <c r="I39" s="644"/>
      <c r="J39" s="645"/>
      <c r="K39" s="646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0</v>
      </c>
      <c r="G40" s="587"/>
      <c r="I40" s="383"/>
      <c r="J40" s="411"/>
      <c r="K40" s="418"/>
      <c r="L40" s="410"/>
      <c r="M40" s="349"/>
      <c r="O40" s="32">
        <v>46390</v>
      </c>
      <c r="P40" s="53" t="s">
        <v>255</v>
      </c>
      <c r="Q40" s="63">
        <v>374905</v>
      </c>
      <c r="R40" s="63"/>
      <c r="S40" s="11">
        <v>376959</v>
      </c>
      <c r="T40" s="79">
        <f t="shared" ref="T40:T45" si="0">+S40-Q40</f>
        <v>2054</v>
      </c>
      <c r="U40" s="137">
        <f>SUM(J19:J20)</f>
        <v>2042</v>
      </c>
      <c r="V40" s="79">
        <f>+K20</f>
        <v>588.39499999999998</v>
      </c>
      <c r="W40" s="356">
        <f>(SUM(M19:M20)/2)</f>
        <v>5849.165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94"/>
      <c r="J41" s="117"/>
      <c r="K41" s="418"/>
      <c r="L41" s="410"/>
      <c r="M41" s="349"/>
      <c r="O41" s="32"/>
      <c r="P41" s="53"/>
      <c r="Q41" s="11"/>
      <c r="R41" s="63"/>
      <c r="S41" s="11"/>
      <c r="T41" s="53">
        <f t="shared" si="0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si="0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0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0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>
        <v>0</v>
      </c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0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321</v>
      </c>
      <c r="D46" s="585"/>
      <c r="E46" s="585"/>
      <c r="F46" s="588">
        <v>500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54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311</v>
      </c>
      <c r="D47" s="585"/>
      <c r="E47" s="585"/>
      <c r="F47" s="588">
        <v>300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369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4579.2184481481463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  <c r="V57" s="245"/>
    </row>
    <row r="58" spans="3:22" x14ac:dyDescent="0.2">
      <c r="P58" s="21"/>
      <c r="Q58" s="21"/>
      <c r="R58" s="21"/>
      <c r="S58" s="21"/>
      <c r="T58" s="21"/>
      <c r="V58" s="245"/>
    </row>
  </sheetData>
  <mergeCells count="57">
    <mergeCell ref="C47:E47"/>
    <mergeCell ref="F47:G47"/>
    <mergeCell ref="C48:E48"/>
    <mergeCell ref="F48:G48"/>
    <mergeCell ref="C49:E49"/>
    <mergeCell ref="F49:G49"/>
    <mergeCell ref="I46:K46"/>
    <mergeCell ref="C45:E45"/>
    <mergeCell ref="F45:G45"/>
    <mergeCell ref="C46:E46"/>
    <mergeCell ref="F46:G46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F41:G41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C41:E41"/>
    <mergeCell ref="I39:K39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">
    <pageSetUpPr fitToPage="1"/>
  </sheetPr>
  <dimension ref="C1:W60"/>
  <sheetViews>
    <sheetView topLeftCell="A10" zoomScaleNormal="100" workbookViewId="0">
      <selection activeCell="I39" sqref="I39:L43"/>
    </sheetView>
  </sheetViews>
  <sheetFormatPr baseColWidth="10" defaultColWidth="9.140625" defaultRowHeight="12" x14ac:dyDescent="0.2"/>
  <cols>
    <col min="1" max="1" width="2.42578125" style="14" customWidth="1"/>
    <col min="2" max="2" width="2.7109375" style="14" customWidth="1"/>
    <col min="3" max="3" width="11.85546875" style="14" customWidth="1"/>
    <col min="4" max="4" width="12" style="14" bestFit="1" customWidth="1"/>
    <col min="5" max="5" width="12.140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3.140625" style="14" customWidth="1"/>
    <col min="10" max="10" width="9.85546875" style="14" bestFit="1" customWidth="1"/>
    <col min="11" max="11" width="11.28515625" style="14" customWidth="1"/>
    <col min="12" max="13" width="12" style="14" customWidth="1"/>
    <col min="14" max="14" width="10.28515625" style="14" customWidth="1"/>
    <col min="15" max="15" width="11" style="14" customWidth="1"/>
    <col min="16" max="16" width="12.285156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9" customHeight="1" thickBot="1" x14ac:dyDescent="0.25">
      <c r="Q2" s="615" t="s">
        <v>0</v>
      </c>
      <c r="R2" s="616"/>
      <c r="S2" s="617"/>
    </row>
    <row r="3" spans="4:19" ht="12.75" customHeight="1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2.75" customHeight="1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+'ORTIZ RAMIREZ HECTOR MANUEL'!Q6+1</f>
        <v>46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9" customHeight="1" thickBot="1" x14ac:dyDescent="0.25"/>
    <row r="11" spans="4:19" ht="12.75" x14ac:dyDescent="0.2">
      <c r="D11" s="1" t="s">
        <v>7</v>
      </c>
      <c r="E11" s="2" t="s">
        <v>188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337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3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3000</v>
      </c>
      <c r="G16" s="257"/>
      <c r="H16" s="257"/>
      <c r="I16" s="9" t="s">
        <v>17</v>
      </c>
      <c r="J16" s="257">
        <f>SUM(K19:K32)</f>
        <v>803.06999999999994</v>
      </c>
      <c r="K16" s="257"/>
      <c r="L16" s="257"/>
      <c r="M16" s="257"/>
      <c r="N16" s="257"/>
      <c r="O16" s="9" t="s">
        <v>18</v>
      </c>
      <c r="P16" s="10">
        <f>+F16/J16</f>
        <v>3.7356643879113904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</row>
    <row r="19" spans="3:23" x14ac:dyDescent="0.2">
      <c r="C19" s="176">
        <v>46387</v>
      </c>
      <c r="D19" s="43" t="s">
        <v>382</v>
      </c>
      <c r="E19" s="42">
        <v>45936</v>
      </c>
      <c r="F19" s="42">
        <v>45937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65"/>
      <c r="M19" s="351">
        <v>4476.924</v>
      </c>
      <c r="N19" s="24">
        <v>1</v>
      </c>
      <c r="O19" s="24" t="s">
        <v>381</v>
      </c>
      <c r="P19" s="24" t="s">
        <v>195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58</v>
      </c>
      <c r="V19" s="79">
        <v>58</v>
      </c>
    </row>
    <row r="20" spans="3:23" ht="12.75" thickBot="1" x14ac:dyDescent="0.25">
      <c r="C20" s="101"/>
      <c r="D20" s="62" t="s">
        <v>380</v>
      </c>
      <c r="E20" s="25">
        <v>45938</v>
      </c>
      <c r="F20" s="25">
        <v>45938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180</v>
      </c>
      <c r="L20" s="26">
        <f>SUM(J19:J20)/K20</f>
        <v>4.166666666666667</v>
      </c>
      <c r="M20" s="352">
        <v>0</v>
      </c>
      <c r="N20" s="27">
        <v>3</v>
      </c>
      <c r="O20" s="27"/>
      <c r="P20" s="27" t="s">
        <v>203</v>
      </c>
      <c r="Q20" s="29">
        <f t="shared" si="0"/>
        <v>54.999749999999999</v>
      </c>
      <c r="R20" s="190">
        <f>+LOOKUP(P40,UNIDADES!B$3:B$59,UNIDADES!C$3:C$59)</f>
        <v>2.3734099999999998</v>
      </c>
      <c r="S20" s="19">
        <f>+((SUM(J19:J20))/R20)-K20</f>
        <v>136.00102805667797</v>
      </c>
      <c r="T20" s="460">
        <f>+S20*14.85</f>
        <v>2019.6152666416679</v>
      </c>
      <c r="U20" s="27" t="s">
        <v>359</v>
      </c>
      <c r="V20" s="55" t="s">
        <v>359</v>
      </c>
      <c r="W20" s="244"/>
    </row>
    <row r="21" spans="3:23" x14ac:dyDescent="0.2">
      <c r="C21" s="176">
        <v>45921</v>
      </c>
      <c r="D21" s="43" t="s">
        <v>466</v>
      </c>
      <c r="E21" s="42">
        <v>45938</v>
      </c>
      <c r="F21" s="42">
        <v>45939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65"/>
      <c r="M21" s="351">
        <v>8304.9050000000007</v>
      </c>
      <c r="N21" s="24">
        <v>1</v>
      </c>
      <c r="O21" s="24" t="s">
        <v>385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 t="s">
        <v>359</v>
      </c>
      <c r="V21" s="79" t="s">
        <v>359</v>
      </c>
    </row>
    <row r="22" spans="3:23" ht="12.75" thickBot="1" x14ac:dyDescent="0.25">
      <c r="C22" s="101"/>
      <c r="D22" s="62" t="s">
        <v>465</v>
      </c>
      <c r="E22" s="25">
        <v>45939</v>
      </c>
      <c r="F22" s="25">
        <v>45939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206.01300000000001</v>
      </c>
      <c r="L22" s="26">
        <f>SUM(J21:J22)/K22</f>
        <v>3.6405469557746355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+LOOKUP(P41,UNIDADES!B$3:B$59,UNIDADES!C$3:C$59)</f>
        <v>2.3734099999999998</v>
      </c>
      <c r="S22" s="19">
        <f>+((SUM(J21:J22))/R22)-K22</f>
        <v>109.98802805667796</v>
      </c>
      <c r="T22" s="460">
        <f>+S22*14.85</f>
        <v>1633.3222166416676</v>
      </c>
      <c r="U22" s="27">
        <v>58</v>
      </c>
      <c r="V22" s="55">
        <v>58</v>
      </c>
    </row>
    <row r="23" spans="3:23" x14ac:dyDescent="0.2">
      <c r="C23" s="238">
        <v>45933</v>
      </c>
      <c r="D23" s="36" t="s">
        <v>514</v>
      </c>
      <c r="E23" s="37">
        <v>45939</v>
      </c>
      <c r="F23" s="37">
        <v>45940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7"/>
      <c r="M23" s="353">
        <v>1039.94</v>
      </c>
      <c r="N23" s="38">
        <v>1</v>
      </c>
      <c r="O23" s="39">
        <v>62313</v>
      </c>
      <c r="P23" s="353" t="s">
        <v>200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 t="s">
        <v>359</v>
      </c>
      <c r="V23" s="38"/>
    </row>
    <row r="24" spans="3:23" ht="13.5" customHeight="1" thickBot="1" x14ac:dyDescent="0.25">
      <c r="C24" s="239"/>
      <c r="D24" s="68" t="s">
        <v>515</v>
      </c>
      <c r="E24" s="69">
        <v>45940</v>
      </c>
      <c r="F24" s="69">
        <v>45941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195.017</v>
      </c>
      <c r="L24" s="365">
        <f>SUM(J23:J24)/K24</f>
        <v>3.8458185696631575</v>
      </c>
      <c r="M24" s="373">
        <v>2511.91</v>
      </c>
      <c r="N24" s="70">
        <v>1</v>
      </c>
      <c r="O24" s="70">
        <v>1043</v>
      </c>
      <c r="P24" s="70" t="s">
        <v>204</v>
      </c>
      <c r="Q24" s="67">
        <f t="shared" si="2"/>
        <v>109.99874999999999</v>
      </c>
      <c r="R24" s="197">
        <f>+LOOKUP(P42,UNIDADES!B$3:B$59,UNIDADES!C$3:C$59)</f>
        <v>2.3734099999999998</v>
      </c>
      <c r="S24" s="194">
        <f>+((SUM(J23:J24))/R24)-K24</f>
        <v>120.98402805667797</v>
      </c>
      <c r="T24" s="465">
        <f>+S24*14.85</f>
        <v>1796.6128166416679</v>
      </c>
      <c r="U24" s="70">
        <v>58</v>
      </c>
      <c r="V24" s="70"/>
    </row>
    <row r="25" spans="3:23" x14ac:dyDescent="0.2">
      <c r="C25" s="176">
        <v>45965</v>
      </c>
      <c r="D25" s="43" t="s">
        <v>585</v>
      </c>
      <c r="E25" s="42">
        <v>45941</v>
      </c>
      <c r="F25" s="42">
        <v>45941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65"/>
      <c r="M25" s="351">
        <v>1679</v>
      </c>
      <c r="N25" s="24">
        <v>1</v>
      </c>
      <c r="O25" s="24" t="s">
        <v>584</v>
      </c>
      <c r="P25" s="24" t="s">
        <v>194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24" t="s">
        <v>359</v>
      </c>
      <c r="V25" s="79" t="s">
        <v>359</v>
      </c>
    </row>
    <row r="26" spans="3:23" ht="13.5" customHeight="1" thickBot="1" x14ac:dyDescent="0.25">
      <c r="C26" s="101"/>
      <c r="D26" s="62" t="s">
        <v>586</v>
      </c>
      <c r="E26" s="25">
        <v>45944</v>
      </c>
      <c r="F26" s="25">
        <v>45944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222.04</v>
      </c>
      <c r="L26" s="26">
        <f>SUM(J25:J26)/K26</f>
        <v>3.3777697712123942</v>
      </c>
      <c r="M26" s="352">
        <v>10296</v>
      </c>
      <c r="N26" s="27">
        <v>1</v>
      </c>
      <c r="O26" s="27" t="s">
        <v>477</v>
      </c>
      <c r="P26" s="27" t="s">
        <v>202</v>
      </c>
      <c r="Q26" s="29">
        <f t="shared" si="3"/>
        <v>109.99874999999999</v>
      </c>
      <c r="R26" s="190">
        <f>+LOOKUP(P43,UNIDADES!B$3:B$59,UNIDADES!C$3:C$59)</f>
        <v>2.3734099999999998</v>
      </c>
      <c r="S26" s="19">
        <f>+((SUM(J25:J26))/R26)-K26</f>
        <v>93.961028056677975</v>
      </c>
      <c r="T26" s="460">
        <f>+S26*14.85</f>
        <v>1395.321266641668</v>
      </c>
      <c r="U26" s="27">
        <v>58</v>
      </c>
      <c r="V26" s="55">
        <v>58</v>
      </c>
    </row>
    <row r="27" spans="3:23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7"/>
      <c r="M27" s="353"/>
      <c r="N27" s="38"/>
      <c r="O27" s="38"/>
      <c r="P27" s="38"/>
      <c r="Q27" s="40"/>
      <c r="R27" s="192"/>
      <c r="S27" s="186"/>
      <c r="T27" s="462"/>
      <c r="U27" s="528"/>
      <c r="V27" s="528"/>
    </row>
    <row r="28" spans="3:23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6"/>
      <c r="M28" s="352"/>
      <c r="N28" s="27"/>
      <c r="O28" s="27"/>
      <c r="P28" s="27"/>
      <c r="Q28" s="29"/>
      <c r="R28" s="190"/>
      <c r="S28" s="19"/>
      <c r="T28" s="460"/>
      <c r="U28" s="477"/>
      <c r="V28" s="477"/>
    </row>
    <row r="29" spans="3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7"/>
      <c r="M29" s="353"/>
      <c r="N29" s="38"/>
      <c r="O29" s="38"/>
      <c r="P29" s="38"/>
      <c r="Q29" s="40"/>
      <c r="R29" s="192"/>
      <c r="S29" s="186"/>
      <c r="T29" s="462"/>
      <c r="U29" s="11"/>
      <c r="V29" s="11"/>
    </row>
    <row r="30" spans="3:23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6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3:23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65"/>
      <c r="M31" s="353"/>
      <c r="N31" s="24"/>
      <c r="O31" s="24"/>
      <c r="P31" s="24"/>
      <c r="Q31" s="45"/>
      <c r="R31" s="191"/>
      <c r="S31" s="52"/>
      <c r="T31" s="459"/>
      <c r="U31" s="481"/>
      <c r="V31" s="481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6"/>
      <c r="M32" s="352"/>
      <c r="N32" s="27"/>
      <c r="O32" s="27"/>
      <c r="P32" s="27"/>
      <c r="Q32" s="29"/>
      <c r="R32" s="190"/>
      <c r="S32" s="19"/>
      <c r="T32" s="460"/>
      <c r="U32" s="481"/>
      <c r="V32" s="481"/>
    </row>
    <row r="33" spans="3:23" ht="10.5" customHeight="1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>
        <v>250</v>
      </c>
      <c r="L35" s="29"/>
      <c r="M35" s="30">
        <f>SUM(F35:L35)</f>
        <v>250</v>
      </c>
    </row>
    <row r="36" spans="3:23" ht="7.5" customHeight="1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7964.8635665666716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769.99199999999985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6844.8715665666714</v>
      </c>
      <c r="G39" s="587"/>
      <c r="I39" s="176"/>
      <c r="J39" s="415"/>
      <c r="K39" s="79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250</v>
      </c>
      <c r="G40" s="587"/>
      <c r="I40" s="94"/>
      <c r="J40" s="117"/>
      <c r="K40" s="53"/>
      <c r="L40" s="410"/>
      <c r="M40" s="349"/>
      <c r="O40" s="78">
        <v>46387</v>
      </c>
      <c r="P40" s="79" t="s">
        <v>77</v>
      </c>
      <c r="Q40" s="80">
        <v>104407</v>
      </c>
      <c r="R40" s="80"/>
      <c r="S40" s="63">
        <v>105103</v>
      </c>
      <c r="T40" s="79">
        <f>+S40-Q40</f>
        <v>696</v>
      </c>
      <c r="U40" s="137">
        <f>SUM(J19:J20)</f>
        <v>750</v>
      </c>
      <c r="V40" s="79">
        <f>+K20</f>
        <v>180</v>
      </c>
      <c r="W40" s="356">
        <f>(SUM(M19:M20)/2)</f>
        <v>2238.462</v>
      </c>
    </row>
    <row r="41" spans="3:23" x14ac:dyDescent="0.2">
      <c r="C41" s="584" t="s">
        <v>187</v>
      </c>
      <c r="D41" s="585"/>
      <c r="E41" s="585"/>
      <c r="F41" s="586"/>
      <c r="G41" s="587"/>
      <c r="I41" s="94"/>
      <c r="J41" s="117"/>
      <c r="K41" s="53"/>
      <c r="L41" s="410"/>
      <c r="M41" s="349"/>
      <c r="O41" s="32">
        <v>45921</v>
      </c>
      <c r="P41" s="53" t="s">
        <v>77</v>
      </c>
      <c r="Q41" s="63">
        <v>105103</v>
      </c>
      <c r="R41" s="63"/>
      <c r="S41" s="11">
        <v>105820</v>
      </c>
      <c r="T41" s="53">
        <f t="shared" ref="T41" si="4">+S41-Q41</f>
        <v>717</v>
      </c>
      <c r="U41" s="136">
        <f>SUM(J21:J22)</f>
        <v>750</v>
      </c>
      <c r="V41" s="53">
        <f>+K22</f>
        <v>206.01300000000001</v>
      </c>
      <c r="W41" s="357">
        <f>(SUM(M21:M22)/2)</f>
        <v>4152.4525000000003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53"/>
      <c r="L42" s="410"/>
      <c r="M42" s="349"/>
      <c r="O42" s="32">
        <v>45933</v>
      </c>
      <c r="P42" s="53" t="s">
        <v>77</v>
      </c>
      <c r="Q42" s="11">
        <v>105820</v>
      </c>
      <c r="R42" s="63"/>
      <c r="S42" s="63">
        <v>106521</v>
      </c>
      <c r="T42" s="53">
        <f>+S42-Q42</f>
        <v>701</v>
      </c>
      <c r="U42" s="136">
        <f>SUM(J23:J24)</f>
        <v>750</v>
      </c>
      <c r="V42" s="53">
        <f>+K24</f>
        <v>195.017</v>
      </c>
      <c r="W42" s="357">
        <f>(SUM(M23:M24)/2)</f>
        <v>1775.925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>
        <v>45965</v>
      </c>
      <c r="P43" s="53" t="s">
        <v>77</v>
      </c>
      <c r="Q43" s="63">
        <v>105820</v>
      </c>
      <c r="R43" s="63"/>
      <c r="S43" s="11">
        <v>107225</v>
      </c>
      <c r="T43" s="53">
        <f t="shared" ref="T43:T45" si="5">+S43-Q43</f>
        <v>1405</v>
      </c>
      <c r="U43" s="136">
        <f>SUM(J25:J26)</f>
        <v>750</v>
      </c>
      <c r="V43" s="53">
        <f>+K26</f>
        <v>222.04</v>
      </c>
      <c r="W43" s="357">
        <f>(SUM(M25:M26)/2)</f>
        <v>5987.5</v>
      </c>
    </row>
    <row r="44" spans="3:23" x14ac:dyDescent="0.2">
      <c r="C44" s="584" t="s">
        <v>40</v>
      </c>
      <c r="D44" s="585"/>
      <c r="E44" s="585"/>
      <c r="F44" s="586">
        <v>100</v>
      </c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ref="T46" si="6"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317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7964.8635665666716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  <row r="59" spans="3:22" x14ac:dyDescent="0.2">
      <c r="P59" s="21"/>
      <c r="Q59" s="21"/>
      <c r="R59" s="21"/>
      <c r="S59" s="21"/>
      <c r="T59" s="21"/>
    </row>
    <row r="60" spans="3:22" ht="15" customHeight="1" x14ac:dyDescent="0.2">
      <c r="P60" s="21"/>
      <c r="Q60" s="21"/>
      <c r="R60" s="21"/>
      <c r="S60" s="21"/>
      <c r="T60" s="21"/>
    </row>
  </sheetData>
  <mergeCells count="56">
    <mergeCell ref="F49:G49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F42:G42"/>
    <mergeCell ref="F43:G43"/>
    <mergeCell ref="F44:G44"/>
    <mergeCell ref="C44:E44"/>
    <mergeCell ref="D56:H56"/>
    <mergeCell ref="F48:G48"/>
    <mergeCell ref="C48:E48"/>
    <mergeCell ref="C43:E43"/>
    <mergeCell ref="F46:G46"/>
    <mergeCell ref="C46:E46"/>
    <mergeCell ref="F45:G45"/>
    <mergeCell ref="C45:E45"/>
    <mergeCell ref="C47:E47"/>
    <mergeCell ref="F47:G47"/>
    <mergeCell ref="C42:E42"/>
    <mergeCell ref="C49:E49"/>
    <mergeCell ref="J56:N56"/>
    <mergeCell ref="P50:R50"/>
    <mergeCell ref="Q51:R51"/>
    <mergeCell ref="Q52:R52"/>
    <mergeCell ref="Q53:R53"/>
    <mergeCell ref="Q54:R54"/>
    <mergeCell ref="Q55:R55"/>
    <mergeCell ref="Q56:R56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">
    <pageSetUpPr fitToPage="1"/>
  </sheetPr>
  <dimension ref="C1:W57"/>
  <sheetViews>
    <sheetView zoomScaleNormal="100" workbookViewId="0">
      <selection activeCell="L41" sqref="L39:L41"/>
    </sheetView>
  </sheetViews>
  <sheetFormatPr baseColWidth="10" defaultColWidth="9.140625" defaultRowHeight="12" x14ac:dyDescent="0.2"/>
  <cols>
    <col min="1" max="1" width="3.710937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9.140625" style="14" bestFit="1" customWidth="1"/>
    <col min="7" max="7" width="2.7109375" style="14" customWidth="1"/>
    <col min="8" max="8" width="10.5703125" style="14" customWidth="1"/>
    <col min="9" max="9" width="10.140625" style="14" customWidth="1"/>
    <col min="10" max="10" width="10" style="14" customWidth="1"/>
    <col min="11" max="11" width="10.42578125" style="14" customWidth="1"/>
    <col min="12" max="12" width="12.85546875" style="14" customWidth="1"/>
    <col min="13" max="13" width="10" style="14" customWidth="1"/>
    <col min="14" max="14" width="9.855468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10" style="14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2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+'AGUILAR RODRIGUEZ JORGE ALONSO'!Q3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+'AGUILAR RODRIGUEZ JORGE ALONSO'!Q6+1</f>
        <v>27</v>
      </c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279</v>
      </c>
      <c r="F11" s="2"/>
      <c r="G11" s="2"/>
      <c r="H11" s="2"/>
      <c r="I11" s="2"/>
      <c r="J11" s="2"/>
      <c r="K11" s="3" t="s">
        <v>8</v>
      </c>
      <c r="L11" s="638" t="str">
        <f>+NOMINA!B3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124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195494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196225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1500</v>
      </c>
      <c r="G16" s="257"/>
      <c r="H16" s="257"/>
      <c r="I16" s="9" t="s">
        <v>17</v>
      </c>
      <c r="J16" s="257">
        <f>SUM(K19:K32)</f>
        <v>432.37700000000001</v>
      </c>
      <c r="K16" s="257"/>
      <c r="L16" s="257"/>
      <c r="M16" s="257"/>
      <c r="N16" s="257"/>
      <c r="O16" s="9" t="s">
        <v>18</v>
      </c>
      <c r="P16" s="10">
        <f>+F16/J16</f>
        <v>3.4691947073965541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358</v>
      </c>
      <c r="V18" s="308" t="s">
        <v>361</v>
      </c>
    </row>
    <row r="19" spans="3:22" x14ac:dyDescent="0.2">
      <c r="C19" s="176">
        <v>46385</v>
      </c>
      <c r="D19" s="43" t="s">
        <v>396</v>
      </c>
      <c r="E19" s="42">
        <v>45936</v>
      </c>
      <c r="F19" s="42">
        <v>45937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51"/>
      <c r="L19" s="44"/>
      <c r="M19" s="351">
        <v>736.84900000000005</v>
      </c>
      <c r="N19" s="24">
        <v>1</v>
      </c>
      <c r="O19" s="24" t="s">
        <v>398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 t="s">
        <v>359</v>
      </c>
      <c r="V19" s="79" t="s">
        <v>359</v>
      </c>
    </row>
    <row r="20" spans="3:22" ht="12" customHeight="1" thickBot="1" x14ac:dyDescent="0.25">
      <c r="C20" s="101"/>
      <c r="D20" s="62" t="s">
        <v>399</v>
      </c>
      <c r="E20" s="25">
        <v>45937</v>
      </c>
      <c r="F20" s="25">
        <v>45937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352">
        <v>211.334</v>
      </c>
      <c r="L20" s="352">
        <f>SUM(J19:J20)/K20</f>
        <v>3.5488847038337417</v>
      </c>
      <c r="M20" s="352">
        <v>1115.79</v>
      </c>
      <c r="N20" s="27">
        <v>1</v>
      </c>
      <c r="O20" s="27" t="s">
        <v>397</v>
      </c>
      <c r="P20" s="27" t="s">
        <v>248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104.66702805667796</v>
      </c>
      <c r="T20" s="460">
        <f>+S20*14.85</f>
        <v>1554.3053666416677</v>
      </c>
      <c r="U20" s="27">
        <v>60</v>
      </c>
      <c r="V20" s="55">
        <v>60</v>
      </c>
    </row>
    <row r="21" spans="3:22" x14ac:dyDescent="0.2">
      <c r="C21" s="176">
        <v>45935</v>
      </c>
      <c r="D21" s="43" t="s">
        <v>523</v>
      </c>
      <c r="E21" s="42">
        <v>45939</v>
      </c>
      <c r="F21" s="42">
        <v>45940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51"/>
      <c r="L21" s="351"/>
      <c r="M21" s="351">
        <v>1395.1420000000001</v>
      </c>
      <c r="N21" s="24">
        <v>1</v>
      </c>
      <c r="O21" s="24" t="s">
        <v>521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 t="s">
        <v>359</v>
      </c>
      <c r="V21" s="79" t="s">
        <v>359</v>
      </c>
    </row>
    <row r="22" spans="3:22" ht="13.5" customHeight="1" thickBot="1" x14ac:dyDescent="0.25">
      <c r="C22" s="101"/>
      <c r="D22" s="62" t="s">
        <v>522</v>
      </c>
      <c r="E22" s="25">
        <v>45940</v>
      </c>
      <c r="F22" s="25">
        <v>45940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52">
        <v>221.04300000000001</v>
      </c>
      <c r="L22" s="352">
        <f>SUM(J21:J22)/K22</f>
        <v>3.3930049809313121</v>
      </c>
      <c r="M22" s="352">
        <v>5291.6</v>
      </c>
      <c r="N22" s="27">
        <v>1</v>
      </c>
      <c r="O22" s="322" t="s">
        <v>476</v>
      </c>
      <c r="P22" s="322" t="s">
        <v>196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94.958028056677961</v>
      </c>
      <c r="T22" s="460">
        <f>+S22*14.85</f>
        <v>1410.1267166416676</v>
      </c>
      <c r="U22" s="27">
        <v>60</v>
      </c>
      <c r="V22" s="55">
        <v>61</v>
      </c>
    </row>
    <row r="23" spans="3:22" hidden="1" x14ac:dyDescent="0.2">
      <c r="C23" s="238"/>
      <c r="D23" s="36"/>
      <c r="E23" s="37"/>
      <c r="F23" s="37"/>
      <c r="G23" s="36"/>
      <c r="H23" s="259"/>
      <c r="I23" s="259"/>
      <c r="J23" s="260"/>
      <c r="K23" s="353"/>
      <c r="L23" s="353"/>
      <c r="M23" s="353"/>
      <c r="N23" s="38"/>
      <c r="O23" s="38"/>
      <c r="P23" s="38"/>
      <c r="Q23" s="40"/>
      <c r="R23" s="192"/>
      <c r="S23" s="186"/>
      <c r="T23" s="462"/>
      <c r="U23" s="38"/>
      <c r="V23" s="38"/>
    </row>
    <row r="24" spans="3:22" ht="13.5" hidden="1" customHeight="1" thickBot="1" x14ac:dyDescent="0.25">
      <c r="C24" s="239"/>
      <c r="D24" s="68"/>
      <c r="E24" s="69"/>
      <c r="F24" s="69"/>
      <c r="G24" s="68"/>
      <c r="H24" s="70"/>
      <c r="I24" s="70"/>
      <c r="J24" s="71"/>
      <c r="K24" s="373"/>
      <c r="L24" s="373"/>
      <c r="M24" s="373"/>
      <c r="N24" s="70"/>
      <c r="O24" s="70"/>
      <c r="P24" s="70"/>
      <c r="Q24" s="67"/>
      <c r="R24" s="197"/>
      <c r="S24" s="194"/>
      <c r="T24" s="465"/>
      <c r="U24" s="70"/>
      <c r="V24" s="70"/>
    </row>
    <row r="25" spans="3:22" hidden="1" x14ac:dyDescent="0.2">
      <c r="C25" s="176"/>
      <c r="D25" s="43"/>
      <c r="E25" s="42"/>
      <c r="F25" s="42"/>
      <c r="G25" s="43"/>
      <c r="H25" s="236"/>
      <c r="I25" s="236"/>
      <c r="J25" s="237"/>
      <c r="K25" s="351"/>
      <c r="L25" s="351"/>
      <c r="M25" s="351"/>
      <c r="N25" s="24"/>
      <c r="O25" s="24"/>
      <c r="P25" s="24"/>
      <c r="Q25" s="45"/>
      <c r="R25" s="191"/>
      <c r="S25" s="52"/>
      <c r="T25" s="459"/>
      <c r="U25" s="24"/>
      <c r="V25" s="79"/>
    </row>
    <row r="26" spans="3:22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352"/>
      <c r="L26" s="352"/>
      <c r="M26" s="352"/>
      <c r="N26" s="27"/>
      <c r="O26" s="27"/>
      <c r="P26" s="27"/>
      <c r="Q26" s="29"/>
      <c r="R26" s="190"/>
      <c r="S26" s="19"/>
      <c r="T26" s="460"/>
      <c r="U26" s="27"/>
      <c r="V26" s="55"/>
    </row>
    <row r="27" spans="3:22" hidden="1" x14ac:dyDescent="0.2">
      <c r="C27" s="238"/>
      <c r="D27" s="36"/>
      <c r="E27" s="37"/>
      <c r="F27" s="37"/>
      <c r="G27" s="36"/>
      <c r="H27" s="38"/>
      <c r="I27" s="38"/>
      <c r="J27" s="39"/>
      <c r="K27" s="353"/>
      <c r="L27" s="48"/>
      <c r="M27" s="353"/>
      <c r="N27" s="39"/>
      <c r="O27" s="38"/>
      <c r="P27" s="38"/>
      <c r="Q27" s="40"/>
      <c r="R27" s="192"/>
      <c r="S27" s="186"/>
      <c r="T27" s="462"/>
      <c r="U27" s="38"/>
      <c r="V27" s="38"/>
    </row>
    <row r="28" spans="3:22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352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351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3:22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352"/>
      <c r="L30" s="28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38"/>
      <c r="I31" s="38"/>
      <c r="J31" s="39"/>
      <c r="K31" s="353"/>
      <c r="L31" s="48"/>
      <c r="M31" s="351"/>
      <c r="N31" s="38"/>
      <c r="O31" s="38"/>
      <c r="P31" s="38"/>
      <c r="Q31" s="40"/>
      <c r="R31" s="192"/>
      <c r="S31" s="186"/>
      <c r="T31" s="462"/>
      <c r="U31" s="11"/>
      <c r="V31" s="11"/>
    </row>
    <row r="32" spans="3:22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352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  <c r="R34" s="454"/>
      <c r="S34" s="454"/>
      <c r="T34" s="454"/>
    </row>
    <row r="35" spans="3:23" ht="12.75" thickBot="1" x14ac:dyDescent="0.25">
      <c r="E35" s="612"/>
      <c r="F35" s="630"/>
      <c r="G35" s="631"/>
      <c r="H35" s="29">
        <v>125</v>
      </c>
      <c r="I35" s="29"/>
      <c r="J35" s="29"/>
      <c r="K35" s="29"/>
      <c r="L35" s="29"/>
      <c r="M35" s="30">
        <f>SUM(F35:L35)</f>
        <v>125</v>
      </c>
      <c r="O35" s="406"/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3529.4270832833354</v>
      </c>
      <c r="R37" s="596"/>
      <c r="S37" s="597"/>
      <c r="T37" s="244"/>
    </row>
    <row r="38" spans="3:23" ht="12.75" thickBot="1" x14ac:dyDescent="0.25">
      <c r="C38" s="598" t="s">
        <v>220</v>
      </c>
      <c r="D38" s="599"/>
      <c r="E38" s="599"/>
      <c r="F38" s="600">
        <f>SUM(Q18:Q33)</f>
        <v>439.99499999999995</v>
      </c>
      <c r="G38" s="601"/>
      <c r="I38" s="114" t="s">
        <v>126</v>
      </c>
      <c r="J38" s="68" t="s">
        <v>127</v>
      </c>
      <c r="K38" s="68" t="s">
        <v>70</v>
      </c>
      <c r="L38" s="283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2964.4320832833355</v>
      </c>
      <c r="G39" s="587"/>
      <c r="I39" s="176"/>
      <c r="J39" s="415"/>
      <c r="K39" s="421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584" t="s">
        <v>34</v>
      </c>
      <c r="D40" s="585"/>
      <c r="E40" s="585"/>
      <c r="F40" s="586">
        <f>+M35</f>
        <v>125</v>
      </c>
      <c r="G40" s="587"/>
      <c r="I40" s="383"/>
      <c r="J40" s="117"/>
      <c r="K40" s="418"/>
      <c r="L40" s="410"/>
      <c r="M40" s="349"/>
      <c r="O40" s="78">
        <v>46385</v>
      </c>
      <c r="P40" s="79" t="s">
        <v>124</v>
      </c>
      <c r="Q40" s="80">
        <v>430591</v>
      </c>
      <c r="R40" s="80"/>
      <c r="S40" s="63">
        <v>431295</v>
      </c>
      <c r="T40" s="79">
        <f t="shared" ref="T40" si="2">+S40-Q40</f>
        <v>704</v>
      </c>
      <c r="U40" s="137">
        <f>SUM(J19:J20)</f>
        <v>750</v>
      </c>
      <c r="V40" s="79">
        <f>+K20</f>
        <v>211.334</v>
      </c>
      <c r="W40" s="356">
        <f>(SUM(M19:M20)/2)</f>
        <v>926.31950000000006</v>
      </c>
    </row>
    <row r="41" spans="3:23" x14ac:dyDescent="0.2">
      <c r="C41" s="584" t="s">
        <v>235</v>
      </c>
      <c r="D41" s="585"/>
      <c r="E41" s="585"/>
      <c r="F41" s="586">
        <v>0</v>
      </c>
      <c r="G41" s="587"/>
      <c r="I41" s="94"/>
      <c r="J41" s="117"/>
      <c r="K41" s="418"/>
      <c r="L41" s="410"/>
      <c r="M41" s="349"/>
      <c r="O41" s="32">
        <v>45935</v>
      </c>
      <c r="P41" s="53" t="s">
        <v>124</v>
      </c>
      <c r="Q41" s="63">
        <v>431298</v>
      </c>
      <c r="R41" s="63"/>
      <c r="S41" s="11">
        <v>431992</v>
      </c>
      <c r="T41" s="53">
        <f>+S41-Q41</f>
        <v>694</v>
      </c>
      <c r="U41" s="136">
        <f>SUM(J21:J22)</f>
        <v>750</v>
      </c>
      <c r="V41" s="53">
        <f>+K22</f>
        <v>221.04300000000001</v>
      </c>
      <c r="W41" s="357">
        <f>(SUM(M21:M22)/2)</f>
        <v>3343.3710000000001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418"/>
      <c r="L42" s="410"/>
      <c r="M42" s="349"/>
      <c r="O42" s="32"/>
      <c r="P42" s="53"/>
      <c r="Q42" s="63"/>
      <c r="R42" s="63"/>
      <c r="S42" s="63"/>
      <c r="T42" s="53">
        <f t="shared" ref="T42:T46" si="3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332</v>
      </c>
      <c r="D45" s="585"/>
      <c r="E45" s="585"/>
      <c r="F45" s="586"/>
      <c r="G45" s="587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32"/>
      <c r="P46" s="53"/>
      <c r="Q46" s="63"/>
      <c r="R46" s="83"/>
      <c r="S46" s="11"/>
      <c r="T46" s="53">
        <f t="shared" si="3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294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350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3529.4270832833354</v>
      </c>
      <c r="G49" s="583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Q52:R52"/>
    <mergeCell ref="Q53:R53"/>
    <mergeCell ref="C49:E49"/>
    <mergeCell ref="F49:G49"/>
    <mergeCell ref="D56:H56"/>
    <mergeCell ref="J56:N56"/>
    <mergeCell ref="C46:E46"/>
    <mergeCell ref="F46:G46"/>
    <mergeCell ref="C47:E47"/>
    <mergeCell ref="F47:G47"/>
    <mergeCell ref="C48:E48"/>
    <mergeCell ref="F48:G48"/>
    <mergeCell ref="F44:G44"/>
    <mergeCell ref="C45:E45"/>
    <mergeCell ref="F45:G45"/>
    <mergeCell ref="C44:E44"/>
    <mergeCell ref="I46:K46"/>
    <mergeCell ref="C42:E42"/>
    <mergeCell ref="F42:G42"/>
    <mergeCell ref="F41:G41"/>
    <mergeCell ref="C41:E41"/>
    <mergeCell ref="C43:E43"/>
    <mergeCell ref="F43:G43"/>
    <mergeCell ref="C39:E39"/>
    <mergeCell ref="F39:G39"/>
    <mergeCell ref="C40:E40"/>
    <mergeCell ref="F40:G40"/>
    <mergeCell ref="C37:G37"/>
    <mergeCell ref="I6:O6"/>
    <mergeCell ref="Q6:S6"/>
    <mergeCell ref="I9:O9"/>
    <mergeCell ref="L11:S11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E12:F12"/>
    <mergeCell ref="D13:E13"/>
    <mergeCell ref="D14:E14"/>
    <mergeCell ref="D15:E15"/>
    <mergeCell ref="D16:E16"/>
    <mergeCell ref="E34:E35"/>
    <mergeCell ref="O37:P37"/>
    <mergeCell ref="F34:G34"/>
    <mergeCell ref="F35:G35"/>
    <mergeCell ref="Q37:S37"/>
    <mergeCell ref="C38:E38"/>
    <mergeCell ref="F38:G38"/>
    <mergeCell ref="I37:L37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4">
    <pageSetUpPr fitToPage="1"/>
  </sheetPr>
  <dimension ref="C1:Z79"/>
  <sheetViews>
    <sheetView topLeftCell="A7" zoomScaleNormal="100" workbookViewId="0">
      <selection activeCell="I39" sqref="I39:L44"/>
    </sheetView>
  </sheetViews>
  <sheetFormatPr baseColWidth="10" defaultColWidth="9.140625" defaultRowHeight="12" x14ac:dyDescent="0.2"/>
  <cols>
    <col min="1" max="1" width="9.14062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9.5703125" style="14" customWidth="1"/>
    <col min="10" max="10" width="10.7109375" style="14" customWidth="1"/>
    <col min="11" max="11" width="9.7109375" style="14" customWidth="1"/>
    <col min="12" max="12" width="13.140625" style="14" customWidth="1"/>
    <col min="13" max="13" width="10.42578125" style="14" customWidth="1"/>
    <col min="14" max="14" width="10.7109375" style="14" customWidth="1"/>
    <col min="15" max="15" width="10.140625" style="14" customWidth="1"/>
    <col min="16" max="16" width="12.42578125" style="14" bestFit="1" customWidth="1"/>
    <col min="17" max="17" width="12.140625" style="14" customWidth="1"/>
    <col min="18" max="18" width="12.42578125" style="14" hidden="1" customWidth="1"/>
    <col min="19" max="19" width="11" style="14" bestFit="1" customWidth="1"/>
    <col min="20" max="20" width="11.5703125" style="14" customWidth="1"/>
    <col min="21" max="21" width="10.28515625" style="14" hidden="1" customWidth="1"/>
    <col min="22" max="22" width="10.7109375" style="14" hidden="1" customWidth="1"/>
    <col min="23" max="23" width="10.140625" style="14" hidden="1" customWidth="1"/>
    <col min="24" max="25" width="9.140625" style="14"/>
    <col min="26" max="26" width="11" style="14" bestFit="1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+'CARRERA REYES MARTIN SEBASTIAN'!Q3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/>
      <c r="R6" s="636"/>
      <c r="S6" s="637"/>
    </row>
    <row r="7" spans="4:19" ht="9" customHeight="1" x14ac:dyDescent="0.2"/>
    <row r="8" spans="4:19" ht="6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347</v>
      </c>
      <c r="F11" s="2"/>
      <c r="G11" s="2"/>
      <c r="H11" s="2"/>
      <c r="I11" s="2"/>
      <c r="J11" s="2"/>
      <c r="K11" s="3" t="s">
        <v>8</v>
      </c>
      <c r="L11" s="638" t="str">
        <f>'REYES LARA DANTE'!L11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348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/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/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SUM(J19:J28)</f>
        <v>2250</v>
      </c>
      <c r="G16" s="257"/>
      <c r="H16" s="257"/>
      <c r="I16" s="9" t="s">
        <v>17</v>
      </c>
      <c r="J16" s="257">
        <f>SUM(K19:K28)</f>
        <v>685.04399999999998</v>
      </c>
      <c r="K16" s="257"/>
      <c r="L16" s="257"/>
      <c r="M16" s="257"/>
      <c r="N16" s="257"/>
      <c r="O16" s="9" t="s">
        <v>18</v>
      </c>
      <c r="P16" s="10">
        <f>+F16/J16</f>
        <v>3.2844605601975934</v>
      </c>
      <c r="Q16" s="257"/>
      <c r="R16" s="257"/>
      <c r="S16" s="258"/>
    </row>
    <row r="17" spans="3:26" ht="7.5" customHeight="1" thickBot="1" x14ac:dyDescent="0.25"/>
    <row r="18" spans="3:26" ht="24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361</v>
      </c>
      <c r="Z18" s="244"/>
    </row>
    <row r="19" spans="3:26" x14ac:dyDescent="0.2">
      <c r="C19" s="176">
        <v>45906</v>
      </c>
      <c r="D19" s="43" t="s">
        <v>401</v>
      </c>
      <c r="E19" s="42">
        <v>45937</v>
      </c>
      <c r="F19" s="42">
        <v>45938</v>
      </c>
      <c r="G19" s="43">
        <v>2</v>
      </c>
      <c r="H19" s="23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JRZ</v>
      </c>
      <c r="I19" s="23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CHIH.</v>
      </c>
      <c r="J19" s="237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375</v>
      </c>
      <c r="K19" s="24"/>
      <c r="L19" s="44"/>
      <c r="M19" s="351">
        <v>3275.91</v>
      </c>
      <c r="N19" s="24">
        <v>1</v>
      </c>
      <c r="O19" s="24" t="s">
        <v>400</v>
      </c>
      <c r="P19" s="24" t="s">
        <v>194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11">
        <v>60</v>
      </c>
      <c r="V19" s="11">
        <v>60</v>
      </c>
    </row>
    <row r="20" spans="3:26" ht="12.75" thickBot="1" x14ac:dyDescent="0.25">
      <c r="C20" s="239"/>
      <c r="D20" s="68" t="s">
        <v>402</v>
      </c>
      <c r="E20" s="69">
        <v>45938</v>
      </c>
      <c r="F20" s="69">
        <v>45938</v>
      </c>
      <c r="G20" s="68">
        <v>3</v>
      </c>
      <c r="H20" s="7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 xml:space="preserve">CHIH. </v>
      </c>
      <c r="I20" s="7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JRZ</v>
      </c>
      <c r="J20" s="71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375</v>
      </c>
      <c r="K20" s="70">
        <v>220.00200000000001</v>
      </c>
      <c r="L20" s="72">
        <f>SUM(J19:J20)/K20</f>
        <v>3.4090599176371121</v>
      </c>
      <c r="M20" s="373">
        <v>2578.2420000000002</v>
      </c>
      <c r="N20" s="70">
        <v>1</v>
      </c>
      <c r="O20" s="70" t="s">
        <v>381</v>
      </c>
      <c r="P20" s="70" t="s">
        <v>195</v>
      </c>
      <c r="Q20" s="67">
        <f t="shared" si="0"/>
        <v>109.99874999999999</v>
      </c>
      <c r="R20" s="197">
        <f>+LOOKUP(P40,[3]UNIDADES!B$3:B$59,[3]UNIDADES!C$3:C$59)</f>
        <v>2.4509799999999999</v>
      </c>
      <c r="S20" s="194">
        <f>+((SUM(J19:J20))/R20)-K20</f>
        <v>85.99804896000785</v>
      </c>
      <c r="T20" s="465">
        <f>+S20*14.85</f>
        <v>1277.0710270561165</v>
      </c>
      <c r="U20" s="70" t="s">
        <v>359</v>
      </c>
      <c r="V20" s="70" t="s">
        <v>359</v>
      </c>
    </row>
    <row r="21" spans="3:26" x14ac:dyDescent="0.2">
      <c r="C21" s="436">
        <v>45925</v>
      </c>
      <c r="D21" s="77" t="s">
        <v>510</v>
      </c>
      <c r="E21" s="433">
        <v>45938</v>
      </c>
      <c r="F21" s="433">
        <v>45939</v>
      </c>
      <c r="G21" s="77">
        <v>2</v>
      </c>
      <c r="H21" s="437" t="str">
        <f>IF(G21=1,[3]KILOMETRAJE!C$4,IF(G21=2,[3]KILOMETRAJE!C$5,IF(G21=3,[3]KILOMETRAJE!C$6,IF(G21=4,[3]KILOMETRAJE!C$7,IF(G21=5,[3]KILOMETRAJE!C$8,IF(G21=6,[3]KILOMETRAJE!C$9,IF(G21=7,[3]KILOMETRAJE!C$10,IF(G21=8,[3]KILOMETRAJE!C$11,IF(G21=9,[3]KILOMETRAJE!C$12,IF(G21=10,[3]KILOMETRAJE!C$13,IF(G21=11,[3]KILOMETRAJE!C$14,IF(G21=12,[3]KILOMETRAJE!C$15,IF(G21=13,[3]KILOMETRAJE!C$16,IF(G21=14,[3]KILOMETRAJE!C$17,IF(G21=15,[3]KILOMETRAJE!C$18,IF(G21=16,[3]KILOMETRAJE!C$19,IF(G21=17,[3]KILOMETRAJE!C$20,IF(G21=18,[3]KILOMETRAJE!C$21,IF(G21=19,[3]KILOMETRAJE!C$22,IF(G21=20,[3]KILOMETRAJE!C$23,IF(G21=21,[3]KILOMETRAJE!C$24,IF(G21=22,[3]KILOMETRAJE!C$25,IF(G21=23,[3]KILOMETRAJE!C$26,IF(G21=24,[3]KILOMETRAJE!C$27,IF(G21=25,[3]KILOMETRAJE!C$28,IF(G21=26,[3]KILOMETRAJE!C$29,IF(G21=27,[3]KILOMETRAJE!C$30,IF(G21=28,[3]KILOMETRAJE!C$31,IF(G21=29,[3]KILOMETRAJE!C$32,IF(G21=30,[3]KILOMETRAJE!C$33,IF(G21=31,[3]KILOMETRAJE!C$34,IF(G21=32,[3]KILOMETRAJE!C$35,IF(G21=33,[3]KILOMETRAJE!C$36,IF(G21=34,[3]KILOMETRAJE!C$37,IF(G21=35,[3]KILOMETRAJE!C$38,IF(G21=36,[3]KILOMETRAJE!C$39,IF(G21=37,[3]KILOMETRAJE!C$40,IF(G21=38,[3]KILOMETRAJE!C$41,IF(G21=39,[3]KILOMETRAJE!C$42,IF(G21=40,[3]KILOMETRAJE!C$43,IF(G21=41,[3]KILOMETRAJE!C$44,IF(G21=42,[3]KILOMETRAJE!C$45,IF(G21=43,[3]KILOMETRAJE!C$46,IF(G21=44,[3]KILOMETRAJE!C$47,IF(G21=45,[3]KILOMETRAJE!C$48,IF(G21=46,[3]KILOMETRAJE!C$49,IF(G21=47,[3]KILOMETRAJE!C$50,IF(G21=48,[3]KILOMETRAJE!C$51,IF(G21=49,[3]KILOMETRAJE!C$52,IF(G21=50,[3]KILOMETRAJE!C$53,IF(G21=51,[3]KILOMETRAJE!C$54,IF(G21=52,[3]KILOMETRAJE!C$55,IF(G21=53,[3]KILOMETRAJE!C$56,IF(G21=54,[3]KILOMETRAJE!C$57,IF(G21=55,[3]KILOMETRAJE!C$58,IF(G21=56,[3]KILOMETRAJE!C$59,IF(G21=57,[3]KILOMETRAJE!C$60,IF(G21=58,[3]KILOMETRAJE!C$61,IF(G21=59,[3]KILOMETRAJE!C$62,IF(G21=60,[3]KILOMETRAJE!C$63,IF(G21=61,[3]KILOMETRAJE!C$64,IF(G21=62,[3]KILOMETRAJE!C$65,IF(G21=63,[3]KILOMETRAJE!C$66)))))))))))))))))))))))))))))))))))))))))))))))))))))))))))))))</f>
        <v>JRZ</v>
      </c>
      <c r="I21" s="437" t="str">
        <f>IF(G21=1,[3]KILOMETRAJE!E$4,IF(G21=2,[3]KILOMETRAJE!E$5,IF(G21=3,[3]KILOMETRAJE!E$6,IF(G21=4,[3]KILOMETRAJE!E$7,IF(G21=5,[3]KILOMETRAJE!E$8,IF(G21=6,[3]KILOMETRAJE!E$9,IF(G21=7,[3]KILOMETRAJE!E$10,IF(G21=8,[3]KILOMETRAJE!E$11,IF(G21=9,[3]KILOMETRAJE!E$12,IF(G21=10,[3]KILOMETRAJE!E$13,IF(G21=11,[3]KILOMETRAJE!E$14,IF(G21=12,[3]KILOMETRAJE!E$15,IF(G21=13,[3]KILOMETRAJE!E$16,IF(G21=14,[3]KILOMETRAJE!E$17,IF(G21=15,[3]KILOMETRAJE!E$18,IF(G21=16,[3]KILOMETRAJE!E$19,IF(G21=17,[3]KILOMETRAJE!E$20,IF(G21=18,[3]KILOMETRAJE!E$21,IF(G21=19,[3]KILOMETRAJE!E$22,IF(G21=20,[3]KILOMETRAJE!E$23,IF(G21=21,[3]KILOMETRAJE!E$24,IF(G21=22,[3]KILOMETRAJE!E$25,IF(G21=23,[3]KILOMETRAJE!E$26,IF(G21=24,[3]KILOMETRAJE!E$27,IF(G21=25,[3]KILOMETRAJE!E$28,IF(G21=26,[3]KILOMETRAJE!E$29,IF(G21=27,[3]KILOMETRAJE!E$30,IF(G21=28,[3]KILOMETRAJE!E$31,IF(G21=29,[3]KILOMETRAJE!E$32,IF(G21=30,[3]KILOMETRAJE!E$33,IF(G21=31,[3]KILOMETRAJE!E$34,IF(G21=32,[3]KILOMETRAJE!E$35,IF(G21=33,[3]KILOMETRAJE!E$36,IF(G21=34,[3]KILOMETRAJE!E$37,IF(G21=35,[3]KILOMETRAJE!E$38,IF(G21=36,[3]KILOMETRAJE!E$39,IF(G21=37,[3]KILOMETRAJE!E$40,IF(G21=38,[3]KILOMETRAJE!E$41,IF(G21=39,[3]KILOMETRAJE!E$42,IF(G21=40,[3]KILOMETRAJE!E$43,IF(G21=41,[3]KILOMETRAJE!E$44,IF(G21=42,[3]KILOMETRAJE!E$45,IF(G21=43,[3]KILOMETRAJE!E$46,IF(G21=44,[3]KILOMETRAJE!E$47,IF(G21=45,[3]KILOMETRAJE!E$48,IF(G21=46,[3]KILOMETRAJE!E$49,IF(G21=47,[3]KILOMETRAJE!E$50,IF(G21=48,[3]KILOMETRAJE!E$51,IF(G21=49,[3]KILOMETRAJE!E$52,IF(G21=50,[3]KILOMETRAJE!E$53,IF(G21=51,[3]KILOMETRAJE!E$54,IF(G21=52,[3]KILOMETRAJE!E$55,IF(G21=53,[3]KILOMETRAJE!E$56,IF(G21=54,[3]KILOMETRAJE!E$57,IF(G21=55,[3]KILOMETRAJE!E$58,IF(G21=56,[3]KILOMETRAJE!E$59,IF(G21=57,[3]KILOMETRAJE!E$60,IF(G21=58,[3]KILOMETRAJE!E$61,IF(G21=59,[3]KILOMETRAJE!E$62,IF(G21=60,[3]KILOMETRAJE!E$63,IF(G21=61,[3]KILOMETRAJE!E$64,IF(G21=62,[3]KILOMETRAJE!E$65,IF(G21=63,[3]KILOMETRAJE!E$66)))))))))))))))))))))))))))))))))))))))))))))))))))))))))))))))</f>
        <v>CHIH.</v>
      </c>
      <c r="J21" s="438">
        <f>IF(G21=1,[3]KILOMETRAJE!G$4,IF(G21=2,[3]KILOMETRAJE!G$5,IF(G21=3,[3]KILOMETRAJE!G$6,IF(G21=4,[3]KILOMETRAJE!G$7,IF(G21=5,[3]KILOMETRAJE!G$8,IF(G21=6,[3]KILOMETRAJE!G$9,IF(G21=7,[3]KILOMETRAJE!G$10,IF(G21=8,[3]KILOMETRAJE!G$11,IF(G21=9,[3]KILOMETRAJE!G$12,IF(G21=10,[3]KILOMETRAJE!G$13,IF(G21=11,[3]KILOMETRAJE!G$14,IF(G21=12,[3]KILOMETRAJE!G$15,IF(G21=13,[3]KILOMETRAJE!G$16,IF(G21=14,[3]KILOMETRAJE!G$17,IF(G21=15,[3]KILOMETRAJE!G$18,IF(G21=16,[3]KILOMETRAJE!G$19,IF(G21=17,[3]KILOMETRAJE!G$20,IF(G21=18,[3]KILOMETRAJE!G$21,IF(G21=19,[3]KILOMETRAJE!G$22,IF(G21=20,[3]KILOMETRAJE!G$23,IF(G21=21,[3]KILOMETRAJE!G$24,IF(G21=22,[3]KILOMETRAJE!G$25,IF(G21=23,[3]KILOMETRAJE!G$26,IF(G21=24,[3]KILOMETRAJE!G$27,IF(G21=25,[3]KILOMETRAJE!G$28,IF(G21=26,[3]KILOMETRAJE!G$29,IF(G21=27,[3]KILOMETRAJE!G$30,IF(G21=28,[3]KILOMETRAJE!G$31,IF(G21=29,[3]KILOMETRAJE!G$32,IF(G21=30,[3]KILOMETRAJE!G$33,IF(G21=31,[3]KILOMETRAJE!G$34,IF(G21=32,[3]KILOMETRAJE!G$35,IF(G21=33,[3]KILOMETRAJE!G$36,IF(G21=34,[3]KILOMETRAJE!G$37,IF(G21=35,[3]KILOMETRAJE!G$38,IF(G21=36,[3]KILOMETRAJE!G$39,IF(G21=37,[3]KILOMETRAJE!G$40,IF(G21=38,[3]KILOMETRAJE!G$41,IF(G21=39,[3]KILOMETRAJE!G$42,IF(G21=40,[3]KILOMETRAJE!G$43,IF(G21=41,[3]KILOMETRAJE!G$44,IF(G21=42,[3]KILOMETRAJE!G$45,IF(G21=43,[3]KILOMETRAJE!G$46,IF(G21=44,[3]KILOMETRAJE!G$47,IF(G21=45,[3]KILOMETRAJE!G$48,IF(G21=46,[3]KILOMETRAJE!G$49,IF(G21=47,[3]KILOMETRAJE!G$50,IF(G21=48,[3]KILOMETRAJE!G$51,IF(G21=49,[3]KILOMETRAJE!G$52,IF(G21=50,[3]KILOMETRAJE!G$53,IF(G21=51,[3]KILOMETRAJE!G$54,IF(G21=52,[3]KILOMETRAJE!G$55,IF(G21=53,[3]KILOMETRAJE!G$56,IF(G21=54,[3]KILOMETRAJE!G$57,IF(G21=55,[3]KILOMETRAJE!G$58,IF(G21=56,[3]KILOMETRAJE!G$59,IF(G21=57,[3]KILOMETRAJE!G$60,IF(G21=58,[3]KILOMETRAJE!G$61,IF(G21=59,[3]KILOMETRAJE!G$62,IF(G21=60,[3]KILOMETRAJE!G$63,IF(G21=61,[3]KILOMETRAJE!G$64,IF(G21=62,[3]KILOMETRAJE!G$65,IF(G21=63,[3]KILOMETRAJE!G$66)))))))))))))))))))))))))))))))))))))))))))))))))))))))))))))))</f>
        <v>375</v>
      </c>
      <c r="K21" s="33"/>
      <c r="L21" s="439"/>
      <c r="M21" s="435">
        <v>1327.98</v>
      </c>
      <c r="N21" s="33">
        <v>1</v>
      </c>
      <c r="O21" s="33" t="s">
        <v>509</v>
      </c>
      <c r="P21" s="33" t="s">
        <v>248</v>
      </c>
      <c r="Q21" s="440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441"/>
      <c r="S21" s="442"/>
      <c r="T21" s="476"/>
      <c r="U21" s="24">
        <v>60</v>
      </c>
      <c r="V21" s="79">
        <v>60</v>
      </c>
    </row>
    <row r="22" spans="3:26" ht="12.75" thickBot="1" x14ac:dyDescent="0.25">
      <c r="C22" s="101"/>
      <c r="D22" s="62" t="s">
        <v>511</v>
      </c>
      <c r="E22" s="25">
        <v>45939</v>
      </c>
      <c r="F22" s="25">
        <v>45939</v>
      </c>
      <c r="G22" s="62">
        <v>3</v>
      </c>
      <c r="H22" s="27" t="str">
        <f>IF(G22=1,[3]KILOMETRAJE!C$4,IF(G22=2,[3]KILOMETRAJE!C$5,IF(G22=3,[3]KILOMETRAJE!C$6,IF(G22=4,[3]KILOMETRAJE!C$7,IF(G22=5,[3]KILOMETRAJE!C$8,IF(G22=6,[3]KILOMETRAJE!C$9,IF(G22=7,[3]KILOMETRAJE!C$10,IF(G22=8,[3]KILOMETRAJE!C$11,IF(G22=9,[3]KILOMETRAJE!C$12,IF(G22=10,[3]KILOMETRAJE!C$13,IF(G22=11,[3]KILOMETRAJE!C$14,IF(G22=12,[3]KILOMETRAJE!C$15,IF(G22=13,[3]KILOMETRAJE!C$16,IF(G22=14,[3]KILOMETRAJE!C$17,IF(G22=15,[3]KILOMETRAJE!C$18,IF(G22=16,[3]KILOMETRAJE!C$19,IF(G22=17,[3]KILOMETRAJE!C$20,IF(G22=18,[3]KILOMETRAJE!C$21,IF(G22=19,[3]KILOMETRAJE!C$22,IF(G22=20,[3]KILOMETRAJE!C$23,IF(G22=21,[3]KILOMETRAJE!C$24,IF(G22=22,[3]KILOMETRAJE!C$25,IF(G22=23,[3]KILOMETRAJE!C$26,IF(G22=24,[3]KILOMETRAJE!C$27,IF(G22=25,[3]KILOMETRAJE!C$28,IF(G22=26,[3]KILOMETRAJE!C$29,IF(G22=27,[3]KILOMETRAJE!C$30,IF(G22=28,[3]KILOMETRAJE!C$31,IF(G22=29,[3]KILOMETRAJE!C$32,IF(G22=30,[3]KILOMETRAJE!C$33,IF(G22=31,[3]KILOMETRAJE!C$34,IF(G22=32,[3]KILOMETRAJE!C$35,IF(G22=33,[3]KILOMETRAJE!C$36,IF(G22=34,[3]KILOMETRAJE!C$37,IF(G22=35,[3]KILOMETRAJE!C$38,IF(G22=36,[3]KILOMETRAJE!C$39,IF(G22=37,[3]KILOMETRAJE!C$40,IF(G22=38,[3]KILOMETRAJE!C$41,IF(G22=39,[3]KILOMETRAJE!C$42,IF(G22=40,[3]KILOMETRAJE!C$43,IF(G22=41,[3]KILOMETRAJE!C$44,IF(G22=42,[3]KILOMETRAJE!C$45,IF(G22=43,[3]KILOMETRAJE!C$46,IF(G22=44,[3]KILOMETRAJE!C$47,IF(G22=45,[3]KILOMETRAJE!C$48,IF(G22=46,[3]KILOMETRAJE!C$49,IF(G22=47,[3]KILOMETRAJE!C$50,IF(G22=48,[3]KILOMETRAJE!C$51,IF(G22=49,[3]KILOMETRAJE!C$52,IF(G22=50,[3]KILOMETRAJE!C$53,IF(G22=51,[3]KILOMETRAJE!C$54,IF(G22=52,[3]KILOMETRAJE!C$55,IF(G22=53,[3]KILOMETRAJE!C$56,IF(G22=54,[3]KILOMETRAJE!C$57,IF(G22=55,[3]KILOMETRAJE!C$58,IF(G22=56,[3]KILOMETRAJE!C$59,IF(G22=57,[3]KILOMETRAJE!C$60,IF(G22=58,[3]KILOMETRAJE!C$61,IF(G22=59,[3]KILOMETRAJE!C$62,IF(G22=60,[3]KILOMETRAJE!C$63,IF(G22=61,[3]KILOMETRAJE!C$64,IF(G22=62,[3]KILOMETRAJE!C$65,IF(G22=63,[3]KILOMETRAJE!C$66)))))))))))))))))))))))))))))))))))))))))))))))))))))))))))))))</f>
        <v xml:space="preserve">CHIH. </v>
      </c>
      <c r="I22" s="27" t="str">
        <f>IF(G22=1,[3]KILOMETRAJE!E$4,IF(G22=2,[3]KILOMETRAJE!E$5,IF(G22=3,[3]KILOMETRAJE!E$6,IF(G22=4,[3]KILOMETRAJE!E$7,IF(G22=5,[3]KILOMETRAJE!E$8,IF(G22=6,[3]KILOMETRAJE!E$9,IF(G22=7,[3]KILOMETRAJE!E$10,IF(G22=8,[3]KILOMETRAJE!E$11,IF(G22=9,[3]KILOMETRAJE!E$12,IF(G22=10,[3]KILOMETRAJE!E$13,IF(G22=11,[3]KILOMETRAJE!E$14,IF(G22=12,[3]KILOMETRAJE!E$15,IF(G22=13,[3]KILOMETRAJE!E$16,IF(G22=14,[3]KILOMETRAJE!E$17,IF(G22=15,[3]KILOMETRAJE!E$18,IF(G22=16,[3]KILOMETRAJE!E$19,IF(G22=17,[3]KILOMETRAJE!E$20,IF(G22=18,[3]KILOMETRAJE!E$21,IF(G22=19,[3]KILOMETRAJE!E$22,IF(G22=20,[3]KILOMETRAJE!E$23,IF(G22=21,[3]KILOMETRAJE!E$24,IF(G22=22,[3]KILOMETRAJE!E$25,IF(G22=23,[3]KILOMETRAJE!E$26,IF(G22=24,[3]KILOMETRAJE!E$27,IF(G22=25,[3]KILOMETRAJE!E$28,IF(G22=26,[3]KILOMETRAJE!E$29,IF(G22=27,[3]KILOMETRAJE!E$30,IF(G22=28,[3]KILOMETRAJE!E$31,IF(G22=29,[3]KILOMETRAJE!E$32,IF(G22=30,[3]KILOMETRAJE!E$33,IF(G22=31,[3]KILOMETRAJE!E$34,IF(G22=32,[3]KILOMETRAJE!E$35,IF(G22=33,[3]KILOMETRAJE!E$36,IF(G22=34,[3]KILOMETRAJE!E$37,IF(G22=35,[3]KILOMETRAJE!E$38,IF(G22=36,[3]KILOMETRAJE!E$39,IF(G22=37,[3]KILOMETRAJE!E$40,IF(G22=38,[3]KILOMETRAJE!E$41,IF(G22=39,[3]KILOMETRAJE!E$42,IF(G22=40,[3]KILOMETRAJE!E$43,IF(G22=41,[3]KILOMETRAJE!E$44,IF(G22=42,[3]KILOMETRAJE!E$45,IF(G22=43,[3]KILOMETRAJE!E$46,IF(G22=44,[3]KILOMETRAJE!E$47,IF(G22=45,[3]KILOMETRAJE!E$48,IF(G22=46,[3]KILOMETRAJE!E$49,IF(G22=47,[3]KILOMETRAJE!E$50,IF(G22=48,[3]KILOMETRAJE!E$51,IF(G22=49,[3]KILOMETRAJE!E$52,IF(G22=50,[3]KILOMETRAJE!E$53,IF(G22=51,[3]KILOMETRAJE!E$54,IF(G22=52,[3]KILOMETRAJE!E$55,IF(G22=53,[3]KILOMETRAJE!E$56,IF(G22=54,[3]KILOMETRAJE!E$57,IF(G22=55,[3]KILOMETRAJE!E$58,IF(G22=56,[3]KILOMETRAJE!E$59,IF(G22=57,[3]KILOMETRAJE!E$60,IF(G22=58,[3]KILOMETRAJE!E$61,IF(G22=59,[3]KILOMETRAJE!E$62,IF(G22=60,[3]KILOMETRAJE!E$63,IF(G22=61,[3]KILOMETRAJE!E$64,IF(G22=62,[3]KILOMETRAJE!E$65,IF(G22=63,[3]KILOMETRAJE!E$66)))))))))))))))))))))))))))))))))))))))))))))))))))))))))))))))</f>
        <v>JRZ</v>
      </c>
      <c r="J22" s="31">
        <f>IF(G22=1,[3]KILOMETRAJE!G$4,IF(G22=2,[3]KILOMETRAJE!G$5,IF(G22=3,[3]KILOMETRAJE!G$6,IF(G22=4,[3]KILOMETRAJE!G$7,IF(G22=5,[3]KILOMETRAJE!G$8,IF(G22=6,[3]KILOMETRAJE!G$9,IF(G22=7,[3]KILOMETRAJE!G$10,IF(G22=8,[3]KILOMETRAJE!G$11,IF(G22=9,[3]KILOMETRAJE!G$12,IF(G22=10,[3]KILOMETRAJE!G$13,IF(G22=11,[3]KILOMETRAJE!G$14,IF(G22=12,[3]KILOMETRAJE!G$15,IF(G22=13,[3]KILOMETRAJE!G$16,IF(G22=14,[3]KILOMETRAJE!G$17,IF(G22=15,[3]KILOMETRAJE!G$18,IF(G22=16,[3]KILOMETRAJE!G$19,IF(G22=17,[3]KILOMETRAJE!G$20,IF(G22=18,[3]KILOMETRAJE!G$21,IF(G22=19,[3]KILOMETRAJE!G$22,IF(G22=20,[3]KILOMETRAJE!G$23,IF(G22=21,[3]KILOMETRAJE!G$24,IF(G22=22,[3]KILOMETRAJE!G$25,IF(G22=23,[3]KILOMETRAJE!G$26,IF(G22=24,[3]KILOMETRAJE!G$27,IF(G22=25,[3]KILOMETRAJE!G$28,IF(G22=26,[3]KILOMETRAJE!G$29,IF(G22=27,[3]KILOMETRAJE!G$30,IF(G22=28,[3]KILOMETRAJE!G$31,IF(G22=29,[3]KILOMETRAJE!G$32,IF(G22=30,[3]KILOMETRAJE!G$33,IF(G22=31,[3]KILOMETRAJE!G$34,IF(G22=32,[3]KILOMETRAJE!G$35,IF(G22=33,[3]KILOMETRAJE!G$36,IF(G22=34,[3]KILOMETRAJE!G$37,IF(G22=35,[3]KILOMETRAJE!G$38,IF(G22=36,[3]KILOMETRAJE!G$39,IF(G22=37,[3]KILOMETRAJE!G$40,IF(G22=38,[3]KILOMETRAJE!G$41,IF(G22=39,[3]KILOMETRAJE!G$42,IF(G22=40,[3]KILOMETRAJE!G$43,IF(G22=41,[3]KILOMETRAJE!G$44,IF(G22=42,[3]KILOMETRAJE!G$45,IF(G22=43,[3]KILOMETRAJE!G$46,IF(G22=44,[3]KILOMETRAJE!G$47,IF(G22=45,[3]KILOMETRAJE!G$48,IF(G22=46,[3]KILOMETRAJE!G$49,IF(G22=47,[3]KILOMETRAJE!G$50,IF(G22=48,[3]KILOMETRAJE!G$51,IF(G22=49,[3]KILOMETRAJE!G$52,IF(G22=50,[3]KILOMETRAJE!G$53,IF(G22=51,[3]KILOMETRAJE!G$54,IF(G22=52,[3]KILOMETRAJE!G$55,IF(G22=53,[3]KILOMETRAJE!G$56,IF(G22=54,[3]KILOMETRAJE!G$57,IF(G22=55,[3]KILOMETRAJE!G$58,IF(G22=56,[3]KILOMETRAJE!G$59,IF(G22=57,[3]KILOMETRAJE!G$60,IF(G22=58,[3]KILOMETRAJE!G$61,IF(G22=59,[3]KILOMETRAJE!G$62,IF(G22=60,[3]KILOMETRAJE!G$63,IF(G22=61,[3]KILOMETRAJE!G$64,IF(G22=62,[3]KILOMETRAJE!G$65,IF(G22=63,[3]KILOMETRAJE!G$66)))))))))))))))))))))))))))))))))))))))))))))))))))))))))))))))</f>
        <v>375</v>
      </c>
      <c r="K22" s="27">
        <v>200.023</v>
      </c>
      <c r="L22" s="28">
        <f>SUM(J21:J22)/K22</f>
        <v>3.7495687995880473</v>
      </c>
      <c r="M22" s="352">
        <v>0</v>
      </c>
      <c r="N22" s="27">
        <v>3</v>
      </c>
      <c r="O22" s="27"/>
      <c r="P22" s="27" t="s">
        <v>203</v>
      </c>
      <c r="Q22" s="29">
        <f t="shared" si="1"/>
        <v>54.999749999999999</v>
      </c>
      <c r="R22" s="190">
        <f>+LOOKUP(P41,[3]UNIDADES!B$3:B$59,[3]UNIDADES!C$3:C$59)</f>
        <v>2.4509799999999999</v>
      </c>
      <c r="S22" s="19">
        <f>+((SUM(J21:J22))/R22)-K22</f>
        <v>105.97704896000786</v>
      </c>
      <c r="T22" s="460">
        <f>+S22*14.85</f>
        <v>1573.7591770561166</v>
      </c>
      <c r="U22" s="27" t="s">
        <v>359</v>
      </c>
      <c r="V22" s="55" t="s">
        <v>359</v>
      </c>
    </row>
    <row r="23" spans="3:26" x14ac:dyDescent="0.2">
      <c r="C23" s="238">
        <v>45959</v>
      </c>
      <c r="D23" s="36" t="s">
        <v>512</v>
      </c>
      <c r="E23" s="37">
        <v>45940</v>
      </c>
      <c r="F23" s="37">
        <v>45941</v>
      </c>
      <c r="G23" s="36">
        <v>2</v>
      </c>
      <c r="H23" s="259" t="str">
        <f>IF(G23=1,[3]KILOMETRAJE!C$4,IF(G23=2,[3]KILOMETRAJE!C$5,IF(G23=3,[3]KILOMETRAJE!C$6,IF(G23=4,[3]KILOMETRAJE!C$7,IF(G23=5,[3]KILOMETRAJE!C$8,IF(G23=6,[3]KILOMETRAJE!C$9,IF(G23=7,[3]KILOMETRAJE!C$10,IF(G23=8,[3]KILOMETRAJE!C$11,IF(G23=9,[3]KILOMETRAJE!C$12,IF(G23=10,[3]KILOMETRAJE!C$13,IF(G23=11,[3]KILOMETRAJE!C$14,IF(G23=12,[3]KILOMETRAJE!C$15,IF(G23=13,[3]KILOMETRAJE!C$16,IF(G23=14,[3]KILOMETRAJE!C$17,IF(G23=15,[3]KILOMETRAJE!C$18,IF(G23=16,[3]KILOMETRAJE!C$19,IF(G23=17,[3]KILOMETRAJE!C$20,IF(G23=18,[3]KILOMETRAJE!C$21,IF(G23=19,[3]KILOMETRAJE!C$22,IF(G23=20,[3]KILOMETRAJE!C$23,IF(G23=21,[3]KILOMETRAJE!C$24,IF(G23=22,[3]KILOMETRAJE!C$25,IF(G23=23,[3]KILOMETRAJE!C$26,IF(G23=24,[3]KILOMETRAJE!C$27,IF(G23=25,[3]KILOMETRAJE!C$28,IF(G23=26,[3]KILOMETRAJE!C$29,IF(G23=27,[3]KILOMETRAJE!C$30,IF(G23=28,[3]KILOMETRAJE!C$31,IF(G23=29,[3]KILOMETRAJE!C$32,IF(G23=30,[3]KILOMETRAJE!C$33,IF(G23=31,[3]KILOMETRAJE!C$34,IF(G23=32,[3]KILOMETRAJE!C$35,IF(G23=33,[3]KILOMETRAJE!C$36,IF(G23=34,[3]KILOMETRAJE!C$37,IF(G23=35,[3]KILOMETRAJE!C$38,IF(G23=36,[3]KILOMETRAJE!C$39,IF(G23=37,[3]KILOMETRAJE!C$40,IF(G23=38,[3]KILOMETRAJE!C$41,IF(G23=39,[3]KILOMETRAJE!C$42,IF(G23=40,[3]KILOMETRAJE!C$43,IF(G23=41,[3]KILOMETRAJE!C$44,IF(G23=42,[3]KILOMETRAJE!C$45,IF(G23=43,[3]KILOMETRAJE!C$46,IF(G23=44,[3]KILOMETRAJE!C$47,IF(G23=45,[3]KILOMETRAJE!C$48,IF(G23=46,[3]KILOMETRAJE!C$49,IF(G23=47,[3]KILOMETRAJE!C$50,IF(G23=48,[3]KILOMETRAJE!C$51,IF(G23=49,[3]KILOMETRAJE!C$52,IF(G23=50,[3]KILOMETRAJE!C$53,IF(G23=51,[3]KILOMETRAJE!C$54,IF(G23=52,[3]KILOMETRAJE!C$55,IF(G23=53,[3]KILOMETRAJE!C$56,IF(G23=54,[3]KILOMETRAJE!C$57,IF(G23=55,[3]KILOMETRAJE!C$58,IF(G23=56,[3]KILOMETRAJE!C$59,IF(G23=57,[3]KILOMETRAJE!C$60,IF(G23=58,[3]KILOMETRAJE!C$61,IF(G23=59,[3]KILOMETRAJE!C$62,IF(G23=60,[3]KILOMETRAJE!C$63,IF(G23=61,[3]KILOMETRAJE!C$64,IF(G23=62,[3]KILOMETRAJE!C$65,IF(G23=63,[3]KILOMETRAJE!C$66)))))))))))))))))))))))))))))))))))))))))))))))))))))))))))))))</f>
        <v>JRZ</v>
      </c>
      <c r="I23" s="259" t="str">
        <f>IF(G23=1,[3]KILOMETRAJE!E$4,IF(G23=2,[3]KILOMETRAJE!E$5,IF(G23=3,[3]KILOMETRAJE!E$6,IF(G23=4,[3]KILOMETRAJE!E$7,IF(G23=5,[3]KILOMETRAJE!E$8,IF(G23=6,[3]KILOMETRAJE!E$9,IF(G23=7,[3]KILOMETRAJE!E$10,IF(G23=8,[3]KILOMETRAJE!E$11,IF(G23=9,[3]KILOMETRAJE!E$12,IF(G23=10,[3]KILOMETRAJE!E$13,IF(G23=11,[3]KILOMETRAJE!E$14,IF(G23=12,[3]KILOMETRAJE!E$15,IF(G23=13,[3]KILOMETRAJE!E$16,IF(G23=14,[3]KILOMETRAJE!E$17,IF(G23=15,[3]KILOMETRAJE!E$18,IF(G23=16,[3]KILOMETRAJE!E$19,IF(G23=17,[3]KILOMETRAJE!E$20,IF(G23=18,[3]KILOMETRAJE!E$21,IF(G23=19,[3]KILOMETRAJE!E$22,IF(G23=20,[3]KILOMETRAJE!E$23,IF(G23=21,[3]KILOMETRAJE!E$24,IF(G23=22,[3]KILOMETRAJE!E$25,IF(G23=23,[3]KILOMETRAJE!E$26,IF(G23=24,[3]KILOMETRAJE!E$27,IF(G23=25,[3]KILOMETRAJE!E$28,IF(G23=26,[3]KILOMETRAJE!E$29,IF(G23=27,[3]KILOMETRAJE!E$30,IF(G23=28,[3]KILOMETRAJE!E$31,IF(G23=29,[3]KILOMETRAJE!E$32,IF(G23=30,[3]KILOMETRAJE!E$33,IF(G23=31,[3]KILOMETRAJE!E$34,IF(G23=32,[3]KILOMETRAJE!E$35,IF(G23=33,[3]KILOMETRAJE!E$36,IF(G23=34,[3]KILOMETRAJE!E$37,IF(G23=35,[3]KILOMETRAJE!E$38,IF(G23=36,[3]KILOMETRAJE!E$39,IF(G23=37,[3]KILOMETRAJE!E$40,IF(G23=38,[3]KILOMETRAJE!E$41,IF(G23=39,[3]KILOMETRAJE!E$42,IF(G23=40,[3]KILOMETRAJE!E$43,IF(G23=41,[3]KILOMETRAJE!E$44,IF(G23=42,[3]KILOMETRAJE!E$45,IF(G23=43,[3]KILOMETRAJE!E$46,IF(G23=44,[3]KILOMETRAJE!E$47,IF(G23=45,[3]KILOMETRAJE!E$48,IF(G23=46,[3]KILOMETRAJE!E$49,IF(G23=47,[3]KILOMETRAJE!E$50,IF(G23=48,[3]KILOMETRAJE!E$51,IF(G23=49,[3]KILOMETRAJE!E$52,IF(G23=50,[3]KILOMETRAJE!E$53,IF(G23=51,[3]KILOMETRAJE!E$54,IF(G23=52,[3]KILOMETRAJE!E$55,IF(G23=53,[3]KILOMETRAJE!E$56,IF(G23=54,[3]KILOMETRAJE!E$57,IF(G23=55,[3]KILOMETRAJE!E$58,IF(G23=56,[3]KILOMETRAJE!E$59,IF(G23=57,[3]KILOMETRAJE!E$60,IF(G23=58,[3]KILOMETRAJE!E$61,IF(G23=59,[3]KILOMETRAJE!E$62,IF(G23=60,[3]KILOMETRAJE!E$63,IF(G23=61,[3]KILOMETRAJE!E$64,IF(G23=62,[3]KILOMETRAJE!E$65,IF(G23=63,[3]KILOMETRAJE!E$66)))))))))))))))))))))))))))))))))))))))))))))))))))))))))))))))</f>
        <v>CHIH.</v>
      </c>
      <c r="J23" s="260">
        <f>IF(G23=1,[3]KILOMETRAJE!G$4,IF(G23=2,[3]KILOMETRAJE!G$5,IF(G23=3,[3]KILOMETRAJE!G$6,IF(G23=4,[3]KILOMETRAJE!G$7,IF(G23=5,[3]KILOMETRAJE!G$8,IF(G23=6,[3]KILOMETRAJE!G$9,IF(G23=7,[3]KILOMETRAJE!G$10,IF(G23=8,[3]KILOMETRAJE!G$11,IF(G23=9,[3]KILOMETRAJE!G$12,IF(G23=10,[3]KILOMETRAJE!G$13,IF(G23=11,[3]KILOMETRAJE!G$14,IF(G23=12,[3]KILOMETRAJE!G$15,IF(G23=13,[3]KILOMETRAJE!G$16,IF(G23=14,[3]KILOMETRAJE!G$17,IF(G23=15,[3]KILOMETRAJE!G$18,IF(G23=16,[3]KILOMETRAJE!G$19,IF(G23=17,[3]KILOMETRAJE!G$20,IF(G23=18,[3]KILOMETRAJE!G$21,IF(G23=19,[3]KILOMETRAJE!G$22,IF(G23=20,[3]KILOMETRAJE!G$23,IF(G23=21,[3]KILOMETRAJE!G$24,IF(G23=22,[3]KILOMETRAJE!G$25,IF(G23=23,[3]KILOMETRAJE!G$26,IF(G23=24,[3]KILOMETRAJE!G$27,IF(G23=25,[3]KILOMETRAJE!G$28,IF(G23=26,[3]KILOMETRAJE!G$29,IF(G23=27,[3]KILOMETRAJE!G$30,IF(G23=28,[3]KILOMETRAJE!G$31,IF(G23=29,[3]KILOMETRAJE!G$32,IF(G23=30,[3]KILOMETRAJE!G$33,IF(G23=31,[3]KILOMETRAJE!G$34,IF(G23=32,[3]KILOMETRAJE!G$35,IF(G23=33,[3]KILOMETRAJE!G$36,IF(G23=34,[3]KILOMETRAJE!G$37,IF(G23=35,[3]KILOMETRAJE!G$38,IF(G23=36,[3]KILOMETRAJE!G$39,IF(G23=37,[3]KILOMETRAJE!G$40,IF(G23=38,[3]KILOMETRAJE!G$41,IF(G23=39,[3]KILOMETRAJE!G$42,IF(G23=40,[3]KILOMETRAJE!G$43,IF(G23=41,[3]KILOMETRAJE!G$44,IF(G23=42,[3]KILOMETRAJE!G$45,IF(G23=43,[3]KILOMETRAJE!G$46,IF(G23=44,[3]KILOMETRAJE!G$47,IF(G23=45,[3]KILOMETRAJE!G$48,IF(G23=46,[3]KILOMETRAJE!G$49,IF(G23=47,[3]KILOMETRAJE!G$50,IF(G23=48,[3]KILOMETRAJE!G$51,IF(G23=49,[3]KILOMETRAJE!G$52,IF(G23=50,[3]KILOMETRAJE!G$53,IF(G23=51,[3]KILOMETRAJE!G$54,IF(G23=52,[3]KILOMETRAJE!G$55,IF(G23=53,[3]KILOMETRAJE!G$56,IF(G23=54,[3]KILOMETRAJE!G$57,IF(G23=55,[3]KILOMETRAJE!G$58,IF(G23=56,[3]KILOMETRAJE!G$59,IF(G23=57,[3]KILOMETRAJE!G$60,IF(G23=58,[3]KILOMETRAJE!G$61,IF(G23=59,[3]KILOMETRAJE!G$62,IF(G23=60,[3]KILOMETRAJE!G$63,IF(G23=61,[3]KILOMETRAJE!G$64,IF(G23=62,[3]KILOMETRAJE!G$65,IF(G23=63,[3]KILOMETRAJE!G$66)))))))))))))))))))))))))))))))))))))))))))))))))))))))))))))))</f>
        <v>375</v>
      </c>
      <c r="K23" s="38"/>
      <c r="L23" s="48"/>
      <c r="M23" s="353">
        <v>7323.8220000000001</v>
      </c>
      <c r="N23" s="38">
        <v>1</v>
      </c>
      <c r="O23" s="38" t="s">
        <v>405</v>
      </c>
      <c r="P23" s="38" t="s">
        <v>192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>
        <v>60</v>
      </c>
      <c r="V23" s="38"/>
    </row>
    <row r="24" spans="3:26" ht="12.75" thickBot="1" x14ac:dyDescent="0.25">
      <c r="C24" s="101"/>
      <c r="D24" s="62" t="s">
        <v>513</v>
      </c>
      <c r="E24" s="25">
        <v>45942</v>
      </c>
      <c r="F24" s="25">
        <v>45942</v>
      </c>
      <c r="G24" s="62">
        <v>3</v>
      </c>
      <c r="H24" s="27" t="str">
        <f>IF(G24=1,[3]KILOMETRAJE!C$4,IF(G24=2,[3]KILOMETRAJE!C$5,IF(G24=3,[3]KILOMETRAJE!C$6,IF(G24=4,[3]KILOMETRAJE!C$7,IF(G24=5,[3]KILOMETRAJE!C$8,IF(G24=6,[3]KILOMETRAJE!C$9,IF(G24=7,[3]KILOMETRAJE!C$10,IF(G24=8,[3]KILOMETRAJE!C$11,IF(G24=9,[3]KILOMETRAJE!C$12,IF(G24=10,[3]KILOMETRAJE!C$13,IF(G24=11,[3]KILOMETRAJE!C$14,IF(G24=12,[3]KILOMETRAJE!C$15,IF(G24=13,[3]KILOMETRAJE!C$16,IF(G24=14,[3]KILOMETRAJE!C$17,IF(G24=15,[3]KILOMETRAJE!C$18,IF(G24=16,[3]KILOMETRAJE!C$19,IF(G24=17,[3]KILOMETRAJE!C$20,IF(G24=18,[3]KILOMETRAJE!C$21,IF(G24=19,[3]KILOMETRAJE!C$22,IF(G24=20,[3]KILOMETRAJE!C$23,IF(G24=21,[3]KILOMETRAJE!C$24,IF(G24=22,[3]KILOMETRAJE!C$25,IF(G24=23,[3]KILOMETRAJE!C$26,IF(G24=24,[3]KILOMETRAJE!C$27,IF(G24=25,[3]KILOMETRAJE!C$28,IF(G24=26,[3]KILOMETRAJE!C$29,IF(G24=27,[3]KILOMETRAJE!C$30,IF(G24=28,[3]KILOMETRAJE!C$31,IF(G24=29,[3]KILOMETRAJE!C$32,IF(G24=30,[3]KILOMETRAJE!C$33,IF(G24=31,[3]KILOMETRAJE!C$34,IF(G24=32,[3]KILOMETRAJE!C$35,IF(G24=33,[3]KILOMETRAJE!C$36,IF(G24=34,[3]KILOMETRAJE!C$37,IF(G24=35,[3]KILOMETRAJE!C$38,IF(G24=36,[3]KILOMETRAJE!C$39,IF(G24=37,[3]KILOMETRAJE!C$40,IF(G24=38,[3]KILOMETRAJE!C$41,IF(G24=39,[3]KILOMETRAJE!C$42,IF(G24=40,[3]KILOMETRAJE!C$43,IF(G24=41,[3]KILOMETRAJE!C$44,IF(G24=42,[3]KILOMETRAJE!C$45,IF(G24=43,[3]KILOMETRAJE!C$46,IF(G24=44,[3]KILOMETRAJE!C$47,IF(G24=45,[3]KILOMETRAJE!C$48,IF(G24=46,[3]KILOMETRAJE!C$49,IF(G24=47,[3]KILOMETRAJE!C$50,IF(G24=48,[3]KILOMETRAJE!C$51,IF(G24=49,[3]KILOMETRAJE!C$52,IF(G24=50,[3]KILOMETRAJE!C$53,IF(G24=51,[3]KILOMETRAJE!C$54,IF(G24=52,[3]KILOMETRAJE!C$55,IF(G24=53,[3]KILOMETRAJE!C$56,IF(G24=54,[3]KILOMETRAJE!C$57,IF(G24=55,[3]KILOMETRAJE!C$58,IF(G24=56,[3]KILOMETRAJE!C$59,IF(G24=57,[3]KILOMETRAJE!C$60,IF(G24=58,[3]KILOMETRAJE!C$61,IF(G24=59,[3]KILOMETRAJE!C$62,IF(G24=60,[3]KILOMETRAJE!C$63,IF(G24=61,[3]KILOMETRAJE!C$64,IF(G24=62,[3]KILOMETRAJE!C$65,IF(G24=63,[3]KILOMETRAJE!C$66)))))))))))))))))))))))))))))))))))))))))))))))))))))))))))))))</f>
        <v xml:space="preserve">CHIH. </v>
      </c>
      <c r="I24" s="27" t="str">
        <f>IF(G24=1,[3]KILOMETRAJE!E$4,IF(G24=2,[3]KILOMETRAJE!E$5,IF(G24=3,[3]KILOMETRAJE!E$6,IF(G24=4,[3]KILOMETRAJE!E$7,IF(G24=5,[3]KILOMETRAJE!E$8,IF(G24=6,[3]KILOMETRAJE!E$9,IF(G24=7,[3]KILOMETRAJE!E$10,IF(G24=8,[3]KILOMETRAJE!E$11,IF(G24=9,[3]KILOMETRAJE!E$12,IF(G24=10,[3]KILOMETRAJE!E$13,IF(G24=11,[3]KILOMETRAJE!E$14,IF(G24=12,[3]KILOMETRAJE!E$15,IF(G24=13,[3]KILOMETRAJE!E$16,IF(G24=14,[3]KILOMETRAJE!E$17,IF(G24=15,[3]KILOMETRAJE!E$18,IF(G24=16,[3]KILOMETRAJE!E$19,IF(G24=17,[3]KILOMETRAJE!E$20,IF(G24=18,[3]KILOMETRAJE!E$21,IF(G24=19,[3]KILOMETRAJE!E$22,IF(G24=20,[3]KILOMETRAJE!E$23,IF(G24=21,[3]KILOMETRAJE!E$24,IF(G24=22,[3]KILOMETRAJE!E$25,IF(G24=23,[3]KILOMETRAJE!E$26,IF(G24=24,[3]KILOMETRAJE!E$27,IF(G24=25,[3]KILOMETRAJE!E$28,IF(G24=26,[3]KILOMETRAJE!E$29,IF(G24=27,[3]KILOMETRAJE!E$30,IF(G24=28,[3]KILOMETRAJE!E$31,IF(G24=29,[3]KILOMETRAJE!E$32,IF(G24=30,[3]KILOMETRAJE!E$33,IF(G24=31,[3]KILOMETRAJE!E$34,IF(G24=32,[3]KILOMETRAJE!E$35,IF(G24=33,[3]KILOMETRAJE!E$36,IF(G24=34,[3]KILOMETRAJE!E$37,IF(G24=35,[3]KILOMETRAJE!E$38,IF(G24=36,[3]KILOMETRAJE!E$39,IF(G24=37,[3]KILOMETRAJE!E$40,IF(G24=38,[3]KILOMETRAJE!E$41,IF(G24=39,[3]KILOMETRAJE!E$42,IF(G24=40,[3]KILOMETRAJE!E$43,IF(G24=41,[3]KILOMETRAJE!E$44,IF(G24=42,[3]KILOMETRAJE!E$45,IF(G24=43,[3]KILOMETRAJE!E$46,IF(G24=44,[3]KILOMETRAJE!E$47,IF(G24=45,[3]KILOMETRAJE!E$48,IF(G24=46,[3]KILOMETRAJE!E$49,IF(G24=47,[3]KILOMETRAJE!E$50,IF(G24=48,[3]KILOMETRAJE!E$51,IF(G24=49,[3]KILOMETRAJE!E$52,IF(G24=50,[3]KILOMETRAJE!E$53,IF(G24=51,[3]KILOMETRAJE!E$54,IF(G24=52,[3]KILOMETRAJE!E$55,IF(G24=53,[3]KILOMETRAJE!E$56,IF(G24=54,[3]KILOMETRAJE!E$57,IF(G24=55,[3]KILOMETRAJE!E$58,IF(G24=56,[3]KILOMETRAJE!E$59,IF(G24=57,[3]KILOMETRAJE!E$60,IF(G24=58,[3]KILOMETRAJE!E$61,IF(G24=59,[3]KILOMETRAJE!E$62,IF(G24=60,[3]KILOMETRAJE!E$63,IF(G24=61,[3]KILOMETRAJE!E$64,IF(G24=62,[3]KILOMETRAJE!E$65,IF(G24=63,[3]KILOMETRAJE!E$66)))))))))))))))))))))))))))))))))))))))))))))))))))))))))))))))</f>
        <v>JRZ</v>
      </c>
      <c r="J24" s="31">
        <f>IF(G24=1,[3]KILOMETRAJE!G$4,IF(G24=2,[3]KILOMETRAJE!G$5,IF(G24=3,[3]KILOMETRAJE!G$6,IF(G24=4,[3]KILOMETRAJE!G$7,IF(G24=5,[3]KILOMETRAJE!G$8,IF(G24=6,[3]KILOMETRAJE!G$9,IF(G24=7,[3]KILOMETRAJE!G$10,IF(G24=8,[3]KILOMETRAJE!G$11,IF(G24=9,[3]KILOMETRAJE!G$12,IF(G24=10,[3]KILOMETRAJE!G$13,IF(G24=11,[3]KILOMETRAJE!G$14,IF(G24=12,[3]KILOMETRAJE!G$15,IF(G24=13,[3]KILOMETRAJE!G$16,IF(G24=14,[3]KILOMETRAJE!G$17,IF(G24=15,[3]KILOMETRAJE!G$18,IF(G24=16,[3]KILOMETRAJE!G$19,IF(G24=17,[3]KILOMETRAJE!G$20,IF(G24=18,[3]KILOMETRAJE!G$21,IF(G24=19,[3]KILOMETRAJE!G$22,IF(G24=20,[3]KILOMETRAJE!G$23,IF(G24=21,[3]KILOMETRAJE!G$24,IF(G24=22,[3]KILOMETRAJE!G$25,IF(G24=23,[3]KILOMETRAJE!G$26,IF(G24=24,[3]KILOMETRAJE!G$27,IF(G24=25,[3]KILOMETRAJE!G$28,IF(G24=26,[3]KILOMETRAJE!G$29,IF(G24=27,[3]KILOMETRAJE!G$30,IF(G24=28,[3]KILOMETRAJE!G$31,IF(G24=29,[3]KILOMETRAJE!G$32,IF(G24=30,[3]KILOMETRAJE!G$33,IF(G24=31,[3]KILOMETRAJE!G$34,IF(G24=32,[3]KILOMETRAJE!G$35,IF(G24=33,[3]KILOMETRAJE!G$36,IF(G24=34,[3]KILOMETRAJE!G$37,IF(G24=35,[3]KILOMETRAJE!G$38,IF(G24=36,[3]KILOMETRAJE!G$39,IF(G24=37,[3]KILOMETRAJE!G$40,IF(G24=38,[3]KILOMETRAJE!G$41,IF(G24=39,[3]KILOMETRAJE!G$42,IF(G24=40,[3]KILOMETRAJE!G$43,IF(G24=41,[3]KILOMETRAJE!G$44,IF(G24=42,[3]KILOMETRAJE!G$45,IF(G24=43,[3]KILOMETRAJE!G$46,IF(G24=44,[3]KILOMETRAJE!G$47,IF(G24=45,[3]KILOMETRAJE!G$48,IF(G24=46,[3]KILOMETRAJE!G$49,IF(G24=47,[3]KILOMETRAJE!G$50,IF(G24=48,[3]KILOMETRAJE!G$51,IF(G24=49,[3]KILOMETRAJE!G$52,IF(G24=50,[3]KILOMETRAJE!G$53,IF(G24=51,[3]KILOMETRAJE!G$54,IF(G24=52,[3]KILOMETRAJE!G$55,IF(G24=53,[3]KILOMETRAJE!G$56,IF(G24=54,[3]KILOMETRAJE!G$57,IF(G24=55,[3]KILOMETRAJE!G$58,IF(G24=56,[3]KILOMETRAJE!G$59,IF(G24=57,[3]KILOMETRAJE!G$60,IF(G24=58,[3]KILOMETRAJE!G$61,IF(G24=59,[3]KILOMETRAJE!G$62,IF(G24=60,[3]KILOMETRAJE!G$63,IF(G24=61,[3]KILOMETRAJE!G$64,IF(G24=62,[3]KILOMETRAJE!G$65,IF(G24=63,[3]KILOMETRAJE!G$66)))))))))))))))))))))))))))))))))))))))))))))))))))))))))))))))</f>
        <v>375</v>
      </c>
      <c r="K24" s="27">
        <v>265.01900000000001</v>
      </c>
      <c r="L24" s="28">
        <f>SUM(J23:J24)/K24</f>
        <v>2.8299857746048396</v>
      </c>
      <c r="M24" s="352">
        <v>10296</v>
      </c>
      <c r="N24" s="27">
        <v>1</v>
      </c>
      <c r="O24" s="27" t="s">
        <v>416</v>
      </c>
      <c r="P24" s="27" t="s">
        <v>202</v>
      </c>
      <c r="Q24" s="29">
        <f t="shared" si="2"/>
        <v>109.99874999999999</v>
      </c>
      <c r="R24" s="190">
        <f>+LOOKUP(P42,[3]UNIDADES!B$3:B$59,[3]UNIDADES!C$3:C$59)</f>
        <v>2.4509799999999999</v>
      </c>
      <c r="S24" s="19">
        <f>+((SUM(J23:J24))/R24)-K24</f>
        <v>40.981048960007854</v>
      </c>
      <c r="T24" s="460">
        <f>+S24*14.85</f>
        <v>608.56857705611662</v>
      </c>
      <c r="U24" s="11" t="s">
        <v>359</v>
      </c>
      <c r="V24" s="11"/>
    </row>
    <row r="25" spans="3:26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59"/>
      <c r="U25" s="11"/>
      <c r="V25" s="11"/>
    </row>
    <row r="26" spans="3:26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6" hidden="1" x14ac:dyDescent="0.2">
      <c r="C27" s="238"/>
      <c r="D27" s="36"/>
      <c r="E27" s="37"/>
      <c r="F27" s="37"/>
      <c r="G27" s="202"/>
      <c r="H27" s="38"/>
      <c r="I27" s="38"/>
      <c r="J27" s="39"/>
      <c r="K27" s="38"/>
      <c r="L27" s="201"/>
      <c r="M27" s="351"/>
      <c r="N27" s="38"/>
      <c r="O27" s="38"/>
      <c r="P27" s="38"/>
      <c r="Q27" s="40"/>
      <c r="R27" s="192"/>
      <c r="S27" s="186"/>
      <c r="T27" s="462"/>
      <c r="U27" s="11"/>
      <c r="V27" s="11"/>
    </row>
    <row r="28" spans="3:26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3:26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3:26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59"/>
      <c r="U31" s="11"/>
      <c r="V31" s="11"/>
    </row>
    <row r="32" spans="3:26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>
        <v>125</v>
      </c>
      <c r="L35" s="29"/>
      <c r="M35" s="30">
        <f>SUM(F35:L35)</f>
        <v>125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>
        <f>+F49-L46</f>
        <v>4239.3922811683497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604.99349999999993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>
        <f>SUM(T18:T33)</f>
        <v>3459.3987811683501</v>
      </c>
      <c r="G39" s="587"/>
      <c r="I39" s="331"/>
      <c r="J39" s="430"/>
      <c r="K39" s="434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584" t="s">
        <v>34</v>
      </c>
      <c r="D40" s="585"/>
      <c r="E40" s="585"/>
      <c r="F40" s="586">
        <f>+M35</f>
        <v>125</v>
      </c>
      <c r="G40" s="587"/>
      <c r="I40" s="94"/>
      <c r="J40" s="117"/>
      <c r="K40" s="61"/>
      <c r="L40" s="111"/>
      <c r="M40" s="349"/>
      <c r="O40" s="78">
        <v>45906</v>
      </c>
      <c r="P40" s="79" t="s">
        <v>159</v>
      </c>
      <c r="Q40" s="80">
        <v>348944</v>
      </c>
      <c r="R40" s="80"/>
      <c r="S40" s="24">
        <v>349632</v>
      </c>
      <c r="T40" s="79">
        <f>+S40-Q40</f>
        <v>688</v>
      </c>
      <c r="U40" s="137">
        <f>SUM(J19:J20)</f>
        <v>750</v>
      </c>
      <c r="V40" s="79">
        <f>+K20</f>
        <v>220.00200000000001</v>
      </c>
      <c r="W40" s="356">
        <f>(SUM(M19:M20)/2)</f>
        <v>2927.076</v>
      </c>
    </row>
    <row r="41" spans="3:23" x14ac:dyDescent="0.2">
      <c r="C41" s="584" t="s">
        <v>249</v>
      </c>
      <c r="D41" s="585"/>
      <c r="E41" s="585"/>
      <c r="F41" s="586">
        <v>0</v>
      </c>
      <c r="G41" s="587"/>
      <c r="I41" s="94"/>
      <c r="J41" s="117"/>
      <c r="K41" s="61"/>
      <c r="L41" s="111"/>
      <c r="M41" s="349"/>
      <c r="O41" s="32">
        <v>45925</v>
      </c>
      <c r="P41" s="53" t="s">
        <v>159</v>
      </c>
      <c r="Q41" s="24">
        <v>349632</v>
      </c>
      <c r="R41" s="63"/>
      <c r="S41" s="11">
        <v>350037</v>
      </c>
      <c r="T41" s="53">
        <f>+S41-Q41</f>
        <v>405</v>
      </c>
      <c r="U41" s="136">
        <f>SUM(J21:J22)</f>
        <v>750</v>
      </c>
      <c r="V41" s="53">
        <f>+K22</f>
        <v>200.023</v>
      </c>
      <c r="W41" s="357">
        <f>(SUM(M21:M22)/2)</f>
        <v>663.99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45959</v>
      </c>
      <c r="P42" s="53" t="s">
        <v>159</v>
      </c>
      <c r="Q42" s="11">
        <v>350037</v>
      </c>
      <c r="R42" s="63"/>
      <c r="S42" s="11">
        <v>351115</v>
      </c>
      <c r="T42" s="53">
        <f t="shared" ref="T42:T46" si="3">+S42-Q42</f>
        <v>1078</v>
      </c>
      <c r="U42" s="136">
        <f>SUM(J23:J24)</f>
        <v>750</v>
      </c>
      <c r="V42" s="53">
        <f>+K24</f>
        <v>265.01900000000001</v>
      </c>
      <c r="W42" s="357">
        <f>(SUM(M23:M24)/2)</f>
        <v>8809.9110000000001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/>
      <c r="P43" s="53"/>
      <c r="Q43" s="11"/>
      <c r="R43" s="63"/>
      <c r="S43" s="63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>
        <v>50</v>
      </c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584" t="s">
        <v>125</v>
      </c>
      <c r="D45" s="585"/>
      <c r="E45" s="585"/>
      <c r="F45" s="586"/>
      <c r="G45" s="587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/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3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/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228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>
        <f>SUM(F38:G48)</f>
        <v>4239.3922811683497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  <row r="78" spans="22:22" ht="12.75" thickBot="1" x14ac:dyDescent="0.25"/>
    <row r="79" spans="22:22" x14ac:dyDescent="0.2">
      <c r="V79" s="75" t="s">
        <v>147</v>
      </c>
    </row>
  </sheetData>
  <mergeCells count="56">
    <mergeCell ref="F34:G34"/>
    <mergeCell ref="F35:G35"/>
    <mergeCell ref="C37:G37"/>
    <mergeCell ref="C39:E39"/>
    <mergeCell ref="F39:G39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O37:P37"/>
    <mergeCell ref="Q37:S37"/>
    <mergeCell ref="C38:E38"/>
    <mergeCell ref="F38:G38"/>
    <mergeCell ref="C41:E41"/>
    <mergeCell ref="F41:G41"/>
    <mergeCell ref="C40:E40"/>
    <mergeCell ref="F40:G40"/>
    <mergeCell ref="I37:L37"/>
    <mergeCell ref="F42:G42"/>
    <mergeCell ref="C43:E43"/>
    <mergeCell ref="F43:G43"/>
    <mergeCell ref="C42:E42"/>
    <mergeCell ref="F44:G44"/>
    <mergeCell ref="C46:E46"/>
    <mergeCell ref="F46:G46"/>
    <mergeCell ref="F45:G45"/>
    <mergeCell ref="C44:E44"/>
    <mergeCell ref="C45:E45"/>
    <mergeCell ref="Q54:R54"/>
    <mergeCell ref="I46:K46"/>
    <mergeCell ref="C49:E49"/>
    <mergeCell ref="F49:G49"/>
    <mergeCell ref="D56:H56"/>
    <mergeCell ref="J56:N56"/>
    <mergeCell ref="Q55:R55"/>
    <mergeCell ref="Q56:R56"/>
    <mergeCell ref="C47:E47"/>
    <mergeCell ref="F47:G47"/>
    <mergeCell ref="C48:E48"/>
    <mergeCell ref="F48:G48"/>
    <mergeCell ref="P50:R50"/>
    <mergeCell ref="Q51:R51"/>
    <mergeCell ref="Q52:R52"/>
    <mergeCell ref="Q53:R53"/>
  </mergeCells>
  <pageMargins left="0.25" right="0.25" top="0.75" bottom="0.75" header="0.3" footer="0.3"/>
  <pageSetup paperSize="9" scale="76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5">
    <pageSetUpPr fitToPage="1"/>
  </sheetPr>
  <dimension ref="C1:W57"/>
  <sheetViews>
    <sheetView topLeftCell="A2" zoomScale="90" zoomScaleNormal="90" workbookViewId="0">
      <selection activeCell="X21" sqref="X21"/>
    </sheetView>
  </sheetViews>
  <sheetFormatPr baseColWidth="10" defaultColWidth="9.140625" defaultRowHeight="12" x14ac:dyDescent="0.2"/>
  <cols>
    <col min="1" max="1" width="2.140625" style="14" customWidth="1"/>
    <col min="2" max="2" width="4.5703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2.140625" style="14" customWidth="1"/>
    <col min="7" max="7" width="3" style="14" bestFit="1" customWidth="1"/>
    <col min="8" max="8" width="10.28515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2.140625" style="14" customWidth="1"/>
    <col min="13" max="13" width="14" style="14" customWidth="1"/>
    <col min="14" max="14" width="9.28515625" style="14" customWidth="1"/>
    <col min="15" max="15" width="10.28515625" style="14" customWidth="1"/>
    <col min="16" max="16" width="13.42578125" style="14" customWidth="1"/>
    <col min="17" max="17" width="10.85546875" style="14" customWidth="1"/>
    <col min="18" max="18" width="10" style="14" customWidth="1"/>
    <col min="19" max="19" width="9.42578125" style="14" customWidth="1"/>
    <col min="20" max="20" width="11.5703125" style="14" customWidth="1"/>
    <col min="21" max="21" width="10.28515625" style="14" customWidth="1"/>
    <col min="22" max="22" width="7" style="14" customWidth="1"/>
    <col min="23" max="23" width="12.425781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15" t="s">
        <v>0</v>
      </c>
      <c r="R2" s="616"/>
      <c r="S2" s="617"/>
    </row>
    <row r="3" spans="4:19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'REYES LARA DANTE'!Q3</f>
        <v>42</v>
      </c>
      <c r="R3" s="621"/>
      <c r="S3" s="594"/>
    </row>
    <row r="4" spans="4:19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</row>
    <row r="5" spans="4:19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19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+'AGUILERA CONTRERAS LUIS GERARDO'!Q6+1</f>
        <v>35</v>
      </c>
      <c r="R6" s="636"/>
      <c r="S6" s="637"/>
    </row>
    <row r="7" spans="4:19" ht="9" customHeight="1" x14ac:dyDescent="0.2"/>
    <row r="8" spans="4:19" ht="12.75" customHeight="1" thickBot="1" x14ac:dyDescent="0.25"/>
    <row r="9" spans="4:19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19" ht="11.25" customHeight="1" thickBot="1" x14ac:dyDescent="0.25"/>
    <row r="11" spans="4:19" ht="12.75" x14ac:dyDescent="0.2">
      <c r="D11" s="1" t="s">
        <v>7</v>
      </c>
      <c r="E11" s="2" t="s">
        <v>335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19" ht="12.75" x14ac:dyDescent="0.2">
      <c r="D12" s="4" t="s">
        <v>9</v>
      </c>
      <c r="E12" s="606" t="s">
        <v>130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9" t="s">
        <v>16</v>
      </c>
      <c r="E16" s="610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29">
        <f t="shared" si="0"/>
        <v>0</v>
      </c>
      <c r="R20" s="190" t="e">
        <f>+LOOKUP(P40,UNIDADES!B$3:B$59,UNIDADES!C$3:C$59)</f>
        <v>#N/A</v>
      </c>
      <c r="S20" s="194" t="e">
        <f>+((SUM(J19:J20))/R20)-K20</f>
        <v>#N/A</v>
      </c>
      <c r="T20" s="73" t="e">
        <f>+S20*14.85</f>
        <v>#N/A</v>
      </c>
      <c r="U20" s="244"/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</row>
    <row r="22" spans="3:21" ht="12.75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73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</row>
    <row r="25" spans="3:21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375"/>
      <c r="D27" s="36"/>
      <c r="E27" s="37"/>
      <c r="F27" s="37"/>
      <c r="G27" s="36"/>
      <c r="H27" s="47"/>
      <c r="I27" s="38"/>
      <c r="J27" s="39"/>
      <c r="K27" s="38"/>
      <c r="L27" s="48"/>
      <c r="M27" s="353"/>
      <c r="N27" s="38"/>
      <c r="O27" s="38"/>
      <c r="P27" s="38"/>
      <c r="Q27" s="40"/>
      <c r="R27" s="192"/>
      <c r="S27" s="186"/>
      <c r="T27" s="40"/>
    </row>
    <row r="28" spans="3:21" ht="12.75" hidden="1" thickBot="1" x14ac:dyDescent="0.25">
      <c r="C28" s="376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67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375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0"/>
    </row>
    <row r="32" spans="3:21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  <c r="V33" s="14" t="s">
        <v>182</v>
      </c>
    </row>
    <row r="34" spans="3:23" x14ac:dyDescent="0.2">
      <c r="E34" s="611" t="s">
        <v>34</v>
      </c>
      <c r="F34" s="628">
        <f>+'AGUILAR ESQUIVEL CARLOS'!F34</f>
        <v>45936</v>
      </c>
      <c r="G34" s="629"/>
      <c r="H34" s="16">
        <f>+F34+1</f>
        <v>45937</v>
      </c>
      <c r="I34" s="16">
        <f>+H34+1</f>
        <v>45938</v>
      </c>
      <c r="J34" s="16">
        <f>+I34+1</f>
        <v>45939</v>
      </c>
      <c r="K34" s="16">
        <f>+J34+1</f>
        <v>45940</v>
      </c>
      <c r="L34" s="16">
        <f>+K34+2</f>
        <v>45942</v>
      </c>
      <c r="M34" s="17" t="s">
        <v>35</v>
      </c>
    </row>
    <row r="35" spans="3:23" ht="12.75" thickBot="1" x14ac:dyDescent="0.25">
      <c r="E35" s="612"/>
      <c r="F35" s="630"/>
      <c r="G35" s="631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590" t="s">
        <v>36</v>
      </c>
      <c r="D37" s="591"/>
      <c r="E37" s="591"/>
      <c r="F37" s="591"/>
      <c r="G37" s="592"/>
      <c r="I37" s="602" t="s">
        <v>37</v>
      </c>
      <c r="J37" s="603"/>
      <c r="K37" s="603"/>
      <c r="L37" s="604"/>
      <c r="M37" s="298"/>
      <c r="O37" s="593" t="s">
        <v>38</v>
      </c>
      <c r="P37" s="594"/>
      <c r="Q37" s="595" t="e">
        <f>+F49-L46</f>
        <v>#N/A</v>
      </c>
      <c r="R37" s="596"/>
      <c r="S37" s="597"/>
    </row>
    <row r="38" spans="3:23" ht="12.75" thickBot="1" x14ac:dyDescent="0.25">
      <c r="C38" s="598" t="s">
        <v>220</v>
      </c>
      <c r="D38" s="599"/>
      <c r="E38" s="599"/>
      <c r="F38" s="600">
        <f>SUM(Q18:Q33)</f>
        <v>0</v>
      </c>
      <c r="G38" s="601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584" t="s">
        <v>221</v>
      </c>
      <c r="D39" s="585"/>
      <c r="E39" s="585"/>
      <c r="F39" s="586" t="e">
        <f>SUM(T18:T33)</f>
        <v>#N/A</v>
      </c>
      <c r="G39" s="587"/>
      <c r="I39" s="659"/>
      <c r="J39" s="660"/>
      <c r="K39" s="661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584" t="s">
        <v>34</v>
      </c>
      <c r="D40" s="585"/>
      <c r="E40" s="585"/>
      <c r="F40" s="586">
        <f>+M35</f>
        <v>0</v>
      </c>
      <c r="G40" s="587"/>
      <c r="I40" s="118"/>
      <c r="J40" s="117"/>
      <c r="K40" s="61"/>
      <c r="L40" s="111"/>
      <c r="M40" s="349"/>
      <c r="O40" s="78"/>
      <c r="P40" s="79"/>
      <c r="Q40" s="80"/>
      <c r="R40" s="80"/>
      <c r="S40" s="24"/>
      <c r="T40" s="79">
        <f t="shared" ref="T40:T41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584" t="s">
        <v>187</v>
      </c>
      <c r="D41" s="585"/>
      <c r="E41" s="585"/>
      <c r="F41" s="586">
        <v>0</v>
      </c>
      <c r="G41" s="587"/>
      <c r="I41" s="118"/>
      <c r="J41" s="117"/>
      <c r="K41" s="61"/>
      <c r="L41" s="111"/>
      <c r="M41" s="349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584" t="s">
        <v>39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584" t="s">
        <v>117</v>
      </c>
      <c r="D43" s="585"/>
      <c r="E43" s="585"/>
      <c r="F43" s="586"/>
      <c r="G43" s="587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584" t="s">
        <v>40</v>
      </c>
      <c r="D44" s="585"/>
      <c r="E44" s="585"/>
      <c r="F44" s="586"/>
      <c r="G44" s="587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(SUM(M28)/2)</f>
        <v>0</v>
      </c>
    </row>
    <row r="45" spans="3:23" ht="12.75" thickBot="1" x14ac:dyDescent="0.25">
      <c r="C45" s="584" t="s">
        <v>125</v>
      </c>
      <c r="D45" s="585"/>
      <c r="E45" s="585"/>
      <c r="F45" s="642"/>
      <c r="G45" s="643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584" t="s">
        <v>225</v>
      </c>
      <c r="D46" s="585"/>
      <c r="E46" s="585"/>
      <c r="F46" s="588">
        <v>0</v>
      </c>
      <c r="G46" s="589"/>
      <c r="I46" s="579" t="s">
        <v>41</v>
      </c>
      <c r="J46" s="580"/>
      <c r="K46" s="614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584" t="s">
        <v>111</v>
      </c>
      <c r="D47" s="585"/>
      <c r="E47" s="585"/>
      <c r="F47" s="588">
        <v>0</v>
      </c>
      <c r="G47" s="589"/>
      <c r="R47" s="21"/>
      <c r="S47" s="21"/>
      <c r="T47" s="21"/>
      <c r="U47" s="139"/>
      <c r="V47" s="271"/>
    </row>
    <row r="48" spans="3:23" ht="13.5" customHeight="1" thickBot="1" x14ac:dyDescent="0.25">
      <c r="C48" s="575" t="s">
        <v>228</v>
      </c>
      <c r="D48" s="576"/>
      <c r="E48" s="576"/>
      <c r="F48" s="577"/>
      <c r="G48" s="578"/>
      <c r="R48" s="21"/>
      <c r="S48" s="21"/>
      <c r="T48" s="21"/>
      <c r="U48" s="139"/>
      <c r="V48" s="271"/>
    </row>
    <row r="49" spans="3:22" ht="13.5" thickBot="1" x14ac:dyDescent="0.25">
      <c r="C49" s="579" t="s">
        <v>42</v>
      </c>
      <c r="D49" s="580"/>
      <c r="E49" s="581"/>
      <c r="F49" s="582" t="e">
        <f>SUM(F38:G48)</f>
        <v>#N/A</v>
      </c>
      <c r="G49" s="583"/>
      <c r="R49" s="21"/>
      <c r="S49" s="21"/>
      <c r="T49" s="21"/>
      <c r="U49" s="139"/>
      <c r="V49" s="271"/>
    </row>
    <row r="50" spans="3:22" ht="13.5" customHeight="1" thickBot="1" x14ac:dyDescent="0.25">
      <c r="P50" s="570" t="s">
        <v>48</v>
      </c>
      <c r="Q50" s="571"/>
      <c r="R50" s="572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66" t="s">
        <v>49</v>
      </c>
      <c r="R51" s="567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68" t="s">
        <v>136</v>
      </c>
      <c r="R52" s="569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68" t="s">
        <v>131</v>
      </c>
      <c r="R53" s="569"/>
      <c r="S53" s="21"/>
      <c r="T53" s="249"/>
    </row>
    <row r="54" spans="3:22" x14ac:dyDescent="0.2">
      <c r="P54" s="32">
        <v>4</v>
      </c>
      <c r="Q54" s="568" t="s">
        <v>229</v>
      </c>
      <c r="R54" s="569"/>
      <c r="S54" s="21"/>
      <c r="T54" s="249"/>
    </row>
    <row r="55" spans="3:22" ht="12.75" thickBot="1" x14ac:dyDescent="0.25">
      <c r="P55" s="32">
        <v>5</v>
      </c>
      <c r="Q55" s="568" t="s">
        <v>230</v>
      </c>
      <c r="R55" s="569"/>
      <c r="S55" s="21"/>
    </row>
    <row r="56" spans="3:22" ht="14.25" customHeight="1" thickTop="1" thickBot="1" x14ac:dyDescent="0.25">
      <c r="D56" s="613" t="s">
        <v>44</v>
      </c>
      <c r="E56" s="613"/>
      <c r="F56" s="613"/>
      <c r="G56" s="613"/>
      <c r="H56" s="613"/>
      <c r="J56" s="613" t="s">
        <v>45</v>
      </c>
      <c r="K56" s="613"/>
      <c r="L56" s="613"/>
      <c r="M56" s="613"/>
      <c r="N56" s="613"/>
      <c r="P56" s="54">
        <v>6</v>
      </c>
      <c r="Q56" s="573" t="s">
        <v>231</v>
      </c>
      <c r="R56" s="574"/>
      <c r="S56" s="21"/>
      <c r="T56" s="21"/>
    </row>
    <row r="57" spans="3:22" x14ac:dyDescent="0.2">
      <c r="S57" s="21"/>
      <c r="T57" s="21"/>
    </row>
  </sheetData>
  <mergeCells count="57">
    <mergeCell ref="I39:K39"/>
    <mergeCell ref="D56:H56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C42:E42"/>
    <mergeCell ref="F42:G42"/>
    <mergeCell ref="F43:G43"/>
    <mergeCell ref="F44:G44"/>
    <mergeCell ref="C45:E45"/>
    <mergeCell ref="F45:G45"/>
    <mergeCell ref="C44:E44"/>
    <mergeCell ref="C43:E43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5">
    <pageSetUpPr fitToPage="1"/>
  </sheetPr>
  <dimension ref="C1:X65"/>
  <sheetViews>
    <sheetView tabSelected="1" zoomScaleNormal="100" workbookViewId="0">
      <selection activeCell="L43" sqref="L43"/>
    </sheetView>
  </sheetViews>
  <sheetFormatPr baseColWidth="10" defaultColWidth="9.140625" defaultRowHeight="12.75" x14ac:dyDescent="0.2"/>
  <cols>
    <col min="1" max="1" width="3.140625" style="14" customWidth="1"/>
    <col min="2" max="2" width="4.85546875" style="14" customWidth="1"/>
    <col min="3" max="3" width="12.140625" style="14" customWidth="1"/>
    <col min="4" max="4" width="11.42578125" style="14" customWidth="1"/>
    <col min="5" max="5" width="7.42578125" style="14" customWidth="1"/>
    <col min="6" max="6" width="11.5703125" style="14" customWidth="1"/>
    <col min="7" max="7" width="3.28515625" style="14" customWidth="1"/>
    <col min="8" max="8" width="9.7109375" style="14" customWidth="1"/>
    <col min="9" max="9" width="10.28515625" style="14" customWidth="1"/>
    <col min="10" max="10" width="9.7109375" style="14" customWidth="1"/>
    <col min="11" max="11" width="10.42578125" style="14" customWidth="1"/>
    <col min="12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9.28515625" style="14" customWidth="1"/>
    <col min="20" max="20" width="10.140625" style="14" customWidth="1"/>
    <col min="21" max="21" width="10.28515625" style="14" hidden="1" customWidth="1"/>
    <col min="22" max="22" width="8.85546875" style="14" hidden="1" customWidth="1"/>
    <col min="23" max="23" width="11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1" ht="13.5" thickBot="1" x14ac:dyDescent="0.25">
      <c r="U1" s="14" t="s">
        <v>291</v>
      </c>
    </row>
    <row r="2" spans="4:21" ht="12" customHeight="1" thickBot="1" x14ac:dyDescent="0.25">
      <c r="Q2" s="615" t="s">
        <v>0</v>
      </c>
      <c r="R2" s="616"/>
      <c r="S2" s="617"/>
    </row>
    <row r="3" spans="4:21" ht="13.5" thickBot="1" x14ac:dyDescent="0.25">
      <c r="I3" s="618" t="s">
        <v>1</v>
      </c>
      <c r="J3" s="619"/>
      <c r="K3" s="619"/>
      <c r="L3" s="619"/>
      <c r="M3" s="619"/>
      <c r="N3" s="619"/>
      <c r="O3" s="620"/>
      <c r="Q3" s="593">
        <f>'AGUILAR ESQUIVEL CARLOS'!Q3</f>
        <v>42</v>
      </c>
      <c r="R3" s="621"/>
      <c r="S3" s="594"/>
    </row>
    <row r="4" spans="4:21" ht="13.5" thickBot="1" x14ac:dyDescent="0.25">
      <c r="I4" s="622" t="s">
        <v>2</v>
      </c>
      <c r="J4" s="623"/>
      <c r="K4" s="623"/>
      <c r="L4" s="623"/>
      <c r="M4" s="623"/>
      <c r="N4" s="623"/>
      <c r="O4" s="624"/>
      <c r="Q4" s="18"/>
      <c r="R4" s="18"/>
      <c r="S4" s="18"/>
      <c r="U4" s="14" t="s">
        <v>277</v>
      </c>
    </row>
    <row r="5" spans="4:21" ht="13.5" thickBot="1" x14ac:dyDescent="0.25">
      <c r="I5" s="625" t="s">
        <v>3</v>
      </c>
      <c r="J5" s="626"/>
      <c r="K5" s="626"/>
      <c r="L5" s="626"/>
      <c r="M5" s="626"/>
      <c r="N5" s="626"/>
      <c r="O5" s="627"/>
      <c r="Q5" s="593" t="s">
        <v>4</v>
      </c>
      <c r="R5" s="621"/>
      <c r="S5" s="594"/>
    </row>
    <row r="6" spans="4:21" ht="13.5" thickBot="1" x14ac:dyDescent="0.25">
      <c r="I6" s="632" t="s">
        <v>5</v>
      </c>
      <c r="J6" s="633"/>
      <c r="K6" s="633"/>
      <c r="L6" s="633"/>
      <c r="M6" s="633"/>
      <c r="N6" s="633"/>
      <c r="O6" s="634"/>
      <c r="Q6" s="635">
        <f>+'CARRERA REYES MARTIN SEBASTIAN'!Q6+1</f>
        <v>48</v>
      </c>
      <c r="R6" s="636"/>
      <c r="S6" s="637"/>
    </row>
    <row r="7" spans="4:21" ht="9" customHeight="1" x14ac:dyDescent="0.2">
      <c r="U7" s="14" t="s">
        <v>182</v>
      </c>
    </row>
    <row r="8" spans="4:21" ht="6.75" customHeight="1" thickBot="1" x14ac:dyDescent="0.25"/>
    <row r="9" spans="4:21" ht="13.5" thickBot="1" x14ac:dyDescent="0.25">
      <c r="I9" s="593" t="s">
        <v>6</v>
      </c>
      <c r="J9" s="621"/>
      <c r="K9" s="621"/>
      <c r="L9" s="621"/>
      <c r="M9" s="621"/>
      <c r="N9" s="621"/>
      <c r="O9" s="594"/>
    </row>
    <row r="10" spans="4:21" ht="11.25" customHeight="1" thickBot="1" x14ac:dyDescent="0.25">
      <c r="U10" s="14" t="s">
        <v>283</v>
      </c>
    </row>
    <row r="11" spans="4:21" x14ac:dyDescent="0.2">
      <c r="D11" s="1" t="s">
        <v>7</v>
      </c>
      <c r="E11" s="2" t="s">
        <v>82</v>
      </c>
      <c r="F11" s="2"/>
      <c r="G11" s="2"/>
      <c r="H11" s="2"/>
      <c r="I11" s="2"/>
      <c r="J11" s="2"/>
      <c r="K11" s="3" t="s">
        <v>8</v>
      </c>
      <c r="L11" s="638" t="str">
        <f>'AGUILAR ESQUIVEL CARLOS'!L11</f>
        <v>SEMANA #42 PERIODO DEL 06 AL 12 DE OCTUBRE  DEL 2025</v>
      </c>
      <c r="M11" s="638"/>
      <c r="N11" s="638"/>
      <c r="O11" s="638"/>
      <c r="P11" s="638"/>
      <c r="Q11" s="638"/>
      <c r="R11" s="638"/>
      <c r="S11" s="641"/>
    </row>
    <row r="12" spans="4:21" x14ac:dyDescent="0.2">
      <c r="D12" s="4" t="s">
        <v>9</v>
      </c>
      <c r="E12" s="662" t="s">
        <v>352</v>
      </c>
      <c r="F12" s="606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1" ht="9.75" customHeight="1" x14ac:dyDescent="0.2">
      <c r="D13" s="605"/>
      <c r="E13" s="60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1" x14ac:dyDescent="0.2">
      <c r="D14" s="607" t="s">
        <v>10</v>
      </c>
      <c r="E14" s="608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1" x14ac:dyDescent="0.2">
      <c r="D15" s="607" t="s">
        <v>13</v>
      </c>
      <c r="E15" s="608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1" ht="13.5" thickBot="1" x14ac:dyDescent="0.25">
      <c r="D16" s="609" t="s">
        <v>16</v>
      </c>
      <c r="E16" s="610"/>
      <c r="F16" s="257">
        <f>SUM(J19:J31)</f>
        <v>3200</v>
      </c>
      <c r="G16" s="257"/>
      <c r="H16" s="257"/>
      <c r="I16" s="9" t="s">
        <v>17</v>
      </c>
      <c r="J16" s="257">
        <f>SUM(K19:K31)</f>
        <v>808.86799999999994</v>
      </c>
      <c r="K16" s="257"/>
      <c r="L16" s="257"/>
      <c r="M16" s="257"/>
      <c r="N16" s="257"/>
      <c r="O16" s="9" t="s">
        <v>18</v>
      </c>
      <c r="P16" s="10">
        <f>+F16/J16</f>
        <v>3.9561461202569519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358</v>
      </c>
      <c r="V18" s="308" t="s">
        <v>362</v>
      </c>
    </row>
    <row r="19" spans="3:24" ht="15" customHeight="1" x14ac:dyDescent="0.2">
      <c r="C19" s="176">
        <v>45904</v>
      </c>
      <c r="D19" s="43" t="s">
        <v>467</v>
      </c>
      <c r="E19" s="42">
        <v>45937</v>
      </c>
      <c r="F19" s="42">
        <v>45938</v>
      </c>
      <c r="G19" s="92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1370</v>
      </c>
      <c r="N19" s="24">
        <v>4</v>
      </c>
      <c r="O19" s="24" t="s">
        <v>469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/>
      <c r="V19" s="79"/>
      <c r="W19" s="14"/>
    </row>
    <row r="20" spans="3:24" ht="13.5" thickBot="1" x14ac:dyDescent="0.25">
      <c r="C20" s="101"/>
      <c r="D20" s="62" t="s">
        <v>468</v>
      </c>
      <c r="E20" s="25">
        <v>45938</v>
      </c>
      <c r="F20" s="25">
        <v>45938</v>
      </c>
      <c r="G20" s="270">
        <v>27</v>
      </c>
      <c r="H20" s="2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24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27">
        <v>220.01499999999999</v>
      </c>
      <c r="L20" s="28">
        <f>SUM(J19:J20)/K20</f>
        <v>3.7724700588596236</v>
      </c>
      <c r="M20" s="352">
        <v>656.76</v>
      </c>
      <c r="N20" s="27">
        <v>4</v>
      </c>
      <c r="O20" s="62" t="s">
        <v>470</v>
      </c>
      <c r="P20" s="27" t="s">
        <v>200</v>
      </c>
      <c r="Q20" s="29">
        <f t="shared" si="0"/>
        <v>109.99874999999999</v>
      </c>
      <c r="R20" s="190">
        <f>+LOOKUP(P39,UNIDADES!B$3:B$59,UNIDADES!C$3:C$59)</f>
        <v>2.4509799999999999</v>
      </c>
      <c r="S20" s="19">
        <f>+((SUM(J19:J20)-80)/R20)-K20</f>
        <v>85.985048960007873</v>
      </c>
      <c r="T20" s="460">
        <f>+S20*14.85</f>
        <v>1276.8779770561168</v>
      </c>
      <c r="U20" s="27"/>
      <c r="V20" s="55"/>
    </row>
    <row r="21" spans="3:24" x14ac:dyDescent="0.2">
      <c r="C21" s="436">
        <v>45914</v>
      </c>
      <c r="D21" s="77" t="s">
        <v>471</v>
      </c>
      <c r="E21" s="433">
        <v>45938</v>
      </c>
      <c r="F21" s="433">
        <v>45939</v>
      </c>
      <c r="G21" s="443">
        <v>4</v>
      </c>
      <c r="H21" s="3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3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4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33"/>
      <c r="L21" s="439"/>
      <c r="M21" s="435">
        <v>841.74699999999996</v>
      </c>
      <c r="N21" s="33">
        <v>4</v>
      </c>
      <c r="O21" s="33" t="s">
        <v>473</v>
      </c>
      <c r="P21" s="33" t="s">
        <v>194</v>
      </c>
      <c r="Q21" s="440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441"/>
      <c r="S21" s="442"/>
      <c r="T21" s="476"/>
      <c r="U21" s="24">
        <v>60</v>
      </c>
      <c r="V21" s="79">
        <v>61</v>
      </c>
    </row>
    <row r="22" spans="3:24" ht="13.5" thickBot="1" x14ac:dyDescent="0.25">
      <c r="C22" s="101"/>
      <c r="D22" s="62" t="s">
        <v>472</v>
      </c>
      <c r="E22" s="25">
        <v>45939</v>
      </c>
      <c r="F22" s="25">
        <v>45939</v>
      </c>
      <c r="G22" s="62">
        <v>3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174.99299999999999</v>
      </c>
      <c r="L22" s="28">
        <f>SUM(J21:J22)/K22</f>
        <v>4.5144662929374322</v>
      </c>
      <c r="M22" s="352">
        <v>0</v>
      </c>
      <c r="N22" s="27">
        <v>3</v>
      </c>
      <c r="O22" s="62"/>
      <c r="P22" s="27" t="s">
        <v>203</v>
      </c>
      <c r="Q22" s="29">
        <f t="shared" si="1"/>
        <v>54.999749999999999</v>
      </c>
      <c r="R22" s="190">
        <f>+LOOKUP(P40,UNIDADES!B$3:B$59,UNIDADES!C$3:C$59)</f>
        <v>2.4509799999999999</v>
      </c>
      <c r="S22" s="19">
        <f>+((SUM(J21:J22)-40)/R22)-K22</f>
        <v>131.00704896000786</v>
      </c>
      <c r="T22" s="460">
        <f>+S22*14.85</f>
        <v>1945.4546770561167</v>
      </c>
      <c r="U22" s="27" t="s">
        <v>359</v>
      </c>
      <c r="V22" s="55" t="s">
        <v>359</v>
      </c>
      <c r="W22" s="18"/>
    </row>
    <row r="23" spans="3:24" ht="12" customHeight="1" x14ac:dyDescent="0.2">
      <c r="C23" s="176">
        <v>45947</v>
      </c>
      <c r="D23" s="43" t="s">
        <v>474</v>
      </c>
      <c r="E23" s="42">
        <v>45939</v>
      </c>
      <c r="F23" s="42">
        <v>45940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1870</v>
      </c>
      <c r="N23" s="24">
        <v>4</v>
      </c>
      <c r="O23" s="24" t="s">
        <v>476</v>
      </c>
      <c r="P23" s="24" t="s">
        <v>199</v>
      </c>
      <c r="Q23" s="45">
        <f t="shared" si="1"/>
        <v>109.99874999999999</v>
      </c>
      <c r="R23" s="191"/>
      <c r="S23" s="52"/>
      <c r="T23" s="459"/>
      <c r="U23" s="24">
        <v>61</v>
      </c>
      <c r="V23" s="79">
        <v>61</v>
      </c>
      <c r="W23" s="14"/>
    </row>
    <row r="24" spans="3:24" thickBot="1" x14ac:dyDescent="0.25">
      <c r="C24" s="101"/>
      <c r="D24" s="62" t="s">
        <v>475</v>
      </c>
      <c r="E24" s="25">
        <v>45940</v>
      </c>
      <c r="F24" s="25">
        <v>45940</v>
      </c>
      <c r="G24" s="270">
        <v>3</v>
      </c>
      <c r="H24" s="241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242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217.857</v>
      </c>
      <c r="L24" s="28">
        <f>SUM(J23:J24)/K24</f>
        <v>3.626231886053696</v>
      </c>
      <c r="M24" s="352">
        <v>2926.491</v>
      </c>
      <c r="N24" s="27">
        <v>1</v>
      </c>
      <c r="O24" s="62" t="s">
        <v>417</v>
      </c>
      <c r="P24" s="27" t="s">
        <v>192</v>
      </c>
      <c r="Q24" s="29">
        <f t="shared" si="1"/>
        <v>109.99874999999999</v>
      </c>
      <c r="R24" s="190">
        <f>+LOOKUP(P41,UNIDADES!B$3:B$59,UNIDADES!C$3:C$59)</f>
        <v>2.4509799999999999</v>
      </c>
      <c r="S24" s="19">
        <f>+((SUM(J23:J24)-40)/R24)-K24</f>
        <v>88.14304896000786</v>
      </c>
      <c r="T24" s="460">
        <f>+S24*14.85</f>
        <v>1308.9242770561166</v>
      </c>
      <c r="U24" s="27" t="s">
        <v>359</v>
      </c>
      <c r="V24" s="55" t="s">
        <v>359</v>
      </c>
      <c r="W24" s="14"/>
    </row>
    <row r="25" spans="3:24" ht="14.25" customHeight="1" x14ac:dyDescent="0.2">
      <c r="C25" s="176">
        <v>45954</v>
      </c>
      <c r="D25" s="43" t="s">
        <v>561</v>
      </c>
      <c r="E25" s="42">
        <v>45940</v>
      </c>
      <c r="F25" s="42">
        <v>45941</v>
      </c>
      <c r="G25" s="92">
        <v>4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1807</v>
      </c>
      <c r="N25" s="24">
        <v>4</v>
      </c>
      <c r="O25" s="24" t="s">
        <v>563</v>
      </c>
      <c r="P25" s="24" t="s">
        <v>199</v>
      </c>
      <c r="Q25" s="45">
        <f t="shared" si="1"/>
        <v>109.99874999999999</v>
      </c>
      <c r="R25" s="191"/>
      <c r="S25" s="52"/>
      <c r="T25" s="459"/>
      <c r="U25" s="24">
        <v>61</v>
      </c>
      <c r="V25" s="79">
        <v>60</v>
      </c>
      <c r="W25" s="14"/>
    </row>
    <row r="26" spans="3:24" ht="13.5" thickBot="1" x14ac:dyDescent="0.25">
      <c r="C26" s="240"/>
      <c r="D26" s="57" t="s">
        <v>562</v>
      </c>
      <c r="E26" s="58">
        <v>45941</v>
      </c>
      <c r="F26" s="58">
        <v>45941</v>
      </c>
      <c r="G26" s="57">
        <v>3</v>
      </c>
      <c r="H26" s="502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502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503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322">
        <v>196.00299999999999</v>
      </c>
      <c r="L26" s="338">
        <f>SUM(J25:J26)/K26</f>
        <v>4.0305505527976617</v>
      </c>
      <c r="M26" s="388">
        <v>0</v>
      </c>
      <c r="N26" s="322">
        <v>3</v>
      </c>
      <c r="O26" s="322"/>
      <c r="P26" s="322" t="s">
        <v>203</v>
      </c>
      <c r="Q26" s="339">
        <f t="shared" si="1"/>
        <v>54.999749999999999</v>
      </c>
      <c r="R26" s="340">
        <f>+LOOKUP(P42,UNIDADES!B$3:B$59,UNIDADES!C$3:C$59)</f>
        <v>2.4509799999999999</v>
      </c>
      <c r="S26" s="341">
        <f>+((SUM(J25:J26)-40)/R26)-K26</f>
        <v>109.99704896000787</v>
      </c>
      <c r="T26" s="474">
        <f>+S26*14.85</f>
        <v>1633.456177056117</v>
      </c>
      <c r="U26" s="27" t="s">
        <v>359</v>
      </c>
      <c r="V26" s="55" t="s">
        <v>359</v>
      </c>
      <c r="W26" s="14"/>
      <c r="X26"/>
    </row>
    <row r="27" spans="3:24" ht="1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3"/>
      <c r="N27" s="38"/>
      <c r="O27" s="38"/>
      <c r="P27" s="38"/>
      <c r="Q27" s="40"/>
      <c r="R27" s="192"/>
      <c r="S27" s="186"/>
      <c r="T27" s="462"/>
      <c r="U27" s="38"/>
      <c r="V27" s="38"/>
      <c r="W27" s="14"/>
    </row>
    <row r="28" spans="3:24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  <c r="W28" s="14"/>
    </row>
    <row r="29" spans="3:24" ht="1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11"/>
      <c r="V29" s="11"/>
      <c r="W29" s="14"/>
    </row>
    <row r="30" spans="3:24" ht="12" hidden="1" x14ac:dyDescent="0.2">
      <c r="C30" s="238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2"/>
      <c r="U30" s="11"/>
      <c r="V30" s="11"/>
      <c r="W30" s="14"/>
    </row>
    <row r="31" spans="3:24" hidden="1" thickBot="1" x14ac:dyDescent="0.25">
      <c r="C31" s="101"/>
      <c r="D31" s="62"/>
      <c r="E31" s="25"/>
      <c r="F31" s="25"/>
      <c r="G31" s="62"/>
      <c r="H31" s="26"/>
      <c r="I31" s="27"/>
      <c r="J31" s="31"/>
      <c r="K31" s="27"/>
      <c r="L31" s="28"/>
      <c r="M31" s="352"/>
      <c r="N31" s="27"/>
      <c r="O31" s="27"/>
      <c r="P31" s="27"/>
      <c r="Q31" s="29"/>
      <c r="R31" s="190"/>
      <c r="S31" s="19"/>
      <c r="T31" s="460"/>
      <c r="U31" s="11"/>
      <c r="V31" s="11"/>
      <c r="W31" s="14"/>
    </row>
    <row r="32" spans="3:24" thickBot="1" x14ac:dyDescent="0.25">
      <c r="I32" s="15"/>
      <c r="P32" s="14" t="s">
        <v>182</v>
      </c>
      <c r="R32" s="193"/>
      <c r="S32" s="15"/>
      <c r="U32" s="467"/>
      <c r="V32" s="467"/>
      <c r="W32" s="14"/>
    </row>
    <row r="33" spans="3:23" ht="12" x14ac:dyDescent="0.2">
      <c r="E33" s="611" t="s">
        <v>34</v>
      </c>
      <c r="F33" s="628">
        <f>+'REYES LARA DANTE'!F34:G34</f>
        <v>45936</v>
      </c>
      <c r="G33" s="629"/>
      <c r="H33" s="16">
        <f>+F33+1</f>
        <v>45937</v>
      </c>
      <c r="I33" s="16">
        <f>+H33+1</f>
        <v>45938</v>
      </c>
      <c r="J33" s="16">
        <f>+I33+1</f>
        <v>45939</v>
      </c>
      <c r="K33" s="16">
        <f>+J33+1</f>
        <v>45940</v>
      </c>
      <c r="L33" s="16">
        <f>+K33+2</f>
        <v>45942</v>
      </c>
      <c r="M33" s="17" t="s">
        <v>35</v>
      </c>
      <c r="S33" s="454"/>
      <c r="T33" s="454"/>
      <c r="U33" s="454"/>
      <c r="W33" s="14"/>
    </row>
    <row r="34" spans="3:23" thickBot="1" x14ac:dyDescent="0.25">
      <c r="E34" s="612"/>
      <c r="F34" s="630"/>
      <c r="G34" s="631"/>
      <c r="H34" s="29">
        <v>500</v>
      </c>
      <c r="I34" s="29">
        <v>1000</v>
      </c>
      <c r="J34" s="29">
        <v>750</v>
      </c>
      <c r="K34" s="29">
        <v>500</v>
      </c>
      <c r="L34" s="29"/>
      <c r="M34" s="30">
        <f>SUM(F34:L34)</f>
        <v>2750</v>
      </c>
      <c r="W34" s="14"/>
    </row>
    <row r="35" spans="3:23" thickBot="1" x14ac:dyDescent="0.25">
      <c r="I35" s="15"/>
      <c r="W35" s="14"/>
    </row>
    <row r="36" spans="3:23" ht="13.5" thickBot="1" x14ac:dyDescent="0.25">
      <c r="C36" s="590" t="s">
        <v>36</v>
      </c>
      <c r="D36" s="591"/>
      <c r="E36" s="591"/>
      <c r="F36" s="591"/>
      <c r="G36" s="592"/>
      <c r="I36" s="602" t="s">
        <v>37</v>
      </c>
      <c r="J36" s="603"/>
      <c r="K36" s="603"/>
      <c r="L36" s="604"/>
      <c r="M36" s="298"/>
      <c r="O36" s="593" t="s">
        <v>38</v>
      </c>
      <c r="P36" s="594"/>
      <c r="Q36" s="595">
        <f>+F48-L45</f>
        <v>9784.705108224467</v>
      </c>
      <c r="R36" s="596"/>
      <c r="S36" s="597"/>
      <c r="W36" s="14"/>
    </row>
    <row r="37" spans="3:23" thickBot="1" x14ac:dyDescent="0.25">
      <c r="C37" s="598" t="s">
        <v>220</v>
      </c>
      <c r="D37" s="599"/>
      <c r="E37" s="599"/>
      <c r="F37" s="600">
        <f>SUM(Q18:Q32)</f>
        <v>769.99199999999985</v>
      </c>
      <c r="G37" s="601"/>
      <c r="I37" s="114" t="s">
        <v>126</v>
      </c>
      <c r="J37" s="68" t="s">
        <v>127</v>
      </c>
      <c r="K37" s="68" t="s">
        <v>70</v>
      </c>
      <c r="L37" s="115" t="s">
        <v>128</v>
      </c>
      <c r="M37" s="349"/>
      <c r="W37" s="14"/>
    </row>
    <row r="38" spans="3:23" ht="13.5" customHeight="1" thickBot="1" x14ac:dyDescent="0.25">
      <c r="C38" s="584" t="s">
        <v>221</v>
      </c>
      <c r="D38" s="585"/>
      <c r="E38" s="585"/>
      <c r="F38" s="586">
        <f>SUM(T18:T32)</f>
        <v>6164.7131082244669</v>
      </c>
      <c r="G38" s="587"/>
      <c r="I38" s="118"/>
      <c r="J38" s="345"/>
      <c r="K38" s="43"/>
      <c r="L38" s="119"/>
      <c r="M38" s="349"/>
      <c r="O38" s="74" t="s">
        <v>70</v>
      </c>
      <c r="P38" s="75" t="s">
        <v>71</v>
      </c>
      <c r="Q38" s="76" t="s">
        <v>252</v>
      </c>
      <c r="R38" s="76"/>
      <c r="S38" s="77" t="s">
        <v>253</v>
      </c>
      <c r="T38" s="75" t="s">
        <v>74</v>
      </c>
      <c r="U38" s="74" t="s">
        <v>146</v>
      </c>
      <c r="V38" s="75" t="s">
        <v>147</v>
      </c>
      <c r="W38" s="75" t="s">
        <v>285</v>
      </c>
    </row>
    <row r="39" spans="3:23" ht="12" x14ac:dyDescent="0.2">
      <c r="C39" s="584" t="s">
        <v>34</v>
      </c>
      <c r="D39" s="585"/>
      <c r="E39" s="585"/>
      <c r="F39" s="586">
        <f>+M34</f>
        <v>2750</v>
      </c>
      <c r="G39" s="587"/>
      <c r="I39" s="94"/>
      <c r="J39" s="117"/>
      <c r="K39" s="61"/>
      <c r="L39" s="111"/>
      <c r="M39" s="349"/>
      <c r="O39" s="78">
        <v>45904</v>
      </c>
      <c r="P39" s="346" t="s">
        <v>162</v>
      </c>
      <c r="Q39" s="78">
        <v>255266</v>
      </c>
      <c r="R39" s="24"/>
      <c r="S39" s="32">
        <v>256248</v>
      </c>
      <c r="T39" s="79">
        <f>+S39-Q39</f>
        <v>982</v>
      </c>
      <c r="U39" s="309">
        <f>SUM(J19:J20)</f>
        <v>830</v>
      </c>
      <c r="V39" s="79">
        <f>+K20</f>
        <v>220.01499999999999</v>
      </c>
      <c r="W39" s="356">
        <f>(SUM(M19:M20)/2)</f>
        <v>1013.38</v>
      </c>
    </row>
    <row r="40" spans="3:23" ht="12" x14ac:dyDescent="0.2">
      <c r="C40" s="584" t="s">
        <v>187</v>
      </c>
      <c r="D40" s="585"/>
      <c r="E40" s="585"/>
      <c r="F40" s="586"/>
      <c r="G40" s="587"/>
      <c r="I40" s="94"/>
      <c r="J40" s="117"/>
      <c r="K40" s="61"/>
      <c r="L40" s="111"/>
      <c r="M40" s="349"/>
      <c r="O40" s="32">
        <v>45914</v>
      </c>
      <c r="P40" s="348" t="s">
        <v>162</v>
      </c>
      <c r="Q40" s="32">
        <v>256248</v>
      </c>
      <c r="R40" s="11"/>
      <c r="S40" s="32">
        <v>256990</v>
      </c>
      <c r="T40" s="53">
        <f t="shared" ref="T40:T45" si="2">+S40-Q40</f>
        <v>742</v>
      </c>
      <c r="U40" s="307">
        <f>SUM(J21:J22)</f>
        <v>790</v>
      </c>
      <c r="V40" s="53">
        <f>+K22</f>
        <v>174.99299999999999</v>
      </c>
      <c r="W40" s="357">
        <f>(SUM(M21:M22)/2)</f>
        <v>420.87349999999998</v>
      </c>
    </row>
    <row r="41" spans="3:23" ht="12" x14ac:dyDescent="0.2">
      <c r="C41" s="584" t="s">
        <v>39</v>
      </c>
      <c r="D41" s="585"/>
      <c r="E41" s="585"/>
      <c r="F41" s="586"/>
      <c r="G41" s="587"/>
      <c r="I41" s="94"/>
      <c r="J41" s="117"/>
      <c r="K41" s="61"/>
      <c r="L41" s="111"/>
      <c r="M41" s="349"/>
      <c r="O41" s="32">
        <v>45947</v>
      </c>
      <c r="P41" s="348" t="s">
        <v>162</v>
      </c>
      <c r="Q41" s="32">
        <v>256990</v>
      </c>
      <c r="R41" s="11"/>
      <c r="S41" s="32">
        <v>257755</v>
      </c>
      <c r="T41" s="53">
        <f t="shared" si="2"/>
        <v>765</v>
      </c>
      <c r="U41" s="307">
        <f>SUM(J23:J24)</f>
        <v>790</v>
      </c>
      <c r="V41" s="53">
        <f>+K24</f>
        <v>217.857</v>
      </c>
      <c r="W41" s="357">
        <f>(SUM(M23:M24)/2)</f>
        <v>2398.2455</v>
      </c>
    </row>
    <row r="42" spans="3:23" ht="12" x14ac:dyDescent="0.2">
      <c r="C42" s="584" t="s">
        <v>117</v>
      </c>
      <c r="D42" s="585"/>
      <c r="E42" s="585"/>
      <c r="F42" s="586"/>
      <c r="G42" s="587"/>
      <c r="I42" s="94"/>
      <c r="J42" s="117"/>
      <c r="K42" s="61"/>
      <c r="L42" s="111"/>
      <c r="M42" s="349"/>
      <c r="O42" s="32">
        <v>45954</v>
      </c>
      <c r="P42" s="348" t="s">
        <v>162</v>
      </c>
      <c r="Q42" s="32">
        <v>257755</v>
      </c>
      <c r="R42" s="11"/>
      <c r="S42" s="11">
        <v>258517</v>
      </c>
      <c r="T42" s="53">
        <f t="shared" si="2"/>
        <v>762</v>
      </c>
      <c r="U42" s="307">
        <f>SUM(J25:J26)</f>
        <v>790</v>
      </c>
      <c r="V42" s="53">
        <f>+K26</f>
        <v>196.00299999999999</v>
      </c>
      <c r="W42" s="357">
        <f>(SUM(M25:M26)/2)</f>
        <v>903.5</v>
      </c>
    </row>
    <row r="43" spans="3:23" ht="12" x14ac:dyDescent="0.2">
      <c r="C43" s="584" t="s">
        <v>40</v>
      </c>
      <c r="D43" s="585"/>
      <c r="E43" s="585"/>
      <c r="F43" s="586">
        <v>100</v>
      </c>
      <c r="G43" s="587"/>
      <c r="I43" s="94"/>
      <c r="J43" s="117"/>
      <c r="K43" s="61"/>
      <c r="L43" s="111"/>
      <c r="M43" s="349"/>
      <c r="O43" s="32"/>
      <c r="P43" s="348"/>
      <c r="Q43" s="32"/>
      <c r="R43" s="61"/>
      <c r="S43" s="11"/>
      <c r="T43" s="53">
        <f t="shared" si="2"/>
        <v>0</v>
      </c>
      <c r="U43" s="307">
        <f>SUM(J27:J28)</f>
        <v>0</v>
      </c>
      <c r="V43" s="53">
        <f>+K28</f>
        <v>0</v>
      </c>
      <c r="W43" s="357">
        <f>(SUM(M27:M28)/2)</f>
        <v>0</v>
      </c>
    </row>
    <row r="44" spans="3:23" thickBot="1" x14ac:dyDescent="0.25">
      <c r="C44" s="584" t="s">
        <v>125</v>
      </c>
      <c r="D44" s="585"/>
      <c r="E44" s="585"/>
      <c r="F44" s="586"/>
      <c r="G44" s="587"/>
      <c r="I44" s="282"/>
      <c r="J44" s="285"/>
      <c r="K44" s="62"/>
      <c r="L44" s="283"/>
      <c r="M44" s="349"/>
      <c r="O44" s="32"/>
      <c r="P44" s="348"/>
      <c r="Q44" s="32"/>
      <c r="R44" s="61"/>
      <c r="S44" s="11"/>
      <c r="T44" s="53">
        <f t="shared" si="2"/>
        <v>0</v>
      </c>
      <c r="U44" s="307">
        <f>SUM(J29:J30)</f>
        <v>0</v>
      </c>
      <c r="V44" s="53">
        <f>+K29</f>
        <v>0</v>
      </c>
      <c r="W44" s="357">
        <f>(SUM(M29:M30)/2)</f>
        <v>0</v>
      </c>
    </row>
    <row r="45" spans="3:23" ht="13.5" customHeight="1" thickBot="1" x14ac:dyDescent="0.25">
      <c r="C45" s="584" t="s">
        <v>225</v>
      </c>
      <c r="D45" s="585"/>
      <c r="E45" s="585"/>
      <c r="F45" s="588"/>
      <c r="G45" s="589"/>
      <c r="I45" s="579" t="s">
        <v>41</v>
      </c>
      <c r="J45" s="580"/>
      <c r="K45" s="614"/>
      <c r="L45" s="284">
        <f>SUM(L38:L44)</f>
        <v>0</v>
      </c>
      <c r="M45" s="350"/>
      <c r="O45" s="113"/>
      <c r="P45" s="367"/>
      <c r="Q45" s="113"/>
      <c r="R45" s="81"/>
      <c r="S45" s="81"/>
      <c r="T45" s="55">
        <f t="shared" si="2"/>
        <v>0</v>
      </c>
      <c r="U45" s="310">
        <f>SUM(J30:J31)</f>
        <v>0</v>
      </c>
      <c r="V45" s="55">
        <f>+K31</f>
        <v>0</v>
      </c>
      <c r="W45" s="358">
        <f>(SUM(M30:M31)/2)</f>
        <v>0</v>
      </c>
    </row>
    <row r="46" spans="3:23" ht="13.5" customHeight="1" x14ac:dyDescent="0.2">
      <c r="C46" s="584" t="s">
        <v>131</v>
      </c>
      <c r="D46" s="585"/>
      <c r="E46" s="585"/>
      <c r="F46" s="588"/>
      <c r="G46" s="589"/>
      <c r="R46" s="21"/>
      <c r="S46" s="21"/>
      <c r="T46" s="21"/>
      <c r="U46" s="139"/>
      <c r="V46" s="271"/>
      <c r="W46" s="14"/>
    </row>
    <row r="47" spans="3:23" ht="13.5" customHeight="1" thickBot="1" x14ac:dyDescent="0.25">
      <c r="C47" s="575" t="s">
        <v>235</v>
      </c>
      <c r="D47" s="576"/>
      <c r="E47" s="576"/>
      <c r="F47" s="577"/>
      <c r="G47" s="578"/>
      <c r="R47" s="21"/>
      <c r="S47" s="21"/>
      <c r="T47" s="21"/>
      <c r="U47" s="139"/>
      <c r="V47" s="271"/>
      <c r="W47" s="14"/>
    </row>
    <row r="48" spans="3:23" ht="13.5" thickBot="1" x14ac:dyDescent="0.25">
      <c r="C48" s="579" t="s">
        <v>42</v>
      </c>
      <c r="D48" s="580"/>
      <c r="E48" s="581"/>
      <c r="F48" s="582">
        <f>SUM(F37:G47)</f>
        <v>9784.705108224467</v>
      </c>
      <c r="G48" s="583"/>
      <c r="R48" s="21"/>
      <c r="S48" s="21"/>
      <c r="T48" s="21"/>
      <c r="U48" s="139"/>
      <c r="V48" s="271"/>
      <c r="W48" s="14"/>
    </row>
    <row r="49" spans="3:22" ht="13.5" customHeight="1" thickBot="1" x14ac:dyDescent="0.25">
      <c r="P49" s="570" t="s">
        <v>48</v>
      </c>
      <c r="Q49" s="571"/>
      <c r="R49" s="572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66" t="s">
        <v>49</v>
      </c>
      <c r="R50" s="567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68" t="s">
        <v>136</v>
      </c>
      <c r="R51" s="569"/>
      <c r="S51" s="21"/>
      <c r="T51" s="249"/>
    </row>
    <row r="52" spans="3:22" ht="13.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68" t="s">
        <v>131</v>
      </c>
      <c r="R52" s="569"/>
      <c r="S52" s="21"/>
      <c r="T52" s="249"/>
    </row>
    <row r="53" spans="3:22" x14ac:dyDescent="0.2">
      <c r="P53" s="32">
        <v>4</v>
      </c>
      <c r="Q53" s="568" t="s">
        <v>229</v>
      </c>
      <c r="R53" s="569"/>
      <c r="S53" s="21"/>
      <c r="T53" s="249"/>
    </row>
    <row r="54" spans="3:22" ht="13.5" thickBot="1" x14ac:dyDescent="0.25">
      <c r="P54" s="32">
        <v>5</v>
      </c>
      <c r="Q54" s="568" t="s">
        <v>230</v>
      </c>
      <c r="R54" s="569"/>
      <c r="S54" s="21"/>
    </row>
    <row r="55" spans="3:22" ht="14.25" customHeight="1" thickTop="1" thickBot="1" x14ac:dyDescent="0.25">
      <c r="D55" s="613" t="s">
        <v>44</v>
      </c>
      <c r="E55" s="613"/>
      <c r="F55" s="613"/>
      <c r="G55" s="613"/>
      <c r="H55" s="613"/>
      <c r="J55" s="613" t="s">
        <v>45</v>
      </c>
      <c r="K55" s="613"/>
      <c r="L55" s="613"/>
      <c r="M55" s="613"/>
      <c r="N55" s="613"/>
      <c r="P55" s="54">
        <v>6</v>
      </c>
      <c r="Q55" s="573" t="s">
        <v>231</v>
      </c>
      <c r="R55" s="574"/>
      <c r="S55" s="21"/>
      <c r="T55" s="21"/>
    </row>
    <row r="56" spans="3:22" x14ac:dyDescent="0.2">
      <c r="S56" s="21"/>
      <c r="T56" s="21"/>
    </row>
    <row r="57" spans="3:22" x14ac:dyDescent="0.2">
      <c r="P57" s="21"/>
      <c r="Q57" s="21"/>
      <c r="R57" s="21"/>
      <c r="S57" s="21"/>
      <c r="T57" s="21"/>
    </row>
    <row r="65" spans="24:24" x14ac:dyDescent="0.2">
      <c r="X65" s="14" t="s">
        <v>182</v>
      </c>
    </row>
  </sheetData>
  <mergeCells count="56">
    <mergeCell ref="D55:H55"/>
    <mergeCell ref="J55:N55"/>
    <mergeCell ref="I45:K45"/>
    <mergeCell ref="C47:E47"/>
    <mergeCell ref="F47:G47"/>
    <mergeCell ref="C48:E48"/>
    <mergeCell ref="F48:G48"/>
    <mergeCell ref="C45:E45"/>
    <mergeCell ref="F45:G45"/>
    <mergeCell ref="C46:E46"/>
    <mergeCell ref="F46:G46"/>
    <mergeCell ref="F43:G43"/>
    <mergeCell ref="F44:G44"/>
    <mergeCell ref="C42:E42"/>
    <mergeCell ref="F42:G42"/>
    <mergeCell ref="C43:E43"/>
    <mergeCell ref="C44:E44"/>
    <mergeCell ref="C39:E39"/>
    <mergeCell ref="F39:G39"/>
    <mergeCell ref="C40:E40"/>
    <mergeCell ref="F40:G40"/>
    <mergeCell ref="C41:E41"/>
    <mergeCell ref="F41:G41"/>
    <mergeCell ref="C37:E37"/>
    <mergeCell ref="F37:G37"/>
    <mergeCell ref="I36:L36"/>
    <mergeCell ref="C38:E38"/>
    <mergeCell ref="F38:G38"/>
    <mergeCell ref="C36:G36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52:R52"/>
    <mergeCell ref="Q53:R53"/>
    <mergeCell ref="Q54:R54"/>
    <mergeCell ref="Q55:R55"/>
    <mergeCell ref="Q2:S2"/>
    <mergeCell ref="Q50:R50"/>
    <mergeCell ref="Q51:R51"/>
    <mergeCell ref="P49:R49"/>
    <mergeCell ref="O36:P36"/>
    <mergeCell ref="Q36:S36"/>
    <mergeCell ref="I3:O3"/>
    <mergeCell ref="Q3:S3"/>
    <mergeCell ref="I4:O4"/>
    <mergeCell ref="I5:O5"/>
    <mergeCell ref="Q5:S5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6"/>
  <dimension ref="B1:P32"/>
  <sheetViews>
    <sheetView zoomScale="85" zoomScaleNormal="85" workbookViewId="0">
      <selection activeCell="B3" sqref="B3:P31"/>
    </sheetView>
  </sheetViews>
  <sheetFormatPr baseColWidth="10" defaultRowHeight="12.75" x14ac:dyDescent="0.2"/>
  <cols>
    <col min="1" max="1" width="11.42578125" style="122"/>
    <col min="2" max="2" width="9.28515625" style="122" customWidth="1"/>
    <col min="3" max="3" width="49.5703125" style="128" bestFit="1" customWidth="1"/>
    <col min="4" max="4" width="15.28515625" style="127" bestFit="1" customWidth="1"/>
    <col min="5" max="5" width="19.5703125" style="127" customWidth="1"/>
    <col min="6" max="6" width="14.7109375" style="208" bestFit="1" customWidth="1"/>
    <col min="7" max="7" width="12.7109375" style="208" bestFit="1" customWidth="1"/>
    <col min="8" max="8" width="12.28515625" style="208" bestFit="1" customWidth="1"/>
    <col min="9" max="9" width="14.7109375" style="208" bestFit="1" customWidth="1"/>
    <col min="10" max="10" width="13.5703125" style="129" bestFit="1" customWidth="1"/>
    <col min="11" max="11" width="12.5703125" style="129" bestFit="1" customWidth="1"/>
    <col min="12" max="12" width="18.140625" style="122" customWidth="1"/>
    <col min="13" max="13" width="42.42578125" style="122" bestFit="1" customWidth="1"/>
    <col min="14" max="14" width="14.5703125" style="122" bestFit="1" customWidth="1"/>
    <col min="15" max="15" width="10" style="122" bestFit="1" customWidth="1"/>
    <col min="16" max="255" width="9.140625" style="122" customWidth="1"/>
    <col min="256" max="256" width="11.42578125" style="122"/>
    <col min="257" max="257" width="7.42578125" style="122" customWidth="1"/>
    <col min="258" max="258" width="37" style="122" customWidth="1"/>
    <col min="259" max="259" width="8.7109375" style="122" customWidth="1"/>
    <col min="260" max="260" width="20" style="122" customWidth="1"/>
    <col min="261" max="261" width="14.140625" style="122" customWidth="1"/>
    <col min="262" max="262" width="13.5703125" style="122" customWidth="1"/>
    <col min="263" max="263" width="9.85546875" style="122" customWidth="1"/>
    <col min="264" max="264" width="12" style="122" customWidth="1"/>
    <col min="265" max="265" width="16.28515625" style="122" customWidth="1"/>
    <col min="266" max="266" width="14" style="122" customWidth="1"/>
    <col min="267" max="268" width="14.42578125" style="122" customWidth="1"/>
    <col min="269" max="511" width="9.140625" style="122" customWidth="1"/>
    <col min="512" max="512" width="11.42578125" style="122"/>
    <col min="513" max="513" width="7.42578125" style="122" customWidth="1"/>
    <col min="514" max="514" width="37" style="122" customWidth="1"/>
    <col min="515" max="515" width="8.7109375" style="122" customWidth="1"/>
    <col min="516" max="516" width="20" style="122" customWidth="1"/>
    <col min="517" max="517" width="14.140625" style="122" customWidth="1"/>
    <col min="518" max="518" width="13.5703125" style="122" customWidth="1"/>
    <col min="519" max="519" width="9.85546875" style="122" customWidth="1"/>
    <col min="520" max="520" width="12" style="122" customWidth="1"/>
    <col min="521" max="521" width="16.28515625" style="122" customWidth="1"/>
    <col min="522" max="522" width="14" style="122" customWidth="1"/>
    <col min="523" max="524" width="14.42578125" style="122" customWidth="1"/>
    <col min="525" max="767" width="9.140625" style="122" customWidth="1"/>
    <col min="768" max="768" width="11.42578125" style="122"/>
    <col min="769" max="769" width="7.42578125" style="122" customWidth="1"/>
    <col min="770" max="770" width="37" style="122" customWidth="1"/>
    <col min="771" max="771" width="8.7109375" style="122" customWidth="1"/>
    <col min="772" max="772" width="20" style="122" customWidth="1"/>
    <col min="773" max="773" width="14.140625" style="122" customWidth="1"/>
    <col min="774" max="774" width="13.5703125" style="122" customWidth="1"/>
    <col min="775" max="775" width="9.85546875" style="122" customWidth="1"/>
    <col min="776" max="776" width="12" style="122" customWidth="1"/>
    <col min="777" max="777" width="16.28515625" style="122" customWidth="1"/>
    <col min="778" max="778" width="14" style="122" customWidth="1"/>
    <col min="779" max="780" width="14.42578125" style="122" customWidth="1"/>
    <col min="781" max="1023" width="9.140625" style="122" customWidth="1"/>
    <col min="1024" max="1024" width="11.42578125" style="122"/>
    <col min="1025" max="1025" width="7.42578125" style="122" customWidth="1"/>
    <col min="1026" max="1026" width="37" style="122" customWidth="1"/>
    <col min="1027" max="1027" width="8.7109375" style="122" customWidth="1"/>
    <col min="1028" max="1028" width="20" style="122" customWidth="1"/>
    <col min="1029" max="1029" width="14.140625" style="122" customWidth="1"/>
    <col min="1030" max="1030" width="13.5703125" style="122" customWidth="1"/>
    <col min="1031" max="1031" width="9.85546875" style="122" customWidth="1"/>
    <col min="1032" max="1032" width="12" style="122" customWidth="1"/>
    <col min="1033" max="1033" width="16.28515625" style="122" customWidth="1"/>
    <col min="1034" max="1034" width="14" style="122" customWidth="1"/>
    <col min="1035" max="1036" width="14.42578125" style="122" customWidth="1"/>
    <col min="1037" max="1279" width="9.140625" style="122" customWidth="1"/>
    <col min="1280" max="1280" width="11.42578125" style="122"/>
    <col min="1281" max="1281" width="7.42578125" style="122" customWidth="1"/>
    <col min="1282" max="1282" width="37" style="122" customWidth="1"/>
    <col min="1283" max="1283" width="8.7109375" style="122" customWidth="1"/>
    <col min="1284" max="1284" width="20" style="122" customWidth="1"/>
    <col min="1285" max="1285" width="14.140625" style="122" customWidth="1"/>
    <col min="1286" max="1286" width="13.5703125" style="122" customWidth="1"/>
    <col min="1287" max="1287" width="9.85546875" style="122" customWidth="1"/>
    <col min="1288" max="1288" width="12" style="122" customWidth="1"/>
    <col min="1289" max="1289" width="16.28515625" style="122" customWidth="1"/>
    <col min="1290" max="1290" width="14" style="122" customWidth="1"/>
    <col min="1291" max="1292" width="14.42578125" style="122" customWidth="1"/>
    <col min="1293" max="1535" width="9.140625" style="122" customWidth="1"/>
    <col min="1536" max="1536" width="11.42578125" style="122"/>
    <col min="1537" max="1537" width="7.42578125" style="122" customWidth="1"/>
    <col min="1538" max="1538" width="37" style="122" customWidth="1"/>
    <col min="1539" max="1539" width="8.7109375" style="122" customWidth="1"/>
    <col min="1540" max="1540" width="20" style="122" customWidth="1"/>
    <col min="1541" max="1541" width="14.140625" style="122" customWidth="1"/>
    <col min="1542" max="1542" width="13.5703125" style="122" customWidth="1"/>
    <col min="1543" max="1543" width="9.85546875" style="122" customWidth="1"/>
    <col min="1544" max="1544" width="12" style="122" customWidth="1"/>
    <col min="1545" max="1545" width="16.28515625" style="122" customWidth="1"/>
    <col min="1546" max="1546" width="14" style="122" customWidth="1"/>
    <col min="1547" max="1548" width="14.42578125" style="122" customWidth="1"/>
    <col min="1549" max="1791" width="9.140625" style="122" customWidth="1"/>
    <col min="1792" max="1792" width="11.42578125" style="122"/>
    <col min="1793" max="1793" width="7.42578125" style="122" customWidth="1"/>
    <col min="1794" max="1794" width="37" style="122" customWidth="1"/>
    <col min="1795" max="1795" width="8.7109375" style="122" customWidth="1"/>
    <col min="1796" max="1796" width="20" style="122" customWidth="1"/>
    <col min="1797" max="1797" width="14.140625" style="122" customWidth="1"/>
    <col min="1798" max="1798" width="13.5703125" style="122" customWidth="1"/>
    <col min="1799" max="1799" width="9.85546875" style="122" customWidth="1"/>
    <col min="1800" max="1800" width="12" style="122" customWidth="1"/>
    <col min="1801" max="1801" width="16.28515625" style="122" customWidth="1"/>
    <col min="1802" max="1802" width="14" style="122" customWidth="1"/>
    <col min="1803" max="1804" width="14.42578125" style="122" customWidth="1"/>
    <col min="1805" max="2047" width="9.140625" style="122" customWidth="1"/>
    <col min="2048" max="2048" width="11.42578125" style="122"/>
    <col min="2049" max="2049" width="7.42578125" style="122" customWidth="1"/>
    <col min="2050" max="2050" width="37" style="122" customWidth="1"/>
    <col min="2051" max="2051" width="8.7109375" style="122" customWidth="1"/>
    <col min="2052" max="2052" width="20" style="122" customWidth="1"/>
    <col min="2053" max="2053" width="14.140625" style="122" customWidth="1"/>
    <col min="2054" max="2054" width="13.5703125" style="122" customWidth="1"/>
    <col min="2055" max="2055" width="9.85546875" style="122" customWidth="1"/>
    <col min="2056" max="2056" width="12" style="122" customWidth="1"/>
    <col min="2057" max="2057" width="16.28515625" style="122" customWidth="1"/>
    <col min="2058" max="2058" width="14" style="122" customWidth="1"/>
    <col min="2059" max="2060" width="14.42578125" style="122" customWidth="1"/>
    <col min="2061" max="2303" width="9.140625" style="122" customWidth="1"/>
    <col min="2304" max="2304" width="11.42578125" style="122"/>
    <col min="2305" max="2305" width="7.42578125" style="122" customWidth="1"/>
    <col min="2306" max="2306" width="37" style="122" customWidth="1"/>
    <col min="2307" max="2307" width="8.7109375" style="122" customWidth="1"/>
    <col min="2308" max="2308" width="20" style="122" customWidth="1"/>
    <col min="2309" max="2309" width="14.140625" style="122" customWidth="1"/>
    <col min="2310" max="2310" width="13.5703125" style="122" customWidth="1"/>
    <col min="2311" max="2311" width="9.85546875" style="122" customWidth="1"/>
    <col min="2312" max="2312" width="12" style="122" customWidth="1"/>
    <col min="2313" max="2313" width="16.28515625" style="122" customWidth="1"/>
    <col min="2314" max="2314" width="14" style="122" customWidth="1"/>
    <col min="2315" max="2316" width="14.42578125" style="122" customWidth="1"/>
    <col min="2317" max="2559" width="9.140625" style="122" customWidth="1"/>
    <col min="2560" max="2560" width="11.42578125" style="122"/>
    <col min="2561" max="2561" width="7.42578125" style="122" customWidth="1"/>
    <col min="2562" max="2562" width="37" style="122" customWidth="1"/>
    <col min="2563" max="2563" width="8.7109375" style="122" customWidth="1"/>
    <col min="2564" max="2564" width="20" style="122" customWidth="1"/>
    <col min="2565" max="2565" width="14.140625" style="122" customWidth="1"/>
    <col min="2566" max="2566" width="13.5703125" style="122" customWidth="1"/>
    <col min="2567" max="2567" width="9.85546875" style="122" customWidth="1"/>
    <col min="2568" max="2568" width="12" style="122" customWidth="1"/>
    <col min="2569" max="2569" width="16.28515625" style="122" customWidth="1"/>
    <col min="2570" max="2570" width="14" style="122" customWidth="1"/>
    <col min="2571" max="2572" width="14.42578125" style="122" customWidth="1"/>
    <col min="2573" max="2815" width="9.140625" style="122" customWidth="1"/>
    <col min="2816" max="2816" width="11.42578125" style="122"/>
    <col min="2817" max="2817" width="7.42578125" style="122" customWidth="1"/>
    <col min="2818" max="2818" width="37" style="122" customWidth="1"/>
    <col min="2819" max="2819" width="8.7109375" style="122" customWidth="1"/>
    <col min="2820" max="2820" width="20" style="122" customWidth="1"/>
    <col min="2821" max="2821" width="14.140625" style="122" customWidth="1"/>
    <col min="2822" max="2822" width="13.5703125" style="122" customWidth="1"/>
    <col min="2823" max="2823" width="9.85546875" style="122" customWidth="1"/>
    <col min="2824" max="2824" width="12" style="122" customWidth="1"/>
    <col min="2825" max="2825" width="16.28515625" style="122" customWidth="1"/>
    <col min="2826" max="2826" width="14" style="122" customWidth="1"/>
    <col min="2827" max="2828" width="14.42578125" style="122" customWidth="1"/>
    <col min="2829" max="3071" width="9.140625" style="122" customWidth="1"/>
    <col min="3072" max="3072" width="11.42578125" style="122"/>
    <col min="3073" max="3073" width="7.42578125" style="122" customWidth="1"/>
    <col min="3074" max="3074" width="37" style="122" customWidth="1"/>
    <col min="3075" max="3075" width="8.7109375" style="122" customWidth="1"/>
    <col min="3076" max="3076" width="20" style="122" customWidth="1"/>
    <col min="3077" max="3077" width="14.140625" style="122" customWidth="1"/>
    <col min="3078" max="3078" width="13.5703125" style="122" customWidth="1"/>
    <col min="3079" max="3079" width="9.85546875" style="122" customWidth="1"/>
    <col min="3080" max="3080" width="12" style="122" customWidth="1"/>
    <col min="3081" max="3081" width="16.28515625" style="122" customWidth="1"/>
    <col min="3082" max="3082" width="14" style="122" customWidth="1"/>
    <col min="3083" max="3084" width="14.42578125" style="122" customWidth="1"/>
    <col min="3085" max="3327" width="9.140625" style="122" customWidth="1"/>
    <col min="3328" max="3328" width="11.42578125" style="122"/>
    <col min="3329" max="3329" width="7.42578125" style="122" customWidth="1"/>
    <col min="3330" max="3330" width="37" style="122" customWidth="1"/>
    <col min="3331" max="3331" width="8.7109375" style="122" customWidth="1"/>
    <col min="3332" max="3332" width="20" style="122" customWidth="1"/>
    <col min="3333" max="3333" width="14.140625" style="122" customWidth="1"/>
    <col min="3334" max="3334" width="13.5703125" style="122" customWidth="1"/>
    <col min="3335" max="3335" width="9.85546875" style="122" customWidth="1"/>
    <col min="3336" max="3336" width="12" style="122" customWidth="1"/>
    <col min="3337" max="3337" width="16.28515625" style="122" customWidth="1"/>
    <col min="3338" max="3338" width="14" style="122" customWidth="1"/>
    <col min="3339" max="3340" width="14.42578125" style="122" customWidth="1"/>
    <col min="3341" max="3583" width="9.140625" style="122" customWidth="1"/>
    <col min="3584" max="3584" width="11.42578125" style="122"/>
    <col min="3585" max="3585" width="7.42578125" style="122" customWidth="1"/>
    <col min="3586" max="3586" width="37" style="122" customWidth="1"/>
    <col min="3587" max="3587" width="8.7109375" style="122" customWidth="1"/>
    <col min="3588" max="3588" width="20" style="122" customWidth="1"/>
    <col min="3589" max="3589" width="14.140625" style="122" customWidth="1"/>
    <col min="3590" max="3590" width="13.5703125" style="122" customWidth="1"/>
    <col min="3591" max="3591" width="9.85546875" style="122" customWidth="1"/>
    <col min="3592" max="3592" width="12" style="122" customWidth="1"/>
    <col min="3593" max="3593" width="16.28515625" style="122" customWidth="1"/>
    <col min="3594" max="3594" width="14" style="122" customWidth="1"/>
    <col min="3595" max="3596" width="14.42578125" style="122" customWidth="1"/>
    <col min="3597" max="3839" width="9.140625" style="122" customWidth="1"/>
    <col min="3840" max="3840" width="11.42578125" style="122"/>
    <col min="3841" max="3841" width="7.42578125" style="122" customWidth="1"/>
    <col min="3842" max="3842" width="37" style="122" customWidth="1"/>
    <col min="3843" max="3843" width="8.7109375" style="122" customWidth="1"/>
    <col min="3844" max="3844" width="20" style="122" customWidth="1"/>
    <col min="3845" max="3845" width="14.140625" style="122" customWidth="1"/>
    <col min="3846" max="3846" width="13.5703125" style="122" customWidth="1"/>
    <col min="3847" max="3847" width="9.85546875" style="122" customWidth="1"/>
    <col min="3848" max="3848" width="12" style="122" customWidth="1"/>
    <col min="3849" max="3849" width="16.28515625" style="122" customWidth="1"/>
    <col min="3850" max="3850" width="14" style="122" customWidth="1"/>
    <col min="3851" max="3852" width="14.42578125" style="122" customWidth="1"/>
    <col min="3853" max="4095" width="9.140625" style="122" customWidth="1"/>
    <col min="4096" max="4096" width="11.42578125" style="122"/>
    <col min="4097" max="4097" width="7.42578125" style="122" customWidth="1"/>
    <col min="4098" max="4098" width="37" style="122" customWidth="1"/>
    <col min="4099" max="4099" width="8.7109375" style="122" customWidth="1"/>
    <col min="4100" max="4100" width="20" style="122" customWidth="1"/>
    <col min="4101" max="4101" width="14.140625" style="122" customWidth="1"/>
    <col min="4102" max="4102" width="13.5703125" style="122" customWidth="1"/>
    <col min="4103" max="4103" width="9.85546875" style="122" customWidth="1"/>
    <col min="4104" max="4104" width="12" style="122" customWidth="1"/>
    <col min="4105" max="4105" width="16.28515625" style="122" customWidth="1"/>
    <col min="4106" max="4106" width="14" style="122" customWidth="1"/>
    <col min="4107" max="4108" width="14.42578125" style="122" customWidth="1"/>
    <col min="4109" max="4351" width="9.140625" style="122" customWidth="1"/>
    <col min="4352" max="4352" width="11.42578125" style="122"/>
    <col min="4353" max="4353" width="7.42578125" style="122" customWidth="1"/>
    <col min="4354" max="4354" width="37" style="122" customWidth="1"/>
    <col min="4355" max="4355" width="8.7109375" style="122" customWidth="1"/>
    <col min="4356" max="4356" width="20" style="122" customWidth="1"/>
    <col min="4357" max="4357" width="14.140625" style="122" customWidth="1"/>
    <col min="4358" max="4358" width="13.5703125" style="122" customWidth="1"/>
    <col min="4359" max="4359" width="9.85546875" style="122" customWidth="1"/>
    <col min="4360" max="4360" width="12" style="122" customWidth="1"/>
    <col min="4361" max="4361" width="16.28515625" style="122" customWidth="1"/>
    <col min="4362" max="4362" width="14" style="122" customWidth="1"/>
    <col min="4363" max="4364" width="14.42578125" style="122" customWidth="1"/>
    <col min="4365" max="4607" width="9.140625" style="122" customWidth="1"/>
    <col min="4608" max="4608" width="11.42578125" style="122"/>
    <col min="4609" max="4609" width="7.42578125" style="122" customWidth="1"/>
    <col min="4610" max="4610" width="37" style="122" customWidth="1"/>
    <col min="4611" max="4611" width="8.7109375" style="122" customWidth="1"/>
    <col min="4612" max="4612" width="20" style="122" customWidth="1"/>
    <col min="4613" max="4613" width="14.140625" style="122" customWidth="1"/>
    <col min="4614" max="4614" width="13.5703125" style="122" customWidth="1"/>
    <col min="4615" max="4615" width="9.85546875" style="122" customWidth="1"/>
    <col min="4616" max="4616" width="12" style="122" customWidth="1"/>
    <col min="4617" max="4617" width="16.28515625" style="122" customWidth="1"/>
    <col min="4618" max="4618" width="14" style="122" customWidth="1"/>
    <col min="4619" max="4620" width="14.42578125" style="122" customWidth="1"/>
    <col min="4621" max="4863" width="9.140625" style="122" customWidth="1"/>
    <col min="4864" max="4864" width="11.42578125" style="122"/>
    <col min="4865" max="4865" width="7.42578125" style="122" customWidth="1"/>
    <col min="4866" max="4866" width="37" style="122" customWidth="1"/>
    <col min="4867" max="4867" width="8.7109375" style="122" customWidth="1"/>
    <col min="4868" max="4868" width="20" style="122" customWidth="1"/>
    <col min="4869" max="4869" width="14.140625" style="122" customWidth="1"/>
    <col min="4870" max="4870" width="13.5703125" style="122" customWidth="1"/>
    <col min="4871" max="4871" width="9.85546875" style="122" customWidth="1"/>
    <col min="4872" max="4872" width="12" style="122" customWidth="1"/>
    <col min="4873" max="4873" width="16.28515625" style="122" customWidth="1"/>
    <col min="4874" max="4874" width="14" style="122" customWidth="1"/>
    <col min="4875" max="4876" width="14.42578125" style="122" customWidth="1"/>
    <col min="4877" max="5119" width="9.140625" style="122" customWidth="1"/>
    <col min="5120" max="5120" width="11.42578125" style="122"/>
    <col min="5121" max="5121" width="7.42578125" style="122" customWidth="1"/>
    <col min="5122" max="5122" width="37" style="122" customWidth="1"/>
    <col min="5123" max="5123" width="8.7109375" style="122" customWidth="1"/>
    <col min="5124" max="5124" width="20" style="122" customWidth="1"/>
    <col min="5125" max="5125" width="14.140625" style="122" customWidth="1"/>
    <col min="5126" max="5126" width="13.5703125" style="122" customWidth="1"/>
    <col min="5127" max="5127" width="9.85546875" style="122" customWidth="1"/>
    <col min="5128" max="5128" width="12" style="122" customWidth="1"/>
    <col min="5129" max="5129" width="16.28515625" style="122" customWidth="1"/>
    <col min="5130" max="5130" width="14" style="122" customWidth="1"/>
    <col min="5131" max="5132" width="14.42578125" style="122" customWidth="1"/>
    <col min="5133" max="5375" width="9.140625" style="122" customWidth="1"/>
    <col min="5376" max="5376" width="11.42578125" style="122"/>
    <col min="5377" max="5377" width="7.42578125" style="122" customWidth="1"/>
    <col min="5378" max="5378" width="37" style="122" customWidth="1"/>
    <col min="5379" max="5379" width="8.7109375" style="122" customWidth="1"/>
    <col min="5380" max="5380" width="20" style="122" customWidth="1"/>
    <col min="5381" max="5381" width="14.140625" style="122" customWidth="1"/>
    <col min="5382" max="5382" width="13.5703125" style="122" customWidth="1"/>
    <col min="5383" max="5383" width="9.85546875" style="122" customWidth="1"/>
    <col min="5384" max="5384" width="12" style="122" customWidth="1"/>
    <col min="5385" max="5385" width="16.28515625" style="122" customWidth="1"/>
    <col min="5386" max="5386" width="14" style="122" customWidth="1"/>
    <col min="5387" max="5388" width="14.42578125" style="122" customWidth="1"/>
    <col min="5389" max="5631" width="9.140625" style="122" customWidth="1"/>
    <col min="5632" max="5632" width="11.42578125" style="122"/>
    <col min="5633" max="5633" width="7.42578125" style="122" customWidth="1"/>
    <col min="5634" max="5634" width="37" style="122" customWidth="1"/>
    <col min="5635" max="5635" width="8.7109375" style="122" customWidth="1"/>
    <col min="5636" max="5636" width="20" style="122" customWidth="1"/>
    <col min="5637" max="5637" width="14.140625" style="122" customWidth="1"/>
    <col min="5638" max="5638" width="13.5703125" style="122" customWidth="1"/>
    <col min="5639" max="5639" width="9.85546875" style="122" customWidth="1"/>
    <col min="5640" max="5640" width="12" style="122" customWidth="1"/>
    <col min="5641" max="5641" width="16.28515625" style="122" customWidth="1"/>
    <col min="5642" max="5642" width="14" style="122" customWidth="1"/>
    <col min="5643" max="5644" width="14.42578125" style="122" customWidth="1"/>
    <col min="5645" max="5887" width="9.140625" style="122" customWidth="1"/>
    <col min="5888" max="5888" width="11.42578125" style="122"/>
    <col min="5889" max="5889" width="7.42578125" style="122" customWidth="1"/>
    <col min="5890" max="5890" width="37" style="122" customWidth="1"/>
    <col min="5891" max="5891" width="8.7109375" style="122" customWidth="1"/>
    <col min="5892" max="5892" width="20" style="122" customWidth="1"/>
    <col min="5893" max="5893" width="14.140625" style="122" customWidth="1"/>
    <col min="5894" max="5894" width="13.5703125" style="122" customWidth="1"/>
    <col min="5895" max="5895" width="9.85546875" style="122" customWidth="1"/>
    <col min="5896" max="5896" width="12" style="122" customWidth="1"/>
    <col min="5897" max="5897" width="16.28515625" style="122" customWidth="1"/>
    <col min="5898" max="5898" width="14" style="122" customWidth="1"/>
    <col min="5899" max="5900" width="14.42578125" style="122" customWidth="1"/>
    <col min="5901" max="6143" width="9.140625" style="122" customWidth="1"/>
    <col min="6144" max="6144" width="11.42578125" style="122"/>
    <col min="6145" max="6145" width="7.42578125" style="122" customWidth="1"/>
    <col min="6146" max="6146" width="37" style="122" customWidth="1"/>
    <col min="6147" max="6147" width="8.7109375" style="122" customWidth="1"/>
    <col min="6148" max="6148" width="20" style="122" customWidth="1"/>
    <col min="6149" max="6149" width="14.140625" style="122" customWidth="1"/>
    <col min="6150" max="6150" width="13.5703125" style="122" customWidth="1"/>
    <col min="6151" max="6151" width="9.85546875" style="122" customWidth="1"/>
    <col min="6152" max="6152" width="12" style="122" customWidth="1"/>
    <col min="6153" max="6153" width="16.28515625" style="122" customWidth="1"/>
    <col min="6154" max="6154" width="14" style="122" customWidth="1"/>
    <col min="6155" max="6156" width="14.42578125" style="122" customWidth="1"/>
    <col min="6157" max="6399" width="9.140625" style="122" customWidth="1"/>
    <col min="6400" max="6400" width="11.42578125" style="122"/>
    <col min="6401" max="6401" width="7.42578125" style="122" customWidth="1"/>
    <col min="6402" max="6402" width="37" style="122" customWidth="1"/>
    <col min="6403" max="6403" width="8.7109375" style="122" customWidth="1"/>
    <col min="6404" max="6404" width="20" style="122" customWidth="1"/>
    <col min="6405" max="6405" width="14.140625" style="122" customWidth="1"/>
    <col min="6406" max="6406" width="13.5703125" style="122" customWidth="1"/>
    <col min="6407" max="6407" width="9.85546875" style="122" customWidth="1"/>
    <col min="6408" max="6408" width="12" style="122" customWidth="1"/>
    <col min="6409" max="6409" width="16.28515625" style="122" customWidth="1"/>
    <col min="6410" max="6410" width="14" style="122" customWidth="1"/>
    <col min="6411" max="6412" width="14.42578125" style="122" customWidth="1"/>
    <col min="6413" max="6655" width="9.140625" style="122" customWidth="1"/>
    <col min="6656" max="6656" width="11.42578125" style="122"/>
    <col min="6657" max="6657" width="7.42578125" style="122" customWidth="1"/>
    <col min="6658" max="6658" width="37" style="122" customWidth="1"/>
    <col min="6659" max="6659" width="8.7109375" style="122" customWidth="1"/>
    <col min="6660" max="6660" width="20" style="122" customWidth="1"/>
    <col min="6661" max="6661" width="14.140625" style="122" customWidth="1"/>
    <col min="6662" max="6662" width="13.5703125" style="122" customWidth="1"/>
    <col min="6663" max="6663" width="9.85546875" style="122" customWidth="1"/>
    <col min="6664" max="6664" width="12" style="122" customWidth="1"/>
    <col min="6665" max="6665" width="16.28515625" style="122" customWidth="1"/>
    <col min="6666" max="6666" width="14" style="122" customWidth="1"/>
    <col min="6667" max="6668" width="14.42578125" style="122" customWidth="1"/>
    <col min="6669" max="6911" width="9.140625" style="122" customWidth="1"/>
    <col min="6912" max="6912" width="11.42578125" style="122"/>
    <col min="6913" max="6913" width="7.42578125" style="122" customWidth="1"/>
    <col min="6914" max="6914" width="37" style="122" customWidth="1"/>
    <col min="6915" max="6915" width="8.7109375" style="122" customWidth="1"/>
    <col min="6916" max="6916" width="20" style="122" customWidth="1"/>
    <col min="6917" max="6917" width="14.140625" style="122" customWidth="1"/>
    <col min="6918" max="6918" width="13.5703125" style="122" customWidth="1"/>
    <col min="6919" max="6919" width="9.85546875" style="122" customWidth="1"/>
    <col min="6920" max="6920" width="12" style="122" customWidth="1"/>
    <col min="6921" max="6921" width="16.28515625" style="122" customWidth="1"/>
    <col min="6922" max="6922" width="14" style="122" customWidth="1"/>
    <col min="6923" max="6924" width="14.42578125" style="122" customWidth="1"/>
    <col min="6925" max="7167" width="9.140625" style="122" customWidth="1"/>
    <col min="7168" max="7168" width="11.42578125" style="122"/>
    <col min="7169" max="7169" width="7.42578125" style="122" customWidth="1"/>
    <col min="7170" max="7170" width="37" style="122" customWidth="1"/>
    <col min="7171" max="7171" width="8.7109375" style="122" customWidth="1"/>
    <col min="7172" max="7172" width="20" style="122" customWidth="1"/>
    <col min="7173" max="7173" width="14.140625" style="122" customWidth="1"/>
    <col min="7174" max="7174" width="13.5703125" style="122" customWidth="1"/>
    <col min="7175" max="7175" width="9.85546875" style="122" customWidth="1"/>
    <col min="7176" max="7176" width="12" style="122" customWidth="1"/>
    <col min="7177" max="7177" width="16.28515625" style="122" customWidth="1"/>
    <col min="7178" max="7178" width="14" style="122" customWidth="1"/>
    <col min="7179" max="7180" width="14.42578125" style="122" customWidth="1"/>
    <col min="7181" max="7423" width="9.140625" style="122" customWidth="1"/>
    <col min="7424" max="7424" width="11.42578125" style="122"/>
    <col min="7425" max="7425" width="7.42578125" style="122" customWidth="1"/>
    <col min="7426" max="7426" width="37" style="122" customWidth="1"/>
    <col min="7427" max="7427" width="8.7109375" style="122" customWidth="1"/>
    <col min="7428" max="7428" width="20" style="122" customWidth="1"/>
    <col min="7429" max="7429" width="14.140625" style="122" customWidth="1"/>
    <col min="7430" max="7430" width="13.5703125" style="122" customWidth="1"/>
    <col min="7431" max="7431" width="9.85546875" style="122" customWidth="1"/>
    <col min="7432" max="7432" width="12" style="122" customWidth="1"/>
    <col min="7433" max="7433" width="16.28515625" style="122" customWidth="1"/>
    <col min="7434" max="7434" width="14" style="122" customWidth="1"/>
    <col min="7435" max="7436" width="14.42578125" style="122" customWidth="1"/>
    <col min="7437" max="7679" width="9.140625" style="122" customWidth="1"/>
    <col min="7680" max="7680" width="11.42578125" style="122"/>
    <col min="7681" max="7681" width="7.42578125" style="122" customWidth="1"/>
    <col min="7682" max="7682" width="37" style="122" customWidth="1"/>
    <col min="7683" max="7683" width="8.7109375" style="122" customWidth="1"/>
    <col min="7684" max="7684" width="20" style="122" customWidth="1"/>
    <col min="7685" max="7685" width="14.140625" style="122" customWidth="1"/>
    <col min="7686" max="7686" width="13.5703125" style="122" customWidth="1"/>
    <col min="7687" max="7687" width="9.85546875" style="122" customWidth="1"/>
    <col min="7688" max="7688" width="12" style="122" customWidth="1"/>
    <col min="7689" max="7689" width="16.28515625" style="122" customWidth="1"/>
    <col min="7690" max="7690" width="14" style="122" customWidth="1"/>
    <col min="7691" max="7692" width="14.42578125" style="122" customWidth="1"/>
    <col min="7693" max="7935" width="9.140625" style="122" customWidth="1"/>
    <col min="7936" max="7936" width="11.42578125" style="122"/>
    <col min="7937" max="7937" width="7.42578125" style="122" customWidth="1"/>
    <col min="7938" max="7938" width="37" style="122" customWidth="1"/>
    <col min="7939" max="7939" width="8.7109375" style="122" customWidth="1"/>
    <col min="7940" max="7940" width="20" style="122" customWidth="1"/>
    <col min="7941" max="7941" width="14.140625" style="122" customWidth="1"/>
    <col min="7942" max="7942" width="13.5703125" style="122" customWidth="1"/>
    <col min="7943" max="7943" width="9.85546875" style="122" customWidth="1"/>
    <col min="7944" max="7944" width="12" style="122" customWidth="1"/>
    <col min="7945" max="7945" width="16.28515625" style="122" customWidth="1"/>
    <col min="7946" max="7946" width="14" style="122" customWidth="1"/>
    <col min="7947" max="7948" width="14.42578125" style="122" customWidth="1"/>
    <col min="7949" max="8191" width="9.140625" style="122" customWidth="1"/>
    <col min="8192" max="8192" width="11.42578125" style="122"/>
    <col min="8193" max="8193" width="7.42578125" style="122" customWidth="1"/>
    <col min="8194" max="8194" width="37" style="122" customWidth="1"/>
    <col min="8195" max="8195" width="8.7109375" style="122" customWidth="1"/>
    <col min="8196" max="8196" width="20" style="122" customWidth="1"/>
    <col min="8197" max="8197" width="14.140625" style="122" customWidth="1"/>
    <col min="8198" max="8198" width="13.5703125" style="122" customWidth="1"/>
    <col min="8199" max="8199" width="9.85546875" style="122" customWidth="1"/>
    <col min="8200" max="8200" width="12" style="122" customWidth="1"/>
    <col min="8201" max="8201" width="16.28515625" style="122" customWidth="1"/>
    <col min="8202" max="8202" width="14" style="122" customWidth="1"/>
    <col min="8203" max="8204" width="14.42578125" style="122" customWidth="1"/>
    <col min="8205" max="8447" width="9.140625" style="122" customWidth="1"/>
    <col min="8448" max="8448" width="11.42578125" style="122"/>
    <col min="8449" max="8449" width="7.42578125" style="122" customWidth="1"/>
    <col min="8450" max="8450" width="37" style="122" customWidth="1"/>
    <col min="8451" max="8451" width="8.7109375" style="122" customWidth="1"/>
    <col min="8452" max="8452" width="20" style="122" customWidth="1"/>
    <col min="8453" max="8453" width="14.140625" style="122" customWidth="1"/>
    <col min="8454" max="8454" width="13.5703125" style="122" customWidth="1"/>
    <col min="8455" max="8455" width="9.85546875" style="122" customWidth="1"/>
    <col min="8456" max="8456" width="12" style="122" customWidth="1"/>
    <col min="8457" max="8457" width="16.28515625" style="122" customWidth="1"/>
    <col min="8458" max="8458" width="14" style="122" customWidth="1"/>
    <col min="8459" max="8460" width="14.42578125" style="122" customWidth="1"/>
    <col min="8461" max="8703" width="9.140625" style="122" customWidth="1"/>
    <col min="8704" max="8704" width="11.42578125" style="122"/>
    <col min="8705" max="8705" width="7.42578125" style="122" customWidth="1"/>
    <col min="8706" max="8706" width="37" style="122" customWidth="1"/>
    <col min="8707" max="8707" width="8.7109375" style="122" customWidth="1"/>
    <col min="8708" max="8708" width="20" style="122" customWidth="1"/>
    <col min="8709" max="8709" width="14.140625" style="122" customWidth="1"/>
    <col min="8710" max="8710" width="13.5703125" style="122" customWidth="1"/>
    <col min="8711" max="8711" width="9.85546875" style="122" customWidth="1"/>
    <col min="8712" max="8712" width="12" style="122" customWidth="1"/>
    <col min="8713" max="8713" width="16.28515625" style="122" customWidth="1"/>
    <col min="8714" max="8714" width="14" style="122" customWidth="1"/>
    <col min="8715" max="8716" width="14.42578125" style="122" customWidth="1"/>
    <col min="8717" max="8959" width="9.140625" style="122" customWidth="1"/>
    <col min="8960" max="8960" width="11.42578125" style="122"/>
    <col min="8961" max="8961" width="7.42578125" style="122" customWidth="1"/>
    <col min="8962" max="8962" width="37" style="122" customWidth="1"/>
    <col min="8963" max="8963" width="8.7109375" style="122" customWidth="1"/>
    <col min="8964" max="8964" width="20" style="122" customWidth="1"/>
    <col min="8965" max="8965" width="14.140625" style="122" customWidth="1"/>
    <col min="8966" max="8966" width="13.5703125" style="122" customWidth="1"/>
    <col min="8967" max="8967" width="9.85546875" style="122" customWidth="1"/>
    <col min="8968" max="8968" width="12" style="122" customWidth="1"/>
    <col min="8969" max="8969" width="16.28515625" style="122" customWidth="1"/>
    <col min="8970" max="8970" width="14" style="122" customWidth="1"/>
    <col min="8971" max="8972" width="14.42578125" style="122" customWidth="1"/>
    <col min="8973" max="9215" width="9.140625" style="122" customWidth="1"/>
    <col min="9216" max="9216" width="11.42578125" style="122"/>
    <col min="9217" max="9217" width="7.42578125" style="122" customWidth="1"/>
    <col min="9218" max="9218" width="37" style="122" customWidth="1"/>
    <col min="9219" max="9219" width="8.7109375" style="122" customWidth="1"/>
    <col min="9220" max="9220" width="20" style="122" customWidth="1"/>
    <col min="9221" max="9221" width="14.140625" style="122" customWidth="1"/>
    <col min="9222" max="9222" width="13.5703125" style="122" customWidth="1"/>
    <col min="9223" max="9223" width="9.85546875" style="122" customWidth="1"/>
    <col min="9224" max="9224" width="12" style="122" customWidth="1"/>
    <col min="9225" max="9225" width="16.28515625" style="122" customWidth="1"/>
    <col min="9226" max="9226" width="14" style="122" customWidth="1"/>
    <col min="9227" max="9228" width="14.42578125" style="122" customWidth="1"/>
    <col min="9229" max="9471" width="9.140625" style="122" customWidth="1"/>
    <col min="9472" max="9472" width="11.42578125" style="122"/>
    <col min="9473" max="9473" width="7.42578125" style="122" customWidth="1"/>
    <col min="9474" max="9474" width="37" style="122" customWidth="1"/>
    <col min="9475" max="9475" width="8.7109375" style="122" customWidth="1"/>
    <col min="9476" max="9476" width="20" style="122" customWidth="1"/>
    <col min="9477" max="9477" width="14.140625" style="122" customWidth="1"/>
    <col min="9478" max="9478" width="13.5703125" style="122" customWidth="1"/>
    <col min="9479" max="9479" width="9.85546875" style="122" customWidth="1"/>
    <col min="9480" max="9480" width="12" style="122" customWidth="1"/>
    <col min="9481" max="9481" width="16.28515625" style="122" customWidth="1"/>
    <col min="9482" max="9482" width="14" style="122" customWidth="1"/>
    <col min="9483" max="9484" width="14.42578125" style="122" customWidth="1"/>
    <col min="9485" max="9727" width="9.140625" style="122" customWidth="1"/>
    <col min="9728" max="9728" width="11.42578125" style="122"/>
    <col min="9729" max="9729" width="7.42578125" style="122" customWidth="1"/>
    <col min="9730" max="9730" width="37" style="122" customWidth="1"/>
    <col min="9731" max="9731" width="8.7109375" style="122" customWidth="1"/>
    <col min="9732" max="9732" width="20" style="122" customWidth="1"/>
    <col min="9733" max="9733" width="14.140625" style="122" customWidth="1"/>
    <col min="9734" max="9734" width="13.5703125" style="122" customWidth="1"/>
    <col min="9735" max="9735" width="9.85546875" style="122" customWidth="1"/>
    <col min="9736" max="9736" width="12" style="122" customWidth="1"/>
    <col min="9737" max="9737" width="16.28515625" style="122" customWidth="1"/>
    <col min="9738" max="9738" width="14" style="122" customWidth="1"/>
    <col min="9739" max="9740" width="14.42578125" style="122" customWidth="1"/>
    <col min="9741" max="9983" width="9.140625" style="122" customWidth="1"/>
    <col min="9984" max="9984" width="11.42578125" style="122"/>
    <col min="9985" max="9985" width="7.42578125" style="122" customWidth="1"/>
    <col min="9986" max="9986" width="37" style="122" customWidth="1"/>
    <col min="9987" max="9987" width="8.7109375" style="122" customWidth="1"/>
    <col min="9988" max="9988" width="20" style="122" customWidth="1"/>
    <col min="9989" max="9989" width="14.140625" style="122" customWidth="1"/>
    <col min="9990" max="9990" width="13.5703125" style="122" customWidth="1"/>
    <col min="9991" max="9991" width="9.85546875" style="122" customWidth="1"/>
    <col min="9992" max="9992" width="12" style="122" customWidth="1"/>
    <col min="9993" max="9993" width="16.28515625" style="122" customWidth="1"/>
    <col min="9994" max="9994" width="14" style="122" customWidth="1"/>
    <col min="9995" max="9996" width="14.42578125" style="122" customWidth="1"/>
    <col min="9997" max="10239" width="9.140625" style="122" customWidth="1"/>
    <col min="10240" max="10240" width="11.42578125" style="122"/>
    <col min="10241" max="10241" width="7.42578125" style="122" customWidth="1"/>
    <col min="10242" max="10242" width="37" style="122" customWidth="1"/>
    <col min="10243" max="10243" width="8.7109375" style="122" customWidth="1"/>
    <col min="10244" max="10244" width="20" style="122" customWidth="1"/>
    <col min="10245" max="10245" width="14.140625" style="122" customWidth="1"/>
    <col min="10246" max="10246" width="13.5703125" style="122" customWidth="1"/>
    <col min="10247" max="10247" width="9.85546875" style="122" customWidth="1"/>
    <col min="10248" max="10248" width="12" style="122" customWidth="1"/>
    <col min="10249" max="10249" width="16.28515625" style="122" customWidth="1"/>
    <col min="10250" max="10250" width="14" style="122" customWidth="1"/>
    <col min="10251" max="10252" width="14.42578125" style="122" customWidth="1"/>
    <col min="10253" max="10495" width="9.140625" style="122" customWidth="1"/>
    <col min="10496" max="10496" width="11.42578125" style="122"/>
    <col min="10497" max="10497" width="7.42578125" style="122" customWidth="1"/>
    <col min="10498" max="10498" width="37" style="122" customWidth="1"/>
    <col min="10499" max="10499" width="8.7109375" style="122" customWidth="1"/>
    <col min="10500" max="10500" width="20" style="122" customWidth="1"/>
    <col min="10501" max="10501" width="14.140625" style="122" customWidth="1"/>
    <col min="10502" max="10502" width="13.5703125" style="122" customWidth="1"/>
    <col min="10503" max="10503" width="9.85546875" style="122" customWidth="1"/>
    <col min="10504" max="10504" width="12" style="122" customWidth="1"/>
    <col min="10505" max="10505" width="16.28515625" style="122" customWidth="1"/>
    <col min="10506" max="10506" width="14" style="122" customWidth="1"/>
    <col min="10507" max="10508" width="14.42578125" style="122" customWidth="1"/>
    <col min="10509" max="10751" width="9.140625" style="122" customWidth="1"/>
    <col min="10752" max="10752" width="11.42578125" style="122"/>
    <col min="10753" max="10753" width="7.42578125" style="122" customWidth="1"/>
    <col min="10754" max="10754" width="37" style="122" customWidth="1"/>
    <col min="10755" max="10755" width="8.7109375" style="122" customWidth="1"/>
    <col min="10756" max="10756" width="20" style="122" customWidth="1"/>
    <col min="10757" max="10757" width="14.140625" style="122" customWidth="1"/>
    <col min="10758" max="10758" width="13.5703125" style="122" customWidth="1"/>
    <col min="10759" max="10759" width="9.85546875" style="122" customWidth="1"/>
    <col min="10760" max="10760" width="12" style="122" customWidth="1"/>
    <col min="10761" max="10761" width="16.28515625" style="122" customWidth="1"/>
    <col min="10762" max="10762" width="14" style="122" customWidth="1"/>
    <col min="10763" max="10764" width="14.42578125" style="122" customWidth="1"/>
    <col min="10765" max="11007" width="9.140625" style="122" customWidth="1"/>
    <col min="11008" max="11008" width="11.42578125" style="122"/>
    <col min="11009" max="11009" width="7.42578125" style="122" customWidth="1"/>
    <col min="11010" max="11010" width="37" style="122" customWidth="1"/>
    <col min="11011" max="11011" width="8.7109375" style="122" customWidth="1"/>
    <col min="11012" max="11012" width="20" style="122" customWidth="1"/>
    <col min="11013" max="11013" width="14.140625" style="122" customWidth="1"/>
    <col min="11014" max="11014" width="13.5703125" style="122" customWidth="1"/>
    <col min="11015" max="11015" width="9.85546875" style="122" customWidth="1"/>
    <col min="11016" max="11016" width="12" style="122" customWidth="1"/>
    <col min="11017" max="11017" width="16.28515625" style="122" customWidth="1"/>
    <col min="11018" max="11018" width="14" style="122" customWidth="1"/>
    <col min="11019" max="11020" width="14.42578125" style="122" customWidth="1"/>
    <col min="11021" max="11263" width="9.140625" style="122" customWidth="1"/>
    <col min="11264" max="11264" width="11.42578125" style="122"/>
    <col min="11265" max="11265" width="7.42578125" style="122" customWidth="1"/>
    <col min="11266" max="11266" width="37" style="122" customWidth="1"/>
    <col min="11267" max="11267" width="8.7109375" style="122" customWidth="1"/>
    <col min="11268" max="11268" width="20" style="122" customWidth="1"/>
    <col min="11269" max="11269" width="14.140625" style="122" customWidth="1"/>
    <col min="11270" max="11270" width="13.5703125" style="122" customWidth="1"/>
    <col min="11271" max="11271" width="9.85546875" style="122" customWidth="1"/>
    <col min="11272" max="11272" width="12" style="122" customWidth="1"/>
    <col min="11273" max="11273" width="16.28515625" style="122" customWidth="1"/>
    <col min="11274" max="11274" width="14" style="122" customWidth="1"/>
    <col min="11275" max="11276" width="14.42578125" style="122" customWidth="1"/>
    <col min="11277" max="11519" width="9.140625" style="122" customWidth="1"/>
    <col min="11520" max="11520" width="11.42578125" style="122"/>
    <col min="11521" max="11521" width="7.42578125" style="122" customWidth="1"/>
    <col min="11522" max="11522" width="37" style="122" customWidth="1"/>
    <col min="11523" max="11523" width="8.7109375" style="122" customWidth="1"/>
    <col min="11524" max="11524" width="20" style="122" customWidth="1"/>
    <col min="11525" max="11525" width="14.140625" style="122" customWidth="1"/>
    <col min="11526" max="11526" width="13.5703125" style="122" customWidth="1"/>
    <col min="11527" max="11527" width="9.85546875" style="122" customWidth="1"/>
    <col min="11528" max="11528" width="12" style="122" customWidth="1"/>
    <col min="11529" max="11529" width="16.28515625" style="122" customWidth="1"/>
    <col min="11530" max="11530" width="14" style="122" customWidth="1"/>
    <col min="11531" max="11532" width="14.42578125" style="122" customWidth="1"/>
    <col min="11533" max="11775" width="9.140625" style="122" customWidth="1"/>
    <col min="11776" max="11776" width="11.42578125" style="122"/>
    <col min="11777" max="11777" width="7.42578125" style="122" customWidth="1"/>
    <col min="11778" max="11778" width="37" style="122" customWidth="1"/>
    <col min="11779" max="11779" width="8.7109375" style="122" customWidth="1"/>
    <col min="11780" max="11780" width="20" style="122" customWidth="1"/>
    <col min="11781" max="11781" width="14.140625" style="122" customWidth="1"/>
    <col min="11782" max="11782" width="13.5703125" style="122" customWidth="1"/>
    <col min="11783" max="11783" width="9.85546875" style="122" customWidth="1"/>
    <col min="11784" max="11784" width="12" style="122" customWidth="1"/>
    <col min="11785" max="11785" width="16.28515625" style="122" customWidth="1"/>
    <col min="11786" max="11786" width="14" style="122" customWidth="1"/>
    <col min="11787" max="11788" width="14.42578125" style="122" customWidth="1"/>
    <col min="11789" max="12031" width="9.140625" style="122" customWidth="1"/>
    <col min="12032" max="12032" width="11.42578125" style="122"/>
    <col min="12033" max="12033" width="7.42578125" style="122" customWidth="1"/>
    <col min="12034" max="12034" width="37" style="122" customWidth="1"/>
    <col min="12035" max="12035" width="8.7109375" style="122" customWidth="1"/>
    <col min="12036" max="12036" width="20" style="122" customWidth="1"/>
    <col min="12037" max="12037" width="14.140625" style="122" customWidth="1"/>
    <col min="12038" max="12038" width="13.5703125" style="122" customWidth="1"/>
    <col min="12039" max="12039" width="9.85546875" style="122" customWidth="1"/>
    <col min="12040" max="12040" width="12" style="122" customWidth="1"/>
    <col min="12041" max="12041" width="16.28515625" style="122" customWidth="1"/>
    <col min="12042" max="12042" width="14" style="122" customWidth="1"/>
    <col min="12043" max="12044" width="14.42578125" style="122" customWidth="1"/>
    <col min="12045" max="12287" width="9.140625" style="122" customWidth="1"/>
    <col min="12288" max="12288" width="11.42578125" style="122"/>
    <col min="12289" max="12289" width="7.42578125" style="122" customWidth="1"/>
    <col min="12290" max="12290" width="37" style="122" customWidth="1"/>
    <col min="12291" max="12291" width="8.7109375" style="122" customWidth="1"/>
    <col min="12292" max="12292" width="20" style="122" customWidth="1"/>
    <col min="12293" max="12293" width="14.140625" style="122" customWidth="1"/>
    <col min="12294" max="12294" width="13.5703125" style="122" customWidth="1"/>
    <col min="12295" max="12295" width="9.85546875" style="122" customWidth="1"/>
    <col min="12296" max="12296" width="12" style="122" customWidth="1"/>
    <col min="12297" max="12297" width="16.28515625" style="122" customWidth="1"/>
    <col min="12298" max="12298" width="14" style="122" customWidth="1"/>
    <col min="12299" max="12300" width="14.42578125" style="122" customWidth="1"/>
    <col min="12301" max="12543" width="9.140625" style="122" customWidth="1"/>
    <col min="12544" max="12544" width="11.42578125" style="122"/>
    <col min="12545" max="12545" width="7.42578125" style="122" customWidth="1"/>
    <col min="12546" max="12546" width="37" style="122" customWidth="1"/>
    <col min="12547" max="12547" width="8.7109375" style="122" customWidth="1"/>
    <col min="12548" max="12548" width="20" style="122" customWidth="1"/>
    <col min="12549" max="12549" width="14.140625" style="122" customWidth="1"/>
    <col min="12550" max="12550" width="13.5703125" style="122" customWidth="1"/>
    <col min="12551" max="12551" width="9.85546875" style="122" customWidth="1"/>
    <col min="12552" max="12552" width="12" style="122" customWidth="1"/>
    <col min="12553" max="12553" width="16.28515625" style="122" customWidth="1"/>
    <col min="12554" max="12554" width="14" style="122" customWidth="1"/>
    <col min="12555" max="12556" width="14.42578125" style="122" customWidth="1"/>
    <col min="12557" max="12799" width="9.140625" style="122" customWidth="1"/>
    <col min="12800" max="12800" width="11.42578125" style="122"/>
    <col min="12801" max="12801" width="7.42578125" style="122" customWidth="1"/>
    <col min="12802" max="12802" width="37" style="122" customWidth="1"/>
    <col min="12803" max="12803" width="8.7109375" style="122" customWidth="1"/>
    <col min="12804" max="12804" width="20" style="122" customWidth="1"/>
    <col min="12805" max="12805" width="14.140625" style="122" customWidth="1"/>
    <col min="12806" max="12806" width="13.5703125" style="122" customWidth="1"/>
    <col min="12807" max="12807" width="9.85546875" style="122" customWidth="1"/>
    <col min="12808" max="12808" width="12" style="122" customWidth="1"/>
    <col min="12809" max="12809" width="16.28515625" style="122" customWidth="1"/>
    <col min="12810" max="12810" width="14" style="122" customWidth="1"/>
    <col min="12811" max="12812" width="14.42578125" style="122" customWidth="1"/>
    <col min="12813" max="13055" width="9.140625" style="122" customWidth="1"/>
    <col min="13056" max="13056" width="11.42578125" style="122"/>
    <col min="13057" max="13057" width="7.42578125" style="122" customWidth="1"/>
    <col min="13058" max="13058" width="37" style="122" customWidth="1"/>
    <col min="13059" max="13059" width="8.7109375" style="122" customWidth="1"/>
    <col min="13060" max="13060" width="20" style="122" customWidth="1"/>
    <col min="13061" max="13061" width="14.140625" style="122" customWidth="1"/>
    <col min="13062" max="13062" width="13.5703125" style="122" customWidth="1"/>
    <col min="13063" max="13063" width="9.85546875" style="122" customWidth="1"/>
    <col min="13064" max="13064" width="12" style="122" customWidth="1"/>
    <col min="13065" max="13065" width="16.28515625" style="122" customWidth="1"/>
    <col min="13066" max="13066" width="14" style="122" customWidth="1"/>
    <col min="13067" max="13068" width="14.42578125" style="122" customWidth="1"/>
    <col min="13069" max="13311" width="9.140625" style="122" customWidth="1"/>
    <col min="13312" max="13312" width="11.42578125" style="122"/>
    <col min="13313" max="13313" width="7.42578125" style="122" customWidth="1"/>
    <col min="13314" max="13314" width="37" style="122" customWidth="1"/>
    <col min="13315" max="13315" width="8.7109375" style="122" customWidth="1"/>
    <col min="13316" max="13316" width="20" style="122" customWidth="1"/>
    <col min="13317" max="13317" width="14.140625" style="122" customWidth="1"/>
    <col min="13318" max="13318" width="13.5703125" style="122" customWidth="1"/>
    <col min="13319" max="13319" width="9.85546875" style="122" customWidth="1"/>
    <col min="13320" max="13320" width="12" style="122" customWidth="1"/>
    <col min="13321" max="13321" width="16.28515625" style="122" customWidth="1"/>
    <col min="13322" max="13322" width="14" style="122" customWidth="1"/>
    <col min="13323" max="13324" width="14.42578125" style="122" customWidth="1"/>
    <col min="13325" max="13567" width="9.140625" style="122" customWidth="1"/>
    <col min="13568" max="13568" width="11.42578125" style="122"/>
    <col min="13569" max="13569" width="7.42578125" style="122" customWidth="1"/>
    <col min="13570" max="13570" width="37" style="122" customWidth="1"/>
    <col min="13571" max="13571" width="8.7109375" style="122" customWidth="1"/>
    <col min="13572" max="13572" width="20" style="122" customWidth="1"/>
    <col min="13573" max="13573" width="14.140625" style="122" customWidth="1"/>
    <col min="13574" max="13574" width="13.5703125" style="122" customWidth="1"/>
    <col min="13575" max="13575" width="9.85546875" style="122" customWidth="1"/>
    <col min="13576" max="13576" width="12" style="122" customWidth="1"/>
    <col min="13577" max="13577" width="16.28515625" style="122" customWidth="1"/>
    <col min="13578" max="13578" width="14" style="122" customWidth="1"/>
    <col min="13579" max="13580" width="14.42578125" style="122" customWidth="1"/>
    <col min="13581" max="13823" width="9.140625" style="122" customWidth="1"/>
    <col min="13824" max="13824" width="11.42578125" style="122"/>
    <col min="13825" max="13825" width="7.42578125" style="122" customWidth="1"/>
    <col min="13826" max="13826" width="37" style="122" customWidth="1"/>
    <col min="13827" max="13827" width="8.7109375" style="122" customWidth="1"/>
    <col min="13828" max="13828" width="20" style="122" customWidth="1"/>
    <col min="13829" max="13829" width="14.140625" style="122" customWidth="1"/>
    <col min="13830" max="13830" width="13.5703125" style="122" customWidth="1"/>
    <col min="13831" max="13831" width="9.85546875" style="122" customWidth="1"/>
    <col min="13832" max="13832" width="12" style="122" customWidth="1"/>
    <col min="13833" max="13833" width="16.28515625" style="122" customWidth="1"/>
    <col min="13834" max="13834" width="14" style="122" customWidth="1"/>
    <col min="13835" max="13836" width="14.42578125" style="122" customWidth="1"/>
    <col min="13837" max="14079" width="9.140625" style="122" customWidth="1"/>
    <col min="14080" max="14080" width="11.42578125" style="122"/>
    <col min="14081" max="14081" width="7.42578125" style="122" customWidth="1"/>
    <col min="14082" max="14082" width="37" style="122" customWidth="1"/>
    <col min="14083" max="14083" width="8.7109375" style="122" customWidth="1"/>
    <col min="14084" max="14084" width="20" style="122" customWidth="1"/>
    <col min="14085" max="14085" width="14.140625" style="122" customWidth="1"/>
    <col min="14086" max="14086" width="13.5703125" style="122" customWidth="1"/>
    <col min="14087" max="14087" width="9.85546875" style="122" customWidth="1"/>
    <col min="14088" max="14088" width="12" style="122" customWidth="1"/>
    <col min="14089" max="14089" width="16.28515625" style="122" customWidth="1"/>
    <col min="14090" max="14090" width="14" style="122" customWidth="1"/>
    <col min="14091" max="14092" width="14.42578125" style="122" customWidth="1"/>
    <col min="14093" max="14335" width="9.140625" style="122" customWidth="1"/>
    <col min="14336" max="14336" width="11.42578125" style="122"/>
    <col min="14337" max="14337" width="7.42578125" style="122" customWidth="1"/>
    <col min="14338" max="14338" width="37" style="122" customWidth="1"/>
    <col min="14339" max="14339" width="8.7109375" style="122" customWidth="1"/>
    <col min="14340" max="14340" width="20" style="122" customWidth="1"/>
    <col min="14341" max="14341" width="14.140625" style="122" customWidth="1"/>
    <col min="14342" max="14342" width="13.5703125" style="122" customWidth="1"/>
    <col min="14343" max="14343" width="9.85546875" style="122" customWidth="1"/>
    <col min="14344" max="14344" width="12" style="122" customWidth="1"/>
    <col min="14345" max="14345" width="16.28515625" style="122" customWidth="1"/>
    <col min="14346" max="14346" width="14" style="122" customWidth="1"/>
    <col min="14347" max="14348" width="14.42578125" style="122" customWidth="1"/>
    <col min="14349" max="14591" width="9.140625" style="122" customWidth="1"/>
    <col min="14592" max="14592" width="11.42578125" style="122"/>
    <col min="14593" max="14593" width="7.42578125" style="122" customWidth="1"/>
    <col min="14594" max="14594" width="37" style="122" customWidth="1"/>
    <col min="14595" max="14595" width="8.7109375" style="122" customWidth="1"/>
    <col min="14596" max="14596" width="20" style="122" customWidth="1"/>
    <col min="14597" max="14597" width="14.140625" style="122" customWidth="1"/>
    <col min="14598" max="14598" width="13.5703125" style="122" customWidth="1"/>
    <col min="14599" max="14599" width="9.85546875" style="122" customWidth="1"/>
    <col min="14600" max="14600" width="12" style="122" customWidth="1"/>
    <col min="14601" max="14601" width="16.28515625" style="122" customWidth="1"/>
    <col min="14602" max="14602" width="14" style="122" customWidth="1"/>
    <col min="14603" max="14604" width="14.42578125" style="122" customWidth="1"/>
    <col min="14605" max="14847" width="9.140625" style="122" customWidth="1"/>
    <col min="14848" max="14848" width="11.42578125" style="122"/>
    <col min="14849" max="14849" width="7.42578125" style="122" customWidth="1"/>
    <col min="14850" max="14850" width="37" style="122" customWidth="1"/>
    <col min="14851" max="14851" width="8.7109375" style="122" customWidth="1"/>
    <col min="14852" max="14852" width="20" style="122" customWidth="1"/>
    <col min="14853" max="14853" width="14.140625" style="122" customWidth="1"/>
    <col min="14854" max="14854" width="13.5703125" style="122" customWidth="1"/>
    <col min="14855" max="14855" width="9.85546875" style="122" customWidth="1"/>
    <col min="14856" max="14856" width="12" style="122" customWidth="1"/>
    <col min="14857" max="14857" width="16.28515625" style="122" customWidth="1"/>
    <col min="14858" max="14858" width="14" style="122" customWidth="1"/>
    <col min="14859" max="14860" width="14.42578125" style="122" customWidth="1"/>
    <col min="14861" max="15103" width="9.140625" style="122" customWidth="1"/>
    <col min="15104" max="15104" width="11.42578125" style="122"/>
    <col min="15105" max="15105" width="7.42578125" style="122" customWidth="1"/>
    <col min="15106" max="15106" width="37" style="122" customWidth="1"/>
    <col min="15107" max="15107" width="8.7109375" style="122" customWidth="1"/>
    <col min="15108" max="15108" width="20" style="122" customWidth="1"/>
    <col min="15109" max="15109" width="14.140625" style="122" customWidth="1"/>
    <col min="15110" max="15110" width="13.5703125" style="122" customWidth="1"/>
    <col min="15111" max="15111" width="9.85546875" style="122" customWidth="1"/>
    <col min="15112" max="15112" width="12" style="122" customWidth="1"/>
    <col min="15113" max="15113" width="16.28515625" style="122" customWidth="1"/>
    <col min="15114" max="15114" width="14" style="122" customWidth="1"/>
    <col min="15115" max="15116" width="14.42578125" style="122" customWidth="1"/>
    <col min="15117" max="15359" width="9.140625" style="122" customWidth="1"/>
    <col min="15360" max="15360" width="11.42578125" style="122"/>
    <col min="15361" max="15361" width="7.42578125" style="122" customWidth="1"/>
    <col min="15362" max="15362" width="37" style="122" customWidth="1"/>
    <col min="15363" max="15363" width="8.7109375" style="122" customWidth="1"/>
    <col min="15364" max="15364" width="20" style="122" customWidth="1"/>
    <col min="15365" max="15365" width="14.140625" style="122" customWidth="1"/>
    <col min="15366" max="15366" width="13.5703125" style="122" customWidth="1"/>
    <col min="15367" max="15367" width="9.85546875" style="122" customWidth="1"/>
    <col min="15368" max="15368" width="12" style="122" customWidth="1"/>
    <col min="15369" max="15369" width="16.28515625" style="122" customWidth="1"/>
    <col min="15370" max="15370" width="14" style="122" customWidth="1"/>
    <col min="15371" max="15372" width="14.42578125" style="122" customWidth="1"/>
    <col min="15373" max="15615" width="9.140625" style="122" customWidth="1"/>
    <col min="15616" max="15616" width="11.42578125" style="122"/>
    <col min="15617" max="15617" width="7.42578125" style="122" customWidth="1"/>
    <col min="15618" max="15618" width="37" style="122" customWidth="1"/>
    <col min="15619" max="15619" width="8.7109375" style="122" customWidth="1"/>
    <col min="15620" max="15620" width="20" style="122" customWidth="1"/>
    <col min="15621" max="15621" width="14.140625" style="122" customWidth="1"/>
    <col min="15622" max="15622" width="13.5703125" style="122" customWidth="1"/>
    <col min="15623" max="15623" width="9.85546875" style="122" customWidth="1"/>
    <col min="15624" max="15624" width="12" style="122" customWidth="1"/>
    <col min="15625" max="15625" width="16.28515625" style="122" customWidth="1"/>
    <col min="15626" max="15626" width="14" style="122" customWidth="1"/>
    <col min="15627" max="15628" width="14.42578125" style="122" customWidth="1"/>
    <col min="15629" max="15871" width="9.140625" style="122" customWidth="1"/>
    <col min="15872" max="15872" width="11.42578125" style="122"/>
    <col min="15873" max="15873" width="7.42578125" style="122" customWidth="1"/>
    <col min="15874" max="15874" width="37" style="122" customWidth="1"/>
    <col min="15875" max="15875" width="8.7109375" style="122" customWidth="1"/>
    <col min="15876" max="15876" width="20" style="122" customWidth="1"/>
    <col min="15877" max="15877" width="14.140625" style="122" customWidth="1"/>
    <col min="15878" max="15878" width="13.5703125" style="122" customWidth="1"/>
    <col min="15879" max="15879" width="9.85546875" style="122" customWidth="1"/>
    <col min="15880" max="15880" width="12" style="122" customWidth="1"/>
    <col min="15881" max="15881" width="16.28515625" style="122" customWidth="1"/>
    <col min="15882" max="15882" width="14" style="122" customWidth="1"/>
    <col min="15883" max="15884" width="14.42578125" style="122" customWidth="1"/>
    <col min="15885" max="16127" width="9.140625" style="122" customWidth="1"/>
    <col min="16128" max="16128" width="11.42578125" style="122"/>
    <col min="16129" max="16129" width="7.42578125" style="122" customWidth="1"/>
    <col min="16130" max="16130" width="37" style="122" customWidth="1"/>
    <col min="16131" max="16131" width="8.7109375" style="122" customWidth="1"/>
    <col min="16132" max="16132" width="20" style="122" customWidth="1"/>
    <col min="16133" max="16133" width="14.140625" style="122" customWidth="1"/>
    <col min="16134" max="16134" width="13.5703125" style="122" customWidth="1"/>
    <col min="16135" max="16135" width="9.85546875" style="122" customWidth="1"/>
    <col min="16136" max="16136" width="12" style="122" customWidth="1"/>
    <col min="16137" max="16137" width="16.28515625" style="122" customWidth="1"/>
    <col min="16138" max="16138" width="14" style="122" customWidth="1"/>
    <col min="16139" max="16140" width="14.42578125" style="122" customWidth="1"/>
    <col min="16141" max="16384" width="9.140625" style="122" customWidth="1"/>
  </cols>
  <sheetData>
    <row r="1" spans="2:16" ht="24" thickBot="1" x14ac:dyDescent="0.4">
      <c r="B1" s="663" t="s">
        <v>239</v>
      </c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359"/>
    </row>
    <row r="2" spans="2:16" s="123" customFormat="1" ht="16.5" thickBot="1" x14ac:dyDescent="0.25">
      <c r="B2" s="155" t="s">
        <v>85</v>
      </c>
      <c r="C2" s="156" t="s">
        <v>138</v>
      </c>
      <c r="D2" s="156" t="s">
        <v>71</v>
      </c>
      <c r="E2" s="156" t="s">
        <v>144</v>
      </c>
      <c r="F2" s="203" t="s">
        <v>206</v>
      </c>
      <c r="G2" s="203" t="s">
        <v>207</v>
      </c>
      <c r="H2" s="203" t="s">
        <v>208</v>
      </c>
      <c r="I2" s="203" t="s">
        <v>209</v>
      </c>
      <c r="J2" s="157" t="s">
        <v>139</v>
      </c>
      <c r="K2" s="157" t="s">
        <v>140</v>
      </c>
      <c r="L2" s="158" t="s">
        <v>28</v>
      </c>
      <c r="M2" s="360" t="s">
        <v>287</v>
      </c>
      <c r="N2" s="159" t="s">
        <v>142</v>
      </c>
      <c r="O2" s="159" t="s">
        <v>143</v>
      </c>
      <c r="P2" s="159" t="s">
        <v>131</v>
      </c>
    </row>
    <row r="3" spans="2:16" s="124" customFormat="1" ht="15.95" customHeight="1" x14ac:dyDescent="0.2">
      <c r="B3" s="131">
        <v>1</v>
      </c>
      <c r="C3" s="168" t="str">
        <f>+'AGUILAR ESQUIVEL CARLOS'!E11</f>
        <v>AGUILAR ESQUIVEL CARLOS</v>
      </c>
      <c r="D3" s="169" t="str">
        <f>+'AGUILAR ESQUIVEL CARLOS'!E12</f>
        <v>F-021</v>
      </c>
      <c r="E3" s="132">
        <f>COUNT('AGUILAR ESQUIVEL CARLOS'!O$40:O$46)</f>
        <v>4</v>
      </c>
      <c r="F3" s="209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2410</v>
      </c>
      <c r="G3" s="209">
        <f>+SUMIF('AGUILAR ESQUIVEL CARLOS'!N$19:N$32,2,'AGUILAR ESQUIVEL CARLOS'!J$19:J$32)</f>
        <v>375</v>
      </c>
      <c r="H3" s="209">
        <f>+SUMIF('AGUILAR ESQUIVEL CARLOS'!N$19:N$32,3,'AGUILAR ESQUIVEL CARLOS'!J$19:J$32)</f>
        <v>375</v>
      </c>
      <c r="I3" s="204">
        <f t="shared" ref="I3:I30" si="0">SUM(F3:H3)</f>
        <v>3160</v>
      </c>
      <c r="J3" s="199">
        <f>+'AGUILAR ESQUIVEL CARLOS'!J16</f>
        <v>878.66100000000006</v>
      </c>
      <c r="K3" s="199">
        <f>SUM('AGUILAR ESQUIVEL CARLOS'!S19:S32)</f>
        <v>345.33919584003138</v>
      </c>
      <c r="L3" s="170">
        <f>I3/J3</f>
        <v>3.5963813120190835</v>
      </c>
      <c r="M3" s="361">
        <f>+AVERAGE('AGUILAR ESQUIVEL CARLOS'!M19:M32)</f>
        <v>1451.3087500000001</v>
      </c>
      <c r="N3" s="132">
        <f>COUNTIF('AGUILAR ESQUIVEL CARLOS'!N19:N32,1)+COUNTIF('AGUILAR ESQUIVEL CARLOS'!N19:N32,4)+COUNTIF('AGUILAR ESQUIVEL CARLOS'!N19:N32,5)+COUNTIF('AGUILAR ESQUIVEL CARLOS'!N19:N32,6)</f>
        <v>6</v>
      </c>
      <c r="O3" s="132">
        <f>COUNTIF('AGUILAR ESQUIVEL CARLOS'!N19:N32,2)</f>
        <v>1</v>
      </c>
      <c r="P3" s="133">
        <f>COUNTIF('AGUILAR ESQUIVEL CARLOS'!N19:N32,3)</f>
        <v>1</v>
      </c>
    </row>
    <row r="4" spans="2:16" s="124" customFormat="1" ht="15.95" customHeight="1" x14ac:dyDescent="0.2">
      <c r="B4" s="134">
        <v>2</v>
      </c>
      <c r="C4" s="116" t="str">
        <f>+'AGUILAR RODRIGUEZ JORGE ALONSO'!E11</f>
        <v>AGUILAR RODRIGUEZ JORGE ALONSO</v>
      </c>
      <c r="D4" s="151" t="str">
        <f>+'AGUILAR RODRIGUEZ JORGE ALONSO'!E12</f>
        <v xml:space="preserve">F-029 </v>
      </c>
      <c r="E4" s="125">
        <f>+COUNT('AGUILAR RODRIGUEZ JORGE ALONSO'!O40:O46)</f>
        <v>4</v>
      </c>
      <c r="F4" s="210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3050</v>
      </c>
      <c r="G4" s="210">
        <f>+SUMIF('AGUILAR RODRIGUEZ JORGE ALONSO'!N$19:N$32,2,'AGUILAR RODRIGUEZ JORGE ALONSO'!J$19:J$32)</f>
        <v>0</v>
      </c>
      <c r="H4" s="210">
        <f>+SUMIF('AGUILAR RODRIGUEZ JORGE ALONSO'!N$19:N$32,3,'AGUILAR RODRIGUEZ JORGE ALONSO'!J$19:J$32)</f>
        <v>0</v>
      </c>
      <c r="I4" s="205">
        <f t="shared" si="0"/>
        <v>3050</v>
      </c>
      <c r="J4" s="200">
        <f>+'AGUILAR RODRIGUEZ JORGE ALONSO'!J16</f>
        <v>880.93200000000002</v>
      </c>
      <c r="K4" s="200">
        <f>SUM('AGUILAR RODRIGUEZ JORGE ALONSO'!S19:S32)</f>
        <v>383.47015729737223</v>
      </c>
      <c r="L4" s="165">
        <f>I4/J4</f>
        <v>3.462242261604755</v>
      </c>
      <c r="M4" s="362">
        <f>+AVERAGE('AGUILAR RODRIGUEZ JORGE ALONSO'!M19:M32)</f>
        <v>3198.8276249999999</v>
      </c>
      <c r="N4" s="126">
        <f>COUNTIF('AGUILAR RODRIGUEZ JORGE ALONSO'!N19:N32,1)+COUNTIF('AGUILAR RODRIGUEZ JORGE ALONSO'!N19:N32,4)+COUNTIF('AGUILAR RODRIGUEZ JORGE ALONSO'!N19:N32,5)+COUNTIF('AGUILAR RODRIGUEZ JORGE ALONSO'!N19:N32,6)</f>
        <v>8</v>
      </c>
      <c r="O4" s="126">
        <f>COUNTIF('AGUILAR RODRIGUEZ JORGE ALONSO'!N19:N32,2)</f>
        <v>0</v>
      </c>
      <c r="P4" s="135">
        <f>COUNTIF('AGUILAR RODRIGUEZ JORGE ALONSO'!N19:N32,3)</f>
        <v>0</v>
      </c>
    </row>
    <row r="5" spans="2:16" s="124" customFormat="1" ht="15.95" customHeight="1" x14ac:dyDescent="0.2">
      <c r="B5" s="134">
        <v>3</v>
      </c>
      <c r="C5" s="154" t="str">
        <f>+'REYES LARA DANTE'!E11</f>
        <v>REYES LARA DANTE</v>
      </c>
      <c r="D5" s="152" t="str">
        <f>+'REYES LARA DANTE'!E12</f>
        <v>F-009</v>
      </c>
      <c r="E5" s="126">
        <f>+COUNT('REYES LARA DANTE'!O$40:O$46)</f>
        <v>2</v>
      </c>
      <c r="F5" s="210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1500</v>
      </c>
      <c r="G5" s="210">
        <f>+SUMIF('REYES LARA DANTE'!N$19:N$32,2,'REYES LARA DANTE'!J$19:J$32)</f>
        <v>0</v>
      </c>
      <c r="H5" s="210">
        <f>+SUMIF('REYES LARA DANTE'!N$19:N$32,3,'REYES LARA DANTE'!J$19:J$32)</f>
        <v>0</v>
      </c>
      <c r="I5" s="205">
        <f t="shared" si="0"/>
        <v>1500</v>
      </c>
      <c r="J5" s="200">
        <f>+'REYES LARA DANTE'!J16</f>
        <v>432.37700000000001</v>
      </c>
      <c r="K5" s="200">
        <f>+SUM('REYES LARA DANTE'!S19:S32)</f>
        <v>199.62505611335592</v>
      </c>
      <c r="L5" s="165">
        <f>I5/J5</f>
        <v>3.4691947073965541</v>
      </c>
      <c r="M5" s="362">
        <f>+AVERAGE('REYES LARA DANTE'!M19:M32)</f>
        <v>2134.8452500000003</v>
      </c>
      <c r="N5" s="126">
        <f>+COUNTIF('REYES LARA DANTE'!N19:N32,1)+COUNTIF('REYES LARA DANTE'!N19:N32,4)+COUNTIF('REYES LARA DANTE'!N19:N32,5)+COUNTIF('REYES LARA DANTE'!N19:N32,6)</f>
        <v>4</v>
      </c>
      <c r="O5" s="126">
        <f>+COUNTIF('REYES LARA DANTE'!N19:N32,2)</f>
        <v>0</v>
      </c>
      <c r="P5" s="135">
        <f>+COUNTIF('REYES LARA DANTE'!N19:N32,3)</f>
        <v>0</v>
      </c>
    </row>
    <row r="6" spans="2:16" s="124" customFormat="1" ht="15.95" customHeight="1" x14ac:dyDescent="0.2">
      <c r="B6" s="134">
        <v>4</v>
      </c>
      <c r="C6" s="154" t="str">
        <f>+'CARDENAS CARDENAS JAVIER '!E11</f>
        <v>CARDENAS CARDENAS JAVIER ALEJANDRO</v>
      </c>
      <c r="D6" s="153" t="str">
        <f>+'CARDENAS CARDENAS JAVIER '!E12</f>
        <v>F-027 F-026</v>
      </c>
      <c r="E6" s="126">
        <f>+COUNT('CARDENAS CARDENAS JAVIER '!O$40:O$46)</f>
        <v>0</v>
      </c>
      <c r="F6" s="210">
        <f>+SUMIF('CARDENAS CARDENAS JAVIER '!N$19:N$32,1,'CARDENAS CARDENAS JAVIER '!J$19:J$32)+SUMIF('CARDENAS CARDENAS JAVIER '!N$19:N$32,4,'CARDENAS CARDENAS JAVIER '!J$19:J$32)+SUMIF('CARDENAS CARDENAS JAVIER '!N$19:N$32,5,'CARDENAS CARDENAS JAVIER '!J$19:J$32)+SUMIF('CARDENAS CARDENAS JAVIER '!N$19:N$32,6,'CARDENAS CARDENAS JAVIER '!J$19:J$32)</f>
        <v>0</v>
      </c>
      <c r="G6" s="210">
        <f>+SUMIF('CARDENAS CARDENAS JAVIER '!N$19:N$32,2,'CARDENAS CARDENAS JAVIER '!J$19:J$32)</f>
        <v>0</v>
      </c>
      <c r="H6" s="210">
        <f>+SUMIF('CARDENAS CARDENAS JAVIER '!N$19:N$32,3,'CARDENAS CARDENAS JAVIER '!J$19:J$32)</f>
        <v>0</v>
      </c>
      <c r="I6" s="205">
        <f t="shared" si="0"/>
        <v>0</v>
      </c>
      <c r="J6" s="200">
        <f>+'CARDENAS CARDENAS JAVIER '!J16</f>
        <v>0</v>
      </c>
      <c r="K6" s="200">
        <v>0</v>
      </c>
      <c r="L6" s="165">
        <v>0</v>
      </c>
      <c r="M6" s="362">
        <v>0</v>
      </c>
      <c r="N6" s="126">
        <f>+COUNTIF('CARDENAS CARDENAS JAVIER '!N19:N32,1)+COUNTIF('CARDENAS CARDENAS JAVIER '!N19:N32,4)+COUNTIF('CARDENAS CARDENAS JAVIER '!N19:N32,5)+COUNTIF('CARDENAS CARDENAS JAVIER '!N19:N32,6)</f>
        <v>0</v>
      </c>
      <c r="O6" s="126">
        <f>+COUNTIF('CARDENAS CARDENAS JAVIER '!N19:N32,2)</f>
        <v>0</v>
      </c>
      <c r="P6" s="135">
        <f>+COUNTIF('CARDENAS CARDENAS JAVIER '!N19:N32,3)</f>
        <v>0</v>
      </c>
    </row>
    <row r="7" spans="2:16" s="124" customFormat="1" ht="15.95" customHeight="1" x14ac:dyDescent="0.2">
      <c r="B7" s="134">
        <v>5</v>
      </c>
      <c r="C7" s="154" t="str">
        <f>+'BALDERRAMA ROBLES JORGE'!E11</f>
        <v>BALDERRAMA ROBLES JORGE</v>
      </c>
      <c r="D7" s="153" t="str">
        <f>+'BALDERRAMA ROBLES JORGE'!E12</f>
        <v>F-024</v>
      </c>
      <c r="E7" s="126">
        <f>+COUNT('BALDERRAMA ROBLES JORGE'!O$40:O$46)</f>
        <v>0</v>
      </c>
      <c r="F7" s="210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0</v>
      </c>
      <c r="G7" s="210">
        <f>+SUMIF('BALDERRAMA ROBLES JORGE'!N$19:N$32,2,'BALDERRAMA ROBLES JORGE'!J$19:J$32)</f>
        <v>0</v>
      </c>
      <c r="H7" s="210">
        <f>+SUMIF('BALDERRAMA ROBLES JORGE'!N$19:N$32,3,'BALDERRAMA ROBLES JORGE'!J$19:J$32)</f>
        <v>0</v>
      </c>
      <c r="I7" s="205">
        <f t="shared" si="0"/>
        <v>0</v>
      </c>
      <c r="J7" s="200">
        <f>+'BALDERRAMA ROBLES JORGE'!J16</f>
        <v>0</v>
      </c>
      <c r="K7" s="200" t="e">
        <f>SUM('BALDERRAMA ROBLES JORGE'!S19:S32)</f>
        <v>#N/A</v>
      </c>
      <c r="L7" s="165" t="e">
        <f t="shared" ref="L7:L12" si="1">I7/J7</f>
        <v>#DIV/0!</v>
      </c>
      <c r="M7" s="362" t="e">
        <f>+AVERAGE('BALDERRAMA ROBLES JORGE'!M19:M32)</f>
        <v>#DIV/0!</v>
      </c>
      <c r="N7" s="126">
        <f>+COUNTIF('BALDERRAMA ROBLES JORGE'!N19:N32,1)+COUNTIF('BALDERRAMA ROBLES JORGE'!N19:N32,4)+COUNTIF('BALDERRAMA ROBLES JORGE'!N19:N32,5)+COUNTIF('BALDERRAMA ROBLES JORGE'!N19:N32,6)</f>
        <v>0</v>
      </c>
      <c r="O7" s="126">
        <f>+COUNTIF('BALDERRAMA ROBLES JORGE'!N19:N32,2)</f>
        <v>0</v>
      </c>
      <c r="P7" s="135">
        <f>+COUNTIF('BALDERRAMA ROBLES JORGE'!N19:N32,3)</f>
        <v>0</v>
      </c>
    </row>
    <row r="8" spans="2:16" s="124" customFormat="1" ht="15.95" customHeight="1" x14ac:dyDescent="0.2">
      <c r="B8" s="134">
        <v>6</v>
      </c>
      <c r="C8" s="166" t="str">
        <f>+'BALLEZA RAMIREZ JESUS JOSE'!E11</f>
        <v>BALLEZA RAMIREZ JESUS JOSE</v>
      </c>
      <c r="D8" s="167" t="str">
        <f>+'BALLEZA RAMIREZ JESUS JOSE'!E12</f>
        <v xml:space="preserve">F-040 </v>
      </c>
      <c r="E8" s="125">
        <f>+COUNT('BALLEZA RAMIREZ JESUS JOSE'!O40:O46)</f>
        <v>5</v>
      </c>
      <c r="F8" s="210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3990</v>
      </c>
      <c r="G8" s="210">
        <f>+SUMIF('BALLEZA RAMIREZ JESUS JOSE'!N$19:N$32,2,'BALLEZA RAMIREZ JESUS JOSE'!J$19:J$32)</f>
        <v>0</v>
      </c>
      <c r="H8" s="210">
        <f>+SUMIF('BALLEZA RAMIREZ JESUS JOSE'!N$19:N$32,3,'BALLEZA RAMIREZ JESUS JOSE'!J$19:J$32)</f>
        <v>0</v>
      </c>
      <c r="I8" s="205">
        <f t="shared" si="0"/>
        <v>3990</v>
      </c>
      <c r="J8" s="200">
        <f>+'BALLEZA RAMIREZ JESUS JOSE'!J16</f>
        <v>1158.9549999999999</v>
      </c>
      <c r="K8" s="200">
        <f>SUM('BALLEZA RAMIREZ JESUS JOSE'!S20:S33)</f>
        <v>371.04524480003931</v>
      </c>
      <c r="L8" s="165">
        <f t="shared" si="1"/>
        <v>3.4427566212665721</v>
      </c>
      <c r="M8" s="362">
        <f>+AVERAGE('BALLEZA RAMIREZ JESUS JOSE'!M19:M32)</f>
        <v>5070.2062999999998</v>
      </c>
      <c r="N8" s="126">
        <f>+COUNTIF('BALLEZA RAMIREZ JESUS JOSE'!N19:N32,1)+COUNTIF('BALLEZA RAMIREZ JESUS JOSE'!N19:N32,4)+COUNTIF('BALLEZA RAMIREZ JESUS JOSE'!N19:N32,5)+COUNTIF('BALLEZA RAMIREZ JESUS JOSE'!N19:N32,6)</f>
        <v>10</v>
      </c>
      <c r="O8" s="126">
        <f>+COUNTIF('BALLEZA RAMIREZ JESUS JOSE'!N19:N32,2)</f>
        <v>0</v>
      </c>
      <c r="P8" s="135">
        <f>+COUNTIF('BALLEZA RAMIREZ JESUS JOSE'!N19:N32,3)</f>
        <v>0</v>
      </c>
    </row>
    <row r="9" spans="2:16" s="124" customFormat="1" ht="15.95" customHeight="1" x14ac:dyDescent="0.2">
      <c r="B9" s="134">
        <v>7</v>
      </c>
      <c r="C9" s="154" t="str">
        <f>+'BURGOS TORRES RIGOBERTO'!E11</f>
        <v>BURGOS TORRES RIGOBERTO</v>
      </c>
      <c r="D9" s="153" t="str">
        <f>+'BURGOS TORRES RIGOBERTO'!E12</f>
        <v xml:space="preserve">F-023 </v>
      </c>
      <c r="E9" s="126">
        <f>+COUNT('BURGOS TORRES RIGOBERTO'!O$39:O$45)</f>
        <v>3</v>
      </c>
      <c r="F9" s="210">
        <f>+SUMIF('BURGOS TORRES RIGOBERTO'!N$19:N$31,1,'BURGOS TORRES RIGOBERTO'!J$19:J$31)+SUMIF('BURGOS TORRES RIGOBERTO'!N$19:N$31,4,'BURGOS TORRES RIGOBERTO'!J$19:J$31)+SUMIF('BURGOS TORRES RIGOBERTO'!N$19:N$31,5,'BURGOS TORRES RIGOBERTO'!J$19:J$31)+SUMIF('BURGOS TORRES RIGOBERTO'!N$19:N$31,6,'BURGOS TORRES RIGOBERTO'!J$19:J$31)</f>
        <v>2035</v>
      </c>
      <c r="G9" s="210">
        <f>+SUMIF('BURGOS TORRES RIGOBERTO'!N$19:N$31,2,'BURGOS TORRES RIGOBERTO'!J$19:J$31)</f>
        <v>0</v>
      </c>
      <c r="H9" s="210">
        <f>+SUMIF('BURGOS TORRES RIGOBERTO'!N$19:N$31,3,'BURGOS TORRES RIGOBERTO'!J$19:J$31)</f>
        <v>375</v>
      </c>
      <c r="I9" s="205">
        <f t="shared" si="0"/>
        <v>2410</v>
      </c>
      <c r="J9" s="200">
        <f>+'BURGOS TORRES RIGOBERTO'!J16</f>
        <v>733.67499999999995</v>
      </c>
      <c r="K9" s="200">
        <f>SUM('BURGOS TORRES RIGOBERTO'!S19:S31)</f>
        <v>184.32514688002357</v>
      </c>
      <c r="L9" s="165">
        <f t="shared" si="1"/>
        <v>3.284833202712373</v>
      </c>
      <c r="M9" s="362">
        <f>+AVERAGE('BURGOS TORRES RIGOBERTO'!M19:M31)</f>
        <v>4105.7976666666664</v>
      </c>
      <c r="N9" s="126">
        <f>+COUNTIF('BURGOS TORRES RIGOBERTO'!N19:N31,1)+COUNTIF('BURGOS TORRES RIGOBERTO'!N19:N31,4)+COUNTIF('BURGOS TORRES RIGOBERTO'!N19:N31,5)+COUNTIF('BURGOS TORRES RIGOBERTO'!N19:N31,6)</f>
        <v>5</v>
      </c>
      <c r="O9" s="126">
        <f>+COUNTIF('BURGOS TORRES RIGOBERTO'!N19:N31,2)</f>
        <v>0</v>
      </c>
      <c r="P9" s="135">
        <f>+COUNTIF('BURGOS TORRES RIGOBERTO'!N19:N31,3)</f>
        <v>1</v>
      </c>
    </row>
    <row r="10" spans="2:16" s="124" customFormat="1" ht="15.95" customHeight="1" x14ac:dyDescent="0.2">
      <c r="B10" s="134">
        <v>8</v>
      </c>
      <c r="C10" s="154" t="str">
        <f>+'ONTIVEROS LIRA JUAN'!E11</f>
        <v>ONTIVEROS LIRA JUAN</v>
      </c>
      <c r="D10" s="126" t="str">
        <f>+'ONTIVEROS LIRA JUAN'!E12</f>
        <v>F-086</v>
      </c>
      <c r="E10" s="126">
        <f>+COUNT('ONTIVEROS LIRA JUAN'!O40:O46)</f>
        <v>2</v>
      </c>
      <c r="F10" s="210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1670</v>
      </c>
      <c r="G10" s="210">
        <f>+SUMIF('ONTIVEROS LIRA JUAN'!N$19:N$32,2,'ONTIVEROS LIRA JUAN'!J$19:J$32)</f>
        <v>0</v>
      </c>
      <c r="H10" s="210">
        <f>+SUMIF('ONTIVEROS LIRA JUAN'!N$19:N$32,3,'ONTIVEROS LIRA JUAN'!J$19:J$32)</f>
        <v>0</v>
      </c>
      <c r="I10" s="205">
        <f t="shared" si="0"/>
        <v>1670</v>
      </c>
      <c r="J10" s="273">
        <f>+'ONTIVEROS LIRA JUAN'!J16</f>
        <v>452.71299999999997</v>
      </c>
      <c r="K10" s="275">
        <f>+SUM('ONTIVEROS LIRA JUAN'!S19:S32)</f>
        <v>200.35579131713448</v>
      </c>
      <c r="L10" s="165">
        <f t="shared" si="1"/>
        <v>3.6888713158226074</v>
      </c>
      <c r="M10" s="362">
        <f>+AVERAGE('ONTIVEROS LIRA JUAN'!M19:M32)</f>
        <v>2151.5250000000001</v>
      </c>
      <c r="N10" s="126">
        <f>COUNTIF('ONTIVEROS LIRA JUAN'!N$19:N$26,1)+COUNTIF('ONTIVEROS LIRA JUAN'!N$19:N$26,4)+COUNTIF('ONTIVEROS LIRA JUAN'!N$19:N$26,5)+COUNTIF('ONTIVEROS LIRA JUAN'!N$19:N$26,6)</f>
        <v>4</v>
      </c>
      <c r="O10" s="126">
        <f>COUNTIF('ONTIVEROS LIRA JUAN'!N$19:N$26,2)</f>
        <v>0</v>
      </c>
      <c r="P10" s="135">
        <f>+COUNTIF('ONTIVEROS LIRA JUAN'!N$19:N$26,3)</f>
        <v>0</v>
      </c>
    </row>
    <row r="11" spans="2:16" s="124" customFormat="1" ht="15.95" customHeight="1" x14ac:dyDescent="0.2">
      <c r="B11" s="134">
        <v>9</v>
      </c>
      <c r="C11" s="116" t="str">
        <f>+'CORDOVA URIBE JOSE  ADRIAN'!E11</f>
        <v>CORDOVA URIBE ADRIAN</v>
      </c>
      <c r="D11" s="152" t="str">
        <f>+'CORDOVA URIBE JOSE  ADRIAN'!E12</f>
        <v>F-008</v>
      </c>
      <c r="E11" s="125">
        <f>+COUNT('CORDOVA URIBE JOSE  ADRIAN'!O$40:O$46)</f>
        <v>0</v>
      </c>
      <c r="F11" s="210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210">
        <f>+SUMIF('CORDOVA URIBE JOSE  ADRIAN'!N$19:N$32,2,'CORDOVA URIBE JOSE  ADRIAN'!J$19:J$32)</f>
        <v>0</v>
      </c>
      <c r="H11" s="210">
        <f>+SUMIF('CORDOVA URIBE JOSE  ADRIAN'!N$19:N$32,3,'CORDOVA URIBE JOSE  ADRIAN'!J$19:J$32)</f>
        <v>0</v>
      </c>
      <c r="I11" s="205">
        <f t="shared" si="0"/>
        <v>0</v>
      </c>
      <c r="J11" s="200">
        <f>+'CORDOVA URIBE JOSE  ADRIAN'!J16</f>
        <v>0</v>
      </c>
      <c r="K11" s="200" t="e">
        <f>SUM('CORDOVA URIBE JOSE  ADRIAN'!S19:S32)</f>
        <v>#N/A</v>
      </c>
      <c r="L11" s="165" t="e">
        <f t="shared" si="1"/>
        <v>#DIV/0!</v>
      </c>
      <c r="M11" s="362" t="e">
        <f>+AVERAGE('CORDOVA URIBE JOSE  ADRIAN'!M19:M32)</f>
        <v>#DIV/0!</v>
      </c>
      <c r="N11" s="126">
        <f>+COUNTIF('CORDOVA URIBE JOSE  ADRIAN'!N19:N32,1)+COUNTIF('CORDOVA URIBE JOSE  ADRIAN'!N19:N32,4)+COUNTIF('CORDOVA URIBE JOSE  ADRIAN'!N19:N32,5)+COUNTIF('CORDOVA URIBE JOSE  ADRIAN'!N19:N32,6)</f>
        <v>0</v>
      </c>
      <c r="O11" s="126">
        <f>+COUNTIF('CORDOVA URIBE JOSE  ADRIAN'!N19:N32,2)</f>
        <v>0</v>
      </c>
      <c r="P11" s="135">
        <f>+COUNTIF('CORDOVA URIBE JOSE  ADRIAN'!N19:N32,3)</f>
        <v>0</v>
      </c>
    </row>
    <row r="12" spans="2:16" s="124" customFormat="1" ht="15.95" customHeight="1" x14ac:dyDescent="0.2">
      <c r="B12" s="134">
        <v>10</v>
      </c>
      <c r="C12" s="166" t="str">
        <f>+'AGUILERA CONTRERAS LUIS GERARDO'!E11</f>
        <v>AGUILERA CONTRERAS LUIS GERARDO</v>
      </c>
      <c r="D12" s="167" t="str">
        <f>+'AGUILERA CONTRERAS LUIS GERARDO'!E12</f>
        <v>F-019</v>
      </c>
      <c r="E12" s="125">
        <f>+COUNT('AGUILERA CONTRERAS LUIS GERARDO'!O$41:O$47)</f>
        <v>4</v>
      </c>
      <c r="F12" s="210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2675</v>
      </c>
      <c r="G12" s="210">
        <f>+SUMIF('AGUILERA CONTRERAS LUIS GERARDO'!N$19:N$33,2,'AGUILERA CONTRERAS LUIS GERARDO'!J$19:J$33)</f>
        <v>0</v>
      </c>
      <c r="H12" s="210">
        <f>+SUMIF('AGUILERA CONTRERAS LUIS GERARDO'!N$19:N$33,3,'AGUILERA CONTRERAS LUIS GERARDO'!J$19:J$33)</f>
        <v>375</v>
      </c>
      <c r="I12" s="205">
        <f t="shared" si="0"/>
        <v>3050</v>
      </c>
      <c r="J12" s="200">
        <f>+'AGUILERA CONTRERAS LUIS GERARDO'!J16</f>
        <v>904.09699999999998</v>
      </c>
      <c r="K12" s="200">
        <f>SUM('AGUILERA CONTRERAS LUIS GERARDO'!S19:S33)</f>
        <v>380.97384743049042</v>
      </c>
      <c r="L12" s="165">
        <f t="shared" si="1"/>
        <v>3.373531822359769</v>
      </c>
      <c r="M12" s="362">
        <f>+AVERAGE('AGUILERA CONTRERAS LUIS GERARDO'!M19:M33)</f>
        <v>1818.920625</v>
      </c>
      <c r="N12" s="126">
        <f>+COUNTIF('AGUILERA CONTRERAS LUIS GERARDO'!N19:N33,1)+COUNTIF('AGUILERA CONTRERAS LUIS GERARDO'!N19:N33,4)+COUNTIF('AGUILERA CONTRERAS LUIS GERARDO'!N19:N33,5)+COUNTIF('AGUILERA CONTRERAS LUIS GERARDO'!N19:N33,6)</f>
        <v>7</v>
      </c>
      <c r="O12" s="126">
        <f>+COUNTIF('AGUILERA CONTRERAS LUIS GERARDO'!N19:N33,2)</f>
        <v>0</v>
      </c>
      <c r="P12" s="135">
        <f>+COUNTIF('AGUILERA CONTRERAS LUIS GERARDO'!N19:N33,3)</f>
        <v>1</v>
      </c>
    </row>
    <row r="13" spans="2:16" s="124" customFormat="1" ht="15.95" customHeight="1" x14ac:dyDescent="0.2">
      <c r="B13" s="134">
        <v>11</v>
      </c>
      <c r="C13" s="154" t="str">
        <f>+'RUIZ SAUCEDO DANIEL ALEJANDRO'!E11</f>
        <v>RUIZ SAUCEDO DANIEL ALEJANDRO</v>
      </c>
      <c r="D13" s="153" t="str">
        <f>+'RUIZ SAUCEDO DANIEL ALEJANDRO'!E12</f>
        <v>F-013</v>
      </c>
      <c r="E13" s="126">
        <f>COUNT('RUIZ SAUCEDO DANIEL ALEJANDRO'!O40:O46)</f>
        <v>0</v>
      </c>
      <c r="F13" s="210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210">
        <f>+SUMIF('RUIZ SAUCEDO DANIEL ALEJANDRO'!N$19:N$32,2,'RUIZ SAUCEDO DANIEL ALEJANDRO'!J$19:J$32)</f>
        <v>0</v>
      </c>
      <c r="H13" s="210">
        <f>+SUMIF('RUIZ SAUCEDO DANIEL ALEJANDRO'!N$19:N$32,3,'RUIZ SAUCEDO DANIEL ALEJANDRO'!J$19:J$32)</f>
        <v>0</v>
      </c>
      <c r="I13" s="205">
        <f t="shared" si="0"/>
        <v>0</v>
      </c>
      <c r="J13" s="200">
        <f>+'RUIZ SAUCEDO DANIEL ALEJANDRO'!J16</f>
        <v>0</v>
      </c>
      <c r="K13" s="200">
        <v>0</v>
      </c>
      <c r="L13" s="165">
        <v>0</v>
      </c>
      <c r="M13" s="362">
        <v>0</v>
      </c>
      <c r="N13" s="126">
        <f>+COUNTIF('RUIZ SAUCEDO DANIEL ALEJANDRO'!N19:N32,1)+COUNTIF('RUIZ SAUCEDO DANIEL ALEJANDRO'!N19:N32,4)+COUNTIF('RUIZ SAUCEDO DANIEL ALEJANDRO'!N19:N32,5)+COUNTIF('RUIZ SAUCEDO DANIEL ALEJANDRO'!N19:N32,6)</f>
        <v>0</v>
      </c>
      <c r="O13" s="126">
        <f>+COUNTIF('RUIZ SAUCEDO DANIEL ALEJANDRO'!N19:N32,2)</f>
        <v>0</v>
      </c>
      <c r="P13" s="135">
        <f>+COUNTIF('RUIZ SAUCEDO DANIEL ALEJANDRO'!N19:N32,3)</f>
        <v>0</v>
      </c>
    </row>
    <row r="14" spans="2:16" s="124" customFormat="1" ht="15.95" customHeight="1" x14ac:dyDescent="0.2">
      <c r="B14" s="134">
        <v>12</v>
      </c>
      <c r="C14" s="166" t="str">
        <f>+'MELENDEZ SINALOA MANUEL ARAT'!E11</f>
        <v>MELENDEZ SINALOA MANUEL ARAT</v>
      </c>
      <c r="D14" s="167" t="str">
        <f>+'MELENDEZ SINALOA MANUEL ARAT'!E12</f>
        <v>F-028</v>
      </c>
      <c r="E14" s="125">
        <f>+COUNT('MELENDEZ SINALOA MANUEL ARAT'!O$40:O$46)</f>
        <v>4</v>
      </c>
      <c r="F14" s="210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3000</v>
      </c>
      <c r="G14" s="210">
        <f>+SUMIF('MELENDEZ SINALOA MANUEL ARAT'!N$19:N$32,2,'MELENDEZ SINALOA MANUEL ARAT'!J$19:J$32)</f>
        <v>0</v>
      </c>
      <c r="H14" s="210">
        <f>+SUMIF('MELENDEZ SINALOA MANUEL ARAT'!N$19:N$32,3,'MELENDEZ SINALOA MANUEL ARAT'!J$19:J$32)</f>
        <v>0</v>
      </c>
      <c r="I14" s="205">
        <f t="shared" si="0"/>
        <v>3000</v>
      </c>
      <c r="J14" s="200">
        <f>+'MELENDEZ SINALOA MANUEL ARAT'!J16</f>
        <v>915.202</v>
      </c>
      <c r="K14" s="200">
        <f>SUM('MELENDEZ SINALOA MANUEL ARAT'!S19:S33)</f>
        <v>328.80015403337165</v>
      </c>
      <c r="L14" s="165">
        <f>I14/J14</f>
        <v>3.2779648645872714</v>
      </c>
      <c r="M14" s="362">
        <v>0</v>
      </c>
      <c r="N14" s="126">
        <f>+COUNTIF('MELENDEZ SINALOA MANUEL ARAT'!N19:N32,1)+COUNTIF('MELENDEZ SINALOA MANUEL ARAT'!N19:N32,4)+COUNTIF('MELENDEZ SINALOA MANUEL ARAT'!N19:N32,5)+COUNTIF('MELENDEZ SINALOA MANUEL ARAT'!N19:N32,6)</f>
        <v>8</v>
      </c>
      <c r="O14" s="126">
        <f>+COUNTIF('MELENDEZ SINALOA MANUEL ARAT'!N19:N32,2)</f>
        <v>0</v>
      </c>
      <c r="P14" s="135">
        <f>+COUNTIF('MELENDEZ SINALOA MANUEL ARAT'!N19:N32,3)</f>
        <v>0</v>
      </c>
    </row>
    <row r="15" spans="2:16" s="124" customFormat="1" ht="15.95" customHeight="1" x14ac:dyDescent="0.2">
      <c r="B15" s="134">
        <v>13</v>
      </c>
      <c r="C15" s="154" t="str">
        <f>+'GUZMAN CHAPARRO PEDRO'!E11</f>
        <v>GUZMAN CHAPARRO PEDRO</v>
      </c>
      <c r="D15" s="153" t="str">
        <f>+'GUZMAN CHAPARRO PEDRO'!E12</f>
        <v>F-024</v>
      </c>
      <c r="E15" s="126">
        <f>+COUNT('GUZMAN CHAPARRO PEDRO'!O$40:O$46)</f>
        <v>3</v>
      </c>
      <c r="F15" s="210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1915</v>
      </c>
      <c r="G15" s="210">
        <f>+SUMIF('GUZMAN CHAPARRO PEDRO'!N$19:N$32,2,'GUZMAN CHAPARRO PEDRO'!J$19:J$32)</f>
        <v>0</v>
      </c>
      <c r="H15" s="210">
        <f>+SUMIF('GUZMAN CHAPARRO PEDRO'!N$19:N$32,3,'GUZMAN CHAPARRO PEDRO'!J$19:J$32)</f>
        <v>375</v>
      </c>
      <c r="I15" s="205">
        <f t="shared" si="0"/>
        <v>2290</v>
      </c>
      <c r="J15" s="200">
        <f>+'GUZMAN CHAPARRO PEDRO'!J16</f>
        <v>646.01199999999994</v>
      </c>
      <c r="K15" s="200">
        <f>SUM('GUZMAN CHAPARRO PEDRO'!S19:S32)</f>
        <v>281.98912597669369</v>
      </c>
      <c r="L15" s="165">
        <f>I15/J15</f>
        <v>3.5448257927097333</v>
      </c>
      <c r="M15" s="362">
        <f>+AVERAGE('GUZMAN CHAPARRO PEDRO'!M19:M32)</f>
        <v>2408.4675000000002</v>
      </c>
      <c r="N15" s="126">
        <f>+COUNTIF('GUZMAN CHAPARRO PEDRO'!N19:N32,1)+COUNTIF('GUZMAN CHAPARRO PEDRO'!N19:N32,4)+COUNTIF('GUZMAN CHAPARRO PEDRO'!N19:N32,5)+COUNTIF('GUZMAN CHAPARRO PEDRO'!N19:N32,6)</f>
        <v>5</v>
      </c>
      <c r="O15" s="126">
        <f>+COUNTIF('GUZMAN CHAPARRO PEDRO'!N19:N32,2)</f>
        <v>0</v>
      </c>
      <c r="P15" s="135">
        <f>+COUNTIF('GUZMAN CHAPARRO PEDRO'!N19:N32,3)</f>
        <v>1</v>
      </c>
    </row>
    <row r="16" spans="2:16" s="124" customFormat="1" ht="15.95" customHeight="1" x14ac:dyDescent="0.2">
      <c r="B16" s="134">
        <v>14</v>
      </c>
      <c r="C16" s="154" t="str">
        <f>+'ANCHONDO ROMERO CESAR ALEJANDRO'!E11</f>
        <v>ANCHONDO ROMERO CESAR ALEJANDRO</v>
      </c>
      <c r="D16" s="153" t="str">
        <f>+'ANCHONDO ROMERO CESAR ALEJANDRO'!E12</f>
        <v>F-024</v>
      </c>
      <c r="E16" s="126">
        <f>+COUNT('ANCHONDO ROMERO CESAR ALEJANDRO'!O$40:O$46)</f>
        <v>2</v>
      </c>
      <c r="F16" s="210">
        <f>+SUMIF('ANCHONDO ROMERO CESAR ALEJANDRO'!N$19:N$32,1,'ANCHONDO ROMERO CESAR ALEJANDRO'!J$19:J$32)+SUMIF('ANCHONDO ROMERO CESAR ALEJANDRO'!N$19:N$32,4,'ANCHONDO ROMERO CESAR ALEJANDRO'!J$19:J$32)+SUMIF('ANCHONDO ROMERO CESAR ALEJANDRO'!N$19:N$32,5,'ANCHONDO ROMERO CESAR ALEJANDRO'!J$19:J$32)+SUMIF('ANCHONDO ROMERO CESAR ALEJANDRO'!N$19:N$32,6,'ANCHONDO ROMERO CESAR ALEJANDRO'!J$19:J$32)</f>
        <v>1500</v>
      </c>
      <c r="G16" s="210">
        <f>+SUMIF('ANCHONDO ROMERO CESAR ALEJANDRO'!N$19:N$32,2,'ANCHONDO ROMERO CESAR ALEJANDRO'!J$19:J$32)</f>
        <v>0</v>
      </c>
      <c r="H16" s="210">
        <f>+SUMIF('ANCHONDO ROMERO CESAR ALEJANDRO'!N$19:N$32,3,'ANCHONDO ROMERO CESAR ALEJANDRO'!J$19:J$32)</f>
        <v>0</v>
      </c>
      <c r="I16" s="205">
        <f t="shared" si="0"/>
        <v>1500</v>
      </c>
      <c r="J16" s="200">
        <f>+'ANCHONDO ROMERO CESAR ALEJANDRO'!J16</f>
        <v>499.31700000000001</v>
      </c>
      <c r="K16" s="200">
        <f>SUM('ANCHONDO ROMERO CESAR ALEJANDRO'!S19:S32)</f>
        <v>112.68309792001568</v>
      </c>
      <c r="L16" s="165">
        <f>I16/J16</f>
        <v>3.0041036055251471</v>
      </c>
      <c r="M16" s="362">
        <f>+AVERAGE('ANCHONDO ROMERO CESAR ALEJANDRO'!M19:M32)</f>
        <v>10484.8585</v>
      </c>
      <c r="N16" s="126">
        <f>+COUNTIF('ANCHONDO ROMERO CESAR ALEJANDRO'!N19:N32,1)+COUNTIF('ANCHONDO ROMERO CESAR ALEJANDRO'!N19:N32,4)+COUNTIF('ANCHONDO ROMERO CESAR ALEJANDRO'!N19:N32,5)+COUNTIF('ANCHONDO ROMERO CESAR ALEJANDRO'!N19:N32,6)</f>
        <v>4</v>
      </c>
      <c r="O16" s="126">
        <f>+COUNTIF('ANCHONDO ROMERO CESAR ALEJANDRO'!N19:N32,2)</f>
        <v>0</v>
      </c>
      <c r="P16" s="135">
        <f>+COUNTIF('ANCHONDO ROMERO CESAR ALEJANDRO'!N19:N32,3)</f>
        <v>0</v>
      </c>
    </row>
    <row r="17" spans="2:16" s="124" customFormat="1" ht="15.95" customHeight="1" x14ac:dyDescent="0.2">
      <c r="B17" s="134">
        <v>15</v>
      </c>
      <c r="C17" s="116" t="str">
        <f>+'HERNANDEZ LICANO JOSE LUIS'!E11</f>
        <v>HERNANDEZ LICANO JOSE LUIS</v>
      </c>
      <c r="D17" s="153" t="str">
        <f>+'HERNANDEZ LICANO JOSE LUIS'!E12</f>
        <v xml:space="preserve">F-005 </v>
      </c>
      <c r="E17" s="126">
        <f>+COUNT('HERNANDEZ LICANO JOSE LUIS'!O$40:O$46)</f>
        <v>3</v>
      </c>
      <c r="F17" s="210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1875</v>
      </c>
      <c r="G17" s="210">
        <f>+SUMIF('HERNANDEZ LICANO JOSE LUIS'!N$19:N$32,2,'HERNANDEZ LICANO JOSE LUIS'!J$19:J$32)</f>
        <v>0</v>
      </c>
      <c r="H17" s="210">
        <f>+SUMIF('HERNANDEZ LICANO JOSE LUIS'!N$19:N$32,3,'HERNANDEZ LICANO JOSE LUIS'!J$19:J$32)</f>
        <v>375</v>
      </c>
      <c r="I17" s="205">
        <f t="shared" si="0"/>
        <v>2250</v>
      </c>
      <c r="J17" s="200">
        <f>+'HERNANDEZ LICANO JOSE LUIS'!J16</f>
        <v>566.20299999999997</v>
      </c>
      <c r="K17" s="200">
        <f>SUM('HERNANDEZ LICANO JOSE LUIS'!S19:S32)</f>
        <v>381.80008417003393</v>
      </c>
      <c r="L17" s="165">
        <f>I17/J17</f>
        <v>3.9738397712481213</v>
      </c>
      <c r="M17" s="362">
        <f>+AVERAGE('HERNANDEZ LICANO JOSE LUIS'!M19:M32)</f>
        <v>2237.5340000000001</v>
      </c>
      <c r="N17" s="126">
        <f>+COUNTIF('HERNANDEZ LICANO JOSE LUIS'!N19:N32,1)+COUNTIF('HERNANDEZ LICANO JOSE LUIS'!N19:N32,4)+COUNTIF('HERNANDEZ LICANO JOSE LUIS'!N19:N32,5)+COUNTIF('HERNANDEZ LICANO JOSE LUIS'!N19:N32,6)</f>
        <v>5</v>
      </c>
      <c r="O17" s="126">
        <f>+COUNTIF('HERNANDEZ LICANO JOSE LUIS'!N19:N32,2)</f>
        <v>0</v>
      </c>
      <c r="P17" s="135">
        <f>+COUNTIF('HERNANDEZ LICANO JOSE LUIS'!N19:N32,3)</f>
        <v>1</v>
      </c>
    </row>
    <row r="18" spans="2:16" s="124" customFormat="1" ht="15.95" customHeight="1" x14ac:dyDescent="0.2">
      <c r="B18" s="134">
        <v>16</v>
      </c>
      <c r="C18" s="66" t="str">
        <f>+'MACHADO MAZUCA ADOLFO'!E11</f>
        <v>MACHADO MAZUCA ADOLFO</v>
      </c>
      <c r="D18" s="167" t="str">
        <f>+'MACHADO MAZUCA ADOLFO'!E12</f>
        <v>F-010 F-012</v>
      </c>
      <c r="E18" s="125">
        <f>+COUNT('MACHADO MAZUCA ADOLFO'!O40:O46)</f>
        <v>3</v>
      </c>
      <c r="F18" s="210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2250</v>
      </c>
      <c r="G18" s="210">
        <f>+SUMIF('MACHADO MAZUCA ADOLFO'!N$19:N$32,2,'MACHADO MAZUCA ADOLFO'!J$19:J$32)</f>
        <v>0</v>
      </c>
      <c r="H18" s="210">
        <f>+SUMIF('MACHADO MAZUCA ADOLFO'!N$19:N$32,3,'MACHADO MAZUCA ADOLFO'!J$19:J$32)</f>
        <v>0</v>
      </c>
      <c r="I18" s="205">
        <f t="shared" si="0"/>
        <v>2250</v>
      </c>
      <c r="J18" s="200">
        <f>+'MACHADO MAZUCA ADOLFO'!J16</f>
        <v>670.53200000000004</v>
      </c>
      <c r="K18" s="200">
        <f>SUM('MACHADO MAZUCA ADOLFO'!S19:S32)</f>
        <v>277.47108417003392</v>
      </c>
      <c r="L18" s="165">
        <v>0</v>
      </c>
      <c r="M18" s="362">
        <v>0</v>
      </c>
      <c r="N18" s="126">
        <f>COUNTIF('MACHADO MAZUCA ADOLFO'!N$19:N$32,1)+COUNTIF('MACHADO MAZUCA ADOLFO'!N$19:N$32,4)+COUNTIF('MACHADO MAZUCA ADOLFO'!N$19:N$32,5)+COUNTIF('MACHADO MAZUCA ADOLFO'!N$19:N$32,6)</f>
        <v>6</v>
      </c>
      <c r="O18" s="126">
        <f>COUNTIF('MACHADO MAZUCA ADOLFO'!N$19:N$32,2)</f>
        <v>0</v>
      </c>
      <c r="P18" s="135">
        <f>COUNTIF('MACHADO MAZUCA ADOLFO'!N$19:N$32,3)</f>
        <v>0</v>
      </c>
    </row>
    <row r="19" spans="2:16" s="124" customFormat="1" ht="15.95" customHeight="1" x14ac:dyDescent="0.2">
      <c r="B19" s="134">
        <v>17</v>
      </c>
      <c r="C19" s="154" t="str">
        <f>+'MARTINEZ RAMIREZ ROSALIO'!E11</f>
        <v>MARTINEZ RAMIREZ ROSALIO</v>
      </c>
      <c r="D19" s="152" t="str">
        <f>+'MARTINEZ RAMIREZ ROSALIO'!E12</f>
        <v xml:space="preserve"> F-026</v>
      </c>
      <c r="E19" s="126">
        <f>+COUNT('MARTINEZ RAMIREZ ROSALIO'!O$40:O$46)</f>
        <v>3</v>
      </c>
      <c r="F19" s="210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2250</v>
      </c>
      <c r="G19" s="210">
        <f>+SUMIF('MARTINEZ RAMIREZ ROSALIO'!N$19:N$32,2,'MARTINEZ RAMIREZ ROSALIO'!J$19:J$32)</f>
        <v>0</v>
      </c>
      <c r="H19" s="210">
        <f>+SUMIF('MARTINEZ RAMIREZ ROSALIO'!N$19:N$32,3,'MARTINEZ RAMIREZ ROSALIO'!J$19:J$32)</f>
        <v>0</v>
      </c>
      <c r="I19" s="205">
        <f t="shared" si="0"/>
        <v>2250</v>
      </c>
      <c r="J19" s="200">
        <f>+'MARTINEZ RAMIREZ ROSALIO'!J16</f>
        <v>628.01900000000001</v>
      </c>
      <c r="K19" s="200">
        <f>SUM('MARTINEZ RAMIREZ ROSALIO'!S19:S32)</f>
        <v>289.98114688002363</v>
      </c>
      <c r="L19" s="165">
        <f>I19/J19</f>
        <v>3.5826941541577564</v>
      </c>
      <c r="M19" s="362">
        <f>+AVERAGE('MARTINEZ RAMIREZ ROSALIO'!M19:M32)</f>
        <v>4299.493833333333</v>
      </c>
      <c r="N19" s="126">
        <f>+COUNTIF('MARTINEZ RAMIREZ ROSALIO'!N19:N32,1)+COUNTIF('MARTINEZ RAMIREZ ROSALIO'!N19:N32,4)+COUNTIF('MARTINEZ RAMIREZ ROSALIO'!N19:N32,5)+COUNTIF('MARTINEZ RAMIREZ ROSALIO'!N19:N32,6)</f>
        <v>6</v>
      </c>
      <c r="O19" s="126">
        <f>+COUNTIF('MARTINEZ RAMIREZ ROSALIO'!N19:N32,2)</f>
        <v>0</v>
      </c>
      <c r="P19" s="135">
        <f>+COUNTIF('MARTINEZ RAMIREZ ROSALIO'!N19:N32,3)</f>
        <v>0</v>
      </c>
    </row>
    <row r="20" spans="2:16" s="124" customFormat="1" ht="15.95" customHeight="1" x14ac:dyDescent="0.2">
      <c r="B20" s="134">
        <v>18</v>
      </c>
      <c r="C20" s="154" t="str">
        <f>+'MONTERO BURROLA LUIS'!E11</f>
        <v>MONTERO BURROLA LUIS</v>
      </c>
      <c r="D20" s="153" t="str">
        <f>+'MONTERO BURROLA LUIS'!E12</f>
        <v>F-025</v>
      </c>
      <c r="E20" s="126">
        <f>COUNT('MONTERO BURROLA LUIS'!O38:O44)</f>
        <v>5</v>
      </c>
      <c r="F20" s="210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3950</v>
      </c>
      <c r="G20" s="210">
        <f>+SUMIF('MONTERO BURROLA LUIS'!N$19:N$30,2,'MONTERO BURROLA LUIS'!J$19:J$30)</f>
        <v>0</v>
      </c>
      <c r="H20" s="210">
        <f>+SUMIF('MONTERO BURROLA LUIS'!N$19:N$30,3,'MONTERO BURROLA LUIS'!J$19:J$30)</f>
        <v>0</v>
      </c>
      <c r="I20" s="205">
        <f t="shared" si="0"/>
        <v>3950</v>
      </c>
      <c r="J20" s="200">
        <f>+'MONTERO BURROLA LUIS'!J16</f>
        <v>1063.9939999999999</v>
      </c>
      <c r="K20" s="200">
        <f>SUM('MONTERO BURROLA LUIS'!S19:S30)</f>
        <v>466.00624480003933</v>
      </c>
      <c r="L20" s="165">
        <f>I20/J20</f>
        <v>3.7124269497760327</v>
      </c>
      <c r="M20" s="362">
        <f>+AVERAGE('MONTERO BURROLA LUIS'!M19:M30)</f>
        <v>3701.2747000000004</v>
      </c>
      <c r="N20" s="126">
        <f>+COUNTIF('MONTERO BURROLA LUIS'!N19:N30,1)+COUNTIF('MONTERO BURROLA LUIS'!N19:N30,4)+COUNTIF('MONTERO BURROLA LUIS'!N19:N30,5)+COUNTIF('MONTERO BURROLA LUIS'!N19:N30,6)</f>
        <v>10</v>
      </c>
      <c r="O20" s="126">
        <f>+COUNTIF('MONTERO BURROLA LUIS'!N19:N30,2)</f>
        <v>0</v>
      </c>
      <c r="P20" s="135">
        <f>+COUNTIF('MONTERO BURROLA LUIS'!N19:N30,3)</f>
        <v>0</v>
      </c>
    </row>
    <row r="21" spans="2:16" s="124" customFormat="1" ht="15.95" customHeight="1" x14ac:dyDescent="0.2">
      <c r="B21" s="134">
        <v>19</v>
      </c>
      <c r="C21" s="166" t="str">
        <f>+'MORALES LOPEZ DE LARA MARIANO'!E11</f>
        <v>MORALES LOPEZ DE LARA MARIANO</v>
      </c>
      <c r="D21" s="167" t="str">
        <f>+'MORALES LOPEZ DE LARA MARIANO'!E12</f>
        <v>F-033</v>
      </c>
      <c r="E21" s="125">
        <f>+COUNT('MORALES LOPEZ DE LARA MARIANO'!O$40:O$46)</f>
        <v>0</v>
      </c>
      <c r="F21" s="210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0</v>
      </c>
      <c r="G21" s="210">
        <f>+SUMIF('MORALES LOPEZ DE LARA MARIANO'!N$19:N$32,2,'MORALES LOPEZ DE LARA MARIANO'!J$19:J$32)</f>
        <v>0</v>
      </c>
      <c r="H21" s="210">
        <f>+SUMIF('MORALES LOPEZ DE LARA MARIANO'!N$19:N$32,3,'MORALES LOPEZ DE LARA MARIANO'!J$19:J$32)</f>
        <v>0</v>
      </c>
      <c r="I21" s="205">
        <f t="shared" si="0"/>
        <v>0</v>
      </c>
      <c r="J21" s="200">
        <f>+'MORALES LOPEZ DE LARA MARIANO'!J16</f>
        <v>0</v>
      </c>
      <c r="K21" s="200" t="e">
        <f>SUM('MORALES LOPEZ DE LARA MARIANO'!S19:S32)</f>
        <v>#N/A</v>
      </c>
      <c r="L21" s="165" t="e">
        <f>I21/J21</f>
        <v>#DIV/0!</v>
      </c>
      <c r="M21" s="362" t="e">
        <f>+AVERAGE('MORALES LOPEZ DE LARA MARIANO'!M19:M32)</f>
        <v>#DIV/0!</v>
      </c>
      <c r="N21" s="126">
        <f>+COUNTIF('MORALES LOPEZ DE LARA MARIANO'!N19:N32,1)+COUNTIF('MORALES LOPEZ DE LARA MARIANO'!N19:N32,4)+COUNTIF('MORALES LOPEZ DE LARA MARIANO'!N19:N32,5)+COUNTIF('MORALES LOPEZ DE LARA MARIANO'!N19:N32,6)</f>
        <v>0</v>
      </c>
      <c r="O21" s="126">
        <f>+COUNTIF('MORALES LOPEZ DE LARA MARIANO'!N19:N32,2)</f>
        <v>0</v>
      </c>
      <c r="P21" s="135">
        <f>+COUNTIF('MORALES LOPEZ DE LARA MARIANO'!N19:N32,3)</f>
        <v>0</v>
      </c>
    </row>
    <row r="22" spans="2:16" s="124" customFormat="1" ht="15.95" customHeight="1" x14ac:dyDescent="0.2">
      <c r="B22" s="134">
        <v>20</v>
      </c>
      <c r="C22" s="66" t="str">
        <f>+'NUÑEZ RUIZ IRVING JAVIER.'!E11</f>
        <v>NUÑEZ RUIZ IRVING JAVIER</v>
      </c>
      <c r="D22" s="167" t="str">
        <f>+'NUÑEZ RUIZ IRVING JAVIER.'!E13</f>
        <v xml:space="preserve">F-014 </v>
      </c>
      <c r="E22" s="125">
        <f>+COUNT('NUÑEZ RUIZ IRVING JAVIER.'!O42:O48)</f>
        <v>4</v>
      </c>
      <c r="F22" s="210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2675</v>
      </c>
      <c r="G22" s="210">
        <f>+SUMIF('NUÑEZ RUIZ IRVING JAVIER.'!N$20:N$34,2,'NUÑEZ RUIZ IRVING JAVIER.'!J$20:J$34)</f>
        <v>0</v>
      </c>
      <c r="H22" s="210">
        <f>+SUMIF('NUÑEZ RUIZ IRVING JAVIER.'!N$20:N$34,3,'NUÑEZ RUIZ IRVING JAVIER.'!J$20:J$34)</f>
        <v>375</v>
      </c>
      <c r="I22" s="205">
        <f t="shared" si="0"/>
        <v>3050</v>
      </c>
      <c r="J22" s="200">
        <f>+'NUÑEZ RUIZ IRVING JAVIER.'!J17</f>
        <v>921.08600000000001</v>
      </c>
      <c r="K22" s="200">
        <f>SUM('NUÑEZ RUIZ IRVING JAVIER.'!S20:S34)</f>
        <v>363.98484743049039</v>
      </c>
      <c r="L22" s="165">
        <f>+I22/J22</f>
        <v>3.3113086074481646</v>
      </c>
      <c r="M22" s="362">
        <v>0</v>
      </c>
      <c r="N22" s="126">
        <f>COUNTIF('NUÑEZ RUIZ IRVING JAVIER.'!N$20:N$34,1)+COUNTIF('NUÑEZ RUIZ IRVING JAVIER.'!N$20:N$34,4)+COUNTIF('NUÑEZ RUIZ IRVING JAVIER.'!N$20:N$34,5)+COUNTIF('NUÑEZ RUIZ IRVING JAVIER.'!N$20:N$34,6)</f>
        <v>7</v>
      </c>
      <c r="O22" s="126">
        <f>COUNTIF('NUÑEZ RUIZ IRVING JAVIER.'!N$20:N$34,2)</f>
        <v>0</v>
      </c>
      <c r="P22" s="135">
        <f>COUNTIF('NUÑEZ RUIZ IRVING JAVIER.'!N$20:N$34,3)</f>
        <v>1</v>
      </c>
    </row>
    <row r="23" spans="2:16" s="124" customFormat="1" ht="15.95" customHeight="1" x14ac:dyDescent="0.2">
      <c r="B23" s="134">
        <v>21</v>
      </c>
      <c r="C23" s="166" t="str">
        <f>+'MERCADO LOPEZ JESUS'!E11</f>
        <v>MERCADO LOPEZ JESUS</v>
      </c>
      <c r="D23" s="167" t="str">
        <f>+'MERCADO LOPEZ JESUS'!E12</f>
        <v>F-027</v>
      </c>
      <c r="E23" s="125">
        <f>+COUNT('MERCADO LOPEZ JESUS'!O$40:O$46)</f>
        <v>0</v>
      </c>
      <c r="F23" s="210">
        <f>+SUMIF('MERCADO LOPEZ JESUS'!N$19:N$32,1,'MERCADO LOPEZ JESUS'!J$19:J$32)+SUMIF('MERCADO LOPEZ JESUS'!N$19:N$32,4,'MERCADO LOPEZ JESUS'!J$19:J$32)+SUMIF('MERCADO LOPEZ JESUS'!N$19:N$32,5,'MERCADO LOPEZ JESUS'!J$19:J$32)+SUMIF('MERCADO LOPEZ JESUS'!N$19:N$32,6,'MERCADO LOPEZ JESUS'!J$19:J$32)</f>
        <v>0</v>
      </c>
      <c r="G23" s="210">
        <f>+SUMIF('MERCADO LOPEZ JESUS'!N$19:N$32,2,'MERCADO LOPEZ JESUS'!J$19:J$32)</f>
        <v>0</v>
      </c>
      <c r="H23" s="210">
        <f>+SUMIF('MERCADO LOPEZ JESUS'!N$19:N$32,3,'MERCADO LOPEZ JESUS'!J$19:J$32)</f>
        <v>0</v>
      </c>
      <c r="I23" s="205">
        <f t="shared" si="0"/>
        <v>0</v>
      </c>
      <c r="J23" s="200">
        <f>+'MERCADO LOPEZ JESUS'!J16</f>
        <v>0</v>
      </c>
      <c r="K23" s="200" t="e">
        <f>SUM('MERCADO LOPEZ JESUS'!S19:S32)</f>
        <v>#N/A</v>
      </c>
      <c r="L23" s="165" t="e">
        <f t="shared" ref="L23:L29" si="2">I23/J23</f>
        <v>#DIV/0!</v>
      </c>
      <c r="M23" s="362" t="e">
        <f>+AVERAGE('MERCADO LOPEZ JESUS'!M19:M32)</f>
        <v>#DIV/0!</v>
      </c>
      <c r="N23" s="126">
        <f>+COUNTIF('MERCADO LOPEZ JESUS'!N19:N32,1)+COUNTIF('MERCADO LOPEZ JESUS'!N19:N32,4)+COUNTIF('MERCADO LOPEZ JESUS'!N19:N32,5)+COUNTIF('MERCADO LOPEZ JESUS'!N19:N32,6)</f>
        <v>0</v>
      </c>
      <c r="O23" s="126">
        <f>+COUNTIF('MERCADO LOPEZ JESUS'!N19:N32,2)</f>
        <v>0</v>
      </c>
      <c r="P23" s="135">
        <f>+COUNTIF('MERCADO LOPEZ JESUS'!N19:N32,3)</f>
        <v>0</v>
      </c>
    </row>
    <row r="24" spans="2:16" s="124" customFormat="1" ht="15.95" customHeight="1" x14ac:dyDescent="0.2">
      <c r="B24" s="134">
        <v>24</v>
      </c>
      <c r="C24" s="166" t="str">
        <f>+'ORONA BECERRA MAURO JOSE'!E11</f>
        <v>ORONA BECERRA MAURO JOSE</v>
      </c>
      <c r="D24" s="167" t="str">
        <f>+'ORONA BECERRA MAURO JOSE'!E12</f>
        <v>F-022</v>
      </c>
      <c r="E24" s="125">
        <f>+COUNT('ORONA BECERRA MAURO JOSE'!O40:O46)</f>
        <v>2</v>
      </c>
      <c r="F24" s="210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1500</v>
      </c>
      <c r="G24" s="210">
        <f>+SUMIF('ORONA BECERRA MAURO JOSE'!N$19:N$32,2,'ORONA BECERRA MAURO JOSE'!J$19:J$32)</f>
        <v>0</v>
      </c>
      <c r="H24" s="210">
        <f>+SUMIF('ORONA BECERRA MAURO JOSE'!N$19:N$32,3,'ORONA BECERRA MAURO JOSE'!J$19:J$32)</f>
        <v>0</v>
      </c>
      <c r="I24" s="205">
        <f t="shared" si="0"/>
        <v>1500</v>
      </c>
      <c r="J24" s="200">
        <f>+'ORONA BECERRA MAURO JOSE'!J16</f>
        <v>378.29600000000005</v>
      </c>
      <c r="K24" s="200">
        <f>SUM('ORONA BECERRA MAURO JOSE'!S19:S32)</f>
        <v>233.7040979200157</v>
      </c>
      <c r="L24" s="165">
        <f t="shared" si="2"/>
        <v>3.9651489838644864</v>
      </c>
      <c r="M24" s="362">
        <f>+AVERAGE('ORONA BECERRA MAURO JOSE'!M19:M32)</f>
        <v>4045.4662500000004</v>
      </c>
      <c r="N24" s="126">
        <f>+COUNTIF('ORONA BECERRA MAURO JOSE'!N19:N32,1)+COUNTIF('ORONA BECERRA MAURO JOSE'!N19:N32,4)+COUNTIF('ORONA BECERRA MAURO JOSE'!N19:N32,5)+COUNTIF('ORONA BECERRA MAURO JOSE'!N19:N32,6)</f>
        <v>4</v>
      </c>
      <c r="O24" s="126">
        <f>+COUNTIF('ORONA BECERRA MAURO JOSE'!N19:N32,2)</f>
        <v>0</v>
      </c>
      <c r="P24" s="135">
        <f>+COUNTIF('ORONA BECERRA MAURO JOSE'!N19:N32,3)</f>
        <v>0</v>
      </c>
    </row>
    <row r="25" spans="2:16" s="124" customFormat="1" ht="15.95" customHeight="1" x14ac:dyDescent="0.2">
      <c r="B25" s="134">
        <v>25</v>
      </c>
      <c r="C25" s="154" t="str">
        <f>+'LIRA ARCEO JOEL EDUARDO'!E11</f>
        <v>LIRA ARCEO JOEL EDUARDO</v>
      </c>
      <c r="D25" s="153" t="str">
        <f>+'LIRA ARCEO JOEL EDUARDO'!E12</f>
        <v>F-002 F-009 F-050</v>
      </c>
      <c r="E25" s="126">
        <f>+COUNT('LIRA ARCEO JOEL EDUARDO'!O40:O46)</f>
        <v>1</v>
      </c>
      <c r="F25" s="210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425</v>
      </c>
      <c r="G25" s="210">
        <f>+SUMIF('LIRA ARCEO JOEL EDUARDO'!N$19:N$32,2,'LIRA ARCEO JOEL EDUARDO'!J$19:J$32)</f>
        <v>0</v>
      </c>
      <c r="H25" s="210">
        <f>+SUMIF('LIRA ARCEO JOEL EDUARDO'!N$19:N$32,3,'LIRA ARCEO JOEL EDUARDO'!J$19:J$32)</f>
        <v>0</v>
      </c>
      <c r="I25" s="205">
        <f t="shared" si="0"/>
        <v>425</v>
      </c>
      <c r="J25" s="200">
        <f>+'LIRA ARCEO JOEL EDUARDO'!J16</f>
        <v>140.03</v>
      </c>
      <c r="K25" s="200">
        <f>SUM('LIRA ARCEO JOEL EDUARDO'!S19:S32)</f>
        <v>39.037249232117517</v>
      </c>
      <c r="L25" s="165">
        <f t="shared" si="2"/>
        <v>3.035063914875384</v>
      </c>
      <c r="M25" s="362">
        <f>+AVERAGE('LIRA ARCEO JOEL EDUARDO'!M19:M32)</f>
        <v>4151.62</v>
      </c>
      <c r="N25" s="126">
        <f>COUNTIF('LIRA ARCEO JOEL EDUARDO'!N$19:N$32,1)+COUNTIF('LIRA ARCEO JOEL EDUARDO'!N$19:N$32,4)+COUNTIF('LIRA ARCEO JOEL EDUARDO'!N$19:N$32,5)+COUNTIF('LIRA ARCEO JOEL EDUARDO'!N$19:N$32,6)</f>
        <v>1</v>
      </c>
      <c r="O25" s="126">
        <f>COUNTIF('LIRA ARCEO JOEL EDUARDO'!N$19:N$32,2)</f>
        <v>0</v>
      </c>
      <c r="P25" s="135">
        <f>COUNTIF('LIRA ARCEO JOEL EDUARDO'!N$19:N$32,3)</f>
        <v>0</v>
      </c>
    </row>
    <row r="26" spans="2:16" s="124" customFormat="1" ht="15.95" customHeight="1" x14ac:dyDescent="0.2">
      <c r="B26" s="134">
        <v>26</v>
      </c>
      <c r="C26" s="154" t="str">
        <f>+'ORTIZ RAMIREZ HECTOR MANUEL'!E11</f>
        <v>ORTIZ RAMIREZ HECTOR MANUEL</v>
      </c>
      <c r="D26" s="153" t="str">
        <f>+'ORTIZ RAMIREZ HECTOR MANUEL'!E12</f>
        <v>F-120</v>
      </c>
      <c r="E26" s="126">
        <f>+COUNT('ORTIZ RAMIREZ HECTOR MANUEL'!O40:O46)</f>
        <v>1</v>
      </c>
      <c r="F26" s="210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2042</v>
      </c>
      <c r="G26" s="210">
        <f>+SUMIF('ORTIZ RAMIREZ HECTOR MANUEL'!N$19:N$32,2,'ORTIZ RAMIREZ HECTOR MANUEL'!J$19:J$32)</f>
        <v>0</v>
      </c>
      <c r="H26" s="210">
        <f>+SUMIF('ORTIZ RAMIREZ HECTOR MANUEL'!N$19:N$32,3,'ORTIZ RAMIREZ HECTOR MANUEL'!J$19:J$32)</f>
        <v>0</v>
      </c>
      <c r="I26" s="205">
        <f t="shared" si="0"/>
        <v>2042</v>
      </c>
      <c r="J26" s="200">
        <f>+'ORTIZ RAMIREZ HECTOR MANUEL'!J16</f>
        <v>588.39499999999998</v>
      </c>
      <c r="K26" s="200">
        <f>+SUM('ORTIZ RAMIREZ HECTOR MANUEL'!S19:S32)</f>
        <v>167.90129629629621</v>
      </c>
      <c r="L26" s="165">
        <f t="shared" si="2"/>
        <v>3.4704577707152509</v>
      </c>
      <c r="M26" s="362">
        <f>+AVERAGE('ORTIZ RAMIREZ HECTOR MANUEL'!M19:M32)</f>
        <v>5849.165</v>
      </c>
      <c r="N26" s="126">
        <f>+COUNTIF('ORTIZ RAMIREZ HECTOR MANUEL'!N19:N32,1)+COUNTIF('ORTIZ RAMIREZ HECTOR MANUEL'!N19:N32,4)+COUNTIF('ORTIZ RAMIREZ HECTOR MANUEL'!N19:N32,5)+COUNTIF('ORTIZ RAMIREZ HECTOR MANUEL'!N19:N32,6)</f>
        <v>2</v>
      </c>
      <c r="O26" s="126">
        <f>+COUNTIF('ORTIZ RAMIREZ HECTOR MANUEL'!N19:N32,2)</f>
        <v>0</v>
      </c>
      <c r="P26" s="135">
        <f>+COUNTIF('ORTIZ RAMIREZ HECTOR MANUEL'!N19:N32,3)</f>
        <v>0</v>
      </c>
    </row>
    <row r="27" spans="2:16" s="124" customFormat="1" ht="15.95" customHeight="1" x14ac:dyDescent="0.2">
      <c r="B27" s="134">
        <v>27</v>
      </c>
      <c r="C27" s="154" t="str">
        <f>+'RAMIREZ BAUTISTA ADRIAN'!E11</f>
        <v>RAMIREZ BAUTISTA ADRIAN</v>
      </c>
      <c r="D27" s="153" t="str">
        <f>+'RAMIREZ BAUTISTA ADRIAN'!E12</f>
        <v>F-042</v>
      </c>
      <c r="E27" s="126">
        <f>+COUNT('RAMIREZ BAUTISTA ADRIAN'!O$40:O$46)</f>
        <v>4</v>
      </c>
      <c r="F27" s="210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2250</v>
      </c>
      <c r="G27" s="210">
        <f>+SUMIF('RAMIREZ BAUTISTA ADRIAN'!N$19:N$32,2,'RAMIREZ BAUTISTA ADRIAN'!J$19:J$32)</f>
        <v>0</v>
      </c>
      <c r="H27" s="210">
        <f>+SUMIF('RAMIREZ BAUTISTA ADRIAN'!N$19:N$32,3,'RAMIREZ BAUTISTA ADRIAN'!J$19:J$32)</f>
        <v>750</v>
      </c>
      <c r="I27" s="205">
        <f t="shared" si="0"/>
        <v>3000</v>
      </c>
      <c r="J27" s="200">
        <f>+'RAMIREZ BAUTISTA ADRIAN'!J16</f>
        <v>803.06999999999994</v>
      </c>
      <c r="K27" s="200">
        <f>SUM('RAMIREZ BAUTISTA ADRIAN'!S19:S33)</f>
        <v>460.93411222671182</v>
      </c>
      <c r="L27" s="165">
        <f t="shared" si="2"/>
        <v>3.7356643879113904</v>
      </c>
      <c r="M27" s="362">
        <f>+AVERAGE('RAMIREZ BAUTISTA ADRIAN'!M19:M32)</f>
        <v>3538.5848750000005</v>
      </c>
      <c r="N27" s="126">
        <f>+COUNTIF('RAMIREZ BAUTISTA ADRIAN'!N19:N32,1)+COUNTIF('RAMIREZ BAUTISTA ADRIAN'!N19:N32,4)+COUNTIF('RAMIREZ BAUTISTA ADRIAN'!N19:N32,5)+COUNTIF('RAMIREZ BAUTISTA ADRIAN'!N19:N32,6)</f>
        <v>6</v>
      </c>
      <c r="O27" s="126">
        <f>+COUNTIF('RAMIREZ BAUTISTA ADRIAN'!N19:N32,2)</f>
        <v>0</v>
      </c>
      <c r="P27" s="135">
        <f>+COUNTIF('RAMIREZ BAUTISTA ADRIAN'!N19:N32,3)</f>
        <v>2</v>
      </c>
    </row>
    <row r="28" spans="2:16" s="124" customFormat="1" ht="15.95" customHeight="1" x14ac:dyDescent="0.2">
      <c r="B28" s="134">
        <v>28</v>
      </c>
      <c r="C28" s="289" t="str">
        <f>+'CARRERA REYES MARTIN SEBASTIAN'!E11</f>
        <v>CARRERA REYES MARTIN SEBASTIAN</v>
      </c>
      <c r="D28" s="291" t="str">
        <f>+'CARRERA REYES MARTIN SEBASTIAN'!E12</f>
        <v>F-011</v>
      </c>
      <c r="E28" s="230">
        <f>+COUNT('CARRERA REYES MARTIN SEBASTIAN'!O$41:O$47)</f>
        <v>4</v>
      </c>
      <c r="F28" s="231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3000</v>
      </c>
      <c r="G28" s="231">
        <f>+SUMIF('CARRERA REYES MARTIN SEBASTIAN'!N$19:N$33,2,'CARRERA REYES MARTIN SEBASTIAN'!J$19:J$33)</f>
        <v>0</v>
      </c>
      <c r="H28" s="231">
        <f>+SUMIF('CARRERA REYES MARTIN SEBASTIAN'!N$19:N$33,3,'CARRERA REYES MARTIN SEBASTIAN'!J$19:J$33)</f>
        <v>0</v>
      </c>
      <c r="I28" s="205">
        <f t="shared" si="0"/>
        <v>3000</v>
      </c>
      <c r="J28" s="267">
        <f>+'CARRERA REYES MARTIN SEBASTIAN'!J16</f>
        <v>844.37099999999998</v>
      </c>
      <c r="K28" s="267">
        <f>SUM('CARRERA REYES MARTIN SEBASTIAN'!S19:S33)</f>
        <v>419.63311222671189</v>
      </c>
      <c r="L28" s="165">
        <f t="shared" si="2"/>
        <v>3.5529405912803731</v>
      </c>
      <c r="M28" s="363">
        <f>+AVERAGE('CARRERA REYES MARTIN SEBASTIAN'!M19:M33)</f>
        <v>12471.744000000001</v>
      </c>
      <c r="N28" s="230">
        <f>+COUNTIF('CARRERA REYES MARTIN SEBASTIAN'!N19:N33,1)+COUNTIF('CARRERA REYES MARTIN SEBASTIAN'!N19:N33,4)+COUNTIF('CARRERA REYES MARTIN SEBASTIAN'!N19:N33,5)+COUNTIF('CARRERA REYES MARTIN SEBASTIAN'!N19:N33,6)</f>
        <v>8</v>
      </c>
      <c r="O28" s="230">
        <f>+COUNTIF('CARRERA REYES MARTIN SEBASTIAN'!N19:N33,2)</f>
        <v>0</v>
      </c>
      <c r="P28" s="232">
        <f>+COUNTIF('CARRERA REYES MARTIN SEBASTIAN'!N19:N33,3)</f>
        <v>0</v>
      </c>
    </row>
    <row r="29" spans="2:16" s="124" customFormat="1" ht="15.95" customHeight="1" x14ac:dyDescent="0.2">
      <c r="B29" s="279">
        <v>29</v>
      </c>
      <c r="C29" s="229" t="str">
        <f>+'VALLES HERNANDEZ MANUEL MARCELI'!E11</f>
        <v>VALLES HERNANDEZ MANUEL MARCELINO</v>
      </c>
      <c r="D29" s="286" t="str">
        <f>+'VALLES HERNANDEZ MANUEL MARCELI'!E12</f>
        <v xml:space="preserve">F-030 </v>
      </c>
      <c r="E29" s="287">
        <f>+COUNT('VALLES HERNANDEZ MANUEL MARCELI'!O39:O45)</f>
        <v>4</v>
      </c>
      <c r="F29" s="231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2450</v>
      </c>
      <c r="G29" s="231">
        <f>+SUMIF('VALLES HERNANDEZ MANUEL MARCELI'!N$19:N$31,2,'VALLES HERNANDEZ MANUEL MARCELI'!J$19:J$31)</f>
        <v>0</v>
      </c>
      <c r="H29" s="231">
        <f>+SUMIF('VALLES HERNANDEZ MANUEL MARCELI'!N$19:N$31,3,'VALLES HERNANDEZ MANUEL MARCELI'!J$19:J$31)</f>
        <v>750</v>
      </c>
      <c r="I29" s="205">
        <f t="shared" si="0"/>
        <v>3200</v>
      </c>
      <c r="J29" s="267">
        <f>+'VALLES HERNANDEZ MANUEL MARCELI'!J16</f>
        <v>808.86799999999994</v>
      </c>
      <c r="K29" s="267">
        <f>SUM('VALLES HERNANDEZ MANUEL MARCELI'!S19:S31)</f>
        <v>415.1321958400315</v>
      </c>
      <c r="L29" s="165">
        <f t="shared" si="2"/>
        <v>3.9561461202569519</v>
      </c>
      <c r="M29" s="363">
        <f>+AVERAGE('VALLES HERNANDEZ MANUEL MARCELI'!M19:M27)</f>
        <v>1183.9997499999999</v>
      </c>
      <c r="N29" s="230">
        <f>COUNTIF('VALLES HERNANDEZ MANUEL MARCELI'!N$19:N$31,1)+COUNTIF('VALLES HERNANDEZ MANUEL MARCELI'!N$19:N$31,4)+COUNTIF('VALLES HERNANDEZ MANUEL MARCELI'!N$19:N$31,5)+COUNTIF('VALLES HERNANDEZ MANUEL MARCELI'!N$19:N$31,6)</f>
        <v>6</v>
      </c>
      <c r="O29" s="230">
        <f>COUNTIF('VALLES HERNANDEZ MANUEL MARCELI'!N$19:N$31,2)</f>
        <v>0</v>
      </c>
      <c r="P29" s="232">
        <f>COUNTIF('VALLES HERNANDEZ MANUEL MARCELI'!N$19:N$31,3)</f>
        <v>2</v>
      </c>
    </row>
    <row r="30" spans="2:16" s="124" customFormat="1" ht="15.95" customHeight="1" thickBot="1" x14ac:dyDescent="0.25">
      <c r="B30" s="171">
        <v>30</v>
      </c>
      <c r="C30" s="288" t="str">
        <f>+'RODRIGUEZ FLORES BRYAN DARIO'!E11</f>
        <v>RODRIGUEZ FLORES BRYAN DARIO</v>
      </c>
      <c r="D30" s="290" t="str">
        <f>+'RODRIGUEZ FLORES BRYAN DARIO'!E12</f>
        <v xml:space="preserve">F-012 </v>
      </c>
      <c r="E30" s="281">
        <f>+COUNT('RODRIGUEZ FLORES BRYAN DARIO'!O$40:O$46)</f>
        <v>3</v>
      </c>
      <c r="F30" s="211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1875</v>
      </c>
      <c r="G30" s="211">
        <f>+SUMIF('RODRIGUEZ FLORES BRYAN DARIO'!N$19:N$32,2,'RODRIGUEZ FLORES BRYAN DARIO'!J$19:J$32)</f>
        <v>0</v>
      </c>
      <c r="H30" s="211">
        <f>+SUMIF('RODRIGUEZ FLORES BRYAN DARIO'!N$19:N$32,3,'RODRIGUEZ FLORES BRYAN DARIO'!J$19:J$32)</f>
        <v>375</v>
      </c>
      <c r="I30" s="206">
        <f t="shared" si="0"/>
        <v>2250</v>
      </c>
      <c r="J30" s="274">
        <f>+'RODRIGUEZ FLORES BRYAN DARIO'!J16</f>
        <v>685.04399999999998</v>
      </c>
      <c r="K30" s="274">
        <v>0</v>
      </c>
      <c r="L30" s="173">
        <v>0</v>
      </c>
      <c r="M30" s="364">
        <v>0</v>
      </c>
      <c r="N30" s="172">
        <f>+COUNTIF('RODRIGUEZ FLORES BRYAN DARIO'!N19:N32,1)+COUNTIF('RODRIGUEZ FLORES BRYAN DARIO'!N19:N32,4)+COUNTIF('RODRIGUEZ FLORES BRYAN DARIO'!N19:N32,5)+COUNTIF('RODRIGUEZ FLORES BRYAN DARIO'!N19:N32,6)</f>
        <v>5</v>
      </c>
      <c r="O30" s="172">
        <f>+COUNTIF('RODRIGUEZ FLORES BRYAN DARIO'!N19:N32,2)</f>
        <v>0</v>
      </c>
      <c r="P30" s="174">
        <f>+COUNTIF('RODRIGUEZ FLORES BRYAN DARIO'!N19:N32,3)</f>
        <v>1</v>
      </c>
    </row>
    <row r="31" spans="2:16" s="124" customFormat="1" ht="15.75" thickBot="1" x14ac:dyDescent="0.25">
      <c r="B31" s="665" t="s">
        <v>141</v>
      </c>
      <c r="C31" s="666"/>
      <c r="D31" s="667"/>
      <c r="E31" s="272">
        <f t="shared" ref="E31:K31" si="3">SUM(E3:E30)</f>
        <v>70</v>
      </c>
      <c r="F31" s="212">
        <f t="shared" si="3"/>
        <v>50287</v>
      </c>
      <c r="G31" s="212">
        <f t="shared" si="3"/>
        <v>375</v>
      </c>
      <c r="H31" s="212">
        <f t="shared" si="3"/>
        <v>4125</v>
      </c>
      <c r="I31" s="207">
        <f t="shared" si="3"/>
        <v>54787</v>
      </c>
      <c r="J31" s="160">
        <f t="shared" si="3"/>
        <v>15599.849</v>
      </c>
      <c r="K31" s="160" t="e">
        <f t="shared" si="3"/>
        <v>#N/A</v>
      </c>
      <c r="L31" s="161">
        <f>I31/J31</f>
        <v>3.5120211740511076</v>
      </c>
      <c r="M31" s="369" t="e">
        <f>+AVERAGE(M3:M30)</f>
        <v>#DIV/0!</v>
      </c>
      <c r="N31" s="162">
        <f>SUM(N3:N30)</f>
        <v>127</v>
      </c>
      <c r="O31" s="163">
        <f>SUM(O3:O30)</f>
        <v>1</v>
      </c>
      <c r="P31" s="164">
        <f>SUM(P3:P30)</f>
        <v>11</v>
      </c>
    </row>
    <row r="32" spans="2:16" x14ac:dyDescent="0.2">
      <c r="E32" s="175"/>
      <c r="F32" s="213"/>
      <c r="G32" s="213"/>
      <c r="H32" s="213"/>
    </row>
  </sheetData>
  <sortState xmlns:xlrd2="http://schemas.microsoft.com/office/spreadsheetml/2017/richdata2" ref="C3:P30">
    <sortCondition ref="C3:C30"/>
  </sortState>
  <mergeCells count="2">
    <mergeCell ref="B1:L1"/>
    <mergeCell ref="B31:D3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7"/>
  <dimension ref="A1:L76"/>
  <sheetViews>
    <sheetView topLeftCell="A35" zoomScaleNormal="100" workbookViewId="0">
      <selection activeCell="A2" sqref="A2:E69"/>
    </sheetView>
  </sheetViews>
  <sheetFormatPr baseColWidth="10" defaultColWidth="9.140625" defaultRowHeight="15" x14ac:dyDescent="0.25"/>
  <cols>
    <col min="1" max="1" width="9.140625" style="140" customWidth="1"/>
    <col min="2" max="2" width="12.85546875" style="147" bestFit="1" customWidth="1"/>
    <col min="3" max="3" width="11.42578125" style="147" bestFit="1" customWidth="1"/>
    <col min="4" max="4" width="10.5703125" style="147" bestFit="1" customWidth="1"/>
    <col min="5" max="5" width="13" style="147" customWidth="1"/>
    <col min="6" max="6" width="25.140625" style="140" bestFit="1" customWidth="1"/>
    <col min="7" max="7" width="9.140625" style="140"/>
    <col min="8" max="8" width="6.85546875" style="140" customWidth="1"/>
    <col min="9" max="9" width="11.28515625" style="140" bestFit="1" customWidth="1"/>
    <col min="10" max="254" width="9.140625" style="140"/>
    <col min="255" max="255" width="10.7109375" style="140" bestFit="1" customWidth="1"/>
    <col min="256" max="256" width="10" style="140" customWidth="1"/>
    <col min="257" max="257" width="13" style="140" customWidth="1"/>
    <col min="258" max="258" width="10.85546875" style="140" customWidth="1"/>
    <col min="259" max="259" width="11.7109375" style="140" customWidth="1"/>
    <col min="260" max="260" width="9.140625" style="140"/>
    <col min="261" max="261" width="11.5703125" style="140" customWidth="1"/>
    <col min="262" max="262" width="13.85546875" style="140" customWidth="1"/>
    <col min="263" max="510" width="9.140625" style="140"/>
    <col min="511" max="511" width="10.7109375" style="140" bestFit="1" customWidth="1"/>
    <col min="512" max="512" width="10" style="140" customWidth="1"/>
    <col min="513" max="513" width="13" style="140" customWidth="1"/>
    <col min="514" max="514" width="10.85546875" style="140" customWidth="1"/>
    <col min="515" max="515" width="11.7109375" style="140" customWidth="1"/>
    <col min="516" max="516" width="9.140625" style="140"/>
    <col min="517" max="517" width="11.5703125" style="140" customWidth="1"/>
    <col min="518" max="518" width="13.85546875" style="140" customWidth="1"/>
    <col min="519" max="766" width="9.140625" style="140"/>
    <col min="767" max="767" width="10.7109375" style="140" bestFit="1" customWidth="1"/>
    <col min="768" max="768" width="10" style="140" customWidth="1"/>
    <col min="769" max="769" width="13" style="140" customWidth="1"/>
    <col min="770" max="770" width="10.85546875" style="140" customWidth="1"/>
    <col min="771" max="771" width="11.7109375" style="140" customWidth="1"/>
    <col min="772" max="772" width="9.140625" style="140"/>
    <col min="773" max="773" width="11.5703125" style="140" customWidth="1"/>
    <col min="774" max="774" width="13.85546875" style="140" customWidth="1"/>
    <col min="775" max="1022" width="9.140625" style="140"/>
    <col min="1023" max="1023" width="10.7109375" style="140" bestFit="1" customWidth="1"/>
    <col min="1024" max="1024" width="10" style="140" customWidth="1"/>
    <col min="1025" max="1025" width="13" style="140" customWidth="1"/>
    <col min="1026" max="1026" width="10.85546875" style="140" customWidth="1"/>
    <col min="1027" max="1027" width="11.7109375" style="140" customWidth="1"/>
    <col min="1028" max="1028" width="9.140625" style="140"/>
    <col min="1029" max="1029" width="11.5703125" style="140" customWidth="1"/>
    <col min="1030" max="1030" width="13.85546875" style="140" customWidth="1"/>
    <col min="1031" max="1278" width="9.140625" style="140"/>
    <col min="1279" max="1279" width="10.7109375" style="140" bestFit="1" customWidth="1"/>
    <col min="1280" max="1280" width="10" style="140" customWidth="1"/>
    <col min="1281" max="1281" width="13" style="140" customWidth="1"/>
    <col min="1282" max="1282" width="10.85546875" style="140" customWidth="1"/>
    <col min="1283" max="1283" width="11.7109375" style="140" customWidth="1"/>
    <col min="1284" max="1284" width="9.140625" style="140"/>
    <col min="1285" max="1285" width="11.5703125" style="140" customWidth="1"/>
    <col min="1286" max="1286" width="13.85546875" style="140" customWidth="1"/>
    <col min="1287" max="1534" width="9.140625" style="140"/>
    <col min="1535" max="1535" width="10.7109375" style="140" bestFit="1" customWidth="1"/>
    <col min="1536" max="1536" width="10" style="140" customWidth="1"/>
    <col min="1537" max="1537" width="13" style="140" customWidth="1"/>
    <col min="1538" max="1538" width="10.85546875" style="140" customWidth="1"/>
    <col min="1539" max="1539" width="11.7109375" style="140" customWidth="1"/>
    <col min="1540" max="1540" width="9.140625" style="140"/>
    <col min="1541" max="1541" width="11.5703125" style="140" customWidth="1"/>
    <col min="1542" max="1542" width="13.85546875" style="140" customWidth="1"/>
    <col min="1543" max="1790" width="9.140625" style="140"/>
    <col min="1791" max="1791" width="10.7109375" style="140" bestFit="1" customWidth="1"/>
    <col min="1792" max="1792" width="10" style="140" customWidth="1"/>
    <col min="1793" max="1793" width="13" style="140" customWidth="1"/>
    <col min="1794" max="1794" width="10.85546875" style="140" customWidth="1"/>
    <col min="1795" max="1795" width="11.7109375" style="140" customWidth="1"/>
    <col min="1796" max="1796" width="9.140625" style="140"/>
    <col min="1797" max="1797" width="11.5703125" style="140" customWidth="1"/>
    <col min="1798" max="1798" width="13.85546875" style="140" customWidth="1"/>
    <col min="1799" max="2046" width="9.140625" style="140"/>
    <col min="2047" max="2047" width="10.7109375" style="140" bestFit="1" customWidth="1"/>
    <col min="2048" max="2048" width="10" style="140" customWidth="1"/>
    <col min="2049" max="2049" width="13" style="140" customWidth="1"/>
    <col min="2050" max="2050" width="10.85546875" style="140" customWidth="1"/>
    <col min="2051" max="2051" width="11.7109375" style="140" customWidth="1"/>
    <col min="2052" max="2052" width="9.140625" style="140"/>
    <col min="2053" max="2053" width="11.5703125" style="140" customWidth="1"/>
    <col min="2054" max="2054" width="13.85546875" style="140" customWidth="1"/>
    <col min="2055" max="2302" width="9.140625" style="140"/>
    <col min="2303" max="2303" width="10.7109375" style="140" bestFit="1" customWidth="1"/>
    <col min="2304" max="2304" width="10" style="140" customWidth="1"/>
    <col min="2305" max="2305" width="13" style="140" customWidth="1"/>
    <col min="2306" max="2306" width="10.85546875" style="140" customWidth="1"/>
    <col min="2307" max="2307" width="11.7109375" style="140" customWidth="1"/>
    <col min="2308" max="2308" width="9.140625" style="140"/>
    <col min="2309" max="2309" width="11.5703125" style="140" customWidth="1"/>
    <col min="2310" max="2310" width="13.85546875" style="140" customWidth="1"/>
    <col min="2311" max="2558" width="9.140625" style="140"/>
    <col min="2559" max="2559" width="10.7109375" style="140" bestFit="1" customWidth="1"/>
    <col min="2560" max="2560" width="10" style="140" customWidth="1"/>
    <col min="2561" max="2561" width="13" style="140" customWidth="1"/>
    <col min="2562" max="2562" width="10.85546875" style="140" customWidth="1"/>
    <col min="2563" max="2563" width="11.7109375" style="140" customWidth="1"/>
    <col min="2564" max="2564" width="9.140625" style="140"/>
    <col min="2565" max="2565" width="11.5703125" style="140" customWidth="1"/>
    <col min="2566" max="2566" width="13.85546875" style="140" customWidth="1"/>
    <col min="2567" max="2814" width="9.140625" style="140"/>
    <col min="2815" max="2815" width="10.7109375" style="140" bestFit="1" customWidth="1"/>
    <col min="2816" max="2816" width="10" style="140" customWidth="1"/>
    <col min="2817" max="2817" width="13" style="140" customWidth="1"/>
    <col min="2818" max="2818" width="10.85546875" style="140" customWidth="1"/>
    <col min="2819" max="2819" width="11.7109375" style="140" customWidth="1"/>
    <col min="2820" max="2820" width="9.140625" style="140"/>
    <col min="2821" max="2821" width="11.5703125" style="140" customWidth="1"/>
    <col min="2822" max="2822" width="13.85546875" style="140" customWidth="1"/>
    <col min="2823" max="3070" width="9.140625" style="140"/>
    <col min="3071" max="3071" width="10.7109375" style="140" bestFit="1" customWidth="1"/>
    <col min="3072" max="3072" width="10" style="140" customWidth="1"/>
    <col min="3073" max="3073" width="13" style="140" customWidth="1"/>
    <col min="3074" max="3074" width="10.85546875" style="140" customWidth="1"/>
    <col min="3075" max="3075" width="11.7109375" style="140" customWidth="1"/>
    <col min="3076" max="3076" width="9.140625" style="140"/>
    <col min="3077" max="3077" width="11.5703125" style="140" customWidth="1"/>
    <col min="3078" max="3078" width="13.85546875" style="140" customWidth="1"/>
    <col min="3079" max="3326" width="9.140625" style="140"/>
    <col min="3327" max="3327" width="10.7109375" style="140" bestFit="1" customWidth="1"/>
    <col min="3328" max="3328" width="10" style="140" customWidth="1"/>
    <col min="3329" max="3329" width="13" style="140" customWidth="1"/>
    <col min="3330" max="3330" width="10.85546875" style="140" customWidth="1"/>
    <col min="3331" max="3331" width="11.7109375" style="140" customWidth="1"/>
    <col min="3332" max="3332" width="9.140625" style="140"/>
    <col min="3333" max="3333" width="11.5703125" style="140" customWidth="1"/>
    <col min="3334" max="3334" width="13.85546875" style="140" customWidth="1"/>
    <col min="3335" max="3582" width="9.140625" style="140"/>
    <col min="3583" max="3583" width="10.7109375" style="140" bestFit="1" customWidth="1"/>
    <col min="3584" max="3584" width="10" style="140" customWidth="1"/>
    <col min="3585" max="3585" width="13" style="140" customWidth="1"/>
    <col min="3586" max="3586" width="10.85546875" style="140" customWidth="1"/>
    <col min="3587" max="3587" width="11.7109375" style="140" customWidth="1"/>
    <col min="3588" max="3588" width="9.140625" style="140"/>
    <col min="3589" max="3589" width="11.5703125" style="140" customWidth="1"/>
    <col min="3590" max="3590" width="13.85546875" style="140" customWidth="1"/>
    <col min="3591" max="3838" width="9.140625" style="140"/>
    <col min="3839" max="3839" width="10.7109375" style="140" bestFit="1" customWidth="1"/>
    <col min="3840" max="3840" width="10" style="140" customWidth="1"/>
    <col min="3841" max="3841" width="13" style="140" customWidth="1"/>
    <col min="3842" max="3842" width="10.85546875" style="140" customWidth="1"/>
    <col min="3843" max="3843" width="11.7109375" style="140" customWidth="1"/>
    <col min="3844" max="3844" width="9.140625" style="140"/>
    <col min="3845" max="3845" width="11.5703125" style="140" customWidth="1"/>
    <col min="3846" max="3846" width="13.85546875" style="140" customWidth="1"/>
    <col min="3847" max="4094" width="9.140625" style="140"/>
    <col min="4095" max="4095" width="10.7109375" style="140" bestFit="1" customWidth="1"/>
    <col min="4096" max="4096" width="10" style="140" customWidth="1"/>
    <col min="4097" max="4097" width="13" style="140" customWidth="1"/>
    <col min="4098" max="4098" width="10.85546875" style="140" customWidth="1"/>
    <col min="4099" max="4099" width="11.7109375" style="140" customWidth="1"/>
    <col min="4100" max="4100" width="9.140625" style="140"/>
    <col min="4101" max="4101" width="11.5703125" style="140" customWidth="1"/>
    <col min="4102" max="4102" width="13.85546875" style="140" customWidth="1"/>
    <col min="4103" max="4350" width="9.140625" style="140"/>
    <col min="4351" max="4351" width="10.7109375" style="140" bestFit="1" customWidth="1"/>
    <col min="4352" max="4352" width="10" style="140" customWidth="1"/>
    <col min="4353" max="4353" width="13" style="140" customWidth="1"/>
    <col min="4354" max="4354" width="10.85546875" style="140" customWidth="1"/>
    <col min="4355" max="4355" width="11.7109375" style="140" customWidth="1"/>
    <col min="4356" max="4356" width="9.140625" style="140"/>
    <col min="4357" max="4357" width="11.5703125" style="140" customWidth="1"/>
    <col min="4358" max="4358" width="13.85546875" style="140" customWidth="1"/>
    <col min="4359" max="4606" width="9.140625" style="140"/>
    <col min="4607" max="4607" width="10.7109375" style="140" bestFit="1" customWidth="1"/>
    <col min="4608" max="4608" width="10" style="140" customWidth="1"/>
    <col min="4609" max="4609" width="13" style="140" customWidth="1"/>
    <col min="4610" max="4610" width="10.85546875" style="140" customWidth="1"/>
    <col min="4611" max="4611" width="11.7109375" style="140" customWidth="1"/>
    <col min="4612" max="4612" width="9.140625" style="140"/>
    <col min="4613" max="4613" width="11.5703125" style="140" customWidth="1"/>
    <col min="4614" max="4614" width="13.85546875" style="140" customWidth="1"/>
    <col min="4615" max="4862" width="9.140625" style="140"/>
    <col min="4863" max="4863" width="10.7109375" style="140" bestFit="1" customWidth="1"/>
    <col min="4864" max="4864" width="10" style="140" customWidth="1"/>
    <col min="4865" max="4865" width="13" style="140" customWidth="1"/>
    <col min="4866" max="4866" width="10.85546875" style="140" customWidth="1"/>
    <col min="4867" max="4867" width="11.7109375" style="140" customWidth="1"/>
    <col min="4868" max="4868" width="9.140625" style="140"/>
    <col min="4869" max="4869" width="11.5703125" style="140" customWidth="1"/>
    <col min="4870" max="4870" width="13.85546875" style="140" customWidth="1"/>
    <col min="4871" max="5118" width="9.140625" style="140"/>
    <col min="5119" max="5119" width="10.7109375" style="140" bestFit="1" customWidth="1"/>
    <col min="5120" max="5120" width="10" style="140" customWidth="1"/>
    <col min="5121" max="5121" width="13" style="140" customWidth="1"/>
    <col min="5122" max="5122" width="10.85546875" style="140" customWidth="1"/>
    <col min="5123" max="5123" width="11.7109375" style="140" customWidth="1"/>
    <col min="5124" max="5124" width="9.140625" style="140"/>
    <col min="5125" max="5125" width="11.5703125" style="140" customWidth="1"/>
    <col min="5126" max="5126" width="13.85546875" style="140" customWidth="1"/>
    <col min="5127" max="5374" width="9.140625" style="140"/>
    <col min="5375" max="5375" width="10.7109375" style="140" bestFit="1" customWidth="1"/>
    <col min="5376" max="5376" width="10" style="140" customWidth="1"/>
    <col min="5377" max="5377" width="13" style="140" customWidth="1"/>
    <col min="5378" max="5378" width="10.85546875" style="140" customWidth="1"/>
    <col min="5379" max="5379" width="11.7109375" style="140" customWidth="1"/>
    <col min="5380" max="5380" width="9.140625" style="140"/>
    <col min="5381" max="5381" width="11.5703125" style="140" customWidth="1"/>
    <col min="5382" max="5382" width="13.85546875" style="140" customWidth="1"/>
    <col min="5383" max="5630" width="9.140625" style="140"/>
    <col min="5631" max="5631" width="10.7109375" style="140" bestFit="1" customWidth="1"/>
    <col min="5632" max="5632" width="10" style="140" customWidth="1"/>
    <col min="5633" max="5633" width="13" style="140" customWidth="1"/>
    <col min="5634" max="5634" width="10.85546875" style="140" customWidth="1"/>
    <col min="5635" max="5635" width="11.7109375" style="140" customWidth="1"/>
    <col min="5636" max="5636" width="9.140625" style="140"/>
    <col min="5637" max="5637" width="11.5703125" style="140" customWidth="1"/>
    <col min="5638" max="5638" width="13.85546875" style="140" customWidth="1"/>
    <col min="5639" max="5886" width="9.140625" style="140"/>
    <col min="5887" max="5887" width="10.7109375" style="140" bestFit="1" customWidth="1"/>
    <col min="5888" max="5888" width="10" style="140" customWidth="1"/>
    <col min="5889" max="5889" width="13" style="140" customWidth="1"/>
    <col min="5890" max="5890" width="10.85546875" style="140" customWidth="1"/>
    <col min="5891" max="5891" width="11.7109375" style="140" customWidth="1"/>
    <col min="5892" max="5892" width="9.140625" style="140"/>
    <col min="5893" max="5893" width="11.5703125" style="140" customWidth="1"/>
    <col min="5894" max="5894" width="13.85546875" style="140" customWidth="1"/>
    <col min="5895" max="6142" width="9.140625" style="140"/>
    <col min="6143" max="6143" width="10.7109375" style="140" bestFit="1" customWidth="1"/>
    <col min="6144" max="6144" width="10" style="140" customWidth="1"/>
    <col min="6145" max="6145" width="13" style="140" customWidth="1"/>
    <col min="6146" max="6146" width="10.85546875" style="140" customWidth="1"/>
    <col min="6147" max="6147" width="11.7109375" style="140" customWidth="1"/>
    <col min="6148" max="6148" width="9.140625" style="140"/>
    <col min="6149" max="6149" width="11.5703125" style="140" customWidth="1"/>
    <col min="6150" max="6150" width="13.85546875" style="140" customWidth="1"/>
    <col min="6151" max="6398" width="9.140625" style="140"/>
    <col min="6399" max="6399" width="10.7109375" style="140" bestFit="1" customWidth="1"/>
    <col min="6400" max="6400" width="10" style="140" customWidth="1"/>
    <col min="6401" max="6401" width="13" style="140" customWidth="1"/>
    <col min="6402" max="6402" width="10.85546875" style="140" customWidth="1"/>
    <col min="6403" max="6403" width="11.7109375" style="140" customWidth="1"/>
    <col min="6404" max="6404" width="9.140625" style="140"/>
    <col min="6405" max="6405" width="11.5703125" style="140" customWidth="1"/>
    <col min="6406" max="6406" width="13.85546875" style="140" customWidth="1"/>
    <col min="6407" max="6654" width="9.140625" style="140"/>
    <col min="6655" max="6655" width="10.7109375" style="140" bestFit="1" customWidth="1"/>
    <col min="6656" max="6656" width="10" style="140" customWidth="1"/>
    <col min="6657" max="6657" width="13" style="140" customWidth="1"/>
    <col min="6658" max="6658" width="10.85546875" style="140" customWidth="1"/>
    <col min="6659" max="6659" width="11.7109375" style="140" customWidth="1"/>
    <col min="6660" max="6660" width="9.140625" style="140"/>
    <col min="6661" max="6661" width="11.5703125" style="140" customWidth="1"/>
    <col min="6662" max="6662" width="13.85546875" style="140" customWidth="1"/>
    <col min="6663" max="6910" width="9.140625" style="140"/>
    <col min="6911" max="6911" width="10.7109375" style="140" bestFit="1" customWidth="1"/>
    <col min="6912" max="6912" width="10" style="140" customWidth="1"/>
    <col min="6913" max="6913" width="13" style="140" customWidth="1"/>
    <col min="6914" max="6914" width="10.85546875" style="140" customWidth="1"/>
    <col min="6915" max="6915" width="11.7109375" style="140" customWidth="1"/>
    <col min="6916" max="6916" width="9.140625" style="140"/>
    <col min="6917" max="6917" width="11.5703125" style="140" customWidth="1"/>
    <col min="6918" max="6918" width="13.85546875" style="140" customWidth="1"/>
    <col min="6919" max="7166" width="9.140625" style="140"/>
    <col min="7167" max="7167" width="10.7109375" style="140" bestFit="1" customWidth="1"/>
    <col min="7168" max="7168" width="10" style="140" customWidth="1"/>
    <col min="7169" max="7169" width="13" style="140" customWidth="1"/>
    <col min="7170" max="7170" width="10.85546875" style="140" customWidth="1"/>
    <col min="7171" max="7171" width="11.7109375" style="140" customWidth="1"/>
    <col min="7172" max="7172" width="9.140625" style="140"/>
    <col min="7173" max="7173" width="11.5703125" style="140" customWidth="1"/>
    <col min="7174" max="7174" width="13.85546875" style="140" customWidth="1"/>
    <col min="7175" max="7422" width="9.140625" style="140"/>
    <col min="7423" max="7423" width="10.7109375" style="140" bestFit="1" customWidth="1"/>
    <col min="7424" max="7424" width="10" style="140" customWidth="1"/>
    <col min="7425" max="7425" width="13" style="140" customWidth="1"/>
    <col min="7426" max="7426" width="10.85546875" style="140" customWidth="1"/>
    <col min="7427" max="7427" width="11.7109375" style="140" customWidth="1"/>
    <col min="7428" max="7428" width="9.140625" style="140"/>
    <col min="7429" max="7429" width="11.5703125" style="140" customWidth="1"/>
    <col min="7430" max="7430" width="13.85546875" style="140" customWidth="1"/>
    <col min="7431" max="7678" width="9.140625" style="140"/>
    <col min="7679" max="7679" width="10.7109375" style="140" bestFit="1" customWidth="1"/>
    <col min="7680" max="7680" width="10" style="140" customWidth="1"/>
    <col min="7681" max="7681" width="13" style="140" customWidth="1"/>
    <col min="7682" max="7682" width="10.85546875" style="140" customWidth="1"/>
    <col min="7683" max="7683" width="11.7109375" style="140" customWidth="1"/>
    <col min="7684" max="7684" width="9.140625" style="140"/>
    <col min="7685" max="7685" width="11.5703125" style="140" customWidth="1"/>
    <col min="7686" max="7686" width="13.85546875" style="140" customWidth="1"/>
    <col min="7687" max="7934" width="9.140625" style="140"/>
    <col min="7935" max="7935" width="10.7109375" style="140" bestFit="1" customWidth="1"/>
    <col min="7936" max="7936" width="10" style="140" customWidth="1"/>
    <col min="7937" max="7937" width="13" style="140" customWidth="1"/>
    <col min="7938" max="7938" width="10.85546875" style="140" customWidth="1"/>
    <col min="7939" max="7939" width="11.7109375" style="140" customWidth="1"/>
    <col min="7940" max="7940" width="9.140625" style="140"/>
    <col min="7941" max="7941" width="11.5703125" style="140" customWidth="1"/>
    <col min="7942" max="7942" width="13.85546875" style="140" customWidth="1"/>
    <col min="7943" max="8190" width="9.140625" style="140"/>
    <col min="8191" max="8191" width="10.7109375" style="140" bestFit="1" customWidth="1"/>
    <col min="8192" max="8192" width="10" style="140" customWidth="1"/>
    <col min="8193" max="8193" width="13" style="140" customWidth="1"/>
    <col min="8194" max="8194" width="10.85546875" style="140" customWidth="1"/>
    <col min="8195" max="8195" width="11.7109375" style="140" customWidth="1"/>
    <col min="8196" max="8196" width="9.140625" style="140"/>
    <col min="8197" max="8197" width="11.5703125" style="140" customWidth="1"/>
    <col min="8198" max="8198" width="13.85546875" style="140" customWidth="1"/>
    <col min="8199" max="8446" width="9.140625" style="140"/>
    <col min="8447" max="8447" width="10.7109375" style="140" bestFit="1" customWidth="1"/>
    <col min="8448" max="8448" width="10" style="140" customWidth="1"/>
    <col min="8449" max="8449" width="13" style="140" customWidth="1"/>
    <col min="8450" max="8450" width="10.85546875" style="140" customWidth="1"/>
    <col min="8451" max="8451" width="11.7109375" style="140" customWidth="1"/>
    <col min="8452" max="8452" width="9.140625" style="140"/>
    <col min="8453" max="8453" width="11.5703125" style="140" customWidth="1"/>
    <col min="8454" max="8454" width="13.85546875" style="140" customWidth="1"/>
    <col min="8455" max="8702" width="9.140625" style="140"/>
    <col min="8703" max="8703" width="10.7109375" style="140" bestFit="1" customWidth="1"/>
    <col min="8704" max="8704" width="10" style="140" customWidth="1"/>
    <col min="8705" max="8705" width="13" style="140" customWidth="1"/>
    <col min="8706" max="8706" width="10.85546875" style="140" customWidth="1"/>
    <col min="8707" max="8707" width="11.7109375" style="140" customWidth="1"/>
    <col min="8708" max="8708" width="9.140625" style="140"/>
    <col min="8709" max="8709" width="11.5703125" style="140" customWidth="1"/>
    <col min="8710" max="8710" width="13.85546875" style="140" customWidth="1"/>
    <col min="8711" max="8958" width="9.140625" style="140"/>
    <col min="8959" max="8959" width="10.7109375" style="140" bestFit="1" customWidth="1"/>
    <col min="8960" max="8960" width="10" style="140" customWidth="1"/>
    <col min="8961" max="8961" width="13" style="140" customWidth="1"/>
    <col min="8962" max="8962" width="10.85546875" style="140" customWidth="1"/>
    <col min="8963" max="8963" width="11.7109375" style="140" customWidth="1"/>
    <col min="8964" max="8964" width="9.140625" style="140"/>
    <col min="8965" max="8965" width="11.5703125" style="140" customWidth="1"/>
    <col min="8966" max="8966" width="13.85546875" style="140" customWidth="1"/>
    <col min="8967" max="9214" width="9.140625" style="140"/>
    <col min="9215" max="9215" width="10.7109375" style="140" bestFit="1" customWidth="1"/>
    <col min="9216" max="9216" width="10" style="140" customWidth="1"/>
    <col min="9217" max="9217" width="13" style="140" customWidth="1"/>
    <col min="9218" max="9218" width="10.85546875" style="140" customWidth="1"/>
    <col min="9219" max="9219" width="11.7109375" style="140" customWidth="1"/>
    <col min="9220" max="9220" width="9.140625" style="140"/>
    <col min="9221" max="9221" width="11.5703125" style="140" customWidth="1"/>
    <col min="9222" max="9222" width="13.85546875" style="140" customWidth="1"/>
    <col min="9223" max="9470" width="9.140625" style="140"/>
    <col min="9471" max="9471" width="10.7109375" style="140" bestFit="1" customWidth="1"/>
    <col min="9472" max="9472" width="10" style="140" customWidth="1"/>
    <col min="9473" max="9473" width="13" style="140" customWidth="1"/>
    <col min="9474" max="9474" width="10.85546875" style="140" customWidth="1"/>
    <col min="9475" max="9475" width="11.7109375" style="140" customWidth="1"/>
    <col min="9476" max="9476" width="9.140625" style="140"/>
    <col min="9477" max="9477" width="11.5703125" style="140" customWidth="1"/>
    <col min="9478" max="9478" width="13.85546875" style="140" customWidth="1"/>
    <col min="9479" max="9726" width="9.140625" style="140"/>
    <col min="9727" max="9727" width="10.7109375" style="140" bestFit="1" customWidth="1"/>
    <col min="9728" max="9728" width="10" style="140" customWidth="1"/>
    <col min="9729" max="9729" width="13" style="140" customWidth="1"/>
    <col min="9730" max="9730" width="10.85546875" style="140" customWidth="1"/>
    <col min="9731" max="9731" width="11.7109375" style="140" customWidth="1"/>
    <col min="9732" max="9732" width="9.140625" style="140"/>
    <col min="9733" max="9733" width="11.5703125" style="140" customWidth="1"/>
    <col min="9734" max="9734" width="13.85546875" style="140" customWidth="1"/>
    <col min="9735" max="9982" width="9.140625" style="140"/>
    <col min="9983" max="9983" width="10.7109375" style="140" bestFit="1" customWidth="1"/>
    <col min="9984" max="9984" width="10" style="140" customWidth="1"/>
    <col min="9985" max="9985" width="13" style="140" customWidth="1"/>
    <col min="9986" max="9986" width="10.85546875" style="140" customWidth="1"/>
    <col min="9987" max="9987" width="11.7109375" style="140" customWidth="1"/>
    <col min="9988" max="9988" width="9.140625" style="140"/>
    <col min="9989" max="9989" width="11.5703125" style="140" customWidth="1"/>
    <col min="9990" max="9990" width="13.85546875" style="140" customWidth="1"/>
    <col min="9991" max="10238" width="9.140625" style="140"/>
    <col min="10239" max="10239" width="10.7109375" style="140" bestFit="1" customWidth="1"/>
    <col min="10240" max="10240" width="10" style="140" customWidth="1"/>
    <col min="10241" max="10241" width="13" style="140" customWidth="1"/>
    <col min="10242" max="10242" width="10.85546875" style="140" customWidth="1"/>
    <col min="10243" max="10243" width="11.7109375" style="140" customWidth="1"/>
    <col min="10244" max="10244" width="9.140625" style="140"/>
    <col min="10245" max="10245" width="11.5703125" style="140" customWidth="1"/>
    <col min="10246" max="10246" width="13.85546875" style="140" customWidth="1"/>
    <col min="10247" max="10494" width="9.140625" style="140"/>
    <col min="10495" max="10495" width="10.7109375" style="140" bestFit="1" customWidth="1"/>
    <col min="10496" max="10496" width="10" style="140" customWidth="1"/>
    <col min="10497" max="10497" width="13" style="140" customWidth="1"/>
    <col min="10498" max="10498" width="10.85546875" style="140" customWidth="1"/>
    <col min="10499" max="10499" width="11.7109375" style="140" customWidth="1"/>
    <col min="10500" max="10500" width="9.140625" style="140"/>
    <col min="10501" max="10501" width="11.5703125" style="140" customWidth="1"/>
    <col min="10502" max="10502" width="13.85546875" style="140" customWidth="1"/>
    <col min="10503" max="10750" width="9.140625" style="140"/>
    <col min="10751" max="10751" width="10.7109375" style="140" bestFit="1" customWidth="1"/>
    <col min="10752" max="10752" width="10" style="140" customWidth="1"/>
    <col min="10753" max="10753" width="13" style="140" customWidth="1"/>
    <col min="10754" max="10754" width="10.85546875" style="140" customWidth="1"/>
    <col min="10755" max="10755" width="11.7109375" style="140" customWidth="1"/>
    <col min="10756" max="10756" width="9.140625" style="140"/>
    <col min="10757" max="10757" width="11.5703125" style="140" customWidth="1"/>
    <col min="10758" max="10758" width="13.85546875" style="140" customWidth="1"/>
    <col min="10759" max="11006" width="9.140625" style="140"/>
    <col min="11007" max="11007" width="10.7109375" style="140" bestFit="1" customWidth="1"/>
    <col min="11008" max="11008" width="10" style="140" customWidth="1"/>
    <col min="11009" max="11009" width="13" style="140" customWidth="1"/>
    <col min="11010" max="11010" width="10.85546875" style="140" customWidth="1"/>
    <col min="11011" max="11011" width="11.7109375" style="140" customWidth="1"/>
    <col min="11012" max="11012" width="9.140625" style="140"/>
    <col min="11013" max="11013" width="11.5703125" style="140" customWidth="1"/>
    <col min="11014" max="11014" width="13.85546875" style="140" customWidth="1"/>
    <col min="11015" max="11262" width="9.140625" style="140"/>
    <col min="11263" max="11263" width="10.7109375" style="140" bestFit="1" customWidth="1"/>
    <col min="11264" max="11264" width="10" style="140" customWidth="1"/>
    <col min="11265" max="11265" width="13" style="140" customWidth="1"/>
    <col min="11266" max="11266" width="10.85546875" style="140" customWidth="1"/>
    <col min="11267" max="11267" width="11.7109375" style="140" customWidth="1"/>
    <col min="11268" max="11268" width="9.140625" style="140"/>
    <col min="11269" max="11269" width="11.5703125" style="140" customWidth="1"/>
    <col min="11270" max="11270" width="13.85546875" style="140" customWidth="1"/>
    <col min="11271" max="11518" width="9.140625" style="140"/>
    <col min="11519" max="11519" width="10.7109375" style="140" bestFit="1" customWidth="1"/>
    <col min="11520" max="11520" width="10" style="140" customWidth="1"/>
    <col min="11521" max="11521" width="13" style="140" customWidth="1"/>
    <col min="11522" max="11522" width="10.85546875" style="140" customWidth="1"/>
    <col min="11523" max="11523" width="11.7109375" style="140" customWidth="1"/>
    <col min="11524" max="11524" width="9.140625" style="140"/>
    <col min="11525" max="11525" width="11.5703125" style="140" customWidth="1"/>
    <col min="11526" max="11526" width="13.85546875" style="140" customWidth="1"/>
    <col min="11527" max="11774" width="9.140625" style="140"/>
    <col min="11775" max="11775" width="10.7109375" style="140" bestFit="1" customWidth="1"/>
    <col min="11776" max="11776" width="10" style="140" customWidth="1"/>
    <col min="11777" max="11777" width="13" style="140" customWidth="1"/>
    <col min="11778" max="11778" width="10.85546875" style="140" customWidth="1"/>
    <col min="11779" max="11779" width="11.7109375" style="140" customWidth="1"/>
    <col min="11780" max="11780" width="9.140625" style="140"/>
    <col min="11781" max="11781" width="11.5703125" style="140" customWidth="1"/>
    <col min="11782" max="11782" width="13.85546875" style="140" customWidth="1"/>
    <col min="11783" max="12030" width="9.140625" style="140"/>
    <col min="12031" max="12031" width="10.7109375" style="140" bestFit="1" customWidth="1"/>
    <col min="12032" max="12032" width="10" style="140" customWidth="1"/>
    <col min="12033" max="12033" width="13" style="140" customWidth="1"/>
    <col min="12034" max="12034" width="10.85546875" style="140" customWidth="1"/>
    <col min="12035" max="12035" width="11.7109375" style="140" customWidth="1"/>
    <col min="12036" max="12036" width="9.140625" style="140"/>
    <col min="12037" max="12037" width="11.5703125" style="140" customWidth="1"/>
    <col min="12038" max="12038" width="13.85546875" style="140" customWidth="1"/>
    <col min="12039" max="12286" width="9.140625" style="140"/>
    <col min="12287" max="12287" width="10.7109375" style="140" bestFit="1" customWidth="1"/>
    <col min="12288" max="12288" width="10" style="140" customWidth="1"/>
    <col min="12289" max="12289" width="13" style="140" customWidth="1"/>
    <col min="12290" max="12290" width="10.85546875" style="140" customWidth="1"/>
    <col min="12291" max="12291" width="11.7109375" style="140" customWidth="1"/>
    <col min="12292" max="12292" width="9.140625" style="140"/>
    <col min="12293" max="12293" width="11.5703125" style="140" customWidth="1"/>
    <col min="12294" max="12294" width="13.85546875" style="140" customWidth="1"/>
    <col min="12295" max="12542" width="9.140625" style="140"/>
    <col min="12543" max="12543" width="10.7109375" style="140" bestFit="1" customWidth="1"/>
    <col min="12544" max="12544" width="10" style="140" customWidth="1"/>
    <col min="12545" max="12545" width="13" style="140" customWidth="1"/>
    <col min="12546" max="12546" width="10.85546875" style="140" customWidth="1"/>
    <col min="12547" max="12547" width="11.7109375" style="140" customWidth="1"/>
    <col min="12548" max="12548" width="9.140625" style="140"/>
    <col min="12549" max="12549" width="11.5703125" style="140" customWidth="1"/>
    <col min="12550" max="12550" width="13.85546875" style="140" customWidth="1"/>
    <col min="12551" max="12798" width="9.140625" style="140"/>
    <col min="12799" max="12799" width="10.7109375" style="140" bestFit="1" customWidth="1"/>
    <col min="12800" max="12800" width="10" style="140" customWidth="1"/>
    <col min="12801" max="12801" width="13" style="140" customWidth="1"/>
    <col min="12802" max="12802" width="10.85546875" style="140" customWidth="1"/>
    <col min="12803" max="12803" width="11.7109375" style="140" customWidth="1"/>
    <col min="12804" max="12804" width="9.140625" style="140"/>
    <col min="12805" max="12805" width="11.5703125" style="140" customWidth="1"/>
    <col min="12806" max="12806" width="13.85546875" style="140" customWidth="1"/>
    <col min="12807" max="13054" width="9.140625" style="140"/>
    <col min="13055" max="13055" width="10.7109375" style="140" bestFit="1" customWidth="1"/>
    <col min="13056" max="13056" width="10" style="140" customWidth="1"/>
    <col min="13057" max="13057" width="13" style="140" customWidth="1"/>
    <col min="13058" max="13058" width="10.85546875" style="140" customWidth="1"/>
    <col min="13059" max="13059" width="11.7109375" style="140" customWidth="1"/>
    <col min="13060" max="13060" width="9.140625" style="140"/>
    <col min="13061" max="13061" width="11.5703125" style="140" customWidth="1"/>
    <col min="13062" max="13062" width="13.85546875" style="140" customWidth="1"/>
    <col min="13063" max="13310" width="9.140625" style="140"/>
    <col min="13311" max="13311" width="10.7109375" style="140" bestFit="1" customWidth="1"/>
    <col min="13312" max="13312" width="10" style="140" customWidth="1"/>
    <col min="13313" max="13313" width="13" style="140" customWidth="1"/>
    <col min="13314" max="13314" width="10.85546875" style="140" customWidth="1"/>
    <col min="13315" max="13315" width="11.7109375" style="140" customWidth="1"/>
    <col min="13316" max="13316" width="9.140625" style="140"/>
    <col min="13317" max="13317" width="11.5703125" style="140" customWidth="1"/>
    <col min="13318" max="13318" width="13.85546875" style="140" customWidth="1"/>
    <col min="13319" max="13566" width="9.140625" style="140"/>
    <col min="13567" max="13567" width="10.7109375" style="140" bestFit="1" customWidth="1"/>
    <col min="13568" max="13568" width="10" style="140" customWidth="1"/>
    <col min="13569" max="13569" width="13" style="140" customWidth="1"/>
    <col min="13570" max="13570" width="10.85546875" style="140" customWidth="1"/>
    <col min="13571" max="13571" width="11.7109375" style="140" customWidth="1"/>
    <col min="13572" max="13572" width="9.140625" style="140"/>
    <col min="13573" max="13573" width="11.5703125" style="140" customWidth="1"/>
    <col min="13574" max="13574" width="13.85546875" style="140" customWidth="1"/>
    <col min="13575" max="13822" width="9.140625" style="140"/>
    <col min="13823" max="13823" width="10.7109375" style="140" bestFit="1" customWidth="1"/>
    <col min="13824" max="13824" width="10" style="140" customWidth="1"/>
    <col min="13825" max="13825" width="13" style="140" customWidth="1"/>
    <col min="13826" max="13826" width="10.85546875" style="140" customWidth="1"/>
    <col min="13827" max="13827" width="11.7109375" style="140" customWidth="1"/>
    <col min="13828" max="13828" width="9.140625" style="140"/>
    <col min="13829" max="13829" width="11.5703125" style="140" customWidth="1"/>
    <col min="13830" max="13830" width="13.85546875" style="140" customWidth="1"/>
    <col min="13831" max="14078" width="9.140625" style="140"/>
    <col min="14079" max="14079" width="10.7109375" style="140" bestFit="1" customWidth="1"/>
    <col min="14080" max="14080" width="10" style="140" customWidth="1"/>
    <col min="14081" max="14081" width="13" style="140" customWidth="1"/>
    <col min="14082" max="14082" width="10.85546875" style="140" customWidth="1"/>
    <col min="14083" max="14083" width="11.7109375" style="140" customWidth="1"/>
    <col min="14084" max="14084" width="9.140625" style="140"/>
    <col min="14085" max="14085" width="11.5703125" style="140" customWidth="1"/>
    <col min="14086" max="14086" width="13.85546875" style="140" customWidth="1"/>
    <col min="14087" max="14334" width="9.140625" style="140"/>
    <col min="14335" max="14335" width="10.7109375" style="140" bestFit="1" customWidth="1"/>
    <col min="14336" max="14336" width="10" style="140" customWidth="1"/>
    <col min="14337" max="14337" width="13" style="140" customWidth="1"/>
    <col min="14338" max="14338" width="10.85546875" style="140" customWidth="1"/>
    <col min="14339" max="14339" width="11.7109375" style="140" customWidth="1"/>
    <col min="14340" max="14340" width="9.140625" style="140"/>
    <col min="14341" max="14341" width="11.5703125" style="140" customWidth="1"/>
    <col min="14342" max="14342" width="13.85546875" style="140" customWidth="1"/>
    <col min="14343" max="14590" width="9.140625" style="140"/>
    <col min="14591" max="14591" width="10.7109375" style="140" bestFit="1" customWidth="1"/>
    <col min="14592" max="14592" width="10" style="140" customWidth="1"/>
    <col min="14593" max="14593" width="13" style="140" customWidth="1"/>
    <col min="14594" max="14594" width="10.85546875" style="140" customWidth="1"/>
    <col min="14595" max="14595" width="11.7109375" style="140" customWidth="1"/>
    <col min="14596" max="14596" width="9.140625" style="140"/>
    <col min="14597" max="14597" width="11.5703125" style="140" customWidth="1"/>
    <col min="14598" max="14598" width="13.85546875" style="140" customWidth="1"/>
    <col min="14599" max="14846" width="9.140625" style="140"/>
    <col min="14847" max="14847" width="10.7109375" style="140" bestFit="1" customWidth="1"/>
    <col min="14848" max="14848" width="10" style="140" customWidth="1"/>
    <col min="14849" max="14849" width="13" style="140" customWidth="1"/>
    <col min="14850" max="14850" width="10.85546875" style="140" customWidth="1"/>
    <col min="14851" max="14851" width="11.7109375" style="140" customWidth="1"/>
    <col min="14852" max="14852" width="9.140625" style="140"/>
    <col min="14853" max="14853" width="11.5703125" style="140" customWidth="1"/>
    <col min="14854" max="14854" width="13.85546875" style="140" customWidth="1"/>
    <col min="14855" max="15102" width="9.140625" style="140"/>
    <col min="15103" max="15103" width="10.7109375" style="140" bestFit="1" customWidth="1"/>
    <col min="15104" max="15104" width="10" style="140" customWidth="1"/>
    <col min="15105" max="15105" width="13" style="140" customWidth="1"/>
    <col min="15106" max="15106" width="10.85546875" style="140" customWidth="1"/>
    <col min="15107" max="15107" width="11.7109375" style="140" customWidth="1"/>
    <col min="15108" max="15108" width="9.140625" style="140"/>
    <col min="15109" max="15109" width="11.5703125" style="140" customWidth="1"/>
    <col min="15110" max="15110" width="13.85546875" style="140" customWidth="1"/>
    <col min="15111" max="15358" width="9.140625" style="140"/>
    <col min="15359" max="15359" width="10.7109375" style="140" bestFit="1" customWidth="1"/>
    <col min="15360" max="15360" width="10" style="140" customWidth="1"/>
    <col min="15361" max="15361" width="13" style="140" customWidth="1"/>
    <col min="15362" max="15362" width="10.85546875" style="140" customWidth="1"/>
    <col min="15363" max="15363" width="11.7109375" style="140" customWidth="1"/>
    <col min="15364" max="15364" width="9.140625" style="140"/>
    <col min="15365" max="15365" width="11.5703125" style="140" customWidth="1"/>
    <col min="15366" max="15366" width="13.85546875" style="140" customWidth="1"/>
    <col min="15367" max="15614" width="9.140625" style="140"/>
    <col min="15615" max="15615" width="10.7109375" style="140" bestFit="1" customWidth="1"/>
    <col min="15616" max="15616" width="10" style="140" customWidth="1"/>
    <col min="15617" max="15617" width="13" style="140" customWidth="1"/>
    <col min="15618" max="15618" width="10.85546875" style="140" customWidth="1"/>
    <col min="15619" max="15619" width="11.7109375" style="140" customWidth="1"/>
    <col min="15620" max="15620" width="9.140625" style="140"/>
    <col min="15621" max="15621" width="11.5703125" style="140" customWidth="1"/>
    <col min="15622" max="15622" width="13.85546875" style="140" customWidth="1"/>
    <col min="15623" max="15870" width="9.140625" style="140"/>
    <col min="15871" max="15871" width="10.7109375" style="140" bestFit="1" customWidth="1"/>
    <col min="15872" max="15872" width="10" style="140" customWidth="1"/>
    <col min="15873" max="15873" width="13" style="140" customWidth="1"/>
    <col min="15874" max="15874" width="10.85546875" style="140" customWidth="1"/>
    <col min="15875" max="15875" width="11.7109375" style="140" customWidth="1"/>
    <col min="15876" max="15876" width="9.140625" style="140"/>
    <col min="15877" max="15877" width="11.5703125" style="140" customWidth="1"/>
    <col min="15878" max="15878" width="13.85546875" style="140" customWidth="1"/>
    <col min="15879" max="16126" width="9.140625" style="140"/>
    <col min="16127" max="16127" width="10.7109375" style="140" bestFit="1" customWidth="1"/>
    <col min="16128" max="16128" width="10" style="140" customWidth="1"/>
    <col min="16129" max="16129" width="13" style="140" customWidth="1"/>
    <col min="16130" max="16130" width="10.85546875" style="140" customWidth="1"/>
    <col min="16131" max="16131" width="11.7109375" style="140" customWidth="1"/>
    <col min="16132" max="16132" width="9.140625" style="140"/>
    <col min="16133" max="16133" width="11.5703125" style="140" customWidth="1"/>
    <col min="16134" max="16134" width="13.85546875" style="140" customWidth="1"/>
    <col min="16135" max="16384" width="9.140625" style="140"/>
  </cols>
  <sheetData>
    <row r="1" spans="1:11" x14ac:dyDescent="0.25">
      <c r="A1" s="668" t="s">
        <v>240</v>
      </c>
      <c r="B1" s="668"/>
      <c r="C1" s="668"/>
      <c r="D1" s="668"/>
      <c r="E1" s="668"/>
    </row>
    <row r="2" spans="1:11" x14ac:dyDescent="0.25">
      <c r="A2" s="141" t="s">
        <v>71</v>
      </c>
      <c r="B2" s="141" t="s">
        <v>148</v>
      </c>
      <c r="C2" s="141" t="s">
        <v>149</v>
      </c>
      <c r="D2" s="141" t="s">
        <v>150</v>
      </c>
      <c r="E2" s="141" t="s">
        <v>28</v>
      </c>
      <c r="F2" s="142" t="s">
        <v>287</v>
      </c>
    </row>
    <row r="3" spans="1:11" x14ac:dyDescent="0.25">
      <c r="A3" s="143" t="s">
        <v>55</v>
      </c>
      <c r="B3" s="144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ADRIAN'!U$40:U$46)+SUMIF('CARDENAS CARDENAS JAVIER '!P$40:P$46,'KM POR UNIDAD'!A3,'CARDENAS CARDENAS JAVIER '!U$40:U$46)+SUMIF('BALDERRAMA ROBLES JORGE'!P$40:P$46,'KM POR UNIDAD'!A3,'BALDERRAMA ROBLES JORGE'!U$40:U$46)+SUMIF('BURGOS TORRES RIGOBERTO'!P$39:P$45,'KM POR UNIDAD'!A3,'BURGOS TORRES RIGOBERTO'!U$39:U$45)+SUMIF('CORDOVA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ARAT'!U$40:U$46)+SUMIF('MERCADO LOPEZ JESUS'!P$40:P$46,'KM POR UNIDAD'!A3,'MERCADO LOPEZ JESUS'!U$40:U$46)+SUMIF('ORONA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EDUARDO'!U$40:U$46)+SUMIF('ANCHONDO ROMERO CESAR ALEJANDRO'!P$40:P$46,'KM POR UNIDAD'!A3,'ANCHONDO ROMERO CESAR ALEJANDRO'!U$40:U$46)</f>
        <v>3000</v>
      </c>
      <c r="C3" s="150">
        <f ca="1"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ADRIAN'!T$40:T$46)+SUMIF('CARDENAS CARDENAS JAVIER '!P$40:P$46,'KM POR UNIDAD'!A3,'CARDENAS CARDENAS JAVIER '!T$40:T$46)+SUMIF('BALDERRAMA ROBLES JORGE'!P$40:P$46,'KM POR UNIDAD'!A3,'BALDERRAMA ROBLES JORGE'!T$40:T$46)+SUMIF('BURGOS TORRES RIGOBERTO'!P$39:P$45,'KM POR UNIDAD'!A3,'BURGOS TORRES RIGOBERTO'!T$39:T$45)+SUMIF('CORDOVA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ARAT'!T$40:T$46)+SUMIF('MERCADO LOPEZ JESUS'!P$40:P$46,'KM POR UNIDAD'!A3,'MERCADO LOPEZ JESUS'!T$40:T$46)+SUMIF('ORONA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EDUARDO'!T$40:T$46)+SUMIF('ANCHONDO ROMERO CESAR ALEJANDRO'!P$40:P$46,'KM POR UNIDAD'!A3,'ANCHONDO ROMERO CESAR ALEJANDRO'!T$40:T$46)</f>
        <v>2722</v>
      </c>
      <c r="D3" s="150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ADRIAN'!V$40:V$46)+SUMIF('CARDENAS CARDENAS JAVIER '!P$40:P$46,'KM POR UNIDAD'!A3,'CARDENAS CARDENAS JAVIER '!V$40:V$46)+SUMIF('BALDERRAMA ROBLES JORGE'!P$40:P$46,'KM POR UNIDAD'!A3,'BALDERRAMA ROBLES JORGE'!V$40:V$46)+SUMIF('BURGOS TORRES RIGOBERTO'!P$39:P$45,'KM POR UNIDAD'!A3,'BURGOS TORRES RIGOBERTO'!V$39:V$45)+SUMIF('CORDOVA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ARAT'!V$40:V$46)+SUMIF('MERCADO LOPEZ JESUS'!P$40:P$46,'KM POR UNIDAD'!A3,'MERCADO LOPEZ JESUS'!V$40:V$46)+SUMIF('ORONA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EDUARDO'!V$40:V$46)+SUMIF('ANCHONDO ROMERO CESAR ALEJANDRO'!P$40:P$46,'KM POR UNIDAD'!A3,'ANCHONDO ROMERO CESAR ALEJANDRO'!V$40:V$46)</f>
        <v>844.37099999999998</v>
      </c>
      <c r="E3" s="145">
        <f>IFERROR(B3/D3,0)</f>
        <v>3.5529405912803731</v>
      </c>
      <c r="F3" s="144" t="e">
        <f ca="1"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ADRIAN'!Y$40:Y$46)+SUMIF('CARDENAS CARDENAS JAVIER '!T$40:T$46,'KM POR UNIDAD'!E3,'CARDENAS CARDENAS JAVIER '!Y$40:Y$46)+SUMIF('BALDERRAMA ROBLES JORGE'!T$40:T$46,'KM POR UNIDAD'!E3,'BALDERRAMA ROBLES JORGE'!#REF!)+SUMIF('BURGOS TORRES RIGOBERTO'!T$39:T$45,'KM POR UNIDAD'!E3,'BURGOS TORRES RIGOBERTO'!Y$39:Y$45)+SUMIF('CORDOVA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ARAT'!#REF!)+SUMIF('MERCADO LOPEZ JESUS'!T$40:T$46,'KM POR UNIDAD'!E3,'MERCADO LOPEZ JESUS'!Y$40:Y$46)+SUMIF('ORONA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EDUARDO'!Y$41:Y$46)+SUMIF('ANCHONDO ROMERO CESAR ALEJANDRO'!T$40:T$46,'KM POR UNIDAD'!E3,'ANCHONDO ROMERO CESAR ALEJANDRO'!Y$40:Y$46)</f>
        <v>#REF!</v>
      </c>
      <c r="G3" s="146"/>
    </row>
    <row r="4" spans="1:11" x14ac:dyDescent="0.25">
      <c r="A4" s="143" t="s">
        <v>151</v>
      </c>
      <c r="B4" s="144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ADRIAN'!U$40:U$46)+SUMIF('CARDENAS CARDENAS JAVIER '!P$40:P$46,'KM POR UNIDAD'!A4,'CARDENAS CARDENAS JAVIER '!U$40:U$46)+SUMIF('BALDERRAMA ROBLES JORGE'!P$40:P$46,'KM POR UNIDAD'!A4,'BALDERRAMA ROBLES JORGE'!U$40:U$46)+SUMIF('BURGOS TORRES RIGOBERTO'!P$39:P$45,'KM POR UNIDAD'!A4,'BURGOS TORRES RIGOBERTO'!U$39:U$45)+SUMIF('CORDOVA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ARAT'!U$40:U$46)+SUMIF('MERCADO LOPEZ JESUS'!P$40:P$46,'KM POR UNIDAD'!A4,'MERCADO LOPEZ JESUS'!U$40:U$46)+SUMIF('ORONA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EDUARDO'!U$40:U$46)+SUMIF('ANCHONDO ROMERO CESAR ALEJANDRO'!P$40:P$46,'KM POR UNIDAD'!A4,'ANCHONDO ROMERO CESAR ALEJANDRO'!U$40:U$46)</f>
        <v>0</v>
      </c>
      <c r="C4" s="150">
        <f ca="1"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ADRIAN'!T$40:T$46)+SUMIF('CARDENAS CARDENAS JAVIER '!P$40:P$46,'KM POR UNIDAD'!A4,'CARDENAS CARDENAS JAVIER '!T$40:T$46)+SUMIF('BALDERRAMA ROBLES JORGE'!P$40:P$46,'KM POR UNIDAD'!A4,'BALDERRAMA ROBLES JORGE'!T$40:T$46)+SUMIF('BURGOS TORRES RIGOBERTO'!P$39:P$45,'KM POR UNIDAD'!A4,'BURGOS TORRES RIGOBERTO'!T$39:T$45)+SUMIF('CORDOVA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ARAT'!T$40:T$46)+SUMIF('MERCADO LOPEZ JESUS'!P$40:P$46,'KM POR UNIDAD'!A4,'MERCADO LOPEZ JESUS'!T$40:T$46)+SUMIF('ORONA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EDUARDO'!T$40:T$46)+SUMIF('ANCHONDO ROMERO CESAR ALEJANDRO'!P$40:P$46,'KM POR UNIDAD'!A4,'ANCHONDO ROMERO CESAR ALEJANDRO'!T$40:T$46)</f>
        <v>0</v>
      </c>
      <c r="D4" s="150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ADRIAN'!V$40:V$46)+SUMIF('CARDENAS CARDENAS JAVIER '!P$40:P$46,'KM POR UNIDAD'!A4,'CARDENAS CARDENAS JAVIER '!V$40:V$46)+SUMIF('BALDERRAMA ROBLES JORGE'!P$40:P$46,'KM POR UNIDAD'!A4,'BALDERRAMA ROBLES JORGE'!V$40:V$46)+SUMIF('BURGOS TORRES RIGOBERTO'!P$39:P$45,'KM POR UNIDAD'!A4,'BURGOS TORRES RIGOBERTO'!V$39:V$45)+SUMIF('CORDOVA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ARAT'!V$40:V$46)+SUMIF('MERCADO LOPEZ JESUS'!P$40:P$46,'KM POR UNIDAD'!A4,'MERCADO LOPEZ JESUS'!V$40:V$46)+SUMIF('ORONA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EDUARDO'!V$40:V$46)+SUMIF('ANCHONDO ROMERO CESAR ALEJANDRO'!P$40:P$46,'KM POR UNIDAD'!A4,'ANCHONDO ROMERO CESAR ALEJANDRO'!V$40:V$46)</f>
        <v>0</v>
      </c>
      <c r="E4" s="145">
        <f t="shared" ref="E4:E69" si="0">IFERROR(B4/D4,0)</f>
        <v>0</v>
      </c>
      <c r="F4" s="144" t="e">
        <f ca="1"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ADRIAN'!Y$40:Y$46)+SUMIF('CARDENAS CARDENAS JAVIER '!T$40:T$46,'KM POR UNIDAD'!E4,'CARDENAS CARDENAS JAVIER '!Y$40:Y$46)+SUMIF('BALDERRAMA ROBLES JORGE'!T$40:T$46,'KM POR UNIDAD'!E4,'BALDERRAMA ROBLES JORGE'!#REF!)+SUMIF('BURGOS TORRES RIGOBERTO'!T$39:T$45,'KM POR UNIDAD'!E4,'BURGOS TORRES RIGOBERTO'!Y$39:Y$45)+SUMIF('CORDOVA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ARAT'!#REF!)+SUMIF('MERCADO LOPEZ JESUS'!T$40:T$46,'KM POR UNIDAD'!E4,'MERCADO LOPEZ JESUS'!Y$40:Y$46)+SUMIF('ORONA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EDUARDO'!Y$41:Y$46)+SUMIF('ANCHONDO ROMERO CESAR ALEJANDRO'!T$40:T$46,'KM POR UNIDAD'!E4,'ANCHONDO ROMERO CESAR ALEJANDRO'!Y$40:Y$46)</f>
        <v>#REF!</v>
      </c>
      <c r="G4" s="146"/>
    </row>
    <row r="5" spans="1:11" x14ac:dyDescent="0.25">
      <c r="A5" s="143" t="s">
        <v>57</v>
      </c>
      <c r="B5" s="144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ADRIAN'!U$40:U$46)+SUMIF('CARDENAS CARDENAS JAVIER '!P$40:P$46,'KM POR UNIDAD'!A5,'CARDENAS CARDENAS JAVIER '!U$40:U$46)+SUMIF('BALDERRAMA ROBLES JORGE'!P$40:P$46,'KM POR UNIDAD'!A5,'BALDERRAMA ROBLES JORGE'!U$40:U$46)+SUMIF('BURGOS TORRES RIGOBERTO'!P$39:P$45,'KM POR UNIDAD'!A5,'BURGOS TORRES RIGOBERTO'!U$39:U$45)+SUMIF('CORDOVA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ARAT'!U$40:U$46)+SUMIF('MERCADO LOPEZ JESUS'!P$40:P$46,'KM POR UNIDAD'!A5,'MERCADO LOPEZ JESUS'!U$40:U$46)+SUMIF('ORONA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EDUARDO'!U$40:U$46)+SUMIF('ANCHONDO ROMERO CESAR ALEJANDRO'!P$40:P$46,'KM POR UNIDAD'!A5,'ANCHONDO ROMERO CESAR ALEJANDRO'!U$40:U$46)</f>
        <v>0</v>
      </c>
      <c r="C5" s="150">
        <f ca="1"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ADRIAN'!T$40:T$46)+SUMIF('CARDENAS CARDENAS JAVIER '!P$40:P$46,'KM POR UNIDAD'!A5,'CARDENAS CARDENAS JAVIER '!T$40:T$46)+SUMIF('BALDERRAMA ROBLES JORGE'!P$40:P$46,'KM POR UNIDAD'!A5,'BALDERRAMA ROBLES JORGE'!T$40:T$46)+SUMIF('BURGOS TORRES RIGOBERTO'!P$39:P$45,'KM POR UNIDAD'!A5,'BURGOS TORRES RIGOBERTO'!T$39:T$45)+SUMIF('CORDOVA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ARAT'!T$40:T$46)+SUMIF('MERCADO LOPEZ JESUS'!P$40:P$46,'KM POR UNIDAD'!A5,'MERCADO LOPEZ JESUS'!T$40:T$46)+SUMIF('ORONA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EDUARDO'!T$40:T$46)+SUMIF('ANCHONDO ROMERO CESAR ALEJANDRO'!P$40:P$46,'KM POR UNIDAD'!A5,'ANCHONDO ROMERO CESAR ALEJANDRO'!T$40:T$46)</f>
        <v>0</v>
      </c>
      <c r="D5" s="150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ADRIAN'!V$40:V$46)+SUMIF('CARDENAS CARDENAS JAVIER '!P$40:P$46,'KM POR UNIDAD'!A5,'CARDENAS CARDENAS JAVIER '!V$40:V$46)+SUMIF('BALDERRAMA ROBLES JORGE'!P$40:P$46,'KM POR UNIDAD'!A5,'BALDERRAMA ROBLES JORGE'!V$40:V$46)+SUMIF('BURGOS TORRES RIGOBERTO'!P$39:P$45,'KM POR UNIDAD'!A5,'BURGOS TORRES RIGOBERTO'!V$39:V$45)+SUMIF('CORDOVA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ARAT'!V$40:V$46)+SUMIF('MERCADO LOPEZ JESUS'!P$40:P$46,'KM POR UNIDAD'!A5,'MERCADO LOPEZ JESUS'!V$40:V$46)+SUMIF('ORONA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EDUARDO'!V$40:V$46)+SUMIF('ANCHONDO ROMERO CESAR ALEJANDRO'!P$40:P$46,'KM POR UNIDAD'!A5,'ANCHONDO ROMERO CESAR ALEJANDRO'!V$40:V$46)</f>
        <v>0</v>
      </c>
      <c r="E5" s="145">
        <f t="shared" si="0"/>
        <v>0</v>
      </c>
      <c r="F5" s="144" t="e">
        <f ca="1"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ADRIAN'!Y$40:Y$46)+SUMIF('CARDENAS CARDENAS JAVIER '!T$40:T$46,'KM POR UNIDAD'!E5,'CARDENAS CARDENAS JAVIER '!Y$40:Y$46)+SUMIF('BALDERRAMA ROBLES JORGE'!T$40:T$46,'KM POR UNIDAD'!E5,'BALDERRAMA ROBLES JORGE'!#REF!)+SUMIF('BURGOS TORRES RIGOBERTO'!T$39:T$45,'KM POR UNIDAD'!E5,'BURGOS TORRES RIGOBERTO'!Y$39:Y$45)+SUMIF('CORDOVA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ARAT'!#REF!)+SUMIF('MERCADO LOPEZ JESUS'!T$40:T$46,'KM POR UNIDAD'!E5,'MERCADO LOPEZ JESUS'!Y$40:Y$46)+SUMIF('ORONA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EDUARDO'!Y$41:Y$46)+SUMIF('ANCHONDO ROMERO CESAR ALEJANDRO'!T$40:T$46,'KM POR UNIDAD'!E5,'ANCHONDO ROMERO CESAR ALEJANDRO'!Y$40:Y$46)</f>
        <v>#REF!</v>
      </c>
      <c r="G5" s="146"/>
    </row>
    <row r="6" spans="1:11" x14ac:dyDescent="0.25">
      <c r="A6" s="143" t="s">
        <v>133</v>
      </c>
      <c r="B6" s="144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ADRIAN'!U$40:U$46)+SUMIF('CARDENAS CARDENAS JAVIER '!P$40:P$46,'KM POR UNIDAD'!A6,'CARDENAS CARDENAS JAVIER '!U$40:U$46)+SUMIF('BALDERRAMA ROBLES JORGE'!P$40:P$46,'KM POR UNIDAD'!A6,'BALDERRAMA ROBLES JORGE'!U$40:U$46)+SUMIF('BURGOS TORRES RIGOBERTO'!P$39:P$45,'KM POR UNIDAD'!A6,'BURGOS TORRES RIGOBERTO'!U$39:U$45)+SUMIF('CORDOVA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ARAT'!U$40:U$46)+SUMIF('MERCADO LOPEZ JESUS'!P$40:P$46,'KM POR UNIDAD'!A6,'MERCADO LOPEZ JESUS'!U$40:U$46)+SUMIF('ORONA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EDUARDO'!U$40:U$46)+SUMIF('ANCHONDO ROMERO CESAR ALEJANDRO'!P$40:P$46,'KM POR UNIDAD'!A6,'ANCHONDO ROMERO CESAR ALEJANDRO'!U$40:U$46)</f>
        <v>2250</v>
      </c>
      <c r="C6" s="150">
        <f ca="1"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ADRIAN'!T$40:T$46)+SUMIF('CARDENAS CARDENAS JAVIER '!P$40:P$46,'KM POR UNIDAD'!A6,'CARDENAS CARDENAS JAVIER '!T$40:T$46)+SUMIF('BALDERRAMA ROBLES JORGE'!P$40:P$46,'KM POR UNIDAD'!A6,'BALDERRAMA ROBLES JORGE'!T$40:T$46)+SUMIF('BURGOS TORRES RIGOBERTO'!P$39:P$45,'KM POR UNIDAD'!A6,'BURGOS TORRES RIGOBERTO'!T$39:T$45)+SUMIF('CORDOVA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ARAT'!T$40:T$46)+SUMIF('MERCADO LOPEZ JESUS'!P$40:P$46,'KM POR UNIDAD'!A6,'MERCADO LOPEZ JESUS'!T$40:T$46)+SUMIF('ORONA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EDUARDO'!T$40:T$46)+SUMIF('ANCHONDO ROMERO CESAR ALEJANDRO'!P$40:P$46,'KM POR UNIDAD'!A6,'ANCHONDO ROMERO CESAR ALEJANDRO'!T$40:T$46)</f>
        <v>1952</v>
      </c>
      <c r="D6" s="150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ADRIAN'!V$40:V$46)+SUMIF('CARDENAS CARDENAS JAVIER '!P$40:P$46,'KM POR UNIDAD'!A6,'CARDENAS CARDENAS JAVIER '!V$40:V$46)+SUMIF('BALDERRAMA ROBLES JORGE'!P$40:P$46,'KM POR UNIDAD'!A6,'BALDERRAMA ROBLES JORGE'!V$40:V$46)+SUMIF('BURGOS TORRES RIGOBERTO'!P$39:P$45,'KM POR UNIDAD'!A6,'BURGOS TORRES RIGOBERTO'!V$39:V$45)+SUMIF('CORDOVA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ARAT'!V$40:V$46)+SUMIF('MERCADO LOPEZ JESUS'!P$40:P$46,'KM POR UNIDAD'!A6,'MERCADO LOPEZ JESUS'!V$40:V$46)+SUMIF('ORONA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EDUARDO'!V$40:V$46)+SUMIF('ANCHONDO ROMERO CESAR ALEJANDRO'!P$40:P$46,'KM POR UNIDAD'!A6,'ANCHONDO ROMERO CESAR ALEJANDRO'!V$40:V$46)</f>
        <v>566.20299999999997</v>
      </c>
      <c r="E6" s="145">
        <f t="shared" si="0"/>
        <v>3.9738397712481213</v>
      </c>
      <c r="F6" s="144" t="e">
        <f ca="1"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ADRIAN'!Y$40:Y$46)+SUMIF('CARDENAS CARDENAS JAVIER '!T$40:T$46,'KM POR UNIDAD'!E6,'CARDENAS CARDENAS JAVIER '!Y$40:Y$46)+SUMIF('BALDERRAMA ROBLES JORGE'!T$40:T$46,'KM POR UNIDAD'!E6,'BALDERRAMA ROBLES JORGE'!#REF!)+SUMIF('BURGOS TORRES RIGOBERTO'!T$39:T$45,'KM POR UNIDAD'!E6,'BURGOS TORRES RIGOBERTO'!Y$39:Y$45)+SUMIF('CORDOVA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ARAT'!#REF!)+SUMIF('MERCADO LOPEZ JESUS'!T$40:T$46,'KM POR UNIDAD'!E6,'MERCADO LOPEZ JESUS'!Y$40:Y$46)+SUMIF('ORONA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EDUARDO'!Y$41:Y$46)+SUMIF('ANCHONDO ROMERO CESAR ALEJANDRO'!T$40:T$46,'KM POR UNIDAD'!E6,'ANCHONDO ROMERO CESAR ALEJANDRO'!Y$40:Y$46)</f>
        <v>#REF!</v>
      </c>
      <c r="G6" s="146"/>
    </row>
    <row r="7" spans="1:11" x14ac:dyDescent="0.25">
      <c r="A7" s="143" t="s">
        <v>56</v>
      </c>
      <c r="B7" s="144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ADRIAN'!U$40:U$46)+SUMIF('CARDENAS CARDENAS JAVIER '!P$40:P$46,'KM POR UNIDAD'!A7,'CARDENAS CARDENAS JAVIER '!U$40:U$46)+SUMIF('BALDERRAMA ROBLES JORGE'!P$40:P$46,'KM POR UNIDAD'!A7,'BALDERRAMA ROBLES JORGE'!U$40:U$46)+SUMIF('BURGOS TORRES RIGOBERTO'!P$39:P$45,'KM POR UNIDAD'!A7,'BURGOS TORRES RIGOBERTO'!U$39:U$45)+SUMIF('CORDOVA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ARAT'!U$40:U$46)+SUMIF('MERCADO LOPEZ JESUS'!P$40:P$46,'KM POR UNIDAD'!A7,'MERCADO LOPEZ JESUS'!U$40:U$46)+SUMIF('ORONA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EDUARDO'!U$40:U$46)+SUMIF('ANCHONDO ROMERO CESAR ALEJANDRO'!P$40:P$46,'KM POR UNIDAD'!A7,'ANCHONDO ROMERO CESAR ALEJANDRO'!U$40:U$46)</f>
        <v>0</v>
      </c>
      <c r="C7" s="150">
        <f ca="1"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ADRIAN'!T$40:T$46)+SUMIF('CARDENAS CARDENAS JAVIER '!P$40:P$46,'KM POR UNIDAD'!A7,'CARDENAS CARDENAS JAVIER '!T$40:T$46)+SUMIF('BALDERRAMA ROBLES JORGE'!P$40:P$46,'KM POR UNIDAD'!A7,'BALDERRAMA ROBLES JORGE'!T$40:T$46)+SUMIF('BURGOS TORRES RIGOBERTO'!P$39:P$45,'KM POR UNIDAD'!A7,'BURGOS TORRES RIGOBERTO'!T$39:T$45)+SUMIF('CORDOVA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ARAT'!T$40:T$46)+SUMIF('MERCADO LOPEZ JESUS'!P$40:P$46,'KM POR UNIDAD'!A7,'MERCADO LOPEZ JESUS'!T$40:T$46)+SUMIF('ORONA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EDUARDO'!T$40:T$46)+SUMIF('ANCHONDO ROMERO CESAR ALEJANDRO'!P$40:P$46,'KM POR UNIDAD'!A7,'ANCHONDO ROMERO CESAR ALEJANDRO'!T$40:T$46)</f>
        <v>0</v>
      </c>
      <c r="D7" s="150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ADRIAN'!V$40:V$46)+SUMIF('CARDENAS CARDENAS JAVIER '!P$40:P$46,'KM POR UNIDAD'!A7,'CARDENAS CARDENAS JAVIER '!V$40:V$46)+SUMIF('BALDERRAMA ROBLES JORGE'!P$40:P$46,'KM POR UNIDAD'!A7,'BALDERRAMA ROBLES JORGE'!V$40:V$46)+SUMIF('BURGOS TORRES RIGOBERTO'!P$39:P$45,'KM POR UNIDAD'!A7,'BURGOS TORRES RIGOBERTO'!V$39:V$45)+SUMIF('CORDOVA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ARAT'!V$40:V$46)+SUMIF('MERCADO LOPEZ JESUS'!P$40:P$46,'KM POR UNIDAD'!A7,'MERCADO LOPEZ JESUS'!V$40:V$46)+SUMIF('ORONA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EDUARDO'!V$40:V$46)+SUMIF('ANCHONDO ROMERO CESAR ALEJANDRO'!P$40:P$46,'KM POR UNIDAD'!A7,'ANCHONDO ROMERO CESAR ALEJANDRO'!V$40:V$46)</f>
        <v>0</v>
      </c>
      <c r="E7" s="145">
        <f>IFERROR(B7/D7,0)</f>
        <v>0</v>
      </c>
      <c r="F7" s="144" t="e">
        <f ca="1"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ADRIAN'!Y$40:Y$46)+SUMIF('CARDENAS CARDENAS JAVIER '!T$40:T$46,'KM POR UNIDAD'!E7,'CARDENAS CARDENAS JAVIER '!Y$40:Y$46)+SUMIF('BALDERRAMA ROBLES JORGE'!T$40:T$46,'KM POR UNIDAD'!E7,'BALDERRAMA ROBLES JORGE'!#REF!)+SUMIF('BURGOS TORRES RIGOBERTO'!T$39:T$45,'KM POR UNIDAD'!E7,'BURGOS TORRES RIGOBERTO'!Y$39:Y$45)+SUMIF('CORDOVA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ARAT'!#REF!)+SUMIF('MERCADO LOPEZ JESUS'!T$40:T$46,'KM POR UNIDAD'!E7,'MERCADO LOPEZ JESUS'!Y$40:Y$46)+SUMIF('ORONA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EDUARDO'!Y$41:Y$46)+SUMIF('ANCHONDO ROMERO CESAR ALEJANDRO'!T$40:T$46,'KM POR UNIDAD'!E7,'ANCHONDO ROMERO CESAR ALEJANDRO'!Y$40:Y$46)</f>
        <v>#REF!</v>
      </c>
      <c r="G7" s="146"/>
    </row>
    <row r="8" spans="1:11" x14ac:dyDescent="0.25">
      <c r="A8" s="143" t="s">
        <v>134</v>
      </c>
      <c r="B8" s="144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ADRIAN'!U$40:U$46)+SUMIF('CARDENAS CARDENAS JAVIER '!P$40:P$46,'KM POR UNIDAD'!A8,'CARDENAS CARDENAS JAVIER '!U$40:U$46)+SUMIF('BALDERRAMA ROBLES JORGE'!P$40:P$46,'KM POR UNIDAD'!A8,'BALDERRAMA ROBLES JORGE'!U$40:U$46)+SUMIF('BURGOS TORRES RIGOBERTO'!P$39:P$45,'KM POR UNIDAD'!A8,'BURGOS TORRES RIGOBERTO'!U$39:U$45)+SUMIF('CORDOVA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ARAT'!U$40:U$46)+SUMIF('MERCADO LOPEZ JESUS'!P$40:P$46,'KM POR UNIDAD'!A8,'MERCADO LOPEZ JESUS'!U$40:U$46)+SUMIF('ORONA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EDUARDO'!U$40:U$46)+SUMIF('ANCHONDO ROMERO CESAR ALEJANDRO'!P$40:P$46,'KM POR UNIDAD'!A8,'ANCHONDO ROMERO CESAR ALEJANDRO'!U$40:U$46)</f>
        <v>0</v>
      </c>
      <c r="C8" s="150">
        <f ca="1"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ADRIAN'!T$40:T$46)+SUMIF('CARDENAS CARDENAS JAVIER '!P$40:P$46,'KM POR UNIDAD'!A8,'CARDENAS CARDENAS JAVIER '!T$40:T$46)+SUMIF('BALDERRAMA ROBLES JORGE'!P$40:P$46,'KM POR UNIDAD'!A8,'BALDERRAMA ROBLES JORGE'!T$40:T$46)+SUMIF('BURGOS TORRES RIGOBERTO'!P$39:P$45,'KM POR UNIDAD'!A8,'BURGOS TORRES RIGOBERTO'!T$39:T$45)+SUMIF('CORDOVA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ARAT'!T$40:T$46)+SUMIF('MERCADO LOPEZ JESUS'!P$40:P$46,'KM POR UNIDAD'!A8,'MERCADO LOPEZ JESUS'!T$40:T$46)+SUMIF('ORONA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EDUARDO'!T$40:T$46)+SUMIF('ANCHONDO ROMERO CESAR ALEJANDRO'!P$40:P$46,'KM POR UNIDAD'!A8,'ANCHONDO ROMERO CESAR ALEJANDRO'!T$40:T$46)</f>
        <v>0</v>
      </c>
      <c r="D8" s="150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ADRIAN'!V$40:V$46)+SUMIF('CARDENAS CARDENAS JAVIER '!P$40:P$46,'KM POR UNIDAD'!A8,'CARDENAS CARDENAS JAVIER '!V$40:V$46)+SUMIF('BALDERRAMA ROBLES JORGE'!P$40:P$46,'KM POR UNIDAD'!A8,'BALDERRAMA ROBLES JORGE'!V$40:V$46)+SUMIF('BURGOS TORRES RIGOBERTO'!P$39:P$45,'KM POR UNIDAD'!A8,'BURGOS TORRES RIGOBERTO'!V$39:V$45)+SUMIF('CORDOVA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ARAT'!V$40:V$46)+SUMIF('MERCADO LOPEZ JESUS'!P$40:P$46,'KM POR UNIDAD'!A8,'MERCADO LOPEZ JESUS'!V$40:V$46)+SUMIF('ORONA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EDUARDO'!V$40:V$46)+SUMIF('ANCHONDO ROMERO CESAR ALEJANDRO'!P$40:P$46,'KM POR UNIDAD'!A8,'ANCHONDO ROMERO CESAR ALEJANDRO'!V$40:V$46)</f>
        <v>0</v>
      </c>
      <c r="E8" s="145">
        <f t="shared" si="0"/>
        <v>0</v>
      </c>
      <c r="F8" s="144" t="e">
        <f ca="1"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ADRIAN'!Y$40:Y$46)+SUMIF('CARDENAS CARDENAS JAVIER '!T$40:T$46,'KM POR UNIDAD'!E8,'CARDENAS CARDENAS JAVIER '!Y$40:Y$46)+SUMIF('BALDERRAMA ROBLES JORGE'!T$40:T$46,'KM POR UNIDAD'!E8,'BALDERRAMA ROBLES JORGE'!#REF!)+SUMIF('BURGOS TORRES RIGOBERTO'!T$39:T$45,'KM POR UNIDAD'!E8,'BURGOS TORRES RIGOBERTO'!Y$39:Y$45)+SUMIF('CORDOVA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ARAT'!#REF!)+SUMIF('MERCADO LOPEZ JESUS'!T$40:T$46,'KM POR UNIDAD'!E8,'MERCADO LOPEZ JESUS'!Y$40:Y$46)+SUMIF('ORONA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EDUARDO'!Y$41:Y$46)+SUMIF('ANCHONDO ROMERO CESAR ALEJANDRO'!T$40:T$46,'KM POR UNIDAD'!E8,'ANCHONDO ROMERO CESAR ALEJANDRO'!Y$40:Y$46)</f>
        <v>#REF!</v>
      </c>
      <c r="G8" s="146"/>
    </row>
    <row r="9" spans="1:11" x14ac:dyDescent="0.25">
      <c r="A9" s="143" t="s">
        <v>114</v>
      </c>
      <c r="B9" s="144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ADRIAN'!U$40:U$46)+SUMIF('CARDENAS CARDENAS JAVIER '!P$40:P$46,'KM POR UNIDAD'!A9,'CARDENAS CARDENAS JAVIER '!U$40:U$46)+SUMIF('BALDERRAMA ROBLES JORGE'!P$40:P$46,'KM POR UNIDAD'!A9,'BALDERRAMA ROBLES JORGE'!U$40:U$46)+SUMIF('BURGOS TORRES RIGOBERTO'!P$39:P$45,'KM POR UNIDAD'!A9,'BURGOS TORRES RIGOBERTO'!U$39:U$45)+SUMIF('CORDOVA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ARAT'!U$40:U$46)+SUMIF('MERCADO LOPEZ JESUS'!P$40:P$46,'KM POR UNIDAD'!A9,'MERCADO LOPEZ JESUS'!U$40:U$46)+SUMIF('ORONA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EDUARDO'!U$40:U$46)+SUMIF('ANCHONDO ROMERO CESAR ALEJANDRO'!P$40:P$46,'KM POR UNIDAD'!A9,'ANCHONDO ROMERO CESAR ALEJANDRO'!U$40:U$46)</f>
        <v>0</v>
      </c>
      <c r="C9" s="150">
        <f ca="1"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ADRIAN'!T$40:T$46)+SUMIF('CARDENAS CARDENAS JAVIER '!P$40:P$46,'KM POR UNIDAD'!A9,'CARDENAS CARDENAS JAVIER '!T$40:T$46)+SUMIF('BALDERRAMA ROBLES JORGE'!P$40:P$46,'KM POR UNIDAD'!A9,'BALDERRAMA ROBLES JORGE'!T$40:T$46)+SUMIF('BURGOS TORRES RIGOBERTO'!P$39:P$45,'KM POR UNIDAD'!A9,'BURGOS TORRES RIGOBERTO'!T$39:T$45)+SUMIF('CORDOVA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ARAT'!T$40:T$46)+SUMIF('MERCADO LOPEZ JESUS'!P$40:P$46,'KM POR UNIDAD'!A9,'MERCADO LOPEZ JESUS'!T$40:T$46)+SUMIF('ORONA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EDUARDO'!T$40:T$46)+SUMIF('ANCHONDO ROMERO CESAR ALEJANDRO'!P$40:P$46,'KM POR UNIDAD'!A9,'ANCHONDO ROMERO CESAR ALEJANDRO'!T$40:T$46)</f>
        <v>0</v>
      </c>
      <c r="D9" s="150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ADRIAN'!V$40:V$46)+SUMIF('CARDENAS CARDENAS JAVIER '!P$40:P$46,'KM POR UNIDAD'!A9,'CARDENAS CARDENAS JAVIER '!V$40:V$46)+SUMIF('BALDERRAMA ROBLES JORGE'!P$40:P$46,'KM POR UNIDAD'!A9,'BALDERRAMA ROBLES JORGE'!V$40:V$46)+SUMIF('BURGOS TORRES RIGOBERTO'!P$39:P$45,'KM POR UNIDAD'!A9,'BURGOS TORRES RIGOBERTO'!V$39:V$45)+SUMIF('CORDOVA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ARAT'!V$40:V$46)+SUMIF('MERCADO LOPEZ JESUS'!P$40:P$46,'KM POR UNIDAD'!A9,'MERCADO LOPEZ JESUS'!V$40:V$46)+SUMIF('ORONA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EDUARDO'!V$40:V$46)+SUMIF('ANCHONDO ROMERO CESAR ALEJANDRO'!P$40:P$46,'KM POR UNIDAD'!A9,'ANCHONDO ROMERO CESAR ALEJANDRO'!V$40:V$46)</f>
        <v>0</v>
      </c>
      <c r="E9" s="145">
        <f t="shared" si="0"/>
        <v>0</v>
      </c>
      <c r="F9" s="144" t="e">
        <f ca="1"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ADRIAN'!Y$40:Y$46)+SUMIF('CARDENAS CARDENAS JAVIER '!T$40:T$46,'KM POR UNIDAD'!E9,'CARDENAS CARDENAS JAVIER '!Y$40:Y$46)+SUMIF('BALDERRAMA ROBLES JORGE'!T$40:T$46,'KM POR UNIDAD'!E9,'BALDERRAMA ROBLES JORGE'!#REF!)+SUMIF('BURGOS TORRES RIGOBERTO'!T$39:T$45,'KM POR UNIDAD'!E9,'BURGOS TORRES RIGOBERTO'!Y$39:Y$45)+SUMIF('CORDOVA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ARAT'!#REF!)+SUMIF('MERCADO LOPEZ JESUS'!T$40:T$46,'KM POR UNIDAD'!E9,'MERCADO LOPEZ JESUS'!Y$40:Y$46)+SUMIF('ORONA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EDUARDO'!Y$41:Y$46)+SUMIF('ANCHONDO ROMERO CESAR ALEJANDRO'!T$40:T$46,'KM POR UNIDAD'!E9,'ANCHONDO ROMERO CESAR ALEJANDRO'!Y$40:Y$46)</f>
        <v>#REF!</v>
      </c>
      <c r="G9" s="146"/>
    </row>
    <row r="10" spans="1:11" x14ac:dyDescent="0.25">
      <c r="A10" s="143" t="s">
        <v>124</v>
      </c>
      <c r="B10" s="144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ADRIAN'!U$40:U$46)+SUMIF('CARDENAS CARDENAS JAVIER '!P$40:P$46,'KM POR UNIDAD'!A10,'CARDENAS CARDENAS JAVIER '!U$40:U$46)+SUMIF('BALDERRAMA ROBLES JORGE'!P$40:P$46,'KM POR UNIDAD'!A10,'BALDERRAMA ROBLES JORGE'!U$40:U$46)+SUMIF('BURGOS TORRES RIGOBERTO'!P$39:P$45,'KM POR UNIDAD'!A10,'BURGOS TORRES RIGOBERTO'!U$39:U$45)+SUMIF('CORDOVA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ARAT'!U$40:U$46)+SUMIF('MERCADO LOPEZ JESUS'!P$40:P$46,'KM POR UNIDAD'!A10,'MERCADO LOPEZ JESUS'!U$40:U$46)+SUMIF('ORONA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EDUARDO'!U$40:U$46)+SUMIF('ANCHONDO ROMERO CESAR ALEJANDRO'!P$40:P$46,'KM POR UNIDAD'!A10,'ANCHONDO ROMERO CESAR ALEJANDRO'!U$40:U$46)</f>
        <v>1500</v>
      </c>
      <c r="C10" s="150">
        <f ca="1"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ADRIAN'!T$40:T$46)+SUMIF('CARDENAS CARDENAS JAVIER '!P$40:P$46,'KM POR UNIDAD'!A10,'CARDENAS CARDENAS JAVIER '!T$40:T$46)+SUMIF('BALDERRAMA ROBLES JORGE'!P$40:P$46,'KM POR UNIDAD'!A10,'BALDERRAMA ROBLES JORGE'!T$40:T$46)+SUMIF('BURGOS TORRES RIGOBERTO'!P$39:P$45,'KM POR UNIDAD'!A10,'BURGOS TORRES RIGOBERTO'!T$39:T$45)+SUMIF('CORDOVA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ARAT'!T$40:T$46)+SUMIF('MERCADO LOPEZ JESUS'!P$40:P$46,'KM POR UNIDAD'!A10,'MERCADO LOPEZ JESUS'!T$40:T$46)+SUMIF('ORONA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EDUARDO'!T$40:T$46)+SUMIF('ANCHONDO ROMERO CESAR ALEJANDRO'!P$40:P$46,'KM POR UNIDAD'!A10,'ANCHONDO ROMERO CESAR ALEJANDRO'!T$40:T$46)</f>
        <v>1398</v>
      </c>
      <c r="D10" s="150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ADRIAN'!V$40:V$46)+SUMIF('CARDENAS CARDENAS JAVIER '!P$40:P$46,'KM POR UNIDAD'!A10,'CARDENAS CARDENAS JAVIER '!V$40:V$46)+SUMIF('BALDERRAMA ROBLES JORGE'!P$40:P$46,'KM POR UNIDAD'!A10,'BALDERRAMA ROBLES JORGE'!V$40:V$46)+SUMIF('BURGOS TORRES RIGOBERTO'!P$39:P$45,'KM POR UNIDAD'!A10,'BURGOS TORRES RIGOBERTO'!V$39:V$45)+SUMIF('CORDOVA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ARAT'!V$40:V$46)+SUMIF('MERCADO LOPEZ JESUS'!P$40:P$46,'KM POR UNIDAD'!A10,'MERCADO LOPEZ JESUS'!V$40:V$46)+SUMIF('ORONA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EDUARDO'!V$40:V$46)+SUMIF('ANCHONDO ROMERO CESAR ALEJANDRO'!P$40:P$46,'KM POR UNIDAD'!A10,'ANCHONDO ROMERO CESAR ALEJANDRO'!V$40:V$46)</f>
        <v>432.37700000000001</v>
      </c>
      <c r="E10" s="145">
        <f t="shared" si="0"/>
        <v>3.4691947073965541</v>
      </c>
      <c r="F10" s="144" t="e">
        <f ca="1"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ADRIAN'!Y$40:Y$46)+SUMIF('CARDENAS CARDENAS JAVIER '!T$40:T$46,'KM POR UNIDAD'!E10,'CARDENAS CARDENAS JAVIER '!Y$40:Y$46)+SUMIF('BALDERRAMA ROBLES JORGE'!T$40:T$46,'KM POR UNIDAD'!E10,'BALDERRAMA ROBLES JORGE'!#REF!)+SUMIF('BURGOS TORRES RIGOBERTO'!T$39:T$45,'KM POR UNIDAD'!E10,'BURGOS TORRES RIGOBERTO'!Y$39:Y$45)+SUMIF('CORDOVA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ARAT'!#REF!)+SUMIF('MERCADO LOPEZ JESUS'!T$40:T$46,'KM POR UNIDAD'!E10,'MERCADO LOPEZ JESUS'!Y$40:Y$46)+SUMIF('ORONA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EDUARDO'!Y$41:Y$46)+SUMIF('ANCHONDO ROMERO CESAR ALEJANDRO'!T$40:T$46,'KM POR UNIDAD'!E10,'ANCHONDO ROMERO CESAR ALEJANDRO'!Y$40:Y$46)</f>
        <v>#REF!</v>
      </c>
      <c r="G10" s="146"/>
      <c r="K10" s="382"/>
    </row>
    <row r="11" spans="1:11" x14ac:dyDescent="0.25">
      <c r="A11" s="143" t="s">
        <v>132</v>
      </c>
      <c r="B11" s="144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ADRIAN'!U$40:U$46)+SUMIF('CARDENAS CARDENAS JAVIER '!P$40:P$46,'KM POR UNIDAD'!A11,'CARDENAS CARDENAS JAVIER '!U$40:U$46)+SUMIF('BALDERRAMA ROBLES JORGE'!P$40:P$46,'KM POR UNIDAD'!A11,'BALDERRAMA ROBLES JORGE'!U$40:U$46)+SUMIF('BURGOS TORRES RIGOBERTO'!P$39:P$45,'KM POR UNIDAD'!A11,'BURGOS TORRES RIGOBERTO'!U$39:U$45)+SUMIF('CORDOVA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ARAT'!U$40:U$46)+SUMIF('MERCADO LOPEZ JESUS'!P$40:P$46,'KM POR UNIDAD'!A11,'MERCADO LOPEZ JESUS'!U$40:U$46)+SUMIF('ORONA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EDUARDO'!U$40:U$46)+SUMIF('ANCHONDO ROMERO CESAR ALEJANDRO'!P$40:P$46,'KM POR UNIDAD'!A11,'ANCHONDO ROMERO CESAR ALEJANDRO'!U$40:U$46)</f>
        <v>2250</v>
      </c>
      <c r="C11" s="150">
        <f ca="1"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ADRIAN'!T$40:T$46)+SUMIF('CARDENAS CARDENAS JAVIER '!P$40:P$46,'KM POR UNIDAD'!A11,'CARDENAS CARDENAS JAVIER '!T$40:T$46)+SUMIF('BALDERRAMA ROBLES JORGE'!P$40:P$46,'KM POR UNIDAD'!A11,'BALDERRAMA ROBLES JORGE'!T$40:T$46)+SUMIF('BURGOS TORRES RIGOBERTO'!P$39:P$45,'KM POR UNIDAD'!A11,'BURGOS TORRES RIGOBERTO'!T$39:T$45)+SUMIF('CORDOVA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ARAT'!T$40:T$46)+SUMIF('MERCADO LOPEZ JESUS'!P$40:P$46,'KM POR UNIDAD'!A11,'MERCADO LOPEZ JESUS'!T$40:T$46)+SUMIF('ORONA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EDUARDO'!T$40:T$46)+SUMIF('ANCHONDO ROMERO CESAR ALEJANDRO'!P$40:P$46,'KM POR UNIDAD'!A11,'ANCHONDO ROMERO CESAR ALEJANDRO'!T$40:T$46)</f>
        <v>-2613683</v>
      </c>
      <c r="D11" s="150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ADRIAN'!V$40:V$46)+SUMIF('CARDENAS CARDENAS JAVIER '!P$40:P$46,'KM POR UNIDAD'!A11,'CARDENAS CARDENAS JAVIER '!V$40:V$46)+SUMIF('BALDERRAMA ROBLES JORGE'!P$40:P$46,'KM POR UNIDAD'!A11,'BALDERRAMA ROBLES JORGE'!V$40:V$46)+SUMIF('BURGOS TORRES RIGOBERTO'!P$39:P$45,'KM POR UNIDAD'!A11,'BURGOS TORRES RIGOBERTO'!V$39:V$45)+SUMIF('CORDOVA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ARAT'!V$40:V$46)+SUMIF('MERCADO LOPEZ JESUS'!P$40:P$46,'KM POR UNIDAD'!A11,'MERCADO LOPEZ JESUS'!V$40:V$46)+SUMIF('ORONA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EDUARDO'!V$40:V$46)+SUMIF('ANCHONDO ROMERO CESAR ALEJANDRO'!P$40:P$46,'KM POR UNIDAD'!A11,'ANCHONDO ROMERO CESAR ALEJANDRO'!V$40:V$46)</f>
        <v>670.53200000000004</v>
      </c>
      <c r="E11" s="145">
        <f t="shared" si="0"/>
        <v>3.3555445526835408</v>
      </c>
      <c r="F11" s="144" t="e">
        <f ca="1"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ADRIAN'!Y$40:Y$46)+SUMIF('CARDENAS CARDENAS JAVIER '!T$40:T$46,'KM POR UNIDAD'!E11,'CARDENAS CARDENAS JAVIER '!Y$40:Y$46)+SUMIF('BALDERRAMA ROBLES JORGE'!T$40:T$46,'KM POR UNIDAD'!E11,'BALDERRAMA ROBLES JORGE'!#REF!)+SUMIF('BURGOS TORRES RIGOBERTO'!T$39:T$45,'KM POR UNIDAD'!E11,'BURGOS TORRES RIGOBERTO'!Y$39:Y$45)+SUMIF('CORDOVA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ARAT'!#REF!)+SUMIF('MERCADO LOPEZ JESUS'!T$40:T$46,'KM POR UNIDAD'!E11,'MERCADO LOPEZ JESUS'!Y$40:Y$46)+SUMIF('ORONA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EDUARDO'!Y$41:Y$46)+SUMIF('ANCHONDO ROMERO CESAR ALEJANDRO'!T$40:T$46,'KM POR UNIDAD'!E11,'ANCHONDO ROMERO CESAR ALEJANDRO'!Y$40:Y$46)</f>
        <v>#REF!</v>
      </c>
      <c r="G11" s="146"/>
    </row>
    <row r="12" spans="1:11" x14ac:dyDescent="0.25">
      <c r="A12" s="143" t="s">
        <v>58</v>
      </c>
      <c r="B12" s="144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ADRIAN'!U$40:U$46)+SUMIF('CARDENAS CARDENAS JAVIER '!P$40:P$46,'KM POR UNIDAD'!A12,'CARDENAS CARDENAS JAVIER '!U$40:U$46)+SUMIF('BALDERRAMA ROBLES JORGE'!P$40:P$46,'KM POR UNIDAD'!A12,'BALDERRAMA ROBLES JORGE'!U$40:U$46)+SUMIF('BURGOS TORRES RIGOBERTO'!P$39:P$45,'KM POR UNIDAD'!A12,'BURGOS TORRES RIGOBERTO'!U$39:U$45)+SUMIF('CORDOVA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ARAT'!U$40:U$46)+SUMIF('MERCADO LOPEZ JESUS'!P$40:P$46,'KM POR UNIDAD'!A12,'MERCADO LOPEZ JESUS'!U$40:U$46)+SUMIF('ORONA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EDUARDO'!U$40:U$46)+SUMIF('ANCHONDO ROMERO CESAR ALEJANDRO'!P$40:P$46,'KM POR UNIDAD'!A12,'ANCHONDO ROMERO CESAR ALEJANDRO'!U$40:U$46)</f>
        <v>0</v>
      </c>
      <c r="C12" s="150">
        <f ca="1"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ADRIAN'!T$40:T$46)+SUMIF('CARDENAS CARDENAS JAVIER '!P$40:P$46,'KM POR UNIDAD'!A12,'CARDENAS CARDENAS JAVIER '!T$40:T$46)+SUMIF('BALDERRAMA ROBLES JORGE'!P$40:P$46,'KM POR UNIDAD'!A12,'BALDERRAMA ROBLES JORGE'!T$40:T$46)+SUMIF('BURGOS TORRES RIGOBERTO'!P$39:P$45,'KM POR UNIDAD'!A12,'BURGOS TORRES RIGOBERTO'!T$39:T$45)+SUMIF('CORDOVA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ARAT'!T$40:T$46)+SUMIF('MERCADO LOPEZ JESUS'!P$40:P$46,'KM POR UNIDAD'!A12,'MERCADO LOPEZ JESUS'!T$40:T$46)+SUMIF('ORONA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EDUARDO'!T$40:T$46)+SUMIF('ANCHONDO ROMERO CESAR ALEJANDRO'!P$40:P$46,'KM POR UNIDAD'!A12,'ANCHONDO ROMERO CESAR ALEJANDRO'!T$40:T$46)</f>
        <v>0</v>
      </c>
      <c r="D12" s="150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ADRIAN'!V$40:V$46)+SUMIF('CARDENAS CARDENAS JAVIER '!P$40:P$46,'KM POR UNIDAD'!A12,'CARDENAS CARDENAS JAVIER '!V$40:V$46)+SUMIF('BALDERRAMA ROBLES JORGE'!P$40:P$46,'KM POR UNIDAD'!A12,'BALDERRAMA ROBLES JORGE'!V$40:V$46)+SUMIF('BURGOS TORRES RIGOBERTO'!P$39:P$45,'KM POR UNIDAD'!A12,'BURGOS TORRES RIGOBERTO'!V$39:V$45)+SUMIF('CORDOVA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ARAT'!V$40:V$46)+SUMIF('MERCADO LOPEZ JESUS'!P$40:P$46,'KM POR UNIDAD'!A12,'MERCADO LOPEZ JESUS'!V$40:V$46)+SUMIF('ORONA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EDUARDO'!V$40:V$46)+SUMIF('ANCHONDO ROMERO CESAR ALEJANDRO'!P$40:P$46,'KM POR UNIDAD'!A12,'ANCHONDO ROMERO CESAR ALEJANDRO'!V$40:V$46)</f>
        <v>0</v>
      </c>
      <c r="E12" s="145">
        <f t="shared" si="0"/>
        <v>0</v>
      </c>
      <c r="F12" s="144" t="e">
        <f ca="1"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ADRIAN'!Y$40:Y$46)+SUMIF('CARDENAS CARDENAS JAVIER '!T$40:T$46,'KM POR UNIDAD'!E12,'CARDENAS CARDENAS JAVIER '!Y$40:Y$46)+SUMIF('BALDERRAMA ROBLES JORGE'!T$40:T$46,'KM POR UNIDAD'!E12,'BALDERRAMA ROBLES JORGE'!#REF!)+SUMIF('BURGOS TORRES RIGOBERTO'!T$39:T$45,'KM POR UNIDAD'!E12,'BURGOS TORRES RIGOBERTO'!Y$39:Y$45)+SUMIF('CORDOVA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ARAT'!#REF!)+SUMIF('MERCADO LOPEZ JESUS'!T$40:T$46,'KM POR UNIDAD'!E12,'MERCADO LOPEZ JESUS'!Y$40:Y$46)+SUMIF('ORONA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EDUARDO'!Y$41:Y$46)+SUMIF('ANCHONDO ROMERO CESAR ALEJANDRO'!T$40:T$46,'KM POR UNIDAD'!E12,'ANCHONDO ROMERO CESAR ALEJANDRO'!Y$40:Y$46)</f>
        <v>#REF!</v>
      </c>
      <c r="G12" s="146"/>
    </row>
    <row r="13" spans="1:11" x14ac:dyDescent="0.25">
      <c r="A13" s="143" t="s">
        <v>52</v>
      </c>
      <c r="B13" s="144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ADRIAN'!U$40:U$46)+SUMIF('CARDENAS CARDENAS JAVIER '!P$40:P$46,'KM POR UNIDAD'!A13,'CARDENAS CARDENAS JAVIER '!U$40:U$46)+SUMIF('BALDERRAMA ROBLES JORGE'!P$40:P$46,'KM POR UNIDAD'!A13,'BALDERRAMA ROBLES JORGE'!U$40:U$46)+SUMIF('BURGOS TORRES RIGOBERTO'!P$39:P$45,'KM POR UNIDAD'!A13,'BURGOS TORRES RIGOBERTO'!U$39:U$45)+SUMIF('CORDOVA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ARAT'!U$40:U$46)+SUMIF('MERCADO LOPEZ JESUS'!P$40:P$46,'KM POR UNIDAD'!A13,'MERCADO LOPEZ JESUS'!U$40:U$46)+SUMIF('ORONA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EDUARDO'!U$40:U$46)+SUMIF('ANCHONDO ROMERO CESAR ALEJANDRO'!P$40:P$46,'KM POR UNIDAD'!A13,'ANCHONDO ROMERO CESAR ALEJANDRO'!U$40:U$46)</f>
        <v>750</v>
      </c>
      <c r="C13" s="150">
        <f ca="1"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ADRIAN'!T$40:T$46)+SUMIF('CARDENAS CARDENAS JAVIER '!P$40:P$46,'KM POR UNIDAD'!A13,'CARDENAS CARDENAS JAVIER '!T$40:T$46)+SUMIF('BALDERRAMA ROBLES JORGE'!P$40:P$46,'KM POR UNIDAD'!A13,'BALDERRAMA ROBLES JORGE'!T$40:T$46)+SUMIF('BURGOS TORRES RIGOBERTO'!P$39:P$45,'KM POR UNIDAD'!A13,'BURGOS TORRES RIGOBERTO'!T$39:T$45)+SUMIF('CORDOVA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ARAT'!T$40:T$46)+SUMIF('MERCADO LOPEZ JESUS'!P$40:P$46,'KM POR UNIDAD'!A13,'MERCADO LOPEZ JESUS'!T$40:T$46)+SUMIF('ORONA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EDUARDO'!T$40:T$46)+SUMIF('ANCHONDO ROMERO CESAR ALEJANDRO'!P$40:P$46,'KM POR UNIDAD'!A13,'ANCHONDO ROMERO CESAR ALEJANDRO'!T$40:T$46)</f>
        <v>512</v>
      </c>
      <c r="D13" s="150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ADRIAN'!V$40:V$46)+SUMIF('CARDENAS CARDENAS JAVIER '!P$40:P$46,'KM POR UNIDAD'!A13,'CARDENAS CARDENAS JAVIER '!V$40:V$46)+SUMIF('BALDERRAMA ROBLES JORGE'!P$40:P$46,'KM POR UNIDAD'!A13,'BALDERRAMA ROBLES JORGE'!V$40:V$46)+SUMIF('BURGOS TORRES RIGOBERTO'!P$39:P$45,'KM POR UNIDAD'!A13,'BURGOS TORRES RIGOBERTO'!V$39:V$45)+SUMIF('CORDOVA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ARAT'!V$40:V$46)+SUMIF('MERCADO LOPEZ JESUS'!P$40:P$46,'KM POR UNIDAD'!A13,'MERCADO LOPEZ JESUS'!V$40:V$46)+SUMIF('ORONA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EDUARDO'!V$40:V$46)+SUMIF('ANCHONDO ROMERO CESAR ALEJANDRO'!P$40:P$46,'KM POR UNIDAD'!A13,'ANCHONDO ROMERO CESAR ALEJANDRO'!V$40:V$46)</f>
        <v>206.006</v>
      </c>
      <c r="E13" s="145">
        <f t="shared" si="0"/>
        <v>3.6406706600778618</v>
      </c>
      <c r="F13" s="144" t="e">
        <f ca="1"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ADRIAN'!Y$40:Y$46)+SUMIF('CARDENAS CARDENAS JAVIER '!T$40:T$46,'KM POR UNIDAD'!E13,'CARDENAS CARDENAS JAVIER '!Y$40:Y$46)+SUMIF('BALDERRAMA ROBLES JORGE'!T$40:T$46,'KM POR UNIDAD'!E13,'BALDERRAMA ROBLES JORGE'!#REF!)+SUMIF('BURGOS TORRES RIGOBERTO'!T$39:T$45,'KM POR UNIDAD'!E13,'BURGOS TORRES RIGOBERTO'!Y$39:Y$45)+SUMIF('CORDOVA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ARAT'!#REF!)+SUMIF('MERCADO LOPEZ JESUS'!T$40:T$46,'KM POR UNIDAD'!E13,'MERCADO LOPEZ JESUS'!Y$40:Y$46)+SUMIF('ORONA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EDUARDO'!Y$41:Y$46)+SUMIF('ANCHONDO ROMERO CESAR ALEJANDRO'!T$40:T$46,'KM POR UNIDAD'!E13,'ANCHONDO ROMERO CESAR ALEJANDRO'!Y$40:Y$46)</f>
        <v>#REF!</v>
      </c>
      <c r="G13" s="146"/>
    </row>
    <row r="14" spans="1:11" x14ac:dyDescent="0.25">
      <c r="A14" s="143" t="s">
        <v>130</v>
      </c>
      <c r="B14" s="144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ADRIAN'!U$40:U$46)+SUMIF('CARDENAS CARDENAS JAVIER '!P$40:P$46,'KM POR UNIDAD'!A14,'CARDENAS CARDENAS JAVIER '!U$40:U$46)+SUMIF('BALDERRAMA ROBLES JORGE'!P$40:P$46,'KM POR UNIDAD'!A14,'BALDERRAMA ROBLES JORGE'!U$40:U$46)+SUMIF('BURGOS TORRES RIGOBERTO'!P$39:P$45,'KM POR UNIDAD'!A14,'BURGOS TORRES RIGOBERTO'!U$39:U$45)+SUMIF('CORDOVA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ARAT'!U$40:U$46)+SUMIF('MERCADO LOPEZ JESUS'!P$40:P$46,'KM POR UNIDAD'!A14,'MERCADO LOPEZ JESUS'!U$40:U$46)+SUMIF('ORONA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EDUARDO'!U$40:U$46)+SUMIF('ANCHONDO ROMERO CESAR ALEJANDRO'!P$40:P$46,'KM POR UNIDAD'!A14,'ANCHONDO ROMERO CESAR ALEJANDRO'!U$40:U$46)</f>
        <v>1500</v>
      </c>
      <c r="C14" s="150">
        <f ca="1"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ADRIAN'!T$40:T$46)+SUMIF('CARDENAS CARDENAS JAVIER '!P$40:P$46,'KM POR UNIDAD'!A14,'CARDENAS CARDENAS JAVIER '!T$40:T$46)+SUMIF('BALDERRAMA ROBLES JORGE'!P$40:P$46,'KM POR UNIDAD'!A14,'BALDERRAMA ROBLES JORGE'!T$40:T$46)+SUMIF('BURGOS TORRES RIGOBERTO'!P$39:P$45,'KM POR UNIDAD'!A14,'BURGOS TORRES RIGOBERTO'!T$39:T$45)+SUMIF('CORDOVA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ARAT'!T$40:T$46)+SUMIF('MERCADO LOPEZ JESUS'!P$40:P$46,'KM POR UNIDAD'!A14,'MERCADO LOPEZ JESUS'!T$40:T$46)+SUMIF('ORONA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EDUARDO'!T$40:T$46)+SUMIF('ANCHONDO ROMERO CESAR ALEJANDRO'!P$40:P$46,'KM POR UNIDAD'!A14,'ANCHONDO ROMERO CESAR ALEJANDRO'!T$40:T$46)</f>
        <v>1461</v>
      </c>
      <c r="D14" s="150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ADRIAN'!V$40:V$46)+SUMIF('CARDENAS CARDENAS JAVIER '!P$40:P$46,'KM POR UNIDAD'!A14,'CARDENAS CARDENAS JAVIER '!V$40:V$46)+SUMIF('BALDERRAMA ROBLES JORGE'!P$40:P$46,'KM POR UNIDAD'!A14,'BALDERRAMA ROBLES JORGE'!V$40:V$46)+SUMIF('BURGOS TORRES RIGOBERTO'!P$39:P$45,'KM POR UNIDAD'!A14,'BURGOS TORRES RIGOBERTO'!V$39:V$45)+SUMIF('CORDOVA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ARAT'!V$40:V$46)+SUMIF('MERCADO LOPEZ JESUS'!P$40:P$46,'KM POR UNIDAD'!A14,'MERCADO LOPEZ JESUS'!V$40:V$46)+SUMIF('ORONA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EDUARDO'!V$40:V$46)+SUMIF('ANCHONDO ROMERO CESAR ALEJANDRO'!P$40:P$46,'KM POR UNIDAD'!A14,'ANCHONDO ROMERO CESAR ALEJANDRO'!V$40:V$46)</f>
        <v>440.97199999999998</v>
      </c>
      <c r="E14" s="145">
        <f t="shared" si="0"/>
        <v>3.4015765173298989</v>
      </c>
      <c r="F14" s="144" t="e">
        <f ca="1"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ADRIAN'!Y$40:Y$46)+SUMIF('CARDENAS CARDENAS JAVIER '!T$40:T$46,'KM POR UNIDAD'!E14,'CARDENAS CARDENAS JAVIER '!Y$40:Y$46)+SUMIF('BALDERRAMA ROBLES JORGE'!T$40:T$46,'KM POR UNIDAD'!E14,'BALDERRAMA ROBLES JORGE'!#REF!)+SUMIF('BURGOS TORRES RIGOBERTO'!T$39:T$45,'KM POR UNIDAD'!E14,'BURGOS TORRES RIGOBERTO'!Y$39:Y$45)+SUMIF('CORDOVA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ARAT'!#REF!)+SUMIF('MERCADO LOPEZ JESUS'!T$40:T$46,'KM POR UNIDAD'!E14,'MERCADO LOPEZ JESUS'!Y$40:Y$46)+SUMIF('ORONA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EDUARDO'!Y$41:Y$46)+SUMIF('ANCHONDO ROMERO CESAR ALEJANDRO'!T$40:T$46,'KM POR UNIDAD'!E14,'ANCHONDO ROMERO CESAR ALEJANDRO'!Y$40:Y$46)</f>
        <v>#REF!</v>
      </c>
      <c r="G14" s="146"/>
    </row>
    <row r="15" spans="1:11" x14ac:dyDescent="0.25">
      <c r="A15" s="143" t="s">
        <v>115</v>
      </c>
      <c r="B15" s="144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ADRIAN'!U$40:U$46)+SUMIF('CARDENAS CARDENAS JAVIER '!P$40:P$46,'KM POR UNIDAD'!A15,'CARDENAS CARDENAS JAVIER '!U$40:U$46)+SUMIF('BALDERRAMA ROBLES JORGE'!P$40:P$46,'KM POR UNIDAD'!A15,'BALDERRAMA ROBLES JORGE'!U$40:U$46)+SUMIF('BURGOS TORRES RIGOBERTO'!P$39:P$45,'KM POR UNIDAD'!A15,'BURGOS TORRES RIGOBERTO'!U$39:U$45)+SUMIF('CORDOVA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ARAT'!U$40:U$46)+SUMIF('MERCADO LOPEZ JESUS'!P$40:P$46,'KM POR UNIDAD'!A15,'MERCADO LOPEZ JESUS'!U$40:U$46)+SUMIF('ORONA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EDUARDO'!U$40:U$46)+SUMIF('ANCHONDO ROMERO CESAR ALEJANDRO'!P$40:P$46,'KM POR UNIDAD'!A15,'ANCHONDO ROMERO CESAR ALEJANDRO'!U$40:U$46)</f>
        <v>3050</v>
      </c>
      <c r="C15" s="150">
        <f ca="1"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ADRIAN'!T$40:T$46)+SUMIF('CARDENAS CARDENAS JAVIER '!P$40:P$46,'KM POR UNIDAD'!A15,'CARDENAS CARDENAS JAVIER '!T$40:T$46)+SUMIF('BALDERRAMA ROBLES JORGE'!P$40:P$46,'KM POR UNIDAD'!A15,'BALDERRAMA ROBLES JORGE'!T$40:T$46)+SUMIF('BURGOS TORRES RIGOBERTO'!P$39:P$45,'KM POR UNIDAD'!A15,'BURGOS TORRES RIGOBERTO'!T$39:T$45)+SUMIF('CORDOVA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ARAT'!T$40:T$46)+SUMIF('MERCADO LOPEZ JESUS'!P$40:P$46,'KM POR UNIDAD'!A15,'MERCADO LOPEZ JESUS'!T$40:T$46)+SUMIF('ORONA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EDUARDO'!T$40:T$46)+SUMIF('ANCHONDO ROMERO CESAR ALEJANDRO'!P$40:P$46,'KM POR UNIDAD'!A15,'ANCHONDO ROMERO CESAR ALEJANDRO'!T$40:T$46)</f>
        <v>29230</v>
      </c>
      <c r="D15" s="150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ADRIAN'!V$40:V$46)+SUMIF('CARDENAS CARDENAS JAVIER '!P$40:P$46,'KM POR UNIDAD'!A15,'CARDENAS CARDENAS JAVIER '!V$40:V$46)+SUMIF('BALDERRAMA ROBLES JORGE'!P$40:P$46,'KM POR UNIDAD'!A15,'BALDERRAMA ROBLES JORGE'!V$40:V$46)+SUMIF('BURGOS TORRES RIGOBERTO'!P$39:P$45,'KM POR UNIDAD'!A15,'BURGOS TORRES RIGOBERTO'!V$39:V$45)+SUMIF('CORDOVA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ARAT'!V$40:V$46)+SUMIF('MERCADO LOPEZ JESUS'!P$40:P$46,'KM POR UNIDAD'!A15,'MERCADO LOPEZ JESUS'!V$40:V$46)+SUMIF('ORONA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EDUARDO'!V$40:V$46)+SUMIF('ANCHONDO ROMERO CESAR ALEJANDRO'!P$40:P$46,'KM POR UNIDAD'!A15,'ANCHONDO ROMERO CESAR ALEJANDRO'!V$40:V$46)</f>
        <v>921.08600000000001</v>
      </c>
      <c r="E15" s="145">
        <f t="shared" si="0"/>
        <v>3.3113086074481646</v>
      </c>
      <c r="F15" s="144" t="e">
        <f ca="1"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ADRIAN'!Y$40:Y$46)+SUMIF('CARDENAS CARDENAS JAVIER '!T$40:T$46,'KM POR UNIDAD'!E15,'CARDENAS CARDENAS JAVIER '!Y$40:Y$46)+SUMIF('BALDERRAMA ROBLES JORGE'!T$40:T$46,'KM POR UNIDAD'!E15,'BALDERRAMA ROBLES JORGE'!#REF!)+SUMIF('BURGOS TORRES RIGOBERTO'!T$39:T$45,'KM POR UNIDAD'!E15,'BURGOS TORRES RIGOBERTO'!Y$39:Y$45)+SUMIF('CORDOVA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ARAT'!#REF!)+SUMIF('MERCADO LOPEZ JESUS'!T$40:T$46,'KM POR UNIDAD'!E15,'MERCADO LOPEZ JESUS'!Y$40:Y$46)+SUMIF('ORONA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EDUARDO'!Y$41:Y$46)+SUMIF('ANCHONDO ROMERO CESAR ALEJANDRO'!T$40:T$46,'KM POR UNIDAD'!E15,'ANCHONDO ROMERO CESAR ALEJANDRO'!Y$40:Y$46)</f>
        <v>#REF!</v>
      </c>
      <c r="G15" s="146"/>
    </row>
    <row r="16" spans="1:11" x14ac:dyDescent="0.25">
      <c r="A16" s="143" t="s">
        <v>129</v>
      </c>
      <c r="B16" s="144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ADRIAN'!U$40:U$46)+SUMIF('CARDENAS CARDENAS JAVIER '!P$40:P$46,'KM POR UNIDAD'!A16,'CARDENAS CARDENAS JAVIER '!U$40:U$46)+SUMIF('BALDERRAMA ROBLES JORGE'!P$40:P$46,'KM POR UNIDAD'!A16,'BALDERRAMA ROBLES JORGE'!U$40:U$46)+SUMIF('BURGOS TORRES RIGOBERTO'!P$39:P$45,'KM POR UNIDAD'!A16,'BURGOS TORRES RIGOBERTO'!U$39:U$45)+SUMIF('CORDOVA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ARAT'!U$40:U$46)+SUMIF('MERCADO LOPEZ JESUS'!P$40:P$46,'KM POR UNIDAD'!A16,'MERCADO LOPEZ JESUS'!U$40:U$46)+SUMIF('ORONA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EDUARDO'!U$40:U$46)+SUMIF('ANCHONDO ROMERO CESAR ALEJANDRO'!P$40:P$46,'KM POR UNIDAD'!A16,'ANCHONDO ROMERO CESAR ALEJANDRO'!U$40:U$46)</f>
        <v>0</v>
      </c>
      <c r="C16" s="150">
        <f ca="1"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ADRIAN'!T$40:T$46)+SUMIF('CARDENAS CARDENAS JAVIER '!P$40:P$46,'KM POR UNIDAD'!A16,'CARDENAS CARDENAS JAVIER '!T$40:T$46)+SUMIF('BALDERRAMA ROBLES JORGE'!P$40:P$46,'KM POR UNIDAD'!A16,'BALDERRAMA ROBLES JORGE'!T$40:T$46)+SUMIF('BURGOS TORRES RIGOBERTO'!P$39:P$45,'KM POR UNIDAD'!A16,'BURGOS TORRES RIGOBERTO'!T$39:T$45)+SUMIF('CORDOVA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ARAT'!T$40:T$46)+SUMIF('MERCADO LOPEZ JESUS'!P$40:P$46,'KM POR UNIDAD'!A16,'MERCADO LOPEZ JESUS'!T$40:T$46)+SUMIF('ORONA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EDUARDO'!T$40:T$46)+SUMIF('ANCHONDO ROMERO CESAR ALEJANDRO'!P$40:P$46,'KM POR UNIDAD'!A16,'ANCHONDO ROMERO CESAR ALEJANDRO'!T$40:T$46)</f>
        <v>0</v>
      </c>
      <c r="D16" s="150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ADRIAN'!V$40:V$46)+SUMIF('CARDENAS CARDENAS JAVIER '!P$40:P$46,'KM POR UNIDAD'!A16,'CARDENAS CARDENAS JAVIER '!V$40:V$46)+SUMIF('BALDERRAMA ROBLES JORGE'!P$40:P$46,'KM POR UNIDAD'!A16,'BALDERRAMA ROBLES JORGE'!V$40:V$46)+SUMIF('BURGOS TORRES RIGOBERTO'!P$39:P$45,'KM POR UNIDAD'!A16,'BURGOS TORRES RIGOBERTO'!V$39:V$45)+SUMIF('CORDOVA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ARAT'!V$40:V$46)+SUMIF('MERCADO LOPEZ JESUS'!P$40:P$46,'KM POR UNIDAD'!A16,'MERCADO LOPEZ JESUS'!V$40:V$46)+SUMIF('ORONA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EDUARDO'!V$40:V$46)+SUMIF('ANCHONDO ROMERO CESAR ALEJANDRO'!P$40:P$46,'KM POR UNIDAD'!A16,'ANCHONDO ROMERO CESAR ALEJANDRO'!V$40:V$46)</f>
        <v>0</v>
      </c>
      <c r="E16" s="145">
        <f t="shared" si="0"/>
        <v>0</v>
      </c>
      <c r="F16" s="144" t="e">
        <f ca="1"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ADRIAN'!Y$40:Y$46)+SUMIF('CARDENAS CARDENAS JAVIER '!T$40:T$46,'KM POR UNIDAD'!E16,'CARDENAS CARDENAS JAVIER '!Y$40:Y$46)+SUMIF('BALDERRAMA ROBLES JORGE'!T$40:T$46,'KM POR UNIDAD'!E16,'BALDERRAMA ROBLES JORGE'!#REF!)+SUMIF('BURGOS TORRES RIGOBERTO'!T$39:T$45,'KM POR UNIDAD'!E16,'BURGOS TORRES RIGOBERTO'!Y$39:Y$45)+SUMIF('CORDOVA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ARAT'!#REF!)+SUMIF('MERCADO LOPEZ JESUS'!T$40:T$46,'KM POR UNIDAD'!E16,'MERCADO LOPEZ JESUS'!Y$40:Y$46)+SUMIF('ORONA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EDUARDO'!Y$41:Y$46)+SUMIF('ANCHONDO ROMERO CESAR ALEJANDRO'!T$40:T$46,'KM POR UNIDAD'!E16,'ANCHONDO ROMERO CESAR ALEJANDRO'!Y$40:Y$46)</f>
        <v>#REF!</v>
      </c>
      <c r="G16" s="146"/>
    </row>
    <row r="17" spans="1:12" x14ac:dyDescent="0.25">
      <c r="A17" s="143" t="s">
        <v>152</v>
      </c>
      <c r="B17" s="144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ADRIAN'!U$40:U$46)+SUMIF('CARDENAS CARDENAS JAVIER '!P$40:P$46,'KM POR UNIDAD'!A17,'CARDENAS CARDENAS JAVIER '!U$40:U$46)+SUMIF('BALDERRAMA ROBLES JORGE'!P$40:P$46,'KM POR UNIDAD'!A17,'BALDERRAMA ROBLES JORGE'!U$40:U$46)+SUMIF('BURGOS TORRES RIGOBERTO'!P$39:P$45,'KM POR UNIDAD'!A17,'BURGOS TORRES RIGOBERTO'!U$39:U$45)+SUMIF('CORDOVA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ARAT'!U$40:U$46)+SUMIF('MERCADO LOPEZ JESUS'!P$40:P$46,'KM POR UNIDAD'!A17,'MERCADO LOPEZ JESUS'!U$40:U$46)+SUMIF('ORONA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EDUARDO'!U$40:U$46)+SUMIF('ANCHONDO ROMERO CESAR ALEJANDRO'!P$40:P$46,'KM POR UNIDAD'!A17,'ANCHONDO ROMERO CESAR ALEJANDRO'!U$40:U$46)</f>
        <v>750</v>
      </c>
      <c r="C17" s="150">
        <f ca="1"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ADRIAN'!T$40:T$46)+SUMIF('CARDENAS CARDENAS JAVIER '!P$40:P$46,'KM POR UNIDAD'!A17,'CARDENAS CARDENAS JAVIER '!T$40:T$46)+SUMIF('BALDERRAMA ROBLES JORGE'!P$40:P$46,'KM POR UNIDAD'!A17,'BALDERRAMA ROBLES JORGE'!T$40:T$46)+SUMIF('BURGOS TORRES RIGOBERTO'!P$39:P$45,'KM POR UNIDAD'!A17,'BURGOS TORRES RIGOBERTO'!T$39:T$45)+SUMIF('CORDOVA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ARAT'!T$40:T$46)+SUMIF('MERCADO LOPEZ JESUS'!P$40:P$46,'KM POR UNIDAD'!A17,'MERCADO LOPEZ JESUS'!T$40:T$46)+SUMIF('ORONA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EDUARDO'!T$40:T$46)+SUMIF('ANCHONDO ROMERO CESAR ALEJANDRO'!P$40:P$46,'KM POR UNIDAD'!A17,'ANCHONDO ROMERO CESAR ALEJANDRO'!T$40:T$46)</f>
        <v>702</v>
      </c>
      <c r="D17" s="150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ADRIAN'!V$40:V$46)+SUMIF('CARDENAS CARDENAS JAVIER '!P$40:P$46,'KM POR UNIDAD'!A17,'CARDENAS CARDENAS JAVIER '!V$40:V$46)+SUMIF('BALDERRAMA ROBLES JORGE'!P$40:P$46,'KM POR UNIDAD'!A17,'BALDERRAMA ROBLES JORGE'!V$40:V$46)+SUMIF('BURGOS TORRES RIGOBERTO'!P$39:P$45,'KM POR UNIDAD'!A17,'BURGOS TORRES RIGOBERTO'!V$39:V$45)+SUMIF('CORDOVA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ARAT'!V$40:V$46)+SUMIF('MERCADO LOPEZ JESUS'!P$40:P$46,'KM POR UNIDAD'!A17,'MERCADO LOPEZ JESUS'!V$40:V$46)+SUMIF('ORONA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EDUARDO'!V$40:V$46)+SUMIF('ANCHONDO ROMERO CESAR ALEJANDRO'!P$40:P$46,'KM POR UNIDAD'!A17,'ANCHONDO ROMERO CESAR ALEJANDRO'!V$40:V$46)</f>
        <v>220.02099999999999</v>
      </c>
      <c r="E17" s="145">
        <f t="shared" si="0"/>
        <v>3.4087655269269752</v>
      </c>
      <c r="F17" s="144" t="e">
        <f ca="1"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ADRIAN'!Y$40:Y$46)+SUMIF('CARDENAS CARDENAS JAVIER '!T$40:T$46,'KM POR UNIDAD'!E17,'CARDENAS CARDENAS JAVIER '!Y$40:Y$46)+SUMIF('BALDERRAMA ROBLES JORGE'!T$40:T$46,'KM POR UNIDAD'!E17,'BALDERRAMA ROBLES JORGE'!#REF!)+SUMIF('BURGOS TORRES RIGOBERTO'!T$39:T$45,'KM POR UNIDAD'!E17,'BURGOS TORRES RIGOBERTO'!Y$39:Y$45)+SUMIF('CORDOVA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ARAT'!#REF!)+SUMIF('MERCADO LOPEZ JESUS'!T$40:T$46,'KM POR UNIDAD'!E17,'MERCADO LOPEZ JESUS'!Y$40:Y$46)+SUMIF('ORONA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EDUARDO'!Y$41:Y$46)+SUMIF('ANCHONDO ROMERO CESAR ALEJANDRO'!T$40:T$46,'KM POR UNIDAD'!E17,'ANCHONDO ROMERO CESAR ALEJANDRO'!Y$40:Y$46)</f>
        <v>#REF!</v>
      </c>
      <c r="G17" s="146"/>
    </row>
    <row r="18" spans="1:12" x14ac:dyDescent="0.25">
      <c r="A18" s="143" t="s">
        <v>77</v>
      </c>
      <c r="B18" s="144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ADRIAN'!U$40:U$46)+SUMIF('CARDENAS CARDENAS JAVIER '!P$40:P$46,'KM POR UNIDAD'!A18,'CARDENAS CARDENAS JAVIER '!U$40:U$46)+SUMIF('BALDERRAMA ROBLES JORGE'!P$40:P$46,'KM POR UNIDAD'!A18,'BALDERRAMA ROBLES JORGE'!U$40:U$46)+SUMIF('BURGOS TORRES RIGOBERTO'!P$39:P$45,'KM POR UNIDAD'!A18,'BURGOS TORRES RIGOBERTO'!U$39:U$45)+SUMIF('CORDOVA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ARAT'!U$40:U$46)+SUMIF('MERCADO LOPEZ JESUS'!P$40:P$46,'KM POR UNIDAD'!A18,'MERCADO LOPEZ JESUS'!U$40:U$46)+SUMIF('ORONA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EDUARDO'!U$40:U$46)+SUMIF('ANCHONDO ROMERO CESAR ALEJANDRO'!P$40:P$46,'KM POR UNIDAD'!A18,'ANCHONDO ROMERO CESAR ALEJANDRO'!U$40:U$46)</f>
        <v>3000</v>
      </c>
      <c r="C18" s="150">
        <f ca="1"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ADRIAN'!T$40:T$46)+SUMIF('CARDENAS CARDENAS JAVIER '!P$40:P$46,'KM POR UNIDAD'!A18,'CARDENAS CARDENAS JAVIER '!T$40:T$46)+SUMIF('BALDERRAMA ROBLES JORGE'!P$40:P$46,'KM POR UNIDAD'!A18,'BALDERRAMA ROBLES JORGE'!T$40:T$46)+SUMIF('BURGOS TORRES RIGOBERTO'!P$39:P$45,'KM POR UNIDAD'!A18,'BURGOS TORRES RIGOBERTO'!T$39:T$45)+SUMIF('CORDOVA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ARAT'!T$40:T$46)+SUMIF('MERCADO LOPEZ JESUS'!P$40:P$46,'KM POR UNIDAD'!A18,'MERCADO LOPEZ JESUS'!T$40:T$46)+SUMIF('ORONA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EDUARDO'!T$40:T$46)+SUMIF('ANCHONDO ROMERO CESAR ALEJANDRO'!P$40:P$46,'KM POR UNIDAD'!A18,'ANCHONDO ROMERO CESAR ALEJANDRO'!T$40:T$46)</f>
        <v>3519</v>
      </c>
      <c r="D18" s="150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ADRIAN'!V$40:V$46)+SUMIF('CARDENAS CARDENAS JAVIER '!P$40:P$46,'KM POR UNIDAD'!A18,'CARDENAS CARDENAS JAVIER '!V$40:V$46)+SUMIF('BALDERRAMA ROBLES JORGE'!P$40:P$46,'KM POR UNIDAD'!A18,'BALDERRAMA ROBLES JORGE'!V$40:V$46)+SUMIF('BURGOS TORRES RIGOBERTO'!P$39:P$45,'KM POR UNIDAD'!A18,'BURGOS TORRES RIGOBERTO'!V$39:V$45)+SUMIF('CORDOVA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ARAT'!V$40:V$46)+SUMIF('MERCADO LOPEZ JESUS'!P$40:P$46,'KM POR UNIDAD'!A18,'MERCADO LOPEZ JESUS'!V$40:V$46)+SUMIF('ORONA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EDUARDO'!V$40:V$46)+SUMIF('ANCHONDO ROMERO CESAR ALEJANDRO'!P$40:P$46,'KM POR UNIDAD'!A18,'ANCHONDO ROMERO CESAR ALEJANDRO'!V$40:V$46)</f>
        <v>803.06999999999994</v>
      </c>
      <c r="E18" s="145">
        <f t="shared" si="0"/>
        <v>3.7356643879113904</v>
      </c>
      <c r="F18" s="144" t="e">
        <f ca="1"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ADRIAN'!Y$40:Y$46)+SUMIF('CARDENAS CARDENAS JAVIER '!T$40:T$46,'KM POR UNIDAD'!E18,'CARDENAS CARDENAS JAVIER '!Y$40:Y$46)+SUMIF('BALDERRAMA ROBLES JORGE'!T$40:T$46,'KM POR UNIDAD'!E18,'BALDERRAMA ROBLES JORGE'!#REF!)+SUMIF('BURGOS TORRES RIGOBERTO'!T$39:T$45,'KM POR UNIDAD'!E18,'BURGOS TORRES RIGOBERTO'!Y$39:Y$45)+SUMIF('CORDOVA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ARAT'!#REF!)+SUMIF('MERCADO LOPEZ JESUS'!T$40:T$46,'KM POR UNIDAD'!E18,'MERCADO LOPEZ JESUS'!Y$40:Y$46)+SUMIF('ORONA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EDUARDO'!Y$41:Y$46)+SUMIF('ANCHONDO ROMERO CESAR ALEJANDRO'!T$40:T$46,'KM POR UNIDAD'!E18,'ANCHONDO ROMERO CESAR ALEJANDRO'!Y$40:Y$46)</f>
        <v>#REF!</v>
      </c>
      <c r="G18" s="146"/>
    </row>
    <row r="19" spans="1:12" x14ac:dyDescent="0.25">
      <c r="A19" s="143" t="s">
        <v>75</v>
      </c>
      <c r="B19" s="144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ADRIAN'!U$40:U$46)+SUMIF('CARDENAS CARDENAS JAVIER '!P$40:P$46,'KM POR UNIDAD'!A19,'CARDENAS CARDENAS JAVIER '!U$40:U$46)+SUMIF('BALDERRAMA ROBLES JORGE'!P$40:P$46,'KM POR UNIDAD'!A19,'BALDERRAMA ROBLES JORGE'!U$40:U$46)+SUMIF('BURGOS TORRES RIGOBERTO'!P$39:P$45,'KM POR UNIDAD'!A19,'BURGOS TORRES RIGOBERTO'!U$39:U$45)+SUMIF('CORDOVA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ARAT'!U$40:U$46)+SUMIF('MERCADO LOPEZ JESUS'!P$40:P$46,'KM POR UNIDAD'!A19,'MERCADO LOPEZ JESUS'!U$40:U$46)+SUMIF('ORONA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EDUARDO'!U$40:U$46)+SUMIF('ANCHONDO ROMERO CESAR ALEJANDRO'!P$40:P$46,'KM POR UNIDAD'!A19,'ANCHONDO ROMERO CESAR ALEJANDRO'!U$40:U$46)</f>
        <v>3050</v>
      </c>
      <c r="C19" s="150">
        <f ca="1"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ADRIAN'!T$40:T$46)+SUMIF('CARDENAS CARDENAS JAVIER '!P$40:P$46,'KM POR UNIDAD'!A19,'CARDENAS CARDENAS JAVIER '!T$40:T$46)+SUMIF('BALDERRAMA ROBLES JORGE'!P$40:P$46,'KM POR UNIDAD'!A19,'BALDERRAMA ROBLES JORGE'!T$40:T$46)+SUMIF('BURGOS TORRES RIGOBERTO'!P$39:P$45,'KM POR UNIDAD'!A19,'BURGOS TORRES RIGOBERTO'!T$39:T$45)+SUMIF('CORDOVA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ARAT'!T$40:T$46)+SUMIF('MERCADO LOPEZ JESUS'!P$40:P$46,'KM POR UNIDAD'!A19,'MERCADO LOPEZ JESUS'!T$40:T$46)+SUMIF('ORONA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EDUARDO'!T$40:T$46)+SUMIF('ANCHONDO ROMERO CESAR ALEJANDRO'!P$40:P$46,'KM POR UNIDAD'!A19,'ANCHONDO ROMERO CESAR ALEJANDRO'!T$40:T$46)</f>
        <v>3182</v>
      </c>
      <c r="D19" s="150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ADRIAN'!V$40:V$46)+SUMIF('CARDENAS CARDENAS JAVIER '!P$40:P$46,'KM POR UNIDAD'!A19,'CARDENAS CARDENAS JAVIER '!V$40:V$46)+SUMIF('BALDERRAMA ROBLES JORGE'!P$40:P$46,'KM POR UNIDAD'!A19,'BALDERRAMA ROBLES JORGE'!V$40:V$46)+SUMIF('BURGOS TORRES RIGOBERTO'!P$39:P$45,'KM POR UNIDAD'!A19,'BURGOS TORRES RIGOBERTO'!V$39:V$45)+SUMIF('CORDOVA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ARAT'!V$40:V$46)+SUMIF('MERCADO LOPEZ JESUS'!P$40:P$46,'KM POR UNIDAD'!A19,'MERCADO LOPEZ JESUS'!V$40:V$46)+SUMIF('ORONA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EDUARDO'!V$40:V$46)+SUMIF('ANCHONDO ROMERO CESAR ALEJANDRO'!P$40:P$46,'KM POR UNIDAD'!A19,'ANCHONDO ROMERO CESAR ALEJANDRO'!V$40:V$46)</f>
        <v>904.09699999999998</v>
      </c>
      <c r="E19" s="145">
        <f t="shared" si="0"/>
        <v>3.373531822359769</v>
      </c>
      <c r="F19" s="144" t="e">
        <f ca="1"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ADRIAN'!Y$40:Y$46)+SUMIF('CARDENAS CARDENAS JAVIER '!T$40:T$46,'KM POR UNIDAD'!A19,'CARDENAS CARDENAS JAVIER '!Y$40:Y$46)+SUMIF('BALDERRAMA ROBLES JORGE'!T$40:T$46,'KM POR UNIDAD'!A19,'BALDERRAMA ROBLES JORGE'!#REF!)+SUMIF('BURGOS TORRES RIGOBERTO'!T$39:T$45,'KM POR UNIDAD'!A19,'BURGOS TORRES RIGOBERTO'!Y$39:Y$45)+SUMIF('CORDOVA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ARAT'!#REF!)+SUMIF('MERCADO LOPEZ JESUS'!T$40:T$46,'KM POR UNIDAD'!E19,'MERCADO LOPEZ JESUS'!Y$40:Y$46)+SUMIF('ORONA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EDUARDO'!Y$41:Y$46)+SUMIF('ANCHONDO ROMERO CESAR ALEJANDRO'!T$40:T$46,'KM POR UNIDAD'!E19,'ANCHONDO ROMERO CESAR ALEJANDRO'!Y$40:Y$46)</f>
        <v>#REF!</v>
      </c>
      <c r="G19" s="146"/>
    </row>
    <row r="20" spans="1:12" x14ac:dyDescent="0.25">
      <c r="A20" s="143" t="s">
        <v>153</v>
      </c>
      <c r="B20" s="144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ADRIAN'!U$40:U$46)+SUMIF('CARDENAS CARDENAS JAVIER '!P$40:P$46,'KM POR UNIDAD'!A20,'CARDENAS CARDENAS JAVIER '!U$40:U$46)+SUMIF('BALDERRAMA ROBLES JORGE'!P$40:P$46,'KM POR UNIDAD'!A20,'BALDERRAMA ROBLES JORGE'!U$40:U$46)+SUMIF('BURGOS TORRES RIGOBERTO'!P$39:P$45,'KM POR UNIDAD'!A20,'BURGOS TORRES RIGOBERTO'!U$39:U$45)+SUMIF('CORDOVA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ARAT'!U$40:U$46)+SUMIF('MERCADO LOPEZ JESUS'!P$40:P$46,'KM POR UNIDAD'!A20,'MERCADO LOPEZ JESUS'!U$40:U$46)+SUMIF('ORONA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EDUARDO'!U$40:U$46)+SUMIF('ANCHONDO ROMERO CESAR ALEJANDRO'!P$40:P$46,'KM POR UNIDAD'!A20,'ANCHONDO ROMERO CESAR ALEJANDRO'!U$40:U$46)</f>
        <v>3160</v>
      </c>
      <c r="C20" s="150">
        <f ca="1"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ADRIAN'!T$40:T$46)+SUMIF('CARDENAS CARDENAS JAVIER '!P$40:P$46,'KM POR UNIDAD'!A20,'CARDENAS CARDENAS JAVIER '!T$40:T$46)+SUMIF('BALDERRAMA ROBLES JORGE'!P$40:P$46,'KM POR UNIDAD'!A20,'BALDERRAMA ROBLES JORGE'!T$40:T$46)+SUMIF('BURGOS TORRES RIGOBERTO'!P$39:P$45,'KM POR UNIDAD'!A20,'BURGOS TORRES RIGOBERTO'!T$39:T$45)+SUMIF('CORDOVA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ARAT'!T$40:T$46)+SUMIF('MERCADO LOPEZ JESUS'!P$40:P$46,'KM POR UNIDAD'!A20,'MERCADO LOPEZ JESUS'!T$40:T$46)+SUMIF('ORONA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EDUARDO'!T$40:T$46)+SUMIF('ANCHONDO ROMERO CESAR ALEJANDRO'!P$40:P$46,'KM POR UNIDAD'!A20,'ANCHONDO ROMERO CESAR ALEJANDRO'!T$40:T$46)</f>
        <v>3173</v>
      </c>
      <c r="D20" s="150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ADRIAN'!V$40:V$46)+SUMIF('CARDENAS CARDENAS JAVIER '!P$40:P$46,'KM POR UNIDAD'!A20,'CARDENAS CARDENAS JAVIER '!V$40:V$46)+SUMIF('BALDERRAMA ROBLES JORGE'!P$40:P$46,'KM POR UNIDAD'!A20,'BALDERRAMA ROBLES JORGE'!V$40:V$46)+SUMIF('BURGOS TORRES RIGOBERTO'!P$39:P$45,'KM POR UNIDAD'!A20,'BURGOS TORRES RIGOBERTO'!V$39:V$45)+SUMIF('CORDOVA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ARAT'!V$40:V$46)+SUMIF('MERCADO LOPEZ JESUS'!P$40:P$46,'KM POR UNIDAD'!A20,'MERCADO LOPEZ JESUS'!V$40:V$46)+SUMIF('ORONA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EDUARDO'!V$40:V$46)+SUMIF('ANCHONDO ROMERO CESAR ALEJANDRO'!P$40:P$46,'KM POR UNIDAD'!A20,'ANCHONDO ROMERO CESAR ALEJANDRO'!V$40:V$46)</f>
        <v>878.66100000000006</v>
      </c>
      <c r="E20" s="145">
        <f t="shared" si="0"/>
        <v>3.5963813120190835</v>
      </c>
      <c r="F20" s="144"/>
      <c r="G20" s="146"/>
    </row>
    <row r="21" spans="1:12" x14ac:dyDescent="0.25">
      <c r="A21" s="143" t="s">
        <v>154</v>
      </c>
      <c r="B21" s="144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ADRIAN'!U$40:U$46)+SUMIF('CARDENAS CARDENAS JAVIER '!P$40:P$46,'KM POR UNIDAD'!A21,'CARDENAS CARDENAS JAVIER '!U$40:U$46)+SUMIF('BALDERRAMA ROBLES JORGE'!P$40:P$46,'KM POR UNIDAD'!A21,'BALDERRAMA ROBLES JORGE'!U$40:U$46)+SUMIF('BURGOS TORRES RIGOBERTO'!P$39:P$45,'KM POR UNIDAD'!A21,'BURGOS TORRES RIGOBERTO'!U$39:U$45)+SUMIF('CORDOVA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ARAT'!U$40:U$46)+SUMIF('MERCADO LOPEZ JESUS'!P$40:P$46,'KM POR UNIDAD'!A21,'MERCADO LOPEZ JESUS'!U$40:U$46)+SUMIF('ORONA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EDUARDO'!U$40:U$46)+SUMIF('ANCHONDO ROMERO CESAR ALEJANDRO'!P$40:P$46,'KM POR UNIDAD'!A21,'ANCHONDO ROMERO CESAR ALEJANDRO'!U$40:U$46)</f>
        <v>1500</v>
      </c>
      <c r="C21" s="150">
        <f ca="1"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ADRIAN'!T$40:T$46)+SUMIF('CARDENAS CARDENAS JAVIER '!P$40:P$46,'KM POR UNIDAD'!A21,'CARDENAS CARDENAS JAVIER '!T$40:T$46)+SUMIF('BALDERRAMA ROBLES JORGE'!P$40:P$46,'KM POR UNIDAD'!A21,'BALDERRAMA ROBLES JORGE'!T$40:T$46)+SUMIF('BURGOS TORRES RIGOBERTO'!P$39:P$45,'KM POR UNIDAD'!A21,'BURGOS TORRES RIGOBERTO'!T$39:T$45)+SUMIF('CORDOVA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ARAT'!T$40:T$46)+SUMIF('MERCADO LOPEZ JESUS'!P$40:P$46,'KM POR UNIDAD'!A21,'MERCADO LOPEZ JESUS'!T$40:T$46)+SUMIF('ORONA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EDUARDO'!T$40:T$46)+SUMIF('ANCHONDO ROMERO CESAR ALEJANDRO'!P$40:P$46,'KM POR UNIDAD'!A21,'ANCHONDO ROMERO CESAR ALEJANDRO'!T$40:T$46)</f>
        <v>1480</v>
      </c>
      <c r="D21" s="150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ADRIAN'!V$40:V$46)+SUMIF('CARDENAS CARDENAS JAVIER '!P$40:P$46,'KM POR UNIDAD'!A21,'CARDENAS CARDENAS JAVIER '!V$40:V$46)+SUMIF('BALDERRAMA ROBLES JORGE'!P$40:P$46,'KM POR UNIDAD'!A21,'BALDERRAMA ROBLES JORGE'!V$40:V$46)+SUMIF('BURGOS TORRES RIGOBERTO'!P$39:P$45,'KM POR UNIDAD'!A21,'BURGOS TORRES RIGOBERTO'!V$39:V$45)+SUMIF('CORDOVA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ARAT'!V$40:V$46)+SUMIF('MERCADO LOPEZ JESUS'!P$40:P$46,'KM POR UNIDAD'!A21,'MERCADO LOPEZ JESUS'!V$40:V$46)+SUMIF('ORONA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EDUARDO'!V$40:V$46)+SUMIF('ANCHONDO ROMERO CESAR ALEJANDRO'!P$40:P$46,'KM POR UNIDAD'!A21,'ANCHONDO ROMERO CESAR ALEJANDRO'!V$40:V$46)</f>
        <v>378.29600000000005</v>
      </c>
      <c r="E21" s="145">
        <f t="shared" si="0"/>
        <v>3.9651489838644864</v>
      </c>
      <c r="F21" s="144" t="e">
        <f ca="1"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ADRIAN'!Y$40:Y$46)+SUMIF('CARDENAS CARDENAS JAVIER '!T$40:T$46,'KM POR UNIDAD'!A21,'CARDENAS CARDENAS JAVIER '!Y$40:Y$46)+SUMIF('BALDERRAMA ROBLES JORGE'!T$40:T$46,'KM POR UNIDAD'!A21,'BALDERRAMA ROBLES JORGE'!#REF!)+SUMIF('BURGOS TORRES RIGOBERTO'!T$39:T$45,'KM POR UNIDAD'!A21,'BURGOS TORRES RIGOBERTO'!Y$39:Y$45)+SUMIF('CORDOVA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ARAT'!#REF!)+SUMIF('MERCADO LOPEZ JESUS'!T$40:T$46,'KM POR UNIDAD'!E21,'MERCADO LOPEZ JESUS'!Y$40:Y$46)+SUMIF('ORONA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EDUARDO'!Y$41:Y$46)+SUMIF('ANCHONDO ROMERO CESAR ALEJANDRO'!T$40:T$46,'KM POR UNIDAD'!E21,'ANCHONDO ROMERO CESAR ALEJANDRO'!Y$40:Y$46)</f>
        <v>#REF!</v>
      </c>
      <c r="G21" s="146"/>
    </row>
    <row r="22" spans="1:12" x14ac:dyDescent="0.25">
      <c r="A22" s="143" t="s">
        <v>155</v>
      </c>
      <c r="B22" s="144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ADRIAN'!U$40:U$46)+SUMIF('CARDENAS CARDENAS JAVIER '!P$40:P$46,'KM POR UNIDAD'!A22,'CARDENAS CARDENAS JAVIER '!U$40:U$46)+SUMIF('BALDERRAMA ROBLES JORGE'!P$40:P$46,'KM POR UNIDAD'!A22,'BALDERRAMA ROBLES JORGE'!U$40:U$46)+SUMIF('BURGOS TORRES RIGOBERTO'!P$39:P$45,'KM POR UNIDAD'!A22,'BURGOS TORRES RIGOBERTO'!U$39:U$45)+SUMIF('CORDOVA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ARAT'!U$40:U$46)+SUMIF('MERCADO LOPEZ JESUS'!P$40:P$46,'KM POR UNIDAD'!A22,'MERCADO LOPEZ JESUS'!U$40:U$46)+SUMIF('ORONA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EDUARDO'!U$40:U$46)+SUMIF('ANCHONDO ROMERO CESAR ALEJANDRO'!P$40:P$46,'KM POR UNIDAD'!A22,'ANCHONDO ROMERO CESAR ALEJANDRO'!U$40:U$46)</f>
        <v>0</v>
      </c>
      <c r="C22" s="150">
        <f ca="1"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ADRIAN'!T$40:T$46)+SUMIF('CARDENAS CARDENAS JAVIER '!P$40:P$46,'KM POR UNIDAD'!A22,'CARDENAS CARDENAS JAVIER '!T$40:T$46)+SUMIF('BALDERRAMA ROBLES JORGE'!P$40:P$46,'KM POR UNIDAD'!A22,'BALDERRAMA ROBLES JORGE'!T$40:T$46)+SUMIF('BURGOS TORRES RIGOBERTO'!P$39:P$45,'KM POR UNIDAD'!A22,'BURGOS TORRES RIGOBERTO'!T$39:T$45)+SUMIF('CORDOVA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ARAT'!T$40:T$46)+SUMIF('MERCADO LOPEZ JESUS'!P$40:P$46,'KM POR UNIDAD'!A22,'MERCADO LOPEZ JESUS'!T$40:T$46)+SUMIF('ORONA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EDUARDO'!T$40:T$46)+SUMIF('ANCHONDO ROMERO CESAR ALEJANDRO'!P$40:P$46,'KM POR UNIDAD'!A22,'ANCHONDO ROMERO CESAR ALEJANDRO'!T$40:T$46)</f>
        <v>0</v>
      </c>
      <c r="D22" s="150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ADRIAN'!V$40:V$46)+SUMIF('CARDENAS CARDENAS JAVIER '!P$40:P$46,'KM POR UNIDAD'!A22,'CARDENAS CARDENAS JAVIER '!V$40:V$46)+SUMIF('BALDERRAMA ROBLES JORGE'!P$40:P$46,'KM POR UNIDAD'!A22,'BALDERRAMA ROBLES JORGE'!V$40:V$46)+SUMIF('BURGOS TORRES RIGOBERTO'!P$39:P$45,'KM POR UNIDAD'!A22,'BURGOS TORRES RIGOBERTO'!V$39:V$45)+SUMIF('CORDOVA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ARAT'!V$40:V$46)+SUMIF('MERCADO LOPEZ JESUS'!P$40:P$46,'KM POR UNIDAD'!A22,'MERCADO LOPEZ JESUS'!V$40:V$46)+SUMIF('ORONA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EDUARDO'!V$40:V$46)+SUMIF('ANCHONDO ROMERO CESAR ALEJANDRO'!P$40:P$46,'KM POR UNIDAD'!A22,'ANCHONDO ROMERO CESAR ALEJANDRO'!V$40:V$46)</f>
        <v>0</v>
      </c>
      <c r="E22" s="145">
        <f t="shared" si="0"/>
        <v>0</v>
      </c>
      <c r="F22" s="144" t="e">
        <f ca="1"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ADRIAN'!Y$40:Y$46)+SUMIF('CARDENAS CARDENAS JAVIER '!T$40:T$46,'KM POR UNIDAD'!A22,'CARDENAS CARDENAS JAVIER '!Y$40:Y$46)+SUMIF('BALDERRAMA ROBLES JORGE'!T$40:T$46,'KM POR UNIDAD'!A22,'BALDERRAMA ROBLES JORGE'!#REF!)+SUMIF('BURGOS TORRES RIGOBERTO'!T$39:T$45,'KM POR UNIDAD'!A22,'BURGOS TORRES RIGOBERTO'!Y$39:Y$45)+SUMIF('CORDOVA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ARAT'!#REF!)+SUMIF('MERCADO LOPEZ JESUS'!T$40:T$46,'KM POR UNIDAD'!E22,'MERCADO LOPEZ JESUS'!Y$40:Y$46)+SUMIF('ORONA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EDUARDO'!Y$41:Y$46)+SUMIF('ANCHONDO ROMERO CESAR ALEJANDRO'!T$40:T$46,'KM POR UNIDAD'!E22,'ANCHONDO ROMERO CESAR ALEJANDRO'!Y$40:Y$46)</f>
        <v>#REF!</v>
      </c>
      <c r="G22" s="146"/>
    </row>
    <row r="23" spans="1:12" x14ac:dyDescent="0.25">
      <c r="A23" s="143" t="s">
        <v>156</v>
      </c>
      <c r="B23" s="144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ADRIAN'!U$40:U$46)+SUMIF('CARDENAS CARDENAS JAVIER '!P$40:P$46,'KM POR UNIDAD'!A23,'CARDENAS CARDENAS JAVIER '!U$40:U$46)+SUMIF('BALDERRAMA ROBLES JORGE'!P$40:P$46,'KM POR UNIDAD'!A23,'BALDERRAMA ROBLES JORGE'!U$40:U$46)+SUMIF('BURGOS TORRES RIGOBERTO'!P$39:P$45,'KM POR UNIDAD'!A23,'BURGOS TORRES RIGOBERTO'!U$39:U$45)+SUMIF('CORDOVA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ARAT'!U$40:U$46)+SUMIF('MERCADO LOPEZ JESUS'!P$40:P$46,'KM POR UNIDAD'!A23,'MERCADO LOPEZ JESUS'!U$40:U$46)+SUMIF('ORONA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EDUARDO'!U$40:U$46)+SUMIF('ANCHONDO ROMERO CESAR ALEJANDRO'!P$40:P$46,'KM POR UNIDAD'!A23,'ANCHONDO ROMERO CESAR ALEJANDRO'!U$40:U$46)</f>
        <v>2290</v>
      </c>
      <c r="C23" s="150">
        <f ca="1"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ADRIAN'!T$40:T$46)+SUMIF('CARDENAS CARDENAS JAVIER '!P$40:P$46,'KM POR UNIDAD'!A23,'CARDENAS CARDENAS JAVIER '!T$40:T$46)+SUMIF('BALDERRAMA ROBLES JORGE'!P$40:P$46,'KM POR UNIDAD'!A23,'BALDERRAMA ROBLES JORGE'!T$40:T$46)+SUMIF('BURGOS TORRES RIGOBERTO'!P$39:P$45,'KM POR UNIDAD'!A23,'BURGOS TORRES RIGOBERTO'!T$39:T$45)+SUMIF('CORDOVA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ARAT'!T$40:T$46)+SUMIF('MERCADO LOPEZ JESUS'!P$40:P$46,'KM POR UNIDAD'!A23,'MERCADO LOPEZ JESUS'!T$40:T$46)+SUMIF('ORONA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EDUARDO'!T$40:T$46)+SUMIF('ANCHONDO ROMERO CESAR ALEJANDRO'!P$40:P$46,'KM POR UNIDAD'!A23,'ANCHONDO ROMERO CESAR ALEJANDRO'!T$40:T$46)</f>
        <v>2241</v>
      </c>
      <c r="D23" s="150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ADRIAN'!V$40:V$46)+SUMIF('CARDENAS CARDENAS JAVIER '!P$40:P$46,'KM POR UNIDAD'!A23,'CARDENAS CARDENAS JAVIER '!V$40:V$46)+SUMIF('BALDERRAMA ROBLES JORGE'!P$40:P$46,'KM POR UNIDAD'!A23,'BALDERRAMA ROBLES JORGE'!V$40:V$46)+SUMIF('BURGOS TORRES RIGOBERTO'!P$39:P$45,'KM POR UNIDAD'!A23,'BURGOS TORRES RIGOBERTO'!V$39:V$45)+SUMIF('CORDOVA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ARAT'!V$40:V$46)+SUMIF('MERCADO LOPEZ JESUS'!P$40:P$46,'KM POR UNIDAD'!A23,'MERCADO LOPEZ JESUS'!V$40:V$46)+SUMIF('ORONA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EDUARDO'!V$40:V$46)+SUMIF('ANCHONDO ROMERO CESAR ALEJANDRO'!P$40:P$46,'KM POR UNIDAD'!A23,'ANCHONDO ROMERO CESAR ALEJANDRO'!V$40:V$46)</f>
        <v>709.31700000000001</v>
      </c>
      <c r="E23" s="145">
        <f t="shared" si="0"/>
        <v>3.2284577981353895</v>
      </c>
      <c r="F23" s="144" t="e">
        <f ca="1"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ADRIAN'!Y$40:Y$46)+SUMIF('CARDENAS CARDENAS JAVIER '!T$40:T$46,'KM POR UNIDAD'!A23,'CARDENAS CARDENAS JAVIER '!Y$40:Y$46)+SUMIF('BALDERRAMA ROBLES JORGE'!T$40:T$46,'KM POR UNIDAD'!A23,'BALDERRAMA ROBLES JORGE'!#REF!)+SUMIF('BURGOS TORRES RIGOBERTO'!T$39:T$45,'KM POR UNIDAD'!A23,'BURGOS TORRES RIGOBERTO'!Y$39:Y$45)+SUMIF('CORDOVA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ARAT'!#REF!)+SUMIF('MERCADO LOPEZ JESUS'!T$40:T$46,'KM POR UNIDAD'!E23,'MERCADO LOPEZ JESUS'!Y$40:Y$46)+SUMIF('ORONA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EDUARDO'!Y$41:Y$46)+SUMIF('ANCHONDO ROMERO CESAR ALEJANDRO'!T$40:T$46,'KM POR UNIDAD'!E23,'ANCHONDO ROMERO CESAR ALEJANDRO'!Y$40:Y$46)</f>
        <v>#REF!</v>
      </c>
      <c r="G23" s="146"/>
    </row>
    <row r="24" spans="1:12" x14ac:dyDescent="0.25">
      <c r="A24" s="143" t="s">
        <v>157</v>
      </c>
      <c r="B24" s="144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ADRIAN'!U$40:U$46)+SUMIF('CARDENAS CARDENAS JAVIER '!P$40:P$46,'KM POR UNIDAD'!A24,'CARDENAS CARDENAS JAVIER '!U$40:U$46)+SUMIF('BALDERRAMA ROBLES JORGE'!P$40:P$46,'KM POR UNIDAD'!A24,'BALDERRAMA ROBLES JORGE'!U$40:U$46)+SUMIF('BURGOS TORRES RIGOBERTO'!P$39:P$45,'KM POR UNIDAD'!A24,'BURGOS TORRES RIGOBERTO'!U$39:U$45)+SUMIF('CORDOVA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ARAT'!U$40:U$46)+SUMIF('MERCADO LOPEZ JESUS'!P$40:P$46,'KM POR UNIDAD'!A24,'MERCADO LOPEZ JESUS'!U$40:U$46)+SUMIF('ORONA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EDUARDO'!U$40:U$46)+SUMIF('ANCHONDO ROMERO CESAR ALEJANDRO'!P$40:P$46,'KM POR UNIDAD'!A24,'ANCHONDO ROMERO CESAR ALEJANDRO'!U$40:U$46)</f>
        <v>3950</v>
      </c>
      <c r="C24" s="150">
        <f ca="1"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ADRIAN'!T$40:T$46)+SUMIF('CARDENAS CARDENAS JAVIER '!P$40:P$46,'KM POR UNIDAD'!A24,'CARDENAS CARDENAS JAVIER '!T$40:T$46)+SUMIF('BALDERRAMA ROBLES JORGE'!P$40:P$46,'KM POR UNIDAD'!A24,'BALDERRAMA ROBLES JORGE'!T$40:T$46)+SUMIF('BURGOS TORRES RIGOBERTO'!P$39:P$45,'KM POR UNIDAD'!A24,'BURGOS TORRES RIGOBERTO'!T$39:T$45)+SUMIF('CORDOVA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ARAT'!T$40:T$46)+SUMIF('MERCADO LOPEZ JESUS'!P$40:P$46,'KM POR UNIDAD'!A24,'MERCADO LOPEZ JESUS'!T$40:T$46)+SUMIF('ORONA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EDUARDO'!T$40:T$46)+SUMIF('ANCHONDO ROMERO CESAR ALEJANDRO'!P$40:P$46,'KM POR UNIDAD'!A24,'ANCHONDO ROMERO CESAR ALEJANDRO'!T$40:T$46)</f>
        <v>3838</v>
      </c>
      <c r="D24" s="150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ADRIAN'!V$40:V$46)+SUMIF('CARDENAS CARDENAS JAVIER '!P$40:P$46,'KM POR UNIDAD'!A24,'CARDENAS CARDENAS JAVIER '!V$40:V$46)+SUMIF('BALDERRAMA ROBLES JORGE'!P$40:P$46,'KM POR UNIDAD'!A24,'BALDERRAMA ROBLES JORGE'!V$40:V$46)+SUMIF('BURGOS TORRES RIGOBERTO'!P$39:P$45,'KM POR UNIDAD'!A24,'BURGOS TORRES RIGOBERTO'!V$39:V$45)+SUMIF('CORDOVA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ARAT'!V$40:V$46)+SUMIF('MERCADO LOPEZ JESUS'!P$40:P$46,'KM POR UNIDAD'!A24,'MERCADO LOPEZ JESUS'!V$40:V$46)+SUMIF('ORONA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EDUARDO'!V$40:V$46)+SUMIF('ANCHONDO ROMERO CESAR ALEJANDRO'!P$40:P$46,'KM POR UNIDAD'!A24,'ANCHONDO ROMERO CESAR ALEJANDRO'!V$40:V$46)</f>
        <v>1063.9939999999999</v>
      </c>
      <c r="E24" s="145">
        <f t="shared" si="0"/>
        <v>3.7124269497760327</v>
      </c>
      <c r="F24" s="144" t="e">
        <f ca="1"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ADRIAN'!Y$40:Y$46)+SUMIF('CARDENAS CARDENAS JAVIER '!T$40:T$46,'KM POR UNIDAD'!A24,'CARDENAS CARDENAS JAVIER '!Y$40:Y$46)+SUMIF('BALDERRAMA ROBLES JORGE'!T$40:T$46,'KM POR UNIDAD'!A24,'BALDERRAMA ROBLES JORGE'!#REF!)+SUMIF('BURGOS TORRES RIGOBERTO'!T$39:T$45,'KM POR UNIDAD'!A24,'BURGOS TORRES RIGOBERTO'!Y$39:Y$45)+SUMIF('CORDOVA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ARAT'!#REF!)+SUMIF('MERCADO LOPEZ JESUS'!T$40:T$46,'KM POR UNIDAD'!E24,'MERCADO LOPEZ JESUS'!Y$40:Y$46)+SUMIF('ORONA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EDUARDO'!Y$41:Y$46)+SUMIF('ANCHONDO ROMERO CESAR ALEJANDRO'!T$40:T$46,'KM POR UNIDAD'!E24,'ANCHONDO ROMERO CESAR ALEJANDRO'!Y$40:Y$46)</f>
        <v>#REF!</v>
      </c>
      <c r="G24" s="146"/>
    </row>
    <row r="25" spans="1:12" x14ac:dyDescent="0.25">
      <c r="A25" s="143" t="s">
        <v>158</v>
      </c>
      <c r="B25" s="144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ADRIAN'!U$40:U$46)+SUMIF('CARDENAS CARDENAS JAVIER '!P$40:P$46,'KM POR UNIDAD'!A25,'CARDENAS CARDENAS JAVIER '!U$40:U$46)+SUMIF('BALDERRAMA ROBLES JORGE'!P$40:P$46,'KM POR UNIDAD'!A25,'BALDERRAMA ROBLES JORGE'!U$40:U$46)+SUMIF('BURGOS TORRES RIGOBERTO'!P$39:P$45,'KM POR UNIDAD'!A25,'BURGOS TORRES RIGOBERTO'!U$39:U$45)+SUMIF('CORDOVA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ARAT'!U$40:U$46)+SUMIF('MERCADO LOPEZ JESUS'!P$40:P$46,'KM POR UNIDAD'!A25,'MERCADO LOPEZ JESUS'!U$40:U$46)+SUMIF('ORONA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EDUARDO'!U$40:U$46)+SUMIF('ANCHONDO ROMERO CESAR ALEJANDRO'!P$40:P$46,'KM POR UNIDAD'!A25,'ANCHONDO ROMERO CESAR ALEJANDRO'!U$40:U$46)</f>
        <v>2250</v>
      </c>
      <c r="C25" s="150">
        <f ca="1"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ADRIAN'!T$40:T$46)+SUMIF('CARDENAS CARDENAS JAVIER '!P$40:P$46,'KM POR UNIDAD'!A25,'CARDENAS CARDENAS JAVIER '!T$40:T$46)+SUMIF('BALDERRAMA ROBLES JORGE'!P$40:P$46,'KM POR UNIDAD'!A25,'BALDERRAMA ROBLES JORGE'!T$40:T$46)+SUMIF('BURGOS TORRES RIGOBERTO'!P$39:P$45,'KM POR UNIDAD'!A25,'BURGOS TORRES RIGOBERTO'!T$39:T$45)+SUMIF('CORDOVA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ARAT'!T$40:T$46)+SUMIF('MERCADO LOPEZ JESUS'!P$40:P$46,'KM POR UNIDAD'!A25,'MERCADO LOPEZ JESUS'!T$40:T$46)+SUMIF('ORONA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EDUARDO'!T$40:T$46)+SUMIF('ANCHONDO ROMERO CESAR ALEJANDRO'!P$40:P$46,'KM POR UNIDAD'!A25,'ANCHONDO ROMERO CESAR ALEJANDRO'!T$40:T$46)</f>
        <v>2161</v>
      </c>
      <c r="D25" s="150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ADRIAN'!V$40:V$46)+SUMIF('CARDENAS CARDENAS JAVIER '!P$40:P$46,'KM POR UNIDAD'!A25,'CARDENAS CARDENAS JAVIER '!V$40:V$46)+SUMIF('BALDERRAMA ROBLES JORGE'!P$40:P$46,'KM POR UNIDAD'!A25,'BALDERRAMA ROBLES JORGE'!V$40:V$46)+SUMIF('BURGOS TORRES RIGOBERTO'!P$39:P$45,'KM POR UNIDAD'!A25,'BURGOS TORRES RIGOBERTO'!V$39:V$45)+SUMIF('CORDOVA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ARAT'!V$40:V$46)+SUMIF('MERCADO LOPEZ JESUS'!P$40:P$46,'KM POR UNIDAD'!A25,'MERCADO LOPEZ JESUS'!V$40:V$46)+SUMIF('ORONA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EDUARDO'!V$40:V$46)+SUMIF('ANCHONDO ROMERO CESAR ALEJANDRO'!P$40:P$46,'KM POR UNIDAD'!A25,'ANCHONDO ROMERO CESAR ALEJANDRO'!V$40:V$46)</f>
        <v>628.01900000000001</v>
      </c>
      <c r="E25" s="145">
        <f t="shared" si="0"/>
        <v>3.5826941541577564</v>
      </c>
      <c r="F25" s="144" t="e">
        <f ca="1"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ADRIAN'!Y$40:Y$46)+SUMIF('CARDENAS CARDENAS JAVIER '!T$40:T$46,'KM POR UNIDAD'!A25,'CARDENAS CARDENAS JAVIER '!Y$40:Y$46)+SUMIF('BALDERRAMA ROBLES JORGE'!T$40:T$46,'KM POR UNIDAD'!A25,'BALDERRAMA ROBLES JORGE'!#REF!)+SUMIF('BURGOS TORRES RIGOBERTO'!T$39:T$45,'KM POR UNIDAD'!A25,'BURGOS TORRES RIGOBERTO'!Y$39:Y$45)+SUMIF('CORDOVA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ARAT'!#REF!)+SUMIF('MERCADO LOPEZ JESUS'!T$40:T$46,'KM POR UNIDAD'!E25,'MERCADO LOPEZ JESUS'!Y$40:Y$46)+SUMIF('ORONA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EDUARDO'!Y$41:Y$46)+SUMIF('ANCHONDO ROMERO CESAR ALEJANDRO'!T$40:T$46,'KM POR UNIDAD'!E25,'ANCHONDO ROMERO CESAR ALEJANDRO'!Y$40:Y$46)</f>
        <v>#REF!</v>
      </c>
      <c r="G25" s="146"/>
    </row>
    <row r="26" spans="1:12" x14ac:dyDescent="0.25">
      <c r="A26" s="143" t="s">
        <v>159</v>
      </c>
      <c r="B26" s="144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ADRIAN'!U$40:U$46)+SUMIF('CARDENAS CARDENAS JAVIER '!P$40:P$46,'KM POR UNIDAD'!A26,'CARDENAS CARDENAS JAVIER '!U$40:U$46)+SUMIF('BALDERRAMA ROBLES JORGE'!P$40:P$46,'KM POR UNIDAD'!A26,'BALDERRAMA ROBLES JORGE'!U$40:U$46)+SUMIF('BURGOS TORRES RIGOBERTO'!P$39:P$45,'KM POR UNIDAD'!A26,'BURGOS TORRES RIGOBERTO'!U$39:U$45)+SUMIF('CORDOVA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ARAT'!U$40:U$46)+SUMIF('MERCADO LOPEZ JESUS'!P$40:P$46,'KM POR UNIDAD'!A26,'MERCADO LOPEZ JESUS'!U$40:U$46)+SUMIF('ORONA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EDUARDO'!U$40:U$46)+SUMIF('ANCHONDO ROMERO CESAR ALEJANDRO'!P$40:P$46,'KM POR UNIDAD'!A26,'ANCHONDO ROMERO CESAR ALEJANDRO'!U$40:U$46)</f>
        <v>2250</v>
      </c>
      <c r="C26" s="150">
        <f ca="1"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ADRIAN'!T$40:T$46)+SUMIF('CARDENAS CARDENAS JAVIER '!P$40:P$46,'KM POR UNIDAD'!A26,'CARDENAS CARDENAS JAVIER '!T$40:T$46)+SUMIF('BALDERRAMA ROBLES JORGE'!P$40:P$46,'KM POR UNIDAD'!A26,'BALDERRAMA ROBLES JORGE'!T$40:T$46)+SUMIF('BURGOS TORRES RIGOBERTO'!P$39:P$45,'KM POR UNIDAD'!A26,'BURGOS TORRES RIGOBERTO'!T$39:T$45)+SUMIF('CORDOVA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ARAT'!T$40:T$46)+SUMIF('MERCADO LOPEZ JESUS'!P$40:P$46,'KM POR UNIDAD'!A26,'MERCADO LOPEZ JESUS'!T$40:T$46)+SUMIF('ORONA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EDUARDO'!T$40:T$46)+SUMIF('ANCHONDO ROMERO CESAR ALEJANDRO'!P$40:P$46,'KM POR UNIDAD'!A26,'ANCHONDO ROMERO CESAR ALEJANDRO'!T$40:T$46)</f>
        <v>2171</v>
      </c>
      <c r="D26" s="150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ADRIAN'!V$40:V$46)+SUMIF('CARDENAS CARDENAS JAVIER '!P$40:P$46,'KM POR UNIDAD'!A26,'CARDENAS CARDENAS JAVIER '!V$40:V$46)+SUMIF('BALDERRAMA ROBLES JORGE'!P$40:P$46,'KM POR UNIDAD'!A26,'BALDERRAMA ROBLES JORGE'!V$40:V$46)+SUMIF('BURGOS TORRES RIGOBERTO'!P$39:P$45,'KM POR UNIDAD'!A26,'BURGOS TORRES RIGOBERTO'!V$39:V$45)+SUMIF('CORDOVA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ARAT'!V$40:V$46)+SUMIF('MERCADO LOPEZ JESUS'!P$40:P$46,'KM POR UNIDAD'!A26,'MERCADO LOPEZ JESUS'!V$40:V$46)+SUMIF('ORONA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EDUARDO'!V$40:V$46)+SUMIF('ANCHONDO ROMERO CESAR ALEJANDRO'!P$40:P$46,'KM POR UNIDAD'!A26,'ANCHONDO ROMERO CESAR ALEJANDRO'!V$40:V$46)</f>
        <v>685.04399999999998</v>
      </c>
      <c r="E26" s="145">
        <f t="shared" si="0"/>
        <v>3.2844605601975934</v>
      </c>
      <c r="F26" s="144" t="e">
        <f ca="1"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ADRIAN'!Y$40:Y$46)+SUMIF('CARDENAS CARDENAS JAVIER '!T$40:T$46,'KM POR UNIDAD'!A26,'CARDENAS CARDENAS JAVIER '!Y$40:Y$46)+SUMIF('BALDERRAMA ROBLES JORGE'!T$40:T$46,'KM POR UNIDAD'!A26,'BALDERRAMA ROBLES JORGE'!#REF!)+SUMIF('BURGOS TORRES RIGOBERTO'!T$39:T$45,'KM POR UNIDAD'!A26,'BURGOS TORRES RIGOBERTO'!Y$39:Y$45)+SUMIF('CORDOVA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ARAT'!#REF!)+SUMIF('MERCADO LOPEZ JESUS'!T$40:T$46,'KM POR UNIDAD'!E26,'MERCADO LOPEZ JESUS'!Y$40:Y$46)+SUMIF('ORONA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EDUARDO'!Y$41:Y$46)+SUMIF('ANCHONDO ROMERO CESAR ALEJANDRO'!T$40:T$46,'KM POR UNIDAD'!E26,'ANCHONDO ROMERO CESAR ALEJANDRO'!Y$40:Y$46)</f>
        <v>#REF!</v>
      </c>
      <c r="G26" s="146"/>
    </row>
    <row r="27" spans="1:12" x14ac:dyDescent="0.25">
      <c r="A27" s="143" t="s">
        <v>160</v>
      </c>
      <c r="B27" s="144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ADRIAN'!U$40:U$46)+SUMIF('CARDENAS CARDENAS JAVIER '!P$40:P$46,'KM POR UNIDAD'!A27,'CARDENAS CARDENAS JAVIER '!U$40:U$46)+SUMIF('BALDERRAMA ROBLES JORGE'!P$40:P$46,'KM POR UNIDAD'!A27,'BALDERRAMA ROBLES JORGE'!U$40:U$46)+SUMIF('BURGOS TORRES RIGOBERTO'!P$39:P$45,'KM POR UNIDAD'!A27,'BURGOS TORRES RIGOBERTO'!U$39:U$45)+SUMIF('CORDOVA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ARAT'!U$40:U$46)+SUMIF('MERCADO LOPEZ JESUS'!P$40:P$46,'KM POR UNIDAD'!A27,'MERCADO LOPEZ JESUS'!U$40:U$46)+SUMIF('ORONA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EDUARDO'!U$40:U$46)+SUMIF('ANCHONDO ROMERO CESAR ALEJANDRO'!P$40:P$46,'KM POR UNIDAD'!A27,'ANCHONDO ROMERO CESAR ALEJANDRO'!U$40:U$46)</f>
        <v>0</v>
      </c>
      <c r="C27" s="150">
        <f ca="1"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ADRIAN'!T$40:T$46)+SUMIF('CARDENAS CARDENAS JAVIER '!P$40:P$46,'KM POR UNIDAD'!A27,'CARDENAS CARDENAS JAVIER '!T$40:T$46)+SUMIF('BALDERRAMA ROBLES JORGE'!P$40:P$46,'KM POR UNIDAD'!A27,'BALDERRAMA ROBLES JORGE'!T$40:T$46)+SUMIF('BURGOS TORRES RIGOBERTO'!P$39:P$45,'KM POR UNIDAD'!A27,'BURGOS TORRES RIGOBERTO'!T$39:T$45)+SUMIF('CORDOVA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ARAT'!T$40:T$46)+SUMIF('MERCADO LOPEZ JESUS'!P$40:P$46,'KM POR UNIDAD'!A27,'MERCADO LOPEZ JESUS'!T$40:T$46)+SUMIF('ORONA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EDUARDO'!T$40:T$46)+SUMIF('ANCHONDO ROMERO CESAR ALEJANDRO'!P$40:P$46,'KM POR UNIDAD'!A27,'ANCHONDO ROMERO CESAR ALEJANDRO'!T$40:T$46)</f>
        <v>0</v>
      </c>
      <c r="D27" s="150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ADRIAN'!V$40:V$46)+SUMIF('CARDENAS CARDENAS JAVIER '!P$40:P$46,'KM POR UNIDAD'!A27,'CARDENAS CARDENAS JAVIER '!V$40:V$46)+SUMIF('BALDERRAMA ROBLES JORGE'!P$40:P$46,'KM POR UNIDAD'!A27,'BALDERRAMA ROBLES JORGE'!V$40:V$46)+SUMIF('BURGOS TORRES RIGOBERTO'!P$39:P$45,'KM POR UNIDAD'!A27,'BURGOS TORRES RIGOBERTO'!V$39:V$45)+SUMIF('CORDOVA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ARAT'!V$40:V$46)+SUMIF('MERCADO LOPEZ JESUS'!P$40:P$46,'KM POR UNIDAD'!A27,'MERCADO LOPEZ JESUS'!V$40:V$46)+SUMIF('ORONA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EDUARDO'!V$40:V$46)+SUMIF('ANCHONDO ROMERO CESAR ALEJANDRO'!P$40:P$46,'KM POR UNIDAD'!A27,'ANCHONDO ROMERO CESAR ALEJANDRO'!V$40:V$46)</f>
        <v>0</v>
      </c>
      <c r="E27" s="145">
        <f t="shared" si="0"/>
        <v>0</v>
      </c>
      <c r="F27" s="144" t="e">
        <f ca="1"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ADRIAN'!Y$40:Y$46)+SUMIF('CARDENAS CARDENAS JAVIER '!T$40:T$46,'KM POR UNIDAD'!A27,'CARDENAS CARDENAS JAVIER '!Y$40:Y$46)+SUMIF('BALDERRAMA ROBLES JORGE'!T$40:T$46,'KM POR UNIDAD'!A27,'BALDERRAMA ROBLES JORGE'!#REF!)+SUMIF('BURGOS TORRES RIGOBERTO'!T$39:T$45,'KM POR UNIDAD'!A27,'BURGOS TORRES RIGOBERTO'!Y$39:Y$45)+SUMIF('CORDOVA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ARAT'!#REF!)+SUMIF('MERCADO LOPEZ JESUS'!T$40:T$46,'KM POR UNIDAD'!E27,'MERCADO LOPEZ JESUS'!Y$40:Y$46)+SUMIF('ORONA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EDUARDO'!Y$41:Y$46)+SUMIF('ANCHONDO ROMERO CESAR ALEJANDRO'!T$40:T$46,'KM POR UNIDAD'!E27,'ANCHONDO ROMERO CESAR ALEJANDRO'!Y$40:Y$46)</f>
        <v>#REF!</v>
      </c>
      <c r="G27" s="146"/>
      <c r="L27" s="235"/>
    </row>
    <row r="28" spans="1:12" x14ac:dyDescent="0.25">
      <c r="A28" s="143" t="s">
        <v>161</v>
      </c>
      <c r="B28" s="144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ADRIAN'!U$40:U$46)+SUMIF('CARDENAS CARDENAS JAVIER '!P$40:P$46,'KM POR UNIDAD'!A28,'CARDENAS CARDENAS JAVIER '!U$40:U$46)+SUMIF('BALDERRAMA ROBLES JORGE'!P$40:P$46,'KM POR UNIDAD'!A28,'BALDERRAMA ROBLES JORGE'!U$40:U$46)+SUMIF('BURGOS TORRES RIGOBERTO'!P$39:P$45,'KM POR UNIDAD'!A28,'BURGOS TORRES RIGOBERTO'!U$39:U$45)+SUMIF('CORDOVA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ARAT'!U$40:U$46)+SUMIF('MERCADO LOPEZ JESUS'!P$40:P$46,'KM POR UNIDAD'!A28,'MERCADO LOPEZ JESUS'!U$40:U$46)+SUMIF('ORONA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EDUARDO'!U$40:U$46)+SUMIF('ANCHONDO ROMERO CESAR ALEJANDRO'!P$40:P$46,'KM POR UNIDAD'!A28,'ANCHONDO ROMERO CESAR ALEJANDRO'!U$40:U$46)</f>
        <v>0</v>
      </c>
      <c r="C28" s="150">
        <f ca="1"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ADRIAN'!T$40:T$46)+SUMIF('CARDENAS CARDENAS JAVIER '!P$40:P$46,'KM POR UNIDAD'!A28,'CARDENAS CARDENAS JAVIER '!T$40:T$46)+SUMIF('BALDERRAMA ROBLES JORGE'!P$40:P$46,'KM POR UNIDAD'!A28,'BALDERRAMA ROBLES JORGE'!T$40:T$46)+SUMIF('BURGOS TORRES RIGOBERTO'!P$39:P$45,'KM POR UNIDAD'!A28,'BURGOS TORRES RIGOBERTO'!T$39:T$45)+SUMIF('CORDOVA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ARAT'!T$40:T$46)+SUMIF('MERCADO LOPEZ JESUS'!P$40:P$46,'KM POR UNIDAD'!A28,'MERCADO LOPEZ JESUS'!T$40:T$46)+SUMIF('ORONA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EDUARDO'!T$40:T$46)+SUMIF('ANCHONDO ROMERO CESAR ALEJANDRO'!P$40:P$46,'KM POR UNIDAD'!A28,'ANCHONDO ROMERO CESAR ALEJANDRO'!T$40:T$46)</f>
        <v>0</v>
      </c>
      <c r="D28" s="150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ADRIAN'!V$40:V$46)+SUMIF('CARDENAS CARDENAS JAVIER '!P$40:P$46,'KM POR UNIDAD'!A28,'CARDENAS CARDENAS JAVIER '!V$40:V$46)+SUMIF('BALDERRAMA ROBLES JORGE'!P$40:P$46,'KM POR UNIDAD'!A28,'BALDERRAMA ROBLES JORGE'!V$40:V$46)+SUMIF('BURGOS TORRES RIGOBERTO'!P$39:P$45,'KM POR UNIDAD'!A28,'BURGOS TORRES RIGOBERTO'!V$39:V$45)+SUMIF('CORDOVA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ARAT'!V$40:V$46)+SUMIF('MERCADO LOPEZ JESUS'!P$40:P$46,'KM POR UNIDAD'!A28,'MERCADO LOPEZ JESUS'!V$40:V$46)+SUMIF('ORONA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EDUARDO'!V$40:V$46)+SUMIF('ANCHONDO ROMERO CESAR ALEJANDRO'!P$40:P$46,'KM POR UNIDAD'!A28,'ANCHONDO ROMERO CESAR ALEJANDRO'!V$40:V$46)</f>
        <v>0</v>
      </c>
      <c r="E28" s="145">
        <f t="shared" si="0"/>
        <v>0</v>
      </c>
      <c r="F28" s="144" t="e">
        <f ca="1"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ADRIAN'!Y$40:Y$46)+SUMIF('CARDENAS CARDENAS JAVIER '!T$40:T$46,'KM POR UNIDAD'!A28,'CARDENAS CARDENAS JAVIER '!Y$40:Y$46)+SUMIF('BALDERRAMA ROBLES JORGE'!T$40:T$46,'KM POR UNIDAD'!A28,'BALDERRAMA ROBLES JORGE'!#REF!)+SUMIF('BURGOS TORRES RIGOBERTO'!T$39:T$45,'KM POR UNIDAD'!A28,'BURGOS TORRES RIGOBERTO'!Y$39:Y$45)+SUMIF('CORDOVA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ARAT'!#REF!)+SUMIF('MERCADO LOPEZ JESUS'!T$40:T$46,'KM POR UNIDAD'!E28,'MERCADO LOPEZ JESUS'!Y$40:Y$46)+SUMIF('ORONA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EDUARDO'!Y$41:Y$46)+SUMIF('ANCHONDO ROMERO CESAR ALEJANDRO'!T$40:T$46,'KM POR UNIDAD'!E28,'ANCHONDO ROMERO CESAR ALEJANDRO'!Y$40:Y$46)</f>
        <v>#REF!</v>
      </c>
      <c r="G28" s="146"/>
    </row>
    <row r="29" spans="1:12" x14ac:dyDescent="0.25">
      <c r="A29" s="143" t="s">
        <v>162</v>
      </c>
      <c r="B29" s="144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ADRIAN'!U$40:U$46)+SUMIF('CARDENAS CARDENAS JAVIER '!P$40:P$46,'KM POR UNIDAD'!A29,'CARDENAS CARDENAS JAVIER '!U$40:U$46)+SUMIF('BALDERRAMA ROBLES JORGE'!P$40:P$46,'KM POR UNIDAD'!A29,'BALDERRAMA ROBLES JORGE'!U$40:U$46)+SUMIF('BURGOS TORRES RIGOBERTO'!P$39:P$45,'KM POR UNIDAD'!A29,'BURGOS TORRES RIGOBERTO'!U$39:U$45)+SUMIF('CORDOVA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ARAT'!U$40:U$46)+SUMIF('MERCADO LOPEZ JESUS'!P$40:P$46,'KM POR UNIDAD'!A29,'MERCADO LOPEZ JESUS'!U$40:U$46)+SUMIF('ORONA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EDUARDO'!U$40:U$46)+SUMIF('ANCHONDO ROMERO CESAR ALEJANDRO'!P$40:P$46,'KM POR UNIDAD'!A29,'ANCHONDO ROMERO CESAR ALEJANDRO'!U$40:U$46)</f>
        <v>3200</v>
      </c>
      <c r="C29" s="150">
        <f ca="1"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ADRIAN'!T$40:T$46)+SUMIF('CARDENAS CARDENAS JAVIER '!P$40:P$46,'KM POR UNIDAD'!A29,'CARDENAS CARDENAS JAVIER '!T$40:T$46)+SUMIF('BALDERRAMA ROBLES JORGE'!P$40:P$46,'KM POR UNIDAD'!A29,'BALDERRAMA ROBLES JORGE'!T$40:T$46)+SUMIF('BURGOS TORRES RIGOBERTO'!P$39:P$45,'KM POR UNIDAD'!A29,'BURGOS TORRES RIGOBERTO'!T$39:T$45)+SUMIF('CORDOVA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ARAT'!T$40:T$46)+SUMIF('MERCADO LOPEZ JESUS'!P$40:P$46,'KM POR UNIDAD'!A29,'MERCADO LOPEZ JESUS'!T$40:T$46)+SUMIF('ORONA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EDUARDO'!T$40:T$46)+SUMIF('ANCHONDO ROMERO CESAR ALEJANDRO'!P$40:P$46,'KM POR UNIDAD'!A29,'ANCHONDO ROMERO CESAR ALEJANDRO'!T$40:T$46)</f>
        <v>3251</v>
      </c>
      <c r="D29" s="150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ADRIAN'!V$40:V$46)+SUMIF('CARDENAS CARDENAS JAVIER '!P$40:P$46,'KM POR UNIDAD'!A29,'CARDENAS CARDENAS JAVIER '!V$40:V$46)+SUMIF('BALDERRAMA ROBLES JORGE'!P$40:P$46,'KM POR UNIDAD'!A29,'BALDERRAMA ROBLES JORGE'!V$40:V$46)+SUMIF('BURGOS TORRES RIGOBERTO'!P$39:P$45,'KM POR UNIDAD'!A29,'BURGOS TORRES RIGOBERTO'!V$39:V$45)+SUMIF('CORDOVA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ARAT'!V$40:V$46)+SUMIF('MERCADO LOPEZ JESUS'!P$40:P$46,'KM POR UNIDAD'!A29,'MERCADO LOPEZ JESUS'!V$40:V$46)+SUMIF('ORONA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EDUARDO'!V$40:V$46)+SUMIF('ANCHONDO ROMERO CESAR ALEJANDRO'!P$40:P$46,'KM POR UNIDAD'!A29,'ANCHONDO ROMERO CESAR ALEJANDRO'!V$40:V$46)</f>
        <v>808.86799999999994</v>
      </c>
      <c r="E29" s="145">
        <f t="shared" si="0"/>
        <v>3.9561461202569519</v>
      </c>
      <c r="F29" s="144" t="e">
        <f ca="1"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ADRIAN'!Y$40:Y$46)+SUMIF('CARDENAS CARDENAS JAVIER '!T$40:T$46,'KM POR UNIDAD'!A29,'CARDENAS CARDENAS JAVIER '!Y$40:Y$46)+SUMIF('BALDERRAMA ROBLES JORGE'!T$40:T$46,'KM POR UNIDAD'!A29,'BALDERRAMA ROBLES JORGE'!#REF!)+SUMIF('BURGOS TORRES RIGOBERTO'!T$39:T$45,'KM POR UNIDAD'!A29,'BURGOS TORRES RIGOBERTO'!Y$39:Y$45)+SUMIF('CORDOVA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ARAT'!#REF!)+SUMIF('MERCADO LOPEZ JESUS'!T$40:T$46,'KM POR UNIDAD'!E29,'MERCADO LOPEZ JESUS'!Y$40:Y$46)+SUMIF('ORONA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EDUARDO'!Y$41:Y$46)+SUMIF('ANCHONDO ROMERO CESAR ALEJANDRO'!T$40:T$46,'KM POR UNIDAD'!E29,'ANCHONDO ROMERO CESAR ALEJANDRO'!Y$40:Y$46)</f>
        <v>#REF!</v>
      </c>
      <c r="G29" s="146"/>
    </row>
    <row r="30" spans="1:12" x14ac:dyDescent="0.25">
      <c r="A30" s="143" t="s">
        <v>163</v>
      </c>
      <c r="B30" s="144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ADRIAN'!U$40:U$46)+SUMIF('CARDENAS CARDENAS JAVIER '!P$40:P$46,'KM POR UNIDAD'!A30,'CARDENAS CARDENAS JAVIER '!U$40:U$46)+SUMIF('BALDERRAMA ROBLES JORGE'!P$40:P$46,'KM POR UNIDAD'!A30,'BALDERRAMA ROBLES JORGE'!U$40:U$46)+SUMIF('BURGOS TORRES RIGOBERTO'!P$39:P$45,'KM POR UNIDAD'!A30,'BURGOS TORRES RIGOBERTO'!U$39:U$45)+SUMIF('CORDOVA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ARAT'!U$40:U$46)+SUMIF('MERCADO LOPEZ JESUS'!P$40:P$46,'KM POR UNIDAD'!A30,'MERCADO LOPEZ JESUS'!U$40:U$46)+SUMIF('ORONA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EDUARDO'!U$40:U$46)+SUMIF('ANCHONDO ROMERO CESAR ALEJANDRO'!P$40:P$46,'KM POR UNIDAD'!A30,'ANCHONDO ROMERO CESAR ALEJANDRO'!U$40:U$46)</f>
        <v>750</v>
      </c>
      <c r="C30" s="150">
        <f ca="1"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ADRIAN'!T$40:T$46)+SUMIF('CARDENAS CARDENAS JAVIER '!P$40:P$46,'KM POR UNIDAD'!A30,'CARDENAS CARDENAS JAVIER '!T$40:T$46)+SUMIF('BALDERRAMA ROBLES JORGE'!P$40:P$46,'KM POR UNIDAD'!A30,'BALDERRAMA ROBLES JORGE'!T$40:T$46)+SUMIF('BURGOS TORRES RIGOBERTO'!P$39:P$45,'KM POR UNIDAD'!A30,'BURGOS TORRES RIGOBERTO'!T$39:T$45)+SUMIF('CORDOVA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ARAT'!T$40:T$46)+SUMIF('MERCADO LOPEZ JESUS'!P$40:P$46,'KM POR UNIDAD'!A30,'MERCADO LOPEZ JESUS'!T$40:T$46)+SUMIF('ORONA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EDUARDO'!T$40:T$46)+SUMIF('ANCHONDO ROMERO CESAR ALEJANDRO'!P$40:P$46,'KM POR UNIDAD'!A30,'ANCHONDO ROMERO CESAR ALEJANDRO'!T$40:T$46)</f>
        <v>710</v>
      </c>
      <c r="D30" s="150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ADRIAN'!V$40:V$46)+SUMIF('CARDENAS CARDENAS JAVIER '!P$40:P$46,'KM POR UNIDAD'!A30,'CARDENAS CARDENAS JAVIER '!V$40:V$46)+SUMIF('BALDERRAMA ROBLES JORGE'!P$40:P$46,'KM POR UNIDAD'!A30,'BALDERRAMA ROBLES JORGE'!V$40:V$46)+SUMIF('BURGOS TORRES RIGOBERTO'!P$39:P$45,'KM POR UNIDAD'!A30,'BURGOS TORRES RIGOBERTO'!V$39:V$45)+SUMIF('CORDOVA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ARAT'!V$40:V$46)+SUMIF('MERCADO LOPEZ JESUS'!P$40:P$46,'KM POR UNIDAD'!A30,'MERCADO LOPEZ JESUS'!V$40:V$46)+SUMIF('ORONA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EDUARDO'!V$40:V$46)+SUMIF('ANCHONDO ROMERO CESAR ALEJANDRO'!P$40:P$46,'KM POR UNIDAD'!A30,'ANCHONDO ROMERO CESAR ALEJANDRO'!V$40:V$46)</f>
        <v>230.006</v>
      </c>
      <c r="E30" s="145">
        <f t="shared" si="0"/>
        <v>3.2607845012738799</v>
      </c>
      <c r="F30" s="144" t="e">
        <f ca="1"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ADRIAN'!Y$40:Y$46)+SUMIF('CARDENAS CARDENAS JAVIER '!T$40:T$46,'KM POR UNIDAD'!A30,'CARDENAS CARDENAS JAVIER '!Y$40:Y$46)+SUMIF('BALDERRAMA ROBLES JORGE'!T$40:T$46,'KM POR UNIDAD'!A30,'BALDERRAMA ROBLES JORGE'!#REF!)+SUMIF('BURGOS TORRES RIGOBERTO'!T$39:T$45,'KM POR UNIDAD'!A30,'BURGOS TORRES RIGOBERTO'!Y$39:Y$45)+SUMIF('CORDOVA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ARAT'!#REF!)+SUMIF('MERCADO LOPEZ JESUS'!T$40:T$46,'KM POR UNIDAD'!E30,'MERCADO LOPEZ JESUS'!Y$40:Y$46)+SUMIF('ORONA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EDUARDO'!Y$41:Y$46)+SUMIF('ANCHONDO ROMERO CESAR ALEJANDRO'!T$40:T$46,'KM POR UNIDAD'!E30,'ANCHONDO ROMERO CESAR ALEJANDRO'!Y$40:Y$46)</f>
        <v>#REF!</v>
      </c>
      <c r="G30" s="146"/>
    </row>
    <row r="31" spans="1:12" x14ac:dyDescent="0.25">
      <c r="A31" s="143" t="s">
        <v>164</v>
      </c>
      <c r="B31" s="144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ADRIAN'!U$40:U$46)+SUMIF('CARDENAS CARDENAS JAVIER '!P$40:P$46,'KM POR UNIDAD'!A31,'CARDENAS CARDENAS JAVIER '!U$40:U$46)+SUMIF('BALDERRAMA ROBLES JORGE'!P$40:P$46,'KM POR UNIDAD'!A31,'BALDERRAMA ROBLES JORGE'!U$40:U$46)+SUMIF('BURGOS TORRES RIGOBERTO'!P$39:P$45,'KM POR UNIDAD'!A31,'BURGOS TORRES RIGOBERTO'!U$39:U$45)+SUMIF('CORDOVA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ARAT'!U$40:U$46)+SUMIF('MERCADO LOPEZ JESUS'!P$40:P$46,'KM POR UNIDAD'!A31,'MERCADO LOPEZ JESUS'!U$40:U$46)+SUMIF('ORONA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EDUARDO'!U$40:U$46)+SUMIF('ANCHONDO ROMERO CESAR ALEJANDRO'!P$40:P$46,'KM POR UNIDAD'!A31,'ANCHONDO ROMERO CESAR ALEJANDRO'!U$40:U$46)</f>
        <v>3960</v>
      </c>
      <c r="C31" s="150">
        <f ca="1"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ADRIAN'!T$40:T$46)+SUMIF('CARDENAS CARDENAS JAVIER '!P$40:P$46,'KM POR UNIDAD'!A31,'CARDENAS CARDENAS JAVIER '!T$40:T$46)+SUMIF('BALDERRAMA ROBLES JORGE'!P$40:P$46,'KM POR UNIDAD'!A31,'BALDERRAMA ROBLES JORGE'!T$40:T$46)+SUMIF('BURGOS TORRES RIGOBERTO'!P$39:P$45,'KM POR UNIDAD'!A31,'BURGOS TORRES RIGOBERTO'!T$39:T$45)+SUMIF('CORDOVA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ARAT'!T$40:T$46)+SUMIF('MERCADO LOPEZ JESUS'!P$40:P$46,'KM POR UNIDAD'!A31,'MERCADO LOPEZ JESUS'!T$40:T$46)+SUMIF('ORONA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EDUARDO'!T$40:T$46)+SUMIF('ANCHONDO ROMERO CESAR ALEJANDRO'!P$40:P$46,'KM POR UNIDAD'!A31,'ANCHONDO ROMERO CESAR ALEJANDRO'!T$40:T$46)</f>
        <v>3741</v>
      </c>
      <c r="D31" s="150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ADRIAN'!V$40:V$46)+SUMIF('CARDENAS CARDENAS JAVIER '!P$40:P$46,'KM POR UNIDAD'!A31,'CARDENAS CARDENAS JAVIER '!V$40:V$46)+SUMIF('BALDERRAMA ROBLES JORGE'!P$40:P$46,'KM POR UNIDAD'!A31,'BALDERRAMA ROBLES JORGE'!V$40:V$46)+SUMIF('BURGOS TORRES RIGOBERTO'!P$39:P$45,'KM POR UNIDAD'!A31,'BURGOS TORRES RIGOBERTO'!V$39:V$45)+SUMIF('CORDOVA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ARAT'!V$40:V$46)+SUMIF('MERCADO LOPEZ JESUS'!P$40:P$46,'KM POR UNIDAD'!A31,'MERCADO LOPEZ JESUS'!V$40:V$46)+SUMIF('ORONA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EDUARDO'!V$40:V$46)+SUMIF('ANCHONDO ROMERO CESAR ALEJANDRO'!P$40:P$46,'KM POR UNIDAD'!A31,'ANCHONDO ROMERO CESAR ALEJANDRO'!V$40:V$46)</f>
        <v>1173.635</v>
      </c>
      <c r="E31" s="145">
        <f t="shared" si="0"/>
        <v>3.3741325028650304</v>
      </c>
      <c r="F31" s="144" t="e">
        <f ca="1"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ADRIAN'!Y$40:Y$46)+SUMIF('CARDENAS CARDENAS JAVIER '!T$40:T$46,'KM POR UNIDAD'!A31,'CARDENAS CARDENAS JAVIER '!Y$40:Y$46)+SUMIF('BALDERRAMA ROBLES JORGE'!T$40:T$46,'KM POR UNIDAD'!A31,'BALDERRAMA ROBLES JORGE'!#REF!)+SUMIF('BURGOS TORRES RIGOBERTO'!T$39:T$45,'KM POR UNIDAD'!A31,'BURGOS TORRES RIGOBERTO'!Y$39:Y$45)+SUMIF('CORDOVA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ARAT'!#REF!)+SUMIF('MERCADO LOPEZ JESUS'!T$40:T$46,'KM POR UNIDAD'!E31,'MERCADO LOPEZ JESUS'!Y$40:Y$46)+SUMIF('ORONA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EDUARDO'!Y$41:Y$46)+SUMIF('ANCHONDO ROMERO CESAR ALEJANDRO'!T$40:T$46,'KM POR UNIDAD'!E31,'ANCHONDO ROMERO CESAR ALEJANDRO'!Y$40:Y$46)</f>
        <v>#REF!</v>
      </c>
      <c r="G31" s="146"/>
    </row>
    <row r="32" spans="1:12" x14ac:dyDescent="0.25">
      <c r="A32" s="143" t="s">
        <v>165</v>
      </c>
      <c r="B32" s="144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ADRIAN'!U$40:U$46)+SUMIF('CARDENAS CARDENAS JAVIER '!P$40:P$46,'KM POR UNIDAD'!A32,'CARDENAS CARDENAS JAVIER '!U$40:U$46)+SUMIF('BALDERRAMA ROBLES JORGE'!P$40:P$46,'KM POR UNIDAD'!A32,'BALDERRAMA ROBLES JORGE'!U$40:U$46)+SUMIF('BURGOS TORRES RIGOBERTO'!P$39:P$45,'KM POR UNIDAD'!A32,'BURGOS TORRES RIGOBERTO'!U$39:U$45)+SUMIF('CORDOVA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ARAT'!U$40:U$46)+SUMIF('MERCADO LOPEZ JESUS'!P$40:P$46,'KM POR UNIDAD'!A32,'MERCADO LOPEZ JESUS'!U$40:U$46)+SUMIF('ORONA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EDUARDO'!U$40:U$46)+SUMIF('ANCHONDO ROMERO CESAR ALEJANDRO'!P$40:P$46,'KM POR UNIDAD'!A32,'ANCHONDO ROMERO CESAR ALEJANDRO'!U$40:U$46)</f>
        <v>0</v>
      </c>
      <c r="C32" s="150">
        <f ca="1"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ADRIAN'!T$40:T$46)+SUMIF('CARDENAS CARDENAS JAVIER '!P$40:P$46,'KM POR UNIDAD'!A32,'CARDENAS CARDENAS JAVIER '!T$40:T$46)+SUMIF('BALDERRAMA ROBLES JORGE'!P$40:P$46,'KM POR UNIDAD'!A32,'BALDERRAMA ROBLES JORGE'!T$40:T$46)+SUMIF('BURGOS TORRES RIGOBERTO'!P$39:P$45,'KM POR UNIDAD'!A32,'BURGOS TORRES RIGOBERTO'!T$39:T$45)+SUMIF('CORDOVA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ARAT'!T$40:T$46)+SUMIF('MERCADO LOPEZ JESUS'!P$40:P$46,'KM POR UNIDAD'!A32,'MERCADO LOPEZ JESUS'!T$40:T$46)+SUMIF('ORONA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EDUARDO'!T$40:T$46)+SUMIF('ANCHONDO ROMERO CESAR ALEJANDRO'!P$40:P$46,'KM POR UNIDAD'!A32,'ANCHONDO ROMERO CESAR ALEJANDRO'!T$40:T$46)</f>
        <v>0</v>
      </c>
      <c r="D32" s="150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ADRIAN'!V$40:V$46)+SUMIF('CARDENAS CARDENAS JAVIER '!P$40:P$46,'KM POR UNIDAD'!A32,'CARDENAS CARDENAS JAVIER '!V$40:V$46)+SUMIF('BALDERRAMA ROBLES JORGE'!P$40:P$46,'KM POR UNIDAD'!A32,'BALDERRAMA ROBLES JORGE'!V$40:V$46)+SUMIF('BURGOS TORRES RIGOBERTO'!P$39:P$45,'KM POR UNIDAD'!A32,'BURGOS TORRES RIGOBERTO'!V$39:V$45)+SUMIF('CORDOVA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ARAT'!V$40:V$46)+SUMIF('MERCADO LOPEZ JESUS'!P$40:P$46,'KM POR UNIDAD'!A32,'MERCADO LOPEZ JESUS'!V$40:V$46)+SUMIF('ORONA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EDUARDO'!V$40:V$46)+SUMIF('ANCHONDO ROMERO CESAR ALEJANDRO'!P$40:P$46,'KM POR UNIDAD'!A32,'ANCHONDO ROMERO CESAR ALEJANDRO'!V$40:V$46)</f>
        <v>0</v>
      </c>
      <c r="E32" s="145">
        <f t="shared" si="0"/>
        <v>0</v>
      </c>
      <c r="F32" s="144" t="e">
        <f ca="1"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ADRIAN'!Y$40:Y$46)+SUMIF('CARDENAS CARDENAS JAVIER '!T$40:T$46,'KM POR UNIDAD'!A32,'CARDENAS CARDENAS JAVIER '!Y$40:Y$46)+SUMIF('BALDERRAMA ROBLES JORGE'!T$40:T$46,'KM POR UNIDAD'!A32,'BALDERRAMA ROBLES JORGE'!#REF!)+SUMIF('BURGOS TORRES RIGOBERTO'!T$39:T$45,'KM POR UNIDAD'!A32,'BURGOS TORRES RIGOBERTO'!Y$39:Y$45)+SUMIF('CORDOVA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ARAT'!#REF!)+SUMIF('MERCADO LOPEZ JESUS'!T$40:T$46,'KM POR UNIDAD'!E32,'MERCADO LOPEZ JESUS'!Y$40:Y$46)+SUMIF('ORONA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EDUARDO'!Y$41:Y$46)+SUMIF('ANCHONDO ROMERO CESAR ALEJANDRO'!T$40:T$46,'KM POR UNIDAD'!E32,'ANCHONDO ROMERO CESAR ALEJANDRO'!Y$40:Y$46)</f>
        <v>#REF!</v>
      </c>
      <c r="G32" s="146"/>
      <c r="I32" s="268"/>
    </row>
    <row r="33" spans="1:7" x14ac:dyDescent="0.25">
      <c r="A33" s="143" t="s">
        <v>166</v>
      </c>
      <c r="B33" s="144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ADRIAN'!U$40:U$46)+SUMIF('CARDENAS CARDENAS JAVIER '!P$40:P$46,'KM POR UNIDAD'!A33,'CARDENAS CARDENAS JAVIER '!U$40:U$46)+SUMIF('BALDERRAMA ROBLES JORGE'!P$40:P$46,'KM POR UNIDAD'!A33,'BALDERRAMA ROBLES JORGE'!U$40:U$46)+SUMIF('BURGOS TORRES RIGOBERTO'!P$39:P$45,'KM POR UNIDAD'!A33,'BURGOS TORRES RIGOBERTO'!U$39:U$45)+SUMIF('CORDOVA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ARAT'!U$40:U$46)+SUMIF('MERCADO LOPEZ JESUS'!P$40:P$46,'KM POR UNIDAD'!A33,'MERCADO LOPEZ JESUS'!U$40:U$46)+SUMIF('ORONA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EDUARDO'!U$40:U$46)+SUMIF('ANCHONDO ROMERO CESAR ALEJANDRO'!P$40:P$46,'KM POR UNIDAD'!A33,'ANCHONDO ROMERO CESAR ALEJANDRO'!U$40:U$46)</f>
        <v>0</v>
      </c>
      <c r="C33" s="150">
        <f ca="1"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ADRIAN'!T$40:T$46)+SUMIF('CARDENAS CARDENAS JAVIER '!P$40:P$46,'KM POR UNIDAD'!A33,'CARDENAS CARDENAS JAVIER '!T$40:T$46)+SUMIF('BALDERRAMA ROBLES JORGE'!P$40:P$46,'KM POR UNIDAD'!A33,'BALDERRAMA ROBLES JORGE'!T$40:T$46)+SUMIF('BURGOS TORRES RIGOBERTO'!P$39:P$45,'KM POR UNIDAD'!A33,'BURGOS TORRES RIGOBERTO'!T$39:T$45)+SUMIF('CORDOVA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ARAT'!T$40:T$46)+SUMIF('MERCADO LOPEZ JESUS'!P$40:P$46,'KM POR UNIDAD'!A33,'MERCADO LOPEZ JESUS'!T$40:T$46)+SUMIF('ORONA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EDUARDO'!T$40:T$46)+SUMIF('ANCHONDO ROMERO CESAR ALEJANDRO'!P$40:P$46,'KM POR UNIDAD'!A33,'ANCHONDO ROMERO CESAR ALEJANDRO'!T$40:T$46)</f>
        <v>0</v>
      </c>
      <c r="D33" s="150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ADRIAN'!V$40:V$46)+SUMIF('CARDENAS CARDENAS JAVIER '!P$40:P$46,'KM POR UNIDAD'!A33,'CARDENAS CARDENAS JAVIER '!V$40:V$46)+SUMIF('BALDERRAMA ROBLES JORGE'!P$40:P$46,'KM POR UNIDAD'!A33,'BALDERRAMA ROBLES JORGE'!V$40:V$46)+SUMIF('BURGOS TORRES RIGOBERTO'!P$39:P$45,'KM POR UNIDAD'!A33,'BURGOS TORRES RIGOBERTO'!V$39:V$45)+SUMIF('CORDOVA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ARAT'!V$40:V$46)+SUMIF('MERCADO LOPEZ JESUS'!P$40:P$46,'KM POR UNIDAD'!A33,'MERCADO LOPEZ JESUS'!V$40:V$46)+SUMIF('ORONA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EDUARDO'!V$40:V$46)+SUMIF('ANCHONDO ROMERO CESAR ALEJANDRO'!P$40:P$46,'KM POR UNIDAD'!A33,'ANCHONDO ROMERO CESAR ALEJANDRO'!V$40:V$46)</f>
        <v>0</v>
      </c>
      <c r="E33" s="145">
        <f t="shared" si="0"/>
        <v>0</v>
      </c>
      <c r="F33" s="144" t="e">
        <f ca="1"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ADRIAN'!Y$40:Y$46)+SUMIF('CARDENAS CARDENAS JAVIER '!T$40:T$46,'KM POR UNIDAD'!A33,'CARDENAS CARDENAS JAVIER '!Y$40:Y$46)+SUMIF('BALDERRAMA ROBLES JORGE'!T$40:T$46,'KM POR UNIDAD'!A33,'BALDERRAMA ROBLES JORGE'!#REF!)+SUMIF('BURGOS TORRES RIGOBERTO'!T$39:T$45,'KM POR UNIDAD'!A33,'BURGOS TORRES RIGOBERTO'!Y$39:Y$45)+SUMIF('CORDOVA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ARAT'!#REF!)+SUMIF('MERCADO LOPEZ JESUS'!T$40:T$46,'KM POR UNIDAD'!E33,'MERCADO LOPEZ JESUS'!Y$40:Y$46)+SUMIF('ORONA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EDUARDO'!Y$41:Y$46)+SUMIF('ANCHONDO ROMERO CESAR ALEJANDRO'!T$40:T$46,'KM POR UNIDAD'!E33,'ANCHONDO ROMERO CESAR ALEJANDRO'!Y$40:Y$46)</f>
        <v>#REF!</v>
      </c>
      <c r="G33" s="146"/>
    </row>
    <row r="34" spans="1:7" x14ac:dyDescent="0.25">
      <c r="A34" s="143" t="s">
        <v>167</v>
      </c>
      <c r="B34" s="144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ADRIAN'!U$40:U$46)+SUMIF('CARDENAS CARDENAS JAVIER '!P$40:P$46,'KM POR UNIDAD'!A34,'CARDENAS CARDENAS JAVIER '!U$40:U$46)+SUMIF('BALDERRAMA ROBLES JORGE'!P$40:P$46,'KM POR UNIDAD'!A34,'BALDERRAMA ROBLES JORGE'!U$40:U$46)+SUMIF('BURGOS TORRES RIGOBERTO'!P$39:P$45,'KM POR UNIDAD'!A34,'BURGOS TORRES RIGOBERTO'!U$39:U$45)+SUMIF('CORDOVA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ARAT'!U$40:U$46)+SUMIF('MERCADO LOPEZ JESUS'!P$40:P$46,'KM POR UNIDAD'!A34,'MERCADO LOPEZ JESUS'!U$40:U$46)+SUMIF('ORONA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EDUARDO'!U$40:U$46)+SUMIF('ANCHONDO ROMERO CESAR ALEJANDRO'!P$40:P$46,'KM POR UNIDAD'!A34,'ANCHONDO ROMERO CESAR ALEJANDRO'!U$40:U$46)</f>
        <v>0</v>
      </c>
      <c r="C34" s="150">
        <f ca="1"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ADRIAN'!T$40:T$46)+SUMIF('CARDENAS CARDENAS JAVIER '!P$40:P$46,'KM POR UNIDAD'!A34,'CARDENAS CARDENAS JAVIER '!T$40:T$46)+SUMIF('BALDERRAMA ROBLES JORGE'!P$40:P$46,'KM POR UNIDAD'!A34,'BALDERRAMA ROBLES JORGE'!T$40:T$46)+SUMIF('BURGOS TORRES RIGOBERTO'!P$39:P$45,'KM POR UNIDAD'!A34,'BURGOS TORRES RIGOBERTO'!T$39:T$45)+SUMIF('CORDOVA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ARAT'!T$40:T$46)+SUMIF('MERCADO LOPEZ JESUS'!P$40:P$46,'KM POR UNIDAD'!A34,'MERCADO LOPEZ JESUS'!T$40:T$46)+SUMIF('ORONA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EDUARDO'!T$40:T$46)+SUMIF('ANCHONDO ROMERO CESAR ALEJANDRO'!P$40:P$46,'KM POR UNIDAD'!A34,'ANCHONDO ROMERO CESAR ALEJANDRO'!T$40:T$46)</f>
        <v>0</v>
      </c>
      <c r="D34" s="150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ADRIAN'!V$40:V$46)+SUMIF('CARDENAS CARDENAS JAVIER '!P$40:P$46,'KM POR UNIDAD'!A34,'CARDENAS CARDENAS JAVIER '!V$40:V$46)+SUMIF('BALDERRAMA ROBLES JORGE'!P$40:P$46,'KM POR UNIDAD'!A34,'BALDERRAMA ROBLES JORGE'!V$40:V$46)+SUMIF('BURGOS TORRES RIGOBERTO'!P$39:P$45,'KM POR UNIDAD'!A34,'BURGOS TORRES RIGOBERTO'!V$39:V$45)+SUMIF('CORDOVA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ARAT'!V$40:V$46)+SUMIF('MERCADO LOPEZ JESUS'!P$40:P$46,'KM POR UNIDAD'!A34,'MERCADO LOPEZ JESUS'!V$40:V$46)+SUMIF('ORONA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EDUARDO'!V$40:V$46)+SUMIF('ANCHONDO ROMERO CESAR ALEJANDRO'!P$40:P$46,'KM POR UNIDAD'!A34,'ANCHONDO ROMERO CESAR ALEJANDRO'!V$40:V$46)</f>
        <v>0</v>
      </c>
      <c r="E34" s="145">
        <f t="shared" si="0"/>
        <v>0</v>
      </c>
      <c r="F34" s="144" t="e">
        <f ca="1"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ADRIAN'!Y$40:Y$46)+SUMIF('CARDENAS CARDENAS JAVIER '!T$40:T$46,'KM POR UNIDAD'!A34,'CARDENAS CARDENAS JAVIER '!Y$40:Y$46)+SUMIF('BALDERRAMA ROBLES JORGE'!T$40:T$46,'KM POR UNIDAD'!A34,'BALDERRAMA ROBLES JORGE'!#REF!)+SUMIF('BURGOS TORRES RIGOBERTO'!T$39:T$45,'KM POR UNIDAD'!A34,'BURGOS TORRES RIGOBERTO'!Y$39:Y$45)+SUMIF('CORDOVA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ARAT'!#REF!)+SUMIF('MERCADO LOPEZ JESUS'!T$40:T$46,'KM POR UNIDAD'!E34,'MERCADO LOPEZ JESUS'!Y$40:Y$46)+SUMIF('ORONA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EDUARDO'!Y$41:Y$46)+SUMIF('ANCHONDO ROMERO CESAR ALEJANDRO'!T$40:T$46,'KM POR UNIDAD'!E34,'ANCHONDO ROMERO CESAR ALEJANDRO'!Y$40:Y$46)</f>
        <v>#REF!</v>
      </c>
      <c r="G34" s="146"/>
    </row>
    <row r="35" spans="1:7" x14ac:dyDescent="0.25">
      <c r="A35" s="143" t="s">
        <v>223</v>
      </c>
      <c r="B35" s="144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ADRIAN'!U$40:U$46)+SUMIF('CARDENAS CARDENAS JAVIER '!P$40:P$46,'KM POR UNIDAD'!A35,'CARDENAS CARDENAS JAVIER '!U$40:U$46)+SUMIF('BALDERRAMA ROBLES JORGE'!P$40:P$46,'KM POR UNIDAD'!A35,'BALDERRAMA ROBLES JORGE'!U$40:U$46)+SUMIF('BURGOS TORRES RIGOBERTO'!P$39:P$45,'KM POR UNIDAD'!A35,'BURGOS TORRES RIGOBERTO'!U$39:U$45)+SUMIF('CORDOVA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ARAT'!U$40:U$46)+SUMIF('MERCADO LOPEZ JESUS'!P$40:P$46,'KM POR UNIDAD'!A35,'MERCADO LOPEZ JESUS'!U$40:U$46)+SUMIF('ORONA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EDUARDO'!U$40:U$46)+SUMIF('ANCHONDO ROMERO CESAR ALEJANDRO'!P$40:P$46,'KM POR UNIDAD'!A35,'ANCHONDO ROMERO CESAR ALEJANDRO'!U$40:U$46)</f>
        <v>0</v>
      </c>
      <c r="C35" s="150">
        <f ca="1"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ADRIAN'!T$40:T$46)+SUMIF('CARDENAS CARDENAS JAVIER '!P$40:P$46,'KM POR UNIDAD'!A35,'CARDENAS CARDENAS JAVIER '!T$40:T$46)+SUMIF('BALDERRAMA ROBLES JORGE'!P$40:P$46,'KM POR UNIDAD'!A35,'BALDERRAMA ROBLES JORGE'!T$40:T$46)+SUMIF('BURGOS TORRES RIGOBERTO'!P$39:P$45,'KM POR UNIDAD'!A35,'BURGOS TORRES RIGOBERTO'!T$39:T$45)+SUMIF('CORDOVA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ARAT'!T$40:T$46)+SUMIF('MERCADO LOPEZ JESUS'!P$40:P$46,'KM POR UNIDAD'!A35,'MERCADO LOPEZ JESUS'!T$40:T$46)+SUMIF('ORONA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EDUARDO'!T$40:T$46)+SUMIF('ANCHONDO ROMERO CESAR ALEJANDRO'!P$40:P$46,'KM POR UNIDAD'!A35,'ANCHONDO ROMERO CESAR ALEJANDRO'!T$40:T$46)</f>
        <v>0</v>
      </c>
      <c r="D35" s="150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ADRIAN'!V$40:V$46)+SUMIF('CARDENAS CARDENAS JAVIER '!P$40:P$46,'KM POR UNIDAD'!A35,'CARDENAS CARDENAS JAVIER '!V$40:V$46)+SUMIF('BALDERRAMA ROBLES JORGE'!P$40:P$46,'KM POR UNIDAD'!A35,'BALDERRAMA ROBLES JORGE'!V$40:V$46)+SUMIF('BURGOS TORRES RIGOBERTO'!P$39:P$45,'KM POR UNIDAD'!A35,'BURGOS TORRES RIGOBERTO'!V$39:V$45)+SUMIF('CORDOVA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ARAT'!V$40:V$46)+SUMIF('MERCADO LOPEZ JESUS'!P$40:P$46,'KM POR UNIDAD'!A35,'MERCADO LOPEZ JESUS'!V$40:V$46)+SUMIF('ORONA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EDUARDO'!V$40:V$46)+SUMIF('ANCHONDO ROMERO CESAR ALEJANDRO'!P$40:P$46,'KM POR UNIDAD'!A35,'ANCHONDO ROMERO CESAR ALEJANDRO'!V$40:V$46)</f>
        <v>0</v>
      </c>
      <c r="E35" s="145">
        <f t="shared" ref="E35:E36" si="1">IFERROR(B35/D35,0)</f>
        <v>0</v>
      </c>
      <c r="F35" s="144" t="e">
        <f ca="1"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ADRIAN'!Y$40:Y$46)+SUMIF('CARDENAS CARDENAS JAVIER '!T$40:T$46,'KM POR UNIDAD'!A35,'CARDENAS CARDENAS JAVIER '!Y$40:Y$46)+SUMIF('BALDERRAMA ROBLES JORGE'!T$40:T$46,'KM POR UNIDAD'!A35,'BALDERRAMA ROBLES JORGE'!#REF!)+SUMIF('BURGOS TORRES RIGOBERTO'!T$39:T$45,'KM POR UNIDAD'!A35,'BURGOS TORRES RIGOBERTO'!Y$39:Y$45)+SUMIF('CORDOVA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ARAT'!#REF!)+SUMIF('MERCADO LOPEZ JESUS'!T$40:T$46,'KM POR UNIDAD'!E35,'MERCADO LOPEZ JESUS'!Y$40:Y$46)+SUMIF('ORONA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EDUARDO'!Y$41:Y$46)+SUMIF('ANCHONDO ROMERO CESAR ALEJANDRO'!T$40:T$46,'KM POR UNIDAD'!E35,'ANCHONDO ROMERO CESAR ALEJANDRO'!Y$40:Y$46)</f>
        <v>#REF!</v>
      </c>
      <c r="G35" s="146"/>
    </row>
    <row r="36" spans="1:7" x14ac:dyDescent="0.25">
      <c r="A36" s="143" t="s">
        <v>222</v>
      </c>
      <c r="B36" s="144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ADRIAN'!U$40:U$46)+SUMIF('CARDENAS CARDENAS JAVIER '!P$40:P$46,'KM POR UNIDAD'!A36,'CARDENAS CARDENAS JAVIER '!U$40:U$46)+SUMIF('BALDERRAMA ROBLES JORGE'!P$40:P$46,'KM POR UNIDAD'!A36,'BALDERRAMA ROBLES JORGE'!U$40:U$46)+SUMIF('BURGOS TORRES RIGOBERTO'!P$39:P$45,'KM POR UNIDAD'!A36,'BURGOS TORRES RIGOBERTO'!U$39:U$45)+SUMIF('CORDOVA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ARAT'!U$40:U$46)+SUMIF('MERCADO LOPEZ JESUS'!P$40:P$46,'KM POR UNIDAD'!A36,'MERCADO LOPEZ JESUS'!U$40:U$46)+SUMIF('ORONA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EDUARDO'!U$40:U$46)+SUMIF('ANCHONDO ROMERO CESAR ALEJANDRO'!P$40:P$46,'KM POR UNIDAD'!A36,'ANCHONDO ROMERO CESAR ALEJANDRO'!U$40:U$46)</f>
        <v>0</v>
      </c>
      <c r="C36" s="150">
        <f ca="1"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ADRIAN'!T$40:T$46)+SUMIF('CARDENAS CARDENAS JAVIER '!P$40:P$46,'KM POR UNIDAD'!A36,'CARDENAS CARDENAS JAVIER '!T$40:T$46)+SUMIF('BALDERRAMA ROBLES JORGE'!P$40:P$46,'KM POR UNIDAD'!A36,'BALDERRAMA ROBLES JORGE'!T$40:T$46)+SUMIF('BURGOS TORRES RIGOBERTO'!P$39:P$45,'KM POR UNIDAD'!A36,'BURGOS TORRES RIGOBERTO'!T$39:T$45)+SUMIF('CORDOVA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ARAT'!T$40:T$46)+SUMIF('MERCADO LOPEZ JESUS'!P$40:P$46,'KM POR UNIDAD'!A36,'MERCADO LOPEZ JESUS'!T$40:T$46)+SUMIF('ORONA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EDUARDO'!T$40:T$46)+SUMIF('ANCHONDO ROMERO CESAR ALEJANDRO'!P$40:P$46,'KM POR UNIDAD'!A36,'ANCHONDO ROMERO CESAR ALEJANDRO'!T$40:T$46)</f>
        <v>0</v>
      </c>
      <c r="D36" s="150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ADRIAN'!V$40:V$46)+SUMIF('CARDENAS CARDENAS JAVIER '!P$40:P$46,'KM POR UNIDAD'!A36,'CARDENAS CARDENAS JAVIER '!V$40:V$46)+SUMIF('BALDERRAMA ROBLES JORGE'!P$40:P$46,'KM POR UNIDAD'!A36,'BALDERRAMA ROBLES JORGE'!V$40:V$46)+SUMIF('BURGOS TORRES RIGOBERTO'!P$39:P$45,'KM POR UNIDAD'!A36,'BURGOS TORRES RIGOBERTO'!V$39:V$45)+SUMIF('CORDOVA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ARAT'!V$40:V$46)+SUMIF('MERCADO LOPEZ JESUS'!P$40:P$46,'KM POR UNIDAD'!A36,'MERCADO LOPEZ JESUS'!V$40:V$46)+SUMIF('ORONA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EDUARDO'!V$40:V$46)+SUMIF('ANCHONDO ROMERO CESAR ALEJANDRO'!P$40:P$46,'KM POR UNIDAD'!A36,'ANCHONDO ROMERO CESAR ALEJANDRO'!V$40:V$46)</f>
        <v>0</v>
      </c>
      <c r="E36" s="145">
        <f t="shared" si="1"/>
        <v>0</v>
      </c>
      <c r="F36" s="144" t="e">
        <f ca="1"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ADRIAN'!Y$40:Y$46)+SUMIF('CARDENAS CARDENAS JAVIER '!T$40:T$46,'KM POR UNIDAD'!A36,'CARDENAS CARDENAS JAVIER '!Y$40:Y$46)+SUMIF('BALDERRAMA ROBLES JORGE'!T$40:T$46,'KM POR UNIDAD'!A36,'BALDERRAMA ROBLES JORGE'!#REF!)+SUMIF('BURGOS TORRES RIGOBERTO'!T$39:T$45,'KM POR UNIDAD'!A36,'BURGOS TORRES RIGOBERTO'!Y$39:Y$45)+SUMIF('CORDOVA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ARAT'!#REF!)+SUMIF('MERCADO LOPEZ JESUS'!T$40:T$46,'KM POR UNIDAD'!E36,'MERCADO LOPEZ JESUS'!Y$40:Y$46)+SUMIF('ORONA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EDUARDO'!Y$41:Y$46)+SUMIF('ANCHONDO ROMERO CESAR ALEJANDRO'!T$40:T$46,'KM POR UNIDAD'!E36,'ANCHONDO ROMERO CESAR ALEJANDRO'!Y$40:Y$46)</f>
        <v>#REF!</v>
      </c>
      <c r="G36" s="146"/>
    </row>
    <row r="37" spans="1:7" x14ac:dyDescent="0.25">
      <c r="A37" s="143" t="s">
        <v>320</v>
      </c>
      <c r="B37" s="144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ADRIAN'!U$40:U$46)+SUMIF('CARDENAS CARDENAS JAVIER '!P$40:P$46,'KM POR UNIDAD'!A37,'CARDENAS CARDENAS JAVIER '!U$40:U$46)+SUMIF('BALDERRAMA ROBLES JORGE'!P$40:P$46,'KM POR UNIDAD'!A37,'BALDERRAMA ROBLES JORGE'!U$40:U$46)+SUMIF('BURGOS TORRES RIGOBERTO'!P$39:P$45,'KM POR UNIDAD'!A37,'BURGOS TORRES RIGOBERTO'!U$39:U$45)+SUMIF('CORDOVA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ARAT'!U$40:U$46)+SUMIF('MERCADO LOPEZ JESUS'!P$40:P$46,'KM POR UNIDAD'!A37,'MERCADO LOPEZ JESUS'!U$40:U$46)+SUMIF('ORONA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EDUARDO'!U$40:U$46)+SUMIF('ANCHONDO ROMERO CESAR ALEJANDRO'!P$40:P$46,'KM POR UNIDAD'!A37,'ANCHONDO ROMERO CESAR ALEJANDRO'!U$40:U$46)</f>
        <v>3990</v>
      </c>
      <c r="C37" s="150">
        <f ca="1"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ADRIAN'!T$40:T$46)+SUMIF('CARDENAS CARDENAS JAVIER '!P$40:P$46,'KM POR UNIDAD'!A37,'CARDENAS CARDENAS JAVIER '!T$40:T$46)+SUMIF('BALDERRAMA ROBLES JORGE'!P$40:P$46,'KM POR UNIDAD'!A37,'BALDERRAMA ROBLES JORGE'!T$40:T$46)+SUMIF('BURGOS TORRES RIGOBERTO'!P$39:P$45,'KM POR UNIDAD'!A37,'BURGOS TORRES RIGOBERTO'!T$39:T$45)+SUMIF('CORDOVA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ARAT'!T$40:T$46)+SUMIF('MERCADO LOPEZ JESUS'!P$40:P$46,'KM POR UNIDAD'!A37,'MERCADO LOPEZ JESUS'!T$40:T$46)+SUMIF('ORONA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EDUARDO'!T$40:T$46)+SUMIF('ANCHONDO ROMERO CESAR ALEJANDRO'!P$40:P$46,'KM POR UNIDAD'!A37,'ANCHONDO ROMERO CESAR ALEJANDRO'!T$40:T$46)</f>
        <v>3882</v>
      </c>
      <c r="D37" s="150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ADRIAN'!V$40:V$46)+SUMIF('CARDENAS CARDENAS JAVIER '!P$40:P$46,'KM POR UNIDAD'!A37,'CARDENAS CARDENAS JAVIER '!V$40:V$46)+SUMIF('BALDERRAMA ROBLES JORGE'!P$40:P$46,'KM POR UNIDAD'!A37,'BALDERRAMA ROBLES JORGE'!V$40:V$46)+SUMIF('BURGOS TORRES RIGOBERTO'!P$39:P$45,'KM POR UNIDAD'!A37,'BURGOS TORRES RIGOBERTO'!V$39:V$45)+SUMIF('CORDOVA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ARAT'!V$40:V$46)+SUMIF('MERCADO LOPEZ JESUS'!P$40:P$46,'KM POR UNIDAD'!A37,'MERCADO LOPEZ JESUS'!V$40:V$46)+SUMIF('ORONA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EDUARDO'!V$40:V$46)+SUMIF('ANCHONDO ROMERO CESAR ALEJANDRO'!P$40:P$46,'KM POR UNIDAD'!A37,'ANCHONDO ROMERO CESAR ALEJANDRO'!V$40:V$46)</f>
        <v>1158.9549999999999</v>
      </c>
      <c r="E37" s="145">
        <f t="shared" si="0"/>
        <v>3.4427566212665721</v>
      </c>
      <c r="F37" s="144" t="e">
        <f ca="1"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ADRIAN'!Y$40:Y$46)+SUMIF('CARDENAS CARDENAS JAVIER '!T$40:T$46,'KM POR UNIDAD'!A37,'CARDENAS CARDENAS JAVIER '!Y$40:Y$46)+SUMIF('BALDERRAMA ROBLES JORGE'!T$40:T$46,'KM POR UNIDAD'!A37,'BALDERRAMA ROBLES JORGE'!#REF!)+SUMIF('BURGOS TORRES RIGOBERTO'!T$39:T$45,'KM POR UNIDAD'!A37,'BURGOS TORRES RIGOBERTO'!Y$39:Y$45)+SUMIF('CORDOVA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ARAT'!#REF!)+SUMIF('MERCADO LOPEZ JESUS'!T$40:T$46,'KM POR UNIDAD'!E37,'MERCADO LOPEZ JESUS'!Y$40:Y$46)+SUMIF('ORONA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EDUARDO'!Y$41:Y$46)+SUMIF('ANCHONDO ROMERO CESAR ALEJANDRO'!T$40:T$46,'KM POR UNIDAD'!E37,'ANCHONDO ROMERO CESAR ALEJANDRO'!Y$40:Y$46)</f>
        <v>#REF!</v>
      </c>
      <c r="G37" s="146"/>
    </row>
    <row r="38" spans="1:7" x14ac:dyDescent="0.25">
      <c r="A38" s="143" t="s">
        <v>135</v>
      </c>
      <c r="B38" s="144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ADRIAN'!U$40:U$46)+SUMIF('CARDENAS CARDENAS JAVIER '!P$40:P$46,'KM POR UNIDAD'!A38,'CARDENAS CARDENAS JAVIER '!U$40:U$46)+SUMIF('BALDERRAMA ROBLES JORGE'!P$40:P$46,'KM POR UNIDAD'!A38,'BALDERRAMA ROBLES JORGE'!U$40:U$46)+SUMIF('BURGOS TORRES RIGOBERTO'!P$39:P$45,'KM POR UNIDAD'!A38,'BURGOS TORRES RIGOBERTO'!U$39:U$45)+SUMIF('CORDOVA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ARAT'!U$40:U$46)+SUMIF('MERCADO LOPEZ JESUS'!P$40:P$46,'KM POR UNIDAD'!A38,'MERCADO LOPEZ JESUS'!U$40:U$46)+SUMIF('ORONA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EDUARDO'!U$40:U$46)+SUMIF('ANCHONDO ROMERO CESAR ALEJANDRO'!P$40:P$46,'KM POR UNIDAD'!A38,'ANCHONDO ROMERO CESAR ALEJANDRO'!U$40:U$46)</f>
        <v>425</v>
      </c>
      <c r="C38" s="150">
        <f ca="1"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ADRIAN'!T$40:T$46)+SUMIF('CARDENAS CARDENAS JAVIER '!P$40:P$46,'KM POR UNIDAD'!A38,'CARDENAS CARDENAS JAVIER '!T$40:T$46)+SUMIF('BALDERRAMA ROBLES JORGE'!P$40:P$46,'KM POR UNIDAD'!A38,'BALDERRAMA ROBLES JORGE'!T$40:T$46)+SUMIF('BURGOS TORRES RIGOBERTO'!P$39:P$45,'KM POR UNIDAD'!A38,'BURGOS TORRES RIGOBERTO'!T$39:T$45)+SUMIF('CORDOVA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ARAT'!T$40:T$46)+SUMIF('MERCADO LOPEZ JESUS'!P$40:P$46,'KM POR UNIDAD'!A38,'MERCADO LOPEZ JESUS'!T$40:T$46)+SUMIF('ORONA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EDUARDO'!T$40:T$46)+SUMIF('ANCHONDO ROMERO CESAR ALEJANDRO'!P$40:P$46,'KM POR UNIDAD'!A38,'ANCHONDO ROMERO CESAR ALEJANDRO'!T$40:T$46)</f>
        <v>-270764</v>
      </c>
      <c r="D38" s="150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ADRIAN'!V$40:V$46)+SUMIF('CARDENAS CARDENAS JAVIER '!P$40:P$46,'KM POR UNIDAD'!A38,'CARDENAS CARDENAS JAVIER '!V$40:V$46)+SUMIF('BALDERRAMA ROBLES JORGE'!P$40:P$46,'KM POR UNIDAD'!A38,'BALDERRAMA ROBLES JORGE'!V$40:V$46)+SUMIF('BURGOS TORRES RIGOBERTO'!P$39:P$45,'KM POR UNIDAD'!A38,'BURGOS TORRES RIGOBERTO'!V$39:V$45)+SUMIF('CORDOVA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ARAT'!V$40:V$46)+SUMIF('MERCADO LOPEZ JESUS'!P$40:P$46,'KM POR UNIDAD'!A38,'MERCADO LOPEZ JESUS'!V$40:V$46)+SUMIF('ORONA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EDUARDO'!V$40:V$46)+SUMIF('ANCHONDO ROMERO CESAR ALEJANDRO'!P$40:P$46,'KM POR UNIDAD'!A38,'ANCHONDO ROMERO CESAR ALEJANDRO'!V$40:V$46)</f>
        <v>140.03</v>
      </c>
      <c r="E38" s="145">
        <f t="shared" si="0"/>
        <v>3.035063914875384</v>
      </c>
      <c r="F38" s="144" t="e">
        <f ca="1"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ADRIAN'!Y$40:Y$46)+SUMIF('CARDENAS CARDENAS JAVIER '!T$40:T$46,'KM POR UNIDAD'!A38,'CARDENAS CARDENAS JAVIER '!Y$40:Y$46)+SUMIF('BALDERRAMA ROBLES JORGE'!T$40:T$46,'KM POR UNIDAD'!A38,'BALDERRAMA ROBLES JORGE'!#REF!)+SUMIF('BURGOS TORRES RIGOBERTO'!T$39:T$45,'KM POR UNIDAD'!A38,'BURGOS TORRES RIGOBERTO'!Y$39:Y$45)+SUMIF('CORDOVA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ARAT'!#REF!)+SUMIF('MERCADO LOPEZ JESUS'!T$40:T$46,'KM POR UNIDAD'!E38,'MERCADO LOPEZ JESUS'!Y$40:Y$46)+SUMIF('ORONA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EDUARDO'!Y$41:Y$46)+SUMIF('ANCHONDO ROMERO CESAR ALEJANDRO'!T$40:T$46,'KM POR UNIDAD'!E38,'ANCHONDO ROMERO CESAR ALEJANDRO'!Y$40:Y$46)</f>
        <v>#REF!</v>
      </c>
      <c r="G38" s="146"/>
    </row>
    <row r="39" spans="1:7" x14ac:dyDescent="0.25">
      <c r="A39" s="143" t="s">
        <v>51</v>
      </c>
      <c r="B39" s="144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ADRIAN'!U$40:U$46)+SUMIF('CARDENAS CARDENAS JAVIER '!P$40:P$46,'KM POR UNIDAD'!A39,'CARDENAS CARDENAS JAVIER '!U$40:U$46)+SUMIF('BALDERRAMA ROBLES JORGE'!P$40:P$46,'KM POR UNIDAD'!A39,'BALDERRAMA ROBLES JORGE'!U$40:U$46)+SUMIF('BURGOS TORRES RIGOBERTO'!P$39:P$45,'KM POR UNIDAD'!A39,'BURGOS TORRES RIGOBERTO'!U$39:U$45)+SUMIF('CORDOVA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ARAT'!U$40:U$46)+SUMIF('MERCADO LOPEZ JESUS'!P$40:P$46,'KM POR UNIDAD'!A39,'MERCADO LOPEZ JESUS'!U$40:U$46)+SUMIF('ORONA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EDUARDO'!U$40:U$46)+SUMIF('ANCHONDO ROMERO CESAR ALEJANDRO'!P$40:P$46,'KM POR UNIDAD'!A39,'ANCHONDO ROMERO CESAR ALEJANDRO'!U$40:U$46)</f>
        <v>0</v>
      </c>
      <c r="C39" s="150">
        <f ca="1"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ADRIAN'!T$40:T$46)+SUMIF('CARDENAS CARDENAS JAVIER '!P$40:P$46,'KM POR UNIDAD'!A39,'CARDENAS CARDENAS JAVIER '!T$40:T$46)+SUMIF('BALDERRAMA ROBLES JORGE'!P$40:P$46,'KM POR UNIDAD'!A39,'BALDERRAMA ROBLES JORGE'!T$40:T$46)+SUMIF('BURGOS TORRES RIGOBERTO'!P$39:P$45,'KM POR UNIDAD'!A39,'BURGOS TORRES RIGOBERTO'!T$39:T$45)+SUMIF('CORDOVA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ARAT'!T$40:T$46)+SUMIF('MERCADO LOPEZ JESUS'!P$40:P$46,'KM POR UNIDAD'!A39,'MERCADO LOPEZ JESUS'!T$40:T$46)+SUMIF('ORONA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EDUARDO'!T$40:T$46)+SUMIF('ANCHONDO ROMERO CESAR ALEJANDRO'!P$40:P$46,'KM POR UNIDAD'!A39,'ANCHONDO ROMERO CESAR ALEJANDRO'!T$40:T$46)</f>
        <v>0</v>
      </c>
      <c r="D39" s="150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ADRIAN'!V$40:V$46)+SUMIF('CARDENAS CARDENAS JAVIER '!P$40:P$46,'KM POR UNIDAD'!A39,'CARDENAS CARDENAS JAVIER '!V$40:V$46)+SUMIF('BALDERRAMA ROBLES JORGE'!P$40:P$46,'KM POR UNIDAD'!A39,'BALDERRAMA ROBLES JORGE'!V$40:V$46)+SUMIF('BURGOS TORRES RIGOBERTO'!P$39:P$45,'KM POR UNIDAD'!A39,'BURGOS TORRES RIGOBERTO'!V$39:V$45)+SUMIF('CORDOVA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ARAT'!V$40:V$46)+SUMIF('MERCADO LOPEZ JESUS'!P$40:P$46,'KM POR UNIDAD'!A39,'MERCADO LOPEZ JESUS'!V$40:V$46)+SUMIF('ORONA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EDUARDO'!V$40:V$46)+SUMIF('ANCHONDO ROMERO CESAR ALEJANDRO'!P$40:P$46,'KM POR UNIDAD'!A39,'ANCHONDO ROMERO CESAR ALEJANDRO'!V$40:V$46)</f>
        <v>0</v>
      </c>
      <c r="E39" s="145">
        <f t="shared" si="0"/>
        <v>0</v>
      </c>
      <c r="F39" s="144" t="e">
        <f ca="1"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ADRIAN'!Y$40:Y$46)+SUMIF('CARDENAS CARDENAS JAVIER '!T$40:T$46,'KM POR UNIDAD'!A39,'CARDENAS CARDENAS JAVIER '!Y$40:Y$46)+SUMIF('BALDERRAMA ROBLES JORGE'!T$40:T$46,'KM POR UNIDAD'!A39,'BALDERRAMA ROBLES JORGE'!#REF!)+SUMIF('BURGOS TORRES RIGOBERTO'!T$39:T$45,'KM POR UNIDAD'!A39,'BURGOS TORRES RIGOBERTO'!Y$39:Y$45)+SUMIF('CORDOVA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ARAT'!#REF!)+SUMIF('MERCADO LOPEZ JESUS'!T$40:T$46,'KM POR UNIDAD'!E39,'MERCADO LOPEZ JESUS'!Y$40:Y$46)+SUMIF('ORONA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EDUARDO'!Y$41:Y$46)+SUMIF('ANCHONDO ROMERO CESAR ALEJANDRO'!T$40:T$46,'KM POR UNIDAD'!E39,'ANCHONDO ROMERO CESAR ALEJANDRO'!Y$40:Y$46)</f>
        <v>#REF!</v>
      </c>
      <c r="G39" s="146"/>
    </row>
    <row r="40" spans="1:7" x14ac:dyDescent="0.25">
      <c r="A40" s="143" t="s">
        <v>274</v>
      </c>
      <c r="B40" s="144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ADRIAN'!U$40:U$46)+SUMIF('CARDENAS CARDENAS JAVIER '!P$40:P$46,'KM POR UNIDAD'!A40,'CARDENAS CARDENAS JAVIER '!U$40:U$46)+SUMIF('BALDERRAMA ROBLES JORGE'!P$40:P$46,'KM POR UNIDAD'!A40,'BALDERRAMA ROBLES JORGE'!U$40:U$46)+SUMIF('BURGOS TORRES RIGOBERTO'!P$39:P$45,'KM POR UNIDAD'!A40,'BURGOS TORRES RIGOBERTO'!U$39:U$45)+SUMIF('CORDOVA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ARAT'!U$40:U$46)+SUMIF('MERCADO LOPEZ JESUS'!P$40:P$46,'KM POR UNIDAD'!A40,'MERCADO LOPEZ JESUS'!U$40:U$46)+SUMIF('ORONA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EDUARDO'!U$40:U$46)+SUMIF('ANCHONDO ROMERO CESAR ALEJANDRO'!P$40:P$46,'KM POR UNIDAD'!A40,'ANCHONDO ROMERO CESAR ALEJANDRO'!U$40:U$46)</f>
        <v>0</v>
      </c>
      <c r="C40" s="150">
        <f ca="1"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ADRIAN'!T$40:T$46)+SUMIF('CARDENAS CARDENAS JAVIER '!P$40:P$46,'KM POR UNIDAD'!A40,'CARDENAS CARDENAS JAVIER '!T$40:T$46)+SUMIF('BALDERRAMA ROBLES JORGE'!P$40:P$46,'KM POR UNIDAD'!A40,'BALDERRAMA ROBLES JORGE'!T$40:T$46)+SUMIF('BURGOS TORRES RIGOBERTO'!P$39:P$45,'KM POR UNIDAD'!A40,'BURGOS TORRES RIGOBERTO'!T$39:T$45)+SUMIF('CORDOVA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ARAT'!T$40:T$46)+SUMIF('MERCADO LOPEZ JESUS'!P$40:P$46,'KM POR UNIDAD'!A40,'MERCADO LOPEZ JESUS'!T$40:T$46)+SUMIF('ORONA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EDUARDO'!T$40:T$46)+SUMIF('ANCHONDO ROMERO CESAR ALEJANDRO'!P$40:P$46,'KM POR UNIDAD'!A40,'ANCHONDO ROMERO CESAR ALEJANDRO'!T$40:T$46)</f>
        <v>0</v>
      </c>
      <c r="D40" s="150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ADRIAN'!V$40:V$46)+SUMIF('CARDENAS CARDENAS JAVIER '!P$40:P$46,'KM POR UNIDAD'!A40,'CARDENAS CARDENAS JAVIER '!V$40:V$46)+SUMIF('BALDERRAMA ROBLES JORGE'!P$40:P$46,'KM POR UNIDAD'!A40,'BALDERRAMA ROBLES JORGE'!V$40:V$46)+SUMIF('BURGOS TORRES RIGOBERTO'!P$39:P$45,'KM POR UNIDAD'!A40,'BURGOS TORRES RIGOBERTO'!V$39:V$45)+SUMIF('CORDOVA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ARAT'!V$40:V$46)+SUMIF('MERCADO LOPEZ JESUS'!P$40:P$46,'KM POR UNIDAD'!A40,'MERCADO LOPEZ JESUS'!V$40:V$46)+SUMIF('ORONA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EDUARDO'!V$40:V$46)+SUMIF('ANCHONDO ROMERO CESAR ALEJANDRO'!P$40:P$46,'KM POR UNIDAD'!A40,'ANCHONDO ROMERO CESAR ALEJANDRO'!V$40:V$46)</f>
        <v>0</v>
      </c>
      <c r="E40" s="145">
        <f t="shared" si="0"/>
        <v>0</v>
      </c>
      <c r="F40" s="144" t="e">
        <f ca="1"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ADRIAN'!Y$40:Y$46)+SUMIF('CARDENAS CARDENAS JAVIER '!T$40:T$46,'KM POR UNIDAD'!A40,'CARDENAS CARDENAS JAVIER '!Y$40:Y$46)+SUMIF('BALDERRAMA ROBLES JORGE'!T$40:T$46,'KM POR UNIDAD'!A40,'BALDERRAMA ROBLES JORGE'!#REF!)+SUMIF('BURGOS TORRES RIGOBERTO'!T$39:T$45,'KM POR UNIDAD'!A40,'BURGOS TORRES RIGOBERTO'!Y$39:Y$45)+SUMIF('CORDOVA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ARAT'!#REF!)+SUMIF('MERCADO LOPEZ JESUS'!T$40:T$46,'KM POR UNIDAD'!E40,'MERCADO LOPEZ JESUS'!Y$40:Y$46)+SUMIF('ORONA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EDUARDO'!Y$41:Y$46)+SUMIF('ANCHONDO ROMERO CESAR ALEJANDRO'!T$40:T$46,'KM POR UNIDAD'!E40,'ANCHONDO ROMERO CESAR ALEJANDRO'!Y$40:Y$46)</f>
        <v>#REF!</v>
      </c>
      <c r="G40" s="146"/>
    </row>
    <row r="41" spans="1:7" x14ac:dyDescent="0.25">
      <c r="A41" s="143" t="s">
        <v>169</v>
      </c>
      <c r="B41" s="144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ADRIAN'!U$40:U$46)+SUMIF('CARDENAS CARDENAS JAVIER '!P$40:P$46,'KM POR UNIDAD'!A41,'CARDENAS CARDENAS JAVIER '!U$40:U$46)+SUMIF('BALDERRAMA ROBLES JORGE'!P$40:P$46,'KM POR UNIDAD'!A41,'BALDERRAMA ROBLES JORGE'!U$40:U$46)+SUMIF('BURGOS TORRES RIGOBERTO'!P$39:P$45,'KM POR UNIDAD'!A41,'BURGOS TORRES RIGOBERTO'!U$39:U$45)+SUMIF('CORDOVA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ARAT'!U$40:U$46)+SUMIF('MERCADO LOPEZ JESUS'!P$40:P$46,'KM POR UNIDAD'!A41,'MERCADO LOPEZ JESUS'!U$40:U$46)+SUMIF('ORONA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EDUARDO'!U$40:U$46)+SUMIF('ANCHONDO ROMERO CESAR ALEJANDRO'!P$40:P$46,'KM POR UNIDAD'!A41,'ANCHONDO ROMERO CESAR ALEJANDRO'!U$40:U$46)</f>
        <v>0</v>
      </c>
      <c r="C41" s="150">
        <f ca="1"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ADRIAN'!T$40:T$46)+SUMIF('CARDENAS CARDENAS JAVIER '!P$40:P$46,'KM POR UNIDAD'!A41,'CARDENAS CARDENAS JAVIER '!T$40:T$46)+SUMIF('BALDERRAMA ROBLES JORGE'!P$40:P$46,'KM POR UNIDAD'!A41,'BALDERRAMA ROBLES JORGE'!T$40:T$46)+SUMIF('BURGOS TORRES RIGOBERTO'!P$39:P$45,'KM POR UNIDAD'!A41,'BURGOS TORRES RIGOBERTO'!T$39:T$45)+SUMIF('CORDOVA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ARAT'!T$40:T$46)+SUMIF('MERCADO LOPEZ JESUS'!P$40:P$46,'KM POR UNIDAD'!A41,'MERCADO LOPEZ JESUS'!T$40:T$46)+SUMIF('ORONA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EDUARDO'!T$40:T$46)+SUMIF('ANCHONDO ROMERO CESAR ALEJANDRO'!P$40:P$46,'KM POR UNIDAD'!A41,'ANCHONDO ROMERO CESAR ALEJANDRO'!T$40:T$46)</f>
        <v>0</v>
      </c>
      <c r="D41" s="150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ADRIAN'!V$40:V$46)+SUMIF('CARDENAS CARDENAS JAVIER '!P$40:P$46,'KM POR UNIDAD'!A41,'CARDENAS CARDENAS JAVIER '!V$40:V$46)+SUMIF('BALDERRAMA ROBLES JORGE'!P$40:P$46,'KM POR UNIDAD'!A41,'BALDERRAMA ROBLES JORGE'!V$40:V$46)+SUMIF('BURGOS TORRES RIGOBERTO'!P$39:P$45,'KM POR UNIDAD'!A41,'BURGOS TORRES RIGOBERTO'!V$39:V$45)+SUMIF('CORDOVA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ARAT'!V$40:V$46)+SUMIF('MERCADO LOPEZ JESUS'!P$40:P$46,'KM POR UNIDAD'!A41,'MERCADO LOPEZ JESUS'!V$40:V$46)+SUMIF('ORONA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EDUARDO'!V$40:V$46)+SUMIF('ANCHONDO ROMERO CESAR ALEJANDRO'!P$40:P$46,'KM POR UNIDAD'!A41,'ANCHONDO ROMERO CESAR ALEJANDRO'!V$40:V$46)</f>
        <v>0</v>
      </c>
      <c r="E41" s="145">
        <f t="shared" si="0"/>
        <v>0</v>
      </c>
      <c r="F41" s="144" t="e">
        <f ca="1"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ADRIAN'!Y$40:Y$46)+SUMIF('CARDENAS CARDENAS JAVIER '!T$40:T$46,'KM POR UNIDAD'!A41,'CARDENAS CARDENAS JAVIER '!Y$40:Y$46)+SUMIF('BALDERRAMA ROBLES JORGE'!T$40:T$46,'KM POR UNIDAD'!A41,'BALDERRAMA ROBLES JORGE'!#REF!)+SUMIF('BURGOS TORRES RIGOBERTO'!T$39:T$45,'KM POR UNIDAD'!A41,'BURGOS TORRES RIGOBERTO'!Y$39:Y$45)+SUMIF('CORDOVA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ARAT'!#REF!)+SUMIF('MERCADO LOPEZ JESUS'!T$40:T$46,'KM POR UNIDAD'!E41,'MERCADO LOPEZ JESUS'!Y$40:Y$46)+SUMIF('ORONA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EDUARDO'!Y$41:Y$46)+SUMIF('ANCHONDO ROMERO CESAR ALEJANDRO'!T$40:T$46,'KM POR UNIDAD'!E41,'ANCHONDO ROMERO CESAR ALEJANDRO'!Y$40:Y$46)</f>
        <v>#REF!</v>
      </c>
      <c r="G41" s="146"/>
    </row>
    <row r="42" spans="1:7" x14ac:dyDescent="0.25">
      <c r="A42" s="143" t="s">
        <v>145</v>
      </c>
      <c r="B42" s="144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ADRIAN'!U$40:U$46)+SUMIF('CARDENAS CARDENAS JAVIER '!P$40:P$46,'KM POR UNIDAD'!A42,'CARDENAS CARDENAS JAVIER '!U$40:U$46)+SUMIF('BALDERRAMA ROBLES JORGE'!P$40:P$46,'KM POR UNIDAD'!A42,'BALDERRAMA ROBLES JORGE'!U$40:U$46)+SUMIF('BURGOS TORRES RIGOBERTO'!P$39:P$45,'KM POR UNIDAD'!A42,'BURGOS TORRES RIGOBERTO'!U$39:U$45)+SUMIF('CORDOVA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ARAT'!U$40:U$46)+SUMIF('MERCADO LOPEZ JESUS'!P$40:P$46,'KM POR UNIDAD'!A42,'MERCADO LOPEZ JESUS'!U$40:U$46)+SUMIF('ORONA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EDUARDO'!U$40:U$46)+SUMIF('ANCHONDO ROMERO CESAR ALEJANDRO'!P$40:P$46,'KM POR UNIDAD'!A42,'ANCHONDO ROMERO CESAR ALEJANDRO'!U$40:U$46)</f>
        <v>0</v>
      </c>
      <c r="C42" s="150">
        <f ca="1"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ADRIAN'!T$40:T$46)+SUMIF('CARDENAS CARDENAS JAVIER '!P$40:P$46,'KM POR UNIDAD'!A42,'CARDENAS CARDENAS JAVIER '!T$40:T$46)+SUMIF('BALDERRAMA ROBLES JORGE'!P$40:P$46,'KM POR UNIDAD'!A42,'BALDERRAMA ROBLES JORGE'!T$40:T$46)+SUMIF('BURGOS TORRES RIGOBERTO'!P$39:P$45,'KM POR UNIDAD'!A42,'BURGOS TORRES RIGOBERTO'!T$39:T$45)+SUMIF('CORDOVA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ARAT'!T$40:T$46)+SUMIF('MERCADO LOPEZ JESUS'!P$40:P$46,'KM POR UNIDAD'!A42,'MERCADO LOPEZ JESUS'!T$40:T$46)+SUMIF('ORONA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EDUARDO'!T$40:T$46)+SUMIF('ANCHONDO ROMERO CESAR ALEJANDRO'!P$40:P$46,'KM POR UNIDAD'!A42,'ANCHONDO ROMERO CESAR ALEJANDRO'!T$40:T$46)</f>
        <v>0</v>
      </c>
      <c r="D42" s="150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ADRIAN'!V$40:V$46)+SUMIF('CARDENAS CARDENAS JAVIER '!P$40:P$46,'KM POR UNIDAD'!A42,'CARDENAS CARDENAS JAVIER '!V$40:V$46)+SUMIF('BALDERRAMA ROBLES JORGE'!P$40:P$46,'KM POR UNIDAD'!A42,'BALDERRAMA ROBLES JORGE'!V$40:V$46)+SUMIF('BURGOS TORRES RIGOBERTO'!P$39:P$45,'KM POR UNIDAD'!A42,'BURGOS TORRES RIGOBERTO'!V$39:V$45)+SUMIF('CORDOVA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ARAT'!V$40:V$46)+SUMIF('MERCADO LOPEZ JESUS'!P$40:P$46,'KM POR UNIDAD'!A42,'MERCADO LOPEZ JESUS'!V$40:V$46)+SUMIF('ORONA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EDUARDO'!V$40:V$46)+SUMIF('ANCHONDO ROMERO CESAR ALEJANDRO'!P$40:P$46,'KM POR UNIDAD'!A42,'ANCHONDO ROMERO CESAR ALEJANDRO'!V$40:V$46)</f>
        <v>0</v>
      </c>
      <c r="E42" s="145">
        <f t="shared" si="0"/>
        <v>0</v>
      </c>
      <c r="F42" s="144" t="e">
        <f ca="1"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ADRIAN'!Y$40:Y$46)+SUMIF('CARDENAS CARDENAS JAVIER '!T$40:T$46,'KM POR UNIDAD'!A42,'CARDENAS CARDENAS JAVIER '!Y$40:Y$46)+SUMIF('BALDERRAMA ROBLES JORGE'!T$40:T$46,'KM POR UNIDAD'!A42,'BALDERRAMA ROBLES JORGE'!#REF!)+SUMIF('BURGOS TORRES RIGOBERTO'!T$39:T$45,'KM POR UNIDAD'!A42,'BURGOS TORRES RIGOBERTO'!Y$39:Y$45)+SUMIF('CORDOVA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ARAT'!#REF!)+SUMIF('MERCADO LOPEZ JESUS'!T$40:T$46,'KM POR UNIDAD'!E42,'MERCADO LOPEZ JESUS'!Y$40:Y$46)+SUMIF('ORONA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EDUARDO'!Y$41:Y$46)+SUMIF('ANCHONDO ROMERO CESAR ALEJANDRO'!T$40:T$46,'KM POR UNIDAD'!E42,'ANCHONDO ROMERO CESAR ALEJANDRO'!Y$40:Y$46)</f>
        <v>#REF!</v>
      </c>
      <c r="G42" s="146"/>
    </row>
    <row r="43" spans="1:7" x14ac:dyDescent="0.25">
      <c r="A43" s="143" t="s">
        <v>269</v>
      </c>
      <c r="B43" s="144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ADRIAN'!U$40:U$46)+SUMIF('CARDENAS CARDENAS JAVIER '!P$40:P$46,'KM POR UNIDAD'!A43,'CARDENAS CARDENAS JAVIER '!U$40:U$46)+SUMIF('BALDERRAMA ROBLES JORGE'!P$40:P$46,'KM POR UNIDAD'!A43,'BALDERRAMA ROBLES JORGE'!U$40:U$46)+SUMIF('BURGOS TORRES RIGOBERTO'!P$39:P$45,'KM POR UNIDAD'!A43,'BURGOS TORRES RIGOBERTO'!U$39:U$45)+SUMIF('CORDOVA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ARAT'!U$40:U$46)+SUMIF('MERCADO LOPEZ JESUS'!P$40:P$46,'KM POR UNIDAD'!A43,'MERCADO LOPEZ JESUS'!U$40:U$46)+SUMIF('ORONA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EDUARDO'!U$40:U$46)+SUMIF('ANCHONDO ROMERO CESAR ALEJANDRO'!P$40:P$46,'KM POR UNIDAD'!A43,'ANCHONDO ROMERO CESAR ALEJANDRO'!U$40:U$46)</f>
        <v>0</v>
      </c>
      <c r="C43" s="150">
        <f ca="1"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ADRIAN'!T$40:T$46)+SUMIF('CARDENAS CARDENAS JAVIER '!P$40:P$46,'KM POR UNIDAD'!A43,'CARDENAS CARDENAS JAVIER '!T$40:T$46)+SUMIF('BALDERRAMA ROBLES JORGE'!P$40:P$46,'KM POR UNIDAD'!A43,'BALDERRAMA ROBLES JORGE'!T$40:T$46)+SUMIF('BURGOS TORRES RIGOBERTO'!P$39:P$45,'KM POR UNIDAD'!A43,'BURGOS TORRES RIGOBERTO'!T$39:T$45)+SUMIF('CORDOVA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ARAT'!T$40:T$46)+SUMIF('MERCADO LOPEZ JESUS'!P$40:P$46,'KM POR UNIDAD'!A43,'MERCADO LOPEZ JESUS'!T$40:T$46)+SUMIF('ORONA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EDUARDO'!T$40:T$46)+SUMIF('ANCHONDO ROMERO CESAR ALEJANDRO'!P$40:P$46,'KM POR UNIDAD'!A43,'ANCHONDO ROMERO CESAR ALEJANDRO'!T$40:T$46)</f>
        <v>0</v>
      </c>
      <c r="D43" s="150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ADRIAN'!V$40:V$46)+SUMIF('CARDENAS CARDENAS JAVIER '!P$40:P$46,'KM POR UNIDAD'!A43,'CARDENAS CARDENAS JAVIER '!V$40:V$46)+SUMIF('BALDERRAMA ROBLES JORGE'!P$40:P$46,'KM POR UNIDAD'!A43,'BALDERRAMA ROBLES JORGE'!V$40:V$46)+SUMIF('BURGOS TORRES RIGOBERTO'!P$39:P$45,'KM POR UNIDAD'!A43,'BURGOS TORRES RIGOBERTO'!V$39:V$45)+SUMIF('CORDOVA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ARAT'!V$40:V$46)+SUMIF('MERCADO LOPEZ JESUS'!P$40:P$46,'KM POR UNIDAD'!A43,'MERCADO LOPEZ JESUS'!V$40:V$46)+SUMIF('ORONA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EDUARDO'!V$40:V$46)+SUMIF('ANCHONDO ROMERO CESAR ALEJANDRO'!P$40:P$46,'KM POR UNIDAD'!A43,'ANCHONDO ROMERO CESAR ALEJANDRO'!V$40:V$46)</f>
        <v>0</v>
      </c>
      <c r="E43" s="145">
        <f t="shared" si="0"/>
        <v>0</v>
      </c>
      <c r="F43" s="144" t="e">
        <f ca="1"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ADRIAN'!Y$40:Y$46)+SUMIF('CARDENAS CARDENAS JAVIER '!T$40:T$46,'KM POR UNIDAD'!A43,'CARDENAS CARDENAS JAVIER '!Y$40:Y$46)+SUMIF('BALDERRAMA ROBLES JORGE'!T$40:T$46,'KM POR UNIDAD'!A43,'BALDERRAMA ROBLES JORGE'!#REF!)+SUMIF('BURGOS TORRES RIGOBERTO'!T$39:T$45,'KM POR UNIDAD'!A43,'BURGOS TORRES RIGOBERTO'!Y$39:Y$45)+SUMIF('CORDOVA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ARAT'!#REF!)+SUMIF('MERCADO LOPEZ JESUS'!T$40:T$46,'KM POR UNIDAD'!E43,'MERCADO LOPEZ JESUS'!Y$40:Y$46)+SUMIF('ORONA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EDUARDO'!Y$41:Y$46)+SUMIF('ANCHONDO ROMERO CESAR ALEJANDRO'!T$40:T$46,'KM POR UNIDAD'!E43,'ANCHONDO ROMERO CESAR ALEJANDRO'!Y$40:Y$46)</f>
        <v>#REF!</v>
      </c>
      <c r="G43" s="146"/>
    </row>
    <row r="44" spans="1:7" x14ac:dyDescent="0.25">
      <c r="A44" s="143" t="s">
        <v>270</v>
      </c>
      <c r="B44" s="144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ADRIAN'!U$40:U$46)+SUMIF('CARDENAS CARDENAS JAVIER '!P$40:P$46,'KM POR UNIDAD'!A44,'CARDENAS CARDENAS JAVIER '!U$40:U$46)+SUMIF('BALDERRAMA ROBLES JORGE'!P$40:P$46,'KM POR UNIDAD'!A44,'BALDERRAMA ROBLES JORGE'!U$40:U$46)+SUMIF('BURGOS TORRES RIGOBERTO'!P$39:P$45,'KM POR UNIDAD'!A44,'BURGOS TORRES RIGOBERTO'!U$39:U$45)+SUMIF('CORDOVA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ARAT'!U$40:U$46)+SUMIF('MERCADO LOPEZ JESUS'!P$40:P$46,'KM POR UNIDAD'!A44,'MERCADO LOPEZ JESUS'!U$40:U$46)+SUMIF('ORONA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EDUARDO'!U$40:U$46)+SUMIF('ANCHONDO ROMERO CESAR ALEJANDRO'!P$40:P$46,'KM POR UNIDAD'!A44,'ANCHONDO ROMERO CESAR ALEJANDRO'!U$40:U$46)</f>
        <v>0</v>
      </c>
      <c r="C44" s="150">
        <f ca="1"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ADRIAN'!T$40:T$46)+SUMIF('CARDENAS CARDENAS JAVIER '!P$40:P$46,'KM POR UNIDAD'!A44,'CARDENAS CARDENAS JAVIER '!T$40:T$46)+SUMIF('BALDERRAMA ROBLES JORGE'!P$40:P$46,'KM POR UNIDAD'!A44,'BALDERRAMA ROBLES JORGE'!T$40:T$46)+SUMIF('BURGOS TORRES RIGOBERTO'!P$39:P$45,'KM POR UNIDAD'!A44,'BURGOS TORRES RIGOBERTO'!T$39:T$45)+SUMIF('CORDOVA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ARAT'!T$40:T$46)+SUMIF('MERCADO LOPEZ JESUS'!P$40:P$46,'KM POR UNIDAD'!A44,'MERCADO LOPEZ JESUS'!T$40:T$46)+SUMIF('ORONA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EDUARDO'!T$40:T$46)+SUMIF('ANCHONDO ROMERO CESAR ALEJANDRO'!P$40:P$46,'KM POR UNIDAD'!A44,'ANCHONDO ROMERO CESAR ALEJANDRO'!T$40:T$46)</f>
        <v>0</v>
      </c>
      <c r="D44" s="150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ADRIAN'!V$40:V$46)+SUMIF('CARDENAS CARDENAS JAVIER '!P$40:P$46,'KM POR UNIDAD'!A44,'CARDENAS CARDENAS JAVIER '!V$40:V$46)+SUMIF('BALDERRAMA ROBLES JORGE'!P$40:P$46,'KM POR UNIDAD'!A44,'BALDERRAMA ROBLES JORGE'!V$40:V$46)+SUMIF('BURGOS TORRES RIGOBERTO'!P$39:P$45,'KM POR UNIDAD'!A44,'BURGOS TORRES RIGOBERTO'!V$39:V$45)+SUMIF('CORDOVA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ARAT'!V$40:V$46)+SUMIF('MERCADO LOPEZ JESUS'!P$40:P$46,'KM POR UNIDAD'!A44,'MERCADO LOPEZ JESUS'!V$40:V$46)+SUMIF('ORONA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EDUARDO'!V$40:V$46)+SUMIF('ANCHONDO ROMERO CESAR ALEJANDRO'!P$40:P$46,'KM POR UNIDAD'!A44,'ANCHONDO ROMERO CESAR ALEJANDRO'!V$40:V$46)</f>
        <v>0</v>
      </c>
      <c r="E44" s="145">
        <f t="shared" si="0"/>
        <v>0</v>
      </c>
      <c r="F44" s="144" t="e">
        <f ca="1"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ADRIAN'!Y$40:Y$46)+SUMIF('CARDENAS CARDENAS JAVIER '!T$40:T$46,'KM POR UNIDAD'!A44,'CARDENAS CARDENAS JAVIER '!Y$40:Y$46)+SUMIF('BALDERRAMA ROBLES JORGE'!T$40:T$46,'KM POR UNIDAD'!A44,'BALDERRAMA ROBLES JORGE'!#REF!)+SUMIF('BURGOS TORRES RIGOBERTO'!T$39:T$45,'KM POR UNIDAD'!A44,'BURGOS TORRES RIGOBERTO'!Y$39:Y$45)+SUMIF('CORDOVA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ARAT'!#REF!)+SUMIF('MERCADO LOPEZ JESUS'!T$40:T$46,'KM POR UNIDAD'!E44,'MERCADO LOPEZ JESUS'!Y$40:Y$46)+SUMIF('ORONA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EDUARDO'!Y$41:Y$46)+SUMIF('ANCHONDO ROMERO CESAR ALEJANDRO'!T$40:T$46,'KM POR UNIDAD'!E44,'ANCHONDO ROMERO CESAR ALEJANDRO'!Y$40:Y$46)</f>
        <v>#REF!</v>
      </c>
      <c r="G44" s="146"/>
    </row>
    <row r="45" spans="1:7" x14ac:dyDescent="0.25">
      <c r="A45" s="143" t="s">
        <v>271</v>
      </c>
      <c r="B45" s="144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ADRIAN'!U$40:U$46)+SUMIF('CARDENAS CARDENAS JAVIER '!P$40:P$46,'KM POR UNIDAD'!A45,'CARDENAS CARDENAS JAVIER '!U$40:U$46)+SUMIF('BALDERRAMA ROBLES JORGE'!P$40:P$46,'KM POR UNIDAD'!A45,'BALDERRAMA ROBLES JORGE'!U$40:U$46)+SUMIF('BURGOS TORRES RIGOBERTO'!P$39:P$45,'KM POR UNIDAD'!A45,'BURGOS TORRES RIGOBERTO'!U$39:U$45)+SUMIF('CORDOVA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ARAT'!U$40:U$46)+SUMIF('MERCADO LOPEZ JESUS'!P$40:P$46,'KM POR UNIDAD'!A45,'MERCADO LOPEZ JESUS'!U$40:U$46)+SUMIF('ORONA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EDUARDO'!U$40:U$46)+SUMIF('ANCHONDO ROMERO CESAR ALEJANDRO'!P$40:P$46,'KM POR UNIDAD'!A45,'ANCHONDO ROMERO CESAR ALEJANDRO'!U$40:U$46)</f>
        <v>0</v>
      </c>
      <c r="C45" s="150">
        <f ca="1"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ADRIAN'!T$40:T$46)+SUMIF('CARDENAS CARDENAS JAVIER '!P$40:P$46,'KM POR UNIDAD'!A45,'CARDENAS CARDENAS JAVIER '!T$40:T$46)+SUMIF('BALDERRAMA ROBLES JORGE'!P$40:P$46,'KM POR UNIDAD'!A45,'BALDERRAMA ROBLES JORGE'!T$40:T$46)+SUMIF('BURGOS TORRES RIGOBERTO'!P$39:P$45,'KM POR UNIDAD'!A45,'BURGOS TORRES RIGOBERTO'!T$39:T$45)+SUMIF('CORDOVA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ARAT'!T$40:T$46)+SUMIF('MERCADO LOPEZ JESUS'!P$40:P$46,'KM POR UNIDAD'!A45,'MERCADO LOPEZ JESUS'!T$40:T$46)+SUMIF('ORONA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EDUARDO'!T$40:T$46)+SUMIF('ANCHONDO ROMERO CESAR ALEJANDRO'!P$40:P$46,'KM POR UNIDAD'!A45,'ANCHONDO ROMERO CESAR ALEJANDRO'!T$40:T$46)</f>
        <v>0</v>
      </c>
      <c r="D45" s="150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ADRIAN'!V$40:V$46)+SUMIF('CARDENAS CARDENAS JAVIER '!P$40:P$46,'KM POR UNIDAD'!A45,'CARDENAS CARDENAS JAVIER '!V$40:V$46)+SUMIF('BALDERRAMA ROBLES JORGE'!P$40:P$46,'KM POR UNIDAD'!A45,'BALDERRAMA ROBLES JORGE'!V$40:V$46)+SUMIF('BURGOS TORRES RIGOBERTO'!P$39:P$45,'KM POR UNIDAD'!A45,'BURGOS TORRES RIGOBERTO'!V$39:V$45)+SUMIF('CORDOVA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ARAT'!V$40:V$46)+SUMIF('MERCADO LOPEZ JESUS'!P$40:P$46,'KM POR UNIDAD'!A45,'MERCADO LOPEZ JESUS'!V$40:V$46)+SUMIF('ORONA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EDUARDO'!V$40:V$46)+SUMIF('ANCHONDO ROMERO CESAR ALEJANDRO'!P$40:P$46,'KM POR UNIDAD'!A45,'ANCHONDO ROMERO CESAR ALEJANDRO'!V$40:V$46)</f>
        <v>0</v>
      </c>
      <c r="E45" s="145">
        <f>IFERROR(B45/D45,0)</f>
        <v>0</v>
      </c>
      <c r="F45" s="144" t="e">
        <f ca="1"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ADRIAN'!Y$40:Y$46)+SUMIF('CARDENAS CARDENAS JAVIER '!T$40:T$46,'KM POR UNIDAD'!A45,'CARDENAS CARDENAS JAVIER '!Y$40:Y$46)+SUMIF('BALDERRAMA ROBLES JORGE'!T$40:T$46,'KM POR UNIDAD'!A45,'BALDERRAMA ROBLES JORGE'!#REF!)+SUMIF('BURGOS TORRES RIGOBERTO'!T$39:T$45,'KM POR UNIDAD'!A45,'BURGOS TORRES RIGOBERTO'!Y$39:Y$45)+SUMIF('CORDOVA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ARAT'!#REF!)+SUMIF('MERCADO LOPEZ JESUS'!T$40:T$46,'KM POR UNIDAD'!E45,'MERCADO LOPEZ JESUS'!Y$40:Y$46)+SUMIF('ORONA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EDUARDO'!Y$41:Y$46)+SUMIF('ANCHONDO ROMERO CESAR ALEJANDRO'!T$40:T$46,'KM POR UNIDAD'!E45,'ANCHONDO ROMERO CESAR ALEJANDRO'!Y$40:Y$46)</f>
        <v>#REF!</v>
      </c>
      <c r="G45" s="146"/>
    </row>
    <row r="46" spans="1:7" x14ac:dyDescent="0.25">
      <c r="A46" s="143" t="s">
        <v>63</v>
      </c>
      <c r="B46" s="144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ADRIAN'!U$40:U$46)+SUMIF('CARDENAS CARDENAS JAVIER '!P$40:P$46,'KM POR UNIDAD'!A46,'CARDENAS CARDENAS JAVIER '!U$40:U$46)+SUMIF('BALDERRAMA ROBLES JORGE'!P$40:P$46,'KM POR UNIDAD'!A46,'BALDERRAMA ROBLES JORGE'!U$40:U$46)+SUMIF('BURGOS TORRES RIGOBERTO'!P$39:P$45,'KM POR UNIDAD'!A46,'BURGOS TORRES RIGOBERTO'!U$39:U$45)+SUMIF('CORDOVA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ARAT'!U$40:U$46)+SUMIF('MERCADO LOPEZ JESUS'!P$40:P$46,'KM POR UNIDAD'!A46,'MERCADO LOPEZ JESUS'!U$40:U$46)+SUMIF('ORONA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EDUARDO'!U$40:U$46)+SUMIF('ANCHONDO ROMERO CESAR ALEJANDRO'!P$40:P$46,'KM POR UNIDAD'!A46,'ANCHONDO ROMERO CESAR ALEJANDRO'!U$40:U$46)</f>
        <v>2420</v>
      </c>
      <c r="C46" s="150">
        <f ca="1"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ADRIAN'!T$40:T$46)+SUMIF('CARDENAS CARDENAS JAVIER '!P$40:P$46,'KM POR UNIDAD'!A46,'CARDENAS CARDENAS JAVIER '!T$40:T$46)+SUMIF('BALDERRAMA ROBLES JORGE'!P$40:P$46,'KM POR UNIDAD'!A46,'BALDERRAMA ROBLES JORGE'!T$40:T$46)+SUMIF('BURGOS TORRES RIGOBERTO'!P$39:P$45,'KM POR UNIDAD'!A46,'BURGOS TORRES RIGOBERTO'!T$39:T$45)+SUMIF('CORDOVA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ARAT'!T$40:T$46)+SUMIF('MERCADO LOPEZ JESUS'!P$40:P$46,'KM POR UNIDAD'!A46,'MERCADO LOPEZ JESUS'!T$40:T$46)+SUMIF('ORONA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EDUARDO'!T$40:T$46)+SUMIF('ANCHONDO ROMERO CESAR ALEJANDRO'!P$40:P$46,'KM POR UNIDAD'!A46,'ANCHONDO ROMERO CESAR ALEJANDRO'!T$40:T$46)</f>
        <v>2562</v>
      </c>
      <c r="D46" s="150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ADRIAN'!V$40:V$46)+SUMIF('CARDENAS CARDENAS JAVIER '!P$40:P$46,'KM POR UNIDAD'!A46,'CARDENAS CARDENAS JAVIER '!V$40:V$46)+SUMIF('BALDERRAMA ROBLES JORGE'!P$40:P$46,'KM POR UNIDAD'!A46,'BALDERRAMA ROBLES JORGE'!V$40:V$46)+SUMIF('BURGOS TORRES RIGOBERTO'!P$39:P$45,'KM POR UNIDAD'!A46,'BURGOS TORRES RIGOBERTO'!V$39:V$45)+SUMIF('CORDOVA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ARAT'!V$40:V$46)+SUMIF('MERCADO LOPEZ JESUS'!P$40:P$46,'KM POR UNIDAD'!A46,'MERCADO LOPEZ JESUS'!V$40:V$46)+SUMIF('ORONA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EDUARDO'!V$40:V$46)+SUMIF('ANCHONDO ROMERO CESAR ALEJANDRO'!P$40:P$46,'KM POR UNIDAD'!A46,'ANCHONDO ROMERO CESAR ALEJANDRO'!V$40:V$46)</f>
        <v>703.31700000000001</v>
      </c>
      <c r="E46" s="145">
        <f t="shared" si="0"/>
        <v>3.4408381995600847</v>
      </c>
      <c r="F46" s="144" t="e">
        <f ca="1"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ADRIAN'!Y$40:Y$46)+SUMIF('CARDENAS CARDENAS JAVIER '!T$40:T$46,'KM POR UNIDAD'!A46,'CARDENAS CARDENAS JAVIER '!Y$40:Y$46)+SUMIF('BALDERRAMA ROBLES JORGE'!T$40:T$46,'KM POR UNIDAD'!A46,'BALDERRAMA ROBLES JORGE'!#REF!)+SUMIF('BURGOS TORRES RIGOBERTO'!T$39:T$45,'KM POR UNIDAD'!A46,'BURGOS TORRES RIGOBERTO'!Y$39:Y$45)+SUMIF('CORDOVA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ARAT'!#REF!)+SUMIF('MERCADO LOPEZ JESUS'!T$40:T$46,'KM POR UNIDAD'!E46,'MERCADO LOPEZ JESUS'!Y$40:Y$46)+SUMIF('ORONA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EDUARDO'!Y$41:Y$46)+SUMIF('ANCHONDO ROMERO CESAR ALEJANDRO'!T$40:T$46,'KM POR UNIDAD'!E46,'ANCHONDO ROMERO CESAR ALEJANDRO'!Y$40:Y$46)</f>
        <v>#REF!</v>
      </c>
      <c r="G46" s="146"/>
    </row>
    <row r="47" spans="1:7" x14ac:dyDescent="0.25">
      <c r="A47" s="143" t="s">
        <v>137</v>
      </c>
      <c r="B47" s="144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ADRIAN'!U$40:U$46)+SUMIF('CARDENAS CARDENAS JAVIER '!P$40:P$46,'KM POR UNIDAD'!A47,'CARDENAS CARDENAS JAVIER '!U$40:U$46)+SUMIF('BALDERRAMA ROBLES JORGE'!P$40:P$46,'KM POR UNIDAD'!A47,'BALDERRAMA ROBLES JORGE'!U$40:U$46)+SUMIF('BURGOS TORRES RIGOBERTO'!P$39:P$45,'KM POR UNIDAD'!A47,'BURGOS TORRES RIGOBERTO'!U$39:U$45)+SUMIF('CORDOVA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ARAT'!U$40:U$46)+SUMIF('MERCADO LOPEZ JESUS'!P$40:P$46,'KM POR UNIDAD'!A47,'MERCADO LOPEZ JESUS'!U$40:U$46)+SUMIF('ORONA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EDUARDO'!U$40:U$46)+SUMIF('ANCHONDO ROMERO CESAR ALEJANDRO'!P$40:P$46,'KM POR UNIDAD'!A47,'ANCHONDO ROMERO CESAR ALEJANDRO'!U$40:U$46)</f>
        <v>0</v>
      </c>
      <c r="C47" s="150">
        <f ca="1"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ADRIAN'!T$40:T$46)+SUMIF('CARDENAS CARDENAS JAVIER '!P$40:P$46,'KM POR UNIDAD'!A47,'CARDENAS CARDENAS JAVIER '!T$40:T$46)+SUMIF('BALDERRAMA ROBLES JORGE'!P$40:P$46,'KM POR UNIDAD'!A47,'BALDERRAMA ROBLES JORGE'!T$40:T$46)+SUMIF('BURGOS TORRES RIGOBERTO'!P$39:P$45,'KM POR UNIDAD'!A47,'BURGOS TORRES RIGOBERTO'!T$39:T$45)+SUMIF('CORDOVA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ARAT'!T$40:T$46)+SUMIF('MERCADO LOPEZ JESUS'!P$40:P$46,'KM POR UNIDAD'!A47,'MERCADO LOPEZ JESUS'!T$40:T$46)+SUMIF('ORONA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EDUARDO'!T$40:T$46)+SUMIF('ANCHONDO ROMERO CESAR ALEJANDRO'!P$40:P$46,'KM POR UNIDAD'!A47,'ANCHONDO ROMERO CESAR ALEJANDRO'!T$40:T$46)</f>
        <v>0</v>
      </c>
      <c r="D47" s="150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ADRIAN'!V$40:V$46)+SUMIF('CARDENAS CARDENAS JAVIER '!P$40:P$46,'KM POR UNIDAD'!A47,'CARDENAS CARDENAS JAVIER '!V$40:V$46)+SUMIF('BALDERRAMA ROBLES JORGE'!P$40:P$46,'KM POR UNIDAD'!A47,'BALDERRAMA ROBLES JORGE'!V$40:V$46)+SUMIF('BURGOS TORRES RIGOBERTO'!P$39:P$45,'KM POR UNIDAD'!A47,'BURGOS TORRES RIGOBERTO'!V$39:V$45)+SUMIF('CORDOVA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ARAT'!V$40:V$46)+SUMIF('MERCADO LOPEZ JESUS'!P$40:P$46,'KM POR UNIDAD'!A47,'MERCADO LOPEZ JESUS'!V$40:V$46)+SUMIF('ORONA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EDUARDO'!V$40:V$46)+SUMIF('ANCHONDO ROMERO CESAR ALEJANDRO'!P$40:P$46,'KM POR UNIDAD'!A47,'ANCHONDO ROMERO CESAR ALEJANDRO'!V$40:V$46)</f>
        <v>0</v>
      </c>
      <c r="E47" s="145">
        <f t="shared" si="0"/>
        <v>0</v>
      </c>
      <c r="F47" s="144" t="e">
        <f ca="1"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ADRIAN'!Y$40:Y$46)+SUMIF('CARDENAS CARDENAS JAVIER '!T$40:T$46,'KM POR UNIDAD'!A47,'CARDENAS CARDENAS JAVIER '!Y$40:Y$46)+SUMIF('BALDERRAMA ROBLES JORGE'!T$40:T$46,'KM POR UNIDAD'!A47,'BALDERRAMA ROBLES JORGE'!#REF!)+SUMIF('BURGOS TORRES RIGOBERTO'!T$39:T$45,'KM POR UNIDAD'!A47,'BURGOS TORRES RIGOBERTO'!Y$39:Y$45)+SUMIF('CORDOVA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ARAT'!#REF!)+SUMIF('MERCADO LOPEZ JESUS'!T$40:T$46,'KM POR UNIDAD'!E47,'MERCADO LOPEZ JESUS'!Y$40:Y$46)+SUMIF('ORONA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EDUARDO'!Y$41:Y$46)+SUMIF('ANCHONDO ROMERO CESAR ALEJANDRO'!T$40:T$46,'KM POR UNIDAD'!E47,'ANCHONDO ROMERO CESAR ALEJANDRO'!Y$40:Y$46)</f>
        <v>#REF!</v>
      </c>
      <c r="G47" s="146"/>
    </row>
    <row r="48" spans="1:7" x14ac:dyDescent="0.25">
      <c r="A48" s="143" t="s">
        <v>172</v>
      </c>
      <c r="B48" s="144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ADRIAN'!U$40:U$46)+SUMIF('CARDENAS CARDENAS JAVIER '!P$40:P$46,'KM POR UNIDAD'!A48,'CARDENAS CARDENAS JAVIER '!U$40:U$46)+SUMIF('BALDERRAMA ROBLES JORGE'!P$40:P$46,'KM POR UNIDAD'!A48,'BALDERRAMA ROBLES JORGE'!U$40:U$46)+SUMIF('BURGOS TORRES RIGOBERTO'!P$39:P$45,'KM POR UNIDAD'!A48,'BURGOS TORRES RIGOBERTO'!U$39:U$45)+SUMIF('CORDOVA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ARAT'!U$40:U$46)+SUMIF('MERCADO LOPEZ JESUS'!P$40:P$46,'KM POR UNIDAD'!A48,'MERCADO LOPEZ JESUS'!U$40:U$46)+SUMIF('ORONA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EDUARDO'!U$40:U$46)+SUMIF('ANCHONDO ROMERO CESAR ALEJANDRO'!P$40:P$46,'KM POR UNIDAD'!A48,'ANCHONDO ROMERO CESAR ALEJANDRO'!U$40:U$46)</f>
        <v>0</v>
      </c>
      <c r="C48" s="150">
        <f ca="1"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ADRIAN'!T$40:T$46)+SUMIF('CARDENAS CARDENAS JAVIER '!P$40:P$46,'KM POR UNIDAD'!A48,'CARDENAS CARDENAS JAVIER '!T$40:T$46)+SUMIF('BALDERRAMA ROBLES JORGE'!P$40:P$46,'KM POR UNIDAD'!A48,'BALDERRAMA ROBLES JORGE'!T$40:T$46)+SUMIF('BURGOS TORRES RIGOBERTO'!P$39:P$45,'KM POR UNIDAD'!A48,'BURGOS TORRES RIGOBERTO'!T$39:T$45)+SUMIF('CORDOVA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ARAT'!T$40:T$46)+SUMIF('MERCADO LOPEZ JESUS'!P$40:P$46,'KM POR UNIDAD'!A48,'MERCADO LOPEZ JESUS'!T$40:T$46)+SUMIF('ORONA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EDUARDO'!T$40:T$46)+SUMIF('ANCHONDO ROMERO CESAR ALEJANDRO'!P$40:P$46,'KM POR UNIDAD'!A48,'ANCHONDO ROMERO CESAR ALEJANDRO'!T$40:T$46)</f>
        <v>0</v>
      </c>
      <c r="D48" s="150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ADRIAN'!V$40:V$46)+SUMIF('CARDENAS CARDENAS JAVIER '!P$40:P$46,'KM POR UNIDAD'!A48,'CARDENAS CARDENAS JAVIER '!V$40:V$46)+SUMIF('BALDERRAMA ROBLES JORGE'!P$40:P$46,'KM POR UNIDAD'!A48,'BALDERRAMA ROBLES JORGE'!V$40:V$46)+SUMIF('BURGOS TORRES RIGOBERTO'!P$39:P$45,'KM POR UNIDAD'!A48,'BURGOS TORRES RIGOBERTO'!V$39:V$45)+SUMIF('CORDOVA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ARAT'!V$40:V$46)+SUMIF('MERCADO LOPEZ JESUS'!P$40:P$46,'KM POR UNIDAD'!A48,'MERCADO LOPEZ JESUS'!V$40:V$46)+SUMIF('ORONA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EDUARDO'!V$40:V$46)+SUMIF('ANCHONDO ROMERO CESAR ALEJANDRO'!P$40:P$46,'KM POR UNIDAD'!A48,'ANCHONDO ROMERO CESAR ALEJANDRO'!V$40:V$46)</f>
        <v>0</v>
      </c>
      <c r="E48" s="145">
        <f t="shared" ref="E48" si="2">IFERROR(B48/D48,0)</f>
        <v>0</v>
      </c>
      <c r="F48" s="144" t="e">
        <f ca="1"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ADRIAN'!Y$40:Y$46)+SUMIF('CARDENAS CARDENAS JAVIER '!T$40:T$46,'KM POR UNIDAD'!A48,'CARDENAS CARDENAS JAVIER '!Y$40:Y$46)+SUMIF('BALDERRAMA ROBLES JORGE'!T$40:T$46,'KM POR UNIDAD'!A48,'BALDERRAMA ROBLES JORGE'!#REF!)+SUMIF('BURGOS TORRES RIGOBERTO'!T$39:T$45,'KM POR UNIDAD'!A48,'BURGOS TORRES RIGOBERTO'!Y$39:Y$45)+SUMIF('CORDOVA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ARAT'!#REF!)+SUMIF('MERCADO LOPEZ JESUS'!T$40:T$46,'KM POR UNIDAD'!E48,'MERCADO LOPEZ JESUS'!Y$40:Y$46)+SUMIF('ORONA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EDUARDO'!Y$41:Y$46)+SUMIF('ANCHONDO ROMERO CESAR ALEJANDRO'!T$40:T$46,'KM POR UNIDAD'!E48,'ANCHONDO ROMERO CESAR ALEJANDRO'!Y$40:Y$46)</f>
        <v>#REF!</v>
      </c>
      <c r="G48" s="146"/>
    </row>
    <row r="49" spans="1:9" x14ac:dyDescent="0.25">
      <c r="A49" s="143" t="s">
        <v>173</v>
      </c>
      <c r="B49" s="144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ADRIAN'!U$40:U$46)+SUMIF('CARDENAS CARDENAS JAVIER '!P$40:P$46,'KM POR UNIDAD'!A49,'CARDENAS CARDENAS JAVIER '!U$40:U$46)+SUMIF('BALDERRAMA ROBLES JORGE'!P$40:P$46,'KM POR UNIDAD'!A49,'BALDERRAMA ROBLES JORGE'!U$40:U$46)+SUMIF('BURGOS TORRES RIGOBERTO'!P$39:P$45,'KM POR UNIDAD'!A49,'BURGOS TORRES RIGOBERTO'!U$39:U$45)+SUMIF('CORDOVA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ARAT'!U$40:U$46)+SUMIF('MERCADO LOPEZ JESUS'!P$40:P$46,'KM POR UNIDAD'!A49,'MERCADO LOPEZ JESUS'!U$40:U$46)+SUMIF('ORONA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EDUARDO'!U$40:U$46)+SUMIF('ANCHONDO ROMERO CESAR ALEJANDRO'!P$40:P$46,'KM POR UNIDAD'!A49,'ANCHONDO ROMERO CESAR ALEJANDRO'!U$40:U$46)</f>
        <v>0</v>
      </c>
      <c r="C49" s="150">
        <f ca="1"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ADRIAN'!T$40:T$46)+SUMIF('CARDENAS CARDENAS JAVIER '!P$40:P$46,'KM POR UNIDAD'!A49,'CARDENAS CARDENAS JAVIER '!T$40:T$46)+SUMIF('BALDERRAMA ROBLES JORGE'!P$40:P$46,'KM POR UNIDAD'!A49,'BALDERRAMA ROBLES JORGE'!T$40:T$46)+SUMIF('BURGOS TORRES RIGOBERTO'!P$39:P$45,'KM POR UNIDAD'!A49,'BURGOS TORRES RIGOBERTO'!T$39:T$45)+SUMIF('CORDOVA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ARAT'!T$40:T$46)+SUMIF('MERCADO LOPEZ JESUS'!P$40:P$46,'KM POR UNIDAD'!A49,'MERCADO LOPEZ JESUS'!T$40:T$46)+SUMIF('ORONA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EDUARDO'!T$40:T$46)+SUMIF('ANCHONDO ROMERO CESAR ALEJANDRO'!P$40:P$46,'KM POR UNIDAD'!A49,'ANCHONDO ROMERO CESAR ALEJANDRO'!T$40:T$46)</f>
        <v>0</v>
      </c>
      <c r="D49" s="150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ADRIAN'!V$40:V$46)+SUMIF('CARDENAS CARDENAS JAVIER '!P$40:P$46,'KM POR UNIDAD'!A49,'CARDENAS CARDENAS JAVIER '!V$40:V$46)+SUMIF('BALDERRAMA ROBLES JORGE'!P$40:P$46,'KM POR UNIDAD'!A49,'BALDERRAMA ROBLES JORGE'!V$40:V$46)+SUMIF('BURGOS TORRES RIGOBERTO'!P$39:P$45,'KM POR UNIDAD'!A49,'BURGOS TORRES RIGOBERTO'!V$39:V$45)+SUMIF('CORDOVA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ARAT'!V$40:V$46)+SUMIF('MERCADO LOPEZ JESUS'!P$40:P$46,'KM POR UNIDAD'!A49,'MERCADO LOPEZ JESUS'!V$40:V$46)+SUMIF('ORONA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EDUARDO'!V$40:V$46)+SUMIF('ANCHONDO ROMERO CESAR ALEJANDRO'!P$40:P$46,'KM POR UNIDAD'!A49,'ANCHONDO ROMERO CESAR ALEJANDRO'!V$40:V$46)</f>
        <v>0</v>
      </c>
      <c r="E49" s="145">
        <f>IFERROR(B49/D49,0)</f>
        <v>0</v>
      </c>
      <c r="F49" s="144" t="e">
        <f ca="1"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ADRIAN'!Y$40:Y$46)+SUMIF('CARDENAS CARDENAS JAVIER '!T$40:T$46,'KM POR UNIDAD'!A49,'CARDENAS CARDENAS JAVIER '!Y$40:Y$46)+SUMIF('BALDERRAMA ROBLES JORGE'!T$40:T$46,'KM POR UNIDAD'!A49,'BALDERRAMA ROBLES JORGE'!#REF!)+SUMIF('BURGOS TORRES RIGOBERTO'!T$39:T$45,'KM POR UNIDAD'!A49,'BURGOS TORRES RIGOBERTO'!Y$39:Y$45)+SUMIF('CORDOVA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ARAT'!#REF!)+SUMIF('MERCADO LOPEZ JESUS'!T$40:T$46,'KM POR UNIDAD'!E49,'MERCADO LOPEZ JESUS'!Y$40:Y$46)+SUMIF('ORONA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EDUARDO'!Y$41:Y$46)+SUMIF('ANCHONDO ROMERO CESAR ALEJANDRO'!T$40:T$46,'KM POR UNIDAD'!E49,'ANCHONDO ROMERO CESAR ALEJANDRO'!Y$40:Y$46)</f>
        <v>#REF!</v>
      </c>
      <c r="G49" s="146"/>
    </row>
    <row r="50" spans="1:9" x14ac:dyDescent="0.25">
      <c r="A50" s="143" t="s">
        <v>174</v>
      </c>
      <c r="B50" s="144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ADRIAN'!U$40:U$46)+SUMIF('CARDENAS CARDENAS JAVIER '!P$40:P$46,'KM POR UNIDAD'!A50,'CARDENAS CARDENAS JAVIER '!U$40:U$46)+SUMIF('BALDERRAMA ROBLES JORGE'!P$40:P$46,'KM POR UNIDAD'!A50,'BALDERRAMA ROBLES JORGE'!U$40:U$46)+SUMIF('BURGOS TORRES RIGOBERTO'!P$39:P$45,'KM POR UNIDAD'!A50,'BURGOS TORRES RIGOBERTO'!U$39:U$45)+SUMIF('CORDOVA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ARAT'!U$40:U$46)+SUMIF('MERCADO LOPEZ JESUS'!P$40:P$46,'KM POR UNIDAD'!A50,'MERCADO LOPEZ JESUS'!U$40:U$46)+SUMIF('ORONA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EDUARDO'!U$40:U$46)+SUMIF('ANCHONDO ROMERO CESAR ALEJANDRO'!P$40:P$46,'KM POR UNIDAD'!A50,'ANCHONDO ROMERO CESAR ALEJANDRO'!U$40:U$46)</f>
        <v>0</v>
      </c>
      <c r="C50" s="150">
        <f ca="1"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ADRIAN'!T$40:T$46)+SUMIF('CARDENAS CARDENAS JAVIER '!P$40:P$46,'KM POR UNIDAD'!A50,'CARDENAS CARDENAS JAVIER '!T$40:T$46)+SUMIF('BALDERRAMA ROBLES JORGE'!P$40:P$46,'KM POR UNIDAD'!A50,'BALDERRAMA ROBLES JORGE'!T$40:T$46)+SUMIF('BURGOS TORRES RIGOBERTO'!P$39:P$45,'KM POR UNIDAD'!A50,'BURGOS TORRES RIGOBERTO'!T$39:T$45)+SUMIF('CORDOVA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ARAT'!T$40:T$46)+SUMIF('MERCADO LOPEZ JESUS'!P$40:P$46,'KM POR UNIDAD'!A50,'MERCADO LOPEZ JESUS'!T$40:T$46)+SUMIF('ORONA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EDUARDO'!T$40:T$46)+SUMIF('ANCHONDO ROMERO CESAR ALEJANDRO'!P$40:P$46,'KM POR UNIDAD'!A50,'ANCHONDO ROMERO CESAR ALEJANDRO'!T$40:T$46)</f>
        <v>0</v>
      </c>
      <c r="D50" s="150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ADRIAN'!V$40:V$46)+SUMIF('CARDENAS CARDENAS JAVIER '!P$40:P$46,'KM POR UNIDAD'!A50,'CARDENAS CARDENAS JAVIER '!V$40:V$46)+SUMIF('BALDERRAMA ROBLES JORGE'!P$40:P$46,'KM POR UNIDAD'!A50,'BALDERRAMA ROBLES JORGE'!V$40:V$46)+SUMIF('BURGOS TORRES RIGOBERTO'!P$39:P$45,'KM POR UNIDAD'!A50,'BURGOS TORRES RIGOBERTO'!V$39:V$45)+SUMIF('CORDOVA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ARAT'!V$40:V$46)+SUMIF('MERCADO LOPEZ JESUS'!P$40:P$46,'KM POR UNIDAD'!A50,'MERCADO LOPEZ JESUS'!V$40:V$46)+SUMIF('ORONA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EDUARDO'!V$40:V$46)+SUMIF('ANCHONDO ROMERO CESAR ALEJANDRO'!P$40:P$46,'KM POR UNIDAD'!A50,'ANCHONDO ROMERO CESAR ALEJANDRO'!V$40:V$46)</f>
        <v>0</v>
      </c>
      <c r="E50" s="145">
        <f t="shared" si="0"/>
        <v>0</v>
      </c>
      <c r="F50" s="144" t="e">
        <f ca="1"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ADRIAN'!Y$40:Y$46)+SUMIF('CARDENAS CARDENAS JAVIER '!T$40:T$46,'KM POR UNIDAD'!A50,'CARDENAS CARDENAS JAVIER '!Y$40:Y$46)+SUMIF('BALDERRAMA ROBLES JORGE'!T$40:T$46,'KM POR UNIDAD'!A50,'BALDERRAMA ROBLES JORGE'!#REF!)+SUMIF('BURGOS TORRES RIGOBERTO'!T$39:T$45,'KM POR UNIDAD'!A50,'BURGOS TORRES RIGOBERTO'!Y$39:Y$45)+SUMIF('CORDOVA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ARAT'!#REF!)+SUMIF('MERCADO LOPEZ JESUS'!T$40:T$46,'KM POR UNIDAD'!E50,'MERCADO LOPEZ JESUS'!Y$40:Y$46)+SUMIF('ORONA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EDUARDO'!Y$41:Y$46)+SUMIF('ANCHONDO ROMERO CESAR ALEJANDRO'!T$40:T$46,'KM POR UNIDAD'!E50,'ANCHONDO ROMERO CESAR ALEJANDRO'!Y$40:Y$46)</f>
        <v>#REF!</v>
      </c>
      <c r="G50" s="146"/>
    </row>
    <row r="51" spans="1:9" x14ac:dyDescent="0.25">
      <c r="A51" s="143" t="s">
        <v>175</v>
      </c>
      <c r="B51" s="144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ADRIAN'!U$40:U$46)+SUMIF('CARDENAS CARDENAS JAVIER '!P$40:P$46,'KM POR UNIDAD'!A51,'CARDENAS CARDENAS JAVIER '!U$40:U$46)+SUMIF('BALDERRAMA ROBLES JORGE'!P$40:P$46,'KM POR UNIDAD'!A51,'BALDERRAMA ROBLES JORGE'!U$40:U$46)+SUMIF('BURGOS TORRES RIGOBERTO'!P$39:P$45,'KM POR UNIDAD'!A51,'BURGOS TORRES RIGOBERTO'!U$39:U$45)+SUMIF('CORDOVA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ARAT'!U$40:U$46)+SUMIF('MERCADO LOPEZ JESUS'!P$40:P$46,'KM POR UNIDAD'!A51,'MERCADO LOPEZ JESUS'!U$40:U$46)+SUMIF('ORONA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EDUARDO'!U$40:U$46)+SUMIF('ANCHONDO ROMERO CESAR ALEJANDRO'!P$40:P$46,'KM POR UNIDAD'!A51,'ANCHONDO ROMERO CESAR ALEJANDRO'!U$40:U$46)</f>
        <v>0</v>
      </c>
      <c r="C51" s="150">
        <f ca="1"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ADRIAN'!T$40:T$46)+SUMIF('CARDENAS CARDENAS JAVIER '!P$40:P$46,'KM POR UNIDAD'!A51,'CARDENAS CARDENAS JAVIER '!T$40:T$46)+SUMIF('BALDERRAMA ROBLES JORGE'!P$40:P$46,'KM POR UNIDAD'!A51,'BALDERRAMA ROBLES JORGE'!T$40:T$46)+SUMIF('BURGOS TORRES RIGOBERTO'!P$39:P$45,'KM POR UNIDAD'!A51,'BURGOS TORRES RIGOBERTO'!T$39:T$45)+SUMIF('CORDOVA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ARAT'!T$40:T$46)+SUMIF('MERCADO LOPEZ JESUS'!P$40:P$46,'KM POR UNIDAD'!A51,'MERCADO LOPEZ JESUS'!T$40:T$46)+SUMIF('ORONA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EDUARDO'!T$40:T$46)+SUMIF('ANCHONDO ROMERO CESAR ALEJANDRO'!P$40:P$46,'KM POR UNIDAD'!A51,'ANCHONDO ROMERO CESAR ALEJANDRO'!T$40:T$46)</f>
        <v>0</v>
      </c>
      <c r="D51" s="150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ADRIAN'!V$40:V$46)+SUMIF('CARDENAS CARDENAS JAVIER '!P$40:P$46,'KM POR UNIDAD'!A51,'CARDENAS CARDENAS JAVIER '!V$40:V$46)+SUMIF('BALDERRAMA ROBLES JORGE'!P$40:P$46,'KM POR UNIDAD'!A51,'BALDERRAMA ROBLES JORGE'!V$40:V$46)+SUMIF('BURGOS TORRES RIGOBERTO'!P$39:P$45,'KM POR UNIDAD'!A51,'BURGOS TORRES RIGOBERTO'!V$39:V$45)+SUMIF('CORDOVA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ARAT'!V$40:V$46)+SUMIF('MERCADO LOPEZ JESUS'!P$40:P$46,'KM POR UNIDAD'!A51,'MERCADO LOPEZ JESUS'!V$40:V$46)+SUMIF('ORONA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EDUARDO'!V$40:V$46)+SUMIF('ANCHONDO ROMERO CESAR ALEJANDRO'!P$40:P$46,'KM POR UNIDAD'!A51,'ANCHONDO ROMERO CESAR ALEJANDRO'!V$40:V$46)</f>
        <v>0</v>
      </c>
      <c r="E51" s="145">
        <f>IFERROR(B51/D51,0)</f>
        <v>0</v>
      </c>
      <c r="F51" s="144" t="e">
        <f ca="1"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ADRIAN'!Y$40:Y$46)+SUMIF('CARDENAS CARDENAS JAVIER '!T$40:T$46,'KM POR UNIDAD'!A51,'CARDENAS CARDENAS JAVIER '!Y$40:Y$46)+SUMIF('BALDERRAMA ROBLES JORGE'!T$40:T$46,'KM POR UNIDAD'!A51,'BALDERRAMA ROBLES JORGE'!#REF!)+SUMIF('BURGOS TORRES RIGOBERTO'!T$39:T$45,'KM POR UNIDAD'!A51,'BURGOS TORRES RIGOBERTO'!Y$39:Y$45)+SUMIF('CORDOVA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ARAT'!#REF!)+SUMIF('MERCADO LOPEZ JESUS'!T$40:T$46,'KM POR UNIDAD'!E51,'MERCADO LOPEZ JESUS'!Y$40:Y$46)+SUMIF('ORONA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EDUARDO'!Y$41:Y$46)+SUMIF('ANCHONDO ROMERO CESAR ALEJANDRO'!T$40:T$46,'KM POR UNIDAD'!E51,'ANCHONDO ROMERO CESAR ALEJANDRO'!Y$40:Y$46)</f>
        <v>#REF!</v>
      </c>
      <c r="G51" s="146"/>
    </row>
    <row r="52" spans="1:9" x14ac:dyDescent="0.25">
      <c r="A52" s="143" t="s">
        <v>176</v>
      </c>
      <c r="B52" s="144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ADRIAN'!U$40:U$46)+SUMIF('CARDENAS CARDENAS JAVIER '!P$40:P$46,'KM POR UNIDAD'!A52,'CARDENAS CARDENAS JAVIER '!U$40:U$46)+SUMIF('BALDERRAMA ROBLES JORGE'!P$40:P$46,'KM POR UNIDAD'!A52,'BALDERRAMA ROBLES JORGE'!U$40:U$46)+SUMIF('BURGOS TORRES RIGOBERTO'!P$39:P$45,'KM POR UNIDAD'!A52,'BURGOS TORRES RIGOBERTO'!U$39:U$45)+SUMIF('CORDOVA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ARAT'!U$40:U$46)+SUMIF('MERCADO LOPEZ JESUS'!P$40:P$46,'KM POR UNIDAD'!A52,'MERCADO LOPEZ JESUS'!U$40:U$46)+SUMIF('ORONA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EDUARDO'!U$40:U$46)+SUMIF('ANCHONDO ROMERO CESAR ALEJANDRO'!P$40:P$46,'KM POR UNIDAD'!A52,'ANCHONDO ROMERO CESAR ALEJANDRO'!U$40:U$46)</f>
        <v>0</v>
      </c>
      <c r="C52" s="150">
        <f ca="1"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ADRIAN'!T$40:T$46)+SUMIF('CARDENAS CARDENAS JAVIER '!P$40:P$46,'KM POR UNIDAD'!A52,'CARDENAS CARDENAS JAVIER '!T$40:T$46)+SUMIF('BALDERRAMA ROBLES JORGE'!P$40:P$46,'KM POR UNIDAD'!A52,'BALDERRAMA ROBLES JORGE'!T$40:T$46)+SUMIF('BURGOS TORRES RIGOBERTO'!P$39:P$45,'KM POR UNIDAD'!A52,'BURGOS TORRES RIGOBERTO'!T$39:T$45)+SUMIF('CORDOVA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ARAT'!T$40:T$46)+SUMIF('MERCADO LOPEZ JESUS'!P$40:P$46,'KM POR UNIDAD'!A52,'MERCADO LOPEZ JESUS'!T$40:T$46)+SUMIF('ORONA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EDUARDO'!T$40:T$46)+SUMIF('ANCHONDO ROMERO CESAR ALEJANDRO'!P$40:P$46,'KM POR UNIDAD'!A52,'ANCHONDO ROMERO CESAR ALEJANDRO'!T$40:T$46)</f>
        <v>0</v>
      </c>
      <c r="D52" s="150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ADRIAN'!V$40:V$46)+SUMIF('CARDENAS CARDENAS JAVIER '!P$40:P$46,'KM POR UNIDAD'!A52,'CARDENAS CARDENAS JAVIER '!V$40:V$46)+SUMIF('BALDERRAMA ROBLES JORGE'!P$40:P$46,'KM POR UNIDAD'!A52,'BALDERRAMA ROBLES JORGE'!V$40:V$46)+SUMIF('BURGOS TORRES RIGOBERTO'!P$39:P$45,'KM POR UNIDAD'!A52,'BURGOS TORRES RIGOBERTO'!V$39:V$45)+SUMIF('CORDOVA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ARAT'!V$40:V$46)+SUMIF('MERCADO LOPEZ JESUS'!P$40:P$46,'KM POR UNIDAD'!A52,'MERCADO LOPEZ JESUS'!V$40:V$46)+SUMIF('ORONA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EDUARDO'!V$40:V$46)+SUMIF('ANCHONDO ROMERO CESAR ALEJANDRO'!P$40:P$46,'KM POR UNIDAD'!A52,'ANCHONDO ROMERO CESAR ALEJANDRO'!V$40:V$46)</f>
        <v>0</v>
      </c>
      <c r="E52" s="145">
        <f t="shared" si="0"/>
        <v>0</v>
      </c>
      <c r="F52" s="144" t="e">
        <f ca="1"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ADRIAN'!Y$40:Y$46)+SUMIF('CARDENAS CARDENAS JAVIER '!T$40:T$46,'KM POR UNIDAD'!A52,'CARDENAS CARDENAS JAVIER '!Y$40:Y$46)+SUMIF('BALDERRAMA ROBLES JORGE'!T$40:T$46,'KM POR UNIDAD'!A52,'BALDERRAMA ROBLES JORGE'!#REF!)+SUMIF('BURGOS TORRES RIGOBERTO'!T$39:T$45,'KM POR UNIDAD'!A52,'BURGOS TORRES RIGOBERTO'!Y$39:Y$45)+SUMIF('CORDOVA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ARAT'!#REF!)+SUMIF('MERCADO LOPEZ JESUS'!T$40:T$46,'KM POR UNIDAD'!E52,'MERCADO LOPEZ JESUS'!Y$40:Y$46)+SUMIF('ORONA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EDUARDO'!Y$41:Y$46)+SUMIF('ANCHONDO ROMERO CESAR ALEJANDRO'!T$40:T$46,'KM POR UNIDAD'!E52,'ANCHONDO ROMERO CESAR ALEJANDRO'!Y$40:Y$46)</f>
        <v>#REF!</v>
      </c>
      <c r="G52" s="146"/>
      <c r="I52" s="228"/>
    </row>
    <row r="53" spans="1:9" x14ac:dyDescent="0.25">
      <c r="A53" s="143" t="s">
        <v>272</v>
      </c>
      <c r="B53" s="144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ADRIAN'!U$40:U$46)+SUMIF('CARDENAS CARDENAS JAVIER '!P$40:P$46,'KM POR UNIDAD'!A53,'CARDENAS CARDENAS JAVIER '!U$40:U$46)+SUMIF('BALDERRAMA ROBLES JORGE'!P$40:P$46,'KM POR UNIDAD'!A53,'BALDERRAMA ROBLES JORGE'!U$40:U$46)+SUMIF('BURGOS TORRES RIGOBERTO'!P$39:P$45,'KM POR UNIDAD'!A53,'BURGOS TORRES RIGOBERTO'!U$39:U$45)+SUMIF('CORDOVA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ARAT'!U$40:U$46)+SUMIF('MERCADO LOPEZ JESUS'!P$40:P$46,'KM POR UNIDAD'!A53,'MERCADO LOPEZ JESUS'!U$40:U$46)+SUMIF('ORONA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EDUARDO'!U$40:U$46)+SUMIF('ANCHONDO ROMERO CESAR ALEJANDRO'!P$40:P$46,'KM POR UNIDAD'!A53,'ANCHONDO ROMERO CESAR ALEJANDRO'!U$40:U$46)</f>
        <v>0</v>
      </c>
      <c r="C53" s="150">
        <f ca="1"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ADRIAN'!T$40:T$46)+SUMIF('CARDENAS CARDENAS JAVIER '!P$40:P$46,'KM POR UNIDAD'!A53,'CARDENAS CARDENAS JAVIER '!T$40:T$46)+SUMIF('BALDERRAMA ROBLES JORGE'!P$40:P$46,'KM POR UNIDAD'!A53,'BALDERRAMA ROBLES JORGE'!T$40:T$46)+SUMIF('BURGOS TORRES RIGOBERTO'!P$39:P$45,'KM POR UNIDAD'!A53,'BURGOS TORRES RIGOBERTO'!T$39:T$45)+SUMIF('CORDOVA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ARAT'!T$40:T$46)+SUMIF('MERCADO LOPEZ JESUS'!P$40:P$46,'KM POR UNIDAD'!A53,'MERCADO LOPEZ JESUS'!T$40:T$46)+SUMIF('ORONA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EDUARDO'!T$40:T$46)+SUMIF('ANCHONDO ROMERO CESAR ALEJANDRO'!P$40:P$46,'KM POR UNIDAD'!A53,'ANCHONDO ROMERO CESAR ALEJANDRO'!T$40:T$46)</f>
        <v>0</v>
      </c>
      <c r="D53" s="150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ADRIAN'!V$40:V$46)+SUMIF('CARDENAS CARDENAS JAVIER '!P$40:P$46,'KM POR UNIDAD'!A53,'CARDENAS CARDENAS JAVIER '!V$40:V$46)+SUMIF('BALDERRAMA ROBLES JORGE'!P$40:P$46,'KM POR UNIDAD'!A53,'BALDERRAMA ROBLES JORGE'!V$40:V$46)+SUMIF('BURGOS TORRES RIGOBERTO'!P$39:P$45,'KM POR UNIDAD'!A53,'BURGOS TORRES RIGOBERTO'!V$39:V$45)+SUMIF('CORDOVA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ARAT'!V$40:V$46)+SUMIF('MERCADO LOPEZ JESUS'!P$40:P$46,'KM POR UNIDAD'!A53,'MERCADO LOPEZ JESUS'!V$40:V$46)+SUMIF('ORONA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EDUARDO'!V$40:V$46)+SUMIF('ANCHONDO ROMERO CESAR ALEJANDRO'!P$40:P$46,'KM POR UNIDAD'!A53,'ANCHONDO ROMERO CESAR ALEJANDRO'!V$40:V$46)</f>
        <v>0</v>
      </c>
      <c r="E53" s="145">
        <f t="shared" si="0"/>
        <v>0</v>
      </c>
      <c r="F53" s="144" t="e">
        <f ca="1"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ADRIAN'!Y$40:Y$46)+SUMIF('CARDENAS CARDENAS JAVIER '!T$40:T$46,'KM POR UNIDAD'!A53,'CARDENAS CARDENAS JAVIER '!Y$40:Y$46)+SUMIF('BALDERRAMA ROBLES JORGE'!T$40:T$46,'KM POR UNIDAD'!A53,'BALDERRAMA ROBLES JORGE'!#REF!)+SUMIF('BURGOS TORRES RIGOBERTO'!T$39:T$45,'KM POR UNIDAD'!A53,'BURGOS TORRES RIGOBERTO'!Y$39:Y$45)+SUMIF('CORDOVA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ARAT'!#REF!)+SUMIF('MERCADO LOPEZ JESUS'!T$40:T$46,'KM POR UNIDAD'!E53,'MERCADO LOPEZ JESUS'!Y$40:Y$46)+SUMIF('ORONA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EDUARDO'!Y$41:Y$46)+SUMIF('ANCHONDO ROMERO CESAR ALEJANDRO'!T$40:T$46,'KM POR UNIDAD'!E53,'ANCHONDO ROMERO CESAR ALEJANDRO'!Y$40:Y$46)</f>
        <v>#REF!</v>
      </c>
      <c r="G53" s="146"/>
    </row>
    <row r="54" spans="1:9" x14ac:dyDescent="0.25">
      <c r="A54" s="143" t="s">
        <v>333</v>
      </c>
      <c r="B54" s="144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ADRIAN'!U$40:U$46)+SUMIF('CARDENAS CARDENAS JAVIER '!P$40:P$46,'KM POR UNIDAD'!A54,'CARDENAS CARDENAS JAVIER '!U$40:U$46)+SUMIF('BALDERRAMA ROBLES JORGE'!P$40:P$46,'KM POR UNIDAD'!A54,'BALDERRAMA ROBLES JORGE'!U$40:U$46)+SUMIF('BURGOS TORRES RIGOBERTO'!P$39:P$45,'KM POR UNIDAD'!A54,'BURGOS TORRES RIGOBERTO'!U$39:U$45)+SUMIF('CORDOVA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ARAT'!U$40:U$46)+SUMIF('MERCADO LOPEZ JESUS'!P$40:P$46,'KM POR UNIDAD'!A54,'MERCADO LOPEZ JESUS'!U$40:U$46)+SUMIF('ORONA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EDUARDO'!U$40:U$46)+SUMIF('ANCHONDO ROMERO CESAR ALEJANDRO'!P$40:P$46,'KM POR UNIDAD'!A54,'ANCHONDO ROMERO CESAR ALEJANDRO'!U$40:U$46)</f>
        <v>0</v>
      </c>
      <c r="C54" s="150">
        <f ca="1"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ADRIAN'!T$40:T$46)+SUMIF('CARDENAS CARDENAS JAVIER '!P$40:P$46,'KM POR UNIDAD'!A54,'CARDENAS CARDENAS JAVIER '!T$40:T$46)+SUMIF('BALDERRAMA ROBLES JORGE'!P$40:P$46,'KM POR UNIDAD'!A54,'BALDERRAMA ROBLES JORGE'!T$40:T$46)+SUMIF('BURGOS TORRES RIGOBERTO'!P$39:P$45,'KM POR UNIDAD'!A54,'BURGOS TORRES RIGOBERTO'!T$39:T$45)+SUMIF('CORDOVA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ARAT'!T$40:T$46)+SUMIF('MERCADO LOPEZ JESUS'!P$40:P$46,'KM POR UNIDAD'!A54,'MERCADO LOPEZ JESUS'!T$40:T$46)+SUMIF('ORONA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EDUARDO'!T$40:T$46)+SUMIF('ANCHONDO ROMERO CESAR ALEJANDRO'!P$40:P$46,'KM POR UNIDAD'!A54,'ANCHONDO ROMERO CESAR ALEJANDRO'!T$40:T$46)</f>
        <v>0</v>
      </c>
      <c r="D54" s="150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ADRIAN'!V$40:V$46)+SUMIF('CARDENAS CARDENAS JAVIER '!P$40:P$46,'KM POR UNIDAD'!A54,'CARDENAS CARDENAS JAVIER '!V$40:V$46)+SUMIF('BALDERRAMA ROBLES JORGE'!P$40:P$46,'KM POR UNIDAD'!A54,'BALDERRAMA ROBLES JORGE'!V$40:V$46)+SUMIF('BURGOS TORRES RIGOBERTO'!P$39:P$45,'KM POR UNIDAD'!A54,'BURGOS TORRES RIGOBERTO'!V$39:V$45)+SUMIF('CORDOVA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ARAT'!V$40:V$46)+SUMIF('MERCADO LOPEZ JESUS'!P$40:P$46,'KM POR UNIDAD'!A54,'MERCADO LOPEZ JESUS'!V$40:V$46)+SUMIF('ORONA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EDUARDO'!V$40:V$46)+SUMIF('ANCHONDO ROMERO CESAR ALEJANDRO'!P$40:P$46,'KM POR UNIDAD'!A54,'ANCHONDO ROMERO CESAR ALEJANDRO'!V$40:V$46)</f>
        <v>0</v>
      </c>
      <c r="E54" s="145">
        <f t="shared" ref="E54" si="3">IFERROR(B54/D54,0)</f>
        <v>0</v>
      </c>
      <c r="F54" s="144" t="e">
        <f ca="1"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ADRIAN'!Y$40:Y$46)+SUMIF('CARDENAS CARDENAS JAVIER '!T$40:T$46,'KM POR UNIDAD'!A54,'CARDENAS CARDENAS JAVIER '!Y$40:Y$46)+SUMIF('BALDERRAMA ROBLES JORGE'!T$40:T$46,'KM POR UNIDAD'!A54,'BALDERRAMA ROBLES JORGE'!#REF!)+SUMIF('BURGOS TORRES RIGOBERTO'!T$39:T$45,'KM POR UNIDAD'!A54,'BURGOS TORRES RIGOBERTO'!Y$39:Y$45)+SUMIF('CORDOVA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ARAT'!#REF!)+SUMIF('MERCADO LOPEZ JESUS'!T$40:T$46,'KM POR UNIDAD'!E54,'MERCADO LOPEZ JESUS'!Y$40:Y$46)+SUMIF('ORONA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EDUARDO'!Y$41:Y$46)+SUMIF('ANCHONDO ROMERO CESAR ALEJANDRO'!T$40:T$46,'KM POR UNIDAD'!E54,'ANCHONDO ROMERO CESAR ALEJANDRO'!Y$40:Y$46)</f>
        <v>#REF!</v>
      </c>
      <c r="G54" s="146"/>
    </row>
    <row r="55" spans="1:9" x14ac:dyDescent="0.25">
      <c r="A55" s="143" t="s">
        <v>273</v>
      </c>
      <c r="B55" s="144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ADRIAN'!U$40:U$46)+SUMIF('CARDENAS CARDENAS JAVIER '!P$40:P$46,'KM POR UNIDAD'!A55,'CARDENAS CARDENAS JAVIER '!U$40:U$46)+SUMIF('BALDERRAMA ROBLES JORGE'!P$40:P$46,'KM POR UNIDAD'!A55,'BALDERRAMA ROBLES JORGE'!U$40:U$46)+SUMIF('BURGOS TORRES RIGOBERTO'!P$39:P$45,'KM POR UNIDAD'!A55,'BURGOS TORRES RIGOBERTO'!U$39:U$45)+SUMIF('CORDOVA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ARAT'!U$40:U$46)+SUMIF('MERCADO LOPEZ JESUS'!P$40:P$46,'KM POR UNIDAD'!A55,'MERCADO LOPEZ JESUS'!U$40:U$46)+SUMIF('ORONA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EDUARDO'!U$40:U$46)+SUMIF('ANCHONDO ROMERO CESAR ALEJANDRO'!P$40:P$46,'KM POR UNIDAD'!A55,'ANCHONDO ROMERO CESAR ALEJANDRO'!U$40:U$46)</f>
        <v>0</v>
      </c>
      <c r="C55" s="150">
        <f ca="1"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ADRIAN'!T$40:T$46)+SUMIF('CARDENAS CARDENAS JAVIER '!P$40:P$46,'KM POR UNIDAD'!A55,'CARDENAS CARDENAS JAVIER '!T$40:T$46)+SUMIF('BALDERRAMA ROBLES JORGE'!P$40:P$46,'KM POR UNIDAD'!A55,'BALDERRAMA ROBLES JORGE'!T$40:T$46)+SUMIF('BURGOS TORRES RIGOBERTO'!P$39:P$45,'KM POR UNIDAD'!A55,'BURGOS TORRES RIGOBERTO'!T$39:T$45)+SUMIF('CORDOVA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ARAT'!T$40:T$46)+SUMIF('MERCADO LOPEZ JESUS'!P$40:P$46,'KM POR UNIDAD'!A55,'MERCADO LOPEZ JESUS'!T$40:T$46)+SUMIF('ORONA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EDUARDO'!T$40:T$46)+SUMIF('ANCHONDO ROMERO CESAR ALEJANDRO'!P$40:P$46,'KM POR UNIDAD'!A55,'ANCHONDO ROMERO CESAR ALEJANDRO'!T$40:T$46)</f>
        <v>0</v>
      </c>
      <c r="D55" s="150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ADRIAN'!V$40:V$46)+SUMIF('CARDENAS CARDENAS JAVIER '!P$40:P$46,'KM POR UNIDAD'!A55,'CARDENAS CARDENAS JAVIER '!V$40:V$46)+SUMIF('BALDERRAMA ROBLES JORGE'!P$40:P$46,'KM POR UNIDAD'!A55,'BALDERRAMA ROBLES JORGE'!V$40:V$46)+SUMIF('BURGOS TORRES RIGOBERTO'!P$39:P$45,'KM POR UNIDAD'!A55,'BURGOS TORRES RIGOBERTO'!V$39:V$45)+SUMIF('CORDOVA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ARAT'!V$40:V$46)+SUMIF('MERCADO LOPEZ JESUS'!P$40:P$46,'KM POR UNIDAD'!A55,'MERCADO LOPEZ JESUS'!V$40:V$46)+SUMIF('ORONA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EDUARDO'!V$40:V$46)+SUMIF('ANCHONDO ROMERO CESAR ALEJANDRO'!P$40:P$46,'KM POR UNIDAD'!A55,'ANCHONDO ROMERO CESAR ALEJANDRO'!V$40:V$46)</f>
        <v>0</v>
      </c>
      <c r="E55" s="145">
        <f t="shared" si="0"/>
        <v>0</v>
      </c>
      <c r="F55" s="144" t="e">
        <f ca="1"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ADRIAN'!Y$40:Y$46)+SUMIF('CARDENAS CARDENAS JAVIER '!T$40:T$46,'KM POR UNIDAD'!A55,'CARDENAS CARDENAS JAVIER '!Y$40:Y$46)+SUMIF('BALDERRAMA ROBLES JORGE'!T$40:T$46,'KM POR UNIDAD'!A55,'BALDERRAMA ROBLES JORGE'!#REF!)+SUMIF('BURGOS TORRES RIGOBERTO'!T$39:T$45,'KM POR UNIDAD'!A55,'BURGOS TORRES RIGOBERTO'!Y$39:Y$45)+SUMIF('CORDOVA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ARAT'!#REF!)+SUMIF('MERCADO LOPEZ JESUS'!T$40:T$46,'KM POR UNIDAD'!E55,'MERCADO LOPEZ JESUS'!Y$40:Y$46)+SUMIF('ORONA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EDUARDO'!Y$41:Y$46)+SUMIF('ANCHONDO ROMERO CESAR ALEJANDRO'!T$40:T$46,'KM POR UNIDAD'!E55,'ANCHONDO ROMERO CESAR ALEJANDRO'!Y$40:Y$46)</f>
        <v>#REF!</v>
      </c>
      <c r="G55" s="146"/>
    </row>
    <row r="56" spans="1:9" x14ac:dyDescent="0.25">
      <c r="A56" s="143" t="s">
        <v>337</v>
      </c>
      <c r="B56" s="144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ADRIAN'!U$40:U$46)+SUMIF('CARDENAS CARDENAS JAVIER '!P$40:P$46,'KM POR UNIDAD'!A56,'CARDENAS CARDENAS JAVIER '!U$40:U$46)+SUMIF('BALDERRAMA ROBLES JORGE'!P$40:P$46,'KM POR UNIDAD'!A56,'BALDERRAMA ROBLES JORGE'!U$40:U$46)+SUMIF('BURGOS TORRES RIGOBERTO'!P$39:P$45,'KM POR UNIDAD'!A56,'BURGOS TORRES RIGOBERTO'!U$39:U$45)+SUMIF('CORDOVA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ARAT'!U$40:U$46)+SUMIF('MERCADO LOPEZ JESUS'!P$40:P$46,'KM POR UNIDAD'!A56,'MERCADO LOPEZ JESUS'!U$40:U$46)+SUMIF('ORONA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EDUARDO'!U$40:U$46)+SUMIF('ANCHONDO ROMERO CESAR ALEJANDRO'!P$40:P$46,'KM POR UNIDAD'!A56,'ANCHONDO ROMERO CESAR ALEJANDRO'!U$40:U$46)</f>
        <v>1500</v>
      </c>
      <c r="C56" s="150">
        <f ca="1"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ADRIAN'!T$40:T$46)+SUMIF('CARDENAS CARDENAS JAVIER '!P$40:P$46,'KM POR UNIDAD'!A56,'CARDENAS CARDENAS JAVIER '!T$40:T$46)+SUMIF('BALDERRAMA ROBLES JORGE'!P$40:P$46,'KM POR UNIDAD'!A56,'BALDERRAMA ROBLES JORGE'!T$40:T$46)+SUMIF('BURGOS TORRES RIGOBERTO'!P$39:P$45,'KM POR UNIDAD'!A56,'BURGOS TORRES RIGOBERTO'!T$39:T$45)+SUMIF('CORDOVA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ARAT'!T$40:T$46)+SUMIF('MERCADO LOPEZ JESUS'!P$40:P$46,'KM POR UNIDAD'!A56,'MERCADO LOPEZ JESUS'!T$40:T$46)+SUMIF('ORONA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EDUARDO'!T$40:T$46)+SUMIF('ANCHONDO ROMERO CESAR ALEJANDRO'!P$40:P$46,'KM POR UNIDAD'!A56,'ANCHONDO ROMERO CESAR ALEJANDRO'!T$40:T$46)</f>
        <v>1458</v>
      </c>
      <c r="D56" s="150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ADRIAN'!V$40:V$46)+SUMIF('CARDENAS CARDENAS JAVIER '!P$40:P$46,'KM POR UNIDAD'!A56,'CARDENAS CARDENAS JAVIER '!V$40:V$46)+SUMIF('BALDERRAMA ROBLES JORGE'!P$40:P$46,'KM POR UNIDAD'!A56,'BALDERRAMA ROBLES JORGE'!V$40:V$46)+SUMIF('BURGOS TORRES RIGOBERTO'!P$39:P$45,'KM POR UNIDAD'!A56,'BURGOS TORRES RIGOBERTO'!V$39:V$45)+SUMIF('CORDOVA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ARAT'!V$40:V$46)+SUMIF('MERCADO LOPEZ JESUS'!P$40:P$46,'KM POR UNIDAD'!A56,'MERCADO LOPEZ JESUS'!V$40:V$46)+SUMIF('ORONA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EDUARDO'!V$40:V$46)+SUMIF('ANCHONDO ROMERO CESAR ALEJANDRO'!P$40:P$46,'KM POR UNIDAD'!A56,'ANCHONDO ROMERO CESAR ALEJANDRO'!V$40:V$46)</f>
        <v>444.577</v>
      </c>
      <c r="E56" s="145">
        <f t="shared" si="0"/>
        <v>3.3739937063770729</v>
      </c>
      <c r="F56" s="144" t="e">
        <f ca="1"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ADRIAN'!Y$40:Y$46)+SUMIF('CARDENAS CARDENAS JAVIER '!T$40:T$46,'KM POR UNIDAD'!A56,'CARDENAS CARDENAS JAVIER '!Y$40:Y$46)+SUMIF('BALDERRAMA ROBLES JORGE'!T$40:T$46,'KM POR UNIDAD'!A56,'BALDERRAMA ROBLES JORGE'!#REF!)+SUMIF('BURGOS TORRES RIGOBERTO'!T$39:T$45,'KM POR UNIDAD'!A56,'BURGOS TORRES RIGOBERTO'!Y$39:Y$45)+SUMIF('CORDOVA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ARAT'!#REF!)+SUMIF('MERCADO LOPEZ JESUS'!T$40:T$46,'KM POR UNIDAD'!E56,'MERCADO LOPEZ JESUS'!Y$40:Y$46)+SUMIF('ORONA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EDUARDO'!Y$41:Y$46)+SUMIF('ANCHONDO ROMERO CESAR ALEJANDRO'!T$40:T$46,'KM POR UNIDAD'!E56,'ANCHONDO ROMERO CESAR ALEJANDRO'!Y$40:Y$46)</f>
        <v>#REF!</v>
      </c>
      <c r="G56" s="146"/>
    </row>
    <row r="57" spans="1:9" x14ac:dyDescent="0.25">
      <c r="A57" s="143" t="s">
        <v>181</v>
      </c>
      <c r="B57" s="144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ADRIAN'!U$40:U$46)+SUMIF('CARDENAS CARDENAS JAVIER '!P$40:P$46,'KM POR UNIDAD'!A57,'CARDENAS CARDENAS JAVIER '!U$40:U$46)+SUMIF('BALDERRAMA ROBLES JORGE'!P$40:P$46,'KM POR UNIDAD'!A57,'BALDERRAMA ROBLES JORGE'!U$40:U$46)+SUMIF('BURGOS TORRES RIGOBERTO'!P$39:P$45,'KM POR UNIDAD'!A57,'BURGOS TORRES RIGOBERTO'!U$39:U$45)+SUMIF('CORDOVA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ARAT'!U$40:U$46)+SUMIF('MERCADO LOPEZ JESUS'!P$40:P$46,'KM POR UNIDAD'!A57,'MERCADO LOPEZ JESUS'!U$40:U$46)+SUMIF('ORONA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EDUARDO'!U$40:U$46)+SUMIF('ANCHONDO ROMERO CESAR ALEJANDRO'!P$40:P$46,'KM POR UNIDAD'!A57,'ANCHONDO ROMERO CESAR ALEJANDRO'!U$40:U$46)</f>
        <v>0</v>
      </c>
      <c r="C57" s="150">
        <f ca="1"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ADRIAN'!T$40:T$46)+SUMIF('CARDENAS CARDENAS JAVIER '!P$40:P$46,'KM POR UNIDAD'!A57,'CARDENAS CARDENAS JAVIER '!T$40:T$46)+SUMIF('BALDERRAMA ROBLES JORGE'!P$40:P$46,'KM POR UNIDAD'!A57,'BALDERRAMA ROBLES JORGE'!T$40:T$46)+SUMIF('BURGOS TORRES RIGOBERTO'!P$39:P$45,'KM POR UNIDAD'!A57,'BURGOS TORRES RIGOBERTO'!T$39:T$45)+SUMIF('CORDOVA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ARAT'!T$40:T$46)+SUMIF('MERCADO LOPEZ JESUS'!P$40:P$46,'KM POR UNIDAD'!A57,'MERCADO LOPEZ JESUS'!T$40:T$46)+SUMIF('ORONA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EDUARDO'!T$40:T$46)+SUMIF('ANCHONDO ROMERO CESAR ALEJANDRO'!P$40:P$46,'KM POR UNIDAD'!A57,'ANCHONDO ROMERO CESAR ALEJANDRO'!T$40:T$46)</f>
        <v>0</v>
      </c>
      <c r="D57" s="150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ADRIAN'!V$40:V$46)+SUMIF('CARDENAS CARDENAS JAVIER '!P$40:P$46,'KM POR UNIDAD'!A57,'CARDENAS CARDENAS JAVIER '!V$40:V$46)+SUMIF('BALDERRAMA ROBLES JORGE'!P$40:P$46,'KM POR UNIDAD'!A57,'BALDERRAMA ROBLES JORGE'!V$40:V$46)+SUMIF('BURGOS TORRES RIGOBERTO'!P$39:P$45,'KM POR UNIDAD'!A57,'BURGOS TORRES RIGOBERTO'!V$39:V$45)+SUMIF('CORDOVA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ARAT'!V$40:V$46)+SUMIF('MERCADO LOPEZ JESUS'!P$40:P$46,'KM POR UNIDAD'!A57,'MERCADO LOPEZ JESUS'!V$40:V$46)+SUMIF('ORONA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EDUARDO'!V$40:V$46)+SUMIF('ANCHONDO ROMERO CESAR ALEJANDRO'!P$40:P$46,'KM POR UNIDAD'!A57,'ANCHONDO ROMERO CESAR ALEJANDRO'!V$40:V$46)</f>
        <v>0</v>
      </c>
      <c r="E57" s="145">
        <f t="shared" si="0"/>
        <v>0</v>
      </c>
      <c r="F57" s="144" t="e">
        <f ca="1"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ADRIAN'!Y$40:Y$46)+SUMIF('CARDENAS CARDENAS JAVIER '!T$40:T$46,'KM POR UNIDAD'!A57,'CARDENAS CARDENAS JAVIER '!Y$40:Y$46)+SUMIF('BALDERRAMA ROBLES JORGE'!T$40:T$46,'KM POR UNIDAD'!A57,'BALDERRAMA ROBLES JORGE'!#REF!)+SUMIF('BURGOS TORRES RIGOBERTO'!T$39:T$45,'KM POR UNIDAD'!A57,'BURGOS TORRES RIGOBERTO'!Y$39:Y$45)+SUMIF('CORDOVA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ARAT'!#REF!)+SUMIF('MERCADO LOPEZ JESUS'!T$40:T$46,'KM POR UNIDAD'!E57,'MERCADO LOPEZ JESUS'!Y$40:Y$46)+SUMIF('ORONA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EDUARDO'!Y$41:Y$46)+SUMIF('ANCHONDO ROMERO CESAR ALEJANDRO'!T$40:T$46,'KM POR UNIDAD'!E57,'ANCHONDO ROMERO CESAR ALEJANDRO'!Y$40:Y$46)</f>
        <v>#REF!</v>
      </c>
      <c r="G57" s="146"/>
    </row>
    <row r="58" spans="1:9" x14ac:dyDescent="0.25">
      <c r="A58" s="143" t="s">
        <v>255</v>
      </c>
      <c r="B58" s="144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ADRIAN'!U$40:U$46)+SUMIF('CARDENAS CARDENAS JAVIER '!P$40:P$46,'KM POR UNIDAD'!A58,'CARDENAS CARDENAS JAVIER '!U$40:U$46)+SUMIF('BALDERRAMA ROBLES JORGE'!P$40:P$46,'KM POR UNIDAD'!A58,'BALDERRAMA ROBLES JORGE'!U$40:U$46)+SUMIF('BURGOS TORRES RIGOBERTO'!P$39:P$45,'KM POR UNIDAD'!A58,'BURGOS TORRES RIGOBERTO'!U$39:U$45)+SUMIF('CORDOVA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ARAT'!U$40:U$46)+SUMIF('MERCADO LOPEZ JESUS'!P$40:P$46,'KM POR UNIDAD'!A58,'MERCADO LOPEZ JESUS'!U$40:U$46)+SUMIF('ORONA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EDUARDO'!U$40:U$46)+SUMIF('ANCHONDO ROMERO CESAR ALEJANDRO'!P$40:P$46,'KM POR UNIDAD'!A58,'ANCHONDO ROMERO CESAR ALEJANDRO'!U$40:U$46)</f>
        <v>2042</v>
      </c>
      <c r="C58" s="150">
        <f ca="1"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ADRIAN'!T$40:T$46)+SUMIF('CARDENAS CARDENAS JAVIER '!P$40:P$46,'KM POR UNIDAD'!A58,'CARDENAS CARDENAS JAVIER '!T$40:T$46)+SUMIF('BALDERRAMA ROBLES JORGE'!P$40:P$46,'KM POR UNIDAD'!A58,'BALDERRAMA ROBLES JORGE'!T$40:T$46)+SUMIF('BURGOS TORRES RIGOBERTO'!P$39:P$45,'KM POR UNIDAD'!A58,'BURGOS TORRES RIGOBERTO'!T$39:T$45)+SUMIF('CORDOVA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ARAT'!T$40:T$46)+SUMIF('MERCADO LOPEZ JESUS'!P$40:P$46,'KM POR UNIDAD'!A58,'MERCADO LOPEZ JESUS'!T$40:T$46)+SUMIF('ORONA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EDUARDO'!T$40:T$46)+SUMIF('ANCHONDO ROMERO CESAR ALEJANDRO'!P$40:P$46,'KM POR UNIDAD'!A58,'ANCHONDO ROMERO CESAR ALEJANDRO'!T$40:T$46)</f>
        <v>2054</v>
      </c>
      <c r="D58" s="150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ADRIAN'!V$40:V$46)+SUMIF('CARDENAS CARDENAS JAVIER '!P$40:P$46,'KM POR UNIDAD'!A58,'CARDENAS CARDENAS JAVIER '!V$40:V$46)+SUMIF('BALDERRAMA ROBLES JORGE'!P$40:P$46,'KM POR UNIDAD'!A58,'BALDERRAMA ROBLES JORGE'!V$40:V$46)+SUMIF('BURGOS TORRES RIGOBERTO'!P$39:P$45,'KM POR UNIDAD'!A58,'BURGOS TORRES RIGOBERTO'!V$39:V$45)+SUMIF('CORDOVA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ARAT'!V$40:V$46)+SUMIF('MERCADO LOPEZ JESUS'!P$40:P$46,'KM POR UNIDAD'!A58,'MERCADO LOPEZ JESUS'!V$40:V$46)+SUMIF('ORONA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EDUARDO'!V$40:V$46)+SUMIF('ANCHONDO ROMERO CESAR ALEJANDRO'!P$40:P$46,'KM POR UNIDAD'!A58,'ANCHONDO ROMERO CESAR ALEJANDRO'!V$40:V$46)</f>
        <v>588.39499999999998</v>
      </c>
      <c r="E58" s="145">
        <f t="shared" si="0"/>
        <v>3.4704577707152509</v>
      </c>
      <c r="F58" s="144" t="e">
        <f ca="1"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ADRIAN'!Y$40:Y$46)+SUMIF('CARDENAS CARDENAS JAVIER '!T$40:T$46,'KM POR UNIDAD'!A58,'CARDENAS CARDENAS JAVIER '!Y$40:Y$46)+SUMIF('BALDERRAMA ROBLES JORGE'!T$40:T$46,'KM POR UNIDAD'!A58,'BALDERRAMA ROBLES JORGE'!#REF!)+SUMIF('BURGOS TORRES RIGOBERTO'!T$39:T$45,'KM POR UNIDAD'!A58,'BURGOS TORRES RIGOBERTO'!Y$39:Y$45)+SUMIF('CORDOVA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ARAT'!#REF!)+SUMIF('MERCADO LOPEZ JESUS'!T$40:T$46,'KM POR UNIDAD'!E58,'MERCADO LOPEZ JESUS'!Y$40:Y$46)+SUMIF('ORONA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EDUARDO'!Y$41:Y$46)+SUMIF('ANCHONDO ROMERO CESAR ALEJANDRO'!T$40:T$46,'KM POR UNIDAD'!E58,'ANCHONDO ROMERO CESAR ALEJANDRO'!Y$40:Y$46)</f>
        <v>#REF!</v>
      </c>
      <c r="G58" s="146"/>
    </row>
    <row r="59" spans="1:9" x14ac:dyDescent="0.25">
      <c r="A59" s="143" t="s">
        <v>256</v>
      </c>
      <c r="B59" s="144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ADRIAN'!U$40:U$46)+SUMIF('CARDENAS CARDENAS JAVIER '!P$40:P$46,'KM POR UNIDAD'!A59,'CARDENAS CARDENAS JAVIER '!U$40:U$46)+SUMIF('BALDERRAMA ROBLES JORGE'!P$40:P$46,'KM POR UNIDAD'!A59,'BALDERRAMA ROBLES JORGE'!U$40:U$46)+SUMIF('BURGOS TORRES RIGOBERTO'!P$39:P$45,'KM POR UNIDAD'!A59,'BURGOS TORRES RIGOBERTO'!U$39:U$45)+SUMIF('CORDOVA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ARAT'!U$40:U$46)+SUMIF('MERCADO LOPEZ JESUS'!P$40:P$46,'KM POR UNIDAD'!A59,'MERCADO LOPEZ JESUS'!U$40:U$46)+SUMIF('ORONA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EDUARDO'!U$40:U$46)+SUMIF('ANCHONDO ROMERO CESAR ALEJANDRO'!P$40:P$46,'KM POR UNIDAD'!A59,'ANCHONDO ROMERO CESAR ALEJANDRO'!U$40:U$46)</f>
        <v>0</v>
      </c>
      <c r="C59" s="150">
        <f ca="1"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ADRIAN'!T$40:T$46)+SUMIF('CARDENAS CARDENAS JAVIER '!P$40:P$46,'KM POR UNIDAD'!A59,'CARDENAS CARDENAS JAVIER '!T$40:T$46)+SUMIF('BALDERRAMA ROBLES JORGE'!P$40:P$46,'KM POR UNIDAD'!A59,'BALDERRAMA ROBLES JORGE'!T$40:T$46)+SUMIF('BURGOS TORRES RIGOBERTO'!P$39:P$45,'KM POR UNIDAD'!A59,'BURGOS TORRES RIGOBERTO'!T$39:T$45)+SUMIF('CORDOVA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ARAT'!T$40:T$46)+SUMIF('MERCADO LOPEZ JESUS'!P$40:P$46,'KM POR UNIDAD'!A59,'MERCADO LOPEZ JESUS'!T$40:T$46)+SUMIF('ORONA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EDUARDO'!T$40:T$46)+SUMIF('ANCHONDO ROMERO CESAR ALEJANDRO'!P$40:P$46,'KM POR UNIDAD'!A59,'ANCHONDO ROMERO CESAR ALEJANDRO'!T$40:T$46)</f>
        <v>0</v>
      </c>
      <c r="D59" s="150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ADRIAN'!V$40:V$46)+SUMIF('CARDENAS CARDENAS JAVIER '!P$40:P$46,'KM POR UNIDAD'!A59,'CARDENAS CARDENAS JAVIER '!V$40:V$46)+SUMIF('BALDERRAMA ROBLES JORGE'!P$40:P$46,'KM POR UNIDAD'!A59,'BALDERRAMA ROBLES JORGE'!V$40:V$46)+SUMIF('BURGOS TORRES RIGOBERTO'!P$39:P$45,'KM POR UNIDAD'!A59,'BURGOS TORRES RIGOBERTO'!V$39:V$45)+SUMIF('CORDOVA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ARAT'!V$40:V$46)+SUMIF('MERCADO LOPEZ JESUS'!P$40:P$46,'KM POR UNIDAD'!A59,'MERCADO LOPEZ JESUS'!V$40:V$46)+SUMIF('ORONA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EDUARDO'!V$40:V$46)+SUMIF('ANCHONDO ROMERO CESAR ALEJANDRO'!P$40:P$46,'KM POR UNIDAD'!A59,'ANCHONDO ROMERO CESAR ALEJANDRO'!V$40:V$46)</f>
        <v>0</v>
      </c>
      <c r="E59" s="145">
        <f t="shared" si="0"/>
        <v>0</v>
      </c>
      <c r="F59" s="144" t="e">
        <f ca="1"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ADRIAN'!Y$40:Y$46)+SUMIF('CARDENAS CARDENAS JAVIER '!T$40:T$46,'KM POR UNIDAD'!A59,'CARDENAS CARDENAS JAVIER '!Y$40:Y$46)+SUMIF('BALDERRAMA ROBLES JORGE'!T$40:T$46,'KM POR UNIDAD'!A59,'BALDERRAMA ROBLES JORGE'!#REF!)+SUMIF('BURGOS TORRES RIGOBERTO'!T$39:T$45,'KM POR UNIDAD'!A59,'BURGOS TORRES RIGOBERTO'!Y$39:Y$45)+SUMIF('CORDOVA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ARAT'!#REF!)+SUMIF('MERCADO LOPEZ JESUS'!T$40:T$46,'KM POR UNIDAD'!E59,'MERCADO LOPEZ JESUS'!Y$40:Y$46)+SUMIF('ORONA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EDUARDO'!Y$41:Y$46)+SUMIF('ANCHONDO ROMERO CESAR ALEJANDRO'!T$40:T$46,'KM POR UNIDAD'!E59,'ANCHONDO ROMERO CESAR ALEJANDRO'!Y$40:Y$46)</f>
        <v>#REF!</v>
      </c>
      <c r="G59" s="146"/>
    </row>
    <row r="60" spans="1:9" x14ac:dyDescent="0.25">
      <c r="A60" s="143" t="s">
        <v>257</v>
      </c>
      <c r="B60" s="144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ADRIAN'!U$40:U$46)+SUMIF('CARDENAS CARDENAS JAVIER '!P$40:P$46,'KM POR UNIDAD'!A60,'CARDENAS CARDENAS JAVIER '!U$40:U$46)+SUMIF('BALDERRAMA ROBLES JORGE'!P$40:P$46,'KM POR UNIDAD'!A60,'BALDERRAMA ROBLES JORGE'!U$40:U$46)+SUMIF('BURGOS TORRES RIGOBERTO'!P$39:P$45,'KM POR UNIDAD'!A60,'BURGOS TORRES RIGOBERTO'!U$39:U$45)+SUMIF('CORDOVA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ARAT'!U$40:U$46)+SUMIF('MERCADO LOPEZ JESUS'!P$40:P$46,'KM POR UNIDAD'!A60,'MERCADO LOPEZ JESUS'!U$40:U$46)+SUMIF('ORONA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EDUARDO'!U$40:U$46)+SUMIF('ANCHONDO ROMERO CESAR ALEJANDRO'!P$40:P$46,'KM POR UNIDAD'!A60,'ANCHONDO ROMERO CESAR ALEJANDRO'!U$40:U$46)</f>
        <v>0</v>
      </c>
      <c r="C60" s="150">
        <f ca="1"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ADRIAN'!T$40:T$46)+SUMIF('CARDENAS CARDENAS JAVIER '!P$40:P$46,'KM POR UNIDAD'!A60,'CARDENAS CARDENAS JAVIER '!T$40:T$46)+SUMIF('BALDERRAMA ROBLES JORGE'!P$40:P$46,'KM POR UNIDAD'!A60,'BALDERRAMA ROBLES JORGE'!T$40:T$46)+SUMIF('BURGOS TORRES RIGOBERTO'!P$39:P$45,'KM POR UNIDAD'!A60,'BURGOS TORRES RIGOBERTO'!T$39:T$45)+SUMIF('CORDOVA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ARAT'!T$40:T$46)+SUMIF('MERCADO LOPEZ JESUS'!P$40:P$46,'KM POR UNIDAD'!A60,'MERCADO LOPEZ JESUS'!T$40:T$46)+SUMIF('ORONA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EDUARDO'!T$40:T$46)+SUMIF('ANCHONDO ROMERO CESAR ALEJANDRO'!P$40:P$46,'KM POR UNIDAD'!A60,'ANCHONDO ROMERO CESAR ALEJANDRO'!T$40:T$46)</f>
        <v>0</v>
      </c>
      <c r="D60" s="150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ADRIAN'!V$40:V$46)+SUMIF('CARDENAS CARDENAS JAVIER '!P$40:P$46,'KM POR UNIDAD'!A60,'CARDENAS CARDENAS JAVIER '!V$40:V$46)+SUMIF('BALDERRAMA ROBLES JORGE'!P$40:P$46,'KM POR UNIDAD'!A60,'BALDERRAMA ROBLES JORGE'!V$40:V$46)+SUMIF('BURGOS TORRES RIGOBERTO'!P$39:P$45,'KM POR UNIDAD'!A60,'BURGOS TORRES RIGOBERTO'!V$39:V$45)+SUMIF('CORDOVA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ARAT'!V$40:V$46)+SUMIF('MERCADO LOPEZ JESUS'!P$40:P$46,'KM POR UNIDAD'!A60,'MERCADO LOPEZ JESUS'!V$40:V$46)+SUMIF('ORONA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EDUARDO'!V$40:V$46)+SUMIF('ANCHONDO ROMERO CESAR ALEJANDRO'!P$40:P$46,'KM POR UNIDAD'!A60,'ANCHONDO ROMERO CESAR ALEJANDRO'!V$40:V$46)</f>
        <v>0</v>
      </c>
      <c r="E60" s="145">
        <f t="shared" si="0"/>
        <v>0</v>
      </c>
      <c r="F60" s="144" t="e">
        <f ca="1"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ADRIAN'!Y$40:Y$46)+SUMIF('CARDENAS CARDENAS JAVIER '!T$40:T$46,'KM POR UNIDAD'!A60,'CARDENAS CARDENAS JAVIER '!Y$40:Y$46)+SUMIF('BALDERRAMA ROBLES JORGE'!T$40:T$46,'KM POR UNIDAD'!A60,'BALDERRAMA ROBLES JORGE'!#REF!)+SUMIF('BURGOS TORRES RIGOBERTO'!T$39:T$45,'KM POR UNIDAD'!A60,'BURGOS TORRES RIGOBERTO'!Y$39:Y$45)+SUMIF('CORDOVA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ARAT'!#REF!)+SUMIF('MERCADO LOPEZ JESUS'!T$40:T$46,'KM POR UNIDAD'!E60,'MERCADO LOPEZ JESUS'!Y$40:Y$46)+SUMIF('ORONA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EDUARDO'!Y$41:Y$46)+SUMIF('ANCHONDO ROMERO CESAR ALEJANDRO'!T$40:T$46,'KM POR UNIDAD'!E60,'ANCHONDO ROMERO CESAR ALEJANDRO'!Y$40:Y$46)</f>
        <v>#REF!</v>
      </c>
      <c r="G60" s="146"/>
    </row>
    <row r="61" spans="1:9" x14ac:dyDescent="0.25">
      <c r="A61" s="143" t="s">
        <v>258</v>
      </c>
      <c r="B61" s="144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ADRIAN'!U$40:U$46)+SUMIF('CARDENAS CARDENAS JAVIER '!P$40:P$46,'KM POR UNIDAD'!A61,'CARDENAS CARDENAS JAVIER '!U$40:U$46)+SUMIF('BALDERRAMA ROBLES JORGE'!P$40:P$46,'KM POR UNIDAD'!A61,'BALDERRAMA ROBLES JORGE'!U$40:U$46)+SUMIF('BURGOS TORRES RIGOBERTO'!P$39:P$45,'KM POR UNIDAD'!A61,'BURGOS TORRES RIGOBERTO'!U$39:U$45)+SUMIF('CORDOVA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ARAT'!U$40:U$46)+SUMIF('MERCADO LOPEZ JESUS'!P$40:P$46,'KM POR UNIDAD'!A61,'MERCADO LOPEZ JESUS'!U$40:U$46)+SUMIF('ORONA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EDUARDO'!U$40:U$46)+SUMIF('ANCHONDO ROMERO CESAR ALEJANDRO'!P$40:P$46,'KM POR UNIDAD'!A61,'ANCHONDO ROMERO CESAR ALEJANDRO'!U$40:U$46)</f>
        <v>0</v>
      </c>
      <c r="C61" s="150">
        <f ca="1"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ADRIAN'!T$40:T$46)+SUMIF('CARDENAS CARDENAS JAVIER '!P$40:P$46,'KM POR UNIDAD'!A61,'CARDENAS CARDENAS JAVIER '!T$40:T$46)+SUMIF('BALDERRAMA ROBLES JORGE'!P$40:P$46,'KM POR UNIDAD'!A61,'BALDERRAMA ROBLES JORGE'!T$40:T$46)+SUMIF('BURGOS TORRES RIGOBERTO'!P$39:P$45,'KM POR UNIDAD'!A61,'BURGOS TORRES RIGOBERTO'!T$39:T$45)+SUMIF('CORDOVA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ARAT'!T$40:T$46)+SUMIF('MERCADO LOPEZ JESUS'!P$40:P$46,'KM POR UNIDAD'!A61,'MERCADO LOPEZ JESUS'!T$40:T$46)+SUMIF('ORONA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EDUARDO'!T$40:T$46)+SUMIF('ANCHONDO ROMERO CESAR ALEJANDRO'!P$40:P$46,'KM POR UNIDAD'!A61,'ANCHONDO ROMERO CESAR ALEJANDRO'!T$40:T$46)</f>
        <v>0</v>
      </c>
      <c r="D61" s="150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ADRIAN'!V$40:V$46)+SUMIF('CARDENAS CARDENAS JAVIER '!P$40:P$46,'KM POR UNIDAD'!A61,'CARDENAS CARDENAS JAVIER '!V$40:V$46)+SUMIF('BALDERRAMA ROBLES JORGE'!P$40:P$46,'KM POR UNIDAD'!A61,'BALDERRAMA ROBLES JORGE'!V$40:V$46)+SUMIF('BURGOS TORRES RIGOBERTO'!P$39:P$45,'KM POR UNIDAD'!A61,'BURGOS TORRES RIGOBERTO'!V$39:V$45)+SUMIF('CORDOVA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ARAT'!V$40:V$46)+SUMIF('MERCADO LOPEZ JESUS'!P$40:P$46,'KM POR UNIDAD'!A61,'MERCADO LOPEZ JESUS'!V$40:V$46)+SUMIF('ORONA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EDUARDO'!V$40:V$46)+SUMIF('ANCHONDO ROMERO CESAR ALEJANDRO'!P$40:P$46,'KM POR UNIDAD'!A61,'ANCHONDO ROMERO CESAR ALEJANDRO'!V$40:V$46)</f>
        <v>0</v>
      </c>
      <c r="E61" s="145">
        <f t="shared" si="0"/>
        <v>0</v>
      </c>
      <c r="F61" s="144" t="e">
        <f ca="1"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ADRIAN'!Y$40:Y$46)+SUMIF('CARDENAS CARDENAS JAVIER '!T$40:T$46,'KM POR UNIDAD'!A61,'CARDENAS CARDENAS JAVIER '!Y$40:Y$46)+SUMIF('BALDERRAMA ROBLES JORGE'!T$40:T$46,'KM POR UNIDAD'!A61,'BALDERRAMA ROBLES JORGE'!#REF!)+SUMIF('BURGOS TORRES RIGOBERTO'!T$39:T$45,'KM POR UNIDAD'!A61,'BURGOS TORRES RIGOBERTO'!Y$39:Y$45)+SUMIF('CORDOVA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ARAT'!#REF!)+SUMIF('MERCADO LOPEZ JESUS'!T$40:T$46,'KM POR UNIDAD'!E61,'MERCADO LOPEZ JESUS'!Y$40:Y$46)+SUMIF('ORONA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EDUARDO'!Y$41:Y$46)+SUMIF('ANCHONDO ROMERO CESAR ALEJANDRO'!T$40:T$46,'KM POR UNIDAD'!E61,'ANCHONDO ROMERO CESAR ALEJANDRO'!Y$40:Y$46)</f>
        <v>#REF!</v>
      </c>
      <c r="G61" s="146"/>
    </row>
    <row r="62" spans="1:9" x14ac:dyDescent="0.25">
      <c r="A62" s="143" t="s">
        <v>259</v>
      </c>
      <c r="B62" s="144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ADRIAN'!U$40:U$46)+SUMIF('CARDENAS CARDENAS JAVIER '!P$40:P$46,'KM POR UNIDAD'!A62,'CARDENAS CARDENAS JAVIER '!U$40:U$46)+SUMIF('BALDERRAMA ROBLES JORGE'!P$40:P$46,'KM POR UNIDAD'!A62,'BALDERRAMA ROBLES JORGE'!U$40:U$46)+SUMIF('BURGOS TORRES RIGOBERTO'!P$39:P$45,'KM POR UNIDAD'!A62,'BURGOS TORRES RIGOBERTO'!U$39:U$45)+SUMIF('CORDOVA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ARAT'!U$40:U$46)+SUMIF('MERCADO LOPEZ JESUS'!P$40:P$46,'KM POR UNIDAD'!A62,'MERCADO LOPEZ JESUS'!U$40:U$46)+SUMIF('ORONA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EDUARDO'!U$40:U$46)+SUMIF('ANCHONDO ROMERO CESAR ALEJANDRO'!P$40:P$46,'KM POR UNIDAD'!A62,'ANCHONDO ROMERO CESAR ALEJANDRO'!U$40:U$46)</f>
        <v>0</v>
      </c>
      <c r="C62" s="150">
        <f ca="1"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ADRIAN'!T$40:T$46)+SUMIF('CARDENAS CARDENAS JAVIER '!P$40:P$46,'KM POR UNIDAD'!A62,'CARDENAS CARDENAS JAVIER '!T$40:T$46)+SUMIF('BALDERRAMA ROBLES JORGE'!P$40:P$46,'KM POR UNIDAD'!A62,'BALDERRAMA ROBLES JORGE'!T$40:T$46)+SUMIF('BURGOS TORRES RIGOBERTO'!P$39:P$45,'KM POR UNIDAD'!A62,'BURGOS TORRES RIGOBERTO'!T$39:T$45)+SUMIF('CORDOVA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ARAT'!T$40:T$46)+SUMIF('MERCADO LOPEZ JESUS'!P$40:P$46,'KM POR UNIDAD'!A62,'MERCADO LOPEZ JESUS'!T$40:T$46)+SUMIF('ORONA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EDUARDO'!T$40:T$46)+SUMIF('ANCHONDO ROMERO CESAR ALEJANDRO'!P$40:P$46,'KM POR UNIDAD'!A62,'ANCHONDO ROMERO CESAR ALEJANDRO'!T$40:T$46)</f>
        <v>0</v>
      </c>
      <c r="D62" s="150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ADRIAN'!V$40:V$46)+SUMIF('CARDENAS CARDENAS JAVIER '!P$40:P$46,'KM POR UNIDAD'!A62,'CARDENAS CARDENAS JAVIER '!V$40:V$46)+SUMIF('BALDERRAMA ROBLES JORGE'!P$40:P$46,'KM POR UNIDAD'!A62,'BALDERRAMA ROBLES JORGE'!V$40:V$46)+SUMIF('BURGOS TORRES RIGOBERTO'!P$39:P$45,'KM POR UNIDAD'!A62,'BURGOS TORRES RIGOBERTO'!V$39:V$45)+SUMIF('CORDOVA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ARAT'!V$40:V$46)+SUMIF('MERCADO LOPEZ JESUS'!P$40:P$46,'KM POR UNIDAD'!A62,'MERCADO LOPEZ JESUS'!V$40:V$46)+SUMIF('ORONA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EDUARDO'!V$40:V$46)+SUMIF('ANCHONDO ROMERO CESAR ALEJANDRO'!P$40:P$46,'KM POR UNIDAD'!A62,'ANCHONDO ROMERO CESAR ALEJANDRO'!V$40:V$46)</f>
        <v>0</v>
      </c>
      <c r="E62" s="145">
        <f t="shared" si="0"/>
        <v>0</v>
      </c>
      <c r="F62" s="144" t="e">
        <f ca="1"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ADRIAN'!Y$40:Y$46)+SUMIF('CARDENAS CARDENAS JAVIER '!T$40:T$46,'KM POR UNIDAD'!A62,'CARDENAS CARDENAS JAVIER '!Y$40:Y$46)+SUMIF('BALDERRAMA ROBLES JORGE'!T$40:T$46,'KM POR UNIDAD'!A62,'BALDERRAMA ROBLES JORGE'!#REF!)+SUMIF('BURGOS TORRES RIGOBERTO'!T$39:T$45,'KM POR UNIDAD'!A62,'BURGOS TORRES RIGOBERTO'!Y$39:Y$45)+SUMIF('CORDOVA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ARAT'!#REF!)+SUMIF('MERCADO LOPEZ JESUS'!T$40:T$46,'KM POR UNIDAD'!E62,'MERCADO LOPEZ JESUS'!Y$40:Y$46)+SUMIF('ORONA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EDUARDO'!Y$41:Y$46)+SUMIF('ANCHONDO ROMERO CESAR ALEJANDRO'!T$40:T$46,'KM POR UNIDAD'!E62,'ANCHONDO ROMERO CESAR ALEJANDRO'!Y$40:Y$46)</f>
        <v>#REF!</v>
      </c>
      <c r="G62" s="146"/>
    </row>
    <row r="63" spans="1:9" x14ac:dyDescent="0.25">
      <c r="A63" s="143" t="s">
        <v>260</v>
      </c>
      <c r="B63" s="144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ADRIAN'!U$40:U$46)+SUMIF('CARDENAS CARDENAS JAVIER '!P$40:P$46,'KM POR UNIDAD'!A63,'CARDENAS CARDENAS JAVIER '!U$40:U$46)+SUMIF('BALDERRAMA ROBLES JORGE'!P$40:P$46,'KM POR UNIDAD'!A63,'BALDERRAMA ROBLES JORGE'!U$40:U$46)+SUMIF('BURGOS TORRES RIGOBERTO'!P$39:P$45,'KM POR UNIDAD'!A63,'BURGOS TORRES RIGOBERTO'!U$39:U$45)+SUMIF('CORDOVA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ARAT'!U$40:U$46)+SUMIF('MERCADO LOPEZ JESUS'!P$40:P$46,'KM POR UNIDAD'!A63,'MERCADO LOPEZ JESUS'!U$40:U$46)+SUMIF('ORONA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EDUARDO'!U$40:U$46)+SUMIF('ANCHONDO ROMERO CESAR ALEJANDRO'!P$40:P$46,'KM POR UNIDAD'!A63,'ANCHONDO ROMERO CESAR ALEJANDRO'!U$40:U$46)</f>
        <v>0</v>
      </c>
      <c r="C63" s="150">
        <f ca="1"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ADRIAN'!T$40:T$46)+SUMIF('CARDENAS CARDENAS JAVIER '!P$40:P$46,'KM POR UNIDAD'!A63,'CARDENAS CARDENAS JAVIER '!T$40:T$46)+SUMIF('BALDERRAMA ROBLES JORGE'!P$40:P$46,'KM POR UNIDAD'!A63,'BALDERRAMA ROBLES JORGE'!T$40:T$46)+SUMIF('BURGOS TORRES RIGOBERTO'!P$39:P$45,'KM POR UNIDAD'!A63,'BURGOS TORRES RIGOBERTO'!T$39:T$45)+SUMIF('CORDOVA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ARAT'!T$40:T$46)+SUMIF('MERCADO LOPEZ JESUS'!P$40:P$46,'KM POR UNIDAD'!A63,'MERCADO LOPEZ JESUS'!T$40:T$46)+SUMIF('ORONA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EDUARDO'!T$40:T$46)+SUMIF('ANCHONDO ROMERO CESAR ALEJANDRO'!P$40:P$46,'KM POR UNIDAD'!A63,'ANCHONDO ROMERO CESAR ALEJANDRO'!T$40:T$46)</f>
        <v>0</v>
      </c>
      <c r="D63" s="150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ADRIAN'!V$40:V$46)+SUMIF('CARDENAS CARDENAS JAVIER '!P$40:P$46,'KM POR UNIDAD'!A63,'CARDENAS CARDENAS JAVIER '!V$40:V$46)+SUMIF('BALDERRAMA ROBLES JORGE'!P$40:P$46,'KM POR UNIDAD'!A63,'BALDERRAMA ROBLES JORGE'!V$40:V$46)+SUMIF('BURGOS TORRES RIGOBERTO'!P$39:P$45,'KM POR UNIDAD'!A63,'BURGOS TORRES RIGOBERTO'!V$39:V$45)+SUMIF('CORDOVA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ARAT'!V$40:V$46)+SUMIF('MERCADO LOPEZ JESUS'!P$40:P$46,'KM POR UNIDAD'!A63,'MERCADO LOPEZ JESUS'!V$40:V$46)+SUMIF('ORONA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EDUARDO'!V$40:V$46)+SUMIF('ANCHONDO ROMERO CESAR ALEJANDRO'!P$40:P$46,'KM POR UNIDAD'!A63,'ANCHONDO ROMERO CESAR ALEJANDRO'!V$40:V$46)</f>
        <v>0</v>
      </c>
      <c r="E63" s="145">
        <f t="shared" si="0"/>
        <v>0</v>
      </c>
      <c r="F63" s="144" t="e">
        <f ca="1"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ADRIAN'!Y$40:Y$46)+SUMIF('CARDENAS CARDENAS JAVIER '!T$40:T$46,'KM POR UNIDAD'!A63,'CARDENAS CARDENAS JAVIER '!Y$40:Y$46)+SUMIF('BALDERRAMA ROBLES JORGE'!T$40:T$46,'KM POR UNIDAD'!A63,'BALDERRAMA ROBLES JORGE'!#REF!)+SUMIF('BURGOS TORRES RIGOBERTO'!T$39:T$45,'KM POR UNIDAD'!A63,'BURGOS TORRES RIGOBERTO'!Y$39:Y$45)+SUMIF('CORDOVA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ARAT'!#REF!)+SUMIF('MERCADO LOPEZ JESUS'!T$40:T$46,'KM POR UNIDAD'!E63,'MERCADO LOPEZ JESUS'!Y$40:Y$46)+SUMIF('ORONA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EDUARDO'!Y$41:Y$46)+SUMIF('ANCHONDO ROMERO CESAR ALEJANDRO'!T$40:T$46,'KM POR UNIDAD'!E63,'ANCHONDO ROMERO CESAR ALEJANDRO'!Y$40:Y$46)</f>
        <v>#REF!</v>
      </c>
      <c r="G63" s="146"/>
    </row>
    <row r="64" spans="1:9" x14ac:dyDescent="0.25">
      <c r="A64" s="143" t="s">
        <v>261</v>
      </c>
      <c r="B64" s="144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ADRIAN'!U$40:U$46)+SUMIF('CARDENAS CARDENAS JAVIER '!P$40:P$46,'KM POR UNIDAD'!A64,'CARDENAS CARDENAS JAVIER '!U$40:U$46)+SUMIF('BALDERRAMA ROBLES JORGE'!P$40:P$46,'KM POR UNIDAD'!A64,'BALDERRAMA ROBLES JORGE'!U$40:U$46)+SUMIF('BURGOS TORRES RIGOBERTO'!P$39:P$45,'KM POR UNIDAD'!A64,'BURGOS TORRES RIGOBERTO'!U$39:U$45)+SUMIF('CORDOVA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ARAT'!U$40:U$46)+SUMIF('MERCADO LOPEZ JESUS'!P$40:P$46,'KM POR UNIDAD'!A64,'MERCADO LOPEZ JESUS'!U$40:U$46)+SUMIF('ORONA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EDUARDO'!U$40:U$46)+SUMIF('ANCHONDO ROMERO CESAR ALEJANDRO'!P$40:P$46,'KM POR UNIDAD'!A64,'ANCHONDO ROMERO CESAR ALEJANDRO'!U$40:U$46)</f>
        <v>0</v>
      </c>
      <c r="C64" s="150">
        <f ca="1"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ADRIAN'!T$40:T$46)+SUMIF('CARDENAS CARDENAS JAVIER '!P$40:P$46,'KM POR UNIDAD'!A64,'CARDENAS CARDENAS JAVIER '!T$40:T$46)+SUMIF('BALDERRAMA ROBLES JORGE'!P$40:P$46,'KM POR UNIDAD'!A64,'BALDERRAMA ROBLES JORGE'!T$40:T$46)+SUMIF('BURGOS TORRES RIGOBERTO'!P$39:P$45,'KM POR UNIDAD'!A64,'BURGOS TORRES RIGOBERTO'!T$39:T$45)+SUMIF('CORDOVA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ARAT'!T$40:T$46)+SUMIF('MERCADO LOPEZ JESUS'!P$40:P$46,'KM POR UNIDAD'!A64,'MERCADO LOPEZ JESUS'!T$40:T$46)+SUMIF('ORONA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EDUARDO'!T$40:T$46)+SUMIF('ANCHONDO ROMERO CESAR ALEJANDRO'!P$40:P$46,'KM POR UNIDAD'!A64,'ANCHONDO ROMERO CESAR ALEJANDRO'!T$40:T$46)</f>
        <v>0</v>
      </c>
      <c r="D64" s="150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ADRIAN'!V$40:V$46)+SUMIF('CARDENAS CARDENAS JAVIER '!P$40:P$46,'KM POR UNIDAD'!A64,'CARDENAS CARDENAS JAVIER '!V$40:V$46)+SUMIF('BALDERRAMA ROBLES JORGE'!P$40:P$46,'KM POR UNIDAD'!A64,'BALDERRAMA ROBLES JORGE'!V$40:V$46)+SUMIF('BURGOS TORRES RIGOBERTO'!P$39:P$45,'KM POR UNIDAD'!A64,'BURGOS TORRES RIGOBERTO'!V$39:V$45)+SUMIF('CORDOVA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ARAT'!V$40:V$46)+SUMIF('MERCADO LOPEZ JESUS'!P$40:P$46,'KM POR UNIDAD'!A64,'MERCADO LOPEZ JESUS'!V$40:V$46)+SUMIF('ORONA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EDUARDO'!V$40:V$46)+SUMIF('ANCHONDO ROMERO CESAR ALEJANDRO'!P$40:P$46,'KM POR UNIDAD'!A64,'ANCHONDO ROMERO CESAR ALEJANDRO'!V$40:V$46)</f>
        <v>0</v>
      </c>
      <c r="E64" s="145">
        <f t="shared" si="0"/>
        <v>0</v>
      </c>
      <c r="F64" s="144" t="e">
        <f ca="1"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ADRIAN'!Y$40:Y$46)+SUMIF('CARDENAS CARDENAS JAVIER '!T$40:T$46,'KM POR UNIDAD'!A64,'CARDENAS CARDENAS JAVIER '!Y$40:Y$46)+SUMIF('BALDERRAMA ROBLES JORGE'!T$40:T$46,'KM POR UNIDAD'!A64,'BALDERRAMA ROBLES JORGE'!#REF!)+SUMIF('BURGOS TORRES RIGOBERTO'!T$39:T$45,'KM POR UNIDAD'!A64,'BURGOS TORRES RIGOBERTO'!Y$39:Y$45)+SUMIF('CORDOVA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ARAT'!#REF!)+SUMIF('MERCADO LOPEZ JESUS'!T$40:T$46,'KM POR UNIDAD'!E64,'MERCADO LOPEZ JESUS'!Y$40:Y$46)+SUMIF('ORONA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EDUARDO'!Y$41:Y$46)+SUMIF('ANCHONDO ROMERO CESAR ALEJANDRO'!T$40:T$46,'KM POR UNIDAD'!E64,'ANCHONDO ROMERO CESAR ALEJANDRO'!Y$40:Y$46)</f>
        <v>#REF!</v>
      </c>
      <c r="G64" s="146"/>
    </row>
    <row r="65" spans="1:7" x14ac:dyDescent="0.25">
      <c r="A65" s="143" t="s">
        <v>262</v>
      </c>
      <c r="B65" s="144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ADRIAN'!U$40:U$46)+SUMIF('CARDENAS CARDENAS JAVIER '!P$40:P$46,'KM POR UNIDAD'!A65,'CARDENAS CARDENAS JAVIER '!U$40:U$46)+SUMIF('BALDERRAMA ROBLES JORGE'!P$40:P$46,'KM POR UNIDAD'!A65,'BALDERRAMA ROBLES JORGE'!U$40:U$46)+SUMIF('BURGOS TORRES RIGOBERTO'!P$39:P$45,'KM POR UNIDAD'!A65,'BURGOS TORRES RIGOBERTO'!U$39:U$45)+SUMIF('CORDOVA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ARAT'!U$40:U$46)+SUMIF('MERCADO LOPEZ JESUS'!P$40:P$46,'KM POR UNIDAD'!A65,'MERCADO LOPEZ JESUS'!U$40:U$46)+SUMIF('ORONA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EDUARDO'!U$40:U$46)+SUMIF('ANCHONDO ROMERO CESAR ALEJANDRO'!P$40:P$46,'KM POR UNIDAD'!A65,'ANCHONDO ROMERO CESAR ALEJANDRO'!U$40:U$46)</f>
        <v>0</v>
      </c>
      <c r="C65" s="150">
        <f ca="1"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ADRIAN'!T$40:T$46)+SUMIF('CARDENAS CARDENAS JAVIER '!P$40:P$46,'KM POR UNIDAD'!A65,'CARDENAS CARDENAS JAVIER '!T$40:T$46)+SUMIF('BALDERRAMA ROBLES JORGE'!P$40:P$46,'KM POR UNIDAD'!A65,'BALDERRAMA ROBLES JORGE'!T$40:T$46)+SUMIF('BURGOS TORRES RIGOBERTO'!P$39:P$45,'KM POR UNIDAD'!A65,'BURGOS TORRES RIGOBERTO'!T$39:T$45)+SUMIF('CORDOVA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ARAT'!T$40:T$46)+SUMIF('MERCADO LOPEZ JESUS'!P$40:P$46,'KM POR UNIDAD'!A65,'MERCADO LOPEZ JESUS'!T$40:T$46)+SUMIF('ORONA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EDUARDO'!T$40:T$46)+SUMIF('ANCHONDO ROMERO CESAR ALEJANDRO'!P$40:P$46,'KM POR UNIDAD'!A65,'ANCHONDO ROMERO CESAR ALEJANDRO'!T$40:T$46)</f>
        <v>0</v>
      </c>
      <c r="D65" s="150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ADRIAN'!V$40:V$46)+SUMIF('CARDENAS CARDENAS JAVIER '!P$40:P$46,'KM POR UNIDAD'!A65,'CARDENAS CARDENAS JAVIER '!V$40:V$46)+SUMIF('BALDERRAMA ROBLES JORGE'!P$40:P$46,'KM POR UNIDAD'!A65,'BALDERRAMA ROBLES JORGE'!V$40:V$46)+SUMIF('BURGOS TORRES RIGOBERTO'!P$39:P$45,'KM POR UNIDAD'!A65,'BURGOS TORRES RIGOBERTO'!V$39:V$45)+SUMIF('CORDOVA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ARAT'!V$40:V$46)+SUMIF('MERCADO LOPEZ JESUS'!P$40:P$46,'KM POR UNIDAD'!A65,'MERCADO LOPEZ JESUS'!V$40:V$46)+SUMIF('ORONA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EDUARDO'!V$40:V$46)+SUMIF('ANCHONDO ROMERO CESAR ALEJANDRO'!P$40:P$46,'KM POR UNIDAD'!A65,'ANCHONDO ROMERO CESAR ALEJANDRO'!V$40:V$46)</f>
        <v>0</v>
      </c>
      <c r="E65" s="145">
        <f t="shared" si="0"/>
        <v>0</v>
      </c>
      <c r="F65" s="144" t="e">
        <f ca="1"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ADRIAN'!Y$40:Y$46)+SUMIF('CARDENAS CARDENAS JAVIER '!T$40:T$46,'KM POR UNIDAD'!A65,'CARDENAS CARDENAS JAVIER '!Y$40:Y$46)+SUMIF('BALDERRAMA ROBLES JORGE'!T$40:T$46,'KM POR UNIDAD'!A65,'BALDERRAMA ROBLES JORGE'!#REF!)+SUMIF('BURGOS TORRES RIGOBERTO'!T$39:T$45,'KM POR UNIDAD'!A65,'BURGOS TORRES RIGOBERTO'!Y$39:Y$45)+SUMIF('CORDOVA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ARAT'!#REF!)+SUMIF('MERCADO LOPEZ JESUS'!T$40:T$46,'KM POR UNIDAD'!E65,'MERCADO LOPEZ JESUS'!Y$40:Y$46)+SUMIF('ORONA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EDUARDO'!Y$41:Y$46)+SUMIF('ANCHONDO ROMERO CESAR ALEJANDRO'!T$40:T$46,'KM POR UNIDAD'!E65,'ANCHONDO ROMERO CESAR ALEJANDRO'!Y$40:Y$46)</f>
        <v>#REF!</v>
      </c>
      <c r="G65" s="146"/>
    </row>
    <row r="66" spans="1:7" x14ac:dyDescent="0.25">
      <c r="A66" s="143" t="s">
        <v>254</v>
      </c>
      <c r="B66" s="144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ADRIAN'!U$40:U$46)+SUMIF('CARDENAS CARDENAS JAVIER '!P$40:P$46,'KM POR UNIDAD'!A66,'CARDENAS CARDENAS JAVIER '!U$40:U$46)+SUMIF('BALDERRAMA ROBLES JORGE'!P$40:P$46,'KM POR UNIDAD'!A66,'BALDERRAMA ROBLES JORGE'!U$40:U$46)+SUMIF('BURGOS TORRES RIGOBERTO'!P$39:P$45,'KM POR UNIDAD'!A66,'BURGOS TORRES RIGOBERTO'!U$39:U$45)+SUMIF('CORDOVA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ARAT'!U$40:U$46)+SUMIF('MERCADO LOPEZ JESUS'!P$40:P$46,'KM POR UNIDAD'!A66,'MERCADO LOPEZ JESUS'!U$40:U$46)+SUMIF('ORONA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EDUARDO'!U$40:U$46)+SUMIF('ANCHONDO ROMERO CESAR ALEJANDRO'!P$40:P$46,'KM POR UNIDAD'!A66,'ANCHONDO ROMERO CESAR ALEJANDRO'!U$40:U$46)</f>
        <v>0</v>
      </c>
      <c r="C66" s="150">
        <f ca="1"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ADRIAN'!T$40:T$46)+SUMIF('CARDENAS CARDENAS JAVIER '!P$40:P$46,'KM POR UNIDAD'!A66,'CARDENAS CARDENAS JAVIER '!T$40:T$46)+SUMIF('BALDERRAMA ROBLES JORGE'!P$40:P$46,'KM POR UNIDAD'!A66,'BALDERRAMA ROBLES JORGE'!T$40:T$46)+SUMIF('BURGOS TORRES RIGOBERTO'!P$39:P$45,'KM POR UNIDAD'!A66,'BURGOS TORRES RIGOBERTO'!T$39:T$45)+SUMIF('CORDOVA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ARAT'!T$40:T$46)+SUMIF('MERCADO LOPEZ JESUS'!P$40:P$46,'KM POR UNIDAD'!A66,'MERCADO LOPEZ JESUS'!T$40:T$46)+SUMIF('ORONA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EDUARDO'!T$40:T$46)+SUMIF('ANCHONDO ROMERO CESAR ALEJANDRO'!P$40:P$46,'KM POR UNIDAD'!A66,'ANCHONDO ROMERO CESAR ALEJANDRO'!T$40:T$46)</f>
        <v>0</v>
      </c>
      <c r="D66" s="150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ADRIAN'!V$40:V$46)+SUMIF('CARDENAS CARDENAS JAVIER '!P$40:P$46,'KM POR UNIDAD'!A66,'CARDENAS CARDENAS JAVIER '!V$40:V$46)+SUMIF('BALDERRAMA ROBLES JORGE'!P$40:P$46,'KM POR UNIDAD'!A66,'BALDERRAMA ROBLES JORGE'!V$40:V$46)+SUMIF('BURGOS TORRES RIGOBERTO'!P$39:P$45,'KM POR UNIDAD'!A66,'BURGOS TORRES RIGOBERTO'!V$39:V$45)+SUMIF('CORDOVA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ARAT'!V$40:V$46)+SUMIF('MERCADO LOPEZ JESUS'!P$40:P$46,'KM POR UNIDAD'!A66,'MERCADO LOPEZ JESUS'!V$40:V$46)+SUMIF('ORONA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EDUARDO'!V$40:V$46)+SUMIF('ANCHONDO ROMERO CESAR ALEJANDRO'!P$40:P$46,'KM POR UNIDAD'!A66,'ANCHONDO ROMERO CESAR ALEJANDRO'!V$40:V$46)</f>
        <v>0</v>
      </c>
      <c r="E66" s="145">
        <f t="shared" si="0"/>
        <v>0</v>
      </c>
      <c r="F66" s="144" t="e">
        <f ca="1"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ADRIAN'!Y$40:Y$46)+SUMIF('CARDENAS CARDENAS JAVIER '!T$40:T$46,'KM POR UNIDAD'!A66,'CARDENAS CARDENAS JAVIER '!Y$40:Y$46)+SUMIF('BALDERRAMA ROBLES JORGE'!T$40:T$46,'KM POR UNIDAD'!A66,'BALDERRAMA ROBLES JORGE'!#REF!)+SUMIF('BURGOS TORRES RIGOBERTO'!T$39:T$45,'KM POR UNIDAD'!A66,'BURGOS TORRES RIGOBERTO'!Y$39:Y$45)+SUMIF('CORDOVA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ARAT'!#REF!)+SUMIF('MERCADO LOPEZ JESUS'!T$40:T$46,'KM POR UNIDAD'!E66,'MERCADO LOPEZ JESUS'!Y$40:Y$46)+SUMIF('ORONA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EDUARDO'!Y$41:Y$46)+SUMIF('ANCHONDO ROMERO CESAR ALEJANDRO'!T$40:T$46,'KM POR UNIDAD'!E66,'ANCHONDO ROMERO CESAR ALEJANDRO'!Y$40:Y$46)</f>
        <v>#REF!</v>
      </c>
      <c r="G66" s="146"/>
    </row>
    <row r="67" spans="1:7" x14ac:dyDescent="0.25">
      <c r="A67" s="143" t="s">
        <v>263</v>
      </c>
      <c r="B67" s="144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ADRIAN'!U$40:U$46)+SUMIF('CARDENAS CARDENAS JAVIER '!P$40:P$46,'KM POR UNIDAD'!A67,'CARDENAS CARDENAS JAVIER '!U$40:U$46)+SUMIF('BALDERRAMA ROBLES JORGE'!P$40:P$46,'KM POR UNIDAD'!A67,'BALDERRAMA ROBLES JORGE'!U$40:U$46)+SUMIF('BURGOS TORRES RIGOBERTO'!P$39:P$45,'KM POR UNIDAD'!A67,'BURGOS TORRES RIGOBERTO'!U$39:U$45)+SUMIF('CORDOVA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ARAT'!U$40:U$46)+SUMIF('MERCADO LOPEZ JESUS'!P$40:P$46,'KM POR UNIDAD'!A67,'MERCADO LOPEZ JESUS'!U$40:U$46)+SUMIF('ORONA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EDUARDO'!U$40:U$46)+SUMIF('ANCHONDO ROMERO CESAR ALEJANDRO'!P$40:P$46,'KM POR UNIDAD'!A67,'ANCHONDO ROMERO CESAR ALEJANDRO'!U$40:U$46)</f>
        <v>0</v>
      </c>
      <c r="C67" s="150">
        <f ca="1"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ADRIAN'!T$40:T$46)+SUMIF('CARDENAS CARDENAS JAVIER '!P$40:P$46,'KM POR UNIDAD'!A67,'CARDENAS CARDENAS JAVIER '!T$40:T$46)+SUMIF('BALDERRAMA ROBLES JORGE'!P$40:P$46,'KM POR UNIDAD'!A67,'BALDERRAMA ROBLES JORGE'!T$40:T$46)+SUMIF('BURGOS TORRES RIGOBERTO'!P$39:P$45,'KM POR UNIDAD'!A67,'BURGOS TORRES RIGOBERTO'!T$39:T$45)+SUMIF('CORDOVA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ARAT'!T$40:T$46)+SUMIF('MERCADO LOPEZ JESUS'!P$40:P$46,'KM POR UNIDAD'!A67,'MERCADO LOPEZ JESUS'!T$40:T$46)+SUMIF('ORONA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EDUARDO'!T$40:T$46)+SUMIF('ANCHONDO ROMERO CESAR ALEJANDRO'!P$40:P$46,'KM POR UNIDAD'!A67,'ANCHONDO ROMERO CESAR ALEJANDRO'!T$40:T$46)</f>
        <v>0</v>
      </c>
      <c r="D67" s="150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ADRIAN'!V$40:V$46)+SUMIF('CARDENAS CARDENAS JAVIER '!P$40:P$46,'KM POR UNIDAD'!A67,'CARDENAS CARDENAS JAVIER '!V$40:V$46)+SUMIF('BALDERRAMA ROBLES JORGE'!P$40:P$46,'KM POR UNIDAD'!A67,'BALDERRAMA ROBLES JORGE'!V$40:V$46)+SUMIF('BURGOS TORRES RIGOBERTO'!P$39:P$45,'KM POR UNIDAD'!A67,'BURGOS TORRES RIGOBERTO'!V$39:V$45)+SUMIF('CORDOVA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ARAT'!V$40:V$46)+SUMIF('MERCADO LOPEZ JESUS'!P$40:P$46,'KM POR UNIDAD'!A67,'MERCADO LOPEZ JESUS'!V$40:V$46)+SUMIF('ORONA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EDUARDO'!V$40:V$46)+SUMIF('ANCHONDO ROMERO CESAR ALEJANDRO'!P$40:P$46,'KM POR UNIDAD'!A67,'ANCHONDO ROMERO CESAR ALEJANDRO'!V$40:V$46)</f>
        <v>0</v>
      </c>
      <c r="E67" s="145">
        <f t="shared" ref="E67:E68" si="4">IFERROR(B67/D67,0)</f>
        <v>0</v>
      </c>
      <c r="F67" s="144"/>
      <c r="G67" s="146"/>
    </row>
    <row r="68" spans="1:7" x14ac:dyDescent="0.25">
      <c r="A68" s="143" t="s">
        <v>313</v>
      </c>
      <c r="B68" s="144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ADRIAN'!U$40:U$46)+SUMIF('CARDENAS CARDENAS JAVIER '!P$40:P$46,'KM POR UNIDAD'!A68,'CARDENAS CARDENAS JAVIER '!U$40:U$46)+SUMIF('BALDERRAMA ROBLES JORGE'!P$40:P$46,'KM POR UNIDAD'!A68,'BALDERRAMA ROBLES JORGE'!U$40:U$46)+SUMIF('BURGOS TORRES RIGOBERTO'!P$39:P$45,'KM POR UNIDAD'!A68,'BURGOS TORRES RIGOBERTO'!U$39:U$45)+SUMIF('CORDOVA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ARAT'!U$40:U$46)+SUMIF('MERCADO LOPEZ JESUS'!P$40:P$46,'KM POR UNIDAD'!A68,'MERCADO LOPEZ JESUS'!U$40:U$46)+SUMIF('ORONA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EDUARDO'!U$40:U$46)+SUMIF('ANCHONDO ROMERO CESAR ALEJANDRO'!P$40:P$46,'KM POR UNIDAD'!A68,'ANCHONDO ROMERO CESAR ALEJANDRO'!U$40:U$46)</f>
        <v>0</v>
      </c>
      <c r="C68" s="150">
        <f ca="1"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ADRIAN'!T$40:T$46)+SUMIF('CARDENAS CARDENAS JAVIER '!P$40:P$46,'KM POR UNIDAD'!A68,'CARDENAS CARDENAS JAVIER '!T$40:T$46)+SUMIF('BALDERRAMA ROBLES JORGE'!P$40:P$46,'KM POR UNIDAD'!A68,'BALDERRAMA ROBLES JORGE'!T$40:T$46)+SUMIF('BURGOS TORRES RIGOBERTO'!P$39:P$45,'KM POR UNIDAD'!A68,'BURGOS TORRES RIGOBERTO'!T$39:T$45)+SUMIF('CORDOVA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ARAT'!T$40:T$46)+SUMIF('MERCADO LOPEZ JESUS'!P$40:P$46,'KM POR UNIDAD'!A68,'MERCADO LOPEZ JESUS'!T$40:T$46)+SUMIF('ORONA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EDUARDO'!T$40:T$46)+SUMIF('ANCHONDO ROMERO CESAR ALEJANDRO'!P$40:P$46,'KM POR UNIDAD'!A68,'ANCHONDO ROMERO CESAR ALEJANDRO'!T$40:T$46)</f>
        <v>0</v>
      </c>
      <c r="D68" s="150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ADRIAN'!V$40:V$46)+SUMIF('CARDENAS CARDENAS JAVIER '!P$40:P$46,'KM POR UNIDAD'!A68,'CARDENAS CARDENAS JAVIER '!V$40:V$46)+SUMIF('BALDERRAMA ROBLES JORGE'!P$40:P$46,'KM POR UNIDAD'!A68,'BALDERRAMA ROBLES JORGE'!V$40:V$46)+SUMIF('BURGOS TORRES RIGOBERTO'!P$39:P$45,'KM POR UNIDAD'!A68,'BURGOS TORRES RIGOBERTO'!V$39:V$45)+SUMIF('CORDOVA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ARAT'!V$40:V$46)+SUMIF('MERCADO LOPEZ JESUS'!P$40:P$46,'KM POR UNIDAD'!A68,'MERCADO LOPEZ JESUS'!V$40:V$46)+SUMIF('ORONA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EDUARDO'!V$40:V$46)+SUMIF('ANCHONDO ROMERO CESAR ALEJANDRO'!P$40:P$46,'KM POR UNIDAD'!A68,'ANCHONDO ROMERO CESAR ALEJANDRO'!V$40:V$46)</f>
        <v>0</v>
      </c>
      <c r="E68" s="145">
        <f t="shared" si="4"/>
        <v>0</v>
      </c>
      <c r="F68" s="144"/>
      <c r="G68" s="146"/>
    </row>
    <row r="69" spans="1:7" x14ac:dyDescent="0.25">
      <c r="A69" s="143" t="s">
        <v>312</v>
      </c>
      <c r="B69" s="144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ADRIAN'!U$40:U$46)+SUMIF('CARDENAS CARDENAS JAVIER '!P$40:P$46,'KM POR UNIDAD'!A69,'CARDENAS CARDENAS JAVIER '!U$40:U$46)+SUMIF('BALDERRAMA ROBLES JORGE'!P$40:P$46,'KM POR UNIDAD'!A69,'BALDERRAMA ROBLES JORGE'!U$40:U$46)+SUMIF('BURGOS TORRES RIGOBERTO'!P$39:P$45,'KM POR UNIDAD'!A69,'BURGOS TORRES RIGOBERTO'!U$39:U$45)+SUMIF('CORDOVA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ARAT'!U$40:U$46)+SUMIF('MERCADO LOPEZ JESUS'!P$40:P$46,'KM POR UNIDAD'!A69,'MERCADO LOPEZ JESUS'!U$40:U$46)+SUMIF('ORONA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EDUARDO'!U$40:U$46)+SUMIF('ANCHONDO ROMERO CESAR ALEJANDRO'!P$40:P$46,'KM POR UNIDAD'!A69,'ANCHONDO ROMERO CESAR ALEJANDRO'!U$40:U$46)</f>
        <v>0</v>
      </c>
      <c r="C69" s="150">
        <f ca="1"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ADRIAN'!T$40:T$46)+SUMIF('CARDENAS CARDENAS JAVIER '!P$40:P$46,'KM POR UNIDAD'!A69,'CARDENAS CARDENAS JAVIER '!T$40:T$46)+SUMIF('BALDERRAMA ROBLES JORGE'!P$40:P$46,'KM POR UNIDAD'!A69,'BALDERRAMA ROBLES JORGE'!T$40:T$46)+SUMIF('BURGOS TORRES RIGOBERTO'!P$39:P$45,'KM POR UNIDAD'!A69,'BURGOS TORRES RIGOBERTO'!T$39:T$45)+SUMIF('CORDOVA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ARAT'!T$40:T$46)+SUMIF('MERCADO LOPEZ JESUS'!P$40:P$46,'KM POR UNIDAD'!A69,'MERCADO LOPEZ JESUS'!T$40:T$46)+SUMIF('ORONA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EDUARDO'!T$40:T$46)+SUMIF('ANCHONDO ROMERO CESAR ALEJANDRO'!P$40:P$46,'KM POR UNIDAD'!A69,'ANCHONDO ROMERO CESAR ALEJANDRO'!T$40:T$46)</f>
        <v>0</v>
      </c>
      <c r="D69" s="150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ADRIAN'!V$40:V$46)+SUMIF('CARDENAS CARDENAS JAVIER '!P$40:P$46,'KM POR UNIDAD'!A69,'CARDENAS CARDENAS JAVIER '!V$40:V$46)+SUMIF('BALDERRAMA ROBLES JORGE'!P$40:P$46,'KM POR UNIDAD'!A69,'BALDERRAMA ROBLES JORGE'!V$40:V$46)+SUMIF('BURGOS TORRES RIGOBERTO'!P$39:P$45,'KM POR UNIDAD'!A69,'BURGOS TORRES RIGOBERTO'!V$39:V$45)+SUMIF('CORDOVA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ARAT'!V$40:V$46)+SUMIF('MERCADO LOPEZ JESUS'!P$40:P$46,'KM POR UNIDAD'!A69,'MERCADO LOPEZ JESUS'!V$40:V$46)+SUMIF('ORONA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EDUARDO'!V$40:V$46)+SUMIF('ANCHONDO ROMERO CESAR ALEJANDRO'!P$40:P$46,'KM POR UNIDAD'!A69,'ANCHONDO ROMERO CESAR ALEJANDRO'!V$40:V$46)</f>
        <v>0</v>
      </c>
      <c r="E69" s="145">
        <f t="shared" si="0"/>
        <v>0</v>
      </c>
      <c r="F69" s="144" t="e">
        <f ca="1"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ADRIAN'!Y$40:Y$46)+SUMIF('CARDENAS CARDENAS JAVIER '!T$40:T$46,'KM POR UNIDAD'!A69,'CARDENAS CARDENAS JAVIER '!Y$40:Y$46)+SUMIF('BALDERRAMA ROBLES JORGE'!T$40:T$46,'KM POR UNIDAD'!A69,'BALDERRAMA ROBLES JORGE'!#REF!)+SUMIF('BURGOS TORRES RIGOBERTO'!T$39:T$45,'KM POR UNIDAD'!A69,'BURGOS TORRES RIGOBERTO'!Y$39:Y$45)+SUMIF('CORDOVA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ARAT'!#REF!)+SUMIF('MERCADO LOPEZ JESUS'!T$40:T$46,'KM POR UNIDAD'!E69,'MERCADO LOPEZ JESUS'!Y$40:Y$46)+SUMIF('ORONA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EDUARDO'!Y$41:Y$46)+SUMIF('ANCHONDO ROMERO CESAR ALEJANDRO'!T$40:T$46,'KM POR UNIDAD'!E69,'ANCHONDO ROMERO CESAR ALEJANDRO'!Y$40:Y$46)</f>
        <v>#REF!</v>
      </c>
      <c r="G69" s="146"/>
    </row>
    <row r="70" spans="1:7" x14ac:dyDescent="0.25">
      <c r="A70" s="146"/>
      <c r="B70" s="234">
        <f>SUM(B3:B69)</f>
        <v>54787</v>
      </c>
      <c r="C70" s="234"/>
      <c r="D70" s="234">
        <f>SUM(D3:D57)</f>
        <v>15011.454</v>
      </c>
      <c r="E70" s="146"/>
      <c r="F70" s="144" t="e">
        <f ca="1"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ADRIAN'!Y$40:Y$46)+SUMIF('CARDENAS CARDENAS JAVIER '!T$40:T$46,'KM POR UNIDAD'!A70,'CARDENAS CARDENAS JAVIER '!Y$40:Y$46)+SUMIF('BALDERRAMA ROBLES JORGE'!T$40:T$46,'KM POR UNIDAD'!A70,'BALDERRAMA ROBLES JORGE'!#REF!)+SUMIF('BURGOS TORRES RIGOBERTO'!T$39:T$45,'KM POR UNIDAD'!A70,'BURGOS TORRES RIGOBERTO'!Y$39:Y$45)+SUMIF('CORDOVA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ARAT'!#REF!)+SUMIF('MERCADO LOPEZ JESUS'!T$40:T$46,'KM POR UNIDAD'!E70,'MERCADO LOPEZ JESUS'!Y$40:Y$46)+SUMIF('ORONA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EDUARDO'!Y$41:Y$46)+SUMIF('ANCHONDO ROMERO CESAR ALEJANDRO'!T$40:T$46,'KM POR UNIDAD'!E70,'ANCHONDO ROMERO CESAR ALEJANDRO'!Y$40:Y$46)</f>
        <v>#REF!</v>
      </c>
      <c r="G70" s="146"/>
    </row>
    <row r="71" spans="1:7" ht="16.5" thickBot="1" x14ac:dyDescent="0.3">
      <c r="B71" s="207">
        <f>+'KM POR CHOFER'!I31</f>
        <v>54787</v>
      </c>
      <c r="C71" s="140"/>
      <c r="D71" s="235"/>
      <c r="E71" s="140"/>
      <c r="F71" s="144" t="e">
        <f ca="1"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ADRIAN'!Y$40:Y$46)+SUMIF('CARDENAS CARDENAS JAVIER '!T$40:T$46,'KM POR UNIDAD'!A71,'CARDENAS CARDENAS JAVIER '!Y$40:Y$46)+SUMIF('BALDERRAMA ROBLES JORGE'!T$40:T$46,'KM POR UNIDAD'!A71,'BALDERRAMA ROBLES JORGE'!#REF!)+SUMIF('BURGOS TORRES RIGOBERTO'!T$39:T$45,'KM POR UNIDAD'!A71,'BURGOS TORRES RIGOBERTO'!Y$39:Y$45)+SUMIF('CORDOVA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ARAT'!#REF!)+SUMIF('MERCADO LOPEZ JESUS'!T$40:T$46,'KM POR UNIDAD'!E71,'MERCADO LOPEZ JESUS'!Y$40:Y$46)+SUMIF('ORONA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EDUARDO'!Y$41:Y$46)+SUMIF('ANCHONDO ROMERO CESAR ALEJANDRO'!T$40:T$46,'KM POR UNIDAD'!E71,'ANCHONDO ROMERO CESAR ALEJANDRO'!Y$40:Y$46)</f>
        <v>#REF!</v>
      </c>
    </row>
    <row r="72" spans="1:7" x14ac:dyDescent="0.25">
      <c r="B72" s="228">
        <f>B70-B71</f>
        <v>0</v>
      </c>
      <c r="C72" s="140"/>
      <c r="D72" s="235"/>
      <c r="E72" s="140"/>
      <c r="F72" s="144" t="e">
        <f ca="1"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ADRIAN'!Y$40:Y$46)+SUMIF('CARDENAS CARDENAS JAVIER '!T$40:T$46,'KM POR UNIDAD'!A72,'CARDENAS CARDENAS JAVIER '!Y$40:Y$46)+SUMIF('BALDERRAMA ROBLES JORGE'!T$40:T$46,'KM POR UNIDAD'!A72,'BALDERRAMA ROBLES JORGE'!#REF!)+SUMIF('BURGOS TORRES RIGOBERTO'!T$39:T$45,'KM POR UNIDAD'!A72,'BURGOS TORRES RIGOBERTO'!Y$39:Y$45)+SUMIF('CORDOVA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ARAT'!#REF!)+SUMIF('MERCADO LOPEZ JESUS'!T$40:T$46,'KM POR UNIDAD'!E72,'MERCADO LOPEZ JESUS'!Y$40:Y$46)+SUMIF('ORONA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EDUARDO'!Y$41:Y$46)+SUMIF('ANCHONDO ROMERO CESAR ALEJANDRO'!T$40:T$46,'KM POR UNIDAD'!E72,'ANCHONDO ROMERO CESAR ALEJANDRO'!Y$40:Y$46)</f>
        <v>#REF!</v>
      </c>
    </row>
    <row r="73" spans="1:7" x14ac:dyDescent="0.25">
      <c r="B73" s="228"/>
      <c r="C73" s="140"/>
      <c r="D73" s="235"/>
      <c r="E73" s="140"/>
    </row>
    <row r="74" spans="1:7" x14ac:dyDescent="0.25">
      <c r="B74" s="140"/>
      <c r="C74" s="140"/>
      <c r="D74" s="140"/>
      <c r="E74" s="140"/>
    </row>
    <row r="75" spans="1:7" x14ac:dyDescent="0.25">
      <c r="B75" s="148"/>
      <c r="C75" s="148"/>
      <c r="D75" s="148"/>
      <c r="E75" s="149"/>
    </row>
    <row r="76" spans="1:7" x14ac:dyDescent="0.25">
      <c r="B76" s="148"/>
      <c r="C76" s="148"/>
      <c r="D76" s="148"/>
      <c r="E76" s="149"/>
    </row>
  </sheetData>
  <mergeCells count="1">
    <mergeCell ref="A1:E1"/>
  </mergeCells>
  <phoneticPr fontId="32" type="noConversion"/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1:C40"/>
  <sheetViews>
    <sheetView zoomScale="85" zoomScaleNormal="85" workbookViewId="0">
      <selection activeCell="I30" sqref="I30"/>
    </sheetView>
  </sheetViews>
  <sheetFormatPr baseColWidth="10" defaultColWidth="9.140625" defaultRowHeight="15" x14ac:dyDescent="0.25"/>
  <cols>
    <col min="1" max="1" width="9.140625" style="216"/>
    <col min="2" max="2" width="26.5703125" style="214" bestFit="1" customWidth="1"/>
    <col min="3" max="3" width="17.140625" style="215" bestFit="1" customWidth="1"/>
    <col min="4" max="246" width="9.140625" style="216"/>
    <col min="247" max="247" width="10.7109375" style="216" bestFit="1" customWidth="1"/>
    <col min="248" max="248" width="10" style="216" customWidth="1"/>
    <col min="249" max="249" width="13" style="216" customWidth="1"/>
    <col min="250" max="250" width="10.85546875" style="216" customWidth="1"/>
    <col min="251" max="251" width="11.7109375" style="216" customWidth="1"/>
    <col min="252" max="252" width="9.140625" style="216"/>
    <col min="253" max="253" width="11.5703125" style="216" customWidth="1"/>
    <col min="254" max="254" width="13.85546875" style="216" customWidth="1"/>
    <col min="255" max="502" width="9.140625" style="216"/>
    <col min="503" max="503" width="10.7109375" style="216" bestFit="1" customWidth="1"/>
    <col min="504" max="504" width="10" style="216" customWidth="1"/>
    <col min="505" max="505" width="13" style="216" customWidth="1"/>
    <col min="506" max="506" width="10.85546875" style="216" customWidth="1"/>
    <col min="507" max="507" width="11.7109375" style="216" customWidth="1"/>
    <col min="508" max="508" width="9.140625" style="216"/>
    <col min="509" max="509" width="11.5703125" style="216" customWidth="1"/>
    <col min="510" max="510" width="13.85546875" style="216" customWidth="1"/>
    <col min="511" max="758" width="9.140625" style="216"/>
    <col min="759" max="759" width="10.7109375" style="216" bestFit="1" customWidth="1"/>
    <col min="760" max="760" width="10" style="216" customWidth="1"/>
    <col min="761" max="761" width="13" style="216" customWidth="1"/>
    <col min="762" max="762" width="10.85546875" style="216" customWidth="1"/>
    <col min="763" max="763" width="11.7109375" style="216" customWidth="1"/>
    <col min="764" max="764" width="9.140625" style="216"/>
    <col min="765" max="765" width="11.5703125" style="216" customWidth="1"/>
    <col min="766" max="766" width="13.85546875" style="216" customWidth="1"/>
    <col min="767" max="1014" width="9.140625" style="216"/>
    <col min="1015" max="1015" width="10.7109375" style="216" bestFit="1" customWidth="1"/>
    <col min="1016" max="1016" width="10" style="216" customWidth="1"/>
    <col min="1017" max="1017" width="13" style="216" customWidth="1"/>
    <col min="1018" max="1018" width="10.85546875" style="216" customWidth="1"/>
    <col min="1019" max="1019" width="11.7109375" style="216" customWidth="1"/>
    <col min="1020" max="1020" width="9.140625" style="216"/>
    <col min="1021" max="1021" width="11.5703125" style="216" customWidth="1"/>
    <col min="1022" max="1022" width="13.85546875" style="216" customWidth="1"/>
    <col min="1023" max="1270" width="9.140625" style="216"/>
    <col min="1271" max="1271" width="10.7109375" style="216" bestFit="1" customWidth="1"/>
    <col min="1272" max="1272" width="10" style="216" customWidth="1"/>
    <col min="1273" max="1273" width="13" style="216" customWidth="1"/>
    <col min="1274" max="1274" width="10.85546875" style="216" customWidth="1"/>
    <col min="1275" max="1275" width="11.7109375" style="216" customWidth="1"/>
    <col min="1276" max="1276" width="9.140625" style="216"/>
    <col min="1277" max="1277" width="11.5703125" style="216" customWidth="1"/>
    <col min="1278" max="1278" width="13.85546875" style="216" customWidth="1"/>
    <col min="1279" max="1526" width="9.140625" style="216"/>
    <col min="1527" max="1527" width="10.7109375" style="216" bestFit="1" customWidth="1"/>
    <col min="1528" max="1528" width="10" style="216" customWidth="1"/>
    <col min="1529" max="1529" width="13" style="216" customWidth="1"/>
    <col min="1530" max="1530" width="10.85546875" style="216" customWidth="1"/>
    <col min="1531" max="1531" width="11.7109375" style="216" customWidth="1"/>
    <col min="1532" max="1532" width="9.140625" style="216"/>
    <col min="1533" max="1533" width="11.5703125" style="216" customWidth="1"/>
    <col min="1534" max="1534" width="13.85546875" style="216" customWidth="1"/>
    <col min="1535" max="1782" width="9.140625" style="216"/>
    <col min="1783" max="1783" width="10.7109375" style="216" bestFit="1" customWidth="1"/>
    <col min="1784" max="1784" width="10" style="216" customWidth="1"/>
    <col min="1785" max="1785" width="13" style="216" customWidth="1"/>
    <col min="1786" max="1786" width="10.85546875" style="216" customWidth="1"/>
    <col min="1787" max="1787" width="11.7109375" style="216" customWidth="1"/>
    <col min="1788" max="1788" width="9.140625" style="216"/>
    <col min="1789" max="1789" width="11.5703125" style="216" customWidth="1"/>
    <col min="1790" max="1790" width="13.85546875" style="216" customWidth="1"/>
    <col min="1791" max="2038" width="9.140625" style="216"/>
    <col min="2039" max="2039" width="10.7109375" style="216" bestFit="1" customWidth="1"/>
    <col min="2040" max="2040" width="10" style="216" customWidth="1"/>
    <col min="2041" max="2041" width="13" style="216" customWidth="1"/>
    <col min="2042" max="2042" width="10.85546875" style="216" customWidth="1"/>
    <col min="2043" max="2043" width="11.7109375" style="216" customWidth="1"/>
    <col min="2044" max="2044" width="9.140625" style="216"/>
    <col min="2045" max="2045" width="11.5703125" style="216" customWidth="1"/>
    <col min="2046" max="2046" width="13.85546875" style="216" customWidth="1"/>
    <col min="2047" max="2294" width="9.140625" style="216"/>
    <col min="2295" max="2295" width="10.7109375" style="216" bestFit="1" customWidth="1"/>
    <col min="2296" max="2296" width="10" style="216" customWidth="1"/>
    <col min="2297" max="2297" width="13" style="216" customWidth="1"/>
    <col min="2298" max="2298" width="10.85546875" style="216" customWidth="1"/>
    <col min="2299" max="2299" width="11.7109375" style="216" customWidth="1"/>
    <col min="2300" max="2300" width="9.140625" style="216"/>
    <col min="2301" max="2301" width="11.5703125" style="216" customWidth="1"/>
    <col min="2302" max="2302" width="13.85546875" style="216" customWidth="1"/>
    <col min="2303" max="2550" width="9.140625" style="216"/>
    <col min="2551" max="2551" width="10.7109375" style="216" bestFit="1" customWidth="1"/>
    <col min="2552" max="2552" width="10" style="216" customWidth="1"/>
    <col min="2553" max="2553" width="13" style="216" customWidth="1"/>
    <col min="2554" max="2554" width="10.85546875" style="216" customWidth="1"/>
    <col min="2555" max="2555" width="11.7109375" style="216" customWidth="1"/>
    <col min="2556" max="2556" width="9.140625" style="216"/>
    <col min="2557" max="2557" width="11.5703125" style="216" customWidth="1"/>
    <col min="2558" max="2558" width="13.85546875" style="216" customWidth="1"/>
    <col min="2559" max="2806" width="9.140625" style="216"/>
    <col min="2807" max="2807" width="10.7109375" style="216" bestFit="1" customWidth="1"/>
    <col min="2808" max="2808" width="10" style="216" customWidth="1"/>
    <col min="2809" max="2809" width="13" style="216" customWidth="1"/>
    <col min="2810" max="2810" width="10.85546875" style="216" customWidth="1"/>
    <col min="2811" max="2811" width="11.7109375" style="216" customWidth="1"/>
    <col min="2812" max="2812" width="9.140625" style="216"/>
    <col min="2813" max="2813" width="11.5703125" style="216" customWidth="1"/>
    <col min="2814" max="2814" width="13.85546875" style="216" customWidth="1"/>
    <col min="2815" max="3062" width="9.140625" style="216"/>
    <col min="3063" max="3063" width="10.7109375" style="216" bestFit="1" customWidth="1"/>
    <col min="3064" max="3064" width="10" style="216" customWidth="1"/>
    <col min="3065" max="3065" width="13" style="216" customWidth="1"/>
    <col min="3066" max="3066" width="10.85546875" style="216" customWidth="1"/>
    <col min="3067" max="3067" width="11.7109375" style="216" customWidth="1"/>
    <col min="3068" max="3068" width="9.140625" style="216"/>
    <col min="3069" max="3069" width="11.5703125" style="216" customWidth="1"/>
    <col min="3070" max="3070" width="13.85546875" style="216" customWidth="1"/>
    <col min="3071" max="3318" width="9.140625" style="216"/>
    <col min="3319" max="3319" width="10.7109375" style="216" bestFit="1" customWidth="1"/>
    <col min="3320" max="3320" width="10" style="216" customWidth="1"/>
    <col min="3321" max="3321" width="13" style="216" customWidth="1"/>
    <col min="3322" max="3322" width="10.85546875" style="216" customWidth="1"/>
    <col min="3323" max="3323" width="11.7109375" style="216" customWidth="1"/>
    <col min="3324" max="3324" width="9.140625" style="216"/>
    <col min="3325" max="3325" width="11.5703125" style="216" customWidth="1"/>
    <col min="3326" max="3326" width="13.85546875" style="216" customWidth="1"/>
    <col min="3327" max="3574" width="9.140625" style="216"/>
    <col min="3575" max="3575" width="10.7109375" style="216" bestFit="1" customWidth="1"/>
    <col min="3576" max="3576" width="10" style="216" customWidth="1"/>
    <col min="3577" max="3577" width="13" style="216" customWidth="1"/>
    <col min="3578" max="3578" width="10.85546875" style="216" customWidth="1"/>
    <col min="3579" max="3579" width="11.7109375" style="216" customWidth="1"/>
    <col min="3580" max="3580" width="9.140625" style="216"/>
    <col min="3581" max="3581" width="11.5703125" style="216" customWidth="1"/>
    <col min="3582" max="3582" width="13.85546875" style="216" customWidth="1"/>
    <col min="3583" max="3830" width="9.140625" style="216"/>
    <col min="3831" max="3831" width="10.7109375" style="216" bestFit="1" customWidth="1"/>
    <col min="3832" max="3832" width="10" style="216" customWidth="1"/>
    <col min="3833" max="3833" width="13" style="216" customWidth="1"/>
    <col min="3834" max="3834" width="10.85546875" style="216" customWidth="1"/>
    <col min="3835" max="3835" width="11.7109375" style="216" customWidth="1"/>
    <col min="3836" max="3836" width="9.140625" style="216"/>
    <col min="3837" max="3837" width="11.5703125" style="216" customWidth="1"/>
    <col min="3838" max="3838" width="13.85546875" style="216" customWidth="1"/>
    <col min="3839" max="4086" width="9.140625" style="216"/>
    <col min="4087" max="4087" width="10.7109375" style="216" bestFit="1" customWidth="1"/>
    <col min="4088" max="4088" width="10" style="216" customWidth="1"/>
    <col min="4089" max="4089" width="13" style="216" customWidth="1"/>
    <col min="4090" max="4090" width="10.85546875" style="216" customWidth="1"/>
    <col min="4091" max="4091" width="11.7109375" style="216" customWidth="1"/>
    <col min="4092" max="4092" width="9.140625" style="216"/>
    <col min="4093" max="4093" width="11.5703125" style="216" customWidth="1"/>
    <col min="4094" max="4094" width="13.85546875" style="216" customWidth="1"/>
    <col min="4095" max="4342" width="9.140625" style="216"/>
    <col min="4343" max="4343" width="10.7109375" style="216" bestFit="1" customWidth="1"/>
    <col min="4344" max="4344" width="10" style="216" customWidth="1"/>
    <col min="4345" max="4345" width="13" style="216" customWidth="1"/>
    <col min="4346" max="4346" width="10.85546875" style="216" customWidth="1"/>
    <col min="4347" max="4347" width="11.7109375" style="216" customWidth="1"/>
    <col min="4348" max="4348" width="9.140625" style="216"/>
    <col min="4349" max="4349" width="11.5703125" style="216" customWidth="1"/>
    <col min="4350" max="4350" width="13.85546875" style="216" customWidth="1"/>
    <col min="4351" max="4598" width="9.140625" style="216"/>
    <col min="4599" max="4599" width="10.7109375" style="216" bestFit="1" customWidth="1"/>
    <col min="4600" max="4600" width="10" style="216" customWidth="1"/>
    <col min="4601" max="4601" width="13" style="216" customWidth="1"/>
    <col min="4602" max="4602" width="10.85546875" style="216" customWidth="1"/>
    <col min="4603" max="4603" width="11.7109375" style="216" customWidth="1"/>
    <col min="4604" max="4604" width="9.140625" style="216"/>
    <col min="4605" max="4605" width="11.5703125" style="216" customWidth="1"/>
    <col min="4606" max="4606" width="13.85546875" style="216" customWidth="1"/>
    <col min="4607" max="4854" width="9.140625" style="216"/>
    <col min="4855" max="4855" width="10.7109375" style="216" bestFit="1" customWidth="1"/>
    <col min="4856" max="4856" width="10" style="216" customWidth="1"/>
    <col min="4857" max="4857" width="13" style="216" customWidth="1"/>
    <col min="4858" max="4858" width="10.85546875" style="216" customWidth="1"/>
    <col min="4859" max="4859" width="11.7109375" style="216" customWidth="1"/>
    <col min="4860" max="4860" width="9.140625" style="216"/>
    <col min="4861" max="4861" width="11.5703125" style="216" customWidth="1"/>
    <col min="4862" max="4862" width="13.85546875" style="216" customWidth="1"/>
    <col min="4863" max="5110" width="9.140625" style="216"/>
    <col min="5111" max="5111" width="10.7109375" style="216" bestFit="1" customWidth="1"/>
    <col min="5112" max="5112" width="10" style="216" customWidth="1"/>
    <col min="5113" max="5113" width="13" style="216" customWidth="1"/>
    <col min="5114" max="5114" width="10.85546875" style="216" customWidth="1"/>
    <col min="5115" max="5115" width="11.7109375" style="216" customWidth="1"/>
    <col min="5116" max="5116" width="9.140625" style="216"/>
    <col min="5117" max="5117" width="11.5703125" style="216" customWidth="1"/>
    <col min="5118" max="5118" width="13.85546875" style="216" customWidth="1"/>
    <col min="5119" max="5366" width="9.140625" style="216"/>
    <col min="5367" max="5367" width="10.7109375" style="216" bestFit="1" customWidth="1"/>
    <col min="5368" max="5368" width="10" style="216" customWidth="1"/>
    <col min="5369" max="5369" width="13" style="216" customWidth="1"/>
    <col min="5370" max="5370" width="10.85546875" style="216" customWidth="1"/>
    <col min="5371" max="5371" width="11.7109375" style="216" customWidth="1"/>
    <col min="5372" max="5372" width="9.140625" style="216"/>
    <col min="5373" max="5373" width="11.5703125" style="216" customWidth="1"/>
    <col min="5374" max="5374" width="13.85546875" style="216" customWidth="1"/>
    <col min="5375" max="5622" width="9.140625" style="216"/>
    <col min="5623" max="5623" width="10.7109375" style="216" bestFit="1" customWidth="1"/>
    <col min="5624" max="5624" width="10" style="216" customWidth="1"/>
    <col min="5625" max="5625" width="13" style="216" customWidth="1"/>
    <col min="5626" max="5626" width="10.85546875" style="216" customWidth="1"/>
    <col min="5627" max="5627" width="11.7109375" style="216" customWidth="1"/>
    <col min="5628" max="5628" width="9.140625" style="216"/>
    <col min="5629" max="5629" width="11.5703125" style="216" customWidth="1"/>
    <col min="5630" max="5630" width="13.85546875" style="216" customWidth="1"/>
    <col min="5631" max="5878" width="9.140625" style="216"/>
    <col min="5879" max="5879" width="10.7109375" style="216" bestFit="1" customWidth="1"/>
    <col min="5880" max="5880" width="10" style="216" customWidth="1"/>
    <col min="5881" max="5881" width="13" style="216" customWidth="1"/>
    <col min="5882" max="5882" width="10.85546875" style="216" customWidth="1"/>
    <col min="5883" max="5883" width="11.7109375" style="216" customWidth="1"/>
    <col min="5884" max="5884" width="9.140625" style="216"/>
    <col min="5885" max="5885" width="11.5703125" style="216" customWidth="1"/>
    <col min="5886" max="5886" width="13.85546875" style="216" customWidth="1"/>
    <col min="5887" max="6134" width="9.140625" style="216"/>
    <col min="6135" max="6135" width="10.7109375" style="216" bestFit="1" customWidth="1"/>
    <col min="6136" max="6136" width="10" style="216" customWidth="1"/>
    <col min="6137" max="6137" width="13" style="216" customWidth="1"/>
    <col min="6138" max="6138" width="10.85546875" style="216" customWidth="1"/>
    <col min="6139" max="6139" width="11.7109375" style="216" customWidth="1"/>
    <col min="6140" max="6140" width="9.140625" style="216"/>
    <col min="6141" max="6141" width="11.5703125" style="216" customWidth="1"/>
    <col min="6142" max="6142" width="13.85546875" style="216" customWidth="1"/>
    <col min="6143" max="6390" width="9.140625" style="216"/>
    <col min="6391" max="6391" width="10.7109375" style="216" bestFit="1" customWidth="1"/>
    <col min="6392" max="6392" width="10" style="216" customWidth="1"/>
    <col min="6393" max="6393" width="13" style="216" customWidth="1"/>
    <col min="6394" max="6394" width="10.85546875" style="216" customWidth="1"/>
    <col min="6395" max="6395" width="11.7109375" style="216" customWidth="1"/>
    <col min="6396" max="6396" width="9.140625" style="216"/>
    <col min="6397" max="6397" width="11.5703125" style="216" customWidth="1"/>
    <col min="6398" max="6398" width="13.85546875" style="216" customWidth="1"/>
    <col min="6399" max="6646" width="9.140625" style="216"/>
    <col min="6647" max="6647" width="10.7109375" style="216" bestFit="1" customWidth="1"/>
    <col min="6648" max="6648" width="10" style="216" customWidth="1"/>
    <col min="6649" max="6649" width="13" style="216" customWidth="1"/>
    <col min="6650" max="6650" width="10.85546875" style="216" customWidth="1"/>
    <col min="6651" max="6651" width="11.7109375" style="216" customWidth="1"/>
    <col min="6652" max="6652" width="9.140625" style="216"/>
    <col min="6653" max="6653" width="11.5703125" style="216" customWidth="1"/>
    <col min="6654" max="6654" width="13.85546875" style="216" customWidth="1"/>
    <col min="6655" max="6902" width="9.140625" style="216"/>
    <col min="6903" max="6903" width="10.7109375" style="216" bestFit="1" customWidth="1"/>
    <col min="6904" max="6904" width="10" style="216" customWidth="1"/>
    <col min="6905" max="6905" width="13" style="216" customWidth="1"/>
    <col min="6906" max="6906" width="10.85546875" style="216" customWidth="1"/>
    <col min="6907" max="6907" width="11.7109375" style="216" customWidth="1"/>
    <col min="6908" max="6908" width="9.140625" style="216"/>
    <col min="6909" max="6909" width="11.5703125" style="216" customWidth="1"/>
    <col min="6910" max="6910" width="13.85546875" style="216" customWidth="1"/>
    <col min="6911" max="7158" width="9.140625" style="216"/>
    <col min="7159" max="7159" width="10.7109375" style="216" bestFit="1" customWidth="1"/>
    <col min="7160" max="7160" width="10" style="216" customWidth="1"/>
    <col min="7161" max="7161" width="13" style="216" customWidth="1"/>
    <col min="7162" max="7162" width="10.85546875" style="216" customWidth="1"/>
    <col min="7163" max="7163" width="11.7109375" style="216" customWidth="1"/>
    <col min="7164" max="7164" width="9.140625" style="216"/>
    <col min="7165" max="7165" width="11.5703125" style="216" customWidth="1"/>
    <col min="7166" max="7166" width="13.85546875" style="216" customWidth="1"/>
    <col min="7167" max="7414" width="9.140625" style="216"/>
    <col min="7415" max="7415" width="10.7109375" style="216" bestFit="1" customWidth="1"/>
    <col min="7416" max="7416" width="10" style="216" customWidth="1"/>
    <col min="7417" max="7417" width="13" style="216" customWidth="1"/>
    <col min="7418" max="7418" width="10.85546875" style="216" customWidth="1"/>
    <col min="7419" max="7419" width="11.7109375" style="216" customWidth="1"/>
    <col min="7420" max="7420" width="9.140625" style="216"/>
    <col min="7421" max="7421" width="11.5703125" style="216" customWidth="1"/>
    <col min="7422" max="7422" width="13.85546875" style="216" customWidth="1"/>
    <col min="7423" max="7670" width="9.140625" style="216"/>
    <col min="7671" max="7671" width="10.7109375" style="216" bestFit="1" customWidth="1"/>
    <col min="7672" max="7672" width="10" style="216" customWidth="1"/>
    <col min="7673" max="7673" width="13" style="216" customWidth="1"/>
    <col min="7674" max="7674" width="10.85546875" style="216" customWidth="1"/>
    <col min="7675" max="7675" width="11.7109375" style="216" customWidth="1"/>
    <col min="7676" max="7676" width="9.140625" style="216"/>
    <col min="7677" max="7677" width="11.5703125" style="216" customWidth="1"/>
    <col min="7678" max="7678" width="13.85546875" style="216" customWidth="1"/>
    <col min="7679" max="7926" width="9.140625" style="216"/>
    <col min="7927" max="7927" width="10.7109375" style="216" bestFit="1" customWidth="1"/>
    <col min="7928" max="7928" width="10" style="216" customWidth="1"/>
    <col min="7929" max="7929" width="13" style="216" customWidth="1"/>
    <col min="7930" max="7930" width="10.85546875" style="216" customWidth="1"/>
    <col min="7931" max="7931" width="11.7109375" style="216" customWidth="1"/>
    <col min="7932" max="7932" width="9.140625" style="216"/>
    <col min="7933" max="7933" width="11.5703125" style="216" customWidth="1"/>
    <col min="7934" max="7934" width="13.85546875" style="216" customWidth="1"/>
    <col min="7935" max="8182" width="9.140625" style="216"/>
    <col min="8183" max="8183" width="10.7109375" style="216" bestFit="1" customWidth="1"/>
    <col min="8184" max="8184" width="10" style="216" customWidth="1"/>
    <col min="8185" max="8185" width="13" style="216" customWidth="1"/>
    <col min="8186" max="8186" width="10.85546875" style="216" customWidth="1"/>
    <col min="8187" max="8187" width="11.7109375" style="216" customWidth="1"/>
    <col min="8188" max="8188" width="9.140625" style="216"/>
    <col min="8189" max="8189" width="11.5703125" style="216" customWidth="1"/>
    <col min="8190" max="8190" width="13.85546875" style="216" customWidth="1"/>
    <col min="8191" max="8438" width="9.140625" style="216"/>
    <col min="8439" max="8439" width="10.7109375" style="216" bestFit="1" customWidth="1"/>
    <col min="8440" max="8440" width="10" style="216" customWidth="1"/>
    <col min="8441" max="8441" width="13" style="216" customWidth="1"/>
    <col min="8442" max="8442" width="10.85546875" style="216" customWidth="1"/>
    <col min="8443" max="8443" width="11.7109375" style="216" customWidth="1"/>
    <col min="8444" max="8444" width="9.140625" style="216"/>
    <col min="8445" max="8445" width="11.5703125" style="216" customWidth="1"/>
    <col min="8446" max="8446" width="13.85546875" style="216" customWidth="1"/>
    <col min="8447" max="8694" width="9.140625" style="216"/>
    <col min="8695" max="8695" width="10.7109375" style="216" bestFit="1" customWidth="1"/>
    <col min="8696" max="8696" width="10" style="216" customWidth="1"/>
    <col min="8697" max="8697" width="13" style="216" customWidth="1"/>
    <col min="8698" max="8698" width="10.85546875" style="216" customWidth="1"/>
    <col min="8699" max="8699" width="11.7109375" style="216" customWidth="1"/>
    <col min="8700" max="8700" width="9.140625" style="216"/>
    <col min="8701" max="8701" width="11.5703125" style="216" customWidth="1"/>
    <col min="8702" max="8702" width="13.85546875" style="216" customWidth="1"/>
    <col min="8703" max="8950" width="9.140625" style="216"/>
    <col min="8951" max="8951" width="10.7109375" style="216" bestFit="1" customWidth="1"/>
    <col min="8952" max="8952" width="10" style="216" customWidth="1"/>
    <col min="8953" max="8953" width="13" style="216" customWidth="1"/>
    <col min="8954" max="8954" width="10.85546875" style="216" customWidth="1"/>
    <col min="8955" max="8955" width="11.7109375" style="216" customWidth="1"/>
    <col min="8956" max="8956" width="9.140625" style="216"/>
    <col min="8957" max="8957" width="11.5703125" style="216" customWidth="1"/>
    <col min="8958" max="8958" width="13.85546875" style="216" customWidth="1"/>
    <col min="8959" max="9206" width="9.140625" style="216"/>
    <col min="9207" max="9207" width="10.7109375" style="216" bestFit="1" customWidth="1"/>
    <col min="9208" max="9208" width="10" style="216" customWidth="1"/>
    <col min="9209" max="9209" width="13" style="216" customWidth="1"/>
    <col min="9210" max="9210" width="10.85546875" style="216" customWidth="1"/>
    <col min="9211" max="9211" width="11.7109375" style="216" customWidth="1"/>
    <col min="9212" max="9212" width="9.140625" style="216"/>
    <col min="9213" max="9213" width="11.5703125" style="216" customWidth="1"/>
    <col min="9214" max="9214" width="13.85546875" style="216" customWidth="1"/>
    <col min="9215" max="9462" width="9.140625" style="216"/>
    <col min="9463" max="9463" width="10.7109375" style="216" bestFit="1" customWidth="1"/>
    <col min="9464" max="9464" width="10" style="216" customWidth="1"/>
    <col min="9465" max="9465" width="13" style="216" customWidth="1"/>
    <col min="9466" max="9466" width="10.85546875" style="216" customWidth="1"/>
    <col min="9467" max="9467" width="11.7109375" style="216" customWidth="1"/>
    <col min="9468" max="9468" width="9.140625" style="216"/>
    <col min="9469" max="9469" width="11.5703125" style="216" customWidth="1"/>
    <col min="9470" max="9470" width="13.85546875" style="216" customWidth="1"/>
    <col min="9471" max="9718" width="9.140625" style="216"/>
    <col min="9719" max="9719" width="10.7109375" style="216" bestFit="1" customWidth="1"/>
    <col min="9720" max="9720" width="10" style="216" customWidth="1"/>
    <col min="9721" max="9721" width="13" style="216" customWidth="1"/>
    <col min="9722" max="9722" width="10.85546875" style="216" customWidth="1"/>
    <col min="9723" max="9723" width="11.7109375" style="216" customWidth="1"/>
    <col min="9724" max="9724" width="9.140625" style="216"/>
    <col min="9725" max="9725" width="11.5703125" style="216" customWidth="1"/>
    <col min="9726" max="9726" width="13.85546875" style="216" customWidth="1"/>
    <col min="9727" max="9974" width="9.140625" style="216"/>
    <col min="9975" max="9975" width="10.7109375" style="216" bestFit="1" customWidth="1"/>
    <col min="9976" max="9976" width="10" style="216" customWidth="1"/>
    <col min="9977" max="9977" width="13" style="216" customWidth="1"/>
    <col min="9978" max="9978" width="10.85546875" style="216" customWidth="1"/>
    <col min="9979" max="9979" width="11.7109375" style="216" customWidth="1"/>
    <col min="9980" max="9980" width="9.140625" style="216"/>
    <col min="9981" max="9981" width="11.5703125" style="216" customWidth="1"/>
    <col min="9982" max="9982" width="13.85546875" style="216" customWidth="1"/>
    <col min="9983" max="10230" width="9.140625" style="216"/>
    <col min="10231" max="10231" width="10.7109375" style="216" bestFit="1" customWidth="1"/>
    <col min="10232" max="10232" width="10" style="216" customWidth="1"/>
    <col min="10233" max="10233" width="13" style="216" customWidth="1"/>
    <col min="10234" max="10234" width="10.85546875" style="216" customWidth="1"/>
    <col min="10235" max="10235" width="11.7109375" style="216" customWidth="1"/>
    <col min="10236" max="10236" width="9.140625" style="216"/>
    <col min="10237" max="10237" width="11.5703125" style="216" customWidth="1"/>
    <col min="10238" max="10238" width="13.85546875" style="216" customWidth="1"/>
    <col min="10239" max="10486" width="9.140625" style="216"/>
    <col min="10487" max="10487" width="10.7109375" style="216" bestFit="1" customWidth="1"/>
    <col min="10488" max="10488" width="10" style="216" customWidth="1"/>
    <col min="10489" max="10489" width="13" style="216" customWidth="1"/>
    <col min="10490" max="10490" width="10.85546875" style="216" customWidth="1"/>
    <col min="10491" max="10491" width="11.7109375" style="216" customWidth="1"/>
    <col min="10492" max="10492" width="9.140625" style="216"/>
    <col min="10493" max="10493" width="11.5703125" style="216" customWidth="1"/>
    <col min="10494" max="10494" width="13.85546875" style="216" customWidth="1"/>
    <col min="10495" max="10742" width="9.140625" style="216"/>
    <col min="10743" max="10743" width="10.7109375" style="216" bestFit="1" customWidth="1"/>
    <col min="10744" max="10744" width="10" style="216" customWidth="1"/>
    <col min="10745" max="10745" width="13" style="216" customWidth="1"/>
    <col min="10746" max="10746" width="10.85546875" style="216" customWidth="1"/>
    <col min="10747" max="10747" width="11.7109375" style="216" customWidth="1"/>
    <col min="10748" max="10748" width="9.140625" style="216"/>
    <col min="10749" max="10749" width="11.5703125" style="216" customWidth="1"/>
    <col min="10750" max="10750" width="13.85546875" style="216" customWidth="1"/>
    <col min="10751" max="10998" width="9.140625" style="216"/>
    <col min="10999" max="10999" width="10.7109375" style="216" bestFit="1" customWidth="1"/>
    <col min="11000" max="11000" width="10" style="216" customWidth="1"/>
    <col min="11001" max="11001" width="13" style="216" customWidth="1"/>
    <col min="11002" max="11002" width="10.85546875" style="216" customWidth="1"/>
    <col min="11003" max="11003" width="11.7109375" style="216" customWidth="1"/>
    <col min="11004" max="11004" width="9.140625" style="216"/>
    <col min="11005" max="11005" width="11.5703125" style="216" customWidth="1"/>
    <col min="11006" max="11006" width="13.85546875" style="216" customWidth="1"/>
    <col min="11007" max="11254" width="9.140625" style="216"/>
    <col min="11255" max="11255" width="10.7109375" style="216" bestFit="1" customWidth="1"/>
    <col min="11256" max="11256" width="10" style="216" customWidth="1"/>
    <col min="11257" max="11257" width="13" style="216" customWidth="1"/>
    <col min="11258" max="11258" width="10.85546875" style="216" customWidth="1"/>
    <col min="11259" max="11259" width="11.7109375" style="216" customWidth="1"/>
    <col min="11260" max="11260" width="9.140625" style="216"/>
    <col min="11261" max="11261" width="11.5703125" style="216" customWidth="1"/>
    <col min="11262" max="11262" width="13.85546875" style="216" customWidth="1"/>
    <col min="11263" max="11510" width="9.140625" style="216"/>
    <col min="11511" max="11511" width="10.7109375" style="216" bestFit="1" customWidth="1"/>
    <col min="11512" max="11512" width="10" style="216" customWidth="1"/>
    <col min="11513" max="11513" width="13" style="216" customWidth="1"/>
    <col min="11514" max="11514" width="10.85546875" style="216" customWidth="1"/>
    <col min="11515" max="11515" width="11.7109375" style="216" customWidth="1"/>
    <col min="11516" max="11516" width="9.140625" style="216"/>
    <col min="11517" max="11517" width="11.5703125" style="216" customWidth="1"/>
    <col min="11518" max="11518" width="13.85546875" style="216" customWidth="1"/>
    <col min="11519" max="11766" width="9.140625" style="216"/>
    <col min="11767" max="11767" width="10.7109375" style="216" bestFit="1" customWidth="1"/>
    <col min="11768" max="11768" width="10" style="216" customWidth="1"/>
    <col min="11769" max="11769" width="13" style="216" customWidth="1"/>
    <col min="11770" max="11770" width="10.85546875" style="216" customWidth="1"/>
    <col min="11771" max="11771" width="11.7109375" style="216" customWidth="1"/>
    <col min="11772" max="11772" width="9.140625" style="216"/>
    <col min="11773" max="11773" width="11.5703125" style="216" customWidth="1"/>
    <col min="11774" max="11774" width="13.85546875" style="216" customWidth="1"/>
    <col min="11775" max="12022" width="9.140625" style="216"/>
    <col min="12023" max="12023" width="10.7109375" style="216" bestFit="1" customWidth="1"/>
    <col min="12024" max="12024" width="10" style="216" customWidth="1"/>
    <col min="12025" max="12025" width="13" style="216" customWidth="1"/>
    <col min="12026" max="12026" width="10.85546875" style="216" customWidth="1"/>
    <col min="12027" max="12027" width="11.7109375" style="216" customWidth="1"/>
    <col min="12028" max="12028" width="9.140625" style="216"/>
    <col min="12029" max="12029" width="11.5703125" style="216" customWidth="1"/>
    <col min="12030" max="12030" width="13.85546875" style="216" customWidth="1"/>
    <col min="12031" max="12278" width="9.140625" style="216"/>
    <col min="12279" max="12279" width="10.7109375" style="216" bestFit="1" customWidth="1"/>
    <col min="12280" max="12280" width="10" style="216" customWidth="1"/>
    <col min="12281" max="12281" width="13" style="216" customWidth="1"/>
    <col min="12282" max="12282" width="10.85546875" style="216" customWidth="1"/>
    <col min="12283" max="12283" width="11.7109375" style="216" customWidth="1"/>
    <col min="12284" max="12284" width="9.140625" style="216"/>
    <col min="12285" max="12285" width="11.5703125" style="216" customWidth="1"/>
    <col min="12286" max="12286" width="13.85546875" style="216" customWidth="1"/>
    <col min="12287" max="12534" width="9.140625" style="216"/>
    <col min="12535" max="12535" width="10.7109375" style="216" bestFit="1" customWidth="1"/>
    <col min="12536" max="12536" width="10" style="216" customWidth="1"/>
    <col min="12537" max="12537" width="13" style="216" customWidth="1"/>
    <col min="12538" max="12538" width="10.85546875" style="216" customWidth="1"/>
    <col min="12539" max="12539" width="11.7109375" style="216" customWidth="1"/>
    <col min="12540" max="12540" width="9.140625" style="216"/>
    <col min="12541" max="12541" width="11.5703125" style="216" customWidth="1"/>
    <col min="12542" max="12542" width="13.85546875" style="216" customWidth="1"/>
    <col min="12543" max="12790" width="9.140625" style="216"/>
    <col min="12791" max="12791" width="10.7109375" style="216" bestFit="1" customWidth="1"/>
    <col min="12792" max="12792" width="10" style="216" customWidth="1"/>
    <col min="12793" max="12793" width="13" style="216" customWidth="1"/>
    <col min="12794" max="12794" width="10.85546875" style="216" customWidth="1"/>
    <col min="12795" max="12795" width="11.7109375" style="216" customWidth="1"/>
    <col min="12796" max="12796" width="9.140625" style="216"/>
    <col min="12797" max="12797" width="11.5703125" style="216" customWidth="1"/>
    <col min="12798" max="12798" width="13.85546875" style="216" customWidth="1"/>
    <col min="12799" max="13046" width="9.140625" style="216"/>
    <col min="13047" max="13047" width="10.7109375" style="216" bestFit="1" customWidth="1"/>
    <col min="13048" max="13048" width="10" style="216" customWidth="1"/>
    <col min="13049" max="13049" width="13" style="216" customWidth="1"/>
    <col min="13050" max="13050" width="10.85546875" style="216" customWidth="1"/>
    <col min="13051" max="13051" width="11.7109375" style="216" customWidth="1"/>
    <col min="13052" max="13052" width="9.140625" style="216"/>
    <col min="13053" max="13053" width="11.5703125" style="216" customWidth="1"/>
    <col min="13054" max="13054" width="13.85546875" style="216" customWidth="1"/>
    <col min="13055" max="13302" width="9.140625" style="216"/>
    <col min="13303" max="13303" width="10.7109375" style="216" bestFit="1" customWidth="1"/>
    <col min="13304" max="13304" width="10" style="216" customWidth="1"/>
    <col min="13305" max="13305" width="13" style="216" customWidth="1"/>
    <col min="13306" max="13306" width="10.85546875" style="216" customWidth="1"/>
    <col min="13307" max="13307" width="11.7109375" style="216" customWidth="1"/>
    <col min="13308" max="13308" width="9.140625" style="216"/>
    <col min="13309" max="13309" width="11.5703125" style="216" customWidth="1"/>
    <col min="13310" max="13310" width="13.85546875" style="216" customWidth="1"/>
    <col min="13311" max="13558" width="9.140625" style="216"/>
    <col min="13559" max="13559" width="10.7109375" style="216" bestFit="1" customWidth="1"/>
    <col min="13560" max="13560" width="10" style="216" customWidth="1"/>
    <col min="13561" max="13561" width="13" style="216" customWidth="1"/>
    <col min="13562" max="13562" width="10.85546875" style="216" customWidth="1"/>
    <col min="13563" max="13563" width="11.7109375" style="216" customWidth="1"/>
    <col min="13564" max="13564" width="9.140625" style="216"/>
    <col min="13565" max="13565" width="11.5703125" style="216" customWidth="1"/>
    <col min="13566" max="13566" width="13.85546875" style="216" customWidth="1"/>
    <col min="13567" max="13814" width="9.140625" style="216"/>
    <col min="13815" max="13815" width="10.7109375" style="216" bestFit="1" customWidth="1"/>
    <col min="13816" max="13816" width="10" style="216" customWidth="1"/>
    <col min="13817" max="13817" width="13" style="216" customWidth="1"/>
    <col min="13818" max="13818" width="10.85546875" style="216" customWidth="1"/>
    <col min="13819" max="13819" width="11.7109375" style="216" customWidth="1"/>
    <col min="13820" max="13820" width="9.140625" style="216"/>
    <col min="13821" max="13821" width="11.5703125" style="216" customWidth="1"/>
    <col min="13822" max="13822" width="13.85546875" style="216" customWidth="1"/>
    <col min="13823" max="14070" width="9.140625" style="216"/>
    <col min="14071" max="14071" width="10.7109375" style="216" bestFit="1" customWidth="1"/>
    <col min="14072" max="14072" width="10" style="216" customWidth="1"/>
    <col min="14073" max="14073" width="13" style="216" customWidth="1"/>
    <col min="14074" max="14074" width="10.85546875" style="216" customWidth="1"/>
    <col min="14075" max="14075" width="11.7109375" style="216" customWidth="1"/>
    <col min="14076" max="14076" width="9.140625" style="216"/>
    <col min="14077" max="14077" width="11.5703125" style="216" customWidth="1"/>
    <col min="14078" max="14078" width="13.85546875" style="216" customWidth="1"/>
    <col min="14079" max="14326" width="9.140625" style="216"/>
    <col min="14327" max="14327" width="10.7109375" style="216" bestFit="1" customWidth="1"/>
    <col min="14328" max="14328" width="10" style="216" customWidth="1"/>
    <col min="14329" max="14329" width="13" style="216" customWidth="1"/>
    <col min="14330" max="14330" width="10.85546875" style="216" customWidth="1"/>
    <col min="14331" max="14331" width="11.7109375" style="216" customWidth="1"/>
    <col min="14332" max="14332" width="9.140625" style="216"/>
    <col min="14333" max="14333" width="11.5703125" style="216" customWidth="1"/>
    <col min="14334" max="14334" width="13.85546875" style="216" customWidth="1"/>
    <col min="14335" max="14582" width="9.140625" style="216"/>
    <col min="14583" max="14583" width="10.7109375" style="216" bestFit="1" customWidth="1"/>
    <col min="14584" max="14584" width="10" style="216" customWidth="1"/>
    <col min="14585" max="14585" width="13" style="216" customWidth="1"/>
    <col min="14586" max="14586" width="10.85546875" style="216" customWidth="1"/>
    <col min="14587" max="14587" width="11.7109375" style="216" customWidth="1"/>
    <col min="14588" max="14588" width="9.140625" style="216"/>
    <col min="14589" max="14589" width="11.5703125" style="216" customWidth="1"/>
    <col min="14590" max="14590" width="13.85546875" style="216" customWidth="1"/>
    <col min="14591" max="14838" width="9.140625" style="216"/>
    <col min="14839" max="14839" width="10.7109375" style="216" bestFit="1" customWidth="1"/>
    <col min="14840" max="14840" width="10" style="216" customWidth="1"/>
    <col min="14841" max="14841" width="13" style="216" customWidth="1"/>
    <col min="14842" max="14842" width="10.85546875" style="216" customWidth="1"/>
    <col min="14843" max="14843" width="11.7109375" style="216" customWidth="1"/>
    <col min="14844" max="14844" width="9.140625" style="216"/>
    <col min="14845" max="14845" width="11.5703125" style="216" customWidth="1"/>
    <col min="14846" max="14846" width="13.85546875" style="216" customWidth="1"/>
    <col min="14847" max="15094" width="9.140625" style="216"/>
    <col min="15095" max="15095" width="10.7109375" style="216" bestFit="1" customWidth="1"/>
    <col min="15096" max="15096" width="10" style="216" customWidth="1"/>
    <col min="15097" max="15097" width="13" style="216" customWidth="1"/>
    <col min="15098" max="15098" width="10.85546875" style="216" customWidth="1"/>
    <col min="15099" max="15099" width="11.7109375" style="216" customWidth="1"/>
    <col min="15100" max="15100" width="9.140625" style="216"/>
    <col min="15101" max="15101" width="11.5703125" style="216" customWidth="1"/>
    <col min="15102" max="15102" width="13.85546875" style="216" customWidth="1"/>
    <col min="15103" max="15350" width="9.140625" style="216"/>
    <col min="15351" max="15351" width="10.7109375" style="216" bestFit="1" customWidth="1"/>
    <col min="15352" max="15352" width="10" style="216" customWidth="1"/>
    <col min="15353" max="15353" width="13" style="216" customWidth="1"/>
    <col min="15354" max="15354" width="10.85546875" style="216" customWidth="1"/>
    <col min="15355" max="15355" width="11.7109375" style="216" customWidth="1"/>
    <col min="15356" max="15356" width="9.140625" style="216"/>
    <col min="15357" max="15357" width="11.5703125" style="216" customWidth="1"/>
    <col min="15358" max="15358" width="13.85546875" style="216" customWidth="1"/>
    <col min="15359" max="15606" width="9.140625" style="216"/>
    <col min="15607" max="15607" width="10.7109375" style="216" bestFit="1" customWidth="1"/>
    <col min="15608" max="15608" width="10" style="216" customWidth="1"/>
    <col min="15609" max="15609" width="13" style="216" customWidth="1"/>
    <col min="15610" max="15610" width="10.85546875" style="216" customWidth="1"/>
    <col min="15611" max="15611" width="11.7109375" style="216" customWidth="1"/>
    <col min="15612" max="15612" width="9.140625" style="216"/>
    <col min="15613" max="15613" width="11.5703125" style="216" customWidth="1"/>
    <col min="15614" max="15614" width="13.85546875" style="216" customWidth="1"/>
    <col min="15615" max="15862" width="9.140625" style="216"/>
    <col min="15863" max="15863" width="10.7109375" style="216" bestFit="1" customWidth="1"/>
    <col min="15864" max="15864" width="10" style="216" customWidth="1"/>
    <col min="15865" max="15865" width="13" style="216" customWidth="1"/>
    <col min="15866" max="15866" width="10.85546875" style="216" customWidth="1"/>
    <col min="15867" max="15867" width="11.7109375" style="216" customWidth="1"/>
    <col min="15868" max="15868" width="9.140625" style="216"/>
    <col min="15869" max="15869" width="11.5703125" style="216" customWidth="1"/>
    <col min="15870" max="15870" width="13.85546875" style="216" customWidth="1"/>
    <col min="15871" max="16118" width="9.140625" style="216"/>
    <col min="16119" max="16119" width="10.7109375" style="216" bestFit="1" customWidth="1"/>
    <col min="16120" max="16120" width="10" style="216" customWidth="1"/>
    <col min="16121" max="16121" width="13" style="216" customWidth="1"/>
    <col min="16122" max="16122" width="10.85546875" style="216" customWidth="1"/>
    <col min="16123" max="16123" width="11.7109375" style="216" customWidth="1"/>
    <col min="16124" max="16124" width="9.140625" style="216"/>
    <col min="16125" max="16125" width="11.5703125" style="216" customWidth="1"/>
    <col min="16126" max="16126" width="13.85546875" style="216" customWidth="1"/>
    <col min="16127" max="16384" width="9.140625" style="216"/>
  </cols>
  <sheetData>
    <row r="1" spans="2:3" ht="15.75" thickBot="1" x14ac:dyDescent="0.3"/>
    <row r="2" spans="2:3" ht="15.75" thickBot="1" x14ac:dyDescent="0.3">
      <c r="B2" s="217" t="s">
        <v>31</v>
      </c>
      <c r="C2" s="218" t="s">
        <v>210</v>
      </c>
    </row>
    <row r="3" spans="2:3" x14ac:dyDescent="0.25">
      <c r="B3" s="219" t="s">
        <v>201</v>
      </c>
      <c r="C3" s="220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DANTE'!J$19:J$32)+SUMIF('CARDENAS CARDENAS JAVIER '!P$19:P$34,'KM POR CLIENTE'!B3,'CARDENAS CARDENAS JAVIER '!J$19:J$34)+SUMIF('BALDERRAMA ROBLES JORGE'!P$19:P$32,'KM POR CLIENTE'!B3,'BALDERRAMA ROBLES JORGE'!J$19:J$32)+SUMIF('BURGOS TORRES RIGOBERTO'!P$19:P$31,'KM POR CLIENTE'!B3,'BURGOS TORRES RIGOBERTO'!J$19:J$31)+SUMIF('CORDOVA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ARAT'!J$19:J$32)+SUMIF('MERCADO LOPEZ JESUS'!P$19:P$32,'KM POR CLIENTE'!B3,'MERCADO LOPEZ JESUS'!J$19:J$32)+SUMIF('ORONA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EDUARDO'!J$19:J$32)+SUMIF('ANCHONDO ROMERO CESAR ALEJANDRO'!P$19:P$32,'KM POR CLIENTE'!B3,'ANCHONDO ROMERO CESAR ALEJANDRO'!J$19:J$32)</f>
        <v>2042</v>
      </c>
    </row>
    <row r="4" spans="2:3" x14ac:dyDescent="0.25">
      <c r="B4" s="221" t="s">
        <v>196</v>
      </c>
      <c r="C4" s="224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DANTE'!J$19:J$32)+SUMIF('CARDENAS CARDENAS JAVIER '!P$19:P$34,'KM POR CLIENTE'!B4,'CARDENAS CARDENAS JAVIER '!J$19:J$34)+SUMIF('BALDERRAMA ROBLES JORGE'!P$19:P$32,'KM POR CLIENTE'!B4,'BALDERRAMA ROBLES JORGE'!J$19:J$32)+SUMIF('BURGOS TORRES RIGOBERTO'!P$19:P$31,'KM POR CLIENTE'!B4,'BURGOS TORRES RIGOBERTO'!J$19:J$31)+SUMIF('CORDOVA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ARAT'!J$19:J$32)+SUMIF('MERCADO LOPEZ JESUS'!P$19:P$32,'KM POR CLIENTE'!B4,'MERCADO LOPEZ JESUS'!J$19:J$32)+SUMIF('ORONA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EDUARDO'!J$19:J$32)+SUMIF('ANCHONDO ROMERO CESAR ALEJANDRO'!P$19:P$32,'KM POR CLIENTE'!B4,'ANCHONDO ROMERO CESAR ALEJANDRO'!J$19:J$32)</f>
        <v>1125</v>
      </c>
    </row>
    <row r="5" spans="2:3" x14ac:dyDescent="0.25">
      <c r="B5" s="221" t="s">
        <v>238</v>
      </c>
      <c r="C5" s="224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DANTE'!J$19:J$32)+SUMIF('CARDENAS CARDENAS JAVIER '!P$19:P$34,'KM POR CLIENTE'!B5,'CARDENAS CARDENAS JAVIER '!J$19:J$34)+SUMIF('BALDERRAMA ROBLES JORGE'!P$19:P$32,'KM POR CLIENTE'!B5,'BALDERRAMA ROBLES JORGE'!J$19:J$32)+SUMIF('BURGOS TORRES RIGOBERTO'!P$19:P$31,'KM POR CLIENTE'!B5,'BURGOS TORRES RIGOBERTO'!J$19:J$31)+SUMIF('CORDOVA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ARAT'!J$19:J$32)+SUMIF('MERCADO LOPEZ JESUS'!P$19:P$32,'KM POR CLIENTE'!B5,'MERCADO LOPEZ JESUS'!J$19:J$32)+SUMIF('ORONA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EDUARDO'!J$19:J$32)+SUMIF('ANCHONDO ROMERO CESAR ALEJANDRO'!P$19:P$32,'KM POR CLIENTE'!B5,'ANCHONDO ROMERO CESAR ALEJANDRO'!J$19:J$32)</f>
        <v>0</v>
      </c>
    </row>
    <row r="6" spans="2:3" x14ac:dyDescent="0.25">
      <c r="B6" s="221" t="s">
        <v>193</v>
      </c>
      <c r="C6" s="224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DANTE'!J$19:J$32)+SUMIF('CARDENAS CARDENAS JAVIER '!P$19:P$34,'KM POR CLIENTE'!B6,'CARDENAS CARDENAS JAVIER '!J$19:J$34)+SUMIF('BALDERRAMA ROBLES JORGE'!P$19:P$32,'KM POR CLIENTE'!B6,'BALDERRAMA ROBLES JORGE'!J$19:J$32)+SUMIF('BURGOS TORRES RIGOBERTO'!P$19:P$31,'KM POR CLIENTE'!B6,'BURGOS TORRES RIGOBERTO'!J$19:J$31)+SUMIF('CORDOVA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ARAT'!J$19:J$32)+SUMIF('MERCADO LOPEZ JESUS'!P$19:P$32,'KM POR CLIENTE'!B6,'MERCADO LOPEZ JESUS'!J$19:J$32)+SUMIF('ORONA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EDUARDO'!J$19:J$32)+SUMIF('ANCHONDO ROMERO CESAR ALEJANDRO'!P$19:P$32,'KM POR CLIENTE'!B6,'ANCHONDO ROMERO CESAR ALEJANDRO'!J$19:J$32)</f>
        <v>0</v>
      </c>
    </row>
    <row r="7" spans="2:3" x14ac:dyDescent="0.25">
      <c r="B7" s="221" t="s">
        <v>203</v>
      </c>
      <c r="C7" s="224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DANTE'!J$19:J$32)+SUMIF('CARDENAS CARDENAS JAVIER '!P$19:P$34,'KM POR CLIENTE'!B7,'CARDENAS CARDENAS JAVIER '!J$19:J$34)+SUMIF('BALDERRAMA ROBLES JORGE'!P$19:P$32,'KM POR CLIENTE'!B7,'BALDERRAMA ROBLES JORGE'!J$19:J$32)+SUMIF('BURGOS TORRES RIGOBERTO'!P$19:P$31,'KM POR CLIENTE'!B7,'BURGOS TORRES RIGOBERTO'!J$19:J$31)+SUMIF('CORDOVA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ARAT'!J$19:J$32)+SUMIF('MERCADO LOPEZ JESUS'!P$19:P$32,'KM POR CLIENTE'!B7,'MERCADO LOPEZ JESUS'!J$19:J$32)+SUMIF('ORONA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EDUARDO'!J$19:J$32)+SUMIF('ANCHONDO ROMERO CESAR ALEJANDRO'!P$19:P$32,'KM POR CLIENTE'!B7,'ANCHONDO ROMERO CESAR ALEJANDRO'!J$19:J$32)</f>
        <v>4500</v>
      </c>
    </row>
    <row r="8" spans="2:3" x14ac:dyDescent="0.25">
      <c r="B8" s="221" t="s">
        <v>202</v>
      </c>
      <c r="C8" s="224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DANTE'!J$19:J$32)+SUMIF('CARDENAS CARDENAS JAVIER '!P$19:P$34,'KM POR CLIENTE'!B8,'CARDENAS CARDENAS JAVIER '!J$19:J$34)+SUMIF('BALDERRAMA ROBLES JORGE'!P$19:P$32,'KM POR CLIENTE'!B8,'BALDERRAMA ROBLES JORGE'!J$19:J$32)+SUMIF('BURGOS TORRES RIGOBERTO'!P$19:P$31,'KM POR CLIENTE'!B8,'BURGOS TORRES RIGOBERTO'!J$19:J$31)+SUMIF('CORDOVA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ARAT'!J$19:J$32)+SUMIF('MERCADO LOPEZ JESUS'!P$19:P$32,'KM POR CLIENTE'!B8,'MERCADO LOPEZ JESUS'!J$19:J$32)+SUMIF('ORONA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EDUARDO'!J$19:J$32)+SUMIF('ANCHONDO ROMERO CESAR ALEJANDRO'!P$19:P$32,'KM POR CLIENTE'!B8,'ANCHONDO ROMERO CESAR ALEJANDRO'!J$19:J$32)</f>
        <v>5705</v>
      </c>
    </row>
    <row r="9" spans="2:3" x14ac:dyDescent="0.25">
      <c r="B9" s="221" t="s">
        <v>282</v>
      </c>
      <c r="C9" s="224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DANTE'!J$19:J$32)+SUMIF('CARDENAS CARDENAS JAVIER '!P$19:P$34,'KM POR CLIENTE'!B9,'CARDENAS CARDENAS JAVIER '!J$19:J$34)+SUMIF('BALDERRAMA ROBLES JORGE'!P$19:P$32,'KM POR CLIENTE'!B9,'BALDERRAMA ROBLES JORGE'!J$19:J$32)+SUMIF('BURGOS TORRES RIGOBERTO'!P$19:P$31,'KM POR CLIENTE'!B9,'BURGOS TORRES RIGOBERTO'!J$19:J$31)+SUMIF('CORDOVA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ARAT'!J$19:J$32)+SUMIF('MERCADO LOPEZ JESUS'!P$19:P$32,'KM POR CLIENTE'!B9,'MERCADO LOPEZ JESUS'!J$19:J$32)+SUMIF('ORONA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EDUARDO'!J$19:J$32)+SUMIF('ANCHONDO ROMERO CESAR ALEJANDRO'!P$19:P$32,'KM POR CLIENTE'!B9,'ANCHONDO ROMERO CESAR ALEJANDRO'!J$19:J$32)</f>
        <v>0</v>
      </c>
    </row>
    <row r="10" spans="2:3" x14ac:dyDescent="0.25">
      <c r="B10" s="221" t="s">
        <v>205</v>
      </c>
      <c r="C10" s="224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DANTE'!J$19:J$32)+SUMIF('CARDENAS CARDENAS JAVIER '!P$19:P$34,'KM POR CLIENTE'!B10,'CARDENAS CARDENAS JAVIER '!J$19:J$34)+SUMIF('BALDERRAMA ROBLES JORGE'!P$19:P$32,'KM POR CLIENTE'!B10,'BALDERRAMA ROBLES JORGE'!J$19:J$32)+SUMIF('BURGOS TORRES RIGOBERTO'!P$19:P$31,'KM POR CLIENTE'!B10,'BURGOS TORRES RIGOBERTO'!J$19:J$31)+SUMIF('CORDOVA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ARAT'!J$19:J$32)+SUMIF('MERCADO LOPEZ JESUS'!P$19:P$32,'KM POR CLIENTE'!B10,'MERCADO LOPEZ JESUS'!J$19:J$32)+SUMIF('ORONA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EDUARDO'!J$19:J$32)+SUMIF('ANCHONDO ROMERO CESAR ALEJANDRO'!P$19:P$32,'KM POR CLIENTE'!B10,'ANCHONDO ROMERO CESAR ALEJANDRO'!J$19:J$32)</f>
        <v>0</v>
      </c>
    </row>
    <row r="11" spans="2:3" x14ac:dyDescent="0.25">
      <c r="B11" s="221" t="s">
        <v>331</v>
      </c>
      <c r="C11" s="224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DANTE'!J$19:J$32)+SUMIF('CARDENAS CARDENAS JAVIER '!P$19:P$34,'KM POR CLIENTE'!B11,'CARDENAS CARDENAS JAVIER '!J$19:J$34)+SUMIF('BALDERRAMA ROBLES JORGE'!P$19:P$32,'KM POR CLIENTE'!B11,'BALDERRAMA ROBLES JORGE'!J$19:J$32)+SUMIF('BURGOS TORRES RIGOBERTO'!P$19:P$31,'KM POR CLIENTE'!B11,'BURGOS TORRES RIGOBERTO'!J$19:J$31)+SUMIF('CORDOVA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ARAT'!J$19:J$32)+SUMIF('MERCADO LOPEZ JESUS'!P$19:P$32,'KM POR CLIENTE'!B11,'MERCADO LOPEZ JESUS'!J$19:J$32)+SUMIF('ORONA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EDUARDO'!J$19:J$32)+SUMIF('ANCHONDO ROMERO CESAR ALEJANDRO'!P$19:P$32,'KM POR CLIENTE'!B11,'ANCHONDO ROMERO CESAR ALEJANDRO'!J$19:J$32)</f>
        <v>0</v>
      </c>
    </row>
    <row r="12" spans="2:3" x14ac:dyDescent="0.25">
      <c r="B12" s="221" t="s">
        <v>289</v>
      </c>
      <c r="C12" s="224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DANTE'!J$19:J$32)+SUMIF('CARDENAS CARDENAS JAVIER '!P$19:P$34,'KM POR CLIENTE'!B12,'CARDENAS CARDENAS JAVIER '!J$19:J$34)+SUMIF('BALDERRAMA ROBLES JORGE'!P$19:P$32,'KM POR CLIENTE'!B12,'BALDERRAMA ROBLES JORGE'!J$19:J$32)+SUMIF('BURGOS TORRES RIGOBERTO'!P$19:P$31,'KM POR CLIENTE'!B12,'BURGOS TORRES RIGOBERTO'!J$19:J$31)+SUMIF('CORDOVA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ARAT'!J$19:J$32)+SUMIF('MERCADO LOPEZ JESUS'!P$19:P$32,'KM POR CLIENTE'!B12,'MERCADO LOPEZ JESUS'!J$19:J$32)+SUMIF('ORONA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EDUARDO'!J$19:J$32)+SUMIF('ANCHONDO ROMERO CESAR ALEJANDRO'!P$19:P$32,'KM POR CLIENTE'!B12,'ANCHONDO ROMERO CESAR ALEJANDRO'!J$19:J$32)</f>
        <v>0</v>
      </c>
    </row>
    <row r="13" spans="2:3" x14ac:dyDescent="0.25">
      <c r="B13" s="221" t="s">
        <v>198</v>
      </c>
      <c r="C13" s="224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DANTE'!J$19:J$32)+SUMIF('CARDENAS CARDENAS JAVIER '!P$19:P$34,'KM POR CLIENTE'!B13,'CARDENAS CARDENAS JAVIER '!J$19:J$34)+SUMIF('BALDERRAMA ROBLES JORGE'!P$19:P$32,'KM POR CLIENTE'!B13,'BALDERRAMA ROBLES JORGE'!J$19:J$32)+SUMIF('BURGOS TORRES RIGOBERTO'!P$19:P$31,'KM POR CLIENTE'!B13,'BURGOS TORRES RIGOBERTO'!J$19:J$31)+SUMIF('CORDOVA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ARAT'!J$19:J$32)+SUMIF('MERCADO LOPEZ JESUS'!P$19:P$32,'KM POR CLIENTE'!B13,'MERCADO LOPEZ JESUS'!J$19:J$32)+SUMIF('ORONA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EDUARDO'!J$19:J$32)+SUMIF('ANCHONDO ROMERO CESAR ALEJANDRO'!P$19:P$32,'KM POR CLIENTE'!B13,'ANCHONDO ROMERO CESAR ALEJANDRO'!J$19:J$32)</f>
        <v>1125</v>
      </c>
    </row>
    <row r="14" spans="2:3" x14ac:dyDescent="0.25">
      <c r="B14" s="221" t="s">
        <v>211</v>
      </c>
      <c r="C14" s="224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DANTE'!J$19:J$32)+SUMIF('CARDENAS CARDENAS JAVIER '!P$19:P$34,'KM POR CLIENTE'!B14,'CARDENAS CARDENAS JAVIER '!J$19:J$34)+SUMIF('BALDERRAMA ROBLES JORGE'!P$19:P$32,'KM POR CLIENTE'!B14,'BALDERRAMA ROBLES JORGE'!J$19:J$32)+SUMIF('BURGOS TORRES RIGOBERTO'!P$19:P$31,'KM POR CLIENTE'!B14,'BURGOS TORRES RIGOBERTO'!J$19:J$31)+SUMIF('CORDOVA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ARAT'!J$19:J$32)+SUMIF('MERCADO LOPEZ JESUS'!P$19:P$32,'KM POR CLIENTE'!B14,'MERCADO LOPEZ JESUS'!J$19:J$32)+SUMIF('ORONA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EDUARDO'!J$19:J$32)+SUMIF('ANCHONDO ROMERO CESAR ALEJANDRO'!P$19:P$32,'KM POR CLIENTE'!B14,'ANCHONDO ROMERO CESAR ALEJANDRO'!J$19:J$32)</f>
        <v>0</v>
      </c>
    </row>
    <row r="15" spans="2:3" x14ac:dyDescent="0.25">
      <c r="B15" s="221" t="s">
        <v>324</v>
      </c>
      <c r="C15" s="224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DANTE'!J$19:J$32)+SUMIF('CARDENAS CARDENAS JAVIER '!P$19:P$34,'KM POR CLIENTE'!B15,'CARDENAS CARDENAS JAVIER '!J$19:J$34)+SUMIF('BALDERRAMA ROBLES JORGE'!P$19:P$32,'KM POR CLIENTE'!B15,'BALDERRAMA ROBLES JORGE'!J$19:J$32)+SUMIF('BURGOS TORRES RIGOBERTO'!P$19:P$31,'KM POR CLIENTE'!B15,'BURGOS TORRES RIGOBERTO'!J$19:J$31)+SUMIF('CORDOVA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ARAT'!J$19:J$32)+SUMIF('MERCADO LOPEZ JESUS'!P$19:P$32,'KM POR CLIENTE'!B15,'MERCADO LOPEZ JESUS'!J$19:J$32)+SUMIF('ORONA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EDUARDO'!J$19:J$32)+SUMIF('ANCHONDO ROMERO CESAR ALEJANDRO'!P$19:P$32,'KM POR CLIENTE'!B15,'ANCHONDO ROMERO CESAR ALEJANDRO'!J$19:J$32)</f>
        <v>0</v>
      </c>
    </row>
    <row r="16" spans="2:3" x14ac:dyDescent="0.25">
      <c r="B16" s="221" t="s">
        <v>232</v>
      </c>
      <c r="C16" s="224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DANTE'!J$19:J$32)+SUMIF('CARDENAS CARDENAS JAVIER '!P$19:P$34,'KM POR CLIENTE'!B16,'CARDENAS CARDENAS JAVIER '!J$19:J$34)+SUMIF('BALDERRAMA ROBLES JORGE'!P$19:P$32,'KM POR CLIENTE'!B16,'BALDERRAMA ROBLES JORGE'!J$19:J$32)+SUMIF('BURGOS TORRES RIGOBERTO'!P$19:P$31,'KM POR CLIENTE'!B16,'BURGOS TORRES RIGOBERTO'!J$19:J$31)+SUMIF('CORDOVA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ARAT'!J$19:J$32)+SUMIF('MERCADO LOPEZ JESUS'!P$19:P$32,'KM POR CLIENTE'!B16,'MERCADO LOPEZ JESUS'!J$19:J$32)+SUMIF('ORONA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EDUARDO'!J$19:J$32)+SUMIF('ANCHONDO ROMERO CESAR ALEJANDRO'!P$19:P$32,'KM POR CLIENTE'!B16,'ANCHONDO ROMERO CESAR ALEJANDRO'!J$19:J$32)</f>
        <v>0</v>
      </c>
    </row>
    <row r="17" spans="2:3" x14ac:dyDescent="0.25">
      <c r="B17" s="221" t="s">
        <v>212</v>
      </c>
      <c r="C17" s="224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DANTE'!J$19:J$32)+SUMIF('CARDENAS CARDENAS JAVIER '!P$19:P$34,'KM POR CLIENTE'!B17,'CARDENAS CARDENAS JAVIER '!J$19:J$34)+SUMIF('BALDERRAMA ROBLES JORGE'!P$19:P$32,'KM POR CLIENTE'!B17,'BALDERRAMA ROBLES JORGE'!J$19:J$32)+SUMIF('BURGOS TORRES RIGOBERTO'!P$19:P$31,'KM POR CLIENTE'!B17,'BURGOS TORRES RIGOBERTO'!J$19:J$31)+SUMIF('CORDOVA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ARAT'!J$19:J$32)+SUMIF('MERCADO LOPEZ JESUS'!P$19:P$32,'KM POR CLIENTE'!B17,'MERCADO LOPEZ JESUS'!J$19:J$32)+SUMIF('ORONA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EDUARDO'!J$19:J$32)+SUMIF('ANCHONDO ROMERO CESAR ALEJANDRO'!P$19:P$32,'KM POR CLIENTE'!B17,'ANCHONDO ROMERO CESAR ALEJANDRO'!J$19:J$32)</f>
        <v>0</v>
      </c>
    </row>
    <row r="18" spans="2:3" x14ac:dyDescent="0.25">
      <c r="B18" s="221" t="s">
        <v>213</v>
      </c>
      <c r="C18" s="224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DANTE'!J$19:J$32)+SUMIF('CARDENAS CARDENAS JAVIER '!P$19:P$34,'KM POR CLIENTE'!B18,'CARDENAS CARDENAS JAVIER '!J$19:J$34)+SUMIF('BALDERRAMA ROBLES JORGE'!P$19:P$32,'KM POR CLIENTE'!B18,'BALDERRAMA ROBLES JORGE'!J$19:J$32)+SUMIF('BURGOS TORRES RIGOBERTO'!P$19:P$31,'KM POR CLIENTE'!B18,'BURGOS TORRES RIGOBERTO'!J$19:J$31)+SUMIF('CORDOVA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ARAT'!J$19:J$32)+SUMIF('MERCADO LOPEZ JESUS'!P$19:P$32,'KM POR CLIENTE'!B18,'MERCADO LOPEZ JESUS'!J$19:J$32)+SUMIF('ORONA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EDUARDO'!J$19:J$32)+SUMIF('ANCHONDO ROMERO CESAR ALEJANDRO'!P$19:P$32,'KM POR CLIENTE'!B18,'ANCHONDO ROMERO CESAR ALEJANDRO'!J$19:J$32)</f>
        <v>0</v>
      </c>
    </row>
    <row r="19" spans="2:3" x14ac:dyDescent="0.25">
      <c r="B19" s="221" t="s">
        <v>200</v>
      </c>
      <c r="C19" s="224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DANTE'!J$19:J$32)+SUMIF('CARDENAS CARDENAS JAVIER '!P$19:P$34,'KM POR CLIENTE'!B19,'CARDENAS CARDENAS JAVIER '!J$19:J$34)+SUMIF('BALDERRAMA ROBLES JORGE'!P$19:P$32,'KM POR CLIENTE'!B19,'BALDERRAMA ROBLES JORGE'!J$19:J$32)+SUMIF('BURGOS TORRES RIGOBERTO'!P$19:P$31,'KM POR CLIENTE'!B19,'BURGOS TORRES RIGOBERTO'!J$19:J$31)+SUMIF('CORDOVA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ARAT'!J$19:J$32)+SUMIF('MERCADO LOPEZ JESUS'!P$19:P$32,'KM POR CLIENTE'!B19,'MERCADO LOPEZ JESUS'!J$19:J$32)+SUMIF('ORONA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EDUARDO'!J$19:J$32)+SUMIF('ANCHONDO ROMERO CESAR ALEJANDRO'!P$19:P$32,'KM POR CLIENTE'!B19,'ANCHONDO ROMERO CESAR ALEJANDRO'!J$19:J$32)</f>
        <v>8070</v>
      </c>
    </row>
    <row r="20" spans="2:3" x14ac:dyDescent="0.25">
      <c r="B20" s="221" t="s">
        <v>214</v>
      </c>
      <c r="C20" s="224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DANTE'!J$19:J$32)+SUMIF('CARDENAS CARDENAS JAVIER '!P$19:P$34,'KM POR CLIENTE'!B20,'CARDENAS CARDENAS JAVIER '!J$19:J$34)+SUMIF('BALDERRAMA ROBLES JORGE'!P$19:P$32,'KM POR CLIENTE'!B20,'BALDERRAMA ROBLES JORGE'!J$19:J$32)+SUMIF('BURGOS TORRES RIGOBERTO'!P$19:P$31,'KM POR CLIENTE'!B20,'BURGOS TORRES RIGOBERTO'!J$19:J$31)+SUMIF('CORDOVA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ARAT'!J$19:J$32)+SUMIF('MERCADO LOPEZ JESUS'!P$19:P$32,'KM POR CLIENTE'!B20,'MERCADO LOPEZ JESUS'!J$19:J$32)+SUMIF('ORONA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EDUARDO'!J$19:J$32)+SUMIF('ANCHONDO ROMERO CESAR ALEJANDRO'!P$19:P$32,'KM POR CLIENTE'!B20,'ANCHONDO ROMERO CESAR ALEJANDRO'!J$19:J$32)</f>
        <v>0</v>
      </c>
    </row>
    <row r="21" spans="2:3" x14ac:dyDescent="0.25">
      <c r="B21" s="221" t="s">
        <v>227</v>
      </c>
      <c r="C21" s="224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DANTE'!J$19:J$32)+SUMIF('CARDENAS CARDENAS JAVIER '!P$19:P$34,'KM POR CLIENTE'!B21,'CARDENAS CARDENAS JAVIER '!J$19:J$34)+SUMIF('BALDERRAMA ROBLES JORGE'!P$19:P$32,'KM POR CLIENTE'!B21,'BALDERRAMA ROBLES JORGE'!J$19:J$32)+SUMIF('BURGOS TORRES RIGOBERTO'!P$19:P$31,'KM POR CLIENTE'!B21,'BURGOS TORRES RIGOBERTO'!J$19:J$31)+SUMIF('CORDOVA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ARAT'!J$19:J$32)+SUMIF('MERCADO LOPEZ JESUS'!P$19:P$32,'KM POR CLIENTE'!B21,'MERCADO LOPEZ JESUS'!J$19:J$32)+SUMIF('ORONA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EDUARDO'!J$19:J$32)+SUMIF('ANCHONDO ROMERO CESAR ALEJANDRO'!P$19:P$32,'KM POR CLIENTE'!B21,'ANCHONDO ROMERO CESAR ALEJANDRO'!J$19:J$32)</f>
        <v>0</v>
      </c>
    </row>
    <row r="22" spans="2:3" x14ac:dyDescent="0.25">
      <c r="B22" s="221" t="s">
        <v>275</v>
      </c>
      <c r="C22" s="224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DANTE'!J$19:J$32)+SUMIF('CARDENAS CARDENAS JAVIER '!P$19:P$34,'KM POR CLIENTE'!B22,'CARDENAS CARDENAS JAVIER '!J$19:J$34)+SUMIF('BALDERRAMA ROBLES JORGE'!P$19:P$32,'KM POR CLIENTE'!B22,'BALDERRAMA ROBLES JORGE'!J$19:J$32)+SUMIF('BURGOS TORRES RIGOBERTO'!P$19:P$31,'KM POR CLIENTE'!B22,'BURGOS TORRES RIGOBERTO'!J$19:J$31)+SUMIF('CORDOVA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ARAT'!J$19:J$32)+SUMIF('MERCADO LOPEZ JESUS'!P$19:P$32,'KM POR CLIENTE'!B22,'MERCADO LOPEZ JESUS'!J$19:J$32)+SUMIF('ORONA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EDUARDO'!J$19:J$32)+SUMIF('ANCHONDO ROMERO CESAR ALEJANDRO'!P$19:P$32,'KM POR CLIENTE'!B22,'ANCHONDO ROMERO CESAR ALEJANDRO'!J$19:J$32)</f>
        <v>415</v>
      </c>
    </row>
    <row r="23" spans="2:3" x14ac:dyDescent="0.25">
      <c r="B23" s="221" t="s">
        <v>204</v>
      </c>
      <c r="C23" s="224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DANTE'!J$19:J$32)+SUMIF('CARDENAS CARDENAS JAVIER '!P$19:P$34,'KM POR CLIENTE'!B23,'CARDENAS CARDENAS JAVIER '!J$19:J$34)+SUMIF('BALDERRAMA ROBLES JORGE'!P$19:P$32,'KM POR CLIENTE'!B23,'BALDERRAMA ROBLES JORGE'!J$19:J$32)+SUMIF('BURGOS TORRES RIGOBERTO'!P$19:P$31,'KM POR CLIENTE'!B23,'BURGOS TORRES RIGOBERTO'!J$19:J$31)+SUMIF('CORDOVA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ARAT'!J$19:J$32)+SUMIF('MERCADO LOPEZ JESUS'!P$19:P$32,'KM POR CLIENTE'!B23,'MERCADO LOPEZ JESUS'!J$19:J$32)+SUMIF('ORONA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EDUARDO'!J$19:J$32)+SUMIF('ANCHONDO ROMERO CESAR ALEJANDRO'!P$19:P$32,'KM POR CLIENTE'!B23,'ANCHONDO ROMERO CESAR ALEJANDRO'!J$19:J$32)</f>
        <v>3120</v>
      </c>
    </row>
    <row r="24" spans="2:3" x14ac:dyDescent="0.25">
      <c r="B24" s="221" t="s">
        <v>293</v>
      </c>
      <c r="C24" s="224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DANTE'!J$19:J$32)+SUMIF('CARDENAS CARDENAS JAVIER '!P$19:P$34,'KM POR CLIENTE'!B24,'CARDENAS CARDENAS JAVIER '!J$19:J$34)+SUMIF('BALDERRAMA ROBLES JORGE'!P$19:P$32,'KM POR CLIENTE'!B24,'BALDERRAMA ROBLES JORGE'!J$19:J$32)+SUMIF('BURGOS TORRES RIGOBERTO'!P$19:P$31,'KM POR CLIENTE'!B24,'BURGOS TORRES RIGOBERTO'!J$19:J$31)+SUMIF('CORDOVA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ARAT'!J$19:J$32)+SUMIF('MERCADO LOPEZ JESUS'!P$19:P$32,'KM POR CLIENTE'!B24,'MERCADO LOPEZ JESUS'!J$19:J$32)+SUMIF('ORONA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EDUARDO'!J$19:J$32)+SUMIF('ANCHONDO ROMERO CESAR ALEJANDRO'!P$19:P$32,'KM POR CLIENTE'!B24,'ANCHONDO ROMERO CESAR ALEJANDRO'!J$19:J$32)</f>
        <v>0</v>
      </c>
    </row>
    <row r="25" spans="2:3" x14ac:dyDescent="0.25">
      <c r="B25" s="221" t="s">
        <v>215</v>
      </c>
      <c r="C25" s="224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DANTE'!J$19:J$32)+SUMIF('CARDENAS CARDENAS JAVIER '!P$19:P$34,'KM POR CLIENTE'!B25,'CARDENAS CARDENAS JAVIER '!J$19:J$34)+SUMIF('BALDERRAMA ROBLES JORGE'!P$19:P$32,'KM POR CLIENTE'!B25,'BALDERRAMA ROBLES JORGE'!J$19:J$32)+SUMIF('BURGOS TORRES RIGOBERTO'!P$19:P$31,'KM POR CLIENTE'!B25,'BURGOS TORRES RIGOBERTO'!J$19:J$31)+SUMIF('CORDOVA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ARAT'!J$19:J$32)+SUMIF('MERCADO LOPEZ JESUS'!P$19:P$32,'KM POR CLIENTE'!B25,'MERCADO LOPEZ JESUS'!J$19:J$32)+SUMIF('ORONA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EDUARDO'!J$19:J$32)+SUMIF('ANCHONDO ROMERO CESAR ALEJANDRO'!P$19:P$32,'KM POR CLIENTE'!B25,'ANCHONDO ROMERO CESAR ALEJANDRO'!J$19:J$32)</f>
        <v>0</v>
      </c>
    </row>
    <row r="26" spans="2:3" x14ac:dyDescent="0.25">
      <c r="B26" s="221" t="s">
        <v>216</v>
      </c>
      <c r="C26" s="224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DANTE'!J$19:J$32)+SUMIF('CARDENAS CARDENAS JAVIER '!P$19:P$34,'KM POR CLIENTE'!B26,'CARDENAS CARDENAS JAVIER '!J$19:J$34)+SUMIF('BALDERRAMA ROBLES JORGE'!P$19:P$32,'KM POR CLIENTE'!B26,'BALDERRAMA ROBLES JORGE'!J$19:J$32)+SUMIF('BURGOS TORRES RIGOBERTO'!P$19:P$31,'KM POR CLIENTE'!B26,'BURGOS TORRES RIGOBERTO'!J$19:J$31)+SUMIF('CORDOVA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ARAT'!J$19:J$32)+SUMIF('MERCADO LOPEZ JESUS'!P$19:P$32,'KM POR CLIENTE'!B26,'MERCADO LOPEZ JESUS'!J$19:J$32)+SUMIF('ORONA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EDUARDO'!J$19:J$32)+SUMIF('ANCHONDO ROMERO CESAR ALEJANDRO'!P$19:P$32,'KM POR CLIENTE'!B26,'ANCHONDO ROMERO CESAR ALEJANDRO'!J$19:J$32)</f>
        <v>415</v>
      </c>
    </row>
    <row r="27" spans="2:3" x14ac:dyDescent="0.25">
      <c r="B27" s="221" t="s">
        <v>197</v>
      </c>
      <c r="C27" s="224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DANTE'!J$19:J$32)+SUMIF('CARDENAS CARDENAS JAVIER '!P$19:P$34,'KM POR CLIENTE'!B27,'CARDENAS CARDENAS JAVIER '!J$19:J$34)+SUMIF('BALDERRAMA ROBLES JORGE'!P$19:P$32,'KM POR CLIENTE'!B27,'BALDERRAMA ROBLES JORGE'!J$19:J$32)+SUMIF('BURGOS TORRES RIGOBERTO'!P$19:P$31,'KM POR CLIENTE'!B27,'BURGOS TORRES RIGOBERTO'!J$19:J$31)+SUMIF('CORDOVA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ARAT'!J$19:J$32)+SUMIF('MERCADO LOPEZ JESUS'!P$19:P$32,'KM POR CLIENTE'!B27,'MERCADO LOPEZ JESUS'!J$19:J$32)+SUMIF('ORONA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EDUARDO'!J$19:J$32)+SUMIF('ANCHONDO ROMERO CESAR ALEJANDRO'!P$19:P$32,'KM POR CLIENTE'!B27,'ANCHONDO ROMERO CESAR ALEJANDRO'!J$19:J$32)</f>
        <v>0</v>
      </c>
    </row>
    <row r="28" spans="2:3" x14ac:dyDescent="0.25">
      <c r="B28" s="221" t="s">
        <v>328</v>
      </c>
      <c r="C28" s="224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DANTE'!J$19:J$32)+SUMIF('CARDENAS CARDENAS JAVIER '!P$19:P$34,'KM POR CLIENTE'!B28,'CARDENAS CARDENAS JAVIER '!J$19:J$34)+SUMIF('BALDERRAMA ROBLES JORGE'!P$19:P$32,'KM POR CLIENTE'!B28,'BALDERRAMA ROBLES JORGE'!J$19:J$32)+SUMIF('BURGOS TORRES RIGOBERTO'!P$19:P$31,'KM POR CLIENTE'!B28,'BURGOS TORRES RIGOBERTO'!J$19:J$31)+SUMIF('CORDOVA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ARAT'!J$19:J$32)+SUMIF('MERCADO LOPEZ JESUS'!P$19:P$32,'KM POR CLIENTE'!B28,'MERCADO LOPEZ JESUS'!J$19:J$32)+SUMIF('ORONA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EDUARDO'!J$19:J$32)+SUMIF('ANCHONDO ROMERO CESAR ALEJANDRO'!P$19:P$32,'KM POR CLIENTE'!B28,'ANCHONDO ROMERO CESAR ALEJANDRO'!J$19:J$32)</f>
        <v>0</v>
      </c>
    </row>
    <row r="29" spans="2:3" x14ac:dyDescent="0.25">
      <c r="B29" s="221" t="s">
        <v>199</v>
      </c>
      <c r="C29" s="224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DANTE'!J$19:J$32)+SUMIF('CARDENAS CARDENAS JAVIER '!P$19:P$34,'KM POR CLIENTE'!B29,'CARDENAS CARDENAS JAVIER '!J$19:J$34)+SUMIF('BALDERRAMA ROBLES JORGE'!P$19:P$32,'KM POR CLIENTE'!B29,'BALDERRAMA ROBLES JORGE'!J$19:J$32)+SUMIF('BURGOS TORRES RIGOBERTO'!P$19:P$31,'KM POR CLIENTE'!B29,'BURGOS TORRES RIGOBERTO'!J$19:J$31)+SUMIF('CORDOVA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ARAT'!J$19:J$32)+SUMIF('MERCADO LOPEZ JESUS'!P$19:P$32,'KM POR CLIENTE'!B29,'MERCADO LOPEZ JESUS'!J$19:J$32)+SUMIF('ORONA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EDUARDO'!J$19:J$32)+SUMIF('ANCHONDO ROMERO CESAR ALEJANDRO'!P$19:P$32,'KM POR CLIENTE'!B29,'ANCHONDO ROMERO CESAR ALEJANDRO'!J$19:J$32)</f>
        <v>10230</v>
      </c>
    </row>
    <row r="30" spans="2:3" x14ac:dyDescent="0.25">
      <c r="B30" s="221" t="s">
        <v>192</v>
      </c>
      <c r="C30" s="224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DANTE'!J$19:J$32)+SUMIF('CARDENAS CARDENAS JAVIER '!P$19:P$34,'KM POR CLIENTE'!B30,'CARDENAS CARDENAS JAVIER '!J$19:J$34)+SUMIF('BALDERRAMA ROBLES JORGE'!P$19:P$32,'KM POR CLIENTE'!B30,'BALDERRAMA ROBLES JORGE'!J$19:J$32)+SUMIF('BURGOS TORRES RIGOBERTO'!P$19:P$31,'KM POR CLIENTE'!B30,'BURGOS TORRES RIGOBERTO'!J$19:J$31)+SUMIF('CORDOVA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ARAT'!J$19:J$32)+SUMIF('MERCADO LOPEZ JESUS'!P$19:P$32,'KM POR CLIENTE'!B30,'MERCADO LOPEZ JESUS'!J$19:J$32)+SUMIF('ORONA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EDUARDO'!J$19:J$32)+SUMIF('ANCHONDO ROMERO CESAR ALEJANDRO'!P$19:P$32,'KM POR CLIENTE'!B30,'ANCHONDO ROMERO CESAR ALEJANDRO'!J$19:J$32)</f>
        <v>7500</v>
      </c>
    </row>
    <row r="31" spans="2:3" x14ac:dyDescent="0.25">
      <c r="B31" s="221" t="s">
        <v>194</v>
      </c>
      <c r="C31" s="224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DANTE'!J$19:J$32)+SUMIF('CARDENAS CARDENAS JAVIER '!P$19:P$34,'KM POR CLIENTE'!B31,'CARDENAS CARDENAS JAVIER '!J$19:J$34)+SUMIF('BALDERRAMA ROBLES JORGE'!P$19:P$32,'KM POR CLIENTE'!B31,'BALDERRAMA ROBLES JORGE'!J$19:J$32)+SUMIF('BURGOS TORRES RIGOBERTO'!P$19:P$31,'KM POR CLIENTE'!B31,'BURGOS TORRES RIGOBERTO'!J$19:J$31)+SUMIF('CORDOVA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ARAT'!J$19:J$32)+SUMIF('MERCADO LOPEZ JESUS'!P$19:P$32,'KM POR CLIENTE'!B31,'MERCADO LOPEZ JESUS'!J$19:J$32)+SUMIF('ORONA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EDUARDO'!J$19:J$32)+SUMIF('ANCHONDO ROMERO CESAR ALEJANDRO'!P$19:P$32,'KM POR CLIENTE'!B31,'ANCHONDO ROMERO CESAR ALEJANDRO'!J$19:J$32)</f>
        <v>1915</v>
      </c>
    </row>
    <row r="32" spans="2:3" x14ac:dyDescent="0.25">
      <c r="B32" s="221" t="s">
        <v>217</v>
      </c>
      <c r="C32" s="224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DANTE'!J$19:J$32)+SUMIF('CARDENAS CARDENAS JAVIER '!P$19:P$34,'KM POR CLIENTE'!B32,'CARDENAS CARDENAS JAVIER '!J$19:J$34)+SUMIF('BALDERRAMA ROBLES JORGE'!P$19:P$32,'KM POR CLIENTE'!B32,'BALDERRAMA ROBLES JORGE'!J$19:J$32)+SUMIF('BURGOS TORRES RIGOBERTO'!P$19:P$31,'KM POR CLIENTE'!B32,'BURGOS TORRES RIGOBERTO'!J$19:J$31)+SUMIF('CORDOVA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ARAT'!J$19:J$32)+SUMIF('MERCADO LOPEZ JESUS'!P$19:P$32,'KM POR CLIENTE'!B32,'MERCADO LOPEZ JESUS'!J$19:J$32)+SUMIF('ORONA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EDUARDO'!J$19:J$32)+SUMIF('ANCHONDO ROMERO CESAR ALEJANDRO'!P$19:P$32,'KM POR CLIENTE'!B32,'ANCHONDO ROMERO CESAR ALEJANDRO'!J$19:J$32)</f>
        <v>0</v>
      </c>
    </row>
    <row r="33" spans="2:3" x14ac:dyDescent="0.25">
      <c r="B33" s="221" t="s">
        <v>218</v>
      </c>
      <c r="C33" s="224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DANTE'!J$19:J$32)+SUMIF('CARDENAS CARDENAS JAVIER '!P$19:P$34,'KM POR CLIENTE'!B33,'CARDENAS CARDENAS JAVIER '!J$19:J$34)+SUMIF('BALDERRAMA ROBLES JORGE'!P$19:P$32,'KM POR CLIENTE'!B33,'BALDERRAMA ROBLES JORGE'!J$19:J$32)+SUMIF('BURGOS TORRES RIGOBERTO'!P$19:P$31,'KM POR CLIENTE'!B33,'BURGOS TORRES RIGOBERTO'!J$19:J$31)+SUMIF('CORDOVA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ARAT'!J$19:J$32)+SUMIF('MERCADO LOPEZ JESUS'!P$19:P$32,'KM POR CLIENTE'!B33,'MERCADO LOPEZ JESUS'!J$19:J$32)+SUMIF('ORONA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EDUARDO'!J$19:J$32)+SUMIF('ANCHONDO ROMERO CESAR ALEJANDRO'!P$19:P$32,'KM POR CLIENTE'!B33,'ANCHONDO ROMERO CESAR ALEJANDRO'!J$19:J$32)</f>
        <v>0</v>
      </c>
    </row>
    <row r="34" spans="2:3" x14ac:dyDescent="0.25">
      <c r="B34" s="221" t="s">
        <v>219</v>
      </c>
      <c r="C34" s="224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DANTE'!J$19:J$32)+SUMIF('CARDENAS CARDENAS JAVIER '!P$19:P$34,'KM POR CLIENTE'!B34,'CARDENAS CARDENAS JAVIER '!J$19:J$34)+SUMIF('BALDERRAMA ROBLES JORGE'!P$19:P$32,'KM POR CLIENTE'!B34,'BALDERRAMA ROBLES JORGE'!J$19:J$32)+SUMIF('BURGOS TORRES RIGOBERTO'!P$19:P$31,'KM POR CLIENTE'!B34,'BURGOS TORRES RIGOBERTO'!J$19:J$31)+SUMIF('CORDOVA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ARAT'!J$19:J$32)+SUMIF('MERCADO LOPEZ JESUS'!P$19:P$32,'KM POR CLIENTE'!B34,'MERCADO LOPEZ JESUS'!J$19:J$32)+SUMIF('ORONA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EDUARDO'!J$19:J$32)+SUMIF('ANCHONDO ROMERO CESAR ALEJANDRO'!P$19:P$32,'KM POR CLIENTE'!B34,'ANCHONDO ROMERO CESAR ALEJANDRO'!J$19:J$32)</f>
        <v>0</v>
      </c>
    </row>
    <row r="35" spans="2:3" x14ac:dyDescent="0.25">
      <c r="B35" s="221" t="s">
        <v>264</v>
      </c>
      <c r="C35" s="224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DANTE'!J$19:J$32)+SUMIF('CARDENAS CARDENAS JAVIER '!P$19:P$34,'KM POR CLIENTE'!B35,'CARDENAS CARDENAS JAVIER '!J$19:J$34)+SUMIF('BALDERRAMA ROBLES JORGE'!P$19:P$32,'KM POR CLIENTE'!B35,'BALDERRAMA ROBLES JORGE'!J$19:J$32)+SUMIF('BURGOS TORRES RIGOBERTO'!P$19:P$31,'KM POR CLIENTE'!B35,'BURGOS TORRES RIGOBERTO'!J$19:J$31)+SUMIF('CORDOVA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ARAT'!J$19:J$32)+SUMIF('MERCADO LOPEZ JESUS'!P$19:P$32,'KM POR CLIENTE'!B35,'MERCADO LOPEZ JESUS'!J$19:J$32)+SUMIF('ORONA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EDUARDO'!J$19:J$32)+SUMIF('ANCHONDO ROMERO CESAR ALEJANDRO'!P$19:P$32,'KM POR CLIENTE'!B35,'ANCHONDO ROMERO CESAR ALEJANDRO'!J$19:J$32)</f>
        <v>0</v>
      </c>
    </row>
    <row r="36" spans="2:3" x14ac:dyDescent="0.25">
      <c r="B36" s="302" t="s">
        <v>248</v>
      </c>
      <c r="C36" s="303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DANTE'!J$19:J$32)+SUMIF('CARDENAS CARDENAS JAVIER '!P$19:P$34,'KM POR CLIENTE'!B36,'CARDENAS CARDENAS JAVIER '!J$19:J$34)+SUMIF('BALDERRAMA ROBLES JORGE'!P$19:P$32,'KM POR CLIENTE'!B36,'BALDERRAMA ROBLES JORGE'!J$19:J$32)+SUMIF('BURGOS TORRES RIGOBERTO'!P$19:P$31,'KM POR CLIENTE'!B36,'BURGOS TORRES RIGOBERTO'!J$19:J$31)+SUMIF('CORDOVA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ARAT'!J$19:J$32)+SUMIF('MERCADO LOPEZ JESUS'!P$19:P$32,'KM POR CLIENTE'!B36,'MERCADO LOPEZ JESUS'!J$19:J$32)+SUMIF('ORONA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EDUARDO'!J$19:J$32)+SUMIF('ANCHONDO ROMERO CESAR ALEJANDRO'!P$19:P$32,'KM POR CLIENTE'!B36,'ANCHONDO ROMERO CESAR ALEJANDRO'!J$19:J$32)</f>
        <v>5625</v>
      </c>
    </row>
    <row r="37" spans="2:3" ht="15.75" thickBot="1" x14ac:dyDescent="0.3">
      <c r="B37" s="225" t="s">
        <v>195</v>
      </c>
      <c r="C37" s="226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DANTE'!J$19:J$32)+SUMIF('CARDENAS CARDENAS JAVIER '!P$19:P$34,'KM POR CLIENTE'!B37,'CARDENAS CARDENAS JAVIER '!J$19:J$34)+SUMIF('BALDERRAMA ROBLES JORGE'!P$19:P$32,'KM POR CLIENTE'!B37,'BALDERRAMA ROBLES JORGE'!J$19:J$32)+SUMIF('BURGOS TORRES RIGOBERTO'!P$19:P$31,'KM POR CLIENTE'!B37,'BURGOS TORRES RIGOBERTO'!J$19:J$31)+SUMIF('CORDOVA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ARAT'!J$19:J$32)+SUMIF('MERCADO LOPEZ JESUS'!P$19:P$32,'KM POR CLIENTE'!B37,'MERCADO LOPEZ JESUS'!J$19:J$32)+SUMIF('ORONA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EDUARDO'!J$19:J$32)+SUMIF('ANCHONDO ROMERO CESAR ALEJANDRO'!P$19:P$32,'KM POR CLIENTE'!B37,'ANCHONDO ROMERO CESAR ALEJANDRO'!J$19:J$32)</f>
        <v>3000</v>
      </c>
    </row>
    <row r="38" spans="2:3" ht="15.75" thickBot="1" x14ac:dyDescent="0.3">
      <c r="B38" s="222" t="s">
        <v>209</v>
      </c>
      <c r="C38" s="223">
        <f>SUM(C3:C37)</f>
        <v>54787</v>
      </c>
    </row>
    <row r="39" spans="2:3" x14ac:dyDescent="0.25">
      <c r="C39" s="269">
        <f>+'KM POR CHOFER'!I31</f>
        <v>54787</v>
      </c>
    </row>
    <row r="40" spans="2:3" x14ac:dyDescent="0.25">
      <c r="C40" s="215">
        <f>+C39-C38</f>
        <v>0</v>
      </c>
    </row>
  </sheetData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8"/>
  <dimension ref="B1:P38"/>
  <sheetViews>
    <sheetView topLeftCell="A13" zoomScaleNormal="100" workbookViewId="0">
      <selection activeCell="P29" sqref="P29:P30"/>
    </sheetView>
  </sheetViews>
  <sheetFormatPr baseColWidth="10" defaultRowHeight="15" x14ac:dyDescent="0.25"/>
  <cols>
    <col min="1" max="1" width="8.28515625" style="59" customWidth="1"/>
    <col min="2" max="2" width="3" style="59" bestFit="1" customWidth="1"/>
    <col min="3" max="6" width="6.7109375" style="59" customWidth="1"/>
    <col min="7" max="7" width="7.7109375" style="60" bestFit="1" customWidth="1"/>
    <col min="8" max="8" width="3.7109375" style="59" customWidth="1"/>
    <col min="9" max="9" width="9.42578125" style="59" bestFit="1" customWidth="1"/>
    <col min="10" max="10" width="13.5703125" style="59" bestFit="1" customWidth="1"/>
    <col min="11" max="11" width="9.42578125" style="59" bestFit="1" customWidth="1"/>
    <col min="12" max="12" width="8" style="59" bestFit="1" customWidth="1"/>
    <col min="13" max="13" width="9.28515625" style="59" bestFit="1" customWidth="1"/>
    <col min="14" max="14" width="12.7109375" style="59" bestFit="1" customWidth="1"/>
    <col min="15" max="15" width="12.28515625" style="59" bestFit="1" customWidth="1"/>
    <col min="16" max="16" width="13.28515625" style="59" bestFit="1" customWidth="1"/>
    <col min="17" max="16384" width="11.42578125" style="59"/>
  </cols>
  <sheetData>
    <row r="1" spans="2:16" ht="15.75" thickBot="1" x14ac:dyDescent="0.3"/>
    <row r="2" spans="2:16" ht="15.75" thickBot="1" x14ac:dyDescent="0.3">
      <c r="B2" s="676" t="s">
        <v>112</v>
      </c>
      <c r="C2" s="677"/>
      <c r="D2" s="677"/>
      <c r="E2" s="677"/>
      <c r="F2" s="677"/>
      <c r="G2" s="678"/>
    </row>
    <row r="3" spans="2:16" ht="15.75" thickBot="1" x14ac:dyDescent="0.3">
      <c r="B3" s="103" t="s">
        <v>113</v>
      </c>
      <c r="C3" s="679" t="s">
        <v>24</v>
      </c>
      <c r="D3" s="679"/>
      <c r="E3" s="680" t="s">
        <v>25</v>
      </c>
      <c r="F3" s="680"/>
      <c r="G3" s="104" t="s">
        <v>26</v>
      </c>
      <c r="I3" s="333" t="s">
        <v>241</v>
      </c>
      <c r="J3" s="333" t="s">
        <v>28</v>
      </c>
      <c r="K3" s="333" t="s">
        <v>139</v>
      </c>
      <c r="L3" s="59">
        <v>3.4</v>
      </c>
      <c r="M3" s="333" t="s">
        <v>27</v>
      </c>
      <c r="N3" s="333" t="s">
        <v>251</v>
      </c>
      <c r="O3" s="333" t="s">
        <v>242</v>
      </c>
      <c r="P3" s="333" t="s">
        <v>141</v>
      </c>
    </row>
    <row r="4" spans="2:16" ht="15.75" thickBot="1" x14ac:dyDescent="0.3">
      <c r="B4" s="105">
        <v>1</v>
      </c>
      <c r="C4" s="681" t="s">
        <v>47</v>
      </c>
      <c r="D4" s="681"/>
      <c r="E4" s="681" t="s">
        <v>78</v>
      </c>
      <c r="F4" s="681"/>
      <c r="G4" s="106">
        <v>425</v>
      </c>
      <c r="I4" s="334">
        <v>750</v>
      </c>
      <c r="J4" s="334">
        <v>2.4500000000000002</v>
      </c>
      <c r="K4" s="334">
        <v>306</v>
      </c>
      <c r="L4" s="59">
        <f>+I4/L3</f>
        <v>220.58823529411765</v>
      </c>
      <c r="M4" s="335">
        <f>+K4-L4</f>
        <v>85.411764705882348</v>
      </c>
      <c r="N4" s="336">
        <f>+M4*14.85</f>
        <v>1268.3647058823528</v>
      </c>
      <c r="O4" s="336">
        <v>220</v>
      </c>
      <c r="P4" s="336">
        <f>+O4+N4</f>
        <v>1488.3647058823528</v>
      </c>
    </row>
    <row r="5" spans="2:16" x14ac:dyDescent="0.25">
      <c r="B5" s="84">
        <v>2</v>
      </c>
      <c r="C5" s="674" t="s">
        <v>47</v>
      </c>
      <c r="D5" s="674"/>
      <c r="E5" s="674" t="s">
        <v>46</v>
      </c>
      <c r="F5" s="674"/>
      <c r="G5" s="85">
        <v>375</v>
      </c>
      <c r="I5" s="334">
        <v>750</v>
      </c>
      <c r="J5" s="334">
        <v>2.37</v>
      </c>
      <c r="K5" s="334">
        <v>316</v>
      </c>
      <c r="L5" s="59">
        <f>+I5/L3</f>
        <v>220.58823529411765</v>
      </c>
      <c r="M5" s="335">
        <f>+K5-L5</f>
        <v>95.411764705882348</v>
      </c>
      <c r="N5" s="336">
        <f>+M5*14.85</f>
        <v>1416.8647058823528</v>
      </c>
      <c r="O5" s="336">
        <v>220</v>
      </c>
      <c r="P5" s="336">
        <f>+O5+N5</f>
        <v>1636.8647058823528</v>
      </c>
    </row>
    <row r="6" spans="2:16" x14ac:dyDescent="0.25">
      <c r="B6" s="86">
        <v>3</v>
      </c>
      <c r="C6" s="682" t="s">
        <v>109</v>
      </c>
      <c r="D6" s="682"/>
      <c r="E6" s="682" t="s">
        <v>47</v>
      </c>
      <c r="F6" s="682"/>
      <c r="G6" s="87">
        <v>375</v>
      </c>
      <c r="I6" s="334"/>
      <c r="J6" s="334"/>
      <c r="K6" s="334"/>
      <c r="M6" s="335"/>
      <c r="N6" s="336"/>
      <c r="O6" s="336"/>
      <c r="P6" s="336"/>
    </row>
    <row r="7" spans="2:16" ht="15.75" thickBot="1" x14ac:dyDescent="0.3">
      <c r="B7" s="109">
        <v>4</v>
      </c>
      <c r="C7" s="683" t="s">
        <v>108</v>
      </c>
      <c r="D7" s="684"/>
      <c r="E7" s="683" t="s">
        <v>46</v>
      </c>
      <c r="F7" s="684"/>
      <c r="G7" s="90">
        <v>415</v>
      </c>
    </row>
    <row r="8" spans="2:16" x14ac:dyDescent="0.25">
      <c r="B8" s="84">
        <v>5</v>
      </c>
      <c r="C8" s="673" t="s">
        <v>47</v>
      </c>
      <c r="D8" s="674"/>
      <c r="E8" s="673" t="s">
        <v>107</v>
      </c>
      <c r="F8" s="674"/>
      <c r="G8" s="91">
        <v>457</v>
      </c>
    </row>
    <row r="9" spans="2:16" ht="15.75" thickBot="1" x14ac:dyDescent="0.3">
      <c r="B9" s="108">
        <v>6</v>
      </c>
      <c r="C9" s="669" t="s">
        <v>107</v>
      </c>
      <c r="D9" s="669"/>
      <c r="E9" s="669" t="s">
        <v>47</v>
      </c>
      <c r="F9" s="669"/>
      <c r="G9" s="89">
        <v>457</v>
      </c>
      <c r="I9" s="333"/>
      <c r="J9" s="333"/>
      <c r="L9" s="333"/>
      <c r="M9" s="333"/>
      <c r="N9" s="333"/>
    </row>
    <row r="10" spans="2:16" x14ac:dyDescent="0.25">
      <c r="B10" s="84">
        <v>7</v>
      </c>
      <c r="C10" s="673" t="s">
        <v>66</v>
      </c>
      <c r="D10" s="673"/>
      <c r="E10" s="673" t="s">
        <v>47</v>
      </c>
      <c r="F10" s="673"/>
      <c r="G10" s="91">
        <v>480</v>
      </c>
      <c r="I10" s="334"/>
      <c r="L10" s="336"/>
      <c r="M10" s="336"/>
      <c r="N10" s="336"/>
    </row>
    <row r="11" spans="2:16" ht="15.75" thickBot="1" x14ac:dyDescent="0.3">
      <c r="B11" s="108">
        <v>8</v>
      </c>
      <c r="C11" s="669" t="s">
        <v>47</v>
      </c>
      <c r="D11" s="669"/>
      <c r="E11" s="669" t="s">
        <v>66</v>
      </c>
      <c r="F11" s="669"/>
      <c r="G11" s="89">
        <v>480</v>
      </c>
      <c r="I11" s="334"/>
      <c r="J11" s="333"/>
      <c r="L11" s="336"/>
      <c r="M11" s="336"/>
      <c r="N11" s="336"/>
    </row>
    <row r="12" spans="2:16" x14ac:dyDescent="0.25">
      <c r="B12" s="84">
        <v>9</v>
      </c>
      <c r="C12" s="673" t="s">
        <v>190</v>
      </c>
      <c r="D12" s="674"/>
      <c r="E12" s="673" t="s">
        <v>46</v>
      </c>
      <c r="F12" s="674"/>
      <c r="G12" s="91">
        <v>105</v>
      </c>
      <c r="I12" s="334"/>
      <c r="L12" s="336"/>
      <c r="M12" s="336"/>
      <c r="N12" s="336"/>
    </row>
    <row r="13" spans="2:16" ht="15.75" thickBot="1" x14ac:dyDescent="0.3">
      <c r="B13" s="108">
        <v>10</v>
      </c>
      <c r="C13" s="669" t="s">
        <v>109</v>
      </c>
      <c r="D13" s="670"/>
      <c r="E13" s="669" t="s">
        <v>190</v>
      </c>
      <c r="F13" s="670"/>
      <c r="G13" s="89">
        <v>105</v>
      </c>
    </row>
    <row r="14" spans="2:16" x14ac:dyDescent="0.25">
      <c r="B14" s="84">
        <v>11</v>
      </c>
      <c r="C14" s="673" t="s">
        <v>47</v>
      </c>
      <c r="D14" s="674"/>
      <c r="E14" s="673" t="s">
        <v>65</v>
      </c>
      <c r="F14" s="674"/>
      <c r="G14" s="91">
        <v>490</v>
      </c>
    </row>
    <row r="15" spans="2:16" ht="15.75" thickBot="1" x14ac:dyDescent="0.3">
      <c r="B15" s="108">
        <v>12</v>
      </c>
      <c r="C15" s="669" t="s">
        <v>65</v>
      </c>
      <c r="D15" s="670"/>
      <c r="E15" s="669" t="s">
        <v>47</v>
      </c>
      <c r="F15" s="670"/>
      <c r="G15" s="89">
        <v>490</v>
      </c>
    </row>
    <row r="16" spans="2:16" x14ac:dyDescent="0.25">
      <c r="B16" s="84">
        <v>13</v>
      </c>
      <c r="C16" s="673" t="s">
        <v>47</v>
      </c>
      <c r="D16" s="674"/>
      <c r="E16" s="673" t="s">
        <v>69</v>
      </c>
      <c r="F16" s="674"/>
      <c r="G16" s="91">
        <v>680</v>
      </c>
    </row>
    <row r="17" spans="2:7" ht="15.75" thickBot="1" x14ac:dyDescent="0.3">
      <c r="B17" s="109">
        <v>14</v>
      </c>
      <c r="C17" s="683" t="s">
        <v>69</v>
      </c>
      <c r="D17" s="684"/>
      <c r="E17" s="683" t="s">
        <v>47</v>
      </c>
      <c r="F17" s="684"/>
      <c r="G17" s="90">
        <v>680</v>
      </c>
    </row>
    <row r="18" spans="2:7" x14ac:dyDescent="0.25">
      <c r="B18" s="84">
        <v>15</v>
      </c>
      <c r="C18" s="673" t="s">
        <v>47</v>
      </c>
      <c r="D18" s="674"/>
      <c r="E18" s="673" t="s">
        <v>64</v>
      </c>
      <c r="F18" s="674"/>
      <c r="G18" s="91">
        <v>1021</v>
      </c>
    </row>
    <row r="19" spans="2:7" ht="15.75" thickBot="1" x14ac:dyDescent="0.3">
      <c r="B19" s="108">
        <v>16</v>
      </c>
      <c r="C19" s="669" t="s">
        <v>64</v>
      </c>
      <c r="D19" s="670"/>
      <c r="E19" s="669" t="s">
        <v>47</v>
      </c>
      <c r="F19" s="670"/>
      <c r="G19" s="89">
        <v>1021</v>
      </c>
    </row>
    <row r="20" spans="2:7" x14ac:dyDescent="0.25">
      <c r="B20" s="84">
        <v>17</v>
      </c>
      <c r="C20" s="673" t="s">
        <v>47</v>
      </c>
      <c r="D20" s="674"/>
      <c r="E20" s="673" t="s">
        <v>68</v>
      </c>
      <c r="F20" s="674"/>
      <c r="G20" s="91">
        <v>1330</v>
      </c>
    </row>
    <row r="21" spans="2:7" ht="15.75" thickBot="1" x14ac:dyDescent="0.3">
      <c r="B21" s="108">
        <v>18</v>
      </c>
      <c r="C21" s="669" t="s">
        <v>68</v>
      </c>
      <c r="D21" s="670"/>
      <c r="E21" s="669" t="s">
        <v>47</v>
      </c>
      <c r="F21" s="670"/>
      <c r="G21" s="89">
        <v>1330</v>
      </c>
    </row>
    <row r="22" spans="2:7" x14ac:dyDescent="0.25">
      <c r="B22" s="84">
        <v>19</v>
      </c>
      <c r="C22" s="674" t="s">
        <v>47</v>
      </c>
      <c r="D22" s="674"/>
      <c r="E22" s="674" t="s">
        <v>67</v>
      </c>
      <c r="F22" s="674"/>
      <c r="G22" s="91">
        <v>219</v>
      </c>
    </row>
    <row r="23" spans="2:7" ht="15.75" thickBot="1" x14ac:dyDescent="0.3">
      <c r="B23" s="108">
        <v>20</v>
      </c>
      <c r="C23" s="670" t="s">
        <v>67</v>
      </c>
      <c r="D23" s="670"/>
      <c r="E23" s="670" t="s">
        <v>47</v>
      </c>
      <c r="F23" s="670"/>
      <c r="G23" s="89">
        <v>219</v>
      </c>
    </row>
    <row r="24" spans="2:7" x14ac:dyDescent="0.25">
      <c r="B24" s="84">
        <v>21</v>
      </c>
      <c r="C24" s="685" t="s">
        <v>109</v>
      </c>
      <c r="D24" s="685"/>
      <c r="E24" s="685" t="s">
        <v>67</v>
      </c>
      <c r="F24" s="685"/>
      <c r="G24" s="91">
        <v>348</v>
      </c>
    </row>
    <row r="25" spans="2:7" ht="15.75" thickBot="1" x14ac:dyDescent="0.3">
      <c r="B25" s="108">
        <v>22</v>
      </c>
      <c r="C25" s="686" t="s">
        <v>67</v>
      </c>
      <c r="D25" s="686"/>
      <c r="E25" s="686" t="s">
        <v>46</v>
      </c>
      <c r="F25" s="686"/>
      <c r="G25" s="89">
        <v>348</v>
      </c>
    </row>
    <row r="26" spans="2:7" x14ac:dyDescent="0.25">
      <c r="B26" s="102">
        <v>23</v>
      </c>
      <c r="C26" s="675" t="s">
        <v>47</v>
      </c>
      <c r="D26" s="675"/>
      <c r="E26" s="675" t="s">
        <v>116</v>
      </c>
      <c r="F26" s="675"/>
      <c r="G26" s="107">
        <v>425</v>
      </c>
    </row>
    <row r="27" spans="2:7" ht="15.75" thickBot="1" x14ac:dyDescent="0.3">
      <c r="B27" s="86">
        <v>24</v>
      </c>
      <c r="C27" s="672" t="s">
        <v>108</v>
      </c>
      <c r="D27" s="672"/>
      <c r="E27" s="672" t="s">
        <v>118</v>
      </c>
      <c r="F27" s="672"/>
      <c r="G27" s="90">
        <v>465</v>
      </c>
    </row>
    <row r="28" spans="2:7" x14ac:dyDescent="0.25">
      <c r="B28" s="110">
        <v>25</v>
      </c>
      <c r="C28" s="688" t="s">
        <v>47</v>
      </c>
      <c r="D28" s="685"/>
      <c r="E28" s="685" t="s">
        <v>119</v>
      </c>
      <c r="F28" s="685"/>
      <c r="G28" s="91">
        <v>538</v>
      </c>
    </row>
    <row r="29" spans="2:7" ht="15.75" thickBot="1" x14ac:dyDescent="0.3">
      <c r="B29" s="110">
        <v>26</v>
      </c>
      <c r="C29" s="687" t="s">
        <v>119</v>
      </c>
      <c r="D29" s="686"/>
      <c r="E29" s="686" t="s">
        <v>47</v>
      </c>
      <c r="F29" s="686"/>
      <c r="G29" s="89">
        <v>538</v>
      </c>
    </row>
    <row r="30" spans="2:7" x14ac:dyDescent="0.25">
      <c r="B30" s="86">
        <v>27</v>
      </c>
      <c r="C30" s="675" t="s">
        <v>109</v>
      </c>
      <c r="D30" s="675"/>
      <c r="E30" s="675" t="s">
        <v>121</v>
      </c>
      <c r="F30" s="675"/>
      <c r="G30" s="107">
        <v>415</v>
      </c>
    </row>
    <row r="31" spans="2:7" x14ac:dyDescent="0.25">
      <c r="B31" s="86">
        <v>28</v>
      </c>
      <c r="C31" s="671" t="s">
        <v>108</v>
      </c>
      <c r="D31" s="671"/>
      <c r="E31" s="671" t="s">
        <v>116</v>
      </c>
      <c r="F31" s="671"/>
      <c r="G31" s="88">
        <v>465</v>
      </c>
    </row>
    <row r="32" spans="2:7" x14ac:dyDescent="0.25">
      <c r="B32" s="86">
        <v>29</v>
      </c>
      <c r="C32" s="671" t="s">
        <v>108</v>
      </c>
      <c r="D32" s="671"/>
      <c r="E32" s="671" t="s">
        <v>122</v>
      </c>
      <c r="F32" s="671"/>
      <c r="G32" s="88">
        <v>465</v>
      </c>
    </row>
    <row r="33" spans="2:7" x14ac:dyDescent="0.25">
      <c r="B33" s="86">
        <v>30</v>
      </c>
      <c r="C33" s="671" t="s">
        <v>47</v>
      </c>
      <c r="D33" s="671"/>
      <c r="E33" s="671" t="s">
        <v>123</v>
      </c>
      <c r="F33" s="671"/>
      <c r="G33" s="88">
        <v>425</v>
      </c>
    </row>
    <row r="34" spans="2:7" x14ac:dyDescent="0.25">
      <c r="B34" s="86">
        <v>31</v>
      </c>
      <c r="C34" s="671" t="s">
        <v>122</v>
      </c>
      <c r="D34" s="671"/>
      <c r="E34" s="671" t="s">
        <v>47</v>
      </c>
      <c r="F34" s="671"/>
      <c r="G34" s="88">
        <v>425</v>
      </c>
    </row>
    <row r="35" spans="2:7" ht="15.75" thickBot="1" x14ac:dyDescent="0.3">
      <c r="B35" s="109">
        <v>32</v>
      </c>
      <c r="C35" s="672" t="s">
        <v>108</v>
      </c>
      <c r="D35" s="672"/>
      <c r="E35" s="672" t="s">
        <v>123</v>
      </c>
      <c r="F35" s="672"/>
      <c r="G35" s="90">
        <v>465</v>
      </c>
    </row>
    <row r="36" spans="2:7" x14ac:dyDescent="0.25">
      <c r="B36" s="84">
        <v>33</v>
      </c>
      <c r="C36" s="673" t="s">
        <v>191</v>
      </c>
      <c r="D36" s="674"/>
      <c r="E36" s="673" t="s">
        <v>46</v>
      </c>
      <c r="F36" s="674"/>
      <c r="G36" s="91">
        <v>145</v>
      </c>
    </row>
    <row r="37" spans="2:7" ht="15.75" thickBot="1" x14ac:dyDescent="0.3">
      <c r="B37" s="108">
        <v>34</v>
      </c>
      <c r="C37" s="669" t="s">
        <v>46</v>
      </c>
      <c r="D37" s="670"/>
      <c r="E37" s="669" t="s">
        <v>191</v>
      </c>
      <c r="F37" s="670"/>
      <c r="G37" s="89">
        <v>145</v>
      </c>
    </row>
    <row r="38" spans="2:7" ht="15.75" thickBot="1" x14ac:dyDescent="0.3">
      <c r="B38" s="108">
        <v>35</v>
      </c>
      <c r="C38" s="669" t="s">
        <v>46</v>
      </c>
      <c r="D38" s="670"/>
      <c r="E38" s="669" t="s">
        <v>64</v>
      </c>
      <c r="F38" s="670"/>
      <c r="G38" s="89">
        <v>1131</v>
      </c>
    </row>
  </sheetData>
  <mergeCells count="73">
    <mergeCell ref="C29:D29"/>
    <mergeCell ref="E29:F29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1:D11"/>
    <mergeCell ref="E11:F11"/>
    <mergeCell ref="C5:D5"/>
    <mergeCell ref="E5:F5"/>
    <mergeCell ref="C8:D8"/>
    <mergeCell ref="E8:F8"/>
    <mergeCell ref="C9:D9"/>
    <mergeCell ref="B2:G2"/>
    <mergeCell ref="C3:D3"/>
    <mergeCell ref="E3:F3"/>
    <mergeCell ref="E9:F9"/>
    <mergeCell ref="C10:D10"/>
    <mergeCell ref="E10:F10"/>
    <mergeCell ref="C4:D4"/>
    <mergeCell ref="E4:F4"/>
    <mergeCell ref="C6:D6"/>
    <mergeCell ref="E6:F6"/>
    <mergeCell ref="C7:D7"/>
    <mergeCell ref="E7:F7"/>
    <mergeCell ref="C33:D33"/>
    <mergeCell ref="E33:F33"/>
    <mergeCell ref="C30:D30"/>
    <mergeCell ref="E30:F30"/>
    <mergeCell ref="C31:D31"/>
    <mergeCell ref="E31:F31"/>
    <mergeCell ref="C32:D32"/>
    <mergeCell ref="E32:F32"/>
    <mergeCell ref="C38:D38"/>
    <mergeCell ref="E38:F38"/>
    <mergeCell ref="C37:D37"/>
    <mergeCell ref="E37:F37"/>
    <mergeCell ref="C34:D34"/>
    <mergeCell ref="E34:F34"/>
    <mergeCell ref="C35:D35"/>
    <mergeCell ref="E35:F35"/>
    <mergeCell ref="C36:D36"/>
    <mergeCell ref="E36:F36"/>
  </mergeCells>
  <phoneticPr fontId="32" type="noConversion"/>
  <pageMargins left="0.31496062992125984" right="0.31496062992125984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29"/>
  <dimension ref="B1:M59"/>
  <sheetViews>
    <sheetView topLeftCell="A16" workbookViewId="0">
      <selection activeCell="B38" sqref="B38"/>
    </sheetView>
  </sheetViews>
  <sheetFormatPr baseColWidth="10" defaultRowHeight="14.25" x14ac:dyDescent="0.2"/>
  <cols>
    <col min="2" max="2" width="9.140625" style="179" bestFit="1" customWidth="1"/>
    <col min="3" max="3" width="16.42578125" style="179" bestFit="1" customWidth="1"/>
  </cols>
  <sheetData>
    <row r="1" spans="2:7" ht="15" thickBot="1" x14ac:dyDescent="0.25"/>
    <row r="2" spans="2:7" ht="15.75" thickBot="1" x14ac:dyDescent="0.3">
      <c r="B2" s="183" t="s">
        <v>71</v>
      </c>
      <c r="C2" s="184" t="s">
        <v>186</v>
      </c>
    </row>
    <row r="3" spans="2:7" x14ac:dyDescent="0.2">
      <c r="B3" s="181" t="s">
        <v>55</v>
      </c>
      <c r="C3" s="182">
        <v>2.3734099999999998</v>
      </c>
    </row>
    <row r="4" spans="2:7" x14ac:dyDescent="0.2">
      <c r="B4" s="177" t="s">
        <v>151</v>
      </c>
      <c r="C4" s="182">
        <v>2.3734099999999998</v>
      </c>
    </row>
    <row r="5" spans="2:7" x14ac:dyDescent="0.2">
      <c r="B5" s="177" t="s">
        <v>57</v>
      </c>
      <c r="C5" s="182">
        <v>2.3734099999999998</v>
      </c>
    </row>
    <row r="6" spans="2:7" x14ac:dyDescent="0.2">
      <c r="B6" s="177" t="s">
        <v>133</v>
      </c>
      <c r="C6" s="182">
        <v>2.3734099999999998</v>
      </c>
    </row>
    <row r="7" spans="2:7" x14ac:dyDescent="0.2">
      <c r="B7" s="177" t="s">
        <v>56</v>
      </c>
      <c r="C7" s="182">
        <v>2.3734099999999998</v>
      </c>
    </row>
    <row r="8" spans="2:7" x14ac:dyDescent="0.2">
      <c r="B8" s="177" t="s">
        <v>134</v>
      </c>
      <c r="C8" s="182">
        <v>2.3734099999999998</v>
      </c>
    </row>
    <row r="9" spans="2:7" x14ac:dyDescent="0.2">
      <c r="B9" s="177" t="s">
        <v>114</v>
      </c>
      <c r="C9" s="182">
        <v>2.3734099999999998</v>
      </c>
    </row>
    <row r="10" spans="2:7" x14ac:dyDescent="0.2">
      <c r="B10" s="177" t="s">
        <v>124</v>
      </c>
      <c r="C10" s="182">
        <v>2.3734099999999998</v>
      </c>
    </row>
    <row r="11" spans="2:7" x14ac:dyDescent="0.2">
      <c r="B11" s="177" t="s">
        <v>132</v>
      </c>
      <c r="C11" s="182">
        <v>2.3734099999999998</v>
      </c>
    </row>
    <row r="12" spans="2:7" x14ac:dyDescent="0.2">
      <c r="B12" s="177" t="s">
        <v>58</v>
      </c>
      <c r="C12" s="182">
        <v>2.3734099999999998</v>
      </c>
    </row>
    <row r="13" spans="2:7" x14ac:dyDescent="0.2">
      <c r="B13" s="177" t="s">
        <v>52</v>
      </c>
      <c r="C13" s="182">
        <v>2.3734099999999998</v>
      </c>
    </row>
    <row r="14" spans="2:7" x14ac:dyDescent="0.2">
      <c r="B14" s="177" t="s">
        <v>130</v>
      </c>
      <c r="C14" s="182">
        <v>2.3734099999999998</v>
      </c>
    </row>
    <row r="15" spans="2:7" x14ac:dyDescent="0.2">
      <c r="B15" s="177" t="s">
        <v>115</v>
      </c>
      <c r="C15" s="182">
        <v>2.3734099999999998</v>
      </c>
      <c r="F15" t="s">
        <v>303</v>
      </c>
      <c r="G15">
        <v>750</v>
      </c>
    </row>
    <row r="16" spans="2:7" x14ac:dyDescent="0.2">
      <c r="B16" s="177" t="s">
        <v>129</v>
      </c>
      <c r="C16" s="182">
        <v>2.3734099999999998</v>
      </c>
      <c r="F16" t="s">
        <v>301</v>
      </c>
      <c r="G16">
        <v>2.3734099999999998</v>
      </c>
    </row>
    <row r="17" spans="2:13" x14ac:dyDescent="0.2">
      <c r="B17" s="177" t="s">
        <v>152</v>
      </c>
      <c r="C17" s="182">
        <v>2.3734099999999998</v>
      </c>
      <c r="K17" t="s">
        <v>303</v>
      </c>
    </row>
    <row r="18" spans="2:13" x14ac:dyDescent="0.2">
      <c r="B18" s="177" t="s">
        <v>77</v>
      </c>
      <c r="C18" s="182">
        <v>2.3734099999999998</v>
      </c>
      <c r="F18" t="s">
        <v>302</v>
      </c>
      <c r="G18">
        <f>+G15/G16</f>
        <v>316.00102805667797</v>
      </c>
      <c r="K18" t="s">
        <v>306</v>
      </c>
      <c r="L18">
        <v>110</v>
      </c>
    </row>
    <row r="19" spans="2:13" x14ac:dyDescent="0.2">
      <c r="B19" s="177" t="s">
        <v>75</v>
      </c>
      <c r="C19" s="182">
        <v>2.3734099999999998</v>
      </c>
      <c r="F19" t="s">
        <v>304</v>
      </c>
      <c r="G19">
        <v>224.73</v>
      </c>
      <c r="K19" t="s">
        <v>307</v>
      </c>
      <c r="L19">
        <v>55</v>
      </c>
    </row>
    <row r="20" spans="2:13" x14ac:dyDescent="0.2">
      <c r="B20" s="177" t="s">
        <v>153</v>
      </c>
      <c r="C20" s="178">
        <v>2.4509799999999999</v>
      </c>
      <c r="G20">
        <f>+G18-G19</f>
        <v>91.271028056677977</v>
      </c>
      <c r="I20">
        <v>14.85</v>
      </c>
      <c r="J20" t="s">
        <v>305</v>
      </c>
    </row>
    <row r="21" spans="2:13" x14ac:dyDescent="0.2">
      <c r="B21" s="177" t="s">
        <v>154</v>
      </c>
      <c r="C21" s="178">
        <v>2.4509799999999999</v>
      </c>
      <c r="H21">
        <f>+G20*I20</f>
        <v>1355.374766641668</v>
      </c>
      <c r="M21" s="292"/>
    </row>
    <row r="22" spans="2:13" x14ac:dyDescent="0.2">
      <c r="B22" s="177" t="s">
        <v>155</v>
      </c>
      <c r="C22" s="178">
        <v>2.4509799999999999</v>
      </c>
    </row>
    <row r="23" spans="2:13" x14ac:dyDescent="0.2">
      <c r="B23" s="177" t="s">
        <v>156</v>
      </c>
      <c r="C23" s="178">
        <v>2.4509799999999999</v>
      </c>
    </row>
    <row r="24" spans="2:13" x14ac:dyDescent="0.2">
      <c r="B24" s="177" t="s">
        <v>157</v>
      </c>
      <c r="C24" s="178">
        <v>2.4509799999999999</v>
      </c>
      <c r="L24" s="277"/>
    </row>
    <row r="25" spans="2:13" x14ac:dyDescent="0.2">
      <c r="B25" s="177" t="s">
        <v>158</v>
      </c>
      <c r="C25" s="178">
        <v>2.4509799999999999</v>
      </c>
    </row>
    <row r="26" spans="2:13" x14ac:dyDescent="0.2">
      <c r="B26" s="177" t="s">
        <v>159</v>
      </c>
      <c r="C26" s="178">
        <v>2.4509799999999999</v>
      </c>
      <c r="G26">
        <v>2.6</v>
      </c>
      <c r="H26">
        <f>+G31/G26</f>
        <v>288.46153846153845</v>
      </c>
      <c r="L26" s="292"/>
    </row>
    <row r="27" spans="2:13" x14ac:dyDescent="0.2">
      <c r="B27" s="177" t="s">
        <v>160</v>
      </c>
      <c r="C27" s="178">
        <v>2.4509799999999999</v>
      </c>
      <c r="G27">
        <v>2.11</v>
      </c>
      <c r="H27">
        <f>+G31/G27</f>
        <v>355.45023696682466</v>
      </c>
      <c r="I27">
        <f>+G31/C39</f>
        <v>355.00101766958397</v>
      </c>
      <c r="L27" s="277"/>
    </row>
    <row r="28" spans="2:13" x14ac:dyDescent="0.2">
      <c r="B28" s="177" t="s">
        <v>161</v>
      </c>
      <c r="C28" s="178">
        <v>2.4509799999999999</v>
      </c>
      <c r="G28">
        <v>2.37</v>
      </c>
      <c r="H28">
        <f>+G31/G28</f>
        <v>316.45569620253161</v>
      </c>
      <c r="I28">
        <f>+G31/C19</f>
        <v>316.00102805667797</v>
      </c>
    </row>
    <row r="29" spans="2:13" x14ac:dyDescent="0.2">
      <c r="B29" s="177" t="s">
        <v>162</v>
      </c>
      <c r="C29" s="178">
        <v>2.4509799999999999</v>
      </c>
    </row>
    <row r="30" spans="2:13" x14ac:dyDescent="0.2">
      <c r="B30" s="177" t="s">
        <v>163</v>
      </c>
      <c r="C30" s="178">
        <v>2.4509799999999999</v>
      </c>
      <c r="F30">
        <v>375</v>
      </c>
    </row>
    <row r="31" spans="2:13" x14ac:dyDescent="0.2">
      <c r="B31" s="177" t="s">
        <v>320</v>
      </c>
      <c r="C31" s="178">
        <v>2.4509799999999999</v>
      </c>
      <c r="F31">
        <v>375</v>
      </c>
      <c r="G31">
        <f>++F31+F30</f>
        <v>750</v>
      </c>
      <c r="H31">
        <f>+G31/C33</f>
        <v>288.32070488645928</v>
      </c>
    </row>
    <row r="32" spans="2:13" x14ac:dyDescent="0.2">
      <c r="B32" s="177" t="s">
        <v>164</v>
      </c>
      <c r="C32" s="178">
        <v>2.4509799999999999</v>
      </c>
    </row>
    <row r="33" spans="2:3" x14ac:dyDescent="0.2">
      <c r="B33" s="177" t="s">
        <v>165</v>
      </c>
      <c r="C33" s="178">
        <v>2.60127</v>
      </c>
    </row>
    <row r="34" spans="2:3" x14ac:dyDescent="0.2">
      <c r="B34" s="177" t="s">
        <v>166</v>
      </c>
      <c r="C34" s="178">
        <v>2.60127</v>
      </c>
    </row>
    <row r="35" spans="2:3" x14ac:dyDescent="0.2">
      <c r="B35" s="177" t="s">
        <v>167</v>
      </c>
      <c r="C35" s="178">
        <v>2.60127</v>
      </c>
    </row>
    <row r="36" spans="2:3" x14ac:dyDescent="0.2">
      <c r="B36" s="177" t="s">
        <v>60</v>
      </c>
      <c r="C36" s="178">
        <v>2.11267</v>
      </c>
    </row>
    <row r="37" spans="2:3" x14ac:dyDescent="0.2">
      <c r="B37" s="177" t="s">
        <v>337</v>
      </c>
      <c r="C37" s="178">
        <v>2.4509799999999999</v>
      </c>
    </row>
    <row r="38" spans="2:3" x14ac:dyDescent="0.2">
      <c r="B38" s="177" t="s">
        <v>135</v>
      </c>
      <c r="C38" s="182">
        <v>2.3734099999999998</v>
      </c>
    </row>
    <row r="39" spans="2:3" x14ac:dyDescent="0.2">
      <c r="B39" s="177" t="s">
        <v>51</v>
      </c>
      <c r="C39" s="178">
        <v>2.11267</v>
      </c>
    </row>
    <row r="40" spans="2:3" x14ac:dyDescent="0.2">
      <c r="B40" s="177" t="s">
        <v>168</v>
      </c>
      <c r="C40" s="178">
        <v>2.11267</v>
      </c>
    </row>
    <row r="41" spans="2:3" x14ac:dyDescent="0.2">
      <c r="B41" s="177" t="s">
        <v>169</v>
      </c>
      <c r="C41" s="182">
        <v>2.3734099999999998</v>
      </c>
    </row>
    <row r="42" spans="2:3" x14ac:dyDescent="0.2">
      <c r="B42" s="177" t="s">
        <v>145</v>
      </c>
      <c r="C42" s="182">
        <v>2.3734099999999998</v>
      </c>
    </row>
    <row r="43" spans="2:3" x14ac:dyDescent="0.2">
      <c r="B43" s="177" t="s">
        <v>170</v>
      </c>
      <c r="C43" s="182">
        <v>2.11267</v>
      </c>
    </row>
    <row r="44" spans="2:3" x14ac:dyDescent="0.2">
      <c r="B44" s="177" t="s">
        <v>79</v>
      </c>
      <c r="C44" s="178">
        <v>2.11267</v>
      </c>
    </row>
    <row r="45" spans="2:3" x14ac:dyDescent="0.2">
      <c r="B45" s="177" t="s">
        <v>81</v>
      </c>
      <c r="C45" s="178">
        <v>2.11267</v>
      </c>
    </row>
    <row r="46" spans="2:3" x14ac:dyDescent="0.2">
      <c r="B46" s="177" t="s">
        <v>63</v>
      </c>
      <c r="C46" s="182">
        <v>2.3734099999999998</v>
      </c>
    </row>
    <row r="47" spans="2:3" x14ac:dyDescent="0.2">
      <c r="B47" s="177" t="s">
        <v>137</v>
      </c>
      <c r="C47" s="182">
        <v>2.3734099999999998</v>
      </c>
    </row>
    <row r="48" spans="2:3" x14ac:dyDescent="0.2">
      <c r="B48" s="177" t="s">
        <v>171</v>
      </c>
      <c r="C48" s="182">
        <v>2.3734099999999998</v>
      </c>
    </row>
    <row r="49" spans="2:3" x14ac:dyDescent="0.2">
      <c r="B49" s="177" t="s">
        <v>172</v>
      </c>
      <c r="C49" s="182">
        <v>2.3734099999999998</v>
      </c>
    </row>
    <row r="50" spans="2:3" x14ac:dyDescent="0.2">
      <c r="B50" s="177" t="s">
        <v>173</v>
      </c>
      <c r="C50" s="182">
        <v>2.3734099999999998</v>
      </c>
    </row>
    <row r="51" spans="2:3" x14ac:dyDescent="0.2">
      <c r="B51" s="177" t="s">
        <v>174</v>
      </c>
      <c r="C51" s="182">
        <v>2.3734099999999998</v>
      </c>
    </row>
    <row r="52" spans="2:3" x14ac:dyDescent="0.2">
      <c r="B52" s="177" t="s">
        <v>175</v>
      </c>
      <c r="C52" s="182">
        <v>2.3734099999999998</v>
      </c>
    </row>
    <row r="53" spans="2:3" x14ac:dyDescent="0.2">
      <c r="B53" s="177" t="s">
        <v>176</v>
      </c>
      <c r="C53" s="182">
        <v>2.3734099999999998</v>
      </c>
    </row>
    <row r="54" spans="2:3" x14ac:dyDescent="0.2">
      <c r="B54" s="177" t="s">
        <v>177</v>
      </c>
      <c r="C54" s="182">
        <v>2.3734099999999998</v>
      </c>
    </row>
    <row r="55" spans="2:3" x14ac:dyDescent="0.2">
      <c r="B55" s="177" t="s">
        <v>178</v>
      </c>
      <c r="C55" s="182">
        <v>2.3734099999999998</v>
      </c>
    </row>
    <row r="56" spans="2:3" x14ac:dyDescent="0.2">
      <c r="B56" s="177" t="s">
        <v>224</v>
      </c>
      <c r="C56" s="182">
        <v>2.11267</v>
      </c>
    </row>
    <row r="57" spans="2:3" x14ac:dyDescent="0.2">
      <c r="B57" s="177" t="s">
        <v>179</v>
      </c>
      <c r="C57" s="182">
        <v>2.3734099999999998</v>
      </c>
    </row>
    <row r="58" spans="2:3" x14ac:dyDescent="0.2">
      <c r="B58" s="177" t="s">
        <v>180</v>
      </c>
      <c r="C58" s="182">
        <v>2.3734099999999998</v>
      </c>
    </row>
    <row r="59" spans="2:3" ht="15" thickBot="1" x14ac:dyDescent="0.25">
      <c r="B59" s="180" t="s">
        <v>181</v>
      </c>
      <c r="C59" s="182">
        <v>2.3734099999999998</v>
      </c>
    </row>
  </sheetData>
  <phoneticPr fontId="33" type="noConversion"/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0"/>
  <dimension ref="B3:L5"/>
  <sheetViews>
    <sheetView workbookViewId="0">
      <selection activeCell="H24" sqref="H24"/>
    </sheetView>
  </sheetViews>
  <sheetFormatPr baseColWidth="10" defaultRowHeight="12.75" x14ac:dyDescent="0.2"/>
  <sheetData>
    <row r="3" spans="2:12" x14ac:dyDescent="0.2">
      <c r="B3" s="20"/>
      <c r="C3" s="20"/>
      <c r="D3" s="20"/>
      <c r="E3" s="20"/>
      <c r="J3" s="20" t="s">
        <v>61</v>
      </c>
    </row>
    <row r="4" spans="2:12" x14ac:dyDescent="0.2">
      <c r="D4" s="18"/>
      <c r="I4">
        <f>((IF(F4=1,((C4-40)*0.3)))+(IF(F4=2,((C4-40)*0.15))))/2</f>
        <v>0</v>
      </c>
      <c r="K4" s="689" t="s">
        <v>32</v>
      </c>
      <c r="L4" s="689"/>
    </row>
    <row r="5" spans="2:12" x14ac:dyDescent="0.2">
      <c r="I5">
        <f>((SUM(B4:B5)-40)/2.11)-C5</f>
        <v>-18.957345971563981</v>
      </c>
      <c r="K5" s="689" t="s">
        <v>62</v>
      </c>
      <c r="L5" s="689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NOMINA</vt:lpstr>
      <vt:lpstr>AGUILAR ESQUIVEL CARLOS</vt:lpstr>
      <vt:lpstr>AGUILAR RODRIGUEZ JORGE ALONSO</vt:lpstr>
      <vt:lpstr>AGUILERA CONTRERAS LUIS GERARDO</vt:lpstr>
      <vt:lpstr>ANCHONDO ROMERO CESAR ALEJANDRO</vt:lpstr>
      <vt:lpstr>BALDERRAMA ROBLES JORGE</vt:lpstr>
      <vt:lpstr>BALLEZA RAMIREZ JESUS JOSE</vt:lpstr>
      <vt:lpstr>BURGOS TORRES RIGOBERTO</vt:lpstr>
      <vt:lpstr>CARDENAS CARDENAS JAVIER </vt:lpstr>
      <vt:lpstr>CARRERA REYES MARTIN SEBASTIAN</vt:lpstr>
      <vt:lpstr>CORDOVA URIBE JOSE  ADRIAN</vt:lpstr>
      <vt:lpstr>GUZMAN CHAPARRO PEDRO</vt:lpstr>
      <vt:lpstr>HERNANDEZ LICANO JOSE LUIS</vt:lpstr>
      <vt:lpstr>LIRA ARCEO JOEL EDUARDO</vt:lpstr>
      <vt:lpstr>MARTINEZ RAMIREZ ROSALIO</vt:lpstr>
      <vt:lpstr>MACHADO MAZUCA ADOLFO</vt:lpstr>
      <vt:lpstr>MELENDEZ SINALOA MANUEL ARAT</vt:lpstr>
      <vt:lpstr>MERCADO LOPEZ JESUS</vt:lpstr>
      <vt:lpstr>MONTERO BURROLA LUIS</vt:lpstr>
      <vt:lpstr>MORALES LOPEZ DE LARA MARIANO</vt:lpstr>
      <vt:lpstr>NUÑEZ RUIZ IRVING JAVIER.</vt:lpstr>
      <vt:lpstr>ONTIVEROS LIRA JUAN</vt:lpstr>
      <vt:lpstr>ORONA BECERRA MAURO JOSE</vt:lpstr>
      <vt:lpstr>ORTIZ RAMIREZ HECTOR MANUEL</vt:lpstr>
      <vt:lpstr>RAMIREZ BAUTISTA ADRIAN</vt:lpstr>
      <vt:lpstr>REYES LARA DANTE</vt:lpstr>
      <vt:lpstr>RODRIGUEZ FLORES BRYAN DARIO</vt:lpstr>
      <vt:lpstr>RUIZ SAUCEDO DANIEL ALEJANDRO</vt:lpstr>
      <vt:lpstr>VALLES HERNANDEZ MANUEL MARCELI</vt:lpstr>
      <vt:lpstr>KM POR CHOFER</vt:lpstr>
      <vt:lpstr>KM POR UNIDAD</vt:lpstr>
      <vt:lpstr>KM POR CLIENTE</vt:lpstr>
      <vt:lpstr>KILOMETRAJE</vt:lpstr>
      <vt:lpstr>UNIDADES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2025-10-14T23:07:30Z</cp:lastPrinted>
  <dcterms:created xsi:type="dcterms:W3CDTF">2022-05-18T16:55:03Z</dcterms:created>
  <dcterms:modified xsi:type="dcterms:W3CDTF">2025-12-30T22:04:27Z</dcterms:modified>
</cp:coreProperties>
</file>