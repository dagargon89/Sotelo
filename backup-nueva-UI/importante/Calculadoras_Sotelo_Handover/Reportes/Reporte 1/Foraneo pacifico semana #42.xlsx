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O0942Z0\Desktop\LIQUIDACIONES\Nominas 2025\Nomina Foraneos\Foraneo Pacifico\10.-Octubre 40 - 43\"/>
    </mc:Choice>
  </mc:AlternateContent>
  <xr:revisionPtr revIDLastSave="0" documentId="13_ncr:1_{D3D657BF-A34D-4409-AAC3-E974A21A8A2B}" xr6:coauthVersionLast="47" xr6:coauthVersionMax="47" xr10:uidLastSave="{00000000-0000-0000-0000-000000000000}"/>
  <bookViews>
    <workbookView xWindow="-120" yWindow="-120" windowWidth="29040" windowHeight="15840" firstSheet="17" activeTab="20" xr2:uid="{00000000-000D-0000-FFFF-FFFF00000000}"/>
  </bookViews>
  <sheets>
    <sheet name="NOMINA" sheetId="15" r:id="rId1"/>
    <sheet name="CHAVEZ VARELA NESTOR ADRIAN" sheetId="5" r:id="rId2"/>
    <sheet name="CERDA HERNANDEZ JOSE LUIS" sheetId="24" r:id="rId3"/>
    <sheet name="ESCARCEGA GALDEAN JESUS OMAR" sheetId="11" r:id="rId4"/>
    <sheet name="ESTRADA ARELLANO ARTURO" sheetId="12" r:id="rId5"/>
    <sheet name="GRIJALVA VALDEZ CESAR EUSEBIO" sheetId="18" r:id="rId6"/>
    <sheet name="GONZALEZ LOZANO ENRIQUE " sheetId="25" r:id="rId7"/>
    <sheet name="GONZALEZ MARTINEZ MAURICIO" sheetId="1" r:id="rId8"/>
    <sheet name="TORRES GARAY LUIS HUMBERTO" sheetId="27" r:id="rId9"/>
    <sheet name="HERNANDEZ CONTRERAS JOSE FERNAN" sheetId="13" r:id="rId10"/>
    <sheet name="MARTA RUBIO MARTIN" sheetId="23" r:id="rId11"/>
    <sheet name="NEVAREZ JUAN MANUEL" sheetId="29" r:id="rId12"/>
    <sheet name="PACHECO BAÑUELOS ALFONSO" sheetId="4" r:id="rId13"/>
    <sheet name="PAYAN ESTRADA JOSE ANGEL" sheetId="19" r:id="rId14"/>
    <sheet name="HARO IMPERIAL JOSÉ ANTONIO" sheetId="21" r:id="rId15"/>
    <sheet name="LIRA TRISTAN JOSE ANGEL" sheetId="28" r:id="rId16"/>
    <sheet name="RODRIGUEZ RAMIREZ FERNANDO" sheetId="20" r:id="rId17"/>
    <sheet name="RODRIGUEZ VALLES JOSE FRANCISCO" sheetId="16" r:id="rId18"/>
    <sheet name="RUEDA SALAZAR ISMAEL" sheetId="22" r:id="rId19"/>
    <sheet name="RUIZ ALVARADO PEDRO" sheetId="30" r:id="rId20"/>
    <sheet name="RUIZ HERRERA ERICK " sheetId="31" r:id="rId21"/>
    <sheet name="KM POR CHOFER" sheetId="32" r:id="rId22"/>
    <sheet name="KM POR UNIDAD" sheetId="33" r:id="rId23"/>
    <sheet name="KM POR CLIENTE" sheetId="35" r:id="rId24"/>
    <sheet name="KILOMETRAJE" sheetId="10" r:id="rId25"/>
    <sheet name="UNIDADES" sheetId="34" r:id="rId26"/>
    <sheet name="FORMULAS" sheetId="9" r:id="rId27"/>
    <sheet name="Pago X Km" sheetId="36" r:id="rId28"/>
    <sheet name="GUZMAN MORALES" sheetId="7" r:id="rId29"/>
    <sheet name="SANCHEZ GUERRERO JOSE LUIS" sheetId="26" r:id="rId30"/>
    <sheet name="SALAZAR PEREZ JUAN CARLOS" sheetId="6" r:id="rId31"/>
    <sheet name="GONZALEZ SOTO JOEL" sheetId="17" r:id="rId32"/>
  </sheets>
  <externalReferences>
    <externalReference r:id="rId33"/>
  </externalReferences>
  <definedNames>
    <definedName name="ANDRES" localSheetId="26">#REF!</definedName>
    <definedName name="ANDRES" localSheetId="24">#REF!</definedName>
    <definedName name="ANDRES" localSheetId="21">#REF!</definedName>
    <definedName name="ANDRES" localSheetId="19">#REF!</definedName>
    <definedName name="ANDRES">#REF!</definedName>
    <definedName name="ARON" localSheetId="26">#REF!</definedName>
    <definedName name="ARON">#REF!</definedName>
    <definedName name="AUX">#REF!</definedName>
    <definedName name="BASE">#REF!</definedName>
    <definedName name="COPIA">#REF!</definedName>
    <definedName name="COPIAA">#REF!</definedName>
    <definedName name="CRUCE">#REF!</definedName>
    <definedName name="CRUCES">#REF!</definedName>
    <definedName name="_xlnm.Recorder">#REF!</definedName>
    <definedName name="IGOB">#REF!</definedName>
    <definedName name="INCON">#REF!</definedName>
    <definedName name="MIRE">#REF!</definedName>
    <definedName name="MIRO">#REF!</definedName>
    <definedName name="NOM">#REF!</definedName>
    <definedName name="NOM.">#REF!</definedName>
    <definedName name="NOM.04">#REF!</definedName>
    <definedName name="NOMIN">#REF!</definedName>
    <definedName name="NOMINA">#REF!</definedName>
    <definedName name="NUEVO">#REF!</definedName>
    <definedName name="SEM.03">#REF!</definedName>
    <definedName name="SEM.03B">#REF!</definedName>
    <definedName name="SEM.03C">#REF!</definedName>
    <definedName name="SEM.03V">#REF!</definedName>
    <definedName name="SEM.04">#REF!</definedName>
    <definedName name="SEM.04.">#REF!</definedName>
    <definedName name="SEMANA.03">#REF!</definedName>
    <definedName name="SSEM.08">#REF!</definedName>
    <definedName name="TABLA3">#REF!</definedName>
    <definedName name="TABLA4">#REF!</definedName>
    <definedName name="TABLA7">#REF!</definedName>
    <definedName name="TABLA7.05">#REF!</definedName>
    <definedName name="TABLA7.08">#REF!</definedName>
    <definedName name="TABLA7.3">#REF!</definedName>
    <definedName name="TABLA7.31">#REF!</definedName>
    <definedName name="TABLA7.5">#REF!</definedName>
    <definedName name="TABLA8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4" i="21" l="1"/>
  <c r="J24" i="21"/>
  <c r="Q24" i="21" s="1"/>
  <c r="I24" i="21"/>
  <c r="H24" i="21"/>
  <c r="J23" i="21"/>
  <c r="Q23" i="21" s="1"/>
  <c r="I23" i="21"/>
  <c r="H23" i="21"/>
  <c r="J22" i="21"/>
  <c r="Q22" i="21" s="1"/>
  <c r="I22" i="21"/>
  <c r="H22" i="21"/>
  <c r="R22" i="30"/>
  <c r="J22" i="30"/>
  <c r="Q22" i="30" s="1"/>
  <c r="I22" i="30"/>
  <c r="H22" i="30"/>
  <c r="J21" i="30"/>
  <c r="Q21" i="30" s="1"/>
  <c r="I21" i="30"/>
  <c r="H21" i="30"/>
  <c r="J26" i="22"/>
  <c r="Q26" i="22" s="1"/>
  <c r="I26" i="22"/>
  <c r="H26" i="22"/>
  <c r="J25" i="22"/>
  <c r="Q25" i="22" s="1"/>
  <c r="I25" i="22"/>
  <c r="H25" i="22"/>
  <c r="S22" i="30" l="1"/>
  <c r="T22" i="30" s="1"/>
  <c r="S26" i="22"/>
  <c r="T26" i="22" s="1"/>
  <c r="L22" i="30"/>
  <c r="S24" i="21"/>
  <c r="T24" i="21" s="1"/>
  <c r="L24" i="21"/>
  <c r="J22" i="24"/>
  <c r="Q22" i="24" s="1"/>
  <c r="I22" i="24"/>
  <c r="H22" i="24"/>
  <c r="J21" i="24"/>
  <c r="Q21" i="24" s="1"/>
  <c r="I21" i="24"/>
  <c r="H21" i="24"/>
  <c r="R22" i="24"/>
  <c r="R22" i="29"/>
  <c r="J22" i="29"/>
  <c r="Q22" i="29" s="1"/>
  <c r="I22" i="29"/>
  <c r="H22" i="29"/>
  <c r="J21" i="29"/>
  <c r="Q21" i="29" s="1"/>
  <c r="I21" i="29"/>
  <c r="H21" i="29"/>
  <c r="M49" i="27"/>
  <c r="R23" i="20"/>
  <c r="Q21" i="20"/>
  <c r="H21" i="20"/>
  <c r="J23" i="20"/>
  <c r="Q23" i="20" s="1"/>
  <c r="I23" i="20"/>
  <c r="H23" i="20"/>
  <c r="Q22" i="20"/>
  <c r="I22" i="20"/>
  <c r="K44" i="28"/>
  <c r="K43" i="28"/>
  <c r="R24" i="28"/>
  <c r="J24" i="28"/>
  <c r="Q24" i="28" s="1"/>
  <c r="I24" i="28"/>
  <c r="H24" i="28"/>
  <c r="J23" i="28"/>
  <c r="Q23" i="28" s="1"/>
  <c r="I23" i="28"/>
  <c r="H23" i="28"/>
  <c r="J22" i="28"/>
  <c r="Q22" i="28" s="1"/>
  <c r="I22" i="28"/>
  <c r="H22" i="28"/>
  <c r="R22" i="13"/>
  <c r="J22" i="13"/>
  <c r="Q22" i="13" s="1"/>
  <c r="I22" i="13"/>
  <c r="H22" i="13"/>
  <c r="J21" i="13"/>
  <c r="Q21" i="13" s="1"/>
  <c r="I21" i="13"/>
  <c r="H21" i="13"/>
  <c r="R22" i="1"/>
  <c r="J22" i="1"/>
  <c r="Q22" i="1" s="1"/>
  <c r="I22" i="1"/>
  <c r="H22" i="1"/>
  <c r="J21" i="1"/>
  <c r="I21" i="1"/>
  <c r="H21" i="1"/>
  <c r="R22" i="16"/>
  <c r="J22" i="16"/>
  <c r="Q22" i="16" s="1"/>
  <c r="I22" i="16"/>
  <c r="H22" i="16"/>
  <c r="J21" i="16"/>
  <c r="I21" i="16"/>
  <c r="H21" i="16"/>
  <c r="J24" i="22"/>
  <c r="L26" i="22" s="1"/>
  <c r="I24" i="22"/>
  <c r="H24" i="22"/>
  <c r="J23" i="22"/>
  <c r="I23" i="22"/>
  <c r="H23" i="22"/>
  <c r="R20" i="30"/>
  <c r="S22" i="24" l="1"/>
  <c r="T22" i="24" s="1"/>
  <c r="L22" i="1"/>
  <c r="L22" i="24"/>
  <c r="S22" i="16"/>
  <c r="T22" i="16" s="1"/>
  <c r="S24" i="22"/>
  <c r="T24" i="22" s="1"/>
  <c r="L22" i="16"/>
  <c r="L22" i="29"/>
  <c r="L24" i="22"/>
  <c r="S22" i="13"/>
  <c r="T22" i="13" s="1"/>
  <c r="Q21" i="16"/>
  <c r="L24" i="28"/>
  <c r="Q21" i="1"/>
  <c r="S22" i="29"/>
  <c r="T22" i="29" s="1"/>
  <c r="L22" i="13"/>
  <c r="S24" i="28"/>
  <c r="T24" i="28" s="1"/>
  <c r="S22" i="1"/>
  <c r="T22" i="1" s="1"/>
  <c r="L23" i="20"/>
  <c r="S23" i="20"/>
  <c r="T23" i="20" s="1"/>
  <c r="K47" i="16"/>
  <c r="R21" i="21"/>
  <c r="J21" i="21"/>
  <c r="Q21" i="21" s="1"/>
  <c r="I21" i="21"/>
  <c r="H21" i="21"/>
  <c r="J22" i="22"/>
  <c r="L22" i="22" s="1"/>
  <c r="I22" i="22"/>
  <c r="H22" i="22"/>
  <c r="H21" i="22"/>
  <c r="S22" i="22" l="1"/>
  <c r="T22" i="22" s="1"/>
  <c r="K47" i="28"/>
  <c r="K46" i="28"/>
  <c r="R20" i="22"/>
  <c r="R21" i="28" l="1"/>
  <c r="J20" i="28"/>
  <c r="I20" i="28"/>
  <c r="H20" i="28"/>
  <c r="J19" i="28"/>
  <c r="I19" i="28"/>
  <c r="H19" i="28"/>
  <c r="J21" i="28"/>
  <c r="Q21" i="28" s="1"/>
  <c r="I21" i="28"/>
  <c r="H21" i="28"/>
  <c r="S21" i="28" l="1"/>
  <c r="T21" i="28" s="1"/>
  <c r="T35" i="22"/>
  <c r="R20" i="13" l="1"/>
  <c r="J20" i="13"/>
  <c r="Q20" i="13" s="1"/>
  <c r="I20" i="13"/>
  <c r="H20" i="13"/>
  <c r="J20" i="22" l="1"/>
  <c r="Q20" i="22" s="1"/>
  <c r="I20" i="22"/>
  <c r="H20" i="22"/>
  <c r="J19" i="22"/>
  <c r="Q19" i="22" s="1"/>
  <c r="I19" i="22"/>
  <c r="H19" i="22"/>
  <c r="T20" i="12"/>
  <c r="R20" i="12"/>
  <c r="Q20" i="12"/>
  <c r="Q19" i="12"/>
  <c r="J20" i="11"/>
  <c r="I20" i="11"/>
  <c r="H20" i="11"/>
  <c r="J19" i="11"/>
  <c r="I19" i="11"/>
  <c r="H19" i="11"/>
  <c r="S20" i="22" l="1"/>
  <c r="T20" i="22" s="1"/>
  <c r="R20" i="29"/>
  <c r="R21" i="11" l="1"/>
  <c r="J21" i="11"/>
  <c r="L21" i="11" s="1"/>
  <c r="I21" i="11"/>
  <c r="H21" i="11"/>
  <c r="S21" i="11" l="1"/>
  <c r="T21" i="11" s="1"/>
  <c r="Q21" i="11"/>
  <c r="Q20" i="28" l="1"/>
  <c r="J20" i="29"/>
  <c r="Q20" i="29" s="1"/>
  <c r="I20" i="29"/>
  <c r="H20" i="29"/>
  <c r="L21" i="28" l="1"/>
  <c r="J19" i="13"/>
  <c r="I19" i="13"/>
  <c r="H19" i="13"/>
  <c r="L20" i="13" l="1"/>
  <c r="S20" i="13"/>
  <c r="T20" i="13" s="1"/>
  <c r="R20" i="24"/>
  <c r="J20" i="24"/>
  <c r="Q20" i="24" s="1"/>
  <c r="I20" i="24"/>
  <c r="H20" i="24"/>
  <c r="R21" i="23" l="1"/>
  <c r="J21" i="23"/>
  <c r="Q21" i="23" s="1"/>
  <c r="I21" i="23"/>
  <c r="H21" i="23"/>
  <c r="J20" i="23" l="1"/>
  <c r="Q20" i="23" s="1"/>
  <c r="I20" i="23"/>
  <c r="H20" i="23"/>
  <c r="R20" i="16" l="1"/>
  <c r="J20" i="16" l="1"/>
  <c r="Q20" i="16" s="1"/>
  <c r="I20" i="16"/>
  <c r="H20" i="16"/>
  <c r="Q20" i="11" l="1"/>
  <c r="J19" i="23" l="1"/>
  <c r="L21" i="23" s="1"/>
  <c r="I19" i="23"/>
  <c r="H19" i="23"/>
  <c r="S21" i="23" l="1"/>
  <c r="T21" i="23" s="1"/>
  <c r="F38" i="23" s="1"/>
  <c r="F15" i="32"/>
  <c r="G15" i="32"/>
  <c r="Q19" i="23"/>
  <c r="F37" i="23" s="1"/>
  <c r="T22" i="18"/>
  <c r="F34" i="18" s="1"/>
  <c r="R22" i="18"/>
  <c r="Q22" i="18"/>
  <c r="Q21" i="18"/>
  <c r="J22" i="18" l="1"/>
  <c r="I22" i="18"/>
  <c r="H22" i="18"/>
  <c r="J21" i="18"/>
  <c r="I21" i="18"/>
  <c r="H21" i="18"/>
  <c r="H19" i="1" l="1"/>
  <c r="F7" i="32" l="1"/>
  <c r="Q19" i="11" l="1"/>
  <c r="F36" i="11" s="1"/>
  <c r="F37" i="11"/>
  <c r="J19" i="4"/>
  <c r="I19" i="4"/>
  <c r="H19" i="4"/>
  <c r="R20" i="4" l="1"/>
  <c r="J20" i="4"/>
  <c r="Q20" i="4" s="1"/>
  <c r="I20" i="4"/>
  <c r="H20" i="4"/>
  <c r="J20" i="18" l="1"/>
  <c r="Q20" i="18" s="1"/>
  <c r="I20" i="18"/>
  <c r="H20" i="18"/>
  <c r="R20" i="25" l="1"/>
  <c r="R21" i="5" l="1"/>
  <c r="J21" i="5"/>
  <c r="Q21" i="5" s="1"/>
  <c r="I21" i="5"/>
  <c r="H21" i="5"/>
  <c r="J20" i="25"/>
  <c r="Q20" i="25" s="1"/>
  <c r="I20" i="25"/>
  <c r="H20" i="25"/>
  <c r="Q19" i="4" l="1"/>
  <c r="F37" i="4" s="1"/>
  <c r="J20" i="5" l="1"/>
  <c r="Q20" i="5" s="1"/>
  <c r="I20" i="5"/>
  <c r="H20" i="5"/>
  <c r="R21" i="31" l="1"/>
  <c r="J21" i="31"/>
  <c r="Q21" i="31" s="1"/>
  <c r="I21" i="31"/>
  <c r="H21" i="31"/>
  <c r="J20" i="21" l="1"/>
  <c r="Q20" i="21" s="1"/>
  <c r="I20" i="21"/>
  <c r="H20" i="21"/>
  <c r="H19" i="16"/>
  <c r="I19" i="16"/>
  <c r="J19" i="16"/>
  <c r="T36" i="20"/>
  <c r="T37" i="20"/>
  <c r="T40" i="16"/>
  <c r="S20" i="16" l="1"/>
  <c r="T20" i="16" s="1"/>
  <c r="F39" i="16" s="1"/>
  <c r="L20" i="16"/>
  <c r="Q19" i="16"/>
  <c r="F38" i="16" l="1"/>
  <c r="R20" i="20"/>
  <c r="J19" i="24" l="1"/>
  <c r="Q19" i="24" s="1"/>
  <c r="I19" i="24"/>
  <c r="H19" i="24"/>
  <c r="L20" i="24" l="1"/>
  <c r="S20" i="24"/>
  <c r="T20" i="24" s="1"/>
  <c r="F36" i="13" l="1"/>
  <c r="Q19" i="13"/>
  <c r="F35" i="13" s="1"/>
  <c r="T40" i="11" l="1"/>
  <c r="R20" i="27" l="1"/>
  <c r="J20" i="30" l="1"/>
  <c r="Q20" i="30" s="1"/>
  <c r="I20" i="30"/>
  <c r="H20" i="30"/>
  <c r="J16" i="30" l="1"/>
  <c r="H19" i="30"/>
  <c r="I19" i="30"/>
  <c r="J19" i="30"/>
  <c r="N27" i="30"/>
  <c r="F32" i="30" s="1"/>
  <c r="T32" i="30"/>
  <c r="T33" i="30"/>
  <c r="T34" i="30"/>
  <c r="L37" i="30"/>
  <c r="J20" i="20"/>
  <c r="Q20" i="20" s="1"/>
  <c r="I20" i="20"/>
  <c r="H20" i="20"/>
  <c r="J19" i="20"/>
  <c r="I19" i="20"/>
  <c r="H19" i="20"/>
  <c r="S20" i="30" l="1"/>
  <c r="T20" i="30" s="1"/>
  <c r="F31" i="30" s="1"/>
  <c r="Q19" i="30"/>
  <c r="F30" i="30" s="1"/>
  <c r="L20" i="30"/>
  <c r="S20" i="20"/>
  <c r="T20" i="20" s="1"/>
  <c r="F34" i="20" s="1"/>
  <c r="L20" i="20"/>
  <c r="F16" i="30"/>
  <c r="P16" i="30" s="1"/>
  <c r="Q19" i="20"/>
  <c r="F33" i="20" s="1"/>
  <c r="F39" i="30" l="1"/>
  <c r="Q29" i="30" s="1"/>
  <c r="T35" i="20" l="1"/>
  <c r="J19" i="29" l="1"/>
  <c r="S20" i="29" s="1"/>
  <c r="T20" i="29" s="1"/>
  <c r="I19" i="29"/>
  <c r="H19" i="29"/>
  <c r="L20" i="29" l="1"/>
  <c r="Q19" i="29"/>
  <c r="F35" i="29" s="1"/>
  <c r="F36" i="29"/>
  <c r="D68" i="33" l="1"/>
  <c r="B68" i="33"/>
  <c r="E68" i="33" l="1"/>
  <c r="F29" i="24" l="1"/>
  <c r="C35" i="35" l="1"/>
  <c r="C33" i="35"/>
  <c r="C32" i="35"/>
  <c r="C31" i="35"/>
  <c r="C30" i="35"/>
  <c r="C29" i="35"/>
  <c r="C28" i="35"/>
  <c r="C26" i="35"/>
  <c r="C24" i="35"/>
  <c r="C23" i="35"/>
  <c r="C22" i="35"/>
  <c r="C20" i="35"/>
  <c r="C19" i="35"/>
  <c r="C18" i="35"/>
  <c r="C17" i="35"/>
  <c r="C15" i="35"/>
  <c r="C14" i="35"/>
  <c r="C13" i="35"/>
  <c r="C12" i="35"/>
  <c r="C11" i="35"/>
  <c r="C10" i="35"/>
  <c r="C9" i="35"/>
  <c r="C8" i="35"/>
  <c r="T39" i="1" l="1"/>
  <c r="J20" i="31" l="1"/>
  <c r="I20" i="31"/>
  <c r="H20" i="31"/>
  <c r="J19" i="31"/>
  <c r="I19" i="31"/>
  <c r="H19" i="31"/>
  <c r="L21" i="31" l="1"/>
  <c r="S21" i="31"/>
  <c r="T21" i="31" s="1"/>
  <c r="F32" i="31" s="1"/>
  <c r="Q19" i="31"/>
  <c r="C34" i="35"/>
  <c r="Q20" i="31"/>
  <c r="C16" i="35"/>
  <c r="F31" i="31" l="1"/>
  <c r="T35" i="5"/>
  <c r="H7" i="32" l="1"/>
  <c r="E7" i="32"/>
  <c r="J19" i="25" l="1"/>
  <c r="I19" i="25"/>
  <c r="H19" i="25"/>
  <c r="T40" i="12"/>
  <c r="J19" i="5"/>
  <c r="I19" i="5"/>
  <c r="H19" i="5"/>
  <c r="F34" i="22" l="1"/>
  <c r="L20" i="22"/>
  <c r="F33" i="22"/>
  <c r="L20" i="25"/>
  <c r="S20" i="25"/>
  <c r="T20" i="25" s="1"/>
  <c r="F37" i="25" s="1"/>
  <c r="L21" i="5"/>
  <c r="S21" i="5"/>
  <c r="T21" i="5" s="1"/>
  <c r="F34" i="5" s="1"/>
  <c r="Q19" i="25"/>
  <c r="F36" i="25" s="1"/>
  <c r="Q19" i="5"/>
  <c r="F33" i="5" s="1"/>
  <c r="T38" i="19" l="1"/>
  <c r="T37" i="19"/>
  <c r="R20" i="1"/>
  <c r="J19" i="1"/>
  <c r="H19" i="12"/>
  <c r="I19" i="12"/>
  <c r="J19" i="12"/>
  <c r="E5" i="32" l="1"/>
  <c r="T38" i="11"/>
  <c r="J20" i="1" l="1"/>
  <c r="L11" i="12"/>
  <c r="H29" i="5"/>
  <c r="I29" i="5" s="1"/>
  <c r="J29" i="5" s="1"/>
  <c r="K29" i="5" s="1"/>
  <c r="L29" i="5" s="1"/>
  <c r="M29" i="5" s="1"/>
  <c r="L20" i="1" l="1"/>
  <c r="S20" i="1"/>
  <c r="T20" i="6" l="1"/>
  <c r="T21" i="26"/>
  <c r="T20" i="7"/>
  <c r="T20" i="17"/>
  <c r="T43" i="21" l="1"/>
  <c r="Q19" i="28" l="1"/>
  <c r="F34" i="28" s="1"/>
  <c r="Q3" i="24"/>
  <c r="Q3" i="13"/>
  <c r="F31" i="13"/>
  <c r="F29" i="22" s="1"/>
  <c r="T36" i="5" l="1"/>
  <c r="T37" i="5"/>
  <c r="T42" i="21" l="1"/>
  <c r="H29" i="22"/>
  <c r="I29" i="22" s="1"/>
  <c r="J29" i="22" s="1"/>
  <c r="K29" i="22" s="1"/>
  <c r="F35" i="28" l="1"/>
  <c r="J16" i="28" l="1"/>
  <c r="J16" i="6"/>
  <c r="J16" i="26"/>
  <c r="J16" i="16"/>
  <c r="J16" i="20"/>
  <c r="J16" i="25"/>
  <c r="J16" i="19"/>
  <c r="J16" i="18"/>
  <c r="J16" i="21"/>
  <c r="J16" i="27"/>
  <c r="J16" i="29"/>
  <c r="J16" i="23"/>
  <c r="J16" i="22"/>
  <c r="J16" i="13"/>
  <c r="J16" i="7"/>
  <c r="J16" i="17"/>
  <c r="J16" i="1"/>
  <c r="J16" i="31"/>
  <c r="J16" i="12"/>
  <c r="J16" i="4"/>
  <c r="J16" i="11"/>
  <c r="J16" i="24"/>
  <c r="J16" i="5"/>
  <c r="T34" i="31" l="1"/>
  <c r="T37" i="29" l="1"/>
  <c r="C68" i="33" s="1"/>
  <c r="T36" i="22" l="1"/>
  <c r="R20" i="19" l="1"/>
  <c r="J20" i="19"/>
  <c r="Q20" i="19" s="1"/>
  <c r="I20" i="19"/>
  <c r="H20" i="19"/>
  <c r="N30" i="20" l="1"/>
  <c r="F35" i="20" s="1"/>
  <c r="F42" i="20" s="1"/>
  <c r="T38" i="1" l="1"/>
  <c r="T40" i="1"/>
  <c r="T39" i="23"/>
  <c r="H12" i="32" l="1"/>
  <c r="Q20" i="7" l="1"/>
  <c r="Q19" i="7"/>
  <c r="T38" i="13" l="1"/>
  <c r="T39" i="13"/>
  <c r="Q20" i="1" l="1"/>
  <c r="I20" i="1"/>
  <c r="H20" i="1"/>
  <c r="I19" i="1"/>
  <c r="T37" i="28"/>
  <c r="T20" i="1" l="1"/>
  <c r="F37" i="1" s="1"/>
  <c r="Q19" i="1"/>
  <c r="F36" i="1" s="1"/>
  <c r="J19" i="17" l="1"/>
  <c r="I19" i="17"/>
  <c r="H19" i="17"/>
  <c r="Q19" i="17" l="1"/>
  <c r="G12" i="32"/>
  <c r="T40" i="17" l="1"/>
  <c r="T39" i="17"/>
  <c r="D36" i="33" l="1"/>
  <c r="J19" i="7" l="1"/>
  <c r="H19" i="7" l="1"/>
  <c r="I19" i="7"/>
  <c r="T36" i="28" l="1"/>
  <c r="R20" i="17" l="1"/>
  <c r="J20" i="17"/>
  <c r="I20" i="17"/>
  <c r="H20" i="17"/>
  <c r="R20" i="6"/>
  <c r="J20" i="6"/>
  <c r="Q20" i="6" s="1"/>
  <c r="I20" i="6"/>
  <c r="H20" i="6"/>
  <c r="Q20" i="17" l="1"/>
  <c r="F12" i="32"/>
  <c r="F16" i="17"/>
  <c r="T42" i="7"/>
  <c r="H20" i="7"/>
  <c r="I20" i="7"/>
  <c r="J20" i="7"/>
  <c r="S20" i="7" s="1"/>
  <c r="K26" i="32" s="1"/>
  <c r="T33" i="31"/>
  <c r="T35" i="31"/>
  <c r="L20" i="7" l="1"/>
  <c r="T37" i="13" l="1"/>
  <c r="F16" i="28" l="1"/>
  <c r="F10" i="32"/>
  <c r="T38" i="25" l="1"/>
  <c r="T41" i="12" l="1"/>
  <c r="T42" i="12"/>
  <c r="L11" i="29" l="1"/>
  <c r="N32" i="13" l="1"/>
  <c r="F37" i="13" s="1"/>
  <c r="F37" i="17" l="1"/>
  <c r="S20" i="17"/>
  <c r="L20" i="17"/>
  <c r="D67" i="33"/>
  <c r="B67" i="33"/>
  <c r="D66" i="33"/>
  <c r="B66" i="33"/>
  <c r="E67" i="33" l="1"/>
  <c r="E66" i="33"/>
  <c r="N28" i="31" l="1"/>
  <c r="F33" i="31" s="1"/>
  <c r="F40" i="31" s="1"/>
  <c r="G7" i="32" l="1"/>
  <c r="J20" i="27" l="1"/>
  <c r="I20" i="27"/>
  <c r="H20" i="27"/>
  <c r="J19" i="27"/>
  <c r="I19" i="27"/>
  <c r="H19" i="27"/>
  <c r="Q19" i="27" l="1"/>
  <c r="C3" i="35"/>
  <c r="C7" i="35"/>
  <c r="Q20" i="27"/>
  <c r="S20" i="27"/>
  <c r="T20" i="27" s="1"/>
  <c r="F37" i="27" s="1"/>
  <c r="C27" i="35"/>
  <c r="L20" i="27"/>
  <c r="F36" i="27" l="1"/>
  <c r="T38" i="27"/>
  <c r="T39" i="27"/>
  <c r="T40" i="27"/>
  <c r="J19" i="19" l="1"/>
  <c r="I19" i="19"/>
  <c r="H19" i="19"/>
  <c r="J19" i="21"/>
  <c r="I19" i="21"/>
  <c r="H19" i="21"/>
  <c r="S21" i="21" l="1"/>
  <c r="T21" i="21" s="1"/>
  <c r="F40" i="21" s="1"/>
  <c r="L21" i="21"/>
  <c r="C6" i="35"/>
  <c r="S20" i="19"/>
  <c r="L20" i="19"/>
  <c r="Q19" i="19"/>
  <c r="F35" i="19" s="1"/>
  <c r="Q19" i="21"/>
  <c r="F39" i="21" s="1"/>
  <c r="T20" i="19" l="1"/>
  <c r="F36" i="19" s="1"/>
  <c r="F44" i="13" l="1"/>
  <c r="G5" i="32" l="1"/>
  <c r="F5" i="32"/>
  <c r="F16" i="29"/>
  <c r="F38" i="17" l="1"/>
  <c r="J19" i="6" l="1"/>
  <c r="I19" i="6"/>
  <c r="H19" i="6"/>
  <c r="S20" i="6" l="1"/>
  <c r="K25" i="32" s="1"/>
  <c r="L20" i="6"/>
  <c r="Q19" i="6"/>
  <c r="T40" i="4"/>
  <c r="S20" i="4" l="1"/>
  <c r="T20" i="4" s="1"/>
  <c r="F38" i="4" s="1"/>
  <c r="L20" i="4" l="1"/>
  <c r="C5" i="35"/>
  <c r="T36" i="24" l="1"/>
  <c r="T35" i="24"/>
  <c r="T37" i="24"/>
  <c r="F34" i="24" l="1"/>
  <c r="F33" i="24"/>
  <c r="F15" i="4" l="1"/>
  <c r="F14" i="4"/>
  <c r="R21" i="26" l="1"/>
  <c r="T41" i="4" l="1"/>
  <c r="T38" i="6" l="1"/>
  <c r="F36" i="6" l="1"/>
  <c r="F37" i="6" l="1"/>
  <c r="J20" i="12" l="1"/>
  <c r="I20" i="12"/>
  <c r="H20" i="12"/>
  <c r="C4" i="35" l="1"/>
  <c r="S20" i="12"/>
  <c r="L20" i="12"/>
  <c r="C25" i="35"/>
  <c r="C21" i="35"/>
  <c r="F38" i="12"/>
  <c r="T36" i="18"/>
  <c r="F39" i="12" l="1"/>
  <c r="N34" i="23"/>
  <c r="F39" i="23" s="1"/>
  <c r="J19" i="26" l="1"/>
  <c r="T40" i="7"/>
  <c r="T41" i="7"/>
  <c r="F35" i="21"/>
  <c r="F29" i="18" s="1"/>
  <c r="Q19" i="26" l="1"/>
  <c r="H20" i="26"/>
  <c r="I20" i="26"/>
  <c r="J20" i="26"/>
  <c r="Q20" i="26" s="1"/>
  <c r="H21" i="26"/>
  <c r="I21" i="26"/>
  <c r="J21" i="26"/>
  <c r="Q21" i="26" s="1"/>
  <c r="S21" i="26" l="1"/>
  <c r="L21" i="26"/>
  <c r="J19" i="18" l="1"/>
  <c r="S22" i="18" s="1"/>
  <c r="I19" i="18"/>
  <c r="H19" i="18"/>
  <c r="Q19" i="18" l="1"/>
  <c r="Q3" i="21" l="1"/>
  <c r="T41" i="21" l="1"/>
  <c r="I19" i="26" l="1"/>
  <c r="H19" i="26"/>
  <c r="T40" i="26" l="1"/>
  <c r="T41" i="26"/>
  <c r="L12" i="10" l="1"/>
  <c r="N12" i="10" s="1"/>
  <c r="L11" i="10"/>
  <c r="N11" i="10" s="1"/>
  <c r="L10" i="10"/>
  <c r="N10" i="10" s="1"/>
  <c r="L6" i="10"/>
  <c r="M6" i="10" s="1"/>
  <c r="N6" i="10" s="1"/>
  <c r="L5" i="10"/>
  <c r="M5" i="10" s="1"/>
  <c r="N5" i="10" s="1"/>
  <c r="L4" i="10"/>
  <c r="M4" i="10" s="1"/>
  <c r="N4" i="10" s="1"/>
  <c r="R4" i="10" l="1"/>
  <c r="R5" i="10"/>
  <c r="R6" i="10"/>
  <c r="Q3" i="20" l="1"/>
  <c r="L11" i="20"/>
  <c r="L40" i="20"/>
  <c r="F16" i="20" l="1"/>
  <c r="P16" i="20" s="1"/>
  <c r="Q32" i="20" l="1"/>
  <c r="N35" i="16" l="1"/>
  <c r="F40" i="16" s="1"/>
  <c r="L43" i="27" l="1"/>
  <c r="L40" i="18"/>
  <c r="F34" i="7" l="1"/>
  <c r="H34" i="7" s="1"/>
  <c r="I34" i="7" s="1"/>
  <c r="J34" i="7" s="1"/>
  <c r="K34" i="7" s="1"/>
  <c r="L34" i="7" s="1"/>
  <c r="F32" i="11"/>
  <c r="H29" i="24"/>
  <c r="F33" i="4" l="1"/>
  <c r="F27" i="31"/>
  <c r="I29" i="24"/>
  <c r="H35" i="21"/>
  <c r="H32" i="11"/>
  <c r="I32" i="11" s="1"/>
  <c r="J32" i="11" s="1"/>
  <c r="K32" i="11" s="1"/>
  <c r="L32" i="11" s="1"/>
  <c r="H33" i="4" l="1"/>
  <c r="I33" i="4" s="1"/>
  <c r="I32" i="1" s="1"/>
  <c r="F34" i="12"/>
  <c r="H34" i="12" s="1"/>
  <c r="I34" i="12" s="1"/>
  <c r="J34" i="12" s="1"/>
  <c r="K34" i="12" s="1"/>
  <c r="L34" i="12" s="1"/>
  <c r="H27" i="31"/>
  <c r="I27" i="31" s="1"/>
  <c r="J27" i="31" s="1"/>
  <c r="K27" i="31" s="1"/>
  <c r="L27" i="31" s="1"/>
  <c r="F32" i="1"/>
  <c r="F32" i="25" s="1"/>
  <c r="J29" i="24"/>
  <c r="I35" i="21"/>
  <c r="H32" i="1" l="1"/>
  <c r="K29" i="24"/>
  <c r="J35" i="21"/>
  <c r="J33" i="4"/>
  <c r="J32" i="1" s="1"/>
  <c r="K33" i="4" l="1"/>
  <c r="L29" i="24"/>
  <c r="L35" i="21" s="1"/>
  <c r="K35" i="21"/>
  <c r="L33" i="4" l="1"/>
  <c r="L32" i="1" s="1"/>
  <c r="K32" i="1"/>
  <c r="F33" i="18"/>
  <c r="Q6" i="24" l="1"/>
  <c r="Q6" i="11" s="1"/>
  <c r="M24" i="32" l="1"/>
  <c r="L41" i="28" l="1"/>
  <c r="F24" i="32" l="1"/>
  <c r="K6" i="32" l="1"/>
  <c r="O27" i="32" l="1"/>
  <c r="N27" i="32"/>
  <c r="M27" i="32"/>
  <c r="O6" i="32"/>
  <c r="N6" i="32"/>
  <c r="M6" i="32"/>
  <c r="C36" i="35" l="1"/>
  <c r="Q3" i="26"/>
  <c r="Q3" i="6" s="1"/>
  <c r="B62" i="33" l="1"/>
  <c r="D65" i="33"/>
  <c r="B65" i="33"/>
  <c r="D64" i="33"/>
  <c r="B64" i="33"/>
  <c r="D63" i="33"/>
  <c r="B63" i="33"/>
  <c r="D62" i="33"/>
  <c r="D61" i="33"/>
  <c r="B61" i="33"/>
  <c r="D60" i="33"/>
  <c r="B60" i="33"/>
  <c r="E61" i="33" l="1"/>
  <c r="E60" i="33"/>
  <c r="E64" i="33"/>
  <c r="E65" i="33"/>
  <c r="E63" i="33"/>
  <c r="E62" i="33"/>
  <c r="T39" i="11" l="1"/>
  <c r="J27" i="32" l="1"/>
  <c r="D69" i="33"/>
  <c r="E27" i="32"/>
  <c r="G13" i="15"/>
  <c r="H27" i="32" l="1"/>
  <c r="B3" i="33"/>
  <c r="K7" i="32" l="1"/>
  <c r="E27" i="15" l="1"/>
  <c r="Q3" i="22" l="1"/>
  <c r="Q3" i="23" s="1"/>
  <c r="Q6" i="27" l="1"/>
  <c r="Q6" i="4" l="1"/>
  <c r="Q6" i="1" s="1"/>
  <c r="I14" i="36"/>
  <c r="G4" i="36"/>
  <c r="G5" i="36"/>
  <c r="G3" i="36"/>
  <c r="O7" i="32"/>
  <c r="N7" i="32"/>
  <c r="M7" i="32"/>
  <c r="M14" i="32"/>
  <c r="H6" i="36" l="1"/>
  <c r="H4" i="36"/>
  <c r="E15" i="15" l="1"/>
  <c r="F15" i="15"/>
  <c r="B57" i="33" l="1"/>
  <c r="D57" i="33"/>
  <c r="B58" i="33"/>
  <c r="D58" i="33"/>
  <c r="B59" i="33"/>
  <c r="D59" i="33"/>
  <c r="B56" i="33"/>
  <c r="D56" i="33"/>
  <c r="B69" i="33"/>
  <c r="E58" i="33" l="1"/>
  <c r="E57" i="33"/>
  <c r="E59" i="33"/>
  <c r="E69" i="33"/>
  <c r="E56" i="33"/>
  <c r="F27" i="32" l="1"/>
  <c r="G27" i="32"/>
  <c r="F16" i="27"/>
  <c r="I27" i="32" l="1"/>
  <c r="L27" i="32" s="1"/>
  <c r="I7" i="32" l="1"/>
  <c r="K8" i="32" l="1"/>
  <c r="N33" i="1" l="1"/>
  <c r="F38" i="1" s="1"/>
  <c r="F45" i="1" s="1"/>
  <c r="D37" i="33" l="1"/>
  <c r="B37" i="33"/>
  <c r="B36" i="33"/>
  <c r="E36" i="33" s="1"/>
  <c r="E37" i="33" l="1"/>
  <c r="C25" i="32"/>
  <c r="T38" i="29" l="1"/>
  <c r="C26" i="32" l="1"/>
  <c r="Q3" i="18" l="1"/>
  <c r="Q3" i="19" s="1"/>
  <c r="Q3" i="16"/>
  <c r="Q3" i="12"/>
  <c r="Q3" i="31" s="1"/>
  <c r="Q3" i="29"/>
  <c r="Q3" i="11"/>
  <c r="Q3" i="1" l="1"/>
  <c r="Q3" i="25"/>
  <c r="Q3" i="17" s="1"/>
  <c r="Q3" i="7" s="1"/>
  <c r="N30" i="18"/>
  <c r="F35" i="18" s="1"/>
  <c r="T35" i="18" l="1"/>
  <c r="E21" i="15" l="1"/>
  <c r="N33" i="11"/>
  <c r="F38" i="11" s="1"/>
  <c r="T39" i="6" l="1"/>
  <c r="T40" i="23" l="1"/>
  <c r="H26" i="32" l="1"/>
  <c r="T40" i="6" l="1"/>
  <c r="K9" i="32" l="1"/>
  <c r="T38" i="28" l="1"/>
  <c r="C27" i="32" l="1"/>
  <c r="G10" i="15"/>
  <c r="T37" i="22" l="1"/>
  <c r="L43" i="11" l="1"/>
  <c r="L39" i="22"/>
  <c r="G14" i="15" l="1"/>
  <c r="F14" i="15"/>
  <c r="G25" i="15"/>
  <c r="F25" i="15"/>
  <c r="B34" i="33" l="1"/>
  <c r="K16" i="32" l="1"/>
  <c r="T39" i="19" l="1"/>
  <c r="C62" i="33" s="1"/>
  <c r="T41" i="23" l="1"/>
  <c r="T39" i="25" l="1"/>
  <c r="C66" i="33" s="1"/>
  <c r="H14" i="32" l="1"/>
  <c r="G10" i="32"/>
  <c r="G4" i="32"/>
  <c r="G21" i="32"/>
  <c r="G20" i="32"/>
  <c r="H20" i="32"/>
  <c r="G18" i="32"/>
  <c r="H18" i="32"/>
  <c r="G17" i="32"/>
  <c r="H17" i="32"/>
  <c r="G13" i="32"/>
  <c r="H13" i="32"/>
  <c r="H9" i="32"/>
  <c r="G9" i="32"/>
  <c r="F9" i="32"/>
  <c r="H11" i="32"/>
  <c r="G24" i="32"/>
  <c r="H24" i="32"/>
  <c r="G8" i="32"/>
  <c r="H8" i="32"/>
  <c r="H15" i="32"/>
  <c r="H5" i="32"/>
  <c r="G16" i="32"/>
  <c r="H6" i="32"/>
  <c r="G19" i="32"/>
  <c r="H22" i="32"/>
  <c r="I9" i="32" l="1"/>
  <c r="G22" i="32"/>
  <c r="H16" i="32" l="1"/>
  <c r="H23" i="32" l="1"/>
  <c r="G23" i="32"/>
  <c r="G26" i="32" l="1"/>
  <c r="F26" i="32"/>
  <c r="F39" i="7"/>
  <c r="H4" i="32"/>
  <c r="I26" i="32" l="1"/>
  <c r="L45" i="26" l="1"/>
  <c r="F23" i="32" l="1"/>
  <c r="I23" i="32" s="1"/>
  <c r="F22" i="32" l="1"/>
  <c r="I22" i="32" s="1"/>
  <c r="L38" i="31"/>
  <c r="Q30" i="31" s="1"/>
  <c r="F13" i="32" l="1"/>
  <c r="I13" i="32" s="1"/>
  <c r="F13" i="15" l="1"/>
  <c r="E13" i="15"/>
  <c r="D26" i="15" l="1"/>
  <c r="T40" i="25"/>
  <c r="F20" i="32" l="1"/>
  <c r="I20" i="32" l="1"/>
  <c r="I5" i="32" l="1"/>
  <c r="C3" i="33" l="1"/>
  <c r="F8" i="32" l="1"/>
  <c r="I8" i="32" s="1"/>
  <c r="I12" i="32" l="1"/>
  <c r="N35" i="7" l="1"/>
  <c r="F40" i="7" s="1"/>
  <c r="Q3" i="28"/>
  <c r="Q3" i="27" s="1"/>
  <c r="Q3" i="30" s="1"/>
  <c r="F30" i="28"/>
  <c r="F32" i="27" s="1" a="1"/>
  <c r="F32" i="27" s="1"/>
  <c r="H32" i="27" s="1"/>
  <c r="I32" i="27" s="1"/>
  <c r="J32" i="27" s="1"/>
  <c r="K32" i="27" s="1"/>
  <c r="E17" i="15"/>
  <c r="F17" i="15"/>
  <c r="N32" i="29"/>
  <c r="F37" i="29" s="1"/>
  <c r="N30" i="5"/>
  <c r="F35" i="5" s="1"/>
  <c r="N35" i="26"/>
  <c r="N34" i="17"/>
  <c r="F39" i="17" s="1"/>
  <c r="F46" i="17" s="1"/>
  <c r="N34" i="4"/>
  <c r="F39" i="4" s="1"/>
  <c r="N32" i="19"/>
  <c r="F37" i="19" s="1"/>
  <c r="N30" i="22"/>
  <c r="F35" i="22" s="1"/>
  <c r="N35" i="12"/>
  <c r="F40" i="12" s="1"/>
  <c r="N33" i="6"/>
  <c r="F38" i="6" s="1"/>
  <c r="F45" i="6" s="1"/>
  <c r="N36" i="21"/>
  <c r="F41" i="21" s="1"/>
  <c r="N30" i="24"/>
  <c r="F35" i="24" s="1"/>
  <c r="F42" i="24" s="1"/>
  <c r="G25" i="32" l="1"/>
  <c r="H25" i="32"/>
  <c r="F25" i="32"/>
  <c r="I25" i="32" l="1"/>
  <c r="G14" i="32" l="1"/>
  <c r="F14" i="32"/>
  <c r="K14" i="32"/>
  <c r="I14" i="32" l="1"/>
  <c r="H21" i="32" l="1"/>
  <c r="H19" i="32"/>
  <c r="G11" i="32"/>
  <c r="F11" i="32"/>
  <c r="F19" i="32"/>
  <c r="F21" i="32"/>
  <c r="K19" i="32"/>
  <c r="I21" i="32" l="1"/>
  <c r="I11" i="32"/>
  <c r="I19" i="32"/>
  <c r="B35" i="33" l="1"/>
  <c r="D35" i="33"/>
  <c r="F18" i="32" l="1"/>
  <c r="I18" i="32" s="1"/>
  <c r="K13" i="32"/>
  <c r="E35" i="33"/>
  <c r="E14" i="15" l="1"/>
  <c r="E25" i="15" l="1"/>
  <c r="F4" i="32" l="1"/>
  <c r="G28" i="15"/>
  <c r="F28" i="15"/>
  <c r="E28" i="15"/>
  <c r="I4" i="32" l="1"/>
  <c r="G7" i="15" l="1"/>
  <c r="F7" i="15"/>
  <c r="E7" i="15"/>
  <c r="K18" i="32" l="1"/>
  <c r="G18" i="15" l="1"/>
  <c r="F18" i="15"/>
  <c r="E18" i="15"/>
  <c r="F17" i="32" l="1"/>
  <c r="K17" i="32"/>
  <c r="I17" i="32" l="1"/>
  <c r="K21" i="32"/>
  <c r="T41" i="16"/>
  <c r="H10" i="32" l="1"/>
  <c r="K10" i="32"/>
  <c r="I10" i="32" l="1"/>
  <c r="K23" i="32"/>
  <c r="G9" i="15"/>
  <c r="F9" i="15"/>
  <c r="E9" i="15"/>
  <c r="F21" i="15"/>
  <c r="G21" i="15"/>
  <c r="K12" i="32" l="1"/>
  <c r="T39" i="29" l="1"/>
  <c r="C67" i="33" s="1"/>
  <c r="G6" i="32" l="1"/>
  <c r="F6" i="32"/>
  <c r="B4" i="33"/>
  <c r="C4" i="33"/>
  <c r="D4" i="33"/>
  <c r="B5" i="33"/>
  <c r="C5" i="33"/>
  <c r="D5" i="33"/>
  <c r="B6" i="33"/>
  <c r="D6" i="33"/>
  <c r="B7" i="33"/>
  <c r="C7" i="33"/>
  <c r="D7" i="33"/>
  <c r="B8" i="33"/>
  <c r="C8" i="33"/>
  <c r="D8" i="33"/>
  <c r="B9" i="33"/>
  <c r="C9" i="33"/>
  <c r="D9" i="33"/>
  <c r="B10" i="33"/>
  <c r="C10" i="33"/>
  <c r="D10" i="33"/>
  <c r="B11" i="33"/>
  <c r="C11" i="33"/>
  <c r="D11" i="33"/>
  <c r="B12" i="33"/>
  <c r="C12" i="33"/>
  <c r="D12" i="33"/>
  <c r="B13" i="33"/>
  <c r="C13" i="33"/>
  <c r="D13" i="33"/>
  <c r="B14" i="33"/>
  <c r="C14" i="33"/>
  <c r="D14" i="33"/>
  <c r="B15" i="33"/>
  <c r="C15" i="33"/>
  <c r="D15" i="33"/>
  <c r="B16" i="33"/>
  <c r="C16" i="33"/>
  <c r="D16" i="33"/>
  <c r="B17" i="33"/>
  <c r="C17" i="33"/>
  <c r="D17" i="33"/>
  <c r="B18" i="33"/>
  <c r="D18" i="33"/>
  <c r="B19" i="33"/>
  <c r="C19" i="33"/>
  <c r="D19" i="33"/>
  <c r="B20" i="33"/>
  <c r="D20" i="33"/>
  <c r="B21" i="33"/>
  <c r="D21" i="33"/>
  <c r="B22" i="33"/>
  <c r="D22" i="33"/>
  <c r="B23" i="33"/>
  <c r="D23" i="33"/>
  <c r="B24" i="33"/>
  <c r="D24" i="33"/>
  <c r="B25" i="33"/>
  <c r="D25" i="33"/>
  <c r="B26" i="33"/>
  <c r="D26" i="33"/>
  <c r="B27" i="33"/>
  <c r="D27" i="33"/>
  <c r="B28" i="33"/>
  <c r="D28" i="33"/>
  <c r="B29" i="33"/>
  <c r="D29" i="33"/>
  <c r="B30" i="33"/>
  <c r="D30" i="33"/>
  <c r="B31" i="33"/>
  <c r="D31" i="33"/>
  <c r="B32" i="33"/>
  <c r="D32" i="33"/>
  <c r="B33" i="33"/>
  <c r="D33" i="33"/>
  <c r="D34" i="33"/>
  <c r="B38" i="33"/>
  <c r="C38" i="33"/>
  <c r="D38" i="33"/>
  <c r="B39" i="33"/>
  <c r="D39" i="33"/>
  <c r="B40" i="33"/>
  <c r="C40" i="33"/>
  <c r="D40" i="33"/>
  <c r="B41" i="33"/>
  <c r="C41" i="33"/>
  <c r="D41" i="33"/>
  <c r="B42" i="33"/>
  <c r="C42" i="33"/>
  <c r="D42" i="33"/>
  <c r="B43" i="33"/>
  <c r="D43" i="33"/>
  <c r="B44" i="33"/>
  <c r="C44" i="33"/>
  <c r="D44" i="33"/>
  <c r="B45" i="33"/>
  <c r="C45" i="33"/>
  <c r="D45" i="33"/>
  <c r="B46" i="33"/>
  <c r="C46" i="33"/>
  <c r="D46" i="33"/>
  <c r="B47" i="33"/>
  <c r="C47" i="33"/>
  <c r="D47" i="33"/>
  <c r="B48" i="33"/>
  <c r="D48" i="33"/>
  <c r="B49" i="33"/>
  <c r="C49" i="33"/>
  <c r="D49" i="33"/>
  <c r="B50" i="33"/>
  <c r="D50" i="33"/>
  <c r="B51" i="33"/>
  <c r="C51" i="33"/>
  <c r="D51" i="33"/>
  <c r="B52" i="33"/>
  <c r="D52" i="33"/>
  <c r="B53" i="33"/>
  <c r="D53" i="33"/>
  <c r="B54" i="33"/>
  <c r="D54" i="33"/>
  <c r="B55" i="33"/>
  <c r="D55" i="33"/>
  <c r="D3" i="33"/>
  <c r="B70" i="33" l="1"/>
  <c r="D70" i="33"/>
  <c r="I6" i="32"/>
  <c r="E29" i="33"/>
  <c r="K5" i="32"/>
  <c r="G24" i="15"/>
  <c r="F24" i="15"/>
  <c r="E24" i="15"/>
  <c r="E19" i="15"/>
  <c r="F19" i="15"/>
  <c r="G19" i="15"/>
  <c r="C65" i="33" l="1"/>
  <c r="T39" i="4"/>
  <c r="C18" i="33" s="1"/>
  <c r="K20" i="32" l="1"/>
  <c r="O22" i="32" l="1"/>
  <c r="N22" i="32"/>
  <c r="M22" i="32"/>
  <c r="E22" i="32"/>
  <c r="D22" i="32"/>
  <c r="C22" i="32"/>
  <c r="E6" i="32"/>
  <c r="O13" i="32" l="1"/>
  <c r="N13" i="32"/>
  <c r="M13" i="32"/>
  <c r="M19" i="32"/>
  <c r="D13" i="32"/>
  <c r="E13" i="32"/>
  <c r="C13" i="32"/>
  <c r="O5" i="32"/>
  <c r="N5" i="32"/>
  <c r="M5" i="32"/>
  <c r="D5" i="32"/>
  <c r="C5" i="32"/>
  <c r="E15" i="33" l="1"/>
  <c r="E7" i="33"/>
  <c r="E9" i="33"/>
  <c r="E28" i="33"/>
  <c r="E10" i="33"/>
  <c r="E8" i="33"/>
  <c r="E20" i="33"/>
  <c r="E18" i="33"/>
  <c r="E12" i="33"/>
  <c r="E26" i="33"/>
  <c r="E17" i="33"/>
  <c r="E33" i="33"/>
  <c r="E4" i="33"/>
  <c r="E31" i="33"/>
  <c r="I31" i="33"/>
  <c r="E30" i="33"/>
  <c r="I29" i="33"/>
  <c r="I46" i="33"/>
  <c r="E51" i="33"/>
  <c r="E14" i="33"/>
  <c r="E6" i="33"/>
  <c r="E19" i="33"/>
  <c r="E5" i="33"/>
  <c r="E11" i="33"/>
  <c r="E22" i="33"/>
  <c r="E16" i="33"/>
  <c r="E13" i="33"/>
  <c r="I26" i="33"/>
  <c r="I27" i="33"/>
  <c r="I23" i="33"/>
  <c r="I22" i="33"/>
  <c r="I28" i="33"/>
  <c r="I30" i="33"/>
  <c r="E27" i="33"/>
  <c r="E23" i="33"/>
  <c r="I18" i="33"/>
  <c r="E3" i="33"/>
  <c r="I42" i="33"/>
  <c r="I44" i="33"/>
  <c r="I48" i="33"/>
  <c r="I50" i="33"/>
  <c r="I52" i="33"/>
  <c r="I40" i="33"/>
  <c r="I39" i="33"/>
  <c r="I41" i="33"/>
  <c r="I45" i="33"/>
  <c r="I49" i="33"/>
  <c r="I51" i="33"/>
  <c r="I53" i="33"/>
  <c r="I69" i="33"/>
  <c r="I38" i="33"/>
  <c r="I43" i="33"/>
  <c r="I47" i="33"/>
  <c r="I3" i="33"/>
  <c r="I4" i="33"/>
  <c r="I6" i="33"/>
  <c r="I7" i="33"/>
  <c r="I8" i="33"/>
  <c r="I9" i="33"/>
  <c r="I11" i="33"/>
  <c r="I12" i="33"/>
  <c r="I13" i="33"/>
  <c r="I14" i="33"/>
  <c r="I15" i="33"/>
  <c r="I16" i="33"/>
  <c r="I17" i="33"/>
  <c r="E38" i="33"/>
  <c r="E39" i="33"/>
  <c r="E40" i="33"/>
  <c r="E41" i="33"/>
  <c r="E42" i="33"/>
  <c r="E43" i="33"/>
  <c r="E44" i="33"/>
  <c r="E45" i="33"/>
  <c r="E46" i="33"/>
  <c r="E47" i="33"/>
  <c r="E48" i="33"/>
  <c r="E49" i="33"/>
  <c r="E50" i="33"/>
  <c r="E52" i="33"/>
  <c r="E53" i="33"/>
  <c r="I10" i="33" l="1"/>
  <c r="I5" i="33"/>
  <c r="O12" i="32"/>
  <c r="O11" i="32"/>
  <c r="O16" i="32"/>
  <c r="O19" i="32"/>
  <c r="O8" i="32"/>
  <c r="O10" i="32"/>
  <c r="N12" i="32"/>
  <c r="N11" i="32"/>
  <c r="N16" i="32"/>
  <c r="N19" i="32"/>
  <c r="N8" i="32"/>
  <c r="N10" i="32"/>
  <c r="M12" i="32"/>
  <c r="M11" i="32"/>
  <c r="M16" i="32"/>
  <c r="M8" i="32"/>
  <c r="M10" i="32"/>
  <c r="O24" i="32"/>
  <c r="N24" i="32"/>
  <c r="O17" i="32"/>
  <c r="O9" i="32"/>
  <c r="O23" i="32"/>
  <c r="O15" i="32"/>
  <c r="N17" i="32"/>
  <c r="N9" i="32"/>
  <c r="N23" i="32"/>
  <c r="N15" i="32"/>
  <c r="M17" i="32"/>
  <c r="M9" i="32"/>
  <c r="M23" i="32"/>
  <c r="M15" i="32"/>
  <c r="O4" i="32"/>
  <c r="N4" i="32"/>
  <c r="M4" i="32"/>
  <c r="O18" i="32"/>
  <c r="O21" i="32"/>
  <c r="O20" i="32"/>
  <c r="O26" i="32"/>
  <c r="O14" i="32"/>
  <c r="N18" i="32"/>
  <c r="N21" i="32"/>
  <c r="N20" i="32"/>
  <c r="N26" i="32"/>
  <c r="N14" i="32"/>
  <c r="M26" i="32"/>
  <c r="M20" i="32"/>
  <c r="M21" i="32"/>
  <c r="O25" i="32"/>
  <c r="N25" i="32"/>
  <c r="M25" i="32"/>
  <c r="M18" i="32"/>
  <c r="D7" i="32"/>
  <c r="D4" i="32"/>
  <c r="D25" i="32"/>
  <c r="D18" i="32"/>
  <c r="D21" i="32"/>
  <c r="D20" i="32"/>
  <c r="D26" i="32"/>
  <c r="D14" i="32"/>
  <c r="D24" i="32"/>
  <c r="E24" i="32"/>
  <c r="D17" i="32"/>
  <c r="D9" i="32"/>
  <c r="D23" i="32"/>
  <c r="D15" i="32"/>
  <c r="D12" i="32"/>
  <c r="D11" i="32"/>
  <c r="D16" i="32"/>
  <c r="D19" i="32"/>
  <c r="D8" i="32"/>
  <c r="D6" i="32"/>
  <c r="D27" i="32"/>
  <c r="D10" i="32"/>
  <c r="E4" i="32"/>
  <c r="E25" i="32"/>
  <c r="E18" i="32"/>
  <c r="E21" i="32"/>
  <c r="E20" i="32"/>
  <c r="E26" i="32"/>
  <c r="E14" i="32"/>
  <c r="E17" i="32"/>
  <c r="E9" i="32"/>
  <c r="E23" i="32"/>
  <c r="E15" i="32"/>
  <c r="E12" i="32"/>
  <c r="E11" i="32"/>
  <c r="E16" i="32"/>
  <c r="E19" i="32"/>
  <c r="E8" i="32"/>
  <c r="E10" i="32"/>
  <c r="C7" i="32"/>
  <c r="C4" i="32"/>
  <c r="C18" i="32"/>
  <c r="C21" i="32"/>
  <c r="C20" i="32"/>
  <c r="C14" i="32"/>
  <c r="C24" i="32"/>
  <c r="C17" i="32"/>
  <c r="C9" i="32"/>
  <c r="C23" i="32"/>
  <c r="C15" i="32"/>
  <c r="C12" i="32"/>
  <c r="C11" i="32"/>
  <c r="C16" i="32"/>
  <c r="C19" i="32"/>
  <c r="C8" i="32"/>
  <c r="C6" i="32"/>
  <c r="C10" i="32"/>
  <c r="G27" i="15"/>
  <c r="F27" i="15"/>
  <c r="N33" i="25"/>
  <c r="F38" i="25" s="1"/>
  <c r="K11" i="32" l="1"/>
  <c r="E32" i="33"/>
  <c r="E28" i="32"/>
  <c r="M28" i="32"/>
  <c r="N28" i="32"/>
  <c r="O28" i="32"/>
  <c r="I25" i="33" l="1"/>
  <c r="E25" i="33"/>
  <c r="T42" i="16"/>
  <c r="I15" i="32" l="1"/>
  <c r="K15" i="32"/>
  <c r="L46" i="21"/>
  <c r="L42" i="13"/>
  <c r="Q34" i="13" s="1"/>
  <c r="L40" i="24"/>
  <c r="L42" i="29"/>
  <c r="L40" i="5"/>
  <c r="L42" i="19"/>
  <c r="L43" i="25"/>
  <c r="L44" i="17"/>
  <c r="L43" i="1"/>
  <c r="Q35" i="1" s="1"/>
  <c r="L43" i="6"/>
  <c r="L44" i="23"/>
  <c r="L44" i="4"/>
  <c r="L45" i="16"/>
  <c r="L46" i="7"/>
  <c r="L45" i="12"/>
  <c r="J4" i="32"/>
  <c r="L4" i="32" s="1"/>
  <c r="I54" i="33" l="1"/>
  <c r="F16" i="21"/>
  <c r="I21" i="33" l="1"/>
  <c r="E21" i="33"/>
  <c r="E54" i="33"/>
  <c r="I24" i="33"/>
  <c r="E24" i="33"/>
  <c r="I55" i="33"/>
  <c r="E55" i="33"/>
  <c r="P16" i="21"/>
  <c r="G26" i="15" l="1"/>
  <c r="F26" i="15"/>
  <c r="E26" i="15"/>
  <c r="J13" i="32"/>
  <c r="L13" i="32" s="1"/>
  <c r="L11" i="31"/>
  <c r="F16" i="31" l="1"/>
  <c r="E34" i="33" l="1"/>
  <c r="P16" i="31"/>
  <c r="J22" i="32" l="1"/>
  <c r="K22" i="32"/>
  <c r="L22" i="32" l="1"/>
  <c r="K4" i="32" l="1"/>
  <c r="D25" i="15" l="1"/>
  <c r="F44" i="29"/>
  <c r="Q34" i="29" s="1"/>
  <c r="J5" i="32"/>
  <c r="P16" i="29" l="1"/>
  <c r="L5" i="32" l="1"/>
  <c r="T41" i="17" l="1"/>
  <c r="D19" i="15" l="1"/>
  <c r="C39" i="33" l="1"/>
  <c r="N31" i="28"/>
  <c r="F36" i="28" s="1"/>
  <c r="F43" i="28" s="1"/>
  <c r="Q33" i="28" s="1"/>
  <c r="N33" i="27"/>
  <c r="F38" i="27" s="1"/>
  <c r="F45" i="27" s="1"/>
  <c r="C43" i="33" l="1"/>
  <c r="D17" i="15" l="1"/>
  <c r="H28" i="32" l="1"/>
  <c r="I24" i="32"/>
  <c r="F16" i="32"/>
  <c r="F38" i="26"/>
  <c r="H30" i="28"/>
  <c r="I30" i="28" s="1"/>
  <c r="J30" i="28" s="1"/>
  <c r="K30" i="28" s="1"/>
  <c r="L30" i="28" s="1"/>
  <c r="K28" i="32" l="1"/>
  <c r="G28" i="32"/>
  <c r="F28" i="32"/>
  <c r="I16" i="32"/>
  <c r="I28" i="32" s="1"/>
  <c r="F47" i="26"/>
  <c r="Q37" i="26" s="1"/>
  <c r="D28" i="15" s="1"/>
  <c r="C37" i="35" l="1"/>
  <c r="C38" i="35" s="1"/>
  <c r="B71" i="33"/>
  <c r="B72" i="33" s="1"/>
  <c r="F45" i="11"/>
  <c r="Q35" i="11" s="1"/>
  <c r="G6" i="15"/>
  <c r="G17" i="15"/>
  <c r="J10" i="32"/>
  <c r="L10" i="32" s="1"/>
  <c r="L11" i="28"/>
  <c r="G20" i="15"/>
  <c r="G23" i="15"/>
  <c r="G12" i="15"/>
  <c r="T37" i="18"/>
  <c r="L11" i="27"/>
  <c r="C64" i="33"/>
  <c r="C56" i="33"/>
  <c r="L11" i="26"/>
  <c r="J16" i="32"/>
  <c r="L16" i="32" s="1"/>
  <c r="L11" i="25"/>
  <c r="G5" i="15"/>
  <c r="F5" i="15"/>
  <c r="E5" i="15"/>
  <c r="J6" i="32"/>
  <c r="L11" i="24"/>
  <c r="C59" i="33"/>
  <c r="J15" i="32"/>
  <c r="L11" i="23"/>
  <c r="G15" i="15"/>
  <c r="J14" i="32"/>
  <c r="L14" i="32" s="1"/>
  <c r="L11" i="22"/>
  <c r="L11" i="21"/>
  <c r="L11" i="30" s="1"/>
  <c r="G22" i="15"/>
  <c r="F22" i="15"/>
  <c r="E22" i="15"/>
  <c r="J20" i="32"/>
  <c r="L20" i="32" s="1"/>
  <c r="J24" i="32" l="1"/>
  <c r="L24" i="32" s="1"/>
  <c r="C48" i="33"/>
  <c r="C37" i="33"/>
  <c r="C53" i="33"/>
  <c r="F16" i="25"/>
  <c r="F16" i="26"/>
  <c r="F16" i="24"/>
  <c r="F16" i="23"/>
  <c r="F16" i="22"/>
  <c r="F48" i="21"/>
  <c r="Q38" i="21" s="1"/>
  <c r="D15" i="15" s="1"/>
  <c r="P16" i="26" l="1"/>
  <c r="P16" i="24"/>
  <c r="L6" i="32"/>
  <c r="P16" i="27"/>
  <c r="P16" i="22"/>
  <c r="P16" i="23"/>
  <c r="L15" i="32"/>
  <c r="P16" i="25"/>
  <c r="P16" i="28"/>
  <c r="F45" i="25"/>
  <c r="Q35" i="25" s="1"/>
  <c r="F46" i="23"/>
  <c r="Q36" i="23" s="1"/>
  <c r="F42" i="22"/>
  <c r="Q32" i="22" s="1"/>
  <c r="D24" i="15" l="1"/>
  <c r="Q32" i="24"/>
  <c r="D5" i="15" s="1"/>
  <c r="D18" i="15"/>
  <c r="C6" i="33"/>
  <c r="J19" i="32"/>
  <c r="L19" i="32" s="1"/>
  <c r="L11" i="19"/>
  <c r="F12" i="15"/>
  <c r="E12" i="15"/>
  <c r="J23" i="32"/>
  <c r="L23" i="32" s="1"/>
  <c r="L11" i="18"/>
  <c r="G11" i="15"/>
  <c r="F11" i="15"/>
  <c r="E11" i="15"/>
  <c r="J12" i="32"/>
  <c r="L12" i="32" s="1"/>
  <c r="L11" i="17"/>
  <c r="F23" i="15"/>
  <c r="E23" i="15"/>
  <c r="J17" i="32"/>
  <c r="L17" i="32" s="1"/>
  <c r="L11" i="16"/>
  <c r="G16" i="15"/>
  <c r="F16" i="15"/>
  <c r="E16" i="15"/>
  <c r="G8" i="15"/>
  <c r="F8" i="15"/>
  <c r="E8" i="15"/>
  <c r="C22" i="33"/>
  <c r="C52" i="33"/>
  <c r="F20" i="15"/>
  <c r="E20" i="15"/>
  <c r="F10" i="15"/>
  <c r="E10" i="15"/>
  <c r="C60" i="33"/>
  <c r="C61" i="33"/>
  <c r="E6" i="15"/>
  <c r="F6" i="15"/>
  <c r="L11" i="13"/>
  <c r="L11" i="11"/>
  <c r="L11" i="7"/>
  <c r="L11" i="4"/>
  <c r="L11" i="6"/>
  <c r="L11" i="1"/>
  <c r="L11" i="5"/>
  <c r="J18" i="32"/>
  <c r="J21" i="32"/>
  <c r="J7" i="32"/>
  <c r="L7" i="32" s="1"/>
  <c r="C21" i="33" l="1"/>
  <c r="C63" i="33"/>
  <c r="C36" i="33"/>
  <c r="C69" i="33"/>
  <c r="L21" i="32"/>
  <c r="D22" i="15"/>
  <c r="C32" i="33"/>
  <c r="C20" i="33"/>
  <c r="C31" i="33"/>
  <c r="C23" i="33"/>
  <c r="C29" i="33"/>
  <c r="C28" i="33"/>
  <c r="D9" i="15"/>
  <c r="C54" i="33"/>
  <c r="C50" i="33"/>
  <c r="C27" i="33"/>
  <c r="C25" i="33"/>
  <c r="C24" i="33"/>
  <c r="C35" i="33"/>
  <c r="C30" i="33"/>
  <c r="C34" i="33"/>
  <c r="C55" i="33"/>
  <c r="C33" i="33"/>
  <c r="C26" i="33"/>
  <c r="F16" i="11"/>
  <c r="F16" i="1"/>
  <c r="F16" i="19"/>
  <c r="F16" i="18"/>
  <c r="F16" i="16"/>
  <c r="F16" i="4"/>
  <c r="F16" i="5"/>
  <c r="F16" i="6"/>
  <c r="F16" i="7"/>
  <c r="F16" i="12"/>
  <c r="F16" i="13"/>
  <c r="P16" i="13" s="1"/>
  <c r="P16" i="18" l="1"/>
  <c r="P16" i="19"/>
  <c r="P16" i="16"/>
  <c r="L18" i="32"/>
  <c r="P16" i="17"/>
  <c r="P16" i="12"/>
  <c r="P16" i="11"/>
  <c r="F47" i="16"/>
  <c r="Q37" i="16" s="1"/>
  <c r="F42" i="18"/>
  <c r="F44" i="19"/>
  <c r="Q34" i="19" s="1"/>
  <c r="D21" i="15" l="1"/>
  <c r="D7" i="15"/>
  <c r="Q32" i="18" l="1"/>
  <c r="D16" i="15"/>
  <c r="D23" i="15"/>
  <c r="Q36" i="17"/>
  <c r="F47" i="12"/>
  <c r="Q37" i="12" s="1"/>
  <c r="I5" i="9"/>
  <c r="I4" i="9"/>
  <c r="J26" i="32"/>
  <c r="L26" i="32" s="1"/>
  <c r="J25" i="32"/>
  <c r="L25" i="32" s="1"/>
  <c r="J8" i="32"/>
  <c r="J9" i="32"/>
  <c r="L9" i="32" s="1"/>
  <c r="J11" i="32"/>
  <c r="L11" i="32" s="1"/>
  <c r="D12" i="15" l="1"/>
  <c r="D8" i="15"/>
  <c r="L8" i="32"/>
  <c r="J28" i="32"/>
  <c r="L28" i="32" s="1"/>
  <c r="D11" i="15"/>
  <c r="F42" i="5"/>
  <c r="Q32" i="5" s="1"/>
  <c r="F47" i="7"/>
  <c r="Q37" i="7" s="1"/>
  <c r="P16" i="6"/>
  <c r="P16" i="7"/>
  <c r="P16" i="5"/>
  <c r="P16" i="4"/>
  <c r="P16" i="1"/>
  <c r="F46" i="4"/>
  <c r="Q36" i="4" l="1"/>
  <c r="Q35" i="6"/>
  <c r="D14" i="15"/>
  <c r="D20" i="15" l="1"/>
  <c r="D10" i="15"/>
  <c r="D6" i="15"/>
  <c r="D27" i="15"/>
  <c r="Q3" i="4" l="1"/>
  <c r="Q6" i="17" l="1"/>
  <c r="Q6" i="23" l="1"/>
  <c r="Q6" i="25" s="1"/>
  <c r="Q6" i="13" s="1"/>
  <c r="Q6" i="19" l="1"/>
  <c r="Q6" i="20" s="1"/>
  <c r="Q35" i="27"/>
  <c r="D13" i="15" s="1"/>
  <c r="D31" i="15" l="1"/>
  <c r="D33" i="15"/>
  <c r="D29" i="15"/>
  <c r="Q6" i="12"/>
  <c r="Q6" i="30" s="1"/>
  <c r="Q6" i="18" l="1"/>
  <c r="Q6" i="26" s="1"/>
  <c r="Q6" i="6" s="1"/>
  <c r="Q6" i="28" s="1"/>
  <c r="Q6" i="16" s="1"/>
  <c r="Q6" i="31" s="1"/>
  <c r="Q6" i="29" s="1"/>
  <c r="Q6" i="22" s="1"/>
  <c r="H31" i="13"/>
  <c r="I31" i="13" s="1"/>
  <c r="J31" i="13" s="1"/>
  <c r="K31" i="13" s="1"/>
  <c r="L31" i="13" s="1"/>
  <c r="F32" i="6"/>
  <c r="H32" i="6" s="1"/>
  <c r="I32" i="6" s="1"/>
  <c r="J32" i="6" s="1"/>
  <c r="K32" i="6" s="1"/>
  <c r="L32" i="6" s="1"/>
  <c r="L32" i="27" s="1"/>
  <c r="F34" i="26" l="1"/>
  <c r="H34" i="26" s="1"/>
  <c r="I34" i="26" s="1"/>
  <c r="J34" i="26" s="1"/>
  <c r="K34" i="26" s="1"/>
  <c r="L34" i="26" s="1"/>
  <c r="H29" i="18" l="1"/>
  <c r="I29" i="18" s="1"/>
  <c r="J29" i="18" s="1"/>
  <c r="K29" i="18" s="1"/>
  <c r="L29" i="18" s="1"/>
  <c r="L29" i="22"/>
  <c r="G32" i="27"/>
  <c r="C58" i="33" l="1"/>
  <c r="C57" i="33"/>
  <c r="H32" i="25"/>
  <c r="I32" i="25" s="1"/>
  <c r="J32" i="25" s="1"/>
  <c r="K32" i="25" s="1"/>
  <c r="L32" i="25" s="1"/>
  <c r="F33" i="17"/>
  <c r="F33" i="23" s="1"/>
  <c r="F31" i="19"/>
  <c r="H31" i="19" l="1"/>
  <c r="I31" i="19" s="1"/>
  <c r="J31" i="19" s="1"/>
  <c r="K31" i="19" s="1"/>
  <c r="L31" i="19" s="1"/>
  <c r="F29" i="20" a="1"/>
  <c r="G29" i="20" s="1"/>
  <c r="H33" i="23"/>
  <c r="I33" i="23" s="1"/>
  <c r="J33" i="23" s="1"/>
  <c r="K33" i="23" s="1"/>
  <c r="L33" i="23" s="1"/>
  <c r="M33" i="23" s="1"/>
  <c r="F31" i="29"/>
  <c r="H31" i="29" s="1"/>
  <c r="I31" i="29" s="1"/>
  <c r="J31" i="29" s="1"/>
  <c r="K31" i="29" s="1"/>
  <c r="L31" i="29" s="1"/>
  <c r="H33" i="17"/>
  <c r="I33" i="17" s="1"/>
  <c r="J33" i="17" s="1"/>
  <c r="K33" i="17" s="1"/>
  <c r="L33" i="17" s="1"/>
  <c r="F29" i="20" l="1"/>
  <c r="H29" i="20" s="1"/>
  <c r="I29" i="20" s="1"/>
  <c r="J29" i="20" s="1"/>
  <c r="K29" i="20" s="1"/>
  <c r="L29" i="20" s="1"/>
  <c r="F34" i="16" l="1"/>
  <c r="F26" i="30" s="1"/>
  <c r="H26" i="30" s="1"/>
  <c r="I26" i="30" s="1"/>
  <c r="J26" i="30" s="1"/>
  <c r="K26" i="30" s="1"/>
  <c r="L26" i="30" s="1"/>
  <c r="H34" i="16" l="1"/>
  <c r="I34" i="16" s="1"/>
  <c r="J34" i="16" s="1"/>
  <c r="K34" i="16" s="1"/>
  <c r="L34" i="16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<sst xmlns="http://schemas.openxmlformats.org/spreadsheetml/2006/main" count="2381" uniqueCount="448">
  <si>
    <t>SEMANA:</t>
  </si>
  <si>
    <t>FLETES  SOTELO S.A DE C.V</t>
  </si>
  <si>
    <t>RFC: FSO880915JP8</t>
  </si>
  <si>
    <t>CAMINO DE LOS ESTEROS 720</t>
  </si>
  <si>
    <t>FOLIO DE LIQUIDACION</t>
  </si>
  <si>
    <t>PARTIDO DOBALDO CD.JUAREZ CHIHU.</t>
  </si>
  <si>
    <t>INFORMACION DEL OPERADOR</t>
  </si>
  <si>
    <t>OPERADOR:</t>
  </si>
  <si>
    <t>GONZALEZ MARTINEZ MAURICIO</t>
  </si>
  <si>
    <t>FECHA DE PERIODO:</t>
  </si>
  <si>
    <t>UNIDAD:</t>
  </si>
  <si>
    <t>ODOM.INIC:</t>
  </si>
  <si>
    <t>COMBUSTIBLE INICI:</t>
  </si>
  <si>
    <t>COMBUSTIBLE CARGADO:</t>
  </si>
  <si>
    <t>ODOM.FINAL:</t>
  </si>
  <si>
    <t>COMBUSTIBLE FIN:</t>
  </si>
  <si>
    <t>DIF. DE DIESEL:</t>
  </si>
  <si>
    <t>KM RECORRIDOS:</t>
  </si>
  <si>
    <t>DIESEL CONSUMIDO:</t>
  </si>
  <si>
    <t>RENDIMIENTO:</t>
  </si>
  <si>
    <t>FOLIO LIQUIDACION</t>
  </si>
  <si>
    <t>CORDENADA</t>
  </si>
  <si>
    <t>FECHA SALIDA</t>
  </si>
  <si>
    <t>FECHA LLEGADA</t>
  </si>
  <si>
    <t>R:</t>
  </si>
  <si>
    <t>ORIGEN</t>
  </si>
  <si>
    <t>DESTINO</t>
  </si>
  <si>
    <t>KMS</t>
  </si>
  <si>
    <t>RECARGA</t>
  </si>
  <si>
    <t>RENDIMIENTO</t>
  </si>
  <si>
    <t>C / V / PT</t>
  </si>
  <si>
    <t>REMOLQUE</t>
  </si>
  <si>
    <t>CLIENTE</t>
  </si>
  <si>
    <t>MANO DE OBRA</t>
  </si>
  <si>
    <t>LITROS A PAGO</t>
  </si>
  <si>
    <t>CRUCES</t>
  </si>
  <si>
    <t>TOTAL.C</t>
  </si>
  <si>
    <t>PERCEPCIONES DE LA SEMANA</t>
  </si>
  <si>
    <t>ADELANTO DE LIQUIDACION</t>
  </si>
  <si>
    <t>TOTAL:</t>
  </si>
  <si>
    <t>DOBLE OPERADOR</t>
  </si>
  <si>
    <t>ESTANCIAS</t>
  </si>
  <si>
    <t>BONO DE LA SIERRA</t>
  </si>
  <si>
    <t>POSTURA</t>
  </si>
  <si>
    <t>TOTAL DEDUCCIONES:</t>
  </si>
  <si>
    <t>TOTAL DE PERCEPCIONES:</t>
  </si>
  <si>
    <t>OBSERVACIONES:</t>
  </si>
  <si>
    <t>FIRMA DE AUTORIZACION</t>
  </si>
  <si>
    <t>FIRMA DE CONFORMIDAD</t>
  </si>
  <si>
    <t>MOCHIS</t>
  </si>
  <si>
    <t>JANOS</t>
  </si>
  <si>
    <t>GUAMUCHIL</t>
  </si>
  <si>
    <t>NOGALES</t>
  </si>
  <si>
    <t>NAVOJOA</t>
  </si>
  <si>
    <t>BACUM</t>
  </si>
  <si>
    <t>F-026</t>
  </si>
  <si>
    <t>CHIH.</t>
  </si>
  <si>
    <t>CUAHU.</t>
  </si>
  <si>
    <t>JRZ</t>
  </si>
  <si>
    <t>OBRG</t>
  </si>
  <si>
    <t>F-030</t>
  </si>
  <si>
    <t>CODIGO C/V/PT</t>
  </si>
  <si>
    <t>CARGADO</t>
  </si>
  <si>
    <t>F-024</t>
  </si>
  <si>
    <t>F-099</t>
  </si>
  <si>
    <t xml:space="preserve">PARA LOS QUE HACEN MOVIMIENTOS EN JUAREZ </t>
  </si>
  <si>
    <t>LITROS A PAGAR</t>
  </si>
  <si>
    <t>F-110</t>
  </si>
  <si>
    <t>F-025</t>
  </si>
  <si>
    <t>FOLIO</t>
  </si>
  <si>
    <t>UNIDAD</t>
  </si>
  <si>
    <t>ODM. INICIAL</t>
  </si>
  <si>
    <t>ODM. FINAL</t>
  </si>
  <si>
    <t>KM. RECORR</t>
  </si>
  <si>
    <t>FLETES SOTELO S.A. DE C.V.</t>
  </si>
  <si>
    <t>VIAJES FORANEOS JUAREZ - PACIFICO</t>
  </si>
  <si>
    <t>#</t>
  </si>
  <si>
    <t>EMPLEADO</t>
  </si>
  <si>
    <t>VIAJES</t>
  </si>
  <si>
    <t>NO. DE REPORTE</t>
  </si>
  <si>
    <t>1067</t>
  </si>
  <si>
    <t>GONZALEZ SOTO JOEL</t>
  </si>
  <si>
    <t>1633</t>
  </si>
  <si>
    <t>RODRIGUEZ RAMIREZ FERNANDO</t>
  </si>
  <si>
    <t>TOTAL</t>
  </si>
  <si>
    <t>CANANEA</t>
  </si>
  <si>
    <t>F-108</t>
  </si>
  <si>
    <t>F-027</t>
  </si>
  <si>
    <t>F-097</t>
  </si>
  <si>
    <t>F-028</t>
  </si>
  <si>
    <t>F-023</t>
  </si>
  <si>
    <t>F-031</t>
  </si>
  <si>
    <t>F-021</t>
  </si>
  <si>
    <t xml:space="preserve">CANANEA </t>
  </si>
  <si>
    <t>ETCHO</t>
  </si>
  <si>
    <t>DISTANCIA KILOMETROS PACIFICO</t>
  </si>
  <si>
    <t>R</t>
  </si>
  <si>
    <t>PENDIENTE</t>
  </si>
  <si>
    <t xml:space="preserve">JANOS </t>
  </si>
  <si>
    <t xml:space="preserve"> </t>
  </si>
  <si>
    <t>F-098</t>
  </si>
  <si>
    <t>F-036</t>
  </si>
  <si>
    <t>F-035</t>
  </si>
  <si>
    <t>F-091</t>
  </si>
  <si>
    <t>F-107</t>
  </si>
  <si>
    <t>F-034</t>
  </si>
  <si>
    <t>CONCEPTO</t>
  </si>
  <si>
    <t>FECHA</t>
  </si>
  <si>
    <t>MONTO</t>
  </si>
  <si>
    <t>PT</t>
  </si>
  <si>
    <t>VACIO</t>
  </si>
  <si>
    <t>F-033</t>
  </si>
  <si>
    <t>F-092</t>
  </si>
  <si>
    <t>NOMBRES</t>
  </si>
  <si>
    <t>DIESEL</t>
  </si>
  <si>
    <t>CARGADOS</t>
  </si>
  <si>
    <t>VACIOS</t>
  </si>
  <si>
    <t>KM. LIQUID</t>
  </si>
  <si>
    <t>LTS</t>
  </si>
  <si>
    <t xml:space="preserve"> KMS LIQ.</t>
  </si>
  <si>
    <t>KMS ODOM.</t>
  </si>
  <si>
    <t>LTS.DIESEL</t>
  </si>
  <si>
    <t>VIAJES ACUM</t>
  </si>
  <si>
    <t>KMS ACUM</t>
  </si>
  <si>
    <t>LTS. ACUM</t>
  </si>
  <si>
    <t>NOTAS</t>
  </si>
  <si>
    <t>F-002</t>
  </si>
  <si>
    <t>F-003</t>
  </si>
  <si>
    <t>F-004</t>
  </si>
  <si>
    <t>F-005</t>
  </si>
  <si>
    <t>F-006</t>
  </si>
  <si>
    <t>F-007</t>
  </si>
  <si>
    <t>F-008</t>
  </si>
  <si>
    <t>F-009</t>
  </si>
  <si>
    <t>F-010</t>
  </si>
  <si>
    <t>F-011</t>
  </si>
  <si>
    <t>F-012</t>
  </si>
  <si>
    <t>F-013</t>
  </si>
  <si>
    <t>F-014</t>
  </si>
  <si>
    <t>F-015</t>
  </si>
  <si>
    <t>F-016</t>
  </si>
  <si>
    <t>F-017</t>
  </si>
  <si>
    <t>F-019</t>
  </si>
  <si>
    <t>F-022</t>
  </si>
  <si>
    <t>F-029</t>
  </si>
  <si>
    <t>F-032</t>
  </si>
  <si>
    <t>F-045</t>
  </si>
  <si>
    <t>F-047</t>
  </si>
  <si>
    <t>F-050</t>
  </si>
  <si>
    <t>F-051</t>
  </si>
  <si>
    <t>F-059</t>
  </si>
  <si>
    <t>F-060</t>
  </si>
  <si>
    <t>F-061</t>
  </si>
  <si>
    <t>F-069</t>
  </si>
  <si>
    <t>F-074</t>
  </si>
  <si>
    <t>F-082</t>
  </si>
  <si>
    <t>F-086</t>
  </si>
  <si>
    <t>F-087</t>
  </si>
  <si>
    <t>F-088</t>
  </si>
  <si>
    <t>F-089</t>
  </si>
  <si>
    <t>F-090</t>
  </si>
  <si>
    <t>TALLER EXTERNO</t>
  </si>
  <si>
    <t>OBSERVACION:</t>
  </si>
  <si>
    <t>BONO TRIBU YAQUI</t>
  </si>
  <si>
    <t>RENDIMIENTO PAGO</t>
  </si>
  <si>
    <t>RENIDMIENTO</t>
  </si>
  <si>
    <t>F-037</t>
  </si>
  <si>
    <t>F-038</t>
  </si>
  <si>
    <t>ESCARCEGA GALDEAN JESUS OMAR</t>
  </si>
  <si>
    <t>1538</t>
  </si>
  <si>
    <t xml:space="preserve">TALLER EXTERNO </t>
  </si>
  <si>
    <t>RECONOCIMIENTO</t>
  </si>
  <si>
    <t>S. RIO COL.</t>
  </si>
  <si>
    <t>HERMOSILLO</t>
  </si>
  <si>
    <t>APTIV</t>
  </si>
  <si>
    <t>SOTELO</t>
  </si>
  <si>
    <t>YAZAKI</t>
  </si>
  <si>
    <t>KM CARG.</t>
  </si>
  <si>
    <t>KM VAC.</t>
  </si>
  <si>
    <t>KM PT.</t>
  </si>
  <si>
    <t>TOTAL KM</t>
  </si>
  <si>
    <t>KM POR CLIENTE</t>
  </si>
  <si>
    <t>COFICAB</t>
  </si>
  <si>
    <t>YAZAKI COM.</t>
  </si>
  <si>
    <t>BOURNS</t>
  </si>
  <si>
    <t>BORGWARNER</t>
  </si>
  <si>
    <t>CFI LOG</t>
  </si>
  <si>
    <t>CFI</t>
  </si>
  <si>
    <t>CH ROBINSON</t>
  </si>
  <si>
    <t>CHANDLER</t>
  </si>
  <si>
    <t>ESC. REPRES.</t>
  </si>
  <si>
    <t>G. AMERICAN</t>
  </si>
  <si>
    <t>HAAS</t>
  </si>
  <si>
    <t xml:space="preserve">JABIL </t>
  </si>
  <si>
    <t>J. GALVAN</t>
  </si>
  <si>
    <t>LYN LOG.</t>
  </si>
  <si>
    <t>MEXTAPE</t>
  </si>
  <si>
    <t>PACTIV</t>
  </si>
  <si>
    <t>PETSCHE</t>
  </si>
  <si>
    <t>SAFRAN</t>
  </si>
  <si>
    <t>SMTC</t>
  </si>
  <si>
    <t>SOUTHCO</t>
  </si>
  <si>
    <t>SYSCOM</t>
  </si>
  <si>
    <t>TRANSERVICIOS</t>
  </si>
  <si>
    <t>V. REYES</t>
  </si>
  <si>
    <t>WIELAND</t>
  </si>
  <si>
    <t>XOMOX</t>
  </si>
  <si>
    <t>PAGO POR KM</t>
  </si>
  <si>
    <t>DIESEL A FAVOR</t>
  </si>
  <si>
    <t>COMPENSACION</t>
  </si>
  <si>
    <t>EMPALME</t>
  </si>
  <si>
    <t xml:space="preserve">RECONOCIMIENTO </t>
  </si>
  <si>
    <t>UNILOG</t>
  </si>
  <si>
    <t>2173</t>
  </si>
  <si>
    <t>PAYAN ESTRADA JOSE ANGEL</t>
  </si>
  <si>
    <t>BONO TRANSERVICIOS</t>
  </si>
  <si>
    <t>RUIZ ALVARADO PEDRO</t>
  </si>
  <si>
    <t>F-039</t>
  </si>
  <si>
    <t>MARTA RUBIO MARTIN</t>
  </si>
  <si>
    <t>1658</t>
  </si>
  <si>
    <t>F-111</t>
  </si>
  <si>
    <t>F-112</t>
  </si>
  <si>
    <t>F-113</t>
  </si>
  <si>
    <t>F-114</t>
  </si>
  <si>
    <t>COYOTE</t>
  </si>
  <si>
    <t>Pago X Km</t>
  </si>
  <si>
    <t>Tipo Mov.</t>
  </si>
  <si>
    <t>Cargado</t>
  </si>
  <si>
    <t>Vacio</t>
  </si>
  <si>
    <t>Botando</t>
  </si>
  <si>
    <t>SANCHEZ GUERRERO JOSE LUIS</t>
  </si>
  <si>
    <t>2293</t>
  </si>
  <si>
    <t>F-115</t>
  </si>
  <si>
    <t>F-116</t>
  </si>
  <si>
    <t>F-117</t>
  </si>
  <si>
    <t>F-118</t>
  </si>
  <si>
    <t>F-119</t>
  </si>
  <si>
    <t>F-120</t>
  </si>
  <si>
    <t>F-121</t>
  </si>
  <si>
    <t>PAGADO LTS/KMS</t>
  </si>
  <si>
    <t>Relacion Diciembre 2023</t>
  </si>
  <si>
    <t>RELACION DICIEMBRE 2023</t>
  </si>
  <si>
    <t>2078</t>
  </si>
  <si>
    <t>KM</t>
  </si>
  <si>
    <t>RODRIGUEZ VALLES JOSE FRANCISCO</t>
  </si>
  <si>
    <t>PAGO</t>
  </si>
  <si>
    <t>BONO SIERRA</t>
  </si>
  <si>
    <t>PAGO KM</t>
  </si>
  <si>
    <t>REDIMENTO</t>
  </si>
  <si>
    <t>3.2 -3.49</t>
  </si>
  <si>
    <t>1536</t>
  </si>
  <si>
    <t>XYLEM</t>
  </si>
  <si>
    <t>NEVAREZ JUAN MANUEL</t>
  </si>
  <si>
    <t>ESTRADA ARELLANO ARTURO</t>
  </si>
  <si>
    <t>PENDIENTE SEMANA 13</t>
  </si>
  <si>
    <t>DIF DIESEL 3 CM</t>
  </si>
  <si>
    <t>FOLIO LIQ.</t>
  </si>
  <si>
    <t>RECONOCIMINETO POR PAGO DE KM</t>
  </si>
  <si>
    <t>REPORTE</t>
  </si>
  <si>
    <t>KM.LIQ</t>
  </si>
  <si>
    <t>LTS.LIQ</t>
  </si>
  <si>
    <t>KM.LIQ.</t>
  </si>
  <si>
    <t xml:space="preserve">REPORTE </t>
  </si>
  <si>
    <t>KM LIQ</t>
  </si>
  <si>
    <t>LTS LIQ</t>
  </si>
  <si>
    <t>KM LIQ.</t>
  </si>
  <si>
    <t>F-122</t>
  </si>
  <si>
    <t>F-038 / F-122</t>
  </si>
  <si>
    <t>SALAZAR PEREZ JUAN CARLOS</t>
  </si>
  <si>
    <t>HERNANDEZ CONTRERAS JOSE FERNANDO</t>
  </si>
  <si>
    <t>2476</t>
  </si>
  <si>
    <t>SALAZAR PEREZ JUAN CARLOS</t>
  </si>
  <si>
    <t>2474</t>
  </si>
  <si>
    <t>HERNANDEZ CONTRERAS JOSE FERNANDO</t>
  </si>
  <si>
    <t>DIESEL AGENCIA</t>
  </si>
  <si>
    <t>sobrante</t>
  </si>
  <si>
    <t>2492</t>
  </si>
  <si>
    <t>GUZMAN MORALES ALFREDO</t>
  </si>
  <si>
    <t xml:space="preserve">GONZALEZ LOZANO ENRIQUE </t>
  </si>
  <si>
    <t>1794</t>
  </si>
  <si>
    <t>MARICELA ALVARADO RIVERA</t>
  </si>
  <si>
    <t>50 LTS AUT.GERARDO</t>
  </si>
  <si>
    <t>ANTICIPO VIAJE EN RUTA</t>
  </si>
  <si>
    <t>PAG.REN</t>
  </si>
  <si>
    <t>REN.PAGO</t>
  </si>
  <si>
    <t>REND.PAGO</t>
  </si>
  <si>
    <t xml:space="preserve">BONO CAMARA DISPONIBILIDAD Y MANEJO </t>
  </si>
  <si>
    <t xml:space="preserve">BONO MANEJO CAMARA Y DISPONIBILIDAD </t>
  </si>
  <si>
    <t>CAMARA DISPONIBILIDAD MANEJO</t>
  </si>
  <si>
    <t>anti</t>
  </si>
  <si>
    <t xml:space="preserve">BONO DE CAMARAS </t>
  </si>
  <si>
    <t>BONO CAMARAS</t>
  </si>
  <si>
    <t>1987</t>
  </si>
  <si>
    <t xml:space="preserve">BONO CAMARA </t>
  </si>
  <si>
    <t>LN-38</t>
  </si>
  <si>
    <t xml:space="preserve">RENDIMIENTO </t>
  </si>
  <si>
    <t>pendiente semana 14</t>
  </si>
  <si>
    <t>PACHECO BAÑUELOS ALFONSO</t>
  </si>
  <si>
    <t>ANTICIPO</t>
  </si>
  <si>
    <t>AUTORIZO NAUM SOTELO</t>
  </si>
  <si>
    <t>BONO CAMARA</t>
  </si>
  <si>
    <t xml:space="preserve">ANTICIPO DE VIAJE </t>
  </si>
  <si>
    <t xml:space="preserve">CAMARAS </t>
  </si>
  <si>
    <t xml:space="preserve">AGENCIA 20 LTS </t>
  </si>
  <si>
    <t xml:space="preserve">AUTORIZO SR. SOTELO </t>
  </si>
  <si>
    <t xml:space="preserve">F-036  </t>
  </si>
  <si>
    <t>CHAVEZ VARELA NESTOR ADRIAN</t>
  </si>
  <si>
    <t xml:space="preserve">  </t>
  </si>
  <si>
    <t>GRIJALVA VALDEZ CESAR EUSEBIO</t>
  </si>
  <si>
    <t>BONO DE LA CAMARA</t>
  </si>
  <si>
    <t>CERDA HERNANDEZ JOSE LUIS</t>
  </si>
  <si>
    <t xml:space="preserve">F-119  </t>
  </si>
  <si>
    <t>CAMARAS</t>
  </si>
  <si>
    <t>2639</t>
  </si>
  <si>
    <t>2550</t>
  </si>
  <si>
    <t>2647</t>
  </si>
  <si>
    <t>0186</t>
  </si>
  <si>
    <t>2316</t>
  </si>
  <si>
    <t>0235</t>
  </si>
  <si>
    <t xml:space="preserve">AUTORIZO NAHUM </t>
  </si>
  <si>
    <t>ANTICIPO DE VIAJE 45313</t>
  </si>
  <si>
    <t xml:space="preserve">F-112 </t>
  </si>
  <si>
    <t>RECONOCIMIENTO 40 LTS</t>
  </si>
  <si>
    <t>F-111 F-1117</t>
  </si>
  <si>
    <t xml:space="preserve">RUIZ HERRERA ERICK </t>
  </si>
  <si>
    <t>RUEDA SALAZAR ISMAEL</t>
  </si>
  <si>
    <t>LIRA TRISTAN JOSE ANGEL</t>
  </si>
  <si>
    <t>RECONOCIMIENTO F-035</t>
  </si>
  <si>
    <t xml:space="preserve">PENDIENTE </t>
  </si>
  <si>
    <t>pendiente</t>
  </si>
  <si>
    <t xml:space="preserve">F-038 </t>
  </si>
  <si>
    <t>AGENCIA  20 LTS</t>
  </si>
  <si>
    <t>reconocimiento diesel 50 lts</t>
  </si>
  <si>
    <t>SALIDA</t>
  </si>
  <si>
    <t xml:space="preserve">SALIDA </t>
  </si>
  <si>
    <t>REGRESO</t>
  </si>
  <si>
    <t xml:space="preserve">REGRESO </t>
  </si>
  <si>
    <t xml:space="preserve">DEVOLUCIO  </t>
  </si>
  <si>
    <t>HARO IMPERIAL JOSÉ ANTONIO</t>
  </si>
  <si>
    <t>REGRESE</t>
  </si>
  <si>
    <t>PENDIENTE SEMANA 39</t>
  </si>
  <si>
    <t>F-037 F-111</t>
  </si>
  <si>
    <t>F-111 F-118</t>
  </si>
  <si>
    <t>F-034 F-114</t>
  </si>
  <si>
    <t>F-119 F-026</t>
  </si>
  <si>
    <t>BONO QMS</t>
  </si>
  <si>
    <t>TORRES GARAY LUIS HUMBERTO</t>
  </si>
  <si>
    <t>SEMANA #42 PERIODO DEL 06 AL 12 DE OCTUBRE  DEL 2025</t>
  </si>
  <si>
    <t>2873595-3</t>
  </si>
  <si>
    <t>2873981-1</t>
  </si>
  <si>
    <t>FSM54000</t>
  </si>
  <si>
    <t>FSM54002</t>
  </si>
  <si>
    <t>FSM53967</t>
  </si>
  <si>
    <t>FSM22305</t>
  </si>
  <si>
    <t>2873741-1</t>
  </si>
  <si>
    <t>2874027-2</t>
  </si>
  <si>
    <t>FSM53988</t>
  </si>
  <si>
    <t>FSM53920</t>
  </si>
  <si>
    <t>2873740-1</t>
  </si>
  <si>
    <t>2873801-2</t>
  </si>
  <si>
    <t>2873520-5</t>
  </si>
  <si>
    <t>2874014-1</t>
  </si>
  <si>
    <t>2874014-2</t>
  </si>
  <si>
    <t>FSM53994</t>
  </si>
  <si>
    <t>FSM53990</t>
  </si>
  <si>
    <t>BS53751</t>
  </si>
  <si>
    <t>2873807-2</t>
  </si>
  <si>
    <t>2873834-2</t>
  </si>
  <si>
    <t>FSM22306</t>
  </si>
  <si>
    <t>FSM53924</t>
  </si>
  <si>
    <t>2874000-4</t>
  </si>
  <si>
    <t>2874268-2</t>
  </si>
  <si>
    <t>BS35124</t>
  </si>
  <si>
    <t>QMS</t>
  </si>
  <si>
    <t>FOKER</t>
  </si>
  <si>
    <t>2874346-7</t>
  </si>
  <si>
    <t>2874599-1</t>
  </si>
  <si>
    <t xml:space="preserve">PERICAS </t>
  </si>
  <si>
    <t>NA</t>
  </si>
  <si>
    <t>FSM53945</t>
  </si>
  <si>
    <t>FSM53918</t>
  </si>
  <si>
    <t>2874022-2</t>
  </si>
  <si>
    <t>2874499-1</t>
  </si>
  <si>
    <t>FSM53931</t>
  </si>
  <si>
    <t>2873902-7</t>
  </si>
  <si>
    <t>2874523-1</t>
  </si>
  <si>
    <t>2874523-2</t>
  </si>
  <si>
    <t>2873652-3</t>
  </si>
  <si>
    <t>2874219-1</t>
  </si>
  <si>
    <t>obregon</t>
  </si>
  <si>
    <t>2874536-1</t>
  </si>
  <si>
    <t>2874775-3</t>
  </si>
  <si>
    <t>FSM53943</t>
  </si>
  <si>
    <t>FSM53917</t>
  </si>
  <si>
    <t>2874732-3</t>
  </si>
  <si>
    <t>2874848-5</t>
  </si>
  <si>
    <t>BS35137</t>
  </si>
  <si>
    <t>FSM53992</t>
  </si>
  <si>
    <t>FSM54001</t>
  </si>
  <si>
    <t>2874540-1</t>
  </si>
  <si>
    <t>2874411-2</t>
  </si>
  <si>
    <t xml:space="preserve">NO CAM </t>
  </si>
  <si>
    <t>2874784-3</t>
  </si>
  <si>
    <t>2874541-2</t>
  </si>
  <si>
    <t>FSM53985</t>
  </si>
  <si>
    <t>FSM22308</t>
  </si>
  <si>
    <t>TAPO CAM</t>
  </si>
  <si>
    <t>FSM53033</t>
  </si>
  <si>
    <t>FSM48524</t>
  </si>
  <si>
    <t>2874857-2</t>
  </si>
  <si>
    <t>2874619-2</t>
  </si>
  <si>
    <t>FSM53922</t>
  </si>
  <si>
    <t>FSM53955</t>
  </si>
  <si>
    <t>2874521-2</t>
  </si>
  <si>
    <t>2874996-1</t>
  </si>
  <si>
    <t>FSM53958</t>
  </si>
  <si>
    <t>2874306-7</t>
  </si>
  <si>
    <t>2874981-1</t>
  </si>
  <si>
    <t>2874981-2</t>
  </si>
  <si>
    <t>2873924-2</t>
  </si>
  <si>
    <t>2873924-3</t>
  </si>
  <si>
    <t>2874968-2</t>
  </si>
  <si>
    <t>2874172-4</t>
  </si>
  <si>
    <t>2874752-1</t>
  </si>
  <si>
    <t>FSM53925</t>
  </si>
  <si>
    <t>2874493-3</t>
  </si>
  <si>
    <t>2874843-2</t>
  </si>
  <si>
    <t>FSM53947</t>
  </si>
  <si>
    <t>FSM54003</t>
  </si>
  <si>
    <t>2874535-1</t>
  </si>
  <si>
    <t>2874787-2</t>
  </si>
  <si>
    <t>TECOMAN</t>
  </si>
  <si>
    <t>FSM53991</t>
  </si>
  <si>
    <t>FSM53908</t>
  </si>
  <si>
    <t>FSM53989</t>
  </si>
  <si>
    <t>2874901-2</t>
  </si>
  <si>
    <t>2874961-2</t>
  </si>
  <si>
    <t xml:space="preserve">CAMARA </t>
  </si>
  <si>
    <t>F-042</t>
  </si>
  <si>
    <t>FSM22303</t>
  </si>
  <si>
    <t>FSM53907</t>
  </si>
  <si>
    <t>2875019-3</t>
  </si>
  <si>
    <t>2875023-2</t>
  </si>
  <si>
    <t>FSM53983</t>
  </si>
  <si>
    <t>BS35132</t>
  </si>
  <si>
    <t>2874960-2</t>
  </si>
  <si>
    <t>2874960-3</t>
  </si>
  <si>
    <t>2874783-2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</si>
</sst>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0.0000"/>
    <numFmt numFmtId="166" formatCode="_(&quot;$&quot;* #,##0.00_);_(&quot;$&quot;* \(#,##0.00\);_(&quot;$&quot;* &quot;-&quot;??_);_(@_)"/>
    <numFmt numFmtId="167" formatCode="0.000"/>
    <numFmt numFmtId="168" formatCode="_(* #,##0_);_(* \(#,##0\);_(* &quot;-&quot;??_);_(@_)"/>
    <numFmt numFmtId="169" formatCode="_(* #,##0.000_);_(* \(#,##0.000\);_(* &quot;-&quot;??_);_(@_)"/>
    <numFmt numFmtId="170" formatCode="_(* #,##0.00000_);_(* \(#,##0.00000\);_(* &quot;-&quot;??_);_(@_)"/>
    <numFmt numFmtId="171" formatCode="_(* #,##0.0000_);_(* \(#,##0.0000\);_(* &quot;-&quot;??_);_(@_)"/>
    <numFmt numFmtId="172" formatCode="[$-F400]h:mm:ss\ AM/PM"/>
  </numFmts>
  <fonts count="5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2"/>
      <color indexed="8"/>
      <name val="Arial"/>
      <family val="2"/>
    </font>
    <font>
      <b/>
      <sz val="9"/>
      <color theme="1"/>
      <name val="Arial"/>
      <family val="2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164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0" fontId="25" fillId="0" borderId="0"/>
    <xf numFmtId="0" fontId="30" fillId="0" borderId="0"/>
    <xf numFmtId="0" fontId="24" fillId="0" borderId="0"/>
    <xf numFmtId="0" fontId="30" fillId="0" borderId="0"/>
    <xf numFmtId="164" fontId="30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/>
    <xf numFmtId="0" fontId="10" fillId="0" borderId="0"/>
  </cellStyleXfs>
  <cellXfs count="959">
    <xf numFmtId="0" fontId="0" fillId="0" borderId="0" xfId="0"/>
    <xf numFmtId="0" fontId="28" fillId="2" borderId="3" xfId="0" applyFont="1" applyFill="1" applyBorder="1"/>
    <xf numFmtId="0" fontId="30" fillId="2" borderId="4" xfId="0" applyFont="1" applyFill="1" applyBorder="1"/>
    <xf numFmtId="0" fontId="0" fillId="2" borderId="4" xfId="0" applyFill="1" applyBorder="1"/>
    <xf numFmtId="0" fontId="28" fillId="2" borderId="4" xfId="0" applyFont="1" applyFill="1" applyBorder="1" applyAlignment="1">
      <alignment horizontal="right"/>
    </xf>
    <xf numFmtId="0" fontId="28" fillId="2" borderId="6" xfId="0" applyFont="1" applyFill="1" applyBorder="1"/>
    <xf numFmtId="0" fontId="30" fillId="2" borderId="0" xfId="0" applyFont="1" applyFill="1" applyAlignment="1">
      <alignment horizontal="left"/>
    </xf>
    <xf numFmtId="0" fontId="0" fillId="2" borderId="0" xfId="0" applyFill="1"/>
    <xf numFmtId="0" fontId="0" fillId="2" borderId="7" xfId="0" applyFill="1" applyBorder="1"/>
    <xf numFmtId="0" fontId="28" fillId="2" borderId="0" xfId="0" applyFont="1" applyFill="1" applyAlignment="1">
      <alignment horizontal="right"/>
    </xf>
    <xf numFmtId="0" fontId="28" fillId="2" borderId="0" xfId="0" applyFont="1" applyFill="1"/>
    <xf numFmtId="0" fontId="28" fillId="2" borderId="7" xfId="0" applyFont="1" applyFill="1" applyBorder="1" applyAlignment="1">
      <alignment horizontal="left"/>
    </xf>
    <xf numFmtId="0" fontId="0" fillId="2" borderId="9" xfId="0" applyFill="1" applyBorder="1"/>
    <xf numFmtId="0" fontId="32" fillId="2" borderId="9" xfId="0" applyFont="1" applyFill="1" applyBorder="1" applyAlignment="1">
      <alignment horizontal="right"/>
    </xf>
    <xf numFmtId="0" fontId="28" fillId="2" borderId="9" xfId="0" applyFont="1" applyFill="1" applyBorder="1" applyAlignment="1">
      <alignment horizontal="right"/>
    </xf>
    <xf numFmtId="165" fontId="28" fillId="2" borderId="9" xfId="0" applyNumberFormat="1" applyFont="1" applyFill="1" applyBorder="1"/>
    <xf numFmtId="0" fontId="0" fillId="2" borderId="10" xfId="0" applyFill="1" applyBorder="1"/>
    <xf numFmtId="0" fontId="32" fillId="2" borderId="12" xfId="0" applyFont="1" applyFill="1" applyBorder="1" applyAlignment="1">
      <alignment horizontal="center" vertical="center"/>
    </xf>
    <xf numFmtId="16" fontId="32" fillId="2" borderId="12" xfId="0" applyNumberFormat="1" applyFont="1" applyFill="1" applyBorder="1" applyAlignment="1">
      <alignment horizontal="center"/>
    </xf>
    <xf numFmtId="0" fontId="34" fillId="0" borderId="0" xfId="0" applyFont="1"/>
    <xf numFmtId="14" fontId="32" fillId="2" borderId="16" xfId="0" applyNumberFormat="1" applyFont="1" applyFill="1" applyBorder="1" applyAlignment="1">
      <alignment horizontal="center" vertical="center"/>
    </xf>
    <xf numFmtId="0" fontId="32" fillId="2" borderId="17" xfId="0" applyFont="1" applyFill="1" applyBorder="1" applyAlignment="1">
      <alignment horizontal="center"/>
    </xf>
    <xf numFmtId="0" fontId="30" fillId="0" borderId="0" xfId="0" applyFont="1"/>
    <xf numFmtId="164" fontId="0" fillId="0" borderId="0" xfId="1" applyFont="1"/>
    <xf numFmtId="0" fontId="32" fillId="2" borderId="30" xfId="0" applyFont="1" applyFill="1" applyBorder="1"/>
    <xf numFmtId="0" fontId="32" fillId="2" borderId="33" xfId="0" applyFont="1" applyFill="1" applyBorder="1"/>
    <xf numFmtId="166" fontId="26" fillId="0" borderId="0" xfId="2" applyFont="1" applyFill="1" applyBorder="1"/>
    <xf numFmtId="0" fontId="32" fillId="0" borderId="0" xfId="0" applyFont="1"/>
    <xf numFmtId="0" fontId="30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3" fillId="0" borderId="0" xfId="0" applyFont="1"/>
    <xf numFmtId="0" fontId="32" fillId="0" borderId="0" xfId="0" applyFont="1" applyAlignment="1">
      <alignment horizontal="center"/>
    </xf>
    <xf numFmtId="0" fontId="32" fillId="2" borderId="16" xfId="0" applyFont="1" applyFill="1" applyBorder="1" applyAlignment="1">
      <alignment horizontal="center" vertical="center"/>
    </xf>
    <xf numFmtId="0" fontId="28" fillId="2" borderId="35" xfId="0" applyFont="1" applyFill="1" applyBorder="1"/>
    <xf numFmtId="0" fontId="28" fillId="2" borderId="36" xfId="0" applyFont="1" applyFill="1" applyBorder="1"/>
    <xf numFmtId="0" fontId="32" fillId="2" borderId="21" xfId="0" applyFont="1" applyFill="1" applyBorder="1" applyAlignment="1">
      <alignment horizontal="center" vertical="center"/>
    </xf>
    <xf numFmtId="166" fontId="32" fillId="2" borderId="21" xfId="2" applyFont="1" applyFill="1" applyBorder="1"/>
    <xf numFmtId="166" fontId="32" fillId="2" borderId="22" xfId="2" applyFont="1" applyFill="1" applyBorder="1"/>
    <xf numFmtId="0" fontId="32" fillId="2" borderId="35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horizontal="center" vertical="center" wrapText="1"/>
    </xf>
    <xf numFmtId="0" fontId="32" fillId="2" borderId="44" xfId="0" applyFont="1" applyFill="1" applyBorder="1" applyAlignment="1">
      <alignment horizontal="center" vertical="center" wrapText="1"/>
    </xf>
    <xf numFmtId="0" fontId="28" fillId="2" borderId="45" xfId="0" applyFont="1" applyFill="1" applyBorder="1"/>
    <xf numFmtId="0" fontId="32" fillId="2" borderId="28" xfId="0" applyFont="1" applyFill="1" applyBorder="1" applyAlignment="1">
      <alignment horizontal="center"/>
    </xf>
    <xf numFmtId="16" fontId="32" fillId="2" borderId="28" xfId="0" applyNumberFormat="1" applyFont="1" applyFill="1" applyBorder="1" applyAlignment="1">
      <alignment horizontal="center"/>
    </xf>
    <xf numFmtId="0" fontId="32" fillId="2" borderId="28" xfId="0" applyFont="1" applyFill="1" applyBorder="1" applyAlignment="1">
      <alignment horizontal="center" vertical="center"/>
    </xf>
    <xf numFmtId="0" fontId="28" fillId="2" borderId="34" xfId="0" applyFont="1" applyFill="1" applyBorder="1"/>
    <xf numFmtId="166" fontId="28" fillId="2" borderId="16" xfId="2" applyFont="1" applyFill="1" applyBorder="1" applyAlignment="1">
      <alignment horizontal="center" vertical="center"/>
    </xf>
    <xf numFmtId="0" fontId="28" fillId="2" borderId="16" xfId="2" applyNumberFormat="1" applyFont="1" applyFill="1" applyBorder="1" applyAlignment="1">
      <alignment horizontal="center" vertical="center"/>
    </xf>
    <xf numFmtId="0" fontId="28" fillId="0" borderId="0" xfId="4" applyFont="1"/>
    <xf numFmtId="0" fontId="30" fillId="0" borderId="0" xfId="4"/>
    <xf numFmtId="0" fontId="24" fillId="0" borderId="0" xfId="5"/>
    <xf numFmtId="0" fontId="24" fillId="0" borderId="0" xfId="5" applyAlignment="1">
      <alignment horizontal="center"/>
    </xf>
    <xf numFmtId="0" fontId="32" fillId="2" borderId="21" xfId="0" applyFont="1" applyFill="1" applyBorder="1" applyAlignment="1">
      <alignment horizontal="center"/>
    </xf>
    <xf numFmtId="0" fontId="32" fillId="2" borderId="12" xfId="0" applyFont="1" applyFill="1" applyBorder="1" applyAlignment="1">
      <alignment horizontal="center"/>
    </xf>
    <xf numFmtId="166" fontId="32" fillId="2" borderId="22" xfId="0" applyNumberFormat="1" applyFont="1" applyFill="1" applyBorder="1"/>
    <xf numFmtId="0" fontId="32" fillId="2" borderId="46" xfId="0" applyFont="1" applyFill="1" applyBorder="1" applyAlignment="1">
      <alignment horizontal="center"/>
    </xf>
    <xf numFmtId="0" fontId="32" fillId="2" borderId="39" xfId="0" applyFont="1" applyFill="1" applyBorder="1" applyAlignment="1">
      <alignment horizontal="center"/>
    </xf>
    <xf numFmtId="0" fontId="32" fillId="2" borderId="48" xfId="0" applyFont="1" applyFill="1" applyBorder="1" applyAlignment="1">
      <alignment horizontal="center"/>
    </xf>
    <xf numFmtId="0" fontId="32" fillId="2" borderId="47" xfId="0" applyFont="1" applyFill="1" applyBorder="1" applyAlignment="1">
      <alignment horizontal="center"/>
    </xf>
    <xf numFmtId="0" fontId="32" fillId="2" borderId="45" xfId="0" applyFont="1" applyFill="1" applyBorder="1" applyAlignment="1">
      <alignment horizontal="center" vertical="center"/>
    </xf>
    <xf numFmtId="0" fontId="32" fillId="2" borderId="29" xfId="0" applyFont="1" applyFill="1" applyBorder="1" applyAlignment="1">
      <alignment horizontal="center" vertical="center"/>
    </xf>
    <xf numFmtId="0" fontId="32" fillId="2" borderId="27" xfId="0" applyFont="1" applyFill="1" applyBorder="1" applyAlignment="1">
      <alignment horizontal="center" vertical="center"/>
    </xf>
    <xf numFmtId="0" fontId="32" fillId="2" borderId="32" xfId="0" applyFont="1" applyFill="1" applyBorder="1" applyAlignment="1">
      <alignment horizontal="center" vertical="center"/>
    </xf>
    <xf numFmtId="0" fontId="32" fillId="2" borderId="31" xfId="0" applyFont="1" applyFill="1" applyBorder="1" applyAlignment="1">
      <alignment horizontal="center" vertical="center"/>
    </xf>
    <xf numFmtId="0" fontId="32" fillId="2" borderId="36" xfId="0" applyFont="1" applyFill="1" applyBorder="1" applyAlignment="1">
      <alignment horizontal="center" vertical="center"/>
    </xf>
    <xf numFmtId="0" fontId="32" fillId="2" borderId="22" xfId="0" applyFont="1" applyFill="1" applyBorder="1" applyAlignment="1">
      <alignment horizontal="center" vertical="center"/>
    </xf>
    <xf numFmtId="0" fontId="32" fillId="2" borderId="20" xfId="0" applyFont="1" applyFill="1" applyBorder="1" applyAlignment="1">
      <alignment horizontal="center" vertical="center"/>
    </xf>
    <xf numFmtId="166" fontId="28" fillId="2" borderId="21" xfId="2" applyFont="1" applyFill="1" applyBorder="1" applyAlignment="1">
      <alignment horizontal="center" vertical="center"/>
    </xf>
    <xf numFmtId="0" fontId="28" fillId="2" borderId="21" xfId="2" applyNumberFormat="1" applyFont="1" applyFill="1" applyBorder="1" applyAlignment="1">
      <alignment horizontal="center" vertical="center"/>
    </xf>
    <xf numFmtId="0" fontId="28" fillId="2" borderId="50" xfId="0" applyFont="1" applyFill="1" applyBorder="1"/>
    <xf numFmtId="44" fontId="0" fillId="0" borderId="0" xfId="0" applyNumberFormat="1"/>
    <xf numFmtId="0" fontId="0" fillId="0" borderId="34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54" xfId="0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0" fontId="26" fillId="0" borderId="5" xfId="3" applyFont="1" applyBorder="1" applyAlignment="1">
      <alignment horizontal="center"/>
    </xf>
    <xf numFmtId="0" fontId="0" fillId="0" borderId="57" xfId="0" applyBorder="1" applyAlignment="1">
      <alignment horizontal="center" vertical="center"/>
    </xf>
    <xf numFmtId="0" fontId="0" fillId="0" borderId="59" xfId="0" applyBorder="1" applyAlignment="1">
      <alignment horizontal="center"/>
    </xf>
    <xf numFmtId="0" fontId="24" fillId="0" borderId="34" xfId="5" applyBorder="1"/>
    <xf numFmtId="0" fontId="24" fillId="0" borderId="36" xfId="5" applyBorder="1"/>
    <xf numFmtId="0" fontId="24" fillId="0" borderId="54" xfId="5" applyBorder="1"/>
    <xf numFmtId="0" fontId="24" fillId="0" borderId="45" xfId="5" applyBorder="1"/>
    <xf numFmtId="0" fontId="24" fillId="0" borderId="29" xfId="5" applyBorder="1" applyAlignment="1">
      <alignment horizontal="center"/>
    </xf>
    <xf numFmtId="0" fontId="28" fillId="2" borderId="54" xfId="0" applyFont="1" applyFill="1" applyBorder="1"/>
    <xf numFmtId="0" fontId="32" fillId="2" borderId="30" xfId="0" quotePrefix="1" applyFont="1" applyFill="1" applyBorder="1"/>
    <xf numFmtId="0" fontId="28" fillId="2" borderId="57" xfId="0" applyFont="1" applyFill="1" applyBorder="1"/>
    <xf numFmtId="0" fontId="32" fillId="2" borderId="34" xfId="0" applyFont="1" applyFill="1" applyBorder="1" applyAlignment="1">
      <alignment horizontal="center" vertical="center"/>
    </xf>
    <xf numFmtId="0" fontId="32" fillId="2" borderId="17" xfId="0" applyFont="1" applyFill="1" applyBorder="1" applyAlignment="1">
      <alignment horizontal="center" vertical="center"/>
    </xf>
    <xf numFmtId="0" fontId="24" fillId="0" borderId="38" xfId="5" applyBorder="1" applyAlignment="1">
      <alignment horizontal="center"/>
    </xf>
    <xf numFmtId="0" fontId="24" fillId="0" borderId="46" xfId="5" applyBorder="1"/>
    <xf numFmtId="0" fontId="24" fillId="0" borderId="39" xfId="5" applyBorder="1" applyAlignment="1">
      <alignment horizontal="center"/>
    </xf>
    <xf numFmtId="166" fontId="28" fillId="2" borderId="28" xfId="2" applyFont="1" applyFill="1" applyBorder="1" applyAlignment="1">
      <alignment horizontal="center" vertical="center"/>
    </xf>
    <xf numFmtId="0" fontId="28" fillId="2" borderId="28" xfId="2" applyNumberFormat="1" applyFont="1" applyFill="1" applyBorder="1" applyAlignment="1">
      <alignment horizontal="center" vertical="center"/>
    </xf>
    <xf numFmtId="0" fontId="28" fillId="2" borderId="21" xfId="0" applyFont="1" applyFill="1" applyBorder="1" applyAlignment="1">
      <alignment horizontal="center" vertical="center"/>
    </xf>
    <xf numFmtId="0" fontId="28" fillId="2" borderId="21" xfId="1" applyNumberFormat="1" applyFont="1" applyFill="1" applyBorder="1" applyAlignment="1">
      <alignment horizontal="center" vertical="center"/>
    </xf>
    <xf numFmtId="0" fontId="32" fillId="2" borderId="44" xfId="0" applyFont="1" applyFill="1" applyBorder="1" applyAlignment="1">
      <alignment horizontal="center"/>
    </xf>
    <xf numFmtId="0" fontId="32" fillId="2" borderId="43" xfId="0" applyFont="1" applyFill="1" applyBorder="1" applyAlignment="1">
      <alignment horizontal="center"/>
    </xf>
    <xf numFmtId="0" fontId="32" fillId="2" borderId="42" xfId="0" applyFont="1" applyFill="1" applyBorder="1" applyAlignment="1">
      <alignment horizontal="center"/>
    </xf>
    <xf numFmtId="166" fontId="28" fillId="2" borderId="12" xfId="2" applyFont="1" applyFill="1" applyBorder="1" applyAlignment="1">
      <alignment horizontal="center" vertical="center"/>
    </xf>
    <xf numFmtId="0" fontId="28" fillId="2" borderId="12" xfId="2" applyNumberFormat="1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center" vertical="center"/>
    </xf>
    <xf numFmtId="0" fontId="28" fillId="2" borderId="12" xfId="1" applyNumberFormat="1" applyFont="1" applyFill="1" applyBorder="1" applyAlignment="1">
      <alignment horizontal="center" vertical="center"/>
    </xf>
    <xf numFmtId="2" fontId="28" fillId="2" borderId="21" xfId="0" applyNumberFormat="1" applyFont="1" applyFill="1" applyBorder="1" applyAlignment="1">
      <alignment horizontal="center" vertical="center"/>
    </xf>
    <xf numFmtId="0" fontId="33" fillId="2" borderId="12" xfId="0" applyFont="1" applyFill="1" applyBorder="1" applyAlignment="1">
      <alignment horizontal="center"/>
    </xf>
    <xf numFmtId="0" fontId="18" fillId="0" borderId="0" xfId="5" applyFont="1"/>
    <xf numFmtId="166" fontId="32" fillId="2" borderId="32" xfId="2" applyFont="1" applyFill="1" applyBorder="1" applyAlignment="1">
      <alignment horizontal="center"/>
    </xf>
    <xf numFmtId="166" fontId="32" fillId="2" borderId="22" xfId="2" applyFont="1" applyFill="1" applyBorder="1" applyAlignment="1">
      <alignment horizontal="center"/>
    </xf>
    <xf numFmtId="166" fontId="32" fillId="2" borderId="29" xfId="2" applyFont="1" applyFill="1" applyBorder="1" applyAlignment="1">
      <alignment horizontal="center"/>
    </xf>
    <xf numFmtId="0" fontId="32" fillId="2" borderId="36" xfId="0" applyFont="1" applyFill="1" applyBorder="1" applyAlignment="1">
      <alignment horizontal="center"/>
    </xf>
    <xf numFmtId="0" fontId="32" fillId="2" borderId="45" xfId="0" applyFont="1" applyFill="1" applyBorder="1" applyAlignment="1">
      <alignment horizontal="left"/>
    </xf>
    <xf numFmtId="14" fontId="32" fillId="2" borderId="28" xfId="0" applyNumberFormat="1" applyFont="1" applyFill="1" applyBorder="1" applyAlignment="1">
      <alignment horizontal="center"/>
    </xf>
    <xf numFmtId="0" fontId="32" fillId="2" borderId="35" xfId="0" applyFont="1" applyFill="1" applyBorder="1" applyAlignment="1">
      <alignment horizontal="left"/>
    </xf>
    <xf numFmtId="166" fontId="32" fillId="2" borderId="60" xfId="2" applyFont="1" applyFill="1" applyBorder="1"/>
    <xf numFmtId="0" fontId="32" fillId="0" borderId="0" xfId="0" applyFont="1" applyAlignment="1">
      <alignment horizontal="left"/>
    </xf>
    <xf numFmtId="166" fontId="34" fillId="0" borderId="0" xfId="2" applyFont="1" applyFill="1" applyBorder="1"/>
    <xf numFmtId="166" fontId="34" fillId="0" borderId="0" xfId="2" applyFont="1" applyFill="1" applyBorder="1" applyAlignment="1">
      <alignment horizontal="left"/>
    </xf>
    <xf numFmtId="0" fontId="34" fillId="0" borderId="0" xfId="0" applyFont="1" applyAlignment="1">
      <alignment horizontal="left"/>
    </xf>
    <xf numFmtId="166" fontId="32" fillId="0" borderId="0" xfId="2" applyFont="1" applyFill="1" applyBorder="1"/>
    <xf numFmtId="0" fontId="28" fillId="2" borderId="16" xfId="0" applyFont="1" applyFill="1" applyBorder="1" applyAlignment="1">
      <alignment horizontal="center" vertical="center"/>
    </xf>
    <xf numFmtId="0" fontId="28" fillId="2" borderId="16" xfId="1" applyNumberFormat="1" applyFont="1" applyFill="1" applyBorder="1" applyAlignment="1">
      <alignment horizontal="center" vertical="center"/>
    </xf>
    <xf numFmtId="0" fontId="30" fillId="0" borderId="0" xfId="6"/>
    <xf numFmtId="0" fontId="30" fillId="0" borderId="0" xfId="6" applyAlignment="1">
      <alignment horizontal="center"/>
    </xf>
    <xf numFmtId="0" fontId="30" fillId="0" borderId="0" xfId="6" applyAlignment="1">
      <alignment horizontal="left"/>
    </xf>
    <xf numFmtId="168" fontId="30" fillId="0" borderId="0" xfId="6" applyNumberFormat="1" applyAlignment="1">
      <alignment horizontal="center"/>
    </xf>
    <xf numFmtId="164" fontId="30" fillId="0" borderId="0" xfId="6" applyNumberFormat="1" applyAlignment="1">
      <alignment horizontal="center"/>
    </xf>
    <xf numFmtId="0" fontId="42" fillId="0" borderId="50" xfId="6" applyFont="1" applyBorder="1" applyAlignment="1">
      <alignment horizontal="center" vertical="center"/>
    </xf>
    <xf numFmtId="0" fontId="42" fillId="0" borderId="13" xfId="6" applyFont="1" applyBorder="1" applyAlignment="1">
      <alignment horizontal="center" vertical="center"/>
    </xf>
    <xf numFmtId="0" fontId="31" fillId="0" borderId="0" xfId="6" applyFont="1" applyAlignment="1">
      <alignment horizontal="center" vertical="center" wrapText="1"/>
    </xf>
    <xf numFmtId="0" fontId="41" fillId="0" borderId="16" xfId="6" applyFont="1" applyBorder="1" applyAlignment="1">
      <alignment horizontal="center" vertical="center" wrapText="1"/>
    </xf>
    <xf numFmtId="0" fontId="41" fillId="0" borderId="17" xfId="6" applyFont="1" applyBorder="1" applyAlignment="1">
      <alignment horizontal="center" vertical="center" wrapText="1"/>
    </xf>
    <xf numFmtId="0" fontId="30" fillId="0" borderId="0" xfId="6" applyAlignment="1">
      <alignment wrapText="1"/>
    </xf>
    <xf numFmtId="0" fontId="41" fillId="0" borderId="12" xfId="6" applyFont="1" applyBorder="1" applyAlignment="1">
      <alignment horizontal="center" wrapText="1"/>
    </xf>
    <xf numFmtId="0" fontId="41" fillId="0" borderId="12" xfId="7" applyNumberFormat="1" applyFont="1" applyBorder="1" applyAlignment="1">
      <alignment horizontal="center" vertical="center" wrapText="1"/>
    </xf>
    <xf numFmtId="164" fontId="41" fillId="0" borderId="12" xfId="1" applyFont="1" applyFill="1" applyBorder="1" applyAlignment="1">
      <alignment horizontal="center" wrapText="1"/>
    </xf>
    <xf numFmtId="165" fontId="41" fillId="3" borderId="32" xfId="7" applyNumberFormat="1" applyFont="1" applyFill="1" applyBorder="1" applyAlignment="1">
      <alignment horizontal="center" vertical="center" wrapText="1"/>
    </xf>
    <xf numFmtId="0" fontId="41" fillId="0" borderId="35" xfId="6" applyFont="1" applyBorder="1" applyAlignment="1">
      <alignment horizontal="center" vertical="center" wrapText="1"/>
    </xf>
    <xf numFmtId="0" fontId="41" fillId="0" borderId="12" xfId="6" applyFont="1" applyBorder="1" applyAlignment="1">
      <alignment horizontal="center" vertical="center" wrapText="1"/>
    </xf>
    <xf numFmtId="0" fontId="41" fillId="0" borderId="32" xfId="6" applyFont="1" applyBorder="1" applyAlignment="1">
      <alignment horizontal="center" vertical="center" wrapText="1"/>
    </xf>
    <xf numFmtId="0" fontId="41" fillId="0" borderId="53" xfId="6" applyFont="1" applyBorder="1" applyAlignment="1">
      <alignment horizontal="center" vertical="center" wrapText="1"/>
    </xf>
    <xf numFmtId="164" fontId="41" fillId="0" borderId="53" xfId="1" applyFont="1" applyFill="1" applyBorder="1" applyAlignment="1">
      <alignment horizontal="center" wrapText="1"/>
    </xf>
    <xf numFmtId="0" fontId="41" fillId="0" borderId="53" xfId="7" applyNumberFormat="1" applyFont="1" applyBorder="1" applyAlignment="1">
      <alignment horizontal="center" vertical="center" wrapText="1"/>
    </xf>
    <xf numFmtId="0" fontId="32" fillId="2" borderId="34" xfId="0" applyFont="1" applyFill="1" applyBorder="1" applyAlignment="1">
      <alignment horizontal="center"/>
    </xf>
    <xf numFmtId="0" fontId="45" fillId="2" borderId="35" xfId="0" applyFont="1" applyFill="1" applyBorder="1" applyAlignment="1">
      <alignment horizontal="center"/>
    </xf>
    <xf numFmtId="0" fontId="32" fillId="2" borderId="32" xfId="0" applyFont="1" applyFill="1" applyBorder="1" applyAlignment="1">
      <alignment horizontal="center"/>
    </xf>
    <xf numFmtId="0" fontId="45" fillId="2" borderId="35" xfId="2" applyNumberFormat="1" applyFont="1" applyFill="1" applyBorder="1" applyAlignment="1">
      <alignment horizontal="center"/>
    </xf>
    <xf numFmtId="0" fontId="45" fillId="2" borderId="36" xfId="2" applyNumberFormat="1" applyFont="1" applyFill="1" applyBorder="1" applyAlignment="1">
      <alignment horizontal="center"/>
    </xf>
    <xf numFmtId="0" fontId="32" fillId="2" borderId="22" xfId="0" applyFont="1" applyFill="1" applyBorder="1" applyAlignment="1">
      <alignment horizontal="center"/>
    </xf>
    <xf numFmtId="0" fontId="17" fillId="0" borderId="26" xfId="8" applyBorder="1" applyAlignment="1">
      <alignment vertical="center"/>
    </xf>
    <xf numFmtId="0" fontId="17" fillId="0" borderId="0" xfId="8"/>
    <xf numFmtId="0" fontId="46" fillId="5" borderId="12" xfId="8" applyFont="1" applyFill="1" applyBorder="1" applyAlignment="1">
      <alignment horizontal="center"/>
    </xf>
    <xf numFmtId="0" fontId="46" fillId="5" borderId="12" xfId="8" applyFont="1" applyFill="1" applyBorder="1"/>
    <xf numFmtId="0" fontId="46" fillId="5" borderId="49" xfId="8" applyFont="1" applyFill="1" applyBorder="1" applyAlignment="1">
      <alignment horizontal="center"/>
    </xf>
    <xf numFmtId="0" fontId="47" fillId="3" borderId="12" xfId="8" applyFont="1" applyFill="1" applyBorder="1" applyAlignment="1">
      <alignment horizontal="center"/>
    </xf>
    <xf numFmtId="168" fontId="47" fillId="3" borderId="12" xfId="9" applyNumberFormat="1" applyFont="1" applyFill="1" applyBorder="1"/>
    <xf numFmtId="167" fontId="47" fillId="3" borderId="12" xfId="8" applyNumberFormat="1" applyFont="1" applyFill="1" applyBorder="1" applyAlignment="1">
      <alignment horizontal="center"/>
    </xf>
    <xf numFmtId="168" fontId="47" fillId="6" borderId="12" xfId="8" applyNumberFormat="1" applyFont="1" applyFill="1" applyBorder="1" applyAlignment="1">
      <alignment horizontal="center"/>
    </xf>
    <xf numFmtId="167" fontId="47" fillId="6" borderId="12" xfId="8" applyNumberFormat="1" applyFont="1" applyFill="1" applyBorder="1" applyAlignment="1">
      <alignment horizontal="center"/>
    </xf>
    <xf numFmtId="0" fontId="17" fillId="6" borderId="12" xfId="8" applyFill="1" applyBorder="1"/>
    <xf numFmtId="0" fontId="17" fillId="3" borderId="0" xfId="8" applyFill="1"/>
    <xf numFmtId="0" fontId="17" fillId="0" borderId="0" xfId="8" applyAlignment="1">
      <alignment horizontal="center"/>
    </xf>
    <xf numFmtId="168" fontId="17" fillId="0" borderId="0" xfId="9" applyNumberFormat="1"/>
    <xf numFmtId="167" fontId="17" fillId="0" borderId="0" xfId="8" applyNumberFormat="1"/>
    <xf numFmtId="0" fontId="34" fillId="2" borderId="4" xfId="0" applyFont="1" applyFill="1" applyBorder="1"/>
    <xf numFmtId="164" fontId="41" fillId="0" borderId="16" xfId="1" applyFont="1" applyFill="1" applyBorder="1" applyAlignment="1">
      <alignment horizontal="center" wrapText="1"/>
    </xf>
    <xf numFmtId="165" fontId="41" fillId="3" borderId="17" xfId="7" applyNumberFormat="1" applyFont="1" applyFill="1" applyBorder="1" applyAlignment="1">
      <alignment horizontal="center" vertical="center" wrapText="1"/>
    </xf>
    <xf numFmtId="0" fontId="41" fillId="0" borderId="32" xfId="6" applyFont="1" applyBorder="1" applyAlignment="1">
      <alignment horizontal="center" wrapText="1"/>
    </xf>
    <xf numFmtId="2" fontId="28" fillId="2" borderId="16" xfId="0" applyNumberFormat="1" applyFont="1" applyFill="1" applyBorder="1" applyAlignment="1">
      <alignment horizontal="center" vertical="center"/>
    </xf>
    <xf numFmtId="0" fontId="28" fillId="2" borderId="28" xfId="0" applyFont="1" applyFill="1" applyBorder="1" applyAlignment="1">
      <alignment horizontal="center" vertical="center"/>
    </xf>
    <xf numFmtId="0" fontId="28" fillId="2" borderId="28" xfId="1" applyNumberFormat="1" applyFont="1" applyFill="1" applyBorder="1" applyAlignment="1">
      <alignment horizontal="center" vertical="center"/>
    </xf>
    <xf numFmtId="164" fontId="30" fillId="0" borderId="0" xfId="1" applyFont="1"/>
    <xf numFmtId="0" fontId="28" fillId="2" borderId="53" xfId="0" applyFont="1" applyFill="1" applyBorder="1" applyAlignment="1">
      <alignment horizontal="center" vertical="center"/>
    </xf>
    <xf numFmtId="0" fontId="28" fillId="2" borderId="53" xfId="1" applyNumberFormat="1" applyFont="1" applyFill="1" applyBorder="1" applyAlignment="1">
      <alignment horizontal="center" vertical="center"/>
    </xf>
    <xf numFmtId="0" fontId="28" fillId="0" borderId="3" xfId="0" applyFont="1" applyBorder="1"/>
    <xf numFmtId="0" fontId="32" fillId="0" borderId="0" xfId="0" applyFont="1" applyAlignment="1">
      <alignment horizontal="center" vertical="center"/>
    </xf>
    <xf numFmtId="0" fontId="32" fillId="2" borderId="15" xfId="0" applyFont="1" applyFill="1" applyBorder="1" applyAlignment="1">
      <alignment horizontal="center" vertical="center"/>
    </xf>
    <xf numFmtId="164" fontId="46" fillId="5" borderId="12" xfId="8" applyNumberFormat="1" applyFont="1" applyFill="1" applyBorder="1" applyAlignment="1">
      <alignment horizontal="center"/>
    </xf>
    <xf numFmtId="164" fontId="47" fillId="3" borderId="12" xfId="9" applyFont="1" applyFill="1" applyBorder="1"/>
    <xf numFmtId="164" fontId="17" fillId="0" borderId="0" xfId="8" applyNumberFormat="1"/>
    <xf numFmtId="164" fontId="17" fillId="0" borderId="0" xfId="9"/>
    <xf numFmtId="164" fontId="17" fillId="0" borderId="0" xfId="8" applyNumberFormat="1" applyAlignment="1">
      <alignment horizontal="center"/>
    </xf>
    <xf numFmtId="167" fontId="28" fillId="2" borderId="16" xfId="0" applyNumberFormat="1" applyFont="1" applyFill="1" applyBorder="1" applyAlignment="1">
      <alignment horizontal="center" vertical="center"/>
    </xf>
    <xf numFmtId="166" fontId="28" fillId="2" borderId="16" xfId="2" applyFont="1" applyFill="1" applyBorder="1"/>
    <xf numFmtId="2" fontId="28" fillId="2" borderId="16" xfId="2" applyNumberFormat="1" applyFont="1" applyFill="1" applyBorder="1"/>
    <xf numFmtId="166" fontId="28" fillId="2" borderId="17" xfId="2" applyFont="1" applyFill="1" applyBorder="1"/>
    <xf numFmtId="2" fontId="28" fillId="2" borderId="28" xfId="0" applyNumberFormat="1" applyFont="1" applyFill="1" applyBorder="1" applyAlignment="1">
      <alignment horizontal="center" vertical="center"/>
    </xf>
    <xf numFmtId="0" fontId="30" fillId="0" borderId="4" xfId="0" applyFont="1" applyBorder="1"/>
    <xf numFmtId="0" fontId="32" fillId="2" borderId="32" xfId="0" quotePrefix="1" applyFont="1" applyFill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45" fillId="2" borderId="34" xfId="0" applyFont="1" applyFill="1" applyBorder="1" applyAlignment="1">
      <alignment horizontal="center"/>
    </xf>
    <xf numFmtId="2" fontId="28" fillId="2" borderId="21" xfId="2" applyNumberFormat="1" applyFont="1" applyFill="1" applyBorder="1"/>
    <xf numFmtId="0" fontId="45" fillId="2" borderId="45" xfId="0" applyFont="1" applyFill="1" applyBorder="1" applyAlignment="1">
      <alignment horizontal="center"/>
    </xf>
    <xf numFmtId="0" fontId="32" fillId="2" borderId="29" xfId="0" applyFont="1" applyFill="1" applyBorder="1" applyAlignment="1">
      <alignment horizontal="center"/>
    </xf>
    <xf numFmtId="168" fontId="41" fillId="4" borderId="47" xfId="6" applyNumberFormat="1" applyFont="1" applyFill="1" applyBorder="1" applyAlignment="1">
      <alignment horizontal="center" vertical="center"/>
    </xf>
    <xf numFmtId="164" fontId="41" fillId="4" borderId="47" xfId="1" applyFont="1" applyFill="1" applyBorder="1" applyAlignment="1">
      <alignment horizontal="center"/>
    </xf>
    <xf numFmtId="165" fontId="41" fillId="4" borderId="39" xfId="7" applyNumberFormat="1" applyFont="1" applyFill="1" applyBorder="1" applyAlignment="1">
      <alignment horizontal="center" vertical="center" wrapText="1"/>
    </xf>
    <xf numFmtId="0" fontId="35" fillId="0" borderId="46" xfId="0" applyFont="1" applyBorder="1" applyAlignment="1">
      <alignment horizontal="center"/>
    </xf>
    <xf numFmtId="0" fontId="35" fillId="0" borderId="39" xfId="0" applyFont="1" applyBorder="1" applyAlignment="1">
      <alignment horizontal="center"/>
    </xf>
    <xf numFmtId="0" fontId="48" fillId="0" borderId="45" xfId="0" applyFont="1" applyBorder="1" applyAlignment="1">
      <alignment horizontal="center"/>
    </xf>
    <xf numFmtId="0" fontId="48" fillId="0" borderId="29" xfId="0" applyFont="1" applyBorder="1" applyAlignment="1">
      <alignment horizontal="center"/>
    </xf>
    <xf numFmtId="0" fontId="48" fillId="0" borderId="35" xfId="0" applyFont="1" applyBorder="1" applyAlignment="1">
      <alignment horizontal="center"/>
    </xf>
    <xf numFmtId="0" fontId="48" fillId="0" borderId="32" xfId="0" applyFont="1" applyBorder="1" applyAlignment="1">
      <alignment horizontal="center"/>
    </xf>
    <xf numFmtId="0" fontId="48" fillId="0" borderId="36" xfId="0" applyFont="1" applyBorder="1" applyAlignment="1">
      <alignment horizontal="center"/>
    </xf>
    <xf numFmtId="170" fontId="28" fillId="2" borderId="16" xfId="1" applyNumberFormat="1" applyFont="1" applyFill="1" applyBorder="1"/>
    <xf numFmtId="170" fontId="28" fillId="2" borderId="21" xfId="1" applyNumberFormat="1" applyFont="1" applyFill="1" applyBorder="1"/>
    <xf numFmtId="170" fontId="0" fillId="0" borderId="0" xfId="1" applyNumberFormat="1" applyFont="1"/>
    <xf numFmtId="170" fontId="0" fillId="2" borderId="0" xfId="1" applyNumberFormat="1" applyFont="1" applyFill="1"/>
    <xf numFmtId="170" fontId="28" fillId="2" borderId="0" xfId="1" applyNumberFormat="1" applyFont="1" applyFill="1"/>
    <xf numFmtId="170" fontId="0" fillId="2" borderId="9" xfId="1" applyNumberFormat="1" applyFont="1" applyFill="1" applyBorder="1"/>
    <xf numFmtId="170" fontId="32" fillId="2" borderId="48" xfId="1" applyNumberFormat="1" applyFont="1" applyFill="1" applyBorder="1" applyAlignment="1">
      <alignment horizontal="center"/>
    </xf>
    <xf numFmtId="170" fontId="32" fillId="2" borderId="28" xfId="1" applyNumberFormat="1" applyFont="1" applyFill="1" applyBorder="1" applyAlignment="1">
      <alignment horizontal="center" vertical="center"/>
    </xf>
    <xf numFmtId="170" fontId="32" fillId="2" borderId="31" xfId="1" applyNumberFormat="1" applyFont="1" applyFill="1" applyBorder="1" applyAlignment="1">
      <alignment horizontal="center" vertical="center"/>
    </xf>
    <xf numFmtId="170" fontId="32" fillId="2" borderId="20" xfId="1" applyNumberFormat="1" applyFont="1" applyFill="1" applyBorder="1" applyAlignment="1">
      <alignment horizontal="center" vertical="center"/>
    </xf>
    <xf numFmtId="170" fontId="32" fillId="0" borderId="0" xfId="1" applyNumberFormat="1" applyFont="1"/>
    <xf numFmtId="170" fontId="33" fillId="0" borderId="0" xfId="1" applyNumberFormat="1" applyFont="1"/>
    <xf numFmtId="0" fontId="41" fillId="0" borderId="34" xfId="6" applyFont="1" applyBorder="1" applyAlignment="1">
      <alignment horizontal="center" wrapText="1"/>
    </xf>
    <xf numFmtId="0" fontId="41" fillId="0" borderId="45" xfId="6" applyFont="1" applyBorder="1" applyAlignment="1">
      <alignment horizontal="center" wrapText="1"/>
    </xf>
    <xf numFmtId="164" fontId="30" fillId="0" borderId="0" xfId="6" applyNumberFormat="1"/>
    <xf numFmtId="164" fontId="41" fillId="0" borderId="12" xfId="1" applyFont="1" applyFill="1" applyBorder="1" applyAlignment="1">
      <alignment wrapText="1"/>
    </xf>
    <xf numFmtId="164" fontId="41" fillId="0" borderId="53" xfId="1" applyFont="1" applyFill="1" applyBorder="1" applyAlignment="1">
      <alignment wrapText="1"/>
    </xf>
    <xf numFmtId="164" fontId="41" fillId="4" borderId="47" xfId="1" applyFont="1" applyFill="1" applyBorder="1" applyAlignment="1"/>
    <xf numFmtId="0" fontId="41" fillId="0" borderId="60" xfId="6" applyFont="1" applyBorder="1" applyAlignment="1">
      <alignment horizontal="center" vertical="center" wrapText="1"/>
    </xf>
    <xf numFmtId="0" fontId="41" fillId="0" borderId="2" xfId="6" applyFont="1" applyBorder="1" applyAlignment="1">
      <alignment horizontal="center" vertical="center" wrapText="1"/>
    </xf>
    <xf numFmtId="14" fontId="32" fillId="2" borderId="12" xfId="0" applyNumberFormat="1" applyFont="1" applyFill="1" applyBorder="1" applyAlignment="1">
      <alignment horizontal="center"/>
    </xf>
    <xf numFmtId="2" fontId="28" fillId="2" borderId="53" xfId="0" applyNumberFormat="1" applyFont="1" applyFill="1" applyBorder="1" applyAlignment="1">
      <alignment horizontal="center" vertical="center"/>
    </xf>
    <xf numFmtId="0" fontId="28" fillId="0" borderId="41" xfId="0" applyFont="1" applyBorder="1" applyAlignment="1">
      <alignment horizontal="center"/>
    </xf>
    <xf numFmtId="0" fontId="28" fillId="0" borderId="4" xfId="0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28" fillId="0" borderId="9" xfId="0" applyFont="1" applyBorder="1" applyAlignment="1">
      <alignment vertical="center" wrapText="1"/>
    </xf>
    <xf numFmtId="0" fontId="32" fillId="2" borderId="40" xfId="0" applyFont="1" applyFill="1" applyBorder="1"/>
    <xf numFmtId="0" fontId="32" fillId="2" borderId="19" xfId="0" applyFont="1" applyFill="1" applyBorder="1"/>
    <xf numFmtId="164" fontId="32" fillId="0" borderId="0" xfId="1" applyFont="1"/>
    <xf numFmtId="0" fontId="32" fillId="2" borderId="9" xfId="0" applyFont="1" applyFill="1" applyBorder="1"/>
    <xf numFmtId="0" fontId="10" fillId="0" borderId="0" xfId="10" applyAlignment="1">
      <alignment horizontal="center"/>
    </xf>
    <xf numFmtId="164" fontId="10" fillId="0" borderId="0" xfId="1" applyFont="1" applyAlignment="1">
      <alignment horizontal="center"/>
    </xf>
    <xf numFmtId="0" fontId="10" fillId="0" borderId="0" xfId="10"/>
    <xf numFmtId="0" fontId="26" fillId="0" borderId="35" xfId="10" applyFont="1" applyBorder="1" applyAlignment="1">
      <alignment horizontal="center"/>
    </xf>
    <xf numFmtId="164" fontId="10" fillId="0" borderId="32" xfId="1" applyFont="1" applyBorder="1" applyAlignment="1">
      <alignment horizontal="center"/>
    </xf>
    <xf numFmtId="0" fontId="26" fillId="0" borderId="36" xfId="10" applyFont="1" applyBorder="1" applyAlignment="1">
      <alignment horizontal="center"/>
    </xf>
    <xf numFmtId="170" fontId="28" fillId="2" borderId="12" xfId="1" applyNumberFormat="1" applyFont="1" applyFill="1" applyBorder="1"/>
    <xf numFmtId="2" fontId="28" fillId="2" borderId="12" xfId="2" applyNumberFormat="1" applyFont="1" applyFill="1" applyBorder="1"/>
    <xf numFmtId="0" fontId="32" fillId="2" borderId="65" xfId="0" applyFont="1" applyFill="1" applyBorder="1"/>
    <xf numFmtId="0" fontId="32" fillId="2" borderId="61" xfId="0" applyFont="1" applyFill="1" applyBorder="1"/>
    <xf numFmtId="167" fontId="28" fillId="2" borderId="21" xfId="0" applyNumberFormat="1" applyFont="1" applyFill="1" applyBorder="1" applyAlignment="1">
      <alignment horizontal="center" vertical="center"/>
    </xf>
    <xf numFmtId="166" fontId="28" fillId="2" borderId="21" xfId="2" applyFont="1" applyFill="1" applyBorder="1"/>
    <xf numFmtId="166" fontId="28" fillId="2" borderId="22" xfId="2" applyFont="1" applyFill="1" applyBorder="1"/>
    <xf numFmtId="170" fontId="28" fillId="2" borderId="49" xfId="1" applyNumberFormat="1" applyFont="1" applyFill="1" applyBorder="1"/>
    <xf numFmtId="171" fontId="0" fillId="0" borderId="0" xfId="1" applyNumberFormat="1" applyFont="1"/>
    <xf numFmtId="171" fontId="0" fillId="2" borderId="0" xfId="1" applyNumberFormat="1" applyFont="1" applyFill="1"/>
    <xf numFmtId="171" fontId="28" fillId="2" borderId="0" xfId="1" applyNumberFormat="1" applyFont="1" applyFill="1"/>
    <xf numFmtId="171" fontId="0" fillId="2" borderId="9" xfId="1" applyNumberFormat="1" applyFont="1" applyFill="1" applyBorder="1"/>
    <xf numFmtId="171" fontId="32" fillId="0" borderId="0" xfId="1" applyNumberFormat="1" applyFont="1"/>
    <xf numFmtId="171" fontId="32" fillId="0" borderId="0" xfId="1" applyNumberFormat="1" applyFont="1" applyAlignment="1">
      <alignment horizontal="center"/>
    </xf>
    <xf numFmtId="171" fontId="33" fillId="0" borderId="0" xfId="1" applyNumberFormat="1" applyFont="1"/>
    <xf numFmtId="2" fontId="0" fillId="0" borderId="0" xfId="0" applyNumberFormat="1"/>
    <xf numFmtId="0" fontId="32" fillId="2" borderId="47" xfId="0" applyFont="1" applyFill="1" applyBorder="1" applyAlignment="1">
      <alignment horizontal="center" vertical="center"/>
    </xf>
    <xf numFmtId="166" fontId="0" fillId="0" borderId="0" xfId="0" applyNumberFormat="1"/>
    <xf numFmtId="167" fontId="28" fillId="2" borderId="53" xfId="0" applyNumberFormat="1" applyFont="1" applyFill="1" applyBorder="1" applyAlignment="1">
      <alignment horizontal="center" vertical="center"/>
    </xf>
    <xf numFmtId="166" fontId="28" fillId="2" borderId="53" xfId="2" applyFont="1" applyFill="1" applyBorder="1"/>
    <xf numFmtId="166" fontId="28" fillId="2" borderId="38" xfId="2" applyFont="1" applyFill="1" applyBorder="1"/>
    <xf numFmtId="0" fontId="28" fillId="2" borderId="49" xfId="0" applyFont="1" applyFill="1" applyBorder="1" applyAlignment="1">
      <alignment horizontal="center" vertical="center"/>
    </xf>
    <xf numFmtId="0" fontId="32" fillId="2" borderId="4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167" fontId="28" fillId="2" borderId="49" xfId="0" applyNumberFormat="1" applyFont="1" applyFill="1" applyBorder="1" applyAlignment="1">
      <alignment horizontal="center" vertical="center"/>
    </xf>
    <xf numFmtId="166" fontId="28" fillId="2" borderId="49" xfId="2" applyFont="1" applyFill="1" applyBorder="1"/>
    <xf numFmtId="166" fontId="28" fillId="2" borderId="59" xfId="2" applyFont="1" applyFill="1" applyBorder="1"/>
    <xf numFmtId="2" fontId="28" fillId="2" borderId="12" xfId="0" applyNumberFormat="1" applyFont="1" applyFill="1" applyBorder="1" applyAlignment="1">
      <alignment horizontal="center" vertical="center"/>
    </xf>
    <xf numFmtId="0" fontId="28" fillId="2" borderId="16" xfId="0" applyFont="1" applyFill="1" applyBorder="1" applyAlignment="1">
      <alignment horizontal="center"/>
    </xf>
    <xf numFmtId="16" fontId="28" fillId="2" borderId="16" xfId="0" applyNumberFormat="1" applyFont="1" applyFill="1" applyBorder="1" applyAlignment="1">
      <alignment horizontal="center"/>
    </xf>
    <xf numFmtId="0" fontId="28" fillId="2" borderId="53" xfId="0" applyFont="1" applyFill="1" applyBorder="1" applyAlignment="1">
      <alignment horizontal="center"/>
    </xf>
    <xf numFmtId="16" fontId="28" fillId="2" borderId="53" xfId="0" applyNumberFormat="1" applyFont="1" applyFill="1" applyBorder="1" applyAlignment="1">
      <alignment horizontal="center"/>
    </xf>
    <xf numFmtId="0" fontId="28" fillId="2" borderId="21" xfId="0" applyFont="1" applyFill="1" applyBorder="1" applyAlignment="1">
      <alignment horizontal="center"/>
    </xf>
    <xf numFmtId="16" fontId="28" fillId="2" borderId="21" xfId="0" applyNumberFormat="1" applyFont="1" applyFill="1" applyBorder="1" applyAlignment="1">
      <alignment horizontal="center"/>
    </xf>
    <xf numFmtId="164" fontId="28" fillId="2" borderId="21" xfId="1" applyFont="1" applyFill="1" applyBorder="1"/>
    <xf numFmtId="0" fontId="28" fillId="2" borderId="51" xfId="0" applyFont="1" applyFill="1" applyBorder="1" applyAlignment="1">
      <alignment horizontal="center"/>
    </xf>
    <xf numFmtId="16" fontId="28" fillId="2" borderId="51" xfId="0" applyNumberFormat="1" applyFont="1" applyFill="1" applyBorder="1" applyAlignment="1">
      <alignment horizontal="center"/>
    </xf>
    <xf numFmtId="0" fontId="28" fillId="2" borderId="51" xfId="0" applyFont="1" applyFill="1" applyBorder="1" applyAlignment="1">
      <alignment horizontal="center" vertical="center"/>
    </xf>
    <xf numFmtId="167" fontId="28" fillId="2" borderId="51" xfId="0" applyNumberFormat="1" applyFont="1" applyFill="1" applyBorder="1" applyAlignment="1">
      <alignment horizontal="center" vertical="center"/>
    </xf>
    <xf numFmtId="166" fontId="28" fillId="2" borderId="51" xfId="2" applyFont="1" applyFill="1" applyBorder="1"/>
    <xf numFmtId="170" fontId="28" fillId="2" borderId="51" xfId="1" applyNumberFormat="1" applyFont="1" applyFill="1" applyBorder="1"/>
    <xf numFmtId="166" fontId="28" fillId="2" borderId="52" xfId="2" applyFont="1" applyFill="1" applyBorder="1"/>
    <xf numFmtId="0" fontId="28" fillId="2" borderId="28" xfId="0" applyFont="1" applyFill="1" applyBorder="1" applyAlignment="1">
      <alignment horizontal="center"/>
    </xf>
    <xf numFmtId="16" fontId="28" fillId="2" borderId="28" xfId="0" applyNumberFormat="1" applyFont="1" applyFill="1" applyBorder="1" applyAlignment="1">
      <alignment horizontal="center"/>
    </xf>
    <xf numFmtId="167" fontId="28" fillId="2" borderId="28" xfId="0" applyNumberFormat="1" applyFont="1" applyFill="1" applyBorder="1" applyAlignment="1">
      <alignment horizontal="center" vertical="center"/>
    </xf>
    <xf numFmtId="166" fontId="28" fillId="2" borderId="28" xfId="2" applyFont="1" applyFill="1" applyBorder="1"/>
    <xf numFmtId="170" fontId="28" fillId="2" borderId="28" xfId="1" applyNumberFormat="1" applyFont="1" applyFill="1" applyBorder="1"/>
    <xf numFmtId="166" fontId="28" fillId="2" borderId="29" xfId="2" applyFont="1" applyFill="1" applyBorder="1"/>
    <xf numFmtId="0" fontId="28" fillId="2" borderId="12" xfId="0" applyFont="1" applyFill="1" applyBorder="1" applyAlignment="1">
      <alignment horizontal="center"/>
    </xf>
    <xf numFmtId="16" fontId="28" fillId="2" borderId="12" xfId="0" applyNumberFormat="1" applyFont="1" applyFill="1" applyBorder="1" applyAlignment="1">
      <alignment horizontal="center"/>
    </xf>
    <xf numFmtId="167" fontId="28" fillId="2" borderId="12" xfId="0" applyNumberFormat="1" applyFont="1" applyFill="1" applyBorder="1" applyAlignment="1">
      <alignment horizontal="center" vertical="center"/>
    </xf>
    <xf numFmtId="166" fontId="28" fillId="2" borderId="12" xfId="2" applyFont="1" applyFill="1" applyBorder="1"/>
    <xf numFmtId="164" fontId="28" fillId="2" borderId="12" xfId="1" applyFont="1" applyFill="1" applyBorder="1"/>
    <xf numFmtId="166" fontId="28" fillId="2" borderId="32" xfId="2" applyFont="1" applyFill="1" applyBorder="1"/>
    <xf numFmtId="170" fontId="30" fillId="0" borderId="0" xfId="1" applyNumberFormat="1" applyFont="1"/>
    <xf numFmtId="2" fontId="28" fillId="2" borderId="16" xfId="1" applyNumberFormat="1" applyFont="1" applyFill="1" applyBorder="1"/>
    <xf numFmtId="167" fontId="28" fillId="2" borderId="28" xfId="1" applyNumberFormat="1" applyFont="1" applyFill="1" applyBorder="1" applyAlignment="1">
      <alignment horizontal="center" vertical="center"/>
    </xf>
    <xf numFmtId="2" fontId="28" fillId="2" borderId="28" xfId="1" applyNumberFormat="1" applyFont="1" applyFill="1" applyBorder="1"/>
    <xf numFmtId="167" fontId="28" fillId="2" borderId="12" xfId="1" applyNumberFormat="1" applyFont="1" applyFill="1" applyBorder="1" applyAlignment="1">
      <alignment horizontal="center" vertical="center"/>
    </xf>
    <xf numFmtId="2" fontId="28" fillId="2" borderId="12" xfId="1" applyNumberFormat="1" applyFont="1" applyFill="1" applyBorder="1"/>
    <xf numFmtId="167" fontId="28" fillId="2" borderId="21" xfId="1" applyNumberFormat="1" applyFont="1" applyFill="1" applyBorder="1" applyAlignment="1">
      <alignment horizontal="center" vertical="center"/>
    </xf>
    <xf numFmtId="2" fontId="28" fillId="2" borderId="21" xfId="1" applyNumberFormat="1" applyFont="1" applyFill="1" applyBorder="1"/>
    <xf numFmtId="0" fontId="28" fillId="2" borderId="49" xfId="0" applyFont="1" applyFill="1" applyBorder="1" applyAlignment="1">
      <alignment horizontal="center"/>
    </xf>
    <xf numFmtId="16" fontId="28" fillId="2" borderId="49" xfId="0" applyNumberFormat="1" applyFont="1" applyFill="1" applyBorder="1" applyAlignment="1">
      <alignment horizontal="center"/>
    </xf>
    <xf numFmtId="171" fontId="30" fillId="0" borderId="0" xfId="1" applyNumberFormat="1" applyFont="1"/>
    <xf numFmtId="2" fontId="28" fillId="2" borderId="28" xfId="2" applyNumberFormat="1" applyFont="1" applyFill="1" applyBorder="1"/>
    <xf numFmtId="2" fontId="28" fillId="2" borderId="49" xfId="0" applyNumberFormat="1" applyFont="1" applyFill="1" applyBorder="1" applyAlignment="1">
      <alignment horizontal="center" vertical="center"/>
    </xf>
    <xf numFmtId="0" fontId="28" fillId="2" borderId="49" xfId="1" applyNumberFormat="1" applyFont="1" applyFill="1" applyBorder="1" applyAlignment="1">
      <alignment horizontal="center" vertical="center"/>
    </xf>
    <xf numFmtId="164" fontId="28" fillId="2" borderId="49" xfId="1" applyFont="1" applyFill="1" applyBorder="1"/>
    <xf numFmtId="16" fontId="28" fillId="2" borderId="21" xfId="0" applyNumberFormat="1" applyFont="1" applyFill="1" applyBorder="1" applyAlignment="1">
      <alignment horizontal="center" vertical="center"/>
    </xf>
    <xf numFmtId="2" fontId="28" fillId="2" borderId="49" xfId="1" applyNumberFormat="1" applyFont="1" applyFill="1" applyBorder="1"/>
    <xf numFmtId="0" fontId="32" fillId="2" borderId="42" xfId="0" applyFont="1" applyFill="1" applyBorder="1" applyAlignment="1">
      <alignment horizontal="center" vertical="center" wrapText="1"/>
    </xf>
    <xf numFmtId="0" fontId="32" fillId="2" borderId="46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vertical="center" wrapText="1"/>
    </xf>
    <xf numFmtId="0" fontId="30" fillId="0" borderId="5" xfId="0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30" fillId="0" borderId="7" xfId="0" applyFont="1" applyBorder="1" applyAlignment="1">
      <alignment vertical="center" wrapText="1"/>
    </xf>
    <xf numFmtId="0" fontId="30" fillId="0" borderId="9" xfId="0" applyFont="1" applyBorder="1" applyAlignment="1">
      <alignment vertical="center" wrapText="1"/>
    </xf>
    <xf numFmtId="0" fontId="30" fillId="0" borderId="10" xfId="0" applyFont="1" applyBorder="1" applyAlignment="1">
      <alignment vertical="center" wrapText="1"/>
    </xf>
    <xf numFmtId="0" fontId="48" fillId="0" borderId="54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0" fillId="0" borderId="60" xfId="0" applyBorder="1"/>
    <xf numFmtId="0" fontId="0" fillId="0" borderId="0" xfId="0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35" fillId="0" borderId="34" xfId="0" applyFont="1" applyBorder="1" applyAlignment="1">
      <alignment horizontal="center"/>
    </xf>
    <xf numFmtId="0" fontId="35" fillId="0" borderId="35" xfId="0" applyFont="1" applyBorder="1" applyAlignment="1">
      <alignment horizontal="center"/>
    </xf>
    <xf numFmtId="0" fontId="35" fillId="0" borderId="36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166" fontId="28" fillId="0" borderId="5" xfId="2" applyFont="1" applyBorder="1" applyAlignment="1">
      <alignment horizontal="center"/>
    </xf>
    <xf numFmtId="166" fontId="28" fillId="0" borderId="7" xfId="2" applyFont="1" applyBorder="1" applyAlignment="1">
      <alignment horizontal="center"/>
    </xf>
    <xf numFmtId="166" fontId="28" fillId="0" borderId="10" xfId="2" applyFont="1" applyBorder="1" applyAlignment="1">
      <alignment horizontal="center"/>
    </xf>
    <xf numFmtId="0" fontId="35" fillId="0" borderId="4" xfId="0" applyFont="1" applyBorder="1"/>
    <xf numFmtId="0" fontId="26" fillId="0" borderId="8" xfId="10" applyFont="1" applyBorder="1" applyAlignment="1">
      <alignment horizontal="center"/>
    </xf>
    <xf numFmtId="164" fontId="10" fillId="0" borderId="38" xfId="1" applyFont="1" applyBorder="1" applyAlignment="1">
      <alignment horizontal="center"/>
    </xf>
    <xf numFmtId="164" fontId="26" fillId="0" borderId="60" xfId="1" applyFont="1" applyBorder="1" applyAlignment="1">
      <alignment horizontal="center"/>
    </xf>
    <xf numFmtId="0" fontId="26" fillId="0" borderId="45" xfId="10" applyFont="1" applyBorder="1" applyAlignment="1">
      <alignment horizontal="center"/>
    </xf>
    <xf numFmtId="164" fontId="10" fillId="0" borderId="29" xfId="1" applyFont="1" applyBorder="1" applyAlignment="1">
      <alignment horizontal="center"/>
    </xf>
    <xf numFmtId="0" fontId="26" fillId="0" borderId="46" xfId="10" applyFont="1" applyBorder="1" applyAlignment="1">
      <alignment horizontal="center"/>
    </xf>
    <xf numFmtId="164" fontId="26" fillId="0" borderId="39" xfId="1" applyFont="1" applyBorder="1" applyAlignment="1">
      <alignment horizontal="center"/>
    </xf>
    <xf numFmtId="44" fontId="32" fillId="0" borderId="0" xfId="0" applyNumberFormat="1" applyFont="1"/>
    <xf numFmtId="164" fontId="41" fillId="0" borderId="16" xfId="1" applyFont="1" applyFill="1" applyBorder="1" applyAlignment="1">
      <alignment wrapText="1"/>
    </xf>
    <xf numFmtId="0" fontId="42" fillId="0" borderId="66" xfId="6" applyFont="1" applyBorder="1" applyAlignment="1">
      <alignment horizontal="center" vertical="center"/>
    </xf>
    <xf numFmtId="0" fontId="41" fillId="0" borderId="63" xfId="6" applyFont="1" applyBorder="1" applyAlignment="1">
      <alignment horizontal="left" wrapText="1"/>
    </xf>
    <xf numFmtId="0" fontId="41" fillId="0" borderId="63" xfId="6" applyFont="1" applyBorder="1" applyAlignment="1">
      <alignment horizontal="left"/>
    </xf>
    <xf numFmtId="0" fontId="39" fillId="0" borderId="63" xfId="6" applyFont="1" applyBorder="1" applyAlignment="1">
      <alignment horizontal="left"/>
    </xf>
    <xf numFmtId="0" fontId="39" fillId="0" borderId="63" xfId="6" applyFont="1" applyBorder="1" applyAlignment="1">
      <alignment horizontal="left" wrapText="1"/>
    </xf>
    <xf numFmtId="0" fontId="41" fillId="0" borderId="58" xfId="6" applyFont="1" applyBorder="1" applyAlignment="1">
      <alignment horizontal="left" wrapText="1"/>
    </xf>
    <xf numFmtId="0" fontId="39" fillId="0" borderId="58" xfId="6" applyFont="1" applyBorder="1" applyAlignment="1">
      <alignment horizontal="left" wrapText="1"/>
    </xf>
    <xf numFmtId="168" fontId="41" fillId="4" borderId="11" xfId="6" applyNumberFormat="1" applyFont="1" applyFill="1" applyBorder="1" applyAlignment="1">
      <alignment horizontal="center" vertical="center"/>
    </xf>
    <xf numFmtId="0" fontId="41" fillId="0" borderId="31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/>
    </xf>
    <xf numFmtId="0" fontId="41" fillId="0" borderId="15" xfId="6" applyFont="1" applyBorder="1" applyAlignment="1">
      <alignment horizontal="center" vertical="center" wrapText="1"/>
    </xf>
    <xf numFmtId="0" fontId="41" fillId="0" borderId="11" xfId="6" applyFont="1" applyBorder="1" applyAlignment="1">
      <alignment horizontal="center" vertical="center" wrapText="1"/>
    </xf>
    <xf numFmtId="0" fontId="42" fillId="0" borderId="46" xfId="6" applyFont="1" applyBorder="1" applyAlignment="1">
      <alignment horizontal="center" vertical="center"/>
    </xf>
    <xf numFmtId="0" fontId="42" fillId="0" borderId="39" xfId="6" applyFont="1" applyBorder="1" applyAlignment="1">
      <alignment horizontal="center" vertical="center"/>
    </xf>
    <xf numFmtId="168" fontId="39" fillId="0" borderId="35" xfId="7" applyNumberFormat="1" applyFont="1" applyBorder="1" applyAlignment="1">
      <alignment horizontal="center" wrapText="1"/>
    </xf>
    <xf numFmtId="0" fontId="41" fillId="0" borderId="32" xfId="7" applyNumberFormat="1" applyFont="1" applyBorder="1" applyAlignment="1">
      <alignment horizontal="center" vertical="center" wrapText="1"/>
    </xf>
    <xf numFmtId="168" fontId="41" fillId="0" borderId="35" xfId="7" applyNumberFormat="1" applyFont="1" applyBorder="1" applyAlignment="1">
      <alignment horizontal="center" wrapText="1"/>
    </xf>
    <xf numFmtId="0" fontId="39" fillId="0" borderId="35" xfId="6" applyFont="1" applyBorder="1" applyAlignment="1">
      <alignment horizontal="center" wrapText="1"/>
    </xf>
    <xf numFmtId="164" fontId="39" fillId="0" borderId="35" xfId="1" applyFont="1" applyBorder="1" applyAlignment="1">
      <alignment horizontal="center" wrapText="1"/>
    </xf>
    <xf numFmtId="0" fontId="39" fillId="0" borderId="54" xfId="6" applyFont="1" applyBorder="1" applyAlignment="1">
      <alignment horizontal="center" wrapText="1"/>
    </xf>
    <xf numFmtId="0" fontId="41" fillId="0" borderId="38" xfId="6" applyFont="1" applyBorder="1" applyAlignment="1">
      <alignment horizontal="center" vertical="center" wrapText="1"/>
    </xf>
    <xf numFmtId="168" fontId="39" fillId="0" borderId="54" xfId="6" applyNumberFormat="1" applyFont="1" applyBorder="1" applyAlignment="1">
      <alignment horizontal="center" wrapText="1"/>
    </xf>
    <xf numFmtId="168" fontId="41" fillId="0" borderId="54" xfId="7" applyNumberFormat="1" applyFont="1" applyBorder="1" applyAlignment="1">
      <alignment horizontal="center" wrapText="1"/>
    </xf>
    <xf numFmtId="0" fontId="41" fillId="0" borderId="38" xfId="7" applyNumberFormat="1" applyFont="1" applyBorder="1" applyAlignment="1">
      <alignment horizontal="center" vertical="center" wrapText="1"/>
    </xf>
    <xf numFmtId="168" fontId="39" fillId="0" borderId="54" xfId="7" applyNumberFormat="1" applyFont="1" applyBorder="1" applyAlignment="1">
      <alignment horizontal="center" wrapText="1"/>
    </xf>
    <xf numFmtId="0" fontId="42" fillId="0" borderId="47" xfId="6" applyFont="1" applyBorder="1" applyAlignment="1">
      <alignment horizontal="center" vertical="center"/>
    </xf>
    <xf numFmtId="0" fontId="41" fillId="0" borderId="35" xfId="7" applyNumberFormat="1" applyFont="1" applyBorder="1" applyAlignment="1">
      <alignment horizontal="center" vertical="center" wrapText="1"/>
    </xf>
    <xf numFmtId="0" fontId="41" fillId="0" borderId="54" xfId="6" applyFont="1" applyBorder="1" applyAlignment="1">
      <alignment horizontal="center" vertical="center" wrapText="1"/>
    </xf>
    <xf numFmtId="0" fontId="41" fillId="0" borderId="54" xfId="7" applyNumberFormat="1" applyFont="1" applyBorder="1" applyAlignment="1">
      <alignment horizontal="center" vertical="center" wrapText="1"/>
    </xf>
    <xf numFmtId="168" fontId="41" fillId="4" borderId="46" xfId="6" applyNumberFormat="1" applyFont="1" applyFill="1" applyBorder="1" applyAlignment="1">
      <alignment horizontal="center" vertical="center"/>
    </xf>
    <xf numFmtId="168" fontId="41" fillId="4" borderId="39" xfId="6" applyNumberFormat="1" applyFont="1" applyFill="1" applyBorder="1" applyAlignment="1">
      <alignment horizontal="center" vertical="center"/>
    </xf>
    <xf numFmtId="168" fontId="42" fillId="0" borderId="46" xfId="7" applyNumberFormat="1" applyFont="1" applyBorder="1" applyAlignment="1">
      <alignment horizontal="center" vertical="center"/>
    </xf>
    <xf numFmtId="164" fontId="42" fillId="0" borderId="47" xfId="7" applyFont="1" applyBorder="1" applyAlignment="1">
      <alignment horizontal="center" vertical="center"/>
    </xf>
    <xf numFmtId="164" fontId="42" fillId="0" borderId="47" xfId="7" applyFont="1" applyBorder="1" applyAlignment="1">
      <alignment vertical="center"/>
    </xf>
    <xf numFmtId="169" fontId="42" fillId="0" borderId="39" xfId="7" applyNumberFormat="1" applyFont="1" applyBorder="1" applyAlignment="1">
      <alignment horizontal="center" vertical="center"/>
    </xf>
    <xf numFmtId="164" fontId="41" fillId="0" borderId="34" xfId="1" applyFont="1" applyFill="1" applyBorder="1" applyAlignment="1">
      <alignment horizontal="center" wrapText="1"/>
    </xf>
    <xf numFmtId="164" fontId="41" fillId="0" borderId="35" xfId="1" applyFont="1" applyFill="1" applyBorder="1" applyAlignment="1">
      <alignment horizontal="center" wrapText="1"/>
    </xf>
    <xf numFmtId="164" fontId="41" fillId="0" borderId="54" xfId="1" applyFont="1" applyFill="1" applyBorder="1" applyAlignment="1">
      <alignment horizontal="center" wrapText="1"/>
    </xf>
    <xf numFmtId="164" fontId="41" fillId="4" borderId="46" xfId="1" applyFont="1" applyFill="1" applyBorder="1" applyAlignment="1">
      <alignment horizontal="center"/>
    </xf>
    <xf numFmtId="0" fontId="39" fillId="0" borderId="55" xfId="6" applyFont="1" applyBorder="1" applyAlignment="1">
      <alignment horizontal="left" wrapText="1"/>
    </xf>
    <xf numFmtId="168" fontId="41" fillId="0" borderId="34" xfId="7" applyNumberFormat="1" applyFont="1" applyBorder="1" applyAlignment="1">
      <alignment horizontal="center" wrapText="1"/>
    </xf>
    <xf numFmtId="0" fontId="41" fillId="0" borderId="17" xfId="7" applyNumberFormat="1" applyFont="1" applyBorder="1" applyAlignment="1">
      <alignment horizontal="center" vertical="center" wrapText="1"/>
    </xf>
    <xf numFmtId="0" fontId="41" fillId="0" borderId="34" xfId="7" applyNumberFormat="1" applyFont="1" applyBorder="1" applyAlignment="1">
      <alignment horizontal="center" vertical="center" wrapText="1"/>
    </xf>
    <xf numFmtId="0" fontId="41" fillId="0" borderId="16" xfId="7" applyNumberFormat="1" applyFont="1" applyBorder="1" applyAlignment="1">
      <alignment horizontal="center" vertical="center" wrapText="1"/>
    </xf>
    <xf numFmtId="0" fontId="41" fillId="0" borderId="35" xfId="6" applyFont="1" applyBorder="1" applyAlignment="1">
      <alignment horizontal="center" wrapText="1"/>
    </xf>
    <xf numFmtId="164" fontId="41" fillId="0" borderId="12" xfId="1" applyFont="1" applyBorder="1" applyAlignment="1">
      <alignment horizontal="center" vertical="center" wrapText="1"/>
    </xf>
    <xf numFmtId="164" fontId="41" fillId="0" borderId="12" xfId="1" applyFont="1" applyBorder="1" applyAlignment="1">
      <alignment vertical="center" wrapText="1"/>
    </xf>
    <xf numFmtId="0" fontId="41" fillId="0" borderId="31" xfId="6" applyFont="1" applyBorder="1" applyAlignment="1">
      <alignment horizontal="center" wrapText="1"/>
    </xf>
    <xf numFmtId="0" fontId="41" fillId="0" borderId="33" xfId="6" applyFont="1" applyBorder="1" applyAlignment="1">
      <alignment horizontal="center" vertical="center" wrapText="1"/>
    </xf>
    <xf numFmtId="0" fontId="41" fillId="0" borderId="58" xfId="6" applyFont="1" applyBorder="1" applyAlignment="1">
      <alignment horizontal="left"/>
    </xf>
    <xf numFmtId="168" fontId="44" fillId="0" borderId="36" xfId="7" applyNumberFormat="1" applyFont="1" applyBorder="1" applyAlignment="1">
      <alignment horizontal="center" wrapText="1"/>
    </xf>
    <xf numFmtId="0" fontId="41" fillId="0" borderId="22" xfId="7" applyNumberFormat="1" applyFont="1" applyBorder="1" applyAlignment="1">
      <alignment horizontal="center" vertical="center" wrapText="1"/>
    </xf>
    <xf numFmtId="44" fontId="35" fillId="2" borderId="1" xfId="0" applyNumberFormat="1" applyFont="1" applyFill="1" applyBorder="1" applyAlignment="1">
      <alignment vertical="center"/>
    </xf>
    <xf numFmtId="44" fontId="35" fillId="2" borderId="11" xfId="0" applyNumberFormat="1" applyFont="1" applyFill="1" applyBorder="1" applyAlignment="1">
      <alignment vertical="center"/>
    </xf>
    <xf numFmtId="44" fontId="35" fillId="2" borderId="2" xfId="0" applyNumberFormat="1" applyFont="1" applyFill="1" applyBorder="1" applyAlignment="1">
      <alignment vertical="center"/>
    </xf>
    <xf numFmtId="166" fontId="35" fillId="2" borderId="1" xfId="2" applyFont="1" applyFill="1" applyBorder="1" applyAlignment="1">
      <alignment vertical="center"/>
    </xf>
    <xf numFmtId="166" fontId="35" fillId="2" borderId="11" xfId="2" applyFont="1" applyFill="1" applyBorder="1" applyAlignment="1">
      <alignment vertical="center"/>
    </xf>
    <xf numFmtId="166" fontId="35" fillId="2" borderId="2" xfId="2" applyFont="1" applyFill="1" applyBorder="1" applyAlignment="1">
      <alignment vertical="center"/>
    </xf>
    <xf numFmtId="14" fontId="32" fillId="2" borderId="14" xfId="0" applyNumberFormat="1" applyFont="1" applyFill="1" applyBorder="1" applyAlignment="1">
      <alignment vertical="center"/>
    </xf>
    <xf numFmtId="14" fontId="32" fillId="2" borderId="15" xfId="0" applyNumberFormat="1" applyFont="1" applyFill="1" applyBorder="1" applyAlignment="1">
      <alignment vertical="center"/>
    </xf>
    <xf numFmtId="0" fontId="6" fillId="0" borderId="0" xfId="5" applyFont="1"/>
    <xf numFmtId="164" fontId="24" fillId="0" borderId="0" xfId="1" applyFont="1"/>
    <xf numFmtId="166" fontId="32" fillId="2" borderId="17" xfId="2" applyFont="1" applyFill="1" applyBorder="1" applyAlignment="1">
      <alignment horizontal="center"/>
    </xf>
    <xf numFmtId="166" fontId="32" fillId="2" borderId="38" xfId="2" applyFont="1" applyFill="1" applyBorder="1" applyAlignment="1">
      <alignment horizontal="center"/>
    </xf>
    <xf numFmtId="0" fontId="32" fillId="2" borderId="54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166" fontId="32" fillId="2" borderId="18" xfId="2" applyFont="1" applyFill="1" applyBorder="1"/>
    <xf numFmtId="0" fontId="32" fillId="2" borderId="34" xfId="0" applyFont="1" applyFill="1" applyBorder="1" applyAlignment="1">
      <alignment horizontal="left"/>
    </xf>
    <xf numFmtId="14" fontId="32" fillId="2" borderId="16" xfId="0" applyNumberFormat="1" applyFont="1" applyFill="1" applyBorder="1" applyAlignment="1">
      <alignment horizontal="center"/>
    </xf>
    <xf numFmtId="0" fontId="32" fillId="2" borderId="36" xfId="0" applyFont="1" applyFill="1" applyBorder="1" applyAlignment="1">
      <alignment horizontal="left"/>
    </xf>
    <xf numFmtId="0" fontId="5" fillId="0" borderId="0" xfId="5" applyFont="1"/>
    <xf numFmtId="166" fontId="24" fillId="0" borderId="0" xfId="2" applyFont="1"/>
    <xf numFmtId="0" fontId="26" fillId="0" borderId="54" xfId="10" applyFont="1" applyBorder="1" applyAlignment="1">
      <alignment horizontal="center"/>
    </xf>
    <xf numFmtId="0" fontId="32" fillId="2" borderId="16" xfId="0" applyFont="1" applyFill="1" applyBorder="1" applyAlignment="1">
      <alignment horizontal="center"/>
    </xf>
    <xf numFmtId="167" fontId="28" fillId="2" borderId="49" xfId="1" applyNumberFormat="1" applyFont="1" applyFill="1" applyBorder="1" applyAlignment="1">
      <alignment horizontal="center" vertical="center"/>
    </xf>
    <xf numFmtId="0" fontId="28" fillId="2" borderId="21" xfId="0" applyFont="1" applyFill="1" applyBorder="1" applyAlignment="1">
      <alignment horizontal="right"/>
    </xf>
    <xf numFmtId="0" fontId="32" fillId="2" borderId="34" xfId="0" applyFont="1" applyFill="1" applyBorder="1"/>
    <xf numFmtId="16" fontId="32" fillId="2" borderId="16" xfId="0" applyNumberFormat="1" applyFont="1" applyFill="1" applyBorder="1" applyAlignment="1">
      <alignment horizontal="center"/>
    </xf>
    <xf numFmtId="167" fontId="32" fillId="2" borderId="16" xfId="0" applyNumberFormat="1" applyFont="1" applyFill="1" applyBorder="1" applyAlignment="1">
      <alignment horizontal="center" vertical="center"/>
    </xf>
    <xf numFmtId="166" fontId="32" fillId="2" borderId="16" xfId="2" applyFont="1" applyFill="1" applyBorder="1"/>
    <xf numFmtId="170" fontId="32" fillId="2" borderId="16" xfId="1" applyNumberFormat="1" applyFont="1" applyFill="1" applyBorder="1"/>
    <xf numFmtId="164" fontId="32" fillId="2" borderId="16" xfId="1" applyFont="1" applyFill="1" applyBorder="1"/>
    <xf numFmtId="166" fontId="32" fillId="2" borderId="17" xfId="2" applyFont="1" applyFill="1" applyBorder="1"/>
    <xf numFmtId="0" fontId="32" fillId="2" borderId="36" xfId="0" applyFont="1" applyFill="1" applyBorder="1"/>
    <xf numFmtId="16" fontId="32" fillId="2" borderId="21" xfId="0" applyNumberFormat="1" applyFont="1" applyFill="1" applyBorder="1" applyAlignment="1">
      <alignment horizontal="center"/>
    </xf>
    <xf numFmtId="0" fontId="32" fillId="2" borderId="21" xfId="1" applyNumberFormat="1" applyFont="1" applyFill="1" applyBorder="1" applyAlignment="1">
      <alignment horizontal="center" vertical="center"/>
    </xf>
    <xf numFmtId="167" fontId="32" fillId="2" borderId="21" xfId="0" applyNumberFormat="1" applyFont="1" applyFill="1" applyBorder="1" applyAlignment="1">
      <alignment horizontal="center" vertical="center"/>
    </xf>
    <xf numFmtId="170" fontId="32" fillId="2" borderId="21" xfId="1" applyNumberFormat="1" applyFont="1" applyFill="1" applyBorder="1"/>
    <xf numFmtId="164" fontId="32" fillId="2" borderId="21" xfId="1" applyFont="1" applyFill="1" applyBorder="1"/>
    <xf numFmtId="0" fontId="28" fillId="2" borderId="12" xfId="0" applyFont="1" applyFill="1" applyBorder="1" applyAlignment="1">
      <alignment horizontal="right"/>
    </xf>
    <xf numFmtId="2" fontId="28" fillId="2" borderId="51" xfId="2" applyNumberFormat="1" applyFont="1" applyFill="1" applyBorder="1"/>
    <xf numFmtId="2" fontId="32" fillId="2" borderId="16" xfId="0" applyNumberFormat="1" applyFont="1" applyFill="1" applyBorder="1" applyAlignment="1">
      <alignment horizontal="center" vertical="center"/>
    </xf>
    <xf numFmtId="0" fontId="32" fillId="2" borderId="16" xfId="1" applyNumberFormat="1" applyFont="1" applyFill="1" applyBorder="1" applyAlignment="1">
      <alignment horizontal="center" vertical="center"/>
    </xf>
    <xf numFmtId="0" fontId="32" fillId="2" borderId="54" xfId="0" applyFont="1" applyFill="1" applyBorder="1"/>
    <xf numFmtId="16" fontId="32" fillId="2" borderId="53" xfId="0" applyNumberFormat="1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 vertical="center"/>
    </xf>
    <xf numFmtId="167" fontId="32" fillId="2" borderId="53" xfId="0" applyNumberFormat="1" applyFont="1" applyFill="1" applyBorder="1" applyAlignment="1">
      <alignment horizontal="center" vertical="center"/>
    </xf>
    <xf numFmtId="166" fontId="32" fillId="2" borderId="53" xfId="2" applyFont="1" applyFill="1" applyBorder="1"/>
    <xf numFmtId="170" fontId="32" fillId="2" borderId="53" xfId="1" applyNumberFormat="1" applyFont="1" applyFill="1" applyBorder="1"/>
    <xf numFmtId="166" fontId="32" fillId="2" borderId="38" xfId="2" applyFont="1" applyFill="1" applyBorder="1"/>
    <xf numFmtId="0" fontId="32" fillId="2" borderId="35" xfId="0" applyFont="1" applyFill="1" applyBorder="1"/>
    <xf numFmtId="0" fontId="33" fillId="2" borderId="45" xfId="0" applyFont="1" applyFill="1" applyBorder="1" applyAlignment="1">
      <alignment horizontal="left"/>
    </xf>
    <xf numFmtId="14" fontId="32" fillId="2" borderId="45" xfId="0" applyNumberFormat="1" applyFont="1" applyFill="1" applyBorder="1" applyAlignment="1">
      <alignment horizontal="left"/>
    </xf>
    <xf numFmtId="0" fontId="32" fillId="2" borderId="48" xfId="0" applyFont="1" applyFill="1" applyBorder="1" applyAlignment="1">
      <alignment horizontal="center" wrapText="1"/>
    </xf>
    <xf numFmtId="0" fontId="32" fillId="2" borderId="47" xfId="0" applyFont="1" applyFill="1" applyBorder="1" applyAlignment="1">
      <alignment horizontal="center" wrapText="1"/>
    </xf>
    <xf numFmtId="0" fontId="31" fillId="2" borderId="45" xfId="0" applyFont="1" applyFill="1" applyBorder="1" applyAlignment="1">
      <alignment horizontal="left"/>
    </xf>
    <xf numFmtId="0" fontId="45" fillId="2" borderId="45" xfId="0" applyFont="1" applyFill="1" applyBorder="1" applyAlignment="1">
      <alignment horizontal="center" vertical="center"/>
    </xf>
    <xf numFmtId="0" fontId="32" fillId="2" borderId="64" xfId="0" applyFont="1" applyFill="1" applyBorder="1" applyAlignment="1">
      <alignment horizontal="center" vertical="center"/>
    </xf>
    <xf numFmtId="43" fontId="17" fillId="0" borderId="0" xfId="8" applyNumberFormat="1"/>
    <xf numFmtId="0" fontId="32" fillId="2" borderId="45" xfId="0" applyFont="1" applyFill="1" applyBorder="1"/>
    <xf numFmtId="2" fontId="32" fillId="2" borderId="28" xfId="0" applyNumberFormat="1" applyFont="1" applyFill="1" applyBorder="1" applyAlignment="1">
      <alignment horizontal="center" vertical="center"/>
    </xf>
    <xf numFmtId="0" fontId="32" fillId="2" borderId="28" xfId="1" applyNumberFormat="1" applyFont="1" applyFill="1" applyBorder="1" applyAlignment="1">
      <alignment horizontal="center" vertical="center"/>
    </xf>
    <xf numFmtId="167" fontId="32" fillId="2" borderId="28" xfId="0" applyNumberFormat="1" applyFont="1" applyFill="1" applyBorder="1" applyAlignment="1">
      <alignment horizontal="center" vertical="center"/>
    </xf>
    <xf numFmtId="166" fontId="32" fillId="2" borderId="28" xfId="2" applyFont="1" applyFill="1" applyBorder="1"/>
    <xf numFmtId="170" fontId="32" fillId="2" borderId="28" xfId="1" applyNumberFormat="1" applyFont="1" applyFill="1" applyBorder="1"/>
    <xf numFmtId="0" fontId="34" fillId="2" borderId="29" xfId="0" applyFont="1" applyFill="1" applyBorder="1"/>
    <xf numFmtId="2" fontId="32" fillId="2" borderId="21" xfId="0" applyNumberFormat="1" applyFont="1" applyFill="1" applyBorder="1" applyAlignment="1">
      <alignment horizontal="center" vertical="center"/>
    </xf>
    <xf numFmtId="2" fontId="32" fillId="2" borderId="16" xfId="2" applyNumberFormat="1" applyFont="1" applyFill="1" applyBorder="1"/>
    <xf numFmtId="2" fontId="32" fillId="2" borderId="21" xfId="2" applyNumberFormat="1" applyFont="1" applyFill="1" applyBorder="1"/>
    <xf numFmtId="164" fontId="32" fillId="2" borderId="28" xfId="1" applyFont="1" applyFill="1" applyBorder="1"/>
    <xf numFmtId="166" fontId="32" fillId="2" borderId="29" xfId="2" applyFont="1" applyFill="1" applyBorder="1"/>
    <xf numFmtId="0" fontId="32" fillId="2" borderId="50" xfId="0" applyFont="1" applyFill="1" applyBorder="1"/>
    <xf numFmtId="0" fontId="32" fillId="2" borderId="51" xfId="0" applyFont="1" applyFill="1" applyBorder="1" applyAlignment="1">
      <alignment horizontal="center"/>
    </xf>
    <xf numFmtId="16" fontId="32" fillId="2" borderId="51" xfId="0" applyNumberFormat="1" applyFont="1" applyFill="1" applyBorder="1" applyAlignment="1">
      <alignment horizontal="center"/>
    </xf>
    <xf numFmtId="0" fontId="32" fillId="2" borderId="50" xfId="0" applyFont="1" applyFill="1" applyBorder="1" applyAlignment="1">
      <alignment horizontal="center" vertical="center"/>
    </xf>
    <xf numFmtId="0" fontId="32" fillId="2" borderId="52" xfId="0" applyFont="1" applyFill="1" applyBorder="1" applyAlignment="1">
      <alignment horizontal="center" vertical="center"/>
    </xf>
    <xf numFmtId="0" fontId="32" fillId="2" borderId="62" xfId="0" applyFont="1" applyFill="1" applyBorder="1" applyAlignment="1">
      <alignment horizontal="center" vertical="center"/>
    </xf>
    <xf numFmtId="0" fontId="32" fillId="2" borderId="51" xfId="0" applyFont="1" applyFill="1" applyBorder="1" applyAlignment="1">
      <alignment horizontal="center" vertical="center"/>
    </xf>
    <xf numFmtId="0" fontId="45" fillId="2" borderId="36" xfId="0" applyFont="1" applyFill="1" applyBorder="1" applyAlignment="1">
      <alignment horizontal="center"/>
    </xf>
    <xf numFmtId="0" fontId="32" fillId="2" borderId="53" xfId="1" applyNumberFormat="1" applyFont="1" applyFill="1" applyBorder="1" applyAlignment="1">
      <alignment horizontal="center" vertical="center"/>
    </xf>
    <xf numFmtId="2" fontId="32" fillId="2" borderId="12" xfId="0" applyNumberFormat="1" applyFont="1" applyFill="1" applyBorder="1" applyAlignment="1">
      <alignment horizontal="center" vertical="center"/>
    </xf>
    <xf numFmtId="0" fontId="32" fillId="2" borderId="12" xfId="1" applyNumberFormat="1" applyFont="1" applyFill="1" applyBorder="1" applyAlignment="1">
      <alignment horizontal="center" vertical="center"/>
    </xf>
    <xf numFmtId="167" fontId="32" fillId="2" borderId="12" xfId="0" applyNumberFormat="1" applyFont="1" applyFill="1" applyBorder="1" applyAlignment="1">
      <alignment horizontal="center" vertical="center"/>
    </xf>
    <xf numFmtId="166" fontId="32" fillId="2" borderId="12" xfId="2" applyFont="1" applyFill="1" applyBorder="1"/>
    <xf numFmtId="170" fontId="32" fillId="2" borderId="12" xfId="1" applyNumberFormat="1" applyFont="1" applyFill="1" applyBorder="1"/>
    <xf numFmtId="164" fontId="32" fillId="2" borderId="12" xfId="1" applyFont="1" applyFill="1" applyBorder="1"/>
    <xf numFmtId="166" fontId="32" fillId="2" borderId="32" xfId="2" applyFont="1" applyFill="1" applyBorder="1"/>
    <xf numFmtId="167" fontId="32" fillId="2" borderId="28" xfId="1" applyNumberFormat="1" applyFont="1" applyFill="1" applyBorder="1" applyAlignment="1">
      <alignment horizontal="center" vertical="center"/>
    </xf>
    <xf numFmtId="171" fontId="32" fillId="2" borderId="28" xfId="1" applyNumberFormat="1" applyFont="1" applyFill="1" applyBorder="1"/>
    <xf numFmtId="2" fontId="32" fillId="2" borderId="28" xfId="1" applyNumberFormat="1" applyFont="1" applyFill="1" applyBorder="1"/>
    <xf numFmtId="167" fontId="32" fillId="2" borderId="12" xfId="1" applyNumberFormat="1" applyFont="1" applyFill="1" applyBorder="1" applyAlignment="1">
      <alignment horizontal="center" vertical="center"/>
    </xf>
    <xf numFmtId="171" fontId="32" fillId="2" borderId="12" xfId="1" applyNumberFormat="1" applyFont="1" applyFill="1" applyBorder="1"/>
    <xf numFmtId="2" fontId="32" fillId="2" borderId="12" xfId="1" applyNumberFormat="1" applyFont="1" applyFill="1" applyBorder="1"/>
    <xf numFmtId="0" fontId="34" fillId="2" borderId="32" xfId="0" applyFont="1" applyFill="1" applyBorder="1"/>
    <xf numFmtId="167" fontId="32" fillId="2" borderId="21" xfId="1" applyNumberFormat="1" applyFont="1" applyFill="1" applyBorder="1" applyAlignment="1">
      <alignment horizontal="center" vertical="center"/>
    </xf>
    <xf numFmtId="171" fontId="32" fillId="2" borderId="21" xfId="1" applyNumberFormat="1" applyFont="1" applyFill="1" applyBorder="1"/>
    <xf numFmtId="2" fontId="32" fillId="2" borderId="21" xfId="1" applyNumberFormat="1" applyFont="1" applyFill="1" applyBorder="1"/>
    <xf numFmtId="0" fontId="34" fillId="2" borderId="22" xfId="0" applyFont="1" applyFill="1" applyBorder="1"/>
    <xf numFmtId="2" fontId="32" fillId="2" borderId="51" xfId="0" applyNumberFormat="1" applyFont="1" applyFill="1" applyBorder="1" applyAlignment="1">
      <alignment horizontal="center" vertical="center"/>
    </xf>
    <xf numFmtId="0" fontId="32" fillId="2" borderId="51" xfId="1" applyNumberFormat="1" applyFont="1" applyFill="1" applyBorder="1" applyAlignment="1">
      <alignment horizontal="center" vertical="center"/>
    </xf>
    <xf numFmtId="167" fontId="32" fillId="2" borderId="51" xfId="0" applyNumberFormat="1" applyFont="1" applyFill="1" applyBorder="1" applyAlignment="1">
      <alignment horizontal="center" vertical="center"/>
    </xf>
    <xf numFmtId="166" fontId="32" fillId="2" borderId="51" xfId="2" applyFont="1" applyFill="1" applyBorder="1"/>
    <xf numFmtId="170" fontId="32" fillId="2" borderId="51" xfId="1" applyNumberFormat="1" applyFont="1" applyFill="1" applyBorder="1"/>
    <xf numFmtId="166" fontId="32" fillId="2" borderId="52" xfId="2" applyFont="1" applyFill="1" applyBorder="1"/>
    <xf numFmtId="2" fontId="32" fillId="2" borderId="12" xfId="2" applyNumberFormat="1" applyFont="1" applyFill="1" applyBorder="1"/>
    <xf numFmtId="0" fontId="32" fillId="2" borderId="35" xfId="0" applyFont="1" applyFill="1" applyBorder="1" applyAlignment="1">
      <alignment horizontal="right" vertical="center"/>
    </xf>
    <xf numFmtId="0" fontId="32" fillId="2" borderId="36" xfId="0" applyFont="1" applyFill="1" applyBorder="1" applyAlignment="1">
      <alignment horizontal="right" vertical="center"/>
    </xf>
    <xf numFmtId="2" fontId="32" fillId="2" borderId="28" xfId="2" applyNumberFormat="1" applyFont="1" applyFill="1" applyBorder="1"/>
    <xf numFmtId="15" fontId="32" fillId="2" borderId="12" xfId="0" applyNumberFormat="1" applyFont="1" applyFill="1" applyBorder="1" applyAlignment="1">
      <alignment horizontal="center"/>
    </xf>
    <xf numFmtId="2" fontId="32" fillId="2" borderId="53" xfId="0" applyNumberFormat="1" applyFont="1" applyFill="1" applyBorder="1" applyAlignment="1">
      <alignment horizontal="center" vertical="center"/>
    </xf>
    <xf numFmtId="164" fontId="32" fillId="2" borderId="53" xfId="1" applyFont="1" applyFill="1" applyBorder="1"/>
    <xf numFmtId="166" fontId="28" fillId="2" borderId="51" xfId="2" applyFont="1" applyFill="1" applyBorder="1" applyAlignment="1">
      <alignment horizontal="center" vertical="center"/>
    </xf>
    <xf numFmtId="0" fontId="28" fillId="2" borderId="51" xfId="2" applyNumberFormat="1" applyFont="1" applyFill="1" applyBorder="1" applyAlignment="1">
      <alignment horizontal="center" vertical="center"/>
    </xf>
    <xf numFmtId="170" fontId="28" fillId="2" borderId="53" xfId="1" applyNumberFormat="1" applyFont="1" applyFill="1" applyBorder="1"/>
    <xf numFmtId="2" fontId="28" fillId="2" borderId="53" xfId="2" applyNumberFormat="1" applyFont="1" applyFill="1" applyBorder="1"/>
    <xf numFmtId="166" fontId="28" fillId="2" borderId="53" xfId="2" applyFont="1" applyFill="1" applyBorder="1" applyAlignment="1">
      <alignment horizontal="center" vertical="center"/>
    </xf>
    <xf numFmtId="0" fontId="28" fillId="2" borderId="53" xfId="2" applyNumberFormat="1" applyFont="1" applyFill="1" applyBorder="1" applyAlignment="1">
      <alignment horizontal="center" vertical="center"/>
    </xf>
    <xf numFmtId="164" fontId="32" fillId="2" borderId="51" xfId="1" applyFont="1" applyFill="1" applyBorder="1"/>
    <xf numFmtId="0" fontId="32" fillId="2" borderId="39" xfId="0" applyFont="1" applyFill="1" applyBorder="1" applyAlignment="1">
      <alignment horizontal="center" wrapText="1"/>
    </xf>
    <xf numFmtId="164" fontId="32" fillId="2" borderId="16" xfId="1" applyFont="1" applyFill="1" applyBorder="1" applyAlignment="1">
      <alignment horizontal="center" vertical="center"/>
    </xf>
    <xf numFmtId="164" fontId="32" fillId="2" borderId="21" xfId="1" applyFont="1" applyFill="1" applyBorder="1" applyAlignment="1">
      <alignment horizontal="center" vertical="center"/>
    </xf>
    <xf numFmtId="166" fontId="32" fillId="2" borderId="22" xfId="0" applyNumberFormat="1" applyFont="1" applyFill="1" applyBorder="1" applyAlignment="1">
      <alignment wrapText="1"/>
    </xf>
    <xf numFmtId="0" fontId="4" fillId="0" borderId="0" xfId="5" applyFont="1"/>
    <xf numFmtId="14" fontId="32" fillId="2" borderId="32" xfId="0" applyNumberFormat="1" applyFont="1" applyFill="1" applyBorder="1" applyAlignment="1">
      <alignment horizontal="center" vertical="center"/>
    </xf>
    <xf numFmtId="0" fontId="32" fillId="2" borderId="16" xfId="0" applyFont="1" applyFill="1" applyBorder="1" applyAlignment="1">
      <alignment horizontal="center" vertical="center" wrapText="1"/>
    </xf>
    <xf numFmtId="0" fontId="32" fillId="2" borderId="17" xfId="0" applyFont="1" applyFill="1" applyBorder="1" applyAlignment="1">
      <alignment horizontal="center" vertical="center" wrapText="1"/>
    </xf>
    <xf numFmtId="16" fontId="32" fillId="2" borderId="16" xfId="0" applyNumberFormat="1" applyFont="1" applyFill="1" applyBorder="1" applyAlignment="1">
      <alignment horizontal="center" vertical="center" wrapText="1"/>
    </xf>
    <xf numFmtId="14" fontId="32" fillId="2" borderId="12" xfId="0" applyNumberFormat="1" applyFont="1" applyFill="1" applyBorder="1" applyAlignment="1">
      <alignment vertical="center"/>
    </xf>
    <xf numFmtId="0" fontId="32" fillId="2" borderId="34" xfId="0" applyFont="1" applyFill="1" applyBorder="1" applyAlignment="1">
      <alignment horizontal="center" vertical="center" wrapText="1"/>
    </xf>
    <xf numFmtId="166" fontId="32" fillId="2" borderId="16" xfId="2" applyFont="1" applyFill="1" applyBorder="1" applyAlignment="1">
      <alignment horizontal="center" vertical="center" wrapText="1"/>
    </xf>
    <xf numFmtId="0" fontId="32" fillId="2" borderId="28" xfId="0" applyFont="1" applyFill="1" applyBorder="1"/>
    <xf numFmtId="0" fontId="28" fillId="2" borderId="12" xfId="0" applyFont="1" applyFill="1" applyBorder="1"/>
    <xf numFmtId="0" fontId="28" fillId="2" borderId="28" xfId="0" applyFont="1" applyFill="1" applyBorder="1"/>
    <xf numFmtId="0" fontId="32" fillId="2" borderId="12" xfId="0" applyFont="1" applyFill="1" applyBorder="1"/>
    <xf numFmtId="0" fontId="33" fillId="2" borderId="30" xfId="0" applyFont="1" applyFill="1" applyBorder="1"/>
    <xf numFmtId="16" fontId="32" fillId="2" borderId="43" xfId="0" applyNumberFormat="1" applyFont="1" applyFill="1" applyBorder="1" applyAlignment="1">
      <alignment horizontal="center" vertical="center" wrapText="1"/>
    </xf>
    <xf numFmtId="164" fontId="0" fillId="2" borderId="9" xfId="0" applyNumberFormat="1" applyFill="1" applyBorder="1"/>
    <xf numFmtId="2" fontId="32" fillId="2" borderId="16" xfId="1" applyNumberFormat="1" applyFont="1" applyFill="1" applyBorder="1"/>
    <xf numFmtId="0" fontId="32" fillId="2" borderId="28" xfId="0" quotePrefix="1" applyFont="1" applyFill="1" applyBorder="1" applyAlignment="1">
      <alignment horizontal="center" vertical="center"/>
    </xf>
    <xf numFmtId="0" fontId="26" fillId="0" borderId="35" xfId="10" applyFont="1" applyBorder="1" applyAlignment="1">
      <alignment horizontal="left"/>
    </xf>
    <xf numFmtId="0" fontId="32" fillId="2" borderId="31" xfId="0" applyFont="1" applyFill="1" applyBorder="1"/>
    <xf numFmtId="14" fontId="32" fillId="2" borderId="33" xfId="0" applyNumberFormat="1" applyFont="1" applyFill="1" applyBorder="1"/>
    <xf numFmtId="0" fontId="28" fillId="2" borderId="0" xfId="0" applyFont="1" applyFill="1" applyAlignment="1">
      <alignment horizontal="center"/>
    </xf>
    <xf numFmtId="166" fontId="0" fillId="0" borderId="0" xfId="2" applyFont="1"/>
    <xf numFmtId="14" fontId="32" fillId="2" borderId="55" xfId="0" applyNumberFormat="1" applyFont="1" applyFill="1" applyBorder="1" applyAlignment="1">
      <alignment horizontal="center" vertical="center"/>
    </xf>
    <xf numFmtId="166" fontId="32" fillId="2" borderId="56" xfId="2" applyFont="1" applyFill="1" applyBorder="1"/>
    <xf numFmtId="166" fontId="32" fillId="2" borderId="0" xfId="2" applyFont="1" applyFill="1" applyBorder="1" applyAlignment="1">
      <alignment horizontal="center"/>
    </xf>
    <xf numFmtId="166" fontId="32" fillId="2" borderId="0" xfId="2" applyFont="1" applyFill="1" applyBorder="1"/>
    <xf numFmtId="164" fontId="28" fillId="0" borderId="12" xfId="1" applyFont="1" applyBorder="1"/>
    <xf numFmtId="0" fontId="28" fillId="0" borderId="34" xfId="0" applyFont="1" applyBorder="1"/>
    <xf numFmtId="0" fontId="28" fillId="0" borderId="16" xfId="0" applyFont="1" applyBorder="1"/>
    <xf numFmtId="0" fontId="28" fillId="0" borderId="17" xfId="0" applyFont="1" applyBorder="1"/>
    <xf numFmtId="0" fontId="28" fillId="0" borderId="35" xfId="0" applyFont="1" applyBorder="1"/>
    <xf numFmtId="166" fontId="28" fillId="0" borderId="32" xfId="2" applyFont="1" applyBorder="1"/>
    <xf numFmtId="0" fontId="28" fillId="0" borderId="36" xfId="0" applyFont="1" applyBorder="1"/>
    <xf numFmtId="164" fontId="28" fillId="0" borderId="21" xfId="1" applyFont="1" applyBorder="1"/>
    <xf numFmtId="166" fontId="28" fillId="0" borderId="22" xfId="2" applyFont="1" applyBorder="1"/>
    <xf numFmtId="0" fontId="30" fillId="0" borderId="0" xfId="1" applyNumberFormat="1" applyFont="1"/>
    <xf numFmtId="0" fontId="33" fillId="2" borderId="40" xfId="0" applyFont="1" applyFill="1" applyBorder="1"/>
    <xf numFmtId="0" fontId="34" fillId="2" borderId="19" xfId="0" applyFont="1" applyFill="1" applyBorder="1"/>
    <xf numFmtId="166" fontId="32" fillId="0" borderId="0" xfId="2" applyFont="1" applyFill="1" applyBorder="1" applyAlignment="1">
      <alignment horizontal="center"/>
    </xf>
    <xf numFmtId="0" fontId="32" fillId="0" borderId="35" xfId="0" applyFont="1" applyBorder="1"/>
    <xf numFmtId="164" fontId="32" fillId="0" borderId="12" xfId="1" applyFont="1" applyBorder="1"/>
    <xf numFmtId="166" fontId="32" fillId="0" borderId="32" xfId="2" applyFont="1" applyBorder="1"/>
    <xf numFmtId="16" fontId="32" fillId="2" borderId="28" xfId="0" applyNumberFormat="1" applyFont="1" applyFill="1" applyBorder="1" applyAlignment="1">
      <alignment horizontal="center" vertical="center"/>
    </xf>
    <xf numFmtId="164" fontId="34" fillId="0" borderId="0" xfId="1" applyFont="1"/>
    <xf numFmtId="166" fontId="34" fillId="0" borderId="0" xfId="2" applyFont="1"/>
    <xf numFmtId="166" fontId="32" fillId="2" borderId="12" xfId="2" applyFont="1" applyFill="1" applyBorder="1" applyAlignment="1">
      <alignment horizontal="center" vertical="center"/>
    </xf>
    <xf numFmtId="0" fontId="32" fillId="2" borderId="12" xfId="2" applyNumberFormat="1" applyFont="1" applyFill="1" applyBorder="1" applyAlignment="1">
      <alignment horizontal="center" vertical="center"/>
    </xf>
    <xf numFmtId="166" fontId="40" fillId="0" borderId="47" xfId="2" applyFont="1" applyFill="1" applyBorder="1" applyAlignment="1">
      <alignment horizontal="right"/>
    </xf>
    <xf numFmtId="166" fontId="30" fillId="0" borderId="0" xfId="0" applyNumberFormat="1" applyFont="1"/>
    <xf numFmtId="43" fontId="0" fillId="0" borderId="0" xfId="0" applyNumberFormat="1"/>
    <xf numFmtId="49" fontId="38" fillId="7" borderId="53" xfId="0" applyNumberFormat="1" applyFont="1" applyFill="1" applyBorder="1" applyAlignment="1">
      <alignment horizontal="center" vertical="center" wrapText="1"/>
    </xf>
    <xf numFmtId="0" fontId="38" fillId="7" borderId="53" xfId="0" applyFont="1" applyFill="1" applyBorder="1" applyAlignment="1">
      <alignment horizontal="center" vertical="center" wrapText="1"/>
    </xf>
    <xf numFmtId="164" fontId="38" fillId="7" borderId="53" xfId="1" applyFont="1" applyFill="1" applyBorder="1" applyAlignment="1">
      <alignment horizontal="center" vertical="center" wrapText="1"/>
    </xf>
    <xf numFmtId="164" fontId="28" fillId="2" borderId="28" xfId="1" applyFont="1" applyFill="1" applyBorder="1"/>
    <xf numFmtId="2" fontId="32" fillId="2" borderId="53" xfId="1" applyNumberFormat="1" applyFont="1" applyFill="1" applyBorder="1"/>
    <xf numFmtId="167" fontId="28" fillId="2" borderId="16" xfId="1" applyNumberFormat="1" applyFont="1" applyFill="1" applyBorder="1" applyAlignment="1">
      <alignment horizontal="center" vertical="center"/>
    </xf>
    <xf numFmtId="164" fontId="0" fillId="0" borderId="32" xfId="1" applyFont="1" applyFill="1" applyBorder="1" applyAlignment="1">
      <alignment vertical="center"/>
    </xf>
    <xf numFmtId="0" fontId="0" fillId="0" borderId="0" xfId="0" applyAlignment="1">
      <alignment horizontal="left"/>
    </xf>
    <xf numFmtId="164" fontId="40" fillId="0" borderId="12" xfId="1" applyFont="1" applyFill="1" applyBorder="1" applyAlignment="1">
      <alignment horizontal="center" vertical="center"/>
    </xf>
    <xf numFmtId="164" fontId="40" fillId="0" borderId="12" xfId="1" applyFont="1" applyFill="1" applyBorder="1" applyAlignment="1">
      <alignment vertical="center"/>
    </xf>
    <xf numFmtId="2" fontId="32" fillId="2" borderId="51" xfId="2" applyNumberFormat="1" applyFont="1" applyFill="1" applyBorder="1"/>
    <xf numFmtId="49" fontId="39" fillId="8" borderId="35" xfId="6" applyNumberFormat="1" applyFont="1" applyFill="1" applyBorder="1"/>
    <xf numFmtId="0" fontId="39" fillId="8" borderId="12" xfId="6" applyFont="1" applyFill="1" applyBorder="1" applyAlignment="1">
      <alignment vertical="center"/>
    </xf>
    <xf numFmtId="166" fontId="40" fillId="8" borderId="12" xfId="2" applyFont="1" applyFill="1" applyBorder="1" applyAlignment="1">
      <alignment horizontal="center"/>
    </xf>
    <xf numFmtId="0" fontId="40" fillId="8" borderId="12" xfId="0" applyFont="1" applyFill="1" applyBorder="1" applyAlignment="1">
      <alignment horizontal="center"/>
    </xf>
    <xf numFmtId="0" fontId="40" fillId="8" borderId="12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horizontal="center" vertical="center"/>
    </xf>
    <xf numFmtId="166" fontId="40" fillId="8" borderId="12" xfId="2" applyFont="1" applyFill="1" applyBorder="1"/>
    <xf numFmtId="0" fontId="42" fillId="8" borderId="12" xfId="0" applyFont="1" applyFill="1" applyBorder="1" applyAlignment="1">
      <alignment horizontal="center"/>
    </xf>
    <xf numFmtId="0" fontId="41" fillId="8" borderId="12" xfId="6" applyFont="1" applyFill="1" applyBorder="1" applyAlignment="1">
      <alignment vertical="center"/>
    </xf>
    <xf numFmtId="0" fontId="32" fillId="2" borderId="28" xfId="0" applyFont="1" applyFill="1" applyBorder="1" applyAlignment="1">
      <alignment horizontal="right"/>
    </xf>
    <xf numFmtId="49" fontId="39" fillId="0" borderId="35" xfId="6" applyNumberFormat="1" applyFont="1" applyBorder="1"/>
    <xf numFmtId="0" fontId="39" fillId="0" borderId="12" xfId="6" applyFont="1" applyBorder="1" applyAlignment="1">
      <alignment vertical="center"/>
    </xf>
    <xf numFmtId="164" fontId="40" fillId="0" borderId="34" xfId="1" applyFont="1" applyFill="1" applyBorder="1" applyAlignment="1">
      <alignment horizontal="center" vertical="center"/>
    </xf>
    <xf numFmtId="164" fontId="40" fillId="0" borderId="16" xfId="1" applyFont="1" applyFill="1" applyBorder="1" applyAlignment="1">
      <alignment horizontal="center" vertical="center"/>
    </xf>
    <xf numFmtId="164" fontId="40" fillId="0" borderId="16" xfId="1" applyFont="1" applyFill="1" applyBorder="1" applyAlignment="1">
      <alignment vertical="center"/>
    </xf>
    <xf numFmtId="164" fontId="0" fillId="0" borderId="17" xfId="1" applyFont="1" applyFill="1" applyBorder="1" applyAlignment="1">
      <alignment vertical="center"/>
    </xf>
    <xf numFmtId="0" fontId="40" fillId="0" borderId="12" xfId="0" applyFont="1" applyBorder="1" applyAlignment="1">
      <alignment horizontal="center"/>
    </xf>
    <xf numFmtId="0" fontId="40" fillId="0" borderId="12" xfId="0" applyFont="1" applyBorder="1" applyAlignment="1">
      <alignment horizontal="center" vertical="center"/>
    </xf>
    <xf numFmtId="0" fontId="40" fillId="0" borderId="63" xfId="0" applyFont="1" applyBorder="1" applyAlignment="1">
      <alignment horizontal="center" vertical="center"/>
    </xf>
    <xf numFmtId="164" fontId="40" fillId="0" borderId="35" xfId="1" applyFont="1" applyFill="1" applyBorder="1" applyAlignment="1">
      <alignment horizontal="center" vertical="center"/>
    </xf>
    <xf numFmtId="166" fontId="40" fillId="0" borderId="12" xfId="2" applyFont="1" applyFill="1" applyBorder="1" applyAlignment="1">
      <alignment horizontal="center"/>
    </xf>
    <xf numFmtId="170" fontId="32" fillId="0" borderId="0" xfId="1" applyNumberFormat="1" applyFont="1" applyFill="1" applyBorder="1"/>
    <xf numFmtId="2" fontId="28" fillId="0" borderId="0" xfId="2" applyNumberFormat="1" applyFont="1" applyFill="1" applyBorder="1"/>
    <xf numFmtId="166" fontId="28" fillId="0" borderId="0" xfId="2" applyFont="1" applyFill="1" applyBorder="1"/>
    <xf numFmtId="0" fontId="32" fillId="2" borderId="12" xfId="0" applyFont="1" applyFill="1" applyBorder="1" applyAlignment="1">
      <alignment horizontal="right"/>
    </xf>
    <xf numFmtId="0" fontId="28" fillId="2" borderId="28" xfId="0" applyFont="1" applyFill="1" applyBorder="1" applyAlignment="1">
      <alignment horizontal="right"/>
    </xf>
    <xf numFmtId="49" fontId="39" fillId="0" borderId="35" xfId="0" applyNumberFormat="1" applyFont="1" applyBorder="1"/>
    <xf numFmtId="164" fontId="32" fillId="2" borderId="53" xfId="1" applyFont="1" applyFill="1" applyBorder="1" applyAlignment="1">
      <alignment horizontal="center" vertical="center"/>
    </xf>
    <xf numFmtId="166" fontId="32" fillId="2" borderId="64" xfId="2" applyFont="1" applyFill="1" applyBorder="1" applyAlignment="1">
      <alignment horizontal="center"/>
    </xf>
    <xf numFmtId="166" fontId="32" fillId="2" borderId="67" xfId="2" applyFont="1" applyFill="1" applyBorder="1" applyAlignment="1">
      <alignment horizontal="center"/>
    </xf>
    <xf numFmtId="0" fontId="32" fillId="2" borderId="17" xfId="0" applyFont="1" applyFill="1" applyBorder="1"/>
    <xf numFmtId="14" fontId="32" fillId="2" borderId="16" xfId="0" applyNumberFormat="1" applyFont="1" applyFill="1" applyBorder="1"/>
    <xf numFmtId="0" fontId="33" fillId="2" borderId="35" xfId="0" applyFont="1" applyFill="1" applyBorder="1" applyAlignment="1">
      <alignment horizontal="left"/>
    </xf>
    <xf numFmtId="0" fontId="32" fillId="2" borderId="32" xfId="0" applyFont="1" applyFill="1" applyBorder="1"/>
    <xf numFmtId="14" fontId="32" fillId="2" borderId="12" xfId="0" applyNumberFormat="1" applyFont="1" applyFill="1" applyBorder="1"/>
    <xf numFmtId="166" fontId="40" fillId="0" borderId="12" xfId="2" applyFont="1" applyFill="1" applyBorder="1"/>
    <xf numFmtId="0" fontId="40" fillId="0" borderId="55" xfId="0" applyFont="1" applyBorder="1" applyAlignment="1">
      <alignment horizontal="center" vertical="center"/>
    </xf>
    <xf numFmtId="0" fontId="32" fillId="2" borderId="53" xfId="0" applyFont="1" applyFill="1" applyBorder="1" applyAlignment="1">
      <alignment horizontal="right"/>
    </xf>
    <xf numFmtId="164" fontId="40" fillId="0" borderId="21" xfId="1" applyFont="1" applyFill="1" applyBorder="1" applyAlignment="1">
      <alignment vertical="center"/>
    </xf>
    <xf numFmtId="164" fontId="0" fillId="0" borderId="22" xfId="1" applyFont="1" applyFill="1" applyBorder="1" applyAlignment="1">
      <alignment vertical="center"/>
    </xf>
    <xf numFmtId="164" fontId="42" fillId="0" borderId="12" xfId="1" applyFont="1" applyFill="1" applyBorder="1" applyAlignment="1">
      <alignment vertical="center"/>
    </xf>
    <xf numFmtId="49" fontId="39" fillId="0" borderId="46" xfId="0" applyNumberFormat="1" applyFont="1" applyBorder="1" applyAlignment="1">
      <alignment horizontal="center" vertical="center"/>
    </xf>
    <xf numFmtId="0" fontId="40" fillId="0" borderId="51" xfId="0" applyFont="1" applyBorder="1" applyAlignment="1">
      <alignment horizontal="right"/>
    </xf>
    <xf numFmtId="0" fontId="39" fillId="0" borderId="0" xfId="0" applyFont="1" applyAlignment="1">
      <alignment horizontal="center"/>
    </xf>
    <xf numFmtId="0" fontId="39" fillId="0" borderId="0" xfId="0" applyFont="1"/>
    <xf numFmtId="164" fontId="40" fillId="0" borderId="36" xfId="1" applyFont="1" applyFill="1" applyBorder="1" applyAlignment="1">
      <alignment horizontal="center" vertical="center"/>
    </xf>
    <xf numFmtId="164" fontId="40" fillId="0" borderId="21" xfId="1" applyFont="1" applyFill="1" applyBorder="1" applyAlignment="1">
      <alignment horizontal="center" vertical="center"/>
    </xf>
    <xf numFmtId="0" fontId="1" fillId="0" borderId="0" xfId="5" applyFont="1"/>
    <xf numFmtId="2" fontId="32" fillId="2" borderId="53" xfId="2" applyNumberFormat="1" applyFont="1" applyFill="1" applyBorder="1"/>
    <xf numFmtId="0" fontId="40" fillId="0" borderId="16" xfId="0" applyFont="1" applyBorder="1" applyAlignment="1">
      <alignment horizontal="center" vertical="center"/>
    </xf>
    <xf numFmtId="167" fontId="30" fillId="0" borderId="0" xfId="0" applyNumberFormat="1" applyFont="1"/>
    <xf numFmtId="164" fontId="32" fillId="2" borderId="53" xfId="1" applyFont="1" applyFill="1" applyBorder="1" applyAlignment="1">
      <alignment horizontal="center"/>
    </xf>
    <xf numFmtId="0" fontId="32" fillId="2" borderId="53" xfId="1" applyNumberFormat="1" applyFont="1" applyFill="1" applyBorder="1" applyAlignment="1">
      <alignment horizontal="center"/>
    </xf>
    <xf numFmtId="164" fontId="32" fillId="2" borderId="12" xfId="1" applyFont="1" applyFill="1" applyBorder="1" applyAlignment="1">
      <alignment horizontal="center" vertical="center"/>
    </xf>
    <xf numFmtId="0" fontId="32" fillId="2" borderId="21" xfId="0" applyFont="1" applyFill="1" applyBorder="1" applyAlignment="1">
      <alignment horizontal="right"/>
    </xf>
    <xf numFmtId="164" fontId="28" fillId="2" borderId="12" xfId="1" applyFont="1" applyFill="1" applyBorder="1" applyAlignment="1">
      <alignment horizontal="center" vertical="center"/>
    </xf>
    <xf numFmtId="166" fontId="40" fillId="8" borderId="21" xfId="2" applyFont="1" applyFill="1" applyBorder="1"/>
    <xf numFmtId="0" fontId="40" fillId="8" borderId="21" xfId="0" applyFont="1" applyFill="1" applyBorder="1" applyAlignment="1">
      <alignment horizontal="center"/>
    </xf>
    <xf numFmtId="0" fontId="40" fillId="8" borderId="21" xfId="0" applyFont="1" applyFill="1" applyBorder="1" applyAlignment="1">
      <alignment horizontal="center" vertical="center"/>
    </xf>
    <xf numFmtId="0" fontId="40" fillId="8" borderId="56" xfId="0" applyFont="1" applyFill="1" applyBorder="1" applyAlignment="1">
      <alignment horizontal="center" vertical="center"/>
    </xf>
    <xf numFmtId="167" fontId="28" fillId="2" borderId="53" xfId="1" applyNumberFormat="1" applyFont="1" applyFill="1" applyBorder="1" applyAlignment="1">
      <alignment horizontal="center" vertical="center"/>
    </xf>
    <xf numFmtId="166" fontId="32" fillId="2" borderId="16" xfId="2" applyFont="1" applyFill="1" applyBorder="1" applyAlignment="1">
      <alignment horizontal="center" vertical="center"/>
    </xf>
    <xf numFmtId="0" fontId="32" fillId="2" borderId="16" xfId="2" applyNumberFormat="1" applyFont="1" applyFill="1" applyBorder="1" applyAlignment="1">
      <alignment horizontal="center" vertical="center"/>
    </xf>
    <xf numFmtId="0" fontId="34" fillId="2" borderId="16" xfId="0" applyFont="1" applyFill="1" applyBorder="1"/>
    <xf numFmtId="0" fontId="34" fillId="2" borderId="17" xfId="0" applyFont="1" applyFill="1" applyBorder="1"/>
    <xf numFmtId="0" fontId="33" fillId="2" borderId="23" xfId="0" applyFont="1" applyFill="1" applyBorder="1"/>
    <xf numFmtId="0" fontId="33" fillId="2" borderId="15" xfId="0" applyFont="1" applyFill="1" applyBorder="1"/>
    <xf numFmtId="14" fontId="33" fillId="2" borderId="14" xfId="0" applyNumberFormat="1" applyFont="1" applyFill="1" applyBorder="1"/>
    <xf numFmtId="0" fontId="32" fillId="2" borderId="23" xfId="0" applyFont="1" applyFill="1" applyBorder="1"/>
    <xf numFmtId="0" fontId="32" fillId="2" borderId="15" xfId="0" applyFont="1" applyFill="1" applyBorder="1"/>
    <xf numFmtId="14" fontId="32" fillId="2" borderId="14" xfId="0" applyNumberFormat="1" applyFont="1" applyFill="1" applyBorder="1"/>
    <xf numFmtId="20" fontId="0" fillId="0" borderId="0" xfId="0" applyNumberFormat="1"/>
    <xf numFmtId="172" fontId="30" fillId="0" borderId="0" xfId="1" applyNumberFormat="1" applyFont="1"/>
    <xf numFmtId="172" fontId="30" fillId="0" borderId="0" xfId="0" applyNumberFormat="1" applyFont="1"/>
    <xf numFmtId="0" fontId="32" fillId="2" borderId="36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6" fontId="32" fillId="2" borderId="21" xfId="0" applyNumberFormat="1" applyFont="1" applyFill="1" applyBorder="1" applyAlignment="1">
      <alignment horizontal="center" vertical="center" wrapText="1"/>
    </xf>
    <xf numFmtId="164" fontId="32" fillId="2" borderId="21" xfId="1" applyFont="1" applyFill="1" applyBorder="1" applyAlignment="1">
      <alignment horizontal="center" vertical="center" wrapText="1"/>
    </xf>
    <xf numFmtId="166" fontId="32" fillId="2" borderId="21" xfId="2" applyFont="1" applyFill="1" applyBorder="1" applyAlignment="1">
      <alignment horizontal="center" vertical="center" wrapText="1"/>
    </xf>
    <xf numFmtId="20" fontId="32" fillId="0" borderId="0" xfId="0" applyNumberFormat="1" applyFont="1"/>
    <xf numFmtId="172" fontId="26" fillId="0" borderId="0" xfId="2" applyNumberFormat="1" applyFont="1" applyFill="1" applyBorder="1"/>
    <xf numFmtId="172" fontId="32" fillId="0" borderId="0" xfId="0" applyNumberFormat="1" applyFont="1"/>
    <xf numFmtId="172" fontId="0" fillId="0" borderId="0" xfId="0" applyNumberFormat="1"/>
    <xf numFmtId="20" fontId="30" fillId="0" borderId="0" xfId="0" applyNumberFormat="1" applyFont="1"/>
    <xf numFmtId="0" fontId="32" fillId="2" borderId="42" xfId="0" applyFont="1" applyFill="1" applyBorder="1" applyAlignment="1">
      <alignment vertical="center"/>
    </xf>
    <xf numFmtId="0" fontId="32" fillId="2" borderId="44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166" fontId="28" fillId="2" borderId="63" xfId="2" applyFont="1" applyFill="1" applyBorder="1"/>
    <xf numFmtId="16" fontId="32" fillId="2" borderId="12" xfId="0" applyNumberFormat="1" applyFont="1" applyFill="1" applyBorder="1" applyAlignment="1">
      <alignment horizontal="center" vertical="center" wrapText="1"/>
    </xf>
    <xf numFmtId="0" fontId="32" fillId="2" borderId="12" xfId="0" applyFont="1" applyFill="1" applyBorder="1" applyAlignment="1">
      <alignment horizontal="center" vertical="center" wrapText="1"/>
    </xf>
    <xf numFmtId="166" fontId="28" fillId="2" borderId="55" xfId="2" applyFont="1" applyFill="1" applyBorder="1"/>
    <xf numFmtId="166" fontId="28" fillId="2" borderId="68" xfId="2" applyFont="1" applyFill="1" applyBorder="1"/>
    <xf numFmtId="166" fontId="28" fillId="2" borderId="56" xfId="2" applyFont="1" applyFill="1" applyBorder="1"/>
    <xf numFmtId="0" fontId="32" fillId="2" borderId="69" xfId="0" applyFont="1" applyFill="1" applyBorder="1" applyAlignment="1">
      <alignment horizontal="center" vertical="center" wrapText="1"/>
    </xf>
    <xf numFmtId="166" fontId="28" fillId="2" borderId="58" xfId="2" applyFont="1" applyFill="1" applyBorder="1"/>
    <xf numFmtId="0" fontId="28" fillId="2" borderId="46" xfId="0" applyFont="1" applyFill="1" applyBorder="1" applyAlignment="1">
      <alignment horizontal="center" vertical="center"/>
    </xf>
    <xf numFmtId="0" fontId="28" fillId="2" borderId="39" xfId="0" applyFont="1" applyFill="1" applyBorder="1" applyAlignment="1">
      <alignment horizontal="center" vertical="center"/>
    </xf>
    <xf numFmtId="164" fontId="32" fillId="2" borderId="12" xfId="1" applyFont="1" applyFill="1" applyBorder="1" applyAlignment="1">
      <alignment horizontal="center" vertical="center" wrapText="1"/>
    </xf>
    <xf numFmtId="166" fontId="32" fillId="2" borderId="12" xfId="2" applyFont="1" applyFill="1" applyBorder="1" applyAlignment="1">
      <alignment horizontal="center" vertical="center" wrapText="1"/>
    </xf>
    <xf numFmtId="0" fontId="32" fillId="2" borderId="55" xfId="0" applyFont="1" applyFill="1" applyBorder="1" applyAlignment="1">
      <alignment horizontal="center" vertical="center" wrapText="1"/>
    </xf>
    <xf numFmtId="166" fontId="32" fillId="2" borderId="63" xfId="2" applyFont="1" applyFill="1" applyBorder="1" applyAlignment="1">
      <alignment horizontal="center" vertical="center" wrapText="1"/>
    </xf>
    <xf numFmtId="166" fontId="32" fillId="2" borderId="63" xfId="2" applyFont="1" applyFill="1" applyBorder="1"/>
    <xf numFmtId="166" fontId="32" fillId="2" borderId="68" xfId="2" applyFont="1" applyFill="1" applyBorder="1"/>
    <xf numFmtId="166" fontId="32" fillId="2" borderId="28" xfId="2" applyFont="1" applyFill="1" applyBorder="1" applyAlignment="1">
      <alignment horizontal="center" vertical="center"/>
    </xf>
    <xf numFmtId="0" fontId="32" fillId="2" borderId="28" xfId="2" applyNumberFormat="1" applyFont="1" applyFill="1" applyBorder="1" applyAlignment="1">
      <alignment horizontal="center" vertical="center"/>
    </xf>
    <xf numFmtId="0" fontId="32" fillId="2" borderId="35" xfId="0" applyFont="1" applyFill="1" applyBorder="1" applyAlignment="1">
      <alignment horizontal="center" vertical="center" wrapText="1"/>
    </xf>
    <xf numFmtId="166" fontId="32" fillId="2" borderId="56" xfId="2" applyFont="1" applyFill="1" applyBorder="1" applyAlignment="1">
      <alignment horizontal="center" vertical="center" wrapText="1"/>
    </xf>
    <xf numFmtId="0" fontId="28" fillId="2" borderId="35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6" xfId="0" applyFont="1" applyFill="1" applyBorder="1" applyAlignment="1">
      <alignment horizontal="center"/>
    </xf>
    <xf numFmtId="0" fontId="28" fillId="2" borderId="22" xfId="0" applyFont="1" applyFill="1" applyBorder="1" applyAlignment="1">
      <alignment horizontal="center"/>
    </xf>
    <xf numFmtId="20" fontId="34" fillId="0" borderId="0" xfId="0" applyNumberFormat="1" applyFont="1"/>
    <xf numFmtId="0" fontId="28" fillId="2" borderId="44" xfId="0" applyFont="1" applyFill="1" applyBorder="1" applyAlignment="1">
      <alignment horizontal="center" vertical="center"/>
    </xf>
    <xf numFmtId="0" fontId="28" fillId="2" borderId="42" xfId="0" applyFont="1" applyFill="1" applyBorder="1" applyAlignment="1">
      <alignment horizontal="center" vertical="center"/>
    </xf>
    <xf numFmtId="166" fontId="32" fillId="2" borderId="58" xfId="2" applyFont="1" applyFill="1" applyBorder="1"/>
    <xf numFmtId="166" fontId="32" fillId="2" borderId="55" xfId="2" applyFont="1" applyFill="1" applyBorder="1"/>
    <xf numFmtId="2" fontId="32" fillId="2" borderId="43" xfId="0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167" fontId="32" fillId="2" borderId="53" xfId="1" applyNumberFormat="1" applyFont="1" applyFill="1" applyBorder="1" applyAlignment="1">
      <alignment horizontal="center" vertical="center"/>
    </xf>
    <xf numFmtId="0" fontId="32" fillId="2" borderId="42" xfId="0" applyFont="1" applyFill="1" applyBorder="1" applyAlignment="1">
      <alignment horizontal="center" vertical="center"/>
    </xf>
    <xf numFmtId="0" fontId="32" fillId="2" borderId="44" xfId="0" applyFont="1" applyFill="1" applyBorder="1" applyAlignment="1">
      <alignment horizontal="center" vertical="center"/>
    </xf>
    <xf numFmtId="44" fontId="32" fillId="2" borderId="12" xfId="0" applyNumberFormat="1" applyFont="1" applyFill="1" applyBorder="1" applyAlignment="1">
      <alignment horizontal="center" vertical="center"/>
    </xf>
    <xf numFmtId="172" fontId="34" fillId="0" borderId="0" xfId="0" applyNumberFormat="1" applyFont="1" applyAlignment="1">
      <alignment horizontal="left"/>
    </xf>
    <xf numFmtId="0" fontId="28" fillId="2" borderId="34" xfId="0" applyFont="1" applyFill="1" applyBorder="1" applyAlignment="1">
      <alignment horizontal="center"/>
    </xf>
    <xf numFmtId="0" fontId="28" fillId="2" borderId="17" xfId="0" applyFont="1" applyFill="1" applyBorder="1" applyAlignment="1">
      <alignment horizontal="center"/>
    </xf>
    <xf numFmtId="0" fontId="34" fillId="2" borderId="28" xfId="0" applyFont="1" applyFill="1" applyBorder="1" applyAlignment="1">
      <alignment horizontal="center"/>
    </xf>
    <xf numFmtId="43" fontId="34" fillId="2" borderId="12" xfId="0" applyNumberFormat="1" applyFont="1" applyFill="1" applyBorder="1" applyAlignment="1">
      <alignment horizontal="center"/>
    </xf>
    <xf numFmtId="0" fontId="34" fillId="2" borderId="12" xfId="0" applyFont="1" applyFill="1" applyBorder="1" applyAlignment="1">
      <alignment horizontal="center"/>
    </xf>
    <xf numFmtId="46" fontId="0" fillId="0" borderId="0" xfId="0" applyNumberFormat="1"/>
    <xf numFmtId="0" fontId="28" fillId="2" borderId="17" xfId="0" applyFont="1" applyFill="1" applyBorder="1" applyAlignment="1">
      <alignment horizontal="center" vertical="center"/>
    </xf>
    <xf numFmtId="164" fontId="28" fillId="2" borderId="21" xfId="1" applyFont="1" applyFill="1" applyBorder="1" applyAlignment="1">
      <alignment horizontal="center" vertical="center"/>
    </xf>
    <xf numFmtId="0" fontId="28" fillId="2" borderId="22" xfId="0" applyFont="1" applyFill="1" applyBorder="1" applyAlignment="1">
      <alignment horizontal="center" vertical="center"/>
    </xf>
    <xf numFmtId="0" fontId="32" fillId="2" borderId="42" xfId="0" applyFont="1" applyFill="1" applyBorder="1"/>
    <xf numFmtId="16" fontId="32" fillId="2" borderId="43" xfId="0" applyNumberFormat="1" applyFont="1" applyFill="1" applyBorder="1" applyAlignment="1">
      <alignment horizontal="center"/>
    </xf>
    <xf numFmtId="0" fontId="32" fillId="2" borderId="43" xfId="1" applyNumberFormat="1" applyFont="1" applyFill="1" applyBorder="1" applyAlignment="1">
      <alignment horizontal="center" vertical="center"/>
    </xf>
    <xf numFmtId="167" fontId="32" fillId="2" borderId="43" xfId="0" applyNumberFormat="1" applyFont="1" applyFill="1" applyBorder="1" applyAlignment="1">
      <alignment horizontal="center" vertical="center"/>
    </xf>
    <xf numFmtId="166" fontId="32" fillId="2" borderId="43" xfId="2" applyFont="1" applyFill="1" applyBorder="1"/>
    <xf numFmtId="170" fontId="32" fillId="2" borderId="43" xfId="1" applyNumberFormat="1" applyFont="1" applyFill="1" applyBorder="1"/>
    <xf numFmtId="2" fontId="32" fillId="2" borderId="43" xfId="2" applyNumberFormat="1" applyFont="1" applyFill="1" applyBorder="1"/>
    <xf numFmtId="166" fontId="32" fillId="2" borderId="69" xfId="2" applyFont="1" applyFill="1" applyBorder="1"/>
    <xf numFmtId="0" fontId="32" fillId="2" borderId="54" xfId="0" applyFont="1" applyFill="1" applyBorder="1" applyAlignment="1">
      <alignment horizontal="right" vertical="center" wrapText="1"/>
    </xf>
    <xf numFmtId="16" fontId="32" fillId="2" borderId="53" xfId="0" applyNumberFormat="1" applyFont="1" applyFill="1" applyBorder="1" applyAlignment="1">
      <alignment horizontal="center" vertical="center" wrapText="1"/>
    </xf>
    <xf numFmtId="0" fontId="32" fillId="2" borderId="53" xfId="0" applyFont="1" applyFill="1" applyBorder="1" applyAlignment="1">
      <alignment horizontal="center" vertical="center" wrapText="1"/>
    </xf>
    <xf numFmtId="0" fontId="28" fillId="2" borderId="16" xfId="1" applyNumberFormat="1" applyFont="1" applyFill="1" applyBorder="1"/>
    <xf numFmtId="0" fontId="32" fillId="2" borderId="53" xfId="1" applyNumberFormat="1" applyFont="1" applyFill="1" applyBorder="1"/>
    <xf numFmtId="0" fontId="28" fillId="2" borderId="16" xfId="2" applyNumberFormat="1" applyFont="1" applyFill="1" applyBorder="1"/>
    <xf numFmtId="0" fontId="28" fillId="2" borderId="53" xfId="2" applyNumberFormat="1" applyFont="1" applyFill="1" applyBorder="1"/>
    <xf numFmtId="0" fontId="28" fillId="2" borderId="21" xfId="2" applyNumberFormat="1" applyFont="1" applyFill="1" applyBorder="1"/>
    <xf numFmtId="0" fontId="28" fillId="2" borderId="29" xfId="0" applyFont="1" applyFill="1" applyBorder="1" applyAlignment="1">
      <alignment horizontal="center" vertical="center"/>
    </xf>
    <xf numFmtId="0" fontId="32" fillId="2" borderId="48" xfId="0" applyFont="1" applyFill="1" applyBorder="1" applyAlignment="1">
      <alignment horizontal="center" vertical="center" wrapText="1"/>
    </xf>
    <xf numFmtId="0" fontId="32" fillId="2" borderId="70" xfId="0" applyFont="1" applyFill="1" applyBorder="1" applyAlignment="1">
      <alignment horizontal="center" vertical="center" wrapText="1"/>
    </xf>
    <xf numFmtId="0" fontId="28" fillId="2" borderId="47" xfId="0" applyFont="1" applyFill="1" applyBorder="1" applyAlignment="1">
      <alignment horizontal="center" vertical="center"/>
    </xf>
    <xf numFmtId="166" fontId="40" fillId="0" borderId="16" xfId="2" applyFont="1" applyFill="1" applyBorder="1"/>
    <xf numFmtId="0" fontId="40" fillId="0" borderId="16" xfId="0" applyFont="1" applyBorder="1" applyAlignment="1">
      <alignment horizontal="center"/>
    </xf>
    <xf numFmtId="0" fontId="39" fillId="0" borderId="12" xfId="0" applyFont="1" applyBorder="1" applyAlignment="1">
      <alignment vertical="center"/>
    </xf>
    <xf numFmtId="0" fontId="41" fillId="0" borderId="12" xfId="0" applyFont="1" applyBorder="1" applyAlignment="1">
      <alignment vertical="center"/>
    </xf>
    <xf numFmtId="0" fontId="50" fillId="0" borderId="12" xfId="0" applyFont="1" applyBorder="1" applyAlignment="1">
      <alignment vertical="center"/>
    </xf>
    <xf numFmtId="0" fontId="41" fillId="0" borderId="12" xfId="6" applyFont="1" applyBorder="1" applyAlignment="1">
      <alignment vertical="center"/>
    </xf>
    <xf numFmtId="0" fontId="0" fillId="0" borderId="33" xfId="0" applyBorder="1"/>
    <xf numFmtId="0" fontId="0" fillId="0" borderId="63" xfId="0" applyBorder="1"/>
    <xf numFmtId="164" fontId="0" fillId="0" borderId="0" xfId="1" applyFont="1" applyBorder="1"/>
    <xf numFmtId="166" fontId="0" fillId="0" borderId="0" xfId="2" applyFont="1" applyBorder="1"/>
    <xf numFmtId="20" fontId="28" fillId="0" borderId="0" xfId="0" applyNumberFormat="1" applyFont="1" applyAlignment="1">
      <alignment vertical="center" wrapText="1"/>
    </xf>
    <xf numFmtId="2" fontId="28" fillId="2" borderId="53" xfId="1" applyNumberFormat="1" applyFont="1" applyFill="1" applyBorder="1"/>
    <xf numFmtId="0" fontId="28" fillId="2" borderId="38" xfId="0" applyFont="1" applyFill="1" applyBorder="1" applyAlignment="1">
      <alignment horizontal="center" vertical="center"/>
    </xf>
    <xf numFmtId="166" fontId="28" fillId="2" borderId="66" xfId="2" applyFont="1" applyFill="1" applyBorder="1"/>
    <xf numFmtId="0" fontId="28" fillId="2" borderId="47" xfId="0" applyFont="1" applyFill="1" applyBorder="1" applyAlignment="1">
      <alignment vertical="center"/>
    </xf>
    <xf numFmtId="0" fontId="28" fillId="2" borderId="39" xfId="0" applyFont="1" applyFill="1" applyBorder="1" applyAlignment="1">
      <alignment vertical="center"/>
    </xf>
    <xf numFmtId="0" fontId="32" fillId="2" borderId="38" xfId="0" applyFont="1" applyFill="1" applyBorder="1" applyAlignment="1">
      <alignment horizontal="center" vertical="center"/>
    </xf>
    <xf numFmtId="20" fontId="0" fillId="0" borderId="9" xfId="0" applyNumberFormat="1" applyBorder="1"/>
    <xf numFmtId="0" fontId="0" fillId="2" borderId="12" xfId="0" applyFill="1" applyBorder="1"/>
    <xf numFmtId="0" fontId="28" fillId="2" borderId="45" xfId="0" applyFont="1" applyFill="1" applyBorder="1" applyAlignment="1">
      <alignment horizontal="center"/>
    </xf>
    <xf numFmtId="0" fontId="28" fillId="2" borderId="29" xfId="0" applyFont="1" applyFill="1" applyBorder="1" applyAlignment="1">
      <alignment horizontal="center"/>
    </xf>
    <xf numFmtId="0" fontId="28" fillId="2" borderId="35" xfId="0" applyFont="1" applyFill="1" applyBorder="1" applyAlignment="1">
      <alignment horizontal="center"/>
    </xf>
    <xf numFmtId="0" fontId="28" fillId="2" borderId="32" xfId="0" applyFont="1" applyFill="1" applyBorder="1" applyAlignment="1">
      <alignment horizontal="center"/>
    </xf>
    <xf numFmtId="4" fontId="32" fillId="2" borderId="16" xfId="0" applyNumberFormat="1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66" fontId="32" fillId="2" borderId="53" xfId="2" applyFont="1" applyFill="1" applyBorder="1" applyAlignment="1">
      <alignment horizontal="center"/>
    </xf>
    <xf numFmtId="0" fontId="32" fillId="2" borderId="0" xfId="0" applyFont="1" applyFill="1" applyAlignment="1">
      <alignment horizontal="center"/>
    </xf>
    <xf numFmtId="0" fontId="32" fillId="2" borderId="25" xfId="0" applyFont="1" applyFill="1" applyBorder="1" applyAlignment="1">
      <alignment horizontal="center"/>
    </xf>
    <xf numFmtId="0" fontId="32" fillId="2" borderId="67" xfId="0" applyFont="1" applyFill="1" applyBorder="1" applyAlignment="1">
      <alignment horizontal="center"/>
    </xf>
    <xf numFmtId="0" fontId="32" fillId="2" borderId="14" xfId="0" applyFont="1" applyFill="1" applyBorder="1"/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7" borderId="56" xfId="0" applyFont="1" applyFill="1" applyBorder="1" applyAlignment="1">
      <alignment horizontal="center" vertical="center" wrapText="1"/>
    </xf>
    <xf numFmtId="0" fontId="38" fillId="7" borderId="19" xfId="0" applyFont="1" applyFill="1" applyBorder="1" applyAlignment="1">
      <alignment horizontal="center" vertical="center" wrapText="1"/>
    </xf>
    <xf numFmtId="0" fontId="38" fillId="7" borderId="0" xfId="0" applyFont="1" applyFill="1" applyAlignment="1">
      <alignment horizontal="center" vertical="center" wrapText="1"/>
    </xf>
    <xf numFmtId="14" fontId="32" fillId="2" borderId="14" xfId="0" applyNumberFormat="1" applyFont="1" applyFill="1" applyBorder="1" applyAlignment="1">
      <alignment horizontal="center" vertical="center"/>
    </xf>
    <xf numFmtId="14" fontId="32" fillId="2" borderId="15" xfId="0" applyNumberFormat="1" applyFont="1" applyFill="1" applyBorder="1" applyAlignment="1">
      <alignment horizontal="center" vertical="center"/>
    </xf>
    <xf numFmtId="166" fontId="32" fillId="2" borderId="19" xfId="2" applyFont="1" applyFill="1" applyBorder="1" applyAlignment="1">
      <alignment horizontal="center"/>
    </xf>
    <xf numFmtId="166" fontId="32" fillId="2" borderId="20" xfId="2" applyFont="1" applyFill="1" applyBorder="1" applyAlignment="1">
      <alignment horizontal="center"/>
    </xf>
    <xf numFmtId="0" fontId="28" fillId="2" borderId="8" xfId="0" applyFont="1" applyFill="1" applyBorder="1" applyAlignment="1">
      <alignment horizontal="center"/>
    </xf>
    <xf numFmtId="0" fontId="28" fillId="2" borderId="9" xfId="0" applyFont="1" applyFill="1" applyBorder="1" applyAlignment="1">
      <alignment horizontal="center"/>
    </xf>
    <xf numFmtId="0" fontId="28" fillId="2" borderId="10" xfId="0" applyFont="1" applyFill="1" applyBorder="1" applyAlignment="1">
      <alignment horizontal="center"/>
    </xf>
    <xf numFmtId="0" fontId="28" fillId="2" borderId="8" xfId="1" applyNumberFormat="1" applyFont="1" applyFill="1" applyBorder="1" applyAlignment="1">
      <alignment horizontal="center" vertical="center"/>
    </xf>
    <xf numFmtId="0" fontId="28" fillId="2" borderId="9" xfId="1" applyNumberFormat="1" applyFont="1" applyFill="1" applyBorder="1" applyAlignment="1">
      <alignment horizontal="center" vertical="center"/>
    </xf>
    <xf numFmtId="0" fontId="28" fillId="2" borderId="10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/>
    </xf>
    <xf numFmtId="0" fontId="28" fillId="2" borderId="11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/>
    </xf>
    <xf numFmtId="0" fontId="30" fillId="2" borderId="4" xfId="0" applyFont="1" applyFill="1" applyBorder="1" applyAlignment="1">
      <alignment horizontal="left"/>
    </xf>
    <xf numFmtId="0" fontId="30" fillId="2" borderId="5" xfId="0" applyFont="1" applyFill="1" applyBorder="1" applyAlignment="1">
      <alignment horizontal="left"/>
    </xf>
    <xf numFmtId="0" fontId="30" fillId="2" borderId="0" xfId="0" applyFont="1" applyFill="1" applyAlignment="1">
      <alignment horizontal="left"/>
    </xf>
    <xf numFmtId="0" fontId="30" fillId="2" borderId="6" xfId="0" applyFont="1" applyFill="1" applyBorder="1" applyAlignment="1">
      <alignment horizontal="left"/>
    </xf>
    <xf numFmtId="0" fontId="28" fillId="2" borderId="6" xfId="0" applyFont="1" applyFill="1" applyBorder="1" applyAlignment="1">
      <alignment horizontal="left"/>
    </xf>
    <xf numFmtId="0" fontId="28" fillId="2" borderId="0" xfId="0" applyFont="1" applyFill="1" applyAlignment="1">
      <alignment horizontal="left"/>
    </xf>
    <xf numFmtId="0" fontId="32" fillId="2" borderId="8" xfId="0" applyFont="1" applyFill="1" applyBorder="1" applyAlignment="1">
      <alignment horizontal="left"/>
    </xf>
    <xf numFmtId="0" fontId="32" fillId="2" borderId="9" xfId="0" applyFont="1" applyFill="1" applyBorder="1" applyAlignment="1">
      <alignment horizontal="left"/>
    </xf>
    <xf numFmtId="0" fontId="32" fillId="2" borderId="13" xfId="0" applyFont="1" applyFill="1" applyBorder="1" applyAlignment="1">
      <alignment horizontal="center" vertical="center"/>
    </xf>
    <xf numFmtId="0" fontId="32" fillId="2" borderId="18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27" fillId="2" borderId="3" xfId="0" applyFont="1" applyFill="1" applyBorder="1" applyAlignment="1">
      <alignment horizontal="center"/>
    </xf>
    <xf numFmtId="0" fontId="27" fillId="2" borderId="4" xfId="0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0" fontId="26" fillId="2" borderId="11" xfId="0" applyFont="1" applyFill="1" applyBorder="1" applyAlignment="1">
      <alignment horizontal="center"/>
    </xf>
    <xf numFmtId="0" fontId="26" fillId="2" borderId="2" xfId="0" applyFont="1" applyFill="1" applyBorder="1" applyAlignment="1">
      <alignment horizontal="center"/>
    </xf>
    <xf numFmtId="0" fontId="29" fillId="2" borderId="6" xfId="0" applyFont="1" applyFill="1" applyBorder="1" applyAlignment="1">
      <alignment horizontal="center"/>
    </xf>
    <xf numFmtId="0" fontId="29" fillId="2" borderId="0" xfId="0" applyFont="1" applyFill="1" applyAlignment="1">
      <alignment horizontal="center"/>
    </xf>
    <xf numFmtId="0" fontId="29" fillId="2" borderId="7" xfId="0" applyFont="1" applyFill="1" applyBorder="1" applyAlignment="1">
      <alignment horizontal="center"/>
    </xf>
    <xf numFmtId="0" fontId="28" fillId="2" borderId="6" xfId="0" applyFont="1" applyFill="1" applyBorder="1" applyAlignment="1">
      <alignment horizontal="center"/>
    </xf>
    <xf numFmtId="0" fontId="28" fillId="2" borderId="0" xfId="0" applyFont="1" applyFill="1" applyAlignment="1">
      <alignment horizontal="center"/>
    </xf>
    <xf numFmtId="0" fontId="28" fillId="2" borderId="7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2" fillId="2" borderId="62" xfId="0" applyFont="1" applyFill="1" applyBorder="1" applyAlignment="1">
      <alignment horizontal="left"/>
    </xf>
    <xf numFmtId="166" fontId="32" fillId="2" borderId="51" xfId="2" applyFont="1" applyFill="1" applyBorder="1" applyAlignment="1">
      <alignment horizontal="center"/>
    </xf>
    <xf numFmtId="166" fontId="32" fillId="2" borderId="52" xfId="2" applyFont="1" applyFill="1" applyBorder="1" applyAlignment="1">
      <alignment horizontal="center"/>
    </xf>
    <xf numFmtId="0" fontId="28" fillId="0" borderId="41" xfId="0" applyFont="1" applyBorder="1" applyAlignment="1">
      <alignment horizontal="center"/>
    </xf>
    <xf numFmtId="0" fontId="32" fillId="2" borderId="34" xfId="0" applyFont="1" applyFill="1" applyBorder="1" applyAlignment="1">
      <alignment horizontal="center"/>
    </xf>
    <xf numFmtId="0" fontId="32" fillId="2" borderId="17" xfId="0" applyFont="1" applyFill="1" applyBorder="1" applyAlignment="1">
      <alignment horizontal="center"/>
    </xf>
    <xf numFmtId="0" fontId="48" fillId="0" borderId="4" xfId="0" applyFont="1" applyBorder="1" applyAlignment="1">
      <alignment horizontal="left" vertical="top" wrapText="1"/>
    </xf>
    <xf numFmtId="0" fontId="48" fillId="0" borderId="5" xfId="0" applyFont="1" applyBorder="1" applyAlignment="1">
      <alignment horizontal="left" vertical="top" wrapText="1"/>
    </xf>
    <xf numFmtId="0" fontId="48" fillId="0" borderId="0" xfId="0" applyFont="1" applyAlignment="1">
      <alignment horizontal="left" vertical="top" wrapText="1"/>
    </xf>
    <xf numFmtId="0" fontId="48" fillId="0" borderId="7" xfId="0" applyFont="1" applyBorder="1" applyAlignment="1">
      <alignment horizontal="left" vertical="top" wrapText="1"/>
    </xf>
    <xf numFmtId="0" fontId="48" fillId="0" borderId="9" xfId="0" applyFont="1" applyBorder="1" applyAlignment="1">
      <alignment horizontal="left" vertical="top" wrapText="1"/>
    </xf>
    <xf numFmtId="0" fontId="48" fillId="0" borderId="10" xfId="0" applyFont="1" applyBorder="1" applyAlignment="1">
      <alignment horizontal="left" vertical="top" wrapText="1"/>
    </xf>
    <xf numFmtId="0" fontId="28" fillId="2" borderId="1" xfId="0" applyFont="1" applyFill="1" applyBorder="1" applyAlignment="1">
      <alignment horizontal="center" vertical="center"/>
    </xf>
    <xf numFmtId="0" fontId="28" fillId="2" borderId="11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/>
    </xf>
    <xf numFmtId="0" fontId="35" fillId="2" borderId="2" xfId="0" applyFont="1" applyFill="1" applyBorder="1" applyAlignment="1">
      <alignment horizontal="center"/>
    </xf>
    <xf numFmtId="44" fontId="35" fillId="2" borderId="1" xfId="0" applyNumberFormat="1" applyFont="1" applyFill="1" applyBorder="1" applyAlignment="1">
      <alignment horizontal="center" vertical="center"/>
    </xf>
    <xf numFmtId="44" fontId="35" fillId="2" borderId="11" xfId="0" applyNumberFormat="1" applyFont="1" applyFill="1" applyBorder="1" applyAlignment="1">
      <alignment horizontal="center" vertical="center"/>
    </xf>
    <xf numFmtId="44" fontId="35" fillId="2" borderId="2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/>
    </xf>
    <xf numFmtId="0" fontId="32" fillId="2" borderId="14" xfId="0" applyFont="1" applyFill="1" applyBorder="1" applyAlignment="1">
      <alignment horizontal="left"/>
    </xf>
    <xf numFmtId="0" fontId="32" fillId="2" borderId="15" xfId="0" applyFont="1" applyFill="1" applyBorder="1" applyAlignment="1">
      <alignment horizontal="left"/>
    </xf>
    <xf numFmtId="166" fontId="32" fillId="2" borderId="16" xfId="2" applyFont="1" applyFill="1" applyBorder="1" applyAlignment="1">
      <alignment horizontal="center"/>
    </xf>
    <xf numFmtId="166" fontId="32" fillId="2" borderId="17" xfId="2" applyFont="1" applyFill="1" applyBorder="1" applyAlignment="1">
      <alignment horizontal="center"/>
    </xf>
    <xf numFmtId="0" fontId="28" fillId="2" borderId="23" xfId="0" applyFont="1" applyFill="1" applyBorder="1" applyAlignment="1">
      <alignment horizontal="center"/>
    </xf>
    <xf numFmtId="0" fontId="28" fillId="2" borderId="14" xfId="0" applyFont="1" applyFill="1" applyBorder="1" applyAlignment="1">
      <alignment horizontal="center"/>
    </xf>
    <xf numFmtId="0" fontId="28" fillId="2" borderId="24" xfId="0" applyFont="1" applyFill="1" applyBorder="1" applyAlignment="1">
      <alignment horizontal="center"/>
    </xf>
    <xf numFmtId="166" fontId="32" fillId="2" borderId="21" xfId="2" applyFont="1" applyFill="1" applyBorder="1" applyAlignment="1">
      <alignment horizontal="center"/>
    </xf>
    <xf numFmtId="166" fontId="32" fillId="2" borderId="22" xfId="2" applyFont="1" applyFill="1" applyBorder="1" applyAlignment="1">
      <alignment horizontal="center"/>
    </xf>
    <xf numFmtId="0" fontId="32" fillId="2" borderId="30" xfId="0" applyFont="1" applyFill="1" applyBorder="1" applyAlignment="1">
      <alignment horizontal="left"/>
    </xf>
    <xf numFmtId="0" fontId="32" fillId="2" borderId="33" xfId="0" applyFont="1" applyFill="1" applyBorder="1" applyAlignment="1">
      <alignment horizontal="left"/>
    </xf>
    <xf numFmtId="0" fontId="32" fillId="2" borderId="31" xfId="0" applyFont="1" applyFill="1" applyBorder="1" applyAlignment="1">
      <alignment horizontal="left"/>
    </xf>
    <xf numFmtId="166" fontId="32" fillId="2" borderId="12" xfId="2" applyFont="1" applyFill="1" applyBorder="1" applyAlignment="1">
      <alignment horizontal="center"/>
    </xf>
    <xf numFmtId="166" fontId="32" fillId="2" borderId="32" xfId="2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/>
    </xf>
    <xf numFmtId="0" fontId="32" fillId="2" borderId="11" xfId="0" applyFont="1" applyFill="1" applyBorder="1" applyAlignment="1">
      <alignment horizontal="center"/>
    </xf>
    <xf numFmtId="0" fontId="32" fillId="2" borderId="2" xfId="0" applyFont="1" applyFill="1" applyBorder="1" applyAlignment="1">
      <alignment horizontal="center"/>
    </xf>
    <xf numFmtId="0" fontId="32" fillId="2" borderId="23" xfId="0" applyFont="1" applyFill="1" applyBorder="1" applyAlignment="1">
      <alignment horizontal="center"/>
    </xf>
    <xf numFmtId="0" fontId="32" fillId="2" borderId="14" xfId="0" applyFont="1" applyFill="1" applyBorder="1" applyAlignment="1">
      <alignment horizontal="center"/>
    </xf>
    <xf numFmtId="0" fontId="32" fillId="2" borderId="15" xfId="0" applyFont="1" applyFill="1" applyBorder="1" applyAlignment="1">
      <alignment horizontal="center"/>
    </xf>
    <xf numFmtId="0" fontId="32" fillId="2" borderId="30" xfId="0" applyFont="1" applyFill="1" applyBorder="1" applyAlignment="1">
      <alignment horizontal="center"/>
    </xf>
    <xf numFmtId="0" fontId="32" fillId="2" borderId="33" xfId="0" applyFont="1" applyFill="1" applyBorder="1" applyAlignment="1">
      <alignment horizontal="center"/>
    </xf>
    <xf numFmtId="0" fontId="32" fillId="2" borderId="31" xfId="0" applyFont="1" applyFill="1" applyBorder="1" applyAlignment="1">
      <alignment horizontal="center"/>
    </xf>
    <xf numFmtId="14" fontId="32" fillId="2" borderId="23" xfId="0" applyNumberFormat="1" applyFont="1" applyFill="1" applyBorder="1" applyAlignment="1">
      <alignment horizontal="center" vertical="center"/>
    </xf>
    <xf numFmtId="166" fontId="32" fillId="2" borderId="63" xfId="2" applyFont="1" applyFill="1" applyBorder="1" applyAlignment="1">
      <alignment horizontal="center"/>
    </xf>
    <xf numFmtId="166" fontId="32" fillId="2" borderId="64" xfId="2" applyFont="1" applyFill="1" applyBorder="1" applyAlignment="1">
      <alignment horizontal="center"/>
    </xf>
    <xf numFmtId="0" fontId="32" fillId="2" borderId="8" xfId="0" applyFont="1" applyFill="1" applyBorder="1" applyAlignment="1">
      <alignment horizontal="center"/>
    </xf>
    <xf numFmtId="0" fontId="32" fillId="2" borderId="9" xfId="0" applyFont="1" applyFill="1" applyBorder="1" applyAlignment="1">
      <alignment horizontal="center"/>
    </xf>
    <xf numFmtId="0" fontId="32" fillId="2" borderId="10" xfId="0" applyFont="1" applyFill="1" applyBorder="1" applyAlignment="1">
      <alignment horizontal="center"/>
    </xf>
    <xf numFmtId="0" fontId="34" fillId="2" borderId="4" xfId="0" applyFont="1" applyFill="1" applyBorder="1" applyAlignment="1">
      <alignment horizontal="left"/>
    </xf>
    <xf numFmtId="0" fontId="34" fillId="2" borderId="5" xfId="0" applyFont="1" applyFill="1" applyBorder="1" applyAlignment="1">
      <alignment horizontal="left"/>
    </xf>
    <xf numFmtId="166" fontId="35" fillId="2" borderId="1" xfId="2" applyFont="1" applyFill="1" applyBorder="1" applyAlignment="1">
      <alignment horizontal="center" vertical="center"/>
    </xf>
    <xf numFmtId="166" fontId="35" fillId="2" borderId="11" xfId="2" applyFont="1" applyFill="1" applyBorder="1" applyAlignment="1">
      <alignment horizontal="center" vertical="center"/>
    </xf>
    <xf numFmtId="166" fontId="35" fillId="2" borderId="2" xfId="2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left"/>
    </xf>
    <xf numFmtId="0" fontId="32" fillId="2" borderId="11" xfId="0" applyFont="1" applyFill="1" applyBorder="1" applyAlignment="1">
      <alignment horizontal="left"/>
    </xf>
    <xf numFmtId="0" fontId="32" fillId="2" borderId="48" xfId="0" applyFont="1" applyFill="1" applyBorder="1" applyAlignment="1">
      <alignment horizontal="left"/>
    </xf>
    <xf numFmtId="0" fontId="32" fillId="2" borderId="24" xfId="0" applyFont="1" applyFill="1" applyBorder="1" applyAlignment="1">
      <alignment horizontal="center"/>
    </xf>
    <xf numFmtId="0" fontId="33" fillId="2" borderId="23" xfId="0" applyFont="1" applyFill="1" applyBorder="1" applyAlignment="1">
      <alignment horizontal="center"/>
    </xf>
    <xf numFmtId="0" fontId="33" fillId="2" borderId="14" xfId="0" applyFont="1" applyFill="1" applyBorder="1" applyAlignment="1">
      <alignment horizontal="center"/>
    </xf>
    <xf numFmtId="0" fontId="33" fillId="2" borderId="24" xfId="0" applyFont="1" applyFill="1" applyBorder="1" applyAlignment="1">
      <alignment horizontal="center"/>
    </xf>
    <xf numFmtId="44" fontId="53" fillId="2" borderId="1" xfId="0" applyNumberFormat="1" applyFont="1" applyFill="1" applyBorder="1" applyAlignment="1">
      <alignment horizontal="center" vertical="center"/>
    </xf>
    <xf numFmtId="44" fontId="53" fillId="2" borderId="11" xfId="0" applyNumberFormat="1" applyFont="1" applyFill="1" applyBorder="1" applyAlignment="1">
      <alignment horizontal="center" vertical="center"/>
    </xf>
    <xf numFmtId="44" fontId="53" fillId="2" borderId="2" xfId="0" applyNumberFormat="1" applyFont="1" applyFill="1" applyBorder="1" applyAlignment="1">
      <alignment horizontal="center" vertical="center"/>
    </xf>
    <xf numFmtId="14" fontId="32" fillId="2" borderId="23" xfId="0" applyNumberFormat="1" applyFont="1" applyFill="1" applyBorder="1" applyAlignment="1">
      <alignment horizontal="center"/>
    </xf>
    <xf numFmtId="14" fontId="32" fillId="2" borderId="14" xfId="0" applyNumberFormat="1" applyFont="1" applyFill="1" applyBorder="1" applyAlignment="1">
      <alignment horizontal="center"/>
    </xf>
    <xf numFmtId="14" fontId="32" fillId="2" borderId="15" xfId="0" applyNumberFormat="1" applyFont="1" applyFill="1" applyBorder="1" applyAlignment="1">
      <alignment horizontal="center"/>
    </xf>
    <xf numFmtId="0" fontId="28" fillId="2" borderId="1" xfId="1" applyNumberFormat="1" applyFont="1" applyFill="1" applyBorder="1" applyAlignment="1">
      <alignment horizontal="center" vertical="center"/>
    </xf>
    <xf numFmtId="0" fontId="28" fillId="2" borderId="11" xfId="1" applyNumberFormat="1" applyFont="1" applyFill="1" applyBorder="1" applyAlignment="1">
      <alignment horizontal="center" vertical="center"/>
    </xf>
    <xf numFmtId="0" fontId="28" fillId="2" borderId="2" xfId="1" applyNumberFormat="1" applyFont="1" applyFill="1" applyBorder="1" applyAlignment="1">
      <alignment horizontal="center" vertical="center"/>
    </xf>
    <xf numFmtId="0" fontId="28" fillId="2" borderId="8" xfId="1" quotePrefix="1" applyNumberFormat="1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/>
    </xf>
    <xf numFmtId="0" fontId="32" fillId="2" borderId="8" xfId="0" applyFont="1" applyFill="1" applyBorder="1" applyAlignment="1">
      <alignment horizontal="center" vertical="center"/>
    </xf>
    <xf numFmtId="166" fontId="32" fillId="2" borderId="56" xfId="2" applyFont="1" applyFill="1" applyBorder="1" applyAlignment="1">
      <alignment horizontal="center"/>
    </xf>
    <xf numFmtId="0" fontId="32" fillId="2" borderId="23" xfId="0" applyFont="1" applyFill="1" applyBorder="1" applyAlignment="1">
      <alignment horizontal="center" wrapText="1"/>
    </xf>
    <xf numFmtId="0" fontId="32" fillId="2" borderId="14" xfId="0" applyFont="1" applyFill="1" applyBorder="1" applyAlignment="1">
      <alignment horizontal="center" wrapText="1"/>
    </xf>
    <xf numFmtId="0" fontId="32" fillId="2" borderId="15" xfId="0" applyFont="1" applyFill="1" applyBorder="1" applyAlignment="1">
      <alignment horizontal="center" wrapText="1"/>
    </xf>
    <xf numFmtId="0" fontId="32" fillId="2" borderId="25" xfId="0" applyFont="1" applyFill="1" applyBorder="1" applyAlignment="1">
      <alignment horizontal="left"/>
    </xf>
    <xf numFmtId="0" fontId="32" fillId="2" borderId="26" xfId="0" applyFont="1" applyFill="1" applyBorder="1" applyAlignment="1">
      <alignment horizontal="left"/>
    </xf>
    <xf numFmtId="0" fontId="32" fillId="2" borderId="27" xfId="0" applyFont="1" applyFill="1" applyBorder="1" applyAlignment="1">
      <alignment horizontal="left"/>
    </xf>
    <xf numFmtId="166" fontId="32" fillId="2" borderId="28" xfId="2" applyFont="1" applyFill="1" applyBorder="1" applyAlignment="1">
      <alignment horizontal="center"/>
    </xf>
    <xf numFmtId="166" fontId="32" fillId="2" borderId="29" xfId="2" applyFont="1" applyFill="1" applyBorder="1" applyAlignment="1">
      <alignment horizontal="center"/>
    </xf>
    <xf numFmtId="166" fontId="32" fillId="2" borderId="53" xfId="2" applyFont="1" applyFill="1" applyBorder="1" applyAlignment="1">
      <alignment horizontal="center"/>
    </xf>
    <xf numFmtId="166" fontId="32" fillId="2" borderId="38" xfId="2" applyFont="1" applyFill="1" applyBorder="1" applyAlignment="1">
      <alignment horizontal="center"/>
    </xf>
    <xf numFmtId="166" fontId="32" fillId="2" borderId="47" xfId="2" applyFont="1" applyFill="1" applyBorder="1" applyAlignment="1">
      <alignment horizontal="center"/>
    </xf>
    <xf numFmtId="166" fontId="32" fillId="2" borderId="39" xfId="2" applyFont="1" applyFill="1" applyBorder="1" applyAlignment="1">
      <alignment horizontal="center"/>
    </xf>
    <xf numFmtId="0" fontId="28" fillId="2" borderId="3" xfId="0" applyFont="1" applyFill="1" applyBorder="1" applyAlignment="1">
      <alignment horizontal="center"/>
    </xf>
    <xf numFmtId="0" fontId="28" fillId="2" borderId="4" xfId="0" applyFont="1" applyFill="1" applyBorder="1" applyAlignment="1">
      <alignment horizontal="center"/>
    </xf>
    <xf numFmtId="0" fontId="28" fillId="2" borderId="5" xfId="0" applyFont="1" applyFill="1" applyBorder="1" applyAlignment="1">
      <alignment horizontal="center"/>
    </xf>
    <xf numFmtId="0" fontId="43" fillId="0" borderId="1" xfId="6" applyFont="1" applyBorder="1" applyAlignment="1">
      <alignment horizontal="center"/>
    </xf>
    <xf numFmtId="0" fontId="43" fillId="0" borderId="11" xfId="6" applyFont="1" applyBorder="1" applyAlignment="1">
      <alignment horizontal="center"/>
    </xf>
    <xf numFmtId="0" fontId="43" fillId="0" borderId="2" xfId="6" applyFont="1" applyBorder="1" applyAlignment="1">
      <alignment horizontal="center"/>
    </xf>
    <xf numFmtId="0" fontId="42" fillId="4" borderId="1" xfId="6" applyFont="1" applyFill="1" applyBorder="1" applyAlignment="1">
      <alignment horizontal="right"/>
    </xf>
    <xf numFmtId="0" fontId="42" fillId="4" borderId="11" xfId="6" applyFont="1" applyFill="1" applyBorder="1" applyAlignment="1">
      <alignment horizontal="right"/>
    </xf>
    <xf numFmtId="0" fontId="42" fillId="4" borderId="2" xfId="6" applyFont="1" applyFill="1" applyBorder="1" applyAlignment="1">
      <alignment horizontal="right"/>
    </xf>
    <xf numFmtId="0" fontId="26" fillId="0" borderId="26" xfId="8" applyFont="1" applyBorder="1" applyAlignment="1">
      <alignment horizontal="center" vertical="center"/>
    </xf>
    <xf numFmtId="0" fontId="24" fillId="0" borderId="16" xfId="5" applyBorder="1" applyAlignment="1">
      <alignment horizontal="center"/>
    </xf>
    <xf numFmtId="0" fontId="24" fillId="0" borderId="21" xfId="5" applyBorder="1" applyAlignment="1">
      <alignment horizontal="center"/>
    </xf>
    <xf numFmtId="0" fontId="24" fillId="0" borderId="55" xfId="5" applyBorder="1" applyAlignment="1">
      <alignment horizontal="center"/>
    </xf>
    <xf numFmtId="0" fontId="24" fillId="0" borderId="15" xfId="5" applyBorder="1" applyAlignment="1">
      <alignment horizontal="center"/>
    </xf>
    <xf numFmtId="0" fontId="24" fillId="0" borderId="56" xfId="5" applyBorder="1" applyAlignment="1">
      <alignment horizontal="center"/>
    </xf>
    <xf numFmtId="0" fontId="24" fillId="0" borderId="20" xfId="5" applyBorder="1" applyAlignment="1">
      <alignment horizontal="center"/>
    </xf>
    <xf numFmtId="0" fontId="2" fillId="0" borderId="55" xfId="5" applyFont="1" applyBorder="1" applyAlignment="1">
      <alignment horizontal="center"/>
    </xf>
    <xf numFmtId="0" fontId="3" fillId="0" borderId="55" xfId="5" applyFont="1" applyBorder="1" applyAlignment="1">
      <alignment horizontal="center"/>
    </xf>
    <xf numFmtId="0" fontId="26" fillId="0" borderId="3" xfId="3" applyFont="1" applyBorder="1" applyAlignment="1">
      <alignment horizontal="center" vertical="center"/>
    </xf>
    <xf numFmtId="0" fontId="26" fillId="0" borderId="5" xfId="3" applyFont="1" applyBorder="1" applyAlignment="1">
      <alignment horizontal="center" vertical="center"/>
    </xf>
    <xf numFmtId="0" fontId="26" fillId="0" borderId="3" xfId="3" applyFont="1" applyBorder="1" applyAlignment="1">
      <alignment horizontal="center"/>
    </xf>
    <xf numFmtId="0" fontId="26" fillId="0" borderId="5" xfId="3" applyFont="1" applyBorder="1" applyAlignment="1">
      <alignment horizontal="center"/>
    </xf>
    <xf numFmtId="0" fontId="26" fillId="0" borderId="1" xfId="3" applyFont="1" applyBorder="1" applyAlignment="1">
      <alignment horizontal="center"/>
    </xf>
    <xf numFmtId="0" fontId="26" fillId="0" borderId="11" xfId="3" applyFont="1" applyBorder="1" applyAlignment="1">
      <alignment horizontal="center"/>
    </xf>
    <xf numFmtId="0" fontId="26" fillId="0" borderId="2" xfId="3" applyFont="1" applyBorder="1" applyAlignment="1">
      <alignment horizontal="center"/>
    </xf>
    <xf numFmtId="0" fontId="24" fillId="0" borderId="53" xfId="5" applyBorder="1" applyAlignment="1">
      <alignment horizontal="center"/>
    </xf>
    <xf numFmtId="0" fontId="24" fillId="0" borderId="43" xfId="5" applyBorder="1" applyAlignment="1">
      <alignment horizontal="center"/>
    </xf>
    <xf numFmtId="0" fontId="0" fillId="0" borderId="21" xfId="5" applyFont="1" applyBorder="1" applyAlignment="1">
      <alignment horizontal="center"/>
    </xf>
    <xf numFmtId="0" fontId="14" fillId="0" borderId="16" xfId="5" applyFont="1" applyBorder="1" applyAlignment="1">
      <alignment horizontal="center"/>
    </xf>
    <xf numFmtId="0" fontId="12" fillId="0" borderId="16" xfId="5" applyFont="1" applyBorder="1" applyAlignment="1">
      <alignment horizontal="center"/>
    </xf>
    <xf numFmtId="0" fontId="12" fillId="0" borderId="53" xfId="5" applyFont="1" applyBorder="1" applyAlignment="1">
      <alignment horizontal="center"/>
    </xf>
    <xf numFmtId="0" fontId="9" fillId="0" borderId="21" xfId="5" applyFont="1" applyBorder="1" applyAlignment="1">
      <alignment horizontal="center"/>
    </xf>
    <xf numFmtId="0" fontId="9" fillId="0" borderId="16" xfId="5" applyFont="1" applyBorder="1" applyAlignment="1">
      <alignment horizontal="center"/>
    </xf>
    <xf numFmtId="0" fontId="9" fillId="0" borderId="51" xfId="5" applyFont="1" applyBorder="1" applyAlignment="1">
      <alignment horizontal="center"/>
    </xf>
    <xf numFmtId="0" fontId="24" fillId="0" borderId="51" xfId="5" applyBorder="1" applyAlignment="1">
      <alignment horizontal="center"/>
    </xf>
    <xf numFmtId="0" fontId="20" fillId="0" borderId="51" xfId="5" applyFont="1" applyBorder="1" applyAlignment="1">
      <alignment horizontal="center"/>
    </xf>
    <xf numFmtId="0" fontId="19" fillId="0" borderId="16" xfId="5" applyFont="1" applyBorder="1" applyAlignment="1">
      <alignment horizontal="center"/>
    </xf>
    <xf numFmtId="0" fontId="11" fillId="0" borderId="51" xfId="5" applyFont="1" applyBorder="1" applyAlignment="1">
      <alignment horizontal="center"/>
    </xf>
    <xf numFmtId="0" fontId="15" fillId="0" borderId="53" xfId="5" applyFont="1" applyBorder="1" applyAlignment="1">
      <alignment horizontal="center"/>
    </xf>
    <xf numFmtId="0" fontId="20" fillId="0" borderId="16" xfId="5" applyFont="1" applyBorder="1" applyAlignment="1">
      <alignment horizontal="center"/>
    </xf>
    <xf numFmtId="0" fontId="8" fillId="0" borderId="47" xfId="5" applyFont="1" applyBorder="1" applyAlignment="1">
      <alignment horizontal="center"/>
    </xf>
    <xf numFmtId="0" fontId="24" fillId="0" borderId="47" xfId="5" applyBorder="1" applyAlignment="1">
      <alignment horizontal="center"/>
    </xf>
    <xf numFmtId="0" fontId="7" fillId="0" borderId="47" xfId="5" applyFont="1" applyBorder="1" applyAlignment="1">
      <alignment horizontal="center"/>
    </xf>
    <xf numFmtId="0" fontId="24" fillId="0" borderId="58" xfId="5" applyBorder="1" applyAlignment="1">
      <alignment horizontal="center"/>
    </xf>
    <xf numFmtId="0" fontId="24" fillId="0" borderId="37" xfId="5" applyBorder="1" applyAlignment="1">
      <alignment horizontal="center"/>
    </xf>
    <xf numFmtId="0" fontId="23" fillId="0" borderId="16" xfId="5" applyFont="1" applyBorder="1" applyAlignment="1">
      <alignment horizontal="center"/>
    </xf>
    <xf numFmtId="0" fontId="13" fillId="0" borderId="56" xfId="5" applyFont="1" applyBorder="1" applyAlignment="1">
      <alignment horizontal="center"/>
    </xf>
    <xf numFmtId="0" fontId="22" fillId="0" borderId="20" xfId="5" applyFont="1" applyBorder="1" applyAlignment="1">
      <alignment horizontal="center"/>
    </xf>
    <xf numFmtId="0" fontId="13" fillId="0" borderId="21" xfId="5" applyFont="1" applyBorder="1" applyAlignment="1">
      <alignment horizontal="center"/>
    </xf>
    <xf numFmtId="0" fontId="16" fillId="0" borderId="28" xfId="5" applyFont="1" applyBorder="1" applyAlignment="1">
      <alignment horizontal="center"/>
    </xf>
    <xf numFmtId="0" fontId="24" fillId="0" borderId="28" xfId="5" applyBorder="1" applyAlignment="1">
      <alignment horizontal="center"/>
    </xf>
    <xf numFmtId="0" fontId="18" fillId="0" borderId="47" xfId="5" applyFont="1" applyBorder="1" applyAlignment="1">
      <alignment horizontal="center"/>
    </xf>
    <xf numFmtId="0" fontId="23" fillId="0" borderId="53" xfId="5" applyFont="1" applyBorder="1" applyAlignment="1">
      <alignment horizontal="center"/>
    </xf>
    <xf numFmtId="0" fontId="20" fillId="0" borderId="47" xfId="5" applyFont="1" applyBorder="1" applyAlignment="1">
      <alignment horizontal="center"/>
    </xf>
    <xf numFmtId="0" fontId="21" fillId="0" borderId="53" xfId="5" applyFont="1" applyBorder="1" applyAlignment="1">
      <alignment horizontal="center"/>
    </xf>
    <xf numFmtId="0" fontId="16" fillId="0" borderId="53" xfId="5" applyFont="1" applyBorder="1" applyAlignment="1">
      <alignment horizontal="center"/>
    </xf>
    <xf numFmtId="0" fontId="13" fillId="0" borderId="16" xfId="5" applyFont="1" applyBorder="1" applyAlignment="1">
      <alignment horizontal="center"/>
    </xf>
    <xf numFmtId="0" fontId="28" fillId="0" borderId="0" xfId="4" applyFont="1" applyAlignment="1">
      <alignment horizontal="center"/>
    </xf>
    <xf numFmtId="44" fontId="35" fillId="2" borderId="1" xfId="2" applyNumberFormat="1" applyFont="1" applyFill="1" applyBorder="1" applyAlignment="1">
      <alignment horizontal="center" vertical="center"/>
    </xf>
  </cellXfs>
  <cellStyles count="11">
    <cellStyle name="Millares" xfId="1" builtinId="3"/>
    <cellStyle name="Millares 2" xfId="9" xr:uid="{00000000-0005-0000-0000-000001000000}"/>
    <cellStyle name="Millares 3" xfId="7" xr:uid="{00000000-0005-0000-0000-000002000000}"/>
    <cellStyle name="Moneda" xfId="2" builtinId="4"/>
    <cellStyle name="Normal" xfId="0" builtinId="0"/>
    <cellStyle name="Normal 2" xfId="3" xr:uid="{00000000-0005-0000-0000-000005000000}"/>
    <cellStyle name="Normal 2 2" xfId="5" xr:uid="{00000000-0005-0000-0000-000006000000}"/>
    <cellStyle name="Normal 3" xfId="4" xr:uid="{00000000-0005-0000-0000-000007000000}"/>
    <cellStyle name="Normal 4" xfId="8" xr:uid="{00000000-0005-0000-0000-000008000000}"/>
    <cellStyle name="Normal 4 2" xfId="10" xr:uid="{00000000-0005-0000-0000-000009000000}"/>
    <cellStyle name="Normal 72 2" xfId="6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36858</xdr:colOff>
      <xdr:row>0</xdr:row>
      <xdr:rowOff>0</xdr:rowOff>
    </xdr:from>
    <xdr:ext cx="1819275" cy="745613"/>
    <xdr:pic>
      <xdr:nvPicPr>
        <xdr:cNvPr id="2" name="Imagen 1">
          <a:extLst>
            <a:ext uri="{FF2B5EF4-FFF2-40B4-BE49-F238E27FC236}">
              <a16:creationId xmlns:a16="http://schemas.microsoft.com/office/drawing/2014/main" id="{C8B700C2-BFF8-4C69-A032-C9DDF1EE5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097" y="0"/>
          <a:ext cx="1819275" cy="7456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559859</xdr:colOff>
      <xdr:row>2</xdr:row>
      <xdr:rowOff>132292</xdr:rowOff>
    </xdr:from>
    <xdr:to>
      <xdr:col>7</xdr:col>
      <xdr:colOff>95251</xdr:colOff>
      <xdr:row>6</xdr:row>
      <xdr:rowOff>105833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99721F-C457-4053-BF71-AD60B3D6C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8192" y="449792"/>
          <a:ext cx="1673226" cy="7672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89958</xdr:rowOff>
    </xdr:from>
    <xdr:to>
      <xdr:col>5</xdr:col>
      <xdr:colOff>466725</xdr:colOff>
      <xdr:row>7</xdr:row>
      <xdr:rowOff>80433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065BA2-920C-4DFF-8125-B8EF9EB31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5942" y="407458"/>
          <a:ext cx="1600200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252941</xdr:colOff>
      <xdr:row>4</xdr:row>
      <xdr:rowOff>5292</xdr:rowOff>
    </xdr:from>
    <xdr:to>
      <xdr:col>4</xdr:col>
      <xdr:colOff>213129</xdr:colOff>
      <xdr:row>8</xdr:row>
      <xdr:rowOff>137584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37D8AE-A8F8-470F-80F9-950CE2052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4" y="777875"/>
          <a:ext cx="1767177" cy="6720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359569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4017EA-C41F-4800-8F4A-E552CDC82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466725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1876F7-34FF-43FB-9E2D-8182C551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4</xdr:col>
      <xdr:colOff>612962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3D245-2D3F-4356-B288-561658FAE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371475"/>
          <a:ext cx="131445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6</xdr:col>
      <xdr:colOff>52916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9C4032-9212-49B9-A32D-4D6007E57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3608" y="365125"/>
          <a:ext cx="1736725" cy="947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147108</xdr:colOff>
      <xdr:row>1</xdr:row>
      <xdr:rowOff>142876</xdr:rowOff>
    </xdr:from>
    <xdr:to>
      <xdr:col>5</xdr:col>
      <xdr:colOff>413808</xdr:colOff>
      <xdr:row>6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4E388F-DC42-4692-A9CE-8041BCACA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108" y="312209"/>
          <a:ext cx="1600200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168275</xdr:colOff>
      <xdr:row>2</xdr:row>
      <xdr:rowOff>47625</xdr:rowOff>
    </xdr:from>
    <xdr:to>
      <xdr:col>5</xdr:col>
      <xdr:colOff>571500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558E4E-FAAC-4820-B6FE-12A9C23A6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775" y="365125"/>
          <a:ext cx="1937808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204788</xdr:colOff>
      <xdr:row>5</xdr:row>
      <xdr:rowOff>21166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02B24D-08D3-4E0F-8F8E-0E4DD2F63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5" y="365125"/>
          <a:ext cx="1602846" cy="597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47624</xdr:rowOff>
    </xdr:from>
    <xdr:to>
      <xdr:col>5</xdr:col>
      <xdr:colOff>191559</xdr:colOff>
      <xdr:row>4</xdr:row>
      <xdr:rowOff>148166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FACAE9-7587-4362-9C1B-CEC0800F4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2442" y="365124"/>
          <a:ext cx="1600200" cy="555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2</xdr:row>
      <xdr:rowOff>66675</xdr:rowOff>
    </xdr:from>
    <xdr:to>
      <xdr:col>5</xdr:col>
      <xdr:colOff>495300</xdr:colOff>
      <xdr:row>7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354149-79BA-4DD0-AE48-3C7EC328E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39052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466725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65551B-C77D-448E-9566-2EDCCB6F9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466725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9E3F37-383B-438B-9437-51CF3CF86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47624</xdr:rowOff>
    </xdr:from>
    <xdr:to>
      <xdr:col>5</xdr:col>
      <xdr:colOff>560917</xdr:colOff>
      <xdr:row>5</xdr:row>
      <xdr:rowOff>137583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406DEE-7BB4-4EC2-89A9-15555D495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4774" y="365124"/>
          <a:ext cx="1694393" cy="714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6</xdr:col>
      <xdr:colOff>21166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8C5A6-4B22-4CC6-84B0-68AA16CFB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4" y="365125"/>
          <a:ext cx="1768475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274109</xdr:colOff>
      <xdr:row>3</xdr:row>
      <xdr:rowOff>153455</xdr:rowOff>
    </xdr:from>
    <xdr:to>
      <xdr:col>7</xdr:col>
      <xdr:colOff>10584</xdr:colOff>
      <xdr:row>6</xdr:row>
      <xdr:rowOff>95249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7B5B61-4D88-4152-915C-F16B6074C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6" y="714372"/>
          <a:ext cx="1874308" cy="4921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254000</xdr:colOff>
      <xdr:row>3</xdr:row>
      <xdr:rowOff>42332</xdr:rowOff>
    </xdr:from>
    <xdr:to>
      <xdr:col>5</xdr:col>
      <xdr:colOff>158750</xdr:colOff>
      <xdr:row>8</xdr:row>
      <xdr:rowOff>31749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2CFBBA-F112-4C75-B1B9-DCACF6911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7583" y="603249"/>
          <a:ext cx="1238250" cy="740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200025</xdr:colOff>
      <xdr:row>2</xdr:row>
      <xdr:rowOff>47625</xdr:rowOff>
    </xdr:from>
    <xdr:ext cx="1600200" cy="904875"/>
    <xdr:pic>
      <xdr:nvPicPr>
        <xdr:cNvPr id="2" name="Picture 1">
          <a:extLst>
            <a:ext uri="{FF2B5EF4-FFF2-40B4-BE49-F238E27FC236}">
              <a16:creationId xmlns:a16="http://schemas.microsoft.com/office/drawing/2014/main" id="{93CCF8B9-A13B-40A2-926C-03F254FC7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6</xdr:col>
      <xdr:colOff>50799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136C8D-8EE0-4135-8AE6-5FAC31C32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691" y="365125"/>
          <a:ext cx="1927225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519642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0D8606-EDB4-4C9D-B7EC-71A5832AC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466725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584053-2D6B-4A7C-A0AA-45D50B791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168275</xdr:colOff>
      <xdr:row>2</xdr:row>
      <xdr:rowOff>37041</xdr:rowOff>
    </xdr:from>
    <xdr:to>
      <xdr:col>5</xdr:col>
      <xdr:colOff>382058</xdr:colOff>
      <xdr:row>7</xdr:row>
      <xdr:rowOff>27516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637CDF-38B1-419C-9426-C0A4CCDAC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4692" y="354541"/>
          <a:ext cx="1600200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485776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6B1324-9F5D-4CA3-A157-983383121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IQUIDACIONES\Nominas%202025\Nomina%20Foraneos\Foraneo%20Pacifico\05.-Mayo%2018%20-%2022\Foraneo%20pacifico%20semana%20%23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"/>
      <sheetName val="ABOYTE ZAVALA JUAN CARLOS"/>
      <sheetName val="DE SANTIAGO TORRES RODRIGO "/>
      <sheetName val="ESCARCEGA GALDEAN JESUS OMAR"/>
      <sheetName val="ESTRADA ARELLANO ARTURO"/>
      <sheetName val="GONZALEZ LOZANO ENRIQUE "/>
      <sheetName val="GONZALEZ MARTINEZ MAURICIO"/>
      <sheetName val="GUERRA TORRES OSCAR"/>
      <sheetName val="HERNANDEZ CONTRERAS JOSE FERNAN"/>
      <sheetName val="MAGALLANES ESPARZA NOE"/>
      <sheetName val="MARTA RUBIO MARTIN"/>
      <sheetName val="NEVAREZ JUAN MANUEL"/>
      <sheetName val="GARCIA QUEZADA UVALDO"/>
      <sheetName val="PACHECO BAÑUELOS ALFONSO"/>
      <sheetName val="PAYAN ESTRADA JOSE ANGEL"/>
      <sheetName val="RODRIGUEZ BATRES JOSE LEONAERDO"/>
      <sheetName val="RODRIGUEZ RAMIREZ FERNANDO"/>
      <sheetName val="RODRIGUEZ VALLES JOSE FRANCISCO"/>
      <sheetName val="RUIZ ALVARADO PEDRO"/>
      <sheetName val="SOTELO JOSE RAMON "/>
      <sheetName val="VALENZUELA TOSCANO MIGUEL ANGEL"/>
      <sheetName val="KM POR CHOFER"/>
      <sheetName val="KM POR UNIDAD"/>
      <sheetName val="KM POR CLIENTE"/>
      <sheetName val="KILOMETRAJE"/>
      <sheetName val="UNIDADES"/>
      <sheetName val="FORMULAS"/>
      <sheetName val="Pago X Km"/>
      <sheetName val="GUZMAN MORALES"/>
      <sheetName val="SANCHEZ GUERRERO JOSE LUIS"/>
      <sheetName val="SALAZAR PEREZ JUAN CARLOS"/>
      <sheetName val="GONZALEZ SOTO JO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3">
          <cell r="B3" t="str">
            <v>F-002</v>
          </cell>
          <cell r="C3">
            <v>2.3744100000000001</v>
          </cell>
        </row>
        <row r="4">
          <cell r="B4" t="str">
            <v>F-003</v>
          </cell>
          <cell r="C4">
            <v>2.3744100000000001</v>
          </cell>
        </row>
        <row r="5">
          <cell r="B5" t="str">
            <v>F-004</v>
          </cell>
          <cell r="C5">
            <v>2.3744100000000001</v>
          </cell>
        </row>
        <row r="6">
          <cell r="B6" t="str">
            <v>F-005</v>
          </cell>
          <cell r="C6">
            <v>2.3744100000000001</v>
          </cell>
        </row>
        <row r="7">
          <cell r="B7" t="str">
            <v>F-006</v>
          </cell>
          <cell r="C7">
            <v>2.3744100000000001</v>
          </cell>
        </row>
        <row r="8">
          <cell r="B8" t="str">
            <v>F-007</v>
          </cell>
          <cell r="C8">
            <v>2.3744100000000001</v>
          </cell>
        </row>
        <row r="9">
          <cell r="B9" t="str">
            <v>F-008</v>
          </cell>
          <cell r="C9">
            <v>2.3744100000000001</v>
          </cell>
        </row>
        <row r="10">
          <cell r="B10" t="str">
            <v>F-009</v>
          </cell>
          <cell r="C10">
            <v>2.3744100000000001</v>
          </cell>
        </row>
        <row r="11">
          <cell r="B11" t="str">
            <v>F-010</v>
          </cell>
          <cell r="C11">
            <v>2.3744100000000001</v>
          </cell>
        </row>
        <row r="12">
          <cell r="B12" t="str">
            <v>F-011</v>
          </cell>
          <cell r="C12">
            <v>2.3744100000000001</v>
          </cell>
        </row>
        <row r="13">
          <cell r="B13" t="str">
            <v>F-012</v>
          </cell>
          <cell r="C13">
            <v>2.3744100000000001</v>
          </cell>
        </row>
        <row r="14">
          <cell r="B14" t="str">
            <v>F-013</v>
          </cell>
          <cell r="C14">
            <v>2.3744100000000001</v>
          </cell>
        </row>
        <row r="15">
          <cell r="B15" t="str">
            <v>F-014</v>
          </cell>
          <cell r="C15">
            <v>2.3744100000000001</v>
          </cell>
        </row>
        <row r="16">
          <cell r="B16" t="str">
            <v>F-015</v>
          </cell>
          <cell r="C16">
            <v>2.3744100000000001</v>
          </cell>
        </row>
        <row r="17">
          <cell r="B17" t="str">
            <v>F-016</v>
          </cell>
          <cell r="C17">
            <v>2.3744100000000001</v>
          </cell>
        </row>
        <row r="18">
          <cell r="B18" t="str">
            <v>F-017</v>
          </cell>
          <cell r="C18">
            <v>2.3744100000000001</v>
          </cell>
        </row>
        <row r="19">
          <cell r="B19" t="str">
            <v>F-019</v>
          </cell>
          <cell r="C19">
            <v>2.3744100000000001</v>
          </cell>
        </row>
        <row r="20">
          <cell r="B20" t="str">
            <v>F-021</v>
          </cell>
          <cell r="C20">
            <v>2.60127</v>
          </cell>
        </row>
        <row r="21">
          <cell r="B21" t="str">
            <v>F-022</v>
          </cell>
          <cell r="C21">
            <v>2.60127</v>
          </cell>
        </row>
        <row r="22">
          <cell r="B22" t="str">
            <v>F-023</v>
          </cell>
          <cell r="C22">
            <v>2.60127</v>
          </cell>
        </row>
        <row r="23">
          <cell r="B23" t="str">
            <v>F-024</v>
          </cell>
          <cell r="C23">
            <v>2.60127</v>
          </cell>
        </row>
        <row r="24">
          <cell r="B24" t="str">
            <v>F-025</v>
          </cell>
          <cell r="C24">
            <v>2.60127</v>
          </cell>
        </row>
        <row r="25">
          <cell r="B25" t="str">
            <v>F-026</v>
          </cell>
          <cell r="C25">
            <v>2.60127</v>
          </cell>
        </row>
        <row r="26">
          <cell r="B26" t="str">
            <v>F-027</v>
          </cell>
          <cell r="C26">
            <v>2.60127</v>
          </cell>
        </row>
        <row r="27">
          <cell r="B27" t="str">
            <v>F-028</v>
          </cell>
          <cell r="C27">
            <v>2.60127</v>
          </cell>
        </row>
        <row r="28">
          <cell r="B28" t="str">
            <v>F-029</v>
          </cell>
          <cell r="C28">
            <v>2.60127</v>
          </cell>
        </row>
        <row r="29">
          <cell r="B29" t="str">
            <v>F-030</v>
          </cell>
          <cell r="C29">
            <v>2.60127</v>
          </cell>
        </row>
        <row r="30">
          <cell r="B30" t="str">
            <v>F-031</v>
          </cell>
          <cell r="C30">
            <v>2.60127</v>
          </cell>
        </row>
        <row r="31">
          <cell r="B31" t="str">
            <v>F-032</v>
          </cell>
          <cell r="C31">
            <v>2.60127</v>
          </cell>
        </row>
        <row r="32">
          <cell r="B32" t="str">
            <v>F-033</v>
          </cell>
          <cell r="C32">
            <v>2.60127</v>
          </cell>
        </row>
        <row r="33">
          <cell r="B33" t="str">
            <v>F-034</v>
          </cell>
          <cell r="C33">
            <v>2.60127</v>
          </cell>
        </row>
        <row r="34">
          <cell r="B34" t="str">
            <v>F-035</v>
          </cell>
          <cell r="C34">
            <v>2.60127</v>
          </cell>
        </row>
        <row r="35">
          <cell r="B35" t="str">
            <v>F-036</v>
          </cell>
          <cell r="C35">
            <v>2.60127</v>
          </cell>
        </row>
        <row r="36">
          <cell r="B36" t="str">
            <v>F-037</v>
          </cell>
          <cell r="C36">
            <v>2.60127</v>
          </cell>
        </row>
        <row r="37">
          <cell r="B37" t="str">
            <v>F-038</v>
          </cell>
          <cell r="C37">
            <v>2.60127</v>
          </cell>
        </row>
        <row r="38">
          <cell r="B38" t="str">
            <v>F-039</v>
          </cell>
          <cell r="C38">
            <v>2.60127</v>
          </cell>
        </row>
        <row r="39">
          <cell r="B39" t="str">
            <v>F-045</v>
          </cell>
          <cell r="C39">
            <v>2.11267</v>
          </cell>
        </row>
        <row r="40">
          <cell r="B40" t="str">
            <v>F-047</v>
          </cell>
          <cell r="C40">
            <v>2.11267</v>
          </cell>
        </row>
        <row r="41">
          <cell r="B41" t="str">
            <v>F-050</v>
          </cell>
          <cell r="C41">
            <v>2.3744100000000001</v>
          </cell>
        </row>
        <row r="42">
          <cell r="B42" t="str">
            <v>F-051</v>
          </cell>
          <cell r="C42">
            <v>2.11267</v>
          </cell>
        </row>
        <row r="43">
          <cell r="B43" t="str">
            <v>F-059</v>
          </cell>
          <cell r="C43">
            <v>2.11267</v>
          </cell>
        </row>
        <row r="44">
          <cell r="B44" t="str">
            <v>F-060</v>
          </cell>
          <cell r="C44">
            <v>2.3744100000000001</v>
          </cell>
        </row>
        <row r="45">
          <cell r="B45" t="str">
            <v>F-061</v>
          </cell>
          <cell r="C45">
            <v>2.3744100000000001</v>
          </cell>
        </row>
        <row r="46">
          <cell r="B46" t="str">
            <v>F-069</v>
          </cell>
          <cell r="C46">
            <v>2.11267</v>
          </cell>
        </row>
        <row r="47">
          <cell r="B47" t="str">
            <v>F-074</v>
          </cell>
          <cell r="C47">
            <v>2.11267</v>
          </cell>
        </row>
        <row r="48">
          <cell r="B48" t="str">
            <v>F-082</v>
          </cell>
          <cell r="C48">
            <v>2.11267</v>
          </cell>
        </row>
        <row r="49">
          <cell r="B49" t="str">
            <v>F-086</v>
          </cell>
          <cell r="C49">
            <v>2.3744100000000001</v>
          </cell>
        </row>
        <row r="50">
          <cell r="B50" t="str">
            <v>F-087</v>
          </cell>
          <cell r="C50">
            <v>2.3744100000000001</v>
          </cell>
        </row>
        <row r="51">
          <cell r="B51" t="str">
            <v>F-088</v>
          </cell>
          <cell r="C51">
            <v>2.3744100000000001</v>
          </cell>
        </row>
        <row r="52">
          <cell r="B52" t="str">
            <v>F-089</v>
          </cell>
          <cell r="C52">
            <v>2.3744100000000001</v>
          </cell>
        </row>
        <row r="53">
          <cell r="B53" t="str">
            <v>F-090</v>
          </cell>
          <cell r="C53">
            <v>2.3744100000000001</v>
          </cell>
        </row>
        <row r="54">
          <cell r="B54" t="str">
            <v>F-091</v>
          </cell>
          <cell r="C54">
            <v>2.3744100000000001</v>
          </cell>
        </row>
        <row r="55">
          <cell r="B55" t="str">
            <v>F-092</v>
          </cell>
          <cell r="C55">
            <v>2.3744100000000001</v>
          </cell>
        </row>
        <row r="56">
          <cell r="B56" t="str">
            <v>F-097</v>
          </cell>
          <cell r="C56">
            <v>2.3744100000000001</v>
          </cell>
        </row>
        <row r="57">
          <cell r="B57" t="str">
            <v>F-098</v>
          </cell>
          <cell r="C57">
            <v>2.3744100000000001</v>
          </cell>
        </row>
        <row r="58">
          <cell r="B58" t="str">
            <v>F-099</v>
          </cell>
          <cell r="C58">
            <v>2.3744100000000001</v>
          </cell>
        </row>
        <row r="59">
          <cell r="B59" t="str">
            <v>F-107</v>
          </cell>
          <cell r="C59">
            <v>2.3744100000000001</v>
          </cell>
        </row>
        <row r="60">
          <cell r="B60" t="str">
            <v>F-108</v>
          </cell>
          <cell r="C60">
            <v>2.3744100000000001</v>
          </cell>
        </row>
        <row r="61">
          <cell r="B61" t="str">
            <v>F-110</v>
          </cell>
          <cell r="C61">
            <v>2.3744100000000001</v>
          </cell>
        </row>
        <row r="62">
          <cell r="B62" t="str">
            <v>F-111</v>
          </cell>
          <cell r="C62">
            <v>2.7010580000000002</v>
          </cell>
        </row>
        <row r="63">
          <cell r="B63" t="str">
            <v>F-112</v>
          </cell>
          <cell r="C63">
            <v>2.7010580000000002</v>
          </cell>
        </row>
        <row r="64">
          <cell r="B64" t="str">
            <v>F-113</v>
          </cell>
          <cell r="C64">
            <v>2.7010580000000002</v>
          </cell>
        </row>
        <row r="65">
          <cell r="B65" t="str">
            <v>F-114</v>
          </cell>
          <cell r="C65">
            <v>2.7010580000000002</v>
          </cell>
        </row>
        <row r="66">
          <cell r="B66" t="str">
            <v>F-115</v>
          </cell>
          <cell r="C66">
            <v>2.7010580000000002</v>
          </cell>
        </row>
        <row r="67">
          <cell r="B67" t="str">
            <v>F-116</v>
          </cell>
          <cell r="C67">
            <v>2.7010580000000002</v>
          </cell>
        </row>
        <row r="68">
          <cell r="B68" t="str">
            <v>F-117</v>
          </cell>
          <cell r="C68">
            <v>2.7010580000000002</v>
          </cell>
        </row>
        <row r="69">
          <cell r="B69" t="str">
            <v>F-118</v>
          </cell>
          <cell r="C69">
            <v>2.7010580000000002</v>
          </cell>
        </row>
        <row r="70">
          <cell r="B70" t="str">
            <v>F-119</v>
          </cell>
          <cell r="C70">
            <v>2.7010580000000002</v>
          </cell>
        </row>
        <row r="71">
          <cell r="B71" t="str">
            <v>F-120</v>
          </cell>
          <cell r="C71">
            <v>2.7010580000000002</v>
          </cell>
        </row>
        <row r="72">
          <cell r="B72" t="str">
            <v>F-121</v>
          </cell>
          <cell r="C72">
            <v>2.7010580000000002</v>
          </cell>
        </row>
        <row r="73">
          <cell r="B73" t="str">
            <v>F-122</v>
          </cell>
          <cell r="C73">
            <v>2.7010580000000002</v>
          </cell>
        </row>
      </sheetData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L34"/>
  <sheetViews>
    <sheetView topLeftCell="C1" zoomScaleNormal="100" workbookViewId="0">
      <selection activeCell="D22" sqref="D22:H26"/>
    </sheetView>
  </sheetViews>
  <sheetFormatPr baseColWidth="10" defaultRowHeight="12.75" x14ac:dyDescent="0.2"/>
  <cols>
    <col min="1" max="1" width="13.28515625" bestFit="1" customWidth="1"/>
    <col min="2" max="2" width="6.42578125" bestFit="1" customWidth="1"/>
    <col min="3" max="3" width="50.5703125" customWidth="1"/>
    <col min="4" max="4" width="18.42578125" customWidth="1"/>
    <col min="5" max="8" width="10.85546875" customWidth="1"/>
    <col min="9" max="9" width="15.5703125" customWidth="1"/>
    <col min="10" max="10" width="17.5703125" customWidth="1"/>
    <col min="11" max="11" width="10.85546875" customWidth="1"/>
  </cols>
  <sheetData>
    <row r="1" spans="1:12" ht="20.25" x14ac:dyDescent="0.2">
      <c r="B1" s="768" t="s">
        <v>74</v>
      </c>
      <c r="C1" s="768"/>
      <c r="D1" s="768"/>
      <c r="E1" s="768"/>
      <c r="F1" s="768"/>
      <c r="G1" s="768"/>
      <c r="H1" s="768"/>
      <c r="I1" s="768"/>
      <c r="J1" s="768"/>
      <c r="K1" s="768"/>
    </row>
    <row r="2" spans="1:12" ht="18" x14ac:dyDescent="0.2">
      <c r="B2" s="769" t="s">
        <v>75</v>
      </c>
      <c r="C2" s="769"/>
      <c r="D2" s="769"/>
      <c r="E2" s="769"/>
      <c r="F2" s="769"/>
      <c r="G2" s="769"/>
      <c r="H2" s="769"/>
      <c r="I2" s="769"/>
      <c r="J2" s="769"/>
      <c r="K2" s="769"/>
    </row>
    <row r="3" spans="1:12" ht="18" x14ac:dyDescent="0.2">
      <c r="B3" s="769" t="s">
        <v>347</v>
      </c>
      <c r="C3" s="769"/>
      <c r="D3" s="769"/>
      <c r="E3" s="769"/>
      <c r="F3" s="769"/>
      <c r="G3" s="769"/>
      <c r="H3" s="769"/>
      <c r="I3" s="769"/>
      <c r="J3" s="769"/>
      <c r="K3" s="769"/>
    </row>
    <row r="4" spans="1:12" ht="16.5" customHeight="1" thickBot="1" x14ac:dyDescent="0.25">
      <c r="B4" s="575" t="s">
        <v>76</v>
      </c>
      <c r="C4" s="576" t="s">
        <v>77</v>
      </c>
      <c r="D4" s="577" t="s">
        <v>78</v>
      </c>
      <c r="E4" s="770" t="s">
        <v>79</v>
      </c>
      <c r="F4" s="771"/>
      <c r="G4" s="771"/>
      <c r="H4" s="771"/>
      <c r="I4" s="772" t="s">
        <v>295</v>
      </c>
      <c r="J4" s="772"/>
      <c r="K4" s="772"/>
      <c r="L4" s="772"/>
    </row>
    <row r="5" spans="1:12" ht="15.75" x14ac:dyDescent="0.25">
      <c r="B5" s="596" t="s">
        <v>313</v>
      </c>
      <c r="C5" s="597" t="s">
        <v>310</v>
      </c>
      <c r="D5" s="738">
        <f>+'CERDA HERNANDEZ JOSE LUIS'!Q32</f>
        <v>8241.4434251742205</v>
      </c>
      <c r="E5" s="739">
        <f>+'CERDA HERNANDEZ JOSE LUIS'!O35</f>
        <v>46372</v>
      </c>
      <c r="F5" s="739">
        <f>+'CERDA HERNANDEZ JOSE LUIS'!O36</f>
        <v>45938</v>
      </c>
      <c r="G5" s="635">
        <f>+'CERDA HERNANDEZ JOSE LUIS'!O37</f>
        <v>0</v>
      </c>
      <c r="H5" s="622">
        <v>0</v>
      </c>
      <c r="I5" s="598"/>
      <c r="J5" s="599"/>
      <c r="K5" s="600"/>
      <c r="L5" s="601"/>
    </row>
    <row r="6" spans="1:12" ht="15.75" x14ac:dyDescent="0.25">
      <c r="B6" s="596" t="s">
        <v>314</v>
      </c>
      <c r="C6" s="597" t="s">
        <v>306</v>
      </c>
      <c r="D6" s="621">
        <f>+'CHAVEZ VARELA NESTOR ADRIAN'!Q32</f>
        <v>0</v>
      </c>
      <c r="E6" s="602">
        <f>+'CHAVEZ VARELA NESTOR ADRIAN'!O35</f>
        <v>0</v>
      </c>
      <c r="F6" s="602">
        <f>+'CHAVEZ VARELA NESTOR ADRIAN'!O36</f>
        <v>0</v>
      </c>
      <c r="G6" s="603">
        <f>+'CHAVEZ VARELA NESTOR ADRIAN'!O37</f>
        <v>0</v>
      </c>
      <c r="H6" s="604">
        <v>0</v>
      </c>
      <c r="I6" s="605"/>
      <c r="J6" s="583"/>
      <c r="K6" s="583"/>
      <c r="L6" s="581"/>
    </row>
    <row r="7" spans="1:12" ht="15.75" x14ac:dyDescent="0.25">
      <c r="B7" s="596" t="s">
        <v>292</v>
      </c>
      <c r="C7" s="740" t="s">
        <v>168</v>
      </c>
      <c r="D7" s="621">
        <f>+'ESCARCEGA GALDEAN JESUS OMAR'!Q35</f>
        <v>0</v>
      </c>
      <c r="E7" s="602">
        <f>+'ESCARCEGA GALDEAN JESUS OMAR'!O38</f>
        <v>0</v>
      </c>
      <c r="F7" s="602">
        <f>+'ESCARCEGA GALDEAN JESUS OMAR'!O39</f>
        <v>0</v>
      </c>
      <c r="G7" s="603">
        <f>+'ESCARCEGA GALDEAN JESUS OMAR'!O40</f>
        <v>0</v>
      </c>
      <c r="H7" s="604">
        <v>0</v>
      </c>
      <c r="I7" s="605"/>
      <c r="J7" s="583"/>
      <c r="K7" s="584"/>
      <c r="L7" s="581"/>
    </row>
    <row r="8" spans="1:12" ht="15.75" x14ac:dyDescent="0.25">
      <c r="B8" s="612" t="s">
        <v>169</v>
      </c>
      <c r="C8" s="597" t="s">
        <v>253</v>
      </c>
      <c r="D8" s="606">
        <f>+'ESTRADA ARELLANO ARTURO'!Q37</f>
        <v>0</v>
      </c>
      <c r="E8" s="602">
        <f>+'ESTRADA ARELLANO ARTURO'!O40</f>
        <v>0</v>
      </c>
      <c r="F8" s="602">
        <f>+'ESTRADA ARELLANO ARTURO'!O41</f>
        <v>0</v>
      </c>
      <c r="G8" s="603">
        <f>+'ESTRADA ARELLANO ARTURO'!O42</f>
        <v>0</v>
      </c>
      <c r="H8" s="604">
        <v>0</v>
      </c>
      <c r="I8" s="605"/>
      <c r="J8" s="583"/>
      <c r="K8" s="584"/>
      <c r="L8" s="581"/>
    </row>
    <row r="9" spans="1:12" ht="15.75" x14ac:dyDescent="0.25">
      <c r="B9" s="596" t="s">
        <v>315</v>
      </c>
      <c r="C9" s="597" t="s">
        <v>278</v>
      </c>
      <c r="D9" s="606">
        <f>+'GONZALEZ LOZANO ENRIQUE '!Q35</f>
        <v>0</v>
      </c>
      <c r="E9" s="602">
        <f>+'GONZALEZ LOZANO ENRIQUE '!O38</f>
        <v>0</v>
      </c>
      <c r="F9" s="602">
        <f>+'GONZALEZ LOZANO ENRIQUE '!O39</f>
        <v>0</v>
      </c>
      <c r="G9" s="603">
        <f>+'GONZALEZ LOZANO ENRIQUE '!O40</f>
        <v>0</v>
      </c>
      <c r="H9" s="604">
        <v>0</v>
      </c>
      <c r="I9" s="605"/>
      <c r="J9" s="583"/>
      <c r="K9" s="626"/>
      <c r="L9" s="581"/>
    </row>
    <row r="10" spans="1:12" ht="15.75" x14ac:dyDescent="0.25">
      <c r="B10" s="596" t="s">
        <v>276</v>
      </c>
      <c r="C10" s="741" t="s">
        <v>8</v>
      </c>
      <c r="D10" s="621">
        <f>+'GONZALEZ MARTINEZ MAURICIO'!Q35</f>
        <v>10550.95431254745</v>
      </c>
      <c r="E10" s="602">
        <f>+'GONZALEZ MARTINEZ MAURICIO'!O38</f>
        <v>46388</v>
      </c>
      <c r="F10" s="602">
        <f>+'GONZALEZ MARTINEZ MAURICIO'!O39</f>
        <v>45958</v>
      </c>
      <c r="G10" s="603">
        <f>+'GONZALEZ MARTINEZ MAURICIO'!O40</f>
        <v>0</v>
      </c>
      <c r="H10" s="604">
        <v>0</v>
      </c>
      <c r="I10" s="605"/>
      <c r="J10" s="583"/>
      <c r="K10" s="626"/>
      <c r="L10" s="581"/>
    </row>
    <row r="11" spans="1:12" ht="15.75" x14ac:dyDescent="0.25">
      <c r="B11" s="596" t="s">
        <v>279</v>
      </c>
      <c r="C11" s="587" t="s">
        <v>81</v>
      </c>
      <c r="D11" s="592">
        <f>+'GONZALEZ SOTO JOEL'!Q36</f>
        <v>0</v>
      </c>
      <c r="E11" s="589">
        <f>+'GONZALEZ SOTO JOEL'!O39</f>
        <v>0</v>
      </c>
      <c r="F11" s="593">
        <f>+'GONZALEZ SOTO JOEL'!O40</f>
        <v>0</v>
      </c>
      <c r="G11" s="590">
        <f>+'GONZALEZ SOTO JOEL'!O41</f>
        <v>0</v>
      </c>
      <c r="H11" s="591">
        <v>0</v>
      </c>
      <c r="I11" s="605"/>
      <c r="J11" s="583"/>
      <c r="K11" s="584"/>
      <c r="L11" s="581"/>
    </row>
    <row r="12" spans="1:12" ht="15.75" x14ac:dyDescent="0.25">
      <c r="B12" s="596"/>
      <c r="C12" s="597" t="s">
        <v>308</v>
      </c>
      <c r="D12" s="606">
        <f>+'GRIJALVA VALDEZ CESAR EUSEBIO'!Q32</f>
        <v>0</v>
      </c>
      <c r="E12" s="602">
        <f>+'GRIJALVA VALDEZ CESAR EUSEBIO'!O35</f>
        <v>0</v>
      </c>
      <c r="F12" s="602">
        <f>+'GRIJALVA VALDEZ CESAR EUSEBIO'!O36</f>
        <v>0</v>
      </c>
      <c r="G12" s="603">
        <f>+'GRIJALVA VALDEZ CESAR EUSEBIO'!O37</f>
        <v>0</v>
      </c>
      <c r="H12" s="604">
        <v>0</v>
      </c>
      <c r="I12" s="605"/>
      <c r="J12" s="583"/>
      <c r="K12" s="583"/>
      <c r="L12" s="581"/>
    </row>
    <row r="13" spans="1:12" ht="15.75" x14ac:dyDescent="0.25">
      <c r="A13" s="77"/>
      <c r="B13" s="596" t="s">
        <v>80</v>
      </c>
      <c r="C13" s="597" t="s">
        <v>346</v>
      </c>
      <c r="D13" s="606">
        <f>+'TORRES GARAY LUIS HUMBERTO'!Q35</f>
        <v>7348.9267812539802</v>
      </c>
      <c r="E13" s="602">
        <f>+'TORRES GARAY LUIS HUMBERTO'!O38</f>
        <v>45910</v>
      </c>
      <c r="F13" s="602">
        <f>+'TORRES GARAY LUIS HUMBERTO'!O39</f>
        <v>0</v>
      </c>
      <c r="G13" s="603">
        <f>+'TORRES GARAY LUIS HUMBERTO'!O40</f>
        <v>0</v>
      </c>
      <c r="H13" s="604">
        <v>0</v>
      </c>
      <c r="I13" s="605"/>
      <c r="J13" s="583"/>
      <c r="K13" s="583"/>
      <c r="L13" s="581"/>
    </row>
    <row r="14" spans="1:12" ht="15.75" x14ac:dyDescent="0.25">
      <c r="B14" s="586"/>
      <c r="C14" s="587" t="s">
        <v>277</v>
      </c>
      <c r="D14" s="588">
        <f>+'GUZMAN MORALES'!Q37</f>
        <v>0</v>
      </c>
      <c r="E14" s="589">
        <f>+'GUZMAN MORALES'!O40</f>
        <v>0</v>
      </c>
      <c r="F14" s="589">
        <f>+'GUZMAN MORALES'!O41</f>
        <v>0</v>
      </c>
      <c r="G14" s="590">
        <f>+'GUZMAN MORALES'!O42</f>
        <v>0</v>
      </c>
      <c r="H14" s="591">
        <v>0</v>
      </c>
      <c r="I14" s="605"/>
      <c r="J14" s="583"/>
      <c r="K14" s="584"/>
      <c r="L14" s="581"/>
    </row>
    <row r="15" spans="1:12" ht="15.75" x14ac:dyDescent="0.25">
      <c r="B15" s="596"/>
      <c r="C15" s="741" t="s">
        <v>338</v>
      </c>
      <c r="D15" s="606">
        <f>+'HARO IMPERIAL JOSÉ ANTONIO'!Q38</f>
        <v>9514.2580586052864</v>
      </c>
      <c r="E15" s="602">
        <f>+'HARO IMPERIAL JOSÉ ANTONIO'!O41</f>
        <v>46391</v>
      </c>
      <c r="F15" s="602">
        <f>+'HARO IMPERIAL JOSÉ ANTONIO'!O42</f>
        <v>45969</v>
      </c>
      <c r="G15" s="603">
        <f>+'HARO IMPERIAL JOSÉ ANTONIO'!O43</f>
        <v>0</v>
      </c>
      <c r="H15" s="604">
        <v>0</v>
      </c>
      <c r="I15" s="605"/>
      <c r="J15" s="583"/>
      <c r="K15" s="584"/>
      <c r="L15" s="581"/>
    </row>
    <row r="16" spans="1:12" ht="15.75" x14ac:dyDescent="0.25">
      <c r="B16" s="596" t="s">
        <v>270</v>
      </c>
      <c r="C16" s="742" t="s">
        <v>269</v>
      </c>
      <c r="D16" s="606">
        <f>+'HERNANDEZ CONTRERAS JOSE FERNAN'!Q34</f>
        <v>11026.73463670938</v>
      </c>
      <c r="E16" s="602">
        <f>+'HERNANDEZ CONTRERAS JOSE FERNAN'!O37</f>
        <v>46389</v>
      </c>
      <c r="F16" s="602">
        <f>+'HERNANDEZ CONTRERAS JOSE FERNAN'!O38</f>
        <v>45942</v>
      </c>
      <c r="G16" s="603">
        <f>+'HERNANDEZ CONTRERAS JOSE FERNAN'!O39</f>
        <v>0</v>
      </c>
      <c r="H16" s="604">
        <v>0</v>
      </c>
      <c r="I16" s="605"/>
      <c r="J16" s="583"/>
      <c r="K16" s="584"/>
      <c r="L16" s="581"/>
    </row>
    <row r="17" spans="2:12" ht="15.75" x14ac:dyDescent="0.25">
      <c r="B17" s="612" t="s">
        <v>250</v>
      </c>
      <c r="C17" s="740" t="s">
        <v>326</v>
      </c>
      <c r="D17" s="621">
        <f>+'LIRA TRISTAN JOSE ANGEL'!Q33</f>
        <v>10526.391339979858</v>
      </c>
      <c r="E17" s="602">
        <f>+'LIRA TRISTAN JOSE ANGEL'!O36</f>
        <v>46369</v>
      </c>
      <c r="F17" s="602">
        <f>+'LIRA TRISTAN JOSE ANGEL'!O37</f>
        <v>45943</v>
      </c>
      <c r="G17" s="603">
        <f>+'LIRA TRISTAN JOSE ANGEL'!O38</f>
        <v>0</v>
      </c>
      <c r="H17" s="604">
        <v>0</v>
      </c>
      <c r="I17" s="605"/>
      <c r="J17" s="583"/>
      <c r="K17" s="584"/>
      <c r="L17" s="581"/>
    </row>
    <row r="18" spans="2:12" ht="15.75" x14ac:dyDescent="0.25">
      <c r="B18" s="612" t="s">
        <v>219</v>
      </c>
      <c r="C18" s="597" t="s">
        <v>218</v>
      </c>
      <c r="D18" s="621">
        <f>+'MARTA RUBIO MARTIN'!Q36</f>
        <v>0</v>
      </c>
      <c r="E18" s="602">
        <f>+'MARTA RUBIO MARTIN'!O39</f>
        <v>0</v>
      </c>
      <c r="F18" s="602">
        <f>+'MARTA RUBIO MARTIN'!O40</f>
        <v>0</v>
      </c>
      <c r="G18" s="603">
        <f>+'MARTA RUBIO MARTIN'!O41</f>
        <v>0</v>
      </c>
      <c r="H18" s="604">
        <v>0</v>
      </c>
      <c r="I18" s="605"/>
      <c r="J18" s="583"/>
      <c r="K18" s="584"/>
      <c r="L18" s="581"/>
    </row>
    <row r="19" spans="2:12" ht="15.75" x14ac:dyDescent="0.25">
      <c r="B19" s="596" t="s">
        <v>316</v>
      </c>
      <c r="C19" s="597" t="s">
        <v>252</v>
      </c>
      <c r="D19" s="621">
        <f>+'NEVAREZ JUAN MANUEL'!Q34</f>
        <v>10047.734605174222</v>
      </c>
      <c r="E19" s="602">
        <f>+'NEVAREZ JUAN MANUEL'!O37</f>
        <v>46375</v>
      </c>
      <c r="F19" s="602">
        <f>+'NEVAREZ JUAN MANUEL'!O38</f>
        <v>45929</v>
      </c>
      <c r="G19" s="603">
        <f>+'NEVAREZ JUAN MANUEL'!O39</f>
        <v>0</v>
      </c>
      <c r="H19" s="604">
        <v>0</v>
      </c>
      <c r="I19" s="605"/>
      <c r="J19" s="583"/>
      <c r="K19" s="583"/>
      <c r="L19" s="581"/>
    </row>
    <row r="20" spans="2:12" ht="15.75" x14ac:dyDescent="0.25">
      <c r="B20" s="596" t="s">
        <v>317</v>
      </c>
      <c r="C20" s="597" t="s">
        <v>297</v>
      </c>
      <c r="D20" s="606">
        <f>+'PACHECO BAÑUELOS ALFONSO'!Q36</f>
        <v>3841.7003912934688</v>
      </c>
      <c r="E20" s="602">
        <f>+'PACHECO BAÑUELOS ALFONSO'!O39</f>
        <v>45957</v>
      </c>
      <c r="F20" s="602">
        <f>+'PACHECO BAÑUELOS ALFONSO'!O40</f>
        <v>0</v>
      </c>
      <c r="G20" s="603">
        <f>+'PACHECO BAÑUELOS ALFONSO'!O41</f>
        <v>0</v>
      </c>
      <c r="H20" s="604">
        <v>0</v>
      </c>
      <c r="I20" s="605"/>
      <c r="J20" s="583"/>
      <c r="K20" s="584"/>
      <c r="L20" s="581"/>
    </row>
    <row r="21" spans="2:12" ht="15.75" x14ac:dyDescent="0.25">
      <c r="B21" s="596" t="s">
        <v>213</v>
      </c>
      <c r="C21" s="597" t="s">
        <v>214</v>
      </c>
      <c r="D21" s="621">
        <f>+'PAYAN ESTRADA JOSE ANGEL'!Q34</f>
        <v>0</v>
      </c>
      <c r="E21" s="602">
        <f>+'PAYAN ESTRADA JOSE ANGEL'!O37</f>
        <v>0</v>
      </c>
      <c r="F21" s="602">
        <f>+'PAYAN ESTRADA JOSE ANGEL'!O38</f>
        <v>0</v>
      </c>
      <c r="G21" s="603">
        <f>+'PAYAN ESTRADA JOSE ANGEL'!O39</f>
        <v>0</v>
      </c>
      <c r="H21" s="604">
        <v>0</v>
      </c>
      <c r="I21" s="605"/>
      <c r="J21" s="583"/>
      <c r="K21" s="583"/>
      <c r="L21" s="581"/>
    </row>
    <row r="22" spans="2:12" ht="15.75" x14ac:dyDescent="0.25">
      <c r="B22" s="596" t="s">
        <v>82</v>
      </c>
      <c r="C22" s="597" t="s">
        <v>83</v>
      </c>
      <c r="D22" s="606">
        <f>+'RODRIGUEZ RAMIREZ FERNANDO'!Q32</f>
        <v>19386.997319312493</v>
      </c>
      <c r="E22" s="602">
        <f>+'RODRIGUEZ RAMIREZ FERNANDO'!O35</f>
        <v>46368</v>
      </c>
      <c r="F22" s="602">
        <f>+'RODRIGUEZ RAMIREZ FERNANDO'!O36</f>
        <v>45909</v>
      </c>
      <c r="G22" s="603">
        <f>+'RODRIGUEZ RAMIREZ FERNANDO'!O37</f>
        <v>0</v>
      </c>
      <c r="H22" s="604">
        <v>0</v>
      </c>
      <c r="I22" s="605"/>
      <c r="J22" s="583"/>
      <c r="K22" s="584"/>
      <c r="L22" s="581"/>
    </row>
    <row r="23" spans="2:12" ht="15.75" x14ac:dyDescent="0.25">
      <c r="B23" s="596" t="s">
        <v>318</v>
      </c>
      <c r="C23" s="597" t="s">
        <v>244</v>
      </c>
      <c r="D23" s="621">
        <f>+'RODRIGUEZ VALLES JOSE FRANCISCO'!Q37</f>
        <v>9907.5907325474509</v>
      </c>
      <c r="E23" s="602">
        <f>+'RODRIGUEZ VALLES JOSE FRANCISCO'!O40</f>
        <v>46370</v>
      </c>
      <c r="F23" s="602">
        <f>+'RODRIGUEZ VALLES JOSE FRANCISCO'!O41</f>
        <v>45941</v>
      </c>
      <c r="G23" s="603">
        <f>+'RODRIGUEZ VALLES JOSE FRANCISCO'!O42</f>
        <v>0</v>
      </c>
      <c r="H23" s="604">
        <v>0</v>
      </c>
      <c r="I23" s="605"/>
      <c r="J23" s="583"/>
      <c r="K23" s="584"/>
      <c r="L23" s="581"/>
    </row>
    <row r="24" spans="2:12" ht="15.75" x14ac:dyDescent="0.25">
      <c r="B24" s="596" t="s">
        <v>242</v>
      </c>
      <c r="C24" s="743" t="s">
        <v>325</v>
      </c>
      <c r="D24" s="606">
        <f>+'RUEDA SALAZAR ISMAEL'!Q32</f>
        <v>9829.035017241933</v>
      </c>
      <c r="E24" s="602">
        <f>+'RUEDA SALAZAR ISMAEL'!O35</f>
        <v>46371</v>
      </c>
      <c r="F24" s="602">
        <f>+'RUEDA SALAZAR ISMAEL'!O36</f>
        <v>45923</v>
      </c>
      <c r="G24" s="603">
        <f>+'RUEDA SALAZAR ISMAEL'!O37</f>
        <v>45937</v>
      </c>
      <c r="H24" s="604">
        <v>45970</v>
      </c>
      <c r="I24" s="605"/>
      <c r="J24" s="583"/>
      <c r="K24" s="626"/>
      <c r="L24" s="581"/>
    </row>
    <row r="25" spans="2:12" ht="15.75" x14ac:dyDescent="0.25">
      <c r="B25" s="596"/>
      <c r="C25" s="597" t="s">
        <v>216</v>
      </c>
      <c r="D25" s="606">
        <f>+'RUIZ ALVARADO PEDRO'!Q29</f>
        <v>8374.8665798533802</v>
      </c>
      <c r="E25" s="602">
        <f>+'RUIZ ALVARADO PEDRO'!O32</f>
        <v>45939</v>
      </c>
      <c r="F25" s="602">
        <f>+'RUIZ ALVARADO PEDRO'!O33</f>
        <v>45972</v>
      </c>
      <c r="G25" s="603">
        <f>+'RUIZ ALVARADO PEDRO'!O34</f>
        <v>0</v>
      </c>
      <c r="H25" s="604">
        <v>0</v>
      </c>
      <c r="I25" s="605"/>
      <c r="J25" s="583"/>
      <c r="K25" s="583"/>
      <c r="L25" s="581"/>
    </row>
    <row r="26" spans="2:12" ht="15.75" x14ac:dyDescent="0.25">
      <c r="B26" s="596"/>
      <c r="C26" s="597" t="s">
        <v>324</v>
      </c>
      <c r="D26" s="621">
        <f>+'RUIZ HERRERA ERICK '!Q30</f>
        <v>0</v>
      </c>
      <c r="E26" s="602">
        <f>+'RUIZ HERRERA ERICK '!O33</f>
        <v>45940</v>
      </c>
      <c r="F26" s="602">
        <f>+'RUIZ HERRERA ERICK '!O34</f>
        <v>45973</v>
      </c>
      <c r="G26" s="603">
        <f>+'RUIZ HERRERA ERICK '!O35</f>
        <v>0</v>
      </c>
      <c r="H26" s="604">
        <v>0</v>
      </c>
      <c r="I26" s="605"/>
      <c r="J26" s="583"/>
      <c r="K26" s="584"/>
      <c r="L26" s="581"/>
    </row>
    <row r="27" spans="2:12" ht="15.75" x14ac:dyDescent="0.25">
      <c r="B27" s="586" t="s">
        <v>272</v>
      </c>
      <c r="C27" s="594" t="s">
        <v>271</v>
      </c>
      <c r="D27" s="588">
        <f>+'SALAZAR PEREZ JUAN CARLOS'!Q35</f>
        <v>0</v>
      </c>
      <c r="E27" s="589">
        <f>+'SALAZAR PEREZ JUAN CARLOS'!O38</f>
        <v>0</v>
      </c>
      <c r="F27" s="589">
        <f>+'SALAZAR PEREZ JUAN CARLOS'!O39</f>
        <v>0</v>
      </c>
      <c r="G27" s="590">
        <f>+'SALAZAR PEREZ JUAN CARLOS'!O40</f>
        <v>0</v>
      </c>
      <c r="H27" s="591">
        <v>0</v>
      </c>
      <c r="I27" s="605"/>
      <c r="J27" s="583"/>
      <c r="K27" s="584"/>
      <c r="L27" s="581"/>
    </row>
    <row r="28" spans="2:12" ht="16.5" thickBot="1" x14ac:dyDescent="0.3">
      <c r="B28" s="586" t="s">
        <v>231</v>
      </c>
      <c r="C28" s="587" t="s">
        <v>230</v>
      </c>
      <c r="D28" s="642">
        <f>+'SANCHEZ GUERRERO JOSE LUIS'!Q37</f>
        <v>0</v>
      </c>
      <c r="E28" s="643">
        <f>+'SANCHEZ GUERRERO JOSE LUIS'!O40</f>
        <v>0</v>
      </c>
      <c r="F28" s="643">
        <f>+'SANCHEZ GUERRERO JOSE LUIS'!O41</f>
        <v>0</v>
      </c>
      <c r="G28" s="644">
        <f>+'SANCHEZ GUERRERO JOSE LUIS'!O42</f>
        <v>0</v>
      </c>
      <c r="H28" s="645">
        <v>0</v>
      </c>
      <c r="I28" s="631"/>
      <c r="J28" s="632"/>
      <c r="K28" s="624"/>
      <c r="L28" s="625"/>
    </row>
    <row r="29" spans="2:12" ht="16.5" thickBot="1" x14ac:dyDescent="0.3">
      <c r="B29" s="627"/>
      <c r="C29" s="628" t="s">
        <v>84</v>
      </c>
      <c r="D29" s="572">
        <f>SUM(D5:D28)</f>
        <v>118596.63319969311</v>
      </c>
      <c r="E29" s="629"/>
      <c r="F29" s="629"/>
      <c r="G29" s="629"/>
      <c r="H29" s="629"/>
      <c r="I29" s="629"/>
      <c r="J29" s="629"/>
      <c r="K29" s="630"/>
    </row>
    <row r="30" spans="2:12" x14ac:dyDescent="0.2">
      <c r="D30" s="573"/>
    </row>
    <row r="31" spans="2:12" x14ac:dyDescent="0.2">
      <c r="D31" s="77">
        <f>+D22+D21+D20+D18+D15+D14+D10+D7</f>
        <v>43293.910081758702</v>
      </c>
    </row>
    <row r="32" spans="2:12" x14ac:dyDescent="0.2">
      <c r="D32" s="268"/>
    </row>
    <row r="33" spans="4:4" x14ac:dyDescent="0.2">
      <c r="D33" s="268">
        <f>+D28+D23+D22+D27+D20+D24+D25+D18+D15+D16+D11+D10+D9+D7+D12</f>
        <v>82432.137048110832</v>
      </c>
    </row>
    <row r="34" spans="4:4" x14ac:dyDescent="0.2">
      <c r="D34" s="77"/>
    </row>
  </sheetData>
  <sortState xmlns:xlrd2="http://schemas.microsoft.com/office/spreadsheetml/2017/richdata2" ref="B5:H28">
    <sortCondition ref="C5:C28"/>
  </sortState>
  <mergeCells count="5">
    <mergeCell ref="B1:K1"/>
    <mergeCell ref="B2:K2"/>
    <mergeCell ref="B3:K3"/>
    <mergeCell ref="E4:H4"/>
    <mergeCell ref="I4:L4"/>
  </mergeCells>
  <pageMargins left="0.7" right="0.7" top="0.75" bottom="0.75" header="0.3" footer="0.3"/>
  <pageSetup paperSize="9"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>
    <pageSetUpPr fitToPage="1"/>
  </sheetPr>
  <dimension ref="C1:Z54"/>
  <sheetViews>
    <sheetView zoomScale="90" zoomScaleNormal="90" workbookViewId="0">
      <selection activeCell="M38" sqref="M38"/>
    </sheetView>
  </sheetViews>
  <sheetFormatPr baseColWidth="10" defaultColWidth="9.140625" defaultRowHeight="12.75" x14ac:dyDescent="0.2"/>
  <cols>
    <col min="1" max="1" width="1.7109375" customWidth="1"/>
    <col min="2" max="2" width="2.4257812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2.140625" customWidth="1"/>
    <col min="9" max="9" width="12.28515625" customWidth="1"/>
    <col min="10" max="10" width="10.28515625" customWidth="1"/>
    <col min="11" max="11" width="9.7109375" customWidth="1"/>
    <col min="12" max="13" width="12.85546875" customWidth="1"/>
    <col min="14" max="14" width="12.140625" customWidth="1"/>
    <col min="15" max="15" width="10.42578125" customWidth="1"/>
    <col min="16" max="16" width="9.140625" customWidth="1"/>
    <col min="17" max="18" width="11.28515625" customWidth="1"/>
    <col min="19" max="19" width="10.42578125" customWidth="1"/>
    <col min="20" max="20" width="13.7109375" customWidth="1"/>
    <col min="21" max="21" width="10.28515625" customWidth="1"/>
    <col min="22" max="22" width="10.5703125" customWidth="1"/>
    <col min="23" max="23" width="10" customWidth="1"/>
    <col min="24" max="26" width="9.140625" customWidth="1"/>
    <col min="43" max="45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6" t="s">
        <v>0</v>
      </c>
      <c r="R2" s="797"/>
      <c r="S2" s="798"/>
    </row>
    <row r="3" spans="4:19" ht="19.5" thickBot="1" x14ac:dyDescent="0.35">
      <c r="I3" s="799" t="s">
        <v>1</v>
      </c>
      <c r="J3" s="800"/>
      <c r="K3" s="800"/>
      <c r="L3" s="800"/>
      <c r="M3" s="800"/>
      <c r="N3" s="800"/>
      <c r="O3" s="801"/>
      <c r="Q3" s="802">
        <v>42</v>
      </c>
      <c r="R3" s="803"/>
      <c r="S3" s="804"/>
    </row>
    <row r="4" spans="4:19" ht="16.5" thickBot="1" x14ac:dyDescent="0.3">
      <c r="I4" s="805" t="s">
        <v>2</v>
      </c>
      <c r="J4" s="806"/>
      <c r="K4" s="806"/>
      <c r="L4" s="806"/>
      <c r="M4" s="806"/>
      <c r="N4" s="806"/>
      <c r="O4" s="807"/>
      <c r="Q4" s="811"/>
      <c r="R4" s="811"/>
      <c r="S4" s="811"/>
    </row>
    <row r="5" spans="4:19" ht="13.5" thickBot="1" x14ac:dyDescent="0.25">
      <c r="I5" s="808" t="s">
        <v>3</v>
      </c>
      <c r="J5" s="809"/>
      <c r="K5" s="809"/>
      <c r="L5" s="809"/>
      <c r="M5" s="809"/>
      <c r="N5" s="809"/>
      <c r="O5" s="810"/>
      <c r="Q5" s="783" t="s">
        <v>4</v>
      </c>
      <c r="R5" s="784"/>
      <c r="S5" s="785"/>
    </row>
    <row r="6" spans="4:19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780">
        <v>1</v>
      </c>
      <c r="R6" s="781"/>
      <c r="S6" s="782"/>
    </row>
    <row r="7" spans="4:19" ht="9" customHeight="1" x14ac:dyDescent="0.2"/>
    <row r="8" spans="4:19" ht="6.75" customHeight="1" thickBot="1" x14ac:dyDescent="0.25"/>
    <row r="9" spans="4:19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19" ht="11.25" customHeight="1" thickBot="1" x14ac:dyDescent="0.25"/>
    <row r="11" spans="4:19" x14ac:dyDescent="0.2">
      <c r="D11" s="1" t="s">
        <v>7</v>
      </c>
      <c r="E11" s="2" t="s">
        <v>306</v>
      </c>
      <c r="F11" s="2"/>
      <c r="G11" s="2"/>
      <c r="H11" s="2"/>
      <c r="I11" s="2"/>
      <c r="J11" s="3"/>
      <c r="K11" s="4" t="s">
        <v>9</v>
      </c>
      <c r="L11" s="786" t="str">
        <f>+NOMINA!B3</f>
        <v>SEMANA #42 PERIODO DEL 06 AL 12 DE OCTUBRE  DEL 2025</v>
      </c>
      <c r="M11" s="786"/>
      <c r="N11" s="786"/>
      <c r="O11" s="786"/>
      <c r="P11" s="786"/>
      <c r="Q11" s="786"/>
      <c r="R11" s="786"/>
      <c r="S11" s="787"/>
    </row>
    <row r="12" spans="4:19" x14ac:dyDescent="0.2">
      <c r="D12" s="5" t="s">
        <v>10</v>
      </c>
      <c r="E12" s="788" t="s">
        <v>321</v>
      </c>
      <c r="F12" s="78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90" t="s">
        <v>11</v>
      </c>
      <c r="E14" s="791"/>
      <c r="F14" s="7">
        <v>225171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90" t="s">
        <v>14</v>
      </c>
      <c r="E15" s="791"/>
      <c r="F15" s="7">
        <v>227165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92" t="s">
        <v>17</v>
      </c>
      <c r="E16" s="793"/>
      <c r="F16" s="12">
        <f>SUM(J19:J27)</f>
        <v>0</v>
      </c>
      <c r="G16" s="12"/>
      <c r="H16" s="12"/>
      <c r="I16" s="13" t="s">
        <v>18</v>
      </c>
      <c r="J16" s="539">
        <f>SUM(K19:K27)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6" ht="7.5" customHeight="1" thickBot="1" x14ac:dyDescent="0.25"/>
    <row r="18" spans="3:26" ht="33" customHeight="1" x14ac:dyDescent="0.2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284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6" x14ac:dyDescent="0.2">
      <c r="C19" s="536"/>
      <c r="D19" s="610"/>
      <c r="E19" s="18"/>
      <c r="F19" s="18"/>
      <c r="G19" s="60"/>
      <c r="H19" s="570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570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571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639"/>
      <c r="L19" s="485"/>
      <c r="M19" s="484"/>
      <c r="N19" s="17"/>
      <c r="O19" s="17"/>
      <c r="P19" s="17"/>
      <c r="Q19" s="486">
        <f t="shared" ref="Q19:Q20" si="0">(IF(N19=1,(J19*0.3)))+(IF(N19=2,(J19*0.15))+(IF(N19=3,(J19*0.15))))</f>
        <v>0</v>
      </c>
      <c r="R19" s="487"/>
      <c r="S19" s="488"/>
      <c r="T19" s="486"/>
    </row>
    <row r="20" spans="3:26" x14ac:dyDescent="0.2">
      <c r="C20" s="536"/>
      <c r="D20" s="299"/>
      <c r="E20" s="18"/>
      <c r="F20" s="18"/>
      <c r="G20" s="60"/>
      <c r="H20" s="17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639"/>
      <c r="L20" s="639"/>
      <c r="M20" s="484"/>
      <c r="N20" s="17"/>
      <c r="O20" s="17"/>
      <c r="P20" s="17"/>
      <c r="Q20" s="486">
        <f t="shared" si="0"/>
        <v>0</v>
      </c>
      <c r="R20" s="487"/>
      <c r="S20" s="507"/>
      <c r="T20" s="486"/>
      <c r="X20" s="23"/>
      <c r="Y20" s="546"/>
    </row>
    <row r="21" spans="3:26" x14ac:dyDescent="0.2">
      <c r="C21" s="536"/>
      <c r="D21" s="299"/>
      <c r="E21" s="18"/>
      <c r="F21" s="18"/>
      <c r="G21" s="60"/>
      <c r="H21" s="17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0</v>
      </c>
      <c r="I21" s="17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0</v>
      </c>
      <c r="J21" s="484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0</v>
      </c>
      <c r="K21" s="639"/>
      <c r="L21" s="639" t="e">
        <f>SUM(J19:J21)/K21</f>
        <v>#DIV/0!</v>
      </c>
      <c r="M21" s="484"/>
      <c r="N21" s="17"/>
      <c r="O21" s="17"/>
      <c r="P21" s="17"/>
      <c r="Q21" s="486">
        <f t="shared" ref="Q21" si="1">(IF(N21=1,(J21*0.3)))+(IF(N21=2,(J21*0.15))+(IF(N21=3,(J21*0.15))))</f>
        <v>0</v>
      </c>
      <c r="R21" s="487" t="e">
        <f>+LOOKUP(P35,UNIDADES!B$3:B$73,UNIDADES!C$3:C$73)</f>
        <v>#N/A</v>
      </c>
      <c r="S21" s="507" t="e">
        <f>((SUM(J19:J21)/R21))-K21</f>
        <v>#N/A</v>
      </c>
      <c r="T21" s="486">
        <f>(IF(M21=1,(S21*16)))+(IF(M21=2,(S21*17.26))+(IF(M21=3,(S21*17.66))+(IF(M21=4,(S21*18.06))+(IF(M21=5,(S21*18.46))+(IF(M21=6,(S21*18.86))+(IF(M21=7,(S21*19.26))))))))</f>
        <v>0</v>
      </c>
      <c r="X21" s="23"/>
      <c r="Y21" s="546"/>
    </row>
    <row r="22" spans="3:26" hidden="1" x14ac:dyDescent="0.2">
      <c r="C22" s="446"/>
      <c r="D22" s="418"/>
      <c r="E22" s="447"/>
      <c r="F22" s="447"/>
      <c r="G22" s="418"/>
      <c r="H22" s="448"/>
      <c r="I22" s="448"/>
      <c r="J22" s="482"/>
      <c r="K22" s="613"/>
      <c r="L22" s="637"/>
      <c r="M22" s="638"/>
      <c r="N22" s="448"/>
      <c r="O22" s="448"/>
      <c r="P22" s="448"/>
      <c r="Q22" s="450"/>
      <c r="R22" s="451"/>
      <c r="S22" s="634"/>
      <c r="T22" s="452"/>
      <c r="X22" s="23"/>
      <c r="Y22" s="546"/>
    </row>
    <row r="23" spans="3:26" hidden="1" x14ac:dyDescent="0.2">
      <c r="C23" s="429"/>
      <c r="D23" s="426"/>
      <c r="E23" s="430"/>
      <c r="F23" s="430"/>
      <c r="G23" s="426"/>
      <c r="H23" s="38"/>
      <c r="I23" s="38"/>
      <c r="J23" s="445"/>
      <c r="K23" s="522"/>
      <c r="L23" s="522"/>
      <c r="M23" s="445"/>
      <c r="N23" s="38"/>
      <c r="O23" s="38"/>
      <c r="P23" s="38"/>
      <c r="Q23" s="432"/>
      <c r="R23" s="433"/>
      <c r="S23" s="470"/>
      <c r="T23" s="435"/>
      <c r="X23" s="23"/>
      <c r="Y23" s="546"/>
    </row>
    <row r="24" spans="3:26" ht="13.5" hidden="1" thickBot="1" x14ac:dyDescent="0.25">
      <c r="C24" s="436"/>
      <c r="D24" s="59"/>
      <c r="E24" s="437"/>
      <c r="F24" s="437"/>
      <c r="G24" s="59"/>
      <c r="H24" s="41"/>
      <c r="I24" s="41"/>
      <c r="J24" s="438"/>
      <c r="K24" s="523"/>
      <c r="L24" s="439"/>
      <c r="M24" s="438"/>
      <c r="N24" s="41"/>
      <c r="O24" s="41"/>
      <c r="P24" s="41"/>
      <c r="Q24" s="42"/>
      <c r="R24" s="440"/>
      <c r="S24" s="471"/>
      <c r="T24" s="43"/>
      <c r="X24" s="23"/>
      <c r="Y24" s="546"/>
    </row>
    <row r="25" spans="3:26" hidden="1" x14ac:dyDescent="0.2">
      <c r="C25" s="533"/>
      <c r="D25" s="49"/>
      <c r="E25" s="50"/>
      <c r="F25" s="50"/>
      <c r="G25" s="49"/>
      <c r="H25" s="51"/>
      <c r="I25" s="51"/>
      <c r="J25" s="464"/>
      <c r="K25" s="51"/>
      <c r="L25" s="465"/>
      <c r="M25" s="464"/>
      <c r="N25" s="51"/>
      <c r="O25" s="51"/>
      <c r="P25" s="51"/>
      <c r="Q25" s="466"/>
      <c r="R25" s="467"/>
      <c r="S25" s="510"/>
      <c r="T25" s="466"/>
      <c r="X25" s="23"/>
      <c r="Y25" s="546"/>
    </row>
    <row r="26" spans="3:26" hidden="1" x14ac:dyDescent="0.2">
      <c r="C26" s="536"/>
      <c r="D26" s="60"/>
      <c r="E26" s="18"/>
      <c r="F26" s="18"/>
      <c r="G26" s="60"/>
      <c r="H26" s="17"/>
      <c r="I26" s="17"/>
      <c r="J26" s="484"/>
      <c r="K26" s="60"/>
      <c r="L26" s="485"/>
      <c r="M26" s="484"/>
      <c r="N26" s="17"/>
      <c r="O26" s="17"/>
      <c r="P26" s="17"/>
      <c r="Q26" s="486"/>
      <c r="R26" s="487"/>
      <c r="S26" s="507"/>
      <c r="T26" s="486"/>
      <c r="X26" s="23"/>
      <c r="Y26" s="546"/>
    </row>
    <row r="27" spans="3:26" hidden="1" x14ac:dyDescent="0.2">
      <c r="C27" s="533"/>
      <c r="D27" s="49"/>
      <c r="E27" s="50"/>
      <c r="F27" s="567"/>
      <c r="G27" s="51"/>
      <c r="H27" s="463"/>
      <c r="I27" s="51"/>
      <c r="J27" s="464"/>
      <c r="K27" s="51"/>
      <c r="L27" s="465"/>
      <c r="M27" s="464"/>
      <c r="N27" s="51"/>
      <c r="O27" s="51"/>
      <c r="P27" s="51"/>
      <c r="Q27" s="466"/>
      <c r="R27" s="467"/>
      <c r="S27" s="510"/>
      <c r="T27" s="466"/>
    </row>
    <row r="28" spans="3:26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560"/>
      <c r="N28" s="22"/>
      <c r="O28" s="22"/>
      <c r="P28" s="22"/>
      <c r="Q28" s="22"/>
      <c r="R28" s="305"/>
      <c r="S28" s="22"/>
      <c r="T28" s="22"/>
    </row>
    <row r="29" spans="3:26" x14ac:dyDescent="0.2">
      <c r="E29" s="794" t="s">
        <v>35</v>
      </c>
      <c r="F29" s="773">
        <v>45936</v>
      </c>
      <c r="G29" s="774"/>
      <c r="H29" s="20">
        <f>+F29+1</f>
        <v>45937</v>
      </c>
      <c r="I29" s="20">
        <f>+H29+1</f>
        <v>45938</v>
      </c>
      <c r="J29" s="20">
        <f>+I29+1</f>
        <v>45939</v>
      </c>
      <c r="K29" s="20">
        <f>+J29+1</f>
        <v>45940</v>
      </c>
      <c r="L29" s="20">
        <f>+K29+2</f>
        <v>45942</v>
      </c>
      <c r="M29" s="547">
        <f>+L29+1</f>
        <v>45943</v>
      </c>
      <c r="N29" s="21" t="s">
        <v>84</v>
      </c>
      <c r="S29" s="266"/>
      <c r="T29" s="77"/>
    </row>
    <row r="30" spans="3:26" ht="13.5" thickBot="1" x14ac:dyDescent="0.25">
      <c r="C30" s="22"/>
      <c r="E30" s="795"/>
      <c r="F30" s="775"/>
      <c r="G30" s="776"/>
      <c r="H30" s="42">
        <v>0</v>
      </c>
      <c r="I30" s="42"/>
      <c r="J30" s="42"/>
      <c r="K30" s="42">
        <v>0</v>
      </c>
      <c r="L30" s="42">
        <v>0</v>
      </c>
      <c r="M30" s="548"/>
      <c r="N30" s="61">
        <f>SUM(F30:L30)</f>
        <v>0</v>
      </c>
    </row>
    <row r="31" spans="3:26" ht="13.5" thickBot="1" x14ac:dyDescent="0.25">
      <c r="I31" s="23"/>
    </row>
    <row r="32" spans="3:26" ht="15.75" thickBot="1" x14ac:dyDescent="0.3">
      <c r="C32" s="825" t="s">
        <v>37</v>
      </c>
      <c r="D32" s="826"/>
      <c r="E32" s="826"/>
      <c r="F32" s="826"/>
      <c r="G32" s="827"/>
      <c r="I32" s="838" t="s">
        <v>38</v>
      </c>
      <c r="J32" s="839"/>
      <c r="K32" s="839"/>
      <c r="L32" s="840"/>
      <c r="M32" s="331"/>
      <c r="O32" s="828" t="s">
        <v>39</v>
      </c>
      <c r="P32" s="829"/>
      <c r="Q32" s="830">
        <f>+F42-L40</f>
        <v>0</v>
      </c>
      <c r="R32" s="831"/>
      <c r="S32" s="832"/>
      <c r="T32" s="77"/>
      <c r="U32" s="77"/>
      <c r="Z32" s="77"/>
    </row>
    <row r="33" spans="3:22" ht="13.5" thickBot="1" x14ac:dyDescent="0.25">
      <c r="C33" s="833" t="s">
        <v>207</v>
      </c>
      <c r="D33" s="834"/>
      <c r="E33" s="835"/>
      <c r="F33" s="836">
        <f>SUM(Q18:Q29)</f>
        <v>0</v>
      </c>
      <c r="G33" s="837"/>
      <c r="I33" s="121" t="s">
        <v>106</v>
      </c>
      <c r="J33" s="59" t="s">
        <v>107</v>
      </c>
      <c r="K33" s="59" t="s">
        <v>69</v>
      </c>
      <c r="L33" s="119" t="s">
        <v>108</v>
      </c>
      <c r="M33" s="563"/>
    </row>
    <row r="34" spans="3:22" ht="13.5" thickBot="1" x14ac:dyDescent="0.25">
      <c r="C34" s="843" t="s">
        <v>208</v>
      </c>
      <c r="D34" s="844"/>
      <c r="E34" s="845"/>
      <c r="F34" s="846">
        <f>SUM(T18:T29)</f>
        <v>0</v>
      </c>
      <c r="G34" s="847"/>
      <c r="I34" s="851"/>
      <c r="J34" s="852"/>
      <c r="K34" s="853"/>
      <c r="L34" s="120"/>
      <c r="M34" s="563"/>
      <c r="O34" s="62" t="s">
        <v>258</v>
      </c>
      <c r="P34" s="63" t="s">
        <v>70</v>
      </c>
      <c r="Q34" s="64" t="s">
        <v>71</v>
      </c>
      <c r="R34" s="64"/>
      <c r="S34" s="65" t="s">
        <v>72</v>
      </c>
      <c r="T34" s="63" t="s">
        <v>73</v>
      </c>
      <c r="U34" s="154" t="s">
        <v>243</v>
      </c>
      <c r="V34" s="21" t="s">
        <v>114</v>
      </c>
    </row>
    <row r="35" spans="3:22" x14ac:dyDescent="0.2">
      <c r="C35" s="843" t="s">
        <v>35</v>
      </c>
      <c r="D35" s="844"/>
      <c r="E35" s="845"/>
      <c r="F35" s="846">
        <f>+N30</f>
        <v>0</v>
      </c>
      <c r="G35" s="847"/>
      <c r="I35" s="854"/>
      <c r="J35" s="855"/>
      <c r="K35" s="856"/>
      <c r="L35" s="118"/>
      <c r="M35" s="563"/>
      <c r="O35" s="99"/>
      <c r="P35" s="100"/>
      <c r="Q35" s="187"/>
      <c r="R35" s="187"/>
      <c r="S35" s="38"/>
      <c r="T35" s="69">
        <f>+S35-Q35</f>
        <v>0</v>
      </c>
      <c r="U35" s="155"/>
      <c r="V35" s="156"/>
    </row>
    <row r="36" spans="3:22" x14ac:dyDescent="0.2">
      <c r="C36" s="843" t="s">
        <v>40</v>
      </c>
      <c r="D36" s="844"/>
      <c r="E36" s="845"/>
      <c r="F36" s="846"/>
      <c r="G36" s="847"/>
      <c r="I36" s="122"/>
      <c r="J36" s="235"/>
      <c r="K36" s="60"/>
      <c r="L36" s="118"/>
      <c r="M36" s="563"/>
      <c r="O36" s="44"/>
      <c r="P36" s="69"/>
      <c r="Q36" s="70"/>
      <c r="R36" s="70"/>
      <c r="S36" s="17"/>
      <c r="T36" s="69">
        <f>+S36-Q36</f>
        <v>0</v>
      </c>
      <c r="U36" s="157"/>
      <c r="V36" s="156"/>
    </row>
    <row r="37" spans="3:22" ht="13.5" thickBot="1" x14ac:dyDescent="0.25">
      <c r="C37" s="843" t="s">
        <v>41</v>
      </c>
      <c r="D37" s="844"/>
      <c r="E37" s="845"/>
      <c r="F37" s="846"/>
      <c r="G37" s="847"/>
      <c r="I37" s="122"/>
      <c r="J37" s="235"/>
      <c r="K37" s="60"/>
      <c r="L37" s="118"/>
      <c r="M37" s="563"/>
      <c r="O37" s="71"/>
      <c r="P37" s="72"/>
      <c r="Q37" s="73"/>
      <c r="R37" s="73"/>
      <c r="S37" s="41"/>
      <c r="T37" s="72">
        <f>+S37-Q37</f>
        <v>0</v>
      </c>
      <c r="U37" s="158"/>
      <c r="V37" s="159"/>
    </row>
    <row r="38" spans="3:22" ht="15" x14ac:dyDescent="0.25">
      <c r="C38" s="843" t="s">
        <v>42</v>
      </c>
      <c r="D38" s="844"/>
      <c r="E38" s="845"/>
      <c r="F38" s="846"/>
      <c r="G38" s="847"/>
      <c r="I38" s="124"/>
      <c r="J38" s="60"/>
      <c r="K38" s="60"/>
      <c r="L38" s="118"/>
      <c r="M38" s="563"/>
      <c r="O38" s="186"/>
      <c r="P38" s="186"/>
      <c r="Q38" s="186"/>
      <c r="R38" s="186"/>
      <c r="S38" s="186"/>
      <c r="T38" s="186"/>
      <c r="U38" s="26"/>
    </row>
    <row r="39" spans="3:22" ht="15.75" thickBot="1" x14ac:dyDescent="0.3">
      <c r="C39" s="97" t="s">
        <v>319</v>
      </c>
      <c r="D39" s="25"/>
      <c r="E39" s="25"/>
      <c r="F39" s="846"/>
      <c r="G39" s="847"/>
      <c r="I39" s="124"/>
      <c r="J39" s="60"/>
      <c r="K39" s="60"/>
      <c r="L39" s="118"/>
      <c r="M39" s="563"/>
      <c r="O39" s="186"/>
      <c r="P39" s="186"/>
      <c r="Q39" s="186"/>
      <c r="R39" s="186"/>
      <c r="S39" s="186"/>
      <c r="T39" s="186"/>
      <c r="U39" s="26"/>
    </row>
    <row r="40" spans="3:22" ht="15.75" thickBot="1" x14ac:dyDescent="0.3">
      <c r="C40" s="537" t="s">
        <v>320</v>
      </c>
      <c r="D40" s="25"/>
      <c r="E40" s="25"/>
      <c r="F40" s="846"/>
      <c r="G40" s="847"/>
      <c r="I40" s="848" t="s">
        <v>44</v>
      </c>
      <c r="J40" s="849"/>
      <c r="K40" s="850"/>
      <c r="L40" s="125">
        <f>SUM(L34:L39)</f>
        <v>0</v>
      </c>
      <c r="M40" s="130"/>
      <c r="S40" s="27"/>
      <c r="T40" s="27"/>
      <c r="U40" s="26"/>
    </row>
    <row r="41" spans="3:22" ht="15.75" thickBot="1" x14ac:dyDescent="0.3">
      <c r="C41" s="241" t="s">
        <v>288</v>
      </c>
      <c r="D41" s="242"/>
      <c r="E41" s="242"/>
      <c r="F41" s="841"/>
      <c r="G41" s="842"/>
      <c r="S41" s="27"/>
      <c r="T41" s="27"/>
      <c r="U41" s="26"/>
    </row>
    <row r="42" spans="3:22" ht="15.75" thickBot="1" x14ac:dyDescent="0.3">
      <c r="C42" s="792" t="s">
        <v>45</v>
      </c>
      <c r="D42" s="793"/>
      <c r="E42" s="813"/>
      <c r="F42" s="814">
        <f>SUM(F33:G41)</f>
        <v>0</v>
      </c>
      <c r="G42" s="815"/>
      <c r="I42" s="27"/>
      <c r="J42" s="27"/>
      <c r="K42" s="27"/>
      <c r="L42" s="130"/>
      <c r="M42" s="130"/>
      <c r="N42" s="19"/>
      <c r="P42" s="27"/>
      <c r="Q42" s="27"/>
      <c r="R42" s="27"/>
      <c r="S42" s="27"/>
      <c r="T42" s="26"/>
    </row>
    <row r="43" spans="3:22" ht="12" customHeight="1" thickBot="1" x14ac:dyDescent="0.3">
      <c r="P43" s="817" t="s">
        <v>61</v>
      </c>
      <c r="Q43" s="818"/>
      <c r="R43" s="27"/>
      <c r="S43" s="27"/>
      <c r="T43" s="26"/>
    </row>
    <row r="44" spans="3:22" ht="15" x14ac:dyDescent="0.25">
      <c r="C44" s="28"/>
      <c r="D44" s="29"/>
      <c r="E44" s="819"/>
      <c r="F44" s="819"/>
      <c r="G44" s="819"/>
      <c r="H44" s="819"/>
      <c r="I44" s="819"/>
      <c r="J44" s="819"/>
      <c r="K44" s="819"/>
      <c r="L44" s="819"/>
      <c r="M44" s="819"/>
      <c r="N44" s="820"/>
      <c r="P44" s="44">
        <v>1</v>
      </c>
      <c r="Q44" s="69" t="s">
        <v>62</v>
      </c>
      <c r="R44" s="27"/>
      <c r="S44" s="27"/>
      <c r="T44" s="26"/>
    </row>
    <row r="45" spans="3:22" ht="15" x14ac:dyDescent="0.25">
      <c r="C45" s="31"/>
      <c r="E45" s="821"/>
      <c r="F45" s="821"/>
      <c r="G45" s="821"/>
      <c r="H45" s="821"/>
      <c r="I45" s="821"/>
      <c r="J45" s="821"/>
      <c r="K45" s="821"/>
      <c r="L45" s="821"/>
      <c r="M45" s="821"/>
      <c r="N45" s="822"/>
      <c r="P45" s="44">
        <v>2</v>
      </c>
      <c r="Q45" s="69" t="s">
        <v>110</v>
      </c>
      <c r="R45" s="27"/>
      <c r="S45" s="26"/>
    </row>
    <row r="46" spans="3:22" ht="15.75" thickBot="1" x14ac:dyDescent="0.3">
      <c r="C46" s="33"/>
      <c r="D46" s="34"/>
      <c r="E46" s="823"/>
      <c r="F46" s="823"/>
      <c r="G46" s="823"/>
      <c r="H46" s="823"/>
      <c r="I46" s="823"/>
      <c r="J46" s="823"/>
      <c r="K46" s="823"/>
      <c r="L46" s="823"/>
      <c r="M46" s="823"/>
      <c r="N46" s="824"/>
      <c r="P46" s="71">
        <v>3</v>
      </c>
      <c r="Q46" s="72" t="s">
        <v>109</v>
      </c>
      <c r="R46" s="27"/>
      <c r="S46" s="27"/>
      <c r="T46" s="26"/>
    </row>
    <row r="47" spans="3:22" ht="15" x14ac:dyDescent="0.25">
      <c r="P47" s="27"/>
      <c r="Q47" s="27"/>
      <c r="R47" s="27"/>
      <c r="S47" s="27"/>
      <c r="T47" s="27"/>
      <c r="U47" s="26"/>
    </row>
    <row r="48" spans="3:22" ht="15" x14ac:dyDescent="0.25">
      <c r="P48" s="27"/>
      <c r="Q48" s="27"/>
      <c r="R48" s="27"/>
      <c r="S48" s="27"/>
      <c r="T48" s="27"/>
      <c r="U48" s="26"/>
    </row>
    <row r="49" spans="4:20" ht="13.5" thickBot="1" x14ac:dyDescent="0.25">
      <c r="P49" s="27"/>
      <c r="Q49" s="27"/>
      <c r="R49" s="27"/>
      <c r="S49" s="27"/>
      <c r="T49" s="27"/>
    </row>
    <row r="50" spans="4:20" ht="13.5" thickTop="1" x14ac:dyDescent="0.2">
      <c r="D50" s="816" t="s">
        <v>47</v>
      </c>
      <c r="E50" s="816"/>
      <c r="F50" s="816"/>
      <c r="G50" s="816"/>
      <c r="H50" s="816"/>
      <c r="J50" s="816" t="s">
        <v>48</v>
      </c>
      <c r="K50" s="816"/>
      <c r="L50" s="816"/>
      <c r="M50" s="816"/>
      <c r="N50" s="816"/>
      <c r="P50" s="812"/>
      <c r="Q50" s="812"/>
      <c r="R50" s="812"/>
      <c r="S50" s="812"/>
      <c r="T50" s="812"/>
    </row>
    <row r="51" spans="4:20" x14ac:dyDescent="0.2">
      <c r="P51" s="812"/>
      <c r="Q51" s="812"/>
      <c r="R51" s="812"/>
      <c r="S51" s="812"/>
      <c r="T51" s="812"/>
    </row>
    <row r="52" spans="4:20" x14ac:dyDescent="0.2">
      <c r="P52" s="812"/>
      <c r="Q52" s="812"/>
      <c r="R52" s="812"/>
      <c r="S52" s="812"/>
      <c r="T52" s="812"/>
    </row>
    <row r="53" spans="4:20" x14ac:dyDescent="0.2">
      <c r="P53" s="812"/>
      <c r="Q53" s="812"/>
      <c r="R53" s="812"/>
      <c r="S53" s="812"/>
      <c r="T53" s="812"/>
    </row>
    <row r="54" spans="4:20" ht="15" customHeight="1" x14ac:dyDescent="0.2">
      <c r="P54" s="36"/>
      <c r="Q54" s="36"/>
      <c r="R54" s="36"/>
      <c r="S54" s="36"/>
      <c r="T54" s="36"/>
    </row>
  </sheetData>
  <mergeCells count="51">
    <mergeCell ref="I40:K40"/>
    <mergeCell ref="F39:G39"/>
    <mergeCell ref="F40:G40"/>
    <mergeCell ref="C34:E34"/>
    <mergeCell ref="F34:G34"/>
    <mergeCell ref="C35:E35"/>
    <mergeCell ref="F35:G35"/>
    <mergeCell ref="I34:K34"/>
    <mergeCell ref="I35:K35"/>
    <mergeCell ref="F41:G41"/>
    <mergeCell ref="C36:E36"/>
    <mergeCell ref="C38:E38"/>
    <mergeCell ref="F38:G38"/>
    <mergeCell ref="F36:G36"/>
    <mergeCell ref="C37:E37"/>
    <mergeCell ref="F37:G37"/>
    <mergeCell ref="C32:G32"/>
    <mergeCell ref="O32:P32"/>
    <mergeCell ref="Q32:S32"/>
    <mergeCell ref="C33:E33"/>
    <mergeCell ref="F33:G33"/>
    <mergeCell ref="I32:L32"/>
    <mergeCell ref="P53:T53"/>
    <mergeCell ref="C42:E42"/>
    <mergeCell ref="F42:G42"/>
    <mergeCell ref="D50:H50"/>
    <mergeCell ref="J50:N50"/>
    <mergeCell ref="P50:T50"/>
    <mergeCell ref="P51:T51"/>
    <mergeCell ref="P43:Q43"/>
    <mergeCell ref="P52:T52"/>
    <mergeCell ref="E44:N46"/>
    <mergeCell ref="Q2:S2"/>
    <mergeCell ref="I3:O3"/>
    <mergeCell ref="Q3:S3"/>
    <mergeCell ref="I4:O4"/>
    <mergeCell ref="I5:O5"/>
    <mergeCell ref="Q5:S5"/>
    <mergeCell ref="Q4:S4"/>
    <mergeCell ref="F29:G29"/>
    <mergeCell ref="F30:G30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29:E30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C1:AC54"/>
  <sheetViews>
    <sheetView zoomScale="90" zoomScaleNormal="90" workbookViewId="0">
      <selection activeCell="I34" sqref="I34:L36"/>
    </sheetView>
  </sheetViews>
  <sheetFormatPr baseColWidth="10" defaultColWidth="9.140625" defaultRowHeight="12.75" x14ac:dyDescent="0.2"/>
  <cols>
    <col min="1" max="1" width="2.140625" customWidth="1"/>
    <col min="2" max="2" width="3.42578125" customWidth="1"/>
    <col min="3" max="3" width="12.28515625" customWidth="1"/>
    <col min="4" max="4" width="12" bestFit="1" customWidth="1"/>
    <col min="5" max="5" width="7.85546875" bestFit="1" customWidth="1"/>
    <col min="6" max="6" width="9.140625" bestFit="1" customWidth="1"/>
    <col min="7" max="7" width="3.28515625" bestFit="1" customWidth="1"/>
    <col min="8" max="8" width="12.140625" bestFit="1" customWidth="1"/>
    <col min="9" max="9" width="12.7109375" customWidth="1"/>
    <col min="10" max="10" width="9.85546875" bestFit="1" customWidth="1"/>
    <col min="11" max="11" width="12.140625" customWidth="1"/>
    <col min="12" max="12" width="12.140625" bestFit="1" customWidth="1"/>
    <col min="13" max="13" width="12.140625" customWidth="1"/>
    <col min="14" max="14" width="11.85546875" customWidth="1"/>
    <col min="15" max="15" width="13.85546875" customWidth="1"/>
    <col min="16" max="16" width="8.140625" bestFit="1" customWidth="1"/>
    <col min="17" max="17" width="12.140625" bestFit="1" customWidth="1"/>
    <col min="18" max="18" width="12.7109375" hidden="1" customWidth="1"/>
    <col min="19" max="19" width="12.42578125" bestFit="1" customWidth="1"/>
    <col min="20" max="20" width="16.140625" customWidth="1"/>
    <col min="21" max="21" width="7.85546875" hidden="1" customWidth="1"/>
    <col min="22" max="22" width="10.5703125" hidden="1" customWidth="1"/>
    <col min="23" max="23" width="11.5703125" customWidth="1"/>
    <col min="24" max="27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6" t="s">
        <v>0</v>
      </c>
      <c r="R2" s="797"/>
      <c r="S2" s="798"/>
    </row>
    <row r="3" spans="4:19" ht="19.5" thickBot="1" x14ac:dyDescent="0.35">
      <c r="I3" s="799" t="s">
        <v>1</v>
      </c>
      <c r="J3" s="800"/>
      <c r="K3" s="800"/>
      <c r="L3" s="800"/>
      <c r="M3" s="800"/>
      <c r="N3" s="800"/>
      <c r="O3" s="801"/>
      <c r="Q3" s="802">
        <f>+'CHAVEZ VARELA NESTOR ADRIAN'!Q3:S3</f>
        <v>42</v>
      </c>
      <c r="R3" s="803"/>
      <c r="S3" s="804"/>
    </row>
    <row r="4" spans="4:19" ht="16.5" thickBot="1" x14ac:dyDescent="0.3">
      <c r="I4" s="805" t="s">
        <v>2</v>
      </c>
      <c r="J4" s="806"/>
      <c r="K4" s="806"/>
      <c r="L4" s="806"/>
      <c r="M4" s="806"/>
      <c r="N4" s="806"/>
      <c r="O4" s="807"/>
      <c r="Q4" s="811"/>
      <c r="R4" s="811"/>
      <c r="S4" s="811"/>
    </row>
    <row r="5" spans="4:19" ht="13.5" thickBot="1" x14ac:dyDescent="0.25">
      <c r="I5" s="808" t="s">
        <v>3</v>
      </c>
      <c r="J5" s="809"/>
      <c r="K5" s="809"/>
      <c r="L5" s="809"/>
      <c r="M5" s="809"/>
      <c r="N5" s="809"/>
      <c r="O5" s="810"/>
      <c r="Q5" s="783" t="s">
        <v>4</v>
      </c>
      <c r="R5" s="784"/>
      <c r="S5" s="785"/>
    </row>
    <row r="6" spans="4:19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780">
        <f>+'HARO IMPERIAL JOSÉ ANTONIO'!Q6+1</f>
        <v>1975</v>
      </c>
      <c r="R6" s="781"/>
      <c r="S6" s="782"/>
    </row>
    <row r="7" spans="4:19" ht="9" customHeight="1" x14ac:dyDescent="0.2"/>
    <row r="8" spans="4:19" ht="6.75" customHeight="1" thickBot="1" x14ac:dyDescent="0.25"/>
    <row r="9" spans="4:19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19" ht="11.25" customHeight="1" thickBot="1" x14ac:dyDescent="0.25"/>
    <row r="11" spans="4:19" x14ac:dyDescent="0.2">
      <c r="D11" s="1" t="s">
        <v>7</v>
      </c>
      <c r="E11" s="2" t="s">
        <v>310</v>
      </c>
      <c r="F11" s="2"/>
      <c r="G11" s="2"/>
      <c r="H11" s="2"/>
      <c r="I11" s="2"/>
      <c r="J11" s="3"/>
      <c r="K11" s="4" t="s">
        <v>9</v>
      </c>
      <c r="L11" s="786" t="str">
        <f>+NOMINA!B3</f>
        <v>SEMANA #42 PERIODO DEL 06 AL 12 DE OCTUBRE  DEL 2025</v>
      </c>
      <c r="M11" s="786"/>
      <c r="N11" s="786"/>
      <c r="O11" s="786"/>
      <c r="P11" s="786"/>
      <c r="Q11" s="786"/>
      <c r="R11" s="786"/>
      <c r="S11" s="787"/>
    </row>
    <row r="12" spans="4:19" x14ac:dyDescent="0.2">
      <c r="D12" s="5" t="s">
        <v>10</v>
      </c>
      <c r="E12" s="788" t="s">
        <v>234</v>
      </c>
      <c r="F12" s="78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90" t="s">
        <v>11</v>
      </c>
      <c r="E14" s="791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90" t="s">
        <v>14</v>
      </c>
      <c r="E15" s="791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92" t="s">
        <v>17</v>
      </c>
      <c r="E16" s="793"/>
      <c r="F16" s="12">
        <f>SUM(J19:J27)</f>
        <v>4084</v>
      </c>
      <c r="G16" s="12"/>
      <c r="H16" s="12"/>
      <c r="I16" s="13" t="s">
        <v>18</v>
      </c>
      <c r="J16" s="12">
        <f>SUM(K19:K27)</f>
        <v>1159.712</v>
      </c>
      <c r="K16" s="12"/>
      <c r="L16" s="12"/>
      <c r="M16" s="12"/>
      <c r="N16" s="12"/>
      <c r="O16" s="14" t="s">
        <v>19</v>
      </c>
      <c r="P16" s="15">
        <f>+F16/J16</f>
        <v>3.5215639745040148</v>
      </c>
      <c r="Q16" s="12"/>
      <c r="R16" s="12"/>
      <c r="S16" s="16"/>
    </row>
    <row r="17" spans="3:29" ht="7.5" customHeight="1" thickBot="1" x14ac:dyDescent="0.25"/>
    <row r="18" spans="3:29" ht="33" customHeight="1" thickBot="1" x14ac:dyDescent="0.25">
      <c r="C18" s="323" t="s">
        <v>20</v>
      </c>
      <c r="D18" s="267" t="s">
        <v>21</v>
      </c>
      <c r="E18" s="273" t="s">
        <v>22</v>
      </c>
      <c r="F18" s="273" t="s">
        <v>23</v>
      </c>
      <c r="G18" s="273">
        <v>14</v>
      </c>
      <c r="H18" s="273" t="s">
        <v>25</v>
      </c>
      <c r="I18" s="273" t="s">
        <v>26</v>
      </c>
      <c r="J18" s="273" t="s">
        <v>27</v>
      </c>
      <c r="K18" s="273" t="s">
        <v>28</v>
      </c>
      <c r="L18" s="273" t="s">
        <v>29</v>
      </c>
      <c r="M18" s="273" t="s">
        <v>285</v>
      </c>
      <c r="N18" s="273" t="s">
        <v>30</v>
      </c>
      <c r="O18" s="273" t="s">
        <v>31</v>
      </c>
      <c r="P18" s="267" t="s">
        <v>32</v>
      </c>
      <c r="Q18" s="274" t="s">
        <v>207</v>
      </c>
      <c r="R18" s="735" t="s">
        <v>164</v>
      </c>
      <c r="S18" s="273" t="s">
        <v>34</v>
      </c>
      <c r="T18" s="736" t="s">
        <v>208</v>
      </c>
      <c r="U18" s="737" t="s">
        <v>333</v>
      </c>
      <c r="V18" s="682" t="s">
        <v>336</v>
      </c>
    </row>
    <row r="19" spans="3:29" x14ac:dyDescent="0.2">
      <c r="C19" s="52">
        <v>46372</v>
      </c>
      <c r="D19" s="279" t="s">
        <v>354</v>
      </c>
      <c r="E19" s="280">
        <v>45935</v>
      </c>
      <c r="F19" s="280">
        <v>45936</v>
      </c>
      <c r="G19" s="279">
        <v>1</v>
      </c>
      <c r="H19" s="17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131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13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131"/>
      <c r="L19" s="193"/>
      <c r="M19" s="193"/>
      <c r="N19" s="131">
        <v>2</v>
      </c>
      <c r="O19" s="131" t="s">
        <v>352</v>
      </c>
      <c r="P19" s="131" t="s">
        <v>175</v>
      </c>
      <c r="Q19" s="194">
        <f>(IF(N19=1,(J19*0.3)))+(IF(N19=2,(J19*0.15))+(IF(N19=3,(J19*0.15))))</f>
        <v>153.15</v>
      </c>
      <c r="R19" s="215"/>
      <c r="S19" s="306"/>
      <c r="T19" s="676"/>
      <c r="U19" s="131"/>
      <c r="V19" s="715">
        <v>9</v>
      </c>
      <c r="X19" s="23"/>
      <c r="Y19" s="546"/>
      <c r="Z19" s="546"/>
    </row>
    <row r="20" spans="3:29" ht="13.5" customHeight="1" thickBot="1" x14ac:dyDescent="0.25">
      <c r="C20" s="96"/>
      <c r="D20" s="281" t="s">
        <v>355</v>
      </c>
      <c r="E20" s="282">
        <v>45937</v>
      </c>
      <c r="F20" s="282">
        <v>45938</v>
      </c>
      <c r="G20" s="281">
        <v>2</v>
      </c>
      <c r="H20" s="236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183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1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183">
        <v>599.68600000000004</v>
      </c>
      <c r="L20" s="269">
        <f>SUM(J18:J20)/K20</f>
        <v>3.4051153436965342</v>
      </c>
      <c r="M20" s="269">
        <v>6</v>
      </c>
      <c r="N20" s="183">
        <v>1</v>
      </c>
      <c r="O20" s="183" t="s">
        <v>353</v>
      </c>
      <c r="P20" s="183" t="s">
        <v>176</v>
      </c>
      <c r="Q20" s="270">
        <f t="shared" ref="Q20" si="0">(IF(N20=1,(J20*0.3)))+(IF(N20=2,(J20*0.15))+(IF(N20=3,(J20*0.15))))</f>
        <v>306.3</v>
      </c>
      <c r="R20" s="516">
        <f>+LOOKUP(P35,UNIDADES!B$3:B$73,UNIDADES!C$3:C$73)</f>
        <v>2.7010580000000002</v>
      </c>
      <c r="S20" s="749">
        <f>((SUM(J18:J20)/R20))-K20</f>
        <v>156.31405627424499</v>
      </c>
      <c r="T20" s="680">
        <f>(IF(M20=1,(S20*16)))+(IF(M20=2,(S20*17.26))+(IF(M20=3,(S20*17.66))+(IF(M20=4,(S20*18.06))+(IF(M20=5,(S20*18.46))+(IF(M20=6,(S20*18.86))+(IF(M20=7,(S20*19.26))))))))</f>
        <v>2948.0831013322604</v>
      </c>
      <c r="U20" s="183"/>
      <c r="V20" s="750">
        <v>9</v>
      </c>
      <c r="X20" s="23"/>
      <c r="Y20" s="546"/>
      <c r="Z20" s="546"/>
    </row>
    <row r="21" spans="3:29" ht="13.5" customHeight="1" x14ac:dyDescent="0.2">
      <c r="C21" s="52">
        <v>45938</v>
      </c>
      <c r="D21" s="279" t="s">
        <v>429</v>
      </c>
      <c r="E21" s="280">
        <v>45939</v>
      </c>
      <c r="F21" s="280">
        <v>45940</v>
      </c>
      <c r="G21" s="279">
        <v>1</v>
      </c>
      <c r="H21" s="179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131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OBRG</v>
      </c>
      <c r="J21" s="132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1021</v>
      </c>
      <c r="K21" s="131"/>
      <c r="L21" s="193"/>
      <c r="M21" s="193"/>
      <c r="N21" s="131">
        <v>2</v>
      </c>
      <c r="O21" s="131" t="s">
        <v>427</v>
      </c>
      <c r="P21" s="131" t="s">
        <v>175</v>
      </c>
      <c r="Q21" s="194">
        <f>(IF(N21=1,(J21*0.3)))+(IF(N21=2,(J21*0.15))+(IF(N21=3,(J21*0.15))))</f>
        <v>153.15</v>
      </c>
      <c r="R21" s="215"/>
      <c r="S21" s="306"/>
      <c r="T21" s="676"/>
      <c r="U21" s="131">
        <v>61</v>
      </c>
      <c r="V21" s="715">
        <v>60</v>
      </c>
      <c r="X21" s="23"/>
      <c r="Y21" s="546"/>
      <c r="Z21" s="546"/>
    </row>
    <row r="22" spans="3:29" ht="12.75" customHeight="1" thickBot="1" x14ac:dyDescent="0.25">
      <c r="C22" s="76"/>
      <c r="D22" s="287" t="s">
        <v>430</v>
      </c>
      <c r="E22" s="287">
        <v>45940</v>
      </c>
      <c r="F22" s="287">
        <v>45941</v>
      </c>
      <c r="G22" s="286">
        <v>2</v>
      </c>
      <c r="H22" s="514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OBRG</v>
      </c>
      <c r="I22" s="514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515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1021</v>
      </c>
      <c r="K22" s="288">
        <v>560.02599999999995</v>
      </c>
      <c r="L22" s="289">
        <f>SUM(J21:J22)/K22</f>
        <v>3.646259280819105</v>
      </c>
      <c r="M22" s="289">
        <v>7</v>
      </c>
      <c r="N22" s="288">
        <v>1</v>
      </c>
      <c r="O22" s="288" t="s">
        <v>428</v>
      </c>
      <c r="P22" s="288" t="s">
        <v>176</v>
      </c>
      <c r="Q22" s="290">
        <f t="shared" ref="Q22" si="1">(IF(N22=1,(J22*0.3)))+(IF(N22=2,(J22*0.15))+(IF(N22=3,(J22*0.15))))</f>
        <v>306.3</v>
      </c>
      <c r="R22" s="291">
        <f>+LOOKUP(P36,UNIDADES!B$3:B$73,UNIDADES!C$3:C$73)</f>
        <v>2.7010580000000002</v>
      </c>
      <c r="S22" s="443">
        <f>((SUM(J21:J22)/R22))-K22</f>
        <v>195.97405627424507</v>
      </c>
      <c r="T22" s="751">
        <f>(IF(M22=1,(S22*16)))+(IF(M22=2,(S22*17.26))+(IF(M22=3,(S22*17.66))+(IF(M22=4,(S22*18.06))+(IF(M22=5,(S22*18.46))+(IF(M22=6,(S22*18.86))+(IF(M22=7,(S22*19.26))))))))</f>
        <v>3774.4603238419604</v>
      </c>
      <c r="U22" s="106">
        <v>60</v>
      </c>
      <c r="V22" s="717">
        <v>59</v>
      </c>
      <c r="X22" s="23"/>
      <c r="Y22" s="546"/>
      <c r="Z22" s="546"/>
    </row>
    <row r="23" spans="3:29" ht="12.75" hidden="1" customHeight="1" x14ac:dyDescent="0.2">
      <c r="C23" s="48"/>
      <c r="D23" s="293"/>
      <c r="E23" s="294"/>
      <c r="F23" s="294"/>
      <c r="G23" s="293"/>
      <c r="H23" s="197"/>
      <c r="I23" s="180"/>
      <c r="J23" s="181"/>
      <c r="K23" s="180"/>
      <c r="L23" s="295"/>
      <c r="M23" s="295"/>
      <c r="N23" s="180"/>
      <c r="O23" s="180"/>
      <c r="P23" s="180"/>
      <c r="Q23" s="296"/>
      <c r="R23" s="297"/>
      <c r="S23" s="308"/>
      <c r="T23" s="296"/>
      <c r="U23" s="180"/>
      <c r="V23" s="734"/>
      <c r="X23" s="23"/>
      <c r="Y23" s="546"/>
      <c r="Z23" s="546"/>
    </row>
    <row r="24" spans="3:29" ht="12.75" hidden="1" customHeight="1" x14ac:dyDescent="0.2">
      <c r="C24" s="48"/>
      <c r="D24" s="293"/>
      <c r="E24" s="294"/>
      <c r="F24" s="294"/>
      <c r="G24" s="293"/>
      <c r="H24" s="197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08"/>
      <c r="T24" s="677"/>
      <c r="U24" s="113"/>
      <c r="V24" s="694"/>
      <c r="X24" s="23"/>
      <c r="Y24" s="546"/>
      <c r="Z24" s="546"/>
    </row>
    <row r="25" spans="3:29" ht="12.75" hidden="1" customHeight="1" x14ac:dyDescent="0.2">
      <c r="C25" s="48"/>
      <c r="D25" s="293"/>
      <c r="E25" s="294"/>
      <c r="F25" s="294"/>
      <c r="G25" s="293"/>
      <c r="H25" s="197"/>
      <c r="I25" s="180"/>
      <c r="J25" s="181"/>
      <c r="K25" s="180"/>
      <c r="L25" s="295"/>
      <c r="M25" s="295"/>
      <c r="N25" s="180"/>
      <c r="O25" s="180"/>
      <c r="P25" s="180"/>
      <c r="Q25" s="296"/>
      <c r="R25" s="297"/>
      <c r="S25" s="308"/>
      <c r="T25" s="677"/>
      <c r="U25" s="113"/>
      <c r="V25" s="694"/>
      <c r="X25" s="23"/>
      <c r="Y25" s="546"/>
    </row>
    <row r="26" spans="3:29" ht="12.75" hidden="1" customHeight="1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3"/>
      <c r="U26" s="113"/>
      <c r="V26" s="694"/>
    </row>
    <row r="27" spans="3:29" ht="13.5" hidden="1" customHeight="1" thickBot="1" x14ac:dyDescent="0.25">
      <c r="C27" s="40"/>
      <c r="D27" s="283"/>
      <c r="E27" s="284"/>
      <c r="F27" s="284"/>
      <c r="G27" s="283"/>
      <c r="H27" s="115"/>
      <c r="I27" s="106"/>
      <c r="J27" s="107"/>
      <c r="K27" s="106"/>
      <c r="L27" s="255"/>
      <c r="M27" s="255"/>
      <c r="N27" s="106"/>
      <c r="O27" s="106"/>
      <c r="P27" s="106"/>
      <c r="Q27" s="256"/>
      <c r="R27" s="216"/>
      <c r="S27" s="312"/>
      <c r="T27" s="678"/>
      <c r="U27" s="106"/>
      <c r="V27" s="717"/>
    </row>
    <row r="28" spans="3:29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22"/>
      <c r="N28" s="22"/>
      <c r="O28" s="22"/>
      <c r="P28" s="22"/>
      <c r="Q28" s="22"/>
      <c r="R28" s="305"/>
      <c r="S28" s="22"/>
      <c r="T28" s="22"/>
    </row>
    <row r="29" spans="3:29" x14ac:dyDescent="0.2">
      <c r="E29" s="794" t="s">
        <v>35</v>
      </c>
      <c r="F29" s="857">
        <f>+'CHAVEZ VARELA NESTOR ADRIAN'!F29:G29</f>
        <v>45936</v>
      </c>
      <c r="G29" s="774"/>
      <c r="H29" s="20">
        <f>+F29+1</f>
        <v>45937</v>
      </c>
      <c r="I29" s="20">
        <f>+H29+1</f>
        <v>45938</v>
      </c>
      <c r="J29" s="20">
        <f>+I29+1</f>
        <v>45939</v>
      </c>
      <c r="K29" s="20">
        <f>+J29+1</f>
        <v>45940</v>
      </c>
      <c r="L29" s="20">
        <f>+K29+2</f>
        <v>45942</v>
      </c>
      <c r="M29" s="547"/>
      <c r="N29" s="21" t="s">
        <v>84</v>
      </c>
      <c r="R29" s="657"/>
      <c r="S29" s="657"/>
      <c r="T29" s="657"/>
    </row>
    <row r="30" spans="3:29" ht="13.5" thickBot="1" x14ac:dyDescent="0.25">
      <c r="C30" s="22"/>
      <c r="E30" s="795"/>
      <c r="F30" s="775"/>
      <c r="G30" s="776"/>
      <c r="H30" s="42">
        <v>0</v>
      </c>
      <c r="I30" s="42">
        <v>0</v>
      </c>
      <c r="J30" s="42"/>
      <c r="K30" s="42">
        <v>0</v>
      </c>
      <c r="L30" s="42">
        <v>0</v>
      </c>
      <c r="M30" s="548"/>
      <c r="N30" s="61">
        <f>SUM(F30:L30)</f>
        <v>0</v>
      </c>
      <c r="S30" s="77"/>
    </row>
    <row r="31" spans="3:29" ht="13.5" thickBot="1" x14ac:dyDescent="0.25">
      <c r="I31" s="23"/>
      <c r="AC31" s="22"/>
    </row>
    <row r="32" spans="3:29" ht="15.75" thickBot="1" x14ac:dyDescent="0.3">
      <c r="C32" s="825" t="s">
        <v>37</v>
      </c>
      <c r="D32" s="826"/>
      <c r="E32" s="826"/>
      <c r="F32" s="826"/>
      <c r="G32" s="827"/>
      <c r="I32" s="838" t="s">
        <v>38</v>
      </c>
      <c r="J32" s="839"/>
      <c r="K32" s="839"/>
      <c r="L32" s="840"/>
      <c r="M32" s="545"/>
      <c r="O32" s="828" t="s">
        <v>39</v>
      </c>
      <c r="P32" s="829"/>
      <c r="Q32" s="830">
        <f>+F42-L40</f>
        <v>8241.4434251742205</v>
      </c>
      <c r="R32" s="831"/>
      <c r="S32" s="832"/>
      <c r="U32" s="77"/>
    </row>
    <row r="33" spans="3:22" ht="13.5" thickBot="1" x14ac:dyDescent="0.25">
      <c r="C33" s="833" t="s">
        <v>207</v>
      </c>
      <c r="D33" s="834"/>
      <c r="E33" s="835"/>
      <c r="F33" s="836">
        <f>SUM(Q18:Q29)</f>
        <v>918.90000000000009</v>
      </c>
      <c r="G33" s="837"/>
      <c r="I33" s="417" t="s">
        <v>106</v>
      </c>
      <c r="J33" s="418" t="s">
        <v>107</v>
      </c>
      <c r="K33" s="418" t="s">
        <v>69</v>
      </c>
      <c r="L33" s="119" t="s">
        <v>108</v>
      </c>
      <c r="M33" s="549"/>
    </row>
    <row r="34" spans="3:22" ht="15.75" customHeight="1" thickBot="1" x14ac:dyDescent="0.25">
      <c r="C34" s="843" t="s">
        <v>208</v>
      </c>
      <c r="D34" s="844"/>
      <c r="E34" s="845"/>
      <c r="F34" s="846">
        <f>SUM(T18:T29)</f>
        <v>6722.5434251742208</v>
      </c>
      <c r="G34" s="847"/>
      <c r="I34" s="429"/>
      <c r="J34" s="617"/>
      <c r="K34" s="616"/>
      <c r="L34" s="615"/>
      <c r="M34" s="549"/>
      <c r="O34" s="62"/>
      <c r="P34" s="63"/>
      <c r="Q34" s="456" t="s">
        <v>71</v>
      </c>
      <c r="R34" s="64"/>
      <c r="S34" s="457" t="s">
        <v>72</v>
      </c>
      <c r="T34" s="63" t="s">
        <v>73</v>
      </c>
      <c r="U34" s="154"/>
      <c r="V34" s="21"/>
    </row>
    <row r="35" spans="3:22" x14ac:dyDescent="0.2">
      <c r="C35" s="843" t="s">
        <v>35</v>
      </c>
      <c r="D35" s="844"/>
      <c r="E35" s="845"/>
      <c r="F35" s="846">
        <f>+N30</f>
        <v>0</v>
      </c>
      <c r="G35" s="847"/>
      <c r="I35" s="124"/>
      <c r="J35" s="235"/>
      <c r="K35" s="156"/>
      <c r="L35" s="614"/>
      <c r="M35" s="549"/>
      <c r="O35" s="44">
        <v>46372</v>
      </c>
      <c r="P35" s="69" t="s">
        <v>221</v>
      </c>
      <c r="Q35" s="70">
        <v>382419</v>
      </c>
      <c r="R35" s="70"/>
      <c r="S35" s="68">
        <v>384479</v>
      </c>
      <c r="T35" s="69">
        <f>+S35-Q35</f>
        <v>2060</v>
      </c>
      <c r="U35" s="157">
        <v>2042</v>
      </c>
      <c r="V35" s="156">
        <v>599.68600000000004</v>
      </c>
    </row>
    <row r="36" spans="3:22" x14ac:dyDescent="0.2">
      <c r="C36" s="843" t="s">
        <v>40</v>
      </c>
      <c r="D36" s="844"/>
      <c r="E36" s="845"/>
      <c r="F36" s="858"/>
      <c r="G36" s="859"/>
      <c r="I36" s="124"/>
      <c r="J36" s="235"/>
      <c r="K36" s="156"/>
      <c r="L36" s="614"/>
      <c r="M36" s="549"/>
      <c r="O36" s="66">
        <v>45938</v>
      </c>
      <c r="P36" s="67" t="s">
        <v>234</v>
      </c>
      <c r="Q36" s="68">
        <v>356499</v>
      </c>
      <c r="R36" s="68"/>
      <c r="S36" s="51">
        <v>358653</v>
      </c>
      <c r="T36" s="69">
        <f>+S36-Q36</f>
        <v>2154</v>
      </c>
      <c r="U36" s="155">
        <v>2042</v>
      </c>
      <c r="V36" s="156">
        <v>560.02599999999995</v>
      </c>
    </row>
    <row r="37" spans="3:22" ht="13.5" thickBot="1" x14ac:dyDescent="0.25">
      <c r="C37" s="843" t="s">
        <v>41</v>
      </c>
      <c r="D37" s="844"/>
      <c r="E37" s="845"/>
      <c r="F37" s="846"/>
      <c r="G37" s="847"/>
      <c r="I37" s="124"/>
      <c r="J37" s="235"/>
      <c r="K37" s="156"/>
      <c r="L37" s="614"/>
      <c r="M37" s="549"/>
      <c r="O37" s="477"/>
      <c r="P37" s="478"/>
      <c r="Q37" s="479"/>
      <c r="R37" s="479"/>
      <c r="S37" s="480"/>
      <c r="T37" s="72">
        <f>+S37-Q37</f>
        <v>0</v>
      </c>
      <c r="U37" s="481"/>
      <c r="V37" s="159"/>
    </row>
    <row r="38" spans="3:22" ht="15" x14ac:dyDescent="0.25">
      <c r="C38" s="843" t="s">
        <v>42</v>
      </c>
      <c r="D38" s="844"/>
      <c r="E38" s="845"/>
      <c r="F38" s="846"/>
      <c r="G38" s="847"/>
      <c r="I38" s="124"/>
      <c r="J38" s="60"/>
      <c r="K38" s="156"/>
      <c r="L38" s="614"/>
      <c r="M38" s="549"/>
      <c r="P38" s="27"/>
      <c r="Q38" s="27"/>
      <c r="R38" s="27"/>
      <c r="S38" s="27"/>
      <c r="T38" s="27"/>
      <c r="U38" s="26"/>
    </row>
    <row r="39" spans="3:22" ht="15.75" thickBot="1" x14ac:dyDescent="0.3">
      <c r="C39" s="24" t="s">
        <v>161</v>
      </c>
      <c r="D39" s="25"/>
      <c r="E39" s="25"/>
      <c r="F39" s="846"/>
      <c r="G39" s="847"/>
      <c r="I39" s="422"/>
      <c r="J39" s="59"/>
      <c r="K39" s="159"/>
      <c r="L39" s="614"/>
      <c r="M39" s="549"/>
      <c r="T39" s="27"/>
      <c r="U39" s="26"/>
    </row>
    <row r="40" spans="3:22" ht="15.75" thickBot="1" x14ac:dyDescent="0.3">
      <c r="C40" s="24" t="s">
        <v>328</v>
      </c>
      <c r="D40" s="25"/>
      <c r="E40" s="25"/>
      <c r="F40" s="846"/>
      <c r="G40" s="847"/>
      <c r="I40" s="860" t="s">
        <v>44</v>
      </c>
      <c r="J40" s="861"/>
      <c r="K40" s="862"/>
      <c r="L40" s="125">
        <f>SUM(L34:L39)</f>
        <v>0</v>
      </c>
      <c r="M40" s="550"/>
      <c r="T40" s="27"/>
      <c r="U40" s="26"/>
    </row>
    <row r="41" spans="3:22" ht="15.75" thickBot="1" x14ac:dyDescent="0.3">
      <c r="C41" s="241" t="s">
        <v>291</v>
      </c>
      <c r="D41" s="242"/>
      <c r="E41" s="242"/>
      <c r="F41" s="841">
        <v>600</v>
      </c>
      <c r="G41" s="842"/>
      <c r="T41" s="665"/>
      <c r="U41" s="26"/>
    </row>
    <row r="42" spans="3:22" ht="15.75" thickBot="1" x14ac:dyDescent="0.3">
      <c r="C42" s="792" t="s">
        <v>45</v>
      </c>
      <c r="D42" s="793"/>
      <c r="E42" s="813"/>
      <c r="F42" s="814">
        <f>SUM(F33:G41)</f>
        <v>8241.4434251742205</v>
      </c>
      <c r="G42" s="815"/>
      <c r="I42" s="27"/>
      <c r="J42" s="27"/>
      <c r="K42" s="27"/>
      <c r="L42" s="130"/>
      <c r="M42" s="130"/>
      <c r="N42" s="19"/>
      <c r="P42" s="817" t="s">
        <v>61</v>
      </c>
      <c r="Q42" s="818"/>
      <c r="R42" s="27"/>
      <c r="S42" s="27"/>
      <c r="T42" s="666"/>
    </row>
    <row r="43" spans="3:22" ht="12" customHeight="1" thickBot="1" x14ac:dyDescent="0.3">
      <c r="P43" s="44">
        <v>1</v>
      </c>
      <c r="Q43" s="69" t="s">
        <v>62</v>
      </c>
      <c r="R43" s="27"/>
      <c r="S43" s="27"/>
      <c r="T43" s="666"/>
    </row>
    <row r="44" spans="3:22" ht="15" x14ac:dyDescent="0.25">
      <c r="C44" s="28" t="s">
        <v>46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30"/>
      <c r="P44" s="44">
        <v>2</v>
      </c>
      <c r="Q44" s="69" t="s">
        <v>110</v>
      </c>
      <c r="R44" s="27"/>
      <c r="S44" s="667"/>
      <c r="T44" s="666"/>
      <c r="U44" s="657"/>
    </row>
    <row r="45" spans="3:22" ht="15.75" thickBot="1" x14ac:dyDescent="0.3">
      <c r="C45" s="31"/>
      <c r="N45" s="32"/>
      <c r="P45" s="71">
        <v>3</v>
      </c>
      <c r="Q45" s="72" t="s">
        <v>109</v>
      </c>
      <c r="R45" s="27"/>
      <c r="S45" s="667"/>
      <c r="T45" s="666"/>
      <c r="U45" s="657"/>
    </row>
    <row r="46" spans="3:22" ht="15.75" thickBot="1" x14ac:dyDescent="0.3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5"/>
      <c r="P46" s="27"/>
      <c r="Q46" s="27"/>
      <c r="R46" s="27"/>
      <c r="S46" s="27"/>
      <c r="T46" s="27"/>
      <c r="U46" s="666"/>
    </row>
    <row r="47" spans="3:22" ht="15" x14ac:dyDescent="0.25">
      <c r="P47" s="27"/>
      <c r="Q47" s="27"/>
      <c r="R47" s="27"/>
      <c r="S47" s="27"/>
      <c r="T47" s="37"/>
      <c r="U47" s="666"/>
    </row>
    <row r="48" spans="3:22" ht="15" x14ac:dyDescent="0.25">
      <c r="P48" s="27"/>
      <c r="Q48" s="27"/>
      <c r="R48" s="27"/>
      <c r="S48" s="27"/>
      <c r="T48" s="37"/>
      <c r="U48" s="666"/>
    </row>
    <row r="49" spans="4:21" ht="13.5" thickBot="1" x14ac:dyDescent="0.25">
      <c r="P49" s="27"/>
      <c r="Q49" s="27"/>
      <c r="R49" s="27"/>
      <c r="S49" s="27"/>
      <c r="T49" s="37"/>
      <c r="U49" s="668"/>
    </row>
    <row r="50" spans="4:21" ht="13.5" thickTop="1" x14ac:dyDescent="0.2">
      <c r="D50" s="816" t="s">
        <v>47</v>
      </c>
      <c r="E50" s="816"/>
      <c r="F50" s="816"/>
      <c r="G50" s="816"/>
      <c r="H50" s="816"/>
      <c r="J50" s="816" t="s">
        <v>48</v>
      </c>
      <c r="K50" s="816"/>
      <c r="L50" s="816"/>
      <c r="M50" s="816"/>
      <c r="N50" s="816"/>
      <c r="P50" s="37"/>
      <c r="Q50" s="37"/>
      <c r="R50" s="37"/>
      <c r="S50" s="37"/>
      <c r="T50" s="37"/>
    </row>
    <row r="51" spans="4:21" x14ac:dyDescent="0.2">
      <c r="P51" s="37"/>
      <c r="Q51" s="37"/>
      <c r="R51" s="37"/>
      <c r="S51" s="37"/>
      <c r="T51" s="36"/>
    </row>
    <row r="52" spans="4:21" x14ac:dyDescent="0.2">
      <c r="P52" s="37"/>
      <c r="Q52" s="37"/>
      <c r="R52" s="37"/>
      <c r="S52" s="37"/>
    </row>
    <row r="53" spans="4:21" x14ac:dyDescent="0.2">
      <c r="P53" s="37"/>
      <c r="Q53" s="37"/>
      <c r="R53" s="37"/>
      <c r="S53" s="37"/>
    </row>
    <row r="54" spans="4:21" ht="15" customHeight="1" x14ac:dyDescent="0.2">
      <c r="P54" s="36"/>
      <c r="Q54" s="36"/>
      <c r="R54" s="36"/>
      <c r="S54" s="36"/>
    </row>
  </sheetData>
  <mergeCells count="44">
    <mergeCell ref="C42:E42"/>
    <mergeCell ref="F42:G42"/>
    <mergeCell ref="C32:G32"/>
    <mergeCell ref="P42:Q42"/>
    <mergeCell ref="O32:P32"/>
    <mergeCell ref="Q32:S32"/>
    <mergeCell ref="C33:E33"/>
    <mergeCell ref="F33:G33"/>
    <mergeCell ref="I32:L32"/>
    <mergeCell ref="D50:H50"/>
    <mergeCell ref="J50:N50"/>
    <mergeCell ref="F40:G40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I40:K40"/>
    <mergeCell ref="F41:G41"/>
    <mergeCell ref="D14:E14"/>
    <mergeCell ref="D15:E15"/>
    <mergeCell ref="D16:E16"/>
    <mergeCell ref="E29:E30"/>
    <mergeCell ref="F29:G29"/>
    <mergeCell ref="F30:G30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</mergeCells>
  <pageMargins left="0" right="0" top="0.35433070866141736" bottom="0.35433070866141736" header="0.31496062992125984" footer="0.31496062992125984"/>
  <pageSetup paperSize="9" scale="75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4">
    <pageSetUpPr fitToPage="1"/>
  </sheetPr>
  <dimension ref="C1:Z56"/>
  <sheetViews>
    <sheetView zoomScale="85" zoomScaleNormal="85" workbookViewId="0">
      <selection activeCell="N47" sqref="N47"/>
    </sheetView>
  </sheetViews>
  <sheetFormatPr baseColWidth="10" defaultColWidth="9.140625" defaultRowHeight="12.75" x14ac:dyDescent="0.2"/>
  <cols>
    <col min="1" max="1" width="2.5703125" customWidth="1"/>
    <col min="2" max="2" width="2" customWidth="1"/>
    <col min="3" max="3" width="12.7109375" customWidth="1"/>
    <col min="4" max="4" width="12" bestFit="1" customWidth="1"/>
    <col min="5" max="5" width="9" customWidth="1"/>
    <col min="6" max="6" width="9.140625" bestFit="1" customWidth="1"/>
    <col min="7" max="7" width="4" bestFit="1" customWidth="1"/>
    <col min="8" max="8" width="12.7109375" bestFit="1" customWidth="1"/>
    <col min="9" max="9" width="20" bestFit="1" customWidth="1"/>
    <col min="10" max="10" width="9.85546875" customWidth="1"/>
    <col min="11" max="11" width="10.7109375" customWidth="1"/>
    <col min="12" max="12" width="12.42578125" bestFit="1" customWidth="1"/>
    <col min="13" max="13" width="12.42578125" customWidth="1"/>
    <col min="14" max="14" width="9.42578125" customWidth="1"/>
    <col min="15" max="16" width="11.7109375" customWidth="1"/>
    <col min="17" max="17" width="11.42578125" customWidth="1"/>
    <col min="18" max="18" width="14.42578125" customWidth="1"/>
    <col min="19" max="19" width="11" bestFit="1" customWidth="1"/>
    <col min="20" max="20" width="13.42578125" customWidth="1"/>
    <col min="21" max="22" width="10.42578125" customWidth="1"/>
    <col min="23" max="23" width="9.28515625" customWidth="1"/>
    <col min="24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6" t="s">
        <v>0</v>
      </c>
      <c r="R2" s="797"/>
      <c r="S2" s="798"/>
    </row>
    <row r="3" spans="4:19" ht="19.5" thickBot="1" x14ac:dyDescent="0.35">
      <c r="I3" s="799" t="s">
        <v>1</v>
      </c>
      <c r="J3" s="800"/>
      <c r="K3" s="800"/>
      <c r="L3" s="800"/>
      <c r="M3" s="800"/>
      <c r="N3" s="800"/>
      <c r="O3" s="801"/>
      <c r="Q3" s="802">
        <f>+'CERDA HERNANDEZ JOSE LUIS'!Q3</f>
        <v>42</v>
      </c>
      <c r="R3" s="803"/>
      <c r="S3" s="804"/>
    </row>
    <row r="4" spans="4:19" ht="16.5" thickBot="1" x14ac:dyDescent="0.3">
      <c r="I4" s="805" t="s">
        <v>2</v>
      </c>
      <c r="J4" s="806"/>
      <c r="K4" s="806"/>
      <c r="L4" s="806"/>
      <c r="M4" s="806"/>
      <c r="N4" s="806"/>
      <c r="O4" s="807"/>
      <c r="Q4" s="811"/>
      <c r="R4" s="811"/>
      <c r="S4" s="811"/>
    </row>
    <row r="5" spans="4:19" ht="13.5" thickBot="1" x14ac:dyDescent="0.25">
      <c r="I5" s="808" t="s">
        <v>3</v>
      </c>
      <c r="J5" s="809"/>
      <c r="K5" s="809"/>
      <c r="L5" s="809"/>
      <c r="M5" s="809"/>
      <c r="N5" s="809"/>
      <c r="O5" s="810"/>
      <c r="Q5" s="783" t="s">
        <v>4</v>
      </c>
      <c r="R5" s="784"/>
      <c r="S5" s="785"/>
    </row>
    <row r="6" spans="4:19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780">
        <f>+'CERDA HERNANDEZ JOSE LUIS'!Q6+1</f>
        <v>1976</v>
      </c>
      <c r="R6" s="781"/>
      <c r="S6" s="782"/>
    </row>
    <row r="7" spans="4:19" ht="9" customHeight="1" x14ac:dyDescent="0.2"/>
    <row r="8" spans="4:19" ht="6.75" customHeight="1" thickBot="1" x14ac:dyDescent="0.25"/>
    <row r="9" spans="4:19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19" ht="11.25" customHeight="1" thickBot="1" x14ac:dyDescent="0.25"/>
    <row r="11" spans="4:19" x14ac:dyDescent="0.2">
      <c r="D11" s="1" t="s">
        <v>7</v>
      </c>
      <c r="E11" s="786" t="s">
        <v>168</v>
      </c>
      <c r="F11" s="786"/>
      <c r="G11" s="786"/>
      <c r="H11" s="786"/>
      <c r="I11" s="2"/>
      <c r="J11" s="3"/>
      <c r="K11" s="4" t="s">
        <v>9</v>
      </c>
      <c r="L11" s="863" t="str">
        <f>+NOMINA!B3</f>
        <v>SEMANA #42 PERIODO DEL 06 AL 12 DE OCTUBRE  DEL 2025</v>
      </c>
      <c r="M11" s="863"/>
      <c r="N11" s="863"/>
      <c r="O11" s="863"/>
      <c r="P11" s="863"/>
      <c r="Q11" s="863"/>
      <c r="R11" s="863"/>
      <c r="S11" s="864"/>
    </row>
    <row r="12" spans="4:19" x14ac:dyDescent="0.2">
      <c r="D12" s="5" t="s">
        <v>10</v>
      </c>
      <c r="E12" s="791" t="s">
        <v>221</v>
      </c>
      <c r="F12" s="791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90" t="s">
        <v>11</v>
      </c>
      <c r="E14" s="791"/>
      <c r="F14" s="7">
        <v>182091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90" t="s">
        <v>14</v>
      </c>
      <c r="E15" s="791"/>
      <c r="F15" s="7">
        <v>184096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92" t="s">
        <v>17</v>
      </c>
      <c r="E16" s="793"/>
      <c r="F16" s="12">
        <f>SUM(J20:J30)</f>
        <v>0</v>
      </c>
      <c r="G16" s="12"/>
      <c r="H16" s="12"/>
      <c r="I16" s="13" t="s">
        <v>18</v>
      </c>
      <c r="J16" s="12">
        <f>SUM(K20:K30)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  <c r="U18" s="681" t="s">
        <v>333</v>
      </c>
      <c r="V18" s="682" t="s">
        <v>336</v>
      </c>
    </row>
    <row r="19" spans="3:26" x14ac:dyDescent="0.2">
      <c r="C19" s="429"/>
      <c r="D19" s="426"/>
      <c r="E19" s="430"/>
      <c r="F19" s="430"/>
      <c r="G19" s="426"/>
      <c r="H19" s="647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647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648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38"/>
      <c r="L19" s="431"/>
      <c r="M19" s="431"/>
      <c r="N19" s="38"/>
      <c r="O19" s="38"/>
      <c r="P19" s="38"/>
      <c r="Q19" s="432">
        <f>(IF(N19=1,(J19*0.3)))+(IF(N19=2,(J19*0.15))+(IF(N19=3,(J19*0.15))))</f>
        <v>0</v>
      </c>
      <c r="R19" s="433"/>
      <c r="S19" s="649"/>
      <c r="T19" s="650"/>
      <c r="U19" s="709"/>
      <c r="V19" s="710"/>
      <c r="Z19" s="546"/>
    </row>
    <row r="20" spans="3:26" x14ac:dyDescent="0.2">
      <c r="C20" s="536"/>
      <c r="D20" s="60"/>
      <c r="E20" s="18"/>
      <c r="F20" s="18"/>
      <c r="G20" s="60"/>
      <c r="H20" s="570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570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57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7"/>
      <c r="L20" s="485"/>
      <c r="M20" s="485"/>
      <c r="N20" s="17"/>
      <c r="O20" s="17"/>
      <c r="P20" s="17"/>
      <c r="Q20" s="486">
        <f t="shared" ref="Q20" si="0">(IF(N20=1,(J20*0.3)))+(IF(N20=2,(J20*0.15))+(IF(N20=3,(J20*0.15))))</f>
        <v>0</v>
      </c>
      <c r="R20" s="487"/>
      <c r="S20" s="488"/>
      <c r="T20" s="486"/>
      <c r="U20" s="299"/>
      <c r="V20" s="299"/>
      <c r="Z20" s="546"/>
    </row>
    <row r="21" spans="3:26" x14ac:dyDescent="0.2">
      <c r="C21" s="536"/>
      <c r="D21" s="60"/>
      <c r="E21" s="18"/>
      <c r="F21" s="18"/>
      <c r="G21" s="60"/>
      <c r="H21" s="570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0</v>
      </c>
      <c r="I21" s="570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0</v>
      </c>
      <c r="J21" s="571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0</v>
      </c>
      <c r="K21" s="17"/>
      <c r="L21" s="485" t="e">
        <f>SUM(J19:J21)/K21</f>
        <v>#DIV/0!</v>
      </c>
      <c r="M21" s="485"/>
      <c r="N21" s="17"/>
      <c r="O21" s="17"/>
      <c r="P21" s="17"/>
      <c r="Q21" s="486">
        <f t="shared" ref="Q21" si="1">(IF(N21=1,(J21*0.3)))+(IF(N21=2,(J21*0.15))+(IF(N21=3,(J21*0.15))))</f>
        <v>0</v>
      </c>
      <c r="R21" s="487" t="e">
        <f>+LOOKUP(P38,UNIDADES!B$3:B$73,UNIDADES!C$3:C$73)</f>
        <v>#N/A</v>
      </c>
      <c r="S21" s="488" t="e">
        <f>((SUM(J19:J21)/R21))-K21</f>
        <v>#N/A</v>
      </c>
      <c r="T21" s="486">
        <f>(IF(M21=1,(S21*16)))+(IF(M21=2,(S21*17.26))+(IF(M21=3,(S21*17.66))+(IF(M21=4,(S21*18.06))+(IF(M21=5,(S21*18.46))+(IF(M21=6,(S21*18.86))+(IF(M21=7,(S21*19.26))))))))</f>
        <v>0</v>
      </c>
      <c r="U21" s="299"/>
      <c r="V21" s="299"/>
      <c r="Z21" s="546"/>
    </row>
    <row r="22" spans="3:26" hidden="1" x14ac:dyDescent="0.2">
      <c r="C22" s="536"/>
      <c r="D22" s="60"/>
      <c r="E22" s="18"/>
      <c r="F22" s="18"/>
      <c r="G22" s="60"/>
      <c r="H22" s="570"/>
      <c r="I22" s="570"/>
      <c r="J22" s="571"/>
      <c r="K22" s="17"/>
      <c r="L22" s="485"/>
      <c r="M22" s="17"/>
      <c r="N22" s="17"/>
      <c r="O22" s="17"/>
      <c r="P22" s="17"/>
      <c r="Q22" s="486"/>
      <c r="R22" s="487"/>
      <c r="S22" s="488"/>
      <c r="T22" s="486"/>
      <c r="U22" s="113"/>
      <c r="V22" s="113"/>
      <c r="X22" s="23"/>
      <c r="Y22" s="546"/>
      <c r="Z22" s="546"/>
    </row>
    <row r="23" spans="3:26" ht="14.25" hidden="1" customHeight="1" x14ac:dyDescent="0.2">
      <c r="C23" s="535"/>
      <c r="D23" s="49"/>
      <c r="E23" s="50"/>
      <c r="F23" s="50"/>
      <c r="G23" s="49"/>
      <c r="H23" s="463"/>
      <c r="I23" s="51"/>
      <c r="J23" s="464"/>
      <c r="K23" s="51"/>
      <c r="L23" s="465"/>
      <c r="M23" s="51"/>
      <c r="N23" s="51"/>
      <c r="O23" s="51"/>
      <c r="P23" s="51"/>
      <c r="Q23" s="466"/>
      <c r="R23" s="467"/>
      <c r="S23" s="472"/>
      <c r="T23" s="688"/>
      <c r="U23" s="299"/>
      <c r="V23" s="299"/>
      <c r="X23" s="23"/>
      <c r="Y23" s="546"/>
      <c r="Z23" s="546"/>
    </row>
    <row r="24" spans="3:26" hidden="1" x14ac:dyDescent="0.2">
      <c r="C24" s="535"/>
      <c r="D24" s="49"/>
      <c r="E24" s="294"/>
      <c r="F24" s="294"/>
      <c r="G24" s="293"/>
      <c r="H24" s="197"/>
      <c r="I24" s="180"/>
      <c r="J24" s="181"/>
      <c r="K24" s="180"/>
      <c r="L24" s="295"/>
      <c r="M24" s="180"/>
      <c r="N24" s="180"/>
      <c r="O24" s="180"/>
      <c r="P24" s="180"/>
      <c r="Q24" s="296"/>
      <c r="R24" s="297"/>
      <c r="S24" s="578"/>
      <c r="T24" s="677"/>
      <c r="U24" s="299"/>
      <c r="V24" s="299"/>
      <c r="X24" s="23"/>
      <c r="Y24" s="546"/>
      <c r="Z24" s="546"/>
    </row>
    <row r="25" spans="3:26" hidden="1" x14ac:dyDescent="0.2">
      <c r="C25" s="534"/>
      <c r="D25" s="299"/>
      <c r="E25" s="300"/>
      <c r="F25" s="300"/>
      <c r="G25" s="299"/>
      <c r="H25" s="278"/>
      <c r="I25" s="113"/>
      <c r="J25" s="114"/>
      <c r="K25" s="113"/>
      <c r="L25" s="301"/>
      <c r="M25" s="113"/>
      <c r="N25" s="113"/>
      <c r="O25" s="113"/>
      <c r="P25" s="113"/>
      <c r="Q25" s="302"/>
      <c r="R25" s="251"/>
      <c r="S25" s="310"/>
      <c r="T25" s="302"/>
      <c r="U25" s="299"/>
      <c r="V25" s="299"/>
      <c r="X25" s="23"/>
      <c r="Y25" s="546"/>
      <c r="Z25" s="546"/>
    </row>
    <row r="26" spans="3:26" hidden="1" x14ac:dyDescent="0.2">
      <c r="C26" s="534"/>
      <c r="D26" s="299"/>
      <c r="E26" s="300"/>
      <c r="F26" s="300"/>
      <c r="G26" s="299"/>
      <c r="H26" s="278"/>
      <c r="I26" s="113"/>
      <c r="J26" s="114"/>
      <c r="K26" s="113"/>
      <c r="L26" s="301"/>
      <c r="M26" s="113"/>
      <c r="N26" s="113"/>
      <c r="O26" s="113"/>
      <c r="P26" s="113"/>
      <c r="Q26" s="302"/>
      <c r="R26" s="251"/>
      <c r="S26" s="310"/>
      <c r="T26" s="302"/>
      <c r="U26" s="299"/>
      <c r="V26" s="299"/>
      <c r="X26" s="23"/>
      <c r="Y26" s="546"/>
      <c r="Z26" s="546"/>
    </row>
    <row r="27" spans="3:26" hidden="1" x14ac:dyDescent="0.2">
      <c r="C27" s="534"/>
      <c r="D27" s="299"/>
      <c r="E27" s="300"/>
      <c r="F27" s="300"/>
      <c r="G27" s="299"/>
      <c r="H27" s="278"/>
      <c r="I27" s="113"/>
      <c r="J27" s="114"/>
      <c r="K27" s="113"/>
      <c r="L27" s="301"/>
      <c r="M27" s="113"/>
      <c r="N27" s="113"/>
      <c r="O27" s="113"/>
      <c r="P27" s="113"/>
      <c r="Q27" s="302"/>
      <c r="R27" s="251"/>
      <c r="S27" s="310"/>
      <c r="T27" s="302"/>
      <c r="U27" s="299"/>
      <c r="V27" s="299"/>
      <c r="X27" s="23"/>
      <c r="Y27" s="546"/>
    </row>
    <row r="28" spans="3:26" hidden="1" x14ac:dyDescent="0.2">
      <c r="C28" s="535"/>
      <c r="D28" s="293"/>
      <c r="E28" s="294"/>
      <c r="F28" s="294"/>
      <c r="G28" s="293"/>
      <c r="H28" s="197"/>
      <c r="I28" s="180"/>
      <c r="J28" s="181"/>
      <c r="K28" s="180"/>
      <c r="L28" s="295"/>
      <c r="M28" s="180"/>
      <c r="N28" s="180"/>
      <c r="O28" s="180"/>
      <c r="P28" s="180"/>
      <c r="Q28" s="296"/>
      <c r="R28" s="297"/>
      <c r="S28" s="308"/>
      <c r="T28" s="296"/>
      <c r="U28" s="299"/>
      <c r="V28" s="299"/>
    </row>
    <row r="29" spans="3:26" hidden="1" x14ac:dyDescent="0.2">
      <c r="C29" s="534"/>
      <c r="D29" s="299"/>
      <c r="E29" s="300"/>
      <c r="F29" s="300"/>
      <c r="G29" s="299"/>
      <c r="H29" s="278"/>
      <c r="I29" s="113"/>
      <c r="J29" s="114"/>
      <c r="K29" s="113"/>
      <c r="L29" s="301"/>
      <c r="M29" s="113"/>
      <c r="N29" s="113"/>
      <c r="O29" s="113"/>
      <c r="P29" s="113"/>
      <c r="Q29" s="302"/>
      <c r="R29" s="251"/>
      <c r="S29" s="310"/>
      <c r="T29" s="302"/>
      <c r="U29" s="299"/>
      <c r="V29" s="299"/>
    </row>
    <row r="30" spans="3:26" hidden="1" x14ac:dyDescent="0.2">
      <c r="C30" s="534"/>
      <c r="D30" s="299"/>
      <c r="E30" s="300"/>
      <c r="F30" s="300"/>
      <c r="G30" s="299"/>
      <c r="H30" s="113"/>
      <c r="I30" s="113"/>
      <c r="J30" s="114"/>
      <c r="K30" s="113"/>
      <c r="L30" s="301"/>
      <c r="M30" s="113"/>
      <c r="N30" s="113"/>
      <c r="O30" s="113"/>
      <c r="P30" s="113"/>
      <c r="Q30" s="302"/>
      <c r="R30" s="251"/>
      <c r="S30" s="252"/>
      <c r="T30" s="302"/>
      <c r="U30" s="299"/>
      <c r="V30" s="299"/>
    </row>
    <row r="31" spans="3:26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22"/>
      <c r="Q31" s="22"/>
      <c r="R31" s="305"/>
      <c r="S31" s="22"/>
      <c r="T31" s="22"/>
      <c r="U31" s="331"/>
      <c r="V31" s="331"/>
    </row>
    <row r="32" spans="3:26" x14ac:dyDescent="0.2">
      <c r="E32" s="794" t="s">
        <v>35</v>
      </c>
      <c r="F32" s="773">
        <f>+'CERDA HERNANDEZ JOSE LUIS'!F29</f>
        <v>45936</v>
      </c>
      <c r="G32" s="774"/>
      <c r="H32" s="20">
        <f>+F32+1</f>
        <v>45937</v>
      </c>
      <c r="I32" s="20">
        <f>+H32+1</f>
        <v>45938</v>
      </c>
      <c r="J32" s="20">
        <f>+I32+1</f>
        <v>45939</v>
      </c>
      <c r="K32" s="20">
        <f>+J32+1</f>
        <v>45940</v>
      </c>
      <c r="L32" s="20">
        <f>+K32+2</f>
        <v>45942</v>
      </c>
      <c r="M32" s="547"/>
      <c r="N32" s="21" t="s">
        <v>84</v>
      </c>
    </row>
    <row r="33" spans="3:22" ht="13.5" thickBot="1" x14ac:dyDescent="0.25">
      <c r="C33" s="22"/>
      <c r="E33" s="795"/>
      <c r="F33" s="775"/>
      <c r="G33" s="776"/>
      <c r="H33" s="42">
        <v>0</v>
      </c>
      <c r="I33" s="42">
        <v>0</v>
      </c>
      <c r="J33" s="42">
        <v>0</v>
      </c>
      <c r="K33" s="42">
        <v>0</v>
      </c>
      <c r="L33" s="42"/>
      <c r="M33" s="548"/>
      <c r="N33" s="61">
        <f>SUM(F33:L33)</f>
        <v>0</v>
      </c>
    </row>
    <row r="34" spans="3:22" ht="13.5" thickBot="1" x14ac:dyDescent="0.25">
      <c r="I34" s="23"/>
    </row>
    <row r="35" spans="3:22" ht="15.75" thickBot="1" x14ac:dyDescent="0.3">
      <c r="C35" s="825" t="s">
        <v>37</v>
      </c>
      <c r="D35" s="826"/>
      <c r="E35" s="826"/>
      <c r="F35" s="826"/>
      <c r="G35" s="827"/>
      <c r="I35" s="838" t="s">
        <v>38</v>
      </c>
      <c r="J35" s="839"/>
      <c r="K35" s="839"/>
      <c r="L35" s="840"/>
      <c r="M35" s="331"/>
      <c r="O35" s="828" t="s">
        <v>39</v>
      </c>
      <c r="P35" s="829"/>
      <c r="Q35" s="865">
        <f>+F45-L43</f>
        <v>0</v>
      </c>
      <c r="R35" s="866"/>
      <c r="S35" s="867"/>
    </row>
    <row r="36" spans="3:22" ht="13.5" thickBot="1" x14ac:dyDescent="0.25">
      <c r="C36" s="833" t="s">
        <v>207</v>
      </c>
      <c r="D36" s="834"/>
      <c r="E36" s="835"/>
      <c r="F36" s="836">
        <f>SUM(Q18:Q33)</f>
        <v>0</v>
      </c>
      <c r="G36" s="837"/>
      <c r="I36" s="417" t="s">
        <v>106</v>
      </c>
      <c r="J36" s="418" t="s">
        <v>107</v>
      </c>
      <c r="K36" s="418" t="s">
        <v>69</v>
      </c>
      <c r="L36" s="119" t="s">
        <v>108</v>
      </c>
      <c r="M36" s="563"/>
    </row>
    <row r="37" spans="3:22" ht="13.5" thickBot="1" x14ac:dyDescent="0.25">
      <c r="C37" s="843" t="s">
        <v>208</v>
      </c>
      <c r="D37" s="844"/>
      <c r="E37" s="845"/>
      <c r="F37" s="846">
        <f>SUM(T18:T32)</f>
        <v>0</v>
      </c>
      <c r="G37" s="847"/>
      <c r="I37" s="872"/>
      <c r="J37" s="873"/>
      <c r="K37" s="874"/>
      <c r="L37" s="615"/>
      <c r="M37" s="563"/>
      <c r="O37" s="62" t="s">
        <v>258</v>
      </c>
      <c r="P37" s="63" t="s">
        <v>70</v>
      </c>
      <c r="Q37" s="456" t="s">
        <v>71</v>
      </c>
      <c r="R37" s="64"/>
      <c r="S37" s="457" t="s">
        <v>72</v>
      </c>
      <c r="T37" s="521" t="s">
        <v>73</v>
      </c>
      <c r="U37" s="154" t="s">
        <v>263</v>
      </c>
      <c r="V37" s="21" t="s">
        <v>264</v>
      </c>
    </row>
    <row r="38" spans="3:22" x14ac:dyDescent="0.2">
      <c r="C38" s="843" t="s">
        <v>35</v>
      </c>
      <c r="D38" s="844"/>
      <c r="E38" s="845"/>
      <c r="F38" s="846">
        <f>+N33</f>
        <v>0</v>
      </c>
      <c r="G38" s="847"/>
      <c r="I38" s="618"/>
      <c r="J38" s="235"/>
      <c r="K38" s="156"/>
      <c r="L38" s="614"/>
      <c r="M38" s="563"/>
      <c r="O38" s="44"/>
      <c r="P38" s="69"/>
      <c r="Q38" s="70"/>
      <c r="R38" s="70"/>
      <c r="S38" s="17"/>
      <c r="T38" s="69">
        <f>+S38-Q38</f>
        <v>0</v>
      </c>
      <c r="U38" s="157"/>
      <c r="V38" s="156"/>
    </row>
    <row r="39" spans="3:22" x14ac:dyDescent="0.2">
      <c r="C39" s="843" t="s">
        <v>40</v>
      </c>
      <c r="D39" s="844"/>
      <c r="E39" s="845"/>
      <c r="F39" s="846"/>
      <c r="G39" s="847"/>
      <c r="H39" t="s">
        <v>99</v>
      </c>
      <c r="I39" s="124"/>
      <c r="J39" s="235"/>
      <c r="K39" s="156"/>
      <c r="L39" s="614"/>
      <c r="M39" s="563"/>
      <c r="O39" s="44"/>
      <c r="P39" s="69"/>
      <c r="Q39" s="70"/>
      <c r="R39" s="70"/>
      <c r="S39" s="17"/>
      <c r="T39" s="69">
        <f>+S39-Q39</f>
        <v>0</v>
      </c>
      <c r="U39" s="157"/>
      <c r="V39" s="156"/>
    </row>
    <row r="40" spans="3:22" ht="13.5" thickBot="1" x14ac:dyDescent="0.25">
      <c r="C40" s="843" t="s">
        <v>41</v>
      </c>
      <c r="D40" s="844"/>
      <c r="E40" s="845"/>
      <c r="F40" s="846"/>
      <c r="G40" s="847"/>
      <c r="I40" s="124"/>
      <c r="J40" s="235"/>
      <c r="K40" s="156"/>
      <c r="L40" s="614"/>
      <c r="M40" s="563"/>
      <c r="O40" s="71"/>
      <c r="P40" s="72"/>
      <c r="Q40" s="73"/>
      <c r="R40" s="73"/>
      <c r="S40" s="41"/>
      <c r="T40" s="72">
        <f>+S40-Q40</f>
        <v>0</v>
      </c>
      <c r="U40" s="158"/>
      <c r="V40" s="159"/>
    </row>
    <row r="41" spans="3:22" ht="15" x14ac:dyDescent="0.25">
      <c r="C41" s="843" t="s">
        <v>42</v>
      </c>
      <c r="D41" s="844"/>
      <c r="E41" s="845"/>
      <c r="F41" s="846"/>
      <c r="G41" s="847"/>
      <c r="I41" s="124"/>
      <c r="J41" s="60"/>
      <c r="K41" s="156"/>
      <c r="L41" s="614"/>
      <c r="M41" s="563"/>
      <c r="P41" s="27"/>
      <c r="Q41" s="27"/>
      <c r="R41" s="27"/>
      <c r="S41" s="27"/>
      <c r="T41" s="27"/>
      <c r="U41" s="26"/>
    </row>
    <row r="42" spans="3:22" ht="15.75" thickBot="1" x14ac:dyDescent="0.3">
      <c r="C42" s="97" t="s">
        <v>161</v>
      </c>
      <c r="D42" s="25"/>
      <c r="E42" s="25"/>
      <c r="F42" s="846"/>
      <c r="G42" s="847"/>
      <c r="I42" s="422"/>
      <c r="J42" s="59"/>
      <c r="K42" s="159"/>
      <c r="L42" s="614"/>
      <c r="M42" s="563"/>
      <c r="S42" s="27"/>
      <c r="T42" s="27"/>
      <c r="U42" s="26"/>
    </row>
    <row r="43" spans="3:22" ht="15.75" thickBot="1" x14ac:dyDescent="0.3">
      <c r="C43" s="24" t="s">
        <v>301</v>
      </c>
      <c r="D43" s="25"/>
      <c r="E43" s="25"/>
      <c r="F43" s="846"/>
      <c r="G43" s="847"/>
      <c r="I43" s="860" t="s">
        <v>44</v>
      </c>
      <c r="J43" s="861"/>
      <c r="K43" s="862"/>
      <c r="L43" s="125">
        <f>SUM(L37:L42)</f>
        <v>0</v>
      </c>
      <c r="M43" s="130"/>
      <c r="P43" s="851" t="s">
        <v>61</v>
      </c>
      <c r="Q43" s="871"/>
      <c r="S43" s="27"/>
      <c r="T43" s="27"/>
      <c r="U43" s="26"/>
    </row>
    <row r="44" spans="3:22" ht="15.75" thickBot="1" x14ac:dyDescent="0.3">
      <c r="C44" s="561" t="s">
        <v>287</v>
      </c>
      <c r="D44" s="242"/>
      <c r="E44" s="242"/>
      <c r="F44" s="841"/>
      <c r="G44" s="842"/>
      <c r="I44" s="19"/>
      <c r="J44" s="19"/>
      <c r="K44" s="19"/>
      <c r="L44" s="19"/>
      <c r="M44" s="19"/>
      <c r="N44" s="19"/>
      <c r="P44" s="44">
        <v>1</v>
      </c>
      <c r="Q44" s="69" t="s">
        <v>62</v>
      </c>
      <c r="R44" s="27"/>
      <c r="S44" s="27"/>
      <c r="T44" s="26"/>
    </row>
    <row r="45" spans="3:22" ht="15.75" thickBot="1" x14ac:dyDescent="0.3">
      <c r="C45" s="868" t="s">
        <v>45</v>
      </c>
      <c r="D45" s="869"/>
      <c r="E45" s="870"/>
      <c r="F45" s="814">
        <f>SUM(F36:G44)</f>
        <v>0</v>
      </c>
      <c r="G45" s="815"/>
      <c r="J45" s="657"/>
      <c r="K45" s="657"/>
      <c r="L45" s="657"/>
      <c r="P45" s="44">
        <v>2</v>
      </c>
      <c r="Q45" s="69" t="s">
        <v>110</v>
      </c>
      <c r="R45" s="27"/>
      <c r="S45" s="27"/>
      <c r="T45" s="26"/>
    </row>
    <row r="46" spans="3:22" ht="15.75" thickBot="1" x14ac:dyDescent="0.3">
      <c r="P46" s="71">
        <v>3</v>
      </c>
      <c r="Q46" s="72" t="s">
        <v>109</v>
      </c>
      <c r="R46" s="27"/>
      <c r="S46" s="27"/>
      <c r="T46" s="26"/>
    </row>
    <row r="47" spans="3:22" ht="15" x14ac:dyDescent="0.25">
      <c r="C47" s="28" t="s">
        <v>46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30"/>
      <c r="R47" s="27"/>
      <c r="S47" s="27"/>
      <c r="T47" s="26"/>
    </row>
    <row r="48" spans="3:22" ht="15" x14ac:dyDescent="0.25">
      <c r="C48" s="31"/>
      <c r="N48" s="32"/>
      <c r="R48" s="27"/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  <c r="R49" s="27"/>
      <c r="S49" s="27"/>
      <c r="T49" s="26"/>
    </row>
    <row r="50" spans="3:21" ht="15" x14ac:dyDescent="0.25">
      <c r="P50" s="27"/>
      <c r="Q50" s="27"/>
      <c r="R50" s="27"/>
      <c r="S50" s="27"/>
      <c r="T50" s="27"/>
      <c r="U50" s="26"/>
    </row>
    <row r="51" spans="3:21" ht="13.5" thickBot="1" x14ac:dyDescent="0.25">
      <c r="P51" s="27"/>
      <c r="Q51" s="27"/>
      <c r="R51" s="27"/>
      <c r="S51" s="27"/>
      <c r="T51" s="27"/>
    </row>
    <row r="52" spans="3:21" ht="13.5" thickTop="1" x14ac:dyDescent="0.2">
      <c r="D52" s="816" t="s">
        <v>47</v>
      </c>
      <c r="E52" s="816"/>
      <c r="F52" s="816"/>
      <c r="G52" s="816"/>
      <c r="H52" s="816"/>
      <c r="J52" s="816" t="s">
        <v>48</v>
      </c>
      <c r="K52" s="816"/>
      <c r="L52" s="816"/>
      <c r="M52" s="816"/>
      <c r="N52" s="816"/>
      <c r="P52" s="812"/>
      <c r="Q52" s="812"/>
      <c r="R52" s="812"/>
      <c r="S52" s="812"/>
      <c r="T52" s="812"/>
    </row>
    <row r="53" spans="3:21" x14ac:dyDescent="0.2">
      <c r="P53" s="812"/>
      <c r="Q53" s="812"/>
      <c r="R53" s="812"/>
      <c r="S53" s="812"/>
      <c r="T53" s="812"/>
    </row>
    <row r="54" spans="3:21" x14ac:dyDescent="0.2">
      <c r="P54" s="812"/>
      <c r="Q54" s="812"/>
      <c r="R54" s="812"/>
      <c r="S54" s="812"/>
      <c r="T54" s="812"/>
    </row>
    <row r="55" spans="3:21" x14ac:dyDescent="0.2">
      <c r="P55" s="812"/>
      <c r="Q55" s="812"/>
      <c r="R55" s="812"/>
      <c r="S55" s="812"/>
      <c r="T55" s="812"/>
    </row>
    <row r="56" spans="3:21" ht="15" customHeight="1" x14ac:dyDescent="0.2">
      <c r="P56" s="36"/>
      <c r="Q56" s="36"/>
      <c r="R56" s="36"/>
      <c r="S56" s="36"/>
      <c r="T56" s="36"/>
    </row>
  </sheetData>
  <mergeCells count="50">
    <mergeCell ref="C37:E37"/>
    <mergeCell ref="F37:G37"/>
    <mergeCell ref="C38:E38"/>
    <mergeCell ref="F38:G38"/>
    <mergeCell ref="P43:Q43"/>
    <mergeCell ref="I43:K43"/>
    <mergeCell ref="F43:G43"/>
    <mergeCell ref="C39:E39"/>
    <mergeCell ref="F39:G39"/>
    <mergeCell ref="C40:E40"/>
    <mergeCell ref="F40:G40"/>
    <mergeCell ref="C41:E41"/>
    <mergeCell ref="F41:G41"/>
    <mergeCell ref="F42:G42"/>
    <mergeCell ref="I37:K37"/>
    <mergeCell ref="P54:T54"/>
    <mergeCell ref="P55:T55"/>
    <mergeCell ref="F44:G44"/>
    <mergeCell ref="D52:H52"/>
    <mergeCell ref="J52:N52"/>
    <mergeCell ref="P52:T52"/>
    <mergeCell ref="P53:T53"/>
    <mergeCell ref="C45:E45"/>
    <mergeCell ref="F45:G45"/>
    <mergeCell ref="C35:G35"/>
    <mergeCell ref="O35:P35"/>
    <mergeCell ref="Q35:S35"/>
    <mergeCell ref="C36:E36"/>
    <mergeCell ref="F36:G36"/>
    <mergeCell ref="I35:L35"/>
    <mergeCell ref="F32:G32"/>
    <mergeCell ref="F33:G33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2:E33"/>
    <mergeCell ref="E11:H11"/>
    <mergeCell ref="Q2:S2"/>
    <mergeCell ref="I3:O3"/>
    <mergeCell ref="Q3:S3"/>
    <mergeCell ref="I4:O4"/>
    <mergeCell ref="I5:O5"/>
    <mergeCell ref="Q5:S5"/>
    <mergeCell ref="Q4:S4"/>
  </mergeCells>
  <pageMargins left="0.19685039370078741" right="0.19685039370078741" top="0.35433070866141736" bottom="0.35433070866141736" header="0.31496062992125984" footer="0.31496062992125984"/>
  <pageSetup paperSize="9" scale="74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20">
    <pageSetUpPr fitToPage="1"/>
  </sheetPr>
  <dimension ref="C1:Z59"/>
  <sheetViews>
    <sheetView topLeftCell="A4" zoomScaleNormal="100" workbookViewId="0">
      <selection activeCell="N45" sqref="N45"/>
    </sheetView>
  </sheetViews>
  <sheetFormatPr baseColWidth="10" defaultColWidth="9.140625" defaultRowHeight="12.75" x14ac:dyDescent="0.2"/>
  <cols>
    <col min="1" max="1" width="3.85546875" customWidth="1"/>
    <col min="2" max="2" width="3.140625" customWidth="1"/>
    <col min="3" max="3" width="11.7109375" customWidth="1"/>
    <col min="4" max="4" width="12.28515625" customWidth="1"/>
    <col min="5" max="5" width="9.28515625" customWidth="1"/>
    <col min="6" max="6" width="11.28515625" bestFit="1" customWidth="1"/>
    <col min="7" max="7" width="3" bestFit="1" customWidth="1"/>
    <col min="8" max="8" width="12.140625" customWidth="1"/>
    <col min="9" max="9" width="12.28515625" customWidth="1"/>
    <col min="10" max="10" width="10" customWidth="1"/>
    <col min="11" max="11" width="9.7109375" customWidth="1"/>
    <col min="12" max="13" width="12.28515625" customWidth="1"/>
    <col min="14" max="14" width="8.5703125" bestFit="1" customWidth="1"/>
    <col min="15" max="15" width="10.7109375" customWidth="1"/>
    <col min="16" max="16" width="10.5703125" customWidth="1"/>
    <col min="17" max="17" width="14.5703125" bestFit="1" customWidth="1"/>
    <col min="18" max="18" width="12.42578125" customWidth="1"/>
    <col min="19" max="19" width="11" bestFit="1" customWidth="1"/>
    <col min="20" max="20" width="14.42578125" bestFit="1" customWidth="1"/>
    <col min="21" max="21" width="7.85546875" customWidth="1"/>
    <col min="22" max="22" width="10" customWidth="1"/>
    <col min="23" max="25" width="9.140625" customWidth="1"/>
    <col min="26" max="26" width="13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6" t="s">
        <v>0</v>
      </c>
      <c r="R2" s="797"/>
      <c r="S2" s="798"/>
    </row>
    <row r="3" spans="4:19" ht="19.5" thickBot="1" x14ac:dyDescent="0.35">
      <c r="I3" s="799" t="s">
        <v>1</v>
      </c>
      <c r="J3" s="800"/>
      <c r="K3" s="800"/>
      <c r="L3" s="800"/>
      <c r="M3" s="800"/>
      <c r="N3" s="800"/>
      <c r="O3" s="801"/>
      <c r="Q3" s="802">
        <f>+'CERDA HERNANDEZ JOSE LUIS'!Q3</f>
        <v>42</v>
      </c>
      <c r="R3" s="803"/>
      <c r="S3" s="804"/>
    </row>
    <row r="4" spans="4:19" ht="16.5" thickBot="1" x14ac:dyDescent="0.3">
      <c r="I4" s="805" t="s">
        <v>2</v>
      </c>
      <c r="J4" s="806"/>
      <c r="K4" s="806"/>
      <c r="L4" s="806"/>
      <c r="M4" s="806"/>
      <c r="N4" s="806"/>
      <c r="O4" s="807"/>
      <c r="Q4" s="811"/>
      <c r="R4" s="811"/>
      <c r="S4" s="811"/>
    </row>
    <row r="5" spans="4:19" ht="13.5" thickBot="1" x14ac:dyDescent="0.25">
      <c r="I5" s="808" t="s">
        <v>3</v>
      </c>
      <c r="J5" s="809"/>
      <c r="K5" s="809"/>
      <c r="L5" s="809"/>
      <c r="M5" s="809"/>
      <c r="N5" s="809"/>
      <c r="O5" s="810"/>
      <c r="Q5" s="783" t="s">
        <v>4</v>
      </c>
      <c r="R5" s="784"/>
      <c r="S5" s="785"/>
    </row>
    <row r="6" spans="4:19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780">
        <f>+'RODRIGUEZ RAMIREZ FERNANDO'!Q6+1</f>
        <v>10</v>
      </c>
      <c r="R6" s="781"/>
      <c r="S6" s="782"/>
    </row>
    <row r="7" spans="4:19" ht="9" customHeight="1" x14ac:dyDescent="0.2"/>
    <row r="8" spans="4:19" ht="6.75" customHeight="1" thickBot="1" x14ac:dyDescent="0.25"/>
    <row r="9" spans="4:19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19" ht="11.25" customHeight="1" thickBot="1" x14ac:dyDescent="0.25"/>
    <row r="11" spans="4:19" x14ac:dyDescent="0.2">
      <c r="D11" s="1" t="s">
        <v>7</v>
      </c>
      <c r="E11" s="2" t="s">
        <v>253</v>
      </c>
      <c r="F11" s="2"/>
      <c r="G11" s="2"/>
      <c r="H11" s="2"/>
      <c r="I11" s="2"/>
      <c r="J11" s="3"/>
      <c r="K11" s="4" t="s">
        <v>9</v>
      </c>
      <c r="L11" s="786" t="str">
        <f>+NOMINA!B3</f>
        <v>SEMANA #42 PERIODO DEL 06 AL 12 DE OCTUBRE  DEL 2025</v>
      </c>
      <c r="M11" s="786"/>
      <c r="N11" s="786"/>
      <c r="O11" s="786"/>
      <c r="P11" s="786"/>
      <c r="Q11" s="786"/>
      <c r="R11" s="786"/>
      <c r="S11" s="787"/>
    </row>
    <row r="12" spans="4:19" x14ac:dyDescent="0.2">
      <c r="D12" s="5" t="s">
        <v>10</v>
      </c>
      <c r="E12" s="788" t="s">
        <v>141</v>
      </c>
      <c r="F12" s="78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90" t="s">
        <v>11</v>
      </c>
      <c r="E14" s="791"/>
      <c r="F14" s="7">
        <v>1172526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90" t="s">
        <v>14</v>
      </c>
      <c r="E15" s="791"/>
      <c r="F15" s="7">
        <v>1175216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92" t="s">
        <v>17</v>
      </c>
      <c r="E16" s="793"/>
      <c r="F16" s="12">
        <f>SUM(J19:J32)</f>
        <v>0</v>
      </c>
      <c r="G16" s="12"/>
      <c r="H16" s="12"/>
      <c r="I16" s="13" t="s">
        <v>18</v>
      </c>
      <c r="J16" s="12">
        <f>SUM(K19:K32)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9" t="s">
        <v>208</v>
      </c>
      <c r="U18" s="113" t="s">
        <v>333</v>
      </c>
      <c r="V18" s="113" t="s">
        <v>335</v>
      </c>
    </row>
    <row r="19" spans="3:26" x14ac:dyDescent="0.2">
      <c r="C19" s="429"/>
      <c r="D19" s="426"/>
      <c r="E19" s="430"/>
      <c r="F19" s="430"/>
      <c r="G19" s="426"/>
      <c r="H19" s="444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38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445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38"/>
      <c r="L19" s="431"/>
      <c r="M19" s="431"/>
      <c r="N19" s="38"/>
      <c r="O19" s="38"/>
      <c r="P19" s="38"/>
      <c r="Q19" s="432">
        <f t="shared" ref="Q19:Q20" si="0">(IF(N19=1,(J19*0.3)))+(IF(N19=2,(J19*0.15))+(IF(N19=3,(J19*0.15))))</f>
        <v>0</v>
      </c>
      <c r="R19" s="433"/>
      <c r="S19" s="470"/>
      <c r="T19" s="701"/>
      <c r="U19" s="113"/>
      <c r="V19" s="113"/>
      <c r="Z19" s="546"/>
    </row>
    <row r="20" spans="3:26" x14ac:dyDescent="0.2">
      <c r="C20" s="453"/>
      <c r="D20" s="60"/>
      <c r="E20" s="18"/>
      <c r="F20" s="18"/>
      <c r="G20" s="60"/>
      <c r="H20" s="4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7"/>
      <c r="L20" s="485" t="e">
        <f>SUM(J19:J20)/K20</f>
        <v>#DIV/0!</v>
      </c>
      <c r="M20" s="485"/>
      <c r="N20" s="17"/>
      <c r="O20" s="17"/>
      <c r="P20" s="17"/>
      <c r="Q20" s="486">
        <f t="shared" si="0"/>
        <v>0</v>
      </c>
      <c r="R20" s="487" t="e">
        <f>+LOOKUP(P37,UNIDADES!B$3:B$73,UNIDADES!C$3:C$73)</f>
        <v>#N/A</v>
      </c>
      <c r="S20" s="507" t="e">
        <f>((SUM(J18:J20)/R20))-K20</f>
        <v>#N/A</v>
      </c>
      <c r="T20" s="687">
        <f>(IF(M20=1,(S20*16)))+(IF(M20=2,(S20*17.26))+(IF(M20=3,(S20*17.66))+(IF(M20=4,(S20*18.06))+(IF(M20=5,(S20*18.46))+(IF(M20=6,(S20*18.86))+(IF(M20=7,(S20*19.26))))))))</f>
        <v>0</v>
      </c>
      <c r="U20" s="113"/>
      <c r="V20" s="113"/>
      <c r="X20" s="23"/>
      <c r="Y20" s="546"/>
      <c r="Z20" s="546"/>
    </row>
    <row r="21" spans="3:26" ht="13.5" hidden="1" thickBot="1" x14ac:dyDescent="0.25">
      <c r="C21" s="436"/>
      <c r="D21" s="59"/>
      <c r="E21" s="437"/>
      <c r="F21" s="437"/>
      <c r="G21" s="59"/>
      <c r="H21" s="469"/>
      <c r="I21" s="41"/>
      <c r="J21" s="438"/>
      <c r="K21" s="41"/>
      <c r="L21" s="439"/>
      <c r="M21" s="439"/>
      <c r="N21" s="41"/>
      <c r="O21" s="41"/>
      <c r="P21" s="41"/>
      <c r="Q21" s="42"/>
      <c r="R21" s="440"/>
      <c r="S21" s="471"/>
      <c r="T21" s="43"/>
      <c r="X21" s="23"/>
      <c r="Y21" s="546"/>
      <c r="Z21" s="546"/>
    </row>
    <row r="22" spans="3:26" ht="13.5" hidden="1" thickBot="1" x14ac:dyDescent="0.25">
      <c r="C22" s="474"/>
      <c r="D22" s="475"/>
      <c r="E22" s="476"/>
      <c r="F22" s="476"/>
      <c r="G22" s="475"/>
      <c r="H22" s="501"/>
      <c r="I22" s="480"/>
      <c r="J22" s="502"/>
      <c r="K22" s="480"/>
      <c r="L22" s="503"/>
      <c r="M22" s="503"/>
      <c r="N22" s="480"/>
      <c r="O22" s="480"/>
      <c r="P22" s="480"/>
      <c r="Q22" s="504"/>
      <c r="R22" s="505"/>
      <c r="S22" s="585"/>
      <c r="T22" s="506"/>
      <c r="U22" s="22"/>
      <c r="X22" s="23"/>
      <c r="Y22" s="546"/>
      <c r="Z22" s="546"/>
    </row>
    <row r="23" spans="3:26" hidden="1" x14ac:dyDescent="0.2">
      <c r="C23" s="52"/>
      <c r="D23" s="279"/>
      <c r="E23" s="280"/>
      <c r="F23" s="280"/>
      <c r="G23" s="279"/>
      <c r="H23" s="179"/>
      <c r="I23" s="131"/>
      <c r="J23" s="132"/>
      <c r="K23" s="131"/>
      <c r="L23" s="193"/>
      <c r="M23" s="193"/>
      <c r="N23" s="131"/>
      <c r="O23" s="131"/>
      <c r="P23" s="131"/>
      <c r="Q23" s="194"/>
      <c r="R23" s="215"/>
      <c r="S23" s="195"/>
      <c r="T23" s="196"/>
      <c r="X23" s="23"/>
      <c r="Y23" s="546"/>
      <c r="Z23" s="546"/>
    </row>
    <row r="24" spans="3:26" ht="12.75" hidden="1" customHeight="1" thickBot="1" x14ac:dyDescent="0.25">
      <c r="C24" s="40"/>
      <c r="D24" s="283"/>
      <c r="E24" s="284"/>
      <c r="F24" s="284"/>
      <c r="G24" s="283"/>
      <c r="H24" s="115"/>
      <c r="I24" s="106"/>
      <c r="J24" s="107"/>
      <c r="K24" s="106"/>
      <c r="L24" s="255"/>
      <c r="M24" s="255"/>
      <c r="N24" s="106"/>
      <c r="O24" s="106"/>
      <c r="P24" s="106"/>
      <c r="Q24" s="256"/>
      <c r="R24" s="216"/>
      <c r="S24" s="202"/>
      <c r="T24" s="257"/>
      <c r="X24" s="23"/>
      <c r="Y24" s="546"/>
      <c r="Z24" s="546"/>
    </row>
    <row r="25" spans="3:26" hidden="1" x14ac:dyDescent="0.2">
      <c r="C25" s="48"/>
      <c r="D25" s="293"/>
      <c r="E25" s="294"/>
      <c r="F25" s="294"/>
      <c r="G25" s="293"/>
      <c r="H25" s="197"/>
      <c r="I25" s="180"/>
      <c r="J25" s="181"/>
      <c r="K25" s="180"/>
      <c r="L25" s="295"/>
      <c r="M25" s="295"/>
      <c r="N25" s="180"/>
      <c r="O25" s="180"/>
      <c r="P25" s="180"/>
      <c r="Q25" s="296"/>
      <c r="R25" s="297"/>
      <c r="S25" s="308"/>
      <c r="T25" s="298"/>
      <c r="X25" s="23"/>
      <c r="Y25" s="546"/>
      <c r="Z25" s="546"/>
    </row>
    <row r="26" spans="3:26" hidden="1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304"/>
      <c r="X26" s="23"/>
      <c r="Y26" s="546"/>
    </row>
    <row r="27" spans="3:26" hidden="1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6" hidden="1" x14ac:dyDescent="0.2">
      <c r="C28" s="48"/>
      <c r="D28" s="293"/>
      <c r="E28" s="294"/>
      <c r="F28" s="294"/>
      <c r="G28" s="293"/>
      <c r="H28" s="197"/>
      <c r="I28" s="180"/>
      <c r="J28" s="181"/>
      <c r="K28" s="180"/>
      <c r="L28" s="295"/>
      <c r="M28" s="295"/>
      <c r="N28" s="180"/>
      <c r="O28" s="180"/>
      <c r="P28" s="180"/>
      <c r="Q28" s="296"/>
      <c r="R28" s="297"/>
      <c r="S28" s="308"/>
      <c r="T28" s="298"/>
    </row>
    <row r="29" spans="3:26" hidden="1" x14ac:dyDescent="0.2">
      <c r="C29" s="48"/>
      <c r="D29" s="293"/>
      <c r="E29" s="294"/>
      <c r="F29" s="294"/>
      <c r="G29" s="293"/>
      <c r="H29" s="197"/>
      <c r="I29" s="180"/>
      <c r="J29" s="181"/>
      <c r="K29" s="180"/>
      <c r="L29" s="295"/>
      <c r="M29" s="295"/>
      <c r="N29" s="180"/>
      <c r="O29" s="180"/>
      <c r="P29" s="180"/>
      <c r="Q29" s="296"/>
      <c r="R29" s="251"/>
      <c r="S29" s="308"/>
      <c r="T29" s="298"/>
    </row>
    <row r="30" spans="3:26" hidden="1" x14ac:dyDescent="0.2">
      <c r="C30" s="39"/>
      <c r="D30" s="299"/>
      <c r="E30" s="300"/>
      <c r="F30" s="300"/>
      <c r="G30" s="299"/>
      <c r="H30" s="278"/>
      <c r="I30" s="113"/>
      <c r="J30" s="114"/>
      <c r="K30" s="113"/>
      <c r="L30" s="301"/>
      <c r="M30" s="301"/>
      <c r="N30" s="113"/>
      <c r="O30" s="113"/>
      <c r="P30" s="113"/>
      <c r="Q30" s="302"/>
      <c r="R30" s="251"/>
      <c r="S30" s="310"/>
      <c r="T30" s="304"/>
    </row>
    <row r="31" spans="3:26" hidden="1" x14ac:dyDescent="0.2">
      <c r="C31" s="39"/>
      <c r="D31" s="299"/>
      <c r="E31" s="300"/>
      <c r="F31" s="300"/>
      <c r="G31" s="299"/>
      <c r="H31" s="278"/>
      <c r="I31" s="113"/>
      <c r="J31" s="114"/>
      <c r="K31" s="113"/>
      <c r="L31" s="301"/>
      <c r="M31" s="301"/>
      <c r="N31" s="113"/>
      <c r="O31" s="113"/>
      <c r="P31" s="113"/>
      <c r="Q31" s="302"/>
      <c r="R31" s="251"/>
      <c r="S31" s="310"/>
      <c r="T31" s="304"/>
    </row>
    <row r="32" spans="3:26" ht="13.5" hidden="1" thickBot="1" x14ac:dyDescent="0.25">
      <c r="C32" s="40"/>
      <c r="D32" s="283"/>
      <c r="E32" s="284"/>
      <c r="F32" s="284"/>
      <c r="G32" s="283"/>
      <c r="H32" s="115"/>
      <c r="I32" s="106"/>
      <c r="J32" s="107"/>
      <c r="K32" s="106"/>
      <c r="L32" s="255"/>
      <c r="M32" s="255"/>
      <c r="N32" s="106"/>
      <c r="O32" s="106"/>
      <c r="P32" s="106"/>
      <c r="Q32" s="256"/>
      <c r="R32" s="216"/>
      <c r="S32" s="312"/>
      <c r="T32" s="257"/>
    </row>
    <row r="33" spans="3:26" ht="13.5" thickBot="1" x14ac:dyDescent="0.25">
      <c r="C33" s="22"/>
      <c r="D33" s="22"/>
      <c r="E33" s="22"/>
      <c r="F33" s="22"/>
      <c r="G33" s="22"/>
      <c r="H33" s="22"/>
      <c r="I33" s="182"/>
      <c r="J33" s="22"/>
      <c r="K33" s="22"/>
      <c r="L33" s="22"/>
      <c r="M33" s="22"/>
      <c r="N33" s="22"/>
      <c r="O33" s="22"/>
      <c r="P33" s="22"/>
      <c r="Q33" s="22"/>
      <c r="R33" s="305"/>
      <c r="S33" s="22"/>
      <c r="T33" s="22"/>
    </row>
    <row r="34" spans="3:26" x14ac:dyDescent="0.2">
      <c r="E34" s="794" t="s">
        <v>35</v>
      </c>
      <c r="F34" s="773">
        <f>+'PACHECO BAÑUELOS ALFONSO'!F33:G33</f>
        <v>45936</v>
      </c>
      <c r="G34" s="774"/>
      <c r="H34" s="20">
        <f>+F34+1</f>
        <v>45937</v>
      </c>
      <c r="I34" s="20">
        <f>+H34+1</f>
        <v>45938</v>
      </c>
      <c r="J34" s="20">
        <f>+I34+1</f>
        <v>45939</v>
      </c>
      <c r="K34" s="20">
        <f>+J34+1</f>
        <v>45940</v>
      </c>
      <c r="L34" s="20">
        <f>+K34+2</f>
        <v>45942</v>
      </c>
      <c r="M34" s="547"/>
      <c r="N34" s="21" t="s">
        <v>84</v>
      </c>
    </row>
    <row r="35" spans="3:26" ht="13.5" thickBot="1" x14ac:dyDescent="0.25">
      <c r="C35" s="22"/>
      <c r="E35" s="795"/>
      <c r="F35" s="775">
        <v>0</v>
      </c>
      <c r="G35" s="776"/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548"/>
      <c r="N35" s="43">
        <f>SUM(F35:L35)</f>
        <v>0</v>
      </c>
    </row>
    <row r="36" spans="3:26" ht="13.5" thickBot="1" x14ac:dyDescent="0.25">
      <c r="I36" s="23"/>
    </row>
    <row r="37" spans="3:26" ht="15.75" thickBot="1" x14ac:dyDescent="0.3">
      <c r="C37" s="825" t="s">
        <v>37</v>
      </c>
      <c r="D37" s="826"/>
      <c r="E37" s="826"/>
      <c r="F37" s="826"/>
      <c r="G37" s="827"/>
      <c r="I37" s="838" t="s">
        <v>38</v>
      </c>
      <c r="J37" s="839"/>
      <c r="K37" s="839"/>
      <c r="L37" s="840"/>
      <c r="M37" s="545"/>
      <c r="O37" s="828" t="s">
        <v>39</v>
      </c>
      <c r="P37" s="829"/>
      <c r="Q37" s="405">
        <f>+(F47/2)</f>
        <v>0</v>
      </c>
      <c r="R37" s="406"/>
      <c r="S37" s="407"/>
      <c r="T37" s="546"/>
      <c r="W37" s="77"/>
      <c r="Z37" s="77"/>
    </row>
    <row r="38" spans="3:26" ht="13.5" thickBot="1" x14ac:dyDescent="0.25">
      <c r="C38" s="833" t="s">
        <v>207</v>
      </c>
      <c r="D38" s="834"/>
      <c r="E38" s="835"/>
      <c r="F38" s="836">
        <f>SUM(Q18:Q34)</f>
        <v>0</v>
      </c>
      <c r="G38" s="837"/>
      <c r="I38" s="121" t="s">
        <v>106</v>
      </c>
      <c r="J38" s="59" t="s">
        <v>107</v>
      </c>
      <c r="K38" s="59" t="s">
        <v>69</v>
      </c>
      <c r="L38" s="119" t="s">
        <v>108</v>
      </c>
      <c r="M38" s="549"/>
    </row>
    <row r="39" spans="3:26" ht="13.5" thickBot="1" x14ac:dyDescent="0.25">
      <c r="C39" s="843" t="s">
        <v>208</v>
      </c>
      <c r="D39" s="844"/>
      <c r="E39" s="845"/>
      <c r="F39" s="846">
        <f>SUM(T18:T34)</f>
        <v>0</v>
      </c>
      <c r="G39" s="847"/>
      <c r="I39" s="122"/>
      <c r="J39" s="123"/>
      <c r="K39" s="49"/>
      <c r="L39" s="120"/>
      <c r="M39" s="549"/>
      <c r="O39" s="62" t="s">
        <v>258</v>
      </c>
      <c r="P39" s="63" t="s">
        <v>70</v>
      </c>
      <c r="Q39" s="64" t="s">
        <v>71</v>
      </c>
      <c r="R39" s="64"/>
      <c r="S39" s="65" t="s">
        <v>72</v>
      </c>
      <c r="T39" s="63" t="s">
        <v>73</v>
      </c>
      <c r="U39" s="154"/>
      <c r="V39" s="21"/>
    </row>
    <row r="40" spans="3:26" x14ac:dyDescent="0.2">
      <c r="C40" s="843" t="s">
        <v>35</v>
      </c>
      <c r="D40" s="844"/>
      <c r="E40" s="845"/>
      <c r="F40" s="846">
        <f>+N35</f>
        <v>0</v>
      </c>
      <c r="G40" s="847"/>
      <c r="I40" s="124"/>
      <c r="J40" s="235"/>
      <c r="K40" s="60"/>
      <c r="L40" s="118"/>
      <c r="M40" s="549"/>
      <c r="O40" s="66"/>
      <c r="P40" s="67"/>
      <c r="Q40" s="68"/>
      <c r="R40" s="68"/>
      <c r="S40" s="51"/>
      <c r="T40" s="67">
        <f>+S40-Q40</f>
        <v>0</v>
      </c>
      <c r="U40" s="155"/>
      <c r="V40" s="156"/>
    </row>
    <row r="41" spans="3:26" x14ac:dyDescent="0.2">
      <c r="C41" s="843" t="s">
        <v>40</v>
      </c>
      <c r="D41" s="844"/>
      <c r="E41" s="845"/>
      <c r="F41" s="846"/>
      <c r="G41" s="847"/>
      <c r="H41" s="77"/>
      <c r="I41" s="124"/>
      <c r="J41" s="60"/>
      <c r="K41" s="60"/>
      <c r="L41" s="118"/>
      <c r="M41" s="549"/>
      <c r="O41" s="44"/>
      <c r="P41" s="69"/>
      <c r="Q41" s="70"/>
      <c r="R41" s="70"/>
      <c r="S41" s="17"/>
      <c r="T41" s="69">
        <f>+S41-Q41</f>
        <v>0</v>
      </c>
      <c r="U41" s="157"/>
      <c r="V41" s="199"/>
    </row>
    <row r="42" spans="3:26" ht="13.5" thickBot="1" x14ac:dyDescent="0.25">
      <c r="C42" s="843" t="s">
        <v>41</v>
      </c>
      <c r="D42" s="844"/>
      <c r="E42" s="845"/>
      <c r="F42" s="846"/>
      <c r="G42" s="847"/>
      <c r="I42" s="124"/>
      <c r="J42" s="60"/>
      <c r="K42" s="60"/>
      <c r="L42" s="118"/>
      <c r="M42" s="549"/>
      <c r="O42" s="71"/>
      <c r="P42" s="72"/>
      <c r="Q42" s="73"/>
      <c r="R42" s="73"/>
      <c r="S42" s="41"/>
      <c r="T42" s="72">
        <f>+S42-Q42</f>
        <v>0</v>
      </c>
      <c r="U42" s="158"/>
      <c r="V42" s="159"/>
    </row>
    <row r="43" spans="3:26" ht="15.75" thickBot="1" x14ac:dyDescent="0.3">
      <c r="C43" s="843" t="s">
        <v>42</v>
      </c>
      <c r="D43" s="844"/>
      <c r="E43" s="845"/>
      <c r="F43" s="846"/>
      <c r="G43" s="847"/>
      <c r="I43" s="124"/>
      <c r="J43" s="60"/>
      <c r="K43" s="60"/>
      <c r="L43" s="118"/>
      <c r="M43" s="549"/>
      <c r="P43" s="27"/>
      <c r="Q43" s="27"/>
      <c r="R43" s="27"/>
      <c r="S43" s="27"/>
      <c r="T43" s="27"/>
      <c r="U43" s="26"/>
    </row>
    <row r="44" spans="3:26" ht="15.75" thickBot="1" x14ac:dyDescent="0.3">
      <c r="C44" s="24" t="s">
        <v>161</v>
      </c>
      <c r="D44" s="25"/>
      <c r="E44" s="25"/>
      <c r="F44" s="846"/>
      <c r="G44" s="847"/>
      <c r="I44" s="124"/>
      <c r="J44" s="60"/>
      <c r="K44" s="60"/>
      <c r="L44" s="118"/>
      <c r="M44" s="549"/>
      <c r="P44" s="817" t="s">
        <v>61</v>
      </c>
      <c r="Q44" s="818"/>
      <c r="R44" s="27"/>
      <c r="S44" s="27"/>
      <c r="T44" s="26"/>
    </row>
    <row r="45" spans="3:26" ht="15.75" thickBot="1" x14ac:dyDescent="0.3">
      <c r="C45" s="24" t="s">
        <v>298</v>
      </c>
      <c r="D45" s="25"/>
      <c r="E45" s="25"/>
      <c r="F45" s="846"/>
      <c r="G45" s="847"/>
      <c r="I45" s="848" t="s">
        <v>44</v>
      </c>
      <c r="J45" s="849"/>
      <c r="K45" s="850"/>
      <c r="L45" s="125">
        <f>SUM(L39:L44)</f>
        <v>0</v>
      </c>
      <c r="M45" s="550"/>
      <c r="P45" s="44">
        <v>1</v>
      </c>
      <c r="Q45" s="69" t="s">
        <v>62</v>
      </c>
      <c r="R45" s="27"/>
      <c r="S45" s="27"/>
      <c r="T45" s="26"/>
    </row>
    <row r="46" spans="3:26" ht="15.75" thickBot="1" x14ac:dyDescent="0.3">
      <c r="C46" s="241" t="s">
        <v>293</v>
      </c>
      <c r="D46" s="242"/>
      <c r="E46" s="242"/>
      <c r="F46" s="841"/>
      <c r="G46" s="842"/>
      <c r="I46" s="19"/>
      <c r="J46" s="126"/>
      <c r="K46" s="126"/>
      <c r="L46" s="128"/>
      <c r="M46" s="128"/>
      <c r="P46" s="44">
        <v>2</v>
      </c>
      <c r="Q46" s="69" t="s">
        <v>110</v>
      </c>
      <c r="R46" s="27"/>
      <c r="S46" s="27"/>
      <c r="T46" s="26"/>
    </row>
    <row r="47" spans="3:26" ht="15.75" thickBot="1" x14ac:dyDescent="0.3">
      <c r="C47" s="792" t="s">
        <v>45</v>
      </c>
      <c r="D47" s="793"/>
      <c r="E47" s="813"/>
      <c r="F47" s="814">
        <f>SUM(F38:G46)</f>
        <v>0</v>
      </c>
      <c r="G47" s="815"/>
      <c r="I47" s="19"/>
      <c r="J47" s="19"/>
      <c r="K47" s="19"/>
      <c r="L47" s="19"/>
      <c r="M47" s="19"/>
      <c r="N47" s="19"/>
      <c r="P47" s="71">
        <v>3</v>
      </c>
      <c r="Q47" s="72" t="s">
        <v>109</v>
      </c>
      <c r="R47" s="27"/>
      <c r="S47" s="27"/>
      <c r="T47" s="26"/>
    </row>
    <row r="48" spans="3:26" ht="12" customHeight="1" thickBot="1" x14ac:dyDescent="0.3">
      <c r="P48" s="27"/>
      <c r="Q48" s="27"/>
      <c r="R48" s="27"/>
      <c r="S48" s="27"/>
      <c r="T48" s="27"/>
      <c r="U48" s="26"/>
    </row>
    <row r="49" spans="3:21" ht="15" x14ac:dyDescent="0.25">
      <c r="C49" s="28" t="s">
        <v>46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P49" s="27"/>
      <c r="Q49" s="27"/>
      <c r="R49" s="27"/>
      <c r="S49" s="27"/>
      <c r="T49" s="27"/>
      <c r="U49" s="26"/>
    </row>
    <row r="50" spans="3:21" ht="15" x14ac:dyDescent="0.25">
      <c r="C50" s="31"/>
      <c r="N50" s="32"/>
      <c r="P50" s="27"/>
      <c r="Q50" s="27"/>
      <c r="R50" s="27"/>
      <c r="S50" s="27"/>
      <c r="T50" s="27"/>
      <c r="U50" s="26"/>
    </row>
    <row r="51" spans="3:21" ht="15.75" thickBot="1" x14ac:dyDescent="0.3"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P51" s="27"/>
      <c r="Q51" s="27"/>
      <c r="R51" s="27"/>
      <c r="S51" s="27"/>
      <c r="T51" s="27"/>
      <c r="U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5" x14ac:dyDescent="0.25">
      <c r="P53" s="27"/>
      <c r="Q53" s="27"/>
      <c r="R53" s="27"/>
      <c r="S53" s="27"/>
      <c r="T53" s="27"/>
      <c r="U53" s="26"/>
    </row>
    <row r="54" spans="3:21" ht="13.5" thickBot="1" x14ac:dyDescent="0.25">
      <c r="P54" s="27"/>
      <c r="Q54" s="27"/>
      <c r="R54" s="27"/>
      <c r="S54" s="27"/>
      <c r="T54" s="27"/>
    </row>
    <row r="55" spans="3:21" ht="13.5" thickTop="1" x14ac:dyDescent="0.2">
      <c r="D55" s="816" t="s">
        <v>47</v>
      </c>
      <c r="E55" s="816"/>
      <c r="F55" s="816"/>
      <c r="G55" s="816"/>
      <c r="H55" s="816"/>
      <c r="J55" s="816" t="s">
        <v>48</v>
      </c>
      <c r="K55" s="816"/>
      <c r="L55" s="816"/>
      <c r="M55" s="816"/>
      <c r="N55" s="816"/>
      <c r="P55" s="812"/>
      <c r="Q55" s="812"/>
      <c r="R55" s="812"/>
      <c r="S55" s="812"/>
      <c r="T55" s="812"/>
    </row>
    <row r="56" spans="3:21" x14ac:dyDescent="0.2">
      <c r="P56" s="812"/>
      <c r="Q56" s="812"/>
      <c r="R56" s="812"/>
      <c r="S56" s="812"/>
      <c r="T56" s="812"/>
    </row>
    <row r="57" spans="3:21" x14ac:dyDescent="0.2">
      <c r="P57" s="812"/>
      <c r="Q57" s="812"/>
      <c r="R57" s="812"/>
      <c r="S57" s="812"/>
      <c r="T57" s="812"/>
    </row>
    <row r="58" spans="3:21" x14ac:dyDescent="0.2">
      <c r="P58" s="812"/>
      <c r="Q58" s="812"/>
      <c r="R58" s="812"/>
      <c r="S58" s="812"/>
      <c r="T58" s="812"/>
    </row>
    <row r="59" spans="3:21" ht="15" customHeight="1" x14ac:dyDescent="0.2">
      <c r="P59" s="36"/>
      <c r="Q59" s="36"/>
      <c r="R59" s="36"/>
      <c r="S59" s="36"/>
      <c r="T59" s="36"/>
    </row>
  </sheetData>
  <mergeCells count="47">
    <mergeCell ref="P44:Q44"/>
    <mergeCell ref="F45:G45"/>
    <mergeCell ref="P57:T57"/>
    <mergeCell ref="P58:T58"/>
    <mergeCell ref="C47:E47"/>
    <mergeCell ref="F47:G47"/>
    <mergeCell ref="D55:H55"/>
    <mergeCell ref="J55:N55"/>
    <mergeCell ref="P55:T55"/>
    <mergeCell ref="P56:T56"/>
    <mergeCell ref="I45:K45"/>
    <mergeCell ref="C39:E39"/>
    <mergeCell ref="F39:G39"/>
    <mergeCell ref="C40:E40"/>
    <mergeCell ref="F40:G40"/>
    <mergeCell ref="F46:G46"/>
    <mergeCell ref="C41:E41"/>
    <mergeCell ref="F41:G41"/>
    <mergeCell ref="C42:E42"/>
    <mergeCell ref="F42:G42"/>
    <mergeCell ref="C43:E43"/>
    <mergeCell ref="F43:G43"/>
    <mergeCell ref="F44:G44"/>
    <mergeCell ref="C37:G37"/>
    <mergeCell ref="O37:P37"/>
    <mergeCell ref="C38:E38"/>
    <mergeCell ref="F38:G38"/>
    <mergeCell ref="I37:L37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Q2:S2"/>
    <mergeCell ref="I3:O3"/>
    <mergeCell ref="Q3:S3"/>
    <mergeCell ref="I4:O4"/>
    <mergeCell ref="I5:O5"/>
    <mergeCell ref="Q5:S5"/>
    <mergeCell ref="Q4:S4"/>
  </mergeCells>
  <pageMargins left="0.19685039370078741" right="0.19685039370078741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3">
    <pageSetUpPr fitToPage="1"/>
  </sheetPr>
  <dimension ref="C1:Y54"/>
  <sheetViews>
    <sheetView zoomScale="90" zoomScaleNormal="90" workbookViewId="0">
      <selection activeCell="L47" sqref="L47"/>
    </sheetView>
  </sheetViews>
  <sheetFormatPr baseColWidth="10" defaultColWidth="9.140625" defaultRowHeight="12.75" x14ac:dyDescent="0.2"/>
  <cols>
    <col min="1" max="1" width="3.7109375" customWidth="1"/>
    <col min="2" max="2" width="3.8554687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0.140625" customWidth="1"/>
    <col min="9" max="9" width="10.85546875" customWidth="1"/>
    <col min="10" max="10" width="10" customWidth="1"/>
    <col min="11" max="11" width="9.7109375" customWidth="1"/>
    <col min="12" max="13" width="12.28515625" customWidth="1"/>
    <col min="14" max="14" width="8.5703125" bestFit="1" customWidth="1"/>
    <col min="15" max="15" width="10.7109375" customWidth="1"/>
    <col min="16" max="16" width="8.140625" bestFit="1" customWidth="1"/>
    <col min="17" max="17" width="13.140625" customWidth="1"/>
    <col min="18" max="18" width="10" customWidth="1"/>
    <col min="19" max="19" width="11" bestFit="1" customWidth="1"/>
    <col min="20" max="20" width="12.140625" bestFit="1" customWidth="1"/>
    <col min="21" max="21" width="11.140625" customWidth="1"/>
    <col min="22" max="22" width="7" customWidth="1"/>
    <col min="23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6" t="s">
        <v>0</v>
      </c>
      <c r="R2" s="797"/>
      <c r="S2" s="798"/>
    </row>
    <row r="3" spans="4:19" ht="19.5" thickBot="1" x14ac:dyDescent="0.35">
      <c r="I3" s="799" t="s">
        <v>1</v>
      </c>
      <c r="J3" s="800"/>
      <c r="K3" s="800"/>
      <c r="L3" s="800"/>
      <c r="M3" s="800"/>
      <c r="N3" s="800"/>
      <c r="O3" s="801"/>
      <c r="Q3" s="802">
        <f>+'CERDA HERNANDEZ JOSE LUIS'!Q3</f>
        <v>42</v>
      </c>
      <c r="R3" s="803"/>
      <c r="S3" s="804"/>
    </row>
    <row r="4" spans="4:19" ht="16.5" thickBot="1" x14ac:dyDescent="0.3">
      <c r="I4" s="805" t="s">
        <v>2</v>
      </c>
      <c r="J4" s="806"/>
      <c r="K4" s="806"/>
      <c r="L4" s="806"/>
      <c r="M4" s="806"/>
      <c r="N4" s="806"/>
      <c r="O4" s="807"/>
      <c r="Q4" s="811"/>
      <c r="R4" s="811"/>
      <c r="S4" s="811"/>
    </row>
    <row r="5" spans="4:19" ht="13.5" thickBot="1" x14ac:dyDescent="0.25">
      <c r="I5" s="808" t="s">
        <v>3</v>
      </c>
      <c r="J5" s="809"/>
      <c r="K5" s="809"/>
      <c r="L5" s="809"/>
      <c r="M5" s="809"/>
      <c r="N5" s="809"/>
      <c r="O5" s="810"/>
      <c r="Q5" s="783" t="s">
        <v>4</v>
      </c>
      <c r="R5" s="784"/>
      <c r="S5" s="785"/>
    </row>
    <row r="6" spans="4:19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780">
        <f>+'RUIZ ALVARADO PEDRO'!Q6+1</f>
        <v>11</v>
      </c>
      <c r="R6" s="781"/>
      <c r="S6" s="782"/>
    </row>
    <row r="7" spans="4:19" ht="9" customHeight="1" x14ac:dyDescent="0.2"/>
    <row r="8" spans="4:19" ht="6.75" customHeight="1" thickBot="1" x14ac:dyDescent="0.25"/>
    <row r="9" spans="4:19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19" ht="11.25" customHeight="1" thickBot="1" x14ac:dyDescent="0.25"/>
    <row r="11" spans="4:19" x14ac:dyDescent="0.2">
      <c r="D11" s="1" t="s">
        <v>7</v>
      </c>
      <c r="E11" s="2" t="s">
        <v>308</v>
      </c>
      <c r="F11" s="2"/>
      <c r="G11" s="2"/>
      <c r="H11" s="2"/>
      <c r="I11" s="2"/>
      <c r="J11" s="3"/>
      <c r="K11" s="4" t="s">
        <v>9</v>
      </c>
      <c r="L11" s="786" t="str">
        <f>+NOMINA!B3</f>
        <v>SEMANA #42 PERIODO DEL 06 AL 12 DE OCTUBRE  DEL 2025</v>
      </c>
      <c r="M11" s="786"/>
      <c r="N11" s="786"/>
      <c r="O11" s="786"/>
      <c r="P11" s="786"/>
      <c r="Q11" s="786"/>
      <c r="R11" s="786"/>
      <c r="S11" s="787"/>
    </row>
    <row r="12" spans="4:19" x14ac:dyDescent="0.2">
      <c r="D12" s="5" t="s">
        <v>10</v>
      </c>
      <c r="E12" s="788" t="s">
        <v>323</v>
      </c>
      <c r="F12" s="78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90" t="s">
        <v>11</v>
      </c>
      <c r="E14" s="791"/>
      <c r="F14" s="7">
        <v>44163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90" t="s">
        <v>14</v>
      </c>
      <c r="E15" s="791"/>
      <c r="F15" s="7">
        <v>46879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92" t="s">
        <v>17</v>
      </c>
      <c r="E16" s="793"/>
      <c r="F16" s="12">
        <f>SUM(J19:J27)</f>
        <v>0</v>
      </c>
      <c r="G16" s="12"/>
      <c r="H16" s="12"/>
      <c r="I16" s="13" t="s">
        <v>18</v>
      </c>
      <c r="J16" s="12">
        <f>SUM(K19:K27)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24" x14ac:dyDescent="0.2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x14ac:dyDescent="0.2">
      <c r="C19" s="536"/>
      <c r="D19" s="60"/>
      <c r="E19" s="18"/>
      <c r="F19" s="18"/>
      <c r="G19" s="60"/>
      <c r="H19" s="483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$63))))))))))))))))))))))))))))))))))))))))))))))))))))))))))))</f>
        <v>0</v>
      </c>
      <c r="I19" s="17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$63))))))))))))))))))))))))))))))))))))))))))))))))))))))))))))</f>
        <v>0</v>
      </c>
      <c r="J19" s="484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$63))))))))))))))))))))))))))))))))))))))))))))))))))))))))))))</f>
        <v>0</v>
      </c>
      <c r="K19" s="17"/>
      <c r="L19" s="485"/>
      <c r="M19" s="485"/>
      <c r="N19" s="17"/>
      <c r="O19" s="17"/>
      <c r="P19" s="17"/>
      <c r="Q19" s="486">
        <f>(IF(N19=1,((J19)*0.3)))+(IF(N19=2,(J19*0.15))+(IF(N19=3,(J19*0.15))))</f>
        <v>0</v>
      </c>
      <c r="R19" s="487"/>
      <c r="S19" s="488"/>
      <c r="T19" s="486"/>
      <c r="X19" t="s">
        <v>29</v>
      </c>
      <c r="Y19" t="s">
        <v>245</v>
      </c>
    </row>
    <row r="20" spans="3:25" x14ac:dyDescent="0.2">
      <c r="C20" s="536"/>
      <c r="D20" s="60"/>
      <c r="E20" s="18"/>
      <c r="F20" s="18"/>
      <c r="G20" s="60"/>
      <c r="H20" s="4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$63))))))))))))))))))))))))))))))))))))))))))))))))))))))))))))</f>
        <v>0</v>
      </c>
      <c r="K20" s="17"/>
      <c r="L20" s="485"/>
      <c r="M20" s="485"/>
      <c r="N20" s="17"/>
      <c r="O20" s="60"/>
      <c r="P20" s="17"/>
      <c r="Q20" s="486">
        <f>(IF(N20=1,(J20*0.3)))+(IF(N20=2,(J20*0.15))+(IF(N20=3,(J20*0.15))))</f>
        <v>0</v>
      </c>
      <c r="R20" s="487"/>
      <c r="S20" s="507"/>
      <c r="T20" s="486"/>
      <c r="W20">
        <v>2</v>
      </c>
      <c r="X20" s="23">
        <v>3</v>
      </c>
      <c r="Y20" s="546">
        <v>17.260000000000002</v>
      </c>
    </row>
    <row r="21" spans="3:25" x14ac:dyDescent="0.2">
      <c r="C21" s="536"/>
      <c r="D21" s="60"/>
      <c r="E21" s="18"/>
      <c r="F21" s="18"/>
      <c r="G21" s="60"/>
      <c r="H21" s="483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$63))))))))))))))))))))))))))))))))))))))))))))))))))))))))))))</f>
        <v>0</v>
      </c>
      <c r="I21" s="17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$63))))))))))))))))))))))))))))))))))))))))))))))))))))))))))))</f>
        <v>0</v>
      </c>
      <c r="J21" s="484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$63))))))))))))))))))))))))))))))))))))))))))))))))))))))))))))</f>
        <v>0</v>
      </c>
      <c r="K21" s="17"/>
      <c r="L21" s="485"/>
      <c r="M21" s="485"/>
      <c r="N21" s="17"/>
      <c r="O21" s="60"/>
      <c r="P21" s="17"/>
      <c r="Q21" s="486">
        <f>(IF(N21=1,((J21)*0.3)))+(IF(N21=2,(J21*0.15))+(IF(N21=3,(J21*0.15))))</f>
        <v>0</v>
      </c>
      <c r="R21" s="487"/>
      <c r="S21" s="507"/>
      <c r="T21" s="486"/>
      <c r="X21" s="23"/>
      <c r="Y21" s="546"/>
    </row>
    <row r="22" spans="3:25" x14ac:dyDescent="0.2">
      <c r="C22" s="536"/>
      <c r="D22" s="60"/>
      <c r="E22" s="18"/>
      <c r="F22" s="18"/>
      <c r="G22" s="60"/>
      <c r="H22" s="483" t="b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$63))))))))))))))))))))))))))))))))))))))))))))))))))))))))))))</f>
        <v>0</v>
      </c>
      <c r="I22" s="17" t="b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$63))))))))))))))))))))))))))))))))))))))))))))))))))))))))))))</f>
        <v>0</v>
      </c>
      <c r="J22" s="484" t="b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$63))))))))))))))))))))))))))))))))))))))))))))))))))))))))))))</f>
        <v>0</v>
      </c>
      <c r="K22" s="17"/>
      <c r="L22" s="485"/>
      <c r="M22" s="485"/>
      <c r="N22" s="17"/>
      <c r="O22" s="17"/>
      <c r="P22" s="17"/>
      <c r="Q22" s="486">
        <f>(IF(N22=1,(J22*0.3)))+(IF(N22=2,(J22*0.15))+(IF(N22=3,(J22*0.15))))</f>
        <v>0</v>
      </c>
      <c r="R22" s="487" t="e">
        <f>+LOOKUP(P33,UNIDADES!B$3:B$73,UNIDADES!C$3:C$73)</f>
        <v>#N/A</v>
      </c>
      <c r="S22" s="507" t="e">
        <f>((SUM(J17:J22)/R22))-K22</f>
        <v>#N/A</v>
      </c>
      <c r="T22" s="486">
        <f>(IF(M22=1,(S22*16)))+(IF(M22=2,(S22*17.26))+(IF(M22=3,(S22*17.66))+(IF(M22=4,(S22*18.06))+(IF(M22=5,(S22*18.46))+(IF(M22=6,(S22*18.86))+(IF(M22=7,(S22*19.26))))))))</f>
        <v>0</v>
      </c>
      <c r="W22">
        <v>3</v>
      </c>
      <c r="X22" s="23">
        <v>3.1</v>
      </c>
      <c r="Y22" s="546">
        <v>17.66</v>
      </c>
    </row>
    <row r="23" spans="3:25" x14ac:dyDescent="0.2">
      <c r="C23" s="534"/>
      <c r="D23" s="299"/>
      <c r="E23" s="300"/>
      <c r="F23" s="300"/>
      <c r="G23" s="299"/>
      <c r="H23" s="278"/>
      <c r="I23" s="113"/>
      <c r="J23" s="114"/>
      <c r="K23" s="113"/>
      <c r="L23" s="301"/>
      <c r="M23" s="301"/>
      <c r="N23" s="113"/>
      <c r="O23" s="113"/>
      <c r="P23" s="113"/>
      <c r="Q23" s="302"/>
      <c r="R23" s="251"/>
      <c r="S23" s="303"/>
      <c r="T23" s="302"/>
      <c r="W23">
        <v>4</v>
      </c>
      <c r="X23" s="23">
        <v>3.2</v>
      </c>
      <c r="Y23" s="546">
        <v>18.059999999999999</v>
      </c>
    </row>
    <row r="24" spans="3:25" x14ac:dyDescent="0.2">
      <c r="C24" s="534"/>
      <c r="D24" s="299"/>
      <c r="E24" s="300"/>
      <c r="F24" s="300"/>
      <c r="G24" s="299"/>
      <c r="H24" s="278"/>
      <c r="I24" s="113"/>
      <c r="J24" s="114"/>
      <c r="K24" s="113"/>
      <c r="L24" s="301"/>
      <c r="M24" s="301"/>
      <c r="N24" s="113"/>
      <c r="O24" s="113"/>
      <c r="P24" s="113"/>
      <c r="Q24" s="302"/>
      <c r="R24" s="251"/>
      <c r="S24" s="303"/>
      <c r="T24" s="302"/>
      <c r="W24">
        <v>5</v>
      </c>
      <c r="X24" s="23">
        <v>3.3</v>
      </c>
      <c r="Y24" s="546">
        <v>18.46</v>
      </c>
    </row>
    <row r="25" spans="3:25" hidden="1" x14ac:dyDescent="0.2">
      <c r="C25" s="534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03"/>
      <c r="T25" s="302"/>
      <c r="W25">
        <v>6</v>
      </c>
      <c r="X25" s="23">
        <v>3.4</v>
      </c>
      <c r="Y25" s="546">
        <v>18.86</v>
      </c>
    </row>
    <row r="26" spans="3:25" hidden="1" x14ac:dyDescent="0.2">
      <c r="C26" s="98"/>
      <c r="D26" s="313"/>
      <c r="E26" s="314"/>
      <c r="F26" s="314"/>
      <c r="G26" s="313"/>
      <c r="H26" s="317"/>
      <c r="I26" s="272"/>
      <c r="J26" s="318"/>
      <c r="K26" s="272"/>
      <c r="L26" s="275"/>
      <c r="M26" s="275"/>
      <c r="N26" s="272"/>
      <c r="O26" s="272"/>
      <c r="P26" s="272"/>
      <c r="Q26" s="276"/>
      <c r="R26" s="297"/>
      <c r="S26" s="319"/>
      <c r="T26" s="277"/>
      <c r="W26">
        <v>7</v>
      </c>
      <c r="X26" s="23">
        <v>3.5</v>
      </c>
      <c r="Y26" s="546">
        <v>19.260000000000002</v>
      </c>
    </row>
    <row r="27" spans="3:25" ht="13.5" hidden="1" thickBot="1" x14ac:dyDescent="0.25">
      <c r="C27" s="40"/>
      <c r="D27" s="283"/>
      <c r="E27" s="284"/>
      <c r="F27" s="284"/>
      <c r="G27" s="283"/>
      <c r="H27" s="115"/>
      <c r="I27" s="106"/>
      <c r="J27" s="107"/>
      <c r="K27" s="106"/>
      <c r="L27" s="255"/>
      <c r="M27" s="255"/>
      <c r="N27" s="106"/>
      <c r="O27" s="106"/>
      <c r="P27" s="106"/>
      <c r="Q27" s="256"/>
      <c r="R27" s="216"/>
      <c r="S27" s="285"/>
      <c r="T27" s="257"/>
    </row>
    <row r="28" spans="3:25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22"/>
      <c r="N28" s="22"/>
      <c r="O28" s="22"/>
      <c r="P28" s="22"/>
      <c r="Q28" s="22"/>
      <c r="R28" s="305"/>
      <c r="S28" s="22"/>
      <c r="T28" s="22"/>
    </row>
    <row r="29" spans="3:25" x14ac:dyDescent="0.2">
      <c r="E29" s="794" t="s">
        <v>35</v>
      </c>
      <c r="F29" s="773">
        <f>+'HARO IMPERIAL JOSÉ ANTONIO'!F35:G35</f>
        <v>45936</v>
      </c>
      <c r="G29" s="774"/>
      <c r="H29" s="20">
        <f>+F29+1</f>
        <v>45937</v>
      </c>
      <c r="I29" s="20">
        <f>+H29+1</f>
        <v>45938</v>
      </c>
      <c r="J29" s="20">
        <f>+I29+1</f>
        <v>45939</v>
      </c>
      <c r="K29" s="20">
        <f>+J29+1</f>
        <v>45940</v>
      </c>
      <c r="L29" s="20">
        <f>+K29+2</f>
        <v>45942</v>
      </c>
      <c r="M29" s="547"/>
      <c r="N29" s="21" t="s">
        <v>36</v>
      </c>
    </row>
    <row r="30" spans="3:25" ht="13.5" thickBot="1" x14ac:dyDescent="0.25">
      <c r="C30" s="22"/>
      <c r="E30" s="795"/>
      <c r="F30" s="775">
        <v>0</v>
      </c>
      <c r="G30" s="776"/>
      <c r="H30" s="42">
        <v>0</v>
      </c>
      <c r="I30" s="42"/>
      <c r="J30" s="42">
        <v>0</v>
      </c>
      <c r="K30" s="42">
        <v>0</v>
      </c>
      <c r="L30" s="42">
        <v>0</v>
      </c>
      <c r="M30" s="548"/>
      <c r="N30" s="61">
        <f>+L30+K30+J30+I30+H30+F30</f>
        <v>0</v>
      </c>
      <c r="S30" s="77"/>
      <c r="T30" s="77"/>
    </row>
    <row r="31" spans="3:25" ht="13.5" thickBot="1" x14ac:dyDescent="0.25">
      <c r="I31" s="23"/>
      <c r="T31" s="77"/>
    </row>
    <row r="32" spans="3:25" ht="15.75" thickBot="1" x14ac:dyDescent="0.3">
      <c r="C32" s="825" t="s">
        <v>37</v>
      </c>
      <c r="D32" s="826"/>
      <c r="E32" s="826"/>
      <c r="F32" s="826"/>
      <c r="G32" s="827"/>
      <c r="I32" s="838" t="s">
        <v>38</v>
      </c>
      <c r="J32" s="839"/>
      <c r="K32" s="839"/>
      <c r="L32" s="840"/>
      <c r="M32" s="545"/>
      <c r="O32" s="828" t="s">
        <v>39</v>
      </c>
      <c r="P32" s="829"/>
      <c r="Q32" s="830">
        <f>+F42-L40</f>
        <v>0</v>
      </c>
      <c r="R32" s="831"/>
      <c r="S32" s="832"/>
      <c r="U32" s="77"/>
    </row>
    <row r="33" spans="3:22" ht="13.5" thickBot="1" x14ac:dyDescent="0.25">
      <c r="C33" s="833" t="s">
        <v>207</v>
      </c>
      <c r="D33" s="834"/>
      <c r="E33" s="835"/>
      <c r="F33" s="836">
        <f>SUM(Q18:Q27)</f>
        <v>0</v>
      </c>
      <c r="G33" s="837"/>
      <c r="I33" s="121" t="s">
        <v>106</v>
      </c>
      <c r="J33" s="59" t="s">
        <v>107</v>
      </c>
      <c r="K33" s="59" t="s">
        <v>69</v>
      </c>
      <c r="L33" s="119" t="s">
        <v>108</v>
      </c>
      <c r="M33" s="549"/>
    </row>
    <row r="34" spans="3:22" ht="13.5" thickBot="1" x14ac:dyDescent="0.25">
      <c r="C34" s="843" t="s">
        <v>208</v>
      </c>
      <c r="D34" s="844"/>
      <c r="E34" s="845"/>
      <c r="F34" s="846">
        <f>SUM(T18:T27)</f>
        <v>0</v>
      </c>
      <c r="G34" s="847"/>
      <c r="I34" s="851"/>
      <c r="J34" s="852"/>
      <c r="K34" s="853"/>
      <c r="L34" s="120"/>
      <c r="M34" s="549"/>
      <c r="O34" s="62" t="s">
        <v>69</v>
      </c>
      <c r="P34" s="63" t="s">
        <v>70</v>
      </c>
      <c r="Q34" s="64" t="s">
        <v>71</v>
      </c>
      <c r="R34" s="221"/>
      <c r="S34" s="65" t="s">
        <v>72</v>
      </c>
      <c r="T34" s="63" t="s">
        <v>73</v>
      </c>
      <c r="U34" s="154" t="s">
        <v>117</v>
      </c>
      <c r="V34" s="21" t="s">
        <v>118</v>
      </c>
    </row>
    <row r="35" spans="3:22" x14ac:dyDescent="0.2">
      <c r="C35" s="843" t="s">
        <v>35</v>
      </c>
      <c r="D35" s="844"/>
      <c r="E35" s="845"/>
      <c r="F35" s="846">
        <f>+N30</f>
        <v>0</v>
      </c>
      <c r="G35" s="847"/>
      <c r="I35" s="122"/>
      <c r="J35" s="235"/>
      <c r="K35" s="60"/>
      <c r="L35" s="118"/>
      <c r="M35" s="549"/>
      <c r="O35" s="99"/>
      <c r="P35" s="100"/>
      <c r="Q35" s="187"/>
      <c r="R35" s="187"/>
      <c r="S35" s="38"/>
      <c r="T35" s="100">
        <f>+S35-Q35</f>
        <v>0</v>
      </c>
      <c r="U35" s="201"/>
      <c r="V35" s="21"/>
    </row>
    <row r="36" spans="3:22" x14ac:dyDescent="0.2">
      <c r="C36" s="843" t="s">
        <v>40</v>
      </c>
      <c r="D36" s="844"/>
      <c r="E36" s="845"/>
      <c r="F36" s="846"/>
      <c r="G36" s="847"/>
      <c r="I36" s="124"/>
      <c r="J36" s="18"/>
      <c r="K36" s="60"/>
      <c r="L36" s="118"/>
      <c r="M36" s="549"/>
      <c r="O36" s="44"/>
      <c r="P36" s="69"/>
      <c r="Q36" s="70"/>
      <c r="R36" s="70"/>
      <c r="S36" s="17"/>
      <c r="T36" s="69">
        <f>+S36-Q36</f>
        <v>0</v>
      </c>
      <c r="U36" s="157"/>
      <c r="V36" s="156"/>
    </row>
    <row r="37" spans="3:22" ht="13.5" thickBot="1" x14ac:dyDescent="0.25">
      <c r="C37" s="843" t="s">
        <v>41</v>
      </c>
      <c r="D37" s="844"/>
      <c r="E37" s="845"/>
      <c r="F37" s="846"/>
      <c r="G37" s="847"/>
      <c r="I37" s="124"/>
      <c r="J37" s="60"/>
      <c r="K37" s="60"/>
      <c r="L37" s="118"/>
      <c r="M37" s="549"/>
      <c r="O37" s="71"/>
      <c r="P37" s="72"/>
      <c r="Q37" s="73"/>
      <c r="R37" s="73"/>
      <c r="S37" s="41"/>
      <c r="T37" s="72">
        <f>+S37-Q37</f>
        <v>0</v>
      </c>
      <c r="U37" s="158"/>
      <c r="V37" s="159"/>
    </row>
    <row r="38" spans="3:22" ht="15" x14ac:dyDescent="0.25">
      <c r="C38" s="843" t="s">
        <v>42</v>
      </c>
      <c r="D38" s="844"/>
      <c r="E38" s="845"/>
      <c r="F38" s="846"/>
      <c r="G38" s="847"/>
      <c r="I38" s="124"/>
      <c r="J38" s="60"/>
      <c r="K38" s="60"/>
      <c r="L38" s="118"/>
      <c r="M38" s="549"/>
      <c r="O38" s="200"/>
      <c r="P38" s="200"/>
      <c r="Q38" s="200"/>
      <c r="R38" s="200"/>
      <c r="S38" s="200"/>
      <c r="T38" s="200"/>
      <c r="U38" s="26"/>
    </row>
    <row r="39" spans="3:22" ht="15.75" thickBot="1" x14ac:dyDescent="0.3">
      <c r="C39" s="24" t="s">
        <v>161</v>
      </c>
      <c r="D39" s="25"/>
      <c r="E39" s="25"/>
      <c r="F39" s="846"/>
      <c r="G39" s="847"/>
      <c r="I39" s="124"/>
      <c r="J39" s="60"/>
      <c r="K39" s="60"/>
      <c r="L39" s="118"/>
      <c r="M39" s="549"/>
      <c r="O39" s="200"/>
      <c r="P39" s="200"/>
      <c r="Q39" s="200"/>
      <c r="R39" s="200"/>
      <c r="S39" s="200"/>
      <c r="T39" s="200"/>
      <c r="U39" s="26"/>
    </row>
    <row r="40" spans="3:22" ht="15.75" thickBot="1" x14ac:dyDescent="0.3">
      <c r="C40" s="24" t="s">
        <v>301</v>
      </c>
      <c r="D40" s="25"/>
      <c r="E40" s="25"/>
      <c r="F40" s="846"/>
      <c r="G40" s="847"/>
      <c r="I40" s="848" t="s">
        <v>44</v>
      </c>
      <c r="J40" s="849"/>
      <c r="K40" s="850"/>
      <c r="L40" s="125">
        <f>SUM(L34:L39)</f>
        <v>0</v>
      </c>
      <c r="M40" s="550"/>
      <c r="S40" s="27"/>
      <c r="T40" s="27"/>
      <c r="U40" s="26"/>
    </row>
    <row r="41" spans="3:22" ht="15.75" thickBot="1" x14ac:dyDescent="0.3">
      <c r="C41" s="241" t="s">
        <v>309</v>
      </c>
      <c r="D41" s="242"/>
      <c r="E41" s="242"/>
      <c r="F41" s="841">
        <v>0</v>
      </c>
      <c r="G41" s="842"/>
      <c r="S41" s="27"/>
      <c r="T41" s="27"/>
      <c r="U41" s="26"/>
    </row>
    <row r="42" spans="3:22" ht="15.75" thickBot="1" x14ac:dyDescent="0.3">
      <c r="C42" s="792" t="s">
        <v>45</v>
      </c>
      <c r="D42" s="793"/>
      <c r="E42" s="813"/>
      <c r="F42" s="814">
        <f>+SUM(F33:G41)</f>
        <v>0</v>
      </c>
      <c r="G42" s="815"/>
      <c r="I42" s="19"/>
      <c r="J42" s="19"/>
      <c r="K42" s="19"/>
      <c r="L42" s="19"/>
      <c r="M42" s="19"/>
      <c r="N42" s="19"/>
      <c r="P42" s="27"/>
      <c r="Q42" s="27"/>
      <c r="R42" s="27"/>
      <c r="S42" s="27"/>
      <c r="T42" s="26"/>
    </row>
    <row r="43" spans="3:22" ht="12" customHeight="1" thickBot="1" x14ac:dyDescent="0.3">
      <c r="P43" s="817" t="s">
        <v>61</v>
      </c>
      <c r="Q43" s="818"/>
      <c r="R43" s="27"/>
      <c r="S43" s="27"/>
      <c r="T43" s="26"/>
    </row>
    <row r="44" spans="3:22" ht="15" x14ac:dyDescent="0.25">
      <c r="C44" s="28" t="s">
        <v>46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30"/>
      <c r="P44" s="44">
        <v>1</v>
      </c>
      <c r="Q44" s="69" t="s">
        <v>62</v>
      </c>
      <c r="R44" s="27"/>
      <c r="S44" s="27"/>
      <c r="T44" s="26"/>
    </row>
    <row r="45" spans="3:22" ht="15" x14ac:dyDescent="0.25">
      <c r="C45" s="31"/>
      <c r="N45" s="32"/>
      <c r="P45" s="44">
        <v>2</v>
      </c>
      <c r="Q45" s="69" t="s">
        <v>110</v>
      </c>
      <c r="R45" s="27"/>
      <c r="S45" s="27"/>
      <c r="T45" s="26"/>
    </row>
    <row r="46" spans="3:22" ht="15.75" thickBot="1" x14ac:dyDescent="0.3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5"/>
      <c r="P46" s="71">
        <v>3</v>
      </c>
      <c r="Q46" s="72" t="s">
        <v>109</v>
      </c>
      <c r="R46" s="186"/>
      <c r="S46" s="27"/>
      <c r="T46" s="27"/>
      <c r="U46" s="26"/>
    </row>
    <row r="47" spans="3:22" ht="15" x14ac:dyDescent="0.25">
      <c r="P47" s="27"/>
      <c r="Q47" s="27"/>
      <c r="R47" s="27"/>
      <c r="S47" s="27"/>
      <c r="T47" s="27"/>
      <c r="U47" s="26"/>
    </row>
    <row r="48" spans="3:22" ht="15" x14ac:dyDescent="0.25">
      <c r="P48" s="27"/>
      <c r="Q48" s="27"/>
      <c r="R48" s="27"/>
      <c r="S48" s="27"/>
      <c r="T48" s="27"/>
      <c r="U48" s="26"/>
    </row>
    <row r="49" spans="4:20" ht="13.5" thickBot="1" x14ac:dyDescent="0.25">
      <c r="P49" s="27"/>
      <c r="Q49" s="27"/>
      <c r="R49" s="27"/>
      <c r="S49" s="27"/>
      <c r="T49" s="27"/>
    </row>
    <row r="50" spans="4:20" ht="13.5" thickTop="1" x14ac:dyDescent="0.2">
      <c r="D50" s="816" t="s">
        <v>47</v>
      </c>
      <c r="E50" s="816"/>
      <c r="F50" s="816"/>
      <c r="G50" s="816"/>
      <c r="H50" s="816"/>
      <c r="J50" s="816" t="s">
        <v>48</v>
      </c>
      <c r="K50" s="816"/>
      <c r="L50" s="816"/>
      <c r="M50" s="816"/>
      <c r="N50" s="816"/>
      <c r="P50" s="812"/>
      <c r="Q50" s="812"/>
      <c r="R50" s="812"/>
      <c r="S50" s="812"/>
      <c r="T50" s="812"/>
    </row>
    <row r="51" spans="4:20" x14ac:dyDescent="0.2">
      <c r="P51" s="812"/>
      <c r="Q51" s="812"/>
      <c r="R51" s="812"/>
      <c r="S51" s="812"/>
      <c r="T51" s="812"/>
    </row>
    <row r="52" spans="4:20" x14ac:dyDescent="0.2">
      <c r="P52" s="812"/>
      <c r="Q52" s="812"/>
      <c r="R52" s="812"/>
      <c r="S52" s="812"/>
      <c r="T52" s="812"/>
    </row>
    <row r="53" spans="4:20" x14ac:dyDescent="0.2">
      <c r="P53" s="812"/>
      <c r="Q53" s="812"/>
      <c r="R53" s="812"/>
      <c r="S53" s="812"/>
      <c r="T53" s="812"/>
    </row>
    <row r="54" spans="4:20" ht="15" customHeight="1" x14ac:dyDescent="0.2">
      <c r="P54" s="36"/>
      <c r="Q54" s="36"/>
      <c r="R54" s="36"/>
      <c r="S54" s="36"/>
      <c r="T54" s="36"/>
    </row>
  </sheetData>
  <mergeCells count="49">
    <mergeCell ref="I34:K34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  <mergeCell ref="D16:E16"/>
    <mergeCell ref="E29:E30"/>
    <mergeCell ref="F29:G29"/>
    <mergeCell ref="F30:G30"/>
    <mergeCell ref="C32:G32"/>
    <mergeCell ref="O32:P32"/>
    <mergeCell ref="Q32:S32"/>
    <mergeCell ref="C33:E33"/>
    <mergeCell ref="F33:G33"/>
    <mergeCell ref="I32:L32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P50:T50"/>
    <mergeCell ref="P51:T51"/>
    <mergeCell ref="P52:T52"/>
    <mergeCell ref="P53:T53"/>
    <mergeCell ref="F40:G40"/>
    <mergeCell ref="F41:G41"/>
    <mergeCell ref="D50:H50"/>
    <mergeCell ref="J50:N50"/>
    <mergeCell ref="P43:Q43"/>
    <mergeCell ref="C42:E42"/>
    <mergeCell ref="F42:G42"/>
    <mergeCell ref="I40:K40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62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pageSetUpPr fitToPage="1"/>
  </sheetPr>
  <dimension ref="C1:Z57"/>
  <sheetViews>
    <sheetView zoomScale="85" zoomScaleNormal="85" workbookViewId="0">
      <selection activeCell="N40" sqref="N40"/>
    </sheetView>
  </sheetViews>
  <sheetFormatPr baseColWidth="10" defaultColWidth="9.140625" defaultRowHeight="12.75" x14ac:dyDescent="0.2"/>
  <cols>
    <col min="1" max="1" width="3.42578125" customWidth="1"/>
    <col min="2" max="2" width="3.7109375" customWidth="1"/>
    <col min="3" max="3" width="15" customWidth="1"/>
    <col min="4" max="4" width="13.5703125" bestFit="1" customWidth="1"/>
    <col min="5" max="5" width="11.28515625" customWidth="1"/>
    <col min="6" max="6" width="10.5703125" bestFit="1" customWidth="1"/>
    <col min="7" max="7" width="3.28515625" customWidth="1"/>
    <col min="8" max="8" width="14.7109375" customWidth="1"/>
    <col min="9" max="9" width="14.5703125" customWidth="1"/>
    <col min="10" max="10" width="11.7109375" customWidth="1"/>
    <col min="11" max="11" width="11.42578125" customWidth="1"/>
    <col min="12" max="12" width="14.42578125" bestFit="1" customWidth="1"/>
    <col min="13" max="13" width="13.140625" bestFit="1" customWidth="1"/>
    <col min="14" max="14" width="8.85546875" customWidth="1"/>
    <col min="15" max="15" width="13.140625" customWidth="1"/>
    <col min="16" max="16" width="8.85546875" customWidth="1"/>
    <col min="17" max="17" width="12.140625" bestFit="1" customWidth="1"/>
    <col min="18" max="18" width="14.140625" customWidth="1"/>
    <col min="19" max="19" width="9.85546875" customWidth="1"/>
    <col min="20" max="20" width="11.7109375" bestFit="1" customWidth="1"/>
    <col min="21" max="21" width="7.140625" customWidth="1"/>
    <col min="22" max="22" width="7" customWidth="1"/>
    <col min="23" max="23" width="10.7109375" customWidth="1"/>
    <col min="24" max="25" width="10.140625" customWidth="1"/>
    <col min="26" max="26" width="11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24" ht="13.5" thickBot="1" x14ac:dyDescent="0.25"/>
    <row r="2" spans="4:24" ht="12" customHeight="1" thickBot="1" x14ac:dyDescent="0.3">
      <c r="Q2" s="796" t="s">
        <v>0</v>
      </c>
      <c r="R2" s="797"/>
      <c r="S2" s="798"/>
    </row>
    <row r="3" spans="4:24" ht="19.5" thickBot="1" x14ac:dyDescent="0.35">
      <c r="I3" s="799" t="s">
        <v>1</v>
      </c>
      <c r="J3" s="800"/>
      <c r="K3" s="800"/>
      <c r="L3" s="800"/>
      <c r="M3" s="800"/>
      <c r="N3" s="800"/>
      <c r="O3" s="801"/>
      <c r="Q3" s="802">
        <f>+'RUIZ HERRERA ERICK '!Q3:S3</f>
        <v>42</v>
      </c>
      <c r="R3" s="803"/>
      <c r="S3" s="804"/>
    </row>
    <row r="4" spans="4:24" ht="16.5" thickBot="1" x14ac:dyDescent="0.3">
      <c r="I4" s="805" t="s">
        <v>2</v>
      </c>
      <c r="J4" s="806"/>
      <c r="K4" s="806"/>
      <c r="L4" s="806"/>
      <c r="M4" s="806"/>
      <c r="N4" s="806"/>
      <c r="O4" s="807"/>
      <c r="Q4" s="811"/>
      <c r="R4" s="811"/>
      <c r="S4" s="811"/>
    </row>
    <row r="5" spans="4:24" ht="13.5" thickBot="1" x14ac:dyDescent="0.25">
      <c r="I5" s="808" t="s">
        <v>3</v>
      </c>
      <c r="J5" s="809"/>
      <c r="K5" s="809"/>
      <c r="L5" s="809"/>
      <c r="M5" s="809"/>
      <c r="N5" s="809"/>
      <c r="O5" s="810"/>
      <c r="Q5" s="783" t="s">
        <v>4</v>
      </c>
      <c r="R5" s="784"/>
      <c r="S5" s="785"/>
    </row>
    <row r="6" spans="4:24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780">
        <f>+'MARTA RUBIO MARTIN'!Q6+1</f>
        <v>6</v>
      </c>
      <c r="R6" s="781"/>
      <c r="S6" s="782"/>
    </row>
    <row r="7" spans="4:24" ht="9" customHeight="1" x14ac:dyDescent="0.2"/>
    <row r="8" spans="4:24" ht="6.75" customHeight="1" thickBot="1" x14ac:dyDescent="0.25"/>
    <row r="9" spans="4:24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24" ht="11.25" customHeight="1" thickBot="1" x14ac:dyDescent="0.25"/>
    <row r="11" spans="4:24" x14ac:dyDescent="0.2">
      <c r="D11" s="1" t="s">
        <v>7</v>
      </c>
      <c r="E11" s="2" t="s">
        <v>278</v>
      </c>
      <c r="F11" s="2"/>
      <c r="G11" s="2"/>
      <c r="H11" s="2"/>
      <c r="I11" s="2"/>
      <c r="J11" s="3"/>
      <c r="K11" s="4" t="s">
        <v>9</v>
      </c>
      <c r="L11" s="786" t="str">
        <f>+NOMINA!B3</f>
        <v>SEMANA #42 PERIODO DEL 06 AL 12 DE OCTUBRE  DEL 2025</v>
      </c>
      <c r="M11" s="786"/>
      <c r="N11" s="786"/>
      <c r="O11" s="786"/>
      <c r="P11" s="786"/>
      <c r="Q11" s="786"/>
      <c r="R11" s="786"/>
      <c r="S11" s="787"/>
    </row>
    <row r="12" spans="4:24" x14ac:dyDescent="0.2">
      <c r="D12" s="5" t="s">
        <v>10</v>
      </c>
      <c r="E12" s="788" t="s">
        <v>166</v>
      </c>
      <c r="F12" s="78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  <c r="X12" s="22"/>
    </row>
    <row r="13" spans="4:24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24" x14ac:dyDescent="0.2">
      <c r="D14" s="790" t="s">
        <v>11</v>
      </c>
      <c r="E14" s="791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24" x14ac:dyDescent="0.2">
      <c r="D15" s="790" t="s">
        <v>14</v>
      </c>
      <c r="E15" s="791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24" ht="13.5" thickBot="1" x14ac:dyDescent="0.25">
      <c r="D16" s="792" t="s">
        <v>17</v>
      </c>
      <c r="E16" s="793"/>
      <c r="F16" s="12">
        <f>SUM(J19:J30)</f>
        <v>0</v>
      </c>
      <c r="G16" s="12"/>
      <c r="H16" s="12"/>
      <c r="I16" s="13" t="s">
        <v>18</v>
      </c>
      <c r="J16" s="12">
        <f>SUM(K19:K30)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ht="12.75" customHeight="1" x14ac:dyDescent="0.2">
      <c r="C19" s="52"/>
      <c r="D19" s="279"/>
      <c r="E19" s="280"/>
      <c r="F19" s="280"/>
      <c r="G19" s="279"/>
      <c r="H19" s="131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131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132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131"/>
      <c r="L19" s="580"/>
      <c r="M19" s="580"/>
      <c r="N19" s="131"/>
      <c r="O19" s="131"/>
      <c r="P19" s="131"/>
      <c r="Q19" s="194">
        <f t="shared" ref="Q19:Q20" si="0">(IF(N19=1,(J19*0.3)))+(IF(N19=2,(J19*0.15))+(IF(N19=3,(J19*0.15))))</f>
        <v>0</v>
      </c>
      <c r="R19" s="215"/>
      <c r="S19" s="195"/>
      <c r="T19" s="196"/>
      <c r="W19">
        <v>1</v>
      </c>
      <c r="X19" s="23">
        <v>2.9</v>
      </c>
      <c r="Y19" s="546">
        <v>16</v>
      </c>
    </row>
    <row r="20" spans="3:25" ht="13.5" thickBot="1" x14ac:dyDescent="0.25">
      <c r="C20" s="96"/>
      <c r="D20" s="281"/>
      <c r="E20" s="282"/>
      <c r="F20" s="282"/>
      <c r="G20" s="281"/>
      <c r="H20" s="1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83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1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83"/>
      <c r="L20" s="646" t="e">
        <f>SUM(J19:J20)/K20</f>
        <v>#DIV/0!</v>
      </c>
      <c r="M20" s="646"/>
      <c r="N20" s="183"/>
      <c r="O20" s="183"/>
      <c r="P20" s="183"/>
      <c r="Q20" s="270">
        <f t="shared" si="0"/>
        <v>0</v>
      </c>
      <c r="R20" s="516" t="e">
        <f>+LOOKUP(P38,UNIDADES!B$3:B$73,UNIDADES!C$3:C$73)</f>
        <v>#N/A</v>
      </c>
      <c r="S20" s="517" t="e">
        <f>((SUM(J19:J20)/R20))-K20</f>
        <v>#N/A</v>
      </c>
      <c r="T20" s="271">
        <f>(IF(M20=1,(S20*16)))+(IF(M20=2,(S20*17.26))+(IF(M20=3,(S20*17.66))+(IF(M20=4,(S20*18.06))+(IF(M20=5,(S20*18.46))+(IF(M20=6,(S20*18.86))+(IF(M20=7,(S20*19.26))))))))</f>
        <v>0</v>
      </c>
      <c r="W20">
        <v>3</v>
      </c>
      <c r="X20" s="23">
        <v>3.1</v>
      </c>
      <c r="Y20" s="546">
        <v>17.46</v>
      </c>
    </row>
    <row r="21" spans="3:25" x14ac:dyDescent="0.2">
      <c r="C21" s="52"/>
      <c r="D21" s="279"/>
      <c r="E21" s="280"/>
      <c r="F21" s="280"/>
      <c r="G21" s="279"/>
      <c r="H21" s="131"/>
      <c r="I21" s="131"/>
      <c r="J21" s="132"/>
      <c r="K21" s="131"/>
      <c r="L21" s="580"/>
      <c r="M21" s="580"/>
      <c r="N21" s="131"/>
      <c r="O21" s="131"/>
      <c r="P21" s="131"/>
      <c r="Q21" s="194"/>
      <c r="R21" s="215"/>
      <c r="S21" s="195"/>
      <c r="T21" s="196"/>
      <c r="U21" s="22"/>
      <c r="X21" s="23"/>
      <c r="Y21" s="546"/>
    </row>
    <row r="22" spans="3:25" ht="13.5" thickBot="1" x14ac:dyDescent="0.25">
      <c r="C22" s="40"/>
      <c r="D22" s="283"/>
      <c r="E22" s="284"/>
      <c r="F22" s="284"/>
      <c r="G22" s="283"/>
      <c r="H22" s="106"/>
      <c r="I22" s="106"/>
      <c r="J22" s="107"/>
      <c r="K22" s="106"/>
      <c r="L22" s="311"/>
      <c r="M22" s="311"/>
      <c r="N22" s="106"/>
      <c r="O22" s="106"/>
      <c r="P22" s="106"/>
      <c r="Q22" s="256"/>
      <c r="R22" s="216"/>
      <c r="S22" s="202"/>
      <c r="T22" s="257"/>
      <c r="W22">
        <v>4</v>
      </c>
      <c r="X22" s="23">
        <v>3.2</v>
      </c>
      <c r="Y22" s="546">
        <v>18.059999999999999</v>
      </c>
    </row>
    <row r="23" spans="3:25" x14ac:dyDescent="0.2">
      <c r="C23" s="48"/>
      <c r="D23" s="293"/>
      <c r="E23" s="294"/>
      <c r="F23" s="294"/>
      <c r="G23" s="293"/>
      <c r="H23" s="180"/>
      <c r="I23" s="180"/>
      <c r="J23" s="181"/>
      <c r="K23" s="180"/>
      <c r="L23" s="307"/>
      <c r="M23" s="307"/>
      <c r="N23" s="180"/>
      <c r="O23" s="180"/>
      <c r="P23" s="180"/>
      <c r="Q23" s="296"/>
      <c r="R23" s="297"/>
      <c r="S23" s="316"/>
      <c r="T23" s="298"/>
      <c r="U23" s="22"/>
      <c r="W23">
        <v>5</v>
      </c>
      <c r="X23" s="23">
        <v>3.3</v>
      </c>
      <c r="Y23" s="546">
        <v>18.46</v>
      </c>
    </row>
    <row r="24" spans="3:25" ht="13.5" thickBot="1" x14ac:dyDescent="0.25">
      <c r="C24" s="40"/>
      <c r="D24" s="283"/>
      <c r="E24" s="284"/>
      <c r="F24" s="284"/>
      <c r="G24" s="283"/>
      <c r="H24" s="115"/>
      <c r="I24" s="106"/>
      <c r="J24" s="107"/>
      <c r="K24" s="106"/>
      <c r="L24" s="255"/>
      <c r="M24" s="255"/>
      <c r="N24" s="106"/>
      <c r="O24" s="106"/>
      <c r="P24" s="106"/>
      <c r="Q24" s="256"/>
      <c r="R24" s="216"/>
      <c r="S24" s="312"/>
      <c r="T24" s="257"/>
      <c r="W24">
        <v>6</v>
      </c>
      <c r="X24" s="23">
        <v>3.4</v>
      </c>
      <c r="Y24" s="546">
        <v>18.86</v>
      </c>
    </row>
    <row r="25" spans="3:25" x14ac:dyDescent="0.2">
      <c r="C25" s="48"/>
      <c r="D25" s="293"/>
      <c r="E25" s="294"/>
      <c r="F25" s="294"/>
      <c r="G25" s="293"/>
      <c r="H25" s="197"/>
      <c r="I25" s="180"/>
      <c r="J25" s="181"/>
      <c r="K25" s="180"/>
      <c r="L25" s="295"/>
      <c r="M25" s="295"/>
      <c r="N25" s="180"/>
      <c r="O25" s="180"/>
      <c r="P25" s="180"/>
      <c r="Q25" s="296"/>
      <c r="R25" s="297"/>
      <c r="S25" s="308"/>
      <c r="T25" s="298"/>
      <c r="W25">
        <v>7</v>
      </c>
      <c r="X25" s="23">
        <v>3.5</v>
      </c>
      <c r="Y25" s="546">
        <v>19.260000000000002</v>
      </c>
    </row>
    <row r="26" spans="3:25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304"/>
    </row>
    <row r="27" spans="3:25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5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304"/>
    </row>
    <row r="29" spans="3:25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304"/>
    </row>
    <row r="30" spans="3:25" ht="13.5" thickBot="1" x14ac:dyDescent="0.25">
      <c r="C30" s="40"/>
      <c r="D30" s="283"/>
      <c r="E30" s="284"/>
      <c r="F30" s="284"/>
      <c r="G30" s="283"/>
      <c r="H30" s="115"/>
      <c r="I30" s="106"/>
      <c r="J30" s="107"/>
      <c r="K30" s="106"/>
      <c r="L30" s="255"/>
      <c r="M30" s="255"/>
      <c r="N30" s="106"/>
      <c r="O30" s="106"/>
      <c r="P30" s="106"/>
      <c r="Q30" s="256"/>
      <c r="R30" s="216"/>
      <c r="S30" s="312"/>
      <c r="T30" s="257"/>
    </row>
    <row r="31" spans="3:25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22"/>
      <c r="Q31" s="22"/>
      <c r="R31" s="305"/>
      <c r="S31" s="22"/>
      <c r="T31" s="22"/>
    </row>
    <row r="32" spans="3:25" x14ac:dyDescent="0.2">
      <c r="E32" s="794" t="s">
        <v>35</v>
      </c>
      <c r="F32" s="773">
        <f>+'GONZALEZ MARTINEZ MAURICIO'!F32:G32</f>
        <v>45936</v>
      </c>
      <c r="G32" s="774"/>
      <c r="H32" s="20">
        <f>+F32+1</f>
        <v>45937</v>
      </c>
      <c r="I32" s="20">
        <f>+H32+1</f>
        <v>45938</v>
      </c>
      <c r="J32" s="20">
        <f>+I32+1</f>
        <v>45939</v>
      </c>
      <c r="K32" s="20">
        <f>+J32+1</f>
        <v>45940</v>
      </c>
      <c r="L32" s="20">
        <f>+K32+2</f>
        <v>45942</v>
      </c>
      <c r="M32" s="547"/>
      <c r="N32" s="21" t="s">
        <v>84</v>
      </c>
      <c r="S32" s="77"/>
    </row>
    <row r="33" spans="3:26" ht="13.5" thickBot="1" x14ac:dyDescent="0.25">
      <c r="C33" s="22"/>
      <c r="E33" s="795"/>
      <c r="F33" s="775">
        <v>0</v>
      </c>
      <c r="G33" s="776"/>
      <c r="H33" s="42">
        <v>0</v>
      </c>
      <c r="I33" s="42">
        <v>0</v>
      </c>
      <c r="J33" s="42"/>
      <c r="K33" s="42">
        <v>0</v>
      </c>
      <c r="L33" s="42">
        <v>0</v>
      </c>
      <c r="M33" s="548"/>
      <c r="N33" s="61">
        <f>SUM(F33:L33)</f>
        <v>0</v>
      </c>
      <c r="S33" s="77"/>
    </row>
    <row r="34" spans="3:26" ht="13.5" thickBot="1" x14ac:dyDescent="0.25">
      <c r="I34" s="23"/>
      <c r="S34" s="77"/>
      <c r="V34" s="77"/>
      <c r="W34" s="22"/>
    </row>
    <row r="35" spans="3:26" ht="15.75" thickBot="1" x14ac:dyDescent="0.3">
      <c r="C35" s="825" t="s">
        <v>37</v>
      </c>
      <c r="D35" s="826"/>
      <c r="E35" s="826"/>
      <c r="F35" s="826"/>
      <c r="G35" s="827"/>
      <c r="I35" s="838" t="s">
        <v>38</v>
      </c>
      <c r="J35" s="839"/>
      <c r="K35" s="839"/>
      <c r="L35" s="840"/>
      <c r="M35" s="545"/>
      <c r="O35" s="828" t="s">
        <v>39</v>
      </c>
      <c r="P35" s="829"/>
      <c r="Q35" s="875">
        <f>+(F45-L43)</f>
        <v>0</v>
      </c>
      <c r="R35" s="876"/>
      <c r="S35" s="877"/>
      <c r="T35" s="77"/>
      <c r="U35" s="77"/>
      <c r="W35" s="77"/>
      <c r="Z35" s="77"/>
    </row>
    <row r="36" spans="3:26" ht="13.5" thickBot="1" x14ac:dyDescent="0.25">
      <c r="C36" s="833" t="s">
        <v>207</v>
      </c>
      <c r="D36" s="834"/>
      <c r="E36" s="835"/>
      <c r="F36" s="836">
        <f>SUM(Q18:Q30)</f>
        <v>0</v>
      </c>
      <c r="G36" s="837"/>
      <c r="I36" s="121" t="s">
        <v>106</v>
      </c>
      <c r="J36" s="59" t="s">
        <v>107</v>
      </c>
      <c r="K36" s="59" t="s">
        <v>69</v>
      </c>
      <c r="L36" s="119" t="s">
        <v>108</v>
      </c>
      <c r="M36" s="549"/>
    </row>
    <row r="37" spans="3:26" ht="13.5" thickBot="1" x14ac:dyDescent="0.25">
      <c r="C37" s="843" t="s">
        <v>208</v>
      </c>
      <c r="D37" s="844"/>
      <c r="E37" s="845"/>
      <c r="F37" s="846">
        <f>SUM(T18:T30)</f>
        <v>0</v>
      </c>
      <c r="G37" s="847"/>
      <c r="I37" s="851"/>
      <c r="J37" s="852"/>
      <c r="K37" s="853"/>
      <c r="L37" s="120"/>
      <c r="M37" s="549"/>
      <c r="O37" s="62" t="s">
        <v>258</v>
      </c>
      <c r="P37" s="63" t="s">
        <v>70</v>
      </c>
      <c r="Q37" s="64" t="s">
        <v>71</v>
      </c>
      <c r="R37" s="64"/>
      <c r="S37" s="65" t="s">
        <v>72</v>
      </c>
      <c r="T37" s="63" t="s">
        <v>73</v>
      </c>
      <c r="U37" s="62" t="s">
        <v>265</v>
      </c>
      <c r="V37" s="63" t="s">
        <v>264</v>
      </c>
    </row>
    <row r="38" spans="3:26" x14ac:dyDescent="0.2">
      <c r="C38" s="843" t="s">
        <v>35</v>
      </c>
      <c r="D38" s="844"/>
      <c r="E38" s="845"/>
      <c r="F38" s="846">
        <f>+N33</f>
        <v>0</v>
      </c>
      <c r="G38" s="847"/>
      <c r="I38" s="854"/>
      <c r="J38" s="855"/>
      <c r="K38" s="856"/>
      <c r="L38" s="118"/>
      <c r="M38" s="549"/>
      <c r="O38" s="66"/>
      <c r="P38" s="67"/>
      <c r="Q38" s="68"/>
      <c r="R38" s="68"/>
      <c r="S38" s="51"/>
      <c r="T38" s="67">
        <f>+S38-Q38</f>
        <v>0</v>
      </c>
      <c r="U38" s="203"/>
      <c r="V38" s="204"/>
    </row>
    <row r="39" spans="3:26" x14ac:dyDescent="0.2">
      <c r="C39" s="843" t="s">
        <v>40</v>
      </c>
      <c r="D39" s="844"/>
      <c r="E39" s="845"/>
      <c r="F39" s="846"/>
      <c r="G39" s="847"/>
      <c r="I39" s="124"/>
      <c r="J39" s="235"/>
      <c r="K39" s="60"/>
      <c r="L39" s="118"/>
      <c r="M39" s="549"/>
      <c r="O39" s="44"/>
      <c r="P39" s="69"/>
      <c r="Q39" s="70"/>
      <c r="R39" s="70"/>
      <c r="S39" s="17"/>
      <c r="T39" s="69">
        <f>+S39-Q39</f>
        <v>0</v>
      </c>
      <c r="U39" s="157"/>
      <c r="V39" s="156"/>
    </row>
    <row r="40" spans="3:26" ht="13.5" thickBot="1" x14ac:dyDescent="0.25">
      <c r="C40" s="843" t="s">
        <v>41</v>
      </c>
      <c r="D40" s="844"/>
      <c r="E40" s="845"/>
      <c r="F40" s="846"/>
      <c r="G40" s="847"/>
      <c r="I40" s="124"/>
      <c r="J40" s="235"/>
      <c r="K40" s="60"/>
      <c r="L40" s="118"/>
      <c r="M40" s="549"/>
      <c r="O40" s="71"/>
      <c r="P40" s="72"/>
      <c r="Q40" s="73"/>
      <c r="R40" s="73"/>
      <c r="S40" s="41"/>
      <c r="T40" s="72">
        <f>+S40-Q40</f>
        <v>0</v>
      </c>
      <c r="U40" s="158"/>
      <c r="V40" s="159"/>
    </row>
    <row r="41" spans="3:26" ht="15" x14ac:dyDescent="0.25">
      <c r="C41" s="843" t="s">
        <v>42</v>
      </c>
      <c r="D41" s="844"/>
      <c r="E41" s="845"/>
      <c r="F41" s="846"/>
      <c r="G41" s="847"/>
      <c r="I41" s="124"/>
      <c r="J41" s="60"/>
      <c r="K41" s="60"/>
      <c r="L41" s="118"/>
      <c r="M41" s="549"/>
      <c r="P41" s="27"/>
      <c r="Q41" s="27"/>
      <c r="R41" s="27"/>
      <c r="S41" s="27"/>
      <c r="T41" s="27"/>
      <c r="U41" s="26"/>
    </row>
    <row r="42" spans="3:26" ht="15.75" thickBot="1" x14ac:dyDescent="0.3">
      <c r="C42" s="24" t="s">
        <v>161</v>
      </c>
      <c r="D42" s="25"/>
      <c r="E42" s="25"/>
      <c r="F42" s="846">
        <v>0</v>
      </c>
      <c r="G42" s="847"/>
      <c r="I42" s="124"/>
      <c r="J42" s="60"/>
      <c r="K42" s="60"/>
      <c r="L42" s="118"/>
      <c r="M42" s="549"/>
      <c r="T42" s="27"/>
      <c r="U42" s="26"/>
    </row>
    <row r="43" spans="3:26" ht="15.75" thickBot="1" x14ac:dyDescent="0.3">
      <c r="C43" s="24" t="s">
        <v>282</v>
      </c>
      <c r="D43" s="25"/>
      <c r="E43" s="25"/>
      <c r="F43" s="846">
        <v>0</v>
      </c>
      <c r="G43" s="847"/>
      <c r="I43" s="848" t="s">
        <v>44</v>
      </c>
      <c r="J43" s="849"/>
      <c r="K43" s="850"/>
      <c r="L43" s="125">
        <f>SUM(L37:L42)</f>
        <v>0</v>
      </c>
      <c r="M43" s="550"/>
      <c r="T43" s="27"/>
      <c r="U43" s="26"/>
    </row>
    <row r="44" spans="3:26" ht="15.75" thickBot="1" x14ac:dyDescent="0.3">
      <c r="C44" s="241"/>
      <c r="D44" s="242"/>
      <c r="E44" s="242"/>
      <c r="F44" s="841"/>
      <c r="G44" s="842"/>
      <c r="T44" s="27"/>
      <c r="U44" s="26"/>
    </row>
    <row r="45" spans="3:26" ht="15.75" thickBot="1" x14ac:dyDescent="0.3">
      <c r="C45" s="792" t="s">
        <v>45</v>
      </c>
      <c r="D45" s="793"/>
      <c r="E45" s="813"/>
      <c r="F45" s="814">
        <f>SUM(F36:G44)</f>
        <v>0</v>
      </c>
      <c r="G45" s="815"/>
      <c r="I45" s="19"/>
      <c r="J45" s="19"/>
      <c r="K45" s="19"/>
      <c r="L45" s="19"/>
      <c r="M45" s="19"/>
      <c r="N45" s="19"/>
      <c r="P45" s="817" t="s">
        <v>61</v>
      </c>
      <c r="Q45" s="818"/>
      <c r="R45" s="27"/>
      <c r="S45" s="27"/>
      <c r="T45" s="26"/>
    </row>
    <row r="46" spans="3:26" ht="12" customHeight="1" thickBot="1" x14ac:dyDescent="0.3">
      <c r="P46" s="44">
        <v>1</v>
      </c>
      <c r="Q46" s="69" t="s">
        <v>62</v>
      </c>
      <c r="R46" s="27"/>
      <c r="S46" s="27"/>
      <c r="T46" s="26"/>
    </row>
    <row r="47" spans="3:26" ht="15" x14ac:dyDescent="0.25">
      <c r="C47" s="28" t="s">
        <v>46</v>
      </c>
      <c r="D47" s="29"/>
      <c r="E47" s="198"/>
      <c r="F47" s="29"/>
      <c r="G47" s="29"/>
      <c r="H47" s="29"/>
      <c r="I47" s="29"/>
      <c r="J47" s="29"/>
      <c r="K47" s="29"/>
      <c r="L47" s="29"/>
      <c r="M47" s="29"/>
      <c r="N47" s="30"/>
      <c r="P47" s="44">
        <v>2</v>
      </c>
      <c r="Q47" s="69" t="s">
        <v>110</v>
      </c>
      <c r="R47" s="27"/>
      <c r="S47" s="27"/>
      <c r="T47" s="26"/>
    </row>
    <row r="48" spans="3:26" ht="15.75" thickBot="1" x14ac:dyDescent="0.3">
      <c r="C48" s="31"/>
      <c r="N48" s="32"/>
      <c r="P48" s="71">
        <v>3</v>
      </c>
      <c r="Q48" s="72" t="s">
        <v>109</v>
      </c>
      <c r="R48" s="27"/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  <c r="P49" s="27"/>
      <c r="Q49" s="27"/>
      <c r="R49" s="27"/>
      <c r="S49" s="27"/>
      <c r="T49" s="27"/>
      <c r="U49" s="26"/>
    </row>
    <row r="50" spans="3:21" ht="15" x14ac:dyDescent="0.25">
      <c r="P50" s="27"/>
      <c r="Q50" s="27"/>
      <c r="R50" s="27"/>
      <c r="S50" s="27"/>
      <c r="T50" s="37"/>
      <c r="U50" s="26"/>
    </row>
    <row r="51" spans="3:21" ht="15" x14ac:dyDescent="0.25">
      <c r="P51" s="27"/>
      <c r="Q51" s="27"/>
      <c r="R51" s="27"/>
      <c r="S51" s="27"/>
      <c r="T51" s="37"/>
      <c r="U51" s="26"/>
    </row>
    <row r="52" spans="3:21" ht="13.5" thickBot="1" x14ac:dyDescent="0.25">
      <c r="P52" s="27"/>
      <c r="Q52" s="27"/>
      <c r="R52" s="27"/>
      <c r="S52" s="27"/>
      <c r="T52" s="37"/>
    </row>
    <row r="53" spans="3:21" ht="13.5" thickTop="1" x14ac:dyDescent="0.2">
      <c r="D53" s="816" t="s">
        <v>47</v>
      </c>
      <c r="E53" s="816"/>
      <c r="F53" s="816"/>
      <c r="G53" s="816"/>
      <c r="H53" s="816"/>
      <c r="J53" s="816" t="s">
        <v>48</v>
      </c>
      <c r="K53" s="816"/>
      <c r="L53" s="816"/>
      <c r="M53" s="816"/>
      <c r="N53" s="816"/>
      <c r="P53" s="37"/>
      <c r="Q53" s="37"/>
      <c r="R53" s="37"/>
      <c r="S53" s="37"/>
      <c r="T53" s="37"/>
    </row>
    <row r="54" spans="3:21" x14ac:dyDescent="0.2">
      <c r="P54" s="37"/>
      <c r="Q54" s="37"/>
      <c r="R54" s="37"/>
      <c r="S54" s="37"/>
      <c r="T54" s="36"/>
    </row>
    <row r="55" spans="3:21" x14ac:dyDescent="0.2">
      <c r="P55" s="37"/>
      <c r="Q55" s="37"/>
      <c r="R55" s="37"/>
      <c r="S55" s="37"/>
    </row>
    <row r="56" spans="3:21" x14ac:dyDescent="0.2">
      <c r="P56" s="37"/>
      <c r="Q56" s="37"/>
      <c r="R56" s="37"/>
      <c r="S56" s="37"/>
    </row>
    <row r="57" spans="3:21" ht="15" customHeight="1" x14ac:dyDescent="0.2">
      <c r="P57" s="36"/>
      <c r="Q57" s="36"/>
      <c r="R57" s="36"/>
      <c r="S57" s="36"/>
    </row>
  </sheetData>
  <mergeCells count="46">
    <mergeCell ref="C45:E45"/>
    <mergeCell ref="F45:G45"/>
    <mergeCell ref="C35:G35"/>
    <mergeCell ref="P45:Q45"/>
    <mergeCell ref="O35:P35"/>
    <mergeCell ref="Q35:S35"/>
    <mergeCell ref="C36:E36"/>
    <mergeCell ref="F36:G36"/>
    <mergeCell ref="I35:L35"/>
    <mergeCell ref="I37:K37"/>
    <mergeCell ref="I38:K38"/>
    <mergeCell ref="D53:H53"/>
    <mergeCell ref="J53:N53"/>
    <mergeCell ref="F43:G43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F42:G42"/>
    <mergeCell ref="I43:K43"/>
    <mergeCell ref="F44:G44"/>
    <mergeCell ref="D14:E14"/>
    <mergeCell ref="D15:E15"/>
    <mergeCell ref="D16:E16"/>
    <mergeCell ref="E32:E33"/>
    <mergeCell ref="F32:G32"/>
    <mergeCell ref="F33:G33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</mergeCells>
  <pageMargins left="0.19685039370078741" right="0.19685039370078741" top="0.35433070866141736" bottom="0.35433070866141736" header="0.31496062992125984" footer="0.31496062992125984"/>
  <pageSetup paperSize="9" scale="71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pageSetUpPr fitToPage="1"/>
  </sheetPr>
  <dimension ref="C1:Z58"/>
  <sheetViews>
    <sheetView topLeftCell="A8" zoomScaleNormal="100" workbookViewId="0">
      <selection activeCell="I37" sqref="I37:L39"/>
    </sheetView>
  </sheetViews>
  <sheetFormatPr baseColWidth="10" defaultColWidth="9.140625" defaultRowHeight="12.75" x14ac:dyDescent="0.2"/>
  <cols>
    <col min="1" max="1" width="2.42578125" customWidth="1"/>
    <col min="2" max="2" width="3.140625" customWidth="1"/>
    <col min="3" max="3" width="11.7109375" customWidth="1"/>
    <col min="4" max="4" width="11.42578125" customWidth="1"/>
    <col min="5" max="5" width="7.7109375" bestFit="1" customWidth="1"/>
    <col min="6" max="6" width="9" customWidth="1"/>
    <col min="7" max="7" width="3" bestFit="1" customWidth="1"/>
    <col min="8" max="8" width="11.42578125" customWidth="1"/>
    <col min="9" max="9" width="14.140625" customWidth="1"/>
    <col min="10" max="11" width="10" customWidth="1"/>
    <col min="12" max="13" width="12.28515625" customWidth="1"/>
    <col min="14" max="14" width="12.5703125" customWidth="1"/>
    <col min="15" max="15" width="10.7109375" customWidth="1"/>
    <col min="16" max="17" width="13" bestFit="1" customWidth="1"/>
    <col min="18" max="18" width="13" hidden="1" customWidth="1"/>
    <col min="19" max="19" width="9.5703125" customWidth="1"/>
    <col min="20" max="20" width="11.5703125" customWidth="1"/>
    <col min="21" max="21" width="9.7109375" hidden="1" customWidth="1"/>
    <col min="22" max="22" width="10.5703125" hidden="1" customWidth="1"/>
    <col min="23" max="23" width="10.7109375" hidden="1" customWidth="1"/>
    <col min="24" max="24" width="11.140625" customWidth="1"/>
    <col min="25" max="28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6" t="s">
        <v>0</v>
      </c>
      <c r="R2" s="797"/>
      <c r="S2" s="798"/>
    </row>
    <row r="3" spans="4:19" ht="19.5" thickBot="1" x14ac:dyDescent="0.35">
      <c r="I3" s="799" t="s">
        <v>1</v>
      </c>
      <c r="J3" s="800"/>
      <c r="K3" s="800"/>
      <c r="L3" s="800"/>
      <c r="M3" s="800"/>
      <c r="N3" s="800"/>
      <c r="O3" s="801"/>
      <c r="Q3" s="802">
        <f>+'RUIZ HERRERA ERICK '!Q3:S3</f>
        <v>42</v>
      </c>
      <c r="R3" s="803"/>
      <c r="S3" s="804"/>
    </row>
    <row r="4" spans="4:19" ht="16.5" thickBot="1" x14ac:dyDescent="0.3">
      <c r="I4" s="805" t="s">
        <v>2</v>
      </c>
      <c r="J4" s="806"/>
      <c r="K4" s="806"/>
      <c r="L4" s="806"/>
      <c r="M4" s="806"/>
      <c r="N4" s="806"/>
      <c r="O4" s="807"/>
      <c r="Q4" s="811"/>
      <c r="R4" s="811"/>
      <c r="S4" s="811"/>
    </row>
    <row r="5" spans="4:19" ht="13.5" thickBot="1" x14ac:dyDescent="0.25">
      <c r="I5" s="808" t="s">
        <v>3</v>
      </c>
      <c r="J5" s="809"/>
      <c r="K5" s="809"/>
      <c r="L5" s="809"/>
      <c r="M5" s="809"/>
      <c r="N5" s="809"/>
      <c r="O5" s="810"/>
      <c r="Q5" s="783" t="s">
        <v>4</v>
      </c>
      <c r="R5" s="784"/>
      <c r="S5" s="785"/>
    </row>
    <row r="6" spans="4:19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780">
        <f>+'PACHECO BAÑUELOS ALFONSO'!Q6+1</f>
        <v>3</v>
      </c>
      <c r="R6" s="781"/>
      <c r="S6" s="782"/>
    </row>
    <row r="7" spans="4:19" ht="9" customHeight="1" x14ac:dyDescent="0.2"/>
    <row r="8" spans="4:19" ht="6.75" customHeight="1" thickBot="1" x14ac:dyDescent="0.25"/>
    <row r="9" spans="4:19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19" ht="11.25" customHeight="1" thickBot="1" x14ac:dyDescent="0.25"/>
    <row r="11" spans="4:19" x14ac:dyDescent="0.2">
      <c r="D11" s="1" t="s">
        <v>7</v>
      </c>
      <c r="E11" s="2" t="s">
        <v>8</v>
      </c>
      <c r="F11" s="2"/>
      <c r="G11" s="2"/>
      <c r="H11" s="2"/>
      <c r="I11" s="2"/>
      <c r="J11" s="3"/>
      <c r="K11" s="4" t="s">
        <v>9</v>
      </c>
      <c r="L11" s="786" t="str">
        <f>+NOMINA!B3</f>
        <v>SEMANA #42 PERIODO DEL 06 AL 12 DE OCTUBRE  DEL 2025</v>
      </c>
      <c r="M11" s="786"/>
      <c r="N11" s="786"/>
      <c r="O11" s="786"/>
      <c r="P11" s="786"/>
      <c r="Q11" s="786"/>
      <c r="R11" s="786"/>
      <c r="S11" s="787"/>
    </row>
    <row r="12" spans="4:19" x14ac:dyDescent="0.2">
      <c r="D12" s="5" t="s">
        <v>10</v>
      </c>
      <c r="E12" s="788" t="s">
        <v>232</v>
      </c>
      <c r="F12" s="78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90" t="s">
        <v>11</v>
      </c>
      <c r="E14" s="791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90" t="s">
        <v>14</v>
      </c>
      <c r="E15" s="791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92" t="s">
        <v>17</v>
      </c>
      <c r="E16" s="793"/>
      <c r="F16" s="12">
        <f>SUM(J19:J30)</f>
        <v>4702</v>
      </c>
      <c r="G16" s="12"/>
      <c r="H16" s="12"/>
      <c r="I16" s="13" t="s">
        <v>18</v>
      </c>
      <c r="J16" s="12">
        <f>SUM(K19:K30)</f>
        <v>1445.24</v>
      </c>
      <c r="K16" s="12"/>
      <c r="L16" s="12"/>
      <c r="M16" s="12"/>
      <c r="N16" s="12"/>
      <c r="O16" s="14" t="s">
        <v>19</v>
      </c>
      <c r="P16" s="15">
        <f>+F16/J16</f>
        <v>3.2534388752041181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9" t="s">
        <v>208</v>
      </c>
      <c r="U18" s="681" t="s">
        <v>334</v>
      </c>
      <c r="V18" s="682" t="s">
        <v>336</v>
      </c>
    </row>
    <row r="19" spans="3:26" x14ac:dyDescent="0.2">
      <c r="C19" s="52">
        <v>46388</v>
      </c>
      <c r="D19" s="131" t="s">
        <v>381</v>
      </c>
      <c r="E19" s="280">
        <v>45936</v>
      </c>
      <c r="F19" s="280">
        <v>45938</v>
      </c>
      <c r="G19" s="279">
        <v>3</v>
      </c>
      <c r="H19" s="53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53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GUAMUCHIL</v>
      </c>
      <c r="J19" s="54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1330</v>
      </c>
      <c r="K19" s="131"/>
      <c r="L19" s="193"/>
      <c r="M19" s="193"/>
      <c r="N19" s="131">
        <v>1</v>
      </c>
      <c r="O19" s="131" t="s">
        <v>379</v>
      </c>
      <c r="P19" s="131" t="s">
        <v>174</v>
      </c>
      <c r="Q19" s="194">
        <f t="shared" ref="Q19:Q20" si="0">(IF(N19=1,(J19*0.3)))+(IF(N19=2,(J19*0.15))+(IF(N19=3,(J19*0.15))))</f>
        <v>399</v>
      </c>
      <c r="R19" s="215"/>
      <c r="S19" s="195"/>
      <c r="T19" s="676"/>
      <c r="U19" s="709">
        <v>62</v>
      </c>
      <c r="V19" s="710">
        <v>62</v>
      </c>
    </row>
    <row r="20" spans="3:26" ht="13.5" thickBot="1" x14ac:dyDescent="0.25">
      <c r="C20" s="96"/>
      <c r="D20" s="183" t="s">
        <v>382</v>
      </c>
      <c r="E20" s="282">
        <v>45938</v>
      </c>
      <c r="F20" s="282">
        <v>45939</v>
      </c>
      <c r="G20" s="281">
        <v>4</v>
      </c>
      <c r="H20" s="51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GUAMUCHIL</v>
      </c>
      <c r="I20" s="51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519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1330</v>
      </c>
      <c r="K20" s="183">
        <v>801.54</v>
      </c>
      <c r="L20" s="269">
        <f>SUM(J19:J20)/K20</f>
        <v>3.3186116725303791</v>
      </c>
      <c r="M20" s="269">
        <v>2</v>
      </c>
      <c r="N20" s="183">
        <v>1</v>
      </c>
      <c r="O20" s="183" t="s">
        <v>380</v>
      </c>
      <c r="P20" s="183" t="s">
        <v>174</v>
      </c>
      <c r="Q20" s="270">
        <f t="shared" si="0"/>
        <v>399</v>
      </c>
      <c r="R20" s="516">
        <f>+LOOKUP(P38,UNIDADES!B$3:B$73,UNIDADES!C$3:C$73)</f>
        <v>2.7010580000000002</v>
      </c>
      <c r="S20" s="517">
        <f>((SUM(J19:J20)/R20))-K20</f>
        <v>183.25928975979036</v>
      </c>
      <c r="T20" s="680">
        <f>(IF(M20=1,(S20*16)))+(IF(M20=2,(S20*17.26))+(IF(M20=3,(S20*17.66))+(IF(M20=4,(S20*18.06))+(IF(M20=5,(S20*18.46))+(IF(M20=6,(S20*18.86))+(IF(M20=7,(S20*19.26))))))))</f>
        <v>3163.0553412539821</v>
      </c>
      <c r="U20" s="695">
        <v>60</v>
      </c>
      <c r="V20" s="696">
        <v>61</v>
      </c>
      <c r="Y20" s="23"/>
      <c r="Z20" s="546"/>
    </row>
    <row r="21" spans="3:26" x14ac:dyDescent="0.2">
      <c r="C21" s="52">
        <v>45958</v>
      </c>
      <c r="D21" s="131" t="s">
        <v>402</v>
      </c>
      <c r="E21" s="280">
        <v>45940</v>
      </c>
      <c r="F21" s="280">
        <v>45941</v>
      </c>
      <c r="G21" s="279">
        <v>1</v>
      </c>
      <c r="H21" s="53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53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OBRG</v>
      </c>
      <c r="J21" s="54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1021</v>
      </c>
      <c r="K21" s="131"/>
      <c r="L21" s="193"/>
      <c r="M21" s="193"/>
      <c r="N21" s="131">
        <v>1</v>
      </c>
      <c r="O21" s="131" t="s">
        <v>404</v>
      </c>
      <c r="P21" s="131" t="s">
        <v>176</v>
      </c>
      <c r="Q21" s="194">
        <f t="shared" ref="Q21:Q22" si="1">(IF(N21=1,(J21*0.3)))+(IF(N21=2,(J21*0.15))+(IF(N21=3,(J21*0.15))))</f>
        <v>306.3</v>
      </c>
      <c r="R21" s="215"/>
      <c r="S21" s="195"/>
      <c r="T21" s="676"/>
      <c r="U21" s="709">
        <v>9</v>
      </c>
      <c r="V21" s="710"/>
      <c r="Y21" s="23"/>
      <c r="Z21" s="546"/>
    </row>
    <row r="22" spans="3:26" x14ac:dyDescent="0.2">
      <c r="C22" s="39"/>
      <c r="D22" s="113" t="s">
        <v>403</v>
      </c>
      <c r="E22" s="300">
        <v>45941</v>
      </c>
      <c r="F22" s="300">
        <v>45942</v>
      </c>
      <c r="G22" s="299">
        <v>2</v>
      </c>
      <c r="H22" s="111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OBRG</v>
      </c>
      <c r="I22" s="111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112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1021</v>
      </c>
      <c r="K22" s="113">
        <v>643.70000000000005</v>
      </c>
      <c r="L22" s="301">
        <f>SUM(J21:J22)/K22</f>
        <v>3.1722852260369736</v>
      </c>
      <c r="M22" s="301">
        <v>2</v>
      </c>
      <c r="N22" s="113">
        <v>1</v>
      </c>
      <c r="O22" s="113" t="s">
        <v>405</v>
      </c>
      <c r="P22" s="113" t="s">
        <v>176</v>
      </c>
      <c r="Q22" s="302">
        <f t="shared" si="1"/>
        <v>306.3</v>
      </c>
      <c r="R22" s="251">
        <f>+LOOKUP(P39,UNIDADES!B$3:B$73,UNIDADES!C$3:C$73)</f>
        <v>2.7010580000000002</v>
      </c>
      <c r="S22" s="252">
        <f>((SUM(J21:J22)/R22))-K22</f>
        <v>112.30005627424498</v>
      </c>
      <c r="T22" s="673">
        <f>(IF(M22=1,(S22*16)))+(IF(M22=2,(S22*17.26))+(IF(M22=3,(S22*17.66))+(IF(M22=4,(S22*18.06))+(IF(M22=5,(S22*18.46))+(IF(M22=6,(S22*18.86))+(IF(M22=7,(S22*19.26))))))))</f>
        <v>1938.2989712934686</v>
      </c>
      <c r="U22" s="693">
        <v>9</v>
      </c>
      <c r="V22" s="694"/>
      <c r="W22" s="22" t="s">
        <v>406</v>
      </c>
      <c r="Y22" s="23"/>
      <c r="Z22" s="546"/>
    </row>
    <row r="23" spans="3:26" ht="13.5" hidden="1" thickBot="1" x14ac:dyDescent="0.25">
      <c r="C23" s="40"/>
      <c r="D23" s="283"/>
      <c r="E23" s="284"/>
      <c r="F23" s="284"/>
      <c r="G23" s="283"/>
      <c r="H23" s="115"/>
      <c r="I23" s="106"/>
      <c r="J23" s="107"/>
      <c r="K23" s="106"/>
      <c r="L23" s="255"/>
      <c r="M23" s="255"/>
      <c r="N23" s="106"/>
      <c r="O23" s="106"/>
      <c r="P23" s="106"/>
      <c r="Q23" s="256"/>
      <c r="R23" s="216"/>
      <c r="S23" s="312"/>
      <c r="T23" s="678"/>
      <c r="U23" s="695"/>
      <c r="V23" s="696"/>
      <c r="Y23" s="23"/>
      <c r="Z23" s="546"/>
    </row>
    <row r="24" spans="3:26" hidden="1" x14ac:dyDescent="0.2">
      <c r="C24" s="535"/>
      <c r="D24" s="293"/>
      <c r="E24" s="294"/>
      <c r="F24" s="294"/>
      <c r="G24" s="293"/>
      <c r="H24" s="197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08"/>
      <c r="T24" s="677"/>
      <c r="U24" s="293"/>
      <c r="V24" s="293"/>
      <c r="Y24" s="23"/>
      <c r="Z24" s="546"/>
    </row>
    <row r="25" spans="3:26" hidden="1" x14ac:dyDescent="0.2">
      <c r="C25" s="534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673"/>
      <c r="U25" s="299"/>
      <c r="V25" s="299"/>
      <c r="Y25" s="23"/>
      <c r="Z25" s="546"/>
    </row>
    <row r="26" spans="3:26" hidden="1" x14ac:dyDescent="0.2">
      <c r="C26" s="534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3"/>
      <c r="U26" s="299"/>
      <c r="V26" s="299"/>
      <c r="Y26" s="23"/>
      <c r="Z26" s="546"/>
    </row>
    <row r="27" spans="3:26" ht="11.25" hidden="1" customHeight="1" x14ac:dyDescent="0.2">
      <c r="C27" s="48"/>
      <c r="D27" s="293"/>
      <c r="E27" s="294"/>
      <c r="F27" s="294"/>
      <c r="G27" s="293"/>
      <c r="H27" s="197"/>
      <c r="I27" s="180"/>
      <c r="J27" s="181"/>
      <c r="K27" s="180"/>
      <c r="L27" s="295"/>
      <c r="M27" s="295"/>
      <c r="N27" s="180"/>
      <c r="O27" s="180"/>
      <c r="P27" s="180"/>
      <c r="Q27" s="296"/>
      <c r="R27" s="297"/>
      <c r="S27" s="308"/>
      <c r="T27" s="677"/>
      <c r="U27" s="299"/>
      <c r="V27" s="299"/>
    </row>
    <row r="28" spans="3:26" hidden="1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673"/>
      <c r="U28" s="299"/>
      <c r="V28" s="299"/>
    </row>
    <row r="29" spans="3:26" hidden="1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673"/>
      <c r="U29" s="299"/>
      <c r="V29" s="299"/>
    </row>
    <row r="30" spans="3:26" ht="13.5" hidden="1" thickBot="1" x14ac:dyDescent="0.25">
      <c r="C30" s="40"/>
      <c r="D30" s="283"/>
      <c r="E30" s="284"/>
      <c r="F30" s="284"/>
      <c r="G30" s="283"/>
      <c r="H30" s="115"/>
      <c r="I30" s="106"/>
      <c r="J30" s="107"/>
      <c r="K30" s="106"/>
      <c r="L30" s="255"/>
      <c r="M30" s="255"/>
      <c r="N30" s="106"/>
      <c r="O30" s="106"/>
      <c r="P30" s="106"/>
      <c r="Q30" s="256"/>
      <c r="R30" s="216"/>
      <c r="S30" s="312"/>
      <c r="T30" s="678"/>
      <c r="U30" s="299"/>
      <c r="V30" s="299"/>
    </row>
    <row r="31" spans="3:26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659"/>
      <c r="Q31" s="659"/>
      <c r="R31" s="658"/>
      <c r="S31" s="22"/>
      <c r="T31" s="22"/>
    </row>
    <row r="32" spans="3:26" x14ac:dyDescent="0.2">
      <c r="E32" s="794" t="s">
        <v>35</v>
      </c>
      <c r="F32" s="857">
        <f>+'RUIZ HERRERA ERICK '!F27:G27</f>
        <v>45936</v>
      </c>
      <c r="G32" s="774"/>
      <c r="H32" s="20">
        <f>+'PACHECO BAÑUELOS ALFONSO'!H33</f>
        <v>45937</v>
      </c>
      <c r="I32" s="20">
        <f>+'PACHECO BAÑUELOS ALFONSO'!I33</f>
        <v>45938</v>
      </c>
      <c r="J32" s="20">
        <f>+'PACHECO BAÑUELOS ALFONSO'!J33</f>
        <v>45939</v>
      </c>
      <c r="K32" s="20">
        <f>+'PACHECO BAÑUELOS ALFONSO'!K33</f>
        <v>45940</v>
      </c>
      <c r="L32" s="20">
        <f>+'PACHECO BAÑUELOS ALFONSO'!L33</f>
        <v>45942</v>
      </c>
      <c r="M32" s="547"/>
      <c r="N32" s="21" t="s">
        <v>39</v>
      </c>
      <c r="Q32" s="657"/>
      <c r="R32" s="657"/>
      <c r="S32" s="657"/>
    </row>
    <row r="33" spans="3:22" ht="13.5" thickBot="1" x14ac:dyDescent="0.25">
      <c r="C33" s="22"/>
      <c r="E33" s="795"/>
      <c r="F33" s="775"/>
      <c r="G33" s="776"/>
      <c r="H33" s="42">
        <v>0</v>
      </c>
      <c r="I33" s="42">
        <v>0</v>
      </c>
      <c r="J33" s="42">
        <v>0</v>
      </c>
      <c r="K33" s="42">
        <v>0</v>
      </c>
      <c r="L33" s="42"/>
      <c r="M33" s="548"/>
      <c r="N33" s="61">
        <f>SUM(F33:L33)</f>
        <v>0</v>
      </c>
    </row>
    <row r="34" spans="3:22" ht="13.5" thickBot="1" x14ac:dyDescent="0.25">
      <c r="I34" s="23"/>
    </row>
    <row r="35" spans="3:22" ht="15.75" thickBot="1" x14ac:dyDescent="0.3">
      <c r="C35" s="825" t="s">
        <v>37</v>
      </c>
      <c r="D35" s="826"/>
      <c r="E35" s="826"/>
      <c r="F35" s="826"/>
      <c r="G35" s="827"/>
      <c r="I35" s="838" t="s">
        <v>38</v>
      </c>
      <c r="J35" s="839"/>
      <c r="K35" s="839"/>
      <c r="L35" s="840"/>
      <c r="M35" s="331"/>
      <c r="O35" s="828" t="s">
        <v>39</v>
      </c>
      <c r="P35" s="829"/>
      <c r="Q35" s="830">
        <f>+F45-L43</f>
        <v>10550.95431254745</v>
      </c>
      <c r="R35" s="831"/>
      <c r="S35" s="832"/>
    </row>
    <row r="36" spans="3:22" ht="13.5" thickBot="1" x14ac:dyDescent="0.25">
      <c r="C36" s="833" t="s">
        <v>207</v>
      </c>
      <c r="D36" s="834"/>
      <c r="E36" s="835"/>
      <c r="F36" s="836">
        <f>SUM(Q18:Q31)</f>
        <v>1410.6</v>
      </c>
      <c r="G36" s="837"/>
      <c r="I36" s="121" t="s">
        <v>106</v>
      </c>
      <c r="J36" s="59" t="s">
        <v>107</v>
      </c>
      <c r="K36" s="59" t="s">
        <v>69</v>
      </c>
      <c r="L36" s="119" t="s">
        <v>108</v>
      </c>
      <c r="M36" s="563"/>
    </row>
    <row r="37" spans="3:22" ht="13.5" thickBot="1" x14ac:dyDescent="0.25">
      <c r="C37" s="843" t="s">
        <v>208</v>
      </c>
      <c r="D37" s="844"/>
      <c r="E37" s="845"/>
      <c r="F37" s="846">
        <f>SUM(T18:T32)</f>
        <v>5101.3543125474507</v>
      </c>
      <c r="G37" s="847"/>
      <c r="I37" s="651"/>
      <c r="J37" s="653"/>
      <c r="K37" s="652"/>
      <c r="L37" s="120"/>
      <c r="M37" s="563"/>
      <c r="O37" s="62" t="s">
        <v>262</v>
      </c>
      <c r="P37" s="63" t="s">
        <v>70</v>
      </c>
      <c r="Q37" s="64" t="s">
        <v>71</v>
      </c>
      <c r="R37" s="64"/>
      <c r="S37" s="65" t="s">
        <v>72</v>
      </c>
      <c r="T37" s="63" t="s">
        <v>73</v>
      </c>
      <c r="U37" s="62" t="s">
        <v>263</v>
      </c>
      <c r="V37" s="63" t="s">
        <v>264</v>
      </c>
    </row>
    <row r="38" spans="3:22" x14ac:dyDescent="0.2">
      <c r="C38" s="843" t="s">
        <v>35</v>
      </c>
      <c r="D38" s="844"/>
      <c r="E38" s="845"/>
      <c r="F38" s="846">
        <f>+N33</f>
        <v>0</v>
      </c>
      <c r="G38" s="847"/>
      <c r="I38" s="454"/>
      <c r="J38" s="235"/>
      <c r="K38" s="60"/>
      <c r="L38" s="118"/>
      <c r="M38" s="563"/>
      <c r="O38" s="44">
        <v>46388</v>
      </c>
      <c r="P38" s="69" t="s">
        <v>232</v>
      </c>
      <c r="Q38" s="44">
        <v>419867</v>
      </c>
      <c r="R38" s="70"/>
      <c r="S38" s="69">
        <v>422598</v>
      </c>
      <c r="T38" s="460">
        <f>+S38-Q38</f>
        <v>2731</v>
      </c>
      <c r="U38" s="203">
        <v>2660</v>
      </c>
      <c r="V38" s="156">
        <v>801.54</v>
      </c>
    </row>
    <row r="39" spans="3:22" x14ac:dyDescent="0.2">
      <c r="C39" s="843" t="s">
        <v>40</v>
      </c>
      <c r="D39" s="844"/>
      <c r="E39" s="845"/>
      <c r="F39" s="846">
        <v>2439</v>
      </c>
      <c r="G39" s="847"/>
      <c r="I39" s="454"/>
      <c r="J39" s="235"/>
      <c r="K39" s="60"/>
      <c r="L39" s="118"/>
      <c r="M39" s="563"/>
      <c r="O39" s="44">
        <v>45958</v>
      </c>
      <c r="P39" s="69" t="s">
        <v>221</v>
      </c>
      <c r="Q39" s="44">
        <v>384480</v>
      </c>
      <c r="R39" s="70"/>
      <c r="S39" s="69">
        <v>386534</v>
      </c>
      <c r="T39" s="460">
        <f>+S39-Q39</f>
        <v>2054</v>
      </c>
      <c r="U39" s="157">
        <v>2042</v>
      </c>
      <c r="V39" s="156">
        <v>643.70000000000005</v>
      </c>
    </row>
    <row r="40" spans="3:22" ht="13.5" thickBot="1" x14ac:dyDescent="0.25">
      <c r="C40" s="843" t="s">
        <v>41</v>
      </c>
      <c r="D40" s="844"/>
      <c r="E40" s="845"/>
      <c r="F40" s="846">
        <v>600</v>
      </c>
      <c r="G40" s="847"/>
      <c r="I40" s="458"/>
      <c r="J40" s="235"/>
      <c r="K40" s="60"/>
      <c r="L40" s="118"/>
      <c r="M40" s="563"/>
      <c r="O40" s="71"/>
      <c r="P40" s="72"/>
      <c r="Q40" s="71"/>
      <c r="R40" s="73"/>
      <c r="S40" s="72"/>
      <c r="T40" s="460">
        <f>+S40-Q40</f>
        <v>0</v>
      </c>
      <c r="U40" s="158"/>
      <c r="V40" s="159"/>
    </row>
    <row r="41" spans="3:22" ht="15" x14ac:dyDescent="0.25">
      <c r="C41" s="843" t="s">
        <v>42</v>
      </c>
      <c r="D41" s="844"/>
      <c r="E41" s="845"/>
      <c r="F41" s="846">
        <v>1000</v>
      </c>
      <c r="G41" s="847"/>
      <c r="I41" s="124"/>
      <c r="J41" s="235"/>
      <c r="K41" s="60"/>
      <c r="L41" s="118"/>
      <c r="M41" s="563"/>
      <c r="O41" s="186"/>
      <c r="P41" s="186"/>
      <c r="Q41" s="186"/>
      <c r="R41" s="186"/>
      <c r="S41" s="186"/>
      <c r="T41" s="186"/>
      <c r="U41" s="26"/>
    </row>
    <row r="42" spans="3:22" ht="15.75" thickBot="1" x14ac:dyDescent="0.3">
      <c r="C42" s="97" t="s">
        <v>331</v>
      </c>
      <c r="D42" s="25"/>
      <c r="E42" s="25"/>
      <c r="F42" s="846"/>
      <c r="G42" s="847"/>
      <c r="I42" s="124"/>
      <c r="J42" s="60"/>
      <c r="K42" s="60"/>
      <c r="L42" s="118"/>
      <c r="M42" s="563"/>
      <c r="O42" s="186"/>
      <c r="P42" s="186"/>
      <c r="Q42" s="186"/>
      <c r="R42" s="186"/>
      <c r="S42" s="186"/>
      <c r="T42" s="186"/>
      <c r="U42" s="26"/>
    </row>
    <row r="43" spans="3:22" ht="15.75" thickBot="1" x14ac:dyDescent="0.3">
      <c r="C43" s="24" t="s">
        <v>329</v>
      </c>
      <c r="D43" s="25"/>
      <c r="E43" s="25"/>
      <c r="F43" s="846"/>
      <c r="G43" s="847"/>
      <c r="I43" s="848" t="s">
        <v>44</v>
      </c>
      <c r="J43" s="849"/>
      <c r="K43" s="850"/>
      <c r="L43" s="125">
        <f>SUM(L37:L42)</f>
        <v>0</v>
      </c>
      <c r="M43" s="130"/>
      <c r="T43" s="27"/>
      <c r="U43" s="26"/>
    </row>
    <row r="44" spans="3:22" ht="15.75" thickBot="1" x14ac:dyDescent="0.3">
      <c r="C44" s="241" t="s">
        <v>302</v>
      </c>
      <c r="D44" s="242"/>
      <c r="E44" s="242"/>
      <c r="F44" s="841"/>
      <c r="G44" s="842"/>
      <c r="T44" s="27"/>
      <c r="U44" s="26"/>
    </row>
    <row r="45" spans="3:22" ht="15.75" thickBot="1" x14ac:dyDescent="0.3">
      <c r="C45" s="792" t="s">
        <v>45</v>
      </c>
      <c r="D45" s="793"/>
      <c r="E45" s="813"/>
      <c r="F45" s="814">
        <f>SUM(F36:G44)</f>
        <v>10550.95431254745</v>
      </c>
      <c r="G45" s="815"/>
      <c r="K45" s="657"/>
      <c r="L45" s="657"/>
      <c r="M45" s="657"/>
      <c r="N45" s="697"/>
      <c r="P45" s="817" t="s">
        <v>61</v>
      </c>
      <c r="Q45" s="818"/>
      <c r="S45" s="27"/>
      <c r="T45" s="26"/>
    </row>
    <row r="46" spans="3:22" ht="12" customHeight="1" thickBot="1" x14ac:dyDescent="0.3">
      <c r="P46" s="44">
        <v>1</v>
      </c>
      <c r="Q46" s="69" t="s">
        <v>62</v>
      </c>
      <c r="S46" s="27"/>
      <c r="T46" s="26"/>
    </row>
    <row r="47" spans="3:22" ht="15" x14ac:dyDescent="0.25">
      <c r="C47" s="28" t="s">
        <v>46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30"/>
      <c r="P47" s="44">
        <v>2</v>
      </c>
      <c r="Q47" s="69" t="s">
        <v>110</v>
      </c>
      <c r="S47" s="27"/>
      <c r="T47" s="26"/>
    </row>
    <row r="48" spans="3:22" ht="15.75" thickBot="1" x14ac:dyDescent="0.3">
      <c r="C48" s="31"/>
      <c r="N48" s="32"/>
      <c r="P48" s="71">
        <v>3</v>
      </c>
      <c r="Q48" s="72" t="s">
        <v>109</v>
      </c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  <c r="P49" s="27"/>
      <c r="Q49" s="27"/>
      <c r="R49" s="27"/>
      <c r="S49" s="27"/>
      <c r="T49" s="27"/>
      <c r="U49" s="26"/>
    </row>
    <row r="50" spans="3:21" ht="15" x14ac:dyDescent="0.25">
      <c r="P50" s="27"/>
      <c r="Q50" s="27"/>
      <c r="R50" s="27"/>
      <c r="S50" s="27"/>
      <c r="T50" s="37"/>
      <c r="U50" s="26"/>
    </row>
    <row r="51" spans="3:21" ht="15" x14ac:dyDescent="0.25">
      <c r="P51" s="27"/>
      <c r="Q51" s="27"/>
      <c r="R51" s="27"/>
      <c r="S51" s="27"/>
      <c r="T51" s="37"/>
      <c r="U51" s="26"/>
    </row>
    <row r="52" spans="3:21" ht="13.5" thickBot="1" x14ac:dyDescent="0.25">
      <c r="P52" s="27"/>
      <c r="Q52" s="27"/>
      <c r="R52" s="27"/>
      <c r="S52" s="27"/>
      <c r="T52" s="37"/>
    </row>
    <row r="53" spans="3:21" ht="13.5" thickTop="1" x14ac:dyDescent="0.2">
      <c r="D53" s="816" t="s">
        <v>47</v>
      </c>
      <c r="E53" s="816"/>
      <c r="F53" s="816"/>
      <c r="G53" s="816"/>
      <c r="H53" s="816"/>
      <c r="J53" s="816" t="s">
        <v>48</v>
      </c>
      <c r="K53" s="816"/>
      <c r="L53" s="816"/>
      <c r="M53" s="816"/>
      <c r="N53" s="816"/>
      <c r="P53" s="37"/>
      <c r="Q53" s="37"/>
      <c r="R53" s="37"/>
      <c r="S53" s="37"/>
      <c r="T53" s="37"/>
    </row>
    <row r="54" spans="3:21" x14ac:dyDescent="0.2">
      <c r="P54" s="37"/>
      <c r="Q54" s="37"/>
      <c r="S54" s="37"/>
      <c r="T54" s="36"/>
    </row>
    <row r="55" spans="3:21" x14ac:dyDescent="0.2">
      <c r="P55" s="37"/>
      <c r="Q55" s="37"/>
      <c r="R55" s="27"/>
      <c r="S55" s="37"/>
    </row>
    <row r="56" spans="3:21" x14ac:dyDescent="0.2">
      <c r="P56" s="37"/>
      <c r="Q56" s="37"/>
      <c r="R56" s="27"/>
      <c r="S56" s="37"/>
    </row>
    <row r="57" spans="3:21" ht="15" customHeight="1" x14ac:dyDescent="0.2">
      <c r="P57" s="36"/>
      <c r="Q57" s="36"/>
      <c r="R57" s="27"/>
      <c r="S57" s="36"/>
    </row>
    <row r="58" spans="3:21" x14ac:dyDescent="0.2">
      <c r="R58" s="27"/>
    </row>
  </sheetData>
  <mergeCells count="44">
    <mergeCell ref="D53:H53"/>
    <mergeCell ref="J53:N53"/>
    <mergeCell ref="C40:E40"/>
    <mergeCell ref="F40:G40"/>
    <mergeCell ref="C37:E37"/>
    <mergeCell ref="F37:G37"/>
    <mergeCell ref="C38:E38"/>
    <mergeCell ref="F38:G38"/>
    <mergeCell ref="C39:E39"/>
    <mergeCell ref="F39:G39"/>
    <mergeCell ref="P45:Q45"/>
    <mergeCell ref="C41:E41"/>
    <mergeCell ref="F41:G41"/>
    <mergeCell ref="F42:G42"/>
    <mergeCell ref="F43:G43"/>
    <mergeCell ref="F44:G44"/>
    <mergeCell ref="C45:E45"/>
    <mergeCell ref="F45:G45"/>
    <mergeCell ref="I43:K43"/>
    <mergeCell ref="O35:P35"/>
    <mergeCell ref="Q35:S35"/>
    <mergeCell ref="C36:E36"/>
    <mergeCell ref="F36:G36"/>
    <mergeCell ref="F32:G32"/>
    <mergeCell ref="F33:G33"/>
    <mergeCell ref="I35:L35"/>
    <mergeCell ref="C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2:E33"/>
    <mergeCell ref="Q2:S2"/>
    <mergeCell ref="I3:O3"/>
    <mergeCell ref="Q3:S3"/>
    <mergeCell ref="I4:O4"/>
    <mergeCell ref="I5:O5"/>
    <mergeCell ref="Q5:S5"/>
    <mergeCell ref="Q4:S4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77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3">
    <pageSetUpPr fitToPage="1"/>
  </sheetPr>
  <dimension ref="B1:Z57"/>
  <sheetViews>
    <sheetView topLeftCell="A7" zoomScale="90" zoomScaleNormal="90" workbookViewId="0">
      <selection activeCell="I37" sqref="I37:L40"/>
    </sheetView>
  </sheetViews>
  <sheetFormatPr baseColWidth="10" defaultColWidth="9.140625" defaultRowHeight="12.75" x14ac:dyDescent="0.2"/>
  <cols>
    <col min="1" max="1" width="2.85546875" customWidth="1"/>
    <col min="2" max="2" width="3.7109375" customWidth="1"/>
    <col min="3" max="3" width="11.7109375" customWidth="1"/>
    <col min="4" max="4" width="12.28515625" customWidth="1"/>
    <col min="5" max="5" width="7.7109375" bestFit="1" customWidth="1"/>
    <col min="6" max="6" width="9.85546875" bestFit="1" customWidth="1"/>
    <col min="7" max="7" width="3" customWidth="1"/>
    <col min="8" max="8" width="10.85546875" bestFit="1" customWidth="1"/>
    <col min="9" max="9" width="20" bestFit="1" customWidth="1"/>
    <col min="10" max="10" width="10" customWidth="1"/>
    <col min="11" max="11" width="9.7109375" customWidth="1"/>
    <col min="12" max="13" width="12.28515625" customWidth="1"/>
    <col min="14" max="14" width="6.5703125" customWidth="1"/>
    <col min="15" max="15" width="10.7109375" customWidth="1"/>
    <col min="16" max="16" width="12.5703125" bestFit="1" customWidth="1"/>
    <col min="17" max="17" width="12.5703125" customWidth="1"/>
    <col min="18" max="18" width="9.5703125" style="259" hidden="1" customWidth="1"/>
    <col min="19" max="19" width="11" bestFit="1" customWidth="1"/>
    <col min="20" max="20" width="13" customWidth="1"/>
    <col min="21" max="21" width="7.85546875" hidden="1" customWidth="1"/>
    <col min="22" max="22" width="9.7109375" hidden="1" customWidth="1"/>
    <col min="23" max="25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02" t="s">
        <v>0</v>
      </c>
      <c r="R2" s="803"/>
      <c r="S2" s="804"/>
    </row>
    <row r="3" spans="4:19" ht="19.5" thickBot="1" x14ac:dyDescent="0.35">
      <c r="I3" s="799" t="s">
        <v>1</v>
      </c>
      <c r="J3" s="800"/>
      <c r="K3" s="800"/>
      <c r="L3" s="800"/>
      <c r="M3" s="800"/>
      <c r="N3" s="800"/>
      <c r="O3" s="801"/>
      <c r="Q3" s="802">
        <f>+'LIRA TRISTAN JOSE ANGEL'!Q3</f>
        <v>42</v>
      </c>
      <c r="R3" s="803"/>
      <c r="S3" s="804"/>
    </row>
    <row r="4" spans="4:19" ht="16.5" thickBot="1" x14ac:dyDescent="0.3">
      <c r="I4" s="805" t="s">
        <v>2</v>
      </c>
      <c r="J4" s="806"/>
      <c r="K4" s="806"/>
      <c r="L4" s="806"/>
      <c r="M4" s="806"/>
      <c r="N4" s="806"/>
      <c r="O4" s="807"/>
      <c r="Q4" s="811"/>
      <c r="R4" s="811"/>
      <c r="S4" s="811"/>
    </row>
    <row r="5" spans="4:19" ht="13.5" thickBot="1" x14ac:dyDescent="0.25">
      <c r="I5" s="808" t="s">
        <v>3</v>
      </c>
      <c r="J5" s="809"/>
      <c r="K5" s="809"/>
      <c r="L5" s="809"/>
      <c r="M5" s="809"/>
      <c r="N5" s="809"/>
      <c r="O5" s="810"/>
      <c r="Q5" s="783" t="s">
        <v>4</v>
      </c>
      <c r="R5" s="784"/>
      <c r="S5" s="785"/>
    </row>
    <row r="6" spans="4:19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780">
        <f>+'CERDA HERNANDEZ JOSE LUIS'!Q6+1</f>
        <v>1976</v>
      </c>
      <c r="R6" s="781"/>
      <c r="S6" s="782"/>
    </row>
    <row r="7" spans="4:19" ht="9" customHeight="1" x14ac:dyDescent="0.2"/>
    <row r="8" spans="4:19" ht="6.75" customHeight="1" thickBot="1" x14ac:dyDescent="0.25"/>
    <row r="9" spans="4:19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19" ht="11.25" customHeight="1" thickBot="1" x14ac:dyDescent="0.25"/>
    <row r="11" spans="4:19" x14ac:dyDescent="0.2">
      <c r="D11" s="1" t="s">
        <v>7</v>
      </c>
      <c r="E11" s="2" t="s">
        <v>346</v>
      </c>
      <c r="F11" s="2"/>
      <c r="G11" s="2"/>
      <c r="H11" s="2"/>
      <c r="I11" s="2"/>
      <c r="J11" s="3"/>
      <c r="K11" s="4" t="s">
        <v>9</v>
      </c>
      <c r="L11" s="786" t="str">
        <f>+NOMINA!B3</f>
        <v>SEMANA #42 PERIODO DEL 06 AL 12 DE OCTUBRE  DEL 2025</v>
      </c>
      <c r="M11" s="786"/>
      <c r="N11" s="786"/>
      <c r="O11" s="786"/>
      <c r="P11" s="786"/>
      <c r="Q11" s="786"/>
      <c r="R11" s="786"/>
      <c r="S11" s="787"/>
    </row>
    <row r="12" spans="4:19" x14ac:dyDescent="0.2">
      <c r="D12" s="5" t="s">
        <v>10</v>
      </c>
      <c r="E12" s="788" t="s">
        <v>220</v>
      </c>
      <c r="F12" s="78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260"/>
      <c r="S12" s="8"/>
    </row>
    <row r="13" spans="4:19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260"/>
      <c r="S13" s="8"/>
    </row>
    <row r="14" spans="4:19" x14ac:dyDescent="0.2">
      <c r="D14" s="790" t="s">
        <v>11</v>
      </c>
      <c r="E14" s="791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261"/>
      <c r="S14" s="11"/>
    </row>
    <row r="15" spans="4:19" x14ac:dyDescent="0.2">
      <c r="D15" s="790" t="s">
        <v>14</v>
      </c>
      <c r="E15" s="791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260"/>
      <c r="S15" s="8"/>
    </row>
    <row r="16" spans="4:19" ht="13.5" thickBot="1" x14ac:dyDescent="0.25">
      <c r="D16" s="792" t="s">
        <v>17</v>
      </c>
      <c r="E16" s="793"/>
      <c r="F16" s="12">
        <f>SUM(J19:J30)</f>
        <v>2660</v>
      </c>
      <c r="G16" s="12"/>
      <c r="H16" s="12"/>
      <c r="I16" s="13" t="s">
        <v>18</v>
      </c>
      <c r="J16" s="12">
        <f>SUM(K19:K30)</f>
        <v>810.29600000000005</v>
      </c>
      <c r="K16" s="12"/>
      <c r="L16" s="12"/>
      <c r="M16" s="12"/>
      <c r="N16" s="12"/>
      <c r="O16" s="14" t="s">
        <v>19</v>
      </c>
      <c r="P16" s="15">
        <f>+F16/J16</f>
        <v>3.2827509946982336</v>
      </c>
      <c r="Q16" s="12"/>
      <c r="R16" s="262"/>
      <c r="S16" s="16"/>
    </row>
    <row r="17" spans="2:26" ht="7.5" customHeight="1" thickBot="1" x14ac:dyDescent="0.25"/>
    <row r="18" spans="2:26" ht="33" customHeight="1" thickBot="1" x14ac:dyDescent="0.25">
      <c r="C18" s="323" t="s">
        <v>20</v>
      </c>
      <c r="D18" s="267" t="s">
        <v>21</v>
      </c>
      <c r="E18" s="273" t="s">
        <v>22</v>
      </c>
      <c r="F18" s="273" t="s">
        <v>23</v>
      </c>
      <c r="G18" s="273" t="s">
        <v>24</v>
      </c>
      <c r="H18" s="273" t="s">
        <v>25</v>
      </c>
      <c r="I18" s="273" t="s">
        <v>26</v>
      </c>
      <c r="J18" s="273" t="s">
        <v>27</v>
      </c>
      <c r="K18" s="273" t="s">
        <v>28</v>
      </c>
      <c r="L18" s="273" t="s">
        <v>29</v>
      </c>
      <c r="M18" s="273" t="s">
        <v>285</v>
      </c>
      <c r="N18" s="273" t="s">
        <v>30</v>
      </c>
      <c r="O18" s="273" t="s">
        <v>31</v>
      </c>
      <c r="P18" s="267" t="s">
        <v>32</v>
      </c>
      <c r="Q18" s="273" t="s">
        <v>207</v>
      </c>
      <c r="R18" s="273" t="s">
        <v>164</v>
      </c>
      <c r="S18" s="273" t="s">
        <v>34</v>
      </c>
      <c r="T18" s="736" t="s">
        <v>208</v>
      </c>
      <c r="U18" s="752" t="s">
        <v>333</v>
      </c>
      <c r="V18" s="753" t="s">
        <v>335</v>
      </c>
    </row>
    <row r="19" spans="2:26" ht="13.5" customHeight="1" x14ac:dyDescent="0.2">
      <c r="C19" s="462">
        <v>45910</v>
      </c>
      <c r="D19" s="49" t="s">
        <v>422</v>
      </c>
      <c r="E19" s="50">
        <v>45938</v>
      </c>
      <c r="F19" s="50">
        <v>45939</v>
      </c>
      <c r="G19" s="49">
        <v>3</v>
      </c>
      <c r="H19" s="463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51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GUAMUCHIL</v>
      </c>
      <c r="J19" s="464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1330</v>
      </c>
      <c r="K19" s="51"/>
      <c r="L19" s="465"/>
      <c r="M19" s="465"/>
      <c r="N19" s="51">
        <v>1</v>
      </c>
      <c r="O19" s="51" t="s">
        <v>412</v>
      </c>
      <c r="P19" s="51" t="s">
        <v>174</v>
      </c>
      <c r="Q19" s="466">
        <f t="shared" ref="Q19:Q20" si="0">(IF(N19=1,(J19*0.3)))+(IF(N19=2,(J19*0.15))+(IF(N19=3,(J19*0.15))))</f>
        <v>399</v>
      </c>
      <c r="R19" s="467"/>
      <c r="S19" s="510"/>
      <c r="T19" s="688"/>
      <c r="U19" s="180">
        <v>60</v>
      </c>
      <c r="V19" s="180">
        <v>60</v>
      </c>
      <c r="Z19" s="546"/>
    </row>
    <row r="20" spans="2:26" ht="13.5" thickBot="1" x14ac:dyDescent="0.25">
      <c r="C20" s="474"/>
      <c r="D20" s="475" t="s">
        <v>423</v>
      </c>
      <c r="E20" s="476">
        <v>45939</v>
      </c>
      <c r="F20" s="476">
        <v>45940</v>
      </c>
      <c r="G20" s="475">
        <v>4</v>
      </c>
      <c r="H20" s="469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GUAMUCHIL</v>
      </c>
      <c r="I20" s="41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43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1330</v>
      </c>
      <c r="K20" s="41">
        <v>810.29600000000005</v>
      </c>
      <c r="L20" s="439">
        <f>SUM(J19:J20)/K20</f>
        <v>3.2827509946982336</v>
      </c>
      <c r="M20" s="439">
        <v>2</v>
      </c>
      <c r="N20" s="41">
        <v>1</v>
      </c>
      <c r="O20" s="41" t="s">
        <v>383</v>
      </c>
      <c r="P20" s="41" t="s">
        <v>174</v>
      </c>
      <c r="Q20" s="42">
        <f t="shared" si="0"/>
        <v>399</v>
      </c>
      <c r="R20" s="440">
        <f>+LOOKUP(P38,UNIDADES!B$3:B$73,UNIDADES!C$3:C$73)</f>
        <v>2.7010580000000002</v>
      </c>
      <c r="S20" s="441">
        <f>((SUM(J19:J20)/R20))-K20</f>
        <v>174.50328975979028</v>
      </c>
      <c r="T20" s="548">
        <f>(IF(M20=1,(S20*16)))+(IF(M20=2,(S20*17.26))+(IF(M20=3,(S20*17.66))+(IF(M20=4,(S20*18.06))+(IF(M20=5,(S20*18.46))+(IF(M20=6,(S20*18.86))+(IF(M20=7,(S20*19.26))))))))</f>
        <v>3011.9267812539806</v>
      </c>
      <c r="U20" s="113">
        <v>56</v>
      </c>
      <c r="V20" s="113">
        <v>56</v>
      </c>
      <c r="X20" s="23"/>
      <c r="Y20" s="546"/>
      <c r="Z20" s="546"/>
    </row>
    <row r="21" spans="2:26" hidden="1" x14ac:dyDescent="0.2">
      <c r="C21" s="429"/>
      <c r="D21" s="426"/>
      <c r="E21" s="430"/>
      <c r="F21" s="430"/>
      <c r="G21" s="426"/>
      <c r="H21" s="444"/>
      <c r="I21" s="38"/>
      <c r="J21" s="445"/>
      <c r="K21" s="38"/>
      <c r="L21" s="431"/>
      <c r="M21" s="431"/>
      <c r="N21" s="38"/>
      <c r="O21" s="38"/>
      <c r="P21" s="38"/>
      <c r="Q21" s="432"/>
      <c r="R21" s="433"/>
      <c r="S21" s="470"/>
      <c r="T21" s="701"/>
      <c r="U21" s="113"/>
      <c r="V21" s="113"/>
      <c r="X21" s="23"/>
      <c r="Y21" s="546"/>
      <c r="Z21" s="546"/>
    </row>
    <row r="22" spans="2:26" ht="13.5" hidden="1" thickBot="1" x14ac:dyDescent="0.25">
      <c r="C22" s="474"/>
      <c r="D22" s="475"/>
      <c r="E22" s="476"/>
      <c r="F22" s="476"/>
      <c r="G22" s="475"/>
      <c r="H22" s="469"/>
      <c r="I22" s="41"/>
      <c r="J22" s="438"/>
      <c r="K22" s="41"/>
      <c r="L22" s="439"/>
      <c r="M22" s="439"/>
      <c r="N22" s="41"/>
      <c r="O22" s="41"/>
      <c r="P22" s="41"/>
      <c r="Q22" s="42"/>
      <c r="R22" s="440"/>
      <c r="S22" s="441"/>
      <c r="T22" s="548"/>
      <c r="U22" s="113"/>
      <c r="V22" s="113"/>
      <c r="X22" s="23"/>
      <c r="Y22" s="546"/>
      <c r="Z22" s="546"/>
    </row>
    <row r="23" spans="2:26" hidden="1" x14ac:dyDescent="0.2">
      <c r="B23" s="22"/>
      <c r="C23" s="462"/>
      <c r="D23" s="49"/>
      <c r="E23" s="50"/>
      <c r="F23" s="50"/>
      <c r="G23" s="49"/>
      <c r="H23" s="463"/>
      <c r="I23" s="51"/>
      <c r="J23" s="464"/>
      <c r="K23" s="51"/>
      <c r="L23" s="465"/>
      <c r="M23" s="465"/>
      <c r="N23" s="51"/>
      <c r="O23" s="51"/>
      <c r="P23" s="51"/>
      <c r="Q23" s="466"/>
      <c r="R23" s="467"/>
      <c r="S23" s="472"/>
      <c r="T23" s="473"/>
      <c r="X23" s="23"/>
      <c r="Y23" s="546"/>
      <c r="Z23" s="546"/>
    </row>
    <row r="24" spans="2:26" hidden="1" x14ac:dyDescent="0.2">
      <c r="C24" s="462"/>
      <c r="D24" s="49"/>
      <c r="E24" s="50"/>
      <c r="F24" s="50"/>
      <c r="G24" s="49"/>
      <c r="H24" s="463"/>
      <c r="I24" s="51"/>
      <c r="J24" s="464"/>
      <c r="K24" s="51"/>
      <c r="L24" s="465"/>
      <c r="M24" s="465"/>
      <c r="N24" s="51"/>
      <c r="O24" s="51"/>
      <c r="P24" s="51"/>
      <c r="Q24" s="466"/>
      <c r="R24" s="467"/>
      <c r="S24" s="510"/>
      <c r="T24" s="473"/>
      <c r="X24" s="23"/>
      <c r="Y24" s="546"/>
      <c r="Z24" s="546"/>
    </row>
    <row r="25" spans="2:26" hidden="1" x14ac:dyDescent="0.2">
      <c r="C25" s="462"/>
      <c r="D25" s="49"/>
      <c r="E25" s="50"/>
      <c r="F25" s="50"/>
      <c r="G25" s="60"/>
      <c r="H25" s="463"/>
      <c r="I25" s="51"/>
      <c r="J25" s="464"/>
      <c r="K25" s="51"/>
      <c r="L25" s="465"/>
      <c r="M25" s="465"/>
      <c r="N25" s="51"/>
      <c r="O25" s="51"/>
      <c r="P25" s="51"/>
      <c r="Q25" s="466"/>
      <c r="R25" s="467"/>
      <c r="S25" s="510"/>
      <c r="T25" s="473"/>
      <c r="X25" s="23"/>
      <c r="Y25" s="546"/>
      <c r="Z25" s="546"/>
    </row>
    <row r="26" spans="2:26" ht="13.5" hidden="1" thickBot="1" x14ac:dyDescent="0.25">
      <c r="C26" s="474"/>
      <c r="D26" s="475"/>
      <c r="E26" s="476"/>
      <c r="F26" s="476"/>
      <c r="G26" s="475"/>
      <c r="H26" s="469"/>
      <c r="I26" s="41"/>
      <c r="J26" s="438"/>
      <c r="K26" s="41"/>
      <c r="L26" s="439"/>
      <c r="M26" s="439"/>
      <c r="N26" s="41"/>
      <c r="O26" s="41"/>
      <c r="P26" s="41"/>
      <c r="Q26" s="42"/>
      <c r="R26" s="440"/>
      <c r="S26" s="441"/>
      <c r="T26" s="43"/>
      <c r="X26" s="23"/>
      <c r="Y26" s="546"/>
    </row>
    <row r="27" spans="2:26" hidden="1" x14ac:dyDescent="0.2">
      <c r="C27" s="462"/>
      <c r="D27" s="49"/>
      <c r="E27" s="50"/>
      <c r="F27" s="50"/>
      <c r="G27" s="49"/>
      <c r="H27" s="51"/>
      <c r="I27" s="51"/>
      <c r="J27" s="464"/>
      <c r="K27" s="51"/>
      <c r="L27" s="490"/>
      <c r="M27" s="490"/>
      <c r="N27" s="51"/>
      <c r="O27" s="51"/>
      <c r="P27" s="51"/>
      <c r="Q27" s="466"/>
      <c r="R27" s="491"/>
      <c r="S27" s="492"/>
      <c r="T27" s="468"/>
    </row>
    <row r="28" spans="2:26" hidden="1" x14ac:dyDescent="0.2">
      <c r="C28" s="453"/>
      <c r="D28" s="60"/>
      <c r="E28" s="18"/>
      <c r="F28" s="18"/>
      <c r="G28" s="60"/>
      <c r="H28" s="17"/>
      <c r="I28" s="17"/>
      <c r="J28" s="484"/>
      <c r="K28" s="17"/>
      <c r="L28" s="493"/>
      <c r="M28" s="493"/>
      <c r="N28" s="17"/>
      <c r="O28" s="17"/>
      <c r="P28" s="17"/>
      <c r="Q28" s="486"/>
      <c r="R28" s="494"/>
      <c r="S28" s="495"/>
      <c r="T28" s="496"/>
    </row>
    <row r="29" spans="2:26" hidden="1" x14ac:dyDescent="0.2">
      <c r="C29" s="453"/>
      <c r="D29" s="60"/>
      <c r="E29" s="18"/>
      <c r="F29" s="18"/>
      <c r="G29" s="60"/>
      <c r="H29" s="17"/>
      <c r="I29" s="17"/>
      <c r="J29" s="484"/>
      <c r="K29" s="17"/>
      <c r="L29" s="493"/>
      <c r="M29" s="493"/>
      <c r="N29" s="17"/>
      <c r="O29" s="17"/>
      <c r="P29" s="17"/>
      <c r="Q29" s="486"/>
      <c r="R29" s="494"/>
      <c r="S29" s="495"/>
      <c r="T29" s="496"/>
    </row>
    <row r="30" spans="2:26" ht="13.5" hidden="1" thickBot="1" x14ac:dyDescent="0.25">
      <c r="C30" s="436"/>
      <c r="D30" s="59"/>
      <c r="E30" s="437"/>
      <c r="F30" s="437"/>
      <c r="G30" s="59"/>
      <c r="H30" s="41"/>
      <c r="I30" s="41"/>
      <c r="J30" s="438"/>
      <c r="K30" s="41"/>
      <c r="L30" s="497"/>
      <c r="M30" s="497"/>
      <c r="N30" s="41"/>
      <c r="O30" s="41"/>
      <c r="P30" s="41"/>
      <c r="Q30" s="42"/>
      <c r="R30" s="498"/>
      <c r="S30" s="499"/>
      <c r="T30" s="500"/>
    </row>
    <row r="31" spans="2:26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22"/>
      <c r="Q31" s="22"/>
      <c r="R31" s="315"/>
      <c r="S31" s="22"/>
      <c r="T31" s="22"/>
    </row>
    <row r="32" spans="2:26" x14ac:dyDescent="0.2">
      <c r="E32" s="794" t="s">
        <v>35</v>
      </c>
      <c r="F32" s="411" cm="1">
        <f t="array" ref="F32:G32">+'LIRA TRISTAN JOSE ANGEL'!F30:G30</f>
        <v>45936</v>
      </c>
      <c r="G32" s="412">
        <v>0</v>
      </c>
      <c r="H32" s="20">
        <f>+F32+1</f>
        <v>45937</v>
      </c>
      <c r="I32" s="20">
        <f>+H32+1</f>
        <v>45938</v>
      </c>
      <c r="J32" s="20">
        <f>+I32+1</f>
        <v>45939</v>
      </c>
      <c r="K32" s="20">
        <f>+J32+1</f>
        <v>45940</v>
      </c>
      <c r="L32" s="20">
        <f>+'SALAZAR PEREZ JUAN CARLOS'!L32</f>
        <v>45942</v>
      </c>
      <c r="M32" s="547"/>
      <c r="N32" s="21" t="s">
        <v>84</v>
      </c>
    </row>
    <row r="33" spans="3:22" ht="13.5" thickBot="1" x14ac:dyDescent="0.25">
      <c r="C33" s="22"/>
      <c r="E33" s="795"/>
      <c r="F33" s="775">
        <v>0</v>
      </c>
      <c r="G33" s="776"/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548"/>
      <c r="N33" s="43">
        <f>SUM(F33:L33)</f>
        <v>0</v>
      </c>
    </row>
    <row r="34" spans="3:22" ht="13.5" thickBot="1" x14ac:dyDescent="0.25">
      <c r="I34" s="23"/>
    </row>
    <row r="35" spans="3:22" ht="15.75" thickBot="1" x14ac:dyDescent="0.3">
      <c r="C35" s="825" t="s">
        <v>37</v>
      </c>
      <c r="D35" s="826"/>
      <c r="E35" s="826"/>
      <c r="F35" s="826"/>
      <c r="G35" s="827"/>
      <c r="I35" s="838" t="s">
        <v>38</v>
      </c>
      <c r="J35" s="839"/>
      <c r="K35" s="839"/>
      <c r="L35" s="840"/>
      <c r="M35" s="545"/>
      <c r="O35" s="828" t="s">
        <v>39</v>
      </c>
      <c r="P35" s="829"/>
      <c r="Q35" s="405">
        <f>+F45-L43</f>
        <v>7348.9267812539802</v>
      </c>
      <c r="R35" s="406"/>
      <c r="S35" s="407"/>
    </row>
    <row r="36" spans="3:22" ht="13.5" thickBot="1" x14ac:dyDescent="0.25">
      <c r="C36" s="833" t="s">
        <v>207</v>
      </c>
      <c r="D36" s="834"/>
      <c r="E36" s="835"/>
      <c r="F36" s="836">
        <f>SUM(Q18:Q32)</f>
        <v>798</v>
      </c>
      <c r="G36" s="837"/>
      <c r="I36" s="121" t="s">
        <v>106</v>
      </c>
      <c r="J36" s="59" t="s">
        <v>107</v>
      </c>
      <c r="K36" s="59" t="s">
        <v>69</v>
      </c>
      <c r="L36" s="119" t="s">
        <v>108</v>
      </c>
      <c r="M36" s="549"/>
    </row>
    <row r="37" spans="3:22" ht="13.5" thickBot="1" x14ac:dyDescent="0.25">
      <c r="C37" s="843" t="s">
        <v>208</v>
      </c>
      <c r="D37" s="844"/>
      <c r="E37" s="845"/>
      <c r="F37" s="846">
        <f>SUM(T18:T32)</f>
        <v>3011.9267812539806</v>
      </c>
      <c r="G37" s="847"/>
      <c r="H37" s="77"/>
      <c r="I37" s="122"/>
      <c r="J37" s="123"/>
      <c r="K37" s="49"/>
      <c r="L37" s="120"/>
      <c r="M37" s="549"/>
      <c r="O37" s="62"/>
      <c r="P37" s="63"/>
      <c r="Q37" s="64" t="s">
        <v>71</v>
      </c>
      <c r="R37" s="64"/>
      <c r="S37" s="65" t="s">
        <v>72</v>
      </c>
      <c r="T37" s="63" t="s">
        <v>73</v>
      </c>
      <c r="U37" s="154"/>
      <c r="V37" s="21"/>
    </row>
    <row r="38" spans="3:22" x14ac:dyDescent="0.2">
      <c r="C38" s="843" t="s">
        <v>35</v>
      </c>
      <c r="D38" s="844"/>
      <c r="E38" s="845"/>
      <c r="F38" s="846">
        <f>+N33</f>
        <v>0</v>
      </c>
      <c r="G38" s="847"/>
      <c r="I38" s="122"/>
      <c r="J38" s="235"/>
      <c r="K38" s="60"/>
      <c r="L38" s="118"/>
      <c r="M38" s="549"/>
      <c r="O38" s="66">
        <v>45910</v>
      </c>
      <c r="P38" s="67" t="s">
        <v>266</v>
      </c>
      <c r="Q38" s="68">
        <v>185966</v>
      </c>
      <c r="R38" s="68"/>
      <c r="S38" s="51">
        <v>188695</v>
      </c>
      <c r="T38" s="67">
        <f>+S38-Q38</f>
        <v>2729</v>
      </c>
      <c r="U38" s="155">
        <v>2660</v>
      </c>
      <c r="V38" s="156">
        <v>810.29600000000005</v>
      </c>
    </row>
    <row r="39" spans="3:22" x14ac:dyDescent="0.2">
      <c r="C39" s="843" t="s">
        <v>40</v>
      </c>
      <c r="D39" s="844"/>
      <c r="E39" s="845"/>
      <c r="F39" s="858">
        <v>2439</v>
      </c>
      <c r="G39" s="859"/>
      <c r="I39" s="122"/>
      <c r="J39" s="235"/>
      <c r="K39" s="60"/>
      <c r="L39" s="118"/>
      <c r="M39" s="549"/>
      <c r="O39" s="44"/>
      <c r="P39" s="69"/>
      <c r="Q39" s="70"/>
      <c r="R39" s="70"/>
      <c r="S39" s="17"/>
      <c r="T39" s="69">
        <f>+S39-Q39</f>
        <v>0</v>
      </c>
      <c r="U39" s="157"/>
      <c r="V39" s="156"/>
    </row>
    <row r="40" spans="3:22" ht="13.5" thickBot="1" x14ac:dyDescent="0.25">
      <c r="C40" s="843" t="s">
        <v>41</v>
      </c>
      <c r="D40" s="844"/>
      <c r="E40" s="845"/>
      <c r="F40" s="846">
        <v>600</v>
      </c>
      <c r="G40" s="847"/>
      <c r="I40" s="122"/>
      <c r="J40" s="511"/>
      <c r="K40" s="60"/>
      <c r="L40" s="118"/>
      <c r="M40" s="549"/>
      <c r="O40" s="71"/>
      <c r="P40" s="72"/>
      <c r="Q40" s="73"/>
      <c r="R40" s="73"/>
      <c r="S40" s="41"/>
      <c r="T40" s="72">
        <f>+S40-Q40</f>
        <v>0</v>
      </c>
      <c r="U40" s="158"/>
      <c r="V40" s="159"/>
    </row>
    <row r="41" spans="3:22" ht="15" x14ac:dyDescent="0.25">
      <c r="C41" s="843" t="s">
        <v>42</v>
      </c>
      <c r="D41" s="844"/>
      <c r="E41" s="845"/>
      <c r="F41" s="846">
        <v>500</v>
      </c>
      <c r="G41" s="847"/>
      <c r="I41" s="124"/>
      <c r="J41" s="60"/>
      <c r="K41" s="60"/>
      <c r="L41" s="118"/>
      <c r="M41" s="549"/>
      <c r="P41" s="27"/>
      <c r="Q41" s="27"/>
      <c r="R41" s="263"/>
      <c r="S41" s="27"/>
      <c r="T41" s="27"/>
      <c r="U41" s="26"/>
    </row>
    <row r="42" spans="3:22" ht="15.75" thickBot="1" x14ac:dyDescent="0.3">
      <c r="C42" s="24" t="s">
        <v>161</v>
      </c>
      <c r="D42" s="25"/>
      <c r="E42" s="25"/>
      <c r="F42" s="846">
        <v>0</v>
      </c>
      <c r="G42" s="847"/>
      <c r="I42" s="124"/>
      <c r="J42" s="60"/>
      <c r="K42" s="60"/>
      <c r="L42" s="118"/>
      <c r="M42" s="549"/>
      <c r="T42" s="27"/>
      <c r="U42" s="26"/>
    </row>
    <row r="43" spans="3:22" ht="15.75" thickBot="1" x14ac:dyDescent="0.3">
      <c r="C43" s="24" t="s">
        <v>257</v>
      </c>
      <c r="D43" s="25"/>
      <c r="E43" s="25"/>
      <c r="F43" s="846">
        <v>0</v>
      </c>
      <c r="G43" s="847"/>
      <c r="I43" s="848" t="s">
        <v>44</v>
      </c>
      <c r="J43" s="849"/>
      <c r="K43" s="850"/>
      <c r="L43" s="125">
        <f>SUM(L37:L42)</f>
        <v>0</v>
      </c>
      <c r="M43" s="550"/>
      <c r="T43" s="27"/>
      <c r="U43" s="26"/>
    </row>
    <row r="44" spans="3:22" ht="15.75" thickBot="1" x14ac:dyDescent="0.3">
      <c r="C44" s="241" t="s">
        <v>312</v>
      </c>
      <c r="D44" s="242"/>
      <c r="E44" s="242"/>
      <c r="F44" s="841">
        <v>0</v>
      </c>
      <c r="G44" s="842"/>
      <c r="T44" s="27"/>
      <c r="U44" s="26"/>
    </row>
    <row r="45" spans="3:22" ht="15.75" thickBot="1" x14ac:dyDescent="0.3">
      <c r="C45" s="792" t="s">
        <v>45</v>
      </c>
      <c r="D45" s="793"/>
      <c r="E45" s="813"/>
      <c r="F45" s="814">
        <f>SUM(F36:G44)</f>
        <v>7348.9267812539802</v>
      </c>
      <c r="G45" s="815"/>
      <c r="I45" s="27"/>
      <c r="J45" s="27"/>
      <c r="K45" s="27"/>
      <c r="L45" s="130"/>
      <c r="M45" s="130"/>
      <c r="N45" s="19"/>
      <c r="P45" s="817" t="s">
        <v>61</v>
      </c>
      <c r="Q45" s="818"/>
      <c r="R45" s="263"/>
      <c r="S45" s="27"/>
      <c r="T45" s="26"/>
    </row>
    <row r="46" spans="3:22" ht="12" customHeight="1" thickBot="1" x14ac:dyDescent="0.3">
      <c r="P46" s="44">
        <v>1</v>
      </c>
      <c r="Q46" s="69" t="s">
        <v>62</v>
      </c>
      <c r="R46" s="263"/>
      <c r="S46" s="27"/>
      <c r="T46" s="26"/>
    </row>
    <row r="47" spans="3:22" ht="15" x14ac:dyDescent="0.25">
      <c r="C47" s="185" t="s">
        <v>46</v>
      </c>
      <c r="D47" s="29"/>
      <c r="E47" s="343"/>
      <c r="F47" s="29"/>
      <c r="G47" s="29"/>
      <c r="H47" s="29"/>
      <c r="I47" s="29"/>
      <c r="J47" s="29"/>
      <c r="K47" s="29"/>
      <c r="L47" s="29"/>
      <c r="M47" s="29"/>
      <c r="N47" s="30"/>
      <c r="P47" s="44">
        <v>2</v>
      </c>
      <c r="Q47" s="69" t="s">
        <v>110</v>
      </c>
      <c r="R47" s="263"/>
      <c r="S47" s="27"/>
      <c r="T47" s="26"/>
    </row>
    <row r="48" spans="3:22" ht="15.75" thickBot="1" x14ac:dyDescent="0.3">
      <c r="C48" s="31">
        <v>1092.8800000000001</v>
      </c>
      <c r="N48" s="32"/>
      <c r="P48" s="71">
        <v>3</v>
      </c>
      <c r="Q48" s="72" t="s">
        <v>109</v>
      </c>
      <c r="R48" s="263"/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755">
        <v>0.2638888888888889</v>
      </c>
      <c r="L49" s="755">
        <v>0.7944444444444444</v>
      </c>
      <c r="M49" s="755">
        <f>+L49-K49</f>
        <v>0.53055555555555545</v>
      </c>
      <c r="N49" s="35"/>
      <c r="P49" s="27"/>
      <c r="Q49" s="27"/>
      <c r="R49" s="263"/>
      <c r="S49" s="27"/>
      <c r="T49" s="27"/>
      <c r="U49" s="26"/>
    </row>
    <row r="50" spans="3:21" ht="15" x14ac:dyDescent="0.25">
      <c r="P50" s="27"/>
      <c r="Q50" s="27"/>
      <c r="R50" s="263"/>
      <c r="S50" s="27"/>
      <c r="T50" s="37"/>
      <c r="U50" s="26"/>
    </row>
    <row r="51" spans="3:21" ht="15" x14ac:dyDescent="0.25">
      <c r="P51" s="27"/>
      <c r="Q51" s="27"/>
      <c r="R51" s="263"/>
      <c r="S51" s="27"/>
      <c r="T51" s="37"/>
      <c r="U51" s="26"/>
    </row>
    <row r="52" spans="3:21" ht="13.5" thickBot="1" x14ac:dyDescent="0.25">
      <c r="P52" s="27"/>
      <c r="Q52" s="27"/>
      <c r="R52" s="263"/>
      <c r="S52" s="27"/>
      <c r="T52" s="37"/>
    </row>
    <row r="53" spans="3:21" ht="13.5" thickTop="1" x14ac:dyDescent="0.2">
      <c r="D53" s="816" t="s">
        <v>47</v>
      </c>
      <c r="E53" s="816"/>
      <c r="F53" s="816"/>
      <c r="G53" s="816"/>
      <c r="H53" s="816"/>
      <c r="J53" s="816" t="s">
        <v>48</v>
      </c>
      <c r="K53" s="816"/>
      <c r="L53" s="816"/>
      <c r="M53" s="816"/>
      <c r="N53" s="816"/>
      <c r="P53" s="37"/>
      <c r="Q53" s="37"/>
      <c r="R53" s="264"/>
      <c r="S53" s="37"/>
      <c r="T53" s="37"/>
    </row>
    <row r="54" spans="3:21" x14ac:dyDescent="0.2">
      <c r="P54" s="37"/>
      <c r="Q54" s="37"/>
      <c r="R54" s="264"/>
      <c r="S54" s="37"/>
      <c r="T54" s="36"/>
    </row>
    <row r="55" spans="3:21" x14ac:dyDescent="0.2">
      <c r="P55" s="37"/>
      <c r="Q55" s="37"/>
      <c r="R55" s="264"/>
      <c r="S55" s="37"/>
    </row>
    <row r="56" spans="3:21" x14ac:dyDescent="0.2">
      <c r="P56" s="37"/>
      <c r="Q56" s="37"/>
      <c r="R56" s="264"/>
      <c r="S56" s="37"/>
    </row>
    <row r="57" spans="3:21" ht="15" customHeight="1" x14ac:dyDescent="0.2">
      <c r="P57" s="36"/>
      <c r="Q57" s="36"/>
      <c r="R57" s="265"/>
      <c r="S57" s="36"/>
    </row>
  </sheetData>
  <mergeCells count="42">
    <mergeCell ref="C45:E45"/>
    <mergeCell ref="F45:G45"/>
    <mergeCell ref="C35:G35"/>
    <mergeCell ref="P45:Q45"/>
    <mergeCell ref="O35:P35"/>
    <mergeCell ref="C36:E36"/>
    <mergeCell ref="F36:G36"/>
    <mergeCell ref="I35:L35"/>
    <mergeCell ref="D53:H53"/>
    <mergeCell ref="J53:N53"/>
    <mergeCell ref="F43:G43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F42:G42"/>
    <mergeCell ref="I43:K43"/>
    <mergeCell ref="F44:G44"/>
    <mergeCell ref="D14:E14"/>
    <mergeCell ref="D15:E15"/>
    <mergeCell ref="D16:E16"/>
    <mergeCell ref="E32:E33"/>
    <mergeCell ref="F33:G33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</mergeCells>
  <pageMargins left="0" right="0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21">
    <pageSetUpPr fitToPage="1"/>
  </sheetPr>
  <dimension ref="C1:Y57"/>
  <sheetViews>
    <sheetView topLeftCell="A6" zoomScale="90" zoomScaleNormal="90" workbookViewId="0">
      <selection activeCell="I36" sqref="I36:L38"/>
    </sheetView>
  </sheetViews>
  <sheetFormatPr baseColWidth="10" defaultColWidth="9.140625" defaultRowHeight="12.75" x14ac:dyDescent="0.2"/>
  <cols>
    <col min="1" max="1" width="1.5703125" customWidth="1"/>
    <col min="2" max="2" width="2.28515625" customWidth="1"/>
    <col min="3" max="3" width="13.140625" customWidth="1"/>
    <col min="4" max="4" width="12" bestFit="1" customWidth="1"/>
    <col min="5" max="5" width="11" customWidth="1"/>
    <col min="6" max="6" width="9.140625" bestFit="1" customWidth="1"/>
    <col min="7" max="7" width="3" bestFit="1" customWidth="1"/>
    <col min="8" max="8" width="12.140625" bestFit="1" customWidth="1"/>
    <col min="9" max="9" width="15.5703125" customWidth="1"/>
    <col min="10" max="10" width="12.140625" bestFit="1" customWidth="1"/>
    <col min="11" max="11" width="12.5703125" customWidth="1"/>
    <col min="12" max="12" width="12.140625" bestFit="1" customWidth="1"/>
    <col min="13" max="13" width="12.140625" customWidth="1"/>
    <col min="14" max="14" width="8.7109375" bestFit="1" customWidth="1"/>
    <col min="15" max="15" width="14.7109375" customWidth="1"/>
    <col min="16" max="16" width="12.85546875" customWidth="1"/>
    <col min="17" max="17" width="15.5703125" customWidth="1"/>
    <col min="18" max="18" width="11.140625" hidden="1" customWidth="1"/>
    <col min="19" max="19" width="11.42578125" customWidth="1"/>
    <col min="20" max="20" width="12.7109375" customWidth="1"/>
    <col min="21" max="21" width="12.140625" hidden="1" customWidth="1"/>
    <col min="22" max="22" width="10" hidden="1" customWidth="1"/>
    <col min="23" max="23" width="2.140625" hidden="1" customWidth="1"/>
    <col min="24" max="24" width="14.28515625" customWidth="1"/>
    <col min="25" max="25" width="8.42578125" customWidth="1"/>
    <col min="26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6" t="s">
        <v>0</v>
      </c>
      <c r="R2" s="797"/>
      <c r="S2" s="798"/>
    </row>
    <row r="3" spans="4:19" ht="19.5" thickBot="1" x14ac:dyDescent="0.35">
      <c r="I3" s="799" t="s">
        <v>1</v>
      </c>
      <c r="J3" s="800"/>
      <c r="K3" s="800"/>
      <c r="L3" s="800"/>
      <c r="M3" s="800"/>
      <c r="N3" s="800"/>
      <c r="O3" s="801"/>
      <c r="Q3" s="802">
        <f>+'CHAVEZ VARELA NESTOR ADRIAN'!Q3:S3</f>
        <v>42</v>
      </c>
      <c r="R3" s="803"/>
      <c r="S3" s="804"/>
    </row>
    <row r="4" spans="4:19" ht="16.5" thickBot="1" x14ac:dyDescent="0.3">
      <c r="I4" s="805" t="s">
        <v>2</v>
      </c>
      <c r="J4" s="806"/>
      <c r="K4" s="806"/>
      <c r="L4" s="806"/>
      <c r="M4" s="806"/>
      <c r="N4" s="806"/>
      <c r="O4" s="807"/>
      <c r="Q4" s="811"/>
      <c r="R4" s="811"/>
      <c r="S4" s="811"/>
    </row>
    <row r="5" spans="4:19" ht="13.5" thickBot="1" x14ac:dyDescent="0.25">
      <c r="I5" s="808" t="s">
        <v>3</v>
      </c>
      <c r="J5" s="809"/>
      <c r="K5" s="809"/>
      <c r="L5" s="809"/>
      <c r="M5" s="809"/>
      <c r="N5" s="809"/>
      <c r="O5" s="810"/>
      <c r="Q5" s="783" t="s">
        <v>4</v>
      </c>
      <c r="R5" s="784"/>
      <c r="S5" s="785"/>
    </row>
    <row r="6" spans="4:19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780">
        <f>+'GONZALEZ LOZANO ENRIQUE '!Q6+1</f>
        <v>7</v>
      </c>
      <c r="R6" s="781"/>
      <c r="S6" s="782"/>
    </row>
    <row r="7" spans="4:19" ht="9" customHeight="1" x14ac:dyDescent="0.2"/>
    <row r="8" spans="4:19" ht="6.75" customHeight="1" thickBot="1" x14ac:dyDescent="0.25"/>
    <row r="9" spans="4:19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19" ht="11.25" customHeight="1" thickBot="1" x14ac:dyDescent="0.25"/>
    <row r="11" spans="4:19" x14ac:dyDescent="0.2">
      <c r="D11" s="1" t="s">
        <v>7</v>
      </c>
      <c r="E11" s="2" t="s">
        <v>273</v>
      </c>
      <c r="F11" s="175"/>
      <c r="G11" s="175"/>
      <c r="H11" s="175"/>
      <c r="I11" s="2"/>
      <c r="J11" s="3"/>
      <c r="K11" s="4" t="s">
        <v>9</v>
      </c>
      <c r="L11" s="786" t="str">
        <f>+NOMINA!B3</f>
        <v>SEMANA #42 PERIODO DEL 06 AL 12 DE OCTUBRE  DEL 2025</v>
      </c>
      <c r="M11" s="786"/>
      <c r="N11" s="786"/>
      <c r="O11" s="786"/>
      <c r="P11" s="786"/>
      <c r="Q11" s="786"/>
      <c r="R11" s="786"/>
      <c r="S11" s="787"/>
    </row>
    <row r="12" spans="4:19" x14ac:dyDescent="0.2">
      <c r="D12" s="5" t="s">
        <v>10</v>
      </c>
      <c r="E12" s="788" t="s">
        <v>330</v>
      </c>
      <c r="F12" s="78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90" t="s">
        <v>11</v>
      </c>
      <c r="E14" s="791"/>
      <c r="F14" s="7">
        <v>0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90" t="s">
        <v>14</v>
      </c>
      <c r="E15" s="791"/>
      <c r="F15" s="7">
        <v>0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92" t="s">
        <v>17</v>
      </c>
      <c r="E16" s="793"/>
      <c r="F16" s="12">
        <f>SUM(J19:J29)</f>
        <v>4702</v>
      </c>
      <c r="G16" s="12"/>
      <c r="H16" s="12"/>
      <c r="I16" s="13" t="s">
        <v>18</v>
      </c>
      <c r="J16" s="244">
        <f>SUM(K19:K29)</f>
        <v>1501.835</v>
      </c>
      <c r="K16" s="12"/>
      <c r="L16" s="12"/>
      <c r="M16" s="12"/>
      <c r="N16" s="12"/>
      <c r="O16" s="14" t="s">
        <v>19</v>
      </c>
      <c r="P16" s="15">
        <f>+F16/J16</f>
        <v>3.1308366098805793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  <c r="U18" s="705" t="s">
        <v>333</v>
      </c>
      <c r="V18" s="706" t="s">
        <v>336</v>
      </c>
    </row>
    <row r="19" spans="3:25" x14ac:dyDescent="0.2">
      <c r="C19" s="718">
        <v>46389</v>
      </c>
      <c r="D19" s="109" t="s">
        <v>370</v>
      </c>
      <c r="E19" s="719">
        <v>45937</v>
      </c>
      <c r="F19" s="719">
        <v>45938</v>
      </c>
      <c r="G19" s="109">
        <v>1</v>
      </c>
      <c r="H19" s="702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45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720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45"/>
      <c r="L19" s="721"/>
      <c r="M19" s="721"/>
      <c r="N19" s="45">
        <v>1</v>
      </c>
      <c r="O19" s="45" t="s">
        <v>368</v>
      </c>
      <c r="P19" s="45" t="s">
        <v>176</v>
      </c>
      <c r="Q19" s="722">
        <f t="shared" ref="Q19:Q20" si="0">(IF(N19=1,(J19*0.3)))+(IF(N19=2,(J19*0.15))+(IF(N19=3,(J19*0.15))))</f>
        <v>306.3</v>
      </c>
      <c r="R19" s="723"/>
      <c r="S19" s="724"/>
      <c r="T19" s="725"/>
      <c r="U19" s="45">
        <v>8</v>
      </c>
      <c r="V19" s="706">
        <v>8</v>
      </c>
    </row>
    <row r="20" spans="3:25" ht="13.5" thickBot="1" x14ac:dyDescent="0.25">
      <c r="C20" s="446"/>
      <c r="D20" s="418" t="s">
        <v>371</v>
      </c>
      <c r="E20" s="447">
        <v>45938</v>
      </c>
      <c r="F20" s="447">
        <v>45939</v>
      </c>
      <c r="G20" s="418">
        <v>2</v>
      </c>
      <c r="H20" s="512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44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482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448">
        <v>668.42</v>
      </c>
      <c r="L20" s="449">
        <f>SUM(J18:J20)/K20</f>
        <v>3.0549654408904581</v>
      </c>
      <c r="M20" s="449">
        <v>2</v>
      </c>
      <c r="N20" s="448">
        <v>1</v>
      </c>
      <c r="O20" s="448" t="s">
        <v>369</v>
      </c>
      <c r="P20" s="448" t="s">
        <v>176</v>
      </c>
      <c r="Q20" s="450">
        <f t="shared" si="0"/>
        <v>306.3</v>
      </c>
      <c r="R20" s="451">
        <f>+LOOKUP(P37,[1]UNIDADES!B$3:B$73,[1]UNIDADES!C$3:C$73)</f>
        <v>2.60127</v>
      </c>
      <c r="S20" s="634">
        <f>(SUM(J18:J20)/R20)-K20</f>
        <v>116.58117250419991</v>
      </c>
      <c r="T20" s="450">
        <f>(IF(M20=1,(S20*16)))+(IF(M20=2,(S20*17.26))+(IF(M20=3,(S20*17.66))+(IF(M20=4,(S20*18.06))+(IF(M20=5,(S20*18.46))+(IF(M20=6,(S20*18.86))+(IF(M20=7,(S20*19.26))))))))</f>
        <v>2012.1910374224906</v>
      </c>
      <c r="U20" s="448">
        <v>9</v>
      </c>
      <c r="V20" s="754">
        <v>9</v>
      </c>
      <c r="W20" s="744"/>
      <c r="X20" s="746"/>
      <c r="Y20" s="747"/>
    </row>
    <row r="21" spans="3:25" x14ac:dyDescent="0.2">
      <c r="C21" s="429">
        <v>45942</v>
      </c>
      <c r="D21" s="426" t="s">
        <v>413</v>
      </c>
      <c r="E21" s="430">
        <v>45939</v>
      </c>
      <c r="F21" s="430">
        <v>45940</v>
      </c>
      <c r="G21" s="426">
        <v>3</v>
      </c>
      <c r="H21" s="44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38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GUAMUCHIL</v>
      </c>
      <c r="J21" s="445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1330</v>
      </c>
      <c r="K21" s="38"/>
      <c r="L21" s="431"/>
      <c r="M21" s="431"/>
      <c r="N21" s="38">
        <v>1</v>
      </c>
      <c r="O21" s="38" t="s">
        <v>411</v>
      </c>
      <c r="P21" s="38" t="s">
        <v>174</v>
      </c>
      <c r="Q21" s="432">
        <f t="shared" ref="Q21:Q22" si="1">(IF(N21=1,(J21*0.3)))+(IF(N21=2,(J21*0.15))+(IF(N21=3,(J21*0.15))))</f>
        <v>399</v>
      </c>
      <c r="R21" s="433"/>
      <c r="S21" s="470"/>
      <c r="T21" s="432"/>
      <c r="U21" s="38">
        <v>8</v>
      </c>
      <c r="V21" s="100"/>
      <c r="W21" s="744"/>
      <c r="X21" s="746"/>
      <c r="Y21" s="747"/>
    </row>
    <row r="22" spans="3:25" ht="13.5" thickBot="1" x14ac:dyDescent="0.25">
      <c r="C22" s="40"/>
      <c r="D22" s="283" t="s">
        <v>414</v>
      </c>
      <c r="E22" s="284">
        <v>45940</v>
      </c>
      <c r="F22" s="284">
        <v>45941</v>
      </c>
      <c r="G22" s="283">
        <v>4</v>
      </c>
      <c r="H22" s="115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GUAMUCHIL</v>
      </c>
      <c r="I22" s="106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107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1330</v>
      </c>
      <c r="K22" s="106">
        <v>833.41499999999996</v>
      </c>
      <c r="L22" s="255">
        <f>SUM(J21:J22)/K22</f>
        <v>3.1916872146529642</v>
      </c>
      <c r="M22" s="255">
        <v>2</v>
      </c>
      <c r="N22" s="106">
        <v>1</v>
      </c>
      <c r="O22" s="106" t="s">
        <v>412</v>
      </c>
      <c r="P22" s="106" t="s">
        <v>174</v>
      </c>
      <c r="Q22" s="256">
        <f t="shared" si="1"/>
        <v>399</v>
      </c>
      <c r="R22" s="216">
        <f>+LOOKUP(P38,[1]UNIDADES!B$3:B$73,[1]UNIDADES!C$3:C$73)</f>
        <v>2.60127</v>
      </c>
      <c r="S22" s="202">
        <f>(SUM(J21:J22)/R22)-K22</f>
        <v>189.16243333064244</v>
      </c>
      <c r="T22" s="256">
        <f>(IF(M22=1,(S22*16)))+(IF(M22=2,(S22*17.26))+(IF(M22=3,(S22*17.66))+(IF(M22=4,(S22*18.06))+(IF(M22=5,(S22*18.46))+(IF(M22=6,(S22*18.86))+(IF(M22=7,(S22*19.26))))))))</f>
        <v>3264.9435992868889</v>
      </c>
      <c r="U22" s="41">
        <v>9</v>
      </c>
      <c r="V22" s="72"/>
      <c r="W22" s="744"/>
      <c r="X22" s="746"/>
      <c r="Y22" s="747"/>
    </row>
    <row r="23" spans="3:25" ht="15" hidden="1" customHeight="1" x14ac:dyDescent="0.2">
      <c r="C23" s="535"/>
      <c r="D23" s="293"/>
      <c r="E23" s="294"/>
      <c r="F23" s="294"/>
      <c r="G23" s="293"/>
      <c r="H23" s="197"/>
      <c r="I23" s="180"/>
      <c r="J23" s="181"/>
      <c r="K23" s="180"/>
      <c r="L23" s="295"/>
      <c r="M23" s="295"/>
      <c r="N23" s="180"/>
      <c r="O23" s="180"/>
      <c r="P23" s="180"/>
      <c r="Q23" s="296"/>
      <c r="R23" s="297"/>
      <c r="S23" s="316"/>
      <c r="T23" s="296"/>
      <c r="U23" s="51"/>
      <c r="V23" s="51"/>
      <c r="W23" s="745"/>
      <c r="X23" s="746"/>
      <c r="Y23" s="747"/>
    </row>
    <row r="24" spans="3:25" hidden="1" x14ac:dyDescent="0.2">
      <c r="C24" s="535"/>
      <c r="D24" s="293"/>
      <c r="E24" s="294"/>
      <c r="F24" s="294"/>
      <c r="G24" s="293"/>
      <c r="H24" s="197"/>
      <c r="I24" s="180"/>
      <c r="J24" s="181"/>
      <c r="K24" s="51"/>
      <c r="L24" s="295"/>
      <c r="M24" s="295"/>
      <c r="N24" s="180"/>
      <c r="O24" s="180"/>
      <c r="P24" s="180"/>
      <c r="Q24" s="296"/>
      <c r="R24" s="297"/>
      <c r="S24" s="316"/>
      <c r="T24" s="677"/>
      <c r="U24" s="51"/>
      <c r="V24" s="51"/>
      <c r="X24" s="23"/>
      <c r="Y24" s="546"/>
    </row>
    <row r="25" spans="3:25" hidden="1" x14ac:dyDescent="0.2">
      <c r="C25" s="535"/>
      <c r="D25" s="293"/>
      <c r="E25" s="294"/>
      <c r="F25" s="294"/>
      <c r="G25" s="293"/>
      <c r="H25" s="197"/>
      <c r="I25" s="180"/>
      <c r="J25" s="181"/>
      <c r="K25" s="180"/>
      <c r="L25" s="295"/>
      <c r="M25" s="295"/>
      <c r="N25" s="180"/>
      <c r="O25" s="180"/>
      <c r="P25" s="180"/>
      <c r="Q25" s="296"/>
      <c r="R25" s="297"/>
      <c r="S25" s="316"/>
      <c r="T25" s="677"/>
      <c r="U25" s="17"/>
      <c r="V25" s="17"/>
      <c r="X25" s="23"/>
      <c r="Y25" s="546"/>
    </row>
    <row r="26" spans="3:25" hidden="1" x14ac:dyDescent="0.2">
      <c r="C26" s="534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252"/>
      <c r="T26" s="673"/>
      <c r="U26" s="17"/>
      <c r="V26" s="17"/>
      <c r="X26" s="23"/>
      <c r="Y26" s="546"/>
    </row>
    <row r="27" spans="3:25" hidden="1" x14ac:dyDescent="0.2">
      <c r="C27" s="534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252"/>
      <c r="T27" s="673"/>
      <c r="U27" s="707"/>
      <c r="V27" s="17"/>
    </row>
    <row r="28" spans="3:25" hidden="1" x14ac:dyDescent="0.2">
      <c r="C28" s="534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252"/>
      <c r="T28" s="673"/>
      <c r="U28" s="17"/>
      <c r="V28" s="17"/>
    </row>
    <row r="29" spans="3:25" hidden="1" x14ac:dyDescent="0.2">
      <c r="C29" s="534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673"/>
      <c r="U29" s="17"/>
      <c r="V29" s="17"/>
    </row>
    <row r="30" spans="3:25" ht="13.5" thickBot="1" x14ac:dyDescent="0.25">
      <c r="C30" s="22"/>
      <c r="D30" s="22"/>
      <c r="E30" s="22"/>
      <c r="F30" s="22"/>
      <c r="G30" s="22"/>
      <c r="H30" s="22"/>
      <c r="I30" s="182"/>
      <c r="J30" s="22"/>
      <c r="K30" s="22"/>
      <c r="L30" s="22"/>
      <c r="M30" s="22"/>
      <c r="N30" s="22"/>
      <c r="O30" s="22"/>
      <c r="P30" s="22"/>
      <c r="Q30" s="22"/>
      <c r="R30" s="305"/>
      <c r="S30" s="22"/>
      <c r="T30" s="22"/>
      <c r="U30" s="672"/>
      <c r="V30" s="672"/>
    </row>
    <row r="31" spans="3:25" x14ac:dyDescent="0.2">
      <c r="E31" s="794" t="s">
        <v>35</v>
      </c>
      <c r="F31" s="773">
        <f>+'CHAVEZ VARELA NESTOR ADRIAN'!F29:G29</f>
        <v>45936</v>
      </c>
      <c r="G31" s="774"/>
      <c r="H31" s="20">
        <f>+F31+1</f>
        <v>45937</v>
      </c>
      <c r="I31" s="20">
        <f>+H31+1</f>
        <v>45938</v>
      </c>
      <c r="J31" s="20">
        <f>+I31+1</f>
        <v>45939</v>
      </c>
      <c r="K31" s="20">
        <f>+J31+1</f>
        <v>45940</v>
      </c>
      <c r="L31" s="20">
        <f>+K31+2</f>
        <v>45942</v>
      </c>
      <c r="M31" s="547"/>
      <c r="N31" s="21" t="s">
        <v>36</v>
      </c>
      <c r="R31" s="657"/>
      <c r="S31" s="657"/>
      <c r="T31" s="657"/>
      <c r="U31" s="672"/>
      <c r="V31" s="672"/>
    </row>
    <row r="32" spans="3:25" ht="13.5" thickBot="1" x14ac:dyDescent="0.25">
      <c r="C32" s="22"/>
      <c r="E32" s="795"/>
      <c r="F32" s="775"/>
      <c r="G32" s="776"/>
      <c r="H32" s="42">
        <v>0</v>
      </c>
      <c r="I32" s="42">
        <v>0</v>
      </c>
      <c r="J32" s="42">
        <v>0</v>
      </c>
      <c r="K32" s="42"/>
      <c r="L32" s="42"/>
      <c r="M32" s="548"/>
      <c r="N32" s="524">
        <f>SUM(F32:L32)</f>
        <v>0</v>
      </c>
      <c r="S32" s="77"/>
      <c r="U32" s="672"/>
      <c r="V32" s="672"/>
    </row>
    <row r="33" spans="3:22" ht="13.5" thickBot="1" x14ac:dyDescent="0.25">
      <c r="I33" s="23"/>
      <c r="U33" s="672"/>
      <c r="V33" s="672"/>
    </row>
    <row r="34" spans="3:22" ht="15.75" thickBot="1" x14ac:dyDescent="0.3">
      <c r="C34" s="825" t="s">
        <v>37</v>
      </c>
      <c r="D34" s="826"/>
      <c r="E34" s="826"/>
      <c r="F34" s="826"/>
      <c r="G34" s="827"/>
      <c r="I34" s="838" t="s">
        <v>38</v>
      </c>
      <c r="J34" s="839"/>
      <c r="K34" s="839"/>
      <c r="L34" s="840"/>
      <c r="M34" s="331"/>
      <c r="O34" s="828" t="s">
        <v>39</v>
      </c>
      <c r="P34" s="829"/>
      <c r="Q34" s="408">
        <f>+F44-L42</f>
        <v>11026.73463670938</v>
      </c>
      <c r="R34" s="406"/>
      <c r="S34" s="407"/>
      <c r="T34" s="77"/>
      <c r="U34" s="77"/>
      <c r="V34" s="77"/>
    </row>
    <row r="35" spans="3:22" ht="13.5" thickBot="1" x14ac:dyDescent="0.25">
      <c r="C35" s="833" t="s">
        <v>207</v>
      </c>
      <c r="D35" s="834"/>
      <c r="E35" s="835"/>
      <c r="F35" s="836">
        <f>SUM(Q18:Q31)</f>
        <v>1410.6</v>
      </c>
      <c r="G35" s="837"/>
      <c r="I35" s="121" t="s">
        <v>106</v>
      </c>
      <c r="J35" s="59" t="s">
        <v>107</v>
      </c>
      <c r="K35" s="59" t="s">
        <v>69</v>
      </c>
      <c r="L35" s="119" t="s">
        <v>108</v>
      </c>
      <c r="M35" s="563"/>
      <c r="V35" s="77"/>
    </row>
    <row r="36" spans="3:22" ht="13.5" thickBot="1" x14ac:dyDescent="0.25">
      <c r="C36" s="843" t="s">
        <v>208</v>
      </c>
      <c r="D36" s="844"/>
      <c r="E36" s="845"/>
      <c r="F36" s="846">
        <f>SUM(T18:T31)</f>
        <v>5277.1346367093793</v>
      </c>
      <c r="G36" s="847"/>
      <c r="I36" s="122"/>
      <c r="J36" s="123"/>
      <c r="K36" s="49"/>
      <c r="L36" s="120"/>
      <c r="M36" s="563"/>
      <c r="O36" s="62" t="s">
        <v>69</v>
      </c>
      <c r="P36" s="63" t="s">
        <v>70</v>
      </c>
      <c r="Q36" s="64" t="s">
        <v>71</v>
      </c>
      <c r="R36" s="64"/>
      <c r="S36" s="65" t="s">
        <v>72</v>
      </c>
      <c r="T36" s="63" t="s">
        <v>73</v>
      </c>
      <c r="U36" s="154" t="s">
        <v>117</v>
      </c>
      <c r="V36" s="21" t="s">
        <v>118</v>
      </c>
    </row>
    <row r="37" spans="3:22" x14ac:dyDescent="0.2">
      <c r="C37" s="843" t="s">
        <v>35</v>
      </c>
      <c r="D37" s="844"/>
      <c r="E37" s="845"/>
      <c r="F37" s="846">
        <f>N32</f>
        <v>0</v>
      </c>
      <c r="G37" s="847"/>
      <c r="I37" s="124"/>
      <c r="J37" s="235"/>
      <c r="K37" s="60"/>
      <c r="L37" s="118"/>
      <c r="M37" s="563"/>
      <c r="O37" s="44">
        <v>46389</v>
      </c>
      <c r="P37" s="69" t="s">
        <v>167</v>
      </c>
      <c r="Q37" s="70">
        <v>684921</v>
      </c>
      <c r="R37" s="70"/>
      <c r="S37" s="17">
        <v>687015</v>
      </c>
      <c r="T37" s="69">
        <f>+S37-Q37</f>
        <v>2094</v>
      </c>
      <c r="U37" s="157">
        <v>2042</v>
      </c>
      <c r="V37" s="21">
        <v>668.42</v>
      </c>
    </row>
    <row r="38" spans="3:22" x14ac:dyDescent="0.2">
      <c r="C38" s="843" t="s">
        <v>40</v>
      </c>
      <c r="D38" s="844"/>
      <c r="E38" s="845"/>
      <c r="F38" s="846">
        <v>2439</v>
      </c>
      <c r="G38" s="847"/>
      <c r="I38" s="124"/>
      <c r="J38" s="235"/>
      <c r="K38" s="60"/>
      <c r="L38" s="118"/>
      <c r="M38" s="563"/>
      <c r="O38" s="44">
        <v>45942</v>
      </c>
      <c r="P38" s="69" t="s">
        <v>167</v>
      </c>
      <c r="Q38" s="70">
        <v>687015</v>
      </c>
      <c r="R38" s="70"/>
      <c r="S38" s="17">
        <v>689769</v>
      </c>
      <c r="T38" s="69">
        <f>+S38-Q38</f>
        <v>2754</v>
      </c>
      <c r="U38" s="157">
        <v>2660</v>
      </c>
      <c r="V38" s="156">
        <v>833.41499999999996</v>
      </c>
    </row>
    <row r="39" spans="3:22" ht="13.5" thickBot="1" x14ac:dyDescent="0.25">
      <c r="C39" s="843" t="s">
        <v>41</v>
      </c>
      <c r="D39" s="844"/>
      <c r="E39" s="845"/>
      <c r="F39" s="846">
        <v>600</v>
      </c>
      <c r="G39" s="847"/>
      <c r="H39" t="s">
        <v>99</v>
      </c>
      <c r="I39" s="124"/>
      <c r="J39" s="235"/>
      <c r="K39" s="60"/>
      <c r="L39" s="118"/>
      <c r="M39" s="563"/>
      <c r="O39" s="71"/>
      <c r="P39" s="72"/>
      <c r="Q39" s="73"/>
      <c r="R39" s="73"/>
      <c r="S39" s="41"/>
      <c r="T39" s="69">
        <f t="shared" ref="T39" si="2">+S39-Q39</f>
        <v>0</v>
      </c>
      <c r="U39" s="158"/>
      <c r="V39" s="156"/>
    </row>
    <row r="40" spans="3:22" ht="15" x14ac:dyDescent="0.25">
      <c r="C40" s="843" t="s">
        <v>42</v>
      </c>
      <c r="D40" s="844"/>
      <c r="E40" s="845"/>
      <c r="F40" s="846">
        <v>1000</v>
      </c>
      <c r="G40" s="847"/>
      <c r="I40" s="124"/>
      <c r="J40" s="235"/>
      <c r="K40" s="60"/>
      <c r="L40" s="118"/>
      <c r="M40" s="563"/>
      <c r="P40" s="27"/>
      <c r="Q40" s="27"/>
      <c r="R40" s="27"/>
      <c r="S40" s="27"/>
      <c r="T40" s="27"/>
      <c r="U40" s="26"/>
      <c r="V40" s="26"/>
    </row>
    <row r="41" spans="3:22" ht="15.75" thickBot="1" x14ac:dyDescent="0.3">
      <c r="C41" s="24" t="s">
        <v>97</v>
      </c>
      <c r="D41" s="25"/>
      <c r="E41" s="25"/>
      <c r="F41" s="846"/>
      <c r="G41" s="847"/>
      <c r="I41" s="124"/>
      <c r="J41" s="60"/>
      <c r="K41" s="60"/>
      <c r="L41" s="118"/>
      <c r="M41" s="563"/>
      <c r="S41" s="27"/>
      <c r="T41" s="27"/>
      <c r="U41" s="26"/>
    </row>
    <row r="42" spans="3:22" ht="15.75" thickBot="1" x14ac:dyDescent="0.3">
      <c r="C42" s="24" t="s">
        <v>332</v>
      </c>
      <c r="D42" s="25"/>
      <c r="E42" s="25"/>
      <c r="F42" s="846"/>
      <c r="G42" s="847"/>
      <c r="I42" s="848" t="s">
        <v>44</v>
      </c>
      <c r="J42" s="849"/>
      <c r="K42" s="850"/>
      <c r="L42" s="125">
        <f>SUM(L36:L41)</f>
        <v>0</v>
      </c>
      <c r="M42" s="130"/>
      <c r="S42" s="27"/>
      <c r="T42" s="27"/>
      <c r="U42" s="26"/>
    </row>
    <row r="43" spans="3:22" ht="15.75" thickBot="1" x14ac:dyDescent="0.3">
      <c r="C43" s="241" t="s">
        <v>291</v>
      </c>
      <c r="D43" s="242"/>
      <c r="E43" s="242"/>
      <c r="F43" s="841">
        <v>300</v>
      </c>
      <c r="G43" s="842"/>
      <c r="I43" s="19"/>
      <c r="J43" s="126"/>
      <c r="K43" s="126"/>
      <c r="L43" s="128"/>
      <c r="M43" s="128"/>
      <c r="S43" s="27"/>
      <c r="T43" s="27"/>
      <c r="U43" s="26"/>
    </row>
    <row r="44" spans="3:22" ht="15.75" thickBot="1" x14ac:dyDescent="0.3">
      <c r="C44" s="792" t="s">
        <v>45</v>
      </c>
      <c r="D44" s="793"/>
      <c r="E44" s="813"/>
      <c r="F44" s="814">
        <f>SUM(F35:G43)</f>
        <v>11026.73463670938</v>
      </c>
      <c r="G44" s="815"/>
      <c r="I44" s="19"/>
      <c r="J44" s="708"/>
      <c r="K44" s="708"/>
      <c r="L44" s="708"/>
      <c r="M44" s="129"/>
      <c r="N44" s="19"/>
      <c r="P44" s="27"/>
      <c r="Q44" s="27"/>
      <c r="R44" s="27"/>
      <c r="S44" s="27"/>
      <c r="T44" s="26"/>
    </row>
    <row r="45" spans="3:22" ht="15.75" thickBot="1" x14ac:dyDescent="0.3">
      <c r="P45" s="27"/>
      <c r="Q45" s="27"/>
      <c r="R45" s="27"/>
      <c r="S45" s="27"/>
      <c r="T45" s="26"/>
    </row>
    <row r="46" spans="3:22" ht="12" customHeight="1" x14ac:dyDescent="0.25">
      <c r="C46" s="28" t="s">
        <v>46</v>
      </c>
      <c r="D46" s="29"/>
      <c r="E46" s="819"/>
      <c r="F46" s="819"/>
      <c r="G46" s="819"/>
      <c r="H46" s="819"/>
      <c r="I46" s="819"/>
      <c r="J46" s="819"/>
      <c r="K46" s="819"/>
      <c r="L46" s="819"/>
      <c r="M46" s="819"/>
      <c r="N46" s="820"/>
      <c r="P46" s="817" t="s">
        <v>61</v>
      </c>
      <c r="Q46" s="818"/>
      <c r="R46" s="27" t="s">
        <v>99</v>
      </c>
      <c r="S46" s="27"/>
      <c r="T46" s="26"/>
    </row>
    <row r="47" spans="3:22" ht="15" x14ac:dyDescent="0.25">
      <c r="C47" s="31"/>
      <c r="E47" s="821"/>
      <c r="F47" s="821"/>
      <c r="G47" s="821"/>
      <c r="H47" s="821"/>
      <c r="I47" s="821"/>
      <c r="J47" s="821"/>
      <c r="K47" s="821"/>
      <c r="L47" s="821"/>
      <c r="M47" s="821"/>
      <c r="N47" s="822"/>
      <c r="P47" s="44">
        <v>1</v>
      </c>
      <c r="Q47" s="69" t="s">
        <v>62</v>
      </c>
      <c r="R47" s="27"/>
      <c r="S47" s="27"/>
      <c r="T47" s="26"/>
    </row>
    <row r="48" spans="3:22" ht="15.75" thickBot="1" x14ac:dyDescent="0.3">
      <c r="C48" s="33"/>
      <c r="D48" s="34"/>
      <c r="E48" s="823"/>
      <c r="F48" s="823"/>
      <c r="G48" s="823"/>
      <c r="H48" s="823"/>
      <c r="I48" s="823"/>
      <c r="J48" s="823"/>
      <c r="K48" s="823"/>
      <c r="L48" s="823"/>
      <c r="M48" s="823"/>
      <c r="N48" s="824"/>
      <c r="P48" s="44">
        <v>2</v>
      </c>
      <c r="Q48" s="69" t="s">
        <v>110</v>
      </c>
      <c r="R48" s="27"/>
      <c r="S48" s="27"/>
      <c r="T48" s="27"/>
      <c r="U48" s="26"/>
    </row>
    <row r="49" spans="4:21" ht="15.75" thickBot="1" x14ac:dyDescent="0.3">
      <c r="P49" s="71">
        <v>3</v>
      </c>
      <c r="Q49" s="72" t="s">
        <v>109</v>
      </c>
      <c r="R49" s="27"/>
      <c r="S49" s="27"/>
      <c r="T49" s="27"/>
      <c r="U49" s="26"/>
    </row>
    <row r="50" spans="4:21" ht="15" x14ac:dyDescent="0.25">
      <c r="P50" s="27"/>
      <c r="Q50" s="27"/>
      <c r="R50" s="37"/>
      <c r="S50" s="27"/>
      <c r="T50" s="27"/>
      <c r="U50" s="26"/>
    </row>
    <row r="51" spans="4:21" ht="13.5" thickBot="1" x14ac:dyDescent="0.25">
      <c r="P51" s="27"/>
      <c r="Q51" s="27"/>
      <c r="R51" s="37"/>
      <c r="S51" s="27"/>
      <c r="T51" s="27"/>
    </row>
    <row r="52" spans="4:21" ht="13.5" thickTop="1" x14ac:dyDescent="0.2">
      <c r="D52" s="816" t="s">
        <v>47</v>
      </c>
      <c r="E52" s="816"/>
      <c r="F52" s="816"/>
      <c r="G52" s="816"/>
      <c r="H52" s="816"/>
      <c r="J52" s="816" t="s">
        <v>48</v>
      </c>
      <c r="K52" s="816"/>
      <c r="L52" s="816"/>
      <c r="M52" s="816"/>
      <c r="N52" s="816"/>
      <c r="P52" s="37"/>
      <c r="Q52" s="37"/>
      <c r="R52" s="37"/>
      <c r="S52" s="37"/>
      <c r="T52" s="37"/>
    </row>
    <row r="53" spans="4:21" x14ac:dyDescent="0.2">
      <c r="P53" s="37"/>
      <c r="Q53" s="37"/>
      <c r="R53" s="37"/>
      <c r="S53" s="37"/>
      <c r="T53" s="37"/>
    </row>
    <row r="54" spans="4:21" x14ac:dyDescent="0.2">
      <c r="P54" s="37"/>
      <c r="Q54" s="37"/>
      <c r="R54" s="36"/>
      <c r="S54" s="37"/>
      <c r="T54" s="37"/>
    </row>
    <row r="55" spans="4:21" x14ac:dyDescent="0.2">
      <c r="P55" s="37"/>
      <c r="Q55" s="37"/>
      <c r="S55" s="37"/>
      <c r="T55" s="37"/>
    </row>
    <row r="56" spans="4:21" x14ac:dyDescent="0.2">
      <c r="P56" s="36"/>
      <c r="Q56" s="36"/>
      <c r="S56" s="36"/>
      <c r="T56" s="36"/>
    </row>
    <row r="57" spans="4:21" ht="15" customHeight="1" x14ac:dyDescent="0.2"/>
  </sheetData>
  <mergeCells count="44">
    <mergeCell ref="P46:Q46"/>
    <mergeCell ref="F42:G42"/>
    <mergeCell ref="C44:E44"/>
    <mergeCell ref="F44:G44"/>
    <mergeCell ref="D52:H52"/>
    <mergeCell ref="J52:N52"/>
    <mergeCell ref="I42:K42"/>
    <mergeCell ref="E46:N48"/>
    <mergeCell ref="C36:E36"/>
    <mergeCell ref="F36:G36"/>
    <mergeCell ref="C37:E37"/>
    <mergeCell ref="F37:G37"/>
    <mergeCell ref="F43:G43"/>
    <mergeCell ref="C38:E38"/>
    <mergeCell ref="F38:G38"/>
    <mergeCell ref="C39:E39"/>
    <mergeCell ref="F39:G39"/>
    <mergeCell ref="C40:E40"/>
    <mergeCell ref="F40:G40"/>
    <mergeCell ref="F41:G41"/>
    <mergeCell ref="C34:G34"/>
    <mergeCell ref="O34:P34"/>
    <mergeCell ref="C35:E35"/>
    <mergeCell ref="F35:G35"/>
    <mergeCell ref="I34:L34"/>
    <mergeCell ref="F31:G31"/>
    <mergeCell ref="F32:G32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1:E32"/>
    <mergeCell ref="Q2:S2"/>
    <mergeCell ref="I3:O3"/>
    <mergeCell ref="Q3:S3"/>
    <mergeCell ref="I4:O4"/>
    <mergeCell ref="I5:O5"/>
    <mergeCell ref="Q5:S5"/>
    <mergeCell ref="Q4:S4"/>
  </mergeCells>
  <pageMargins left="0.19685039370078741" right="0.19685039370078741" top="0.35433070866141736" bottom="0.35433070866141736" header="0.31496062992125984" footer="0.31496062992125984"/>
  <pageSetup paperSize="9" scale="71" orientation="landscape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2">
    <pageSetUpPr fitToPage="1"/>
  </sheetPr>
  <dimension ref="C1:Z58"/>
  <sheetViews>
    <sheetView topLeftCell="B7" zoomScaleNormal="100" workbookViewId="0">
      <selection activeCell="M49" sqref="M49"/>
    </sheetView>
  </sheetViews>
  <sheetFormatPr baseColWidth="10" defaultColWidth="9.140625" defaultRowHeight="12.75" x14ac:dyDescent="0.2"/>
  <cols>
    <col min="1" max="2" width="2.42578125" customWidth="1"/>
    <col min="3" max="3" width="13.28515625" customWidth="1"/>
    <col min="4" max="4" width="12" bestFit="1" customWidth="1"/>
    <col min="5" max="5" width="11.85546875" customWidth="1"/>
    <col min="6" max="6" width="9.140625" bestFit="1" customWidth="1"/>
    <col min="7" max="7" width="4.42578125" bestFit="1" customWidth="1"/>
    <col min="8" max="8" width="11.85546875" customWidth="1"/>
    <col min="9" max="9" width="20" bestFit="1" customWidth="1"/>
    <col min="10" max="10" width="9.85546875" bestFit="1" customWidth="1"/>
    <col min="11" max="11" width="11.28515625" customWidth="1"/>
    <col min="12" max="12" width="12.42578125" bestFit="1" customWidth="1"/>
    <col min="13" max="13" width="12.42578125" customWidth="1"/>
    <col min="14" max="14" width="8.7109375" bestFit="1" customWidth="1"/>
    <col min="15" max="15" width="15.85546875" customWidth="1"/>
    <col min="16" max="16" width="11.5703125" customWidth="1"/>
    <col min="17" max="17" width="12.140625" bestFit="1" customWidth="1"/>
    <col min="18" max="18" width="10" customWidth="1"/>
    <col min="19" max="19" width="15.85546875" customWidth="1"/>
    <col min="20" max="20" width="11.5703125" bestFit="1" customWidth="1"/>
    <col min="21" max="21" width="10.28515625" customWidth="1"/>
    <col min="22" max="22" width="13" customWidth="1"/>
    <col min="23" max="23" width="8.85546875" customWidth="1"/>
    <col min="24" max="25" width="9.140625" customWidth="1"/>
    <col min="26" max="26" width="10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6" t="s">
        <v>0</v>
      </c>
      <c r="R2" s="797"/>
      <c r="S2" s="798"/>
    </row>
    <row r="3" spans="4:19" ht="19.5" thickBot="1" x14ac:dyDescent="0.35">
      <c r="I3" s="799" t="s">
        <v>1</v>
      </c>
      <c r="J3" s="800"/>
      <c r="K3" s="800"/>
      <c r="L3" s="800"/>
      <c r="M3" s="800"/>
      <c r="N3" s="800"/>
      <c r="O3" s="801"/>
      <c r="Q3" s="802">
        <f>+'RUEDA SALAZAR ISMAEL'!Q3:S3</f>
        <v>42</v>
      </c>
      <c r="R3" s="803"/>
      <c r="S3" s="804"/>
    </row>
    <row r="4" spans="4:19" ht="16.5" thickBot="1" x14ac:dyDescent="0.3">
      <c r="I4" s="805" t="s">
        <v>2</v>
      </c>
      <c r="J4" s="806"/>
      <c r="K4" s="806"/>
      <c r="L4" s="806"/>
      <c r="M4" s="806"/>
      <c r="N4" s="806"/>
      <c r="O4" s="807"/>
      <c r="Q4" s="811"/>
      <c r="R4" s="811"/>
      <c r="S4" s="811"/>
    </row>
    <row r="5" spans="4:19" ht="13.5" thickBot="1" x14ac:dyDescent="0.25">
      <c r="I5" s="808" t="s">
        <v>3</v>
      </c>
      <c r="J5" s="809"/>
      <c r="K5" s="809"/>
      <c r="L5" s="809"/>
      <c r="M5" s="809"/>
      <c r="N5" s="809"/>
      <c r="O5" s="810"/>
      <c r="Q5" s="783" t="s">
        <v>4</v>
      </c>
      <c r="R5" s="784"/>
      <c r="S5" s="785"/>
    </row>
    <row r="6" spans="4:19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780">
        <f>+'GONZALEZ SOTO JOEL'!Q6+1</f>
        <v>5</v>
      </c>
      <c r="R6" s="781"/>
      <c r="S6" s="782"/>
    </row>
    <row r="7" spans="4:19" ht="9" customHeight="1" x14ac:dyDescent="0.2"/>
    <row r="8" spans="4:19" ht="6.75" customHeight="1" thickBot="1" x14ac:dyDescent="0.25"/>
    <row r="9" spans="4:19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19" ht="11.25" customHeight="1" thickBot="1" x14ac:dyDescent="0.25"/>
    <row r="11" spans="4:19" x14ac:dyDescent="0.2">
      <c r="D11" s="1" t="s">
        <v>7</v>
      </c>
      <c r="E11" s="2" t="s">
        <v>218</v>
      </c>
      <c r="F11" s="2"/>
      <c r="G11" s="2"/>
      <c r="H11" s="2"/>
      <c r="I11" s="2"/>
      <c r="J11" s="3"/>
      <c r="K11" s="4" t="s">
        <v>9</v>
      </c>
      <c r="L11" s="786" t="str">
        <f>+NOMINA!B3</f>
        <v>SEMANA #42 PERIODO DEL 06 AL 12 DE OCTUBRE  DEL 2025</v>
      </c>
      <c r="M11" s="786"/>
      <c r="N11" s="786"/>
      <c r="O11" s="786"/>
      <c r="P11" s="786"/>
      <c r="Q11" s="786"/>
      <c r="R11" s="786"/>
      <c r="S11" s="787"/>
    </row>
    <row r="12" spans="4:19" x14ac:dyDescent="0.2">
      <c r="D12" s="5" t="s">
        <v>10</v>
      </c>
      <c r="E12" s="788" t="s">
        <v>238</v>
      </c>
      <c r="F12" s="78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90" t="s">
        <v>11</v>
      </c>
      <c r="E14" s="791"/>
      <c r="F14" s="7">
        <v>44163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90" t="s">
        <v>14</v>
      </c>
      <c r="E15" s="791"/>
      <c r="F15" s="7">
        <v>46879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92" t="s">
        <v>17</v>
      </c>
      <c r="E16" s="793"/>
      <c r="F16" s="12">
        <f>SUM(J21:J31)</f>
        <v>0</v>
      </c>
      <c r="G16" s="12"/>
      <c r="H16" s="12"/>
      <c r="I16" s="13" t="s">
        <v>18</v>
      </c>
      <c r="J16" s="12">
        <f>SUM(K21:K31)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13.5" thickBot="1" x14ac:dyDescent="0.25"/>
    <row r="18" spans="3:25" ht="29.25" customHeight="1" thickBot="1" x14ac:dyDescent="0.25">
      <c r="C18" s="322" t="s">
        <v>20</v>
      </c>
      <c r="D18" s="46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9" t="s">
        <v>208</v>
      </c>
      <c r="U18" s="699" t="s">
        <v>333</v>
      </c>
      <c r="V18" s="698" t="s">
        <v>335</v>
      </c>
    </row>
    <row r="19" spans="3:25" x14ac:dyDescent="0.2">
      <c r="C19" s="531"/>
      <c r="D19" s="527"/>
      <c r="E19" s="529"/>
      <c r="F19" s="529"/>
      <c r="G19" s="527"/>
      <c r="H19" s="527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527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52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527"/>
      <c r="L19" s="527"/>
      <c r="M19" s="527"/>
      <c r="N19" s="527"/>
      <c r="O19" s="527"/>
      <c r="P19" s="38"/>
      <c r="Q19" s="532">
        <f t="shared" ref="Q19:Q20" si="0">(IF(N19=1,(J19*0.3)))+(IF(N19=2,(J19*0.15))+(IF(N19=3,(J19*0.15))))</f>
        <v>0</v>
      </c>
      <c r="R19" s="527"/>
      <c r="S19" s="527"/>
      <c r="T19" s="685"/>
      <c r="U19" s="17"/>
      <c r="V19" s="17"/>
    </row>
    <row r="20" spans="3:25" ht="14.25" customHeight="1" x14ac:dyDescent="0.2">
      <c r="C20" s="691"/>
      <c r="D20" s="675"/>
      <c r="E20" s="674"/>
      <c r="F20" s="674"/>
      <c r="G20" s="675"/>
      <c r="H20" s="675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675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675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675"/>
      <c r="L20" s="683"/>
      <c r="M20" s="675"/>
      <c r="N20" s="675"/>
      <c r="O20" s="675"/>
      <c r="P20" s="17"/>
      <c r="Q20" s="684">
        <f t="shared" si="0"/>
        <v>0</v>
      </c>
      <c r="R20" s="675"/>
      <c r="S20" s="683"/>
      <c r="T20" s="686"/>
      <c r="U20" s="17"/>
      <c r="V20" s="17"/>
    </row>
    <row r="21" spans="3:25" ht="14.25" customHeight="1" thickBot="1" x14ac:dyDescent="0.25">
      <c r="C21" s="660"/>
      <c r="D21" s="661"/>
      <c r="E21" s="662"/>
      <c r="F21" s="662"/>
      <c r="G21" s="661"/>
      <c r="H21" s="661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0</v>
      </c>
      <c r="I21" s="661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0</v>
      </c>
      <c r="J21" s="661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0</v>
      </c>
      <c r="K21" s="661"/>
      <c r="L21" s="663" t="e">
        <f>SUM(J19:J21)/K21</f>
        <v>#DIV/0!</v>
      </c>
      <c r="M21" s="661"/>
      <c r="N21" s="661"/>
      <c r="O21" s="661"/>
      <c r="P21" s="41"/>
      <c r="Q21" s="664">
        <f t="shared" ref="Q21" si="1">(IF(N21=1,(J21*0.3)))+(IF(N21=2,(J21*0.15))+(IF(N21=3,(J21*0.15))))</f>
        <v>0</v>
      </c>
      <c r="R21" s="661" t="e">
        <f>+LOOKUP(P39,UNIDADES!B$3:B$73,UNIDADES!C$3:C$73)</f>
        <v>#N/A</v>
      </c>
      <c r="S21" s="663" t="e">
        <f>((SUM(J19:J21)/R21))-K21</f>
        <v>#N/A</v>
      </c>
      <c r="T21" s="692">
        <f>(IF(M21=1,(S21*16)))+(IF(M21=2,(S21*17.26))+(IF(M21=3,(S21*17.66))+(IF(M21=4,(S21*18.06))+(IF(M21=5,(S21*18.46))+(IF(M21=6,(S21*18.86))+(IF(M21=7,(S21*19.26))))))))</f>
        <v>0</v>
      </c>
      <c r="U21" s="17"/>
      <c r="V21" s="17"/>
    </row>
    <row r="22" spans="3:25" s="19" customFormat="1" ht="12" hidden="1" x14ac:dyDescent="0.2">
      <c r="C22" s="533"/>
      <c r="D22" s="49"/>
      <c r="E22" s="50"/>
      <c r="F22" s="50"/>
      <c r="G22" s="49"/>
      <c r="H22" s="689"/>
      <c r="I22" s="689"/>
      <c r="J22" s="690"/>
      <c r="K22" s="51"/>
      <c r="L22" s="465"/>
      <c r="M22" s="51"/>
      <c r="N22" s="51"/>
      <c r="O22" s="51"/>
      <c r="P22" s="51"/>
      <c r="Q22" s="466"/>
      <c r="R22" s="467"/>
      <c r="S22" s="510"/>
      <c r="T22" s="688"/>
      <c r="U22" s="711"/>
      <c r="V22" s="711"/>
      <c r="X22" s="568"/>
      <c r="Y22" s="569"/>
    </row>
    <row r="23" spans="3:25" s="19" customFormat="1" ht="12" hidden="1" x14ac:dyDescent="0.2">
      <c r="C23" s="536"/>
      <c r="D23" s="17"/>
      <c r="E23" s="18"/>
      <c r="F23" s="18"/>
      <c r="G23" s="60"/>
      <c r="H23" s="570"/>
      <c r="I23" s="570"/>
      <c r="J23" s="571"/>
      <c r="K23" s="17"/>
      <c r="L23" s="485"/>
      <c r="M23" s="17"/>
      <c r="N23" s="17"/>
      <c r="O23" s="17"/>
      <c r="P23" s="17"/>
      <c r="Q23" s="486"/>
      <c r="R23" s="487"/>
      <c r="S23" s="507"/>
      <c r="T23" s="687"/>
      <c r="U23" s="712"/>
      <c r="V23" s="712"/>
      <c r="X23" s="568"/>
      <c r="Y23" s="569"/>
    </row>
    <row r="24" spans="3:25" s="19" customFormat="1" ht="15" hidden="1" customHeight="1" x14ac:dyDescent="0.2">
      <c r="C24" s="533"/>
      <c r="D24" s="49"/>
      <c r="E24" s="50"/>
      <c r="F24" s="50"/>
      <c r="G24" s="49"/>
      <c r="H24" s="463"/>
      <c r="I24" s="51"/>
      <c r="J24" s="464"/>
      <c r="K24" s="51"/>
      <c r="L24" s="465"/>
      <c r="M24" s="51"/>
      <c r="N24" s="51"/>
      <c r="O24" s="51"/>
      <c r="P24" s="51"/>
      <c r="Q24" s="466"/>
      <c r="R24" s="467"/>
      <c r="S24" s="472"/>
      <c r="T24" s="688"/>
      <c r="U24" s="713"/>
      <c r="V24" s="713"/>
      <c r="X24" s="568"/>
      <c r="Y24" s="569"/>
    </row>
    <row r="25" spans="3:25" hidden="1" x14ac:dyDescent="0.2">
      <c r="C25" s="536"/>
      <c r="D25" s="60"/>
      <c r="E25" s="18"/>
      <c r="F25" s="18"/>
      <c r="G25" s="60"/>
      <c r="H25" s="483"/>
      <c r="I25" s="17"/>
      <c r="J25" s="484"/>
      <c r="K25" s="17"/>
      <c r="L25" s="485"/>
      <c r="M25" s="17"/>
      <c r="N25" s="17"/>
      <c r="O25" s="17"/>
      <c r="P25" s="17"/>
      <c r="Q25" s="486"/>
      <c r="R25" s="487"/>
      <c r="S25" s="488"/>
      <c r="T25" s="687"/>
      <c r="U25" s="703"/>
      <c r="V25" s="703"/>
      <c r="X25" s="23"/>
      <c r="Y25" s="546"/>
    </row>
    <row r="26" spans="3:25" hidden="1" x14ac:dyDescent="0.2">
      <c r="C26" s="536"/>
      <c r="D26" s="60"/>
      <c r="E26" s="18"/>
      <c r="F26" s="18"/>
      <c r="G26" s="60"/>
      <c r="H26" s="483"/>
      <c r="I26" s="17"/>
      <c r="J26" s="484"/>
      <c r="K26" s="17"/>
      <c r="L26" s="485"/>
      <c r="M26" s="17"/>
      <c r="N26" s="17"/>
      <c r="O26" s="17"/>
      <c r="P26" s="17"/>
      <c r="Q26" s="486"/>
      <c r="R26" s="487"/>
      <c r="S26" s="488"/>
      <c r="T26" s="687"/>
      <c r="U26" s="703"/>
      <c r="V26" s="703"/>
      <c r="X26" s="23"/>
      <c r="Y26" s="546"/>
    </row>
    <row r="27" spans="3:25" hidden="1" x14ac:dyDescent="0.2">
      <c r="C27" s="533"/>
      <c r="D27" s="49"/>
      <c r="E27" s="50"/>
      <c r="F27" s="50"/>
      <c r="G27" s="49"/>
      <c r="H27" s="463"/>
      <c r="I27" s="51"/>
      <c r="J27" s="464"/>
      <c r="K27" s="51"/>
      <c r="L27" s="465"/>
      <c r="M27" s="51"/>
      <c r="N27" s="51"/>
      <c r="O27" s="51"/>
      <c r="P27" s="51"/>
      <c r="Q27" s="466"/>
      <c r="R27" s="467"/>
      <c r="S27" s="472"/>
      <c r="T27" s="688"/>
      <c r="U27" s="703"/>
      <c r="V27" s="703"/>
      <c r="X27" s="23"/>
      <c r="Y27" s="546"/>
    </row>
    <row r="28" spans="3:25" hidden="1" x14ac:dyDescent="0.2">
      <c r="C28" s="536"/>
      <c r="D28" s="60"/>
      <c r="E28" s="18"/>
      <c r="F28" s="18"/>
      <c r="G28" s="60"/>
      <c r="H28" s="483"/>
      <c r="I28" s="17"/>
      <c r="J28" s="484"/>
      <c r="K28" s="17"/>
      <c r="L28" s="485"/>
      <c r="M28" s="17"/>
      <c r="N28" s="17"/>
      <c r="O28" s="17"/>
      <c r="P28" s="17"/>
      <c r="Q28" s="486"/>
      <c r="R28" s="487"/>
      <c r="S28" s="488"/>
      <c r="T28" s="687"/>
      <c r="U28" s="703"/>
      <c r="V28" s="703"/>
    </row>
    <row r="29" spans="3:25" hidden="1" x14ac:dyDescent="0.2">
      <c r="C29" s="536"/>
      <c r="D29" s="60"/>
      <c r="E29" s="18"/>
      <c r="F29" s="18"/>
      <c r="G29" s="60"/>
      <c r="H29" s="483"/>
      <c r="I29" s="17"/>
      <c r="J29" s="484"/>
      <c r="K29" s="17"/>
      <c r="L29" s="485"/>
      <c r="M29" s="17"/>
      <c r="N29" s="17"/>
      <c r="O29" s="17"/>
      <c r="P29" s="17"/>
      <c r="Q29" s="486"/>
      <c r="R29" s="487"/>
      <c r="S29" s="488"/>
      <c r="T29" s="687"/>
      <c r="U29" s="703"/>
      <c r="V29" s="703"/>
    </row>
    <row r="30" spans="3:25" hidden="1" x14ac:dyDescent="0.2">
      <c r="C30" s="536"/>
      <c r="D30" s="60"/>
      <c r="E30" s="18"/>
      <c r="F30" s="18"/>
      <c r="G30" s="60"/>
      <c r="H30" s="483"/>
      <c r="I30" s="17"/>
      <c r="J30" s="484"/>
      <c r="K30" s="17"/>
      <c r="L30" s="485"/>
      <c r="M30" s="17"/>
      <c r="N30" s="17"/>
      <c r="O30" s="17"/>
      <c r="P30" s="17"/>
      <c r="Q30" s="486"/>
      <c r="R30" s="487"/>
      <c r="S30" s="488"/>
      <c r="T30" s="687"/>
      <c r="U30" s="703"/>
      <c r="V30" s="703"/>
    </row>
    <row r="31" spans="3:25" hidden="1" x14ac:dyDescent="0.2">
      <c r="C31" s="536"/>
      <c r="D31" s="60"/>
      <c r="E31" s="18"/>
      <c r="F31" s="18"/>
      <c r="G31" s="60"/>
      <c r="H31" s="483"/>
      <c r="I31" s="17"/>
      <c r="J31" s="484"/>
      <c r="K31" s="17"/>
      <c r="L31" s="485"/>
      <c r="M31" s="17"/>
      <c r="N31" s="17"/>
      <c r="O31" s="17"/>
      <c r="P31" s="17"/>
      <c r="Q31" s="486"/>
      <c r="R31" s="487"/>
      <c r="S31" s="488"/>
      <c r="T31" s="687"/>
      <c r="U31" s="703"/>
      <c r="V31" s="703"/>
    </row>
    <row r="32" spans="3:25" ht="13.5" thickBot="1" x14ac:dyDescent="0.25">
      <c r="C32" s="22"/>
      <c r="D32" s="22"/>
      <c r="E32" s="22"/>
      <c r="F32" s="22"/>
      <c r="G32" s="22"/>
      <c r="H32" s="22"/>
      <c r="I32" s="182"/>
      <c r="J32" s="22"/>
      <c r="K32" s="22"/>
      <c r="L32" s="22"/>
      <c r="M32" s="22"/>
      <c r="N32" s="22"/>
      <c r="O32" s="22"/>
      <c r="P32" s="22"/>
      <c r="Q32" s="22"/>
      <c r="R32" s="305"/>
      <c r="S32" s="22"/>
      <c r="T32" s="22"/>
    </row>
    <row r="33" spans="3:26" x14ac:dyDescent="0.2">
      <c r="E33" s="794" t="s">
        <v>35</v>
      </c>
      <c r="F33" s="773">
        <f>+'GONZALEZ SOTO JOEL'!F33:G33</f>
        <v>45936</v>
      </c>
      <c r="G33" s="774"/>
      <c r="H33" s="20">
        <f>+F33+1</f>
        <v>45937</v>
      </c>
      <c r="I33" s="20">
        <f>+H33+1</f>
        <v>45938</v>
      </c>
      <c r="J33" s="20">
        <f>+I33+1</f>
        <v>45939</v>
      </c>
      <c r="K33" s="20">
        <f>+J33+1</f>
        <v>45940</v>
      </c>
      <c r="L33" s="20">
        <f>+K33+2</f>
        <v>45942</v>
      </c>
      <c r="M33" s="547">
        <f>+L33+1</f>
        <v>45943</v>
      </c>
      <c r="N33" s="21" t="s">
        <v>36</v>
      </c>
      <c r="Q33" s="657"/>
      <c r="R33" s="657"/>
      <c r="S33" s="657"/>
      <c r="W33" s="243"/>
    </row>
    <row r="34" spans="3:26" ht="13.5" thickBot="1" x14ac:dyDescent="0.25">
      <c r="C34" s="22"/>
      <c r="E34" s="795"/>
      <c r="F34" s="775">
        <v>0</v>
      </c>
      <c r="G34" s="776"/>
      <c r="H34" s="42"/>
      <c r="I34" s="42">
        <v>0</v>
      </c>
      <c r="J34" s="42"/>
      <c r="K34" s="42">
        <v>0</v>
      </c>
      <c r="L34" s="42">
        <v>0</v>
      </c>
      <c r="M34" s="548"/>
      <c r="N34" s="61">
        <f>SUM(F34:L34)</f>
        <v>0</v>
      </c>
      <c r="Q34" s="657"/>
      <c r="R34" s="657"/>
      <c r="S34" s="657"/>
    </row>
    <row r="35" spans="3:26" ht="13.5" thickBot="1" x14ac:dyDescent="0.25">
      <c r="I35" s="23"/>
      <c r="S35" s="657"/>
    </row>
    <row r="36" spans="3:26" ht="15.75" thickBot="1" x14ac:dyDescent="0.3">
      <c r="C36" s="825" t="s">
        <v>37</v>
      </c>
      <c r="D36" s="826"/>
      <c r="E36" s="826"/>
      <c r="F36" s="826"/>
      <c r="G36" s="827"/>
      <c r="I36" s="838" t="s">
        <v>38</v>
      </c>
      <c r="J36" s="839"/>
      <c r="K36" s="839"/>
      <c r="L36" s="840"/>
      <c r="M36" s="545"/>
      <c r="O36" s="828" t="s">
        <v>39</v>
      </c>
      <c r="P36" s="829"/>
      <c r="Q36" s="830">
        <f>+F46-L44</f>
        <v>0</v>
      </c>
      <c r="R36" s="831"/>
      <c r="S36" s="832"/>
      <c r="W36" s="77"/>
      <c r="Z36" s="77"/>
    </row>
    <row r="37" spans="3:26" ht="13.5" thickBot="1" x14ac:dyDescent="0.25">
      <c r="C37" s="833" t="s">
        <v>207</v>
      </c>
      <c r="D37" s="834"/>
      <c r="E37" s="835"/>
      <c r="F37" s="836">
        <f>SUM(Q18:Q33)</f>
        <v>0</v>
      </c>
      <c r="G37" s="837"/>
      <c r="I37" s="121" t="s">
        <v>106</v>
      </c>
      <c r="J37" s="59" t="s">
        <v>107</v>
      </c>
      <c r="K37" s="59" t="s">
        <v>69</v>
      </c>
      <c r="L37" s="119" t="s">
        <v>108</v>
      </c>
      <c r="M37" s="549"/>
    </row>
    <row r="38" spans="3:26" ht="13.5" thickBot="1" x14ac:dyDescent="0.25">
      <c r="C38" s="843" t="s">
        <v>208</v>
      </c>
      <c r="D38" s="844"/>
      <c r="E38" s="845"/>
      <c r="F38" s="846">
        <f>SUM(T18:T32)</f>
        <v>0</v>
      </c>
      <c r="G38" s="847"/>
      <c r="I38" s="878"/>
      <c r="J38" s="879"/>
      <c r="K38" s="880"/>
      <c r="L38" s="120"/>
      <c r="M38" s="549"/>
      <c r="O38" s="62" t="s">
        <v>69</v>
      </c>
      <c r="P38" s="63" t="s">
        <v>70</v>
      </c>
      <c r="Q38" s="64" t="s">
        <v>71</v>
      </c>
      <c r="R38" s="64"/>
      <c r="S38" s="65" t="s">
        <v>72</v>
      </c>
      <c r="T38" s="63" t="s">
        <v>73</v>
      </c>
      <c r="U38" s="154" t="s">
        <v>117</v>
      </c>
      <c r="V38" s="21" t="s">
        <v>118</v>
      </c>
    </row>
    <row r="39" spans="3:26" x14ac:dyDescent="0.2">
      <c r="C39" s="843" t="s">
        <v>35</v>
      </c>
      <c r="D39" s="844"/>
      <c r="E39" s="845"/>
      <c r="F39" s="846">
        <f>+N34</f>
        <v>0</v>
      </c>
      <c r="G39" s="847"/>
      <c r="I39" s="455"/>
      <c r="J39" s="235"/>
      <c r="K39" s="60"/>
      <c r="L39" s="118"/>
      <c r="M39" s="549"/>
      <c r="O39" s="66"/>
      <c r="P39" s="67"/>
      <c r="Q39" s="68"/>
      <c r="R39" s="68"/>
      <c r="S39" s="541"/>
      <c r="T39" s="67">
        <f>+S39-Q39</f>
        <v>0</v>
      </c>
      <c r="U39" s="155"/>
      <c r="V39" s="156"/>
    </row>
    <row r="40" spans="3:26" x14ac:dyDescent="0.2">
      <c r="C40" s="843" t="s">
        <v>40</v>
      </c>
      <c r="D40" s="844"/>
      <c r="E40" s="845"/>
      <c r="F40" s="846"/>
      <c r="G40" s="847"/>
      <c r="I40" s="124"/>
      <c r="J40" s="235"/>
      <c r="K40" s="60"/>
      <c r="L40" s="118"/>
      <c r="M40" s="549"/>
      <c r="O40" s="44"/>
      <c r="P40" s="69"/>
      <c r="Q40" s="70"/>
      <c r="R40" s="70"/>
      <c r="S40" s="17"/>
      <c r="T40" s="69">
        <f>+S40-Q40</f>
        <v>0</v>
      </c>
      <c r="U40" s="157"/>
      <c r="V40" s="156"/>
    </row>
    <row r="41" spans="3:26" ht="13.5" thickBot="1" x14ac:dyDescent="0.25">
      <c r="C41" s="843" t="s">
        <v>41</v>
      </c>
      <c r="D41" s="844"/>
      <c r="E41" s="845"/>
      <c r="F41" s="846"/>
      <c r="G41" s="847"/>
      <c r="I41" s="124"/>
      <c r="J41" s="235"/>
      <c r="K41" s="60"/>
      <c r="L41" s="118"/>
      <c r="M41" s="549"/>
      <c r="O41" s="71"/>
      <c r="P41" s="72"/>
      <c r="Q41" s="73"/>
      <c r="R41" s="73"/>
      <c r="S41" s="41"/>
      <c r="T41" s="72">
        <f>+S41-Q41</f>
        <v>0</v>
      </c>
      <c r="U41" s="158"/>
      <c r="V41" s="159"/>
    </row>
    <row r="42" spans="3:26" ht="15" x14ac:dyDescent="0.25">
      <c r="C42" s="843" t="s">
        <v>42</v>
      </c>
      <c r="D42" s="844"/>
      <c r="E42" s="845"/>
      <c r="F42" s="858"/>
      <c r="G42" s="859"/>
      <c r="I42" s="124"/>
      <c r="J42" s="60"/>
      <c r="K42" s="60"/>
      <c r="L42" s="118"/>
      <c r="M42" s="549"/>
      <c r="P42" s="27"/>
      <c r="Q42" s="27"/>
      <c r="R42" s="27"/>
      <c r="S42" s="27"/>
      <c r="T42" s="27"/>
      <c r="U42" s="26"/>
    </row>
    <row r="43" spans="3:26" ht="15.75" thickBot="1" x14ac:dyDescent="0.3">
      <c r="C43" s="24" t="s">
        <v>161</v>
      </c>
      <c r="D43" s="25"/>
      <c r="E43" s="25"/>
      <c r="F43" s="846"/>
      <c r="G43" s="847"/>
      <c r="I43" s="124"/>
      <c r="J43" s="60"/>
      <c r="K43" s="60"/>
      <c r="L43" s="118"/>
      <c r="M43" s="549"/>
      <c r="S43" s="27"/>
      <c r="T43" s="27"/>
      <c r="U43" s="26"/>
    </row>
    <row r="44" spans="3:26" ht="15.75" thickBot="1" x14ac:dyDescent="0.3">
      <c r="C44" s="24" t="s">
        <v>282</v>
      </c>
      <c r="D44" s="25"/>
      <c r="E44" s="25"/>
      <c r="F44" s="846"/>
      <c r="G44" s="847"/>
      <c r="I44" s="848" t="s">
        <v>44</v>
      </c>
      <c r="J44" s="849"/>
      <c r="K44" s="850"/>
      <c r="L44" s="125">
        <f>SUM(L38:L43)</f>
        <v>0</v>
      </c>
      <c r="M44" s="550"/>
      <c r="S44" s="27"/>
      <c r="T44" s="27"/>
      <c r="U44" s="26"/>
    </row>
    <row r="45" spans="3:26" ht="15.75" thickBot="1" x14ac:dyDescent="0.3">
      <c r="C45" s="241" t="s">
        <v>328</v>
      </c>
      <c r="D45" s="242"/>
      <c r="E45" s="242"/>
      <c r="F45" s="841"/>
      <c r="G45" s="842"/>
      <c r="S45" s="27"/>
      <c r="T45" s="27"/>
      <c r="U45" s="26"/>
    </row>
    <row r="46" spans="3:26" ht="15.75" thickBot="1" x14ac:dyDescent="0.3">
      <c r="C46" s="792" t="s">
        <v>45</v>
      </c>
      <c r="D46" s="793"/>
      <c r="E46" s="813"/>
      <c r="F46" s="814">
        <f>SUM(F37:G45)</f>
        <v>0</v>
      </c>
      <c r="G46" s="815"/>
      <c r="I46" s="19"/>
      <c r="J46" s="19"/>
      <c r="K46" s="19"/>
      <c r="L46" s="697"/>
      <c r="M46" s="697"/>
      <c r="N46" s="697"/>
      <c r="P46" s="817" t="s">
        <v>61</v>
      </c>
      <c r="Q46" s="818"/>
      <c r="R46" s="27"/>
      <c r="S46" s="27"/>
      <c r="T46" s="26"/>
    </row>
    <row r="47" spans="3:26" ht="12" customHeight="1" thickBot="1" x14ac:dyDescent="0.3">
      <c r="L47" s="657"/>
      <c r="M47" s="714"/>
      <c r="N47" s="657"/>
      <c r="P47" s="44">
        <v>1</v>
      </c>
      <c r="Q47" s="69" t="s">
        <v>62</v>
      </c>
      <c r="R47" s="27"/>
      <c r="S47" s="27"/>
      <c r="T47" s="26"/>
    </row>
    <row r="48" spans="3:26" ht="15" x14ac:dyDescent="0.25">
      <c r="C48" s="28" t="s">
        <v>46</v>
      </c>
      <c r="D48" s="29"/>
      <c r="E48" s="238"/>
      <c r="F48" s="238"/>
      <c r="G48" s="238"/>
      <c r="H48" s="238"/>
      <c r="I48" s="238"/>
      <c r="J48" s="238"/>
      <c r="K48" s="238"/>
      <c r="L48" s="238"/>
      <c r="M48" s="238"/>
      <c r="N48" s="30"/>
      <c r="P48" s="44">
        <v>2</v>
      </c>
      <c r="Q48" s="69" t="s">
        <v>110</v>
      </c>
      <c r="R48" s="27"/>
      <c r="S48" s="27"/>
      <c r="T48" s="26"/>
    </row>
    <row r="49" spans="3:21" ht="15.75" thickBot="1" x14ac:dyDescent="0.3">
      <c r="C49" s="31"/>
      <c r="E49" s="239"/>
      <c r="F49" s="239"/>
      <c r="G49" s="239"/>
      <c r="H49" s="239"/>
      <c r="I49" s="748"/>
      <c r="J49" s="748"/>
      <c r="K49" s="748"/>
      <c r="L49" s="239"/>
      <c r="M49" s="239"/>
      <c r="N49" s="32"/>
      <c r="P49" s="71">
        <v>3</v>
      </c>
      <c r="Q49" s="72" t="s">
        <v>109</v>
      </c>
      <c r="R49" s="27"/>
      <c r="S49" s="27"/>
      <c r="T49" s="26"/>
    </row>
    <row r="50" spans="3:21" ht="15.75" thickBot="1" x14ac:dyDescent="0.3">
      <c r="C50" s="33"/>
      <c r="D50" s="34"/>
      <c r="E50" s="240"/>
      <c r="F50" s="240"/>
      <c r="G50" s="240"/>
      <c r="H50" s="240"/>
      <c r="I50" s="240"/>
      <c r="J50" s="240"/>
      <c r="K50" s="240"/>
      <c r="L50" s="240"/>
      <c r="M50" s="240"/>
      <c r="N50" s="35"/>
      <c r="P50" s="27"/>
      <c r="Q50" s="27"/>
      <c r="R50" s="27"/>
      <c r="S50" s="27"/>
      <c r="T50" s="27"/>
      <c r="U50" s="26"/>
    </row>
    <row r="51" spans="3:21" ht="15" x14ac:dyDescent="0.25">
      <c r="P51" s="27"/>
      <c r="Q51" s="27"/>
      <c r="R51" s="27"/>
      <c r="S51" s="27"/>
      <c r="T51" s="27"/>
      <c r="U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3.5" thickBot="1" x14ac:dyDescent="0.25">
      <c r="P53" s="27"/>
      <c r="Q53" s="27"/>
      <c r="R53" s="27"/>
      <c r="S53" s="27"/>
      <c r="T53" s="27"/>
    </row>
    <row r="54" spans="3:21" ht="13.5" thickTop="1" x14ac:dyDescent="0.2">
      <c r="D54" s="816" t="s">
        <v>47</v>
      </c>
      <c r="E54" s="816"/>
      <c r="F54" s="816"/>
      <c r="G54" s="816"/>
      <c r="H54" s="816"/>
      <c r="J54" s="816" t="s">
        <v>48</v>
      </c>
      <c r="K54" s="816"/>
      <c r="L54" s="816"/>
      <c r="M54" s="816"/>
      <c r="N54" s="816"/>
      <c r="P54" s="812"/>
      <c r="Q54" s="812"/>
      <c r="R54" s="812"/>
      <c r="S54" s="812"/>
      <c r="T54" s="812"/>
    </row>
    <row r="55" spans="3:21" x14ac:dyDescent="0.2">
      <c r="P55" s="812"/>
      <c r="Q55" s="812"/>
      <c r="R55" s="812"/>
      <c r="S55" s="812"/>
      <c r="T55" s="812"/>
    </row>
    <row r="56" spans="3:21" x14ac:dyDescent="0.2">
      <c r="P56" s="812"/>
      <c r="Q56" s="812"/>
      <c r="R56" s="812"/>
      <c r="S56" s="812"/>
      <c r="T56" s="812"/>
    </row>
    <row r="57" spans="3:21" x14ac:dyDescent="0.2">
      <c r="P57" s="812"/>
      <c r="Q57" s="812"/>
      <c r="R57" s="812"/>
      <c r="S57" s="812"/>
      <c r="T57" s="812"/>
    </row>
    <row r="58" spans="3:21" ht="15" customHeight="1" x14ac:dyDescent="0.2">
      <c r="P58" s="36"/>
      <c r="Q58" s="36"/>
      <c r="R58" s="36"/>
      <c r="S58" s="36"/>
      <c r="T58" s="36"/>
    </row>
  </sheetData>
  <mergeCells count="49">
    <mergeCell ref="P54:T54"/>
    <mergeCell ref="P55:T55"/>
    <mergeCell ref="P56:T56"/>
    <mergeCell ref="P57:T57"/>
    <mergeCell ref="F44:G44"/>
    <mergeCell ref="F45:G45"/>
    <mergeCell ref="D54:H54"/>
    <mergeCell ref="J54:N54"/>
    <mergeCell ref="P46:Q46"/>
    <mergeCell ref="C46:E46"/>
    <mergeCell ref="F46:G46"/>
    <mergeCell ref="I44:K44"/>
    <mergeCell ref="C41:E41"/>
    <mergeCell ref="F41:G41"/>
    <mergeCell ref="C42:E42"/>
    <mergeCell ref="F42:G42"/>
    <mergeCell ref="F43:G43"/>
    <mergeCell ref="C38:E38"/>
    <mergeCell ref="F38:G38"/>
    <mergeCell ref="C39:E39"/>
    <mergeCell ref="F39:G39"/>
    <mergeCell ref="C40:E40"/>
    <mergeCell ref="F40:G40"/>
    <mergeCell ref="O36:P36"/>
    <mergeCell ref="Q36:S36"/>
    <mergeCell ref="C37:E37"/>
    <mergeCell ref="F37:G37"/>
    <mergeCell ref="I36:L36"/>
    <mergeCell ref="D16:E16"/>
    <mergeCell ref="E33:E34"/>
    <mergeCell ref="F33:G33"/>
    <mergeCell ref="F34:G34"/>
    <mergeCell ref="C36:G36"/>
    <mergeCell ref="I38:K38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</mergeCells>
  <pageMargins left="0.19685039370078741" right="0.19685039370078741" top="0.35433070866141736" bottom="0.35433070866141736" header="0.31496062992125984" footer="0.31496062992125984"/>
  <pageSetup paperSize="9" scale="72"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2">
    <pageSetUpPr fitToPage="1"/>
  </sheetPr>
  <dimension ref="C1:X56"/>
  <sheetViews>
    <sheetView topLeftCell="A6" zoomScaleNormal="100" workbookViewId="0">
      <selection activeCell="C41" sqref="C41"/>
    </sheetView>
  </sheetViews>
  <sheetFormatPr baseColWidth="10" defaultColWidth="9.140625" defaultRowHeight="12.75" x14ac:dyDescent="0.2"/>
  <cols>
    <col min="1" max="1" width="2.5703125" customWidth="1"/>
    <col min="2" max="2" width="2.42578125" customWidth="1"/>
    <col min="3" max="3" width="12" customWidth="1"/>
    <col min="4" max="4" width="12" bestFit="1" customWidth="1"/>
    <col min="5" max="5" width="12" customWidth="1"/>
    <col min="6" max="6" width="9.140625" bestFit="1" customWidth="1"/>
    <col min="7" max="7" width="4.42578125" bestFit="1" customWidth="1"/>
    <col min="8" max="8" width="13.28515625" bestFit="1" customWidth="1"/>
    <col min="9" max="9" width="20" bestFit="1" customWidth="1"/>
    <col min="10" max="10" width="11.140625" customWidth="1"/>
    <col min="11" max="11" width="14.140625" customWidth="1"/>
    <col min="12" max="12" width="15.140625" customWidth="1"/>
    <col min="13" max="13" width="13.7109375" customWidth="1"/>
    <col min="14" max="14" width="8.7109375" bestFit="1" customWidth="1"/>
    <col min="15" max="15" width="14.7109375" customWidth="1"/>
    <col min="16" max="16" width="9.28515625" customWidth="1"/>
    <col min="17" max="17" width="12.140625" bestFit="1" customWidth="1"/>
    <col min="18" max="18" width="14.85546875" hidden="1" customWidth="1"/>
    <col min="19" max="19" width="11" bestFit="1" customWidth="1"/>
    <col min="20" max="20" width="11.5703125" bestFit="1" customWidth="1"/>
    <col min="21" max="21" width="11.140625" hidden="1" customWidth="1"/>
    <col min="22" max="22" width="10.42578125" hidden="1" customWidth="1"/>
    <col min="23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6" t="s">
        <v>0</v>
      </c>
      <c r="R2" s="797"/>
      <c r="S2" s="798"/>
    </row>
    <row r="3" spans="4:19" ht="19.5" thickBot="1" x14ac:dyDescent="0.35">
      <c r="I3" s="799" t="s">
        <v>1</v>
      </c>
      <c r="J3" s="800"/>
      <c r="K3" s="800"/>
      <c r="L3" s="800"/>
      <c r="M3" s="800"/>
      <c r="N3" s="800"/>
      <c r="O3" s="801"/>
      <c r="Q3" s="802">
        <f>+'CERDA HERNANDEZ JOSE LUIS'!Q3</f>
        <v>42</v>
      </c>
      <c r="R3" s="803"/>
      <c r="S3" s="804"/>
    </row>
    <row r="4" spans="4:19" ht="16.5" thickBot="1" x14ac:dyDescent="0.3">
      <c r="I4" s="805" t="s">
        <v>2</v>
      </c>
      <c r="J4" s="806"/>
      <c r="K4" s="806"/>
      <c r="L4" s="806"/>
      <c r="M4" s="806"/>
      <c r="N4" s="806"/>
      <c r="O4" s="807"/>
      <c r="Q4" s="811"/>
      <c r="R4" s="811"/>
      <c r="S4" s="811"/>
    </row>
    <row r="5" spans="4:19" ht="13.5" thickBot="1" x14ac:dyDescent="0.25">
      <c r="I5" s="808" t="s">
        <v>3</v>
      </c>
      <c r="J5" s="809"/>
      <c r="K5" s="809"/>
      <c r="L5" s="809"/>
      <c r="M5" s="809"/>
      <c r="N5" s="809"/>
      <c r="O5" s="810"/>
      <c r="Q5" s="783" t="s">
        <v>4</v>
      </c>
      <c r="R5" s="784"/>
      <c r="S5" s="785"/>
    </row>
    <row r="6" spans="4:19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881">
        <f>+'RUIZ HERRERA ERICK '!Q6+1</f>
        <v>17</v>
      </c>
      <c r="R6" s="882"/>
      <c r="S6" s="883"/>
    </row>
    <row r="7" spans="4:19" ht="9" customHeight="1" x14ac:dyDescent="0.2"/>
    <row r="8" spans="4:19" ht="6.75" customHeight="1" thickBot="1" x14ac:dyDescent="0.25"/>
    <row r="9" spans="4:19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19" ht="11.25" customHeight="1" thickBot="1" x14ac:dyDescent="0.25"/>
    <row r="11" spans="4:19" x14ac:dyDescent="0.2">
      <c r="D11" s="1" t="s">
        <v>7</v>
      </c>
      <c r="E11" s="2" t="s">
        <v>252</v>
      </c>
      <c r="F11" s="2"/>
      <c r="G11" s="2"/>
      <c r="H11" s="2"/>
      <c r="I11" s="2"/>
      <c r="J11" s="3"/>
      <c r="K11" s="4" t="s">
        <v>9</v>
      </c>
      <c r="L11" s="786" t="str">
        <f>+NOMINA!B3</f>
        <v>SEMANA #42 PERIODO DEL 06 AL 12 DE OCTUBRE  DEL 2025</v>
      </c>
      <c r="M11" s="786"/>
      <c r="N11" s="786"/>
      <c r="O11" s="786"/>
      <c r="P11" s="786"/>
      <c r="Q11" s="786"/>
      <c r="R11" s="786"/>
      <c r="S11" s="787"/>
    </row>
    <row r="12" spans="4:19" x14ac:dyDescent="0.2">
      <c r="D12" s="5" t="s">
        <v>10</v>
      </c>
      <c r="E12" s="788" t="s">
        <v>341</v>
      </c>
      <c r="F12" s="78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90" t="s">
        <v>11</v>
      </c>
      <c r="E14" s="791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90" t="s">
        <v>14</v>
      </c>
      <c r="E15" s="791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92" t="s">
        <v>17</v>
      </c>
      <c r="E16" s="793"/>
      <c r="F16" s="12">
        <f>SUM(J19:J29)</f>
        <v>4084</v>
      </c>
      <c r="G16" s="12"/>
      <c r="H16" s="12"/>
      <c r="I16" s="13" t="s">
        <v>18</v>
      </c>
      <c r="J16" s="12">
        <f>SUM(K19:K29)</f>
        <v>1133.739</v>
      </c>
      <c r="K16" s="12"/>
      <c r="L16" s="12"/>
      <c r="M16" s="12"/>
      <c r="N16" s="12"/>
      <c r="O16" s="14" t="s">
        <v>19</v>
      </c>
      <c r="P16" s="15">
        <f>+F16/J16</f>
        <v>3.602240021733397</v>
      </c>
      <c r="Q16" s="12"/>
      <c r="R16" s="12"/>
      <c r="S16" s="16"/>
    </row>
    <row r="17" spans="3:24" ht="7.5" customHeight="1" thickBot="1" x14ac:dyDescent="0.25"/>
    <row r="18" spans="3:24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  <c r="U18" s="670" t="s">
        <v>333</v>
      </c>
      <c r="V18" s="671" t="s">
        <v>335</v>
      </c>
    </row>
    <row r="19" spans="3:24" x14ac:dyDescent="0.2">
      <c r="C19" s="52">
        <v>46375</v>
      </c>
      <c r="D19" s="279" t="s">
        <v>366</v>
      </c>
      <c r="E19" s="280">
        <v>45936</v>
      </c>
      <c r="F19" s="280">
        <v>45937</v>
      </c>
      <c r="G19" s="279">
        <v>1</v>
      </c>
      <c r="H19" s="17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131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13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131"/>
      <c r="L19" s="193"/>
      <c r="M19" s="193"/>
      <c r="N19" s="131">
        <v>1</v>
      </c>
      <c r="O19" s="131" t="s">
        <v>364</v>
      </c>
      <c r="P19" s="131" t="s">
        <v>176</v>
      </c>
      <c r="Q19" s="194">
        <f t="shared" ref="Q19:Q20" si="0">(IF(N19=1,(J19*0.3)))+(IF(N19=2,(J19*0.15))+(IF(N19=3,(J19*0.15))))</f>
        <v>306.3</v>
      </c>
      <c r="R19" s="215"/>
      <c r="S19" s="195"/>
      <c r="T19" s="676"/>
      <c r="U19" s="17">
        <v>51</v>
      </c>
      <c r="V19" s="17">
        <v>61</v>
      </c>
      <c r="W19" s="23"/>
      <c r="X19" s="546"/>
    </row>
    <row r="20" spans="3:24" ht="13.5" customHeight="1" thickBot="1" x14ac:dyDescent="0.25">
      <c r="C20" s="726"/>
      <c r="D20" s="448" t="s">
        <v>367</v>
      </c>
      <c r="E20" s="727">
        <v>45937</v>
      </c>
      <c r="F20" s="727">
        <v>45938</v>
      </c>
      <c r="G20" s="728">
        <v>2</v>
      </c>
      <c r="H20" s="236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183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1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183">
        <v>599.06399999999996</v>
      </c>
      <c r="L20" s="269">
        <f>SUM(J18:J20)/K20</f>
        <v>3.4086508286259902</v>
      </c>
      <c r="M20" s="269">
        <v>6</v>
      </c>
      <c r="N20" s="183">
        <v>1</v>
      </c>
      <c r="O20" s="183" t="s">
        <v>365</v>
      </c>
      <c r="P20" s="183" t="s">
        <v>176</v>
      </c>
      <c r="Q20" s="270">
        <f t="shared" si="0"/>
        <v>306.3</v>
      </c>
      <c r="R20" s="516">
        <f>+LOOKUP(P37,UNIDADES!B$3:B$73,UNIDADES!C$3:C$73)</f>
        <v>2.7010580000000002</v>
      </c>
      <c r="S20" s="517">
        <f>((SUM(J19:J20)/R20))-K20</f>
        <v>156.93605627424506</v>
      </c>
      <c r="T20" s="680">
        <f>(IF(M20=1,(S20*16)))+(IF(M20=2,(S20*17.26))+(IF(M20=3,(S20*17.66))+(IF(M20=4,(S20*18.06))+(IF(M20=5,(S20*18.46))+(IF(M20=6,(S20*18.86))+(IF(M20=7,(S20*19.26))))))))</f>
        <v>2959.8140213322617</v>
      </c>
      <c r="U20" s="448">
        <v>51</v>
      </c>
      <c r="V20" s="448">
        <v>60</v>
      </c>
      <c r="W20" s="182"/>
      <c r="X20" s="546"/>
    </row>
    <row r="21" spans="3:24" ht="12.75" customHeight="1" x14ac:dyDescent="0.2">
      <c r="C21" s="52">
        <v>45929</v>
      </c>
      <c r="D21" s="279" t="s">
        <v>425</v>
      </c>
      <c r="E21" s="280">
        <v>45939</v>
      </c>
      <c r="F21" s="280">
        <v>45940</v>
      </c>
      <c r="G21" s="279">
        <v>1</v>
      </c>
      <c r="H21" s="179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131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OBRG</v>
      </c>
      <c r="J21" s="132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1021</v>
      </c>
      <c r="K21" s="131"/>
      <c r="L21" s="193"/>
      <c r="M21" s="193"/>
      <c r="N21" s="131">
        <v>1</v>
      </c>
      <c r="O21" s="131" t="s">
        <v>424</v>
      </c>
      <c r="P21" s="131" t="s">
        <v>176</v>
      </c>
      <c r="Q21" s="194">
        <f t="shared" ref="Q21:Q22" si="1">(IF(N21=1,(J21*0.3)))+(IF(N21=2,(J21*0.15))+(IF(N21=3,(J21*0.15))))</f>
        <v>306.3</v>
      </c>
      <c r="R21" s="215"/>
      <c r="S21" s="195"/>
      <c r="T21" s="194"/>
      <c r="U21" s="38">
        <v>7</v>
      </c>
      <c r="V21" s="100">
        <v>8</v>
      </c>
      <c r="W21" s="23"/>
      <c r="X21" s="546"/>
    </row>
    <row r="22" spans="3:24" ht="13.5" thickBot="1" x14ac:dyDescent="0.25">
      <c r="C22" s="40"/>
      <c r="D22" s="283" t="s">
        <v>426</v>
      </c>
      <c r="E22" s="284">
        <v>45940</v>
      </c>
      <c r="F22" s="284">
        <v>45941</v>
      </c>
      <c r="G22" s="283">
        <v>2</v>
      </c>
      <c r="H22" s="115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OBRG</v>
      </c>
      <c r="I22" s="106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107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1021</v>
      </c>
      <c r="K22" s="106">
        <v>534.67499999999995</v>
      </c>
      <c r="L22" s="255">
        <f>SUM(J21:J22)/K22</f>
        <v>3.8191424697245995</v>
      </c>
      <c r="M22" s="255">
        <v>7</v>
      </c>
      <c r="N22" s="106">
        <v>1</v>
      </c>
      <c r="O22" s="106" t="s">
        <v>364</v>
      </c>
      <c r="P22" s="106" t="s">
        <v>176</v>
      </c>
      <c r="Q22" s="256">
        <f t="shared" si="1"/>
        <v>306.3</v>
      </c>
      <c r="R22" s="216">
        <f>+LOOKUP(P38,UNIDADES!B$3:B$73,UNIDADES!C$3:C$73)</f>
        <v>2.7010580000000002</v>
      </c>
      <c r="S22" s="202">
        <f>((SUM(J21:J22)/R22))-K22</f>
        <v>221.32505627424507</v>
      </c>
      <c r="T22" s="256">
        <f>(IF(M22=1,(S22*16)))+(IF(M22=2,(S22*17.26))+(IF(M22=3,(S22*17.66))+(IF(M22=4,(S22*18.06))+(IF(M22=5,(S22*18.46))+(IF(M22=6,(S22*18.86))+(IF(M22=7,(S22*19.26))))))))</f>
        <v>4262.7205838419604</v>
      </c>
      <c r="U22" s="41">
        <v>9</v>
      </c>
      <c r="V22" s="72">
        <v>9</v>
      </c>
      <c r="W22" s="182"/>
      <c r="X22" s="546"/>
    </row>
    <row r="23" spans="3:24" ht="12.75" hidden="1" customHeight="1" x14ac:dyDescent="0.2">
      <c r="C23" s="535"/>
      <c r="D23" s="293"/>
      <c r="E23" s="294"/>
      <c r="F23" s="294"/>
      <c r="G23" s="293"/>
      <c r="H23" s="197"/>
      <c r="I23" s="180"/>
      <c r="J23" s="181"/>
      <c r="K23" s="180"/>
      <c r="L23" s="295"/>
      <c r="M23" s="295"/>
      <c r="N23" s="180"/>
      <c r="O23" s="180"/>
      <c r="P23" s="180"/>
      <c r="Q23" s="296"/>
      <c r="R23" s="297"/>
      <c r="S23" s="308"/>
      <c r="T23" s="677"/>
      <c r="U23" s="51"/>
      <c r="V23" s="51"/>
      <c r="W23" s="23"/>
      <c r="X23" s="546"/>
    </row>
    <row r="24" spans="3:24" ht="12.75" hidden="1" customHeight="1" x14ac:dyDescent="0.2">
      <c r="C24" s="534"/>
      <c r="D24" s="299"/>
      <c r="E24" s="300"/>
      <c r="F24" s="300"/>
      <c r="G24" s="299"/>
      <c r="H24" s="278"/>
      <c r="I24" s="113"/>
      <c r="J24" s="114"/>
      <c r="K24" s="113"/>
      <c r="L24" s="301"/>
      <c r="M24" s="301"/>
      <c r="N24" s="113"/>
      <c r="O24" s="113"/>
      <c r="P24" s="113"/>
      <c r="Q24" s="302"/>
      <c r="R24" s="251"/>
      <c r="S24" s="310"/>
      <c r="T24" s="673"/>
      <c r="U24" s="17"/>
      <c r="V24" s="17"/>
      <c r="W24" s="23"/>
      <c r="X24" s="546"/>
    </row>
    <row r="25" spans="3:24" ht="12.75" hidden="1" customHeight="1" x14ac:dyDescent="0.2">
      <c r="C25" s="39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673"/>
      <c r="U25" s="17"/>
      <c r="V25" s="17"/>
      <c r="W25" s="23"/>
      <c r="X25" s="546"/>
    </row>
    <row r="26" spans="3:24" ht="12.75" hidden="1" customHeight="1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3"/>
      <c r="U26" s="17"/>
      <c r="V26" s="17"/>
    </row>
    <row r="27" spans="3:24" ht="12.75" hidden="1" customHeight="1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673"/>
      <c r="U27" s="299"/>
      <c r="V27" s="299"/>
    </row>
    <row r="28" spans="3:24" ht="12.75" hidden="1" customHeight="1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673"/>
      <c r="U28" s="299"/>
      <c r="V28" s="299"/>
    </row>
    <row r="29" spans="3:24" ht="12.75" hidden="1" customHeight="1" thickBot="1" x14ac:dyDescent="0.25">
      <c r="C29" s="40"/>
      <c r="D29" s="283"/>
      <c r="E29" s="284"/>
      <c r="F29" s="284"/>
      <c r="G29" s="283"/>
      <c r="H29" s="115"/>
      <c r="I29" s="106"/>
      <c r="J29" s="107"/>
      <c r="K29" s="106"/>
      <c r="L29" s="255"/>
      <c r="M29" s="255"/>
      <c r="N29" s="106"/>
      <c r="O29" s="106"/>
      <c r="P29" s="106"/>
      <c r="Q29" s="256"/>
      <c r="R29" s="216"/>
      <c r="S29" s="312"/>
      <c r="T29" s="678"/>
      <c r="U29" s="299"/>
      <c r="V29" s="299"/>
    </row>
    <row r="30" spans="3:24" ht="12.75" customHeight="1" thickBot="1" x14ac:dyDescent="0.25">
      <c r="C30" s="22"/>
      <c r="D30" s="22"/>
      <c r="E30" s="22"/>
      <c r="F30" s="22"/>
      <c r="G30" s="22"/>
      <c r="H30" s="22"/>
      <c r="I30" s="182"/>
      <c r="J30" s="22"/>
      <c r="K30" s="22"/>
      <c r="L30" s="22"/>
      <c r="M30" s="22"/>
      <c r="N30" s="22"/>
      <c r="O30" s="22"/>
      <c r="P30" s="22"/>
      <c r="Q30" s="22"/>
      <c r="R30" s="305"/>
      <c r="S30" s="22"/>
      <c r="T30" s="22"/>
    </row>
    <row r="31" spans="3:24" x14ac:dyDescent="0.2">
      <c r="E31" s="794" t="s">
        <v>35</v>
      </c>
      <c r="F31" s="773">
        <f>+'MARTA RUBIO MARTIN'!F33:G33</f>
        <v>45936</v>
      </c>
      <c r="G31" s="774"/>
      <c r="H31" s="20">
        <f>+F31+1</f>
        <v>45937</v>
      </c>
      <c r="I31" s="20">
        <f>+H31+1</f>
        <v>45938</v>
      </c>
      <c r="J31" s="20">
        <f>+I31+1</f>
        <v>45939</v>
      </c>
      <c r="K31" s="20">
        <f>+J31+1</f>
        <v>45940</v>
      </c>
      <c r="L31" s="20">
        <f>+K31+2</f>
        <v>45942</v>
      </c>
      <c r="M31" s="547"/>
      <c r="N31" s="21" t="s">
        <v>36</v>
      </c>
    </row>
    <row r="32" spans="3:24" ht="13.5" thickBot="1" x14ac:dyDescent="0.25">
      <c r="C32" s="22"/>
      <c r="E32" s="795"/>
      <c r="F32" s="775">
        <v>0</v>
      </c>
      <c r="G32" s="776"/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548"/>
      <c r="N32" s="61">
        <f>SUM(F32:L32)</f>
        <v>0</v>
      </c>
      <c r="S32" s="77"/>
    </row>
    <row r="33" spans="3:22" ht="13.5" thickBot="1" x14ac:dyDescent="0.25">
      <c r="I33" s="23"/>
      <c r="S33" s="77"/>
    </row>
    <row r="34" spans="3:22" ht="15.75" thickBot="1" x14ac:dyDescent="0.3">
      <c r="C34" s="825" t="s">
        <v>37</v>
      </c>
      <c r="D34" s="826"/>
      <c r="E34" s="826"/>
      <c r="F34" s="826"/>
      <c r="G34" s="827"/>
      <c r="I34" s="838" t="s">
        <v>38</v>
      </c>
      <c r="J34" s="839"/>
      <c r="K34" s="839"/>
      <c r="L34" s="840"/>
      <c r="M34" s="331"/>
      <c r="O34" s="828" t="s">
        <v>39</v>
      </c>
      <c r="P34" s="829"/>
      <c r="Q34" s="830">
        <f>+F44-L42</f>
        <v>10047.734605174222</v>
      </c>
      <c r="R34" s="831"/>
      <c r="S34" s="832"/>
    </row>
    <row r="35" spans="3:22" ht="13.5" thickBot="1" x14ac:dyDescent="0.25">
      <c r="C35" s="833" t="s">
        <v>207</v>
      </c>
      <c r="D35" s="834"/>
      <c r="E35" s="835"/>
      <c r="F35" s="836">
        <f>SUM(Q18:Q31)</f>
        <v>1225.2</v>
      </c>
      <c r="G35" s="837"/>
      <c r="I35" s="121" t="s">
        <v>106</v>
      </c>
      <c r="J35" s="59" t="s">
        <v>107</v>
      </c>
      <c r="K35" s="59" t="s">
        <v>69</v>
      </c>
      <c r="L35" s="119" t="s">
        <v>108</v>
      </c>
      <c r="M35" s="563"/>
    </row>
    <row r="36" spans="3:22" ht="13.5" thickBot="1" x14ac:dyDescent="0.25">
      <c r="C36" s="843" t="s">
        <v>208</v>
      </c>
      <c r="D36" s="844"/>
      <c r="E36" s="845"/>
      <c r="F36" s="846">
        <f>SUM(T18:T32)</f>
        <v>7222.5346051742217</v>
      </c>
      <c r="G36" s="847"/>
      <c r="H36" t="s">
        <v>307</v>
      </c>
      <c r="I36" s="122"/>
      <c r="J36" s="123"/>
      <c r="K36" s="49"/>
      <c r="L36" s="120"/>
      <c r="M36" s="563"/>
      <c r="O36" s="62" t="s">
        <v>69</v>
      </c>
      <c r="P36" s="63" t="s">
        <v>70</v>
      </c>
      <c r="Q36" s="64" t="s">
        <v>71</v>
      </c>
      <c r="R36" s="64"/>
      <c r="S36" s="65" t="s">
        <v>72</v>
      </c>
      <c r="T36" s="63" t="s">
        <v>73</v>
      </c>
      <c r="U36" s="62" t="s">
        <v>117</v>
      </c>
      <c r="V36" s="63" t="s">
        <v>118</v>
      </c>
    </row>
    <row r="37" spans="3:22" x14ac:dyDescent="0.2">
      <c r="C37" s="843" t="s">
        <v>35</v>
      </c>
      <c r="D37" s="844"/>
      <c r="E37" s="845"/>
      <c r="F37" s="846">
        <f>+N32</f>
        <v>0</v>
      </c>
      <c r="G37" s="847"/>
      <c r="I37" s="122"/>
      <c r="J37" s="235"/>
      <c r="K37" s="60"/>
      <c r="L37" s="118"/>
      <c r="M37" s="563"/>
      <c r="O37" s="66">
        <v>46375</v>
      </c>
      <c r="P37" s="67" t="s">
        <v>234</v>
      </c>
      <c r="Q37" s="68">
        <v>1095442</v>
      </c>
      <c r="R37" s="68"/>
      <c r="S37" s="51">
        <v>356499</v>
      </c>
      <c r="T37" s="67">
        <f>+S37-Q37</f>
        <v>-738943</v>
      </c>
      <c r="U37" s="203">
        <v>2042</v>
      </c>
      <c r="V37" s="204">
        <v>599.06399999999996</v>
      </c>
    </row>
    <row r="38" spans="3:22" x14ac:dyDescent="0.2">
      <c r="C38" s="843" t="s">
        <v>40</v>
      </c>
      <c r="D38" s="844"/>
      <c r="E38" s="845"/>
      <c r="F38" s="846">
        <v>0</v>
      </c>
      <c r="G38" s="847"/>
      <c r="I38" s="122"/>
      <c r="J38" s="235"/>
      <c r="K38" s="60"/>
      <c r="L38" s="118"/>
      <c r="M38" s="130"/>
      <c r="O38" s="44">
        <v>45929</v>
      </c>
      <c r="P38" s="69" t="s">
        <v>222</v>
      </c>
      <c r="Q38" s="70">
        <v>339350</v>
      </c>
      <c r="R38" s="70"/>
      <c r="S38" s="51">
        <v>341395</v>
      </c>
      <c r="T38" s="69">
        <f>+S38-Q38</f>
        <v>2045</v>
      </c>
      <c r="U38" s="157">
        <v>2042</v>
      </c>
      <c r="V38" s="156">
        <v>534.67499999999995</v>
      </c>
    </row>
    <row r="39" spans="3:22" ht="13.5" thickBot="1" x14ac:dyDescent="0.25">
      <c r="C39" s="843" t="s">
        <v>41</v>
      </c>
      <c r="D39" s="844"/>
      <c r="E39" s="845"/>
      <c r="F39" s="846"/>
      <c r="G39" s="847"/>
      <c r="I39" s="124"/>
      <c r="J39" s="235"/>
      <c r="K39" s="60"/>
      <c r="L39" s="118"/>
      <c r="O39" s="71"/>
      <c r="P39" s="72"/>
      <c r="Q39" s="73"/>
      <c r="R39" s="73"/>
      <c r="S39" s="51"/>
      <c r="T39" s="72">
        <f>+S39-Q39</f>
        <v>0</v>
      </c>
      <c r="U39" s="158"/>
      <c r="V39" s="159"/>
    </row>
    <row r="40" spans="3:22" ht="15" x14ac:dyDescent="0.25">
      <c r="C40" s="843" t="s">
        <v>42</v>
      </c>
      <c r="D40" s="844"/>
      <c r="E40" s="845"/>
      <c r="F40" s="846">
        <v>1000</v>
      </c>
      <c r="G40" s="847"/>
      <c r="I40" s="124"/>
      <c r="J40" s="60"/>
      <c r="K40" s="60"/>
      <c r="L40" s="118"/>
      <c r="M40" s="19"/>
      <c r="P40" s="27"/>
      <c r="Q40" s="27"/>
      <c r="R40" s="27"/>
      <c r="S40" s="27"/>
      <c r="T40" s="27"/>
      <c r="U40" s="26"/>
    </row>
    <row r="41" spans="3:22" ht="15.75" thickBot="1" x14ac:dyDescent="0.3">
      <c r="C41" s="24"/>
      <c r="D41" s="25"/>
      <c r="E41" s="25"/>
      <c r="F41" s="846"/>
      <c r="G41" s="847"/>
      <c r="I41" s="124"/>
      <c r="J41" s="60"/>
      <c r="K41" s="60"/>
      <c r="L41" s="118"/>
      <c r="T41" s="27"/>
      <c r="U41" s="26"/>
    </row>
    <row r="42" spans="3:22" ht="15.75" thickBot="1" x14ac:dyDescent="0.3">
      <c r="C42" s="561" t="s">
        <v>287</v>
      </c>
      <c r="D42" s="25"/>
      <c r="E42" s="25"/>
      <c r="F42" s="846">
        <v>600</v>
      </c>
      <c r="G42" s="847"/>
      <c r="I42" s="848" t="s">
        <v>44</v>
      </c>
      <c r="J42" s="849"/>
      <c r="K42" s="850"/>
      <c r="L42" s="125">
        <f>SUM(L36:L41)</f>
        <v>0</v>
      </c>
      <c r="T42" s="27"/>
      <c r="U42" s="26"/>
    </row>
    <row r="43" spans="3:22" ht="15.75" thickBot="1" x14ac:dyDescent="0.3">
      <c r="C43" s="241" t="s">
        <v>340</v>
      </c>
      <c r="D43" s="242"/>
      <c r="E43" s="242"/>
      <c r="F43" s="841"/>
      <c r="G43" s="842"/>
      <c r="T43" s="27"/>
      <c r="U43" s="26"/>
    </row>
    <row r="44" spans="3:22" ht="15.75" thickBot="1" x14ac:dyDescent="0.3">
      <c r="C44" s="792" t="s">
        <v>45</v>
      </c>
      <c r="D44" s="793"/>
      <c r="E44" s="813"/>
      <c r="F44" s="814">
        <f>SUM(F35:G43)</f>
        <v>10047.734605174222</v>
      </c>
      <c r="G44" s="815"/>
      <c r="I44" s="19"/>
      <c r="J44" s="19"/>
      <c r="K44" s="19"/>
      <c r="L44" s="19"/>
      <c r="N44" s="19"/>
      <c r="P44" s="817" t="s">
        <v>61</v>
      </c>
      <c r="Q44" s="818"/>
      <c r="R44" s="27"/>
      <c r="S44" s="27"/>
      <c r="T44" s="26"/>
    </row>
    <row r="45" spans="3:22" ht="12" customHeight="1" thickBot="1" x14ac:dyDescent="0.3">
      <c r="P45" s="44">
        <v>1</v>
      </c>
      <c r="Q45" s="69" t="s">
        <v>62</v>
      </c>
      <c r="R45" s="27"/>
      <c r="S45" s="27"/>
      <c r="T45" s="26"/>
    </row>
    <row r="46" spans="3:22" ht="15" customHeight="1" x14ac:dyDescent="0.25">
      <c r="C46" s="185" t="s">
        <v>162</v>
      </c>
      <c r="D46" s="324"/>
      <c r="E46" s="324"/>
      <c r="F46" s="324"/>
      <c r="G46" s="324"/>
      <c r="H46" s="324"/>
      <c r="I46" s="324"/>
      <c r="J46" s="324"/>
      <c r="K46" s="324"/>
      <c r="L46" s="324"/>
      <c r="M46" s="324"/>
      <c r="N46" s="325"/>
      <c r="P46" s="44">
        <v>2</v>
      </c>
      <c r="Q46" s="69" t="s">
        <v>110</v>
      </c>
      <c r="R46" s="27"/>
      <c r="S46" s="27"/>
      <c r="T46" s="26"/>
    </row>
    <row r="47" spans="3:22" ht="15.75" thickBot="1" x14ac:dyDescent="0.3">
      <c r="C47" s="31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7"/>
      <c r="P47" s="71">
        <v>3</v>
      </c>
      <c r="Q47" s="72" t="s">
        <v>109</v>
      </c>
      <c r="R47" s="27"/>
      <c r="S47" s="27"/>
      <c r="T47" s="26"/>
    </row>
    <row r="48" spans="3:22" ht="15.75" thickBot="1" x14ac:dyDescent="0.3">
      <c r="C48" s="33"/>
      <c r="D48" s="328"/>
      <c r="E48" s="328"/>
      <c r="F48" s="328"/>
      <c r="G48" s="328"/>
      <c r="H48" s="328"/>
      <c r="I48" s="328"/>
      <c r="J48" s="328"/>
      <c r="K48" s="328"/>
      <c r="L48" s="328"/>
      <c r="M48" s="328"/>
      <c r="N48" s="329"/>
      <c r="P48" s="27"/>
      <c r="Q48" s="27"/>
      <c r="R48" s="27"/>
      <c r="S48" s="27"/>
      <c r="T48" s="27"/>
      <c r="U48" s="26"/>
    </row>
    <row r="49" spans="4:21" ht="15" x14ac:dyDescent="0.25">
      <c r="P49" s="27"/>
      <c r="Q49" s="27"/>
      <c r="R49" s="27"/>
      <c r="S49" s="27"/>
      <c r="T49" s="37"/>
      <c r="U49" s="26"/>
    </row>
    <row r="50" spans="4:21" ht="15" x14ac:dyDescent="0.25">
      <c r="P50" s="27"/>
      <c r="Q50" s="27"/>
      <c r="R50" s="27"/>
      <c r="S50" s="27"/>
      <c r="T50" s="37"/>
      <c r="U50" s="26"/>
    </row>
    <row r="51" spans="4:21" ht="13.5" thickBot="1" x14ac:dyDescent="0.25">
      <c r="P51" s="27"/>
      <c r="Q51" s="27"/>
      <c r="R51" s="27"/>
      <c r="S51" s="27"/>
      <c r="T51" s="37"/>
    </row>
    <row r="52" spans="4:21" ht="13.5" thickTop="1" x14ac:dyDescent="0.2">
      <c r="D52" s="816" t="s">
        <v>47</v>
      </c>
      <c r="E52" s="816"/>
      <c r="F52" s="816"/>
      <c r="G52" s="816"/>
      <c r="H52" s="816"/>
      <c r="J52" s="816" t="s">
        <v>48</v>
      </c>
      <c r="K52" s="816"/>
      <c r="L52" s="816"/>
      <c r="M52" s="816"/>
      <c r="N52" s="816"/>
      <c r="P52" s="37"/>
      <c r="Q52" s="37"/>
      <c r="R52" s="37"/>
      <c r="S52" s="37"/>
      <c r="T52" s="37"/>
    </row>
    <row r="53" spans="4:21" x14ac:dyDescent="0.2">
      <c r="P53" s="37"/>
      <c r="Q53" s="37"/>
      <c r="R53" s="37"/>
      <c r="S53" s="37"/>
      <c r="T53" s="36"/>
    </row>
    <row r="54" spans="4:21" x14ac:dyDescent="0.2">
      <c r="P54" s="37"/>
      <c r="Q54" s="37"/>
      <c r="R54" s="37"/>
      <c r="S54" s="37"/>
    </row>
    <row r="55" spans="4:21" x14ac:dyDescent="0.2">
      <c r="P55" s="37"/>
      <c r="Q55" s="37"/>
      <c r="R55" s="37"/>
      <c r="S55" s="37"/>
    </row>
    <row r="56" spans="4:21" ht="15" customHeight="1" x14ac:dyDescent="0.2">
      <c r="P56" s="36"/>
      <c r="Q56" s="36"/>
      <c r="R56" s="36"/>
      <c r="S56" s="36"/>
    </row>
  </sheetData>
  <mergeCells count="44">
    <mergeCell ref="D14:E14"/>
    <mergeCell ref="D15:E15"/>
    <mergeCell ref="D13:E13"/>
    <mergeCell ref="Q2:S2"/>
    <mergeCell ref="I3:O3"/>
    <mergeCell ref="Q3:S3"/>
    <mergeCell ref="I4:O4"/>
    <mergeCell ref="Q4:S4"/>
    <mergeCell ref="I5:O5"/>
    <mergeCell ref="Q5:S5"/>
    <mergeCell ref="I6:O6"/>
    <mergeCell ref="Q6:S6"/>
    <mergeCell ref="I9:O9"/>
    <mergeCell ref="L11:S11"/>
    <mergeCell ref="E12:F12"/>
    <mergeCell ref="D16:E16"/>
    <mergeCell ref="E31:E32"/>
    <mergeCell ref="F31:G31"/>
    <mergeCell ref="F32:G32"/>
    <mergeCell ref="C34:G34"/>
    <mergeCell ref="D52:H52"/>
    <mergeCell ref="J52:N52"/>
    <mergeCell ref="F42:G42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F41:G41"/>
    <mergeCell ref="I42:K42"/>
    <mergeCell ref="F43:G43"/>
    <mergeCell ref="C44:E44"/>
    <mergeCell ref="F44:G44"/>
    <mergeCell ref="P44:Q44"/>
    <mergeCell ref="O34:P34"/>
    <mergeCell ref="Q34:S34"/>
    <mergeCell ref="C35:E35"/>
    <mergeCell ref="F35:G35"/>
    <mergeCell ref="I34:L34"/>
  </mergeCells>
  <pageMargins left="0" right="0" top="0.35433070866141736" bottom="0.35433070866141736" header="0.31496062992125984" footer="0.31496062992125984"/>
  <pageSetup paperSize="9" scale="70"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4">
    <pageSetUpPr fitToPage="1"/>
  </sheetPr>
  <dimension ref="C1:Y58"/>
  <sheetViews>
    <sheetView zoomScale="90" zoomScaleNormal="90" workbookViewId="0">
      <selection activeCell="P45" sqref="P45"/>
    </sheetView>
  </sheetViews>
  <sheetFormatPr baseColWidth="10" defaultColWidth="9.140625" defaultRowHeight="12.75" x14ac:dyDescent="0.2"/>
  <cols>
    <col min="1" max="1" width="5" customWidth="1"/>
    <col min="2" max="2" width="3.7109375" customWidth="1"/>
    <col min="3" max="3" width="12" customWidth="1"/>
    <col min="4" max="4" width="12.28515625" customWidth="1"/>
    <col min="5" max="5" width="7.7109375" bestFit="1" customWidth="1"/>
    <col min="6" max="6" width="7.42578125" customWidth="1"/>
    <col min="7" max="7" width="3.5703125" customWidth="1"/>
    <col min="8" max="8" width="9.42578125" customWidth="1"/>
    <col min="9" max="10" width="10" customWidth="1"/>
    <col min="11" max="11" width="9.7109375" customWidth="1"/>
    <col min="12" max="12" width="13.42578125" customWidth="1"/>
    <col min="13" max="13" width="11.140625" customWidth="1"/>
    <col min="14" max="14" width="12" customWidth="1"/>
    <col min="15" max="15" width="10.7109375" customWidth="1"/>
    <col min="16" max="16" width="10.28515625" customWidth="1"/>
    <col min="17" max="17" width="12.140625" bestFit="1" customWidth="1"/>
    <col min="18" max="18" width="11.28515625" hidden="1" customWidth="1"/>
    <col min="19" max="19" width="11" bestFit="1" customWidth="1"/>
    <col min="20" max="20" width="11.5703125" bestFit="1" customWidth="1"/>
    <col min="21" max="21" width="7.140625" customWidth="1"/>
    <col min="22" max="22" width="8.7109375" customWidth="1"/>
    <col min="23" max="27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6" t="s">
        <v>0</v>
      </c>
      <c r="R2" s="797"/>
      <c r="S2" s="798"/>
    </row>
    <row r="3" spans="4:19" ht="19.5" thickBot="1" x14ac:dyDescent="0.35">
      <c r="I3" s="799" t="s">
        <v>1</v>
      </c>
      <c r="J3" s="800"/>
      <c r="K3" s="800"/>
      <c r="L3" s="800"/>
      <c r="M3" s="800"/>
      <c r="N3" s="800"/>
      <c r="O3" s="801"/>
      <c r="Q3" s="802">
        <f>+'CERDA HERNANDEZ JOSE LUIS'!Q3</f>
        <v>42</v>
      </c>
      <c r="R3" s="803"/>
      <c r="S3" s="804"/>
    </row>
    <row r="4" spans="4:19" ht="16.5" thickBot="1" x14ac:dyDescent="0.3">
      <c r="I4" s="805" t="s">
        <v>2</v>
      </c>
      <c r="J4" s="806"/>
      <c r="K4" s="806"/>
      <c r="L4" s="806"/>
      <c r="M4" s="806"/>
      <c r="N4" s="806"/>
      <c r="O4" s="807"/>
      <c r="Q4" s="811"/>
      <c r="R4" s="811"/>
      <c r="S4" s="811"/>
    </row>
    <row r="5" spans="4:19" ht="13.5" thickBot="1" x14ac:dyDescent="0.25">
      <c r="I5" s="808" t="s">
        <v>3</v>
      </c>
      <c r="J5" s="809"/>
      <c r="K5" s="809"/>
      <c r="L5" s="809"/>
      <c r="M5" s="809"/>
      <c r="N5" s="809"/>
      <c r="O5" s="810"/>
      <c r="Q5" s="783" t="s">
        <v>4</v>
      </c>
      <c r="R5" s="784"/>
      <c r="S5" s="785"/>
    </row>
    <row r="6" spans="4:19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884">
        <f>+'CHAVEZ VARELA NESTOR ADRIAN'!Q6+1</f>
        <v>2</v>
      </c>
      <c r="R6" s="781"/>
      <c r="S6" s="782"/>
    </row>
    <row r="7" spans="4:19" ht="9" customHeight="1" x14ac:dyDescent="0.2"/>
    <row r="8" spans="4:19" ht="6.75" customHeight="1" thickBot="1" x14ac:dyDescent="0.25"/>
    <row r="9" spans="4:19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19" ht="11.25" customHeight="1" thickBot="1" x14ac:dyDescent="0.25"/>
    <row r="11" spans="4:19" x14ac:dyDescent="0.2">
      <c r="D11" s="1" t="s">
        <v>7</v>
      </c>
      <c r="E11" s="175" t="s">
        <v>297</v>
      </c>
      <c r="F11" s="2"/>
      <c r="G11" s="2"/>
      <c r="H11" s="2"/>
      <c r="I11" s="2"/>
      <c r="J11" s="3"/>
      <c r="K11" s="4" t="s">
        <v>9</v>
      </c>
      <c r="L11" s="786" t="str">
        <f>+NOMINA!B3</f>
        <v>SEMANA #42 PERIODO DEL 06 AL 12 DE OCTUBRE  DEL 2025</v>
      </c>
      <c r="M11" s="786"/>
      <c r="N11" s="786"/>
      <c r="O11" s="786"/>
      <c r="P11" s="786"/>
      <c r="Q11" s="786"/>
      <c r="R11" s="786"/>
      <c r="S11" s="787"/>
    </row>
    <row r="12" spans="4:19" x14ac:dyDescent="0.2">
      <c r="D12" s="5" t="s">
        <v>10</v>
      </c>
      <c r="E12" s="788" t="s">
        <v>166</v>
      </c>
      <c r="F12" s="78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90" t="s">
        <v>11</v>
      </c>
      <c r="E14" s="791"/>
      <c r="F14" s="7">
        <f>+Q39</f>
        <v>376984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90" t="s">
        <v>14</v>
      </c>
      <c r="E15" s="791"/>
      <c r="F15" s="7">
        <f>+S41</f>
        <v>0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92" t="s">
        <v>17</v>
      </c>
      <c r="E16" s="793"/>
      <c r="F16" s="12">
        <f>SUM(J19:J31)</f>
        <v>2042</v>
      </c>
      <c r="G16" s="12"/>
      <c r="H16" s="12"/>
      <c r="I16" s="13" t="s">
        <v>18</v>
      </c>
      <c r="J16" s="12">
        <f>SUM(K19:K31)</f>
        <v>597.88300000000004</v>
      </c>
      <c r="K16" s="12"/>
      <c r="L16" s="12"/>
      <c r="M16" s="12"/>
      <c r="N16" s="12"/>
      <c r="O16" s="14" t="s">
        <v>19</v>
      </c>
      <c r="P16" s="15">
        <f>+F16/J16</f>
        <v>3.4153839463573976</v>
      </c>
      <c r="Q16" s="12"/>
      <c r="R16" s="12"/>
      <c r="S16" s="16"/>
    </row>
    <row r="17" spans="3:25" ht="7.5" customHeight="1" thickBot="1" x14ac:dyDescent="0.25"/>
    <row r="18" spans="3:25" ht="33" customHeight="1" x14ac:dyDescent="0.2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x14ac:dyDescent="0.2">
      <c r="C19" s="446">
        <v>45957</v>
      </c>
      <c r="D19" s="623" t="s">
        <v>409</v>
      </c>
      <c r="E19" s="447">
        <v>45940</v>
      </c>
      <c r="F19" s="447">
        <v>45941</v>
      </c>
      <c r="G19" s="418">
        <v>1</v>
      </c>
      <c r="H19" s="512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448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48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448"/>
      <c r="L19" s="449"/>
      <c r="M19" s="449"/>
      <c r="N19" s="448">
        <v>1</v>
      </c>
      <c r="O19" s="448" t="s">
        <v>407</v>
      </c>
      <c r="P19" s="448" t="s">
        <v>176</v>
      </c>
      <c r="Q19" s="450">
        <f t="shared" ref="Q19" si="0">(IF(N19=1,(J19*0.3)))+(IF(N19=2,(J19*0.15))+(IF(N19=3,(J19*0.15))))</f>
        <v>306.3</v>
      </c>
      <c r="R19" s="451"/>
      <c r="S19" s="513"/>
      <c r="T19" s="452"/>
      <c r="W19">
        <v>2</v>
      </c>
      <c r="X19" s="23">
        <v>3</v>
      </c>
      <c r="Y19" s="546">
        <v>17.260000000000002</v>
      </c>
    </row>
    <row r="20" spans="3:25" ht="13.5" thickBot="1" x14ac:dyDescent="0.25">
      <c r="C20" s="436"/>
      <c r="D20" s="640" t="s">
        <v>410</v>
      </c>
      <c r="E20" s="437">
        <v>45941</v>
      </c>
      <c r="F20" s="437">
        <v>45943</v>
      </c>
      <c r="G20" s="59">
        <v>2</v>
      </c>
      <c r="H20" s="469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41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43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41">
        <v>597.88300000000004</v>
      </c>
      <c r="L20" s="439">
        <f>SUM(J19:J20)/K20</f>
        <v>3.4153839463573976</v>
      </c>
      <c r="M20" s="439">
        <v>2</v>
      </c>
      <c r="N20" s="41">
        <v>1</v>
      </c>
      <c r="O20" s="41" t="s">
        <v>408</v>
      </c>
      <c r="P20" s="41" t="s">
        <v>176</v>
      </c>
      <c r="Q20" s="42">
        <f t="shared" ref="Q20" si="1">(IF(N20=1,(J20*0.3)))+(IF(N20=2,(J20*0.15))+(IF(N20=3,(J20*0.15))))</f>
        <v>306.3</v>
      </c>
      <c r="R20" s="440">
        <f>+LOOKUP(P39,UNIDADES!B$3:B$73,UNIDADES!C$3:C$73)</f>
        <v>2.7010580000000002</v>
      </c>
      <c r="S20" s="441">
        <f>(SUM(J19:J20)/R20)-K20</f>
        <v>158.11705627424499</v>
      </c>
      <c r="T20" s="43">
        <f>(IF(M20=1,(S20*16)))+(IF(M20=2,(S20*17.26))+(IF(M20=3,(S20*17.66))+(IF(M20=4,(S20*18.06))+(IF(M20=5,(S20*18.46))+(IF(M20=6,(S20*18.86))+(IF(M20=7,(S20*19.26))))))))</f>
        <v>2729.1003912934689</v>
      </c>
      <c r="W20">
        <v>2</v>
      </c>
      <c r="X20" s="23">
        <v>3</v>
      </c>
      <c r="Y20" s="546">
        <v>17.260000000000002</v>
      </c>
    </row>
    <row r="21" spans="3:25" hidden="1" x14ac:dyDescent="0.2">
      <c r="C21" s="533"/>
      <c r="D21" s="595"/>
      <c r="E21" s="50"/>
      <c r="F21" s="50"/>
      <c r="G21" s="49"/>
      <c r="H21" s="463"/>
      <c r="I21" s="51"/>
      <c r="J21" s="464"/>
      <c r="K21" s="51"/>
      <c r="L21" s="465"/>
      <c r="M21" s="465"/>
      <c r="N21" s="51"/>
      <c r="O21" s="51"/>
      <c r="P21" s="51"/>
      <c r="Q21" s="466"/>
      <c r="R21" s="467"/>
      <c r="S21" s="472"/>
      <c r="T21" s="466"/>
      <c r="W21">
        <v>3</v>
      </c>
      <c r="X21" s="23">
        <v>3.1</v>
      </c>
      <c r="Y21" s="546">
        <v>17.66</v>
      </c>
    </row>
    <row r="22" spans="3:25" hidden="1" x14ac:dyDescent="0.2">
      <c r="C22" s="533"/>
      <c r="D22" s="595"/>
      <c r="E22" s="50"/>
      <c r="F22" s="50"/>
      <c r="G22" s="49"/>
      <c r="H22" s="463"/>
      <c r="I22" s="51"/>
      <c r="J22" s="464"/>
      <c r="K22" s="51"/>
      <c r="L22" s="465"/>
      <c r="M22" s="465"/>
      <c r="N22" s="51"/>
      <c r="O22" s="51"/>
      <c r="P22" s="51"/>
      <c r="Q22" s="466"/>
      <c r="R22" s="467"/>
      <c r="S22" s="472"/>
      <c r="T22" s="466"/>
      <c r="W22">
        <v>4</v>
      </c>
      <c r="X22" s="23">
        <v>3.2</v>
      </c>
      <c r="Y22" s="546">
        <v>18.059999999999999</v>
      </c>
    </row>
    <row r="23" spans="3:25" hidden="1" x14ac:dyDescent="0.2">
      <c r="C23" s="536"/>
      <c r="D23" s="610"/>
      <c r="E23" s="18"/>
      <c r="F23" s="18"/>
      <c r="G23" s="60"/>
      <c r="H23" s="483"/>
      <c r="I23" s="17"/>
      <c r="J23" s="484"/>
      <c r="K23" s="17"/>
      <c r="L23" s="485"/>
      <c r="M23" s="485"/>
      <c r="N23" s="17"/>
      <c r="O23" s="17"/>
      <c r="P23" s="17"/>
      <c r="Q23" s="486"/>
      <c r="R23" s="487"/>
      <c r="S23" s="488"/>
      <c r="T23" s="486"/>
      <c r="W23">
        <v>5</v>
      </c>
      <c r="X23" s="23">
        <v>3.3</v>
      </c>
      <c r="Y23" s="546">
        <v>18.46</v>
      </c>
    </row>
    <row r="24" spans="3:25" hidden="1" x14ac:dyDescent="0.2">
      <c r="C24" s="48"/>
      <c r="D24" s="611"/>
      <c r="E24" s="294"/>
      <c r="F24" s="294"/>
      <c r="G24" s="293"/>
      <c r="H24" s="104"/>
      <c r="I24" s="104"/>
      <c r="J24" s="105"/>
      <c r="K24" s="180"/>
      <c r="L24" s="295"/>
      <c r="M24" s="295"/>
      <c r="N24" s="180"/>
      <c r="O24" s="180"/>
      <c r="P24" s="180"/>
      <c r="Q24" s="296"/>
      <c r="R24" s="297"/>
      <c r="S24" s="296"/>
      <c r="T24" s="298"/>
      <c r="W24">
        <v>6</v>
      </c>
      <c r="X24" s="23">
        <v>3.4</v>
      </c>
      <c r="Y24" s="546">
        <v>18.86</v>
      </c>
    </row>
    <row r="25" spans="3:25" hidden="1" x14ac:dyDescent="0.2">
      <c r="C25" s="39"/>
      <c r="D25" s="442"/>
      <c r="E25" s="300"/>
      <c r="F25" s="300"/>
      <c r="G25" s="299"/>
      <c r="H25" s="111"/>
      <c r="I25" s="111"/>
      <c r="J25" s="112"/>
      <c r="K25" s="113"/>
      <c r="L25" s="301"/>
      <c r="M25" s="301"/>
      <c r="N25" s="113"/>
      <c r="O25" s="113"/>
      <c r="P25" s="113"/>
      <c r="Q25" s="302"/>
      <c r="R25" s="251"/>
      <c r="S25" s="302"/>
      <c r="T25" s="304"/>
      <c r="W25">
        <v>7</v>
      </c>
      <c r="X25" s="23">
        <v>3.5</v>
      </c>
      <c r="Y25" s="546">
        <v>19.260000000000002</v>
      </c>
    </row>
    <row r="26" spans="3:25" hidden="1" x14ac:dyDescent="0.2">
      <c r="C26" s="39"/>
      <c r="D26" s="442"/>
      <c r="E26" s="300"/>
      <c r="F26" s="300"/>
      <c r="G26" s="299"/>
      <c r="H26" s="111"/>
      <c r="I26" s="111"/>
      <c r="J26" s="112"/>
      <c r="K26" s="113"/>
      <c r="L26" s="301"/>
      <c r="M26" s="301"/>
      <c r="N26" s="113"/>
      <c r="O26" s="113"/>
      <c r="P26" s="113"/>
      <c r="Q26" s="302"/>
      <c r="R26" s="251"/>
      <c r="S26" s="302"/>
      <c r="T26" s="304"/>
    </row>
    <row r="27" spans="3:25" hidden="1" x14ac:dyDescent="0.2">
      <c r="C27" s="39"/>
      <c r="D27" s="442"/>
      <c r="E27" s="300"/>
      <c r="F27" s="300"/>
      <c r="G27" s="299"/>
      <c r="H27" s="111"/>
      <c r="I27" s="111"/>
      <c r="J27" s="112"/>
      <c r="K27" s="113"/>
      <c r="L27" s="301"/>
      <c r="M27" s="301"/>
      <c r="N27" s="113"/>
      <c r="O27" s="113"/>
      <c r="P27" s="113"/>
      <c r="Q27" s="302"/>
      <c r="R27" s="251"/>
      <c r="S27" s="302"/>
      <c r="T27" s="304"/>
    </row>
    <row r="28" spans="3:25" hidden="1" x14ac:dyDescent="0.2">
      <c r="C28" s="39"/>
      <c r="D28" s="442"/>
      <c r="E28" s="300"/>
      <c r="F28" s="300"/>
      <c r="G28" s="299"/>
      <c r="H28" s="111"/>
      <c r="I28" s="111"/>
      <c r="J28" s="112"/>
      <c r="K28" s="113"/>
      <c r="L28" s="301"/>
      <c r="M28" s="301"/>
      <c r="N28" s="113"/>
      <c r="O28" s="113"/>
      <c r="P28" s="113"/>
      <c r="Q28" s="302"/>
      <c r="R28" s="251"/>
      <c r="S28" s="302"/>
      <c r="T28" s="304"/>
    </row>
    <row r="29" spans="3:25" hidden="1" x14ac:dyDescent="0.2">
      <c r="C29" s="39"/>
      <c r="D29" s="442"/>
      <c r="E29" s="300"/>
      <c r="F29" s="300"/>
      <c r="G29" s="299"/>
      <c r="H29" s="111"/>
      <c r="I29" s="111"/>
      <c r="J29" s="112"/>
      <c r="K29" s="113"/>
      <c r="L29" s="301"/>
      <c r="M29" s="301"/>
      <c r="N29" s="113"/>
      <c r="O29" s="113"/>
      <c r="P29" s="113"/>
      <c r="Q29" s="302"/>
      <c r="R29" s="251"/>
      <c r="S29" s="302"/>
      <c r="T29" s="304"/>
    </row>
    <row r="30" spans="3:25" hidden="1" x14ac:dyDescent="0.2">
      <c r="C30" s="39"/>
      <c r="D30" s="442"/>
      <c r="E30" s="300"/>
      <c r="F30" s="300"/>
      <c r="G30" s="299"/>
      <c r="H30" s="111"/>
      <c r="I30" s="111"/>
      <c r="J30" s="112"/>
      <c r="K30" s="113"/>
      <c r="L30" s="301"/>
      <c r="M30" s="301"/>
      <c r="N30" s="113"/>
      <c r="O30" s="113"/>
      <c r="P30" s="113"/>
      <c r="Q30" s="302"/>
      <c r="R30" s="251"/>
      <c r="S30" s="302"/>
      <c r="T30" s="304"/>
    </row>
    <row r="31" spans="3:25" ht="13.5" hidden="1" thickBot="1" x14ac:dyDescent="0.25">
      <c r="C31" s="40"/>
      <c r="D31" s="428"/>
      <c r="E31" s="284"/>
      <c r="F31" s="284"/>
      <c r="G31" s="283"/>
      <c r="H31" s="106"/>
      <c r="I31" s="106"/>
      <c r="J31" s="107"/>
      <c r="K31" s="106"/>
      <c r="L31" s="255"/>
      <c r="M31" s="255"/>
      <c r="N31" s="106"/>
      <c r="O31" s="106"/>
      <c r="P31" s="106"/>
      <c r="Q31" s="256"/>
      <c r="R31" s="216"/>
      <c r="S31" s="285"/>
      <c r="T31" s="257"/>
    </row>
    <row r="32" spans="3:25" ht="13.5" thickBot="1" x14ac:dyDescent="0.25">
      <c r="C32" s="22"/>
      <c r="D32" s="22"/>
      <c r="E32" s="22"/>
      <c r="F32" s="22"/>
      <c r="G32" s="22"/>
      <c r="H32" s="22"/>
      <c r="I32" s="182"/>
      <c r="J32" s="22"/>
      <c r="K32" s="22"/>
      <c r="L32" s="22"/>
      <c r="M32" s="22"/>
      <c r="N32" s="22"/>
      <c r="O32" s="22"/>
      <c r="P32" s="22"/>
      <c r="Q32" s="22"/>
      <c r="R32" s="305"/>
      <c r="S32" s="22"/>
      <c r="T32" s="22"/>
    </row>
    <row r="33" spans="3:22" x14ac:dyDescent="0.2">
      <c r="E33" s="794" t="s">
        <v>35</v>
      </c>
      <c r="F33" s="773">
        <f>+'CHAVEZ VARELA NESTOR ADRIAN'!F29</f>
        <v>45936</v>
      </c>
      <c r="G33" s="774"/>
      <c r="H33" s="20">
        <f>+F33+1</f>
        <v>45937</v>
      </c>
      <c r="I33" s="20">
        <f>+H33+1</f>
        <v>45938</v>
      </c>
      <c r="J33" s="20">
        <f>+I33+1</f>
        <v>45939</v>
      </c>
      <c r="K33" s="20">
        <f>+J33+1</f>
        <v>45940</v>
      </c>
      <c r="L33" s="20">
        <f>+K33+2</f>
        <v>45942</v>
      </c>
      <c r="M33" s="547"/>
      <c r="N33" s="21" t="s">
        <v>84</v>
      </c>
    </row>
    <row r="34" spans="3:22" ht="13.5" thickBot="1" x14ac:dyDescent="0.25">
      <c r="C34" s="22"/>
      <c r="E34" s="795"/>
      <c r="F34" s="775">
        <v>0</v>
      </c>
      <c r="G34" s="776"/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548"/>
      <c r="N34" s="43">
        <f>SUM(F34:L34)</f>
        <v>0</v>
      </c>
      <c r="S34" s="77"/>
    </row>
    <row r="35" spans="3:22" ht="13.5" thickBot="1" x14ac:dyDescent="0.25">
      <c r="I35" s="23"/>
    </row>
    <row r="36" spans="3:22" ht="15.75" thickBot="1" x14ac:dyDescent="0.3">
      <c r="C36" s="825" t="s">
        <v>37</v>
      </c>
      <c r="D36" s="826"/>
      <c r="E36" s="826"/>
      <c r="F36" s="826"/>
      <c r="G36" s="827"/>
      <c r="I36" s="838" t="s">
        <v>38</v>
      </c>
      <c r="J36" s="839"/>
      <c r="K36" s="839"/>
      <c r="L36" s="840"/>
      <c r="M36" s="331"/>
      <c r="O36" s="828" t="s">
        <v>39</v>
      </c>
      <c r="P36" s="829"/>
      <c r="Q36" s="830">
        <f>+F46-L44</f>
        <v>3841.7003912934688</v>
      </c>
      <c r="R36" s="831"/>
      <c r="S36" s="832"/>
    </row>
    <row r="37" spans="3:22" ht="13.5" thickBot="1" x14ac:dyDescent="0.25">
      <c r="C37" s="833" t="s">
        <v>207</v>
      </c>
      <c r="D37" s="834"/>
      <c r="E37" s="835"/>
      <c r="F37" s="836">
        <f>SUM(Q18:Q32)</f>
        <v>612.6</v>
      </c>
      <c r="G37" s="837"/>
      <c r="I37" s="417" t="s">
        <v>106</v>
      </c>
      <c r="J37" s="418" t="s">
        <v>107</v>
      </c>
      <c r="K37" s="418" t="s">
        <v>69</v>
      </c>
      <c r="L37" s="119" t="s">
        <v>108</v>
      </c>
      <c r="M37" s="563"/>
    </row>
    <row r="38" spans="3:22" ht="13.5" thickBot="1" x14ac:dyDescent="0.25">
      <c r="C38" s="843" t="s">
        <v>208</v>
      </c>
      <c r="D38" s="844"/>
      <c r="E38" s="845"/>
      <c r="F38" s="846">
        <f>SUM(T18:T32)</f>
        <v>2729.1003912934689</v>
      </c>
      <c r="G38" s="847"/>
      <c r="I38" s="851"/>
      <c r="J38" s="852"/>
      <c r="K38" s="871"/>
      <c r="L38" s="615"/>
      <c r="M38" s="563"/>
      <c r="O38" s="62" t="s">
        <v>258</v>
      </c>
      <c r="P38" s="63" t="s">
        <v>70</v>
      </c>
      <c r="Q38" s="64" t="s">
        <v>71</v>
      </c>
      <c r="R38" s="64"/>
      <c r="S38" s="65" t="s">
        <v>72</v>
      </c>
      <c r="T38" s="63" t="s">
        <v>73</v>
      </c>
      <c r="U38" s="154"/>
      <c r="V38" s="21"/>
    </row>
    <row r="39" spans="3:22" x14ac:dyDescent="0.2">
      <c r="C39" s="843" t="s">
        <v>35</v>
      </c>
      <c r="D39" s="844"/>
      <c r="E39" s="845"/>
      <c r="F39" s="846">
        <f>+N34</f>
        <v>0</v>
      </c>
      <c r="G39" s="847"/>
      <c r="I39" s="453"/>
      <c r="J39" s="620"/>
      <c r="K39" s="619"/>
      <c r="L39" s="614"/>
      <c r="M39" s="563"/>
      <c r="O39" s="99">
        <v>45957</v>
      </c>
      <c r="P39" s="100" t="s">
        <v>220</v>
      </c>
      <c r="Q39" s="187">
        <v>376984</v>
      </c>
      <c r="R39" s="187"/>
      <c r="S39" s="68">
        <v>379057</v>
      </c>
      <c r="T39" s="100">
        <f>+S39-Q39</f>
        <v>2073</v>
      </c>
      <c r="U39" s="155">
        <v>2042</v>
      </c>
      <c r="V39" s="156">
        <v>597.88300000000004</v>
      </c>
    </row>
    <row r="40" spans="3:22" x14ac:dyDescent="0.2">
      <c r="C40" s="843" t="s">
        <v>40</v>
      </c>
      <c r="D40" s="844"/>
      <c r="E40" s="845"/>
      <c r="F40" s="846"/>
      <c r="G40" s="847"/>
      <c r="I40" s="124"/>
      <c r="J40" s="235"/>
      <c r="K40" s="156"/>
      <c r="L40" s="614"/>
      <c r="M40" s="563"/>
      <c r="O40" s="66"/>
      <c r="P40" s="67"/>
      <c r="Q40" s="68"/>
      <c r="R40" s="68"/>
      <c r="S40" s="51"/>
      <c r="T40" s="67">
        <f t="shared" ref="T40" si="2">+S40-Q40</f>
        <v>0</v>
      </c>
      <c r="U40" s="459"/>
      <c r="V40" s="67"/>
    </row>
    <row r="41" spans="3:22" ht="13.5" thickBot="1" x14ac:dyDescent="0.25">
      <c r="C41" s="843" t="s">
        <v>41</v>
      </c>
      <c r="D41" s="844"/>
      <c r="E41" s="845"/>
      <c r="F41" s="846">
        <v>0</v>
      </c>
      <c r="G41" s="847"/>
      <c r="I41" s="124"/>
      <c r="J41" s="235"/>
      <c r="K41" s="156"/>
      <c r="L41" s="614"/>
      <c r="M41" s="563"/>
      <c r="O41" s="71"/>
      <c r="P41" s="72"/>
      <c r="Q41" s="73"/>
      <c r="R41" s="73"/>
      <c r="S41" s="41"/>
      <c r="T41" s="72">
        <f>+S41-Q41</f>
        <v>0</v>
      </c>
      <c r="U41" s="158"/>
      <c r="V41" s="159"/>
    </row>
    <row r="42" spans="3:22" ht="15" x14ac:dyDescent="0.25">
      <c r="C42" s="843" t="s">
        <v>42</v>
      </c>
      <c r="D42" s="844"/>
      <c r="E42" s="845"/>
      <c r="F42" s="846">
        <v>500</v>
      </c>
      <c r="G42" s="847"/>
      <c r="I42" s="124"/>
      <c r="J42" s="235"/>
      <c r="K42" s="156"/>
      <c r="L42" s="614"/>
      <c r="M42" s="563"/>
      <c r="O42" s="186"/>
      <c r="P42" s="186"/>
      <c r="Q42" s="186"/>
      <c r="R42" s="186"/>
      <c r="S42" s="186"/>
      <c r="T42" s="186"/>
      <c r="U42" s="26"/>
    </row>
    <row r="43" spans="3:22" ht="15.75" thickBot="1" x14ac:dyDescent="0.3">
      <c r="C43" s="97" t="s">
        <v>303</v>
      </c>
      <c r="D43" s="25"/>
      <c r="E43" s="25"/>
      <c r="F43" s="846"/>
      <c r="G43" s="847"/>
      <c r="I43" s="422"/>
      <c r="J43" s="59"/>
      <c r="K43" s="159"/>
      <c r="L43" s="614"/>
      <c r="M43" s="563"/>
      <c r="O43" s="186"/>
      <c r="P43" s="186"/>
      <c r="Q43" s="186"/>
      <c r="R43" s="186"/>
      <c r="S43" s="186"/>
      <c r="T43" s="186"/>
      <c r="U43" s="26"/>
    </row>
    <row r="44" spans="3:22" ht="15.75" thickBot="1" x14ac:dyDescent="0.3">
      <c r="C44" s="24" t="s">
        <v>301</v>
      </c>
      <c r="D44" s="25"/>
      <c r="E44" s="25"/>
      <c r="F44" s="846"/>
      <c r="G44" s="847"/>
      <c r="I44" s="860" t="s">
        <v>44</v>
      </c>
      <c r="J44" s="861"/>
      <c r="K44" s="862"/>
      <c r="L44" s="125">
        <f>SUM(L38:L43)</f>
        <v>0</v>
      </c>
      <c r="M44" s="130"/>
      <c r="S44" s="27"/>
      <c r="T44" s="27"/>
      <c r="U44" s="26"/>
    </row>
    <row r="45" spans="3:22" ht="15.75" thickBot="1" x14ac:dyDescent="0.3">
      <c r="C45" s="241" t="s">
        <v>300</v>
      </c>
      <c r="D45" s="242"/>
      <c r="E45" s="242"/>
      <c r="F45" s="841">
        <v>0</v>
      </c>
      <c r="G45" s="842"/>
      <c r="S45" s="27"/>
      <c r="T45" s="27"/>
      <c r="U45" s="26"/>
    </row>
    <row r="46" spans="3:22" ht="15.75" thickBot="1" x14ac:dyDescent="0.3">
      <c r="C46" s="792" t="s">
        <v>45</v>
      </c>
      <c r="D46" s="793"/>
      <c r="E46" s="813"/>
      <c r="F46" s="814">
        <f>SUM(F37:G45)</f>
        <v>3841.7003912934688</v>
      </c>
      <c r="G46" s="815"/>
      <c r="N46" s="19"/>
      <c r="P46" s="27"/>
      <c r="Q46" s="27"/>
      <c r="R46" s="27"/>
      <c r="S46" s="27"/>
      <c r="T46" s="26"/>
    </row>
    <row r="47" spans="3:22" ht="12" customHeight="1" thickBot="1" x14ac:dyDescent="0.3">
      <c r="P47" s="27"/>
      <c r="Q47" s="27"/>
      <c r="R47" s="27"/>
      <c r="S47" s="27"/>
      <c r="T47" s="26"/>
    </row>
    <row r="48" spans="3:22" ht="15" customHeight="1" x14ac:dyDescent="0.25">
      <c r="C48" s="28" t="s">
        <v>46</v>
      </c>
      <c r="D48" s="29"/>
      <c r="E48" s="819"/>
      <c r="F48" s="819"/>
      <c r="G48" s="819"/>
      <c r="H48" s="819"/>
      <c r="I48" s="819"/>
      <c r="J48" s="819"/>
      <c r="K48" s="819"/>
      <c r="L48" s="819"/>
      <c r="M48" s="819"/>
      <c r="N48" s="820"/>
      <c r="P48" s="817" t="s">
        <v>61</v>
      </c>
      <c r="Q48" s="818"/>
      <c r="R48" s="27"/>
      <c r="S48" s="27"/>
      <c r="T48" s="26"/>
    </row>
    <row r="49" spans="3:21" ht="15" x14ac:dyDescent="0.25">
      <c r="C49" s="31"/>
      <c r="E49" s="821"/>
      <c r="F49" s="821"/>
      <c r="G49" s="821"/>
      <c r="H49" s="821"/>
      <c r="I49" s="821"/>
      <c r="J49" s="821"/>
      <c r="K49" s="821"/>
      <c r="L49" s="821"/>
      <c r="M49" s="821"/>
      <c r="N49" s="822"/>
      <c r="P49" s="44">
        <v>1</v>
      </c>
      <c r="Q49" s="69" t="s">
        <v>62</v>
      </c>
      <c r="R49" s="27"/>
      <c r="S49" s="27"/>
      <c r="T49" s="26"/>
    </row>
    <row r="50" spans="3:21" ht="15.75" thickBot="1" x14ac:dyDescent="0.3">
      <c r="C50" s="33"/>
      <c r="D50" s="34"/>
      <c r="E50" s="823"/>
      <c r="F50" s="823"/>
      <c r="G50" s="823"/>
      <c r="H50" s="823"/>
      <c r="I50" s="823"/>
      <c r="J50" s="823"/>
      <c r="K50" s="823"/>
      <c r="L50" s="823"/>
      <c r="M50" s="823"/>
      <c r="N50" s="824"/>
      <c r="P50" s="44">
        <v>2</v>
      </c>
      <c r="Q50" s="69" t="s">
        <v>110</v>
      </c>
      <c r="R50" s="27"/>
      <c r="S50" s="27"/>
      <c r="T50" s="26"/>
    </row>
    <row r="51" spans="3:21" ht="15.75" thickBot="1" x14ac:dyDescent="0.3">
      <c r="P51" s="71">
        <v>3</v>
      </c>
      <c r="Q51" s="72" t="s">
        <v>109</v>
      </c>
      <c r="R51" s="27"/>
      <c r="S51" s="27"/>
      <c r="T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3.5" thickBot="1" x14ac:dyDescent="0.25">
      <c r="P53" s="27"/>
      <c r="Q53" s="27"/>
      <c r="R53" s="27"/>
      <c r="S53" s="27"/>
      <c r="T53" s="27"/>
    </row>
    <row r="54" spans="3:21" ht="13.5" thickTop="1" x14ac:dyDescent="0.2">
      <c r="D54" s="816" t="s">
        <v>47</v>
      </c>
      <c r="E54" s="816"/>
      <c r="F54" s="816"/>
      <c r="G54" s="816"/>
      <c r="H54" s="816"/>
      <c r="J54" s="816" t="s">
        <v>48</v>
      </c>
      <c r="K54" s="816"/>
      <c r="L54" s="816"/>
      <c r="M54" s="816"/>
      <c r="N54" s="816"/>
      <c r="P54" s="812"/>
      <c r="Q54" s="812"/>
      <c r="R54" s="812"/>
      <c r="S54" s="812"/>
      <c r="T54" s="812"/>
    </row>
    <row r="55" spans="3:21" x14ac:dyDescent="0.2">
      <c r="P55" s="812"/>
      <c r="Q55" s="812"/>
      <c r="R55" s="812"/>
      <c r="S55" s="812"/>
      <c r="T55" s="812"/>
    </row>
    <row r="56" spans="3:21" x14ac:dyDescent="0.2">
      <c r="P56" s="812"/>
      <c r="Q56" s="812"/>
      <c r="R56" s="812"/>
      <c r="S56" s="812"/>
      <c r="T56" s="812"/>
    </row>
    <row r="57" spans="3:21" x14ac:dyDescent="0.2">
      <c r="P57" s="812"/>
      <c r="Q57" s="812"/>
      <c r="R57" s="812"/>
      <c r="S57" s="812"/>
      <c r="T57" s="812"/>
    </row>
    <row r="58" spans="3:21" ht="15" customHeight="1" x14ac:dyDescent="0.2">
      <c r="P58" s="36"/>
      <c r="Q58" s="36"/>
      <c r="R58" s="36"/>
      <c r="S58" s="36"/>
      <c r="T58" s="36"/>
    </row>
  </sheetData>
  <mergeCells count="50">
    <mergeCell ref="I38:K38"/>
    <mergeCell ref="I44:K44"/>
    <mergeCell ref="F43:G43"/>
    <mergeCell ref="F40:G40"/>
    <mergeCell ref="C41:E41"/>
    <mergeCell ref="F41:G41"/>
    <mergeCell ref="F44:G44"/>
    <mergeCell ref="F45:G45"/>
    <mergeCell ref="C40:E40"/>
    <mergeCell ref="C42:E42"/>
    <mergeCell ref="F42:G42"/>
    <mergeCell ref="C36:G36"/>
    <mergeCell ref="C38:E38"/>
    <mergeCell ref="F38:G38"/>
    <mergeCell ref="C39:E39"/>
    <mergeCell ref="F39:G39"/>
    <mergeCell ref="O36:P36"/>
    <mergeCell ref="Q36:S36"/>
    <mergeCell ref="C37:E37"/>
    <mergeCell ref="F37:G37"/>
    <mergeCell ref="I36:L36"/>
    <mergeCell ref="P57:T57"/>
    <mergeCell ref="C46:E46"/>
    <mergeCell ref="F46:G46"/>
    <mergeCell ref="D54:H54"/>
    <mergeCell ref="J54:N54"/>
    <mergeCell ref="P54:T54"/>
    <mergeCell ref="P55:T55"/>
    <mergeCell ref="P56:T56"/>
    <mergeCell ref="P48:Q48"/>
    <mergeCell ref="E48:N50"/>
    <mergeCell ref="Q2:S2"/>
    <mergeCell ref="I3:O3"/>
    <mergeCell ref="Q3:S3"/>
    <mergeCell ref="I4:O4"/>
    <mergeCell ref="I5:O5"/>
    <mergeCell ref="Q5:S5"/>
    <mergeCell ref="Q4:S4"/>
    <mergeCell ref="F33:G33"/>
    <mergeCell ref="F34:G34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3:E34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6">
    <pageSetUpPr fitToPage="1"/>
  </sheetPr>
  <dimension ref="C1:Y56"/>
  <sheetViews>
    <sheetView topLeftCell="A7" zoomScaleNormal="100" workbookViewId="0">
      <selection activeCell="T28" sqref="T28"/>
    </sheetView>
  </sheetViews>
  <sheetFormatPr baseColWidth="10" defaultColWidth="9.140625" defaultRowHeight="12.75" x14ac:dyDescent="0.2"/>
  <cols>
    <col min="1" max="1" width="2.28515625" customWidth="1"/>
    <col min="2" max="2" width="3.570312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.28515625" bestFit="1" customWidth="1"/>
    <col min="8" max="8" width="12.42578125" customWidth="1"/>
    <col min="9" max="9" width="11.85546875" customWidth="1"/>
    <col min="10" max="10" width="9.85546875" bestFit="1" customWidth="1"/>
    <col min="11" max="11" width="10" customWidth="1"/>
    <col min="12" max="13" width="12.28515625" customWidth="1"/>
    <col min="14" max="14" width="8.42578125" customWidth="1"/>
    <col min="15" max="15" width="10.7109375" customWidth="1"/>
    <col min="16" max="16" width="15" customWidth="1"/>
    <col min="17" max="17" width="12.140625" bestFit="1" customWidth="1"/>
    <col min="18" max="19" width="9.85546875" customWidth="1"/>
    <col min="20" max="20" width="12.140625" bestFit="1" customWidth="1"/>
    <col min="21" max="21" width="11.28515625" customWidth="1"/>
    <col min="22" max="22" width="7" customWidth="1"/>
    <col min="23" max="23" width="13.7109375" customWidth="1"/>
    <col min="24" max="24" width="8.42578125" customWidth="1"/>
    <col min="25" max="25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6" t="s">
        <v>0</v>
      </c>
      <c r="R2" s="797"/>
      <c r="S2" s="798"/>
    </row>
    <row r="3" spans="4:19" ht="19.5" thickBot="1" x14ac:dyDescent="0.35">
      <c r="I3" s="799" t="s">
        <v>1</v>
      </c>
      <c r="J3" s="800"/>
      <c r="K3" s="800"/>
      <c r="L3" s="800"/>
      <c r="M3" s="800"/>
      <c r="N3" s="800"/>
      <c r="O3" s="801"/>
      <c r="Q3" s="802">
        <f>+'GRIJALVA VALDEZ CESAR EUSEBIO'!Q3:S3</f>
        <v>42</v>
      </c>
      <c r="R3" s="803"/>
      <c r="S3" s="804"/>
    </row>
    <row r="4" spans="4:19" ht="16.5" thickBot="1" x14ac:dyDescent="0.3">
      <c r="I4" s="805" t="s">
        <v>2</v>
      </c>
      <c r="J4" s="806"/>
      <c r="K4" s="806"/>
      <c r="L4" s="806"/>
      <c r="M4" s="806"/>
      <c r="N4" s="806"/>
      <c r="O4" s="807"/>
      <c r="Q4" s="811"/>
      <c r="R4" s="811"/>
      <c r="S4" s="811"/>
    </row>
    <row r="5" spans="4:19" ht="13.5" thickBot="1" x14ac:dyDescent="0.25">
      <c r="I5" s="808" t="s">
        <v>3</v>
      </c>
      <c r="J5" s="809"/>
      <c r="K5" s="809"/>
      <c r="L5" s="809"/>
      <c r="M5" s="809"/>
      <c r="N5" s="809"/>
      <c r="O5" s="810"/>
      <c r="Q5" s="783" t="s">
        <v>4</v>
      </c>
      <c r="R5" s="784"/>
      <c r="S5" s="785"/>
    </row>
    <row r="6" spans="4:19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780">
        <f>+'HERNANDEZ CONTRERAS JOSE FERNAN'!Q6+1</f>
        <v>8</v>
      </c>
      <c r="R6" s="781"/>
      <c r="S6" s="782"/>
    </row>
    <row r="7" spans="4:19" ht="9" customHeight="1" x14ac:dyDescent="0.2"/>
    <row r="8" spans="4:19" ht="6.75" customHeight="1" thickBot="1" x14ac:dyDescent="0.25"/>
    <row r="9" spans="4:19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19" ht="11.25" customHeight="1" thickBot="1" x14ac:dyDescent="0.25"/>
    <row r="11" spans="4:19" x14ac:dyDescent="0.2">
      <c r="D11" s="1" t="s">
        <v>7</v>
      </c>
      <c r="E11" s="2" t="s">
        <v>214</v>
      </c>
      <c r="F11" s="2"/>
      <c r="G11" s="2"/>
      <c r="H11" s="2"/>
      <c r="I11" s="2"/>
      <c r="J11" s="3"/>
      <c r="K11" s="4" t="s">
        <v>9</v>
      </c>
      <c r="L11" s="786" t="str">
        <f>+NOMINA!B3</f>
        <v>SEMANA #42 PERIODO DEL 06 AL 12 DE OCTUBRE  DEL 2025</v>
      </c>
      <c r="M11" s="786"/>
      <c r="N11" s="786"/>
      <c r="O11" s="786"/>
      <c r="P11" s="786"/>
      <c r="Q11" s="786"/>
      <c r="R11" s="786"/>
      <c r="S11" s="787"/>
    </row>
    <row r="12" spans="4:19" x14ac:dyDescent="0.2">
      <c r="D12" s="5" t="s">
        <v>10</v>
      </c>
      <c r="E12" s="788" t="s">
        <v>311</v>
      </c>
      <c r="F12" s="78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90" t="s">
        <v>11</v>
      </c>
      <c r="E14" s="791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90" t="s">
        <v>14</v>
      </c>
      <c r="E15" s="791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92" t="s">
        <v>17</v>
      </c>
      <c r="E16" s="793"/>
      <c r="F16" s="12">
        <f>SUM(J19:J29)</f>
        <v>0</v>
      </c>
      <c r="G16" s="12"/>
      <c r="H16" s="12"/>
      <c r="I16" s="13" t="s">
        <v>18</v>
      </c>
      <c r="J16" s="12">
        <f>SUM(K19:K29)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4" ht="7.5" customHeight="1" thickBot="1" x14ac:dyDescent="0.25"/>
    <row r="18" spans="3:24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283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4" x14ac:dyDescent="0.2">
      <c r="C19" s="453"/>
      <c r="D19" s="60"/>
      <c r="E19" s="18"/>
      <c r="F19" s="18"/>
      <c r="G19" s="60"/>
      <c r="H19" s="483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17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484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17"/>
      <c r="L19" s="485"/>
      <c r="M19" s="485"/>
      <c r="N19" s="17"/>
      <c r="O19" s="17"/>
      <c r="P19" s="17"/>
      <c r="Q19" s="486">
        <f t="shared" ref="Q19" si="0">(IF(N19=1,(J19*0.3)))+(IF(N19=2,(J19*0.15))+(IF(N19=3,(J19*0.15))))</f>
        <v>0</v>
      </c>
      <c r="R19" s="487"/>
      <c r="S19" s="488"/>
      <c r="T19" s="489"/>
      <c r="V19" s="552"/>
      <c r="W19" s="553" t="s">
        <v>29</v>
      </c>
      <c r="X19" s="554" t="s">
        <v>245</v>
      </c>
    </row>
    <row r="20" spans="3:24" ht="13.5" thickBot="1" x14ac:dyDescent="0.25">
      <c r="C20" s="446"/>
      <c r="D20" s="418"/>
      <c r="E20" s="447"/>
      <c r="F20" s="447"/>
      <c r="G20" s="418"/>
      <c r="H20" s="512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448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482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449"/>
      <c r="L20" s="613" t="e">
        <f>SUM(J19:J20)/K20</f>
        <v>#DIV/0!</v>
      </c>
      <c r="M20" s="448"/>
      <c r="N20" s="448"/>
      <c r="O20" s="448"/>
      <c r="P20" s="17"/>
      <c r="Q20" s="450">
        <f>(IF(N20=1,(J20*0.3)))+(IF(N20=2,(J20*0.15))+(IF(N20=3,(J20*0.15))))</f>
        <v>0</v>
      </c>
      <c r="R20" s="451" t="e">
        <f>+LOOKUP(P37,UNIDADES!B$3:B$73,UNIDADES!C$3:C$73)</f>
        <v>#N/A</v>
      </c>
      <c r="S20" s="513" t="e">
        <f>((SUM(J19:J20)/R20))-K20</f>
        <v>#N/A</v>
      </c>
      <c r="T20" s="452">
        <f>(IF(M20=1,(S20*16)))+(IF(M20=2,(S20*17.26))+(IF(M20=3,(S20*17.66))+(IF(M20=4,(S20*18.06))+(IF(M20=5,(S20*18.46))+(IF(M20=6,(S20*18.86))+(IF(M20=7,(S20*19.26))))))))</f>
        <v>0</v>
      </c>
      <c r="V20" s="555">
        <v>1</v>
      </c>
      <c r="W20" s="551">
        <v>2.9</v>
      </c>
      <c r="X20" s="556">
        <v>16</v>
      </c>
    </row>
    <row r="21" spans="3:24" x14ac:dyDescent="0.2">
      <c r="C21" s="429"/>
      <c r="D21" s="426"/>
      <c r="E21" s="430"/>
      <c r="F21" s="430"/>
      <c r="G21" s="426"/>
      <c r="H21" s="444"/>
      <c r="I21" s="38"/>
      <c r="J21" s="445"/>
      <c r="K21" s="38"/>
      <c r="L21" s="431"/>
      <c r="M21" s="431"/>
      <c r="N21" s="38"/>
      <c r="O21" s="38"/>
      <c r="P21" s="38"/>
      <c r="Q21" s="432"/>
      <c r="R21" s="433"/>
      <c r="S21" s="434"/>
      <c r="T21" s="435"/>
      <c r="V21" s="555">
        <v>2</v>
      </c>
      <c r="W21" s="551">
        <v>3</v>
      </c>
      <c r="X21" s="556">
        <v>17.260000000000002</v>
      </c>
    </row>
    <row r="22" spans="3:24" ht="13.5" thickBot="1" x14ac:dyDescent="0.25">
      <c r="C22" s="436"/>
      <c r="D22" s="59"/>
      <c r="E22" s="437"/>
      <c r="F22" s="437"/>
      <c r="G22" s="59"/>
      <c r="H22" s="469"/>
      <c r="I22" s="41"/>
      <c r="J22" s="438"/>
      <c r="K22" s="41"/>
      <c r="L22" s="523"/>
      <c r="M22" s="439"/>
      <c r="N22" s="41"/>
      <c r="O22" s="41"/>
      <c r="P22" s="41"/>
      <c r="Q22" s="42"/>
      <c r="R22" s="440"/>
      <c r="S22" s="441"/>
      <c r="T22" s="43"/>
      <c r="V22" s="555">
        <v>3</v>
      </c>
      <c r="W22" s="551">
        <v>3.1</v>
      </c>
      <c r="X22" s="556">
        <v>17.66</v>
      </c>
    </row>
    <row r="23" spans="3:24" s="19" customFormat="1" ht="12" x14ac:dyDescent="0.2">
      <c r="C23" s="462"/>
      <c r="D23" s="49"/>
      <c r="E23" s="50"/>
      <c r="F23" s="50"/>
      <c r="G23" s="49"/>
      <c r="H23" s="463"/>
      <c r="I23" s="51"/>
      <c r="J23" s="464"/>
      <c r="K23" s="465"/>
      <c r="L23" s="465"/>
      <c r="M23" s="465"/>
      <c r="N23" s="51"/>
      <c r="O23" s="51"/>
      <c r="P23" s="51"/>
      <c r="Q23" s="466"/>
      <c r="R23" s="467"/>
      <c r="S23" s="492"/>
      <c r="T23" s="473"/>
      <c r="V23" s="564">
        <v>4</v>
      </c>
      <c r="W23" s="565">
        <v>3.2</v>
      </c>
      <c r="X23" s="566">
        <v>18.059999999999999</v>
      </c>
    </row>
    <row r="24" spans="3:24" x14ac:dyDescent="0.2">
      <c r="C24" s="39"/>
      <c r="D24" s="299"/>
      <c r="E24" s="300"/>
      <c r="F24" s="300"/>
      <c r="G24" s="299"/>
      <c r="H24" s="278"/>
      <c r="I24" s="113"/>
      <c r="J24" s="114"/>
      <c r="K24" s="301"/>
      <c r="L24" s="301"/>
      <c r="M24" s="301"/>
      <c r="N24" s="113"/>
      <c r="O24" s="113"/>
      <c r="P24" s="113"/>
      <c r="Q24" s="302"/>
      <c r="R24" s="251"/>
      <c r="S24" s="310"/>
      <c r="T24" s="304"/>
      <c r="V24" s="555">
        <v>5</v>
      </c>
      <c r="W24" s="551">
        <v>3.3</v>
      </c>
      <c r="X24" s="556">
        <v>18.46</v>
      </c>
    </row>
    <row r="25" spans="3:24" ht="13.5" thickBot="1" x14ac:dyDescent="0.25">
      <c r="C25" s="40"/>
      <c r="D25" s="283"/>
      <c r="E25" s="284"/>
      <c r="F25" s="284"/>
      <c r="G25" s="283"/>
      <c r="H25" s="115"/>
      <c r="I25" s="106"/>
      <c r="J25" s="107"/>
      <c r="K25" s="255"/>
      <c r="L25" s="255"/>
      <c r="M25" s="255"/>
      <c r="N25" s="106"/>
      <c r="O25" s="106"/>
      <c r="P25" s="106"/>
      <c r="Q25" s="256"/>
      <c r="R25" s="216"/>
      <c r="S25" s="312"/>
      <c r="T25" s="257"/>
      <c r="U25" s="77"/>
      <c r="V25" s="555">
        <v>6</v>
      </c>
      <c r="W25" s="551">
        <v>3.4</v>
      </c>
      <c r="X25" s="556">
        <v>18.86</v>
      </c>
    </row>
    <row r="26" spans="3:24" ht="13.5" thickBot="1" x14ac:dyDescent="0.25">
      <c r="C26" s="535"/>
      <c r="D26" s="293"/>
      <c r="E26" s="294"/>
      <c r="F26" s="294"/>
      <c r="G26" s="293"/>
      <c r="H26" s="197"/>
      <c r="I26" s="180"/>
      <c r="J26" s="181"/>
      <c r="K26" s="295"/>
      <c r="L26" s="295"/>
      <c r="M26" s="295"/>
      <c r="N26" s="180"/>
      <c r="O26" s="180"/>
      <c r="P26" s="180"/>
      <c r="Q26" s="296"/>
      <c r="R26" s="297"/>
      <c r="S26" s="308"/>
      <c r="T26" s="296"/>
      <c r="V26" s="557">
        <v>7</v>
      </c>
      <c r="W26" s="558">
        <v>3.5</v>
      </c>
      <c r="X26" s="559">
        <v>19.260000000000002</v>
      </c>
    </row>
    <row r="27" spans="3:24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4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304"/>
    </row>
    <row r="29" spans="3:24" ht="13.5" thickBot="1" x14ac:dyDescent="0.25">
      <c r="C29" s="40"/>
      <c r="D29" s="283"/>
      <c r="E29" s="284"/>
      <c r="F29" s="284"/>
      <c r="G29" s="283"/>
      <c r="H29" s="115"/>
      <c r="I29" s="106"/>
      <c r="J29" s="107"/>
      <c r="K29" s="106"/>
      <c r="L29" s="255"/>
      <c r="M29" s="255"/>
      <c r="N29" s="106"/>
      <c r="O29" s="106"/>
      <c r="P29" s="106"/>
      <c r="Q29" s="256"/>
      <c r="R29" s="216"/>
      <c r="S29" s="312"/>
      <c r="T29" s="257"/>
    </row>
    <row r="30" spans="3:24" ht="13.5" thickBot="1" x14ac:dyDescent="0.25">
      <c r="C30" s="22"/>
      <c r="D30" s="22"/>
      <c r="E30" s="22"/>
      <c r="F30" s="22"/>
      <c r="G30" s="22"/>
      <c r="H30" s="22"/>
      <c r="I30" s="182"/>
      <c r="J30" s="22"/>
      <c r="K30" s="636"/>
      <c r="L30" s="636"/>
      <c r="M30" s="22"/>
      <c r="N30" s="22"/>
      <c r="O30" s="22"/>
      <c r="P30" s="22"/>
      <c r="Q30" s="22"/>
      <c r="R30" s="305"/>
      <c r="S30" s="22"/>
      <c r="T30" s="22"/>
    </row>
    <row r="31" spans="3:24" x14ac:dyDescent="0.2">
      <c r="E31" s="794" t="s">
        <v>35</v>
      </c>
      <c r="F31" s="773">
        <f>+'GONZALEZ LOZANO ENRIQUE '!F32</f>
        <v>45936</v>
      </c>
      <c r="G31" s="774"/>
      <c r="H31" s="20">
        <f>+F31+1</f>
        <v>45937</v>
      </c>
      <c r="I31" s="20">
        <f>+H31+1</f>
        <v>45938</v>
      </c>
      <c r="J31" s="20">
        <f>+I31+1</f>
        <v>45939</v>
      </c>
      <c r="K31" s="20">
        <f>+J31+1</f>
        <v>45940</v>
      </c>
      <c r="L31" s="20">
        <f>+K31+2</f>
        <v>45942</v>
      </c>
      <c r="M31" s="547"/>
      <c r="N31" s="21" t="s">
        <v>84</v>
      </c>
    </row>
    <row r="32" spans="3:24" ht="13.5" thickBot="1" x14ac:dyDescent="0.25">
      <c r="C32" s="22"/>
      <c r="E32" s="795"/>
      <c r="F32" s="775">
        <v>0</v>
      </c>
      <c r="G32" s="776"/>
      <c r="H32" s="42">
        <v>0</v>
      </c>
      <c r="I32" s="42"/>
      <c r="J32" s="42">
        <v>0</v>
      </c>
      <c r="K32" s="42">
        <v>0</v>
      </c>
      <c r="L32" s="42"/>
      <c r="M32" s="548"/>
      <c r="N32" s="61">
        <f>SUM(F32:L32)</f>
        <v>0</v>
      </c>
      <c r="S32" s="77"/>
      <c r="U32" s="77"/>
    </row>
    <row r="33" spans="3:25" ht="13.5" thickBot="1" x14ac:dyDescent="0.25">
      <c r="I33" s="23"/>
    </row>
    <row r="34" spans="3:25" ht="15.75" thickBot="1" x14ac:dyDescent="0.3">
      <c r="C34" s="825" t="s">
        <v>37</v>
      </c>
      <c r="D34" s="826"/>
      <c r="E34" s="826"/>
      <c r="F34" s="826"/>
      <c r="G34" s="827"/>
      <c r="I34" s="838" t="s">
        <v>38</v>
      </c>
      <c r="J34" s="839"/>
      <c r="K34" s="839"/>
      <c r="L34" s="840"/>
      <c r="M34" s="331"/>
      <c r="O34" s="828" t="s">
        <v>39</v>
      </c>
      <c r="P34" s="829"/>
      <c r="Q34" s="830">
        <f>+F44-L42</f>
        <v>0</v>
      </c>
      <c r="R34" s="831"/>
      <c r="S34" s="832"/>
      <c r="U34" s="77"/>
      <c r="W34" s="77"/>
      <c r="Y34" s="77"/>
    </row>
    <row r="35" spans="3:25" ht="13.5" thickBot="1" x14ac:dyDescent="0.25">
      <c r="C35" s="833" t="s">
        <v>207</v>
      </c>
      <c r="D35" s="834"/>
      <c r="E35" s="835"/>
      <c r="F35" s="836">
        <f>SUM(Q18:Q30)</f>
        <v>0</v>
      </c>
      <c r="G35" s="837"/>
      <c r="I35" s="121" t="s">
        <v>106</v>
      </c>
      <c r="J35" s="59" t="s">
        <v>107</v>
      </c>
      <c r="K35" s="59" t="s">
        <v>69</v>
      </c>
      <c r="L35" s="119" t="s">
        <v>108</v>
      </c>
      <c r="M35" s="563"/>
    </row>
    <row r="36" spans="3:25" ht="13.5" thickBot="1" x14ac:dyDescent="0.25">
      <c r="C36" s="843" t="s">
        <v>208</v>
      </c>
      <c r="D36" s="844"/>
      <c r="E36" s="845"/>
      <c r="F36" s="846">
        <f>SUM(T18:T30)</f>
        <v>0</v>
      </c>
      <c r="G36" s="847"/>
      <c r="I36" s="122"/>
      <c r="J36" s="123"/>
      <c r="K36" s="49"/>
      <c r="L36" s="120"/>
      <c r="M36" s="563"/>
      <c r="O36" s="62" t="s">
        <v>256</v>
      </c>
      <c r="P36" s="63" t="s">
        <v>70</v>
      </c>
      <c r="Q36" s="64" t="s">
        <v>71</v>
      </c>
      <c r="R36" s="64"/>
      <c r="S36" s="65" t="s">
        <v>72</v>
      </c>
      <c r="T36" s="63" t="s">
        <v>73</v>
      </c>
      <c r="U36" s="154" t="s">
        <v>243</v>
      </c>
      <c r="V36" s="21" t="s">
        <v>114</v>
      </c>
    </row>
    <row r="37" spans="3:25" x14ac:dyDescent="0.2">
      <c r="C37" s="843" t="s">
        <v>35</v>
      </c>
      <c r="D37" s="844"/>
      <c r="E37" s="845"/>
      <c r="F37" s="846">
        <f>+N32</f>
        <v>0</v>
      </c>
      <c r="G37" s="847"/>
      <c r="I37" s="124"/>
      <c r="J37" s="235"/>
      <c r="K37" s="60"/>
      <c r="L37" s="118"/>
      <c r="M37" s="563"/>
      <c r="O37" s="66"/>
      <c r="P37" s="67"/>
      <c r="Q37" s="68"/>
      <c r="R37" s="68"/>
      <c r="S37" s="68"/>
      <c r="T37" s="67">
        <f>+S37-Q37</f>
        <v>0</v>
      </c>
      <c r="U37" s="155"/>
      <c r="V37" s="156"/>
    </row>
    <row r="38" spans="3:25" x14ac:dyDescent="0.2">
      <c r="C38" s="843" t="s">
        <v>40</v>
      </c>
      <c r="D38" s="844"/>
      <c r="E38" s="845"/>
      <c r="F38" s="846"/>
      <c r="G38" s="847"/>
      <c r="I38" s="124"/>
      <c r="J38" s="235"/>
      <c r="K38" s="60"/>
      <c r="L38" s="118"/>
      <c r="M38" s="563"/>
      <c r="O38" s="44"/>
      <c r="P38" s="69"/>
      <c r="Q38" s="70"/>
      <c r="R38" s="70"/>
      <c r="S38" s="17"/>
      <c r="T38" s="69">
        <f>+S38-Q38</f>
        <v>0</v>
      </c>
      <c r="U38" s="157"/>
      <c r="V38" s="156"/>
    </row>
    <row r="39" spans="3:25" ht="13.5" thickBot="1" x14ac:dyDescent="0.25">
      <c r="C39" s="843" t="s">
        <v>41</v>
      </c>
      <c r="D39" s="844"/>
      <c r="E39" s="845"/>
      <c r="F39" s="846"/>
      <c r="G39" s="847"/>
      <c r="I39" s="124"/>
      <c r="J39" s="60"/>
      <c r="K39" s="60"/>
      <c r="L39" s="118"/>
      <c r="M39" s="563"/>
      <c r="O39" s="71"/>
      <c r="P39" s="72"/>
      <c r="Q39" s="73"/>
      <c r="R39" s="73"/>
      <c r="S39" s="41"/>
      <c r="T39" s="72">
        <f>+S39-Q39</f>
        <v>0</v>
      </c>
      <c r="U39" s="158"/>
      <c r="V39" s="159"/>
    </row>
    <row r="40" spans="3:25" ht="15" x14ac:dyDescent="0.25">
      <c r="C40" s="843" t="s">
        <v>42</v>
      </c>
      <c r="D40" s="844"/>
      <c r="E40" s="845"/>
      <c r="F40" s="846"/>
      <c r="G40" s="847"/>
      <c r="I40" s="124"/>
      <c r="J40" s="60"/>
      <c r="K40" s="60"/>
      <c r="L40" s="118"/>
      <c r="M40" s="563"/>
      <c r="P40" s="27"/>
      <c r="Q40" s="27"/>
      <c r="R40" s="27"/>
      <c r="S40" s="27"/>
      <c r="T40" s="27"/>
      <c r="U40" s="26"/>
    </row>
    <row r="41" spans="3:25" ht="15.75" thickBot="1" x14ac:dyDescent="0.3">
      <c r="C41" s="24" t="s">
        <v>281</v>
      </c>
      <c r="D41" s="25"/>
      <c r="E41" s="25"/>
      <c r="F41" s="846"/>
      <c r="G41" s="847"/>
      <c r="I41" s="124"/>
      <c r="J41" s="60"/>
      <c r="K41" s="60"/>
      <c r="L41" s="118"/>
      <c r="M41" s="563"/>
      <c r="T41" s="27"/>
      <c r="U41" s="26"/>
    </row>
    <row r="42" spans="3:25" ht="15.75" thickBot="1" x14ac:dyDescent="0.3">
      <c r="C42" s="24" t="s">
        <v>298</v>
      </c>
      <c r="D42" s="25"/>
      <c r="E42" s="25"/>
      <c r="F42" s="846"/>
      <c r="G42" s="847"/>
      <c r="I42" s="848" t="s">
        <v>44</v>
      </c>
      <c r="J42" s="849"/>
      <c r="K42" s="850"/>
      <c r="L42" s="125">
        <f>SUM(L36:L41)</f>
        <v>0</v>
      </c>
      <c r="M42" s="130"/>
      <c r="T42" s="27"/>
      <c r="U42" s="26"/>
    </row>
    <row r="43" spans="3:25" ht="15.75" thickBot="1" x14ac:dyDescent="0.3">
      <c r="C43" s="561" t="s">
        <v>286</v>
      </c>
      <c r="D43" s="242"/>
      <c r="E43" s="242"/>
      <c r="F43" s="841"/>
      <c r="G43" s="842"/>
      <c r="T43" s="27"/>
      <c r="U43" s="26"/>
    </row>
    <row r="44" spans="3:25" ht="15.75" thickBot="1" x14ac:dyDescent="0.3">
      <c r="C44" s="792" t="s">
        <v>45</v>
      </c>
      <c r="D44" s="793"/>
      <c r="E44" s="813"/>
      <c r="F44" s="814">
        <f>SUM(F35:G43)</f>
        <v>0</v>
      </c>
      <c r="G44" s="815"/>
      <c r="I44" s="27"/>
      <c r="J44" s="27"/>
      <c r="K44" s="27"/>
      <c r="L44" s="130"/>
      <c r="M44" s="130"/>
      <c r="N44" s="19"/>
      <c r="P44" s="817" t="s">
        <v>61</v>
      </c>
      <c r="Q44" s="818"/>
      <c r="R44" s="27"/>
      <c r="S44" s="26"/>
    </row>
    <row r="45" spans="3:25" ht="12" customHeight="1" thickBot="1" x14ac:dyDescent="0.3">
      <c r="P45" s="44">
        <v>1</v>
      </c>
      <c r="Q45" s="69" t="s">
        <v>62</v>
      </c>
      <c r="R45" s="27"/>
      <c r="S45" s="26"/>
    </row>
    <row r="46" spans="3:25" ht="15" x14ac:dyDescent="0.25">
      <c r="C46" s="28" t="s">
        <v>46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30"/>
      <c r="P46" s="44">
        <v>2</v>
      </c>
      <c r="Q46" s="69" t="s">
        <v>110</v>
      </c>
      <c r="R46" s="27"/>
      <c r="S46" s="26"/>
    </row>
    <row r="47" spans="3:25" ht="15.75" thickBot="1" x14ac:dyDescent="0.3">
      <c r="C47" s="31"/>
      <c r="N47" s="32"/>
      <c r="P47" s="71">
        <v>3</v>
      </c>
      <c r="Q47" s="72" t="s">
        <v>109</v>
      </c>
      <c r="R47" s="27"/>
      <c r="S47" s="26"/>
    </row>
    <row r="48" spans="3:25" ht="15.75" thickBot="1" x14ac:dyDescent="0.3">
      <c r="C48" s="33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5"/>
      <c r="P48" s="27"/>
      <c r="Q48" s="27"/>
      <c r="R48" s="27"/>
      <c r="S48" s="27"/>
      <c r="T48" s="27"/>
      <c r="U48" s="26"/>
    </row>
    <row r="49" spans="4:21" ht="15" x14ac:dyDescent="0.25">
      <c r="P49" s="27"/>
      <c r="Q49" s="27"/>
      <c r="R49" s="27"/>
      <c r="S49" s="27"/>
      <c r="T49" s="37"/>
      <c r="U49" s="26"/>
    </row>
    <row r="50" spans="4:21" ht="15" x14ac:dyDescent="0.25">
      <c r="P50" s="27"/>
      <c r="Q50" s="27"/>
      <c r="R50" s="27"/>
      <c r="S50" s="27"/>
      <c r="T50" s="37"/>
      <c r="U50" s="26"/>
    </row>
    <row r="51" spans="4:21" ht="13.5" thickBot="1" x14ac:dyDescent="0.25">
      <c r="P51" s="27"/>
      <c r="Q51" s="27"/>
      <c r="R51" s="27"/>
      <c r="S51" s="27"/>
      <c r="T51" s="37"/>
    </row>
    <row r="52" spans="4:21" ht="13.5" thickTop="1" x14ac:dyDescent="0.2">
      <c r="D52" s="816" t="s">
        <v>47</v>
      </c>
      <c r="E52" s="816"/>
      <c r="F52" s="816"/>
      <c r="G52" s="816"/>
      <c r="H52" s="816"/>
      <c r="J52" s="816" t="s">
        <v>48</v>
      </c>
      <c r="K52" s="816"/>
      <c r="L52" s="816"/>
      <c r="M52" s="816"/>
      <c r="N52" s="816"/>
      <c r="P52" s="37"/>
      <c r="Q52" s="37"/>
      <c r="R52" s="37"/>
      <c r="S52" s="37"/>
      <c r="T52" s="37"/>
    </row>
    <row r="53" spans="4:21" x14ac:dyDescent="0.2">
      <c r="P53" s="37"/>
      <c r="Q53" s="37"/>
      <c r="R53" s="37"/>
      <c r="S53" s="37"/>
      <c r="T53" s="36"/>
    </row>
    <row r="54" spans="4:21" x14ac:dyDescent="0.2">
      <c r="P54" s="37"/>
      <c r="Q54" s="37"/>
      <c r="R54" s="37"/>
      <c r="S54" s="37"/>
    </row>
    <row r="55" spans="4:21" x14ac:dyDescent="0.2">
      <c r="P55" s="37"/>
      <c r="Q55" s="37"/>
      <c r="R55" s="37"/>
      <c r="S55" s="37"/>
    </row>
    <row r="56" spans="4:21" ht="15" customHeight="1" x14ac:dyDescent="0.2">
      <c r="P56" s="36"/>
      <c r="Q56" s="36"/>
      <c r="R56" s="36"/>
      <c r="S56" s="36"/>
    </row>
  </sheetData>
  <mergeCells count="44">
    <mergeCell ref="I42:K42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  <mergeCell ref="D16:E16"/>
    <mergeCell ref="E31:E32"/>
    <mergeCell ref="F31:G31"/>
    <mergeCell ref="F32:G32"/>
    <mergeCell ref="C34:G34"/>
    <mergeCell ref="O34:P34"/>
    <mergeCell ref="Q34:S34"/>
    <mergeCell ref="C35:E35"/>
    <mergeCell ref="F35:G35"/>
    <mergeCell ref="I34:L34"/>
    <mergeCell ref="F42:G42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F41:G41"/>
    <mergeCell ref="F43:G43"/>
    <mergeCell ref="C44:E44"/>
    <mergeCell ref="F44:G44"/>
    <mergeCell ref="P44:Q44"/>
    <mergeCell ref="D52:H52"/>
    <mergeCell ref="J52:N52"/>
  </mergeCells>
  <pageMargins left="0" right="0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23">
    <pageSetUpPr fitToPage="1"/>
  </sheetPr>
  <dimension ref="C1:Y60"/>
  <sheetViews>
    <sheetView topLeftCell="A6" zoomScaleNormal="100" workbookViewId="0">
      <selection activeCell="M43" sqref="M43"/>
    </sheetView>
  </sheetViews>
  <sheetFormatPr baseColWidth="10" defaultColWidth="9.140625" defaultRowHeight="12.75" x14ac:dyDescent="0.2"/>
  <cols>
    <col min="1" max="1" width="3.140625" customWidth="1"/>
    <col min="2" max="2" width="3.8554687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2.85546875" customWidth="1"/>
    <col min="9" max="9" width="20" bestFit="1" customWidth="1"/>
    <col min="10" max="10" width="10" customWidth="1"/>
    <col min="11" max="11" width="9.7109375" customWidth="1"/>
    <col min="12" max="13" width="12.5703125" customWidth="1"/>
    <col min="14" max="14" width="8.5703125" customWidth="1"/>
    <col min="15" max="15" width="10.42578125" customWidth="1"/>
    <col min="16" max="16" width="9.140625" customWidth="1"/>
    <col min="17" max="17" width="12.140625" customWidth="1"/>
    <col min="18" max="18" width="10" hidden="1" customWidth="1"/>
    <col min="19" max="19" width="11" bestFit="1" customWidth="1"/>
    <col min="20" max="20" width="11.7109375" bestFit="1" customWidth="1"/>
    <col min="21" max="21" width="7.85546875" hidden="1" customWidth="1"/>
    <col min="22" max="22" width="10.5703125" hidden="1" customWidth="1"/>
    <col min="23" max="25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6" t="s">
        <v>0</v>
      </c>
      <c r="R2" s="797"/>
      <c r="S2" s="798"/>
    </row>
    <row r="3" spans="4:19" ht="19.5" thickBot="1" x14ac:dyDescent="0.35">
      <c r="I3" s="799" t="s">
        <v>1</v>
      </c>
      <c r="J3" s="800"/>
      <c r="K3" s="800"/>
      <c r="L3" s="800"/>
      <c r="M3" s="800"/>
      <c r="N3" s="800"/>
      <c r="O3" s="801"/>
      <c r="Q3" s="802">
        <f>+'CERDA HERNANDEZ JOSE LUIS'!Q3</f>
        <v>42</v>
      </c>
      <c r="R3" s="803"/>
      <c r="S3" s="804"/>
    </row>
    <row r="4" spans="4:19" ht="16.5" thickBot="1" x14ac:dyDescent="0.3">
      <c r="I4" s="805" t="s">
        <v>2</v>
      </c>
      <c r="J4" s="806"/>
      <c r="K4" s="806"/>
      <c r="L4" s="806"/>
      <c r="M4" s="806"/>
      <c r="N4" s="806"/>
      <c r="O4" s="807"/>
      <c r="Q4" s="811"/>
      <c r="R4" s="811"/>
      <c r="S4" s="811"/>
    </row>
    <row r="5" spans="4:19" ht="13.5" thickBot="1" x14ac:dyDescent="0.25">
      <c r="I5" s="808" t="s">
        <v>3</v>
      </c>
      <c r="J5" s="809"/>
      <c r="K5" s="809"/>
      <c r="L5" s="809"/>
      <c r="M5" s="809"/>
      <c r="N5" s="809"/>
      <c r="O5" s="810"/>
      <c r="Q5" s="783" t="s">
        <v>4</v>
      </c>
      <c r="R5" s="784"/>
      <c r="S5" s="785"/>
    </row>
    <row r="6" spans="4:19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780">
        <v>1974</v>
      </c>
      <c r="R6" s="781"/>
      <c r="S6" s="782"/>
    </row>
    <row r="7" spans="4:19" ht="9" customHeight="1" x14ac:dyDescent="0.2"/>
    <row r="8" spans="4:19" ht="6.75" customHeight="1" thickBot="1" x14ac:dyDescent="0.25"/>
    <row r="9" spans="4:19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19" ht="11.25" customHeight="1" thickBot="1" x14ac:dyDescent="0.25"/>
    <row r="11" spans="4:19" x14ac:dyDescent="0.2">
      <c r="D11" s="1" t="s">
        <v>7</v>
      </c>
      <c r="E11" s="2" t="s">
        <v>338</v>
      </c>
      <c r="F11" s="2"/>
      <c r="G11" s="2"/>
      <c r="H11" s="2"/>
      <c r="I11" s="2"/>
      <c r="J11" s="3"/>
      <c r="K11" s="4" t="s">
        <v>9</v>
      </c>
      <c r="L11" s="786" t="str">
        <f>+NOMINA!B3</f>
        <v>SEMANA #42 PERIODO DEL 06 AL 12 DE OCTUBRE  DEL 2025</v>
      </c>
      <c r="M11" s="786"/>
      <c r="N11" s="786"/>
      <c r="O11" s="786"/>
      <c r="P11" s="786"/>
      <c r="Q11" s="786"/>
      <c r="R11" s="786"/>
      <c r="S11" s="787"/>
    </row>
    <row r="12" spans="4:19" x14ac:dyDescent="0.2">
      <c r="D12" s="5" t="s">
        <v>10</v>
      </c>
      <c r="E12" s="788" t="s">
        <v>223</v>
      </c>
      <c r="F12" s="78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90" t="s">
        <v>11</v>
      </c>
      <c r="E14" s="791"/>
      <c r="F14" s="7">
        <v>182091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90" t="s">
        <v>14</v>
      </c>
      <c r="E15" s="791"/>
      <c r="F15" s="7">
        <v>184096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92" t="s">
        <v>17</v>
      </c>
      <c r="E16" s="793"/>
      <c r="F16" s="12">
        <f>SUM(J19:J33)</f>
        <v>4760</v>
      </c>
      <c r="G16" s="12"/>
      <c r="H16" s="12"/>
      <c r="I16" s="13" t="s">
        <v>18</v>
      </c>
      <c r="J16" s="12">
        <f>SUM(K19:K33)</f>
        <v>1422.6590000000001</v>
      </c>
      <c r="K16" s="12"/>
      <c r="L16" s="12"/>
      <c r="M16" s="12"/>
      <c r="N16" s="12"/>
      <c r="O16" s="14" t="s">
        <v>19</v>
      </c>
      <c r="P16" s="15">
        <f>+F16/J16</f>
        <v>3.3458474588780582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9" t="s">
        <v>208</v>
      </c>
      <c r="U18" s="183" t="s">
        <v>333</v>
      </c>
      <c r="V18" s="183" t="s">
        <v>339</v>
      </c>
    </row>
    <row r="19" spans="3:25" x14ac:dyDescent="0.2">
      <c r="C19" s="52">
        <v>46391</v>
      </c>
      <c r="D19" s="279" t="s">
        <v>384</v>
      </c>
      <c r="E19" s="280">
        <v>45937</v>
      </c>
      <c r="F19" s="280">
        <v>45938</v>
      </c>
      <c r="G19" s="279">
        <v>57</v>
      </c>
      <c r="H19" s="17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131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MOCHIS</v>
      </c>
      <c r="J19" s="13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1254</v>
      </c>
      <c r="K19" s="131"/>
      <c r="L19" s="193"/>
      <c r="M19" s="193"/>
      <c r="N19" s="131">
        <v>1</v>
      </c>
      <c r="O19" s="279" t="s">
        <v>383</v>
      </c>
      <c r="P19" s="131" t="s">
        <v>174</v>
      </c>
      <c r="Q19" s="194">
        <f>(IF(N19=1,((J19)*0.3)))+(IF(N19=2,(J19*0.15))+(IF(N19=3,(J19*0.15))))</f>
        <v>376.2</v>
      </c>
      <c r="R19" s="215"/>
      <c r="S19" s="195"/>
      <c r="T19" s="676"/>
      <c r="U19" s="131"/>
      <c r="V19" s="715"/>
    </row>
    <row r="20" spans="3:25" x14ac:dyDescent="0.2">
      <c r="C20" s="96"/>
      <c r="D20" s="281" t="s">
        <v>385</v>
      </c>
      <c r="E20" s="282">
        <v>45938</v>
      </c>
      <c r="F20" s="282">
        <v>45938</v>
      </c>
      <c r="G20" s="281">
        <v>9</v>
      </c>
      <c r="H20" s="236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MOCHIS</v>
      </c>
      <c r="I20" s="183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GUAMUCHIL</v>
      </c>
      <c r="J20" s="1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106</v>
      </c>
      <c r="K20" s="183"/>
      <c r="L20" s="269"/>
      <c r="M20" s="269"/>
      <c r="N20" s="183">
        <v>2</v>
      </c>
      <c r="O20" s="281" t="s">
        <v>383</v>
      </c>
      <c r="P20" s="183" t="s">
        <v>174</v>
      </c>
      <c r="Q20" s="270">
        <f t="shared" ref="Q20:Q21" si="0">(IF(N20=1,(J20*0.3)))+(IF(N20=2,(J20*0.15))+(IF(N20=3,(J20*0.15))))</f>
        <v>15.899999999999999</v>
      </c>
      <c r="R20" s="516"/>
      <c r="S20" s="517"/>
      <c r="T20" s="680"/>
      <c r="U20" s="113">
        <v>8</v>
      </c>
      <c r="V20" s="694">
        <v>10</v>
      </c>
      <c r="X20" s="23"/>
      <c r="Y20" s="546"/>
    </row>
    <row r="21" spans="3:25" ht="14.25" customHeight="1" thickBot="1" x14ac:dyDescent="0.25">
      <c r="C21" s="40"/>
      <c r="D21" s="283" t="s">
        <v>386</v>
      </c>
      <c r="E21" s="284">
        <v>45938</v>
      </c>
      <c r="F21" s="284">
        <v>45940</v>
      </c>
      <c r="G21" s="283">
        <v>4</v>
      </c>
      <c r="H21" s="115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GUAMUCHIL</v>
      </c>
      <c r="I21" s="10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JRZ</v>
      </c>
      <c r="J21" s="10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1330</v>
      </c>
      <c r="K21" s="106">
        <v>774.24400000000003</v>
      </c>
      <c r="L21" s="255">
        <f>SUM(J18:J21)/K21</f>
        <v>3.4743569210739764</v>
      </c>
      <c r="M21" s="255">
        <v>2</v>
      </c>
      <c r="N21" s="106">
        <v>1</v>
      </c>
      <c r="O21" s="283" t="s">
        <v>379</v>
      </c>
      <c r="P21" s="106" t="s">
        <v>174</v>
      </c>
      <c r="Q21" s="256">
        <f t="shared" si="0"/>
        <v>399</v>
      </c>
      <c r="R21" s="216">
        <f>+LOOKUP(P41,UNIDADES!B$3:B$73,UNIDADES!C$3:C$73)</f>
        <v>2.7010580000000002</v>
      </c>
      <c r="S21" s="202">
        <f>((SUM(J18:J21)/R21))-K21</f>
        <v>221.66204866685564</v>
      </c>
      <c r="T21" s="678">
        <f>(IF(M21=1,(S21*16)))+(IF(M21=2,(S21*17.26))+(IF(M21=3,(S21*17.66))+(IF(M21=4,(S21*18.06))+(IF(M21=5,(S21*18.46))+(IF(M21=6,(S21*18.86))+(IF(M21=7,(S21*19.26))))))))</f>
        <v>3825.8869599899285</v>
      </c>
      <c r="U21" s="106">
        <v>9</v>
      </c>
      <c r="V21" s="717">
        <v>10</v>
      </c>
      <c r="X21" s="23"/>
      <c r="Y21" s="546"/>
    </row>
    <row r="22" spans="3:25" ht="14.25" customHeight="1" x14ac:dyDescent="0.2">
      <c r="C22" s="96">
        <v>45969</v>
      </c>
      <c r="D22" s="281" t="s">
        <v>445</v>
      </c>
      <c r="E22" s="282">
        <v>45940</v>
      </c>
      <c r="F22" s="282">
        <v>45942</v>
      </c>
      <c r="G22" s="281">
        <v>11</v>
      </c>
      <c r="H22" s="236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JRZ</v>
      </c>
      <c r="I22" s="183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BACUM</v>
      </c>
      <c r="J22" s="184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1004</v>
      </c>
      <c r="K22" s="183"/>
      <c r="L22" s="269"/>
      <c r="M22" s="269"/>
      <c r="N22" s="183">
        <v>1</v>
      </c>
      <c r="O22" s="281" t="s">
        <v>443</v>
      </c>
      <c r="P22" s="183" t="s">
        <v>176</v>
      </c>
      <c r="Q22" s="270">
        <f>(IF(N22=1,((J22)*0.3)))+(IF(N22=2,(J22*0.15))+(IF(N22=3,(J22*0.15))))</f>
        <v>301.2</v>
      </c>
      <c r="R22" s="516"/>
      <c r="S22" s="517"/>
      <c r="T22" s="680"/>
      <c r="U22" s="183"/>
      <c r="V22" s="750"/>
      <c r="X22" s="23"/>
      <c r="Y22" s="546"/>
    </row>
    <row r="23" spans="3:25" x14ac:dyDescent="0.2">
      <c r="C23" s="534"/>
      <c r="D23" s="299" t="s">
        <v>446</v>
      </c>
      <c r="E23" s="300">
        <v>45942</v>
      </c>
      <c r="F23" s="300">
        <v>45942</v>
      </c>
      <c r="G23" s="299">
        <v>15</v>
      </c>
      <c r="H23" s="278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$65))))))))))))))))))))))))))))))))))))))))))))))))))))))))))))))</f>
        <v>BACUM</v>
      </c>
      <c r="I23" s="113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$65))))))))))))))))))))))))))))))))))))))))))))))))))))))))))))))</f>
        <v>OBRG</v>
      </c>
      <c r="J23" s="114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$65))))))))))))))))))))))))))))))))))))))))))))))))))))))))))))))</f>
        <v>45</v>
      </c>
      <c r="K23" s="113"/>
      <c r="L23" s="301"/>
      <c r="M23" s="301"/>
      <c r="N23" s="113">
        <v>3</v>
      </c>
      <c r="O23" s="113"/>
      <c r="P23" s="113" t="s">
        <v>176</v>
      </c>
      <c r="Q23" s="302">
        <f t="shared" ref="Q23:Q24" si="1">(IF(N23=1,(J23*0.3)))+(IF(N23=2,(J23*0.15))+(IF(N23=3,(J23*0.15))))</f>
        <v>6.75</v>
      </c>
      <c r="R23" s="251"/>
      <c r="S23" s="252"/>
      <c r="T23" s="302"/>
      <c r="U23" s="113">
        <v>9</v>
      </c>
      <c r="V23" s="113">
        <v>10</v>
      </c>
      <c r="X23" s="23"/>
      <c r="Y23" s="546"/>
    </row>
    <row r="24" spans="3:25" x14ac:dyDescent="0.2">
      <c r="C24" s="39"/>
      <c r="D24" s="299" t="s">
        <v>447</v>
      </c>
      <c r="E24" s="300">
        <v>45942</v>
      </c>
      <c r="F24" s="300">
        <v>45943</v>
      </c>
      <c r="G24" s="299">
        <v>2</v>
      </c>
      <c r="H24" s="278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$65))))))))))))))))))))))))))))))))))))))))))))))))))))))))))))))</f>
        <v>OBRG</v>
      </c>
      <c r="I24" s="113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$65))))))))))))))))))))))))))))))))))))))))))))))))))))))))))))))</f>
        <v>JRZ</v>
      </c>
      <c r="J24" s="114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$65))))))))))))))))))))))))))))))))))))))))))))))))))))))))))))))</f>
        <v>1021</v>
      </c>
      <c r="K24" s="113">
        <v>648.41499999999996</v>
      </c>
      <c r="L24" s="301">
        <f>SUM(J22:J24)/K24</f>
        <v>3.1923999290577796</v>
      </c>
      <c r="M24" s="301">
        <v>3</v>
      </c>
      <c r="N24" s="113">
        <v>1</v>
      </c>
      <c r="O24" s="113" t="s">
        <v>444</v>
      </c>
      <c r="P24" s="113" t="s">
        <v>176</v>
      </c>
      <c r="Q24" s="302">
        <f t="shared" si="1"/>
        <v>306.3</v>
      </c>
      <c r="R24" s="251">
        <f>+LOOKUP(P42,UNIDADES!B$3:B$73,UNIDADES!C$3:C$73)</f>
        <v>2.7010580000000002</v>
      </c>
      <c r="S24" s="303">
        <f>((SUM(J22:J24)/R24))-K24</f>
        <v>117.95136458750608</v>
      </c>
      <c r="T24" s="673">
        <f>(IF(M24=1,(S24*16)))+(IF(M24=2,(S24*17.26))+(IF(M24=3,(S24*17.66))+(IF(M24=4,(S24*18.06))+(IF(M24=5,(S24*18.46))+(IF(M24=6,(S24*18.86))+(IF(M24=7,(S24*19.26))))))))</f>
        <v>2083.0210986153575</v>
      </c>
      <c r="U24" s="113">
        <v>10</v>
      </c>
      <c r="V24" s="694">
        <v>10</v>
      </c>
      <c r="X24" s="23"/>
      <c r="Y24" s="546"/>
    </row>
    <row r="25" spans="3:25" hidden="1" x14ac:dyDescent="0.2">
      <c r="C25" s="39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252"/>
      <c r="T25" s="673"/>
      <c r="U25" s="113"/>
      <c r="V25" s="694"/>
      <c r="X25" s="23"/>
      <c r="Y25" s="546"/>
    </row>
    <row r="26" spans="3:25" hidden="1" x14ac:dyDescent="0.2">
      <c r="C26" s="39"/>
      <c r="D26" s="299"/>
      <c r="E26" s="300"/>
      <c r="F26" s="300"/>
      <c r="G26" s="299"/>
      <c r="H26" s="113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3"/>
      <c r="U26" s="113"/>
      <c r="V26" s="694"/>
      <c r="X26" s="23"/>
      <c r="Y26" s="546"/>
    </row>
    <row r="27" spans="3:25" hidden="1" x14ac:dyDescent="0.2">
      <c r="C27" s="39"/>
      <c r="D27" s="299"/>
      <c r="E27" s="300"/>
      <c r="F27" s="300"/>
      <c r="G27" s="299"/>
      <c r="H27" s="113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673"/>
      <c r="U27" s="113"/>
      <c r="V27" s="694"/>
    </row>
    <row r="28" spans="3:25" hidden="1" x14ac:dyDescent="0.2">
      <c r="C28" s="39"/>
      <c r="D28" s="299"/>
      <c r="E28" s="300"/>
      <c r="F28" s="300"/>
      <c r="G28" s="299"/>
      <c r="H28" s="113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673"/>
      <c r="U28" s="113"/>
      <c r="V28" s="694"/>
    </row>
    <row r="29" spans="3:25" hidden="1" x14ac:dyDescent="0.2">
      <c r="C29" s="39"/>
      <c r="D29" s="299"/>
      <c r="E29" s="300"/>
      <c r="F29" s="300"/>
      <c r="G29" s="299"/>
      <c r="H29" s="113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673"/>
      <c r="U29" s="113"/>
      <c r="V29" s="694"/>
    </row>
    <row r="30" spans="3:25" hidden="1" x14ac:dyDescent="0.2">
      <c r="C30" s="48"/>
      <c r="D30" s="293"/>
      <c r="E30" s="294"/>
      <c r="F30" s="294"/>
      <c r="G30" s="293"/>
      <c r="H30" s="180"/>
      <c r="I30" s="180"/>
      <c r="J30" s="181"/>
      <c r="K30" s="180"/>
      <c r="L30" s="295"/>
      <c r="M30" s="295"/>
      <c r="N30" s="180"/>
      <c r="O30" s="180"/>
      <c r="P30" s="180"/>
      <c r="Q30" s="296"/>
      <c r="R30" s="297"/>
      <c r="S30" s="308"/>
      <c r="T30" s="677"/>
      <c r="U30" s="113"/>
      <c r="V30" s="694"/>
    </row>
    <row r="31" spans="3:25" hidden="1" x14ac:dyDescent="0.2">
      <c r="C31" s="39"/>
      <c r="D31" s="299"/>
      <c r="E31" s="300"/>
      <c r="F31" s="300"/>
      <c r="G31" s="299"/>
      <c r="H31" s="113"/>
      <c r="I31" s="113"/>
      <c r="J31" s="114"/>
      <c r="K31" s="113"/>
      <c r="L31" s="301"/>
      <c r="M31" s="301"/>
      <c r="N31" s="113"/>
      <c r="O31" s="113"/>
      <c r="P31" s="113"/>
      <c r="Q31" s="302"/>
      <c r="R31" s="251"/>
      <c r="S31" s="310"/>
      <c r="T31" s="302"/>
      <c r="U31" s="113"/>
      <c r="V31" s="694"/>
    </row>
    <row r="32" spans="3:25" hidden="1" x14ac:dyDescent="0.2">
      <c r="C32" s="48"/>
      <c r="D32" s="293"/>
      <c r="E32" s="294"/>
      <c r="F32" s="294"/>
      <c r="G32" s="293"/>
      <c r="H32" s="180"/>
      <c r="I32" s="180"/>
      <c r="J32" s="181"/>
      <c r="K32" s="180"/>
      <c r="L32" s="295"/>
      <c r="M32" s="295"/>
      <c r="N32" s="180"/>
      <c r="O32" s="180"/>
      <c r="P32" s="180"/>
      <c r="Q32" s="296"/>
      <c r="R32" s="297"/>
      <c r="S32" s="308"/>
      <c r="T32" s="677"/>
      <c r="U32" s="180"/>
      <c r="V32" s="734"/>
    </row>
    <row r="33" spans="3:22" ht="13.5" hidden="1" thickBot="1" x14ac:dyDescent="0.25">
      <c r="C33" s="40"/>
      <c r="D33" s="283"/>
      <c r="E33" s="284"/>
      <c r="F33" s="284"/>
      <c r="G33" s="283"/>
      <c r="H33" s="115"/>
      <c r="I33" s="106"/>
      <c r="J33" s="107"/>
      <c r="K33" s="106"/>
      <c r="L33" s="255"/>
      <c r="M33" s="255"/>
      <c r="N33" s="106"/>
      <c r="O33" s="106"/>
      <c r="P33" s="106"/>
      <c r="Q33" s="256"/>
      <c r="R33" s="216"/>
      <c r="S33" s="312"/>
      <c r="T33" s="678"/>
      <c r="U33" s="106"/>
      <c r="V33" s="717"/>
    </row>
    <row r="34" spans="3:22" ht="13.5" thickBot="1" x14ac:dyDescent="0.25">
      <c r="C34" s="22"/>
      <c r="D34" s="22"/>
      <c r="E34" s="22"/>
      <c r="F34" s="22"/>
      <c r="G34" s="22"/>
      <c r="H34" s="22"/>
      <c r="I34" s="182"/>
      <c r="J34" s="22"/>
      <c r="K34" s="22"/>
      <c r="L34" s="22"/>
      <c r="M34" s="22"/>
      <c r="N34" s="22"/>
      <c r="O34" s="22"/>
      <c r="P34" s="22"/>
      <c r="Q34" s="22"/>
      <c r="R34" s="305"/>
      <c r="S34" s="22"/>
      <c r="T34" s="22"/>
    </row>
    <row r="35" spans="3:22" x14ac:dyDescent="0.2">
      <c r="E35" s="794" t="s">
        <v>35</v>
      </c>
      <c r="F35" s="773">
        <f>+'CERDA HERNANDEZ JOSE LUIS'!F29</f>
        <v>45936</v>
      </c>
      <c r="G35" s="774"/>
      <c r="H35" s="20">
        <f>+'CERDA HERNANDEZ JOSE LUIS'!H29</f>
        <v>45937</v>
      </c>
      <c r="I35" s="20">
        <f>+'CERDA HERNANDEZ JOSE LUIS'!I29</f>
        <v>45938</v>
      </c>
      <c r="J35" s="20">
        <f>+'CERDA HERNANDEZ JOSE LUIS'!J29</f>
        <v>45939</v>
      </c>
      <c r="K35" s="20">
        <f>+'CERDA HERNANDEZ JOSE LUIS'!K29</f>
        <v>45940</v>
      </c>
      <c r="L35" s="20">
        <f>+'CERDA HERNANDEZ JOSE LUIS'!L29</f>
        <v>45942</v>
      </c>
      <c r="M35" s="547"/>
      <c r="N35" s="21" t="s">
        <v>84</v>
      </c>
      <c r="U35" s="77"/>
    </row>
    <row r="36" spans="3:22" ht="13.5" thickBot="1" x14ac:dyDescent="0.25">
      <c r="C36" s="22"/>
      <c r="E36" s="795"/>
      <c r="F36" s="775"/>
      <c r="G36" s="776"/>
      <c r="H36" s="42"/>
      <c r="I36" s="42"/>
      <c r="J36" s="42"/>
      <c r="K36" s="42"/>
      <c r="L36" s="42"/>
      <c r="M36" s="548"/>
      <c r="N36" s="43">
        <f>SUM(F36:L36)</f>
        <v>0</v>
      </c>
    </row>
    <row r="37" spans="3:22" ht="13.5" thickBot="1" x14ac:dyDescent="0.25">
      <c r="I37" s="23"/>
      <c r="S37" s="77"/>
      <c r="T37" s="77"/>
      <c r="U37" s="77"/>
    </row>
    <row r="38" spans="3:22" ht="15.75" thickBot="1" x14ac:dyDescent="0.3">
      <c r="C38" s="825" t="s">
        <v>37</v>
      </c>
      <c r="D38" s="826"/>
      <c r="E38" s="826"/>
      <c r="F38" s="826"/>
      <c r="G38" s="827"/>
      <c r="I38" s="838" t="s">
        <v>38</v>
      </c>
      <c r="J38" s="839"/>
      <c r="K38" s="839"/>
      <c r="L38" s="840"/>
      <c r="M38" s="331"/>
      <c r="O38" s="828" t="s">
        <v>39</v>
      </c>
      <c r="P38" s="829"/>
      <c r="Q38" s="830">
        <f>+F48-L46</f>
        <v>9514.2580586052864</v>
      </c>
      <c r="R38" s="831"/>
      <c r="S38" s="832"/>
      <c r="T38" s="77"/>
      <c r="U38" s="574"/>
      <c r="V38" s="574"/>
    </row>
    <row r="39" spans="3:22" ht="13.5" thickBot="1" x14ac:dyDescent="0.25">
      <c r="C39" s="833" t="s">
        <v>207</v>
      </c>
      <c r="D39" s="834"/>
      <c r="E39" s="835"/>
      <c r="F39" s="836">
        <f>SUM(Q18:Q33)</f>
        <v>1405.35</v>
      </c>
      <c r="G39" s="837"/>
      <c r="I39" s="121" t="s">
        <v>106</v>
      </c>
      <c r="J39" s="59" t="s">
        <v>107</v>
      </c>
      <c r="K39" s="59" t="s">
        <v>69</v>
      </c>
      <c r="L39" s="119" t="s">
        <v>108</v>
      </c>
      <c r="M39" s="563"/>
    </row>
    <row r="40" spans="3:22" ht="13.5" thickBot="1" x14ac:dyDescent="0.25">
      <c r="C40" s="843" t="s">
        <v>208</v>
      </c>
      <c r="D40" s="844"/>
      <c r="E40" s="845"/>
      <c r="F40" s="846">
        <f>SUM(T18:T33)</f>
        <v>5908.908058605286</v>
      </c>
      <c r="G40" s="847"/>
      <c r="I40" s="654"/>
      <c r="J40" s="767"/>
      <c r="K40" s="655"/>
      <c r="L40" s="120"/>
      <c r="M40" s="563"/>
      <c r="O40" s="62" t="s">
        <v>258</v>
      </c>
      <c r="P40" s="63" t="s">
        <v>70</v>
      </c>
      <c r="Q40" s="64" t="s">
        <v>71</v>
      </c>
      <c r="R40" s="64"/>
      <c r="S40" s="65" t="s">
        <v>72</v>
      </c>
      <c r="T40" s="63" t="s">
        <v>73</v>
      </c>
      <c r="U40" s="154" t="s">
        <v>261</v>
      </c>
      <c r="V40" s="21" t="s">
        <v>260</v>
      </c>
    </row>
    <row r="41" spans="3:22" x14ac:dyDescent="0.2">
      <c r="C41" s="843" t="s">
        <v>35</v>
      </c>
      <c r="D41" s="844"/>
      <c r="E41" s="845"/>
      <c r="F41" s="846">
        <f>+N36</f>
        <v>0</v>
      </c>
      <c r="G41" s="847"/>
      <c r="I41" s="122"/>
      <c r="J41" s="235"/>
      <c r="K41" s="60"/>
      <c r="L41" s="118"/>
      <c r="M41" s="563"/>
      <c r="O41" s="66">
        <v>46391</v>
      </c>
      <c r="P41" s="67" t="s">
        <v>223</v>
      </c>
      <c r="Q41" s="17">
        <v>410561</v>
      </c>
      <c r="R41" s="68"/>
      <c r="S41" s="51">
        <v>413291</v>
      </c>
      <c r="T41" s="67">
        <f>+S41-Q41</f>
        <v>2730</v>
      </c>
      <c r="U41" s="155">
        <v>2690</v>
      </c>
      <c r="V41" s="156">
        <v>774.24400000000003</v>
      </c>
    </row>
    <row r="42" spans="3:22" x14ac:dyDescent="0.2">
      <c r="C42" s="843" t="s">
        <v>40</v>
      </c>
      <c r="D42" s="844"/>
      <c r="E42" s="845"/>
      <c r="F42" s="846"/>
      <c r="G42" s="847"/>
      <c r="I42" s="122"/>
      <c r="J42" s="235"/>
      <c r="K42" s="60"/>
      <c r="L42" s="118"/>
      <c r="M42" s="563"/>
      <c r="O42" s="44">
        <v>45969</v>
      </c>
      <c r="P42" s="69" t="s">
        <v>223</v>
      </c>
      <c r="Q42" s="51">
        <v>413290</v>
      </c>
      <c r="R42" s="70"/>
      <c r="S42" s="17">
        <v>415359</v>
      </c>
      <c r="T42" s="69">
        <f>+S42-Q42</f>
        <v>2069</v>
      </c>
      <c r="U42" s="157">
        <v>2070</v>
      </c>
      <c r="V42" s="156">
        <v>648.41499999999996</v>
      </c>
    </row>
    <row r="43" spans="3:22" ht="13.5" thickBot="1" x14ac:dyDescent="0.25">
      <c r="C43" s="843" t="s">
        <v>41</v>
      </c>
      <c r="D43" s="844"/>
      <c r="E43" s="845"/>
      <c r="F43" s="846">
        <v>900</v>
      </c>
      <c r="G43" s="847"/>
      <c r="I43" s="124"/>
      <c r="J43" s="60"/>
      <c r="K43" s="60"/>
      <c r="L43" s="118"/>
      <c r="M43" s="563"/>
      <c r="O43" s="71"/>
      <c r="P43" s="72"/>
      <c r="Q43" s="73"/>
      <c r="R43" s="73"/>
      <c r="S43" s="41"/>
      <c r="T43" s="72">
        <f>+S43-Q43</f>
        <v>0</v>
      </c>
      <c r="U43" s="158"/>
      <c r="V43" s="159"/>
    </row>
    <row r="44" spans="3:22" ht="15" x14ac:dyDescent="0.25">
      <c r="C44" s="843" t="s">
        <v>42</v>
      </c>
      <c r="D44" s="844"/>
      <c r="E44" s="845"/>
      <c r="F44" s="846">
        <v>1000</v>
      </c>
      <c r="G44" s="847"/>
      <c r="I44" s="124"/>
      <c r="J44" s="60"/>
      <c r="K44" s="60"/>
      <c r="L44" s="118"/>
      <c r="M44" s="563"/>
      <c r="P44" s="27"/>
      <c r="Q44" s="27"/>
      <c r="R44" s="27"/>
      <c r="S44" s="27"/>
      <c r="T44" s="27"/>
      <c r="U44" s="26"/>
    </row>
    <row r="45" spans="3:22" ht="15.75" thickBot="1" x14ac:dyDescent="0.3">
      <c r="C45" s="24" t="s">
        <v>304</v>
      </c>
      <c r="D45" s="25"/>
      <c r="E45" s="25"/>
      <c r="F45" s="846"/>
      <c r="G45" s="847"/>
      <c r="I45" s="124"/>
      <c r="J45" s="60"/>
      <c r="K45" s="60"/>
      <c r="L45" s="118"/>
      <c r="M45" s="563"/>
      <c r="S45" s="27"/>
      <c r="T45" s="27"/>
      <c r="U45" s="26"/>
    </row>
    <row r="46" spans="3:22" ht="15.75" thickBot="1" x14ac:dyDescent="0.3">
      <c r="C46" s="24" t="s">
        <v>163</v>
      </c>
      <c r="D46" s="25"/>
      <c r="E46" s="25"/>
      <c r="F46" s="846"/>
      <c r="G46" s="847"/>
      <c r="I46" s="848" t="s">
        <v>44</v>
      </c>
      <c r="J46" s="849"/>
      <c r="K46" s="850"/>
      <c r="L46" s="125">
        <f>SUM(L40:L45)</f>
        <v>0</v>
      </c>
      <c r="M46" s="130"/>
      <c r="S46" s="27"/>
      <c r="T46" s="27"/>
      <c r="U46" s="26"/>
    </row>
    <row r="47" spans="3:22" ht="15.75" thickBot="1" x14ac:dyDescent="0.3">
      <c r="C47" s="241" t="s">
        <v>293</v>
      </c>
      <c r="D47" s="242"/>
      <c r="E47" s="242"/>
      <c r="F47" s="841">
        <v>300</v>
      </c>
      <c r="G47" s="842"/>
      <c r="I47" s="19"/>
      <c r="J47" s="126"/>
      <c r="K47" s="126"/>
      <c r="L47" s="128"/>
      <c r="M47" s="128"/>
      <c r="S47" s="27"/>
      <c r="T47" s="27"/>
      <c r="U47" s="26"/>
    </row>
    <row r="48" spans="3:22" ht="15.75" thickBot="1" x14ac:dyDescent="0.3">
      <c r="C48" s="792" t="s">
        <v>45</v>
      </c>
      <c r="D48" s="793"/>
      <c r="E48" s="813"/>
      <c r="F48" s="814">
        <f>SUM(F39:G47)</f>
        <v>9514.2580586052864</v>
      </c>
      <c r="G48" s="815"/>
      <c r="I48" s="19"/>
      <c r="J48" s="19"/>
      <c r="K48" s="19"/>
      <c r="L48" s="19"/>
      <c r="M48" s="19"/>
      <c r="N48" s="19"/>
      <c r="P48" s="27"/>
      <c r="Q48" s="27"/>
      <c r="R48" s="27"/>
      <c r="S48" s="27"/>
      <c r="T48" s="27"/>
      <c r="U48" s="26"/>
    </row>
    <row r="49" spans="3:21" ht="12" customHeight="1" thickBot="1" x14ac:dyDescent="0.3">
      <c r="P49" s="817" t="s">
        <v>61</v>
      </c>
      <c r="Q49" s="818"/>
      <c r="R49" s="27"/>
      <c r="S49" s="27"/>
      <c r="T49" s="26"/>
    </row>
    <row r="50" spans="3:21" ht="15" x14ac:dyDescent="0.25">
      <c r="C50" s="28" t="s">
        <v>46</v>
      </c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30"/>
      <c r="P50" s="44">
        <v>1</v>
      </c>
      <c r="Q50" s="69" t="s">
        <v>62</v>
      </c>
      <c r="R50" s="27"/>
      <c r="S50" s="27"/>
      <c r="T50" s="26"/>
    </row>
    <row r="51" spans="3:21" ht="15" x14ac:dyDescent="0.25">
      <c r="C51" s="31"/>
      <c r="N51" s="32"/>
      <c r="P51" s="44">
        <v>2</v>
      </c>
      <c r="Q51" s="69" t="s">
        <v>110</v>
      </c>
      <c r="R51" s="27"/>
      <c r="S51" s="27"/>
      <c r="T51" s="26"/>
    </row>
    <row r="52" spans="3:21" ht="15.75" thickBot="1" x14ac:dyDescent="0.3">
      <c r="C52" s="33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5"/>
      <c r="P52" s="71">
        <v>3</v>
      </c>
      <c r="Q52" s="72" t="s">
        <v>109</v>
      </c>
      <c r="R52" s="27"/>
      <c r="S52" s="27"/>
      <c r="T52" s="26"/>
    </row>
    <row r="53" spans="3:21" ht="15" x14ac:dyDescent="0.25">
      <c r="P53" s="27"/>
      <c r="Q53" s="27"/>
      <c r="R53" s="27"/>
      <c r="S53" s="27"/>
      <c r="T53" s="27"/>
      <c r="U53" s="26"/>
    </row>
    <row r="54" spans="3:21" ht="15" x14ac:dyDescent="0.25">
      <c r="P54" s="27"/>
      <c r="Q54" s="27"/>
      <c r="R54" s="27"/>
      <c r="S54" s="27"/>
      <c r="T54" s="27"/>
      <c r="U54" s="26"/>
    </row>
    <row r="55" spans="3:21" ht="13.5" thickBot="1" x14ac:dyDescent="0.25">
      <c r="P55" s="27"/>
      <c r="Q55" s="27"/>
      <c r="R55" s="27"/>
      <c r="S55" s="27"/>
      <c r="T55" s="27"/>
    </row>
    <row r="56" spans="3:21" ht="13.5" thickTop="1" x14ac:dyDescent="0.2">
      <c r="D56" s="816" t="s">
        <v>47</v>
      </c>
      <c r="E56" s="816"/>
      <c r="F56" s="816"/>
      <c r="G56" s="816"/>
      <c r="H56" s="816"/>
      <c r="J56" s="816" t="s">
        <v>48</v>
      </c>
      <c r="K56" s="816"/>
      <c r="L56" s="816"/>
      <c r="M56" s="816"/>
      <c r="N56" s="816"/>
      <c r="P56" s="812"/>
      <c r="Q56" s="812"/>
      <c r="R56" s="812"/>
      <c r="S56" s="812"/>
      <c r="T56" s="812"/>
    </row>
    <row r="57" spans="3:21" x14ac:dyDescent="0.2">
      <c r="P57" s="812"/>
      <c r="Q57" s="812"/>
      <c r="R57" s="812"/>
      <c r="S57" s="812"/>
      <c r="T57" s="812"/>
    </row>
    <row r="58" spans="3:21" x14ac:dyDescent="0.2">
      <c r="P58" s="812"/>
      <c r="Q58" s="812"/>
      <c r="R58" s="812"/>
      <c r="S58" s="812"/>
      <c r="T58" s="812"/>
    </row>
    <row r="59" spans="3:21" x14ac:dyDescent="0.2">
      <c r="P59" s="812"/>
      <c r="Q59" s="812"/>
      <c r="R59" s="812"/>
      <c r="S59" s="812"/>
      <c r="T59" s="812"/>
    </row>
    <row r="60" spans="3:21" ht="15" customHeight="1" x14ac:dyDescent="0.2">
      <c r="P60" s="36"/>
      <c r="Q60" s="36"/>
      <c r="R60" s="36"/>
      <c r="S60" s="36"/>
      <c r="T60" s="36"/>
    </row>
  </sheetData>
  <mergeCells count="48">
    <mergeCell ref="P56:T56"/>
    <mergeCell ref="P57:T57"/>
    <mergeCell ref="P58:T58"/>
    <mergeCell ref="P59:T59"/>
    <mergeCell ref="F46:G46"/>
    <mergeCell ref="F47:G47"/>
    <mergeCell ref="P49:Q49"/>
    <mergeCell ref="I46:K46"/>
    <mergeCell ref="C48:E48"/>
    <mergeCell ref="F48:G48"/>
    <mergeCell ref="D56:H56"/>
    <mergeCell ref="J56:N56"/>
    <mergeCell ref="C43:E43"/>
    <mergeCell ref="F43:G43"/>
    <mergeCell ref="C44:E44"/>
    <mergeCell ref="F44:G44"/>
    <mergeCell ref="F45:G45"/>
    <mergeCell ref="C40:E40"/>
    <mergeCell ref="F40:G40"/>
    <mergeCell ref="C41:E41"/>
    <mergeCell ref="F41:G41"/>
    <mergeCell ref="C42:E42"/>
    <mergeCell ref="F42:G42"/>
    <mergeCell ref="C38:G38"/>
    <mergeCell ref="O38:P38"/>
    <mergeCell ref="Q38:S38"/>
    <mergeCell ref="C39:E39"/>
    <mergeCell ref="F39:G39"/>
    <mergeCell ref="I38:L38"/>
    <mergeCell ref="F35:G35"/>
    <mergeCell ref="F36:G36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5:E36"/>
    <mergeCell ref="Q2:S2"/>
    <mergeCell ref="I3:O3"/>
    <mergeCell ref="Q3:S3"/>
    <mergeCell ref="I4:O4"/>
    <mergeCell ref="I5:O5"/>
    <mergeCell ref="Q5:S5"/>
    <mergeCell ref="Q4:S4"/>
  </mergeCells>
  <pageMargins left="0.19685039370078741" right="0.19685039370078741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2">
    <pageSetUpPr fitToPage="1"/>
  </sheetPr>
  <dimension ref="C1:Z54"/>
  <sheetViews>
    <sheetView topLeftCell="A16" zoomScale="120" zoomScaleNormal="120" workbookViewId="0">
      <selection activeCell="I44" sqref="I44"/>
    </sheetView>
  </sheetViews>
  <sheetFormatPr baseColWidth="10" defaultColWidth="9.140625" defaultRowHeight="12.75" x14ac:dyDescent="0.2"/>
  <cols>
    <col min="1" max="1" width="2.28515625" customWidth="1"/>
    <col min="2" max="2" width="3.570312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1.42578125" customWidth="1"/>
    <col min="9" max="9" width="14.7109375" customWidth="1"/>
    <col min="10" max="10" width="9.7109375" customWidth="1"/>
    <col min="11" max="11" width="10.140625" customWidth="1"/>
    <col min="12" max="13" width="12.28515625" customWidth="1"/>
    <col min="14" max="14" width="8.5703125" bestFit="1" customWidth="1"/>
    <col min="15" max="15" width="10.7109375" customWidth="1"/>
    <col min="16" max="17" width="10.5703125" customWidth="1"/>
    <col min="18" max="18" width="10" hidden="1" customWidth="1"/>
    <col min="19" max="19" width="9.140625" customWidth="1"/>
    <col min="20" max="20" width="11.5703125" bestFit="1" customWidth="1"/>
    <col min="21" max="21" width="10.28515625" hidden="1" customWidth="1"/>
    <col min="22" max="22" width="9.140625" hidden="1" customWidth="1"/>
    <col min="23" max="23" width="11.140625" customWidth="1"/>
    <col min="24" max="25" width="9.140625" customWidth="1"/>
    <col min="26" max="26" width="12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02" t="s">
        <v>0</v>
      </c>
      <c r="R2" s="803"/>
      <c r="S2" s="804"/>
    </row>
    <row r="3" spans="4:19" ht="19.5" thickBot="1" x14ac:dyDescent="0.35">
      <c r="I3" s="799" t="s">
        <v>1</v>
      </c>
      <c r="J3" s="800"/>
      <c r="K3" s="800"/>
      <c r="L3" s="800"/>
      <c r="M3" s="800"/>
      <c r="N3" s="800"/>
      <c r="O3" s="801"/>
      <c r="Q3" s="783">
        <f>+'CERDA HERNANDEZ JOSE LUIS'!Q3</f>
        <v>42</v>
      </c>
      <c r="R3" s="784"/>
      <c r="S3" s="785"/>
    </row>
    <row r="4" spans="4:19" ht="16.5" thickBot="1" x14ac:dyDescent="0.3">
      <c r="I4" s="805" t="s">
        <v>2</v>
      </c>
      <c r="J4" s="806"/>
      <c r="K4" s="806"/>
      <c r="L4" s="806"/>
      <c r="M4" s="806"/>
      <c r="N4" s="806"/>
      <c r="O4" s="807"/>
    </row>
    <row r="5" spans="4:19" ht="13.5" thickBot="1" x14ac:dyDescent="0.25">
      <c r="I5" s="808" t="s">
        <v>3</v>
      </c>
      <c r="J5" s="809"/>
      <c r="K5" s="809"/>
      <c r="L5" s="809"/>
      <c r="M5" s="809"/>
      <c r="N5" s="809"/>
      <c r="O5" s="810"/>
      <c r="Q5" s="783" t="s">
        <v>4</v>
      </c>
      <c r="R5" s="784"/>
      <c r="S5" s="785"/>
    </row>
    <row r="6" spans="4:19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780">
        <f>+'SALAZAR PEREZ JUAN CARLOS'!Q6+1</f>
        <v>14</v>
      </c>
      <c r="R6" s="781"/>
      <c r="S6" s="782"/>
    </row>
    <row r="7" spans="4:19" ht="9" customHeight="1" x14ac:dyDescent="0.2"/>
    <row r="8" spans="4:19" ht="6.75" customHeight="1" thickBot="1" x14ac:dyDescent="0.25"/>
    <row r="9" spans="4:19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19" ht="11.25" customHeight="1" thickBot="1" x14ac:dyDescent="0.25"/>
    <row r="11" spans="4:19" x14ac:dyDescent="0.2">
      <c r="D11" s="1" t="s">
        <v>7</v>
      </c>
      <c r="E11" s="2" t="s">
        <v>326</v>
      </c>
      <c r="F11" s="2"/>
      <c r="G11" s="2"/>
      <c r="H11" s="2"/>
      <c r="I11" s="2"/>
      <c r="J11" s="3"/>
      <c r="K11" s="4" t="s">
        <v>9</v>
      </c>
      <c r="L11" s="786" t="str">
        <f>+NOMINA!B3</f>
        <v>SEMANA #42 PERIODO DEL 06 AL 12 DE OCTUBRE  DEL 2025</v>
      </c>
      <c r="M11" s="786"/>
      <c r="N11" s="786"/>
      <c r="O11" s="786"/>
      <c r="P11" s="786"/>
      <c r="Q11" s="786"/>
      <c r="R11" s="786"/>
      <c r="S11" s="787"/>
    </row>
    <row r="12" spans="4:19" x14ac:dyDescent="0.2">
      <c r="D12" s="5" t="s">
        <v>10</v>
      </c>
      <c r="E12" s="788" t="s">
        <v>342</v>
      </c>
      <c r="F12" s="78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90" t="s">
        <v>11</v>
      </c>
      <c r="E14" s="791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90" t="s">
        <v>14</v>
      </c>
      <c r="E15" s="791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92" t="s">
        <v>17</v>
      </c>
      <c r="E16" s="793"/>
      <c r="F16" s="12">
        <f>SUM(J19:J28)</f>
        <v>5380</v>
      </c>
      <c r="G16" s="12"/>
      <c r="H16" s="12"/>
      <c r="I16" s="13" t="s">
        <v>18</v>
      </c>
      <c r="J16" s="12">
        <f>SUM(K19:K28)</f>
        <v>1601.0709999999999</v>
      </c>
      <c r="K16" s="12"/>
      <c r="L16" s="12"/>
      <c r="M16" s="12"/>
      <c r="N16" s="12"/>
      <c r="O16" s="14" t="s">
        <v>19</v>
      </c>
      <c r="P16" s="15">
        <f>+F16/J16</f>
        <v>3.3602507321661563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>
        <v>1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9" t="s">
        <v>208</v>
      </c>
      <c r="U18" s="448" t="s">
        <v>333</v>
      </c>
      <c r="V18" s="448" t="s">
        <v>335</v>
      </c>
    </row>
    <row r="19" spans="3:25" ht="15" customHeight="1" x14ac:dyDescent="0.2">
      <c r="C19" s="429">
        <v>46369</v>
      </c>
      <c r="D19" s="426" t="s">
        <v>360</v>
      </c>
      <c r="E19" s="430">
        <v>45934</v>
      </c>
      <c r="F19" s="430">
        <v>45936</v>
      </c>
      <c r="G19" s="426">
        <v>57</v>
      </c>
      <c r="H19" s="647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647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MOCHIS</v>
      </c>
      <c r="J19" s="648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1254</v>
      </c>
      <c r="K19" s="761"/>
      <c r="L19" s="431"/>
      <c r="M19" s="431"/>
      <c r="N19" s="38">
        <v>1</v>
      </c>
      <c r="O19" s="38" t="s">
        <v>363</v>
      </c>
      <c r="P19" s="38" t="s">
        <v>174</v>
      </c>
      <c r="Q19" s="432">
        <f t="shared" ref="Q19:Q20" si="0">(IF(N19=1,(J19*0.3)))+(IF(N19=2,(J19*0.15))+(IF(N19=3,(J19*0.15))))</f>
        <v>376.2</v>
      </c>
      <c r="R19" s="433"/>
      <c r="S19" s="470"/>
      <c r="T19" s="701"/>
      <c r="U19" s="38"/>
      <c r="V19" s="100">
        <v>60</v>
      </c>
      <c r="W19" s="22"/>
      <c r="X19" s="23"/>
      <c r="Y19" s="546"/>
    </row>
    <row r="20" spans="3:25" ht="12.75" customHeight="1" x14ac:dyDescent="0.2">
      <c r="C20" s="446"/>
      <c r="D20" s="418" t="s">
        <v>361</v>
      </c>
      <c r="E20" s="447">
        <v>45936</v>
      </c>
      <c r="F20" s="447">
        <v>45936</v>
      </c>
      <c r="G20" s="418">
        <v>9</v>
      </c>
      <c r="H20" s="512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MOCHIS</v>
      </c>
      <c r="I20" s="44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GUAMUCHIL</v>
      </c>
      <c r="J20" s="482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106</v>
      </c>
      <c r="K20" s="448"/>
      <c r="L20" s="704"/>
      <c r="M20" s="704"/>
      <c r="N20" s="448">
        <v>2</v>
      </c>
      <c r="O20" s="448" t="s">
        <v>363</v>
      </c>
      <c r="P20" s="448" t="s">
        <v>174</v>
      </c>
      <c r="Q20" s="450">
        <f t="shared" si="0"/>
        <v>15.899999999999999</v>
      </c>
      <c r="R20" s="451"/>
      <c r="S20" s="579"/>
      <c r="T20" s="700"/>
      <c r="U20" s="448"/>
      <c r="V20" s="754">
        <v>57</v>
      </c>
      <c r="X20" s="23"/>
      <c r="Y20" s="546"/>
    </row>
    <row r="21" spans="3:25" ht="13.5" thickBot="1" x14ac:dyDescent="0.25">
      <c r="C21" s="436"/>
      <c r="D21" s="59" t="s">
        <v>362</v>
      </c>
      <c r="E21" s="437">
        <v>45936</v>
      </c>
      <c r="F21" s="437">
        <v>45938</v>
      </c>
      <c r="G21" s="59">
        <v>4</v>
      </c>
      <c r="H21" s="469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GUAMUCHIL</v>
      </c>
      <c r="I21" s="41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C$60,IF(G21=58,KILOMETRAJE!E$61,IF(G21=59,KILOMETRAJE!E$62,IF(G21=60,KILOMETRAJE!E$63,IF(G21=61,KILOMETRAJE!E$64,IF(G21=62,KILOMETRAJE!E$65))))))))))))))))))))))))))))))))))))))))))))))))))))))))))))))</f>
        <v>JRZ</v>
      </c>
      <c r="J21" s="438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1330</v>
      </c>
      <c r="K21" s="41">
        <v>772.41300000000001</v>
      </c>
      <c r="L21" s="497">
        <f>SUM(J19:J21)/K21</f>
        <v>3.4825928615908848</v>
      </c>
      <c r="M21" s="497">
        <v>2</v>
      </c>
      <c r="N21" s="41">
        <v>1</v>
      </c>
      <c r="O21" s="41" t="s">
        <v>363</v>
      </c>
      <c r="P21" s="41" t="s">
        <v>174</v>
      </c>
      <c r="Q21" s="42">
        <f t="shared" ref="Q21:Q23" si="1">(IF(N21=1,(J21*0.3)))+(IF(N21=2,(J21*0.15))+(IF(N21=3,(J21*0.15))))</f>
        <v>399</v>
      </c>
      <c r="R21" s="440">
        <f>+LOOKUP(P36,UNIDADES!B$3:B$73,UNIDADES!C$3:C$73)</f>
        <v>2.7010580000000002</v>
      </c>
      <c r="S21" s="499">
        <f>(SUM(J19:J21)/R21)-K21</f>
        <v>223.49304866685566</v>
      </c>
      <c r="T21" s="42">
        <f>(IF(M21=1,(S21*16)))+(IF(M21=2,(S21*17.26))+(IF(M21=3,(S21*17.66))+(IF(M21=4,(S21*18.06))+(IF(M21=5,(S21*18.46))+(IF(M21=6,(S21*18.86))+(IF(M21=7,(S21*19.26))))))))</f>
        <v>3857.4900199899289</v>
      </c>
      <c r="U21" s="41"/>
      <c r="V21" s="72"/>
      <c r="X21" s="23"/>
      <c r="Y21" s="546"/>
    </row>
    <row r="22" spans="3:25" x14ac:dyDescent="0.2">
      <c r="C22" s="533">
        <v>45943</v>
      </c>
      <c r="D22" s="49" t="s">
        <v>416</v>
      </c>
      <c r="E22" s="50">
        <v>45939</v>
      </c>
      <c r="F22" s="50">
        <v>45941</v>
      </c>
      <c r="G22" s="49">
        <v>57</v>
      </c>
      <c r="H22" s="463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JRZ</v>
      </c>
      <c r="I22" s="51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MOCHIS</v>
      </c>
      <c r="J22" s="464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1254</v>
      </c>
      <c r="K22" s="51"/>
      <c r="L22" s="490"/>
      <c r="M22" s="490"/>
      <c r="N22" s="51">
        <v>1</v>
      </c>
      <c r="O22" s="51" t="s">
        <v>415</v>
      </c>
      <c r="P22" s="51" t="s">
        <v>174</v>
      </c>
      <c r="Q22" s="466">
        <f t="shared" si="1"/>
        <v>376.2</v>
      </c>
      <c r="R22" s="467"/>
      <c r="S22" s="492"/>
      <c r="T22" s="466"/>
      <c r="U22" s="51"/>
      <c r="V22" s="51"/>
      <c r="X22" s="23"/>
      <c r="Y22" s="546"/>
    </row>
    <row r="23" spans="3:25" x14ac:dyDescent="0.2">
      <c r="C23" s="536"/>
      <c r="D23" s="60" t="s">
        <v>417</v>
      </c>
      <c r="E23" s="18">
        <v>45941</v>
      </c>
      <c r="F23" s="18">
        <v>45941</v>
      </c>
      <c r="G23" s="60">
        <v>9</v>
      </c>
      <c r="H23" s="483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$65))))))))))))))))))))))))))))))))))))))))))))))))))))))))))))))</f>
        <v>MOCHIS</v>
      </c>
      <c r="I23" s="17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$65))))))))))))))))))))))))))))))))))))))))))))))))))))))))))))))</f>
        <v>GUAMUCHIL</v>
      </c>
      <c r="J23" s="484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$65))))))))))))))))))))))))))))))))))))))))))))))))))))))))))))))</f>
        <v>106</v>
      </c>
      <c r="K23" s="17"/>
      <c r="L23" s="493"/>
      <c r="M23" s="493"/>
      <c r="N23" s="17">
        <v>2</v>
      </c>
      <c r="O23" s="17" t="s">
        <v>415</v>
      </c>
      <c r="P23" s="17" t="s">
        <v>174</v>
      </c>
      <c r="Q23" s="486">
        <f t="shared" si="1"/>
        <v>15.899999999999999</v>
      </c>
      <c r="R23" s="487"/>
      <c r="S23" s="495"/>
      <c r="T23" s="486"/>
      <c r="U23" s="17"/>
      <c r="V23" s="17"/>
      <c r="X23" s="23"/>
      <c r="Y23" s="546"/>
    </row>
    <row r="24" spans="3:25" x14ac:dyDescent="0.2">
      <c r="C24" s="462"/>
      <c r="D24" s="49" t="s">
        <v>418</v>
      </c>
      <c r="E24" s="50">
        <v>45941</v>
      </c>
      <c r="F24" s="50">
        <v>45943</v>
      </c>
      <c r="G24" s="49">
        <v>4</v>
      </c>
      <c r="H24" s="463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$65))))))))))))))))))))))))))))))))))))))))))))))))))))))))))))))</f>
        <v>GUAMUCHIL</v>
      </c>
      <c r="I24" s="51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C$60,IF(G24=58,KILOMETRAJE!E$61,IF(G24=59,KILOMETRAJE!E$62,IF(G24=60,KILOMETRAJE!E$63,IF(G24=61,KILOMETRAJE!E$64,IF(G24=62,KILOMETRAJE!E$65))))))))))))))))))))))))))))))))))))))))))))))))))))))))))))))</f>
        <v>JRZ</v>
      </c>
      <c r="J24" s="464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$65))))))))))))))))))))))))))))))))))))))))))))))))))))))))))))))</f>
        <v>1330</v>
      </c>
      <c r="K24" s="51">
        <v>828.65800000000002</v>
      </c>
      <c r="L24" s="490">
        <f>SUM(J22:J24)/K24</f>
        <v>3.2462125508955442</v>
      </c>
      <c r="M24" s="490">
        <v>2</v>
      </c>
      <c r="N24" s="51">
        <v>1</v>
      </c>
      <c r="O24" s="51" t="s">
        <v>411</v>
      </c>
      <c r="P24" s="51" t="s">
        <v>174</v>
      </c>
      <c r="Q24" s="466">
        <f t="shared" ref="Q24" si="2">(IF(N24=1,(J24*0.3)))+(IF(N24=2,(J24*0.15))+(IF(N24=3,(J24*0.15))))</f>
        <v>399</v>
      </c>
      <c r="R24" s="487">
        <f>+LOOKUP(P37,UNIDADES!B$3:B$73,UNIDADES!C$3:C$73)</f>
        <v>2.7010580000000002</v>
      </c>
      <c r="S24" s="495">
        <f>(SUM(J22:J24)/R24)-K24</f>
        <v>167.24804866685565</v>
      </c>
      <c r="T24" s="687">
        <f>(IF(M24=1,(S24*16)))+(IF(M24=2,(S24*17.26))+(IF(M24=3,(S24*17.66))+(IF(M24=4,(S24*18.06))+(IF(M24=5,(S24*18.46))+(IF(M24=6,(S24*18.86))+(IF(M24=7,(S24*19.26))))))))</f>
        <v>2886.7013199899288</v>
      </c>
      <c r="U24" s="17"/>
      <c r="V24" s="17"/>
      <c r="W24" s="22"/>
      <c r="X24" s="23"/>
      <c r="Y24" s="546"/>
    </row>
    <row r="25" spans="3:25" hidden="1" x14ac:dyDescent="0.2">
      <c r="C25" s="453"/>
      <c r="D25" s="60"/>
      <c r="E25" s="18"/>
      <c r="F25" s="18"/>
      <c r="G25" s="60"/>
      <c r="H25" s="483"/>
      <c r="I25" s="17"/>
      <c r="J25" s="484"/>
      <c r="K25" s="17"/>
      <c r="L25" s="493"/>
      <c r="M25" s="493"/>
      <c r="N25" s="17"/>
      <c r="O25" s="17"/>
      <c r="P25" s="17"/>
      <c r="Q25" s="486"/>
      <c r="R25" s="487"/>
      <c r="S25" s="495"/>
      <c r="T25" s="687"/>
      <c r="U25" s="17"/>
      <c r="V25" s="17"/>
      <c r="X25" s="23"/>
      <c r="Y25" s="546"/>
    </row>
    <row r="26" spans="3:25" hidden="1" x14ac:dyDescent="0.2">
      <c r="C26" s="453"/>
      <c r="D26" s="60"/>
      <c r="E26" s="18"/>
      <c r="F26" s="18"/>
      <c r="G26" s="60"/>
      <c r="H26" s="483"/>
      <c r="I26" s="17"/>
      <c r="J26" s="484"/>
      <c r="K26" s="17"/>
      <c r="L26" s="493"/>
      <c r="M26" s="493"/>
      <c r="N26" s="17"/>
      <c r="O26" s="17"/>
      <c r="P26" s="17"/>
      <c r="Q26" s="486"/>
      <c r="R26" s="487"/>
      <c r="S26" s="495"/>
      <c r="T26" s="687"/>
      <c r="U26" s="17"/>
      <c r="V26" s="17"/>
    </row>
    <row r="27" spans="3:25" hidden="1" x14ac:dyDescent="0.2">
      <c r="C27" s="453"/>
      <c r="D27" s="60"/>
      <c r="E27" s="18"/>
      <c r="F27" s="18"/>
      <c r="G27" s="60"/>
      <c r="H27" s="483"/>
      <c r="I27" s="17"/>
      <c r="J27" s="484"/>
      <c r="K27" s="17"/>
      <c r="L27" s="493"/>
      <c r="M27" s="493"/>
      <c r="N27" s="17"/>
      <c r="O27" s="17"/>
      <c r="P27" s="17"/>
      <c r="Q27" s="486"/>
      <c r="R27" s="487"/>
      <c r="S27" s="495"/>
      <c r="T27" s="687"/>
      <c r="U27" s="17"/>
      <c r="V27" s="17"/>
    </row>
    <row r="28" spans="3:25" ht="13.5" hidden="1" thickBot="1" x14ac:dyDescent="0.25">
      <c r="C28" s="436"/>
      <c r="D28" s="59"/>
      <c r="E28" s="437"/>
      <c r="F28" s="437"/>
      <c r="G28" s="59"/>
      <c r="H28" s="469"/>
      <c r="I28" s="41"/>
      <c r="J28" s="438"/>
      <c r="K28" s="41"/>
      <c r="L28" s="439"/>
      <c r="M28" s="439"/>
      <c r="N28" s="41"/>
      <c r="O28" s="41"/>
      <c r="P28" s="41"/>
      <c r="Q28" s="42"/>
      <c r="R28" s="440"/>
      <c r="S28" s="499"/>
      <c r="T28" s="548"/>
      <c r="U28" s="17"/>
      <c r="V28" s="17"/>
    </row>
    <row r="29" spans="3:25" ht="13.5" thickBot="1" x14ac:dyDescent="0.25">
      <c r="C29" s="22"/>
      <c r="D29" s="22"/>
      <c r="E29" s="22"/>
      <c r="F29" s="22"/>
      <c r="G29" s="22"/>
      <c r="H29" s="22"/>
      <c r="I29" s="182"/>
      <c r="J29" s="22"/>
      <c r="K29" s="22"/>
      <c r="L29" s="22"/>
      <c r="M29" s="22"/>
      <c r="N29" s="22"/>
      <c r="O29" s="22"/>
      <c r="P29" s="22"/>
      <c r="Q29" s="22"/>
      <c r="R29" s="305"/>
      <c r="S29" s="22"/>
      <c r="T29" s="22"/>
    </row>
    <row r="30" spans="3:25" x14ac:dyDescent="0.2">
      <c r="E30" s="794" t="s">
        <v>35</v>
      </c>
      <c r="F30" s="773">
        <f>+'CERDA HERNANDEZ JOSE LUIS'!F29</f>
        <v>45936</v>
      </c>
      <c r="G30" s="774"/>
      <c r="H30" s="20">
        <f>+F30+1</f>
        <v>45937</v>
      </c>
      <c r="I30" s="20">
        <f>+H30+1</f>
        <v>45938</v>
      </c>
      <c r="J30" s="20">
        <f>+I30+1</f>
        <v>45939</v>
      </c>
      <c r="K30" s="20">
        <f>+J30+1</f>
        <v>45940</v>
      </c>
      <c r="L30" s="20">
        <f>+K30+2</f>
        <v>45942</v>
      </c>
      <c r="M30" s="547"/>
      <c r="N30" s="21" t="s">
        <v>36</v>
      </c>
    </row>
    <row r="31" spans="3:25" ht="13.5" thickBot="1" x14ac:dyDescent="0.25">
      <c r="C31" s="22"/>
      <c r="E31" s="795"/>
      <c r="F31" s="775"/>
      <c r="G31" s="776"/>
      <c r="H31" s="42"/>
      <c r="I31" s="42">
        <v>0</v>
      </c>
      <c r="J31" s="42">
        <v>0</v>
      </c>
      <c r="K31" s="42">
        <v>0</v>
      </c>
      <c r="L31" s="42"/>
      <c r="M31" s="548"/>
      <c r="N31" s="43">
        <f>SUM(F31:L31)</f>
        <v>0</v>
      </c>
    </row>
    <row r="32" spans="3:25" ht="13.5" thickBot="1" x14ac:dyDescent="0.25">
      <c r="I32" s="23"/>
      <c r="T32" s="77"/>
    </row>
    <row r="33" spans="3:26" ht="15.75" thickBot="1" x14ac:dyDescent="0.3">
      <c r="C33" s="825" t="s">
        <v>37</v>
      </c>
      <c r="D33" s="826"/>
      <c r="E33" s="826"/>
      <c r="F33" s="826"/>
      <c r="G33" s="827"/>
      <c r="I33" s="838" t="s">
        <v>38</v>
      </c>
      <c r="J33" s="839"/>
      <c r="K33" s="839"/>
      <c r="L33" s="840"/>
      <c r="M33" s="545"/>
      <c r="O33" s="828" t="s">
        <v>39</v>
      </c>
      <c r="P33" s="829"/>
      <c r="Q33" s="830">
        <f>+(F43-L41)</f>
        <v>10526.391339979858</v>
      </c>
      <c r="R33" s="831"/>
      <c r="S33" s="832"/>
      <c r="T33" s="546"/>
      <c r="W33" s="77"/>
      <c r="Z33" s="77"/>
    </row>
    <row r="34" spans="3:26" ht="13.5" thickBot="1" x14ac:dyDescent="0.25">
      <c r="C34" s="833" t="s">
        <v>207</v>
      </c>
      <c r="D34" s="834"/>
      <c r="E34" s="835"/>
      <c r="F34" s="836">
        <f>SUM(Q18:Q29)</f>
        <v>1582.2</v>
      </c>
      <c r="G34" s="837"/>
      <c r="I34" s="121" t="s">
        <v>106</v>
      </c>
      <c r="J34" s="59" t="s">
        <v>107</v>
      </c>
      <c r="K34" s="59" t="s">
        <v>69</v>
      </c>
      <c r="L34" s="119" t="s">
        <v>108</v>
      </c>
      <c r="M34" s="549"/>
    </row>
    <row r="35" spans="3:26" ht="15.75" customHeight="1" thickBot="1" x14ac:dyDescent="0.25">
      <c r="C35" s="843" t="s">
        <v>208</v>
      </c>
      <c r="D35" s="844"/>
      <c r="E35" s="845"/>
      <c r="F35" s="846">
        <f>SUM(T18:T29)</f>
        <v>6744.1913399798577</v>
      </c>
      <c r="G35" s="847"/>
      <c r="I35" s="122"/>
      <c r="J35" s="123"/>
      <c r="K35" s="49"/>
      <c r="L35" s="120"/>
      <c r="M35" s="549"/>
      <c r="O35" s="62" t="s">
        <v>69</v>
      </c>
      <c r="P35" s="63" t="s">
        <v>70</v>
      </c>
      <c r="Q35" s="456" t="s">
        <v>71</v>
      </c>
      <c r="R35" s="64"/>
      <c r="S35" s="457" t="s">
        <v>72</v>
      </c>
      <c r="T35" s="63" t="s">
        <v>73</v>
      </c>
      <c r="U35" s="154" t="s">
        <v>117</v>
      </c>
      <c r="V35" s="21" t="s">
        <v>118</v>
      </c>
    </row>
    <row r="36" spans="3:26" x14ac:dyDescent="0.2">
      <c r="C36" s="843" t="s">
        <v>35</v>
      </c>
      <c r="D36" s="844"/>
      <c r="E36" s="845"/>
      <c r="F36" s="846">
        <f>+N31</f>
        <v>0</v>
      </c>
      <c r="G36" s="847"/>
      <c r="I36" s="124"/>
      <c r="J36" s="235"/>
      <c r="K36" s="60"/>
      <c r="L36" s="118"/>
      <c r="M36" s="549"/>
      <c r="O36" s="44">
        <v>46369</v>
      </c>
      <c r="P36" s="69" t="s">
        <v>237</v>
      </c>
      <c r="Q36" s="70">
        <v>340020</v>
      </c>
      <c r="R36" s="70"/>
      <c r="S36" s="70">
        <v>342771</v>
      </c>
      <c r="T36" s="69">
        <f>+S36-Q36</f>
        <v>2751</v>
      </c>
      <c r="U36" s="157">
        <v>2690</v>
      </c>
      <c r="V36" s="156">
        <v>772.41300000000001</v>
      </c>
    </row>
    <row r="37" spans="3:26" x14ac:dyDescent="0.2">
      <c r="C37" s="843" t="s">
        <v>40</v>
      </c>
      <c r="D37" s="844"/>
      <c r="E37" s="845"/>
      <c r="F37" s="846"/>
      <c r="G37" s="847"/>
      <c r="I37" s="124"/>
      <c r="J37" s="235"/>
      <c r="K37" s="60"/>
      <c r="L37" s="118"/>
      <c r="M37" s="549"/>
      <c r="O37" s="66">
        <v>45943</v>
      </c>
      <c r="P37" s="67" t="s">
        <v>235</v>
      </c>
      <c r="Q37" s="70">
        <v>332518</v>
      </c>
      <c r="R37" s="68"/>
      <c r="S37" s="51">
        <v>335237</v>
      </c>
      <c r="T37" s="67">
        <f>+S37-Q37</f>
        <v>2719</v>
      </c>
      <c r="U37" s="155">
        <v>2690</v>
      </c>
      <c r="V37" s="156">
        <v>828.65800000000002</v>
      </c>
    </row>
    <row r="38" spans="3:26" ht="13.5" thickBot="1" x14ac:dyDescent="0.25">
      <c r="C38" s="843" t="s">
        <v>41</v>
      </c>
      <c r="D38" s="844"/>
      <c r="E38" s="845"/>
      <c r="F38" s="846">
        <v>1200</v>
      </c>
      <c r="G38" s="847"/>
      <c r="I38" s="124"/>
      <c r="J38" s="60"/>
      <c r="K38" s="60"/>
      <c r="L38" s="118"/>
      <c r="M38" s="549"/>
      <c r="O38" s="71"/>
      <c r="P38" s="72"/>
      <c r="Q38" s="73"/>
      <c r="R38" s="73"/>
      <c r="S38" s="41"/>
      <c r="T38" s="72">
        <f>+S38-Q38</f>
        <v>0</v>
      </c>
      <c r="U38" s="158"/>
      <c r="V38" s="159"/>
      <c r="Z38" s="77"/>
    </row>
    <row r="39" spans="3:26" ht="15" x14ac:dyDescent="0.25">
      <c r="C39" s="843" t="s">
        <v>42</v>
      </c>
      <c r="D39" s="844"/>
      <c r="E39" s="845"/>
      <c r="F39" s="846">
        <v>1000</v>
      </c>
      <c r="G39" s="847"/>
      <c r="I39" s="124"/>
      <c r="J39" s="60"/>
      <c r="K39" s="60"/>
      <c r="L39" s="118"/>
      <c r="M39" s="549"/>
      <c r="P39" s="27"/>
      <c r="Q39" s="27"/>
      <c r="R39" s="27"/>
      <c r="S39" s="27"/>
      <c r="T39" s="27"/>
      <c r="U39" s="26"/>
    </row>
    <row r="40" spans="3:26" ht="15.75" thickBot="1" x14ac:dyDescent="0.3">
      <c r="C40" s="24" t="s">
        <v>170</v>
      </c>
      <c r="D40" s="25"/>
      <c r="E40" s="25"/>
      <c r="F40" s="846"/>
      <c r="G40" s="847"/>
      <c r="I40" s="124"/>
      <c r="J40" s="60"/>
      <c r="K40" s="60"/>
      <c r="L40" s="118"/>
      <c r="M40" s="549"/>
      <c r="T40" s="27"/>
      <c r="U40" s="26"/>
    </row>
    <row r="41" spans="3:26" ht="15.75" thickBot="1" x14ac:dyDescent="0.3">
      <c r="C41" s="24" t="s">
        <v>211</v>
      </c>
      <c r="D41" s="25"/>
      <c r="E41" s="25"/>
      <c r="F41" s="846"/>
      <c r="G41" s="847"/>
      <c r="I41" s="848" t="s">
        <v>44</v>
      </c>
      <c r="J41" s="849"/>
      <c r="K41" s="850"/>
      <c r="L41" s="125">
        <f>SUM(L35:L40)</f>
        <v>0</v>
      </c>
      <c r="M41" s="550"/>
      <c r="T41" s="27"/>
      <c r="U41" s="26"/>
    </row>
    <row r="42" spans="3:26" ht="15.75" thickBot="1" x14ac:dyDescent="0.3">
      <c r="C42" s="241" t="s">
        <v>290</v>
      </c>
      <c r="D42" s="242"/>
      <c r="E42" s="242"/>
      <c r="F42" s="841"/>
      <c r="G42" s="842"/>
      <c r="N42" s="19"/>
      <c r="P42" s="817" t="s">
        <v>61</v>
      </c>
      <c r="Q42" s="818"/>
      <c r="R42" s="27"/>
      <c r="S42" s="27"/>
      <c r="T42" s="26"/>
    </row>
    <row r="43" spans="3:26" ht="15.75" thickBot="1" x14ac:dyDescent="0.3">
      <c r="C43" s="792" t="s">
        <v>45</v>
      </c>
      <c r="D43" s="793"/>
      <c r="E43" s="813"/>
      <c r="F43" s="814">
        <f>SUM(F34:G42)</f>
        <v>10526.391339979858</v>
      </c>
      <c r="G43" s="815"/>
      <c r="I43" s="657">
        <v>0.37291666666666662</v>
      </c>
      <c r="J43" s="657">
        <v>0.5625</v>
      </c>
      <c r="K43" s="657">
        <f>+J43-I43</f>
        <v>0.18958333333333338</v>
      </c>
      <c r="P43" s="44">
        <v>1</v>
      </c>
      <c r="Q43" s="69" t="s">
        <v>62</v>
      </c>
      <c r="R43" s="27"/>
      <c r="S43" s="351"/>
      <c r="T43" s="26"/>
    </row>
    <row r="44" spans="3:26" ht="15.75" thickBot="1" x14ac:dyDescent="0.3">
      <c r="I44" s="657">
        <v>0.88541666666666663</v>
      </c>
      <c r="J44" s="657">
        <v>0.95833333333333337</v>
      </c>
      <c r="K44" s="657">
        <f>+J44-I44</f>
        <v>7.2916666666666741E-2</v>
      </c>
      <c r="P44" s="44">
        <v>2</v>
      </c>
      <c r="Q44" s="69" t="s">
        <v>110</v>
      </c>
      <c r="R44" s="27"/>
      <c r="S44" s="27"/>
      <c r="T44" s="26"/>
    </row>
    <row r="45" spans="3:26" ht="15.75" thickBot="1" x14ac:dyDescent="0.3">
      <c r="C45" s="28" t="s">
        <v>46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30"/>
      <c r="P45" s="71">
        <v>3</v>
      </c>
      <c r="Q45" s="72" t="s">
        <v>109</v>
      </c>
      <c r="R45" s="27"/>
      <c r="S45" s="27"/>
      <c r="T45" s="26"/>
    </row>
    <row r="46" spans="3:26" ht="15" x14ac:dyDescent="0.25">
      <c r="C46" s="31"/>
      <c r="I46" s="657">
        <v>0.39444444444444443</v>
      </c>
      <c r="J46" s="657">
        <v>0.61041666666666672</v>
      </c>
      <c r="K46" s="657">
        <f>+J46-I46</f>
        <v>0.21597222222222229</v>
      </c>
      <c r="N46" s="32"/>
      <c r="P46" s="27"/>
      <c r="Q46" s="27"/>
      <c r="R46" s="27"/>
      <c r="S46" s="27"/>
      <c r="T46" s="27"/>
      <c r="U46" s="26"/>
    </row>
    <row r="47" spans="3:26" ht="15.75" thickBot="1" x14ac:dyDescent="0.3">
      <c r="C47" s="33"/>
      <c r="D47" s="34"/>
      <c r="E47" s="34"/>
      <c r="F47" s="34"/>
      <c r="G47" s="34"/>
      <c r="H47" s="34"/>
      <c r="I47" s="755">
        <v>0.85486111111111107</v>
      </c>
      <c r="J47" s="755">
        <v>0.98888888888888893</v>
      </c>
      <c r="K47" s="755">
        <f>+J47-I47</f>
        <v>0.13402777777777786</v>
      </c>
      <c r="L47" s="34"/>
      <c r="M47" s="34"/>
      <c r="N47" s="35"/>
      <c r="P47" s="27"/>
      <c r="Q47" s="27"/>
      <c r="R47" s="27"/>
      <c r="S47" s="27"/>
      <c r="T47" s="37"/>
      <c r="U47" s="26"/>
    </row>
    <row r="48" spans="3:26" ht="15" x14ac:dyDescent="0.25">
      <c r="P48" s="27"/>
      <c r="Q48" s="27"/>
      <c r="R48" s="27"/>
      <c r="S48" s="27"/>
      <c r="T48" s="37"/>
      <c r="U48" s="26"/>
    </row>
    <row r="49" spans="3:20" ht="13.5" thickBot="1" x14ac:dyDescent="0.25">
      <c r="P49" s="27"/>
      <c r="Q49" s="27"/>
      <c r="R49" s="27"/>
      <c r="S49" s="27"/>
      <c r="T49" s="37"/>
    </row>
    <row r="50" spans="3:20" ht="13.5" thickTop="1" x14ac:dyDescent="0.2">
      <c r="D50" s="816" t="s">
        <v>47</v>
      </c>
      <c r="E50" s="816"/>
      <c r="F50" s="816"/>
      <c r="G50" s="816"/>
      <c r="H50" s="816"/>
      <c r="J50" s="816" t="s">
        <v>48</v>
      </c>
      <c r="K50" s="816"/>
      <c r="L50" s="816"/>
      <c r="M50" s="816"/>
      <c r="N50" s="816"/>
      <c r="P50" s="37"/>
      <c r="Q50" s="37"/>
      <c r="R50" s="37"/>
      <c r="S50" s="37"/>
      <c r="T50" s="37"/>
    </row>
    <row r="51" spans="3:20" x14ac:dyDescent="0.2">
      <c r="C51" t="s">
        <v>99</v>
      </c>
      <c r="P51" s="37"/>
      <c r="Q51" s="37"/>
      <c r="R51" s="37"/>
      <c r="S51" s="37"/>
      <c r="T51" s="36"/>
    </row>
    <row r="52" spans="3:20" x14ac:dyDescent="0.2">
      <c r="P52" s="37"/>
      <c r="Q52" s="37"/>
      <c r="R52" s="37"/>
      <c r="S52" s="37"/>
    </row>
    <row r="53" spans="3:20" x14ac:dyDescent="0.2">
      <c r="P53" s="37"/>
      <c r="Q53" s="37"/>
      <c r="R53" s="37"/>
      <c r="S53" s="37"/>
    </row>
    <row r="54" spans="3:20" ht="15" customHeight="1" x14ac:dyDescent="0.2">
      <c r="P54" s="36"/>
      <c r="Q54" s="36"/>
      <c r="R54" s="36"/>
      <c r="S54" s="36"/>
    </row>
  </sheetData>
  <mergeCells count="43">
    <mergeCell ref="P42:Q42"/>
    <mergeCell ref="O33:P33"/>
    <mergeCell ref="Q33:S33"/>
    <mergeCell ref="C34:E34"/>
    <mergeCell ref="F34:G34"/>
    <mergeCell ref="I33:L33"/>
    <mergeCell ref="I41:K41"/>
    <mergeCell ref="J50:N50"/>
    <mergeCell ref="F40:G40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F41:G41"/>
    <mergeCell ref="F42:G42"/>
    <mergeCell ref="D16:E16"/>
    <mergeCell ref="E30:E31"/>
    <mergeCell ref="F30:G30"/>
    <mergeCell ref="F31:G31"/>
    <mergeCell ref="D50:H50"/>
    <mergeCell ref="C33:G33"/>
    <mergeCell ref="C43:E43"/>
    <mergeCell ref="F43:G43"/>
    <mergeCell ref="D14:E14"/>
    <mergeCell ref="D15:E1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</mergeCells>
  <pageMargins left="0.19685039370078741" right="0.19685039370078741" top="0.35433070866141736" bottom="0.35433070866141736" header="0.31496062992125984" footer="0.31496062992125984"/>
  <pageSetup paperSize="9" scale="81" orientation="landscape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9">
    <pageSetUpPr fitToPage="1"/>
  </sheetPr>
  <dimension ref="C1:Z54"/>
  <sheetViews>
    <sheetView topLeftCell="A4" zoomScaleNormal="100" workbookViewId="0">
      <selection activeCell="I42" sqref="I42"/>
    </sheetView>
  </sheetViews>
  <sheetFormatPr baseColWidth="10" defaultColWidth="9.140625" defaultRowHeight="12.75" x14ac:dyDescent="0.2"/>
  <cols>
    <col min="1" max="1" width="2.140625" customWidth="1"/>
    <col min="2" max="2" width="2.85546875" customWidth="1"/>
    <col min="3" max="3" width="13.140625" customWidth="1"/>
    <col min="4" max="4" width="11.7109375" customWidth="1"/>
    <col min="5" max="5" width="7.7109375" bestFit="1" customWidth="1"/>
    <col min="6" max="6" width="9.7109375" customWidth="1"/>
    <col min="7" max="7" width="7" customWidth="1"/>
    <col min="8" max="8" width="12.5703125" customWidth="1"/>
    <col min="9" max="9" width="20" bestFit="1" customWidth="1"/>
    <col min="10" max="10" width="10.7109375" customWidth="1"/>
    <col min="11" max="11" width="9.7109375" customWidth="1"/>
    <col min="12" max="12" width="12.28515625" customWidth="1"/>
    <col min="13" max="13" width="10.5703125" bestFit="1" customWidth="1"/>
    <col min="14" max="14" width="9.5703125" customWidth="1"/>
    <col min="15" max="15" width="10.7109375" customWidth="1"/>
    <col min="16" max="16" width="9.7109375" customWidth="1"/>
    <col min="17" max="17" width="13" customWidth="1"/>
    <col min="18" max="18" width="13" hidden="1" customWidth="1"/>
    <col min="19" max="19" width="11" bestFit="1" customWidth="1"/>
    <col min="20" max="20" width="11.42578125" customWidth="1"/>
    <col min="21" max="21" width="10.7109375" hidden="1" customWidth="1"/>
    <col min="22" max="22" width="9.7109375" hidden="1" customWidth="1"/>
    <col min="23" max="25" width="9.140625" customWidth="1"/>
    <col min="26" max="26" width="10.57031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6" t="s">
        <v>0</v>
      </c>
      <c r="R2" s="797"/>
      <c r="S2" s="798"/>
    </row>
    <row r="3" spans="4:19" ht="19.5" thickBot="1" x14ac:dyDescent="0.35">
      <c r="I3" s="799" t="s">
        <v>1</v>
      </c>
      <c r="J3" s="800"/>
      <c r="K3" s="800"/>
      <c r="L3" s="800"/>
      <c r="M3" s="800"/>
      <c r="N3" s="800"/>
      <c r="O3" s="801"/>
      <c r="Q3" s="802">
        <f>+'CERDA HERNANDEZ JOSE LUIS'!Q3</f>
        <v>42</v>
      </c>
      <c r="R3" s="803"/>
      <c r="S3" s="804"/>
    </row>
    <row r="4" spans="4:19" ht="16.5" thickBot="1" x14ac:dyDescent="0.3">
      <c r="I4" s="805" t="s">
        <v>2</v>
      </c>
      <c r="J4" s="806"/>
      <c r="K4" s="806"/>
      <c r="L4" s="806"/>
      <c r="M4" s="806"/>
      <c r="N4" s="806"/>
      <c r="O4" s="807"/>
      <c r="Q4" s="811"/>
      <c r="R4" s="811"/>
      <c r="S4" s="811"/>
    </row>
    <row r="5" spans="4:19" ht="13.5" thickBot="1" x14ac:dyDescent="0.25">
      <c r="I5" s="808" t="s">
        <v>3</v>
      </c>
      <c r="J5" s="809"/>
      <c r="K5" s="809"/>
      <c r="L5" s="809"/>
      <c r="M5" s="809"/>
      <c r="N5" s="809"/>
      <c r="O5" s="810"/>
      <c r="Q5" s="783" t="s">
        <v>4</v>
      </c>
      <c r="R5" s="784"/>
      <c r="S5" s="785"/>
    </row>
    <row r="6" spans="4:19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780">
        <f>+'PAYAN ESTRADA JOSE ANGEL'!Q6+1</f>
        <v>9</v>
      </c>
      <c r="R6" s="781"/>
      <c r="S6" s="782"/>
    </row>
    <row r="7" spans="4:19" ht="9" customHeight="1" x14ac:dyDescent="0.2"/>
    <row r="8" spans="4:19" ht="6.75" customHeight="1" thickBot="1" x14ac:dyDescent="0.25"/>
    <row r="9" spans="4:19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19" ht="11.25" customHeight="1" thickBot="1" x14ac:dyDescent="0.25"/>
    <row r="11" spans="4:19" x14ac:dyDescent="0.2">
      <c r="D11" s="1" t="s">
        <v>7</v>
      </c>
      <c r="E11" s="2" t="s">
        <v>83</v>
      </c>
      <c r="F11" s="2"/>
      <c r="G11" s="2"/>
      <c r="H11" s="2"/>
      <c r="I11" s="2"/>
      <c r="J11" s="3"/>
      <c r="K11" s="4" t="s">
        <v>9</v>
      </c>
      <c r="L11" s="786" t="str">
        <f>+NOMINA!B3</f>
        <v>SEMANA #42 PERIODO DEL 06 AL 12 DE OCTUBRE  DEL 2025</v>
      </c>
      <c r="M11" s="786"/>
      <c r="N11" s="786"/>
      <c r="O11" s="786"/>
      <c r="P11" s="786"/>
      <c r="Q11" s="786"/>
      <c r="R11" s="786"/>
      <c r="S11" s="787"/>
    </row>
    <row r="12" spans="4:19" x14ac:dyDescent="0.2">
      <c r="D12" s="5" t="s">
        <v>10</v>
      </c>
      <c r="E12" s="788" t="s">
        <v>343</v>
      </c>
      <c r="F12" s="78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90" t="s">
        <v>11</v>
      </c>
      <c r="E14" s="791"/>
      <c r="F14" s="7">
        <v>1172526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90" t="s">
        <v>14</v>
      </c>
      <c r="E15" s="791"/>
      <c r="F15" s="7">
        <v>1175216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92" t="s">
        <v>17</v>
      </c>
      <c r="E16" s="793"/>
      <c r="F16" s="12">
        <f>SUM(J19:J27)</f>
        <v>6787</v>
      </c>
      <c r="G16" s="12"/>
      <c r="H16" s="12"/>
      <c r="I16" s="13" t="s">
        <v>18</v>
      </c>
      <c r="J16" s="12">
        <f>SUM(K19:K27)</f>
        <v>1899.56</v>
      </c>
      <c r="K16" s="12"/>
      <c r="L16" s="12"/>
      <c r="M16" s="12"/>
      <c r="N16" s="12"/>
      <c r="O16" s="14" t="s">
        <v>19</v>
      </c>
      <c r="P16" s="15">
        <f>+F16/J16</f>
        <v>3.5729326791467497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9" t="s">
        <v>208</v>
      </c>
      <c r="U18" s="699" t="s">
        <v>333</v>
      </c>
      <c r="V18" s="698" t="s">
        <v>335</v>
      </c>
    </row>
    <row r="19" spans="3:26" x14ac:dyDescent="0.2">
      <c r="C19" s="52">
        <v>46368</v>
      </c>
      <c r="D19" s="279" t="s">
        <v>348</v>
      </c>
      <c r="E19" s="280">
        <v>45934</v>
      </c>
      <c r="F19" s="280">
        <v>45936</v>
      </c>
      <c r="G19" s="279">
        <v>3</v>
      </c>
      <c r="H19" s="17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131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GUAMUCHIL</v>
      </c>
      <c r="J19" s="13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1330</v>
      </c>
      <c r="K19" s="131"/>
      <c r="L19" s="193"/>
      <c r="M19" s="193"/>
      <c r="N19" s="131">
        <v>1</v>
      </c>
      <c r="O19" s="131" t="s">
        <v>350</v>
      </c>
      <c r="P19" s="131" t="s">
        <v>174</v>
      </c>
      <c r="Q19" s="194">
        <f>(IF(N19=1,((J19)*0.3)))+(IF(N19=2,(J19*0.15))+(IF(N19=3,(J19*0.15))))</f>
        <v>399</v>
      </c>
      <c r="R19" s="215"/>
      <c r="S19" s="195"/>
      <c r="T19" s="676"/>
      <c r="U19" s="131">
        <v>56</v>
      </c>
      <c r="V19" s="715">
        <v>56</v>
      </c>
    </row>
    <row r="20" spans="3:26" ht="13.5" thickBot="1" x14ac:dyDescent="0.25">
      <c r="C20" s="40"/>
      <c r="D20" s="283" t="s">
        <v>349</v>
      </c>
      <c r="E20" s="284">
        <v>45936</v>
      </c>
      <c r="F20" s="284">
        <v>45937</v>
      </c>
      <c r="G20" s="283">
        <v>4</v>
      </c>
      <c r="H20" s="115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GUAMUCHIL</v>
      </c>
      <c r="I20" s="106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107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1330</v>
      </c>
      <c r="K20" s="106">
        <v>793.88300000000004</v>
      </c>
      <c r="L20" s="255">
        <f>SUM(J19:J20)/K20</f>
        <v>3.3506196756952851</v>
      </c>
      <c r="M20" s="716">
        <v>2</v>
      </c>
      <c r="N20" s="106">
        <v>1</v>
      </c>
      <c r="O20" s="106" t="s">
        <v>351</v>
      </c>
      <c r="P20" s="106" t="s">
        <v>174</v>
      </c>
      <c r="Q20" s="256">
        <f t="shared" ref="Q20" si="0">(IF(N20=1,(J20*0.3)))+(IF(N20=2,(J20*0.15))+(IF(N20=3,(J20*0.15))))</f>
        <v>399</v>
      </c>
      <c r="R20" s="216">
        <f>+LOOKUP(P35,UNIDADES!B$3:B$73,UNIDADES!C$3:C$73)</f>
        <v>2.60127</v>
      </c>
      <c r="S20" s="202">
        <f>(SUM(J19:J20)/R20)-K20</f>
        <v>228.69443333064237</v>
      </c>
      <c r="T20" s="678">
        <f>(IF(M20=1,(S20*16)))+(IF(M20=2,(S20*17.26))+(IF(M20=3,(S20*17.66))+(IF(M20=4,(S20*18.06))+(IF(M20=5,(S20*18.46))+(IF(M20=6,(S20*18.86))+(IF(M20=7,(S20*19.26))))))))</f>
        <v>3947.2659192868878</v>
      </c>
      <c r="U20" s="106">
        <v>10</v>
      </c>
      <c r="V20" s="717">
        <v>9</v>
      </c>
      <c r="X20" s="23"/>
      <c r="Y20" s="546"/>
    </row>
    <row r="21" spans="3:26" x14ac:dyDescent="0.2">
      <c r="C21" s="48">
        <v>45909</v>
      </c>
      <c r="D21" s="293" t="s">
        <v>419</v>
      </c>
      <c r="E21" s="294">
        <v>45937</v>
      </c>
      <c r="F21" s="294">
        <v>45939</v>
      </c>
      <c r="G21" s="293">
        <v>1</v>
      </c>
      <c r="H21" s="197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180" t="s">
        <v>431</v>
      </c>
      <c r="J21" s="181">
        <v>1795</v>
      </c>
      <c r="K21" s="180"/>
      <c r="L21" s="295"/>
      <c r="M21" s="295"/>
      <c r="N21" s="180">
        <v>1</v>
      </c>
      <c r="O21" s="180" t="s">
        <v>432</v>
      </c>
      <c r="P21" s="180" t="s">
        <v>176</v>
      </c>
      <c r="Q21" s="296">
        <f>(IF(N21=1,((J21)*0.3)))+(IF(N21=2,(J21*0.15))+(IF(N21=3,(J21*0.15))))</f>
        <v>538.5</v>
      </c>
      <c r="R21" s="297"/>
      <c r="S21" s="316"/>
      <c r="T21" s="677"/>
      <c r="U21" s="293"/>
      <c r="V21" s="293"/>
      <c r="X21" s="23"/>
      <c r="Y21" s="546"/>
    </row>
    <row r="22" spans="3:26" x14ac:dyDescent="0.2">
      <c r="C22" s="39"/>
      <c r="D22" s="299" t="s">
        <v>420</v>
      </c>
      <c r="E22" s="300">
        <v>45939</v>
      </c>
      <c r="F22" s="300">
        <v>45940</v>
      </c>
      <c r="G22" s="299">
        <v>1</v>
      </c>
      <c r="H22" s="113" t="s">
        <v>431</v>
      </c>
      <c r="I22" s="113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OBRG</v>
      </c>
      <c r="J22" s="114">
        <v>1311</v>
      </c>
      <c r="K22" s="113"/>
      <c r="L22" s="301"/>
      <c r="M22" s="641"/>
      <c r="N22" s="113">
        <v>2</v>
      </c>
      <c r="O22" s="113" t="s">
        <v>432</v>
      </c>
      <c r="P22" s="113" t="s">
        <v>176</v>
      </c>
      <c r="Q22" s="302">
        <f>(IF(N22=1,((J22)*0.3)))+(IF(N22=2,(J22*0.15))+(IF(N22=3,(J22*0.15))))</f>
        <v>196.65</v>
      </c>
      <c r="R22" s="251"/>
      <c r="S22" s="252"/>
      <c r="T22" s="673"/>
      <c r="U22" s="299">
        <v>56</v>
      </c>
      <c r="V22" s="299">
        <v>56</v>
      </c>
      <c r="X22" s="23"/>
      <c r="Y22" s="546"/>
    </row>
    <row r="23" spans="3:26" ht="13.5" thickBot="1" x14ac:dyDescent="0.25">
      <c r="C23" s="40"/>
      <c r="D23" s="283" t="s">
        <v>421</v>
      </c>
      <c r="E23" s="284">
        <v>45941</v>
      </c>
      <c r="F23" s="284">
        <v>45942</v>
      </c>
      <c r="G23" s="283">
        <v>2</v>
      </c>
      <c r="H23" s="10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$65))))))))))))))))))))))))))))))))))))))))))))))))))))))))))))))</f>
        <v>OBRG</v>
      </c>
      <c r="I23" s="10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$65))))))))))))))))))))))))))))))))))))))))))))))))))))))))))))))</f>
        <v>JRZ</v>
      </c>
      <c r="J23" s="10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$65))))))))))))))))))))))))))))))))))))))))))))))))))))))))))))))</f>
        <v>1021</v>
      </c>
      <c r="K23" s="106">
        <v>1105.6769999999999</v>
      </c>
      <c r="L23" s="255">
        <f>SUM(J21:J23)/K23</f>
        <v>3.7325548057886708</v>
      </c>
      <c r="M23" s="255">
        <v>7</v>
      </c>
      <c r="N23" s="106">
        <v>1</v>
      </c>
      <c r="O23" s="106" t="s">
        <v>433</v>
      </c>
      <c r="P23" s="106" t="s">
        <v>176</v>
      </c>
      <c r="Q23" s="256">
        <f t="shared" ref="Q23" si="1">(IF(N23=1,(J23*0.3)))+(IF(N23=2,(J23*0.15))+(IF(N23=3,(J23*0.15))))</f>
        <v>306.3</v>
      </c>
      <c r="R23" s="216">
        <f>+LOOKUP(P36,UNIDADES!B$3:B$73,UNIDADES!C$3:C$73)</f>
        <v>2.60127</v>
      </c>
      <c r="S23" s="202">
        <f>(SUM(J21:J23)/R23)-K23</f>
        <v>480.85573208855681</v>
      </c>
      <c r="T23" s="678">
        <f>(IF(M23=1,(S23*16)))+(IF(M23=2,(S23*17.26))+(IF(M23=3,(S23*17.66))+(IF(M23=4,(S23*18.06))+(IF(M23=5,(S23*18.46))+(IF(M23=6,(S23*18.86))+(IF(M23=7,(S23*19.26))))))))</f>
        <v>9261.2814000256039</v>
      </c>
      <c r="U23" s="299">
        <v>9</v>
      </c>
      <c r="V23" s="299">
        <v>9</v>
      </c>
      <c r="W23" s="657"/>
      <c r="X23" s="23"/>
      <c r="Y23" s="546"/>
    </row>
    <row r="24" spans="3:26" hidden="1" x14ac:dyDescent="0.2">
      <c r="C24" s="535"/>
      <c r="D24" s="293"/>
      <c r="E24" s="294"/>
      <c r="F24" s="294"/>
      <c r="G24" s="293"/>
      <c r="H24" s="180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16"/>
      <c r="T24" s="677"/>
      <c r="U24" s="299"/>
      <c r="V24" s="299"/>
      <c r="X24" s="23"/>
      <c r="Y24" s="546"/>
    </row>
    <row r="25" spans="3:26" hidden="1" x14ac:dyDescent="0.2">
      <c r="C25" s="534"/>
      <c r="D25" s="299"/>
      <c r="E25" s="300"/>
      <c r="F25" s="300"/>
      <c r="G25" s="299"/>
      <c r="H25" s="113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252"/>
      <c r="T25" s="673"/>
      <c r="U25" s="299"/>
      <c r="V25" s="299"/>
      <c r="X25" s="23"/>
      <c r="Y25" s="546"/>
    </row>
    <row r="26" spans="3:26" hidden="1" x14ac:dyDescent="0.2">
      <c r="C26" s="39"/>
      <c r="D26" s="299"/>
      <c r="E26" s="300"/>
      <c r="F26" s="300"/>
      <c r="G26" s="299"/>
      <c r="H26" s="113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252"/>
      <c r="T26" s="673"/>
      <c r="U26" s="299"/>
      <c r="V26" s="299"/>
      <c r="X26" s="23"/>
      <c r="Y26" s="546"/>
    </row>
    <row r="27" spans="3:26" ht="13.5" hidden="1" thickBot="1" x14ac:dyDescent="0.25">
      <c r="C27" s="40"/>
      <c r="D27" s="283"/>
      <c r="E27" s="284"/>
      <c r="F27" s="320"/>
      <c r="G27" s="106"/>
      <c r="H27" s="115"/>
      <c r="I27" s="106"/>
      <c r="J27" s="107"/>
      <c r="K27" s="106"/>
      <c r="L27" s="255"/>
      <c r="M27" s="255"/>
      <c r="N27" s="106"/>
      <c r="O27" s="106"/>
      <c r="P27" s="106"/>
      <c r="Q27" s="256"/>
      <c r="R27" s="216"/>
      <c r="S27" s="202"/>
      <c r="T27" s="678"/>
      <c r="U27" s="299"/>
      <c r="V27" s="299"/>
    </row>
    <row r="28" spans="3:26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22"/>
      <c r="N28" s="22"/>
      <c r="O28" s="22"/>
      <c r="P28" s="669"/>
      <c r="Q28" s="669"/>
      <c r="R28" s="658"/>
      <c r="S28" s="22"/>
      <c r="T28" s="22"/>
    </row>
    <row r="29" spans="3:26" x14ac:dyDescent="0.2">
      <c r="E29" s="885" t="s">
        <v>35</v>
      </c>
      <c r="F29" s="530" cm="1">
        <f t="array" ref="F29:G29">+'PAYAN ESTRADA JOSE ANGEL'!F31:G31</f>
        <v>45936</v>
      </c>
      <c r="G29" s="530">
        <v>0</v>
      </c>
      <c r="H29" s="20">
        <f>+F29+1</f>
        <v>45937</v>
      </c>
      <c r="I29" s="20">
        <f>+H29+1</f>
        <v>45938</v>
      </c>
      <c r="J29" s="20">
        <f>+I29+1</f>
        <v>45939</v>
      </c>
      <c r="K29" s="20">
        <f>+J29+1</f>
        <v>45940</v>
      </c>
      <c r="L29" s="20">
        <f>+K29+2</f>
        <v>45942</v>
      </c>
      <c r="M29" s="547"/>
      <c r="N29" s="21" t="s">
        <v>84</v>
      </c>
      <c r="S29" s="657"/>
      <c r="T29" s="657"/>
      <c r="U29" s="657"/>
    </row>
    <row r="30" spans="3:26" ht="13.5" thickBot="1" x14ac:dyDescent="0.25">
      <c r="C30" s="22"/>
      <c r="E30" s="886"/>
      <c r="F30" s="887"/>
      <c r="G30" s="776"/>
      <c r="H30" s="42"/>
      <c r="I30" s="42">
        <v>0</v>
      </c>
      <c r="J30" s="42">
        <v>0</v>
      </c>
      <c r="K30" s="42">
        <v>0</v>
      </c>
      <c r="L30" s="42">
        <v>0</v>
      </c>
      <c r="M30" s="548"/>
      <c r="N30" s="43">
        <f>SUM(F30:L30)</f>
        <v>0</v>
      </c>
    </row>
    <row r="31" spans="3:26" ht="13.5" thickBot="1" x14ac:dyDescent="0.25">
      <c r="I31" s="23"/>
      <c r="P31" t="s">
        <v>99</v>
      </c>
    </row>
    <row r="32" spans="3:26" ht="15.75" thickBot="1" x14ac:dyDescent="0.3">
      <c r="C32" s="825" t="s">
        <v>37</v>
      </c>
      <c r="D32" s="826"/>
      <c r="E32" s="826"/>
      <c r="F32" s="826"/>
      <c r="G32" s="827"/>
      <c r="I32" s="838" t="s">
        <v>38</v>
      </c>
      <c r="J32" s="839"/>
      <c r="K32" s="839"/>
      <c r="L32" s="840"/>
      <c r="M32" s="331"/>
      <c r="O32" s="828" t="s">
        <v>39</v>
      </c>
      <c r="P32" s="829"/>
      <c r="Q32" s="830">
        <f>+F42-L40</f>
        <v>19386.997319312493</v>
      </c>
      <c r="R32" s="831"/>
      <c r="S32" s="832"/>
      <c r="Z32" s="77"/>
    </row>
    <row r="33" spans="3:22" ht="13.5" thickBot="1" x14ac:dyDescent="0.25">
      <c r="C33" s="833" t="s">
        <v>207</v>
      </c>
      <c r="D33" s="834"/>
      <c r="E33" s="835"/>
      <c r="F33" s="836">
        <f>SUM(Q18:Q28)</f>
        <v>1839.45</v>
      </c>
      <c r="G33" s="837"/>
      <c r="I33" s="121" t="s">
        <v>106</v>
      </c>
      <c r="J33" s="59" t="s">
        <v>107</v>
      </c>
      <c r="K33" s="59" t="s">
        <v>69</v>
      </c>
      <c r="L33" s="119" t="s">
        <v>108</v>
      </c>
      <c r="M33" s="563"/>
      <c r="U33" s="574"/>
      <c r="V33" s="574"/>
    </row>
    <row r="34" spans="3:22" ht="13.5" thickBot="1" x14ac:dyDescent="0.25">
      <c r="C34" s="843" t="s">
        <v>208</v>
      </c>
      <c r="D34" s="844"/>
      <c r="E34" s="845"/>
      <c r="F34" s="846">
        <f>SUM(T18:T28)</f>
        <v>13208.547319312493</v>
      </c>
      <c r="G34" s="847"/>
      <c r="I34" s="654"/>
      <c r="J34" s="656"/>
      <c r="K34" s="655"/>
      <c r="L34" s="120"/>
      <c r="M34" s="563"/>
      <c r="O34" s="62" t="s">
        <v>258</v>
      </c>
      <c r="P34" s="63" t="s">
        <v>70</v>
      </c>
      <c r="Q34" s="64" t="s">
        <v>71</v>
      </c>
      <c r="R34" s="64"/>
      <c r="S34" s="65" t="s">
        <v>72</v>
      </c>
      <c r="T34" s="63" t="s">
        <v>73</v>
      </c>
      <c r="U34" s="154" t="s">
        <v>265</v>
      </c>
      <c r="V34" s="21" t="s">
        <v>260</v>
      </c>
    </row>
    <row r="35" spans="3:22" x14ac:dyDescent="0.2">
      <c r="C35" s="843" t="s">
        <v>35</v>
      </c>
      <c r="D35" s="844"/>
      <c r="E35" s="845"/>
      <c r="F35" s="846">
        <f>+N30</f>
        <v>0</v>
      </c>
      <c r="G35" s="847"/>
      <c r="I35" s="122"/>
      <c r="J35" s="235"/>
      <c r="K35" s="60"/>
      <c r="L35" s="118"/>
      <c r="M35" s="563"/>
      <c r="O35" s="429">
        <v>46368</v>
      </c>
      <c r="P35" s="67" t="s">
        <v>105</v>
      </c>
      <c r="Q35" s="68">
        <v>685427</v>
      </c>
      <c r="R35" s="68"/>
      <c r="S35" s="51">
        <v>688142</v>
      </c>
      <c r="T35" s="67">
        <f>+S35-Q35</f>
        <v>2715</v>
      </c>
      <c r="U35" s="155">
        <v>2660</v>
      </c>
      <c r="V35" s="183">
        <v>793.88300000000004</v>
      </c>
    </row>
    <row r="36" spans="3:22" x14ac:dyDescent="0.2">
      <c r="C36" s="843" t="s">
        <v>40</v>
      </c>
      <c r="D36" s="844"/>
      <c r="E36" s="845"/>
      <c r="F36" s="846">
        <v>2439</v>
      </c>
      <c r="G36" s="847"/>
      <c r="H36" s="582"/>
      <c r="I36" s="122"/>
      <c r="J36" s="235"/>
      <c r="K36" s="60"/>
      <c r="L36" s="118"/>
      <c r="M36" s="563"/>
      <c r="O36" s="508">
        <v>45909</v>
      </c>
      <c r="P36" s="526" t="s">
        <v>105</v>
      </c>
      <c r="Q36" s="51">
        <v>688143</v>
      </c>
      <c r="R36" s="70"/>
      <c r="S36" s="17">
        <v>692298</v>
      </c>
      <c r="T36" s="69">
        <f>+S36-Q36</f>
        <v>4155</v>
      </c>
      <c r="U36" s="157">
        <v>4127</v>
      </c>
      <c r="V36" s="113">
        <v>1105.6769999999999</v>
      </c>
    </row>
    <row r="37" spans="3:22" ht="13.5" thickBot="1" x14ac:dyDescent="0.25">
      <c r="C37" s="843" t="s">
        <v>41</v>
      </c>
      <c r="D37" s="844"/>
      <c r="E37" s="845"/>
      <c r="F37" s="846">
        <v>600</v>
      </c>
      <c r="G37" s="847"/>
      <c r="H37" s="582"/>
      <c r="I37" s="122"/>
      <c r="J37" s="235"/>
      <c r="K37" s="60"/>
      <c r="L37" s="118"/>
      <c r="M37" s="563"/>
      <c r="O37" s="509"/>
      <c r="P37" s="72"/>
      <c r="Q37" s="73"/>
      <c r="R37" s="73"/>
      <c r="S37" s="41"/>
      <c r="T37" s="72">
        <f>+S37-Q37</f>
        <v>0</v>
      </c>
      <c r="U37" s="158"/>
      <c r="V37" s="159"/>
    </row>
    <row r="38" spans="3:22" ht="15" x14ac:dyDescent="0.25">
      <c r="C38" s="843" t="s">
        <v>42</v>
      </c>
      <c r="D38" s="844"/>
      <c r="E38" s="845"/>
      <c r="F38" s="846">
        <v>1000</v>
      </c>
      <c r="G38" s="847"/>
      <c r="I38" s="124"/>
      <c r="J38" s="235"/>
      <c r="K38" s="60"/>
      <c r="L38" s="118"/>
      <c r="M38" s="563"/>
      <c r="P38" s="27"/>
      <c r="Q38" s="27"/>
      <c r="R38" s="27"/>
      <c r="S38" s="27"/>
      <c r="T38" s="27"/>
      <c r="U38" s="26"/>
    </row>
    <row r="39" spans="3:22" ht="15.75" thickBot="1" x14ac:dyDescent="0.3">
      <c r="C39" s="24" t="s">
        <v>337</v>
      </c>
      <c r="D39" s="25"/>
      <c r="E39" s="25"/>
      <c r="F39" s="846"/>
      <c r="G39" s="847"/>
      <c r="I39" s="124"/>
      <c r="J39" s="60"/>
      <c r="K39" s="60"/>
      <c r="L39" s="118"/>
      <c r="M39" s="563"/>
      <c r="S39" s="27"/>
      <c r="T39" s="27"/>
      <c r="U39" s="26"/>
    </row>
    <row r="40" spans="3:22" ht="15.75" thickBot="1" x14ac:dyDescent="0.3">
      <c r="C40" s="537" t="s">
        <v>296</v>
      </c>
      <c r="D40" s="25"/>
      <c r="E40" s="25"/>
      <c r="F40" s="846"/>
      <c r="G40" s="847"/>
      <c r="I40" s="848" t="s">
        <v>44</v>
      </c>
      <c r="J40" s="849"/>
      <c r="K40" s="850"/>
      <c r="L40" s="125">
        <f>SUM(L34:L39)</f>
        <v>0</v>
      </c>
      <c r="M40" s="130"/>
      <c r="S40" s="27"/>
      <c r="T40" s="27"/>
      <c r="U40" s="26"/>
    </row>
    <row r="41" spans="3:22" ht="15.75" thickBot="1" x14ac:dyDescent="0.3">
      <c r="C41" s="241" t="s">
        <v>312</v>
      </c>
      <c r="D41" s="242"/>
      <c r="E41" s="242"/>
      <c r="F41" s="841">
        <v>300</v>
      </c>
      <c r="G41" s="842"/>
      <c r="I41" s="19"/>
      <c r="J41" s="126"/>
      <c r="K41" s="126"/>
      <c r="L41" s="127"/>
      <c r="M41" s="127"/>
      <c r="P41" s="851" t="s">
        <v>61</v>
      </c>
      <c r="Q41" s="871"/>
      <c r="S41" s="27"/>
      <c r="T41" s="27"/>
      <c r="U41" s="26"/>
    </row>
    <row r="42" spans="3:22" ht="15.75" thickBot="1" x14ac:dyDescent="0.3">
      <c r="C42" s="792" t="s">
        <v>45</v>
      </c>
      <c r="D42" s="793"/>
      <c r="E42" s="813"/>
      <c r="F42" s="814">
        <f>SUM(F33:G41)</f>
        <v>19386.997319312493</v>
      </c>
      <c r="G42" s="815"/>
      <c r="H42" s="268"/>
      <c r="I42" s="19"/>
      <c r="J42" s="697"/>
      <c r="K42" s="697"/>
      <c r="L42" s="697"/>
      <c r="M42" s="697"/>
      <c r="N42" s="19"/>
      <c r="P42" s="44">
        <v>1</v>
      </c>
      <c r="Q42" s="69" t="s">
        <v>62</v>
      </c>
      <c r="R42" s="27"/>
      <c r="S42" s="27"/>
      <c r="T42" s="27"/>
      <c r="U42" s="26"/>
    </row>
    <row r="43" spans="3:22" ht="12" customHeight="1" thickBot="1" x14ac:dyDescent="0.3">
      <c r="K43" s="657"/>
      <c r="P43" s="44">
        <v>2</v>
      </c>
      <c r="Q43" s="69" t="s">
        <v>110</v>
      </c>
      <c r="R43" s="27"/>
      <c r="S43" s="27"/>
      <c r="T43" s="27"/>
      <c r="U43" s="26"/>
    </row>
    <row r="44" spans="3:22" ht="15.75" thickBot="1" x14ac:dyDescent="0.3">
      <c r="C44" s="28" t="s">
        <v>46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30"/>
      <c r="P44" s="71">
        <v>3</v>
      </c>
      <c r="Q44" s="72" t="s">
        <v>109</v>
      </c>
      <c r="R44" s="27"/>
      <c r="S44" s="27"/>
      <c r="T44" s="26"/>
    </row>
    <row r="45" spans="3:22" ht="15" x14ac:dyDescent="0.25">
      <c r="C45" s="31"/>
      <c r="J45" s="657"/>
      <c r="K45" s="657"/>
      <c r="L45" s="657"/>
      <c r="N45" s="32"/>
      <c r="R45" s="27"/>
      <c r="S45" s="27"/>
      <c r="T45" s="26"/>
    </row>
    <row r="46" spans="3:22" ht="15.75" thickBot="1" x14ac:dyDescent="0.3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5"/>
      <c r="R46" s="27"/>
      <c r="S46" s="27"/>
      <c r="T46" s="26"/>
    </row>
    <row r="47" spans="3:22" ht="15" x14ac:dyDescent="0.25">
      <c r="P47" s="657"/>
      <c r="Q47" s="657"/>
      <c r="R47" s="665"/>
      <c r="S47" s="27"/>
      <c r="T47" s="26"/>
    </row>
    <row r="48" spans="3:22" ht="15" x14ac:dyDescent="0.25">
      <c r="P48" s="27"/>
      <c r="Q48" s="27"/>
      <c r="R48" s="27"/>
      <c r="S48" s="27"/>
      <c r="T48" s="27"/>
      <c r="U48" s="26"/>
    </row>
    <row r="49" spans="4:20" ht="13.5" thickBot="1" x14ac:dyDescent="0.25">
      <c r="P49" s="27"/>
      <c r="Q49" s="27"/>
      <c r="R49" s="27"/>
      <c r="S49" s="27"/>
      <c r="T49" s="27"/>
    </row>
    <row r="50" spans="4:20" ht="13.5" thickTop="1" x14ac:dyDescent="0.2">
      <c r="D50" s="816" t="s">
        <v>47</v>
      </c>
      <c r="E50" s="816"/>
      <c r="F50" s="816"/>
      <c r="G50" s="816"/>
      <c r="H50" s="816"/>
      <c r="J50" s="816" t="s">
        <v>48</v>
      </c>
      <c r="K50" s="816"/>
      <c r="L50" s="816"/>
      <c r="M50" s="816"/>
      <c r="N50" s="816"/>
      <c r="P50" s="812"/>
      <c r="Q50" s="812"/>
      <c r="R50" s="812"/>
      <c r="S50" s="812"/>
      <c r="T50" s="812"/>
    </row>
    <row r="51" spans="4:20" x14ac:dyDescent="0.2">
      <c r="P51" s="812"/>
      <c r="Q51" s="812"/>
      <c r="R51" s="812"/>
      <c r="S51" s="812"/>
      <c r="T51" s="812"/>
    </row>
    <row r="52" spans="4:20" x14ac:dyDescent="0.2">
      <c r="P52" s="812"/>
      <c r="Q52" s="812"/>
      <c r="R52" s="812"/>
      <c r="S52" s="812"/>
      <c r="T52" s="812"/>
    </row>
    <row r="53" spans="4:20" x14ac:dyDescent="0.2">
      <c r="P53" s="812"/>
      <c r="Q53" s="812"/>
      <c r="R53" s="812"/>
      <c r="S53" s="812"/>
      <c r="T53" s="812"/>
    </row>
    <row r="54" spans="4:20" ht="15" customHeight="1" x14ac:dyDescent="0.2">
      <c r="P54" s="36"/>
      <c r="Q54" s="36"/>
      <c r="R54" s="36"/>
      <c r="S54" s="36"/>
      <c r="T54" s="36"/>
    </row>
  </sheetData>
  <mergeCells count="47">
    <mergeCell ref="D14:E14"/>
    <mergeCell ref="D15:E1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6:E16"/>
    <mergeCell ref="E29:E30"/>
    <mergeCell ref="C32:G32"/>
    <mergeCell ref="F30:G30"/>
    <mergeCell ref="O32:P32"/>
    <mergeCell ref="F41:G41"/>
    <mergeCell ref="C33:E33"/>
    <mergeCell ref="F33:G33"/>
    <mergeCell ref="I32:L32"/>
    <mergeCell ref="C34:E34"/>
    <mergeCell ref="F34:G34"/>
    <mergeCell ref="D50:H50"/>
    <mergeCell ref="J50:N50"/>
    <mergeCell ref="I40:K40"/>
    <mergeCell ref="P50:T50"/>
    <mergeCell ref="C35:E35"/>
    <mergeCell ref="F35:G35"/>
    <mergeCell ref="C36:E36"/>
    <mergeCell ref="F36:G36"/>
    <mergeCell ref="C42:E42"/>
    <mergeCell ref="F42:G42"/>
    <mergeCell ref="C37:E37"/>
    <mergeCell ref="F37:G37"/>
    <mergeCell ref="C38:E38"/>
    <mergeCell ref="F38:G38"/>
    <mergeCell ref="F39:G39"/>
    <mergeCell ref="F40:G40"/>
    <mergeCell ref="P51:T51"/>
    <mergeCell ref="P52:T52"/>
    <mergeCell ref="Q32:S32"/>
    <mergeCell ref="P53:T53"/>
    <mergeCell ref="P41:Q41"/>
  </mergeCells>
  <pageMargins left="0.19685039370078741" right="0.19685039370078741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5">
    <pageSetUpPr fitToPage="1"/>
  </sheetPr>
  <dimension ref="C1:Y59"/>
  <sheetViews>
    <sheetView topLeftCell="A8" zoomScale="110" zoomScaleNormal="110" workbookViewId="0">
      <selection activeCell="M43" sqref="M43"/>
    </sheetView>
  </sheetViews>
  <sheetFormatPr baseColWidth="10" defaultColWidth="9.140625" defaultRowHeight="12.75" x14ac:dyDescent="0.2"/>
  <cols>
    <col min="1" max="1" width="2.28515625" customWidth="1"/>
    <col min="2" max="2" width="2.5703125" customWidth="1"/>
    <col min="3" max="4" width="12.28515625" customWidth="1"/>
    <col min="5" max="5" width="7.7109375" bestFit="1" customWidth="1"/>
    <col min="6" max="6" width="9" customWidth="1"/>
    <col min="7" max="7" width="3" bestFit="1" customWidth="1"/>
    <col min="8" max="8" width="12" customWidth="1"/>
    <col min="9" max="9" width="12.85546875" customWidth="1"/>
    <col min="10" max="10" width="10" customWidth="1"/>
    <col min="11" max="11" width="9.7109375" customWidth="1"/>
    <col min="12" max="13" width="12.28515625" customWidth="1"/>
    <col min="14" max="15" width="10.7109375" customWidth="1"/>
    <col min="16" max="17" width="12.140625" customWidth="1"/>
    <col min="18" max="18" width="10" hidden="1" customWidth="1"/>
    <col min="19" max="19" width="10.42578125" customWidth="1"/>
    <col min="20" max="20" width="11.5703125" bestFit="1" customWidth="1"/>
    <col min="21" max="21" width="10.28515625" hidden="1" customWidth="1"/>
    <col min="22" max="22" width="10.85546875" hidden="1" customWidth="1"/>
    <col min="23" max="23" width="9.140625" hidden="1" customWidth="1"/>
    <col min="24" max="28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6" t="s">
        <v>0</v>
      </c>
      <c r="R2" s="797"/>
      <c r="S2" s="798"/>
    </row>
    <row r="3" spans="4:19" ht="19.5" thickBot="1" x14ac:dyDescent="0.35">
      <c r="I3" s="799" t="s">
        <v>1</v>
      </c>
      <c r="J3" s="800"/>
      <c r="K3" s="800"/>
      <c r="L3" s="800"/>
      <c r="M3" s="800"/>
      <c r="N3" s="800"/>
      <c r="O3" s="801"/>
      <c r="Q3" s="802">
        <f>+'CERDA HERNANDEZ JOSE LUIS'!Q3</f>
        <v>42</v>
      </c>
      <c r="R3" s="803"/>
      <c r="S3" s="804"/>
    </row>
    <row r="4" spans="4:19" ht="16.5" thickBot="1" x14ac:dyDescent="0.3">
      <c r="I4" s="805" t="s">
        <v>2</v>
      </c>
      <c r="J4" s="806"/>
      <c r="K4" s="806"/>
      <c r="L4" s="806"/>
      <c r="M4" s="806"/>
      <c r="N4" s="806"/>
      <c r="O4" s="807"/>
      <c r="Q4" s="811"/>
      <c r="R4" s="811"/>
      <c r="S4" s="811"/>
    </row>
    <row r="5" spans="4:19" ht="13.5" thickBot="1" x14ac:dyDescent="0.25">
      <c r="I5" s="808" t="s">
        <v>3</v>
      </c>
      <c r="J5" s="809"/>
      <c r="K5" s="809"/>
      <c r="L5" s="809"/>
      <c r="M5" s="809"/>
      <c r="N5" s="809"/>
      <c r="O5" s="810"/>
      <c r="Q5" s="783" t="s">
        <v>4</v>
      </c>
      <c r="R5" s="784"/>
      <c r="S5" s="785"/>
    </row>
    <row r="6" spans="4:19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780">
        <f>+'LIRA TRISTAN JOSE ANGEL'!Q6+1</f>
        <v>15</v>
      </c>
      <c r="R6" s="781"/>
      <c r="S6" s="782"/>
    </row>
    <row r="7" spans="4:19" ht="9" customHeight="1" x14ac:dyDescent="0.2"/>
    <row r="8" spans="4:19" ht="6.75" customHeight="1" thickBot="1" x14ac:dyDescent="0.25"/>
    <row r="9" spans="4:19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19" ht="11.25" customHeight="1" thickBot="1" x14ac:dyDescent="0.25"/>
    <row r="11" spans="4:19" x14ac:dyDescent="0.2">
      <c r="D11" s="1" t="s">
        <v>7</v>
      </c>
      <c r="E11" s="2" t="s">
        <v>244</v>
      </c>
      <c r="F11" s="2"/>
      <c r="G11" s="2"/>
      <c r="H11" s="2"/>
      <c r="I11" s="2"/>
      <c r="J11" s="3"/>
      <c r="K11" s="4" t="s">
        <v>9</v>
      </c>
      <c r="L11" s="786" t="str">
        <f>+NOMINA!B3</f>
        <v>SEMANA #42 PERIODO DEL 06 AL 12 DE OCTUBRE  DEL 2025</v>
      </c>
      <c r="M11" s="786"/>
      <c r="N11" s="786"/>
      <c r="O11" s="786"/>
      <c r="P11" s="786"/>
      <c r="Q11" s="786"/>
      <c r="R11" s="786"/>
      <c r="S11" s="787"/>
    </row>
    <row r="12" spans="4:19" x14ac:dyDescent="0.2">
      <c r="D12" s="5" t="s">
        <v>10</v>
      </c>
      <c r="E12" s="788" t="s">
        <v>222</v>
      </c>
      <c r="F12" s="78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90" t="s">
        <v>11</v>
      </c>
      <c r="E14" s="791"/>
      <c r="F14" s="7">
        <v>449468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90" t="s">
        <v>14</v>
      </c>
      <c r="E15" s="791"/>
      <c r="F15" s="7">
        <v>451575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92" t="s">
        <v>17</v>
      </c>
      <c r="E16" s="793"/>
      <c r="F16" s="12">
        <f>SUM(J19:J32)</f>
        <v>4702</v>
      </c>
      <c r="G16" s="12"/>
      <c r="H16" s="12"/>
      <c r="I16" s="13" t="s">
        <v>18</v>
      </c>
      <c r="J16" s="12">
        <f>SUM(K19:K32)</f>
        <v>1444.673</v>
      </c>
      <c r="K16" s="12"/>
      <c r="L16" s="12"/>
      <c r="M16" s="12"/>
      <c r="N16" s="12"/>
      <c r="O16" s="14" t="s">
        <v>19</v>
      </c>
      <c r="P16" s="15">
        <f>+F16/J16</f>
        <v>3.2547157730503717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9" t="s">
        <v>208</v>
      </c>
      <c r="U18" s="681" t="s">
        <v>333</v>
      </c>
      <c r="V18" s="682" t="s">
        <v>335</v>
      </c>
    </row>
    <row r="19" spans="3:25" x14ac:dyDescent="0.2">
      <c r="C19" s="52">
        <v>46370</v>
      </c>
      <c r="D19" s="279" t="s">
        <v>387</v>
      </c>
      <c r="E19" s="280">
        <v>45935</v>
      </c>
      <c r="F19" s="280">
        <v>45937</v>
      </c>
      <c r="G19" s="279">
        <v>3</v>
      </c>
      <c r="H19" s="53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53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GUAMUCHIL</v>
      </c>
      <c r="J19" s="54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1330</v>
      </c>
      <c r="K19" s="131"/>
      <c r="L19" s="193"/>
      <c r="M19" s="193"/>
      <c r="N19" s="131">
        <v>1</v>
      </c>
      <c r="O19" s="131" t="s">
        <v>380</v>
      </c>
      <c r="P19" s="131" t="s">
        <v>174</v>
      </c>
      <c r="Q19" s="194">
        <f>(IF(N19=1,((J19)*0.3)))+(IF(N19=2,(J19*0.15))+(IF(N19=3,(J19*0.15))))</f>
        <v>399</v>
      </c>
      <c r="R19" s="215"/>
      <c r="S19" s="195"/>
      <c r="T19" s="676"/>
      <c r="U19" s="131">
        <v>56</v>
      </c>
      <c r="V19" s="715">
        <v>56</v>
      </c>
    </row>
    <row r="20" spans="3:25" ht="13.5" thickBot="1" x14ac:dyDescent="0.25">
      <c r="C20" s="40"/>
      <c r="D20" s="283" t="s">
        <v>388</v>
      </c>
      <c r="E20" s="284">
        <v>45937</v>
      </c>
      <c r="F20" s="284">
        <v>45938</v>
      </c>
      <c r="G20" s="283">
        <v>4</v>
      </c>
      <c r="H20" s="74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GUAMUCHIL</v>
      </c>
      <c r="I20" s="74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75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1330</v>
      </c>
      <c r="K20" s="106">
        <v>863.87</v>
      </c>
      <c r="L20" s="255">
        <f>SUM(J18:J20)/K20</f>
        <v>3.0791670042946278</v>
      </c>
      <c r="M20" s="255">
        <v>2</v>
      </c>
      <c r="N20" s="106">
        <v>1</v>
      </c>
      <c r="O20" s="106" t="s">
        <v>350</v>
      </c>
      <c r="P20" s="106" t="s">
        <v>174</v>
      </c>
      <c r="Q20" s="256">
        <f t="shared" ref="Q20" si="0">(IF(N20=1,(J20*0.3)))+(IF(N20=2,(J20*0.15))+(IF(N20=3,(J20*0.15))))</f>
        <v>399</v>
      </c>
      <c r="R20" s="216">
        <f>+LOOKUP(P40,UNIDADES!B$3:B$73,UNIDADES!C$3:C$73)</f>
        <v>2.7010580000000002</v>
      </c>
      <c r="S20" s="202">
        <f>(SUM(J18:J20)/R20)-K20</f>
        <v>120.92928975979032</v>
      </c>
      <c r="T20" s="678">
        <f>(IF(M20=1,(S20*16)))+(IF(M20=2,(S20*17.26))+(IF(M20=3,(S20*17.66))+(IF(M20=4,(S20*18.06))+(IF(M20=5,(S20*18.46))+(IF(M20=6,(S20*18.86))+(IF(M20=7,(S20*19.26))))))))</f>
        <v>2087.2395412539813</v>
      </c>
      <c r="U20" s="106">
        <v>56</v>
      </c>
      <c r="V20" s="717">
        <v>56</v>
      </c>
      <c r="X20" s="23"/>
      <c r="Y20" s="546"/>
    </row>
    <row r="21" spans="3:25" x14ac:dyDescent="0.2">
      <c r="C21" s="52">
        <v>45941</v>
      </c>
      <c r="D21" s="279" t="s">
        <v>399</v>
      </c>
      <c r="E21" s="280">
        <v>45939</v>
      </c>
      <c r="F21" s="280">
        <v>45940</v>
      </c>
      <c r="G21" s="279">
        <v>1</v>
      </c>
      <c r="H21" s="53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53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OBRG</v>
      </c>
      <c r="J21" s="54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1021</v>
      </c>
      <c r="K21" s="131"/>
      <c r="L21" s="193"/>
      <c r="M21" s="193"/>
      <c r="N21" s="131">
        <v>2</v>
      </c>
      <c r="O21" s="131" t="s">
        <v>397</v>
      </c>
      <c r="P21" s="131" t="s">
        <v>175</v>
      </c>
      <c r="Q21" s="194">
        <f>(IF(N21=1,((J21)*0.3)))+(IF(N21=2,(J21*0.15))+(IF(N21=3,(J21*0.15))))</f>
        <v>153.15</v>
      </c>
      <c r="R21" s="215"/>
      <c r="S21" s="195"/>
      <c r="T21" s="676"/>
      <c r="U21" s="131">
        <v>53</v>
      </c>
      <c r="V21" s="715"/>
      <c r="X21" s="23"/>
      <c r="Y21" s="546"/>
    </row>
    <row r="22" spans="3:25" ht="13.5" thickBot="1" x14ac:dyDescent="0.25">
      <c r="C22" s="40"/>
      <c r="D22" s="283" t="s">
        <v>400</v>
      </c>
      <c r="E22" s="284">
        <v>45940</v>
      </c>
      <c r="F22" s="284">
        <v>45941</v>
      </c>
      <c r="G22" s="283">
        <v>2</v>
      </c>
      <c r="H22" s="74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OBRG</v>
      </c>
      <c r="I22" s="74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75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1021</v>
      </c>
      <c r="K22" s="106">
        <v>580.803</v>
      </c>
      <c r="L22" s="255">
        <f>SUM(J21:J22)/K22</f>
        <v>3.515822060147761</v>
      </c>
      <c r="M22" s="255">
        <v>2</v>
      </c>
      <c r="N22" s="106">
        <v>1</v>
      </c>
      <c r="O22" s="106" t="s">
        <v>398</v>
      </c>
      <c r="P22" s="106" t="s">
        <v>176</v>
      </c>
      <c r="Q22" s="256">
        <f t="shared" ref="Q22" si="1">(IF(N22=1,(J22*0.3)))+(IF(N22=2,(J22*0.15))+(IF(N22=3,(J22*0.15))))</f>
        <v>306.3</v>
      </c>
      <c r="R22" s="216">
        <f>+LOOKUP(P41,UNIDADES!B$3:B$73,UNIDADES!C$3:C$73)</f>
        <v>2.7010580000000002</v>
      </c>
      <c r="S22" s="202">
        <f>(SUM(J21:J22)/R22)-K22</f>
        <v>175.19705627424503</v>
      </c>
      <c r="T22" s="678">
        <f>(IF(M22=1,(S22*16)))+(IF(M22=2,(S22*17.26))+(IF(M22=3,(S22*17.66))+(IF(M22=4,(S22*18.06))+(IF(M22=5,(S22*18.46))+(IF(M22=6,(S22*18.86))+(IF(M22=7,(S22*19.26))))))))</f>
        <v>3023.9011912934693</v>
      </c>
      <c r="U22" s="106">
        <v>55</v>
      </c>
      <c r="V22" s="717"/>
      <c r="W22" s="22" t="s">
        <v>401</v>
      </c>
      <c r="X22" s="23"/>
      <c r="Y22" s="546"/>
    </row>
    <row r="23" spans="3:25" hidden="1" x14ac:dyDescent="0.2">
      <c r="C23" s="48"/>
      <c r="D23" s="293"/>
      <c r="E23" s="294"/>
      <c r="F23" s="294"/>
      <c r="G23" s="293"/>
      <c r="H23" s="104"/>
      <c r="I23" s="104"/>
      <c r="J23" s="105"/>
      <c r="K23" s="180"/>
      <c r="L23" s="295"/>
      <c r="M23" s="295"/>
      <c r="N23" s="180"/>
      <c r="O23" s="180"/>
      <c r="P23" s="180"/>
      <c r="Q23" s="296"/>
      <c r="R23" s="297"/>
      <c r="S23" s="316"/>
      <c r="T23" s="677"/>
      <c r="U23" s="180"/>
      <c r="V23" s="180"/>
      <c r="X23" s="23"/>
      <c r="Y23" s="546"/>
    </row>
    <row r="24" spans="3:25" hidden="1" x14ac:dyDescent="0.2">
      <c r="C24" s="39"/>
      <c r="D24" s="299"/>
      <c r="E24" s="300"/>
      <c r="F24" s="300"/>
      <c r="G24" s="299"/>
      <c r="H24" s="113"/>
      <c r="I24" s="113"/>
      <c r="J24" s="114"/>
      <c r="K24" s="113"/>
      <c r="L24" s="301"/>
      <c r="M24" s="301"/>
      <c r="N24" s="113"/>
      <c r="O24" s="113"/>
      <c r="P24" s="113"/>
      <c r="Q24" s="302"/>
      <c r="R24" s="251"/>
      <c r="S24" s="310"/>
      <c r="T24" s="673"/>
      <c r="U24" s="756"/>
      <c r="V24" s="756"/>
      <c r="X24" s="23"/>
      <c r="Y24" s="546"/>
    </row>
    <row r="25" spans="3:25" hidden="1" x14ac:dyDescent="0.2">
      <c r="C25" s="39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673"/>
      <c r="U25" s="756"/>
      <c r="V25" s="756"/>
      <c r="X25" s="23"/>
      <c r="Y25" s="546"/>
    </row>
    <row r="26" spans="3:25" hidden="1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3"/>
      <c r="U26" s="756"/>
      <c r="V26" s="756"/>
      <c r="X26" s="23"/>
      <c r="Y26" s="546"/>
    </row>
    <row r="27" spans="3:25" hidden="1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673"/>
      <c r="U27" s="756"/>
      <c r="V27" s="756"/>
    </row>
    <row r="28" spans="3:25" hidden="1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673"/>
      <c r="U28" s="756"/>
      <c r="V28" s="756"/>
    </row>
    <row r="29" spans="3:25" hidden="1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673"/>
      <c r="U29" s="756"/>
      <c r="V29" s="756"/>
    </row>
    <row r="30" spans="3:25" hidden="1" x14ac:dyDescent="0.2">
      <c r="C30" s="39"/>
      <c r="D30" s="299"/>
      <c r="E30" s="300"/>
      <c r="F30" s="300"/>
      <c r="G30" s="299"/>
      <c r="H30" s="278"/>
      <c r="I30" s="113"/>
      <c r="J30" s="114"/>
      <c r="K30" s="113"/>
      <c r="L30" s="301"/>
      <c r="M30" s="301"/>
      <c r="N30" s="113"/>
      <c r="O30" s="113"/>
      <c r="P30" s="113"/>
      <c r="Q30" s="302"/>
      <c r="R30" s="251"/>
      <c r="S30" s="310"/>
      <c r="T30" s="673"/>
      <c r="U30" s="756"/>
      <c r="V30" s="756"/>
    </row>
    <row r="31" spans="3:25" hidden="1" x14ac:dyDescent="0.2">
      <c r="C31" s="39"/>
      <c r="D31" s="299"/>
      <c r="E31" s="300"/>
      <c r="F31" s="300"/>
      <c r="G31" s="299"/>
      <c r="H31" s="278"/>
      <c r="I31" s="113"/>
      <c r="J31" s="114"/>
      <c r="K31" s="113"/>
      <c r="L31" s="301"/>
      <c r="M31" s="301"/>
      <c r="N31" s="113"/>
      <c r="O31" s="113"/>
      <c r="P31" s="113"/>
      <c r="Q31" s="302"/>
      <c r="R31" s="251"/>
      <c r="S31" s="310"/>
      <c r="T31" s="673"/>
      <c r="U31" s="756"/>
      <c r="V31" s="756"/>
    </row>
    <row r="32" spans="3:25" ht="13.5" hidden="1" thickBot="1" x14ac:dyDescent="0.25">
      <c r="C32" s="40"/>
      <c r="D32" s="283"/>
      <c r="E32" s="284"/>
      <c r="F32" s="284"/>
      <c r="G32" s="283"/>
      <c r="H32" s="115"/>
      <c r="I32" s="106"/>
      <c r="J32" s="107"/>
      <c r="K32" s="106"/>
      <c r="L32" s="255"/>
      <c r="M32" s="255"/>
      <c r="N32" s="106"/>
      <c r="O32" s="106"/>
      <c r="P32" s="106"/>
      <c r="Q32" s="256"/>
      <c r="R32" s="216"/>
      <c r="S32" s="312"/>
      <c r="T32" s="678"/>
      <c r="U32" s="756"/>
      <c r="V32" s="756"/>
    </row>
    <row r="33" spans="3:23" ht="13.5" thickBot="1" x14ac:dyDescent="0.25">
      <c r="C33" s="22"/>
      <c r="D33" s="22"/>
      <c r="E33" s="22"/>
      <c r="F33" s="22"/>
      <c r="G33" s="22"/>
      <c r="H33" s="22"/>
      <c r="I33" s="182"/>
      <c r="J33" s="22"/>
      <c r="K33" s="22"/>
      <c r="L33" s="22"/>
      <c r="M33" s="22"/>
      <c r="N33" s="22"/>
      <c r="O33" s="22"/>
      <c r="P33" s="22"/>
      <c r="Q33" s="22"/>
      <c r="R33" s="305"/>
      <c r="S33" s="22"/>
      <c r="T33" s="22"/>
    </row>
    <row r="34" spans="3:23" x14ac:dyDescent="0.2">
      <c r="E34" s="794" t="s">
        <v>35</v>
      </c>
      <c r="F34" s="773">
        <f>+'RODRIGUEZ RAMIREZ FERNANDO'!F29</f>
        <v>45936</v>
      </c>
      <c r="G34" s="774"/>
      <c r="H34" s="20">
        <f>+F34+1</f>
        <v>45937</v>
      </c>
      <c r="I34" s="20">
        <f>+H34+1</f>
        <v>45938</v>
      </c>
      <c r="J34" s="20">
        <f>+I34+1</f>
        <v>45939</v>
      </c>
      <c r="K34" s="20">
        <f>+J34+1</f>
        <v>45940</v>
      </c>
      <c r="L34" s="20">
        <f>+K34+2</f>
        <v>45942</v>
      </c>
      <c r="M34" s="547"/>
      <c r="N34" s="21" t="s">
        <v>36</v>
      </c>
      <c r="R34" s="657"/>
      <c r="S34" s="657"/>
      <c r="T34" s="657"/>
    </row>
    <row r="35" spans="3:23" ht="13.5" thickBot="1" x14ac:dyDescent="0.25">
      <c r="C35" s="22"/>
      <c r="E35" s="795"/>
      <c r="F35" s="775">
        <v>0</v>
      </c>
      <c r="G35" s="776"/>
      <c r="H35" s="42">
        <v>0</v>
      </c>
      <c r="I35" s="42">
        <v>0</v>
      </c>
      <c r="J35" s="42">
        <v>0</v>
      </c>
      <c r="K35" s="42">
        <v>0</v>
      </c>
      <c r="L35" s="42"/>
      <c r="M35" s="548"/>
      <c r="N35" s="43">
        <f>+L35+K35+J35+I35+H35</f>
        <v>0</v>
      </c>
      <c r="Q35" s="77"/>
      <c r="S35" s="77"/>
      <c r="U35" s="657"/>
      <c r="V35" s="657"/>
      <c r="W35" s="657"/>
    </row>
    <row r="36" spans="3:23" ht="13.5" thickBot="1" x14ac:dyDescent="0.25">
      <c r="I36" s="23"/>
    </row>
    <row r="37" spans="3:23" ht="15.75" thickBot="1" x14ac:dyDescent="0.3">
      <c r="C37" s="825" t="s">
        <v>37</v>
      </c>
      <c r="D37" s="826"/>
      <c r="E37" s="826"/>
      <c r="F37" s="826"/>
      <c r="G37" s="827"/>
      <c r="I37" s="838" t="s">
        <v>38</v>
      </c>
      <c r="J37" s="839"/>
      <c r="K37" s="839"/>
      <c r="L37" s="840"/>
      <c r="M37" s="331"/>
      <c r="O37" s="828" t="s">
        <v>39</v>
      </c>
      <c r="P37" s="829"/>
      <c r="Q37" s="830">
        <f>+F47-L45</f>
        <v>9907.5907325474509</v>
      </c>
      <c r="R37" s="831"/>
      <c r="S37" s="832"/>
    </row>
    <row r="38" spans="3:23" ht="13.5" thickBot="1" x14ac:dyDescent="0.25">
      <c r="C38" s="833" t="s">
        <v>207</v>
      </c>
      <c r="D38" s="834"/>
      <c r="E38" s="835"/>
      <c r="F38" s="836">
        <f>SUM(Q18:Q33)</f>
        <v>1257.45</v>
      </c>
      <c r="G38" s="837"/>
      <c r="I38" s="121" t="s">
        <v>106</v>
      </c>
      <c r="J38" s="59" t="s">
        <v>107</v>
      </c>
      <c r="K38" s="59" t="s">
        <v>69</v>
      </c>
      <c r="L38" s="119" t="s">
        <v>108</v>
      </c>
      <c r="M38" s="563"/>
    </row>
    <row r="39" spans="3:23" ht="13.5" customHeight="1" thickBot="1" x14ac:dyDescent="0.25">
      <c r="C39" s="843" t="s">
        <v>208</v>
      </c>
      <c r="D39" s="844"/>
      <c r="E39" s="845"/>
      <c r="F39" s="846">
        <f>SUM(T18:T34)</f>
        <v>5111.1407325474502</v>
      </c>
      <c r="G39" s="847"/>
      <c r="I39" s="888"/>
      <c r="J39" s="889"/>
      <c r="K39" s="890"/>
      <c r="L39" s="120"/>
      <c r="M39" s="563"/>
      <c r="O39" s="62" t="s">
        <v>69</v>
      </c>
      <c r="P39" s="63" t="s">
        <v>70</v>
      </c>
      <c r="Q39" s="64" t="s">
        <v>71</v>
      </c>
      <c r="R39" s="64"/>
      <c r="S39" s="65" t="s">
        <v>72</v>
      </c>
      <c r="T39" s="63" t="s">
        <v>73</v>
      </c>
      <c r="U39" s="62" t="s">
        <v>117</v>
      </c>
      <c r="V39" s="63" t="s">
        <v>118</v>
      </c>
    </row>
    <row r="40" spans="3:23" x14ac:dyDescent="0.2">
      <c r="C40" s="843" t="s">
        <v>35</v>
      </c>
      <c r="D40" s="844"/>
      <c r="E40" s="845"/>
      <c r="F40" s="846">
        <f>+N35</f>
        <v>0</v>
      </c>
      <c r="G40" s="847"/>
      <c r="I40" s="124"/>
      <c r="J40" s="235"/>
      <c r="K40" s="60"/>
      <c r="L40" s="118"/>
      <c r="M40" s="563"/>
      <c r="O40" s="99">
        <v>46370</v>
      </c>
      <c r="P40" s="100" t="s">
        <v>236</v>
      </c>
      <c r="Q40" s="187">
        <v>408223</v>
      </c>
      <c r="R40" s="187"/>
      <c r="S40" s="38">
        <v>410967</v>
      </c>
      <c r="T40" s="100">
        <f>+S40-Q40</f>
        <v>2744</v>
      </c>
      <c r="U40" s="203">
        <v>2660</v>
      </c>
      <c r="V40" s="204">
        <v>863.87</v>
      </c>
    </row>
    <row r="41" spans="3:23" x14ac:dyDescent="0.2">
      <c r="C41" s="843" t="s">
        <v>40</v>
      </c>
      <c r="D41" s="844"/>
      <c r="E41" s="845"/>
      <c r="F41" s="846">
        <v>2439</v>
      </c>
      <c r="G41" s="847"/>
      <c r="H41" s="582"/>
      <c r="I41" s="124"/>
      <c r="J41" s="235"/>
      <c r="K41" s="60"/>
      <c r="L41" s="118"/>
      <c r="M41" s="563"/>
      <c r="O41" s="44">
        <v>45941</v>
      </c>
      <c r="P41" s="69" t="s">
        <v>236</v>
      </c>
      <c r="Q41" s="70">
        <v>410967</v>
      </c>
      <c r="R41" s="70"/>
      <c r="S41" s="17">
        <v>413033</v>
      </c>
      <c r="T41" s="69">
        <f>+S41-Q41</f>
        <v>2066</v>
      </c>
      <c r="U41" s="157">
        <v>2042</v>
      </c>
      <c r="V41" s="156">
        <v>580.803</v>
      </c>
    </row>
    <row r="42" spans="3:23" ht="13.5" thickBot="1" x14ac:dyDescent="0.25">
      <c r="C42" s="843" t="s">
        <v>41</v>
      </c>
      <c r="D42" s="844"/>
      <c r="E42" s="845"/>
      <c r="F42" s="846">
        <v>600</v>
      </c>
      <c r="G42" s="847"/>
      <c r="H42" s="582"/>
      <c r="I42" s="124"/>
      <c r="J42" s="235"/>
      <c r="K42" s="60"/>
      <c r="L42" s="118"/>
      <c r="M42" s="563"/>
      <c r="O42" s="71"/>
      <c r="P42" s="72"/>
      <c r="Q42" s="73"/>
      <c r="R42" s="73"/>
      <c r="S42" s="41"/>
      <c r="T42" s="72">
        <f>+S42-Q42</f>
        <v>0</v>
      </c>
      <c r="U42" s="158"/>
      <c r="V42" s="159"/>
    </row>
    <row r="43" spans="3:23" ht="15" x14ac:dyDescent="0.25">
      <c r="C43" s="843" t="s">
        <v>42</v>
      </c>
      <c r="D43" s="844"/>
      <c r="E43" s="845"/>
      <c r="F43" s="846">
        <v>500</v>
      </c>
      <c r="G43" s="847"/>
      <c r="I43" s="124"/>
      <c r="J43" s="60"/>
      <c r="K43" s="60"/>
      <c r="L43" s="118"/>
      <c r="M43" s="563"/>
      <c r="O43" s="186"/>
      <c r="P43" s="186"/>
      <c r="Q43" s="186"/>
      <c r="R43" s="186"/>
      <c r="S43" s="186"/>
      <c r="T43" s="186"/>
      <c r="U43" s="26"/>
    </row>
    <row r="44" spans="3:23" ht="15.75" thickBot="1" x14ac:dyDescent="0.3">
      <c r="C44" s="24" t="s">
        <v>322</v>
      </c>
      <c r="D44" s="25"/>
      <c r="E44" s="25"/>
      <c r="F44" s="846"/>
      <c r="G44" s="847"/>
      <c r="I44" s="124"/>
      <c r="J44" s="60"/>
      <c r="K44" s="60"/>
      <c r="L44" s="118"/>
      <c r="M44" s="563"/>
      <c r="O44" s="186"/>
      <c r="P44" s="186"/>
      <c r="Q44" s="186"/>
      <c r="R44" s="186"/>
      <c r="S44" s="186"/>
      <c r="T44" s="186"/>
      <c r="U44" s="26"/>
    </row>
    <row r="45" spans="3:23" ht="15.75" thickBot="1" x14ac:dyDescent="0.3">
      <c r="C45" s="24" t="s">
        <v>299</v>
      </c>
      <c r="D45" s="25"/>
      <c r="E45" s="25"/>
      <c r="F45" s="846"/>
      <c r="G45" s="847"/>
      <c r="I45" s="848" t="s">
        <v>44</v>
      </c>
      <c r="J45" s="849"/>
      <c r="K45" s="850"/>
      <c r="L45" s="125">
        <f>SUM(L39:L44)</f>
        <v>0</v>
      </c>
      <c r="M45" s="130"/>
      <c r="U45" s="26"/>
    </row>
    <row r="46" spans="3:23" ht="15.75" thickBot="1" x14ac:dyDescent="0.3">
      <c r="C46" s="241" t="s">
        <v>293</v>
      </c>
      <c r="D46" s="242"/>
      <c r="E46" s="242"/>
      <c r="F46" s="841"/>
      <c r="G46" s="842"/>
      <c r="S46" s="27"/>
      <c r="T46" s="27"/>
      <c r="U46" s="26"/>
    </row>
    <row r="47" spans="3:23" ht="15.75" thickBot="1" x14ac:dyDescent="0.3">
      <c r="C47" s="792" t="s">
        <v>45</v>
      </c>
      <c r="D47" s="793"/>
      <c r="E47" s="813"/>
      <c r="F47" s="814">
        <f>SUM(F38:G46)</f>
        <v>9907.5907325474509</v>
      </c>
      <c r="G47" s="815"/>
      <c r="I47" s="657">
        <v>0.25</v>
      </c>
      <c r="J47" s="657">
        <v>0.88750000000000007</v>
      </c>
      <c r="K47" s="657">
        <f>+J47-I47</f>
        <v>0.63750000000000007</v>
      </c>
      <c r="N47" s="19"/>
      <c r="P47" s="27"/>
      <c r="Q47" s="27"/>
      <c r="R47" s="27"/>
      <c r="S47" s="27"/>
      <c r="T47" s="26"/>
    </row>
    <row r="48" spans="3:23" ht="12" customHeight="1" thickBot="1" x14ac:dyDescent="0.3">
      <c r="P48" s="817" t="s">
        <v>61</v>
      </c>
      <c r="Q48" s="818"/>
      <c r="R48" s="27"/>
      <c r="S48" s="26"/>
    </row>
    <row r="49" spans="3:21" ht="15" x14ac:dyDescent="0.25">
      <c r="C49" s="28" t="s">
        <v>46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P49" s="44">
        <v>1</v>
      </c>
      <c r="Q49" s="69" t="s">
        <v>62</v>
      </c>
      <c r="R49" s="27"/>
      <c r="S49" s="26"/>
    </row>
    <row r="50" spans="3:21" ht="15" x14ac:dyDescent="0.25">
      <c r="C50" s="31"/>
      <c r="N50" s="32"/>
      <c r="P50" s="44">
        <v>2</v>
      </c>
      <c r="Q50" s="69" t="s">
        <v>110</v>
      </c>
      <c r="R50" s="27"/>
      <c r="S50" s="26"/>
    </row>
    <row r="51" spans="3:21" ht="15.75" thickBot="1" x14ac:dyDescent="0.3"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P51" s="71">
        <v>3</v>
      </c>
      <c r="Q51" s="72" t="s">
        <v>109</v>
      </c>
      <c r="R51" s="27"/>
      <c r="S51" s="27"/>
      <c r="T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5" x14ac:dyDescent="0.25">
      <c r="P53" s="27"/>
      <c r="Q53" s="27"/>
      <c r="R53" s="27"/>
      <c r="S53" s="27"/>
      <c r="T53" s="27"/>
      <c r="U53" s="26"/>
    </row>
    <row r="54" spans="3:21" ht="13.5" thickBot="1" x14ac:dyDescent="0.25">
      <c r="P54" s="27"/>
      <c r="Q54" s="27"/>
      <c r="R54" s="27"/>
      <c r="S54" s="27"/>
      <c r="T54" s="27"/>
    </row>
    <row r="55" spans="3:21" ht="13.5" thickTop="1" x14ac:dyDescent="0.2">
      <c r="D55" s="816" t="s">
        <v>47</v>
      </c>
      <c r="E55" s="816"/>
      <c r="F55" s="816"/>
      <c r="G55" s="816"/>
      <c r="H55" s="816"/>
      <c r="J55" s="816" t="s">
        <v>48</v>
      </c>
      <c r="K55" s="816"/>
      <c r="L55" s="816"/>
      <c r="M55" s="816"/>
      <c r="N55" s="816"/>
      <c r="P55" s="812"/>
      <c r="Q55" s="812"/>
      <c r="R55" s="812"/>
      <c r="S55" s="812"/>
      <c r="T55" s="812"/>
    </row>
    <row r="56" spans="3:21" x14ac:dyDescent="0.2">
      <c r="P56" s="812"/>
      <c r="Q56" s="812"/>
      <c r="R56" s="812"/>
      <c r="S56" s="812"/>
      <c r="T56" s="812"/>
    </row>
    <row r="57" spans="3:21" x14ac:dyDescent="0.2">
      <c r="P57" s="812"/>
      <c r="Q57" s="812"/>
      <c r="R57" s="812"/>
      <c r="S57" s="812"/>
      <c r="T57" s="812"/>
    </row>
    <row r="58" spans="3:21" x14ac:dyDescent="0.2">
      <c r="P58" s="812"/>
      <c r="Q58" s="812"/>
      <c r="R58" s="812"/>
      <c r="S58" s="812"/>
      <c r="T58" s="812"/>
    </row>
    <row r="59" spans="3:21" ht="15" customHeight="1" x14ac:dyDescent="0.2">
      <c r="P59" s="36"/>
      <c r="Q59" s="36"/>
      <c r="R59" s="36"/>
      <c r="S59" s="36"/>
      <c r="T59" s="36"/>
    </row>
  </sheetData>
  <mergeCells count="49"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  <mergeCell ref="D16:E16"/>
    <mergeCell ref="E34:E35"/>
    <mergeCell ref="F34:G34"/>
    <mergeCell ref="F35:G35"/>
    <mergeCell ref="F41:G41"/>
    <mergeCell ref="C42:E42"/>
    <mergeCell ref="F42:G42"/>
    <mergeCell ref="P57:T57"/>
    <mergeCell ref="O37:P37"/>
    <mergeCell ref="C38:E38"/>
    <mergeCell ref="F38:G38"/>
    <mergeCell ref="F40:G40"/>
    <mergeCell ref="C39:E39"/>
    <mergeCell ref="F39:G39"/>
    <mergeCell ref="C37:G37"/>
    <mergeCell ref="I45:K45"/>
    <mergeCell ref="I37:L37"/>
    <mergeCell ref="I39:K39"/>
    <mergeCell ref="P58:T58"/>
    <mergeCell ref="Q37:S37"/>
    <mergeCell ref="C47:E47"/>
    <mergeCell ref="F47:G47"/>
    <mergeCell ref="D55:H55"/>
    <mergeCell ref="J55:N55"/>
    <mergeCell ref="P55:T55"/>
    <mergeCell ref="P56:T56"/>
    <mergeCell ref="C43:E43"/>
    <mergeCell ref="F43:G43"/>
    <mergeCell ref="F44:G44"/>
    <mergeCell ref="P48:Q48"/>
    <mergeCell ref="F45:G45"/>
    <mergeCell ref="F46:G46"/>
    <mergeCell ref="C40:E40"/>
    <mergeCell ref="C41:E41"/>
  </mergeCells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7">
    <pageSetUpPr fitToPage="1"/>
  </sheetPr>
  <dimension ref="B1:Z55"/>
  <sheetViews>
    <sheetView topLeftCell="A7" zoomScaleNormal="100" workbookViewId="0">
      <selection activeCell="P26" sqref="P26"/>
    </sheetView>
  </sheetViews>
  <sheetFormatPr baseColWidth="10" defaultColWidth="9.140625" defaultRowHeight="12.75" x14ac:dyDescent="0.2"/>
  <cols>
    <col min="1" max="1" width="3.140625" customWidth="1"/>
    <col min="2" max="2" width="5.28515625" bestFit="1" customWidth="1"/>
    <col min="3" max="3" width="12.7109375" customWidth="1"/>
    <col min="4" max="4" width="12.28515625" customWidth="1"/>
    <col min="5" max="5" width="7.7109375" bestFit="1" customWidth="1"/>
    <col min="6" max="6" width="9.7109375" customWidth="1"/>
    <col min="7" max="7" width="2.85546875" customWidth="1"/>
    <col min="8" max="8" width="10.85546875" customWidth="1"/>
    <col min="9" max="9" width="15" customWidth="1"/>
    <col min="10" max="10" width="9.85546875" bestFit="1" customWidth="1"/>
    <col min="11" max="11" width="9.7109375" customWidth="1"/>
    <col min="12" max="13" width="12.28515625" customWidth="1"/>
    <col min="14" max="14" width="8.28515625" customWidth="1"/>
    <col min="15" max="16" width="10.7109375" customWidth="1"/>
    <col min="17" max="17" width="10.42578125" customWidth="1"/>
    <col min="18" max="18" width="10" customWidth="1"/>
    <col min="19" max="19" width="9.85546875" customWidth="1"/>
    <col min="20" max="20" width="11.5703125" bestFit="1" customWidth="1"/>
    <col min="21" max="21" width="10.28515625" customWidth="1"/>
    <col min="22" max="22" width="10.5703125" customWidth="1"/>
    <col min="23" max="25" width="9.140625" customWidth="1"/>
    <col min="26" max="26" width="10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6" t="s">
        <v>0</v>
      </c>
      <c r="R2" s="797"/>
      <c r="S2" s="798"/>
    </row>
    <row r="3" spans="4:19" ht="19.5" thickBot="1" x14ac:dyDescent="0.35">
      <c r="I3" s="799" t="s">
        <v>1</v>
      </c>
      <c r="J3" s="800"/>
      <c r="K3" s="800"/>
      <c r="L3" s="800"/>
      <c r="M3" s="800"/>
      <c r="N3" s="800"/>
      <c r="O3" s="801"/>
      <c r="Q3" s="802">
        <f>+'CERDA HERNANDEZ JOSE LUIS'!Q3</f>
        <v>42</v>
      </c>
      <c r="R3" s="803"/>
      <c r="S3" s="804"/>
    </row>
    <row r="4" spans="4:19" ht="16.5" thickBot="1" x14ac:dyDescent="0.3">
      <c r="I4" s="805" t="s">
        <v>2</v>
      </c>
      <c r="J4" s="806"/>
      <c r="K4" s="806"/>
      <c r="L4" s="806"/>
      <c r="M4" s="806"/>
      <c r="N4" s="806"/>
      <c r="O4" s="807"/>
      <c r="Q4" s="811"/>
      <c r="R4" s="811"/>
      <c r="S4" s="811"/>
    </row>
    <row r="5" spans="4:19" ht="13.5" thickBot="1" x14ac:dyDescent="0.25">
      <c r="I5" s="808" t="s">
        <v>3</v>
      </c>
      <c r="J5" s="809"/>
      <c r="K5" s="809"/>
      <c r="L5" s="809"/>
      <c r="M5" s="809"/>
      <c r="N5" s="809"/>
      <c r="O5" s="810"/>
      <c r="Q5" s="783" t="s">
        <v>4</v>
      </c>
      <c r="R5" s="784"/>
      <c r="S5" s="785"/>
    </row>
    <row r="6" spans="4:19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780">
        <f>+'NEVAREZ JUAN MANUEL'!Q6+1</f>
        <v>18</v>
      </c>
      <c r="R6" s="781"/>
      <c r="S6" s="782"/>
    </row>
    <row r="7" spans="4:19" ht="9" customHeight="1" x14ac:dyDescent="0.2"/>
    <row r="8" spans="4:19" ht="6.75" customHeight="1" thickBot="1" x14ac:dyDescent="0.25"/>
    <row r="9" spans="4:19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19" ht="11.25" customHeight="1" thickBot="1" x14ac:dyDescent="0.25"/>
    <row r="11" spans="4:19" x14ac:dyDescent="0.2">
      <c r="D11" s="1" t="s">
        <v>7</v>
      </c>
      <c r="E11" s="2" t="s">
        <v>325</v>
      </c>
      <c r="F11" s="2"/>
      <c r="G11" s="2"/>
      <c r="H11" s="2"/>
      <c r="I11" s="2"/>
      <c r="J11" s="3"/>
      <c r="K11" s="4" t="s">
        <v>9</v>
      </c>
      <c r="L11" s="786" t="str">
        <f>+NOMINA!B3</f>
        <v>SEMANA #42 PERIODO DEL 06 AL 12 DE OCTUBRE  DEL 2025</v>
      </c>
      <c r="M11" s="786"/>
      <c r="N11" s="786"/>
      <c r="O11" s="786"/>
      <c r="P11" s="786"/>
      <c r="Q11" s="786"/>
      <c r="R11" s="786"/>
      <c r="S11" s="787"/>
    </row>
    <row r="12" spans="4:19" x14ac:dyDescent="0.2">
      <c r="D12" s="5" t="s">
        <v>10</v>
      </c>
      <c r="E12" s="788" t="s">
        <v>344</v>
      </c>
      <c r="F12" s="78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90" t="s">
        <v>11</v>
      </c>
      <c r="E14" s="791"/>
      <c r="F14" s="7">
        <v>449468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90" t="s">
        <v>14</v>
      </c>
      <c r="E15" s="791"/>
      <c r="F15" s="7">
        <v>451575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92" t="s">
        <v>17</v>
      </c>
      <c r="E16" s="793"/>
      <c r="F16" s="12">
        <f>SUM(J19:J27)</f>
        <v>5634</v>
      </c>
      <c r="G16" s="12"/>
      <c r="H16" s="12"/>
      <c r="I16" s="13" t="s">
        <v>18</v>
      </c>
      <c r="J16" s="12">
        <f>SUM(K19:K27)</f>
        <v>1805.8</v>
      </c>
      <c r="K16" s="12"/>
      <c r="L16" s="12"/>
      <c r="M16" s="12"/>
      <c r="N16" s="12"/>
      <c r="O16" s="14" t="s">
        <v>19</v>
      </c>
      <c r="P16" s="15">
        <f>+F16/J16</f>
        <v>3.1199468379665523</v>
      </c>
      <c r="Q16" s="12"/>
      <c r="R16" s="12"/>
      <c r="S16" s="16"/>
    </row>
    <row r="17" spans="2:26" ht="7.5" customHeight="1" thickBot="1" x14ac:dyDescent="0.25"/>
    <row r="18" spans="2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9" t="s">
        <v>208</v>
      </c>
      <c r="U18" s="183" t="s">
        <v>333</v>
      </c>
      <c r="V18" s="183" t="s">
        <v>336</v>
      </c>
    </row>
    <row r="19" spans="2:26" x14ac:dyDescent="0.2">
      <c r="C19" s="429">
        <v>46371</v>
      </c>
      <c r="D19" s="426" t="s">
        <v>358</v>
      </c>
      <c r="E19" s="430">
        <v>45935</v>
      </c>
      <c r="F19" s="430">
        <v>45937</v>
      </c>
      <c r="G19" s="426">
        <v>1</v>
      </c>
      <c r="H19" s="702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38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445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38"/>
      <c r="L19" s="431"/>
      <c r="M19" s="431"/>
      <c r="N19" s="38">
        <v>2</v>
      </c>
      <c r="O19" s="38" t="s">
        <v>356</v>
      </c>
      <c r="P19" s="38" t="s">
        <v>175</v>
      </c>
      <c r="Q19" s="432">
        <f>(IF(N19=1,((J19)*0.3)))+(IF(N19=2,(J19*0.15))+(IF(N19=3,(J19*0.15))))</f>
        <v>153.15</v>
      </c>
      <c r="R19" s="433"/>
      <c r="S19" s="470"/>
      <c r="T19" s="701"/>
      <c r="U19" s="131"/>
      <c r="V19" s="715">
        <v>58</v>
      </c>
      <c r="X19" s="23"/>
      <c r="Y19" s="546"/>
    </row>
    <row r="20" spans="2:26" ht="13.5" thickBot="1" x14ac:dyDescent="0.25">
      <c r="C20" s="436"/>
      <c r="D20" s="59" t="s">
        <v>359</v>
      </c>
      <c r="E20" s="437">
        <v>45937</v>
      </c>
      <c r="F20" s="437">
        <v>45938</v>
      </c>
      <c r="G20" s="59">
        <v>2</v>
      </c>
      <c r="H20" s="41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41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43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41">
        <v>633.423</v>
      </c>
      <c r="L20" s="439">
        <f>SUM(J18:J20)/K20</f>
        <v>3.2237541106022358</v>
      </c>
      <c r="M20" s="439">
        <v>2</v>
      </c>
      <c r="N20" s="41">
        <v>1</v>
      </c>
      <c r="O20" s="41" t="s">
        <v>357</v>
      </c>
      <c r="P20" s="41" t="s">
        <v>176</v>
      </c>
      <c r="Q20" s="42">
        <f t="shared" ref="Q20" si="0">(IF(N20=1,(J20*0.3)))+(IF(N20=2,(J20*0.15))+(IF(N20=3,(J20*0.15))))</f>
        <v>306.3</v>
      </c>
      <c r="R20" s="440">
        <f>+LOOKUP(P35,UNIDADES!B$3:B$73,UNIDADES!C$3:C$73)</f>
        <v>2.7010580000000002</v>
      </c>
      <c r="S20" s="471">
        <f>(SUM(J18:J20)/R20)-K20</f>
        <v>122.57705627424502</v>
      </c>
      <c r="T20" s="548">
        <f>(IF(M20=1,(S20*16)))+(IF(M20=2,(S20*17.26))+(IF(M20=3,(S20*17.66))+(IF(M20=4,(S20*18.06))+(IF(M20=5,(S20*18.46))+(IF(M20=6,(S20*18.86))+(IF(M20=7,(S20*19.26))))))))</f>
        <v>2115.6799912934694</v>
      </c>
      <c r="U20" s="106"/>
      <c r="V20" s="717">
        <v>55</v>
      </c>
      <c r="X20" s="23"/>
      <c r="Y20" s="546"/>
    </row>
    <row r="21" spans="2:26" x14ac:dyDescent="0.2">
      <c r="B21" t="s">
        <v>373</v>
      </c>
      <c r="C21" s="718">
        <v>45923</v>
      </c>
      <c r="D21" s="109" t="s">
        <v>375</v>
      </c>
      <c r="E21" s="719">
        <v>45938</v>
      </c>
      <c r="F21" s="719">
        <v>45939</v>
      </c>
      <c r="G21" s="109">
        <v>51</v>
      </c>
      <c r="H21" s="702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45" t="s">
        <v>374</v>
      </c>
      <c r="J21" s="720">
        <v>425</v>
      </c>
      <c r="K21" s="45"/>
      <c r="L21" s="721"/>
      <c r="M21" s="721"/>
      <c r="N21" s="45">
        <v>1</v>
      </c>
      <c r="O21" s="45" t="s">
        <v>372</v>
      </c>
      <c r="P21" s="45" t="s">
        <v>199</v>
      </c>
      <c r="Q21" s="722">
        <v>110</v>
      </c>
      <c r="R21" s="723"/>
      <c r="S21" s="724"/>
      <c r="T21" s="725"/>
      <c r="U21" s="131">
        <v>57</v>
      </c>
      <c r="V21" s="715">
        <v>59</v>
      </c>
      <c r="X21" s="23"/>
      <c r="Y21" s="546"/>
    </row>
    <row r="22" spans="2:26" ht="13.5" thickBot="1" x14ac:dyDescent="0.25">
      <c r="C22" s="436"/>
      <c r="D22" s="59" t="s">
        <v>376</v>
      </c>
      <c r="E22" s="437">
        <v>45939</v>
      </c>
      <c r="F22" s="437">
        <v>45939</v>
      </c>
      <c r="G22" s="59">
        <v>52</v>
      </c>
      <c r="H22" s="469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CHIH.</v>
      </c>
      <c r="I22" s="41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438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375</v>
      </c>
      <c r="K22" s="41">
        <v>208.346</v>
      </c>
      <c r="L22" s="439">
        <f>SUM(J21:J22)/K22</f>
        <v>3.8397665421942344</v>
      </c>
      <c r="M22" s="439">
        <v>2</v>
      </c>
      <c r="N22" s="41">
        <v>3</v>
      </c>
      <c r="O22" s="41"/>
      <c r="P22" s="41" t="s">
        <v>175</v>
      </c>
      <c r="Q22" s="42">
        <v>55</v>
      </c>
      <c r="R22" s="440">
        <v>2.4509799999999999</v>
      </c>
      <c r="S22" s="471">
        <f>(SUM(J21:J22)/R22)-K22</f>
        <v>118.05405222400839</v>
      </c>
      <c r="T22" s="548">
        <f>+S22*14.85</f>
        <v>1753.1026755265245</v>
      </c>
      <c r="U22" s="106" t="s">
        <v>378</v>
      </c>
      <c r="V22" s="717" t="s">
        <v>378</v>
      </c>
      <c r="X22" s="23"/>
      <c r="Y22" s="546"/>
    </row>
    <row r="23" spans="2:26" x14ac:dyDescent="0.2">
      <c r="C23" s="429">
        <v>45937</v>
      </c>
      <c r="D23" s="426" t="s">
        <v>394</v>
      </c>
      <c r="E23" s="430">
        <v>45939</v>
      </c>
      <c r="F23" s="430">
        <v>45940</v>
      </c>
      <c r="G23" s="426">
        <v>51</v>
      </c>
      <c r="H23" s="444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$65))))))))))))))))))))))))))))))))))))))))))))))))))))))))))))))</f>
        <v>JRZ</v>
      </c>
      <c r="I23" s="38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$65))))))))))))))))))))))))))))))))))))))))))))))))))))))))))))))</f>
        <v>CHIH.</v>
      </c>
      <c r="J23" s="445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$65))))))))))))))))))))))))))))))))))))))))))))))))))))))))))))))</f>
        <v>375</v>
      </c>
      <c r="K23" s="38"/>
      <c r="L23" s="431"/>
      <c r="M23" s="431"/>
      <c r="N23" s="38">
        <v>1</v>
      </c>
      <c r="O23" s="38" t="s">
        <v>396</v>
      </c>
      <c r="P23" s="38" t="s">
        <v>251</v>
      </c>
      <c r="Q23" s="432">
        <v>110</v>
      </c>
      <c r="R23" s="433"/>
      <c r="S23" s="470"/>
      <c r="T23" s="701"/>
      <c r="U23" s="131">
        <v>5</v>
      </c>
      <c r="V23" s="715">
        <v>4</v>
      </c>
      <c r="X23" s="23"/>
      <c r="Y23" s="546"/>
    </row>
    <row r="24" spans="2:26" ht="13.5" thickBot="1" x14ac:dyDescent="0.25">
      <c r="C24" s="436"/>
      <c r="D24" s="59" t="s">
        <v>395</v>
      </c>
      <c r="E24" s="437">
        <v>45940</v>
      </c>
      <c r="F24" s="437">
        <v>45940</v>
      </c>
      <c r="G24" s="59">
        <v>52</v>
      </c>
      <c r="H24" s="469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$65))))))))))))))))))))))))))))))))))))))))))))))))))))))))))))))</f>
        <v>CHIH.</v>
      </c>
      <c r="I24" s="41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$65))))))))))))))))))))))))))))))))))))))))))))))))))))))))))))))</f>
        <v>JRZ</v>
      </c>
      <c r="J24" s="438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$65))))))))))))))))))))))))))))))))))))))))))))))))))))))))))))))</f>
        <v>375</v>
      </c>
      <c r="K24" s="41">
        <v>202.03100000000001</v>
      </c>
      <c r="L24" s="439">
        <f>SUM(J23:J24)/K24</f>
        <v>3.7123015774806833</v>
      </c>
      <c r="M24" s="439">
        <v>2</v>
      </c>
      <c r="N24" s="41">
        <v>1</v>
      </c>
      <c r="O24" s="41">
        <v>8628</v>
      </c>
      <c r="P24" s="41" t="s">
        <v>191</v>
      </c>
      <c r="Q24" s="42">
        <v>55</v>
      </c>
      <c r="R24" s="440">
        <v>2.37</v>
      </c>
      <c r="S24" s="471">
        <f>(SUM(J23:J24)/R24)-K24</f>
        <v>114.42469620253161</v>
      </c>
      <c r="T24" s="548">
        <f>+S24*14.85</f>
        <v>1699.2067386075944</v>
      </c>
      <c r="U24" s="106" t="s">
        <v>378</v>
      </c>
      <c r="V24" s="717" t="s">
        <v>378</v>
      </c>
      <c r="X24" s="23"/>
      <c r="Y24" s="546"/>
    </row>
    <row r="25" spans="2:26" x14ac:dyDescent="0.2">
      <c r="C25" s="533">
        <v>4970</v>
      </c>
      <c r="D25" s="49" t="s">
        <v>435</v>
      </c>
      <c r="E25" s="50">
        <v>45940</v>
      </c>
      <c r="F25" s="50">
        <v>45941</v>
      </c>
      <c r="G25" s="49">
        <v>1</v>
      </c>
      <c r="H25" s="463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$65))))))))))))))))))))))))))))))))))))))))))))))))))))))))))))))</f>
        <v>JRZ</v>
      </c>
      <c r="I25" s="51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$65))))))))))))))))))))))))))))))))))))))))))))))))))))))))))))))</f>
        <v>OBRG</v>
      </c>
      <c r="J25" s="464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$65))))))))))))))))))))))))))))))))))))))))))))))))))))))))))))))</f>
        <v>1021</v>
      </c>
      <c r="K25" s="51"/>
      <c r="L25" s="465"/>
      <c r="M25" s="465"/>
      <c r="N25" s="51">
        <v>1</v>
      </c>
      <c r="O25" s="51" t="s">
        <v>369</v>
      </c>
      <c r="P25" s="51" t="s">
        <v>176</v>
      </c>
      <c r="Q25" s="466">
        <f>(IF(N25=1,((J25)*0.3)))+(IF(N25=2,(J25*0.15))+(IF(N25=3,(J25*0.15))))</f>
        <v>306.3</v>
      </c>
      <c r="R25" s="467"/>
      <c r="S25" s="510"/>
      <c r="T25" s="688"/>
      <c r="U25" s="180">
        <v>61</v>
      </c>
      <c r="V25" s="180">
        <v>61</v>
      </c>
      <c r="X25" s="23"/>
      <c r="Y25" s="546"/>
    </row>
    <row r="26" spans="2:26" x14ac:dyDescent="0.2">
      <c r="C26" s="536"/>
      <c r="D26" s="60" t="s">
        <v>436</v>
      </c>
      <c r="E26" s="18">
        <v>45941</v>
      </c>
      <c r="F26" s="18">
        <v>45943</v>
      </c>
      <c r="G26" s="60">
        <v>2</v>
      </c>
      <c r="H26" s="483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$65))))))))))))))))))))))))))))))))))))))))))))))))))))))))))))))</f>
        <v>OBRG</v>
      </c>
      <c r="I26" s="1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$65))))))))))))))))))))))))))))))))))))))))))))))))))))))))))))))</f>
        <v>JRZ</v>
      </c>
      <c r="J26" s="484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$65))))))))))))))))))))))))))))))))))))))))))))))))))))))))))))))</f>
        <v>1021</v>
      </c>
      <c r="K26" s="17">
        <v>762</v>
      </c>
      <c r="L26" s="485">
        <f>SUM(J24:J26)/K26</f>
        <v>3.1719160104986877</v>
      </c>
      <c r="M26" s="485">
        <v>3</v>
      </c>
      <c r="N26" s="17">
        <v>1</v>
      </c>
      <c r="O26" s="17" t="s">
        <v>434</v>
      </c>
      <c r="P26" s="17" t="s">
        <v>176</v>
      </c>
      <c r="Q26" s="486">
        <f t="shared" ref="Q26" si="1">(IF(N26=1,(J26*0.3)))+(IF(N26=2,(J26*0.15))+(IF(N26=3,(J26*0.15))))</f>
        <v>306.3</v>
      </c>
      <c r="R26" s="487">
        <v>2.37</v>
      </c>
      <c r="S26" s="507">
        <f>(SUM(J25:J26)/R26)-K26</f>
        <v>99.603375527426124</v>
      </c>
      <c r="T26" s="687">
        <f>(IF(M26=1,(S26*16)))+(IF(M26=2,(S26*17.26))+(IF(M26=3,(S26*17.66))+(IF(M26=4,(S26*18.06))+(IF(M26=5,(S26*18.46))+(IF(M26=6,(S26*18.86))+(IF(M26=7,(S26*19.26))))))))</f>
        <v>1758.9956118143455</v>
      </c>
      <c r="U26" s="113">
        <v>61</v>
      </c>
      <c r="V26" s="113">
        <v>62</v>
      </c>
    </row>
    <row r="27" spans="2:26" x14ac:dyDescent="0.2">
      <c r="C27" s="536"/>
      <c r="D27" s="60"/>
      <c r="E27" s="18"/>
      <c r="F27" s="18"/>
      <c r="G27" s="60"/>
      <c r="H27" s="17"/>
      <c r="I27" s="17"/>
      <c r="J27" s="484"/>
      <c r="K27" s="17"/>
      <c r="L27" s="485"/>
      <c r="M27" s="485"/>
      <c r="N27" s="17"/>
      <c r="O27" s="17"/>
      <c r="P27" s="17"/>
      <c r="Q27" s="486"/>
      <c r="R27" s="487"/>
      <c r="S27" s="507"/>
      <c r="T27" s="687"/>
      <c r="U27" s="113"/>
      <c r="V27" s="113"/>
    </row>
    <row r="28" spans="2:26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22"/>
      <c r="N28" s="22"/>
      <c r="O28" s="22"/>
      <c r="P28" s="22"/>
      <c r="Q28" s="22"/>
      <c r="R28" s="305"/>
      <c r="S28" s="22"/>
      <c r="T28" s="22"/>
    </row>
    <row r="29" spans="2:26" x14ac:dyDescent="0.2">
      <c r="E29" s="794" t="s">
        <v>35</v>
      </c>
      <c r="F29" s="773">
        <f>+'HERNANDEZ CONTRERAS JOSE FERNAN'!F31:G31</f>
        <v>45936</v>
      </c>
      <c r="G29" s="774"/>
      <c r="H29" s="20">
        <f>+F29+1</f>
        <v>45937</v>
      </c>
      <c r="I29" s="20">
        <f>+H29+1</f>
        <v>45938</v>
      </c>
      <c r="J29" s="20">
        <f>+I29+1</f>
        <v>45939</v>
      </c>
      <c r="K29" s="20">
        <f>+J29+1</f>
        <v>45940</v>
      </c>
      <c r="L29" s="20">
        <f>+K29+2</f>
        <v>45942</v>
      </c>
      <c r="M29" s="547"/>
      <c r="N29" s="21" t="s">
        <v>36</v>
      </c>
    </row>
    <row r="30" spans="2:26" ht="13.5" thickBot="1" x14ac:dyDescent="0.25">
      <c r="C30" s="22"/>
      <c r="E30" s="795"/>
      <c r="F30" s="775">
        <v>0</v>
      </c>
      <c r="G30" s="776"/>
      <c r="H30" s="42">
        <v>0</v>
      </c>
      <c r="I30" s="42"/>
      <c r="J30" s="42">
        <v>0</v>
      </c>
      <c r="K30" s="42"/>
      <c r="L30" s="42">
        <v>0</v>
      </c>
      <c r="M30" s="548"/>
      <c r="N30" s="61">
        <f>SUM(F30:L30)</f>
        <v>0</v>
      </c>
    </row>
    <row r="31" spans="2:26" ht="13.5" thickBot="1" x14ac:dyDescent="0.25">
      <c r="I31" s="23"/>
    </row>
    <row r="32" spans="2:26" ht="15.75" thickBot="1" x14ac:dyDescent="0.3">
      <c r="C32" s="825" t="s">
        <v>37</v>
      </c>
      <c r="D32" s="826"/>
      <c r="E32" s="826"/>
      <c r="F32" s="826"/>
      <c r="G32" s="827"/>
      <c r="I32" s="838" t="s">
        <v>38</v>
      </c>
      <c r="J32" s="839"/>
      <c r="K32" s="839"/>
      <c r="L32" s="840"/>
      <c r="M32" s="331"/>
      <c r="O32" s="828" t="s">
        <v>39</v>
      </c>
      <c r="P32" s="829"/>
      <c r="Q32" s="830">
        <f>+F42-L39</f>
        <v>9829.035017241933</v>
      </c>
      <c r="R32" s="831"/>
      <c r="S32" s="832"/>
      <c r="Z32" s="77"/>
    </row>
    <row r="33" spans="3:22" ht="13.5" thickBot="1" x14ac:dyDescent="0.25">
      <c r="C33" s="891" t="s">
        <v>207</v>
      </c>
      <c r="D33" s="892"/>
      <c r="E33" s="893"/>
      <c r="F33" s="894">
        <f>SUM(Q18:Q29)</f>
        <v>1402.05</v>
      </c>
      <c r="G33" s="895"/>
      <c r="I33" s="121" t="s">
        <v>106</v>
      </c>
      <c r="J33" s="59" t="s">
        <v>107</v>
      </c>
      <c r="K33" s="59" t="s">
        <v>69</v>
      </c>
      <c r="L33" s="119" t="s">
        <v>108</v>
      </c>
      <c r="M33" s="563"/>
      <c r="U33" s="574"/>
      <c r="V33" s="574"/>
    </row>
    <row r="34" spans="3:22" ht="13.5" thickBot="1" x14ac:dyDescent="0.25">
      <c r="C34" s="843" t="s">
        <v>208</v>
      </c>
      <c r="D34" s="844"/>
      <c r="E34" s="845"/>
      <c r="F34" s="846">
        <f>SUM(T18:T29)</f>
        <v>7326.9850172419337</v>
      </c>
      <c r="G34" s="847"/>
      <c r="I34" s="654"/>
      <c r="J34" s="656"/>
      <c r="K34" s="655"/>
      <c r="L34" s="120"/>
      <c r="M34" s="563"/>
      <c r="O34" s="62" t="s">
        <v>69</v>
      </c>
      <c r="P34" s="63" t="s">
        <v>70</v>
      </c>
      <c r="Q34" s="64" t="s">
        <v>71</v>
      </c>
      <c r="R34" s="64"/>
      <c r="S34" s="65" t="s">
        <v>72</v>
      </c>
      <c r="T34" s="63" t="s">
        <v>73</v>
      </c>
      <c r="U34" s="154" t="s">
        <v>117</v>
      </c>
      <c r="V34" s="21" t="s">
        <v>118</v>
      </c>
    </row>
    <row r="35" spans="3:22" x14ac:dyDescent="0.2">
      <c r="C35" s="843" t="s">
        <v>35</v>
      </c>
      <c r="D35" s="844"/>
      <c r="E35" s="845"/>
      <c r="F35" s="846">
        <f>+N30</f>
        <v>0</v>
      </c>
      <c r="G35" s="847"/>
      <c r="I35" s="122"/>
      <c r="J35" s="235"/>
      <c r="K35" s="60"/>
      <c r="L35" s="118"/>
      <c r="M35" s="563"/>
      <c r="O35" s="99">
        <v>46371</v>
      </c>
      <c r="P35" s="100" t="s">
        <v>235</v>
      </c>
      <c r="Q35" s="187">
        <v>330402</v>
      </c>
      <c r="R35" s="187"/>
      <c r="S35" s="38">
        <v>332514</v>
      </c>
      <c r="T35" s="100">
        <f>+S35-Q35</f>
        <v>2112</v>
      </c>
      <c r="U35" s="203">
        <v>2042</v>
      </c>
      <c r="V35" s="204">
        <v>633.423</v>
      </c>
    </row>
    <row r="36" spans="3:22" x14ac:dyDescent="0.2">
      <c r="C36" s="843" t="s">
        <v>40</v>
      </c>
      <c r="D36" s="844"/>
      <c r="E36" s="845"/>
      <c r="F36" s="846"/>
      <c r="G36" s="847"/>
      <c r="I36" s="124"/>
      <c r="J36" s="235"/>
      <c r="K36" s="60"/>
      <c r="L36" s="118"/>
      <c r="M36" s="563"/>
      <c r="O36" s="44">
        <v>45923</v>
      </c>
      <c r="P36" s="69" t="s">
        <v>143</v>
      </c>
      <c r="Q36" s="70">
        <v>1231905</v>
      </c>
      <c r="R36" s="70"/>
      <c r="S36" s="17">
        <v>122412</v>
      </c>
      <c r="T36" s="69">
        <f>+S36-Q36</f>
        <v>-1109493</v>
      </c>
      <c r="U36" s="157">
        <v>800</v>
      </c>
      <c r="V36" s="156">
        <v>208.346</v>
      </c>
    </row>
    <row r="37" spans="3:22" ht="13.5" thickBot="1" x14ac:dyDescent="0.25">
      <c r="C37" s="843" t="s">
        <v>437</v>
      </c>
      <c r="D37" s="844"/>
      <c r="E37" s="845"/>
      <c r="F37" s="846">
        <v>300</v>
      </c>
      <c r="G37" s="847"/>
      <c r="I37" s="124"/>
      <c r="J37" s="235"/>
      <c r="K37" s="116"/>
      <c r="L37" s="118"/>
      <c r="M37" s="563"/>
      <c r="O37" s="71">
        <v>45937</v>
      </c>
      <c r="P37" s="72" t="s">
        <v>140</v>
      </c>
      <c r="Q37" s="73">
        <v>432893</v>
      </c>
      <c r="R37" s="73"/>
      <c r="S37" s="41">
        <v>433590</v>
      </c>
      <c r="T37" s="72">
        <f>+S37-Q37</f>
        <v>697</v>
      </c>
      <c r="U37" s="158">
        <v>2792</v>
      </c>
      <c r="V37" s="159">
        <v>964.03099999999995</v>
      </c>
    </row>
    <row r="38" spans="3:22" ht="13.5" thickBot="1" x14ac:dyDescent="0.25">
      <c r="C38" s="843" t="s">
        <v>42</v>
      </c>
      <c r="D38" s="844"/>
      <c r="E38" s="845"/>
      <c r="F38" s="846">
        <v>500</v>
      </c>
      <c r="G38" s="847"/>
      <c r="I38" s="124"/>
      <c r="J38" s="235"/>
      <c r="K38" s="60"/>
      <c r="L38" s="118"/>
      <c r="M38" s="563"/>
      <c r="O38" s="762">
        <v>45970</v>
      </c>
      <c r="P38" s="27" t="s">
        <v>438</v>
      </c>
      <c r="Q38" s="27">
        <v>24271</v>
      </c>
      <c r="R38" s="27"/>
      <c r="S38" s="27">
        <v>26325</v>
      </c>
      <c r="T38" s="27"/>
    </row>
    <row r="39" spans="3:22" ht="15.75" thickBot="1" x14ac:dyDescent="0.3">
      <c r="C39" s="24" t="s">
        <v>345</v>
      </c>
      <c r="D39" s="25"/>
      <c r="E39" s="25"/>
      <c r="F39" s="846">
        <v>250</v>
      </c>
      <c r="G39" s="847"/>
      <c r="I39" s="848" t="s">
        <v>44</v>
      </c>
      <c r="J39" s="849"/>
      <c r="K39" s="850"/>
      <c r="L39" s="125">
        <f>SUM(L34:L38)</f>
        <v>0</v>
      </c>
      <c r="M39" s="130"/>
      <c r="P39" s="851" t="s">
        <v>61</v>
      </c>
      <c r="Q39" s="871"/>
      <c r="R39" s="27"/>
      <c r="S39" s="27"/>
      <c r="T39" s="26"/>
    </row>
    <row r="40" spans="3:22" ht="15" x14ac:dyDescent="0.25">
      <c r="C40" s="253"/>
      <c r="D40" s="254"/>
      <c r="E40" s="254"/>
      <c r="F40" s="763"/>
      <c r="G40" s="416"/>
      <c r="I40" s="764"/>
      <c r="J40" s="764"/>
      <c r="K40" s="764"/>
      <c r="L40" s="550"/>
      <c r="M40" s="130"/>
      <c r="P40" s="765"/>
      <c r="Q40" s="766"/>
      <c r="R40" s="27"/>
      <c r="S40" s="27"/>
      <c r="T40" s="26"/>
    </row>
    <row r="41" spans="3:22" ht="15.75" thickBot="1" x14ac:dyDescent="0.3">
      <c r="C41" s="253" t="s">
        <v>377</v>
      </c>
      <c r="D41" s="254"/>
      <c r="E41" s="254"/>
      <c r="F41" s="896">
        <v>50</v>
      </c>
      <c r="G41" s="897"/>
      <c r="P41" s="44">
        <v>1</v>
      </c>
      <c r="Q41" s="69" t="s">
        <v>62</v>
      </c>
      <c r="R41" s="27"/>
      <c r="S41" s="27"/>
      <c r="T41" s="26"/>
    </row>
    <row r="42" spans="3:22" ht="15.75" thickBot="1" x14ac:dyDescent="0.3">
      <c r="C42" s="868" t="s">
        <v>45</v>
      </c>
      <c r="D42" s="869"/>
      <c r="E42" s="870"/>
      <c r="F42" s="898">
        <f>SUM(F33:G41)</f>
        <v>9829.035017241933</v>
      </c>
      <c r="G42" s="899"/>
      <c r="L42" s="657"/>
      <c r="M42" s="657"/>
      <c r="N42" s="697"/>
      <c r="P42" s="44">
        <v>2</v>
      </c>
      <c r="Q42" s="69" t="s">
        <v>110</v>
      </c>
      <c r="R42" s="27"/>
      <c r="S42" s="27"/>
      <c r="T42" s="26"/>
    </row>
    <row r="43" spans="3:22" ht="13.5" thickBot="1" x14ac:dyDescent="0.25">
      <c r="P43" s="71">
        <v>3</v>
      </c>
      <c r="Q43" s="72" t="s">
        <v>109</v>
      </c>
      <c r="R43" s="27"/>
      <c r="S43" s="27"/>
      <c r="T43" s="27"/>
      <c r="U43" s="37"/>
    </row>
    <row r="44" spans="3:22" ht="12" customHeight="1" x14ac:dyDescent="0.25">
      <c r="C44" s="28" t="s">
        <v>46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30"/>
      <c r="P44" s="27"/>
      <c r="Q44" s="27"/>
      <c r="R44" s="27"/>
      <c r="S44" s="27"/>
      <c r="T44" s="27"/>
      <c r="U44" s="26"/>
    </row>
    <row r="45" spans="3:22" ht="15" x14ac:dyDescent="0.25">
      <c r="C45" s="31"/>
      <c r="N45" s="32"/>
      <c r="P45" s="27"/>
      <c r="Q45" s="27"/>
      <c r="R45" s="27"/>
      <c r="S45" s="27"/>
      <c r="T45" s="27"/>
      <c r="U45" s="26"/>
    </row>
    <row r="46" spans="3:22" ht="15.75" thickBot="1" x14ac:dyDescent="0.3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5"/>
      <c r="P46" s="27"/>
      <c r="Q46" s="27"/>
      <c r="R46" s="27"/>
      <c r="S46" s="27"/>
      <c r="T46" s="27"/>
      <c r="U46" s="26"/>
    </row>
    <row r="47" spans="3:22" ht="15" x14ac:dyDescent="0.25">
      <c r="P47" s="27"/>
      <c r="Q47" s="27"/>
      <c r="R47" s="27"/>
      <c r="S47" s="27"/>
      <c r="T47" s="27"/>
      <c r="U47" s="26"/>
    </row>
    <row r="48" spans="3:22" ht="15" x14ac:dyDescent="0.25">
      <c r="P48" s="27"/>
      <c r="Q48" s="27"/>
      <c r="R48" s="27"/>
      <c r="S48" s="27"/>
      <c r="T48" s="27"/>
      <c r="U48" s="26"/>
    </row>
    <row r="49" spans="4:21" ht="15.75" thickBot="1" x14ac:dyDescent="0.3">
      <c r="P49" s="27"/>
      <c r="Q49" s="27"/>
      <c r="R49" s="27"/>
      <c r="S49" s="27"/>
      <c r="T49" s="27"/>
      <c r="U49" s="26"/>
    </row>
    <row r="50" spans="4:21" ht="13.5" thickTop="1" x14ac:dyDescent="0.2">
      <c r="D50" s="816" t="s">
        <v>47</v>
      </c>
      <c r="E50" s="816"/>
      <c r="F50" s="816"/>
      <c r="G50" s="816"/>
      <c r="H50" s="816"/>
      <c r="J50" s="816" t="s">
        <v>48</v>
      </c>
      <c r="K50" s="816"/>
      <c r="L50" s="816"/>
      <c r="M50" s="816"/>
      <c r="N50" s="816"/>
      <c r="P50" s="812"/>
      <c r="Q50" s="812"/>
      <c r="R50" s="812"/>
      <c r="S50" s="812"/>
      <c r="T50" s="812"/>
    </row>
    <row r="51" spans="4:21" x14ac:dyDescent="0.2">
      <c r="P51" s="812"/>
      <c r="Q51" s="812"/>
      <c r="R51" s="812"/>
      <c r="S51" s="812"/>
      <c r="T51" s="812"/>
    </row>
    <row r="52" spans="4:21" x14ac:dyDescent="0.2">
      <c r="P52" s="812"/>
      <c r="Q52" s="812"/>
      <c r="R52" s="812"/>
      <c r="S52" s="812"/>
      <c r="T52" s="812"/>
    </row>
    <row r="53" spans="4:21" x14ac:dyDescent="0.2">
      <c r="P53" s="812"/>
      <c r="Q53" s="812"/>
      <c r="R53" s="812"/>
      <c r="S53" s="812"/>
      <c r="T53" s="812"/>
    </row>
    <row r="54" spans="4:21" x14ac:dyDescent="0.2">
      <c r="P54" s="36"/>
      <c r="Q54" s="36"/>
      <c r="R54" s="36"/>
      <c r="S54" s="36"/>
      <c r="T54" s="36"/>
    </row>
    <row r="55" spans="4:21" ht="15" customHeight="1" x14ac:dyDescent="0.2"/>
  </sheetData>
  <mergeCells count="47">
    <mergeCell ref="P50:T50"/>
    <mergeCell ref="P51:T51"/>
    <mergeCell ref="P52:T52"/>
    <mergeCell ref="P53:T53"/>
    <mergeCell ref="F39:G39"/>
    <mergeCell ref="F41:G41"/>
    <mergeCell ref="I39:K39"/>
    <mergeCell ref="P39:Q39"/>
    <mergeCell ref="D50:H50"/>
    <mergeCell ref="J50:N50"/>
    <mergeCell ref="C42:E42"/>
    <mergeCell ref="F42:G42"/>
    <mergeCell ref="C37:E37"/>
    <mergeCell ref="F37:G37"/>
    <mergeCell ref="C38:E38"/>
    <mergeCell ref="F38:G38"/>
    <mergeCell ref="C35:E35"/>
    <mergeCell ref="F35:G35"/>
    <mergeCell ref="C36:E36"/>
    <mergeCell ref="F36:G36"/>
    <mergeCell ref="O32:P32"/>
    <mergeCell ref="Q32:S32"/>
    <mergeCell ref="C33:E33"/>
    <mergeCell ref="F33:G33"/>
    <mergeCell ref="I32:L32"/>
    <mergeCell ref="C34:E34"/>
    <mergeCell ref="F34:G34"/>
    <mergeCell ref="D14:E14"/>
    <mergeCell ref="D15:E15"/>
    <mergeCell ref="D16:E16"/>
    <mergeCell ref="E29:E30"/>
    <mergeCell ref="F29:G29"/>
    <mergeCell ref="F30:G30"/>
    <mergeCell ref="C32:G32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</mergeCells>
  <pageMargins left="0.19685039370078741" right="0.19685039370078741" top="0.35433070866141736" bottom="0.35433070866141736" header="0.31496062992125984" footer="0.31496062992125984"/>
  <pageSetup paperSize="9" scale="62" orientation="landscape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0">
    <pageSetUpPr fitToPage="1"/>
  </sheetPr>
  <dimension ref="C1:Z52"/>
  <sheetViews>
    <sheetView topLeftCell="A5" zoomScaleNormal="100" workbookViewId="0">
      <selection activeCell="I31" sqref="I31:L35"/>
    </sheetView>
  </sheetViews>
  <sheetFormatPr baseColWidth="10" defaultColWidth="9.140625" defaultRowHeight="12.75" x14ac:dyDescent="0.2"/>
  <cols>
    <col min="1" max="1" width="2.140625" customWidth="1"/>
    <col min="2" max="2" width="2.5703125" customWidth="1"/>
    <col min="3" max="3" width="11.7109375" customWidth="1"/>
    <col min="4" max="4" width="11.140625" customWidth="1"/>
    <col min="5" max="5" width="7.7109375" bestFit="1" customWidth="1"/>
    <col min="6" max="6" width="8.85546875" customWidth="1"/>
    <col min="7" max="7" width="4" bestFit="1" customWidth="1"/>
    <col min="8" max="8" width="12.140625" bestFit="1" customWidth="1"/>
    <col min="9" max="9" width="11.85546875" customWidth="1"/>
    <col min="10" max="10" width="10" customWidth="1"/>
    <col min="11" max="11" width="9.7109375" customWidth="1"/>
    <col min="12" max="13" width="12" customWidth="1"/>
    <col min="14" max="14" width="8.42578125" customWidth="1"/>
    <col min="15" max="15" width="10.7109375" customWidth="1"/>
    <col min="16" max="16" width="9" customWidth="1"/>
    <col min="17" max="17" width="10.85546875" customWidth="1"/>
    <col min="18" max="18" width="14" hidden="1" customWidth="1"/>
    <col min="19" max="19" width="9.7109375" customWidth="1"/>
    <col min="20" max="20" width="12" customWidth="1"/>
    <col min="21" max="21" width="10.42578125" hidden="1" customWidth="1"/>
    <col min="22" max="22" width="11.28515625" hidden="1" customWidth="1"/>
    <col min="23" max="23" width="11" customWidth="1"/>
    <col min="24" max="24" width="9.140625" customWidth="1"/>
    <col min="25" max="25" width="12.140625" customWidth="1"/>
    <col min="26" max="26" width="10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02" t="s">
        <v>0</v>
      </c>
      <c r="R2" s="803"/>
      <c r="S2" s="804"/>
    </row>
    <row r="3" spans="4:19" ht="13.5" customHeight="1" thickBot="1" x14ac:dyDescent="0.35">
      <c r="I3" s="799" t="s">
        <v>1</v>
      </c>
      <c r="J3" s="800"/>
      <c r="K3" s="800"/>
      <c r="L3" s="800"/>
      <c r="M3" s="800"/>
      <c r="N3" s="800"/>
      <c r="O3" s="801"/>
      <c r="Q3" s="783">
        <f>+'TORRES GARAY LUIS HUMBERTO'!Q3</f>
        <v>42</v>
      </c>
      <c r="R3" s="784"/>
      <c r="S3" s="785"/>
    </row>
    <row r="4" spans="4:19" ht="16.5" thickBot="1" x14ac:dyDescent="0.3">
      <c r="I4" s="805" t="s">
        <v>2</v>
      </c>
      <c r="J4" s="806"/>
      <c r="K4" s="806"/>
      <c r="L4" s="806"/>
      <c r="M4" s="806"/>
      <c r="N4" s="806"/>
      <c r="O4" s="807"/>
    </row>
    <row r="5" spans="4:19" x14ac:dyDescent="0.2">
      <c r="I5" s="808" t="s">
        <v>3</v>
      </c>
      <c r="J5" s="809"/>
      <c r="K5" s="809"/>
      <c r="L5" s="809"/>
      <c r="M5" s="809"/>
      <c r="N5" s="809"/>
      <c r="O5" s="810"/>
      <c r="Q5" s="900" t="s">
        <v>4</v>
      </c>
      <c r="R5" s="901"/>
      <c r="S5" s="902"/>
    </row>
    <row r="6" spans="4:19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780">
        <f>+'ESTRADA ARELLANO ARTURO'!Q6</f>
        <v>10</v>
      </c>
      <c r="R6" s="781"/>
      <c r="S6" s="782"/>
    </row>
    <row r="7" spans="4:19" ht="9" customHeight="1" x14ac:dyDescent="0.2"/>
    <row r="8" spans="4:19" ht="6.75" customHeight="1" thickBot="1" x14ac:dyDescent="0.25"/>
    <row r="9" spans="4:19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19" ht="11.25" customHeight="1" thickBot="1" x14ac:dyDescent="0.25"/>
    <row r="11" spans="4:19" x14ac:dyDescent="0.2">
      <c r="D11" s="1" t="s">
        <v>7</v>
      </c>
      <c r="E11" s="2" t="s">
        <v>216</v>
      </c>
      <c r="F11" s="175"/>
      <c r="G11" s="175"/>
      <c r="H11" s="175"/>
      <c r="I11" s="2"/>
      <c r="J11" s="3"/>
      <c r="K11" s="4" t="s">
        <v>9</v>
      </c>
      <c r="L11" s="786" t="str">
        <f>+'HARO IMPERIAL JOSÉ ANTONIO'!L11</f>
        <v>SEMANA #42 PERIODO DEL 06 AL 12 DE OCTUBRE  DEL 2025</v>
      </c>
      <c r="M11" s="786"/>
      <c r="N11" s="786"/>
      <c r="O11" s="786"/>
      <c r="P11" s="786"/>
      <c r="Q11" s="786"/>
      <c r="R11" s="786"/>
      <c r="S11" s="787"/>
    </row>
    <row r="12" spans="4:19" x14ac:dyDescent="0.2">
      <c r="D12" s="5" t="s">
        <v>10</v>
      </c>
      <c r="E12" s="788" t="s">
        <v>102</v>
      </c>
      <c r="F12" s="78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90" t="s">
        <v>11</v>
      </c>
      <c r="E14" s="791"/>
      <c r="F14" s="7">
        <v>71591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90" t="s">
        <v>14</v>
      </c>
      <c r="E15" s="791"/>
      <c r="F15" s="7">
        <v>73120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92" t="s">
        <v>17</v>
      </c>
      <c r="E16" s="793"/>
      <c r="F16" s="12">
        <f>SUM(J19:J24)</f>
        <v>4084</v>
      </c>
      <c r="G16" s="12"/>
      <c r="H16" s="12"/>
      <c r="I16" s="13" t="s">
        <v>18</v>
      </c>
      <c r="J16" s="12">
        <f>SUM(K19:K24)</f>
        <v>1231.904</v>
      </c>
      <c r="K16" s="12"/>
      <c r="L16" s="12"/>
      <c r="M16" s="12"/>
      <c r="N16" s="12"/>
      <c r="O16" s="14" t="s">
        <v>19</v>
      </c>
      <c r="P16" s="15">
        <f>+F16/J16</f>
        <v>3.3151933916928593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9" t="s">
        <v>208</v>
      </c>
      <c r="U18" s="681" t="s">
        <v>333</v>
      </c>
      <c r="V18" s="682" t="s">
        <v>335</v>
      </c>
    </row>
    <row r="19" spans="3:26" x14ac:dyDescent="0.2">
      <c r="C19" s="52">
        <v>45939</v>
      </c>
      <c r="D19" s="279" t="s">
        <v>390</v>
      </c>
      <c r="E19" s="280">
        <v>45938</v>
      </c>
      <c r="F19" s="280">
        <v>45939</v>
      </c>
      <c r="G19" s="279">
        <v>1</v>
      </c>
      <c r="H19" s="53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53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54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131"/>
      <c r="L19" s="193"/>
      <c r="M19" s="193"/>
      <c r="N19" s="131">
        <v>2</v>
      </c>
      <c r="O19" s="131" t="s">
        <v>392</v>
      </c>
      <c r="P19" s="131" t="s">
        <v>175</v>
      </c>
      <c r="Q19" s="194">
        <f>(IF(N19=1,((J19)*0.3)))+(IF(N19=2,(J19*0.15))+(IF(N19=3,(J19*0.15))))</f>
        <v>153.15</v>
      </c>
      <c r="R19" s="729"/>
      <c r="S19" s="195"/>
      <c r="T19" s="676"/>
      <c r="U19" s="757">
        <v>55</v>
      </c>
      <c r="V19" s="758">
        <v>56</v>
      </c>
      <c r="X19" s="23"/>
      <c r="Y19" s="546"/>
    </row>
    <row r="20" spans="3:26" ht="13.5" thickBot="1" x14ac:dyDescent="0.25">
      <c r="C20" s="96"/>
      <c r="D20" s="281" t="s">
        <v>391</v>
      </c>
      <c r="E20" s="282">
        <v>45939</v>
      </c>
      <c r="F20" s="282">
        <v>45940</v>
      </c>
      <c r="G20" s="281">
        <v>2</v>
      </c>
      <c r="H20" s="183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183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1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183">
        <v>591.66800000000001</v>
      </c>
      <c r="L20" s="269">
        <f>SUM(J19:J20)/K20</f>
        <v>3.451259828146866</v>
      </c>
      <c r="M20" s="269">
        <v>6</v>
      </c>
      <c r="N20" s="183">
        <v>1</v>
      </c>
      <c r="O20" s="183" t="s">
        <v>393</v>
      </c>
      <c r="P20" s="183" t="s">
        <v>176</v>
      </c>
      <c r="Q20" s="270">
        <f t="shared" ref="Q20" si="0">(IF(N20=1,(J20*0.3)))+(IF(N20=2,(J20*0.15))+(IF(N20=3,(J20*0.15))))</f>
        <v>306.3</v>
      </c>
      <c r="R20" s="730">
        <f>+LOOKUP(P32,UNIDADES!B$3:B$73,UNIDADES!C$3:C$73)</f>
        <v>2.60127</v>
      </c>
      <c r="S20" s="517">
        <f>(SUM(J18:J20)/R20)-K20</f>
        <v>193.33317250419987</v>
      </c>
      <c r="T20" s="680">
        <f>(IF(M20=1,(S20*16)))+(IF(M20=2,(S20*17.26))+(IF(M20=3,(S20*17.66))+(IF(M20=4,(S20*18.06))+(IF(M20=5,(S20*18.46))+(IF(M20=6,(S20*18.86))+(IF(M20=7,(S20*19.26))))))))</f>
        <v>3646.2636334292092</v>
      </c>
      <c r="U20" s="759">
        <v>7</v>
      </c>
      <c r="V20" s="760">
        <v>7</v>
      </c>
      <c r="X20" s="23"/>
      <c r="Y20" s="546"/>
    </row>
    <row r="21" spans="3:26" x14ac:dyDescent="0.2">
      <c r="C21" s="52">
        <v>45972</v>
      </c>
      <c r="D21" s="279" t="s">
        <v>441</v>
      </c>
      <c r="E21" s="280">
        <v>45941</v>
      </c>
      <c r="F21" s="280">
        <v>45942</v>
      </c>
      <c r="G21" s="279">
        <v>1</v>
      </c>
      <c r="H21" s="131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131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OBRG</v>
      </c>
      <c r="J21" s="132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1021</v>
      </c>
      <c r="K21" s="131"/>
      <c r="L21" s="193"/>
      <c r="M21" s="193"/>
      <c r="N21" s="131">
        <v>1</v>
      </c>
      <c r="O21" s="131" t="s">
        <v>439</v>
      </c>
      <c r="P21" s="131" t="s">
        <v>176</v>
      </c>
      <c r="Q21" s="194">
        <f>(IF(N21=1,((J21)*0.3)))+(IF(N21=2,(J21*0.15))+(IF(N21=3,(J21*0.15))))</f>
        <v>306.3</v>
      </c>
      <c r="R21" s="731"/>
      <c r="S21" s="195"/>
      <c r="T21" s="676"/>
      <c r="U21" s="759">
        <v>56</v>
      </c>
      <c r="V21" s="760">
        <v>56</v>
      </c>
      <c r="X21" s="23"/>
      <c r="Y21" s="546"/>
    </row>
    <row r="22" spans="3:26" ht="14.25" customHeight="1" x14ac:dyDescent="0.2">
      <c r="C22" s="96"/>
      <c r="D22" s="281" t="s">
        <v>442</v>
      </c>
      <c r="E22" s="282">
        <v>45943</v>
      </c>
      <c r="F22" s="282">
        <v>45943</v>
      </c>
      <c r="G22" s="281">
        <v>2</v>
      </c>
      <c r="H22" s="183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OBRG</v>
      </c>
      <c r="I22" s="183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184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1021</v>
      </c>
      <c r="K22" s="183">
        <v>640.23599999999999</v>
      </c>
      <c r="L22" s="269">
        <f>SUM(J21:J22)/K22</f>
        <v>3.1894488907215464</v>
      </c>
      <c r="M22" s="269">
        <v>3</v>
      </c>
      <c r="N22" s="183">
        <v>1</v>
      </c>
      <c r="O22" s="183" t="s">
        <v>440</v>
      </c>
      <c r="P22" s="183" t="s">
        <v>176</v>
      </c>
      <c r="Q22" s="270">
        <f t="shared" ref="Q22" si="1">(IF(N22=1,(J22*0.3)))+(IF(N22=2,(J22*0.15))+(IF(N22=3,(J22*0.15))))</f>
        <v>306.3</v>
      </c>
      <c r="R22" s="732">
        <f>+LOOKUP(P33,UNIDADES!B$3:B$73,UNIDADES!C$3:C$73)</f>
        <v>2.60127</v>
      </c>
      <c r="S22" s="517">
        <f>(SUM(J21:J22)/R22)-K22</f>
        <v>144.76517250419988</v>
      </c>
      <c r="T22" s="680">
        <f>(IF(M22=1,(S22*16)))+(IF(M22=2,(S22*17.26))+(IF(M22=3,(S22*17.66))+(IF(M22=4,(S22*18.06))+(IF(M22=5,(S22*18.46))+(IF(M22=6,(S22*18.86))+(IF(M22=7,(S22*19.26))))))))</f>
        <v>2556.5529464241699</v>
      </c>
      <c r="U22" s="759">
        <v>7</v>
      </c>
      <c r="V22" s="760">
        <v>6</v>
      </c>
      <c r="X22" s="23"/>
      <c r="Y22" s="546"/>
    </row>
    <row r="23" spans="3:26" ht="12" hidden="1" customHeight="1" x14ac:dyDescent="0.2">
      <c r="C23" s="52"/>
      <c r="D23" s="279"/>
      <c r="E23" s="280"/>
      <c r="F23" s="280"/>
      <c r="G23" s="279"/>
      <c r="H23" s="131"/>
      <c r="I23" s="131"/>
      <c r="J23" s="132"/>
      <c r="K23" s="131"/>
      <c r="L23" s="193"/>
      <c r="M23" s="193"/>
      <c r="N23" s="131"/>
      <c r="O23" s="131"/>
      <c r="P23" s="131"/>
      <c r="Q23" s="194"/>
      <c r="R23" s="729"/>
      <c r="S23" s="195"/>
      <c r="T23" s="676"/>
      <c r="U23" s="759"/>
      <c r="V23" s="760"/>
      <c r="X23" s="23"/>
      <c r="Y23" s="546"/>
    </row>
    <row r="24" spans="3:26" ht="13.5" hidden="1" thickBot="1" x14ac:dyDescent="0.25">
      <c r="C24" s="40"/>
      <c r="D24" s="283"/>
      <c r="E24" s="284"/>
      <c r="F24" s="284"/>
      <c r="G24" s="283"/>
      <c r="H24" s="106"/>
      <c r="I24" s="106"/>
      <c r="J24" s="107"/>
      <c r="K24" s="106"/>
      <c r="L24" s="255"/>
      <c r="M24" s="255"/>
      <c r="N24" s="106"/>
      <c r="O24" s="106"/>
      <c r="P24" s="106"/>
      <c r="Q24" s="256"/>
      <c r="R24" s="733"/>
      <c r="S24" s="202"/>
      <c r="T24" s="678"/>
      <c r="U24" s="695"/>
      <c r="V24" s="696"/>
      <c r="X24" s="23"/>
      <c r="Y24" s="546"/>
    </row>
    <row r="25" spans="3:26" ht="13.5" thickBot="1" x14ac:dyDescent="0.25">
      <c r="C25" s="22"/>
      <c r="D25" s="22"/>
      <c r="E25" s="22"/>
      <c r="F25" s="22"/>
      <c r="G25" s="22"/>
      <c r="H25" s="22"/>
      <c r="I25" s="18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X25" s="23"/>
      <c r="Y25" s="546"/>
    </row>
    <row r="26" spans="3:26" x14ac:dyDescent="0.2">
      <c r="E26" s="794" t="s">
        <v>35</v>
      </c>
      <c r="F26" s="773">
        <f>+'RODRIGUEZ VALLES JOSE FRANCISCO'!F34:G34</f>
        <v>45936</v>
      </c>
      <c r="G26" s="774"/>
      <c r="H26" s="20">
        <f>+F26+1</f>
        <v>45937</v>
      </c>
      <c r="I26" s="20">
        <f>+H26+1</f>
        <v>45938</v>
      </c>
      <c r="J26" s="20">
        <f>+I26+1</f>
        <v>45939</v>
      </c>
      <c r="K26" s="20">
        <f>+J26+1</f>
        <v>45940</v>
      </c>
      <c r="L26" s="20">
        <f>+K26+2</f>
        <v>45942</v>
      </c>
      <c r="M26" s="547"/>
      <c r="N26" s="21" t="s">
        <v>84</v>
      </c>
      <c r="U26" s="607"/>
      <c r="V26" s="608"/>
      <c r="W26" s="609"/>
    </row>
    <row r="27" spans="3:26" ht="13.5" thickBot="1" x14ac:dyDescent="0.25">
      <c r="C27" s="22"/>
      <c r="E27" s="795"/>
      <c r="F27" s="775">
        <v>0</v>
      </c>
      <c r="G27" s="776"/>
      <c r="H27" s="42"/>
      <c r="I27" s="42"/>
      <c r="J27" s="42">
        <v>0</v>
      </c>
      <c r="K27" s="42">
        <v>0</v>
      </c>
      <c r="L27" s="42">
        <v>0</v>
      </c>
      <c r="M27" s="548"/>
      <c r="N27" s="43">
        <f>SUM(F27:L27)</f>
        <v>0</v>
      </c>
      <c r="S27" s="77"/>
    </row>
    <row r="28" spans="3:26" ht="13.5" thickBot="1" x14ac:dyDescent="0.25">
      <c r="I28" s="23"/>
      <c r="S28" s="268"/>
    </row>
    <row r="29" spans="3:26" ht="19.5" customHeight="1" thickBot="1" x14ac:dyDescent="0.3">
      <c r="C29" s="825" t="s">
        <v>37</v>
      </c>
      <c r="D29" s="826"/>
      <c r="E29" s="826"/>
      <c r="F29" s="826"/>
      <c r="G29" s="827"/>
      <c r="I29" s="838" t="s">
        <v>38</v>
      </c>
      <c r="J29" s="839"/>
      <c r="K29" s="839"/>
      <c r="L29" s="840"/>
      <c r="M29" s="545"/>
      <c r="O29" s="828" t="s">
        <v>39</v>
      </c>
      <c r="P29" s="829"/>
      <c r="Q29" s="865">
        <f>+F39-L37</f>
        <v>8374.8665798533802</v>
      </c>
      <c r="R29" s="866"/>
      <c r="S29" s="867"/>
      <c r="T29" s="546"/>
      <c r="W29" s="268"/>
      <c r="Z29" s="77"/>
    </row>
    <row r="30" spans="3:26" ht="13.5" thickBot="1" x14ac:dyDescent="0.25">
      <c r="C30" s="833" t="s">
        <v>207</v>
      </c>
      <c r="D30" s="834"/>
      <c r="E30" s="835"/>
      <c r="F30" s="836">
        <f>SUM(Q18:Q25)</f>
        <v>1072.05</v>
      </c>
      <c r="G30" s="837"/>
      <c r="I30" s="121" t="s">
        <v>106</v>
      </c>
      <c r="J30" s="59" t="s">
        <v>107</v>
      </c>
      <c r="K30" s="59" t="s">
        <v>69</v>
      </c>
      <c r="L30" s="119" t="s">
        <v>108</v>
      </c>
      <c r="M30" s="549"/>
    </row>
    <row r="31" spans="3:26" ht="13.5" thickBot="1" x14ac:dyDescent="0.25">
      <c r="C31" s="843" t="s">
        <v>208</v>
      </c>
      <c r="D31" s="844"/>
      <c r="E31" s="845"/>
      <c r="F31" s="846">
        <f>SUM(T18:T25)</f>
        <v>6202.8165798533792</v>
      </c>
      <c r="G31" s="847"/>
      <c r="I31" s="654"/>
      <c r="J31" s="656"/>
      <c r="K31" s="655"/>
      <c r="L31" s="120"/>
      <c r="M31" s="549"/>
      <c r="O31" s="110" t="s">
        <v>69</v>
      </c>
      <c r="P31" s="109" t="s">
        <v>70</v>
      </c>
      <c r="Q31" s="109" t="s">
        <v>71</v>
      </c>
      <c r="R31" s="109"/>
      <c r="S31" s="109" t="s">
        <v>72</v>
      </c>
      <c r="T31" s="108" t="s">
        <v>73</v>
      </c>
      <c r="U31" s="110" t="s">
        <v>117</v>
      </c>
      <c r="V31" s="108" t="s">
        <v>118</v>
      </c>
    </row>
    <row r="32" spans="3:26" x14ac:dyDescent="0.2">
      <c r="C32" s="843" t="s">
        <v>35</v>
      </c>
      <c r="D32" s="844"/>
      <c r="E32" s="845"/>
      <c r="F32" s="846">
        <f>+N27</f>
        <v>0</v>
      </c>
      <c r="G32" s="847"/>
      <c r="I32" s="122"/>
      <c r="J32" s="235"/>
      <c r="K32" s="60"/>
      <c r="L32" s="118"/>
      <c r="M32" s="549"/>
      <c r="O32" s="99">
        <v>45939</v>
      </c>
      <c r="P32" s="38" t="s">
        <v>102</v>
      </c>
      <c r="Q32" s="38">
        <v>738093</v>
      </c>
      <c r="R32" s="38"/>
      <c r="S32" s="38">
        <v>740204</v>
      </c>
      <c r="T32" s="100">
        <f>+S32-Q32</f>
        <v>2111</v>
      </c>
      <c r="U32" s="201">
        <v>2042</v>
      </c>
      <c r="V32" s="21">
        <v>591.66800000000001</v>
      </c>
    </row>
    <row r="33" spans="3:22" x14ac:dyDescent="0.2">
      <c r="C33" s="843" t="s">
        <v>40</v>
      </c>
      <c r="D33" s="844"/>
      <c r="E33" s="845"/>
      <c r="F33" s="846"/>
      <c r="G33" s="847"/>
      <c r="H33" s="582"/>
      <c r="I33" s="122"/>
      <c r="J33" s="235"/>
      <c r="K33" s="60"/>
      <c r="L33" s="118"/>
      <c r="M33" s="549"/>
      <c r="O33" s="44">
        <v>45972</v>
      </c>
      <c r="P33" s="17" t="s">
        <v>102</v>
      </c>
      <c r="Q33" s="17">
        <v>740203</v>
      </c>
      <c r="R33" s="17"/>
      <c r="S33" s="17">
        <v>742292</v>
      </c>
      <c r="T33" s="69">
        <f>+S33-Q33</f>
        <v>2089</v>
      </c>
      <c r="U33" s="157">
        <v>2042</v>
      </c>
      <c r="V33" s="156">
        <v>640.23599999999999</v>
      </c>
    </row>
    <row r="34" spans="3:22" ht="13.5" thickBot="1" x14ac:dyDescent="0.25">
      <c r="C34" s="843" t="s">
        <v>41</v>
      </c>
      <c r="D34" s="844"/>
      <c r="E34" s="845"/>
      <c r="F34" s="846"/>
      <c r="G34" s="847"/>
      <c r="H34" s="582"/>
      <c r="I34" s="124"/>
      <c r="J34" s="18"/>
      <c r="K34" s="60"/>
      <c r="L34" s="118"/>
      <c r="M34" s="549"/>
      <c r="O34" s="71"/>
      <c r="P34" s="41"/>
      <c r="Q34" s="17"/>
      <c r="R34" s="41"/>
      <c r="S34" s="41"/>
      <c r="T34" s="72">
        <f>+S34-Q34</f>
        <v>0</v>
      </c>
      <c r="U34" s="158"/>
      <c r="V34" s="159"/>
    </row>
    <row r="35" spans="3:22" ht="15" x14ac:dyDescent="0.25">
      <c r="C35" s="843" t="s">
        <v>42</v>
      </c>
      <c r="D35" s="844"/>
      <c r="E35" s="845"/>
      <c r="F35" s="846">
        <v>500</v>
      </c>
      <c r="G35" s="847"/>
      <c r="I35" s="124"/>
      <c r="J35" s="60"/>
      <c r="K35" s="60"/>
      <c r="L35" s="118"/>
      <c r="M35" s="549"/>
      <c r="S35" s="27"/>
      <c r="T35" s="27"/>
      <c r="U35" s="26"/>
    </row>
    <row r="36" spans="3:22" ht="15.75" thickBot="1" x14ac:dyDescent="0.3">
      <c r="C36" s="24" t="s">
        <v>293</v>
      </c>
      <c r="D36" s="25"/>
      <c r="E36" s="25"/>
      <c r="F36" s="846">
        <v>600</v>
      </c>
      <c r="G36" s="847"/>
      <c r="I36" s="124"/>
      <c r="J36" s="60"/>
      <c r="K36" s="60"/>
      <c r="L36" s="118"/>
      <c r="M36" s="549"/>
      <c r="N36" s="19"/>
      <c r="S36" s="27"/>
      <c r="T36" s="27"/>
      <c r="U36" s="26"/>
    </row>
    <row r="37" spans="3:22" ht="15.75" thickBot="1" x14ac:dyDescent="0.3">
      <c r="C37" s="24" t="s">
        <v>327</v>
      </c>
      <c r="D37" s="25"/>
      <c r="E37" s="25"/>
      <c r="F37" s="846"/>
      <c r="G37" s="847"/>
      <c r="I37" s="848" t="s">
        <v>44</v>
      </c>
      <c r="J37" s="849"/>
      <c r="K37" s="850"/>
      <c r="L37" s="125">
        <f>SUM(L31:L36)</f>
        <v>0</v>
      </c>
      <c r="M37" s="550"/>
      <c r="S37" s="27"/>
      <c r="T37" s="27"/>
      <c r="U37" s="26"/>
    </row>
    <row r="38" spans="3:22" ht="15.75" thickBot="1" x14ac:dyDescent="0.3">
      <c r="C38" s="241" t="s">
        <v>209</v>
      </c>
      <c r="D38" s="242"/>
      <c r="E38" s="242"/>
      <c r="F38" s="841">
        <v>0</v>
      </c>
      <c r="G38" s="842"/>
      <c r="S38" s="27"/>
      <c r="T38" s="27"/>
      <c r="U38" s="26"/>
    </row>
    <row r="39" spans="3:22" ht="15.75" thickBot="1" x14ac:dyDescent="0.3">
      <c r="C39" s="792" t="s">
        <v>45</v>
      </c>
      <c r="D39" s="793"/>
      <c r="E39" s="813"/>
      <c r="F39" s="814">
        <f>SUM(F30:G38)</f>
        <v>8374.8665798533802</v>
      </c>
      <c r="G39" s="815"/>
      <c r="O39" s="817" t="s">
        <v>61</v>
      </c>
      <c r="P39" s="818"/>
      <c r="R39" s="27"/>
      <c r="S39" s="27"/>
      <c r="T39" s="26"/>
    </row>
    <row r="40" spans="3:22" ht="15.75" thickBot="1" x14ac:dyDescent="0.3">
      <c r="O40" s="44">
        <v>1</v>
      </c>
      <c r="P40" s="69" t="s">
        <v>62</v>
      </c>
      <c r="Q40" s="27"/>
      <c r="R40" s="27"/>
      <c r="S40" s="27"/>
      <c r="T40" s="26"/>
    </row>
    <row r="41" spans="3:22" ht="15" x14ac:dyDescent="0.25">
      <c r="C41" s="28" t="s">
        <v>46</v>
      </c>
      <c r="D41" s="29"/>
      <c r="E41" s="29"/>
      <c r="F41" s="29"/>
      <c r="G41" s="29"/>
      <c r="H41" s="29"/>
      <c r="I41" s="29"/>
      <c r="J41" s="29"/>
      <c r="K41" s="29"/>
      <c r="L41" s="30"/>
      <c r="O41" s="44">
        <v>2</v>
      </c>
      <c r="P41" s="69" t="s">
        <v>110</v>
      </c>
      <c r="Q41" s="27"/>
      <c r="R41" s="27"/>
      <c r="S41" s="27"/>
      <c r="T41" s="26"/>
    </row>
    <row r="42" spans="3:22" ht="15.75" thickBot="1" x14ac:dyDescent="0.3">
      <c r="C42" s="31"/>
      <c r="L42" s="32"/>
      <c r="O42" s="71">
        <v>3</v>
      </c>
      <c r="P42" s="72" t="s">
        <v>109</v>
      </c>
      <c r="Q42" s="27"/>
      <c r="R42" s="27"/>
      <c r="S42" s="27"/>
      <c r="T42" s="26"/>
    </row>
    <row r="43" spans="3:22" ht="15.75" thickBot="1" x14ac:dyDescent="0.3">
      <c r="C43" s="33"/>
      <c r="D43" s="34"/>
      <c r="E43" s="34"/>
      <c r="F43" s="34"/>
      <c r="G43" s="34"/>
      <c r="H43" s="34"/>
      <c r="I43" s="34"/>
      <c r="J43" s="34"/>
      <c r="K43" s="34"/>
      <c r="L43" s="35"/>
      <c r="P43" s="812"/>
      <c r="Q43" s="812"/>
      <c r="R43" s="812"/>
      <c r="S43" s="812"/>
      <c r="T43" s="812"/>
      <c r="U43" s="26"/>
    </row>
    <row r="44" spans="3:22" ht="15" x14ac:dyDescent="0.25">
      <c r="P44" s="812"/>
      <c r="Q44" s="812"/>
      <c r="R44" s="812"/>
      <c r="S44" s="812"/>
      <c r="T44" s="812"/>
      <c r="U44" s="26"/>
    </row>
    <row r="45" spans="3:22" ht="13.5" thickBot="1" x14ac:dyDescent="0.25">
      <c r="P45" s="812"/>
      <c r="Q45" s="812"/>
      <c r="R45" s="812"/>
      <c r="S45" s="812"/>
      <c r="T45" s="812"/>
    </row>
    <row r="46" spans="3:22" ht="13.5" thickTop="1" x14ac:dyDescent="0.2">
      <c r="D46" s="816" t="s">
        <v>47</v>
      </c>
      <c r="E46" s="816"/>
      <c r="F46" s="816"/>
      <c r="G46" s="816"/>
      <c r="H46" s="816"/>
      <c r="J46" s="816" t="s">
        <v>48</v>
      </c>
      <c r="K46" s="816"/>
      <c r="L46" s="816"/>
      <c r="M46" s="816"/>
      <c r="N46" s="816"/>
      <c r="P46" s="812"/>
      <c r="Q46" s="812"/>
      <c r="R46" s="812"/>
      <c r="S46" s="812"/>
      <c r="T46" s="812"/>
    </row>
    <row r="47" spans="3:22" x14ac:dyDescent="0.2">
      <c r="P47" s="36"/>
      <c r="Q47" s="36"/>
      <c r="R47" s="36"/>
      <c r="S47" s="36"/>
      <c r="T47" s="36"/>
    </row>
    <row r="52" ht="15" customHeight="1" x14ac:dyDescent="0.2"/>
  </sheetData>
  <mergeCells count="47">
    <mergeCell ref="C32:E32"/>
    <mergeCell ref="F32:G32"/>
    <mergeCell ref="C33:E33"/>
    <mergeCell ref="F33:G33"/>
    <mergeCell ref="C34:E34"/>
    <mergeCell ref="F34:G34"/>
    <mergeCell ref="F35:G35"/>
    <mergeCell ref="I37:K37"/>
    <mergeCell ref="F38:G38"/>
    <mergeCell ref="C39:E39"/>
    <mergeCell ref="F39:G39"/>
    <mergeCell ref="C35:E35"/>
    <mergeCell ref="F37:G37"/>
    <mergeCell ref="F36:G36"/>
    <mergeCell ref="P46:T46"/>
    <mergeCell ref="O39:P39"/>
    <mergeCell ref="D46:H46"/>
    <mergeCell ref="J46:N46"/>
    <mergeCell ref="P43:T43"/>
    <mergeCell ref="P44:T44"/>
    <mergeCell ref="P45:T45"/>
    <mergeCell ref="Q29:S29"/>
    <mergeCell ref="C30:E30"/>
    <mergeCell ref="F30:G30"/>
    <mergeCell ref="C31:E31"/>
    <mergeCell ref="F31:G31"/>
    <mergeCell ref="O29:P29"/>
    <mergeCell ref="I29:L29"/>
    <mergeCell ref="D15:E15"/>
    <mergeCell ref="D16:E16"/>
    <mergeCell ref="E26:E27"/>
    <mergeCell ref="C29:G29"/>
    <mergeCell ref="F26:G26"/>
    <mergeCell ref="F27:G27"/>
    <mergeCell ref="E12:F12"/>
    <mergeCell ref="D13:E13"/>
    <mergeCell ref="D14:E14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</mergeCells>
  <pageMargins left="0" right="0" top="0.15748031496062992" bottom="0.15748031496062992" header="0.31496062992125984" footer="0.31496062992125984"/>
  <pageSetup paperSize="9" scale="83" orientation="landscape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7">
    <pageSetUpPr fitToPage="1"/>
  </sheetPr>
  <dimension ref="C1:Y51"/>
  <sheetViews>
    <sheetView tabSelected="1" topLeftCell="G9" zoomScaleNormal="100" workbookViewId="0">
      <selection activeCell="O38" sqref="O38"/>
    </sheetView>
  </sheetViews>
  <sheetFormatPr baseColWidth="10" defaultColWidth="9.140625" defaultRowHeight="12.75" x14ac:dyDescent="0.2"/>
  <cols>
    <col min="1" max="1" width="3" customWidth="1"/>
    <col min="2" max="2" width="1.7109375" customWidth="1"/>
    <col min="3" max="4" width="11.7109375" customWidth="1"/>
    <col min="5" max="5" width="10.28515625" customWidth="1"/>
    <col min="6" max="6" width="9" customWidth="1"/>
    <col min="7" max="7" width="4" customWidth="1"/>
    <col min="8" max="8" width="12.28515625" customWidth="1"/>
    <col min="9" max="9" width="15.28515625" customWidth="1"/>
    <col min="10" max="10" width="11.140625" customWidth="1"/>
    <col min="11" max="11" width="10.28515625" customWidth="1"/>
    <col min="12" max="13" width="12" customWidth="1"/>
    <col min="14" max="14" width="11" bestFit="1" customWidth="1"/>
    <col min="15" max="15" width="12.140625" customWidth="1"/>
    <col min="16" max="16" width="12" customWidth="1"/>
    <col min="17" max="17" width="14" customWidth="1"/>
    <col min="18" max="18" width="12.42578125" customWidth="1"/>
    <col min="19" max="19" width="10.140625" customWidth="1"/>
    <col min="20" max="20" width="13.140625" customWidth="1"/>
    <col min="21" max="21" width="10.28515625" customWidth="1"/>
    <col min="22" max="22" width="10.5703125" customWidth="1"/>
    <col min="23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6" t="s">
        <v>0</v>
      </c>
      <c r="R2" s="797"/>
      <c r="S2" s="798"/>
    </row>
    <row r="3" spans="4:19" ht="19.5" thickBot="1" x14ac:dyDescent="0.35">
      <c r="I3" s="799" t="s">
        <v>1</v>
      </c>
      <c r="J3" s="800"/>
      <c r="K3" s="800"/>
      <c r="L3" s="800"/>
      <c r="M3" s="800"/>
      <c r="N3" s="800"/>
      <c r="O3" s="801"/>
      <c r="Q3" s="802">
        <f>+'ESTRADA ARELLANO ARTURO'!Q3:S3</f>
        <v>42</v>
      </c>
      <c r="R3" s="803"/>
      <c r="S3" s="804"/>
    </row>
    <row r="4" spans="4:19" ht="16.5" thickBot="1" x14ac:dyDescent="0.3">
      <c r="I4" s="805" t="s">
        <v>2</v>
      </c>
      <c r="J4" s="806"/>
      <c r="K4" s="806"/>
      <c r="L4" s="806"/>
      <c r="M4" s="806"/>
      <c r="N4" s="806"/>
      <c r="O4" s="807"/>
      <c r="Q4" s="811"/>
      <c r="R4" s="811"/>
      <c r="S4" s="811"/>
    </row>
    <row r="5" spans="4:19" ht="13.5" thickBot="1" x14ac:dyDescent="0.25">
      <c r="I5" s="808" t="s">
        <v>3</v>
      </c>
      <c r="J5" s="809"/>
      <c r="K5" s="809"/>
      <c r="L5" s="809"/>
      <c r="M5" s="809"/>
      <c r="N5" s="809"/>
      <c r="O5" s="810"/>
      <c r="Q5" s="783" t="s">
        <v>4</v>
      </c>
      <c r="R5" s="784"/>
      <c r="S5" s="785"/>
    </row>
    <row r="6" spans="4:19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780">
        <f>+'RODRIGUEZ VALLES JOSE FRANCISCO'!Q6+1</f>
        <v>16</v>
      </c>
      <c r="R6" s="781"/>
      <c r="S6" s="782"/>
    </row>
    <row r="7" spans="4:19" ht="9" customHeight="1" x14ac:dyDescent="0.2"/>
    <row r="8" spans="4:19" ht="6.75" customHeight="1" thickBot="1" x14ac:dyDescent="0.25"/>
    <row r="9" spans="4:19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19" ht="11.25" customHeight="1" thickBot="1" x14ac:dyDescent="0.25"/>
    <row r="11" spans="4:19" x14ac:dyDescent="0.2">
      <c r="D11" s="1" t="s">
        <v>7</v>
      </c>
      <c r="E11" s="2" t="s">
        <v>324</v>
      </c>
      <c r="F11" s="2"/>
      <c r="G11" s="2"/>
      <c r="H11" s="2"/>
      <c r="I11" s="2"/>
      <c r="J11" s="3"/>
      <c r="K11" s="4" t="s">
        <v>9</v>
      </c>
      <c r="L11" s="786" t="str">
        <f>+NOMINA!B3</f>
        <v>SEMANA #42 PERIODO DEL 06 AL 12 DE OCTUBRE  DEL 2025</v>
      </c>
      <c r="M11" s="786"/>
      <c r="N11" s="786"/>
      <c r="O11" s="786"/>
      <c r="P11" s="786"/>
      <c r="Q11" s="786"/>
      <c r="R11" s="786"/>
      <c r="S11" s="787"/>
    </row>
    <row r="12" spans="4:19" x14ac:dyDescent="0.2">
      <c r="D12" s="5" t="s">
        <v>10</v>
      </c>
      <c r="E12" s="788" t="s">
        <v>305</v>
      </c>
      <c r="F12" s="78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90" t="s">
        <v>11</v>
      </c>
      <c r="E14" s="791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90" t="s">
        <v>14</v>
      </c>
      <c r="E15" s="791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92" t="s">
        <v>17</v>
      </c>
      <c r="E16" s="793"/>
      <c r="F16" s="12">
        <f>SUM(J19:J25)</f>
        <v>0</v>
      </c>
      <c r="G16" s="12"/>
      <c r="H16" s="12"/>
      <c r="I16" s="13" t="s">
        <v>18</v>
      </c>
      <c r="J16" s="12">
        <f>SUM(K19:K25)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6" customHeight="1" thickBot="1" x14ac:dyDescent="0.25">
      <c r="C18" s="322" t="s">
        <v>20</v>
      </c>
      <c r="D18" s="45" t="s">
        <v>21</v>
      </c>
      <c r="E18" s="538" t="s">
        <v>22</v>
      </c>
      <c r="F18" s="538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ht="14.25" customHeight="1" x14ac:dyDescent="0.2">
      <c r="C19" s="429"/>
      <c r="D19" s="426"/>
      <c r="E19" s="430"/>
      <c r="F19" s="430"/>
      <c r="G19" s="426"/>
      <c r="H19" s="444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38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445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38"/>
      <c r="L19" s="431"/>
      <c r="M19" s="431"/>
      <c r="N19" s="38"/>
      <c r="O19" s="38"/>
      <c r="P19" s="38"/>
      <c r="Q19" s="432">
        <f t="shared" ref="Q19:Q20" si="0">(IF(N19=1,(J19*0.3)))+(IF(N19=2,(J19*0.15))+(IF(N19=3,(J19*0.15))))</f>
        <v>0</v>
      </c>
      <c r="R19" s="433"/>
      <c r="S19" s="540"/>
      <c r="T19" s="435"/>
    </row>
    <row r="20" spans="3:25" ht="14.25" customHeight="1" x14ac:dyDescent="0.2">
      <c r="C20" s="453"/>
      <c r="D20" s="60"/>
      <c r="E20" s="18"/>
      <c r="F20" s="18"/>
      <c r="G20" s="60"/>
      <c r="H20" s="4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7"/>
      <c r="L20" s="485"/>
      <c r="M20" s="485"/>
      <c r="N20" s="17"/>
      <c r="O20" s="17"/>
      <c r="P20" s="17"/>
      <c r="Q20" s="486">
        <f t="shared" si="0"/>
        <v>0</v>
      </c>
      <c r="R20" s="487"/>
      <c r="S20" s="495"/>
      <c r="T20" s="489"/>
      <c r="X20" s="23"/>
      <c r="Y20" s="546"/>
    </row>
    <row r="21" spans="3:25" ht="14.25" customHeight="1" thickBot="1" x14ac:dyDescent="0.25">
      <c r="C21" s="446"/>
      <c r="D21" s="418"/>
      <c r="E21" s="447"/>
      <c r="F21" s="447"/>
      <c r="G21" s="418"/>
      <c r="H21" s="512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0</v>
      </c>
      <c r="I21" s="448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0</v>
      </c>
      <c r="J21" s="482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0</v>
      </c>
      <c r="K21" s="448"/>
      <c r="L21" s="449" t="e">
        <f>SUM(J19:J21)/K21</f>
        <v>#DIV/0!</v>
      </c>
      <c r="M21" s="449"/>
      <c r="N21" s="448"/>
      <c r="O21" s="448"/>
      <c r="P21" s="448"/>
      <c r="Q21" s="450">
        <f t="shared" ref="Q21" si="1">(IF(N21=1,(J21*0.3)))+(IF(N21=2,(J21*0.15))+(IF(N21=3,(J21*0.15))))</f>
        <v>0</v>
      </c>
      <c r="R21" s="451" t="e">
        <f>+LOOKUP(P33,UNIDADES!B$3:B$73,UNIDADES!C$3:C$73)</f>
        <v>#N/A</v>
      </c>
      <c r="S21" s="579" t="e">
        <f>((SUM(J19:J21)/R21))-K21</f>
        <v>#N/A</v>
      </c>
      <c r="T21" s="452">
        <f>(IF(M21=1,(S21*16)))+(IF(M21=2,(S21*17.26))+(IF(M21=3,(S21*17.66))+(IF(M21=4,(S21*18.06))+(IF(M21=5,(S21*18.46))+(IF(M21=6,(S21*18.86))+(IF(M21=7,(S21*19.26))))))))</f>
        <v>0</v>
      </c>
      <c r="X21" s="23"/>
      <c r="Y21" s="546"/>
    </row>
    <row r="22" spans="3:25" ht="14.25" customHeight="1" x14ac:dyDescent="0.2">
      <c r="C22" s="429"/>
      <c r="D22" s="426"/>
      <c r="E22" s="430"/>
      <c r="F22" s="430"/>
      <c r="G22" s="426"/>
      <c r="H22" s="444"/>
      <c r="I22" s="38"/>
      <c r="J22" s="445"/>
      <c r="K22" s="38"/>
      <c r="L22" s="431"/>
      <c r="M22" s="431"/>
      <c r="N22" s="38"/>
      <c r="O22" s="38"/>
      <c r="P22" s="38"/>
      <c r="Q22" s="432"/>
      <c r="R22" s="433"/>
      <c r="S22" s="540"/>
      <c r="T22" s="435"/>
      <c r="X22" s="23"/>
      <c r="Y22" s="546"/>
    </row>
    <row r="23" spans="3:25" ht="14.25" customHeight="1" thickBot="1" x14ac:dyDescent="0.25">
      <c r="C23" s="436"/>
      <c r="D23" s="59"/>
      <c r="E23" s="437"/>
      <c r="F23" s="437"/>
      <c r="G23" s="59"/>
      <c r="H23" s="469"/>
      <c r="I23" s="41"/>
      <c r="J23" s="438"/>
      <c r="K23" s="41"/>
      <c r="L23" s="439"/>
      <c r="M23" s="439"/>
      <c r="N23" s="41"/>
      <c r="O23" s="41"/>
      <c r="P23" s="41"/>
      <c r="Q23" s="42"/>
      <c r="R23" s="440"/>
      <c r="S23" s="499"/>
      <c r="T23" s="43"/>
      <c r="X23" s="23"/>
      <c r="Y23" s="546"/>
    </row>
    <row r="24" spans="3:25" ht="14.25" customHeight="1" x14ac:dyDescent="0.2">
      <c r="C24" s="533"/>
      <c r="D24" s="49"/>
      <c r="E24" s="50"/>
      <c r="F24" s="50"/>
      <c r="G24" s="49"/>
      <c r="H24" s="463"/>
      <c r="I24" s="51"/>
      <c r="J24" s="464"/>
      <c r="K24" s="51"/>
      <c r="L24" s="465"/>
      <c r="M24" s="465"/>
      <c r="N24" s="51"/>
      <c r="O24" s="51"/>
      <c r="P24" s="51"/>
      <c r="Q24" s="466"/>
      <c r="R24" s="467"/>
      <c r="S24" s="492"/>
      <c r="T24" s="466"/>
      <c r="X24" s="23"/>
      <c r="Y24" s="546"/>
    </row>
    <row r="25" spans="3:25" x14ac:dyDescent="0.2">
      <c r="C25" s="536"/>
      <c r="D25" s="60"/>
      <c r="E25" s="18"/>
      <c r="F25" s="18"/>
      <c r="G25" s="60"/>
      <c r="H25" s="483"/>
      <c r="I25" s="17"/>
      <c r="J25" s="484"/>
      <c r="K25" s="17"/>
      <c r="L25" s="485"/>
      <c r="M25" s="485"/>
      <c r="N25" s="17"/>
      <c r="O25" s="17"/>
      <c r="P25" s="17"/>
      <c r="Q25" s="486"/>
      <c r="R25" s="487"/>
      <c r="S25" s="495"/>
      <c r="T25" s="486"/>
      <c r="X25" s="23"/>
      <c r="Y25" s="546"/>
    </row>
    <row r="26" spans="3:25" ht="13.5" thickBot="1" x14ac:dyDescent="0.25">
      <c r="C26" s="22"/>
      <c r="D26" s="22"/>
      <c r="E26" s="22"/>
      <c r="F26" s="22"/>
      <c r="G26" s="22"/>
      <c r="H26" s="22"/>
      <c r="I26" s="182"/>
      <c r="J26" s="22"/>
      <c r="K26" s="22"/>
      <c r="L26" s="22"/>
      <c r="M26" s="22"/>
      <c r="N26" s="22"/>
      <c r="O26" s="22"/>
      <c r="P26" s="22"/>
      <c r="Q26" s="22"/>
      <c r="R26" s="305"/>
      <c r="S26" s="22"/>
      <c r="T26" s="22"/>
      <c r="X26" s="23"/>
      <c r="Y26" s="546"/>
    </row>
    <row r="27" spans="3:25" x14ac:dyDescent="0.2">
      <c r="E27" s="794" t="s">
        <v>35</v>
      </c>
      <c r="F27" s="773">
        <f>+'CHAVEZ VARELA NESTOR ADRIAN'!F29:G29</f>
        <v>45936</v>
      </c>
      <c r="G27" s="774"/>
      <c r="H27" s="20">
        <f>+F27+1</f>
        <v>45937</v>
      </c>
      <c r="I27" s="20">
        <f>+H27+1</f>
        <v>45938</v>
      </c>
      <c r="J27" s="20">
        <f>+I27+1</f>
        <v>45939</v>
      </c>
      <c r="K27" s="20">
        <f>+J27+1</f>
        <v>45940</v>
      </c>
      <c r="L27" s="20">
        <f>+K27+2</f>
        <v>45942</v>
      </c>
      <c r="M27" s="547"/>
      <c r="N27" s="21" t="s">
        <v>36</v>
      </c>
      <c r="X27" s="23"/>
      <c r="Y27" s="546"/>
    </row>
    <row r="28" spans="3:25" ht="13.5" thickBot="1" x14ac:dyDescent="0.25">
      <c r="C28" s="22"/>
      <c r="E28" s="795"/>
      <c r="F28" s="775">
        <v>0</v>
      </c>
      <c r="G28" s="776"/>
      <c r="H28" s="42">
        <v>0</v>
      </c>
      <c r="I28" s="42">
        <v>0</v>
      </c>
      <c r="J28" s="42"/>
      <c r="K28" s="42">
        <v>0</v>
      </c>
      <c r="L28" s="42">
        <v>0</v>
      </c>
      <c r="M28" s="548"/>
      <c r="N28" s="61">
        <f>SUM(F28:L28)</f>
        <v>0</v>
      </c>
      <c r="S28" s="268"/>
    </row>
    <row r="29" spans="3:25" ht="13.5" thickBot="1" x14ac:dyDescent="0.25">
      <c r="I29" s="23"/>
    </row>
    <row r="30" spans="3:25" ht="15.75" thickBot="1" x14ac:dyDescent="0.3">
      <c r="C30" s="825" t="s">
        <v>37</v>
      </c>
      <c r="D30" s="826"/>
      <c r="E30" s="826"/>
      <c r="F30" s="826"/>
      <c r="G30" s="827"/>
      <c r="I30" s="838" t="s">
        <v>38</v>
      </c>
      <c r="J30" s="839"/>
      <c r="K30" s="839"/>
      <c r="L30" s="840"/>
      <c r="M30" s="545"/>
      <c r="O30" s="828" t="s">
        <v>39</v>
      </c>
      <c r="P30" s="829"/>
      <c r="Q30" s="408">
        <f>+F40-L38</f>
        <v>0</v>
      </c>
      <c r="R30" s="409"/>
      <c r="S30" s="410"/>
    </row>
    <row r="31" spans="3:25" ht="13.5" thickBot="1" x14ac:dyDescent="0.25">
      <c r="C31" s="833" t="s">
        <v>207</v>
      </c>
      <c r="D31" s="834"/>
      <c r="E31" s="835"/>
      <c r="F31" s="836">
        <f>SUM(Q18:Q26)</f>
        <v>0</v>
      </c>
      <c r="G31" s="837"/>
      <c r="I31" s="417" t="s">
        <v>106</v>
      </c>
      <c r="J31" s="418" t="s">
        <v>107</v>
      </c>
      <c r="K31" s="418" t="s">
        <v>69</v>
      </c>
      <c r="L31" s="416" t="s">
        <v>108</v>
      </c>
      <c r="M31" s="549"/>
    </row>
    <row r="32" spans="3:25" ht="13.5" thickBot="1" x14ac:dyDescent="0.25">
      <c r="C32" s="843" t="s">
        <v>208</v>
      </c>
      <c r="D32" s="844"/>
      <c r="E32" s="845"/>
      <c r="F32" s="846">
        <f>SUM(T18:T26)</f>
        <v>0</v>
      </c>
      <c r="G32" s="847"/>
      <c r="I32" s="24"/>
      <c r="J32" s="544"/>
      <c r="K32" s="543"/>
      <c r="L32" s="415"/>
      <c r="M32" s="549"/>
      <c r="O32" s="62" t="s">
        <v>69</v>
      </c>
      <c r="P32" s="63" t="s">
        <v>70</v>
      </c>
      <c r="Q32" s="64" t="s">
        <v>71</v>
      </c>
      <c r="R32" s="64"/>
      <c r="S32" s="65" t="s">
        <v>72</v>
      </c>
      <c r="T32" s="63" t="s">
        <v>73</v>
      </c>
      <c r="U32" s="154" t="s">
        <v>117</v>
      </c>
      <c r="V32" s="21" t="s">
        <v>118</v>
      </c>
    </row>
    <row r="33" spans="3:22" x14ac:dyDescent="0.2">
      <c r="C33" s="843" t="s">
        <v>35</v>
      </c>
      <c r="D33" s="844"/>
      <c r="E33" s="845"/>
      <c r="F33" s="846">
        <f>+N28</f>
        <v>0</v>
      </c>
      <c r="G33" s="847"/>
      <c r="I33" s="24"/>
      <c r="J33" s="235"/>
      <c r="K33" s="60"/>
      <c r="L33" s="118"/>
      <c r="M33" s="549"/>
      <c r="N33" s="22" t="s">
        <v>389</v>
      </c>
      <c r="O33" s="66">
        <v>45940</v>
      </c>
      <c r="P33" s="67"/>
      <c r="Q33" s="68"/>
      <c r="R33" s="68"/>
      <c r="S33" s="51"/>
      <c r="T33" s="67">
        <f>+S33-Q33</f>
        <v>0</v>
      </c>
      <c r="U33" s="155"/>
      <c r="V33" s="156"/>
    </row>
    <row r="34" spans="3:22" x14ac:dyDescent="0.2">
      <c r="C34" s="843" t="s">
        <v>40</v>
      </c>
      <c r="D34" s="844"/>
      <c r="E34" s="845"/>
      <c r="F34" s="846"/>
      <c r="G34" s="847"/>
      <c r="I34" s="124"/>
      <c r="J34" s="235"/>
      <c r="K34" s="60"/>
      <c r="L34" s="118"/>
      <c r="M34" s="549"/>
      <c r="O34" s="44">
        <v>45973</v>
      </c>
      <c r="P34" s="69"/>
      <c r="Q34" s="70"/>
      <c r="R34" s="70"/>
      <c r="S34" s="17"/>
      <c r="T34" s="67">
        <f>+S34-Q34</f>
        <v>0</v>
      </c>
      <c r="U34" s="157"/>
      <c r="V34" s="156"/>
    </row>
    <row r="35" spans="3:22" ht="13.5" thickBot="1" x14ac:dyDescent="0.25">
      <c r="C35" s="843" t="s">
        <v>41</v>
      </c>
      <c r="D35" s="844"/>
      <c r="E35" s="845"/>
      <c r="F35" s="846"/>
      <c r="G35" s="847"/>
      <c r="I35" s="124"/>
      <c r="J35" s="235"/>
      <c r="K35" s="60"/>
      <c r="L35" s="118"/>
      <c r="M35" s="549"/>
      <c r="O35" s="71"/>
      <c r="P35" s="72"/>
      <c r="Q35" s="73"/>
      <c r="R35" s="73"/>
      <c r="S35" s="41"/>
      <c r="T35" s="72">
        <f>+S35-Q35</f>
        <v>0</v>
      </c>
      <c r="U35" s="158"/>
      <c r="V35" s="159"/>
    </row>
    <row r="36" spans="3:22" ht="15" x14ac:dyDescent="0.25">
      <c r="C36" s="843" t="s">
        <v>42</v>
      </c>
      <c r="D36" s="844"/>
      <c r="E36" s="845"/>
      <c r="F36" s="846"/>
      <c r="G36" s="847"/>
      <c r="I36" s="124"/>
      <c r="J36" s="235"/>
      <c r="K36" s="60"/>
      <c r="L36" s="118"/>
      <c r="M36" s="549"/>
      <c r="P36" s="27"/>
      <c r="Q36" s="27"/>
      <c r="R36" s="27"/>
      <c r="S36" s="27"/>
      <c r="T36" s="27"/>
      <c r="U36" s="26"/>
    </row>
    <row r="37" spans="3:22" ht="15.75" thickBot="1" x14ac:dyDescent="0.3">
      <c r="C37" s="24" t="s">
        <v>289</v>
      </c>
      <c r="D37" s="25"/>
      <c r="E37" s="25"/>
      <c r="F37" s="846"/>
      <c r="G37" s="847"/>
      <c r="I37" s="422"/>
      <c r="J37" s="235"/>
      <c r="K37" s="59"/>
      <c r="L37" s="119"/>
      <c r="M37" s="549"/>
      <c r="T37" s="27"/>
      <c r="U37" s="26"/>
    </row>
    <row r="38" spans="3:22" ht="15.75" thickBot="1" x14ac:dyDescent="0.3">
      <c r="C38" s="24" t="s">
        <v>211</v>
      </c>
      <c r="D38" s="25"/>
      <c r="E38" s="25"/>
      <c r="F38" s="846"/>
      <c r="G38" s="847"/>
      <c r="I38" s="860" t="s">
        <v>44</v>
      </c>
      <c r="J38" s="861"/>
      <c r="K38" s="862"/>
      <c r="L38" s="419">
        <f>SUM(L32:L37)</f>
        <v>0</v>
      </c>
      <c r="M38" s="550"/>
      <c r="T38" s="27"/>
      <c r="U38" s="26"/>
    </row>
    <row r="39" spans="3:22" ht="15.75" thickBot="1" x14ac:dyDescent="0.3">
      <c r="C39" s="561" t="s">
        <v>286</v>
      </c>
      <c r="D39" s="242"/>
      <c r="E39" s="562"/>
      <c r="F39" s="841"/>
      <c r="G39" s="842"/>
      <c r="N39" s="19"/>
      <c r="P39" s="817" t="s">
        <v>61</v>
      </c>
      <c r="Q39" s="818"/>
      <c r="R39" s="27"/>
      <c r="S39" s="26"/>
    </row>
    <row r="40" spans="3:22" ht="15.75" thickBot="1" x14ac:dyDescent="0.3">
      <c r="C40" s="792" t="s">
        <v>45</v>
      </c>
      <c r="D40" s="793"/>
      <c r="E40" s="813"/>
      <c r="F40" s="814">
        <f>SUM(F31:G39)</f>
        <v>0</v>
      </c>
      <c r="G40" s="815"/>
      <c r="P40" s="44">
        <v>1</v>
      </c>
      <c r="Q40" s="69" t="s">
        <v>62</v>
      </c>
      <c r="R40" s="27"/>
      <c r="S40" s="26"/>
    </row>
    <row r="41" spans="3:22" ht="15.75" thickBot="1" x14ac:dyDescent="0.3">
      <c r="P41" s="44">
        <v>2</v>
      </c>
      <c r="Q41" s="69" t="s">
        <v>110</v>
      </c>
      <c r="R41" s="27"/>
      <c r="S41" s="26"/>
    </row>
    <row r="42" spans="3:22" ht="15.75" thickBot="1" x14ac:dyDescent="0.3">
      <c r="C42" s="28" t="s">
        <v>46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/>
      <c r="P42" s="71">
        <v>3</v>
      </c>
      <c r="Q42" s="72" t="s">
        <v>109</v>
      </c>
      <c r="R42" s="27"/>
      <c r="S42" s="26"/>
    </row>
    <row r="43" spans="3:22" ht="15" x14ac:dyDescent="0.25">
      <c r="C43" s="31"/>
      <c r="N43" s="32"/>
      <c r="P43" s="27"/>
      <c r="Q43" s="27"/>
      <c r="R43" s="27"/>
      <c r="S43" s="27"/>
      <c r="T43" s="27"/>
      <c r="U43" s="26"/>
    </row>
    <row r="44" spans="3:22" ht="15.75" thickBot="1" x14ac:dyDescent="0.3">
      <c r="C44" s="33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5"/>
      <c r="P44" s="27"/>
      <c r="Q44" s="27"/>
      <c r="R44" s="27"/>
      <c r="S44" s="27"/>
      <c r="T44" s="37"/>
      <c r="U44" s="26"/>
    </row>
    <row r="45" spans="3:22" ht="15" x14ac:dyDescent="0.25">
      <c r="P45" s="27"/>
      <c r="Q45" s="27"/>
      <c r="R45" s="27"/>
      <c r="S45" s="27"/>
      <c r="T45" s="37"/>
      <c r="U45" s="26"/>
    </row>
    <row r="46" spans="3:22" x14ac:dyDescent="0.2">
      <c r="P46" s="27"/>
      <c r="Q46" s="27"/>
      <c r="R46" s="27"/>
      <c r="S46" s="27"/>
      <c r="T46" s="37"/>
    </row>
    <row r="47" spans="3:22" ht="13.5" thickBot="1" x14ac:dyDescent="0.25">
      <c r="P47" s="37"/>
      <c r="Q47" s="37"/>
      <c r="R47" s="37"/>
      <c r="S47" s="37"/>
      <c r="T47" s="37"/>
    </row>
    <row r="48" spans="3:22" ht="13.5" thickTop="1" x14ac:dyDescent="0.2">
      <c r="C48" s="237"/>
      <c r="D48" s="237" t="s">
        <v>47</v>
      </c>
      <c r="E48" s="237" t="s">
        <v>47</v>
      </c>
      <c r="F48" s="237"/>
      <c r="G48" s="237"/>
      <c r="I48" s="237"/>
      <c r="J48" s="237" t="s">
        <v>48</v>
      </c>
      <c r="K48" s="237"/>
      <c r="L48" s="237"/>
      <c r="M48" s="331"/>
      <c r="P48" s="37"/>
      <c r="Q48" s="37"/>
      <c r="R48" s="37"/>
      <c r="S48" s="37"/>
      <c r="T48" s="36"/>
    </row>
    <row r="49" spans="16:19" x14ac:dyDescent="0.2">
      <c r="P49" s="37"/>
      <c r="Q49" s="37"/>
      <c r="R49" s="37"/>
      <c r="S49" s="37"/>
    </row>
    <row r="50" spans="16:19" x14ac:dyDescent="0.2">
      <c r="P50" s="37"/>
      <c r="Q50" s="37"/>
      <c r="R50" s="37"/>
      <c r="S50" s="37"/>
    </row>
    <row r="51" spans="16:19" ht="15" customHeight="1" x14ac:dyDescent="0.2">
      <c r="P51" s="36"/>
      <c r="Q51" s="36"/>
      <c r="R51" s="36"/>
      <c r="S51" s="36"/>
    </row>
  </sheetData>
  <mergeCells count="41">
    <mergeCell ref="F39:G39"/>
    <mergeCell ref="C40:E40"/>
    <mergeCell ref="F40:G40"/>
    <mergeCell ref="P39:Q39"/>
    <mergeCell ref="O30:P30"/>
    <mergeCell ref="C31:E31"/>
    <mergeCell ref="F31:G31"/>
    <mergeCell ref="I30:L30"/>
    <mergeCell ref="F36:G36"/>
    <mergeCell ref="C32:E32"/>
    <mergeCell ref="F32:G32"/>
    <mergeCell ref="C33:E33"/>
    <mergeCell ref="F33:G33"/>
    <mergeCell ref="C34:E34"/>
    <mergeCell ref="F34:G34"/>
    <mergeCell ref="C35:E35"/>
    <mergeCell ref="F35:G35"/>
    <mergeCell ref="I38:K38"/>
    <mergeCell ref="F37:G37"/>
    <mergeCell ref="D14:E14"/>
    <mergeCell ref="D15:E15"/>
    <mergeCell ref="D16:E16"/>
    <mergeCell ref="E27:E28"/>
    <mergeCell ref="F27:G27"/>
    <mergeCell ref="F28:G28"/>
    <mergeCell ref="C36:E36"/>
    <mergeCell ref="F38:G38"/>
    <mergeCell ref="C30:G30"/>
    <mergeCell ref="D13:E13"/>
    <mergeCell ref="Q2:S2"/>
    <mergeCell ref="I3:O3"/>
    <mergeCell ref="Q3:S3"/>
    <mergeCell ref="I4:O4"/>
    <mergeCell ref="Q4:S4"/>
    <mergeCell ref="I5:O5"/>
    <mergeCell ref="Q5:S5"/>
    <mergeCell ref="I6:O6"/>
    <mergeCell ref="Q6:S6"/>
    <mergeCell ref="I9:O9"/>
    <mergeCell ref="L11:S11"/>
    <mergeCell ref="E12:F12"/>
  </mergeCells>
  <pageMargins left="0" right="0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8"/>
  <dimension ref="B1:O28"/>
  <sheetViews>
    <sheetView zoomScale="90" zoomScaleNormal="90" workbookViewId="0">
      <selection activeCell="K25" sqref="K25"/>
    </sheetView>
  </sheetViews>
  <sheetFormatPr baseColWidth="10" defaultRowHeight="12.75" x14ac:dyDescent="0.2"/>
  <cols>
    <col min="1" max="1" width="11.42578125" style="133"/>
    <col min="2" max="2" width="8.42578125" style="133" bestFit="1" customWidth="1"/>
    <col min="3" max="3" width="49.5703125" style="135" bestFit="1" customWidth="1"/>
    <col min="4" max="4" width="9.28515625" style="135" customWidth="1"/>
    <col min="5" max="5" width="9.42578125" style="134" bestFit="1" customWidth="1"/>
    <col min="6" max="6" width="12.7109375" style="134" bestFit="1" customWidth="1"/>
    <col min="7" max="7" width="10.85546875" style="134" bestFit="1" customWidth="1"/>
    <col min="8" max="8" width="9" style="134" bestFit="1" customWidth="1"/>
    <col min="9" max="9" width="14.42578125" style="136" bestFit="1" customWidth="1"/>
    <col min="10" max="10" width="12.85546875" style="137" bestFit="1" customWidth="1"/>
    <col min="11" max="11" width="23.5703125" style="229" customWidth="1"/>
    <col min="12" max="12" width="19" style="133" customWidth="1"/>
    <col min="13" max="14" width="15.140625" style="133" bestFit="1" customWidth="1"/>
    <col min="15" max="15" width="7.42578125" style="133" customWidth="1"/>
    <col min="16" max="254" width="9.140625" style="133" customWidth="1"/>
    <col min="255" max="255" width="11.42578125" style="133"/>
    <col min="256" max="256" width="7.42578125" style="133" customWidth="1"/>
    <col min="257" max="257" width="37" style="133" customWidth="1"/>
    <col min="258" max="258" width="8.7109375" style="133" customWidth="1"/>
    <col min="259" max="259" width="20" style="133" customWidth="1"/>
    <col min="260" max="260" width="14.140625" style="133" customWidth="1"/>
    <col min="261" max="261" width="13.5703125" style="133" customWidth="1"/>
    <col min="262" max="262" width="9.85546875" style="133" customWidth="1"/>
    <col min="263" max="263" width="12" style="133" customWidth="1"/>
    <col min="264" max="264" width="16.28515625" style="133" customWidth="1"/>
    <col min="265" max="265" width="14" style="133" customWidth="1"/>
    <col min="266" max="267" width="14.42578125" style="133" customWidth="1"/>
    <col min="268" max="510" width="9.140625" style="133" customWidth="1"/>
    <col min="511" max="511" width="11.42578125" style="133"/>
    <col min="512" max="512" width="7.42578125" style="133" customWidth="1"/>
    <col min="513" max="513" width="37" style="133" customWidth="1"/>
    <col min="514" max="514" width="8.7109375" style="133" customWidth="1"/>
    <col min="515" max="515" width="20" style="133" customWidth="1"/>
    <col min="516" max="516" width="14.140625" style="133" customWidth="1"/>
    <col min="517" max="517" width="13.5703125" style="133" customWidth="1"/>
    <col min="518" max="518" width="9.85546875" style="133" customWidth="1"/>
    <col min="519" max="519" width="12" style="133" customWidth="1"/>
    <col min="520" max="520" width="16.28515625" style="133" customWidth="1"/>
    <col min="521" max="521" width="14" style="133" customWidth="1"/>
    <col min="522" max="523" width="14.42578125" style="133" customWidth="1"/>
    <col min="524" max="766" width="9.140625" style="133" customWidth="1"/>
    <col min="767" max="767" width="11.42578125" style="133"/>
    <col min="768" max="768" width="7.42578125" style="133" customWidth="1"/>
    <col min="769" max="769" width="37" style="133" customWidth="1"/>
    <col min="770" max="770" width="8.7109375" style="133" customWidth="1"/>
    <col min="771" max="771" width="20" style="133" customWidth="1"/>
    <col min="772" max="772" width="14.140625" style="133" customWidth="1"/>
    <col min="773" max="773" width="13.5703125" style="133" customWidth="1"/>
    <col min="774" max="774" width="9.85546875" style="133" customWidth="1"/>
    <col min="775" max="775" width="12" style="133" customWidth="1"/>
    <col min="776" max="776" width="16.28515625" style="133" customWidth="1"/>
    <col min="777" max="777" width="14" style="133" customWidth="1"/>
    <col min="778" max="779" width="14.42578125" style="133" customWidth="1"/>
    <col min="780" max="1022" width="9.140625" style="133" customWidth="1"/>
    <col min="1023" max="1023" width="11.42578125" style="133"/>
    <col min="1024" max="1024" width="7.42578125" style="133" customWidth="1"/>
    <col min="1025" max="1025" width="37" style="133" customWidth="1"/>
    <col min="1026" max="1026" width="8.7109375" style="133" customWidth="1"/>
    <col min="1027" max="1027" width="20" style="133" customWidth="1"/>
    <col min="1028" max="1028" width="14.140625" style="133" customWidth="1"/>
    <col min="1029" max="1029" width="13.5703125" style="133" customWidth="1"/>
    <col min="1030" max="1030" width="9.85546875" style="133" customWidth="1"/>
    <col min="1031" max="1031" width="12" style="133" customWidth="1"/>
    <col min="1032" max="1032" width="16.28515625" style="133" customWidth="1"/>
    <col min="1033" max="1033" width="14" style="133" customWidth="1"/>
    <col min="1034" max="1035" width="14.42578125" style="133" customWidth="1"/>
    <col min="1036" max="1278" width="9.140625" style="133" customWidth="1"/>
    <col min="1279" max="1279" width="11.42578125" style="133"/>
    <col min="1280" max="1280" width="7.42578125" style="133" customWidth="1"/>
    <col min="1281" max="1281" width="37" style="133" customWidth="1"/>
    <col min="1282" max="1282" width="8.7109375" style="133" customWidth="1"/>
    <col min="1283" max="1283" width="20" style="133" customWidth="1"/>
    <col min="1284" max="1284" width="14.140625" style="133" customWidth="1"/>
    <col min="1285" max="1285" width="13.5703125" style="133" customWidth="1"/>
    <col min="1286" max="1286" width="9.85546875" style="133" customWidth="1"/>
    <col min="1287" max="1287" width="12" style="133" customWidth="1"/>
    <col min="1288" max="1288" width="16.28515625" style="133" customWidth="1"/>
    <col min="1289" max="1289" width="14" style="133" customWidth="1"/>
    <col min="1290" max="1291" width="14.42578125" style="133" customWidth="1"/>
    <col min="1292" max="1534" width="9.140625" style="133" customWidth="1"/>
    <col min="1535" max="1535" width="11.42578125" style="133"/>
    <col min="1536" max="1536" width="7.42578125" style="133" customWidth="1"/>
    <col min="1537" max="1537" width="37" style="133" customWidth="1"/>
    <col min="1538" max="1538" width="8.7109375" style="133" customWidth="1"/>
    <col min="1539" max="1539" width="20" style="133" customWidth="1"/>
    <col min="1540" max="1540" width="14.140625" style="133" customWidth="1"/>
    <col min="1541" max="1541" width="13.5703125" style="133" customWidth="1"/>
    <col min="1542" max="1542" width="9.85546875" style="133" customWidth="1"/>
    <col min="1543" max="1543" width="12" style="133" customWidth="1"/>
    <col min="1544" max="1544" width="16.28515625" style="133" customWidth="1"/>
    <col min="1545" max="1545" width="14" style="133" customWidth="1"/>
    <col min="1546" max="1547" width="14.42578125" style="133" customWidth="1"/>
    <col min="1548" max="1790" width="9.140625" style="133" customWidth="1"/>
    <col min="1791" max="1791" width="11.42578125" style="133"/>
    <col min="1792" max="1792" width="7.42578125" style="133" customWidth="1"/>
    <col min="1793" max="1793" width="37" style="133" customWidth="1"/>
    <col min="1794" max="1794" width="8.7109375" style="133" customWidth="1"/>
    <col min="1795" max="1795" width="20" style="133" customWidth="1"/>
    <col min="1796" max="1796" width="14.140625" style="133" customWidth="1"/>
    <col min="1797" max="1797" width="13.5703125" style="133" customWidth="1"/>
    <col min="1798" max="1798" width="9.85546875" style="133" customWidth="1"/>
    <col min="1799" max="1799" width="12" style="133" customWidth="1"/>
    <col min="1800" max="1800" width="16.28515625" style="133" customWidth="1"/>
    <col min="1801" max="1801" width="14" style="133" customWidth="1"/>
    <col min="1802" max="1803" width="14.42578125" style="133" customWidth="1"/>
    <col min="1804" max="2046" width="9.140625" style="133" customWidth="1"/>
    <col min="2047" max="2047" width="11.42578125" style="133"/>
    <col min="2048" max="2048" width="7.42578125" style="133" customWidth="1"/>
    <col min="2049" max="2049" width="37" style="133" customWidth="1"/>
    <col min="2050" max="2050" width="8.7109375" style="133" customWidth="1"/>
    <col min="2051" max="2051" width="20" style="133" customWidth="1"/>
    <col min="2052" max="2052" width="14.140625" style="133" customWidth="1"/>
    <col min="2053" max="2053" width="13.5703125" style="133" customWidth="1"/>
    <col min="2054" max="2054" width="9.85546875" style="133" customWidth="1"/>
    <col min="2055" max="2055" width="12" style="133" customWidth="1"/>
    <col min="2056" max="2056" width="16.28515625" style="133" customWidth="1"/>
    <col min="2057" max="2057" width="14" style="133" customWidth="1"/>
    <col min="2058" max="2059" width="14.42578125" style="133" customWidth="1"/>
    <col min="2060" max="2302" width="9.140625" style="133" customWidth="1"/>
    <col min="2303" max="2303" width="11.42578125" style="133"/>
    <col min="2304" max="2304" width="7.42578125" style="133" customWidth="1"/>
    <col min="2305" max="2305" width="37" style="133" customWidth="1"/>
    <col min="2306" max="2306" width="8.7109375" style="133" customWidth="1"/>
    <col min="2307" max="2307" width="20" style="133" customWidth="1"/>
    <col min="2308" max="2308" width="14.140625" style="133" customWidth="1"/>
    <col min="2309" max="2309" width="13.5703125" style="133" customWidth="1"/>
    <col min="2310" max="2310" width="9.85546875" style="133" customWidth="1"/>
    <col min="2311" max="2311" width="12" style="133" customWidth="1"/>
    <col min="2312" max="2312" width="16.28515625" style="133" customWidth="1"/>
    <col min="2313" max="2313" width="14" style="133" customWidth="1"/>
    <col min="2314" max="2315" width="14.42578125" style="133" customWidth="1"/>
    <col min="2316" max="2558" width="9.140625" style="133" customWidth="1"/>
    <col min="2559" max="2559" width="11.42578125" style="133"/>
    <col min="2560" max="2560" width="7.42578125" style="133" customWidth="1"/>
    <col min="2561" max="2561" width="37" style="133" customWidth="1"/>
    <col min="2562" max="2562" width="8.7109375" style="133" customWidth="1"/>
    <col min="2563" max="2563" width="20" style="133" customWidth="1"/>
    <col min="2564" max="2564" width="14.140625" style="133" customWidth="1"/>
    <col min="2565" max="2565" width="13.5703125" style="133" customWidth="1"/>
    <col min="2566" max="2566" width="9.85546875" style="133" customWidth="1"/>
    <col min="2567" max="2567" width="12" style="133" customWidth="1"/>
    <col min="2568" max="2568" width="16.28515625" style="133" customWidth="1"/>
    <col min="2569" max="2569" width="14" style="133" customWidth="1"/>
    <col min="2570" max="2571" width="14.42578125" style="133" customWidth="1"/>
    <col min="2572" max="2814" width="9.140625" style="133" customWidth="1"/>
    <col min="2815" max="2815" width="11.42578125" style="133"/>
    <col min="2816" max="2816" width="7.42578125" style="133" customWidth="1"/>
    <col min="2817" max="2817" width="37" style="133" customWidth="1"/>
    <col min="2818" max="2818" width="8.7109375" style="133" customWidth="1"/>
    <col min="2819" max="2819" width="20" style="133" customWidth="1"/>
    <col min="2820" max="2820" width="14.140625" style="133" customWidth="1"/>
    <col min="2821" max="2821" width="13.5703125" style="133" customWidth="1"/>
    <col min="2822" max="2822" width="9.85546875" style="133" customWidth="1"/>
    <col min="2823" max="2823" width="12" style="133" customWidth="1"/>
    <col min="2824" max="2824" width="16.28515625" style="133" customWidth="1"/>
    <col min="2825" max="2825" width="14" style="133" customWidth="1"/>
    <col min="2826" max="2827" width="14.42578125" style="133" customWidth="1"/>
    <col min="2828" max="3070" width="9.140625" style="133" customWidth="1"/>
    <col min="3071" max="3071" width="11.42578125" style="133"/>
    <col min="3072" max="3072" width="7.42578125" style="133" customWidth="1"/>
    <col min="3073" max="3073" width="37" style="133" customWidth="1"/>
    <col min="3074" max="3074" width="8.7109375" style="133" customWidth="1"/>
    <col min="3075" max="3075" width="20" style="133" customWidth="1"/>
    <col min="3076" max="3076" width="14.140625" style="133" customWidth="1"/>
    <col min="3077" max="3077" width="13.5703125" style="133" customWidth="1"/>
    <col min="3078" max="3078" width="9.85546875" style="133" customWidth="1"/>
    <col min="3079" max="3079" width="12" style="133" customWidth="1"/>
    <col min="3080" max="3080" width="16.28515625" style="133" customWidth="1"/>
    <col min="3081" max="3081" width="14" style="133" customWidth="1"/>
    <col min="3082" max="3083" width="14.42578125" style="133" customWidth="1"/>
    <col min="3084" max="3326" width="9.140625" style="133" customWidth="1"/>
    <col min="3327" max="3327" width="11.42578125" style="133"/>
    <col min="3328" max="3328" width="7.42578125" style="133" customWidth="1"/>
    <col min="3329" max="3329" width="37" style="133" customWidth="1"/>
    <col min="3330" max="3330" width="8.7109375" style="133" customWidth="1"/>
    <col min="3331" max="3331" width="20" style="133" customWidth="1"/>
    <col min="3332" max="3332" width="14.140625" style="133" customWidth="1"/>
    <col min="3333" max="3333" width="13.5703125" style="133" customWidth="1"/>
    <col min="3334" max="3334" width="9.85546875" style="133" customWidth="1"/>
    <col min="3335" max="3335" width="12" style="133" customWidth="1"/>
    <col min="3336" max="3336" width="16.28515625" style="133" customWidth="1"/>
    <col min="3337" max="3337" width="14" style="133" customWidth="1"/>
    <col min="3338" max="3339" width="14.42578125" style="133" customWidth="1"/>
    <col min="3340" max="3582" width="9.140625" style="133" customWidth="1"/>
    <col min="3583" max="3583" width="11.42578125" style="133"/>
    <col min="3584" max="3584" width="7.42578125" style="133" customWidth="1"/>
    <col min="3585" max="3585" width="37" style="133" customWidth="1"/>
    <col min="3586" max="3586" width="8.7109375" style="133" customWidth="1"/>
    <col min="3587" max="3587" width="20" style="133" customWidth="1"/>
    <col min="3588" max="3588" width="14.140625" style="133" customWidth="1"/>
    <col min="3589" max="3589" width="13.5703125" style="133" customWidth="1"/>
    <col min="3590" max="3590" width="9.85546875" style="133" customWidth="1"/>
    <col min="3591" max="3591" width="12" style="133" customWidth="1"/>
    <col min="3592" max="3592" width="16.28515625" style="133" customWidth="1"/>
    <col min="3593" max="3593" width="14" style="133" customWidth="1"/>
    <col min="3594" max="3595" width="14.42578125" style="133" customWidth="1"/>
    <col min="3596" max="3838" width="9.140625" style="133" customWidth="1"/>
    <col min="3839" max="3839" width="11.42578125" style="133"/>
    <col min="3840" max="3840" width="7.42578125" style="133" customWidth="1"/>
    <col min="3841" max="3841" width="37" style="133" customWidth="1"/>
    <col min="3842" max="3842" width="8.7109375" style="133" customWidth="1"/>
    <col min="3843" max="3843" width="20" style="133" customWidth="1"/>
    <col min="3844" max="3844" width="14.140625" style="133" customWidth="1"/>
    <col min="3845" max="3845" width="13.5703125" style="133" customWidth="1"/>
    <col min="3846" max="3846" width="9.85546875" style="133" customWidth="1"/>
    <col min="3847" max="3847" width="12" style="133" customWidth="1"/>
    <col min="3848" max="3848" width="16.28515625" style="133" customWidth="1"/>
    <col min="3849" max="3849" width="14" style="133" customWidth="1"/>
    <col min="3850" max="3851" width="14.42578125" style="133" customWidth="1"/>
    <col min="3852" max="4094" width="9.140625" style="133" customWidth="1"/>
    <col min="4095" max="4095" width="11.42578125" style="133"/>
    <col min="4096" max="4096" width="7.42578125" style="133" customWidth="1"/>
    <col min="4097" max="4097" width="37" style="133" customWidth="1"/>
    <col min="4098" max="4098" width="8.7109375" style="133" customWidth="1"/>
    <col min="4099" max="4099" width="20" style="133" customWidth="1"/>
    <col min="4100" max="4100" width="14.140625" style="133" customWidth="1"/>
    <col min="4101" max="4101" width="13.5703125" style="133" customWidth="1"/>
    <col min="4102" max="4102" width="9.85546875" style="133" customWidth="1"/>
    <col min="4103" max="4103" width="12" style="133" customWidth="1"/>
    <col min="4104" max="4104" width="16.28515625" style="133" customWidth="1"/>
    <col min="4105" max="4105" width="14" style="133" customWidth="1"/>
    <col min="4106" max="4107" width="14.42578125" style="133" customWidth="1"/>
    <col min="4108" max="4350" width="9.140625" style="133" customWidth="1"/>
    <col min="4351" max="4351" width="11.42578125" style="133"/>
    <col min="4352" max="4352" width="7.42578125" style="133" customWidth="1"/>
    <col min="4353" max="4353" width="37" style="133" customWidth="1"/>
    <col min="4354" max="4354" width="8.7109375" style="133" customWidth="1"/>
    <col min="4355" max="4355" width="20" style="133" customWidth="1"/>
    <col min="4356" max="4356" width="14.140625" style="133" customWidth="1"/>
    <col min="4357" max="4357" width="13.5703125" style="133" customWidth="1"/>
    <col min="4358" max="4358" width="9.85546875" style="133" customWidth="1"/>
    <col min="4359" max="4359" width="12" style="133" customWidth="1"/>
    <col min="4360" max="4360" width="16.28515625" style="133" customWidth="1"/>
    <col min="4361" max="4361" width="14" style="133" customWidth="1"/>
    <col min="4362" max="4363" width="14.42578125" style="133" customWidth="1"/>
    <col min="4364" max="4606" width="9.140625" style="133" customWidth="1"/>
    <col min="4607" max="4607" width="11.42578125" style="133"/>
    <col min="4608" max="4608" width="7.42578125" style="133" customWidth="1"/>
    <col min="4609" max="4609" width="37" style="133" customWidth="1"/>
    <col min="4610" max="4610" width="8.7109375" style="133" customWidth="1"/>
    <col min="4611" max="4611" width="20" style="133" customWidth="1"/>
    <col min="4612" max="4612" width="14.140625" style="133" customWidth="1"/>
    <col min="4613" max="4613" width="13.5703125" style="133" customWidth="1"/>
    <col min="4614" max="4614" width="9.85546875" style="133" customWidth="1"/>
    <col min="4615" max="4615" width="12" style="133" customWidth="1"/>
    <col min="4616" max="4616" width="16.28515625" style="133" customWidth="1"/>
    <col min="4617" max="4617" width="14" style="133" customWidth="1"/>
    <col min="4618" max="4619" width="14.42578125" style="133" customWidth="1"/>
    <col min="4620" max="4862" width="9.140625" style="133" customWidth="1"/>
    <col min="4863" max="4863" width="11.42578125" style="133"/>
    <col min="4864" max="4864" width="7.42578125" style="133" customWidth="1"/>
    <col min="4865" max="4865" width="37" style="133" customWidth="1"/>
    <col min="4866" max="4866" width="8.7109375" style="133" customWidth="1"/>
    <col min="4867" max="4867" width="20" style="133" customWidth="1"/>
    <col min="4868" max="4868" width="14.140625" style="133" customWidth="1"/>
    <col min="4869" max="4869" width="13.5703125" style="133" customWidth="1"/>
    <col min="4870" max="4870" width="9.85546875" style="133" customWidth="1"/>
    <col min="4871" max="4871" width="12" style="133" customWidth="1"/>
    <col min="4872" max="4872" width="16.28515625" style="133" customWidth="1"/>
    <col min="4873" max="4873" width="14" style="133" customWidth="1"/>
    <col min="4874" max="4875" width="14.42578125" style="133" customWidth="1"/>
    <col min="4876" max="5118" width="9.140625" style="133" customWidth="1"/>
    <col min="5119" max="5119" width="11.42578125" style="133"/>
    <col min="5120" max="5120" width="7.42578125" style="133" customWidth="1"/>
    <col min="5121" max="5121" width="37" style="133" customWidth="1"/>
    <col min="5122" max="5122" width="8.7109375" style="133" customWidth="1"/>
    <col min="5123" max="5123" width="20" style="133" customWidth="1"/>
    <col min="5124" max="5124" width="14.140625" style="133" customWidth="1"/>
    <col min="5125" max="5125" width="13.5703125" style="133" customWidth="1"/>
    <col min="5126" max="5126" width="9.85546875" style="133" customWidth="1"/>
    <col min="5127" max="5127" width="12" style="133" customWidth="1"/>
    <col min="5128" max="5128" width="16.28515625" style="133" customWidth="1"/>
    <col min="5129" max="5129" width="14" style="133" customWidth="1"/>
    <col min="5130" max="5131" width="14.42578125" style="133" customWidth="1"/>
    <col min="5132" max="5374" width="9.140625" style="133" customWidth="1"/>
    <col min="5375" max="5375" width="11.42578125" style="133"/>
    <col min="5376" max="5376" width="7.42578125" style="133" customWidth="1"/>
    <col min="5377" max="5377" width="37" style="133" customWidth="1"/>
    <col min="5378" max="5378" width="8.7109375" style="133" customWidth="1"/>
    <col min="5379" max="5379" width="20" style="133" customWidth="1"/>
    <col min="5380" max="5380" width="14.140625" style="133" customWidth="1"/>
    <col min="5381" max="5381" width="13.5703125" style="133" customWidth="1"/>
    <col min="5382" max="5382" width="9.85546875" style="133" customWidth="1"/>
    <col min="5383" max="5383" width="12" style="133" customWidth="1"/>
    <col min="5384" max="5384" width="16.28515625" style="133" customWidth="1"/>
    <col min="5385" max="5385" width="14" style="133" customWidth="1"/>
    <col min="5386" max="5387" width="14.42578125" style="133" customWidth="1"/>
    <col min="5388" max="5630" width="9.140625" style="133" customWidth="1"/>
    <col min="5631" max="5631" width="11.42578125" style="133"/>
    <col min="5632" max="5632" width="7.42578125" style="133" customWidth="1"/>
    <col min="5633" max="5633" width="37" style="133" customWidth="1"/>
    <col min="5634" max="5634" width="8.7109375" style="133" customWidth="1"/>
    <col min="5635" max="5635" width="20" style="133" customWidth="1"/>
    <col min="5636" max="5636" width="14.140625" style="133" customWidth="1"/>
    <col min="5637" max="5637" width="13.5703125" style="133" customWidth="1"/>
    <col min="5638" max="5638" width="9.85546875" style="133" customWidth="1"/>
    <col min="5639" max="5639" width="12" style="133" customWidth="1"/>
    <col min="5640" max="5640" width="16.28515625" style="133" customWidth="1"/>
    <col min="5641" max="5641" width="14" style="133" customWidth="1"/>
    <col min="5642" max="5643" width="14.42578125" style="133" customWidth="1"/>
    <col min="5644" max="5886" width="9.140625" style="133" customWidth="1"/>
    <col min="5887" max="5887" width="11.42578125" style="133"/>
    <col min="5888" max="5888" width="7.42578125" style="133" customWidth="1"/>
    <col min="5889" max="5889" width="37" style="133" customWidth="1"/>
    <col min="5890" max="5890" width="8.7109375" style="133" customWidth="1"/>
    <col min="5891" max="5891" width="20" style="133" customWidth="1"/>
    <col min="5892" max="5892" width="14.140625" style="133" customWidth="1"/>
    <col min="5893" max="5893" width="13.5703125" style="133" customWidth="1"/>
    <col min="5894" max="5894" width="9.85546875" style="133" customWidth="1"/>
    <col min="5895" max="5895" width="12" style="133" customWidth="1"/>
    <col min="5896" max="5896" width="16.28515625" style="133" customWidth="1"/>
    <col min="5897" max="5897" width="14" style="133" customWidth="1"/>
    <col min="5898" max="5899" width="14.42578125" style="133" customWidth="1"/>
    <col min="5900" max="6142" width="9.140625" style="133" customWidth="1"/>
    <col min="6143" max="6143" width="11.42578125" style="133"/>
    <col min="6144" max="6144" width="7.42578125" style="133" customWidth="1"/>
    <col min="6145" max="6145" width="37" style="133" customWidth="1"/>
    <col min="6146" max="6146" width="8.7109375" style="133" customWidth="1"/>
    <col min="6147" max="6147" width="20" style="133" customWidth="1"/>
    <col min="6148" max="6148" width="14.140625" style="133" customWidth="1"/>
    <col min="6149" max="6149" width="13.5703125" style="133" customWidth="1"/>
    <col min="6150" max="6150" width="9.85546875" style="133" customWidth="1"/>
    <col min="6151" max="6151" width="12" style="133" customWidth="1"/>
    <col min="6152" max="6152" width="16.28515625" style="133" customWidth="1"/>
    <col min="6153" max="6153" width="14" style="133" customWidth="1"/>
    <col min="6154" max="6155" width="14.42578125" style="133" customWidth="1"/>
    <col min="6156" max="6398" width="9.140625" style="133" customWidth="1"/>
    <col min="6399" max="6399" width="11.42578125" style="133"/>
    <col min="6400" max="6400" width="7.42578125" style="133" customWidth="1"/>
    <col min="6401" max="6401" width="37" style="133" customWidth="1"/>
    <col min="6402" max="6402" width="8.7109375" style="133" customWidth="1"/>
    <col min="6403" max="6403" width="20" style="133" customWidth="1"/>
    <col min="6404" max="6404" width="14.140625" style="133" customWidth="1"/>
    <col min="6405" max="6405" width="13.5703125" style="133" customWidth="1"/>
    <col min="6406" max="6406" width="9.85546875" style="133" customWidth="1"/>
    <col min="6407" max="6407" width="12" style="133" customWidth="1"/>
    <col min="6408" max="6408" width="16.28515625" style="133" customWidth="1"/>
    <col min="6409" max="6409" width="14" style="133" customWidth="1"/>
    <col min="6410" max="6411" width="14.42578125" style="133" customWidth="1"/>
    <col min="6412" max="6654" width="9.140625" style="133" customWidth="1"/>
    <col min="6655" max="6655" width="11.42578125" style="133"/>
    <col min="6656" max="6656" width="7.42578125" style="133" customWidth="1"/>
    <col min="6657" max="6657" width="37" style="133" customWidth="1"/>
    <col min="6658" max="6658" width="8.7109375" style="133" customWidth="1"/>
    <col min="6659" max="6659" width="20" style="133" customWidth="1"/>
    <col min="6660" max="6660" width="14.140625" style="133" customWidth="1"/>
    <col min="6661" max="6661" width="13.5703125" style="133" customWidth="1"/>
    <col min="6662" max="6662" width="9.85546875" style="133" customWidth="1"/>
    <col min="6663" max="6663" width="12" style="133" customWidth="1"/>
    <col min="6664" max="6664" width="16.28515625" style="133" customWidth="1"/>
    <col min="6665" max="6665" width="14" style="133" customWidth="1"/>
    <col min="6666" max="6667" width="14.42578125" style="133" customWidth="1"/>
    <col min="6668" max="6910" width="9.140625" style="133" customWidth="1"/>
    <col min="6911" max="6911" width="11.42578125" style="133"/>
    <col min="6912" max="6912" width="7.42578125" style="133" customWidth="1"/>
    <col min="6913" max="6913" width="37" style="133" customWidth="1"/>
    <col min="6914" max="6914" width="8.7109375" style="133" customWidth="1"/>
    <col min="6915" max="6915" width="20" style="133" customWidth="1"/>
    <col min="6916" max="6916" width="14.140625" style="133" customWidth="1"/>
    <col min="6917" max="6917" width="13.5703125" style="133" customWidth="1"/>
    <col min="6918" max="6918" width="9.85546875" style="133" customWidth="1"/>
    <col min="6919" max="6919" width="12" style="133" customWidth="1"/>
    <col min="6920" max="6920" width="16.28515625" style="133" customWidth="1"/>
    <col min="6921" max="6921" width="14" style="133" customWidth="1"/>
    <col min="6922" max="6923" width="14.42578125" style="133" customWidth="1"/>
    <col min="6924" max="7166" width="9.140625" style="133" customWidth="1"/>
    <col min="7167" max="7167" width="11.42578125" style="133"/>
    <col min="7168" max="7168" width="7.42578125" style="133" customWidth="1"/>
    <col min="7169" max="7169" width="37" style="133" customWidth="1"/>
    <col min="7170" max="7170" width="8.7109375" style="133" customWidth="1"/>
    <col min="7171" max="7171" width="20" style="133" customWidth="1"/>
    <col min="7172" max="7172" width="14.140625" style="133" customWidth="1"/>
    <col min="7173" max="7173" width="13.5703125" style="133" customWidth="1"/>
    <col min="7174" max="7174" width="9.85546875" style="133" customWidth="1"/>
    <col min="7175" max="7175" width="12" style="133" customWidth="1"/>
    <col min="7176" max="7176" width="16.28515625" style="133" customWidth="1"/>
    <col min="7177" max="7177" width="14" style="133" customWidth="1"/>
    <col min="7178" max="7179" width="14.42578125" style="133" customWidth="1"/>
    <col min="7180" max="7422" width="9.140625" style="133" customWidth="1"/>
    <col min="7423" max="7423" width="11.42578125" style="133"/>
    <col min="7424" max="7424" width="7.42578125" style="133" customWidth="1"/>
    <col min="7425" max="7425" width="37" style="133" customWidth="1"/>
    <col min="7426" max="7426" width="8.7109375" style="133" customWidth="1"/>
    <col min="7427" max="7427" width="20" style="133" customWidth="1"/>
    <col min="7428" max="7428" width="14.140625" style="133" customWidth="1"/>
    <col min="7429" max="7429" width="13.5703125" style="133" customWidth="1"/>
    <col min="7430" max="7430" width="9.85546875" style="133" customWidth="1"/>
    <col min="7431" max="7431" width="12" style="133" customWidth="1"/>
    <col min="7432" max="7432" width="16.28515625" style="133" customWidth="1"/>
    <col min="7433" max="7433" width="14" style="133" customWidth="1"/>
    <col min="7434" max="7435" width="14.42578125" style="133" customWidth="1"/>
    <col min="7436" max="7678" width="9.140625" style="133" customWidth="1"/>
    <col min="7679" max="7679" width="11.42578125" style="133"/>
    <col min="7680" max="7680" width="7.42578125" style="133" customWidth="1"/>
    <col min="7681" max="7681" width="37" style="133" customWidth="1"/>
    <col min="7682" max="7682" width="8.7109375" style="133" customWidth="1"/>
    <col min="7683" max="7683" width="20" style="133" customWidth="1"/>
    <col min="7684" max="7684" width="14.140625" style="133" customWidth="1"/>
    <col min="7685" max="7685" width="13.5703125" style="133" customWidth="1"/>
    <col min="7686" max="7686" width="9.85546875" style="133" customWidth="1"/>
    <col min="7687" max="7687" width="12" style="133" customWidth="1"/>
    <col min="7688" max="7688" width="16.28515625" style="133" customWidth="1"/>
    <col min="7689" max="7689" width="14" style="133" customWidth="1"/>
    <col min="7690" max="7691" width="14.42578125" style="133" customWidth="1"/>
    <col min="7692" max="7934" width="9.140625" style="133" customWidth="1"/>
    <col min="7935" max="7935" width="11.42578125" style="133"/>
    <col min="7936" max="7936" width="7.42578125" style="133" customWidth="1"/>
    <col min="7937" max="7937" width="37" style="133" customWidth="1"/>
    <col min="7938" max="7938" width="8.7109375" style="133" customWidth="1"/>
    <col min="7939" max="7939" width="20" style="133" customWidth="1"/>
    <col min="7940" max="7940" width="14.140625" style="133" customWidth="1"/>
    <col min="7941" max="7941" width="13.5703125" style="133" customWidth="1"/>
    <col min="7942" max="7942" width="9.85546875" style="133" customWidth="1"/>
    <col min="7943" max="7943" width="12" style="133" customWidth="1"/>
    <col min="7944" max="7944" width="16.28515625" style="133" customWidth="1"/>
    <col min="7945" max="7945" width="14" style="133" customWidth="1"/>
    <col min="7946" max="7947" width="14.42578125" style="133" customWidth="1"/>
    <col min="7948" max="8190" width="9.140625" style="133" customWidth="1"/>
    <col min="8191" max="8191" width="11.42578125" style="133"/>
    <col min="8192" max="8192" width="7.42578125" style="133" customWidth="1"/>
    <col min="8193" max="8193" width="37" style="133" customWidth="1"/>
    <col min="8194" max="8194" width="8.7109375" style="133" customWidth="1"/>
    <col min="8195" max="8195" width="20" style="133" customWidth="1"/>
    <col min="8196" max="8196" width="14.140625" style="133" customWidth="1"/>
    <col min="8197" max="8197" width="13.5703125" style="133" customWidth="1"/>
    <col min="8198" max="8198" width="9.85546875" style="133" customWidth="1"/>
    <col min="8199" max="8199" width="12" style="133" customWidth="1"/>
    <col min="8200" max="8200" width="16.28515625" style="133" customWidth="1"/>
    <col min="8201" max="8201" width="14" style="133" customWidth="1"/>
    <col min="8202" max="8203" width="14.42578125" style="133" customWidth="1"/>
    <col min="8204" max="8446" width="9.140625" style="133" customWidth="1"/>
    <col min="8447" max="8447" width="11.42578125" style="133"/>
    <col min="8448" max="8448" width="7.42578125" style="133" customWidth="1"/>
    <col min="8449" max="8449" width="37" style="133" customWidth="1"/>
    <col min="8450" max="8450" width="8.7109375" style="133" customWidth="1"/>
    <col min="8451" max="8451" width="20" style="133" customWidth="1"/>
    <col min="8452" max="8452" width="14.140625" style="133" customWidth="1"/>
    <col min="8453" max="8453" width="13.5703125" style="133" customWidth="1"/>
    <col min="8454" max="8454" width="9.85546875" style="133" customWidth="1"/>
    <col min="8455" max="8455" width="12" style="133" customWidth="1"/>
    <col min="8456" max="8456" width="16.28515625" style="133" customWidth="1"/>
    <col min="8457" max="8457" width="14" style="133" customWidth="1"/>
    <col min="8458" max="8459" width="14.42578125" style="133" customWidth="1"/>
    <col min="8460" max="8702" width="9.140625" style="133" customWidth="1"/>
    <col min="8703" max="8703" width="11.42578125" style="133"/>
    <col min="8704" max="8704" width="7.42578125" style="133" customWidth="1"/>
    <col min="8705" max="8705" width="37" style="133" customWidth="1"/>
    <col min="8706" max="8706" width="8.7109375" style="133" customWidth="1"/>
    <col min="8707" max="8707" width="20" style="133" customWidth="1"/>
    <col min="8708" max="8708" width="14.140625" style="133" customWidth="1"/>
    <col min="8709" max="8709" width="13.5703125" style="133" customWidth="1"/>
    <col min="8710" max="8710" width="9.85546875" style="133" customWidth="1"/>
    <col min="8711" max="8711" width="12" style="133" customWidth="1"/>
    <col min="8712" max="8712" width="16.28515625" style="133" customWidth="1"/>
    <col min="8713" max="8713" width="14" style="133" customWidth="1"/>
    <col min="8714" max="8715" width="14.42578125" style="133" customWidth="1"/>
    <col min="8716" max="8958" width="9.140625" style="133" customWidth="1"/>
    <col min="8959" max="8959" width="11.42578125" style="133"/>
    <col min="8960" max="8960" width="7.42578125" style="133" customWidth="1"/>
    <col min="8961" max="8961" width="37" style="133" customWidth="1"/>
    <col min="8962" max="8962" width="8.7109375" style="133" customWidth="1"/>
    <col min="8963" max="8963" width="20" style="133" customWidth="1"/>
    <col min="8964" max="8964" width="14.140625" style="133" customWidth="1"/>
    <col min="8965" max="8965" width="13.5703125" style="133" customWidth="1"/>
    <col min="8966" max="8966" width="9.85546875" style="133" customWidth="1"/>
    <col min="8967" max="8967" width="12" style="133" customWidth="1"/>
    <col min="8968" max="8968" width="16.28515625" style="133" customWidth="1"/>
    <col min="8969" max="8969" width="14" style="133" customWidth="1"/>
    <col min="8970" max="8971" width="14.42578125" style="133" customWidth="1"/>
    <col min="8972" max="9214" width="9.140625" style="133" customWidth="1"/>
    <col min="9215" max="9215" width="11.42578125" style="133"/>
    <col min="9216" max="9216" width="7.42578125" style="133" customWidth="1"/>
    <col min="9217" max="9217" width="37" style="133" customWidth="1"/>
    <col min="9218" max="9218" width="8.7109375" style="133" customWidth="1"/>
    <col min="9219" max="9219" width="20" style="133" customWidth="1"/>
    <col min="9220" max="9220" width="14.140625" style="133" customWidth="1"/>
    <col min="9221" max="9221" width="13.5703125" style="133" customWidth="1"/>
    <col min="9222" max="9222" width="9.85546875" style="133" customWidth="1"/>
    <col min="9223" max="9223" width="12" style="133" customWidth="1"/>
    <col min="9224" max="9224" width="16.28515625" style="133" customWidth="1"/>
    <col min="9225" max="9225" width="14" style="133" customWidth="1"/>
    <col min="9226" max="9227" width="14.42578125" style="133" customWidth="1"/>
    <col min="9228" max="9470" width="9.140625" style="133" customWidth="1"/>
    <col min="9471" max="9471" width="11.42578125" style="133"/>
    <col min="9472" max="9472" width="7.42578125" style="133" customWidth="1"/>
    <col min="9473" max="9473" width="37" style="133" customWidth="1"/>
    <col min="9474" max="9474" width="8.7109375" style="133" customWidth="1"/>
    <col min="9475" max="9475" width="20" style="133" customWidth="1"/>
    <col min="9476" max="9476" width="14.140625" style="133" customWidth="1"/>
    <col min="9477" max="9477" width="13.5703125" style="133" customWidth="1"/>
    <col min="9478" max="9478" width="9.85546875" style="133" customWidth="1"/>
    <col min="9479" max="9479" width="12" style="133" customWidth="1"/>
    <col min="9480" max="9480" width="16.28515625" style="133" customWidth="1"/>
    <col min="9481" max="9481" width="14" style="133" customWidth="1"/>
    <col min="9482" max="9483" width="14.42578125" style="133" customWidth="1"/>
    <col min="9484" max="9726" width="9.140625" style="133" customWidth="1"/>
    <col min="9727" max="9727" width="11.42578125" style="133"/>
    <col min="9728" max="9728" width="7.42578125" style="133" customWidth="1"/>
    <col min="9729" max="9729" width="37" style="133" customWidth="1"/>
    <col min="9730" max="9730" width="8.7109375" style="133" customWidth="1"/>
    <col min="9731" max="9731" width="20" style="133" customWidth="1"/>
    <col min="9732" max="9732" width="14.140625" style="133" customWidth="1"/>
    <col min="9733" max="9733" width="13.5703125" style="133" customWidth="1"/>
    <col min="9734" max="9734" width="9.85546875" style="133" customWidth="1"/>
    <col min="9735" max="9735" width="12" style="133" customWidth="1"/>
    <col min="9736" max="9736" width="16.28515625" style="133" customWidth="1"/>
    <col min="9737" max="9737" width="14" style="133" customWidth="1"/>
    <col min="9738" max="9739" width="14.42578125" style="133" customWidth="1"/>
    <col min="9740" max="9982" width="9.140625" style="133" customWidth="1"/>
    <col min="9983" max="9983" width="11.42578125" style="133"/>
    <col min="9984" max="9984" width="7.42578125" style="133" customWidth="1"/>
    <col min="9985" max="9985" width="37" style="133" customWidth="1"/>
    <col min="9986" max="9986" width="8.7109375" style="133" customWidth="1"/>
    <col min="9987" max="9987" width="20" style="133" customWidth="1"/>
    <col min="9988" max="9988" width="14.140625" style="133" customWidth="1"/>
    <col min="9989" max="9989" width="13.5703125" style="133" customWidth="1"/>
    <col min="9990" max="9990" width="9.85546875" style="133" customWidth="1"/>
    <col min="9991" max="9991" width="12" style="133" customWidth="1"/>
    <col min="9992" max="9992" width="16.28515625" style="133" customWidth="1"/>
    <col min="9993" max="9993" width="14" style="133" customWidth="1"/>
    <col min="9994" max="9995" width="14.42578125" style="133" customWidth="1"/>
    <col min="9996" max="10238" width="9.140625" style="133" customWidth="1"/>
    <col min="10239" max="10239" width="11.42578125" style="133"/>
    <col min="10240" max="10240" width="7.42578125" style="133" customWidth="1"/>
    <col min="10241" max="10241" width="37" style="133" customWidth="1"/>
    <col min="10242" max="10242" width="8.7109375" style="133" customWidth="1"/>
    <col min="10243" max="10243" width="20" style="133" customWidth="1"/>
    <col min="10244" max="10244" width="14.140625" style="133" customWidth="1"/>
    <col min="10245" max="10245" width="13.5703125" style="133" customWidth="1"/>
    <col min="10246" max="10246" width="9.85546875" style="133" customWidth="1"/>
    <col min="10247" max="10247" width="12" style="133" customWidth="1"/>
    <col min="10248" max="10248" width="16.28515625" style="133" customWidth="1"/>
    <col min="10249" max="10249" width="14" style="133" customWidth="1"/>
    <col min="10250" max="10251" width="14.42578125" style="133" customWidth="1"/>
    <col min="10252" max="10494" width="9.140625" style="133" customWidth="1"/>
    <col min="10495" max="10495" width="11.42578125" style="133"/>
    <col min="10496" max="10496" width="7.42578125" style="133" customWidth="1"/>
    <col min="10497" max="10497" width="37" style="133" customWidth="1"/>
    <col min="10498" max="10498" width="8.7109375" style="133" customWidth="1"/>
    <col min="10499" max="10499" width="20" style="133" customWidth="1"/>
    <col min="10500" max="10500" width="14.140625" style="133" customWidth="1"/>
    <col min="10501" max="10501" width="13.5703125" style="133" customWidth="1"/>
    <col min="10502" max="10502" width="9.85546875" style="133" customWidth="1"/>
    <col min="10503" max="10503" width="12" style="133" customWidth="1"/>
    <col min="10504" max="10504" width="16.28515625" style="133" customWidth="1"/>
    <col min="10505" max="10505" width="14" style="133" customWidth="1"/>
    <col min="10506" max="10507" width="14.42578125" style="133" customWidth="1"/>
    <col min="10508" max="10750" width="9.140625" style="133" customWidth="1"/>
    <col min="10751" max="10751" width="11.42578125" style="133"/>
    <col min="10752" max="10752" width="7.42578125" style="133" customWidth="1"/>
    <col min="10753" max="10753" width="37" style="133" customWidth="1"/>
    <col min="10754" max="10754" width="8.7109375" style="133" customWidth="1"/>
    <col min="10755" max="10755" width="20" style="133" customWidth="1"/>
    <col min="10756" max="10756" width="14.140625" style="133" customWidth="1"/>
    <col min="10757" max="10757" width="13.5703125" style="133" customWidth="1"/>
    <col min="10758" max="10758" width="9.85546875" style="133" customWidth="1"/>
    <col min="10759" max="10759" width="12" style="133" customWidth="1"/>
    <col min="10760" max="10760" width="16.28515625" style="133" customWidth="1"/>
    <col min="10761" max="10761" width="14" style="133" customWidth="1"/>
    <col min="10762" max="10763" width="14.42578125" style="133" customWidth="1"/>
    <col min="10764" max="11006" width="9.140625" style="133" customWidth="1"/>
    <col min="11007" max="11007" width="11.42578125" style="133"/>
    <col min="11008" max="11008" width="7.42578125" style="133" customWidth="1"/>
    <col min="11009" max="11009" width="37" style="133" customWidth="1"/>
    <col min="11010" max="11010" width="8.7109375" style="133" customWidth="1"/>
    <col min="11011" max="11011" width="20" style="133" customWidth="1"/>
    <col min="11012" max="11012" width="14.140625" style="133" customWidth="1"/>
    <col min="11013" max="11013" width="13.5703125" style="133" customWidth="1"/>
    <col min="11014" max="11014" width="9.85546875" style="133" customWidth="1"/>
    <col min="11015" max="11015" width="12" style="133" customWidth="1"/>
    <col min="11016" max="11016" width="16.28515625" style="133" customWidth="1"/>
    <col min="11017" max="11017" width="14" style="133" customWidth="1"/>
    <col min="11018" max="11019" width="14.42578125" style="133" customWidth="1"/>
    <col min="11020" max="11262" width="9.140625" style="133" customWidth="1"/>
    <col min="11263" max="11263" width="11.42578125" style="133"/>
    <col min="11264" max="11264" width="7.42578125" style="133" customWidth="1"/>
    <col min="11265" max="11265" width="37" style="133" customWidth="1"/>
    <col min="11266" max="11266" width="8.7109375" style="133" customWidth="1"/>
    <col min="11267" max="11267" width="20" style="133" customWidth="1"/>
    <col min="11268" max="11268" width="14.140625" style="133" customWidth="1"/>
    <col min="11269" max="11269" width="13.5703125" style="133" customWidth="1"/>
    <col min="11270" max="11270" width="9.85546875" style="133" customWidth="1"/>
    <col min="11271" max="11271" width="12" style="133" customWidth="1"/>
    <col min="11272" max="11272" width="16.28515625" style="133" customWidth="1"/>
    <col min="11273" max="11273" width="14" style="133" customWidth="1"/>
    <col min="11274" max="11275" width="14.42578125" style="133" customWidth="1"/>
    <col min="11276" max="11518" width="9.140625" style="133" customWidth="1"/>
    <col min="11519" max="11519" width="11.42578125" style="133"/>
    <col min="11520" max="11520" width="7.42578125" style="133" customWidth="1"/>
    <col min="11521" max="11521" width="37" style="133" customWidth="1"/>
    <col min="11522" max="11522" width="8.7109375" style="133" customWidth="1"/>
    <col min="11523" max="11523" width="20" style="133" customWidth="1"/>
    <col min="11524" max="11524" width="14.140625" style="133" customWidth="1"/>
    <col min="11525" max="11525" width="13.5703125" style="133" customWidth="1"/>
    <col min="11526" max="11526" width="9.85546875" style="133" customWidth="1"/>
    <col min="11527" max="11527" width="12" style="133" customWidth="1"/>
    <col min="11528" max="11528" width="16.28515625" style="133" customWidth="1"/>
    <col min="11529" max="11529" width="14" style="133" customWidth="1"/>
    <col min="11530" max="11531" width="14.42578125" style="133" customWidth="1"/>
    <col min="11532" max="11774" width="9.140625" style="133" customWidth="1"/>
    <col min="11775" max="11775" width="11.42578125" style="133"/>
    <col min="11776" max="11776" width="7.42578125" style="133" customWidth="1"/>
    <col min="11777" max="11777" width="37" style="133" customWidth="1"/>
    <col min="11778" max="11778" width="8.7109375" style="133" customWidth="1"/>
    <col min="11779" max="11779" width="20" style="133" customWidth="1"/>
    <col min="11780" max="11780" width="14.140625" style="133" customWidth="1"/>
    <col min="11781" max="11781" width="13.5703125" style="133" customWidth="1"/>
    <col min="11782" max="11782" width="9.85546875" style="133" customWidth="1"/>
    <col min="11783" max="11783" width="12" style="133" customWidth="1"/>
    <col min="11784" max="11784" width="16.28515625" style="133" customWidth="1"/>
    <col min="11785" max="11785" width="14" style="133" customWidth="1"/>
    <col min="11786" max="11787" width="14.42578125" style="133" customWidth="1"/>
    <col min="11788" max="12030" width="9.140625" style="133" customWidth="1"/>
    <col min="12031" max="12031" width="11.42578125" style="133"/>
    <col min="12032" max="12032" width="7.42578125" style="133" customWidth="1"/>
    <col min="12033" max="12033" width="37" style="133" customWidth="1"/>
    <col min="12034" max="12034" width="8.7109375" style="133" customWidth="1"/>
    <col min="12035" max="12035" width="20" style="133" customWidth="1"/>
    <col min="12036" max="12036" width="14.140625" style="133" customWidth="1"/>
    <col min="12037" max="12037" width="13.5703125" style="133" customWidth="1"/>
    <col min="12038" max="12038" width="9.85546875" style="133" customWidth="1"/>
    <col min="12039" max="12039" width="12" style="133" customWidth="1"/>
    <col min="12040" max="12040" width="16.28515625" style="133" customWidth="1"/>
    <col min="12041" max="12041" width="14" style="133" customWidth="1"/>
    <col min="12042" max="12043" width="14.42578125" style="133" customWidth="1"/>
    <col min="12044" max="12286" width="9.140625" style="133" customWidth="1"/>
    <col min="12287" max="12287" width="11.42578125" style="133"/>
    <col min="12288" max="12288" width="7.42578125" style="133" customWidth="1"/>
    <col min="12289" max="12289" width="37" style="133" customWidth="1"/>
    <col min="12290" max="12290" width="8.7109375" style="133" customWidth="1"/>
    <col min="12291" max="12291" width="20" style="133" customWidth="1"/>
    <col min="12292" max="12292" width="14.140625" style="133" customWidth="1"/>
    <col min="12293" max="12293" width="13.5703125" style="133" customWidth="1"/>
    <col min="12294" max="12294" width="9.85546875" style="133" customWidth="1"/>
    <col min="12295" max="12295" width="12" style="133" customWidth="1"/>
    <col min="12296" max="12296" width="16.28515625" style="133" customWidth="1"/>
    <col min="12297" max="12297" width="14" style="133" customWidth="1"/>
    <col min="12298" max="12299" width="14.42578125" style="133" customWidth="1"/>
    <col min="12300" max="12542" width="9.140625" style="133" customWidth="1"/>
    <col min="12543" max="12543" width="11.42578125" style="133"/>
    <col min="12544" max="12544" width="7.42578125" style="133" customWidth="1"/>
    <col min="12545" max="12545" width="37" style="133" customWidth="1"/>
    <col min="12546" max="12546" width="8.7109375" style="133" customWidth="1"/>
    <col min="12547" max="12547" width="20" style="133" customWidth="1"/>
    <col min="12548" max="12548" width="14.140625" style="133" customWidth="1"/>
    <col min="12549" max="12549" width="13.5703125" style="133" customWidth="1"/>
    <col min="12550" max="12550" width="9.85546875" style="133" customWidth="1"/>
    <col min="12551" max="12551" width="12" style="133" customWidth="1"/>
    <col min="12552" max="12552" width="16.28515625" style="133" customWidth="1"/>
    <col min="12553" max="12553" width="14" style="133" customWidth="1"/>
    <col min="12554" max="12555" width="14.42578125" style="133" customWidth="1"/>
    <col min="12556" max="12798" width="9.140625" style="133" customWidth="1"/>
    <col min="12799" max="12799" width="11.42578125" style="133"/>
    <col min="12800" max="12800" width="7.42578125" style="133" customWidth="1"/>
    <col min="12801" max="12801" width="37" style="133" customWidth="1"/>
    <col min="12802" max="12802" width="8.7109375" style="133" customWidth="1"/>
    <col min="12803" max="12803" width="20" style="133" customWidth="1"/>
    <col min="12804" max="12804" width="14.140625" style="133" customWidth="1"/>
    <col min="12805" max="12805" width="13.5703125" style="133" customWidth="1"/>
    <col min="12806" max="12806" width="9.85546875" style="133" customWidth="1"/>
    <col min="12807" max="12807" width="12" style="133" customWidth="1"/>
    <col min="12808" max="12808" width="16.28515625" style="133" customWidth="1"/>
    <col min="12809" max="12809" width="14" style="133" customWidth="1"/>
    <col min="12810" max="12811" width="14.42578125" style="133" customWidth="1"/>
    <col min="12812" max="13054" width="9.140625" style="133" customWidth="1"/>
    <col min="13055" max="13055" width="11.42578125" style="133"/>
    <col min="13056" max="13056" width="7.42578125" style="133" customWidth="1"/>
    <col min="13057" max="13057" width="37" style="133" customWidth="1"/>
    <col min="13058" max="13058" width="8.7109375" style="133" customWidth="1"/>
    <col min="13059" max="13059" width="20" style="133" customWidth="1"/>
    <col min="13060" max="13060" width="14.140625" style="133" customWidth="1"/>
    <col min="13061" max="13061" width="13.5703125" style="133" customWidth="1"/>
    <col min="13062" max="13062" width="9.85546875" style="133" customWidth="1"/>
    <col min="13063" max="13063" width="12" style="133" customWidth="1"/>
    <col min="13064" max="13064" width="16.28515625" style="133" customWidth="1"/>
    <col min="13065" max="13065" width="14" style="133" customWidth="1"/>
    <col min="13066" max="13067" width="14.42578125" style="133" customWidth="1"/>
    <col min="13068" max="13310" width="9.140625" style="133" customWidth="1"/>
    <col min="13311" max="13311" width="11.42578125" style="133"/>
    <col min="13312" max="13312" width="7.42578125" style="133" customWidth="1"/>
    <col min="13313" max="13313" width="37" style="133" customWidth="1"/>
    <col min="13314" max="13314" width="8.7109375" style="133" customWidth="1"/>
    <col min="13315" max="13315" width="20" style="133" customWidth="1"/>
    <col min="13316" max="13316" width="14.140625" style="133" customWidth="1"/>
    <col min="13317" max="13317" width="13.5703125" style="133" customWidth="1"/>
    <col min="13318" max="13318" width="9.85546875" style="133" customWidth="1"/>
    <col min="13319" max="13319" width="12" style="133" customWidth="1"/>
    <col min="13320" max="13320" width="16.28515625" style="133" customWidth="1"/>
    <col min="13321" max="13321" width="14" style="133" customWidth="1"/>
    <col min="13322" max="13323" width="14.42578125" style="133" customWidth="1"/>
    <col min="13324" max="13566" width="9.140625" style="133" customWidth="1"/>
    <col min="13567" max="13567" width="11.42578125" style="133"/>
    <col min="13568" max="13568" width="7.42578125" style="133" customWidth="1"/>
    <col min="13569" max="13569" width="37" style="133" customWidth="1"/>
    <col min="13570" max="13570" width="8.7109375" style="133" customWidth="1"/>
    <col min="13571" max="13571" width="20" style="133" customWidth="1"/>
    <col min="13572" max="13572" width="14.140625" style="133" customWidth="1"/>
    <col min="13573" max="13573" width="13.5703125" style="133" customWidth="1"/>
    <col min="13574" max="13574" width="9.85546875" style="133" customWidth="1"/>
    <col min="13575" max="13575" width="12" style="133" customWidth="1"/>
    <col min="13576" max="13576" width="16.28515625" style="133" customWidth="1"/>
    <col min="13577" max="13577" width="14" style="133" customWidth="1"/>
    <col min="13578" max="13579" width="14.42578125" style="133" customWidth="1"/>
    <col min="13580" max="13822" width="9.140625" style="133" customWidth="1"/>
    <col min="13823" max="13823" width="11.42578125" style="133"/>
    <col min="13824" max="13824" width="7.42578125" style="133" customWidth="1"/>
    <col min="13825" max="13825" width="37" style="133" customWidth="1"/>
    <col min="13826" max="13826" width="8.7109375" style="133" customWidth="1"/>
    <col min="13827" max="13827" width="20" style="133" customWidth="1"/>
    <col min="13828" max="13828" width="14.140625" style="133" customWidth="1"/>
    <col min="13829" max="13829" width="13.5703125" style="133" customWidth="1"/>
    <col min="13830" max="13830" width="9.85546875" style="133" customWidth="1"/>
    <col min="13831" max="13831" width="12" style="133" customWidth="1"/>
    <col min="13832" max="13832" width="16.28515625" style="133" customWidth="1"/>
    <col min="13833" max="13833" width="14" style="133" customWidth="1"/>
    <col min="13834" max="13835" width="14.42578125" style="133" customWidth="1"/>
    <col min="13836" max="14078" width="9.140625" style="133" customWidth="1"/>
    <col min="14079" max="14079" width="11.42578125" style="133"/>
    <col min="14080" max="14080" width="7.42578125" style="133" customWidth="1"/>
    <col min="14081" max="14081" width="37" style="133" customWidth="1"/>
    <col min="14082" max="14082" width="8.7109375" style="133" customWidth="1"/>
    <col min="14083" max="14083" width="20" style="133" customWidth="1"/>
    <col min="14084" max="14084" width="14.140625" style="133" customWidth="1"/>
    <col min="14085" max="14085" width="13.5703125" style="133" customWidth="1"/>
    <col min="14086" max="14086" width="9.85546875" style="133" customWidth="1"/>
    <col min="14087" max="14087" width="12" style="133" customWidth="1"/>
    <col min="14088" max="14088" width="16.28515625" style="133" customWidth="1"/>
    <col min="14089" max="14089" width="14" style="133" customWidth="1"/>
    <col min="14090" max="14091" width="14.42578125" style="133" customWidth="1"/>
    <col min="14092" max="14334" width="9.140625" style="133" customWidth="1"/>
    <col min="14335" max="14335" width="11.42578125" style="133"/>
    <col min="14336" max="14336" width="7.42578125" style="133" customWidth="1"/>
    <col min="14337" max="14337" width="37" style="133" customWidth="1"/>
    <col min="14338" max="14338" width="8.7109375" style="133" customWidth="1"/>
    <col min="14339" max="14339" width="20" style="133" customWidth="1"/>
    <col min="14340" max="14340" width="14.140625" style="133" customWidth="1"/>
    <col min="14341" max="14341" width="13.5703125" style="133" customWidth="1"/>
    <col min="14342" max="14342" width="9.85546875" style="133" customWidth="1"/>
    <col min="14343" max="14343" width="12" style="133" customWidth="1"/>
    <col min="14344" max="14344" width="16.28515625" style="133" customWidth="1"/>
    <col min="14345" max="14345" width="14" style="133" customWidth="1"/>
    <col min="14346" max="14347" width="14.42578125" style="133" customWidth="1"/>
    <col min="14348" max="14590" width="9.140625" style="133" customWidth="1"/>
    <col min="14591" max="14591" width="11.42578125" style="133"/>
    <col min="14592" max="14592" width="7.42578125" style="133" customWidth="1"/>
    <col min="14593" max="14593" width="37" style="133" customWidth="1"/>
    <col min="14594" max="14594" width="8.7109375" style="133" customWidth="1"/>
    <col min="14595" max="14595" width="20" style="133" customWidth="1"/>
    <col min="14596" max="14596" width="14.140625" style="133" customWidth="1"/>
    <col min="14597" max="14597" width="13.5703125" style="133" customWidth="1"/>
    <col min="14598" max="14598" width="9.85546875" style="133" customWidth="1"/>
    <col min="14599" max="14599" width="12" style="133" customWidth="1"/>
    <col min="14600" max="14600" width="16.28515625" style="133" customWidth="1"/>
    <col min="14601" max="14601" width="14" style="133" customWidth="1"/>
    <col min="14602" max="14603" width="14.42578125" style="133" customWidth="1"/>
    <col min="14604" max="14846" width="9.140625" style="133" customWidth="1"/>
    <col min="14847" max="14847" width="11.42578125" style="133"/>
    <col min="14848" max="14848" width="7.42578125" style="133" customWidth="1"/>
    <col min="14849" max="14849" width="37" style="133" customWidth="1"/>
    <col min="14850" max="14850" width="8.7109375" style="133" customWidth="1"/>
    <col min="14851" max="14851" width="20" style="133" customWidth="1"/>
    <col min="14852" max="14852" width="14.140625" style="133" customWidth="1"/>
    <col min="14853" max="14853" width="13.5703125" style="133" customWidth="1"/>
    <col min="14854" max="14854" width="9.85546875" style="133" customWidth="1"/>
    <col min="14855" max="14855" width="12" style="133" customWidth="1"/>
    <col min="14856" max="14856" width="16.28515625" style="133" customWidth="1"/>
    <col min="14857" max="14857" width="14" style="133" customWidth="1"/>
    <col min="14858" max="14859" width="14.42578125" style="133" customWidth="1"/>
    <col min="14860" max="15102" width="9.140625" style="133" customWidth="1"/>
    <col min="15103" max="15103" width="11.42578125" style="133"/>
    <col min="15104" max="15104" width="7.42578125" style="133" customWidth="1"/>
    <col min="15105" max="15105" width="37" style="133" customWidth="1"/>
    <col min="15106" max="15106" width="8.7109375" style="133" customWidth="1"/>
    <col min="15107" max="15107" width="20" style="133" customWidth="1"/>
    <col min="15108" max="15108" width="14.140625" style="133" customWidth="1"/>
    <col min="15109" max="15109" width="13.5703125" style="133" customWidth="1"/>
    <col min="15110" max="15110" width="9.85546875" style="133" customWidth="1"/>
    <col min="15111" max="15111" width="12" style="133" customWidth="1"/>
    <col min="15112" max="15112" width="16.28515625" style="133" customWidth="1"/>
    <col min="15113" max="15113" width="14" style="133" customWidth="1"/>
    <col min="15114" max="15115" width="14.42578125" style="133" customWidth="1"/>
    <col min="15116" max="15358" width="9.140625" style="133" customWidth="1"/>
    <col min="15359" max="15359" width="11.42578125" style="133"/>
    <col min="15360" max="15360" width="7.42578125" style="133" customWidth="1"/>
    <col min="15361" max="15361" width="37" style="133" customWidth="1"/>
    <col min="15362" max="15362" width="8.7109375" style="133" customWidth="1"/>
    <col min="15363" max="15363" width="20" style="133" customWidth="1"/>
    <col min="15364" max="15364" width="14.140625" style="133" customWidth="1"/>
    <col min="15365" max="15365" width="13.5703125" style="133" customWidth="1"/>
    <col min="15366" max="15366" width="9.85546875" style="133" customWidth="1"/>
    <col min="15367" max="15367" width="12" style="133" customWidth="1"/>
    <col min="15368" max="15368" width="16.28515625" style="133" customWidth="1"/>
    <col min="15369" max="15369" width="14" style="133" customWidth="1"/>
    <col min="15370" max="15371" width="14.42578125" style="133" customWidth="1"/>
    <col min="15372" max="15614" width="9.140625" style="133" customWidth="1"/>
    <col min="15615" max="15615" width="11.42578125" style="133"/>
    <col min="15616" max="15616" width="7.42578125" style="133" customWidth="1"/>
    <col min="15617" max="15617" width="37" style="133" customWidth="1"/>
    <col min="15618" max="15618" width="8.7109375" style="133" customWidth="1"/>
    <col min="15619" max="15619" width="20" style="133" customWidth="1"/>
    <col min="15620" max="15620" width="14.140625" style="133" customWidth="1"/>
    <col min="15621" max="15621" width="13.5703125" style="133" customWidth="1"/>
    <col min="15622" max="15622" width="9.85546875" style="133" customWidth="1"/>
    <col min="15623" max="15623" width="12" style="133" customWidth="1"/>
    <col min="15624" max="15624" width="16.28515625" style="133" customWidth="1"/>
    <col min="15625" max="15625" width="14" style="133" customWidth="1"/>
    <col min="15626" max="15627" width="14.42578125" style="133" customWidth="1"/>
    <col min="15628" max="15870" width="9.140625" style="133" customWidth="1"/>
    <col min="15871" max="15871" width="11.42578125" style="133"/>
    <col min="15872" max="15872" width="7.42578125" style="133" customWidth="1"/>
    <col min="15873" max="15873" width="37" style="133" customWidth="1"/>
    <col min="15874" max="15874" width="8.7109375" style="133" customWidth="1"/>
    <col min="15875" max="15875" width="20" style="133" customWidth="1"/>
    <col min="15876" max="15876" width="14.140625" style="133" customWidth="1"/>
    <col min="15877" max="15877" width="13.5703125" style="133" customWidth="1"/>
    <col min="15878" max="15878" width="9.85546875" style="133" customWidth="1"/>
    <col min="15879" max="15879" width="12" style="133" customWidth="1"/>
    <col min="15880" max="15880" width="16.28515625" style="133" customWidth="1"/>
    <col min="15881" max="15881" width="14" style="133" customWidth="1"/>
    <col min="15882" max="15883" width="14.42578125" style="133" customWidth="1"/>
    <col min="15884" max="16126" width="9.140625" style="133" customWidth="1"/>
    <col min="16127" max="16127" width="11.42578125" style="133"/>
    <col min="16128" max="16128" width="7.42578125" style="133" customWidth="1"/>
    <col min="16129" max="16129" width="37" style="133" customWidth="1"/>
    <col min="16130" max="16130" width="8.7109375" style="133" customWidth="1"/>
    <col min="16131" max="16131" width="20" style="133" customWidth="1"/>
    <col min="16132" max="16132" width="14.140625" style="133" customWidth="1"/>
    <col min="16133" max="16133" width="13.5703125" style="133" customWidth="1"/>
    <col min="16134" max="16134" width="9.85546875" style="133" customWidth="1"/>
    <col min="16135" max="16135" width="12" style="133" customWidth="1"/>
    <col min="16136" max="16136" width="16.28515625" style="133" customWidth="1"/>
    <col min="16137" max="16137" width="14" style="133" customWidth="1"/>
    <col min="16138" max="16139" width="14.42578125" style="133" customWidth="1"/>
    <col min="16140" max="16384" width="9.140625" style="133" customWidth="1"/>
  </cols>
  <sheetData>
    <row r="1" spans="2:15" ht="13.5" thickBot="1" x14ac:dyDescent="0.25"/>
    <row r="2" spans="2:15" ht="24" thickBot="1" x14ac:dyDescent="0.4">
      <c r="B2" s="903" t="s">
        <v>240</v>
      </c>
      <c r="C2" s="904"/>
      <c r="D2" s="904"/>
      <c r="E2" s="904"/>
      <c r="F2" s="904"/>
      <c r="G2" s="904"/>
      <c r="H2" s="904"/>
      <c r="I2" s="904"/>
      <c r="J2" s="904"/>
      <c r="K2" s="904"/>
      <c r="L2" s="904"/>
      <c r="M2" s="904"/>
      <c r="N2" s="904"/>
      <c r="O2" s="905"/>
    </row>
    <row r="3" spans="2:15" s="140" customFormat="1" ht="16.5" thickBot="1" x14ac:dyDescent="0.25">
      <c r="B3" s="138" t="s">
        <v>76</v>
      </c>
      <c r="C3" s="353" t="s">
        <v>113</v>
      </c>
      <c r="D3" s="365" t="s">
        <v>70</v>
      </c>
      <c r="E3" s="366" t="s">
        <v>78</v>
      </c>
      <c r="F3" s="365" t="s">
        <v>177</v>
      </c>
      <c r="G3" s="378" t="s">
        <v>178</v>
      </c>
      <c r="H3" s="366" t="s">
        <v>179</v>
      </c>
      <c r="I3" s="384" t="s">
        <v>180</v>
      </c>
      <c r="J3" s="385" t="s">
        <v>114</v>
      </c>
      <c r="K3" s="386" t="s">
        <v>239</v>
      </c>
      <c r="L3" s="387" t="s">
        <v>29</v>
      </c>
      <c r="M3" s="362" t="s">
        <v>115</v>
      </c>
      <c r="N3" s="139" t="s">
        <v>116</v>
      </c>
      <c r="O3" s="139" t="s">
        <v>109</v>
      </c>
    </row>
    <row r="4" spans="2:15" s="143" customFormat="1" ht="15" x14ac:dyDescent="0.2">
      <c r="B4" s="227">
        <v>1</v>
      </c>
      <c r="C4" s="392" t="str">
        <f>+'HARO IMPERIAL JOSÉ ANTONIO'!E11</f>
        <v>HARO IMPERIAL JOSÉ ANTONIO</v>
      </c>
      <c r="D4" s="393" t="str">
        <f>+'HARO IMPERIAL JOSÉ ANTONIO'!E12</f>
        <v>F-114</v>
      </c>
      <c r="E4" s="394">
        <f>+COUNT('HARO IMPERIAL JOSÉ ANTONIO'!C19:C33)</f>
        <v>2</v>
      </c>
      <c r="F4" s="395">
        <f>+SUMIF('HARO IMPERIAL JOSÉ ANTONIO'!N$19:N$33,1,'HARO IMPERIAL JOSÉ ANTONIO'!J$19:J$33)</f>
        <v>4609</v>
      </c>
      <c r="G4" s="396">
        <f>+SUMIF('HARO IMPERIAL JOSÉ ANTONIO'!N$19:N$33,2,'HARO IMPERIAL JOSÉ ANTONIO'!J$19:J$33)</f>
        <v>106</v>
      </c>
      <c r="H4" s="394">
        <f>+SUMIF('HARO IMPERIAL JOSÉ ANTONIO'!N$19:N$33,3,'HARO IMPERIAL JOSÉ ANTONIO'!J$19:J$33)</f>
        <v>45</v>
      </c>
      <c r="I4" s="388">
        <f t="shared" ref="I4:I27" si="0">SUM(F4:H4)</f>
        <v>4760</v>
      </c>
      <c r="J4" s="176">
        <f>+'HARO IMPERIAL JOSÉ ANTONIO'!J16</f>
        <v>1422.6590000000001</v>
      </c>
      <c r="K4" s="352">
        <f>SUM('HARO IMPERIAL JOSÉ ANTONIO'!S19:S33)</f>
        <v>339.61341325436172</v>
      </c>
      <c r="L4" s="177">
        <f t="shared" ref="L4:L27" si="1">+I4/J4</f>
        <v>3.3458474588780582</v>
      </c>
      <c r="M4" s="363">
        <f>+COUNTIF('HARO IMPERIAL JOSÉ ANTONIO'!N19:N33,1)</f>
        <v>4</v>
      </c>
      <c r="N4" s="141">
        <f>+COUNTIF('HARO IMPERIAL JOSÉ ANTONIO'!N19:N33,2)</f>
        <v>1</v>
      </c>
      <c r="O4" s="142">
        <f>+COUNTIF('HARO IMPERIAL JOSÉ ANTONIO'!N19:N33,3)</f>
        <v>1</v>
      </c>
    </row>
    <row r="5" spans="2:15" s="143" customFormat="1" ht="30" x14ac:dyDescent="0.2">
      <c r="B5" s="228">
        <v>2</v>
      </c>
      <c r="C5" s="354" t="str">
        <f>+'NEVAREZ JUAN MANUEL'!E11</f>
        <v>NEVAREZ JUAN MANUEL</v>
      </c>
      <c r="D5" s="367" t="str">
        <f>+'NEVAREZ JUAN MANUEL'!E12</f>
        <v>F-037 F-111</v>
      </c>
      <c r="E5" s="150">
        <f>+COUNT('NEVAREZ JUAN MANUEL'!C19:C29)</f>
        <v>2</v>
      </c>
      <c r="F5" s="148">
        <f>SUMIF('NEVAREZ JUAN MANUEL'!N$19:N$29,1,'NEVAREZ JUAN MANUEL'!J$19:J$29)</f>
        <v>4084</v>
      </c>
      <c r="G5" s="149">
        <f>SUMIF('NEVAREZ JUAN MANUEL'!N$19:N$29,2,'NEVAREZ JUAN MANUEL'!J$19:J$29)</f>
        <v>0</v>
      </c>
      <c r="H5" s="150">
        <f>SUMIF('NEVAREZ JUAN MANUEL'!N$19:N$29,3,'NEVAREZ JUAN MANUEL'!J$19:J$29)</f>
        <v>0</v>
      </c>
      <c r="I5" s="389">
        <f t="shared" si="0"/>
        <v>4084</v>
      </c>
      <c r="J5" s="146">
        <f>+'NEVAREZ JUAN MANUEL'!J16</f>
        <v>1133.739</v>
      </c>
      <c r="K5" s="230">
        <f>SUM('NEVAREZ JUAN MANUEL'!S19:S29)</f>
        <v>378.26111254849013</v>
      </c>
      <c r="L5" s="147">
        <f t="shared" si="1"/>
        <v>3.602240021733397</v>
      </c>
      <c r="M5" s="361">
        <f>+COUNTIF('NEVAREZ JUAN MANUEL'!N19:N29,1)</f>
        <v>4</v>
      </c>
      <c r="N5" s="149">
        <f>+COUNTIF('NEVAREZ JUAN MANUEL'!N19:N29,2)</f>
        <v>0</v>
      </c>
      <c r="O5" s="150">
        <f>+COUNTIF('NEVAREZ JUAN MANUEL'!N19:N29,3)</f>
        <v>0</v>
      </c>
    </row>
    <row r="6" spans="2:15" s="143" customFormat="1" ht="15" x14ac:dyDescent="0.2">
      <c r="B6" s="228">
        <v>3</v>
      </c>
      <c r="C6" s="354" t="str">
        <f>+'CERDA HERNANDEZ JOSE LUIS'!E11</f>
        <v>CERDA HERNANDEZ JOSE LUIS</v>
      </c>
      <c r="D6" s="367" t="str">
        <f>+'CERDA HERNANDEZ JOSE LUIS'!E12</f>
        <v>F-117</v>
      </c>
      <c r="E6" s="150">
        <f>+COUNT('CERDA HERNANDEZ JOSE LUIS'!C19:C27)</f>
        <v>2</v>
      </c>
      <c r="F6" s="148">
        <f>SUMIF('CERDA HERNANDEZ JOSE LUIS'!N$19:N$27,1,'CERDA HERNANDEZ JOSE LUIS'!J$19:J$27)</f>
        <v>2042</v>
      </c>
      <c r="G6" s="149">
        <f>SUMIF('CERDA HERNANDEZ JOSE LUIS'!N$19:N$27,2,'CERDA HERNANDEZ JOSE LUIS'!J$19:J$27)</f>
        <v>2042</v>
      </c>
      <c r="H6" s="150">
        <f>SUMIF('CERDA HERNANDEZ JOSE LUIS'!N$19:N$27,3,'CERDA HERNANDEZ JOSE LUIS'!J$19:J$27)</f>
        <v>0</v>
      </c>
      <c r="I6" s="389">
        <f t="shared" si="0"/>
        <v>4084</v>
      </c>
      <c r="J6" s="146">
        <f>+'CERDA HERNANDEZ JOSE LUIS'!J16</f>
        <v>1159.712</v>
      </c>
      <c r="K6" s="230">
        <f>SUM('CERDA HERNANDEZ JOSE LUIS'!S19:S27)</f>
        <v>352.28811254849006</v>
      </c>
      <c r="L6" s="147">
        <f t="shared" si="1"/>
        <v>3.5215639745040148</v>
      </c>
      <c r="M6" s="361">
        <f>+COUNTIF('CERDA HERNANDEZ JOSE LUIS'!N19:N27,1)+COUNTIF('CERDA HERNANDEZ JOSE LUIS'!N19:N27,1.1)+COUNTIF('CERDA HERNANDEZ JOSE LUIS'!N19:N27,1.2)</f>
        <v>2</v>
      </c>
      <c r="N6" s="149">
        <f>+COUNTIF('CERDA HERNANDEZ JOSE LUIS'!N19:N27,2)+COUNTIF('CERDA HERNANDEZ JOSE LUIS'!N19:N27,2.1)+COUNTIF('CERDA HERNANDEZ JOSE LUIS'!N19:N27,2.2)</f>
        <v>2</v>
      </c>
      <c r="O6" s="150">
        <f>+COUNTIF('CERDA HERNANDEZ JOSE LUIS'!N19:N27,3)+COUNTIF('CERDA HERNANDEZ JOSE LUIS'!N19:N27,3.1)+COUNTIF('CERDA HERNANDEZ JOSE LUIS'!N19:N27,3.2)</f>
        <v>0</v>
      </c>
    </row>
    <row r="7" spans="2:15" s="143" customFormat="1" ht="15" x14ac:dyDescent="0.2">
      <c r="B7" s="228">
        <v>4</v>
      </c>
      <c r="C7" s="356" t="str">
        <f>+'ESCARCEGA GALDEAN JESUS OMAR'!E11</f>
        <v>ESCARCEGA GALDEAN JESUS OMAR</v>
      </c>
      <c r="D7" s="369" t="str">
        <f>+'ESCARCEGA GALDEAN JESUS OMAR'!E12</f>
        <v>F-112</v>
      </c>
      <c r="E7" s="368">
        <f>+COUNT('ESCARCEGA GALDEAN JESUS OMAR'!C20:C24)</f>
        <v>0</v>
      </c>
      <c r="F7" s="379">
        <f>SUMIF('ESCARCEGA GALDEAN JESUS OMAR'!N19:N31,1,'ESCARCEGA GALDEAN JESUS OMAR'!J19:J31)+SUMIF('ESCARCEGA GALDEAN JESUS OMAR'!N20:N30,1.1,'ESCARCEGA GALDEAN JESUS OMAR'!J20:J30)+SUMIF('ESCARCEGA GALDEAN JESUS OMAR'!N20:N30,1.2,'ESCARCEGA GALDEAN JESUS OMAR'!J20:J30)</f>
        <v>0</v>
      </c>
      <c r="G7" s="145">
        <f>SUMIF('ESCARCEGA GALDEAN JESUS OMAR'!N20:N30,2,'ESCARCEGA GALDEAN JESUS OMAR'!J20:J30)+SUMIF('ESCARCEGA GALDEAN JESUS OMAR'!N20:N30,2.1,'ESCARCEGA GALDEAN JESUS OMAR'!J20:J30)+SUMIF('ESCARCEGA GALDEAN JESUS OMAR'!N20:N30,2.2,'ESCARCEGA GALDEAN JESUS OMAR'!J20:J30)</f>
        <v>0</v>
      </c>
      <c r="H7" s="368">
        <f>SUMIF('ESCARCEGA GALDEAN JESUS OMAR'!N20:N30,3,'ESCARCEGA GALDEAN JESUS OMAR'!J20:J30)+SUMIF('ESCARCEGA GALDEAN JESUS OMAR'!N20:N30,3.1,'ESCARCEGA GALDEAN JESUS OMAR'!J20:J30)+SUMIF('ESCARCEGA GALDEAN JESUS OMAR'!N20:N30,3.2,'ESCARCEGA GALDEAN JESUS OMAR'!J20:J30)</f>
        <v>0</v>
      </c>
      <c r="I7" s="389">
        <f t="shared" si="0"/>
        <v>0</v>
      </c>
      <c r="J7" s="146">
        <f>+'ESCARCEGA GALDEAN JESUS OMAR'!J16</f>
        <v>0</v>
      </c>
      <c r="K7" s="230" t="e">
        <f>SUM('ESCARCEGA GALDEAN JESUS OMAR'!S20:S30)</f>
        <v>#N/A</v>
      </c>
      <c r="L7" s="147" t="e">
        <f t="shared" si="1"/>
        <v>#DIV/0!</v>
      </c>
      <c r="M7" s="361">
        <f>+COUNTIF('ESCARCEGA GALDEAN JESUS OMAR'!N20:N30,1)+COUNTIF('ESCARCEGA GALDEAN JESUS OMAR'!N20:N30,1.1)+COUNTIF('ESCARCEGA GALDEAN JESUS OMAR'!N20:N30,1.2)</f>
        <v>0</v>
      </c>
      <c r="N7" s="149">
        <f>+COUNTIF('ESCARCEGA GALDEAN JESUS OMAR'!N20:N30,2)+COUNTIF('ESCARCEGA GALDEAN JESUS OMAR'!N20:N30,2.1)+COUNTIF('ESCARCEGA GALDEAN JESUS OMAR'!N20:N30,2.2)</f>
        <v>0</v>
      </c>
      <c r="O7" s="150">
        <f>+COUNTIF('ESCARCEGA GALDEAN JESUS OMAR'!N20:N30,3)+COUNTIF('ESCARCEGA GALDEAN JESUS OMAR'!N20:N30,3.1)+COUNTIF('ESCARCEGA GALDEAN JESUS OMAR'!N20:N30,3.2)</f>
        <v>0</v>
      </c>
    </row>
    <row r="8" spans="2:15" s="143" customFormat="1" ht="15" x14ac:dyDescent="0.2">
      <c r="B8" s="228">
        <v>5</v>
      </c>
      <c r="C8" s="354" t="str">
        <f>+'CHAVEZ VARELA NESTOR ADRIAN'!E11</f>
        <v>CHAVEZ VARELA NESTOR ADRIAN</v>
      </c>
      <c r="D8" s="370" t="str">
        <f>+'CHAVEZ VARELA NESTOR ADRIAN'!E12</f>
        <v xml:space="preserve">F-112 </v>
      </c>
      <c r="E8" s="150">
        <f>+COUNT('CHAVEZ VARELA NESTOR ADRIAN'!C19:C27)</f>
        <v>0</v>
      </c>
      <c r="F8" s="148">
        <f>SUMIF('CHAVEZ VARELA NESTOR ADRIAN'!N$19:N$27,1,'CHAVEZ VARELA NESTOR ADRIAN'!J$19:J$27)</f>
        <v>0</v>
      </c>
      <c r="G8" s="149">
        <f>SUMIF('CHAVEZ VARELA NESTOR ADRIAN'!N$19:N$27,2,'CHAVEZ VARELA NESTOR ADRIAN'!J$19:J$27)</f>
        <v>0</v>
      </c>
      <c r="H8" s="150">
        <f>SUMIF('CHAVEZ VARELA NESTOR ADRIAN'!N$19:N$27,3,'CHAVEZ VARELA NESTOR ADRIAN'!J$19:J$27)</f>
        <v>0</v>
      </c>
      <c r="I8" s="389">
        <f t="shared" si="0"/>
        <v>0</v>
      </c>
      <c r="J8" s="146">
        <f>+'CHAVEZ VARELA NESTOR ADRIAN'!J16</f>
        <v>0</v>
      </c>
      <c r="K8" s="230" t="e">
        <f>SUM('CHAVEZ VARELA NESTOR ADRIAN'!S19:S27)</f>
        <v>#N/A</v>
      </c>
      <c r="L8" s="147" t="e">
        <f t="shared" si="1"/>
        <v>#DIV/0!</v>
      </c>
      <c r="M8" s="361">
        <f>+COUNTIF('CHAVEZ VARELA NESTOR ADRIAN'!N19:N27,1)</f>
        <v>0</v>
      </c>
      <c r="N8" s="149">
        <f>+COUNTIF('CHAVEZ VARELA NESTOR ADRIAN'!N19:N27,2)</f>
        <v>0</v>
      </c>
      <c r="O8" s="150">
        <f>+COUNTIF('CHAVEZ VARELA NESTOR ADRIAN'!N19:N27,3)</f>
        <v>0</v>
      </c>
    </row>
    <row r="9" spans="2:15" s="143" customFormat="1" ht="15" x14ac:dyDescent="0.2">
      <c r="B9" s="228">
        <v>6</v>
      </c>
      <c r="C9" s="354" t="str">
        <f>+'PACHECO BAÑUELOS ALFONSO'!E11</f>
        <v>PACHECO BAÑUELOS ALFONSO</v>
      </c>
      <c r="D9" s="371" t="str">
        <f>+'PACHECO BAÑUELOS ALFONSO'!E12</f>
        <v>F-037</v>
      </c>
      <c r="E9" s="150">
        <f>+COUNT('PACHECO BAÑUELOS ALFONSO'!C19:C31)</f>
        <v>1</v>
      </c>
      <c r="F9" s="148">
        <f>SUMIF('PACHECO BAÑUELOS ALFONSO'!N$19:N$31,1,'PACHECO BAÑUELOS ALFONSO'!J$19:J$31)</f>
        <v>2042</v>
      </c>
      <c r="G9" s="149">
        <f>SUMIF('PACHECO BAÑUELOS ALFONSO'!N$19:N$31,2,'PACHECO BAÑUELOS ALFONSO'!J$19:J$31)</f>
        <v>0</v>
      </c>
      <c r="H9" s="150">
        <f>SUMIF('PACHECO BAÑUELOS ALFONSO'!N$19:N$31,3,'PACHECO BAÑUELOS ALFONSO'!J$19:J$31)</f>
        <v>0</v>
      </c>
      <c r="I9" s="389">
        <f t="shared" si="0"/>
        <v>2042</v>
      </c>
      <c r="J9" s="146">
        <f>+'PACHECO BAÑUELOS ALFONSO'!J16</f>
        <v>597.88300000000004</v>
      </c>
      <c r="K9" s="230">
        <f>SUM('PACHECO BAÑUELOS ALFONSO'!S19:S31)</f>
        <v>158.11705627424499</v>
      </c>
      <c r="L9" s="147">
        <f t="shared" si="1"/>
        <v>3.4153839463573976</v>
      </c>
      <c r="M9" s="361">
        <f>+COUNTIF('PACHECO BAÑUELOS ALFONSO'!N19:N31,1)</f>
        <v>2</v>
      </c>
      <c r="N9" s="149">
        <f>+COUNTIF('PACHECO BAÑUELOS ALFONSO'!N19:N31,2)</f>
        <v>0</v>
      </c>
      <c r="O9" s="150">
        <f>+COUNTIF('PACHECO BAÑUELOS ALFONSO'!N19:N31,3)</f>
        <v>0</v>
      </c>
    </row>
    <row r="10" spans="2:15" s="143" customFormat="1" ht="30" x14ac:dyDescent="0.2">
      <c r="B10" s="228">
        <v>7</v>
      </c>
      <c r="C10" s="354" t="str">
        <f>+'LIRA TRISTAN JOSE ANGEL'!E11</f>
        <v>LIRA TRISTAN JOSE ANGEL</v>
      </c>
      <c r="D10" s="370" t="str">
        <f>+'LIRA TRISTAN JOSE ANGEL'!E12</f>
        <v>F-111 F-118</v>
      </c>
      <c r="E10" s="150">
        <f>COUNT('LIRA TRISTAN JOSE ANGEL'!C19:C28)</f>
        <v>2</v>
      </c>
      <c r="F10" s="148">
        <f>SUMIF('LIRA TRISTAN JOSE ANGEL'!N$19:N$28,1,'LIRA TRISTAN JOSE ANGEL'!J$19:J$28)</f>
        <v>5168</v>
      </c>
      <c r="G10" s="149">
        <f>SUMIF('LIRA TRISTAN JOSE ANGEL'!N$19:N$28,2,'LIRA TRISTAN JOSE ANGEL'!J$19:J$28)</f>
        <v>212</v>
      </c>
      <c r="H10" s="150">
        <f>SUMIF('LIRA TRISTAN JOSE ANGEL'!N$19:N$28,3,'LIRA TRISTAN JOSE ANGEL'!J$19:J$28)</f>
        <v>0</v>
      </c>
      <c r="I10" s="389">
        <f t="shared" si="0"/>
        <v>5380</v>
      </c>
      <c r="J10" s="146">
        <f>+'LIRA TRISTAN JOSE ANGEL'!J16</f>
        <v>1601.0709999999999</v>
      </c>
      <c r="K10" s="230">
        <f>SUM('LIRA TRISTAN JOSE ANGEL'!S17:S26)</f>
        <v>390.74109733371131</v>
      </c>
      <c r="L10" s="147">
        <f t="shared" si="1"/>
        <v>3.3602507321661563</v>
      </c>
      <c r="M10" s="361">
        <f>+COUNTIF('LIRA TRISTAN JOSE ANGEL'!N19:N28,1)</f>
        <v>4</v>
      </c>
      <c r="N10" s="149">
        <f>+COUNTIF('LIRA TRISTAN JOSE ANGEL'!N19:N28,2)</f>
        <v>2</v>
      </c>
      <c r="O10" s="150">
        <f>+COUNTIF('LIRA TRISTAN JOSE ANGEL'!N19:N28,3)</f>
        <v>0</v>
      </c>
    </row>
    <row r="11" spans="2:15" s="143" customFormat="1" ht="15" x14ac:dyDescent="0.2">
      <c r="B11" s="228">
        <v>8</v>
      </c>
      <c r="C11" s="354" t="str">
        <f>+'GONZALEZ MARTINEZ MAURICIO'!E11</f>
        <v>GONZALEZ MARTINEZ MAURICIO</v>
      </c>
      <c r="D11" s="370" t="str">
        <f>+'GONZALEZ MARTINEZ MAURICIO'!E12</f>
        <v>F-115</v>
      </c>
      <c r="E11" s="150">
        <f>+COUNT('GONZALEZ MARTINEZ MAURICIO'!C19:C30)</f>
        <v>2</v>
      </c>
      <c r="F11" s="148">
        <f>SUMIF('GONZALEZ MARTINEZ MAURICIO'!N$19:N$30,1,'GONZALEZ MARTINEZ MAURICIO'!J$19:J$30)</f>
        <v>4702</v>
      </c>
      <c r="G11" s="149">
        <f>SUMIF('GONZALEZ MARTINEZ MAURICIO'!N$19:N$30,2,'GONZALEZ MARTINEZ MAURICIO'!J$19:J$30)</f>
        <v>0</v>
      </c>
      <c r="H11" s="150">
        <f>SUMIF('GONZALEZ MARTINEZ MAURICIO'!N$19:N$30,3,'GONZALEZ MARTINEZ MAURICIO'!J$19:J$30)</f>
        <v>0</v>
      </c>
      <c r="I11" s="389">
        <f t="shared" si="0"/>
        <v>4702</v>
      </c>
      <c r="J11" s="146">
        <f>+'GONZALEZ MARTINEZ MAURICIO'!J16</f>
        <v>1445.24</v>
      </c>
      <c r="K11" s="230">
        <f>SUM('GONZALEZ MARTINEZ MAURICIO'!S19:S30)</f>
        <v>295.55934603403534</v>
      </c>
      <c r="L11" s="147">
        <f t="shared" si="1"/>
        <v>3.2534388752041181</v>
      </c>
      <c r="M11" s="361">
        <f>+COUNTIF('GONZALEZ MARTINEZ MAURICIO'!N19:N30,1)</f>
        <v>4</v>
      </c>
      <c r="N11" s="149">
        <f>+COUNTIF('GONZALEZ MARTINEZ MAURICIO'!N19:N30,2)</f>
        <v>0</v>
      </c>
      <c r="O11" s="150">
        <f>+COUNTIF('GONZALEZ MARTINEZ MAURICIO'!N19:N30,3)</f>
        <v>0</v>
      </c>
    </row>
    <row r="12" spans="2:15" s="143" customFormat="1" ht="30" x14ac:dyDescent="0.2">
      <c r="B12" s="228">
        <v>9</v>
      </c>
      <c r="C12" s="354" t="str">
        <f>+'GONZALEZ SOTO JOEL'!E11</f>
        <v>GONZALEZ SOTO JOEL</v>
      </c>
      <c r="D12" s="370" t="str">
        <f>+'GONZALEZ SOTO JOEL'!E12</f>
        <v>F-038 / F-122</v>
      </c>
      <c r="E12" s="150">
        <f>+COUNT('GONZALEZ SOTO JOEL'!C20:C31)</f>
        <v>0</v>
      </c>
      <c r="F12" s="148">
        <f>SUMIF('GONZALEZ SOTO JOEL'!N$19:N$31,1,'GONZALEZ SOTO JOEL'!J$19:J$31)</f>
        <v>0</v>
      </c>
      <c r="G12" s="149">
        <f>SUMIF('GONZALEZ SOTO JOEL'!N$19:N$31,2,'GONZALEZ SOTO JOEL'!J$19:J$31)</f>
        <v>0</v>
      </c>
      <c r="H12" s="150">
        <f>SUMIF('GONZALEZ SOTO JOEL'!N$19:N$31,3,'GONZALEZ SOTO JOEL'!J$19:J$31)</f>
        <v>0</v>
      </c>
      <c r="I12" s="389">
        <f t="shared" si="0"/>
        <v>0</v>
      </c>
      <c r="J12" s="146">
        <f>+'GONZALEZ SOTO JOEL'!J16</f>
        <v>0</v>
      </c>
      <c r="K12" s="230" t="e">
        <f>SUM('GONZALEZ SOTO JOEL'!S20:S31)</f>
        <v>#N/A</v>
      </c>
      <c r="L12" s="147" t="e">
        <f t="shared" si="1"/>
        <v>#DIV/0!</v>
      </c>
      <c r="M12" s="361">
        <f>+COUNTIF('GONZALEZ SOTO JOEL'!N20:N31,1)</f>
        <v>0</v>
      </c>
      <c r="N12" s="149">
        <f>+COUNTIF('GONZALEZ SOTO JOEL'!N20:N31,2)</f>
        <v>0</v>
      </c>
      <c r="O12" s="150">
        <f>+COUNTIF('GONZALEZ SOTO JOEL'!N20:N31,3)</f>
        <v>0</v>
      </c>
    </row>
    <row r="13" spans="2:15" s="143" customFormat="1" ht="15" x14ac:dyDescent="0.2">
      <c r="B13" s="228">
        <v>10</v>
      </c>
      <c r="C13" s="354" t="str">
        <f>+'RUIZ HERRERA ERICK '!E11</f>
        <v xml:space="preserve">RUIZ HERRERA ERICK </v>
      </c>
      <c r="D13" s="370" t="str">
        <f>+'RUIZ HERRERA ERICK '!E12</f>
        <v xml:space="preserve">F-036  </v>
      </c>
      <c r="E13" s="178">
        <f>+COUNT('RUIZ HERRERA ERICK '!C19:C25)</f>
        <v>0</v>
      </c>
      <c r="F13" s="397">
        <f>SUMIF('RUIZ HERRERA ERICK '!N$19:N$25,1,'RUIZ HERRERA ERICK '!J$19:J$25)</f>
        <v>0</v>
      </c>
      <c r="G13" s="144">
        <f>SUMIF('RUIZ HERRERA ERICK '!N$19:N$25,2,'RUIZ HERRERA ERICK '!J$19:J$25)</f>
        <v>0</v>
      </c>
      <c r="H13" s="178">
        <f>SUMIF('RUIZ HERRERA ERICK '!N$19:N$25,3,'RUIZ HERRERA ERICK '!J$19:J$25)</f>
        <v>0</v>
      </c>
      <c r="I13" s="389">
        <f t="shared" si="0"/>
        <v>0</v>
      </c>
      <c r="J13" s="398">
        <f>+'RUIZ HERRERA ERICK '!J16</f>
        <v>0</v>
      </c>
      <c r="K13" s="399" t="e">
        <f>SUM('RUIZ HERRERA ERICK '!S19:S25)</f>
        <v>#N/A</v>
      </c>
      <c r="L13" s="147" t="e">
        <f>+I13/J13</f>
        <v>#DIV/0!</v>
      </c>
      <c r="M13" s="400">
        <f>+COUNTIF('RUIZ HERRERA ERICK '!N19:N25,1)</f>
        <v>0</v>
      </c>
      <c r="N13" s="144">
        <f>+COUNTIF('RUIZ HERRERA ERICK '!N19:N25,2)</f>
        <v>0</v>
      </c>
      <c r="O13" s="178">
        <f>+COUNTIF('RUIZ HERRERA ERICK '!N19:N25,3)</f>
        <v>0</v>
      </c>
    </row>
    <row r="14" spans="2:15" s="143" customFormat="1" ht="30" x14ac:dyDescent="0.2">
      <c r="B14" s="228">
        <v>11</v>
      </c>
      <c r="C14" s="354" t="str">
        <f>+'RUEDA SALAZAR ISMAEL'!E11</f>
        <v>RUEDA SALAZAR ISMAEL</v>
      </c>
      <c r="D14" s="370" t="str">
        <f>+'RUEDA SALAZAR ISMAEL'!E12</f>
        <v>F-119 F-026</v>
      </c>
      <c r="E14" s="150">
        <f>+COUNT('RUEDA SALAZAR ISMAEL'!C19:C27)</f>
        <v>4</v>
      </c>
      <c r="F14" s="148">
        <f>SUMIF('RUEDA SALAZAR ISMAEL'!N$19:N$27,1,'RUEDA SALAZAR ISMAEL'!J$19:J$27)</f>
        <v>4238</v>
      </c>
      <c r="G14" s="149">
        <f>SUMIF('RUEDA SALAZAR ISMAEL'!N$19:N$27,2,'RUEDA SALAZAR ISMAEL'!J$19:J$27)</f>
        <v>1021</v>
      </c>
      <c r="H14" s="150">
        <f>SUMIF('RUEDA SALAZAR ISMAEL'!N$19:N$27,3,'RUEDA SALAZAR ISMAEL'!J$19:J$27)</f>
        <v>375</v>
      </c>
      <c r="I14" s="389">
        <f t="shared" si="0"/>
        <v>5634</v>
      </c>
      <c r="J14" s="146">
        <f>+'RUEDA SALAZAR ISMAEL'!J16</f>
        <v>1805.8</v>
      </c>
      <c r="K14" s="230">
        <f>SUM('RUEDA SALAZAR ISMAEL'!S19:S27)</f>
        <v>454.65918022821114</v>
      </c>
      <c r="L14" s="147">
        <f t="shared" si="1"/>
        <v>3.1199468379665523</v>
      </c>
      <c r="M14" s="361">
        <f>+COUNTIF('RUEDA SALAZAR ISMAEL'!N19:N27,1)</f>
        <v>6</v>
      </c>
      <c r="N14" s="149">
        <f>+COUNTIF('RUEDA SALAZAR ISMAEL'!N19:N27,2)</f>
        <v>1</v>
      </c>
      <c r="O14" s="150">
        <f>+COUNTIF('RUEDA SALAZAR ISMAEL'!N19:N27,3)</f>
        <v>1</v>
      </c>
    </row>
    <row r="15" spans="2:15" s="143" customFormat="1" ht="15" x14ac:dyDescent="0.2">
      <c r="B15" s="228">
        <v>12</v>
      </c>
      <c r="C15" s="355" t="str">
        <f>+'MARTA RUBIO MARTIN'!E11</f>
        <v>MARTA RUBIO MARTIN</v>
      </c>
      <c r="D15" s="371" t="str">
        <f>+'MARTA RUBIO MARTIN'!E12</f>
        <v>F-121</v>
      </c>
      <c r="E15" s="150">
        <f>+COUNT('MARTA RUBIO MARTIN'!C21:C31)</f>
        <v>0</v>
      </c>
      <c r="F15" s="148">
        <f>SUMIF('MARTA RUBIO MARTIN'!N$19:N$32,1,'MARTA RUBIO MARTIN'!J$19:J$32)</f>
        <v>0</v>
      </c>
      <c r="G15" s="149">
        <f>SUMIF('MARTA RUBIO MARTIN'!N$19:N$32,2,'MARTA RUBIO MARTIN'!J$19:J$32)</f>
        <v>0</v>
      </c>
      <c r="H15" s="150">
        <f>SUMIF('MARTA RUBIO MARTIN'!N$21:N$31,3,'MARTA RUBIO MARTIN'!J$21:J$31)</f>
        <v>0</v>
      </c>
      <c r="I15" s="389">
        <f t="shared" si="0"/>
        <v>0</v>
      </c>
      <c r="J15" s="146">
        <f>+'MARTA RUBIO MARTIN'!J16</f>
        <v>0</v>
      </c>
      <c r="K15" s="230" t="e">
        <f>SUM('MARTA RUBIO MARTIN'!S21:S31)</f>
        <v>#N/A</v>
      </c>
      <c r="L15" s="147" t="e">
        <f t="shared" si="1"/>
        <v>#DIV/0!</v>
      </c>
      <c r="M15" s="361">
        <f>+COUNTIF('MARTA RUBIO MARTIN'!N21:N31,1)</f>
        <v>0</v>
      </c>
      <c r="N15" s="149">
        <f>+COUNTIF('MARTA RUBIO MARTIN'!N21:N31,2)</f>
        <v>0</v>
      </c>
      <c r="O15" s="150">
        <f>+COUNTIF('MARTA RUBIO MARTIN'!N21:N31,3)</f>
        <v>0</v>
      </c>
    </row>
    <row r="16" spans="2:15" s="143" customFormat="1" ht="15" x14ac:dyDescent="0.2">
      <c r="B16" s="228">
        <v>13</v>
      </c>
      <c r="C16" s="354" t="str">
        <f>+'GONZALEZ LOZANO ENRIQUE '!E11</f>
        <v xml:space="preserve">GONZALEZ LOZANO ENRIQUE </v>
      </c>
      <c r="D16" s="371" t="str">
        <f>+'GONZALEZ LOZANO ENRIQUE '!E12</f>
        <v>F-037</v>
      </c>
      <c r="E16" s="150">
        <f>+COUNT('GONZALEZ LOZANO ENRIQUE '!C19:C30)</f>
        <v>0</v>
      </c>
      <c r="F16" s="148">
        <f>SUMIF('GONZALEZ LOZANO ENRIQUE '!N$19:N$30,1,'GONZALEZ LOZANO ENRIQUE '!J$19:J$30)</f>
        <v>0</v>
      </c>
      <c r="G16" s="149">
        <f>SUMIF('GONZALEZ LOZANO ENRIQUE '!N$19:N$30,2,'GONZALEZ LOZANO ENRIQUE '!J$19:J$30)</f>
        <v>0</v>
      </c>
      <c r="H16" s="150">
        <f>SUMIF('GONZALEZ LOZANO ENRIQUE '!N$19:N$30,3,'GONZALEZ LOZANO ENRIQUE '!J$19:J$30)</f>
        <v>0</v>
      </c>
      <c r="I16" s="389">
        <f t="shared" si="0"/>
        <v>0</v>
      </c>
      <c r="J16" s="146">
        <f>+'GONZALEZ LOZANO ENRIQUE '!J16</f>
        <v>0</v>
      </c>
      <c r="K16" s="230" t="e">
        <f>SUM('GONZALEZ LOZANO ENRIQUE '!S19:S30)</f>
        <v>#N/A</v>
      </c>
      <c r="L16" s="147" t="e">
        <f t="shared" si="1"/>
        <v>#DIV/0!</v>
      </c>
      <c r="M16" s="361">
        <f>+COUNTIF('GONZALEZ LOZANO ENRIQUE '!N19:N30,1)</f>
        <v>0</v>
      </c>
      <c r="N16" s="149">
        <f>+COUNTIF('GONZALEZ LOZANO ENRIQUE '!N19:N30,2)</f>
        <v>0</v>
      </c>
      <c r="O16" s="150">
        <f>+COUNTIF('GONZALEZ LOZANO ENRIQUE '!N19:N30,3)</f>
        <v>0</v>
      </c>
    </row>
    <row r="17" spans="2:15" s="143" customFormat="1" ht="15" x14ac:dyDescent="0.2">
      <c r="B17" s="228">
        <v>14</v>
      </c>
      <c r="C17" s="354" t="str">
        <f>+'RODRIGUEZ VALLES JOSE FRANCISCO'!E11</f>
        <v>RODRIGUEZ VALLES JOSE FRANCISCO</v>
      </c>
      <c r="D17" s="367" t="str">
        <f>+'RODRIGUEZ VALLES JOSE FRANCISCO'!E12</f>
        <v>F-113</v>
      </c>
      <c r="E17" s="150">
        <f>+COUNT('RODRIGUEZ VALLES JOSE FRANCISCO'!C19:C32)</f>
        <v>2</v>
      </c>
      <c r="F17" s="148">
        <f>+SUMIF('RODRIGUEZ VALLES JOSE FRANCISCO'!N$19:N$32,1,'RODRIGUEZ VALLES JOSE FRANCISCO'!J$19:J$32)</f>
        <v>3681</v>
      </c>
      <c r="G17" s="149">
        <f>+SUMIF('RODRIGUEZ VALLES JOSE FRANCISCO'!N$19:N$32,2,'RODRIGUEZ VALLES JOSE FRANCISCO'!J$19:J$32)</f>
        <v>1021</v>
      </c>
      <c r="H17" s="150">
        <f>+SUMIF('RODRIGUEZ VALLES JOSE FRANCISCO'!N$19:N$32,3,'RODRIGUEZ VALLES JOSE FRANCISCO'!J$19:J$32)</f>
        <v>0</v>
      </c>
      <c r="I17" s="389">
        <f t="shared" si="0"/>
        <v>4702</v>
      </c>
      <c r="J17" s="146">
        <f>+'RODRIGUEZ VALLES JOSE FRANCISCO'!J16</f>
        <v>1444.673</v>
      </c>
      <c r="K17" s="230">
        <f>SUM('RODRIGUEZ VALLES JOSE FRANCISCO'!S19:S32)</f>
        <v>296.12634603403535</v>
      </c>
      <c r="L17" s="147">
        <f t="shared" si="1"/>
        <v>3.2547157730503717</v>
      </c>
      <c r="M17" s="361">
        <f>+COUNTIF('RODRIGUEZ VALLES JOSE FRANCISCO'!N19:N32,1)</f>
        <v>3</v>
      </c>
      <c r="N17" s="149">
        <f>+COUNTIF('RODRIGUEZ VALLES JOSE FRANCISCO'!N19:N32,2)</f>
        <v>1</v>
      </c>
      <c r="O17" s="150">
        <f>+COUNTIF('RODRIGUEZ VALLES JOSE FRANCISCO'!N19:N32,3)</f>
        <v>0</v>
      </c>
    </row>
    <row r="18" spans="2:15" s="143" customFormat="1" ht="30" x14ac:dyDescent="0.2">
      <c r="B18" s="228">
        <v>15</v>
      </c>
      <c r="C18" s="357" t="str">
        <f>+'HERNANDEZ CONTRERAS JOSE FERNAN'!E11</f>
        <v>HERNANDEZ CONTRERAS JOSE FERNANDO</v>
      </c>
      <c r="D18" s="369" t="str">
        <f>+'HERNANDEZ CONTRERAS JOSE FERNAN'!E12</f>
        <v xml:space="preserve">F-038 </v>
      </c>
      <c r="E18" s="368">
        <f>+COUNT('HERNANDEZ CONTRERAS JOSE FERNAN'!C19:C29)</f>
        <v>2</v>
      </c>
      <c r="F18" s="379">
        <f>SUMIF('HERNANDEZ CONTRERAS JOSE FERNAN'!N$19:N$29,1,'HERNANDEZ CONTRERAS JOSE FERNAN'!J$19:J$29)</f>
        <v>4702</v>
      </c>
      <c r="G18" s="145">
        <f>SUMIF('HERNANDEZ CONTRERAS JOSE FERNAN'!N$19:N$29,2,'HERNANDEZ CONTRERAS JOSE FERNAN'!J$19:J$29)</f>
        <v>0</v>
      </c>
      <c r="H18" s="368">
        <f>SUMIF('HERNANDEZ CONTRERAS JOSE FERNAN'!N$19:N$29,3,'HERNANDEZ CONTRERAS JOSE FERNAN'!J$19:J$29)</f>
        <v>0</v>
      </c>
      <c r="I18" s="389">
        <f t="shared" si="0"/>
        <v>4702</v>
      </c>
      <c r="J18" s="146">
        <f>+'HERNANDEZ CONTRERAS JOSE FERNAN'!J16</f>
        <v>1501.835</v>
      </c>
      <c r="K18" s="230">
        <f>SUM('HERNANDEZ CONTRERAS JOSE FERNAN'!S19:S29)</f>
        <v>305.74360583484236</v>
      </c>
      <c r="L18" s="147">
        <f t="shared" si="1"/>
        <v>3.1308366098805793</v>
      </c>
      <c r="M18" s="361">
        <f>+COUNTIF('HERNANDEZ CONTRERAS JOSE FERNAN'!N19:N29,1)</f>
        <v>4</v>
      </c>
      <c r="N18" s="149">
        <f>+COUNTIF('HERNANDEZ CONTRERAS JOSE FERNAN'!N19:N29,2)</f>
        <v>0</v>
      </c>
      <c r="O18" s="150">
        <f>+COUNTIF('HERNANDEZ CONTRERAS JOSE FERNAN'!N19:N29,3)</f>
        <v>0</v>
      </c>
    </row>
    <row r="19" spans="2:15" s="143" customFormat="1" ht="15" x14ac:dyDescent="0.2">
      <c r="B19" s="228">
        <v>16</v>
      </c>
      <c r="C19" s="354" t="str">
        <f>+'PAYAN ESTRADA JOSE ANGEL'!E11</f>
        <v>PAYAN ESTRADA JOSE ANGEL</v>
      </c>
      <c r="D19" s="371" t="str">
        <f>+'PAYAN ESTRADA JOSE ANGEL'!E12</f>
        <v xml:space="preserve">F-119  </v>
      </c>
      <c r="E19" s="150">
        <f>+COUNT('PAYAN ESTRADA JOSE ANGEL'!C19:C29)</f>
        <v>0</v>
      </c>
      <c r="F19" s="148">
        <f>SUMIF('PAYAN ESTRADA JOSE ANGEL'!N$19:N$29,1,'PAYAN ESTRADA JOSE ANGEL'!J$19:J$29)</f>
        <v>0</v>
      </c>
      <c r="G19" s="149">
        <f>SUMIF('PAYAN ESTRADA JOSE ANGEL'!N$19:N$29,2,'PAYAN ESTRADA JOSE ANGEL'!J$19:J$29)</f>
        <v>0</v>
      </c>
      <c r="H19" s="150">
        <f>SUMIF('PAYAN ESTRADA JOSE ANGEL'!N$19:N$29,3,'PAYAN ESTRADA JOSE ANGEL'!J$19:J$29)</f>
        <v>0</v>
      </c>
      <c r="I19" s="389">
        <f t="shared" si="0"/>
        <v>0</v>
      </c>
      <c r="J19" s="146">
        <f>+'PAYAN ESTRADA JOSE ANGEL'!J16</f>
        <v>0</v>
      </c>
      <c r="K19" s="230" t="e">
        <f>SUM('PAYAN ESTRADA JOSE ANGEL'!S19:S29)</f>
        <v>#N/A</v>
      </c>
      <c r="L19" s="147" t="e">
        <f t="shared" si="1"/>
        <v>#DIV/0!</v>
      </c>
      <c r="M19" s="361">
        <f>+COUNTIF('PAYAN ESTRADA JOSE ANGEL'!N19:N29,1)</f>
        <v>0</v>
      </c>
      <c r="N19" s="149">
        <f>+COUNTIF('PAYAN ESTRADA JOSE ANGEL'!N19:N29,2)</f>
        <v>0</v>
      </c>
      <c r="O19" s="150">
        <f>+COUNTIF('PAYAN ESTRADA JOSE ANGEL'!N19:N29,3)</f>
        <v>0</v>
      </c>
    </row>
    <row r="20" spans="2:15" s="143" customFormat="1" ht="30" x14ac:dyDescent="0.2">
      <c r="B20" s="228">
        <v>17</v>
      </c>
      <c r="C20" s="359" t="str">
        <f>+'RODRIGUEZ RAMIREZ FERNANDO'!E11</f>
        <v>RODRIGUEZ RAMIREZ FERNANDO</v>
      </c>
      <c r="D20" s="375" t="str">
        <f>+'RODRIGUEZ RAMIREZ FERNANDO'!E12</f>
        <v>F-034 F-114</v>
      </c>
      <c r="E20" s="376">
        <f>+COUNT('RODRIGUEZ RAMIREZ FERNANDO'!C19:C27)</f>
        <v>2</v>
      </c>
      <c r="F20" s="381">
        <f>SUMIF('RODRIGUEZ RAMIREZ FERNANDO'!N$19:N$27,1,'RODRIGUEZ RAMIREZ FERNANDO'!J$19:J$27)</f>
        <v>5476</v>
      </c>
      <c r="G20" s="153">
        <f>SUMIF('RODRIGUEZ RAMIREZ FERNANDO'!N$19:N$27,2,'RODRIGUEZ RAMIREZ FERNANDO'!J$19:J$27)</f>
        <v>1311</v>
      </c>
      <c r="H20" s="376">
        <f>SUMIF('RODRIGUEZ RAMIREZ FERNANDO'!N$19:N$27,3,'RODRIGUEZ RAMIREZ FERNANDO'!J$19:J$27)</f>
        <v>0</v>
      </c>
      <c r="I20" s="389">
        <f t="shared" si="0"/>
        <v>6787</v>
      </c>
      <c r="J20" s="152">
        <f>+'RODRIGUEZ RAMIREZ FERNANDO'!J16</f>
        <v>1899.56</v>
      </c>
      <c r="K20" s="231">
        <f>SUM('RODRIGUEZ RAMIREZ FERNANDO'!S19:S27)</f>
        <v>709.55016541919917</v>
      </c>
      <c r="L20" s="147">
        <f t="shared" si="1"/>
        <v>3.5729326791467497</v>
      </c>
      <c r="M20" s="361">
        <f>+COUNTIF('RODRIGUEZ RAMIREZ FERNANDO'!N19:N27,1)</f>
        <v>4</v>
      </c>
      <c r="N20" s="149">
        <f>+COUNTIF('RODRIGUEZ RAMIREZ FERNANDO'!N19:N27,2)</f>
        <v>1</v>
      </c>
      <c r="O20" s="150">
        <f>+COUNTIF('RODRIGUEZ RAMIREZ FERNANDO'!N19:N27,3)</f>
        <v>0</v>
      </c>
    </row>
    <row r="21" spans="2:15" s="143" customFormat="1" ht="15" x14ac:dyDescent="0.2">
      <c r="B21" s="228">
        <v>18</v>
      </c>
      <c r="C21" s="359" t="str">
        <f>+'ESTRADA ARELLANO ARTURO'!E11</f>
        <v>ESTRADA ARELLANO ARTURO</v>
      </c>
      <c r="D21" s="375" t="str">
        <f>+'ESTRADA ARELLANO ARTURO'!E12</f>
        <v>F-017</v>
      </c>
      <c r="E21" s="376">
        <f>+COUNT('ESTRADA ARELLANO ARTURO'!C19:C32)</f>
        <v>0</v>
      </c>
      <c r="F21" s="381">
        <f>SUMIF('ESTRADA ARELLANO ARTURO'!N$19:N$32,1,'ESTRADA ARELLANO ARTURO'!J$19:J$32)</f>
        <v>0</v>
      </c>
      <c r="G21" s="153">
        <f>SUMIF('ESTRADA ARELLANO ARTURO'!N$19:N$32,2,'ESTRADA ARELLANO ARTURO'!J$19:J$32)</f>
        <v>0</v>
      </c>
      <c r="H21" s="376">
        <f>SUMIF('ESTRADA ARELLANO ARTURO'!N$19:N$32,3,'ESTRADA ARELLANO ARTURO'!J$19:J$32)</f>
        <v>0</v>
      </c>
      <c r="I21" s="389">
        <f t="shared" si="0"/>
        <v>0</v>
      </c>
      <c r="J21" s="152">
        <f>+'ESTRADA ARELLANO ARTURO'!J16</f>
        <v>0</v>
      </c>
      <c r="K21" s="231" t="e">
        <f>SUM('ESTRADA ARELLANO ARTURO'!S19:S32)</f>
        <v>#N/A</v>
      </c>
      <c r="L21" s="147" t="e">
        <f t="shared" si="1"/>
        <v>#DIV/0!</v>
      </c>
      <c r="M21" s="361">
        <f>+COUNTIF('ESTRADA ARELLANO ARTURO'!N19:N32,1)</f>
        <v>0</v>
      </c>
      <c r="N21" s="149">
        <f>+COUNTIF('ESTRADA ARELLANO ARTURO'!N19:N32,2)</f>
        <v>0</v>
      </c>
      <c r="O21" s="150">
        <f>+COUNTIF('ESTRADA ARELLANO ARTURO'!N19:N32,3)</f>
        <v>0</v>
      </c>
    </row>
    <row r="22" spans="2:15" s="143" customFormat="1" ht="15" x14ac:dyDescent="0.2">
      <c r="B22" s="228">
        <v>19</v>
      </c>
      <c r="C22" s="358" t="str">
        <f>+'RUIZ ALVARADO PEDRO'!E11</f>
        <v>RUIZ ALVARADO PEDRO</v>
      </c>
      <c r="D22" s="377" t="str">
        <f>+'RUIZ ALVARADO PEDRO'!E12</f>
        <v>F-035</v>
      </c>
      <c r="E22" s="373">
        <f>+COUNT('RUIZ ALVARADO PEDRO'!C19:C24)</f>
        <v>2</v>
      </c>
      <c r="F22" s="380">
        <f>SUMIF('RUIZ ALVARADO PEDRO'!N$19:N$24,1,'RUIZ ALVARADO PEDRO'!J$19:J$24)</f>
        <v>3063</v>
      </c>
      <c r="G22" s="151">
        <f>SUMIF('RUIZ ALVARADO PEDRO'!N$19:N$24,2,'RUIZ ALVARADO PEDRO'!J$19:J$24)</f>
        <v>1021</v>
      </c>
      <c r="H22" s="373">
        <f>SUMIF('RUIZ ALVARADO PEDRO'!N$19:N$24,3,'RUIZ ALVARADO PEDRO'!J$19:J$24)</f>
        <v>0</v>
      </c>
      <c r="I22" s="389">
        <f t="shared" si="0"/>
        <v>4084</v>
      </c>
      <c r="J22" s="152">
        <f>+'RUIZ ALVARADO PEDRO'!J16</f>
        <v>1231.904</v>
      </c>
      <c r="K22" s="231">
        <f>SUM('RUIZ ALVARADO PEDRO'!S19:S24)</f>
        <v>338.09834500839975</v>
      </c>
      <c r="L22" s="147">
        <f t="shared" si="1"/>
        <v>3.3151933916928593</v>
      </c>
      <c r="M22" s="361">
        <f>+COUNTIF('RUIZ ALVARADO PEDRO'!N19:N24,1)</f>
        <v>3</v>
      </c>
      <c r="N22" s="149">
        <f>+COUNTIF('RUIZ ALVARADO PEDRO'!N19:N24,2)</f>
        <v>1</v>
      </c>
      <c r="O22" s="150">
        <f>+COUNTIF('RUIZ ALVARADO PEDRO'!N19:N24,3)</f>
        <v>0</v>
      </c>
    </row>
    <row r="23" spans="2:15" s="143" customFormat="1" ht="30" x14ac:dyDescent="0.2">
      <c r="B23" s="228">
        <v>20</v>
      </c>
      <c r="C23" s="358" t="str">
        <f>+'GRIJALVA VALDEZ CESAR EUSEBIO'!E11</f>
        <v>GRIJALVA VALDEZ CESAR EUSEBIO</v>
      </c>
      <c r="D23" s="372" t="str">
        <f>+'GRIJALVA VALDEZ CESAR EUSEBIO'!E12</f>
        <v>F-111 F-1117</v>
      </c>
      <c r="E23" s="373">
        <f>+COUNT('GRIJALVA VALDEZ CESAR EUSEBIO'!C19:C27)</f>
        <v>0</v>
      </c>
      <c r="F23" s="380">
        <f>SUMIF('GRIJALVA VALDEZ CESAR EUSEBIO'!N$19:N$27,1,'GRIJALVA VALDEZ CESAR EUSEBIO'!J$19:J$27)</f>
        <v>0</v>
      </c>
      <c r="G23" s="151">
        <f>SUMIF('GRIJALVA VALDEZ CESAR EUSEBIO'!N$19:N$27,2,'GRIJALVA VALDEZ CESAR EUSEBIO'!J$19:J$27)</f>
        <v>0</v>
      </c>
      <c r="H23" s="373">
        <f>SUMIF('GRIJALVA VALDEZ CESAR EUSEBIO'!N$19:N$27,3,'GRIJALVA VALDEZ CESAR EUSEBIO'!J$19:J$27)</f>
        <v>0</v>
      </c>
      <c r="I23" s="389">
        <f t="shared" si="0"/>
        <v>0</v>
      </c>
      <c r="J23" s="152">
        <f>+'GRIJALVA VALDEZ CESAR EUSEBIO'!J16</f>
        <v>0</v>
      </c>
      <c r="K23" s="231" t="e">
        <f>SUM('GRIJALVA VALDEZ CESAR EUSEBIO'!S19:S27)</f>
        <v>#N/A</v>
      </c>
      <c r="L23" s="147" t="e">
        <f t="shared" si="1"/>
        <v>#DIV/0!</v>
      </c>
      <c r="M23" s="361">
        <f>+COUNTIF('GRIJALVA VALDEZ CESAR EUSEBIO'!N19:N27,1)</f>
        <v>0</v>
      </c>
      <c r="N23" s="149">
        <f>+COUNTIF('GRIJALVA VALDEZ CESAR EUSEBIO'!N19:N27,2)</f>
        <v>0</v>
      </c>
      <c r="O23" s="150">
        <f>+COUNTIF('GRIJALVA VALDEZ CESAR EUSEBIO'!N19:N27,3)</f>
        <v>0</v>
      </c>
    </row>
    <row r="24" spans="2:15" s="143" customFormat="1" ht="15" x14ac:dyDescent="0.2">
      <c r="B24" s="228">
        <v>21</v>
      </c>
      <c r="C24" s="358" t="str">
        <f>+'SANCHEZ GUERRERO JOSE LUIS'!E11</f>
        <v>SANCHEZ GUERRERO JOSE LUIS</v>
      </c>
      <c r="D24" s="374" t="str">
        <f>+'SANCHEZ GUERRERO JOSE LUIS'!E12</f>
        <v>F-026</v>
      </c>
      <c r="E24" s="373">
        <f>+COUNT('SANCHEZ GUERRERO JOSE LUIS'!C19:C32)</f>
        <v>0</v>
      </c>
      <c r="F24" s="380">
        <f>SUMIF('SANCHEZ GUERRERO JOSE LUIS'!N$19:N$32,1,'SANCHEZ GUERRERO JOSE LUIS'!J$19:J$32)+SUMIF('SANCHEZ GUERRERO JOSE LUIS'!N$19:N$32,1.1,'SANCHEZ GUERRERO JOSE LUIS'!J$19:J$32)</f>
        <v>0</v>
      </c>
      <c r="G24" s="151">
        <f>SUMIF('SANCHEZ GUERRERO JOSE LUIS'!N$19:N$32,2,'SANCHEZ GUERRERO JOSE LUIS'!J$19:J$32)</f>
        <v>0</v>
      </c>
      <c r="H24" s="373">
        <f>SUMIF('SANCHEZ GUERRERO JOSE LUIS'!N$19:N$32,3,'SANCHEZ GUERRERO JOSE LUIS'!J$19:J$32)</f>
        <v>0</v>
      </c>
      <c r="I24" s="389">
        <f t="shared" si="0"/>
        <v>0</v>
      </c>
      <c r="J24" s="152">
        <f>+'SANCHEZ GUERRERO JOSE LUIS'!J16</f>
        <v>0</v>
      </c>
      <c r="K24" s="231">
        <v>0</v>
      </c>
      <c r="L24" s="147" t="e">
        <f t="shared" si="1"/>
        <v>#DIV/0!</v>
      </c>
      <c r="M24" s="361">
        <f>+COUNTIF('SANCHEZ GUERRERO JOSE LUIS'!N19:N32,1)+COUNTIF('SANCHEZ GUERRERO JOSE LUIS'!N19:N32,1.1)</f>
        <v>0</v>
      </c>
      <c r="N24" s="149">
        <f>+COUNTIF('SANCHEZ GUERRERO JOSE LUIS'!N19:N32,2)</f>
        <v>0</v>
      </c>
      <c r="O24" s="150">
        <f>+COUNTIF('SANCHEZ GUERRERO JOSE LUIS'!N19:N32,3)</f>
        <v>0</v>
      </c>
    </row>
    <row r="25" spans="2:15" s="143" customFormat="1" ht="15" x14ac:dyDescent="0.2">
      <c r="B25" s="228">
        <v>22</v>
      </c>
      <c r="C25" s="359" t="str">
        <f>+'SALAZAR PEREZ JUAN CARLOS'!E11</f>
        <v>SALAZAR PEREZ JUAN CARLOS</v>
      </c>
      <c r="D25" s="375" t="str">
        <f>+'SALAZAR PEREZ JUAN CARLOS'!E12</f>
        <v>F-118</v>
      </c>
      <c r="E25" s="376">
        <f>+COUNT('SALAZAR PEREZ JUAN CARLOS'!C19:C30)</f>
        <v>0</v>
      </c>
      <c r="F25" s="381">
        <f>SUMIF('SALAZAR PEREZ JUAN CARLOS'!N$19:N$30,1,'SALAZAR PEREZ JUAN CARLOS'!J$19:J$30)</f>
        <v>0</v>
      </c>
      <c r="G25" s="153">
        <f>SUMIF('SALAZAR PEREZ JUAN CARLOS'!N$19:N$30,2,'SALAZAR PEREZ JUAN CARLOS'!J$19:J$30)</f>
        <v>0</v>
      </c>
      <c r="H25" s="376">
        <f>SUMIF('SALAZAR PEREZ JUAN CARLOS'!N$19:N$30,3,'SALAZAR PEREZ JUAN CARLOS'!J$19:J$30)</f>
        <v>0</v>
      </c>
      <c r="I25" s="389">
        <f t="shared" si="0"/>
        <v>0</v>
      </c>
      <c r="J25" s="152">
        <f>+'SALAZAR PEREZ JUAN CARLOS'!J16</f>
        <v>0</v>
      </c>
      <c r="K25" s="231">
        <f>SUM('SALAZAR PEREZ JUAN CARLOS'!S17:S28)</f>
        <v>0</v>
      </c>
      <c r="L25" s="147" t="e">
        <f t="shared" si="1"/>
        <v>#DIV/0!</v>
      </c>
      <c r="M25" s="361">
        <f>+COUNTIF('SALAZAR PEREZ JUAN CARLOS'!N19:N30,1)</f>
        <v>0</v>
      </c>
      <c r="N25" s="149">
        <f>+COUNTIF('SALAZAR PEREZ JUAN CARLOS'!N19:N30,2)</f>
        <v>0</v>
      </c>
      <c r="O25" s="150">
        <f>+COUNTIF('SALAZAR PEREZ JUAN CARLOS'!N19:N30,3)</f>
        <v>0</v>
      </c>
    </row>
    <row r="26" spans="2:15" s="143" customFormat="1" ht="15" x14ac:dyDescent="0.2">
      <c r="B26" s="228">
        <v>23</v>
      </c>
      <c r="C26" s="359" t="str">
        <f>+'GUZMAN MORALES'!E11</f>
        <v>GUZMAN MORALES ALFREDO</v>
      </c>
      <c r="D26" s="375" t="str">
        <f>+'GUZMAN MORALES'!E12</f>
        <v>F-029</v>
      </c>
      <c r="E26" s="376">
        <f>+COUNT('GUZMAN MORALES'!C19:C32)</f>
        <v>0</v>
      </c>
      <c r="F26" s="381">
        <f>SUMIF('GUZMAN MORALES'!N$19:N$32,1,'GUZMAN MORALES'!J$19:J$32)</f>
        <v>0</v>
      </c>
      <c r="G26" s="153">
        <f>SUMIF('GUZMAN MORALES'!N$19:N$32,2,'GUZMAN MORALES'!J$19:J$32)</f>
        <v>0</v>
      </c>
      <c r="H26" s="376">
        <f>SUMIF('GUZMAN MORALES'!N$19:N$32,3,'GUZMAN MORALES'!J$19:J$32)</f>
        <v>0</v>
      </c>
      <c r="I26" s="389">
        <f t="shared" si="0"/>
        <v>0</v>
      </c>
      <c r="J26" s="152">
        <f>+'GUZMAN MORALES'!J16</f>
        <v>0</v>
      </c>
      <c r="K26" s="231" t="e">
        <f>SUM('GUZMAN MORALES'!S19:S32)</f>
        <v>#DIV/0!</v>
      </c>
      <c r="L26" s="147" t="e">
        <f t="shared" si="1"/>
        <v>#DIV/0!</v>
      </c>
      <c r="M26" s="401">
        <f>+COUNTIF('GUZMAN MORALES'!N19:N32,1)</f>
        <v>0</v>
      </c>
      <c r="N26" s="149">
        <f>+COUNTIF('GUZMAN MORALES'!N19:N32,2)</f>
        <v>0</v>
      </c>
      <c r="O26" s="150">
        <f>+COUNTIF('GUZMAN MORALES'!N19:N32,3)</f>
        <v>0</v>
      </c>
    </row>
    <row r="27" spans="2:15" s="143" customFormat="1" ht="15.75" thickBot="1" x14ac:dyDescent="0.25">
      <c r="B27" s="228">
        <v>24</v>
      </c>
      <c r="C27" s="402" t="str">
        <f>+'TORRES GARAY LUIS HUMBERTO'!E11</f>
        <v>TORRES GARAY LUIS HUMBERTO</v>
      </c>
      <c r="D27" s="403" t="str">
        <f>+'TORRES GARAY LUIS HUMBERTO'!E12</f>
        <v>F-111</v>
      </c>
      <c r="E27" s="404">
        <f>COUNT('TORRES GARAY LUIS HUMBERTO'!C19:C30)</f>
        <v>1</v>
      </c>
      <c r="F27" s="381">
        <f>SUMIF('TORRES GARAY LUIS HUMBERTO'!N$19:N$30,1,'TORRES GARAY LUIS HUMBERTO'!J$19:J$30)+SUMIF('TORRES GARAY LUIS HUMBERTO'!N$19:N$30,1.1,'TORRES GARAY LUIS HUMBERTO'!J$19:J$30)</f>
        <v>2660</v>
      </c>
      <c r="G27" s="153">
        <f>SUMIF('TORRES GARAY LUIS HUMBERTO'!N$19:N$30,2,'TORRES GARAY LUIS HUMBERTO'!J$19:J$30)</f>
        <v>0</v>
      </c>
      <c r="H27" s="376">
        <f>SUMIF('TORRES GARAY LUIS HUMBERTO'!N$19:N$30,3,'TORRES GARAY LUIS HUMBERTO'!J$19:J$30)</f>
        <v>0</v>
      </c>
      <c r="I27" s="390">
        <f t="shared" si="0"/>
        <v>2660</v>
      </c>
      <c r="J27" s="152">
        <f>+'TORRES GARAY LUIS HUMBERTO'!J16</f>
        <v>810.29600000000005</v>
      </c>
      <c r="K27" s="231">
        <v>0</v>
      </c>
      <c r="L27" s="147">
        <f t="shared" si="1"/>
        <v>3.2827509946982336</v>
      </c>
      <c r="M27" s="361">
        <f>+COUNTIF('TORRES GARAY LUIS HUMBERTO'!N19:N30,1)+COUNTIF('TORRES GARAY LUIS HUMBERTO'!N19:N30,1.1)+COUNTIF('TORRES GARAY LUIS HUMBERTO'!N19:N30,1.2)</f>
        <v>2</v>
      </c>
      <c r="N27" s="149">
        <f>+COUNTIF('TORRES GARAY LUIS HUMBERTO'!N19:N30,2)+COUNTIF('TORRES GARAY LUIS HUMBERTO'!N19:N30,2.1)+COUNTIF('TORRES GARAY LUIS HUMBERTO'!N19:N30,2.2)</f>
        <v>0</v>
      </c>
      <c r="O27" s="150">
        <f>+COUNTIF('TORRES GARAY LUIS HUMBERTO'!N19:N30,3)+COUNTIF('TORRES GARAY LUIS HUMBERTO'!N19:N30,3.1)+COUNTIF('TORRES GARAY LUIS HUMBERTO'!N19:N30,3.2)</f>
        <v>0</v>
      </c>
    </row>
    <row r="28" spans="2:15" s="143" customFormat="1" ht="16.5" thickBot="1" x14ac:dyDescent="0.3">
      <c r="B28" s="906" t="s">
        <v>84</v>
      </c>
      <c r="C28" s="907"/>
      <c r="D28" s="908"/>
      <c r="E28" s="360">
        <f>SUM(E4:E27)</f>
        <v>24</v>
      </c>
      <c r="F28" s="382">
        <f>SUM(F4:F27)</f>
        <v>46467</v>
      </c>
      <c r="G28" s="205">
        <f>SUM(G4:G27)</f>
        <v>6734</v>
      </c>
      <c r="H28" s="383">
        <f t="shared" ref="H28" si="2">SUM(H4:H27)</f>
        <v>420</v>
      </c>
      <c r="I28" s="391">
        <f>SUM(I4:I27)</f>
        <v>53621</v>
      </c>
      <c r="J28" s="206">
        <f>SUM(J4:J27)</f>
        <v>16054.372000000001</v>
      </c>
      <c r="K28" s="232" t="e">
        <f>SUM(K4:K27)</f>
        <v>#N/A</v>
      </c>
      <c r="L28" s="207">
        <f>I28/J28</f>
        <v>3.3399624725277324</v>
      </c>
      <c r="M28" s="364">
        <f>SUM(M4:M27)</f>
        <v>42</v>
      </c>
      <c r="N28" s="233">
        <f>SUM(N4:N27)</f>
        <v>9</v>
      </c>
      <c r="O28" s="234">
        <f>SUM(O4:O27)</f>
        <v>2</v>
      </c>
    </row>
  </sheetData>
  <sortState xmlns:xlrd2="http://schemas.microsoft.com/office/spreadsheetml/2017/richdata2" ref="C4:O27">
    <sortCondition ref="C4:C27"/>
  </sortState>
  <mergeCells count="2">
    <mergeCell ref="B2:O2"/>
    <mergeCell ref="B28:D28"/>
  </mergeCells>
  <pageMargins left="0.7" right="0.7" top="0.75" bottom="0.75" header="0.3" footer="0.3"/>
  <pageSetup paperSize="9" orientation="portrait" r:id="rId1"/>
  <ignoredErrors>
    <ignoredError sqref="L28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9"/>
  <dimension ref="A1:K75"/>
  <sheetViews>
    <sheetView zoomScaleNormal="100" workbookViewId="0">
      <selection activeCell="E3" sqref="E3:E69"/>
    </sheetView>
  </sheetViews>
  <sheetFormatPr baseColWidth="10" defaultColWidth="9.140625" defaultRowHeight="15" x14ac:dyDescent="0.25"/>
  <cols>
    <col min="1" max="1" width="9.140625" style="161" customWidth="1"/>
    <col min="2" max="2" width="10.85546875" style="172" bestFit="1" customWidth="1"/>
    <col min="3" max="3" width="11.42578125" style="172" bestFit="1" customWidth="1"/>
    <col min="4" max="4" width="10.85546875" style="192" bestFit="1" customWidth="1"/>
    <col min="5" max="5" width="13" style="172" customWidth="1"/>
    <col min="6" max="6" width="10.85546875" style="161" hidden="1" customWidth="1"/>
    <col min="7" max="7" width="11.7109375" style="161" hidden="1" customWidth="1"/>
    <col min="8" max="8" width="9.140625" style="161" hidden="1" customWidth="1"/>
    <col min="9" max="9" width="11.5703125" style="161" hidden="1" customWidth="1"/>
    <col min="10" max="10" width="13.85546875" style="161" customWidth="1"/>
    <col min="11" max="11" width="9.140625" style="161"/>
    <col min="12" max="12" width="9.140625" style="161" customWidth="1"/>
    <col min="13" max="13" width="11.28515625" style="161" bestFit="1" customWidth="1"/>
    <col min="14" max="258" width="9.140625" style="161"/>
    <col min="259" max="259" width="10.7109375" style="161" bestFit="1" customWidth="1"/>
    <col min="260" max="260" width="10" style="161" customWidth="1"/>
    <col min="261" max="261" width="13" style="161" customWidth="1"/>
    <col min="262" max="262" width="10.85546875" style="161" customWidth="1"/>
    <col min="263" max="263" width="11.7109375" style="161" customWidth="1"/>
    <col min="264" max="264" width="9.140625" style="161"/>
    <col min="265" max="265" width="11.5703125" style="161" customWidth="1"/>
    <col min="266" max="266" width="13.85546875" style="161" customWidth="1"/>
    <col min="267" max="514" width="9.140625" style="161"/>
    <col min="515" max="515" width="10.7109375" style="161" bestFit="1" customWidth="1"/>
    <col min="516" max="516" width="10" style="161" customWidth="1"/>
    <col min="517" max="517" width="13" style="161" customWidth="1"/>
    <col min="518" max="518" width="10.85546875" style="161" customWidth="1"/>
    <col min="519" max="519" width="11.7109375" style="161" customWidth="1"/>
    <col min="520" max="520" width="9.140625" style="161"/>
    <col min="521" max="521" width="11.5703125" style="161" customWidth="1"/>
    <col min="522" max="522" width="13.85546875" style="161" customWidth="1"/>
    <col min="523" max="770" width="9.140625" style="161"/>
    <col min="771" max="771" width="10.7109375" style="161" bestFit="1" customWidth="1"/>
    <col min="772" max="772" width="10" style="161" customWidth="1"/>
    <col min="773" max="773" width="13" style="161" customWidth="1"/>
    <col min="774" max="774" width="10.85546875" style="161" customWidth="1"/>
    <col min="775" max="775" width="11.7109375" style="161" customWidth="1"/>
    <col min="776" max="776" width="9.140625" style="161"/>
    <col min="777" max="777" width="11.5703125" style="161" customWidth="1"/>
    <col min="778" max="778" width="13.85546875" style="161" customWidth="1"/>
    <col min="779" max="1026" width="9.140625" style="161"/>
    <col min="1027" max="1027" width="10.7109375" style="161" bestFit="1" customWidth="1"/>
    <col min="1028" max="1028" width="10" style="161" customWidth="1"/>
    <col min="1029" max="1029" width="13" style="161" customWidth="1"/>
    <col min="1030" max="1030" width="10.85546875" style="161" customWidth="1"/>
    <col min="1031" max="1031" width="11.7109375" style="161" customWidth="1"/>
    <col min="1032" max="1032" width="9.140625" style="161"/>
    <col min="1033" max="1033" width="11.5703125" style="161" customWidth="1"/>
    <col min="1034" max="1034" width="13.85546875" style="161" customWidth="1"/>
    <col min="1035" max="1282" width="9.140625" style="161"/>
    <col min="1283" max="1283" width="10.7109375" style="161" bestFit="1" customWidth="1"/>
    <col min="1284" max="1284" width="10" style="161" customWidth="1"/>
    <col min="1285" max="1285" width="13" style="161" customWidth="1"/>
    <col min="1286" max="1286" width="10.85546875" style="161" customWidth="1"/>
    <col min="1287" max="1287" width="11.7109375" style="161" customWidth="1"/>
    <col min="1288" max="1288" width="9.140625" style="161"/>
    <col min="1289" max="1289" width="11.5703125" style="161" customWidth="1"/>
    <col min="1290" max="1290" width="13.85546875" style="161" customWidth="1"/>
    <col min="1291" max="1538" width="9.140625" style="161"/>
    <col min="1539" max="1539" width="10.7109375" style="161" bestFit="1" customWidth="1"/>
    <col min="1540" max="1540" width="10" style="161" customWidth="1"/>
    <col min="1541" max="1541" width="13" style="161" customWidth="1"/>
    <col min="1542" max="1542" width="10.85546875" style="161" customWidth="1"/>
    <col min="1543" max="1543" width="11.7109375" style="161" customWidth="1"/>
    <col min="1544" max="1544" width="9.140625" style="161"/>
    <col min="1545" max="1545" width="11.5703125" style="161" customWidth="1"/>
    <col min="1546" max="1546" width="13.85546875" style="161" customWidth="1"/>
    <col min="1547" max="1794" width="9.140625" style="161"/>
    <col min="1795" max="1795" width="10.7109375" style="161" bestFit="1" customWidth="1"/>
    <col min="1796" max="1796" width="10" style="161" customWidth="1"/>
    <col min="1797" max="1797" width="13" style="161" customWidth="1"/>
    <col min="1798" max="1798" width="10.85546875" style="161" customWidth="1"/>
    <col min="1799" max="1799" width="11.7109375" style="161" customWidth="1"/>
    <col min="1800" max="1800" width="9.140625" style="161"/>
    <col min="1801" max="1801" width="11.5703125" style="161" customWidth="1"/>
    <col min="1802" max="1802" width="13.85546875" style="161" customWidth="1"/>
    <col min="1803" max="2050" width="9.140625" style="161"/>
    <col min="2051" max="2051" width="10.7109375" style="161" bestFit="1" customWidth="1"/>
    <col min="2052" max="2052" width="10" style="161" customWidth="1"/>
    <col min="2053" max="2053" width="13" style="161" customWidth="1"/>
    <col min="2054" max="2054" width="10.85546875" style="161" customWidth="1"/>
    <col min="2055" max="2055" width="11.7109375" style="161" customWidth="1"/>
    <col min="2056" max="2056" width="9.140625" style="161"/>
    <col min="2057" max="2057" width="11.5703125" style="161" customWidth="1"/>
    <col min="2058" max="2058" width="13.85546875" style="161" customWidth="1"/>
    <col min="2059" max="2306" width="9.140625" style="161"/>
    <col min="2307" max="2307" width="10.7109375" style="161" bestFit="1" customWidth="1"/>
    <col min="2308" max="2308" width="10" style="161" customWidth="1"/>
    <col min="2309" max="2309" width="13" style="161" customWidth="1"/>
    <col min="2310" max="2310" width="10.85546875" style="161" customWidth="1"/>
    <col min="2311" max="2311" width="11.7109375" style="161" customWidth="1"/>
    <col min="2312" max="2312" width="9.140625" style="161"/>
    <col min="2313" max="2313" width="11.5703125" style="161" customWidth="1"/>
    <col min="2314" max="2314" width="13.85546875" style="161" customWidth="1"/>
    <col min="2315" max="2562" width="9.140625" style="161"/>
    <col min="2563" max="2563" width="10.7109375" style="161" bestFit="1" customWidth="1"/>
    <col min="2564" max="2564" width="10" style="161" customWidth="1"/>
    <col min="2565" max="2565" width="13" style="161" customWidth="1"/>
    <col min="2566" max="2566" width="10.85546875" style="161" customWidth="1"/>
    <col min="2567" max="2567" width="11.7109375" style="161" customWidth="1"/>
    <col min="2568" max="2568" width="9.140625" style="161"/>
    <col min="2569" max="2569" width="11.5703125" style="161" customWidth="1"/>
    <col min="2570" max="2570" width="13.85546875" style="161" customWidth="1"/>
    <col min="2571" max="2818" width="9.140625" style="161"/>
    <col min="2819" max="2819" width="10.7109375" style="161" bestFit="1" customWidth="1"/>
    <col min="2820" max="2820" width="10" style="161" customWidth="1"/>
    <col min="2821" max="2821" width="13" style="161" customWidth="1"/>
    <col min="2822" max="2822" width="10.85546875" style="161" customWidth="1"/>
    <col min="2823" max="2823" width="11.7109375" style="161" customWidth="1"/>
    <col min="2824" max="2824" width="9.140625" style="161"/>
    <col min="2825" max="2825" width="11.5703125" style="161" customWidth="1"/>
    <col min="2826" max="2826" width="13.85546875" style="161" customWidth="1"/>
    <col min="2827" max="3074" width="9.140625" style="161"/>
    <col min="3075" max="3075" width="10.7109375" style="161" bestFit="1" customWidth="1"/>
    <col min="3076" max="3076" width="10" style="161" customWidth="1"/>
    <col min="3077" max="3077" width="13" style="161" customWidth="1"/>
    <col min="3078" max="3078" width="10.85546875" style="161" customWidth="1"/>
    <col min="3079" max="3079" width="11.7109375" style="161" customWidth="1"/>
    <col min="3080" max="3080" width="9.140625" style="161"/>
    <col min="3081" max="3081" width="11.5703125" style="161" customWidth="1"/>
    <col min="3082" max="3082" width="13.85546875" style="161" customWidth="1"/>
    <col min="3083" max="3330" width="9.140625" style="161"/>
    <col min="3331" max="3331" width="10.7109375" style="161" bestFit="1" customWidth="1"/>
    <col min="3332" max="3332" width="10" style="161" customWidth="1"/>
    <col min="3333" max="3333" width="13" style="161" customWidth="1"/>
    <col min="3334" max="3334" width="10.85546875" style="161" customWidth="1"/>
    <col min="3335" max="3335" width="11.7109375" style="161" customWidth="1"/>
    <col min="3336" max="3336" width="9.140625" style="161"/>
    <col min="3337" max="3337" width="11.5703125" style="161" customWidth="1"/>
    <col min="3338" max="3338" width="13.85546875" style="161" customWidth="1"/>
    <col min="3339" max="3586" width="9.140625" style="161"/>
    <col min="3587" max="3587" width="10.7109375" style="161" bestFit="1" customWidth="1"/>
    <col min="3588" max="3588" width="10" style="161" customWidth="1"/>
    <col min="3589" max="3589" width="13" style="161" customWidth="1"/>
    <col min="3590" max="3590" width="10.85546875" style="161" customWidth="1"/>
    <col min="3591" max="3591" width="11.7109375" style="161" customWidth="1"/>
    <col min="3592" max="3592" width="9.140625" style="161"/>
    <col min="3593" max="3593" width="11.5703125" style="161" customWidth="1"/>
    <col min="3594" max="3594" width="13.85546875" style="161" customWidth="1"/>
    <col min="3595" max="3842" width="9.140625" style="161"/>
    <col min="3843" max="3843" width="10.7109375" style="161" bestFit="1" customWidth="1"/>
    <col min="3844" max="3844" width="10" style="161" customWidth="1"/>
    <col min="3845" max="3845" width="13" style="161" customWidth="1"/>
    <col min="3846" max="3846" width="10.85546875" style="161" customWidth="1"/>
    <col min="3847" max="3847" width="11.7109375" style="161" customWidth="1"/>
    <col min="3848" max="3848" width="9.140625" style="161"/>
    <col min="3849" max="3849" width="11.5703125" style="161" customWidth="1"/>
    <col min="3850" max="3850" width="13.85546875" style="161" customWidth="1"/>
    <col min="3851" max="4098" width="9.140625" style="161"/>
    <col min="4099" max="4099" width="10.7109375" style="161" bestFit="1" customWidth="1"/>
    <col min="4100" max="4100" width="10" style="161" customWidth="1"/>
    <col min="4101" max="4101" width="13" style="161" customWidth="1"/>
    <col min="4102" max="4102" width="10.85546875" style="161" customWidth="1"/>
    <col min="4103" max="4103" width="11.7109375" style="161" customWidth="1"/>
    <col min="4104" max="4104" width="9.140625" style="161"/>
    <col min="4105" max="4105" width="11.5703125" style="161" customWidth="1"/>
    <col min="4106" max="4106" width="13.85546875" style="161" customWidth="1"/>
    <col min="4107" max="4354" width="9.140625" style="161"/>
    <col min="4355" max="4355" width="10.7109375" style="161" bestFit="1" customWidth="1"/>
    <col min="4356" max="4356" width="10" style="161" customWidth="1"/>
    <col min="4357" max="4357" width="13" style="161" customWidth="1"/>
    <col min="4358" max="4358" width="10.85546875" style="161" customWidth="1"/>
    <col min="4359" max="4359" width="11.7109375" style="161" customWidth="1"/>
    <col min="4360" max="4360" width="9.140625" style="161"/>
    <col min="4361" max="4361" width="11.5703125" style="161" customWidth="1"/>
    <col min="4362" max="4362" width="13.85546875" style="161" customWidth="1"/>
    <col min="4363" max="4610" width="9.140625" style="161"/>
    <col min="4611" max="4611" width="10.7109375" style="161" bestFit="1" customWidth="1"/>
    <col min="4612" max="4612" width="10" style="161" customWidth="1"/>
    <col min="4613" max="4613" width="13" style="161" customWidth="1"/>
    <col min="4614" max="4614" width="10.85546875" style="161" customWidth="1"/>
    <col min="4615" max="4615" width="11.7109375" style="161" customWidth="1"/>
    <col min="4616" max="4616" width="9.140625" style="161"/>
    <col min="4617" max="4617" width="11.5703125" style="161" customWidth="1"/>
    <col min="4618" max="4618" width="13.85546875" style="161" customWidth="1"/>
    <col min="4619" max="4866" width="9.140625" style="161"/>
    <col min="4867" max="4867" width="10.7109375" style="161" bestFit="1" customWidth="1"/>
    <col min="4868" max="4868" width="10" style="161" customWidth="1"/>
    <col min="4869" max="4869" width="13" style="161" customWidth="1"/>
    <col min="4870" max="4870" width="10.85546875" style="161" customWidth="1"/>
    <col min="4871" max="4871" width="11.7109375" style="161" customWidth="1"/>
    <col min="4872" max="4872" width="9.140625" style="161"/>
    <col min="4873" max="4873" width="11.5703125" style="161" customWidth="1"/>
    <col min="4874" max="4874" width="13.85546875" style="161" customWidth="1"/>
    <col min="4875" max="5122" width="9.140625" style="161"/>
    <col min="5123" max="5123" width="10.7109375" style="161" bestFit="1" customWidth="1"/>
    <col min="5124" max="5124" width="10" style="161" customWidth="1"/>
    <col min="5125" max="5125" width="13" style="161" customWidth="1"/>
    <col min="5126" max="5126" width="10.85546875" style="161" customWidth="1"/>
    <col min="5127" max="5127" width="11.7109375" style="161" customWidth="1"/>
    <col min="5128" max="5128" width="9.140625" style="161"/>
    <col min="5129" max="5129" width="11.5703125" style="161" customWidth="1"/>
    <col min="5130" max="5130" width="13.85546875" style="161" customWidth="1"/>
    <col min="5131" max="5378" width="9.140625" style="161"/>
    <col min="5379" max="5379" width="10.7109375" style="161" bestFit="1" customWidth="1"/>
    <col min="5380" max="5380" width="10" style="161" customWidth="1"/>
    <col min="5381" max="5381" width="13" style="161" customWidth="1"/>
    <col min="5382" max="5382" width="10.85546875" style="161" customWidth="1"/>
    <col min="5383" max="5383" width="11.7109375" style="161" customWidth="1"/>
    <col min="5384" max="5384" width="9.140625" style="161"/>
    <col min="5385" max="5385" width="11.5703125" style="161" customWidth="1"/>
    <col min="5386" max="5386" width="13.85546875" style="161" customWidth="1"/>
    <col min="5387" max="5634" width="9.140625" style="161"/>
    <col min="5635" max="5635" width="10.7109375" style="161" bestFit="1" customWidth="1"/>
    <col min="5636" max="5636" width="10" style="161" customWidth="1"/>
    <col min="5637" max="5637" width="13" style="161" customWidth="1"/>
    <col min="5638" max="5638" width="10.85546875" style="161" customWidth="1"/>
    <col min="5639" max="5639" width="11.7109375" style="161" customWidth="1"/>
    <col min="5640" max="5640" width="9.140625" style="161"/>
    <col min="5641" max="5641" width="11.5703125" style="161" customWidth="1"/>
    <col min="5642" max="5642" width="13.85546875" style="161" customWidth="1"/>
    <col min="5643" max="5890" width="9.140625" style="161"/>
    <col min="5891" max="5891" width="10.7109375" style="161" bestFit="1" customWidth="1"/>
    <col min="5892" max="5892" width="10" style="161" customWidth="1"/>
    <col min="5893" max="5893" width="13" style="161" customWidth="1"/>
    <col min="5894" max="5894" width="10.85546875" style="161" customWidth="1"/>
    <col min="5895" max="5895" width="11.7109375" style="161" customWidth="1"/>
    <col min="5896" max="5896" width="9.140625" style="161"/>
    <col min="5897" max="5897" width="11.5703125" style="161" customWidth="1"/>
    <col min="5898" max="5898" width="13.85546875" style="161" customWidth="1"/>
    <col min="5899" max="6146" width="9.140625" style="161"/>
    <col min="6147" max="6147" width="10.7109375" style="161" bestFit="1" customWidth="1"/>
    <col min="6148" max="6148" width="10" style="161" customWidth="1"/>
    <col min="6149" max="6149" width="13" style="161" customWidth="1"/>
    <col min="6150" max="6150" width="10.85546875" style="161" customWidth="1"/>
    <col min="6151" max="6151" width="11.7109375" style="161" customWidth="1"/>
    <col min="6152" max="6152" width="9.140625" style="161"/>
    <col min="6153" max="6153" width="11.5703125" style="161" customWidth="1"/>
    <col min="6154" max="6154" width="13.85546875" style="161" customWidth="1"/>
    <col min="6155" max="6402" width="9.140625" style="161"/>
    <col min="6403" max="6403" width="10.7109375" style="161" bestFit="1" customWidth="1"/>
    <col min="6404" max="6404" width="10" style="161" customWidth="1"/>
    <col min="6405" max="6405" width="13" style="161" customWidth="1"/>
    <col min="6406" max="6406" width="10.85546875" style="161" customWidth="1"/>
    <col min="6407" max="6407" width="11.7109375" style="161" customWidth="1"/>
    <col min="6408" max="6408" width="9.140625" style="161"/>
    <col min="6409" max="6409" width="11.5703125" style="161" customWidth="1"/>
    <col min="6410" max="6410" width="13.85546875" style="161" customWidth="1"/>
    <col min="6411" max="6658" width="9.140625" style="161"/>
    <col min="6659" max="6659" width="10.7109375" style="161" bestFit="1" customWidth="1"/>
    <col min="6660" max="6660" width="10" style="161" customWidth="1"/>
    <col min="6661" max="6661" width="13" style="161" customWidth="1"/>
    <col min="6662" max="6662" width="10.85546875" style="161" customWidth="1"/>
    <col min="6663" max="6663" width="11.7109375" style="161" customWidth="1"/>
    <col min="6664" max="6664" width="9.140625" style="161"/>
    <col min="6665" max="6665" width="11.5703125" style="161" customWidth="1"/>
    <col min="6666" max="6666" width="13.85546875" style="161" customWidth="1"/>
    <col min="6667" max="6914" width="9.140625" style="161"/>
    <col min="6915" max="6915" width="10.7109375" style="161" bestFit="1" customWidth="1"/>
    <col min="6916" max="6916" width="10" style="161" customWidth="1"/>
    <col min="6917" max="6917" width="13" style="161" customWidth="1"/>
    <col min="6918" max="6918" width="10.85546875" style="161" customWidth="1"/>
    <col min="6919" max="6919" width="11.7109375" style="161" customWidth="1"/>
    <col min="6920" max="6920" width="9.140625" style="161"/>
    <col min="6921" max="6921" width="11.5703125" style="161" customWidth="1"/>
    <col min="6922" max="6922" width="13.85546875" style="161" customWidth="1"/>
    <col min="6923" max="7170" width="9.140625" style="161"/>
    <col min="7171" max="7171" width="10.7109375" style="161" bestFit="1" customWidth="1"/>
    <col min="7172" max="7172" width="10" style="161" customWidth="1"/>
    <col min="7173" max="7173" width="13" style="161" customWidth="1"/>
    <col min="7174" max="7174" width="10.85546875" style="161" customWidth="1"/>
    <col min="7175" max="7175" width="11.7109375" style="161" customWidth="1"/>
    <col min="7176" max="7176" width="9.140625" style="161"/>
    <col min="7177" max="7177" width="11.5703125" style="161" customWidth="1"/>
    <col min="7178" max="7178" width="13.85546875" style="161" customWidth="1"/>
    <col min="7179" max="7426" width="9.140625" style="161"/>
    <col min="7427" max="7427" width="10.7109375" style="161" bestFit="1" customWidth="1"/>
    <col min="7428" max="7428" width="10" style="161" customWidth="1"/>
    <col min="7429" max="7429" width="13" style="161" customWidth="1"/>
    <col min="7430" max="7430" width="10.85546875" style="161" customWidth="1"/>
    <col min="7431" max="7431" width="11.7109375" style="161" customWidth="1"/>
    <col min="7432" max="7432" width="9.140625" style="161"/>
    <col min="7433" max="7433" width="11.5703125" style="161" customWidth="1"/>
    <col min="7434" max="7434" width="13.85546875" style="161" customWidth="1"/>
    <col min="7435" max="7682" width="9.140625" style="161"/>
    <col min="7683" max="7683" width="10.7109375" style="161" bestFit="1" customWidth="1"/>
    <col min="7684" max="7684" width="10" style="161" customWidth="1"/>
    <col min="7685" max="7685" width="13" style="161" customWidth="1"/>
    <col min="7686" max="7686" width="10.85546875" style="161" customWidth="1"/>
    <col min="7687" max="7687" width="11.7109375" style="161" customWidth="1"/>
    <col min="7688" max="7688" width="9.140625" style="161"/>
    <col min="7689" max="7689" width="11.5703125" style="161" customWidth="1"/>
    <col min="7690" max="7690" width="13.85546875" style="161" customWidth="1"/>
    <col min="7691" max="7938" width="9.140625" style="161"/>
    <col min="7939" max="7939" width="10.7109375" style="161" bestFit="1" customWidth="1"/>
    <col min="7940" max="7940" width="10" style="161" customWidth="1"/>
    <col min="7941" max="7941" width="13" style="161" customWidth="1"/>
    <col min="7942" max="7942" width="10.85546875" style="161" customWidth="1"/>
    <col min="7943" max="7943" width="11.7109375" style="161" customWidth="1"/>
    <col min="7944" max="7944" width="9.140625" style="161"/>
    <col min="7945" max="7945" width="11.5703125" style="161" customWidth="1"/>
    <col min="7946" max="7946" width="13.85546875" style="161" customWidth="1"/>
    <col min="7947" max="8194" width="9.140625" style="161"/>
    <col min="8195" max="8195" width="10.7109375" style="161" bestFit="1" customWidth="1"/>
    <col min="8196" max="8196" width="10" style="161" customWidth="1"/>
    <col min="8197" max="8197" width="13" style="161" customWidth="1"/>
    <col min="8198" max="8198" width="10.85546875" style="161" customWidth="1"/>
    <col min="8199" max="8199" width="11.7109375" style="161" customWidth="1"/>
    <col min="8200" max="8200" width="9.140625" style="161"/>
    <col min="8201" max="8201" width="11.5703125" style="161" customWidth="1"/>
    <col min="8202" max="8202" width="13.85546875" style="161" customWidth="1"/>
    <col min="8203" max="8450" width="9.140625" style="161"/>
    <col min="8451" max="8451" width="10.7109375" style="161" bestFit="1" customWidth="1"/>
    <col min="8452" max="8452" width="10" style="161" customWidth="1"/>
    <col min="8453" max="8453" width="13" style="161" customWidth="1"/>
    <col min="8454" max="8454" width="10.85546875" style="161" customWidth="1"/>
    <col min="8455" max="8455" width="11.7109375" style="161" customWidth="1"/>
    <col min="8456" max="8456" width="9.140625" style="161"/>
    <col min="8457" max="8457" width="11.5703125" style="161" customWidth="1"/>
    <col min="8458" max="8458" width="13.85546875" style="161" customWidth="1"/>
    <col min="8459" max="8706" width="9.140625" style="161"/>
    <col min="8707" max="8707" width="10.7109375" style="161" bestFit="1" customWidth="1"/>
    <col min="8708" max="8708" width="10" style="161" customWidth="1"/>
    <col min="8709" max="8709" width="13" style="161" customWidth="1"/>
    <col min="8710" max="8710" width="10.85546875" style="161" customWidth="1"/>
    <col min="8711" max="8711" width="11.7109375" style="161" customWidth="1"/>
    <col min="8712" max="8712" width="9.140625" style="161"/>
    <col min="8713" max="8713" width="11.5703125" style="161" customWidth="1"/>
    <col min="8714" max="8714" width="13.85546875" style="161" customWidth="1"/>
    <col min="8715" max="8962" width="9.140625" style="161"/>
    <col min="8963" max="8963" width="10.7109375" style="161" bestFit="1" customWidth="1"/>
    <col min="8964" max="8964" width="10" style="161" customWidth="1"/>
    <col min="8965" max="8965" width="13" style="161" customWidth="1"/>
    <col min="8966" max="8966" width="10.85546875" style="161" customWidth="1"/>
    <col min="8967" max="8967" width="11.7109375" style="161" customWidth="1"/>
    <col min="8968" max="8968" width="9.140625" style="161"/>
    <col min="8969" max="8969" width="11.5703125" style="161" customWidth="1"/>
    <col min="8970" max="8970" width="13.85546875" style="161" customWidth="1"/>
    <col min="8971" max="9218" width="9.140625" style="161"/>
    <col min="9219" max="9219" width="10.7109375" style="161" bestFit="1" customWidth="1"/>
    <col min="9220" max="9220" width="10" style="161" customWidth="1"/>
    <col min="9221" max="9221" width="13" style="161" customWidth="1"/>
    <col min="9222" max="9222" width="10.85546875" style="161" customWidth="1"/>
    <col min="9223" max="9223" width="11.7109375" style="161" customWidth="1"/>
    <col min="9224" max="9224" width="9.140625" style="161"/>
    <col min="9225" max="9225" width="11.5703125" style="161" customWidth="1"/>
    <col min="9226" max="9226" width="13.85546875" style="161" customWidth="1"/>
    <col min="9227" max="9474" width="9.140625" style="161"/>
    <col min="9475" max="9475" width="10.7109375" style="161" bestFit="1" customWidth="1"/>
    <col min="9476" max="9476" width="10" style="161" customWidth="1"/>
    <col min="9477" max="9477" width="13" style="161" customWidth="1"/>
    <col min="9478" max="9478" width="10.85546875" style="161" customWidth="1"/>
    <col min="9479" max="9479" width="11.7109375" style="161" customWidth="1"/>
    <col min="9480" max="9480" width="9.140625" style="161"/>
    <col min="9481" max="9481" width="11.5703125" style="161" customWidth="1"/>
    <col min="9482" max="9482" width="13.85546875" style="161" customWidth="1"/>
    <col min="9483" max="9730" width="9.140625" style="161"/>
    <col min="9731" max="9731" width="10.7109375" style="161" bestFit="1" customWidth="1"/>
    <col min="9732" max="9732" width="10" style="161" customWidth="1"/>
    <col min="9733" max="9733" width="13" style="161" customWidth="1"/>
    <col min="9734" max="9734" width="10.85546875" style="161" customWidth="1"/>
    <col min="9735" max="9735" width="11.7109375" style="161" customWidth="1"/>
    <col min="9736" max="9736" width="9.140625" style="161"/>
    <col min="9737" max="9737" width="11.5703125" style="161" customWidth="1"/>
    <col min="9738" max="9738" width="13.85546875" style="161" customWidth="1"/>
    <col min="9739" max="9986" width="9.140625" style="161"/>
    <col min="9987" max="9987" width="10.7109375" style="161" bestFit="1" customWidth="1"/>
    <col min="9988" max="9988" width="10" style="161" customWidth="1"/>
    <col min="9989" max="9989" width="13" style="161" customWidth="1"/>
    <col min="9990" max="9990" width="10.85546875" style="161" customWidth="1"/>
    <col min="9991" max="9991" width="11.7109375" style="161" customWidth="1"/>
    <col min="9992" max="9992" width="9.140625" style="161"/>
    <col min="9993" max="9993" width="11.5703125" style="161" customWidth="1"/>
    <col min="9994" max="9994" width="13.85546875" style="161" customWidth="1"/>
    <col min="9995" max="10242" width="9.140625" style="161"/>
    <col min="10243" max="10243" width="10.7109375" style="161" bestFit="1" customWidth="1"/>
    <col min="10244" max="10244" width="10" style="161" customWidth="1"/>
    <col min="10245" max="10245" width="13" style="161" customWidth="1"/>
    <col min="10246" max="10246" width="10.85546875" style="161" customWidth="1"/>
    <col min="10247" max="10247" width="11.7109375" style="161" customWidth="1"/>
    <col min="10248" max="10248" width="9.140625" style="161"/>
    <col min="10249" max="10249" width="11.5703125" style="161" customWidth="1"/>
    <col min="10250" max="10250" width="13.85546875" style="161" customWidth="1"/>
    <col min="10251" max="10498" width="9.140625" style="161"/>
    <col min="10499" max="10499" width="10.7109375" style="161" bestFit="1" customWidth="1"/>
    <col min="10500" max="10500" width="10" style="161" customWidth="1"/>
    <col min="10501" max="10501" width="13" style="161" customWidth="1"/>
    <col min="10502" max="10502" width="10.85546875" style="161" customWidth="1"/>
    <col min="10503" max="10503" width="11.7109375" style="161" customWidth="1"/>
    <col min="10504" max="10504" width="9.140625" style="161"/>
    <col min="10505" max="10505" width="11.5703125" style="161" customWidth="1"/>
    <col min="10506" max="10506" width="13.85546875" style="161" customWidth="1"/>
    <col min="10507" max="10754" width="9.140625" style="161"/>
    <col min="10755" max="10755" width="10.7109375" style="161" bestFit="1" customWidth="1"/>
    <col min="10756" max="10756" width="10" style="161" customWidth="1"/>
    <col min="10757" max="10757" width="13" style="161" customWidth="1"/>
    <col min="10758" max="10758" width="10.85546875" style="161" customWidth="1"/>
    <col min="10759" max="10759" width="11.7109375" style="161" customWidth="1"/>
    <col min="10760" max="10760" width="9.140625" style="161"/>
    <col min="10761" max="10761" width="11.5703125" style="161" customWidth="1"/>
    <col min="10762" max="10762" width="13.85546875" style="161" customWidth="1"/>
    <col min="10763" max="11010" width="9.140625" style="161"/>
    <col min="11011" max="11011" width="10.7109375" style="161" bestFit="1" customWidth="1"/>
    <col min="11012" max="11012" width="10" style="161" customWidth="1"/>
    <col min="11013" max="11013" width="13" style="161" customWidth="1"/>
    <col min="11014" max="11014" width="10.85546875" style="161" customWidth="1"/>
    <col min="11015" max="11015" width="11.7109375" style="161" customWidth="1"/>
    <col min="11016" max="11016" width="9.140625" style="161"/>
    <col min="11017" max="11017" width="11.5703125" style="161" customWidth="1"/>
    <col min="11018" max="11018" width="13.85546875" style="161" customWidth="1"/>
    <col min="11019" max="11266" width="9.140625" style="161"/>
    <col min="11267" max="11267" width="10.7109375" style="161" bestFit="1" customWidth="1"/>
    <col min="11268" max="11268" width="10" style="161" customWidth="1"/>
    <col min="11269" max="11269" width="13" style="161" customWidth="1"/>
    <col min="11270" max="11270" width="10.85546875" style="161" customWidth="1"/>
    <col min="11271" max="11271" width="11.7109375" style="161" customWidth="1"/>
    <col min="11272" max="11272" width="9.140625" style="161"/>
    <col min="11273" max="11273" width="11.5703125" style="161" customWidth="1"/>
    <col min="11274" max="11274" width="13.85546875" style="161" customWidth="1"/>
    <col min="11275" max="11522" width="9.140625" style="161"/>
    <col min="11523" max="11523" width="10.7109375" style="161" bestFit="1" customWidth="1"/>
    <col min="11524" max="11524" width="10" style="161" customWidth="1"/>
    <col min="11525" max="11525" width="13" style="161" customWidth="1"/>
    <col min="11526" max="11526" width="10.85546875" style="161" customWidth="1"/>
    <col min="11527" max="11527" width="11.7109375" style="161" customWidth="1"/>
    <col min="11528" max="11528" width="9.140625" style="161"/>
    <col min="11529" max="11529" width="11.5703125" style="161" customWidth="1"/>
    <col min="11530" max="11530" width="13.85546875" style="161" customWidth="1"/>
    <col min="11531" max="11778" width="9.140625" style="161"/>
    <col min="11779" max="11779" width="10.7109375" style="161" bestFit="1" customWidth="1"/>
    <col min="11780" max="11780" width="10" style="161" customWidth="1"/>
    <col min="11781" max="11781" width="13" style="161" customWidth="1"/>
    <col min="11782" max="11782" width="10.85546875" style="161" customWidth="1"/>
    <col min="11783" max="11783" width="11.7109375" style="161" customWidth="1"/>
    <col min="11784" max="11784" width="9.140625" style="161"/>
    <col min="11785" max="11785" width="11.5703125" style="161" customWidth="1"/>
    <col min="11786" max="11786" width="13.85546875" style="161" customWidth="1"/>
    <col min="11787" max="12034" width="9.140625" style="161"/>
    <col min="12035" max="12035" width="10.7109375" style="161" bestFit="1" customWidth="1"/>
    <col min="12036" max="12036" width="10" style="161" customWidth="1"/>
    <col min="12037" max="12037" width="13" style="161" customWidth="1"/>
    <col min="12038" max="12038" width="10.85546875" style="161" customWidth="1"/>
    <col min="12039" max="12039" width="11.7109375" style="161" customWidth="1"/>
    <col min="12040" max="12040" width="9.140625" style="161"/>
    <col min="12041" max="12041" width="11.5703125" style="161" customWidth="1"/>
    <col min="12042" max="12042" width="13.85546875" style="161" customWidth="1"/>
    <col min="12043" max="12290" width="9.140625" style="161"/>
    <col min="12291" max="12291" width="10.7109375" style="161" bestFit="1" customWidth="1"/>
    <col min="12292" max="12292" width="10" style="161" customWidth="1"/>
    <col min="12293" max="12293" width="13" style="161" customWidth="1"/>
    <col min="12294" max="12294" width="10.85546875" style="161" customWidth="1"/>
    <col min="12295" max="12295" width="11.7109375" style="161" customWidth="1"/>
    <col min="12296" max="12296" width="9.140625" style="161"/>
    <col min="12297" max="12297" width="11.5703125" style="161" customWidth="1"/>
    <col min="12298" max="12298" width="13.85546875" style="161" customWidth="1"/>
    <col min="12299" max="12546" width="9.140625" style="161"/>
    <col min="12547" max="12547" width="10.7109375" style="161" bestFit="1" customWidth="1"/>
    <col min="12548" max="12548" width="10" style="161" customWidth="1"/>
    <col min="12549" max="12549" width="13" style="161" customWidth="1"/>
    <col min="12550" max="12550" width="10.85546875" style="161" customWidth="1"/>
    <col min="12551" max="12551" width="11.7109375" style="161" customWidth="1"/>
    <col min="12552" max="12552" width="9.140625" style="161"/>
    <col min="12553" max="12553" width="11.5703125" style="161" customWidth="1"/>
    <col min="12554" max="12554" width="13.85546875" style="161" customWidth="1"/>
    <col min="12555" max="12802" width="9.140625" style="161"/>
    <col min="12803" max="12803" width="10.7109375" style="161" bestFit="1" customWidth="1"/>
    <col min="12804" max="12804" width="10" style="161" customWidth="1"/>
    <col min="12805" max="12805" width="13" style="161" customWidth="1"/>
    <col min="12806" max="12806" width="10.85546875" style="161" customWidth="1"/>
    <col min="12807" max="12807" width="11.7109375" style="161" customWidth="1"/>
    <col min="12808" max="12808" width="9.140625" style="161"/>
    <col min="12809" max="12809" width="11.5703125" style="161" customWidth="1"/>
    <col min="12810" max="12810" width="13.85546875" style="161" customWidth="1"/>
    <col min="12811" max="13058" width="9.140625" style="161"/>
    <col min="13059" max="13059" width="10.7109375" style="161" bestFit="1" customWidth="1"/>
    <col min="13060" max="13060" width="10" style="161" customWidth="1"/>
    <col min="13061" max="13061" width="13" style="161" customWidth="1"/>
    <col min="13062" max="13062" width="10.85546875" style="161" customWidth="1"/>
    <col min="13063" max="13063" width="11.7109375" style="161" customWidth="1"/>
    <col min="13064" max="13064" width="9.140625" style="161"/>
    <col min="13065" max="13065" width="11.5703125" style="161" customWidth="1"/>
    <col min="13066" max="13066" width="13.85546875" style="161" customWidth="1"/>
    <col min="13067" max="13314" width="9.140625" style="161"/>
    <col min="13315" max="13315" width="10.7109375" style="161" bestFit="1" customWidth="1"/>
    <col min="13316" max="13316" width="10" style="161" customWidth="1"/>
    <col min="13317" max="13317" width="13" style="161" customWidth="1"/>
    <col min="13318" max="13318" width="10.85546875" style="161" customWidth="1"/>
    <col min="13319" max="13319" width="11.7109375" style="161" customWidth="1"/>
    <col min="13320" max="13320" width="9.140625" style="161"/>
    <col min="13321" max="13321" width="11.5703125" style="161" customWidth="1"/>
    <col min="13322" max="13322" width="13.85546875" style="161" customWidth="1"/>
    <col min="13323" max="13570" width="9.140625" style="161"/>
    <col min="13571" max="13571" width="10.7109375" style="161" bestFit="1" customWidth="1"/>
    <col min="13572" max="13572" width="10" style="161" customWidth="1"/>
    <col min="13573" max="13573" width="13" style="161" customWidth="1"/>
    <col min="13574" max="13574" width="10.85546875" style="161" customWidth="1"/>
    <col min="13575" max="13575" width="11.7109375" style="161" customWidth="1"/>
    <col min="13576" max="13576" width="9.140625" style="161"/>
    <col min="13577" max="13577" width="11.5703125" style="161" customWidth="1"/>
    <col min="13578" max="13578" width="13.85546875" style="161" customWidth="1"/>
    <col min="13579" max="13826" width="9.140625" style="161"/>
    <col min="13827" max="13827" width="10.7109375" style="161" bestFit="1" customWidth="1"/>
    <col min="13828" max="13828" width="10" style="161" customWidth="1"/>
    <col min="13829" max="13829" width="13" style="161" customWidth="1"/>
    <col min="13830" max="13830" width="10.85546875" style="161" customWidth="1"/>
    <col min="13831" max="13831" width="11.7109375" style="161" customWidth="1"/>
    <col min="13832" max="13832" width="9.140625" style="161"/>
    <col min="13833" max="13833" width="11.5703125" style="161" customWidth="1"/>
    <col min="13834" max="13834" width="13.85546875" style="161" customWidth="1"/>
    <col min="13835" max="14082" width="9.140625" style="161"/>
    <col min="14083" max="14083" width="10.7109375" style="161" bestFit="1" customWidth="1"/>
    <col min="14084" max="14084" width="10" style="161" customWidth="1"/>
    <col min="14085" max="14085" width="13" style="161" customWidth="1"/>
    <col min="14086" max="14086" width="10.85546875" style="161" customWidth="1"/>
    <col min="14087" max="14087" width="11.7109375" style="161" customWidth="1"/>
    <col min="14088" max="14088" width="9.140625" style="161"/>
    <col min="14089" max="14089" width="11.5703125" style="161" customWidth="1"/>
    <col min="14090" max="14090" width="13.85546875" style="161" customWidth="1"/>
    <col min="14091" max="14338" width="9.140625" style="161"/>
    <col min="14339" max="14339" width="10.7109375" style="161" bestFit="1" customWidth="1"/>
    <col min="14340" max="14340" width="10" style="161" customWidth="1"/>
    <col min="14341" max="14341" width="13" style="161" customWidth="1"/>
    <col min="14342" max="14342" width="10.85546875" style="161" customWidth="1"/>
    <col min="14343" max="14343" width="11.7109375" style="161" customWidth="1"/>
    <col min="14344" max="14344" width="9.140625" style="161"/>
    <col min="14345" max="14345" width="11.5703125" style="161" customWidth="1"/>
    <col min="14346" max="14346" width="13.85546875" style="161" customWidth="1"/>
    <col min="14347" max="14594" width="9.140625" style="161"/>
    <col min="14595" max="14595" width="10.7109375" style="161" bestFit="1" customWidth="1"/>
    <col min="14596" max="14596" width="10" style="161" customWidth="1"/>
    <col min="14597" max="14597" width="13" style="161" customWidth="1"/>
    <col min="14598" max="14598" width="10.85546875" style="161" customWidth="1"/>
    <col min="14599" max="14599" width="11.7109375" style="161" customWidth="1"/>
    <col min="14600" max="14600" width="9.140625" style="161"/>
    <col min="14601" max="14601" width="11.5703125" style="161" customWidth="1"/>
    <col min="14602" max="14602" width="13.85546875" style="161" customWidth="1"/>
    <col min="14603" max="14850" width="9.140625" style="161"/>
    <col min="14851" max="14851" width="10.7109375" style="161" bestFit="1" customWidth="1"/>
    <col min="14852" max="14852" width="10" style="161" customWidth="1"/>
    <col min="14853" max="14853" width="13" style="161" customWidth="1"/>
    <col min="14854" max="14854" width="10.85546875" style="161" customWidth="1"/>
    <col min="14855" max="14855" width="11.7109375" style="161" customWidth="1"/>
    <col min="14856" max="14856" width="9.140625" style="161"/>
    <col min="14857" max="14857" width="11.5703125" style="161" customWidth="1"/>
    <col min="14858" max="14858" width="13.85546875" style="161" customWidth="1"/>
    <col min="14859" max="15106" width="9.140625" style="161"/>
    <col min="15107" max="15107" width="10.7109375" style="161" bestFit="1" customWidth="1"/>
    <col min="15108" max="15108" width="10" style="161" customWidth="1"/>
    <col min="15109" max="15109" width="13" style="161" customWidth="1"/>
    <col min="15110" max="15110" width="10.85546875" style="161" customWidth="1"/>
    <col min="15111" max="15111" width="11.7109375" style="161" customWidth="1"/>
    <col min="15112" max="15112" width="9.140625" style="161"/>
    <col min="15113" max="15113" width="11.5703125" style="161" customWidth="1"/>
    <col min="15114" max="15114" width="13.85546875" style="161" customWidth="1"/>
    <col min="15115" max="15362" width="9.140625" style="161"/>
    <col min="15363" max="15363" width="10.7109375" style="161" bestFit="1" customWidth="1"/>
    <col min="15364" max="15364" width="10" style="161" customWidth="1"/>
    <col min="15365" max="15365" width="13" style="161" customWidth="1"/>
    <col min="15366" max="15366" width="10.85546875" style="161" customWidth="1"/>
    <col min="15367" max="15367" width="11.7109375" style="161" customWidth="1"/>
    <col min="15368" max="15368" width="9.140625" style="161"/>
    <col min="15369" max="15369" width="11.5703125" style="161" customWidth="1"/>
    <col min="15370" max="15370" width="13.85546875" style="161" customWidth="1"/>
    <col min="15371" max="15618" width="9.140625" style="161"/>
    <col min="15619" max="15619" width="10.7109375" style="161" bestFit="1" customWidth="1"/>
    <col min="15620" max="15620" width="10" style="161" customWidth="1"/>
    <col min="15621" max="15621" width="13" style="161" customWidth="1"/>
    <col min="15622" max="15622" width="10.85546875" style="161" customWidth="1"/>
    <col min="15623" max="15623" width="11.7109375" style="161" customWidth="1"/>
    <col min="15624" max="15624" width="9.140625" style="161"/>
    <col min="15625" max="15625" width="11.5703125" style="161" customWidth="1"/>
    <col min="15626" max="15626" width="13.85546875" style="161" customWidth="1"/>
    <col min="15627" max="15874" width="9.140625" style="161"/>
    <col min="15875" max="15875" width="10.7109375" style="161" bestFit="1" customWidth="1"/>
    <col min="15876" max="15876" width="10" style="161" customWidth="1"/>
    <col min="15877" max="15877" width="13" style="161" customWidth="1"/>
    <col min="15878" max="15878" width="10.85546875" style="161" customWidth="1"/>
    <col min="15879" max="15879" width="11.7109375" style="161" customWidth="1"/>
    <col min="15880" max="15880" width="9.140625" style="161"/>
    <col min="15881" max="15881" width="11.5703125" style="161" customWidth="1"/>
    <col min="15882" max="15882" width="13.85546875" style="161" customWidth="1"/>
    <col min="15883" max="16130" width="9.140625" style="161"/>
    <col min="16131" max="16131" width="10.7109375" style="161" bestFit="1" customWidth="1"/>
    <col min="16132" max="16132" width="10" style="161" customWidth="1"/>
    <col min="16133" max="16133" width="13" style="161" customWidth="1"/>
    <col min="16134" max="16134" width="10.85546875" style="161" customWidth="1"/>
    <col min="16135" max="16135" width="11.7109375" style="161" customWidth="1"/>
    <col min="16136" max="16136" width="9.140625" style="161"/>
    <col min="16137" max="16137" width="11.5703125" style="161" customWidth="1"/>
    <col min="16138" max="16138" width="13.85546875" style="161" customWidth="1"/>
    <col min="16139" max="16384" width="9.140625" style="161"/>
  </cols>
  <sheetData>
    <row r="1" spans="1:11" x14ac:dyDescent="0.25">
      <c r="A1" s="909" t="s">
        <v>241</v>
      </c>
      <c r="B1" s="909"/>
      <c r="C1" s="909"/>
      <c r="D1" s="909"/>
      <c r="E1" s="909"/>
      <c r="F1" s="160"/>
      <c r="G1" s="160"/>
      <c r="H1" s="160"/>
      <c r="I1" s="160"/>
    </row>
    <row r="2" spans="1:11" x14ac:dyDescent="0.25">
      <c r="A2" s="162" t="s">
        <v>70</v>
      </c>
      <c r="B2" s="162" t="s">
        <v>119</v>
      </c>
      <c r="C2" s="162" t="s">
        <v>120</v>
      </c>
      <c r="D2" s="188" t="s">
        <v>121</v>
      </c>
      <c r="E2" s="162" t="s">
        <v>29</v>
      </c>
      <c r="F2" s="163" t="s">
        <v>122</v>
      </c>
      <c r="G2" s="164" t="s">
        <v>123</v>
      </c>
      <c r="H2" s="164" t="s">
        <v>124</v>
      </c>
      <c r="I2" s="162" t="s">
        <v>29</v>
      </c>
      <c r="J2" s="164" t="s">
        <v>125</v>
      </c>
    </row>
    <row r="3" spans="1:11" x14ac:dyDescent="0.25">
      <c r="A3" s="165" t="s">
        <v>126</v>
      </c>
      <c r="B3" s="166">
        <f>SUMIF('LIRA TRISTAN JOSE ANGEL'!P$36:P$38,'KM POR UNIDAD'!A3,'LIRA TRISTAN JOSE ANGEL'!U$36:U$38)+SUMIF('TORRES GARAY LUIS HUMBERTO'!P$38:P$40,'KM POR UNIDAD'!A3,'TORRES GARAY LUIS HUMBERTO'!U$38:U$40)+SUMIF('CERDA HERNANDEZ JOSE LUIS'!P$35:P$37,'KM POR UNIDAD'!A3,'CERDA HERNANDEZ JOSE LUIS'!U$35:U$37)+SUMIF('RUIZ ALVARADO PEDRO'!P$32:P$34,'KM POR UNIDAD'!A3,'RUIZ ALVARADO PEDRO'!U$32:U$34)+SUMIF('NEVAREZ JUAN MANUEL'!P$37:P$39,'KM POR UNIDAD'!A3,'NEVAREZ JUAN MANUEL'!U$37:U$39)+SUMIF('CHAVEZ VARELA NESTOR ADRIAN'!P$35:P$37,'KM POR UNIDAD'!A3,'CHAVEZ VARELA NESTOR ADRIAN'!U$35:U$37)+SUMIF('PAYAN ESTRADA JOSE ANGEL'!P$37:P$39,'KM POR UNIDAD'!A3,'PAYAN ESTRADA JOSE ANGEL'!U$37:U$39)+SUMIF('RUIZ HERRERA ERICK '!P$33:P$35,'KM POR UNIDAD'!A3,'RUIZ HERRERA ERICK '!U$33:U$35)+SUMIF('GONZALEZ LOZANO ENRIQUE '!P$38:P$40,'KM POR UNIDAD'!A3,'GONZALEZ LOZANO ENRIQUE '!U$38:U$40)+SUMIF('GONZALEZ MARTINEZ MAURICIO'!P$38:P$40,'KM POR UNIDAD'!A3,'GONZALEZ MARTINEZ MAURICIO'!U$38:U$40)+SUMIF('GONZALEZ SOTO JOEL'!P$39:P$41,'KM POR UNIDAD'!A3,'GONZALEZ SOTO JOEL'!U$39:U$41)+SUMIF('MARTA RUBIO MARTIN'!P$39:P$41,'KM POR UNIDAD'!A3,'MARTA RUBIO MARTIN'!U$39:U$41)+SUMIF('GRIJALVA VALDEZ CESAR EUSEBIO'!P$35:P$37,'KM POR UNIDAD'!A3,'GRIJALVA VALDEZ CESAR EUSEBIO'!U$35:U$37)+SUMIF('PACHECO BAÑUELOS ALFONSO'!P$39:P$41,'KM POR UNIDAD'!A3,'PACHECO BAÑUELOS ALFONSO'!U$39:U$41)+SUMIF('RODRIGUEZ VALLES JOSE FRANCISCO'!P$40:P$42,'KM POR UNIDAD'!A3,'RODRIGUEZ VALLES JOSE FRANCISCO'!U$40:U$42)+SUMIF('SANCHEZ GUERRERO JOSE LUIS'!P$40:P$42,A3,'SANCHEZ GUERRERO JOSE LUIS'!U$40:U$42)+SUMIF('RUEDA SALAZAR ISMAEL'!P$35:P$37,'KM POR UNIDAD'!A3,'RUEDA SALAZAR ISMAEL'!U$35:U$37)+SUMIF('GUZMAN MORALES'!P$40:P$42,'KM POR UNIDAD'!A3,'GUZMAN MORALES'!U$40:U$42)+SUMIF('RODRIGUEZ RAMIREZ FERNANDO'!P$35:P$37,'KM POR UNIDAD'!A3,'RODRIGUEZ RAMIREZ FERNANDO'!U$35:U$37)+SUMIF('ESTRADA ARELLANO ARTURO'!P$40:P$42,'KM POR UNIDAD'!A3,'ESTRADA ARELLANO ARTURO'!U$40:U$42)+SUMIF('HERNANDEZ CONTRERAS JOSE FERNAN'!P$37:P$39,'KM POR UNIDAD'!A3,'HERNANDEZ CONTRERAS JOSE FERNAN'!U$37:U$39)+SUMIF('SALAZAR PEREZ JUAN CARLOS'!P$38:P$40,'KM POR UNIDAD'!A3,'SALAZAR PEREZ JUAN CARLOS'!U$38:U$40)+SUMIF('HARO IMPERIAL JOSÉ ANTONIO'!P$41:P$43,'KM POR UNIDAD'!A3,'HARO IMPERIAL JOSÉ ANTONIO'!U$41:$U43)+SUMIF('ESCARCEGA GALDEAN JESUS OMAR'!P$38:P$40,'KM POR UNIDAD'!A3,'ESCARCEGA GALDEAN JESUS OMAR'!U$38:U$40)</f>
        <v>0</v>
      </c>
      <c r="C3" s="166">
        <f>+SUMIF('LIRA TRISTAN JOSE ANGEL'!P$36:P$38,'KM POR UNIDAD'!A3,'LIRA TRISTAN JOSE ANGEL'!T$36:T$38)+SUMIF('TORRES GARAY LUIS HUMBERTO'!P$38:P$40,'KM POR UNIDAD'!A3,'TORRES GARAY LUIS HUMBERTO'!T$38:T$40)+SUMIF('CERDA HERNANDEZ JOSE LUIS'!P$35:P$37,'KM POR UNIDAD'!A3,'CERDA HERNANDEZ JOSE LUIS'!T$35:T$37)+SUMIF('RUIZ ALVARADO PEDRO'!P$32:P$34,'KM POR UNIDAD'!A3,'RUIZ ALVARADO PEDRO'!T$32:T$34)+SUMIF('NEVAREZ JUAN MANUEL'!P$37:P$39,'KM POR UNIDAD'!A3,'NEVAREZ JUAN MANUEL'!T$37:T$39)+SUMIF('CHAVEZ VARELA NESTOR ADRIAN'!P$35:P$37,'KM POR UNIDAD'!A3,'CHAVEZ VARELA NESTOR ADRIAN'!T$35:T$37)+SUMIF('PAYAN ESTRADA JOSE ANGEL'!P$37:P$39,'KM POR UNIDAD'!A3,'PAYAN ESTRADA JOSE ANGEL'!T$37:T$39)+SUMIF('RUIZ HERRERA ERICK '!P$33:P$35,'KM POR UNIDAD'!A3,'RUIZ HERRERA ERICK '!T$33:T$35)+SUMIF('GONZALEZ LOZANO ENRIQUE '!P$38:P$40,'KM POR UNIDAD'!A3,'GONZALEZ LOZANO ENRIQUE '!T$38:T$40)+SUMIF('GONZALEZ MARTINEZ MAURICIO'!P$38:P$40,'KM POR UNIDAD'!A3,'GONZALEZ MARTINEZ MAURICIO'!T$38:T$40)+SUMIF('GONZALEZ SOTO JOEL'!P$39:P$41,'KM POR UNIDAD'!A3,'GONZALEZ SOTO JOEL'!T$39:T$41)+SUMIF('MARTA RUBIO MARTIN'!P$39:P$41,'KM POR UNIDAD'!A3,'MARTA RUBIO MARTIN'!T$39:T$41)+SUMIF('GRIJALVA VALDEZ CESAR EUSEBIO'!P$35:P$37,'KM POR UNIDAD'!A3,'GRIJALVA VALDEZ CESAR EUSEBIO'!T$35:T$37)+SUMIF('PACHECO BAÑUELOS ALFONSO'!P$39:P$41,'KM POR UNIDAD'!A3,'PACHECO BAÑUELOS ALFONSO'!T$39:T$41)+SUMIF('RODRIGUEZ VALLES JOSE FRANCISCO'!P$40:P$42,'KM POR UNIDAD'!A3,'RODRIGUEZ VALLES JOSE FRANCISCO'!T$40:T$42)+SUMIF('SANCHEZ GUERRERO JOSE LUIS'!P$40:P$42,A3,'SANCHEZ GUERRERO JOSE LUIS'!T$40:T$42)+SUMIF('RUEDA SALAZAR ISMAEL'!P$35:P$37,'KM POR UNIDAD'!A3,'RUEDA SALAZAR ISMAEL'!T$35:T$37)+SUMIF('GUZMAN MORALES'!P$40:P$42,'KM POR UNIDAD'!A3,'GUZMAN MORALES'!T$40:T$42)+SUMIF('RODRIGUEZ RAMIREZ FERNANDO'!P$35:P$37,'KM POR UNIDAD'!A3,'RODRIGUEZ RAMIREZ FERNANDO'!T$35:T$37)+SUMIF('ESTRADA ARELLANO ARTURO'!P$40:P$42,'KM POR UNIDAD'!A3,'ESTRADA ARELLANO ARTURO'!T$40:T$42)+SUMIF('HERNANDEZ CONTRERAS JOSE FERNAN'!P$37:P$39,'KM POR UNIDAD'!A3,'HERNANDEZ CONTRERAS JOSE FERNAN'!T$37:T$39)+SUMIF('SALAZAR PEREZ JUAN CARLOS'!P$38:P$40,'KM POR UNIDAD'!A3,'SALAZAR PEREZ JUAN CARLOS'!T$38:T$40)+SUMIF('HARO IMPERIAL JOSÉ ANTONIO'!P$41:P$43,'KM POR UNIDAD'!A3,'HARO IMPERIAL JOSÉ ANTONIO'!T$41:T$43)+SUMIF('ESCARCEGA GALDEAN JESUS OMAR'!P$38:P$40,'KM POR UNIDAD'!A3,'ESCARCEGA GALDEAN JESUS OMAR'!T$38:T$40)</f>
        <v>0</v>
      </c>
      <c r="D3" s="189">
        <f>+SUMIF('LIRA TRISTAN JOSE ANGEL'!P$36:P$38,'KM POR UNIDAD'!A3,'LIRA TRISTAN JOSE ANGEL'!V$36:V$38)+SUMIF('TORRES GARAY LUIS HUMBERTO'!P$38:P$40,'KM POR UNIDAD'!A3,'TORRES GARAY LUIS HUMBERTO'!V$38:V$40)+SUMIF('CERDA HERNANDEZ JOSE LUIS'!P$35:P$37,'KM POR UNIDAD'!A3,'CERDA HERNANDEZ JOSE LUIS'!V$35:V$37)+SUMIF('RUIZ ALVARADO PEDRO'!P$32:P$34,'KM POR UNIDAD'!A3,'RUIZ ALVARADO PEDRO'!V$32:V$34)+SUMIF('NEVAREZ JUAN MANUEL'!P$37:P$39,'KM POR UNIDAD'!A3,'NEVAREZ JUAN MANUEL'!V$37:V$39)+SUMIF('CHAVEZ VARELA NESTOR ADRIAN'!P$35:P$37,'KM POR UNIDAD'!A3,'CHAVEZ VARELA NESTOR ADRIAN'!V$35:V$37)+SUMIF('PAYAN ESTRADA JOSE ANGEL'!P$37:P$39,'KM POR UNIDAD'!A3,'PAYAN ESTRADA JOSE ANGEL'!V$37:V$39)+SUMIF('RUIZ HERRERA ERICK '!P$33:P$35,'KM POR UNIDAD'!A3,'RUIZ HERRERA ERICK '!V$33:V$35)+SUMIF('GONZALEZ LOZANO ENRIQUE '!P$38:P$40,'KM POR UNIDAD'!A3,'GONZALEZ LOZANO ENRIQUE '!V$38:V$40)+SUMIF('GONZALEZ MARTINEZ MAURICIO'!P$38:P$40,'KM POR UNIDAD'!A3,'GONZALEZ MARTINEZ MAURICIO'!V$38:V$40)+SUMIF('GONZALEZ SOTO JOEL'!P$39:P$41,'KM POR UNIDAD'!A3,'GONZALEZ SOTO JOEL'!V$39:V$41)+SUMIF('MARTA RUBIO MARTIN'!P$39:P$41,'KM POR UNIDAD'!A3,'MARTA RUBIO MARTIN'!V$39:V$41)+SUMIF('GRIJALVA VALDEZ CESAR EUSEBIO'!P$35:P$37,'KM POR UNIDAD'!A3,'GRIJALVA VALDEZ CESAR EUSEBIO'!V$35:V$37)+SUMIF('PACHECO BAÑUELOS ALFONSO'!P$39:P$41,'KM POR UNIDAD'!A3,'PACHECO BAÑUELOS ALFONSO'!V$39:V$41)+SUMIF('RODRIGUEZ VALLES JOSE FRANCISCO'!P$40:P$42,'KM POR UNIDAD'!A3,'RODRIGUEZ VALLES JOSE FRANCISCO'!V$40:V$42)+SUMIF('SANCHEZ GUERRERO JOSE LUIS'!P$40:P$42,A3,'SANCHEZ GUERRERO JOSE LUIS'!V$40:V$42)+SUMIF('RUEDA SALAZAR ISMAEL'!P$35:P$37,'KM POR UNIDAD'!A3,'RUEDA SALAZAR ISMAEL'!V$35:V$37)+SUMIF('GUZMAN MORALES'!P$40:P$42,'KM POR UNIDAD'!A3,'GUZMAN MORALES'!V$40:V$42)+SUMIF('RODRIGUEZ RAMIREZ FERNANDO'!P$35:P$37,'KM POR UNIDAD'!A3,'RODRIGUEZ RAMIREZ FERNANDO'!V$35:V$37)+SUMIF('ESTRADA ARELLANO ARTURO'!P$40:P$42,'KM POR UNIDAD'!A3,'ESTRADA ARELLANO ARTURO'!V$40:V$42)+SUMIF('HERNANDEZ CONTRERAS JOSE FERNAN'!P$37:P$39,'KM POR UNIDAD'!A3,'HERNANDEZ CONTRERAS JOSE FERNAN'!V$38:V$40)+SUMIF('SALAZAR PEREZ JUAN CARLOS'!P$38:P$40,'KM POR UNIDAD'!A3,'SALAZAR PEREZ JUAN CARLOS'!V$38:V$40)+SUMIF('HARO IMPERIAL JOSÉ ANTONIO'!P$41:P$43,'KM POR UNIDAD'!A3,'HARO IMPERIAL JOSÉ ANTONIO'!V$41:V$43)+SUMIF('ESCARCEGA GALDEAN JESUS OMAR'!P$38:P$40,'KM POR UNIDAD'!A3,'ESCARCEGA GALDEAN JESUS OMAR'!V$38:V$40)</f>
        <v>0</v>
      </c>
      <c r="E3" s="167">
        <f>IFERROR(B3/D3,0)</f>
        <v>0</v>
      </c>
      <c r="F3" s="168">
        <v>0</v>
      </c>
      <c r="G3" s="168">
        <v>0</v>
      </c>
      <c r="H3" s="168">
        <v>0</v>
      </c>
      <c r="I3" s="169">
        <f t="shared" ref="I3:I69" si="0">IFERROR(G3/H3,0)</f>
        <v>0</v>
      </c>
      <c r="J3" s="170"/>
      <c r="K3" s="171"/>
    </row>
    <row r="4" spans="1:11" x14ac:dyDescent="0.25">
      <c r="A4" s="165" t="s">
        <v>127</v>
      </c>
      <c r="B4" s="166">
        <f>SUMIF('LIRA TRISTAN JOSE ANGEL'!P$36:P$38,'KM POR UNIDAD'!A4,'LIRA TRISTAN JOSE ANGEL'!U$36:U$38)+SUMIF('TORRES GARAY LUIS HUMBERTO'!P$38:P$40,'KM POR UNIDAD'!A4,'TORRES GARAY LUIS HUMBERTO'!U$38:U$40)+SUMIF('CERDA HERNANDEZ JOSE LUIS'!P$35:P$37,'KM POR UNIDAD'!A4,'CERDA HERNANDEZ JOSE LUIS'!U$35:U$37)+SUMIF('RUIZ ALVARADO PEDRO'!P$32:P$34,'KM POR UNIDAD'!A4,'RUIZ ALVARADO PEDRO'!U$32:U$34)+SUMIF('NEVAREZ JUAN MANUEL'!P$37:P$39,'KM POR UNIDAD'!A4,'NEVAREZ JUAN MANUEL'!U$37:U$39)+SUMIF('CHAVEZ VARELA NESTOR ADRIAN'!P$35:P$37,'KM POR UNIDAD'!A4,'CHAVEZ VARELA NESTOR ADRIAN'!U$35:U$37)+SUMIF('PAYAN ESTRADA JOSE ANGEL'!P$37:P$39,'KM POR UNIDAD'!A4,'PAYAN ESTRADA JOSE ANGEL'!U$37:U$39)+SUMIF('RUIZ HERRERA ERICK '!P$33:P$35,'KM POR UNIDAD'!A4,'RUIZ HERRERA ERICK '!U$33:U$35)+SUMIF('GONZALEZ LOZANO ENRIQUE '!P$38:P$40,'KM POR UNIDAD'!A4,'GONZALEZ LOZANO ENRIQUE '!U$38:U$40)+SUMIF('GONZALEZ MARTINEZ MAURICIO'!P$38:P$40,'KM POR UNIDAD'!A4,'GONZALEZ MARTINEZ MAURICIO'!U$38:U$40)+SUMIF('GONZALEZ SOTO JOEL'!P$39:P$41,'KM POR UNIDAD'!A4,'GONZALEZ SOTO JOEL'!U$39:U$41)+SUMIF('MARTA RUBIO MARTIN'!P$39:P$41,'KM POR UNIDAD'!A4,'MARTA RUBIO MARTIN'!U$39:U$41)+SUMIF('GRIJALVA VALDEZ CESAR EUSEBIO'!P$35:P$37,'KM POR UNIDAD'!A4,'GRIJALVA VALDEZ CESAR EUSEBIO'!U$35:U$37)+SUMIF('PACHECO BAÑUELOS ALFONSO'!P$39:P$41,'KM POR UNIDAD'!A4,'PACHECO BAÑUELOS ALFONSO'!U$39:U$41)+SUMIF('RODRIGUEZ VALLES JOSE FRANCISCO'!P$40:P$42,'KM POR UNIDAD'!A4,'RODRIGUEZ VALLES JOSE FRANCISCO'!U$40:U$42)+SUMIF('SANCHEZ GUERRERO JOSE LUIS'!P$40:P$42,A4,'SANCHEZ GUERRERO JOSE LUIS'!U$40:U$42)+SUMIF('RUEDA SALAZAR ISMAEL'!P$35:P$37,'KM POR UNIDAD'!A4,'RUEDA SALAZAR ISMAEL'!U$35:U$37)+SUMIF('GUZMAN MORALES'!P$40:P$42,'KM POR UNIDAD'!A4,'GUZMAN MORALES'!U$40:U$42)+SUMIF('RODRIGUEZ RAMIREZ FERNANDO'!P$35:P$37,'KM POR UNIDAD'!A4,'RODRIGUEZ RAMIREZ FERNANDO'!U$35:U$37)+SUMIF('ESTRADA ARELLANO ARTURO'!P$40:P$42,'KM POR UNIDAD'!A4,'ESTRADA ARELLANO ARTURO'!U$40:U$42)+SUMIF('HERNANDEZ CONTRERAS JOSE FERNAN'!P$37:P$39,'KM POR UNIDAD'!A4,'HERNANDEZ CONTRERAS JOSE FERNAN'!U$37:U$39)+SUMIF('SALAZAR PEREZ JUAN CARLOS'!P$38:P$40,'KM POR UNIDAD'!A4,'SALAZAR PEREZ JUAN CARLOS'!U$38:U$40)+SUMIF('HARO IMPERIAL JOSÉ ANTONIO'!P$41:P$43,'KM POR UNIDAD'!A4,'HARO IMPERIAL JOSÉ ANTONIO'!U$41:$U44)+SUMIF('ESCARCEGA GALDEAN JESUS OMAR'!P$38:P$40,'KM POR UNIDAD'!A4,'ESCARCEGA GALDEAN JESUS OMAR'!U$38:U$40)</f>
        <v>0</v>
      </c>
      <c r="C4" s="166">
        <f>+SUMIF('LIRA TRISTAN JOSE ANGEL'!P$36:P$38,'KM POR UNIDAD'!A4,'LIRA TRISTAN JOSE ANGEL'!T$36:T$38)+SUMIF('TORRES GARAY LUIS HUMBERTO'!P$38:P$40,'KM POR UNIDAD'!A4,'TORRES GARAY LUIS HUMBERTO'!T$38:T$40)+SUMIF('CERDA HERNANDEZ JOSE LUIS'!P$35:P$37,'KM POR UNIDAD'!A4,'CERDA HERNANDEZ JOSE LUIS'!T$35:T$37)+SUMIF('RUIZ ALVARADO PEDRO'!P$32:P$34,'KM POR UNIDAD'!A4,'RUIZ ALVARADO PEDRO'!T$32:T$34)+SUMIF('NEVAREZ JUAN MANUEL'!P$37:P$39,'KM POR UNIDAD'!A4,'NEVAREZ JUAN MANUEL'!T$37:T$39)+SUMIF('CHAVEZ VARELA NESTOR ADRIAN'!P$35:P$37,'KM POR UNIDAD'!A4,'CHAVEZ VARELA NESTOR ADRIAN'!T$35:T$37)+SUMIF('PAYAN ESTRADA JOSE ANGEL'!P$37:P$39,'KM POR UNIDAD'!A4,'PAYAN ESTRADA JOSE ANGEL'!T$37:T$39)+SUMIF('RUIZ HERRERA ERICK '!P$33:P$35,'KM POR UNIDAD'!A4,'RUIZ HERRERA ERICK '!T$33:T$35)+SUMIF('GONZALEZ LOZANO ENRIQUE '!P$38:P$40,'KM POR UNIDAD'!A4,'GONZALEZ LOZANO ENRIQUE '!T$38:T$40)+SUMIF('GONZALEZ MARTINEZ MAURICIO'!P$38:P$40,'KM POR UNIDAD'!A4,'GONZALEZ MARTINEZ MAURICIO'!T$38:T$40)+SUMIF('GONZALEZ SOTO JOEL'!P$39:P$41,'KM POR UNIDAD'!A4,'GONZALEZ SOTO JOEL'!T$39:T$41)+SUMIF('MARTA RUBIO MARTIN'!P$39:P$41,'KM POR UNIDAD'!A4,'MARTA RUBIO MARTIN'!T$39:T$41)+SUMIF('GRIJALVA VALDEZ CESAR EUSEBIO'!P$35:P$37,'KM POR UNIDAD'!A4,'GRIJALVA VALDEZ CESAR EUSEBIO'!T$35:T$37)+SUMIF('PACHECO BAÑUELOS ALFONSO'!P$39:P$41,'KM POR UNIDAD'!A4,'PACHECO BAÑUELOS ALFONSO'!T$39:T$41)+SUMIF('RODRIGUEZ VALLES JOSE FRANCISCO'!P$40:P$42,'KM POR UNIDAD'!A4,'RODRIGUEZ VALLES JOSE FRANCISCO'!T$40:T$42)+SUMIF('SANCHEZ GUERRERO JOSE LUIS'!P$40:P$42,A4,'SANCHEZ GUERRERO JOSE LUIS'!T$40:T$42)+SUMIF('RUEDA SALAZAR ISMAEL'!P$35:P$37,'KM POR UNIDAD'!A4,'RUEDA SALAZAR ISMAEL'!T$35:T$37)+SUMIF('GUZMAN MORALES'!P$40:P$42,'KM POR UNIDAD'!A4,'GUZMAN MORALES'!T$40:T$42)+SUMIF('RODRIGUEZ RAMIREZ FERNANDO'!P$35:P$37,'KM POR UNIDAD'!A4,'RODRIGUEZ RAMIREZ FERNANDO'!T$35:T$37)+SUMIF('ESTRADA ARELLANO ARTURO'!P$40:P$42,'KM POR UNIDAD'!A4,'ESTRADA ARELLANO ARTURO'!T$40:T$42)+SUMIF('HERNANDEZ CONTRERAS JOSE FERNAN'!P$37:P$39,'KM POR UNIDAD'!A4,'HERNANDEZ CONTRERAS JOSE FERNAN'!T$37:T$39)+SUMIF('SALAZAR PEREZ JUAN CARLOS'!P$38:P$40,'KM POR UNIDAD'!A4,'SALAZAR PEREZ JUAN CARLOS'!T$38:T$40)+SUMIF('HARO IMPERIAL JOSÉ ANTONIO'!P$41:P$43,'KM POR UNIDAD'!A4,'HARO IMPERIAL JOSÉ ANTONIO'!T$41:T$43)+SUMIF('ESCARCEGA GALDEAN JESUS OMAR'!P$38:P$40,'KM POR UNIDAD'!A4,'ESCARCEGA GALDEAN JESUS OMAR'!T$38:T$40)</f>
        <v>0</v>
      </c>
      <c r="D4" s="189">
        <f>+SUMIF('LIRA TRISTAN JOSE ANGEL'!P$36:P$38,'KM POR UNIDAD'!A4,'LIRA TRISTAN JOSE ANGEL'!V$36:V$38)+SUMIF('TORRES GARAY LUIS HUMBERTO'!P$38:P$40,'KM POR UNIDAD'!A4,'TORRES GARAY LUIS HUMBERTO'!V$38:V$40)+SUMIF('CERDA HERNANDEZ JOSE LUIS'!P$35:P$37,'KM POR UNIDAD'!A4,'CERDA HERNANDEZ JOSE LUIS'!V$35:V$37)+SUMIF('RUIZ ALVARADO PEDRO'!P$32:P$34,'KM POR UNIDAD'!A4,'RUIZ ALVARADO PEDRO'!V$32:V$34)+SUMIF('NEVAREZ JUAN MANUEL'!P$37:P$39,'KM POR UNIDAD'!A4,'NEVAREZ JUAN MANUEL'!V$37:V$39)+SUMIF('CHAVEZ VARELA NESTOR ADRIAN'!P$35:P$37,'KM POR UNIDAD'!A4,'CHAVEZ VARELA NESTOR ADRIAN'!V$35:V$37)+SUMIF('PAYAN ESTRADA JOSE ANGEL'!P$37:P$39,'KM POR UNIDAD'!A4,'PAYAN ESTRADA JOSE ANGEL'!V$37:V$39)+SUMIF('RUIZ HERRERA ERICK '!P$33:P$35,'KM POR UNIDAD'!A4,'RUIZ HERRERA ERICK '!V$33:V$35)+SUMIF('GONZALEZ LOZANO ENRIQUE '!P$38:P$40,'KM POR UNIDAD'!A4,'GONZALEZ LOZANO ENRIQUE '!V$38:V$40)+SUMIF('GONZALEZ MARTINEZ MAURICIO'!P$38:P$40,'KM POR UNIDAD'!A4,'GONZALEZ MARTINEZ MAURICIO'!V$38:V$40)+SUMIF('GONZALEZ SOTO JOEL'!P$39:P$41,'KM POR UNIDAD'!A4,'GONZALEZ SOTO JOEL'!V$39:V$41)+SUMIF('MARTA RUBIO MARTIN'!P$39:P$41,'KM POR UNIDAD'!A4,'MARTA RUBIO MARTIN'!V$39:V$41)+SUMIF('GRIJALVA VALDEZ CESAR EUSEBIO'!P$35:P$37,'KM POR UNIDAD'!A4,'GRIJALVA VALDEZ CESAR EUSEBIO'!V$35:V$37)+SUMIF('PACHECO BAÑUELOS ALFONSO'!P$39:P$41,'KM POR UNIDAD'!A4,'PACHECO BAÑUELOS ALFONSO'!V$39:V$41)+SUMIF('RODRIGUEZ VALLES JOSE FRANCISCO'!P$40:P$42,'KM POR UNIDAD'!A4,'RODRIGUEZ VALLES JOSE FRANCISCO'!V$40:V$42)+SUMIF('SANCHEZ GUERRERO JOSE LUIS'!P$40:P$42,A4,'SANCHEZ GUERRERO JOSE LUIS'!V$40:V$42)+SUMIF('RUEDA SALAZAR ISMAEL'!P$35:P$37,'KM POR UNIDAD'!A4,'RUEDA SALAZAR ISMAEL'!V$35:V$37)+SUMIF('GUZMAN MORALES'!P$40:P$42,'KM POR UNIDAD'!A4,'GUZMAN MORALES'!V$40:V$42)+SUMIF('RODRIGUEZ RAMIREZ FERNANDO'!P$35:P$37,'KM POR UNIDAD'!A4,'RODRIGUEZ RAMIREZ FERNANDO'!V$35:V$37)+SUMIF('ESTRADA ARELLANO ARTURO'!P$40:P$42,'KM POR UNIDAD'!A4,'ESTRADA ARELLANO ARTURO'!V$40:V$42)+SUMIF('HERNANDEZ CONTRERAS JOSE FERNAN'!P$37:P$39,'KM POR UNIDAD'!A4,'HERNANDEZ CONTRERAS JOSE FERNAN'!V$38:V$40)+SUMIF('SALAZAR PEREZ JUAN CARLOS'!P$38:P$40,'KM POR UNIDAD'!A4,'SALAZAR PEREZ JUAN CARLOS'!V$38:V$40)+SUMIF('HARO IMPERIAL JOSÉ ANTONIO'!P$41:P$43,'KM POR UNIDAD'!A4,'HARO IMPERIAL JOSÉ ANTONIO'!V$41:V$43)+SUMIF('ESCARCEGA GALDEAN JESUS OMAR'!P$38:P$40,'KM POR UNIDAD'!A4,'ESCARCEGA GALDEAN JESUS OMAR'!V$38:V$40)</f>
        <v>0</v>
      </c>
      <c r="E4" s="167">
        <f t="shared" ref="E4:E55" si="1">IFERROR(B4/D4,0)</f>
        <v>0</v>
      </c>
      <c r="F4" s="168">
        <v>0</v>
      </c>
      <c r="G4" s="168">
        <v>0</v>
      </c>
      <c r="H4" s="168">
        <v>0</v>
      </c>
      <c r="I4" s="169">
        <f t="shared" si="0"/>
        <v>0</v>
      </c>
      <c r="J4" s="170"/>
      <c r="K4" s="171"/>
    </row>
    <row r="5" spans="1:11" x14ac:dyDescent="0.25">
      <c r="A5" s="165" t="s">
        <v>128</v>
      </c>
      <c r="B5" s="166">
        <f>SUMIF('LIRA TRISTAN JOSE ANGEL'!P$36:P$38,'KM POR UNIDAD'!A5,'LIRA TRISTAN JOSE ANGEL'!U$36:U$38)+SUMIF('TORRES GARAY LUIS HUMBERTO'!P$38:P$40,'KM POR UNIDAD'!A5,'TORRES GARAY LUIS HUMBERTO'!U$38:U$40)+SUMIF('CERDA HERNANDEZ JOSE LUIS'!P$35:P$37,'KM POR UNIDAD'!A5,'CERDA HERNANDEZ JOSE LUIS'!U$35:U$37)+SUMIF('RUIZ ALVARADO PEDRO'!P$32:P$34,'KM POR UNIDAD'!A5,'RUIZ ALVARADO PEDRO'!U$32:U$34)+SUMIF('NEVAREZ JUAN MANUEL'!P$37:P$39,'KM POR UNIDAD'!A5,'NEVAREZ JUAN MANUEL'!U$37:U$39)+SUMIF('CHAVEZ VARELA NESTOR ADRIAN'!P$35:P$37,'KM POR UNIDAD'!A5,'CHAVEZ VARELA NESTOR ADRIAN'!U$35:U$37)+SUMIF('PAYAN ESTRADA JOSE ANGEL'!P$37:P$39,'KM POR UNIDAD'!A5,'PAYAN ESTRADA JOSE ANGEL'!U$37:U$39)+SUMIF('RUIZ HERRERA ERICK '!P$33:P$35,'KM POR UNIDAD'!A5,'RUIZ HERRERA ERICK '!U$33:U$35)+SUMIF('GONZALEZ LOZANO ENRIQUE '!P$38:P$40,'KM POR UNIDAD'!A5,'GONZALEZ LOZANO ENRIQUE '!U$38:U$40)+SUMIF('GONZALEZ MARTINEZ MAURICIO'!P$38:P$40,'KM POR UNIDAD'!A5,'GONZALEZ MARTINEZ MAURICIO'!U$38:U$40)+SUMIF('GONZALEZ SOTO JOEL'!P$39:P$41,'KM POR UNIDAD'!A5,'GONZALEZ SOTO JOEL'!U$39:U$41)+SUMIF('MARTA RUBIO MARTIN'!P$39:P$41,'KM POR UNIDAD'!A5,'MARTA RUBIO MARTIN'!U$39:U$41)+SUMIF('GRIJALVA VALDEZ CESAR EUSEBIO'!P$35:P$37,'KM POR UNIDAD'!A5,'GRIJALVA VALDEZ CESAR EUSEBIO'!U$35:U$37)+SUMIF('PACHECO BAÑUELOS ALFONSO'!P$39:P$41,'KM POR UNIDAD'!A5,'PACHECO BAÑUELOS ALFONSO'!U$39:U$41)+SUMIF('RODRIGUEZ VALLES JOSE FRANCISCO'!P$40:P$42,'KM POR UNIDAD'!A5,'RODRIGUEZ VALLES JOSE FRANCISCO'!U$40:U$42)+SUMIF('SANCHEZ GUERRERO JOSE LUIS'!P$40:P$42,A5,'SANCHEZ GUERRERO JOSE LUIS'!U$40:U$42)+SUMIF('RUEDA SALAZAR ISMAEL'!P$35:P$37,'KM POR UNIDAD'!A5,'RUEDA SALAZAR ISMAEL'!U$35:U$37)+SUMIF('GUZMAN MORALES'!P$40:P$42,'KM POR UNIDAD'!A5,'GUZMAN MORALES'!U$40:U$42)+SUMIF('RODRIGUEZ RAMIREZ FERNANDO'!P$35:P$37,'KM POR UNIDAD'!A5,'RODRIGUEZ RAMIREZ FERNANDO'!U$35:U$37)+SUMIF('ESTRADA ARELLANO ARTURO'!P$40:P$42,'KM POR UNIDAD'!A5,'ESTRADA ARELLANO ARTURO'!U$40:U$42)+SUMIF('HERNANDEZ CONTRERAS JOSE FERNAN'!P$37:P$39,'KM POR UNIDAD'!A5,'HERNANDEZ CONTRERAS JOSE FERNAN'!U$37:U$39)+SUMIF('SALAZAR PEREZ JUAN CARLOS'!P$38:P$40,'KM POR UNIDAD'!A5,'SALAZAR PEREZ JUAN CARLOS'!U$38:U$40)+SUMIF('HARO IMPERIAL JOSÉ ANTONIO'!P$41:P$43,'KM POR UNIDAD'!A5,'HARO IMPERIAL JOSÉ ANTONIO'!U$41:$U45)+SUMIF('ESCARCEGA GALDEAN JESUS OMAR'!P$38:P$40,'KM POR UNIDAD'!A5,'ESCARCEGA GALDEAN JESUS OMAR'!U$38:U$40)</f>
        <v>0</v>
      </c>
      <c r="C5" s="166">
        <f>+SUMIF('LIRA TRISTAN JOSE ANGEL'!P$36:P$38,'KM POR UNIDAD'!A5,'LIRA TRISTAN JOSE ANGEL'!T$36:T$38)+SUMIF('TORRES GARAY LUIS HUMBERTO'!P$38:P$40,'KM POR UNIDAD'!A5,'TORRES GARAY LUIS HUMBERTO'!T$38:T$40)+SUMIF('CERDA HERNANDEZ JOSE LUIS'!P$35:P$37,'KM POR UNIDAD'!A5,'CERDA HERNANDEZ JOSE LUIS'!T$35:T$37)+SUMIF('RUIZ ALVARADO PEDRO'!P$32:P$34,'KM POR UNIDAD'!A5,'RUIZ ALVARADO PEDRO'!T$32:T$34)+SUMIF('NEVAREZ JUAN MANUEL'!P$37:P$39,'KM POR UNIDAD'!A5,'NEVAREZ JUAN MANUEL'!T$37:T$39)+SUMIF('CHAVEZ VARELA NESTOR ADRIAN'!P$35:P$37,'KM POR UNIDAD'!A5,'CHAVEZ VARELA NESTOR ADRIAN'!T$35:T$37)+SUMIF('PAYAN ESTRADA JOSE ANGEL'!P$37:P$39,'KM POR UNIDAD'!A5,'PAYAN ESTRADA JOSE ANGEL'!T$37:T$39)+SUMIF('RUIZ HERRERA ERICK '!P$33:P$35,'KM POR UNIDAD'!A5,'RUIZ HERRERA ERICK '!T$33:T$35)+SUMIF('GONZALEZ LOZANO ENRIQUE '!P$38:P$40,'KM POR UNIDAD'!A5,'GONZALEZ LOZANO ENRIQUE '!T$38:T$40)+SUMIF('GONZALEZ MARTINEZ MAURICIO'!P$38:P$40,'KM POR UNIDAD'!A5,'GONZALEZ MARTINEZ MAURICIO'!T$38:T$40)+SUMIF('GONZALEZ SOTO JOEL'!P$39:P$41,'KM POR UNIDAD'!A5,'GONZALEZ SOTO JOEL'!T$39:T$41)+SUMIF('MARTA RUBIO MARTIN'!P$39:P$41,'KM POR UNIDAD'!A5,'MARTA RUBIO MARTIN'!T$39:T$41)+SUMIF('GRIJALVA VALDEZ CESAR EUSEBIO'!P$35:P$37,'KM POR UNIDAD'!A5,'GRIJALVA VALDEZ CESAR EUSEBIO'!T$35:T$37)+SUMIF('PACHECO BAÑUELOS ALFONSO'!P$39:P$41,'KM POR UNIDAD'!A5,'PACHECO BAÑUELOS ALFONSO'!T$39:T$41)+SUMIF('RODRIGUEZ VALLES JOSE FRANCISCO'!P$40:P$42,'KM POR UNIDAD'!A5,'RODRIGUEZ VALLES JOSE FRANCISCO'!T$40:T$42)+SUMIF('SANCHEZ GUERRERO JOSE LUIS'!P$40:P$42,A5,'SANCHEZ GUERRERO JOSE LUIS'!T$40:T$42)+SUMIF('RUEDA SALAZAR ISMAEL'!P$35:P$37,'KM POR UNIDAD'!A5,'RUEDA SALAZAR ISMAEL'!T$35:T$37)+SUMIF('GUZMAN MORALES'!P$40:P$42,'KM POR UNIDAD'!A5,'GUZMAN MORALES'!T$40:T$42)+SUMIF('RODRIGUEZ RAMIREZ FERNANDO'!P$35:P$37,'KM POR UNIDAD'!A5,'RODRIGUEZ RAMIREZ FERNANDO'!T$35:T$37)+SUMIF('ESTRADA ARELLANO ARTURO'!P$40:P$42,'KM POR UNIDAD'!A5,'ESTRADA ARELLANO ARTURO'!T$40:T$42)+SUMIF('HERNANDEZ CONTRERAS JOSE FERNAN'!P$37:P$39,'KM POR UNIDAD'!A5,'HERNANDEZ CONTRERAS JOSE FERNAN'!T$37:T$39)+SUMIF('SALAZAR PEREZ JUAN CARLOS'!P$38:P$40,'KM POR UNIDAD'!A5,'SALAZAR PEREZ JUAN CARLOS'!T$38:T$40)+SUMIF('HARO IMPERIAL JOSÉ ANTONIO'!P$41:P$43,'KM POR UNIDAD'!A5,'HARO IMPERIAL JOSÉ ANTONIO'!T$41:T$43)+SUMIF('ESCARCEGA GALDEAN JESUS OMAR'!P$38:P$40,'KM POR UNIDAD'!A5,'ESCARCEGA GALDEAN JESUS OMAR'!T$38:T$40)</f>
        <v>0</v>
      </c>
      <c r="D5" s="189">
        <f>+SUMIF('LIRA TRISTAN JOSE ANGEL'!P$36:P$38,'KM POR UNIDAD'!A5,'LIRA TRISTAN JOSE ANGEL'!V$36:V$38)+SUMIF('TORRES GARAY LUIS HUMBERTO'!P$38:P$40,'KM POR UNIDAD'!A5,'TORRES GARAY LUIS HUMBERTO'!V$38:V$40)+SUMIF('CERDA HERNANDEZ JOSE LUIS'!P$35:P$37,'KM POR UNIDAD'!A5,'CERDA HERNANDEZ JOSE LUIS'!V$35:V$37)+SUMIF('RUIZ ALVARADO PEDRO'!P$32:P$34,'KM POR UNIDAD'!A5,'RUIZ ALVARADO PEDRO'!V$32:V$34)+SUMIF('NEVAREZ JUAN MANUEL'!P$37:P$39,'KM POR UNIDAD'!A5,'NEVAREZ JUAN MANUEL'!V$37:V$39)+SUMIF('CHAVEZ VARELA NESTOR ADRIAN'!P$35:P$37,'KM POR UNIDAD'!A5,'CHAVEZ VARELA NESTOR ADRIAN'!V$35:V$37)+SUMIF('PAYAN ESTRADA JOSE ANGEL'!P$37:P$39,'KM POR UNIDAD'!A5,'PAYAN ESTRADA JOSE ANGEL'!V$37:V$39)+SUMIF('RUIZ HERRERA ERICK '!P$33:P$35,'KM POR UNIDAD'!A5,'RUIZ HERRERA ERICK '!V$33:V$35)+SUMIF('GONZALEZ LOZANO ENRIQUE '!P$38:P$40,'KM POR UNIDAD'!A5,'GONZALEZ LOZANO ENRIQUE '!V$38:V$40)+SUMIF('GONZALEZ MARTINEZ MAURICIO'!P$38:P$40,'KM POR UNIDAD'!A5,'GONZALEZ MARTINEZ MAURICIO'!V$38:V$40)+SUMIF('GONZALEZ SOTO JOEL'!P$39:P$41,'KM POR UNIDAD'!A5,'GONZALEZ SOTO JOEL'!V$39:V$41)+SUMIF('MARTA RUBIO MARTIN'!P$39:P$41,'KM POR UNIDAD'!A5,'MARTA RUBIO MARTIN'!V$39:V$41)+SUMIF('GRIJALVA VALDEZ CESAR EUSEBIO'!P$35:P$37,'KM POR UNIDAD'!A5,'GRIJALVA VALDEZ CESAR EUSEBIO'!V$35:V$37)+SUMIF('PACHECO BAÑUELOS ALFONSO'!P$39:P$41,'KM POR UNIDAD'!A5,'PACHECO BAÑUELOS ALFONSO'!V$39:V$41)+SUMIF('RODRIGUEZ VALLES JOSE FRANCISCO'!P$40:P$42,'KM POR UNIDAD'!A5,'RODRIGUEZ VALLES JOSE FRANCISCO'!V$40:V$42)+SUMIF('SANCHEZ GUERRERO JOSE LUIS'!P$40:P$42,A5,'SANCHEZ GUERRERO JOSE LUIS'!V$40:V$42)+SUMIF('RUEDA SALAZAR ISMAEL'!P$35:P$37,'KM POR UNIDAD'!A5,'RUEDA SALAZAR ISMAEL'!V$35:V$37)+SUMIF('GUZMAN MORALES'!P$40:P$42,'KM POR UNIDAD'!A5,'GUZMAN MORALES'!V$40:V$42)+SUMIF('RODRIGUEZ RAMIREZ FERNANDO'!P$35:P$37,'KM POR UNIDAD'!A5,'RODRIGUEZ RAMIREZ FERNANDO'!V$35:V$37)+SUMIF('ESTRADA ARELLANO ARTURO'!P$40:P$42,'KM POR UNIDAD'!A5,'ESTRADA ARELLANO ARTURO'!V$40:V$42)+SUMIF('HERNANDEZ CONTRERAS JOSE FERNAN'!P$37:P$39,'KM POR UNIDAD'!A5,'HERNANDEZ CONTRERAS JOSE FERNAN'!V$38:V$40)+SUMIF('SALAZAR PEREZ JUAN CARLOS'!P$38:P$40,'KM POR UNIDAD'!A5,'SALAZAR PEREZ JUAN CARLOS'!V$38:V$40)+SUMIF('HARO IMPERIAL JOSÉ ANTONIO'!P$41:P$43,'KM POR UNIDAD'!A5,'HARO IMPERIAL JOSÉ ANTONIO'!V$41:V$43)+SUMIF('ESCARCEGA GALDEAN JESUS OMAR'!P$38:P$40,'KM POR UNIDAD'!A5,'ESCARCEGA GALDEAN JESUS OMAR'!V$38:V$40)</f>
        <v>0</v>
      </c>
      <c r="E5" s="167">
        <f t="shared" si="1"/>
        <v>0</v>
      </c>
      <c r="F5" s="168">
        <v>0</v>
      </c>
      <c r="G5" s="168">
        <v>0</v>
      </c>
      <c r="H5" s="168">
        <v>0</v>
      </c>
      <c r="I5" s="169">
        <f t="shared" si="0"/>
        <v>0</v>
      </c>
      <c r="J5" s="170"/>
      <c r="K5" s="171"/>
    </row>
    <row r="6" spans="1:11" x14ac:dyDescent="0.25">
      <c r="A6" s="165" t="s">
        <v>129</v>
      </c>
      <c r="B6" s="166">
        <f>SUMIF('LIRA TRISTAN JOSE ANGEL'!P$36:P$38,'KM POR UNIDAD'!A6,'LIRA TRISTAN JOSE ANGEL'!U$36:U$38)+SUMIF('TORRES GARAY LUIS HUMBERTO'!P$38:P$40,'KM POR UNIDAD'!A6,'TORRES GARAY LUIS HUMBERTO'!U$38:U$40)+SUMIF('CERDA HERNANDEZ JOSE LUIS'!P$35:P$37,'KM POR UNIDAD'!A6,'CERDA HERNANDEZ JOSE LUIS'!U$35:U$37)+SUMIF('RUIZ ALVARADO PEDRO'!P$32:P$34,'KM POR UNIDAD'!A6,'RUIZ ALVARADO PEDRO'!U$32:U$34)+SUMIF('NEVAREZ JUAN MANUEL'!P$37:P$39,'KM POR UNIDAD'!A6,'NEVAREZ JUAN MANUEL'!U$37:U$39)+SUMIF('CHAVEZ VARELA NESTOR ADRIAN'!P$35:P$37,'KM POR UNIDAD'!A6,'CHAVEZ VARELA NESTOR ADRIAN'!U$35:U$37)+SUMIF('PAYAN ESTRADA JOSE ANGEL'!P$37:P$39,'KM POR UNIDAD'!A6,'PAYAN ESTRADA JOSE ANGEL'!U$37:U$39)+SUMIF('RUIZ HERRERA ERICK '!P$33:P$35,'KM POR UNIDAD'!A6,'RUIZ HERRERA ERICK '!U$33:U$35)+SUMIF('GONZALEZ LOZANO ENRIQUE '!P$38:P$40,'KM POR UNIDAD'!A6,'GONZALEZ LOZANO ENRIQUE '!U$38:U$40)+SUMIF('GONZALEZ MARTINEZ MAURICIO'!P$38:P$40,'KM POR UNIDAD'!A6,'GONZALEZ MARTINEZ MAURICIO'!U$38:U$40)+SUMIF('GONZALEZ SOTO JOEL'!P$39:P$41,'KM POR UNIDAD'!A6,'GONZALEZ SOTO JOEL'!U$39:U$41)+SUMIF('MARTA RUBIO MARTIN'!P$39:P$41,'KM POR UNIDAD'!A6,'MARTA RUBIO MARTIN'!U$39:U$41)+SUMIF('GRIJALVA VALDEZ CESAR EUSEBIO'!P$35:P$37,'KM POR UNIDAD'!A6,'GRIJALVA VALDEZ CESAR EUSEBIO'!U$35:U$37)+SUMIF('PACHECO BAÑUELOS ALFONSO'!P$39:P$41,'KM POR UNIDAD'!A6,'PACHECO BAÑUELOS ALFONSO'!U$39:U$41)+SUMIF('RODRIGUEZ VALLES JOSE FRANCISCO'!P$40:P$42,'KM POR UNIDAD'!A6,'RODRIGUEZ VALLES JOSE FRANCISCO'!U$40:U$42)+SUMIF('SANCHEZ GUERRERO JOSE LUIS'!P$40:P$42,A6,'SANCHEZ GUERRERO JOSE LUIS'!U$40:U$42)+SUMIF('RUEDA SALAZAR ISMAEL'!P$35:P$37,'KM POR UNIDAD'!A6,'RUEDA SALAZAR ISMAEL'!U$35:U$37)+SUMIF('GUZMAN MORALES'!P$40:P$42,'KM POR UNIDAD'!A6,'GUZMAN MORALES'!U$40:U$42)+SUMIF('RODRIGUEZ RAMIREZ FERNANDO'!P$35:P$37,'KM POR UNIDAD'!A6,'RODRIGUEZ RAMIREZ FERNANDO'!U$35:U$37)+SUMIF('ESTRADA ARELLANO ARTURO'!P$40:P$42,'KM POR UNIDAD'!A6,'ESTRADA ARELLANO ARTURO'!U$40:U$42)+SUMIF('HERNANDEZ CONTRERAS JOSE FERNAN'!P$37:P$39,'KM POR UNIDAD'!A6,'HERNANDEZ CONTRERAS JOSE FERNAN'!U$37:U$39)+SUMIF('SALAZAR PEREZ JUAN CARLOS'!P$38:P$40,'KM POR UNIDAD'!A6,'SALAZAR PEREZ JUAN CARLOS'!U$38:U$40)+SUMIF('HARO IMPERIAL JOSÉ ANTONIO'!P$41:P$43,'KM POR UNIDAD'!A6,'HARO IMPERIAL JOSÉ ANTONIO'!U$41:$U46)+SUMIF('ESCARCEGA GALDEAN JESUS OMAR'!P$38:P$40,'KM POR UNIDAD'!A6,'ESCARCEGA GALDEAN JESUS OMAR'!U$38:U$40)</f>
        <v>0</v>
      </c>
      <c r="C6" s="166">
        <f>+SUMIF('LIRA TRISTAN JOSE ANGEL'!P$36:P$38,'KM POR UNIDAD'!A6,'LIRA TRISTAN JOSE ANGEL'!T$36:T$38)+SUMIF('TORRES GARAY LUIS HUMBERTO'!P$38:P$40,'KM POR UNIDAD'!A6,'TORRES GARAY LUIS HUMBERTO'!T$38:T$40)+SUMIF('CERDA HERNANDEZ JOSE LUIS'!P$35:P$37,'KM POR UNIDAD'!A6,'CERDA HERNANDEZ JOSE LUIS'!T$35:T$37)+SUMIF('RUIZ ALVARADO PEDRO'!P$32:P$34,'KM POR UNIDAD'!A6,'RUIZ ALVARADO PEDRO'!T$32:T$34)+SUMIF('NEVAREZ JUAN MANUEL'!P$37:P$39,'KM POR UNIDAD'!A6,'NEVAREZ JUAN MANUEL'!T$37:T$39)+SUMIF('CHAVEZ VARELA NESTOR ADRIAN'!P$35:P$37,'KM POR UNIDAD'!A6,'CHAVEZ VARELA NESTOR ADRIAN'!T$35:T$37)+SUMIF('PAYAN ESTRADA JOSE ANGEL'!P$37:P$39,'KM POR UNIDAD'!A6,'PAYAN ESTRADA JOSE ANGEL'!T$37:T$39)+SUMIF('RUIZ HERRERA ERICK '!P$33:P$35,'KM POR UNIDAD'!A6,'RUIZ HERRERA ERICK '!T$33:T$35)+SUMIF('GONZALEZ LOZANO ENRIQUE '!P$38:P$40,'KM POR UNIDAD'!A6,'GONZALEZ LOZANO ENRIQUE '!T$38:T$40)+SUMIF('GONZALEZ MARTINEZ MAURICIO'!P$38:P$40,'KM POR UNIDAD'!A6,'GONZALEZ MARTINEZ MAURICIO'!T$38:T$40)+SUMIF('GONZALEZ SOTO JOEL'!P$39:P$41,'KM POR UNIDAD'!A6,'GONZALEZ SOTO JOEL'!T$39:T$41)+SUMIF('MARTA RUBIO MARTIN'!P$39:P$41,'KM POR UNIDAD'!A6,'MARTA RUBIO MARTIN'!T$39:T$41)+SUMIF('GRIJALVA VALDEZ CESAR EUSEBIO'!P$35:P$37,'KM POR UNIDAD'!A6,'GRIJALVA VALDEZ CESAR EUSEBIO'!T$35:T$37)+SUMIF('PACHECO BAÑUELOS ALFONSO'!P$39:P$41,'KM POR UNIDAD'!A6,'PACHECO BAÑUELOS ALFONSO'!T$39:T$41)+SUMIF('RODRIGUEZ VALLES JOSE FRANCISCO'!P$40:P$42,'KM POR UNIDAD'!A6,'RODRIGUEZ VALLES JOSE FRANCISCO'!T$40:T$42)+SUMIF('SANCHEZ GUERRERO JOSE LUIS'!P$40:P$42,A6,'SANCHEZ GUERRERO JOSE LUIS'!T$40:T$42)+SUMIF('RUEDA SALAZAR ISMAEL'!P$35:P$37,'KM POR UNIDAD'!A6,'RUEDA SALAZAR ISMAEL'!T$35:T$37)+SUMIF('GUZMAN MORALES'!P$40:P$42,'KM POR UNIDAD'!A6,'GUZMAN MORALES'!T$40:T$42)+SUMIF('RODRIGUEZ RAMIREZ FERNANDO'!P$35:P$37,'KM POR UNIDAD'!A6,'RODRIGUEZ RAMIREZ FERNANDO'!T$35:T$37)+SUMIF('ESTRADA ARELLANO ARTURO'!P$40:P$42,'KM POR UNIDAD'!A6,'ESTRADA ARELLANO ARTURO'!T$40:T$42)+SUMIF('HERNANDEZ CONTRERAS JOSE FERNAN'!P$37:P$39,'KM POR UNIDAD'!A6,'HERNANDEZ CONTRERAS JOSE FERNAN'!T$37:T$39)+SUMIF('SALAZAR PEREZ JUAN CARLOS'!P$38:P$40,'KM POR UNIDAD'!A6,'SALAZAR PEREZ JUAN CARLOS'!T$38:T$40)+SUMIF('HARO IMPERIAL JOSÉ ANTONIO'!P$41:P$43,'KM POR UNIDAD'!A6,'HARO IMPERIAL JOSÉ ANTONIO'!T$41:T$43)+SUMIF('ESCARCEGA GALDEAN JESUS OMAR'!P$38:P$40,'KM POR UNIDAD'!A6,'ESCARCEGA GALDEAN JESUS OMAR'!T$38:T$40)</f>
        <v>0</v>
      </c>
      <c r="D6" s="189">
        <f>+SUMIF('LIRA TRISTAN JOSE ANGEL'!P$36:P$38,'KM POR UNIDAD'!A6,'LIRA TRISTAN JOSE ANGEL'!V$36:V$38)+SUMIF('TORRES GARAY LUIS HUMBERTO'!P$38:P$40,'KM POR UNIDAD'!A6,'TORRES GARAY LUIS HUMBERTO'!V$38:V$40)+SUMIF('CERDA HERNANDEZ JOSE LUIS'!P$35:P$37,'KM POR UNIDAD'!A6,'CERDA HERNANDEZ JOSE LUIS'!V$35:V$37)+SUMIF('RUIZ ALVARADO PEDRO'!P$32:P$34,'KM POR UNIDAD'!A6,'RUIZ ALVARADO PEDRO'!V$32:V$34)+SUMIF('NEVAREZ JUAN MANUEL'!P$37:P$39,'KM POR UNIDAD'!A6,'NEVAREZ JUAN MANUEL'!V$37:V$39)+SUMIF('CHAVEZ VARELA NESTOR ADRIAN'!P$35:P$37,'KM POR UNIDAD'!A6,'CHAVEZ VARELA NESTOR ADRIAN'!V$35:V$37)+SUMIF('PAYAN ESTRADA JOSE ANGEL'!P$37:P$39,'KM POR UNIDAD'!A6,'PAYAN ESTRADA JOSE ANGEL'!V$37:V$39)+SUMIF('RUIZ HERRERA ERICK '!P$33:P$35,'KM POR UNIDAD'!A6,'RUIZ HERRERA ERICK '!V$33:V$35)+SUMIF('GONZALEZ LOZANO ENRIQUE '!P$38:P$40,'KM POR UNIDAD'!A6,'GONZALEZ LOZANO ENRIQUE '!V$38:V$40)+SUMIF('GONZALEZ MARTINEZ MAURICIO'!P$38:P$40,'KM POR UNIDAD'!A6,'GONZALEZ MARTINEZ MAURICIO'!V$38:V$40)+SUMIF('GONZALEZ SOTO JOEL'!P$39:P$41,'KM POR UNIDAD'!A6,'GONZALEZ SOTO JOEL'!V$39:V$41)+SUMIF('MARTA RUBIO MARTIN'!P$39:P$41,'KM POR UNIDAD'!A6,'MARTA RUBIO MARTIN'!V$39:V$41)+SUMIF('GRIJALVA VALDEZ CESAR EUSEBIO'!P$35:P$37,'KM POR UNIDAD'!A6,'GRIJALVA VALDEZ CESAR EUSEBIO'!V$35:V$37)+SUMIF('PACHECO BAÑUELOS ALFONSO'!P$39:P$41,'KM POR UNIDAD'!A6,'PACHECO BAÑUELOS ALFONSO'!V$39:V$41)+SUMIF('RODRIGUEZ VALLES JOSE FRANCISCO'!P$40:P$42,'KM POR UNIDAD'!A6,'RODRIGUEZ VALLES JOSE FRANCISCO'!V$40:V$42)+SUMIF('SANCHEZ GUERRERO JOSE LUIS'!P$40:P$42,A6,'SANCHEZ GUERRERO JOSE LUIS'!V$40:V$42)+SUMIF('RUEDA SALAZAR ISMAEL'!P$35:P$37,'KM POR UNIDAD'!A6,'RUEDA SALAZAR ISMAEL'!V$35:V$37)+SUMIF('GUZMAN MORALES'!P$40:P$42,'KM POR UNIDAD'!A6,'GUZMAN MORALES'!V$40:V$42)+SUMIF('RODRIGUEZ RAMIREZ FERNANDO'!P$35:P$37,'KM POR UNIDAD'!A6,'RODRIGUEZ RAMIREZ FERNANDO'!V$35:V$37)+SUMIF('ESTRADA ARELLANO ARTURO'!P$40:P$42,'KM POR UNIDAD'!A6,'ESTRADA ARELLANO ARTURO'!V$40:V$42)+SUMIF('HERNANDEZ CONTRERAS JOSE FERNAN'!P$37:P$39,'KM POR UNIDAD'!A6,'HERNANDEZ CONTRERAS JOSE FERNAN'!V$38:V$40)+SUMIF('SALAZAR PEREZ JUAN CARLOS'!P$38:P$40,'KM POR UNIDAD'!A6,'SALAZAR PEREZ JUAN CARLOS'!V$38:V$40)+SUMIF('HARO IMPERIAL JOSÉ ANTONIO'!P$41:P$43,'KM POR UNIDAD'!A6,'HARO IMPERIAL JOSÉ ANTONIO'!V$41:V$43)+SUMIF('ESCARCEGA GALDEAN JESUS OMAR'!P$38:P$40,'KM POR UNIDAD'!A6,'ESCARCEGA GALDEAN JESUS OMAR'!V$38:V$40)</f>
        <v>0</v>
      </c>
      <c r="E6" s="167">
        <f t="shared" si="1"/>
        <v>0</v>
      </c>
      <c r="F6" s="168">
        <v>0</v>
      </c>
      <c r="G6" s="168">
        <v>0</v>
      </c>
      <c r="H6" s="168">
        <v>0</v>
      </c>
      <c r="I6" s="169">
        <f t="shared" si="0"/>
        <v>0</v>
      </c>
      <c r="J6" s="170"/>
      <c r="K6" s="171"/>
    </row>
    <row r="7" spans="1:11" x14ac:dyDescent="0.25">
      <c r="A7" s="165" t="s">
        <v>130</v>
      </c>
      <c r="B7" s="166">
        <f>SUMIF('LIRA TRISTAN JOSE ANGEL'!P$36:P$38,'KM POR UNIDAD'!A7,'LIRA TRISTAN JOSE ANGEL'!U$36:U$38)+SUMIF('TORRES GARAY LUIS HUMBERTO'!P$38:P$40,'KM POR UNIDAD'!A7,'TORRES GARAY LUIS HUMBERTO'!U$38:U$40)+SUMIF('CERDA HERNANDEZ JOSE LUIS'!P$35:P$37,'KM POR UNIDAD'!A7,'CERDA HERNANDEZ JOSE LUIS'!U$35:U$37)+SUMIF('RUIZ ALVARADO PEDRO'!P$32:P$34,'KM POR UNIDAD'!A7,'RUIZ ALVARADO PEDRO'!U$32:U$34)+SUMIF('NEVAREZ JUAN MANUEL'!P$37:P$39,'KM POR UNIDAD'!A7,'NEVAREZ JUAN MANUEL'!U$37:U$39)+SUMIF('CHAVEZ VARELA NESTOR ADRIAN'!P$35:P$37,'KM POR UNIDAD'!A7,'CHAVEZ VARELA NESTOR ADRIAN'!U$35:U$37)+SUMIF('PAYAN ESTRADA JOSE ANGEL'!P$37:P$39,'KM POR UNIDAD'!A7,'PAYAN ESTRADA JOSE ANGEL'!U$37:U$39)+SUMIF('RUIZ HERRERA ERICK '!P$33:P$35,'KM POR UNIDAD'!A7,'RUIZ HERRERA ERICK '!U$33:U$35)+SUMIF('GONZALEZ LOZANO ENRIQUE '!P$38:P$40,'KM POR UNIDAD'!A7,'GONZALEZ LOZANO ENRIQUE '!U$38:U$40)+SUMIF('GONZALEZ MARTINEZ MAURICIO'!P$38:P$40,'KM POR UNIDAD'!A7,'GONZALEZ MARTINEZ MAURICIO'!U$38:U$40)+SUMIF('GONZALEZ SOTO JOEL'!P$39:P$41,'KM POR UNIDAD'!A7,'GONZALEZ SOTO JOEL'!U$39:U$41)+SUMIF('MARTA RUBIO MARTIN'!P$39:P$41,'KM POR UNIDAD'!A7,'MARTA RUBIO MARTIN'!U$39:U$41)+SUMIF('GRIJALVA VALDEZ CESAR EUSEBIO'!P$35:P$37,'KM POR UNIDAD'!A7,'GRIJALVA VALDEZ CESAR EUSEBIO'!U$35:U$37)+SUMIF('PACHECO BAÑUELOS ALFONSO'!P$39:P$41,'KM POR UNIDAD'!A7,'PACHECO BAÑUELOS ALFONSO'!U$39:U$41)+SUMIF('RODRIGUEZ VALLES JOSE FRANCISCO'!P$40:P$42,'KM POR UNIDAD'!A7,'RODRIGUEZ VALLES JOSE FRANCISCO'!U$40:U$42)+SUMIF('SANCHEZ GUERRERO JOSE LUIS'!P$40:P$42,A7,'SANCHEZ GUERRERO JOSE LUIS'!U$40:U$42)+SUMIF('RUEDA SALAZAR ISMAEL'!P$35:P$37,'KM POR UNIDAD'!A7,'RUEDA SALAZAR ISMAEL'!U$35:U$37)+SUMIF('GUZMAN MORALES'!P$40:P$42,'KM POR UNIDAD'!A7,'GUZMAN MORALES'!U$40:U$42)+SUMIF('RODRIGUEZ RAMIREZ FERNANDO'!P$35:P$37,'KM POR UNIDAD'!A7,'RODRIGUEZ RAMIREZ FERNANDO'!U$35:U$37)+SUMIF('ESTRADA ARELLANO ARTURO'!P$40:P$42,'KM POR UNIDAD'!A7,'ESTRADA ARELLANO ARTURO'!U$40:U$42)+SUMIF('HERNANDEZ CONTRERAS JOSE FERNAN'!P$37:P$39,'KM POR UNIDAD'!A7,'HERNANDEZ CONTRERAS JOSE FERNAN'!U$37:U$39)+SUMIF('SALAZAR PEREZ JUAN CARLOS'!P$38:P$40,'KM POR UNIDAD'!A7,'SALAZAR PEREZ JUAN CARLOS'!U$38:U$40)+SUMIF('HARO IMPERIAL JOSÉ ANTONIO'!P$41:P$43,'KM POR UNIDAD'!A7,'HARO IMPERIAL JOSÉ ANTONIO'!U$41:$U47)+SUMIF('ESCARCEGA GALDEAN JESUS OMAR'!P$38:P$40,'KM POR UNIDAD'!A7,'ESCARCEGA GALDEAN JESUS OMAR'!U$38:U$40)</f>
        <v>0</v>
      </c>
      <c r="C7" s="166">
        <f>+SUMIF('LIRA TRISTAN JOSE ANGEL'!P$36:P$38,'KM POR UNIDAD'!A7,'LIRA TRISTAN JOSE ANGEL'!T$36:T$38)+SUMIF('TORRES GARAY LUIS HUMBERTO'!P$38:P$40,'KM POR UNIDAD'!A7,'TORRES GARAY LUIS HUMBERTO'!T$38:T$40)+SUMIF('CERDA HERNANDEZ JOSE LUIS'!P$35:P$37,'KM POR UNIDAD'!A7,'CERDA HERNANDEZ JOSE LUIS'!T$35:T$37)+SUMIF('RUIZ ALVARADO PEDRO'!P$32:P$34,'KM POR UNIDAD'!A7,'RUIZ ALVARADO PEDRO'!T$32:T$34)+SUMIF('NEVAREZ JUAN MANUEL'!P$37:P$39,'KM POR UNIDAD'!A7,'NEVAREZ JUAN MANUEL'!T$37:T$39)+SUMIF('CHAVEZ VARELA NESTOR ADRIAN'!P$35:P$37,'KM POR UNIDAD'!A7,'CHAVEZ VARELA NESTOR ADRIAN'!T$35:T$37)+SUMIF('PAYAN ESTRADA JOSE ANGEL'!P$37:P$39,'KM POR UNIDAD'!A7,'PAYAN ESTRADA JOSE ANGEL'!T$37:T$39)+SUMIF('RUIZ HERRERA ERICK '!P$33:P$35,'KM POR UNIDAD'!A7,'RUIZ HERRERA ERICK '!T$33:T$35)+SUMIF('GONZALEZ LOZANO ENRIQUE '!P$38:P$40,'KM POR UNIDAD'!A7,'GONZALEZ LOZANO ENRIQUE '!T$38:T$40)+SUMIF('GONZALEZ MARTINEZ MAURICIO'!P$38:P$40,'KM POR UNIDAD'!A7,'GONZALEZ MARTINEZ MAURICIO'!T$38:T$40)+SUMIF('GONZALEZ SOTO JOEL'!P$39:P$41,'KM POR UNIDAD'!A7,'GONZALEZ SOTO JOEL'!T$39:T$41)+SUMIF('MARTA RUBIO MARTIN'!P$39:P$41,'KM POR UNIDAD'!A7,'MARTA RUBIO MARTIN'!T$39:T$41)+SUMIF('GRIJALVA VALDEZ CESAR EUSEBIO'!P$35:P$37,'KM POR UNIDAD'!A7,'GRIJALVA VALDEZ CESAR EUSEBIO'!T$35:T$37)+SUMIF('PACHECO BAÑUELOS ALFONSO'!P$39:P$41,'KM POR UNIDAD'!A7,'PACHECO BAÑUELOS ALFONSO'!T$39:T$41)+SUMIF('RODRIGUEZ VALLES JOSE FRANCISCO'!P$40:P$42,'KM POR UNIDAD'!A7,'RODRIGUEZ VALLES JOSE FRANCISCO'!T$40:T$42)+SUMIF('SANCHEZ GUERRERO JOSE LUIS'!P$40:P$42,A7,'SANCHEZ GUERRERO JOSE LUIS'!T$40:T$42)+SUMIF('RUEDA SALAZAR ISMAEL'!P$35:P$37,'KM POR UNIDAD'!A7,'RUEDA SALAZAR ISMAEL'!T$35:T$37)+SUMIF('GUZMAN MORALES'!P$40:P$42,'KM POR UNIDAD'!A7,'GUZMAN MORALES'!T$40:T$42)+SUMIF('RODRIGUEZ RAMIREZ FERNANDO'!P$35:P$37,'KM POR UNIDAD'!A7,'RODRIGUEZ RAMIREZ FERNANDO'!T$35:T$37)+SUMIF('ESTRADA ARELLANO ARTURO'!P$40:P$42,'KM POR UNIDAD'!A7,'ESTRADA ARELLANO ARTURO'!T$40:T$42)+SUMIF('HERNANDEZ CONTRERAS JOSE FERNAN'!P$37:P$39,'KM POR UNIDAD'!A7,'HERNANDEZ CONTRERAS JOSE FERNAN'!T$37:T$39)+SUMIF('SALAZAR PEREZ JUAN CARLOS'!P$38:P$40,'KM POR UNIDAD'!A7,'SALAZAR PEREZ JUAN CARLOS'!T$38:T$40)+SUMIF('HARO IMPERIAL JOSÉ ANTONIO'!P$41:P$43,'KM POR UNIDAD'!A7,'HARO IMPERIAL JOSÉ ANTONIO'!T$41:T$43)+SUMIF('ESCARCEGA GALDEAN JESUS OMAR'!P$38:P$40,'KM POR UNIDAD'!A7,'ESCARCEGA GALDEAN JESUS OMAR'!T$38:T$40)</f>
        <v>0</v>
      </c>
      <c r="D7" s="189">
        <f>+SUMIF('LIRA TRISTAN JOSE ANGEL'!P$36:P$38,'KM POR UNIDAD'!A7,'LIRA TRISTAN JOSE ANGEL'!V$36:V$38)+SUMIF('TORRES GARAY LUIS HUMBERTO'!P$38:P$40,'KM POR UNIDAD'!A7,'TORRES GARAY LUIS HUMBERTO'!V$38:V$40)+SUMIF('CERDA HERNANDEZ JOSE LUIS'!P$35:P$37,'KM POR UNIDAD'!A7,'CERDA HERNANDEZ JOSE LUIS'!V$35:V$37)+SUMIF('RUIZ ALVARADO PEDRO'!P$32:P$34,'KM POR UNIDAD'!A7,'RUIZ ALVARADO PEDRO'!V$32:V$34)+SUMIF('NEVAREZ JUAN MANUEL'!P$37:P$39,'KM POR UNIDAD'!A7,'NEVAREZ JUAN MANUEL'!V$37:V$39)+SUMIF('CHAVEZ VARELA NESTOR ADRIAN'!P$35:P$37,'KM POR UNIDAD'!A7,'CHAVEZ VARELA NESTOR ADRIAN'!V$35:V$37)+SUMIF('PAYAN ESTRADA JOSE ANGEL'!P$37:P$39,'KM POR UNIDAD'!A7,'PAYAN ESTRADA JOSE ANGEL'!V$37:V$39)+SUMIF('RUIZ HERRERA ERICK '!P$33:P$35,'KM POR UNIDAD'!A7,'RUIZ HERRERA ERICK '!V$33:V$35)+SUMIF('GONZALEZ LOZANO ENRIQUE '!P$38:P$40,'KM POR UNIDAD'!A7,'GONZALEZ LOZANO ENRIQUE '!V$38:V$40)+SUMIF('GONZALEZ MARTINEZ MAURICIO'!P$38:P$40,'KM POR UNIDAD'!A7,'GONZALEZ MARTINEZ MAURICIO'!V$38:V$40)+SUMIF('GONZALEZ SOTO JOEL'!P$39:P$41,'KM POR UNIDAD'!A7,'GONZALEZ SOTO JOEL'!V$39:V$41)+SUMIF('MARTA RUBIO MARTIN'!P$39:P$41,'KM POR UNIDAD'!A7,'MARTA RUBIO MARTIN'!V$39:V$41)+SUMIF('GRIJALVA VALDEZ CESAR EUSEBIO'!P$35:P$37,'KM POR UNIDAD'!A7,'GRIJALVA VALDEZ CESAR EUSEBIO'!V$35:V$37)+SUMIF('PACHECO BAÑUELOS ALFONSO'!P$39:P$41,'KM POR UNIDAD'!A7,'PACHECO BAÑUELOS ALFONSO'!V$39:V$41)+SUMIF('RODRIGUEZ VALLES JOSE FRANCISCO'!P$40:P$42,'KM POR UNIDAD'!A7,'RODRIGUEZ VALLES JOSE FRANCISCO'!V$40:V$42)+SUMIF('SANCHEZ GUERRERO JOSE LUIS'!P$40:P$42,A7,'SANCHEZ GUERRERO JOSE LUIS'!V$40:V$42)+SUMIF('RUEDA SALAZAR ISMAEL'!P$35:P$37,'KM POR UNIDAD'!A7,'RUEDA SALAZAR ISMAEL'!V$35:V$37)+SUMIF('GUZMAN MORALES'!P$40:P$42,'KM POR UNIDAD'!A7,'GUZMAN MORALES'!V$40:V$42)+SUMIF('RODRIGUEZ RAMIREZ FERNANDO'!P$35:P$37,'KM POR UNIDAD'!A7,'RODRIGUEZ RAMIREZ FERNANDO'!V$35:V$37)+SUMIF('ESTRADA ARELLANO ARTURO'!P$40:P$42,'KM POR UNIDAD'!A7,'ESTRADA ARELLANO ARTURO'!V$40:V$42)+SUMIF('HERNANDEZ CONTRERAS JOSE FERNAN'!P$37:P$39,'KM POR UNIDAD'!A7,'HERNANDEZ CONTRERAS JOSE FERNAN'!V$38:V$40)+SUMIF('SALAZAR PEREZ JUAN CARLOS'!P$38:P$40,'KM POR UNIDAD'!A7,'SALAZAR PEREZ JUAN CARLOS'!V$38:V$40)+SUMIF('HARO IMPERIAL JOSÉ ANTONIO'!P$41:P$43,'KM POR UNIDAD'!A7,'HARO IMPERIAL JOSÉ ANTONIO'!V$41:V$43)+SUMIF('ESCARCEGA GALDEAN JESUS OMAR'!P$38:P$40,'KM POR UNIDAD'!A7,'ESCARCEGA GALDEAN JESUS OMAR'!V$38:V$40)</f>
        <v>0</v>
      </c>
      <c r="E7" s="167">
        <f>IFERROR(B7/D7,0)</f>
        <v>0</v>
      </c>
      <c r="F7" s="168">
        <v>0</v>
      </c>
      <c r="G7" s="168">
        <v>0</v>
      </c>
      <c r="H7" s="168">
        <v>0</v>
      </c>
      <c r="I7" s="169">
        <f t="shared" si="0"/>
        <v>0</v>
      </c>
      <c r="J7" s="170"/>
      <c r="K7" s="171"/>
    </row>
    <row r="8" spans="1:11" x14ac:dyDescent="0.25">
      <c r="A8" s="165" t="s">
        <v>131</v>
      </c>
      <c r="B8" s="166">
        <f>SUMIF('LIRA TRISTAN JOSE ANGEL'!P$36:P$38,'KM POR UNIDAD'!A8,'LIRA TRISTAN JOSE ANGEL'!U$36:U$38)+SUMIF('TORRES GARAY LUIS HUMBERTO'!P$38:P$40,'KM POR UNIDAD'!A8,'TORRES GARAY LUIS HUMBERTO'!U$38:U$40)+SUMIF('CERDA HERNANDEZ JOSE LUIS'!P$35:P$37,'KM POR UNIDAD'!A8,'CERDA HERNANDEZ JOSE LUIS'!U$35:U$37)+SUMIF('RUIZ ALVARADO PEDRO'!P$32:P$34,'KM POR UNIDAD'!A8,'RUIZ ALVARADO PEDRO'!U$32:U$34)+SUMIF('NEVAREZ JUAN MANUEL'!P$37:P$39,'KM POR UNIDAD'!A8,'NEVAREZ JUAN MANUEL'!U$37:U$39)+SUMIF('CHAVEZ VARELA NESTOR ADRIAN'!P$35:P$37,'KM POR UNIDAD'!A8,'CHAVEZ VARELA NESTOR ADRIAN'!U$35:U$37)+SUMIF('PAYAN ESTRADA JOSE ANGEL'!P$37:P$39,'KM POR UNIDAD'!A8,'PAYAN ESTRADA JOSE ANGEL'!U$37:U$39)+SUMIF('RUIZ HERRERA ERICK '!P$33:P$35,'KM POR UNIDAD'!A8,'RUIZ HERRERA ERICK '!U$33:U$35)+SUMIF('GONZALEZ LOZANO ENRIQUE '!P$38:P$40,'KM POR UNIDAD'!A8,'GONZALEZ LOZANO ENRIQUE '!U$38:U$40)+SUMIF('GONZALEZ MARTINEZ MAURICIO'!P$38:P$40,'KM POR UNIDAD'!A8,'GONZALEZ MARTINEZ MAURICIO'!U$38:U$40)+SUMIF('GONZALEZ SOTO JOEL'!P$39:P$41,'KM POR UNIDAD'!A8,'GONZALEZ SOTO JOEL'!U$39:U$41)+SUMIF('MARTA RUBIO MARTIN'!P$39:P$41,'KM POR UNIDAD'!A8,'MARTA RUBIO MARTIN'!U$39:U$41)+SUMIF('GRIJALVA VALDEZ CESAR EUSEBIO'!P$35:P$37,'KM POR UNIDAD'!A8,'GRIJALVA VALDEZ CESAR EUSEBIO'!U$35:U$37)+SUMIF('PACHECO BAÑUELOS ALFONSO'!P$39:P$41,'KM POR UNIDAD'!A8,'PACHECO BAÑUELOS ALFONSO'!U$39:U$41)+SUMIF('RODRIGUEZ VALLES JOSE FRANCISCO'!P$40:P$42,'KM POR UNIDAD'!A8,'RODRIGUEZ VALLES JOSE FRANCISCO'!U$40:U$42)+SUMIF('SANCHEZ GUERRERO JOSE LUIS'!P$40:P$42,A8,'SANCHEZ GUERRERO JOSE LUIS'!U$40:U$42)+SUMIF('RUEDA SALAZAR ISMAEL'!P$35:P$37,'KM POR UNIDAD'!A8,'RUEDA SALAZAR ISMAEL'!U$35:U$37)+SUMIF('GUZMAN MORALES'!P$40:P$42,'KM POR UNIDAD'!A8,'GUZMAN MORALES'!U$40:U$42)+SUMIF('RODRIGUEZ RAMIREZ FERNANDO'!P$35:P$37,'KM POR UNIDAD'!A8,'RODRIGUEZ RAMIREZ FERNANDO'!U$35:U$37)+SUMIF('ESTRADA ARELLANO ARTURO'!P$40:P$42,'KM POR UNIDAD'!A8,'ESTRADA ARELLANO ARTURO'!U$40:U$42)+SUMIF('HERNANDEZ CONTRERAS JOSE FERNAN'!P$37:P$39,'KM POR UNIDAD'!A8,'HERNANDEZ CONTRERAS JOSE FERNAN'!U$37:U$39)+SUMIF('SALAZAR PEREZ JUAN CARLOS'!P$38:P$40,'KM POR UNIDAD'!A8,'SALAZAR PEREZ JUAN CARLOS'!U$38:U$40)+SUMIF('HARO IMPERIAL JOSÉ ANTONIO'!P$41:P$43,'KM POR UNIDAD'!A8,'HARO IMPERIAL JOSÉ ANTONIO'!U$41:$U48)+SUMIF('ESCARCEGA GALDEAN JESUS OMAR'!P$38:P$40,'KM POR UNIDAD'!A8,'ESCARCEGA GALDEAN JESUS OMAR'!U$38:U$40)</f>
        <v>0</v>
      </c>
      <c r="C8" s="166">
        <f>+SUMIF('LIRA TRISTAN JOSE ANGEL'!P$36:P$38,'KM POR UNIDAD'!A8,'LIRA TRISTAN JOSE ANGEL'!T$36:T$38)+SUMIF('TORRES GARAY LUIS HUMBERTO'!P$38:P$40,'KM POR UNIDAD'!A8,'TORRES GARAY LUIS HUMBERTO'!T$38:T$40)+SUMIF('CERDA HERNANDEZ JOSE LUIS'!P$35:P$37,'KM POR UNIDAD'!A8,'CERDA HERNANDEZ JOSE LUIS'!T$35:T$37)+SUMIF('RUIZ ALVARADO PEDRO'!P$32:P$34,'KM POR UNIDAD'!A8,'RUIZ ALVARADO PEDRO'!T$32:T$34)+SUMIF('NEVAREZ JUAN MANUEL'!P$37:P$39,'KM POR UNIDAD'!A8,'NEVAREZ JUAN MANUEL'!T$37:T$39)+SUMIF('CHAVEZ VARELA NESTOR ADRIAN'!P$35:P$37,'KM POR UNIDAD'!A8,'CHAVEZ VARELA NESTOR ADRIAN'!T$35:T$37)+SUMIF('PAYAN ESTRADA JOSE ANGEL'!P$37:P$39,'KM POR UNIDAD'!A8,'PAYAN ESTRADA JOSE ANGEL'!T$37:T$39)+SUMIF('RUIZ HERRERA ERICK '!P$33:P$35,'KM POR UNIDAD'!A8,'RUIZ HERRERA ERICK '!T$33:T$35)+SUMIF('GONZALEZ LOZANO ENRIQUE '!P$38:P$40,'KM POR UNIDAD'!A8,'GONZALEZ LOZANO ENRIQUE '!T$38:T$40)+SUMIF('GONZALEZ MARTINEZ MAURICIO'!P$38:P$40,'KM POR UNIDAD'!A8,'GONZALEZ MARTINEZ MAURICIO'!T$38:T$40)+SUMIF('GONZALEZ SOTO JOEL'!P$39:P$41,'KM POR UNIDAD'!A8,'GONZALEZ SOTO JOEL'!T$39:T$41)+SUMIF('MARTA RUBIO MARTIN'!P$39:P$41,'KM POR UNIDAD'!A8,'MARTA RUBIO MARTIN'!T$39:T$41)+SUMIF('GRIJALVA VALDEZ CESAR EUSEBIO'!P$35:P$37,'KM POR UNIDAD'!A8,'GRIJALVA VALDEZ CESAR EUSEBIO'!T$35:T$37)+SUMIF('PACHECO BAÑUELOS ALFONSO'!P$39:P$41,'KM POR UNIDAD'!A8,'PACHECO BAÑUELOS ALFONSO'!T$39:T$41)+SUMIF('RODRIGUEZ VALLES JOSE FRANCISCO'!P$40:P$42,'KM POR UNIDAD'!A8,'RODRIGUEZ VALLES JOSE FRANCISCO'!T$40:T$42)+SUMIF('SANCHEZ GUERRERO JOSE LUIS'!P$40:P$42,A8,'SANCHEZ GUERRERO JOSE LUIS'!T$40:T$42)+SUMIF('RUEDA SALAZAR ISMAEL'!P$35:P$37,'KM POR UNIDAD'!A8,'RUEDA SALAZAR ISMAEL'!T$35:T$37)+SUMIF('GUZMAN MORALES'!P$40:P$42,'KM POR UNIDAD'!A8,'GUZMAN MORALES'!T$40:T$42)+SUMIF('RODRIGUEZ RAMIREZ FERNANDO'!P$35:P$37,'KM POR UNIDAD'!A8,'RODRIGUEZ RAMIREZ FERNANDO'!T$35:T$37)+SUMIF('ESTRADA ARELLANO ARTURO'!P$40:P$42,'KM POR UNIDAD'!A8,'ESTRADA ARELLANO ARTURO'!T$40:T$42)+SUMIF('HERNANDEZ CONTRERAS JOSE FERNAN'!P$37:P$39,'KM POR UNIDAD'!A8,'HERNANDEZ CONTRERAS JOSE FERNAN'!T$37:T$39)+SUMIF('SALAZAR PEREZ JUAN CARLOS'!P$38:P$40,'KM POR UNIDAD'!A8,'SALAZAR PEREZ JUAN CARLOS'!T$38:T$40)+SUMIF('HARO IMPERIAL JOSÉ ANTONIO'!P$41:P$43,'KM POR UNIDAD'!A8,'HARO IMPERIAL JOSÉ ANTONIO'!T$41:T$43)+SUMIF('ESCARCEGA GALDEAN JESUS OMAR'!P$38:P$40,'KM POR UNIDAD'!A8,'ESCARCEGA GALDEAN JESUS OMAR'!T$38:T$40)</f>
        <v>0</v>
      </c>
      <c r="D8" s="189">
        <f>+SUMIF('LIRA TRISTAN JOSE ANGEL'!P$36:P$38,'KM POR UNIDAD'!A8,'LIRA TRISTAN JOSE ANGEL'!V$36:V$38)+SUMIF('TORRES GARAY LUIS HUMBERTO'!P$38:P$40,'KM POR UNIDAD'!A8,'TORRES GARAY LUIS HUMBERTO'!V$38:V$40)+SUMIF('CERDA HERNANDEZ JOSE LUIS'!P$35:P$37,'KM POR UNIDAD'!A8,'CERDA HERNANDEZ JOSE LUIS'!V$35:V$37)+SUMIF('RUIZ ALVARADO PEDRO'!P$32:P$34,'KM POR UNIDAD'!A8,'RUIZ ALVARADO PEDRO'!V$32:V$34)+SUMIF('NEVAREZ JUAN MANUEL'!P$37:P$39,'KM POR UNIDAD'!A8,'NEVAREZ JUAN MANUEL'!V$37:V$39)+SUMIF('CHAVEZ VARELA NESTOR ADRIAN'!P$35:P$37,'KM POR UNIDAD'!A8,'CHAVEZ VARELA NESTOR ADRIAN'!V$35:V$37)+SUMIF('PAYAN ESTRADA JOSE ANGEL'!P$37:P$39,'KM POR UNIDAD'!A8,'PAYAN ESTRADA JOSE ANGEL'!V$37:V$39)+SUMIF('RUIZ HERRERA ERICK '!P$33:P$35,'KM POR UNIDAD'!A8,'RUIZ HERRERA ERICK '!V$33:V$35)+SUMIF('GONZALEZ LOZANO ENRIQUE '!P$38:P$40,'KM POR UNIDAD'!A8,'GONZALEZ LOZANO ENRIQUE '!V$38:V$40)+SUMIF('GONZALEZ MARTINEZ MAURICIO'!P$38:P$40,'KM POR UNIDAD'!A8,'GONZALEZ MARTINEZ MAURICIO'!V$38:V$40)+SUMIF('GONZALEZ SOTO JOEL'!P$39:P$41,'KM POR UNIDAD'!A8,'GONZALEZ SOTO JOEL'!V$39:V$41)+SUMIF('MARTA RUBIO MARTIN'!P$39:P$41,'KM POR UNIDAD'!A8,'MARTA RUBIO MARTIN'!V$39:V$41)+SUMIF('GRIJALVA VALDEZ CESAR EUSEBIO'!P$35:P$37,'KM POR UNIDAD'!A8,'GRIJALVA VALDEZ CESAR EUSEBIO'!V$35:V$37)+SUMIF('PACHECO BAÑUELOS ALFONSO'!P$39:P$41,'KM POR UNIDAD'!A8,'PACHECO BAÑUELOS ALFONSO'!V$39:V$41)+SUMIF('RODRIGUEZ VALLES JOSE FRANCISCO'!P$40:P$42,'KM POR UNIDAD'!A8,'RODRIGUEZ VALLES JOSE FRANCISCO'!V$40:V$42)+SUMIF('SANCHEZ GUERRERO JOSE LUIS'!P$40:P$42,A8,'SANCHEZ GUERRERO JOSE LUIS'!V$40:V$42)+SUMIF('RUEDA SALAZAR ISMAEL'!P$35:P$37,'KM POR UNIDAD'!A8,'RUEDA SALAZAR ISMAEL'!V$35:V$37)+SUMIF('GUZMAN MORALES'!P$40:P$42,'KM POR UNIDAD'!A8,'GUZMAN MORALES'!V$40:V$42)+SUMIF('RODRIGUEZ RAMIREZ FERNANDO'!P$35:P$37,'KM POR UNIDAD'!A8,'RODRIGUEZ RAMIREZ FERNANDO'!V$35:V$37)+SUMIF('ESTRADA ARELLANO ARTURO'!P$40:P$42,'KM POR UNIDAD'!A8,'ESTRADA ARELLANO ARTURO'!V$40:V$42)+SUMIF('HERNANDEZ CONTRERAS JOSE FERNAN'!P$37:P$39,'KM POR UNIDAD'!A8,'HERNANDEZ CONTRERAS JOSE FERNAN'!V$38:V$40)+SUMIF('SALAZAR PEREZ JUAN CARLOS'!P$38:P$40,'KM POR UNIDAD'!A8,'SALAZAR PEREZ JUAN CARLOS'!V$38:V$40)+SUMIF('HARO IMPERIAL JOSÉ ANTONIO'!P$41:P$43,'KM POR UNIDAD'!A8,'HARO IMPERIAL JOSÉ ANTONIO'!V$41:V$43)+SUMIF('ESCARCEGA GALDEAN JESUS OMAR'!P$38:P$40,'KM POR UNIDAD'!A8,'ESCARCEGA GALDEAN JESUS OMAR'!V$38:V$40)</f>
        <v>0</v>
      </c>
      <c r="E8" s="167">
        <f t="shared" si="1"/>
        <v>0</v>
      </c>
      <c r="F8" s="168">
        <v>0</v>
      </c>
      <c r="G8" s="168">
        <v>0</v>
      </c>
      <c r="H8" s="168">
        <v>0</v>
      </c>
      <c r="I8" s="169">
        <f t="shared" si="0"/>
        <v>0</v>
      </c>
      <c r="J8" s="170"/>
      <c r="K8" s="171"/>
    </row>
    <row r="9" spans="1:11" x14ac:dyDescent="0.25">
      <c r="A9" s="165" t="s">
        <v>132</v>
      </c>
      <c r="B9" s="166">
        <f>SUMIF('LIRA TRISTAN JOSE ANGEL'!P$36:P$38,'KM POR UNIDAD'!A9,'LIRA TRISTAN JOSE ANGEL'!U$36:U$38)+SUMIF('TORRES GARAY LUIS HUMBERTO'!P$38:P$40,'KM POR UNIDAD'!A9,'TORRES GARAY LUIS HUMBERTO'!U$38:U$40)+SUMIF('CERDA HERNANDEZ JOSE LUIS'!P$35:P$37,'KM POR UNIDAD'!A9,'CERDA HERNANDEZ JOSE LUIS'!U$35:U$37)+SUMIF('RUIZ ALVARADO PEDRO'!P$32:P$34,'KM POR UNIDAD'!A9,'RUIZ ALVARADO PEDRO'!U$32:U$34)+SUMIF('NEVAREZ JUAN MANUEL'!P$37:P$39,'KM POR UNIDAD'!A9,'NEVAREZ JUAN MANUEL'!U$37:U$39)+SUMIF('CHAVEZ VARELA NESTOR ADRIAN'!P$35:P$37,'KM POR UNIDAD'!A9,'CHAVEZ VARELA NESTOR ADRIAN'!U$35:U$37)+SUMIF('PAYAN ESTRADA JOSE ANGEL'!P$37:P$39,'KM POR UNIDAD'!A9,'PAYAN ESTRADA JOSE ANGEL'!U$37:U$39)+SUMIF('RUIZ HERRERA ERICK '!P$33:P$35,'KM POR UNIDAD'!A9,'RUIZ HERRERA ERICK '!U$33:U$35)+SUMIF('GONZALEZ LOZANO ENRIQUE '!P$38:P$40,'KM POR UNIDAD'!A9,'GONZALEZ LOZANO ENRIQUE '!U$38:U$40)+SUMIF('GONZALEZ MARTINEZ MAURICIO'!P$38:P$40,'KM POR UNIDAD'!A9,'GONZALEZ MARTINEZ MAURICIO'!U$38:U$40)+SUMIF('GONZALEZ SOTO JOEL'!P$39:P$41,'KM POR UNIDAD'!A9,'GONZALEZ SOTO JOEL'!U$39:U$41)+SUMIF('MARTA RUBIO MARTIN'!P$39:P$41,'KM POR UNIDAD'!A9,'MARTA RUBIO MARTIN'!U$39:U$41)+SUMIF('GRIJALVA VALDEZ CESAR EUSEBIO'!P$35:P$37,'KM POR UNIDAD'!A9,'GRIJALVA VALDEZ CESAR EUSEBIO'!U$35:U$37)+SUMIF('PACHECO BAÑUELOS ALFONSO'!P$39:P$41,'KM POR UNIDAD'!A9,'PACHECO BAÑUELOS ALFONSO'!U$39:U$41)+SUMIF('RODRIGUEZ VALLES JOSE FRANCISCO'!P$40:P$42,'KM POR UNIDAD'!A9,'RODRIGUEZ VALLES JOSE FRANCISCO'!U$40:U$42)+SUMIF('SANCHEZ GUERRERO JOSE LUIS'!P$40:P$42,A9,'SANCHEZ GUERRERO JOSE LUIS'!U$40:U$42)+SUMIF('RUEDA SALAZAR ISMAEL'!P$35:P$37,'KM POR UNIDAD'!A9,'RUEDA SALAZAR ISMAEL'!U$35:U$37)+SUMIF('GUZMAN MORALES'!P$40:P$42,'KM POR UNIDAD'!A9,'GUZMAN MORALES'!U$40:U$42)+SUMIF('RODRIGUEZ RAMIREZ FERNANDO'!P$35:P$37,'KM POR UNIDAD'!A9,'RODRIGUEZ RAMIREZ FERNANDO'!U$35:U$37)+SUMIF('ESTRADA ARELLANO ARTURO'!P$40:P$42,'KM POR UNIDAD'!A9,'ESTRADA ARELLANO ARTURO'!U$40:U$42)+SUMIF('HERNANDEZ CONTRERAS JOSE FERNAN'!P$37:P$39,'KM POR UNIDAD'!A9,'HERNANDEZ CONTRERAS JOSE FERNAN'!U$37:U$39)+SUMIF('SALAZAR PEREZ JUAN CARLOS'!P$38:P$40,'KM POR UNIDAD'!A9,'SALAZAR PEREZ JUAN CARLOS'!U$38:U$40)+SUMIF('HARO IMPERIAL JOSÉ ANTONIO'!P$41:P$43,'KM POR UNIDAD'!A9,'HARO IMPERIAL JOSÉ ANTONIO'!U$41:$U49)+SUMIF('ESCARCEGA GALDEAN JESUS OMAR'!P$38:P$40,'KM POR UNIDAD'!A9,'ESCARCEGA GALDEAN JESUS OMAR'!U$38:U$40)</f>
        <v>0</v>
      </c>
      <c r="C9" s="166">
        <f>+SUMIF('LIRA TRISTAN JOSE ANGEL'!P$36:P$38,'KM POR UNIDAD'!A9,'LIRA TRISTAN JOSE ANGEL'!T$36:T$38)+SUMIF('TORRES GARAY LUIS HUMBERTO'!P$38:P$40,'KM POR UNIDAD'!A9,'TORRES GARAY LUIS HUMBERTO'!T$38:T$40)+SUMIF('CERDA HERNANDEZ JOSE LUIS'!P$35:P$37,'KM POR UNIDAD'!A9,'CERDA HERNANDEZ JOSE LUIS'!T$35:T$37)+SUMIF('RUIZ ALVARADO PEDRO'!P$32:P$34,'KM POR UNIDAD'!A9,'RUIZ ALVARADO PEDRO'!T$32:T$34)+SUMIF('NEVAREZ JUAN MANUEL'!P$37:P$39,'KM POR UNIDAD'!A9,'NEVAREZ JUAN MANUEL'!T$37:T$39)+SUMIF('CHAVEZ VARELA NESTOR ADRIAN'!P$35:P$37,'KM POR UNIDAD'!A9,'CHAVEZ VARELA NESTOR ADRIAN'!T$35:T$37)+SUMIF('PAYAN ESTRADA JOSE ANGEL'!P$37:P$39,'KM POR UNIDAD'!A9,'PAYAN ESTRADA JOSE ANGEL'!T$37:T$39)+SUMIF('RUIZ HERRERA ERICK '!P$33:P$35,'KM POR UNIDAD'!A9,'RUIZ HERRERA ERICK '!T$33:T$35)+SUMIF('GONZALEZ LOZANO ENRIQUE '!P$38:P$40,'KM POR UNIDAD'!A9,'GONZALEZ LOZANO ENRIQUE '!T$38:T$40)+SUMIF('GONZALEZ MARTINEZ MAURICIO'!P$38:P$40,'KM POR UNIDAD'!A9,'GONZALEZ MARTINEZ MAURICIO'!T$38:T$40)+SUMIF('GONZALEZ SOTO JOEL'!P$39:P$41,'KM POR UNIDAD'!A9,'GONZALEZ SOTO JOEL'!T$39:T$41)+SUMIF('MARTA RUBIO MARTIN'!P$39:P$41,'KM POR UNIDAD'!A9,'MARTA RUBIO MARTIN'!T$39:T$41)+SUMIF('GRIJALVA VALDEZ CESAR EUSEBIO'!P$35:P$37,'KM POR UNIDAD'!A9,'GRIJALVA VALDEZ CESAR EUSEBIO'!T$35:T$37)+SUMIF('PACHECO BAÑUELOS ALFONSO'!P$39:P$41,'KM POR UNIDAD'!A9,'PACHECO BAÑUELOS ALFONSO'!T$39:T$41)+SUMIF('RODRIGUEZ VALLES JOSE FRANCISCO'!P$40:P$42,'KM POR UNIDAD'!A9,'RODRIGUEZ VALLES JOSE FRANCISCO'!T$40:T$42)+SUMIF('SANCHEZ GUERRERO JOSE LUIS'!P$40:P$42,A9,'SANCHEZ GUERRERO JOSE LUIS'!T$40:T$42)+SUMIF('RUEDA SALAZAR ISMAEL'!P$35:P$37,'KM POR UNIDAD'!A9,'RUEDA SALAZAR ISMAEL'!T$35:T$37)+SUMIF('GUZMAN MORALES'!P$40:P$42,'KM POR UNIDAD'!A9,'GUZMAN MORALES'!T$40:T$42)+SUMIF('RODRIGUEZ RAMIREZ FERNANDO'!P$35:P$37,'KM POR UNIDAD'!A9,'RODRIGUEZ RAMIREZ FERNANDO'!T$35:T$37)+SUMIF('ESTRADA ARELLANO ARTURO'!P$40:P$42,'KM POR UNIDAD'!A9,'ESTRADA ARELLANO ARTURO'!T$40:T$42)+SUMIF('HERNANDEZ CONTRERAS JOSE FERNAN'!P$37:P$39,'KM POR UNIDAD'!A9,'HERNANDEZ CONTRERAS JOSE FERNAN'!T$37:T$39)+SUMIF('SALAZAR PEREZ JUAN CARLOS'!P$38:P$40,'KM POR UNIDAD'!A9,'SALAZAR PEREZ JUAN CARLOS'!T$38:T$40)+SUMIF('HARO IMPERIAL JOSÉ ANTONIO'!P$41:P$43,'KM POR UNIDAD'!A9,'HARO IMPERIAL JOSÉ ANTONIO'!T$41:T$43)+SUMIF('ESCARCEGA GALDEAN JESUS OMAR'!P$38:P$40,'KM POR UNIDAD'!A9,'ESCARCEGA GALDEAN JESUS OMAR'!T$38:T$40)</f>
        <v>0</v>
      </c>
      <c r="D9" s="189">
        <f>+SUMIF('LIRA TRISTAN JOSE ANGEL'!P$36:P$38,'KM POR UNIDAD'!A9,'LIRA TRISTAN JOSE ANGEL'!V$36:V$38)+SUMIF('TORRES GARAY LUIS HUMBERTO'!P$38:P$40,'KM POR UNIDAD'!A9,'TORRES GARAY LUIS HUMBERTO'!V$38:V$40)+SUMIF('CERDA HERNANDEZ JOSE LUIS'!P$35:P$37,'KM POR UNIDAD'!A9,'CERDA HERNANDEZ JOSE LUIS'!V$35:V$37)+SUMIF('RUIZ ALVARADO PEDRO'!P$32:P$34,'KM POR UNIDAD'!A9,'RUIZ ALVARADO PEDRO'!V$32:V$34)+SUMIF('NEVAREZ JUAN MANUEL'!P$37:P$39,'KM POR UNIDAD'!A9,'NEVAREZ JUAN MANUEL'!V$37:V$39)+SUMIF('CHAVEZ VARELA NESTOR ADRIAN'!P$35:P$37,'KM POR UNIDAD'!A9,'CHAVEZ VARELA NESTOR ADRIAN'!V$35:V$37)+SUMIF('PAYAN ESTRADA JOSE ANGEL'!P$37:P$39,'KM POR UNIDAD'!A9,'PAYAN ESTRADA JOSE ANGEL'!V$37:V$39)+SUMIF('RUIZ HERRERA ERICK '!P$33:P$35,'KM POR UNIDAD'!A9,'RUIZ HERRERA ERICK '!V$33:V$35)+SUMIF('GONZALEZ LOZANO ENRIQUE '!P$38:P$40,'KM POR UNIDAD'!A9,'GONZALEZ LOZANO ENRIQUE '!V$38:V$40)+SUMIF('GONZALEZ MARTINEZ MAURICIO'!P$38:P$40,'KM POR UNIDAD'!A9,'GONZALEZ MARTINEZ MAURICIO'!V$38:V$40)+SUMIF('GONZALEZ SOTO JOEL'!P$39:P$41,'KM POR UNIDAD'!A9,'GONZALEZ SOTO JOEL'!V$39:V$41)+SUMIF('MARTA RUBIO MARTIN'!P$39:P$41,'KM POR UNIDAD'!A9,'MARTA RUBIO MARTIN'!V$39:V$41)+SUMIF('GRIJALVA VALDEZ CESAR EUSEBIO'!P$35:P$37,'KM POR UNIDAD'!A9,'GRIJALVA VALDEZ CESAR EUSEBIO'!V$35:V$37)+SUMIF('PACHECO BAÑUELOS ALFONSO'!P$39:P$41,'KM POR UNIDAD'!A9,'PACHECO BAÑUELOS ALFONSO'!V$39:V$41)+SUMIF('RODRIGUEZ VALLES JOSE FRANCISCO'!P$40:P$42,'KM POR UNIDAD'!A9,'RODRIGUEZ VALLES JOSE FRANCISCO'!V$40:V$42)+SUMIF('SANCHEZ GUERRERO JOSE LUIS'!P$40:P$42,A9,'SANCHEZ GUERRERO JOSE LUIS'!V$40:V$42)+SUMIF('RUEDA SALAZAR ISMAEL'!P$35:P$37,'KM POR UNIDAD'!A9,'RUEDA SALAZAR ISMAEL'!V$35:V$37)+SUMIF('GUZMAN MORALES'!P$40:P$42,'KM POR UNIDAD'!A9,'GUZMAN MORALES'!V$40:V$42)+SUMIF('RODRIGUEZ RAMIREZ FERNANDO'!P$35:P$37,'KM POR UNIDAD'!A9,'RODRIGUEZ RAMIREZ FERNANDO'!V$35:V$37)+SUMIF('ESTRADA ARELLANO ARTURO'!P$40:P$42,'KM POR UNIDAD'!A9,'ESTRADA ARELLANO ARTURO'!V$40:V$42)+SUMIF('HERNANDEZ CONTRERAS JOSE FERNAN'!P$37:P$39,'KM POR UNIDAD'!A9,'HERNANDEZ CONTRERAS JOSE FERNAN'!V$38:V$40)+SUMIF('SALAZAR PEREZ JUAN CARLOS'!P$38:P$40,'KM POR UNIDAD'!A9,'SALAZAR PEREZ JUAN CARLOS'!V$38:V$40)+SUMIF('HARO IMPERIAL JOSÉ ANTONIO'!P$41:P$43,'KM POR UNIDAD'!A9,'HARO IMPERIAL JOSÉ ANTONIO'!V$41:V$43)+SUMIF('ESCARCEGA GALDEAN JESUS OMAR'!P$38:P$40,'KM POR UNIDAD'!A9,'ESCARCEGA GALDEAN JESUS OMAR'!V$38:V$40)</f>
        <v>0</v>
      </c>
      <c r="E9" s="167">
        <f t="shared" si="1"/>
        <v>0</v>
      </c>
      <c r="F9" s="168">
        <v>0</v>
      </c>
      <c r="G9" s="168">
        <v>0</v>
      </c>
      <c r="H9" s="168">
        <v>0</v>
      </c>
      <c r="I9" s="169">
        <f t="shared" si="0"/>
        <v>0</v>
      </c>
      <c r="J9" s="170"/>
      <c r="K9" s="171"/>
    </row>
    <row r="10" spans="1:11" x14ac:dyDescent="0.25">
      <c r="A10" s="165" t="s">
        <v>133</v>
      </c>
      <c r="B10" s="166">
        <f>SUMIF('LIRA TRISTAN JOSE ANGEL'!P$36:P$38,'KM POR UNIDAD'!A10,'LIRA TRISTAN JOSE ANGEL'!U$36:U$38)+SUMIF('TORRES GARAY LUIS HUMBERTO'!P$38:P$40,'KM POR UNIDAD'!A10,'TORRES GARAY LUIS HUMBERTO'!U$38:U$40)+SUMIF('CERDA HERNANDEZ JOSE LUIS'!P$35:P$37,'KM POR UNIDAD'!A10,'CERDA HERNANDEZ JOSE LUIS'!U$35:U$37)+SUMIF('RUIZ ALVARADO PEDRO'!P$32:P$34,'KM POR UNIDAD'!A10,'RUIZ ALVARADO PEDRO'!U$32:U$34)+SUMIF('NEVAREZ JUAN MANUEL'!P$37:P$39,'KM POR UNIDAD'!A10,'NEVAREZ JUAN MANUEL'!U$37:U$39)+SUMIF('CHAVEZ VARELA NESTOR ADRIAN'!P$35:P$37,'KM POR UNIDAD'!A10,'CHAVEZ VARELA NESTOR ADRIAN'!U$35:U$37)+SUMIF('PAYAN ESTRADA JOSE ANGEL'!P$37:P$39,'KM POR UNIDAD'!A10,'PAYAN ESTRADA JOSE ANGEL'!U$37:U$39)+SUMIF('RUIZ HERRERA ERICK '!P$33:P$35,'KM POR UNIDAD'!A10,'RUIZ HERRERA ERICK '!U$33:U$35)+SUMIF('GONZALEZ LOZANO ENRIQUE '!P$38:P$40,'KM POR UNIDAD'!A10,'GONZALEZ LOZANO ENRIQUE '!U$38:U$40)+SUMIF('GONZALEZ MARTINEZ MAURICIO'!P$38:P$40,'KM POR UNIDAD'!A10,'GONZALEZ MARTINEZ MAURICIO'!U$38:U$40)+SUMIF('GONZALEZ SOTO JOEL'!P$39:P$41,'KM POR UNIDAD'!A10,'GONZALEZ SOTO JOEL'!U$39:U$41)+SUMIF('MARTA RUBIO MARTIN'!P$39:P$41,'KM POR UNIDAD'!A10,'MARTA RUBIO MARTIN'!U$39:U$41)+SUMIF('GRIJALVA VALDEZ CESAR EUSEBIO'!P$35:P$37,'KM POR UNIDAD'!A10,'GRIJALVA VALDEZ CESAR EUSEBIO'!U$35:U$37)+SUMIF('PACHECO BAÑUELOS ALFONSO'!P$39:P$41,'KM POR UNIDAD'!A10,'PACHECO BAÑUELOS ALFONSO'!U$39:U$41)+SUMIF('RODRIGUEZ VALLES JOSE FRANCISCO'!P$40:P$42,'KM POR UNIDAD'!A10,'RODRIGUEZ VALLES JOSE FRANCISCO'!U$40:U$42)+SUMIF('SANCHEZ GUERRERO JOSE LUIS'!P$40:P$42,A10,'SANCHEZ GUERRERO JOSE LUIS'!U$40:U$42)+SUMIF('RUEDA SALAZAR ISMAEL'!P$35:P$37,'KM POR UNIDAD'!A10,'RUEDA SALAZAR ISMAEL'!U$35:U$37)+SUMIF('GUZMAN MORALES'!P$40:P$42,'KM POR UNIDAD'!A10,'GUZMAN MORALES'!U$40:U$42)+SUMIF('RODRIGUEZ RAMIREZ FERNANDO'!P$35:P$37,'KM POR UNIDAD'!A10,'RODRIGUEZ RAMIREZ FERNANDO'!U$35:U$37)+SUMIF('ESTRADA ARELLANO ARTURO'!P$40:P$42,'KM POR UNIDAD'!A10,'ESTRADA ARELLANO ARTURO'!U$40:U$42)+SUMIF('HERNANDEZ CONTRERAS JOSE FERNAN'!P$37:P$39,'KM POR UNIDAD'!A10,'HERNANDEZ CONTRERAS JOSE FERNAN'!U$37:U$39)+SUMIF('SALAZAR PEREZ JUAN CARLOS'!P$38:P$40,'KM POR UNIDAD'!A10,'SALAZAR PEREZ JUAN CARLOS'!U$38:U$40)+SUMIF('HARO IMPERIAL JOSÉ ANTONIO'!P$41:P$43,'KM POR UNIDAD'!A10,'HARO IMPERIAL JOSÉ ANTONIO'!U$41:$U50)+SUMIF('ESCARCEGA GALDEAN JESUS OMAR'!P$38:P$40,'KM POR UNIDAD'!A10,'ESCARCEGA GALDEAN JESUS OMAR'!U$38:U$40)</f>
        <v>0</v>
      </c>
      <c r="C10" s="166">
        <f>+SUMIF('LIRA TRISTAN JOSE ANGEL'!P$36:P$38,'KM POR UNIDAD'!A10,'LIRA TRISTAN JOSE ANGEL'!T$36:T$38)+SUMIF('TORRES GARAY LUIS HUMBERTO'!P$38:P$40,'KM POR UNIDAD'!A10,'TORRES GARAY LUIS HUMBERTO'!T$38:T$40)+SUMIF('CERDA HERNANDEZ JOSE LUIS'!P$35:P$37,'KM POR UNIDAD'!A10,'CERDA HERNANDEZ JOSE LUIS'!T$35:T$37)+SUMIF('RUIZ ALVARADO PEDRO'!P$32:P$34,'KM POR UNIDAD'!A10,'RUIZ ALVARADO PEDRO'!T$32:T$34)+SUMIF('NEVAREZ JUAN MANUEL'!P$37:P$39,'KM POR UNIDAD'!A10,'NEVAREZ JUAN MANUEL'!T$37:T$39)+SUMIF('CHAVEZ VARELA NESTOR ADRIAN'!P$35:P$37,'KM POR UNIDAD'!A10,'CHAVEZ VARELA NESTOR ADRIAN'!T$35:T$37)+SUMIF('PAYAN ESTRADA JOSE ANGEL'!P$37:P$39,'KM POR UNIDAD'!A10,'PAYAN ESTRADA JOSE ANGEL'!T$37:T$39)+SUMIF('RUIZ HERRERA ERICK '!P$33:P$35,'KM POR UNIDAD'!A10,'RUIZ HERRERA ERICK '!T$33:T$35)+SUMIF('GONZALEZ LOZANO ENRIQUE '!P$38:P$40,'KM POR UNIDAD'!A10,'GONZALEZ LOZANO ENRIQUE '!T$38:T$40)+SUMIF('GONZALEZ MARTINEZ MAURICIO'!P$38:P$40,'KM POR UNIDAD'!A10,'GONZALEZ MARTINEZ MAURICIO'!T$38:T$40)+SUMIF('GONZALEZ SOTO JOEL'!P$39:P$41,'KM POR UNIDAD'!A10,'GONZALEZ SOTO JOEL'!T$39:T$41)+SUMIF('MARTA RUBIO MARTIN'!P$39:P$41,'KM POR UNIDAD'!A10,'MARTA RUBIO MARTIN'!T$39:T$41)+SUMIF('GRIJALVA VALDEZ CESAR EUSEBIO'!P$35:P$37,'KM POR UNIDAD'!A10,'GRIJALVA VALDEZ CESAR EUSEBIO'!T$35:T$37)+SUMIF('PACHECO BAÑUELOS ALFONSO'!P$39:P$41,'KM POR UNIDAD'!A10,'PACHECO BAÑUELOS ALFONSO'!T$39:T$41)+SUMIF('RODRIGUEZ VALLES JOSE FRANCISCO'!P$40:P$42,'KM POR UNIDAD'!A10,'RODRIGUEZ VALLES JOSE FRANCISCO'!T$40:T$42)+SUMIF('SANCHEZ GUERRERO JOSE LUIS'!P$40:P$42,A10,'SANCHEZ GUERRERO JOSE LUIS'!T$40:T$42)+SUMIF('RUEDA SALAZAR ISMAEL'!P$35:P$37,'KM POR UNIDAD'!A10,'RUEDA SALAZAR ISMAEL'!T$35:T$37)+SUMIF('GUZMAN MORALES'!P$40:P$42,'KM POR UNIDAD'!A10,'GUZMAN MORALES'!T$40:T$42)+SUMIF('RODRIGUEZ RAMIREZ FERNANDO'!P$35:P$37,'KM POR UNIDAD'!A10,'RODRIGUEZ RAMIREZ FERNANDO'!T$35:T$37)+SUMIF('ESTRADA ARELLANO ARTURO'!P$40:P$42,'KM POR UNIDAD'!A10,'ESTRADA ARELLANO ARTURO'!T$40:T$42)+SUMIF('HERNANDEZ CONTRERAS JOSE FERNAN'!P$37:P$39,'KM POR UNIDAD'!A10,'HERNANDEZ CONTRERAS JOSE FERNAN'!T$37:T$39)+SUMIF('SALAZAR PEREZ JUAN CARLOS'!P$38:P$40,'KM POR UNIDAD'!A10,'SALAZAR PEREZ JUAN CARLOS'!T$38:T$40)+SUMIF('HARO IMPERIAL JOSÉ ANTONIO'!P$41:P$43,'KM POR UNIDAD'!A10,'HARO IMPERIAL JOSÉ ANTONIO'!T$41:T$43)+SUMIF('ESCARCEGA GALDEAN JESUS OMAR'!P$38:P$40,'KM POR UNIDAD'!A10,'ESCARCEGA GALDEAN JESUS OMAR'!T$38:T$40)</f>
        <v>0</v>
      </c>
      <c r="D10" s="189">
        <f>+SUMIF('LIRA TRISTAN JOSE ANGEL'!P$36:P$38,'KM POR UNIDAD'!A10,'LIRA TRISTAN JOSE ANGEL'!V$36:V$38)+SUMIF('TORRES GARAY LUIS HUMBERTO'!P$38:P$40,'KM POR UNIDAD'!A10,'TORRES GARAY LUIS HUMBERTO'!V$38:V$40)+SUMIF('CERDA HERNANDEZ JOSE LUIS'!P$35:P$37,'KM POR UNIDAD'!A10,'CERDA HERNANDEZ JOSE LUIS'!V$35:V$37)+SUMIF('RUIZ ALVARADO PEDRO'!P$32:P$34,'KM POR UNIDAD'!A10,'RUIZ ALVARADO PEDRO'!V$32:V$34)+SUMIF('NEVAREZ JUAN MANUEL'!P$37:P$39,'KM POR UNIDAD'!A10,'NEVAREZ JUAN MANUEL'!V$37:V$39)+SUMIF('CHAVEZ VARELA NESTOR ADRIAN'!P$35:P$37,'KM POR UNIDAD'!A10,'CHAVEZ VARELA NESTOR ADRIAN'!V$35:V$37)+SUMIF('PAYAN ESTRADA JOSE ANGEL'!P$37:P$39,'KM POR UNIDAD'!A10,'PAYAN ESTRADA JOSE ANGEL'!V$37:V$39)+SUMIF('RUIZ HERRERA ERICK '!P$33:P$35,'KM POR UNIDAD'!A10,'RUIZ HERRERA ERICK '!V$33:V$35)+SUMIF('GONZALEZ LOZANO ENRIQUE '!P$38:P$40,'KM POR UNIDAD'!A10,'GONZALEZ LOZANO ENRIQUE '!V$38:V$40)+SUMIF('GONZALEZ MARTINEZ MAURICIO'!P$38:P$40,'KM POR UNIDAD'!A10,'GONZALEZ MARTINEZ MAURICIO'!V$38:V$40)+SUMIF('GONZALEZ SOTO JOEL'!P$39:P$41,'KM POR UNIDAD'!A10,'GONZALEZ SOTO JOEL'!V$39:V$41)+SUMIF('MARTA RUBIO MARTIN'!P$39:P$41,'KM POR UNIDAD'!A10,'MARTA RUBIO MARTIN'!V$39:V$41)+SUMIF('GRIJALVA VALDEZ CESAR EUSEBIO'!P$35:P$37,'KM POR UNIDAD'!A10,'GRIJALVA VALDEZ CESAR EUSEBIO'!V$35:V$37)+SUMIF('PACHECO BAÑUELOS ALFONSO'!P$39:P$41,'KM POR UNIDAD'!A10,'PACHECO BAÑUELOS ALFONSO'!V$39:V$41)+SUMIF('RODRIGUEZ VALLES JOSE FRANCISCO'!P$40:P$42,'KM POR UNIDAD'!A10,'RODRIGUEZ VALLES JOSE FRANCISCO'!V$40:V$42)+SUMIF('SANCHEZ GUERRERO JOSE LUIS'!P$40:P$42,A10,'SANCHEZ GUERRERO JOSE LUIS'!V$40:V$42)+SUMIF('RUEDA SALAZAR ISMAEL'!P$35:P$37,'KM POR UNIDAD'!A10,'RUEDA SALAZAR ISMAEL'!V$35:V$37)+SUMIF('GUZMAN MORALES'!P$40:P$42,'KM POR UNIDAD'!A10,'GUZMAN MORALES'!V$40:V$42)+SUMIF('RODRIGUEZ RAMIREZ FERNANDO'!P$35:P$37,'KM POR UNIDAD'!A10,'RODRIGUEZ RAMIREZ FERNANDO'!V$35:V$37)+SUMIF('ESTRADA ARELLANO ARTURO'!P$40:P$42,'KM POR UNIDAD'!A10,'ESTRADA ARELLANO ARTURO'!V$40:V$42)+SUMIF('HERNANDEZ CONTRERAS JOSE FERNAN'!P$37:P$39,'KM POR UNIDAD'!A10,'HERNANDEZ CONTRERAS JOSE FERNAN'!V$38:V$40)+SUMIF('SALAZAR PEREZ JUAN CARLOS'!P$38:P$40,'KM POR UNIDAD'!A10,'SALAZAR PEREZ JUAN CARLOS'!V$38:V$40)+SUMIF('HARO IMPERIAL JOSÉ ANTONIO'!P$41:P$43,'KM POR UNIDAD'!A10,'HARO IMPERIAL JOSÉ ANTONIO'!V$41:V$43)+SUMIF('ESCARCEGA GALDEAN JESUS OMAR'!P$38:P$40,'KM POR UNIDAD'!A10,'ESCARCEGA GALDEAN JESUS OMAR'!V$38:V$40)</f>
        <v>0</v>
      </c>
      <c r="E10" s="167">
        <f t="shared" si="1"/>
        <v>0</v>
      </c>
      <c r="F10" s="168">
        <v>0</v>
      </c>
      <c r="G10" s="168">
        <v>0</v>
      </c>
      <c r="H10" s="168">
        <v>0</v>
      </c>
      <c r="I10" s="169">
        <f t="shared" si="0"/>
        <v>0</v>
      </c>
      <c r="J10" s="170"/>
      <c r="K10" s="171"/>
    </row>
    <row r="11" spans="1:11" x14ac:dyDescent="0.25">
      <c r="A11" s="165" t="s">
        <v>134</v>
      </c>
      <c r="B11" s="166">
        <f>SUMIF('LIRA TRISTAN JOSE ANGEL'!P$36:P$38,'KM POR UNIDAD'!A11,'LIRA TRISTAN JOSE ANGEL'!U$36:U$38)+SUMIF('TORRES GARAY LUIS HUMBERTO'!P$38:P$40,'KM POR UNIDAD'!A11,'TORRES GARAY LUIS HUMBERTO'!U$38:U$40)+SUMIF('CERDA HERNANDEZ JOSE LUIS'!P$35:P$37,'KM POR UNIDAD'!A11,'CERDA HERNANDEZ JOSE LUIS'!U$35:U$37)+SUMIF('RUIZ ALVARADO PEDRO'!P$32:P$34,'KM POR UNIDAD'!A11,'RUIZ ALVARADO PEDRO'!U$32:U$34)+SUMIF('NEVAREZ JUAN MANUEL'!P$37:P$39,'KM POR UNIDAD'!A11,'NEVAREZ JUAN MANUEL'!U$37:U$39)+SUMIF('CHAVEZ VARELA NESTOR ADRIAN'!P$35:P$37,'KM POR UNIDAD'!A11,'CHAVEZ VARELA NESTOR ADRIAN'!U$35:U$37)+SUMIF('PAYAN ESTRADA JOSE ANGEL'!P$37:P$39,'KM POR UNIDAD'!A11,'PAYAN ESTRADA JOSE ANGEL'!U$37:U$39)+SUMIF('RUIZ HERRERA ERICK '!P$33:P$35,'KM POR UNIDAD'!A11,'RUIZ HERRERA ERICK '!U$33:U$35)+SUMIF('GONZALEZ LOZANO ENRIQUE '!P$38:P$40,'KM POR UNIDAD'!A11,'GONZALEZ LOZANO ENRIQUE '!U$38:U$40)+SUMIF('GONZALEZ MARTINEZ MAURICIO'!P$38:P$40,'KM POR UNIDAD'!A11,'GONZALEZ MARTINEZ MAURICIO'!U$38:U$40)+SUMIF('GONZALEZ SOTO JOEL'!P$39:P$41,'KM POR UNIDAD'!A11,'GONZALEZ SOTO JOEL'!U$39:U$41)+SUMIF('MARTA RUBIO MARTIN'!P$39:P$41,'KM POR UNIDAD'!A11,'MARTA RUBIO MARTIN'!U$39:U$41)+SUMIF('GRIJALVA VALDEZ CESAR EUSEBIO'!P$35:P$37,'KM POR UNIDAD'!A11,'GRIJALVA VALDEZ CESAR EUSEBIO'!U$35:U$37)+SUMIF('PACHECO BAÑUELOS ALFONSO'!P$39:P$41,'KM POR UNIDAD'!A11,'PACHECO BAÑUELOS ALFONSO'!U$39:U$41)+SUMIF('RODRIGUEZ VALLES JOSE FRANCISCO'!P$40:P$42,'KM POR UNIDAD'!A11,'RODRIGUEZ VALLES JOSE FRANCISCO'!U$40:U$42)+SUMIF('SANCHEZ GUERRERO JOSE LUIS'!P$40:P$42,A11,'SANCHEZ GUERRERO JOSE LUIS'!U$40:U$42)+SUMIF('RUEDA SALAZAR ISMAEL'!P$35:P$37,'KM POR UNIDAD'!A11,'RUEDA SALAZAR ISMAEL'!U$35:U$37)+SUMIF('GUZMAN MORALES'!P$40:P$42,'KM POR UNIDAD'!A11,'GUZMAN MORALES'!U$40:U$42)+SUMIF('RODRIGUEZ RAMIREZ FERNANDO'!P$35:P$37,'KM POR UNIDAD'!A11,'RODRIGUEZ RAMIREZ FERNANDO'!U$35:U$37)+SUMIF('ESTRADA ARELLANO ARTURO'!P$40:P$42,'KM POR UNIDAD'!A11,'ESTRADA ARELLANO ARTURO'!U$40:U$42)+SUMIF('HERNANDEZ CONTRERAS JOSE FERNAN'!P$37:P$39,'KM POR UNIDAD'!A11,'HERNANDEZ CONTRERAS JOSE FERNAN'!U$37:U$39)+SUMIF('SALAZAR PEREZ JUAN CARLOS'!P$38:P$40,'KM POR UNIDAD'!A11,'SALAZAR PEREZ JUAN CARLOS'!U$38:U$40)+SUMIF('HARO IMPERIAL JOSÉ ANTONIO'!P$41:P$43,'KM POR UNIDAD'!A11,'HARO IMPERIAL JOSÉ ANTONIO'!U$41:$U51)+SUMIF('ESCARCEGA GALDEAN JESUS OMAR'!P$38:P$40,'KM POR UNIDAD'!A11,'ESCARCEGA GALDEAN JESUS OMAR'!U$38:U$40)</f>
        <v>0</v>
      </c>
      <c r="C11" s="166">
        <f>+SUMIF('LIRA TRISTAN JOSE ANGEL'!P$36:P$38,'KM POR UNIDAD'!A11,'LIRA TRISTAN JOSE ANGEL'!T$36:T$38)+SUMIF('TORRES GARAY LUIS HUMBERTO'!P$38:P$40,'KM POR UNIDAD'!A11,'TORRES GARAY LUIS HUMBERTO'!T$38:T$40)+SUMIF('CERDA HERNANDEZ JOSE LUIS'!P$35:P$37,'KM POR UNIDAD'!A11,'CERDA HERNANDEZ JOSE LUIS'!T$35:T$37)+SUMIF('RUIZ ALVARADO PEDRO'!P$32:P$34,'KM POR UNIDAD'!A11,'RUIZ ALVARADO PEDRO'!T$32:T$34)+SUMIF('NEVAREZ JUAN MANUEL'!P$37:P$39,'KM POR UNIDAD'!A11,'NEVAREZ JUAN MANUEL'!T$37:T$39)+SUMIF('CHAVEZ VARELA NESTOR ADRIAN'!P$35:P$37,'KM POR UNIDAD'!A11,'CHAVEZ VARELA NESTOR ADRIAN'!T$35:T$37)+SUMIF('PAYAN ESTRADA JOSE ANGEL'!P$37:P$39,'KM POR UNIDAD'!A11,'PAYAN ESTRADA JOSE ANGEL'!T$37:T$39)+SUMIF('RUIZ HERRERA ERICK '!P$33:P$35,'KM POR UNIDAD'!A11,'RUIZ HERRERA ERICK '!T$33:T$35)+SUMIF('GONZALEZ LOZANO ENRIQUE '!P$38:P$40,'KM POR UNIDAD'!A11,'GONZALEZ LOZANO ENRIQUE '!T$38:T$40)+SUMIF('GONZALEZ MARTINEZ MAURICIO'!P$38:P$40,'KM POR UNIDAD'!A11,'GONZALEZ MARTINEZ MAURICIO'!T$38:T$40)+SUMIF('GONZALEZ SOTO JOEL'!P$39:P$41,'KM POR UNIDAD'!A11,'GONZALEZ SOTO JOEL'!T$39:T$41)+SUMIF('MARTA RUBIO MARTIN'!P$39:P$41,'KM POR UNIDAD'!A11,'MARTA RUBIO MARTIN'!T$39:T$41)+SUMIF('GRIJALVA VALDEZ CESAR EUSEBIO'!P$35:P$37,'KM POR UNIDAD'!A11,'GRIJALVA VALDEZ CESAR EUSEBIO'!T$35:T$37)+SUMIF('PACHECO BAÑUELOS ALFONSO'!P$39:P$41,'KM POR UNIDAD'!A11,'PACHECO BAÑUELOS ALFONSO'!T$39:T$41)+SUMIF('RODRIGUEZ VALLES JOSE FRANCISCO'!P$40:P$42,'KM POR UNIDAD'!A11,'RODRIGUEZ VALLES JOSE FRANCISCO'!T$40:T$42)+SUMIF('SANCHEZ GUERRERO JOSE LUIS'!P$40:P$42,A11,'SANCHEZ GUERRERO JOSE LUIS'!T$40:T$42)+SUMIF('RUEDA SALAZAR ISMAEL'!P$35:P$37,'KM POR UNIDAD'!A11,'RUEDA SALAZAR ISMAEL'!T$35:T$37)+SUMIF('GUZMAN MORALES'!P$40:P$42,'KM POR UNIDAD'!A11,'GUZMAN MORALES'!T$40:T$42)+SUMIF('RODRIGUEZ RAMIREZ FERNANDO'!P$35:P$37,'KM POR UNIDAD'!A11,'RODRIGUEZ RAMIREZ FERNANDO'!T$35:T$37)+SUMIF('ESTRADA ARELLANO ARTURO'!P$40:P$42,'KM POR UNIDAD'!A11,'ESTRADA ARELLANO ARTURO'!T$40:T$42)+SUMIF('HERNANDEZ CONTRERAS JOSE FERNAN'!P$37:P$39,'KM POR UNIDAD'!A11,'HERNANDEZ CONTRERAS JOSE FERNAN'!T$37:T$39)+SUMIF('SALAZAR PEREZ JUAN CARLOS'!P$38:P$40,'KM POR UNIDAD'!A11,'SALAZAR PEREZ JUAN CARLOS'!T$38:T$40)+SUMIF('HARO IMPERIAL JOSÉ ANTONIO'!P$41:P$43,'KM POR UNIDAD'!A11,'HARO IMPERIAL JOSÉ ANTONIO'!T$41:T$43)+SUMIF('ESCARCEGA GALDEAN JESUS OMAR'!P$38:P$40,'KM POR UNIDAD'!A11,'ESCARCEGA GALDEAN JESUS OMAR'!T$38:T$40)</f>
        <v>0</v>
      </c>
      <c r="D11" s="189">
        <f>+SUMIF('LIRA TRISTAN JOSE ANGEL'!P$36:P$38,'KM POR UNIDAD'!A11,'LIRA TRISTAN JOSE ANGEL'!V$36:V$38)+SUMIF('TORRES GARAY LUIS HUMBERTO'!P$38:P$40,'KM POR UNIDAD'!A11,'TORRES GARAY LUIS HUMBERTO'!V$38:V$40)+SUMIF('CERDA HERNANDEZ JOSE LUIS'!P$35:P$37,'KM POR UNIDAD'!A11,'CERDA HERNANDEZ JOSE LUIS'!V$35:V$37)+SUMIF('RUIZ ALVARADO PEDRO'!P$32:P$34,'KM POR UNIDAD'!A11,'RUIZ ALVARADO PEDRO'!V$32:V$34)+SUMIF('NEVAREZ JUAN MANUEL'!P$37:P$39,'KM POR UNIDAD'!A11,'NEVAREZ JUAN MANUEL'!V$37:V$39)+SUMIF('CHAVEZ VARELA NESTOR ADRIAN'!P$35:P$37,'KM POR UNIDAD'!A11,'CHAVEZ VARELA NESTOR ADRIAN'!V$35:V$37)+SUMIF('PAYAN ESTRADA JOSE ANGEL'!P$37:P$39,'KM POR UNIDAD'!A11,'PAYAN ESTRADA JOSE ANGEL'!V$37:V$39)+SUMIF('RUIZ HERRERA ERICK '!P$33:P$35,'KM POR UNIDAD'!A11,'RUIZ HERRERA ERICK '!V$33:V$35)+SUMIF('GONZALEZ LOZANO ENRIQUE '!P$38:P$40,'KM POR UNIDAD'!A11,'GONZALEZ LOZANO ENRIQUE '!V$38:V$40)+SUMIF('GONZALEZ MARTINEZ MAURICIO'!P$38:P$40,'KM POR UNIDAD'!A11,'GONZALEZ MARTINEZ MAURICIO'!V$38:V$40)+SUMIF('GONZALEZ SOTO JOEL'!P$39:P$41,'KM POR UNIDAD'!A11,'GONZALEZ SOTO JOEL'!V$39:V$41)+SUMIF('MARTA RUBIO MARTIN'!P$39:P$41,'KM POR UNIDAD'!A11,'MARTA RUBIO MARTIN'!V$39:V$41)+SUMIF('GRIJALVA VALDEZ CESAR EUSEBIO'!P$35:P$37,'KM POR UNIDAD'!A11,'GRIJALVA VALDEZ CESAR EUSEBIO'!V$35:V$37)+SUMIF('PACHECO BAÑUELOS ALFONSO'!P$39:P$41,'KM POR UNIDAD'!A11,'PACHECO BAÑUELOS ALFONSO'!V$39:V$41)+SUMIF('RODRIGUEZ VALLES JOSE FRANCISCO'!P$40:P$42,'KM POR UNIDAD'!A11,'RODRIGUEZ VALLES JOSE FRANCISCO'!V$40:V$42)+SUMIF('SANCHEZ GUERRERO JOSE LUIS'!P$40:P$42,A11,'SANCHEZ GUERRERO JOSE LUIS'!V$40:V$42)+SUMIF('RUEDA SALAZAR ISMAEL'!P$35:P$37,'KM POR UNIDAD'!A11,'RUEDA SALAZAR ISMAEL'!V$35:V$37)+SUMIF('GUZMAN MORALES'!P$40:P$42,'KM POR UNIDAD'!A11,'GUZMAN MORALES'!V$40:V$42)+SUMIF('RODRIGUEZ RAMIREZ FERNANDO'!P$35:P$37,'KM POR UNIDAD'!A11,'RODRIGUEZ RAMIREZ FERNANDO'!V$35:V$37)+SUMIF('ESTRADA ARELLANO ARTURO'!P$40:P$42,'KM POR UNIDAD'!A11,'ESTRADA ARELLANO ARTURO'!V$40:V$42)+SUMIF('HERNANDEZ CONTRERAS JOSE FERNAN'!P$37:P$39,'KM POR UNIDAD'!A11,'HERNANDEZ CONTRERAS JOSE FERNAN'!V$38:V$40)+SUMIF('SALAZAR PEREZ JUAN CARLOS'!P$38:P$40,'KM POR UNIDAD'!A11,'SALAZAR PEREZ JUAN CARLOS'!V$38:V$40)+SUMIF('HARO IMPERIAL JOSÉ ANTONIO'!P$41:P$43,'KM POR UNIDAD'!A11,'HARO IMPERIAL JOSÉ ANTONIO'!V$41:V$43)+SUMIF('ESCARCEGA GALDEAN JESUS OMAR'!P$38:P$40,'KM POR UNIDAD'!A11,'ESCARCEGA GALDEAN JESUS OMAR'!V$38:V$40)</f>
        <v>0</v>
      </c>
      <c r="E11" s="167">
        <f t="shared" si="1"/>
        <v>0</v>
      </c>
      <c r="F11" s="168">
        <v>0</v>
      </c>
      <c r="G11" s="168">
        <v>0</v>
      </c>
      <c r="H11" s="168">
        <v>0</v>
      </c>
      <c r="I11" s="169">
        <f t="shared" si="0"/>
        <v>0</v>
      </c>
      <c r="J11" s="170"/>
      <c r="K11" s="171"/>
    </row>
    <row r="12" spans="1:11" x14ac:dyDescent="0.25">
      <c r="A12" s="165" t="s">
        <v>135</v>
      </c>
      <c r="B12" s="166">
        <f>SUMIF('LIRA TRISTAN JOSE ANGEL'!P$36:P$38,'KM POR UNIDAD'!A12,'LIRA TRISTAN JOSE ANGEL'!U$36:U$38)+SUMIF('TORRES GARAY LUIS HUMBERTO'!P$38:P$40,'KM POR UNIDAD'!A12,'TORRES GARAY LUIS HUMBERTO'!U$38:U$40)+SUMIF('CERDA HERNANDEZ JOSE LUIS'!P$35:P$37,'KM POR UNIDAD'!A12,'CERDA HERNANDEZ JOSE LUIS'!U$35:U$37)+SUMIF('RUIZ ALVARADO PEDRO'!P$32:P$34,'KM POR UNIDAD'!A12,'RUIZ ALVARADO PEDRO'!U$32:U$34)+SUMIF('NEVAREZ JUAN MANUEL'!P$37:P$39,'KM POR UNIDAD'!A12,'NEVAREZ JUAN MANUEL'!U$37:U$39)+SUMIF('CHAVEZ VARELA NESTOR ADRIAN'!P$35:P$37,'KM POR UNIDAD'!A12,'CHAVEZ VARELA NESTOR ADRIAN'!U$35:U$37)+SUMIF('PAYAN ESTRADA JOSE ANGEL'!P$37:P$39,'KM POR UNIDAD'!A12,'PAYAN ESTRADA JOSE ANGEL'!U$37:U$39)+SUMIF('RUIZ HERRERA ERICK '!P$33:P$35,'KM POR UNIDAD'!A12,'RUIZ HERRERA ERICK '!U$33:U$35)+SUMIF('GONZALEZ LOZANO ENRIQUE '!P$38:P$40,'KM POR UNIDAD'!A12,'GONZALEZ LOZANO ENRIQUE '!U$38:U$40)+SUMIF('GONZALEZ MARTINEZ MAURICIO'!P$38:P$40,'KM POR UNIDAD'!A12,'GONZALEZ MARTINEZ MAURICIO'!U$38:U$40)+SUMIF('GONZALEZ SOTO JOEL'!P$39:P$41,'KM POR UNIDAD'!A12,'GONZALEZ SOTO JOEL'!U$39:U$41)+SUMIF('MARTA RUBIO MARTIN'!P$39:P$41,'KM POR UNIDAD'!A12,'MARTA RUBIO MARTIN'!U$39:U$41)+SUMIF('GRIJALVA VALDEZ CESAR EUSEBIO'!P$35:P$37,'KM POR UNIDAD'!A12,'GRIJALVA VALDEZ CESAR EUSEBIO'!U$35:U$37)+SUMIF('PACHECO BAÑUELOS ALFONSO'!P$39:P$41,'KM POR UNIDAD'!A12,'PACHECO BAÑUELOS ALFONSO'!U$39:U$41)+SUMIF('RODRIGUEZ VALLES JOSE FRANCISCO'!P$40:P$42,'KM POR UNIDAD'!A12,'RODRIGUEZ VALLES JOSE FRANCISCO'!U$40:U$42)+SUMIF('SANCHEZ GUERRERO JOSE LUIS'!P$40:P$42,A12,'SANCHEZ GUERRERO JOSE LUIS'!U$40:U$42)+SUMIF('RUEDA SALAZAR ISMAEL'!P$35:P$37,'KM POR UNIDAD'!A12,'RUEDA SALAZAR ISMAEL'!U$35:U$37)+SUMIF('GUZMAN MORALES'!P$40:P$42,'KM POR UNIDAD'!A12,'GUZMAN MORALES'!U$40:U$42)+SUMIF('RODRIGUEZ RAMIREZ FERNANDO'!P$35:P$37,'KM POR UNIDAD'!A12,'RODRIGUEZ RAMIREZ FERNANDO'!U$35:U$37)+SUMIF('ESTRADA ARELLANO ARTURO'!P$40:P$42,'KM POR UNIDAD'!A12,'ESTRADA ARELLANO ARTURO'!U$40:U$42)+SUMIF('HERNANDEZ CONTRERAS JOSE FERNAN'!P$37:P$39,'KM POR UNIDAD'!A12,'HERNANDEZ CONTRERAS JOSE FERNAN'!U$37:U$39)+SUMIF('SALAZAR PEREZ JUAN CARLOS'!P$38:P$40,'KM POR UNIDAD'!A12,'SALAZAR PEREZ JUAN CARLOS'!U$38:U$40)+SUMIF('HARO IMPERIAL JOSÉ ANTONIO'!P$41:P$43,'KM POR UNIDAD'!A12,'HARO IMPERIAL JOSÉ ANTONIO'!U$41:$U52)+SUMIF('ESCARCEGA GALDEAN JESUS OMAR'!P$38:P$40,'KM POR UNIDAD'!A12,'ESCARCEGA GALDEAN JESUS OMAR'!U$38:U$40)</f>
        <v>0</v>
      </c>
      <c r="C12" s="166">
        <f>+SUMIF('LIRA TRISTAN JOSE ANGEL'!P$36:P$38,'KM POR UNIDAD'!A12,'LIRA TRISTAN JOSE ANGEL'!T$36:T$38)+SUMIF('TORRES GARAY LUIS HUMBERTO'!P$38:P$40,'KM POR UNIDAD'!A12,'TORRES GARAY LUIS HUMBERTO'!T$38:T$40)+SUMIF('CERDA HERNANDEZ JOSE LUIS'!P$35:P$37,'KM POR UNIDAD'!A12,'CERDA HERNANDEZ JOSE LUIS'!T$35:T$37)+SUMIF('RUIZ ALVARADO PEDRO'!P$32:P$34,'KM POR UNIDAD'!A12,'RUIZ ALVARADO PEDRO'!T$32:T$34)+SUMIF('NEVAREZ JUAN MANUEL'!P$37:P$39,'KM POR UNIDAD'!A12,'NEVAREZ JUAN MANUEL'!T$37:T$39)+SUMIF('CHAVEZ VARELA NESTOR ADRIAN'!P$35:P$37,'KM POR UNIDAD'!A12,'CHAVEZ VARELA NESTOR ADRIAN'!T$35:T$37)+SUMIF('PAYAN ESTRADA JOSE ANGEL'!P$37:P$39,'KM POR UNIDAD'!A12,'PAYAN ESTRADA JOSE ANGEL'!T$37:T$39)+SUMIF('RUIZ HERRERA ERICK '!P$33:P$35,'KM POR UNIDAD'!A12,'RUIZ HERRERA ERICK '!T$33:T$35)+SUMIF('GONZALEZ LOZANO ENRIQUE '!P$38:P$40,'KM POR UNIDAD'!A12,'GONZALEZ LOZANO ENRIQUE '!T$38:T$40)+SUMIF('GONZALEZ MARTINEZ MAURICIO'!P$38:P$40,'KM POR UNIDAD'!A12,'GONZALEZ MARTINEZ MAURICIO'!T$38:T$40)+SUMIF('GONZALEZ SOTO JOEL'!P$39:P$41,'KM POR UNIDAD'!A12,'GONZALEZ SOTO JOEL'!T$39:T$41)+SUMIF('MARTA RUBIO MARTIN'!P$39:P$41,'KM POR UNIDAD'!A12,'MARTA RUBIO MARTIN'!T$39:T$41)+SUMIF('GRIJALVA VALDEZ CESAR EUSEBIO'!P$35:P$37,'KM POR UNIDAD'!A12,'GRIJALVA VALDEZ CESAR EUSEBIO'!T$35:T$37)+SUMIF('PACHECO BAÑUELOS ALFONSO'!P$39:P$41,'KM POR UNIDAD'!A12,'PACHECO BAÑUELOS ALFONSO'!T$39:T$41)+SUMIF('RODRIGUEZ VALLES JOSE FRANCISCO'!P$40:P$42,'KM POR UNIDAD'!A12,'RODRIGUEZ VALLES JOSE FRANCISCO'!T$40:T$42)+SUMIF('SANCHEZ GUERRERO JOSE LUIS'!P$40:P$42,A12,'SANCHEZ GUERRERO JOSE LUIS'!T$40:T$42)+SUMIF('RUEDA SALAZAR ISMAEL'!P$35:P$37,'KM POR UNIDAD'!A12,'RUEDA SALAZAR ISMAEL'!T$35:T$37)+SUMIF('GUZMAN MORALES'!P$40:P$42,'KM POR UNIDAD'!A12,'GUZMAN MORALES'!T$40:T$42)+SUMIF('RODRIGUEZ RAMIREZ FERNANDO'!P$35:P$37,'KM POR UNIDAD'!A12,'RODRIGUEZ RAMIREZ FERNANDO'!T$35:T$37)+SUMIF('ESTRADA ARELLANO ARTURO'!P$40:P$42,'KM POR UNIDAD'!A12,'ESTRADA ARELLANO ARTURO'!T$40:T$42)+SUMIF('HERNANDEZ CONTRERAS JOSE FERNAN'!P$37:P$39,'KM POR UNIDAD'!A12,'HERNANDEZ CONTRERAS JOSE FERNAN'!T$37:T$39)+SUMIF('SALAZAR PEREZ JUAN CARLOS'!P$38:P$40,'KM POR UNIDAD'!A12,'SALAZAR PEREZ JUAN CARLOS'!T$38:T$40)+SUMIF('HARO IMPERIAL JOSÉ ANTONIO'!P$41:P$43,'KM POR UNIDAD'!A12,'HARO IMPERIAL JOSÉ ANTONIO'!T$41:T$43)+SUMIF('ESCARCEGA GALDEAN JESUS OMAR'!P$38:P$40,'KM POR UNIDAD'!A12,'ESCARCEGA GALDEAN JESUS OMAR'!T$38:T$40)</f>
        <v>0</v>
      </c>
      <c r="D12" s="189">
        <f>+SUMIF('LIRA TRISTAN JOSE ANGEL'!P$36:P$38,'KM POR UNIDAD'!A12,'LIRA TRISTAN JOSE ANGEL'!V$36:V$38)+SUMIF('TORRES GARAY LUIS HUMBERTO'!P$38:P$40,'KM POR UNIDAD'!A12,'TORRES GARAY LUIS HUMBERTO'!V$38:V$40)+SUMIF('CERDA HERNANDEZ JOSE LUIS'!P$35:P$37,'KM POR UNIDAD'!A12,'CERDA HERNANDEZ JOSE LUIS'!V$35:V$37)+SUMIF('RUIZ ALVARADO PEDRO'!P$32:P$34,'KM POR UNIDAD'!A12,'RUIZ ALVARADO PEDRO'!V$32:V$34)+SUMIF('NEVAREZ JUAN MANUEL'!P$37:P$39,'KM POR UNIDAD'!A12,'NEVAREZ JUAN MANUEL'!V$37:V$39)+SUMIF('CHAVEZ VARELA NESTOR ADRIAN'!P$35:P$37,'KM POR UNIDAD'!A12,'CHAVEZ VARELA NESTOR ADRIAN'!V$35:V$37)+SUMIF('PAYAN ESTRADA JOSE ANGEL'!P$37:P$39,'KM POR UNIDAD'!A12,'PAYAN ESTRADA JOSE ANGEL'!V$37:V$39)+SUMIF('RUIZ HERRERA ERICK '!P$33:P$35,'KM POR UNIDAD'!A12,'RUIZ HERRERA ERICK '!V$33:V$35)+SUMIF('GONZALEZ LOZANO ENRIQUE '!P$38:P$40,'KM POR UNIDAD'!A12,'GONZALEZ LOZANO ENRIQUE '!V$38:V$40)+SUMIF('GONZALEZ MARTINEZ MAURICIO'!P$38:P$40,'KM POR UNIDAD'!A12,'GONZALEZ MARTINEZ MAURICIO'!V$38:V$40)+SUMIF('GONZALEZ SOTO JOEL'!P$39:P$41,'KM POR UNIDAD'!A12,'GONZALEZ SOTO JOEL'!V$39:V$41)+SUMIF('MARTA RUBIO MARTIN'!P$39:P$41,'KM POR UNIDAD'!A12,'MARTA RUBIO MARTIN'!V$39:V$41)+SUMIF('GRIJALVA VALDEZ CESAR EUSEBIO'!P$35:P$37,'KM POR UNIDAD'!A12,'GRIJALVA VALDEZ CESAR EUSEBIO'!V$35:V$37)+SUMIF('PACHECO BAÑUELOS ALFONSO'!P$39:P$41,'KM POR UNIDAD'!A12,'PACHECO BAÑUELOS ALFONSO'!V$39:V$41)+SUMIF('RODRIGUEZ VALLES JOSE FRANCISCO'!P$40:P$42,'KM POR UNIDAD'!A12,'RODRIGUEZ VALLES JOSE FRANCISCO'!V$40:V$42)+SUMIF('SANCHEZ GUERRERO JOSE LUIS'!P$40:P$42,A12,'SANCHEZ GUERRERO JOSE LUIS'!V$40:V$42)+SUMIF('RUEDA SALAZAR ISMAEL'!P$35:P$37,'KM POR UNIDAD'!A12,'RUEDA SALAZAR ISMAEL'!V$35:V$37)+SUMIF('GUZMAN MORALES'!P$40:P$42,'KM POR UNIDAD'!A12,'GUZMAN MORALES'!V$40:V$42)+SUMIF('RODRIGUEZ RAMIREZ FERNANDO'!P$35:P$37,'KM POR UNIDAD'!A12,'RODRIGUEZ RAMIREZ FERNANDO'!V$35:V$37)+SUMIF('ESTRADA ARELLANO ARTURO'!P$40:P$42,'KM POR UNIDAD'!A12,'ESTRADA ARELLANO ARTURO'!V$40:V$42)+SUMIF('HERNANDEZ CONTRERAS JOSE FERNAN'!P$37:P$39,'KM POR UNIDAD'!A12,'HERNANDEZ CONTRERAS JOSE FERNAN'!V$38:V$40)+SUMIF('SALAZAR PEREZ JUAN CARLOS'!P$38:P$40,'KM POR UNIDAD'!A12,'SALAZAR PEREZ JUAN CARLOS'!V$38:V$40)+SUMIF('HARO IMPERIAL JOSÉ ANTONIO'!P$41:P$43,'KM POR UNIDAD'!A12,'HARO IMPERIAL JOSÉ ANTONIO'!V$41:V$43)+SUMIF('ESCARCEGA GALDEAN JESUS OMAR'!P$38:P$40,'KM POR UNIDAD'!A12,'ESCARCEGA GALDEAN JESUS OMAR'!V$38:V$40)</f>
        <v>0</v>
      </c>
      <c r="E12" s="167">
        <f t="shared" si="1"/>
        <v>0</v>
      </c>
      <c r="F12" s="168">
        <v>0</v>
      </c>
      <c r="G12" s="168">
        <v>0</v>
      </c>
      <c r="H12" s="168">
        <v>0</v>
      </c>
      <c r="I12" s="169">
        <f t="shared" si="0"/>
        <v>0</v>
      </c>
      <c r="J12" s="170"/>
      <c r="K12" s="171"/>
    </row>
    <row r="13" spans="1:11" x14ac:dyDescent="0.25">
      <c r="A13" s="165" t="s">
        <v>136</v>
      </c>
      <c r="B13" s="166">
        <f>SUMIF('LIRA TRISTAN JOSE ANGEL'!P$36:P$38,'KM POR UNIDAD'!A13,'LIRA TRISTAN JOSE ANGEL'!U$36:U$38)+SUMIF('TORRES GARAY LUIS HUMBERTO'!P$38:P$40,'KM POR UNIDAD'!A13,'TORRES GARAY LUIS HUMBERTO'!U$38:U$40)+SUMIF('CERDA HERNANDEZ JOSE LUIS'!P$35:P$37,'KM POR UNIDAD'!A13,'CERDA HERNANDEZ JOSE LUIS'!U$35:U$37)+SUMIF('RUIZ ALVARADO PEDRO'!P$32:P$34,'KM POR UNIDAD'!A13,'RUIZ ALVARADO PEDRO'!U$32:U$34)+SUMIF('NEVAREZ JUAN MANUEL'!P$37:P$39,'KM POR UNIDAD'!A13,'NEVAREZ JUAN MANUEL'!U$37:U$39)+SUMIF('CHAVEZ VARELA NESTOR ADRIAN'!P$35:P$37,'KM POR UNIDAD'!A13,'CHAVEZ VARELA NESTOR ADRIAN'!U$35:U$37)+SUMIF('PAYAN ESTRADA JOSE ANGEL'!P$37:P$39,'KM POR UNIDAD'!A13,'PAYAN ESTRADA JOSE ANGEL'!U$37:U$39)+SUMIF('RUIZ HERRERA ERICK '!P$33:P$35,'KM POR UNIDAD'!A13,'RUIZ HERRERA ERICK '!U$33:U$35)+SUMIF('GONZALEZ LOZANO ENRIQUE '!P$38:P$40,'KM POR UNIDAD'!A13,'GONZALEZ LOZANO ENRIQUE '!U$38:U$40)+SUMIF('GONZALEZ MARTINEZ MAURICIO'!P$38:P$40,'KM POR UNIDAD'!A13,'GONZALEZ MARTINEZ MAURICIO'!U$38:U$40)+SUMIF('GONZALEZ SOTO JOEL'!P$39:P$41,'KM POR UNIDAD'!A13,'GONZALEZ SOTO JOEL'!U$39:U$41)+SUMIF('MARTA RUBIO MARTIN'!P$39:P$41,'KM POR UNIDAD'!A13,'MARTA RUBIO MARTIN'!U$39:U$41)+SUMIF('GRIJALVA VALDEZ CESAR EUSEBIO'!P$35:P$37,'KM POR UNIDAD'!A13,'GRIJALVA VALDEZ CESAR EUSEBIO'!U$35:U$37)+SUMIF('PACHECO BAÑUELOS ALFONSO'!P$39:P$41,'KM POR UNIDAD'!A13,'PACHECO BAÑUELOS ALFONSO'!U$39:U$41)+SUMIF('RODRIGUEZ VALLES JOSE FRANCISCO'!P$40:P$42,'KM POR UNIDAD'!A13,'RODRIGUEZ VALLES JOSE FRANCISCO'!U$40:U$42)+SUMIF('SANCHEZ GUERRERO JOSE LUIS'!P$40:P$42,A13,'SANCHEZ GUERRERO JOSE LUIS'!U$40:U$42)+SUMIF('RUEDA SALAZAR ISMAEL'!P$35:P$37,'KM POR UNIDAD'!A13,'RUEDA SALAZAR ISMAEL'!U$35:U$37)+SUMIF('GUZMAN MORALES'!P$40:P$42,'KM POR UNIDAD'!A13,'GUZMAN MORALES'!U$40:U$42)+SUMIF('RODRIGUEZ RAMIREZ FERNANDO'!P$35:P$37,'KM POR UNIDAD'!A13,'RODRIGUEZ RAMIREZ FERNANDO'!U$35:U$37)+SUMIF('ESTRADA ARELLANO ARTURO'!P$40:P$42,'KM POR UNIDAD'!A13,'ESTRADA ARELLANO ARTURO'!U$40:U$42)+SUMIF('HERNANDEZ CONTRERAS JOSE FERNAN'!P$37:P$39,'KM POR UNIDAD'!A13,'HERNANDEZ CONTRERAS JOSE FERNAN'!U$37:U$39)+SUMIF('SALAZAR PEREZ JUAN CARLOS'!P$38:P$40,'KM POR UNIDAD'!A13,'SALAZAR PEREZ JUAN CARLOS'!U$38:U$40)+SUMIF('HARO IMPERIAL JOSÉ ANTONIO'!P$41:P$43,'KM POR UNIDAD'!A13,'HARO IMPERIAL JOSÉ ANTONIO'!U$41:$U53)+SUMIF('ESCARCEGA GALDEAN JESUS OMAR'!P$38:P$40,'KM POR UNIDAD'!A13,'ESCARCEGA GALDEAN JESUS OMAR'!U$38:U$40)</f>
        <v>0</v>
      </c>
      <c r="C13" s="166">
        <f>+SUMIF('LIRA TRISTAN JOSE ANGEL'!P$36:P$38,'KM POR UNIDAD'!A13,'LIRA TRISTAN JOSE ANGEL'!T$36:T$38)+SUMIF('TORRES GARAY LUIS HUMBERTO'!P$38:P$40,'KM POR UNIDAD'!A13,'TORRES GARAY LUIS HUMBERTO'!T$38:T$40)+SUMIF('CERDA HERNANDEZ JOSE LUIS'!P$35:P$37,'KM POR UNIDAD'!A13,'CERDA HERNANDEZ JOSE LUIS'!T$35:T$37)+SUMIF('RUIZ ALVARADO PEDRO'!P$32:P$34,'KM POR UNIDAD'!A13,'RUIZ ALVARADO PEDRO'!T$32:T$34)+SUMIF('NEVAREZ JUAN MANUEL'!P$37:P$39,'KM POR UNIDAD'!A13,'NEVAREZ JUAN MANUEL'!T$37:T$39)+SUMIF('CHAVEZ VARELA NESTOR ADRIAN'!P$35:P$37,'KM POR UNIDAD'!A13,'CHAVEZ VARELA NESTOR ADRIAN'!T$35:T$37)+SUMIF('PAYAN ESTRADA JOSE ANGEL'!P$37:P$39,'KM POR UNIDAD'!A13,'PAYAN ESTRADA JOSE ANGEL'!T$37:T$39)+SUMIF('RUIZ HERRERA ERICK '!P$33:P$35,'KM POR UNIDAD'!A13,'RUIZ HERRERA ERICK '!T$33:T$35)+SUMIF('GONZALEZ LOZANO ENRIQUE '!P$38:P$40,'KM POR UNIDAD'!A13,'GONZALEZ LOZANO ENRIQUE '!T$38:T$40)+SUMIF('GONZALEZ MARTINEZ MAURICIO'!P$38:P$40,'KM POR UNIDAD'!A13,'GONZALEZ MARTINEZ MAURICIO'!T$38:T$40)+SUMIF('GONZALEZ SOTO JOEL'!P$39:P$41,'KM POR UNIDAD'!A13,'GONZALEZ SOTO JOEL'!T$39:T$41)+SUMIF('MARTA RUBIO MARTIN'!P$39:P$41,'KM POR UNIDAD'!A13,'MARTA RUBIO MARTIN'!T$39:T$41)+SUMIF('GRIJALVA VALDEZ CESAR EUSEBIO'!P$35:P$37,'KM POR UNIDAD'!A13,'GRIJALVA VALDEZ CESAR EUSEBIO'!T$35:T$37)+SUMIF('PACHECO BAÑUELOS ALFONSO'!P$39:P$41,'KM POR UNIDAD'!A13,'PACHECO BAÑUELOS ALFONSO'!T$39:T$41)+SUMIF('RODRIGUEZ VALLES JOSE FRANCISCO'!P$40:P$42,'KM POR UNIDAD'!A13,'RODRIGUEZ VALLES JOSE FRANCISCO'!T$40:T$42)+SUMIF('SANCHEZ GUERRERO JOSE LUIS'!P$40:P$42,A13,'SANCHEZ GUERRERO JOSE LUIS'!T$40:T$42)+SUMIF('RUEDA SALAZAR ISMAEL'!P$35:P$37,'KM POR UNIDAD'!A13,'RUEDA SALAZAR ISMAEL'!T$35:T$37)+SUMIF('GUZMAN MORALES'!P$40:P$42,'KM POR UNIDAD'!A13,'GUZMAN MORALES'!T$40:T$42)+SUMIF('RODRIGUEZ RAMIREZ FERNANDO'!P$35:P$37,'KM POR UNIDAD'!A13,'RODRIGUEZ RAMIREZ FERNANDO'!T$35:T$37)+SUMIF('ESTRADA ARELLANO ARTURO'!P$40:P$42,'KM POR UNIDAD'!A13,'ESTRADA ARELLANO ARTURO'!T$40:T$42)+SUMIF('HERNANDEZ CONTRERAS JOSE FERNAN'!P$37:P$39,'KM POR UNIDAD'!A13,'HERNANDEZ CONTRERAS JOSE FERNAN'!T$37:T$39)+SUMIF('SALAZAR PEREZ JUAN CARLOS'!P$38:P$40,'KM POR UNIDAD'!A13,'SALAZAR PEREZ JUAN CARLOS'!T$38:T$40)+SUMIF('HARO IMPERIAL JOSÉ ANTONIO'!P$41:P$43,'KM POR UNIDAD'!A13,'HARO IMPERIAL JOSÉ ANTONIO'!T$41:T$43)+SUMIF('ESCARCEGA GALDEAN JESUS OMAR'!P$38:P$40,'KM POR UNIDAD'!A13,'ESCARCEGA GALDEAN JESUS OMAR'!T$38:T$40)</f>
        <v>0</v>
      </c>
      <c r="D13" s="189">
        <f>+SUMIF('LIRA TRISTAN JOSE ANGEL'!P$36:P$38,'KM POR UNIDAD'!A13,'LIRA TRISTAN JOSE ANGEL'!V$36:V$38)+SUMIF('TORRES GARAY LUIS HUMBERTO'!P$38:P$40,'KM POR UNIDAD'!A13,'TORRES GARAY LUIS HUMBERTO'!V$38:V$40)+SUMIF('CERDA HERNANDEZ JOSE LUIS'!P$35:P$37,'KM POR UNIDAD'!A13,'CERDA HERNANDEZ JOSE LUIS'!V$35:V$37)+SUMIF('RUIZ ALVARADO PEDRO'!P$32:P$34,'KM POR UNIDAD'!A13,'RUIZ ALVARADO PEDRO'!V$32:V$34)+SUMIF('NEVAREZ JUAN MANUEL'!P$37:P$39,'KM POR UNIDAD'!A13,'NEVAREZ JUAN MANUEL'!V$37:V$39)+SUMIF('CHAVEZ VARELA NESTOR ADRIAN'!P$35:P$37,'KM POR UNIDAD'!A13,'CHAVEZ VARELA NESTOR ADRIAN'!V$35:V$37)+SUMIF('PAYAN ESTRADA JOSE ANGEL'!P$37:P$39,'KM POR UNIDAD'!A13,'PAYAN ESTRADA JOSE ANGEL'!V$37:V$39)+SUMIF('RUIZ HERRERA ERICK '!P$33:P$35,'KM POR UNIDAD'!A13,'RUIZ HERRERA ERICK '!V$33:V$35)+SUMIF('GONZALEZ LOZANO ENRIQUE '!P$38:P$40,'KM POR UNIDAD'!A13,'GONZALEZ LOZANO ENRIQUE '!V$38:V$40)+SUMIF('GONZALEZ MARTINEZ MAURICIO'!P$38:P$40,'KM POR UNIDAD'!A13,'GONZALEZ MARTINEZ MAURICIO'!V$38:V$40)+SUMIF('GONZALEZ SOTO JOEL'!P$39:P$41,'KM POR UNIDAD'!A13,'GONZALEZ SOTO JOEL'!V$39:V$41)+SUMIF('MARTA RUBIO MARTIN'!P$39:P$41,'KM POR UNIDAD'!A13,'MARTA RUBIO MARTIN'!V$39:V$41)+SUMIF('GRIJALVA VALDEZ CESAR EUSEBIO'!P$35:P$37,'KM POR UNIDAD'!A13,'GRIJALVA VALDEZ CESAR EUSEBIO'!V$35:V$37)+SUMIF('PACHECO BAÑUELOS ALFONSO'!P$39:P$41,'KM POR UNIDAD'!A13,'PACHECO BAÑUELOS ALFONSO'!V$39:V$41)+SUMIF('RODRIGUEZ VALLES JOSE FRANCISCO'!P$40:P$42,'KM POR UNIDAD'!A13,'RODRIGUEZ VALLES JOSE FRANCISCO'!V$40:V$42)+SUMIF('SANCHEZ GUERRERO JOSE LUIS'!P$40:P$42,A13,'SANCHEZ GUERRERO JOSE LUIS'!V$40:V$42)+SUMIF('RUEDA SALAZAR ISMAEL'!P$35:P$37,'KM POR UNIDAD'!A13,'RUEDA SALAZAR ISMAEL'!V$35:V$37)+SUMIF('GUZMAN MORALES'!P$40:P$42,'KM POR UNIDAD'!A13,'GUZMAN MORALES'!V$40:V$42)+SUMIF('RODRIGUEZ RAMIREZ FERNANDO'!P$35:P$37,'KM POR UNIDAD'!A13,'RODRIGUEZ RAMIREZ FERNANDO'!V$35:V$37)+SUMIF('ESTRADA ARELLANO ARTURO'!P$40:P$42,'KM POR UNIDAD'!A13,'ESTRADA ARELLANO ARTURO'!V$40:V$42)+SUMIF('HERNANDEZ CONTRERAS JOSE FERNAN'!P$37:P$39,'KM POR UNIDAD'!A13,'HERNANDEZ CONTRERAS JOSE FERNAN'!V$38:V$40)+SUMIF('SALAZAR PEREZ JUAN CARLOS'!P$38:P$40,'KM POR UNIDAD'!A13,'SALAZAR PEREZ JUAN CARLOS'!V$38:V$40)+SUMIF('HARO IMPERIAL JOSÉ ANTONIO'!P$41:P$43,'KM POR UNIDAD'!A13,'HARO IMPERIAL JOSÉ ANTONIO'!V$41:V$43)+SUMIF('ESCARCEGA GALDEAN JESUS OMAR'!P$38:P$40,'KM POR UNIDAD'!A13,'ESCARCEGA GALDEAN JESUS OMAR'!V$38:V$40)</f>
        <v>0</v>
      </c>
      <c r="E13" s="167">
        <f t="shared" si="1"/>
        <v>0</v>
      </c>
      <c r="F13" s="168">
        <v>0</v>
      </c>
      <c r="G13" s="168">
        <v>0</v>
      </c>
      <c r="H13" s="168">
        <v>0</v>
      </c>
      <c r="I13" s="169">
        <f t="shared" si="0"/>
        <v>0</v>
      </c>
      <c r="J13" s="170"/>
      <c r="K13" s="171"/>
    </row>
    <row r="14" spans="1:11" x14ac:dyDescent="0.25">
      <c r="A14" s="165" t="s">
        <v>137</v>
      </c>
      <c r="B14" s="166">
        <f>SUMIF('LIRA TRISTAN JOSE ANGEL'!P$36:P$38,'KM POR UNIDAD'!A14,'LIRA TRISTAN JOSE ANGEL'!U$36:U$38)+SUMIF('TORRES GARAY LUIS HUMBERTO'!P$38:P$40,'KM POR UNIDAD'!A14,'TORRES GARAY LUIS HUMBERTO'!U$38:U$40)+SUMIF('CERDA HERNANDEZ JOSE LUIS'!P$35:P$37,'KM POR UNIDAD'!A14,'CERDA HERNANDEZ JOSE LUIS'!U$35:U$37)+SUMIF('RUIZ ALVARADO PEDRO'!P$32:P$34,'KM POR UNIDAD'!A14,'RUIZ ALVARADO PEDRO'!U$32:U$34)+SUMIF('NEVAREZ JUAN MANUEL'!P$37:P$39,'KM POR UNIDAD'!A14,'NEVAREZ JUAN MANUEL'!U$37:U$39)+SUMIF('CHAVEZ VARELA NESTOR ADRIAN'!P$35:P$37,'KM POR UNIDAD'!A14,'CHAVEZ VARELA NESTOR ADRIAN'!U$35:U$37)+SUMIF('PAYAN ESTRADA JOSE ANGEL'!P$37:P$39,'KM POR UNIDAD'!A14,'PAYAN ESTRADA JOSE ANGEL'!U$37:U$39)+SUMIF('RUIZ HERRERA ERICK '!P$33:P$35,'KM POR UNIDAD'!A14,'RUIZ HERRERA ERICK '!U$33:U$35)+SUMIF('GONZALEZ LOZANO ENRIQUE '!P$38:P$40,'KM POR UNIDAD'!A14,'GONZALEZ LOZANO ENRIQUE '!U$38:U$40)+SUMIF('GONZALEZ MARTINEZ MAURICIO'!P$38:P$40,'KM POR UNIDAD'!A14,'GONZALEZ MARTINEZ MAURICIO'!U$38:U$40)+SUMIF('GONZALEZ SOTO JOEL'!P$39:P$41,'KM POR UNIDAD'!A14,'GONZALEZ SOTO JOEL'!U$39:U$41)+SUMIF('MARTA RUBIO MARTIN'!P$39:P$41,'KM POR UNIDAD'!A14,'MARTA RUBIO MARTIN'!U$39:U$41)+SUMIF('GRIJALVA VALDEZ CESAR EUSEBIO'!P$35:P$37,'KM POR UNIDAD'!A14,'GRIJALVA VALDEZ CESAR EUSEBIO'!U$35:U$37)+SUMIF('PACHECO BAÑUELOS ALFONSO'!P$39:P$41,'KM POR UNIDAD'!A14,'PACHECO BAÑUELOS ALFONSO'!U$39:U$41)+SUMIF('RODRIGUEZ VALLES JOSE FRANCISCO'!P$40:P$42,'KM POR UNIDAD'!A14,'RODRIGUEZ VALLES JOSE FRANCISCO'!U$40:U$42)+SUMIF('SANCHEZ GUERRERO JOSE LUIS'!P$40:P$42,A14,'SANCHEZ GUERRERO JOSE LUIS'!U$40:U$42)+SUMIF('RUEDA SALAZAR ISMAEL'!P$35:P$37,'KM POR UNIDAD'!A14,'RUEDA SALAZAR ISMAEL'!U$35:U$37)+SUMIF('GUZMAN MORALES'!P$40:P$42,'KM POR UNIDAD'!A14,'GUZMAN MORALES'!U$40:U$42)+SUMIF('RODRIGUEZ RAMIREZ FERNANDO'!P$35:P$37,'KM POR UNIDAD'!A14,'RODRIGUEZ RAMIREZ FERNANDO'!U$35:U$37)+SUMIF('ESTRADA ARELLANO ARTURO'!P$40:P$42,'KM POR UNIDAD'!A14,'ESTRADA ARELLANO ARTURO'!U$40:U$42)+SUMIF('HERNANDEZ CONTRERAS JOSE FERNAN'!P$37:P$39,'KM POR UNIDAD'!A14,'HERNANDEZ CONTRERAS JOSE FERNAN'!U$37:U$39)+SUMIF('SALAZAR PEREZ JUAN CARLOS'!P$38:P$40,'KM POR UNIDAD'!A14,'SALAZAR PEREZ JUAN CARLOS'!U$38:U$40)+SUMIF('HARO IMPERIAL JOSÉ ANTONIO'!P$41:P$43,'KM POR UNIDAD'!A14,'HARO IMPERIAL JOSÉ ANTONIO'!U$41:$U54)+SUMIF('ESCARCEGA GALDEAN JESUS OMAR'!P$38:P$40,'KM POR UNIDAD'!A14,'ESCARCEGA GALDEAN JESUS OMAR'!U$38:U$40)</f>
        <v>0</v>
      </c>
      <c r="C14" s="166">
        <f>+SUMIF('LIRA TRISTAN JOSE ANGEL'!P$36:P$38,'KM POR UNIDAD'!A14,'LIRA TRISTAN JOSE ANGEL'!T$36:T$38)+SUMIF('TORRES GARAY LUIS HUMBERTO'!P$38:P$40,'KM POR UNIDAD'!A14,'TORRES GARAY LUIS HUMBERTO'!T$38:T$40)+SUMIF('CERDA HERNANDEZ JOSE LUIS'!P$35:P$37,'KM POR UNIDAD'!A14,'CERDA HERNANDEZ JOSE LUIS'!T$35:T$37)+SUMIF('RUIZ ALVARADO PEDRO'!P$32:P$34,'KM POR UNIDAD'!A14,'RUIZ ALVARADO PEDRO'!T$32:T$34)+SUMIF('NEVAREZ JUAN MANUEL'!P$37:P$39,'KM POR UNIDAD'!A14,'NEVAREZ JUAN MANUEL'!T$37:T$39)+SUMIF('CHAVEZ VARELA NESTOR ADRIAN'!P$35:P$37,'KM POR UNIDAD'!A14,'CHAVEZ VARELA NESTOR ADRIAN'!T$35:T$37)+SUMIF('PAYAN ESTRADA JOSE ANGEL'!P$37:P$39,'KM POR UNIDAD'!A14,'PAYAN ESTRADA JOSE ANGEL'!T$37:T$39)+SUMIF('RUIZ HERRERA ERICK '!P$33:P$35,'KM POR UNIDAD'!A14,'RUIZ HERRERA ERICK '!T$33:T$35)+SUMIF('GONZALEZ LOZANO ENRIQUE '!P$38:P$40,'KM POR UNIDAD'!A14,'GONZALEZ LOZANO ENRIQUE '!T$38:T$40)+SUMIF('GONZALEZ MARTINEZ MAURICIO'!P$38:P$40,'KM POR UNIDAD'!A14,'GONZALEZ MARTINEZ MAURICIO'!T$38:T$40)+SUMIF('GONZALEZ SOTO JOEL'!P$39:P$41,'KM POR UNIDAD'!A14,'GONZALEZ SOTO JOEL'!T$39:T$41)+SUMIF('MARTA RUBIO MARTIN'!P$39:P$41,'KM POR UNIDAD'!A14,'MARTA RUBIO MARTIN'!T$39:T$41)+SUMIF('GRIJALVA VALDEZ CESAR EUSEBIO'!P$35:P$37,'KM POR UNIDAD'!A14,'GRIJALVA VALDEZ CESAR EUSEBIO'!T$35:T$37)+SUMIF('PACHECO BAÑUELOS ALFONSO'!P$39:P$41,'KM POR UNIDAD'!A14,'PACHECO BAÑUELOS ALFONSO'!T$39:T$41)+SUMIF('RODRIGUEZ VALLES JOSE FRANCISCO'!P$40:P$42,'KM POR UNIDAD'!A14,'RODRIGUEZ VALLES JOSE FRANCISCO'!T$40:T$42)+SUMIF('SANCHEZ GUERRERO JOSE LUIS'!P$40:P$42,A14,'SANCHEZ GUERRERO JOSE LUIS'!T$40:T$42)+SUMIF('RUEDA SALAZAR ISMAEL'!P$35:P$37,'KM POR UNIDAD'!A14,'RUEDA SALAZAR ISMAEL'!T$35:T$37)+SUMIF('GUZMAN MORALES'!P$40:P$42,'KM POR UNIDAD'!A14,'GUZMAN MORALES'!T$40:T$42)+SUMIF('RODRIGUEZ RAMIREZ FERNANDO'!P$35:P$37,'KM POR UNIDAD'!A14,'RODRIGUEZ RAMIREZ FERNANDO'!T$35:T$37)+SUMIF('ESTRADA ARELLANO ARTURO'!P$40:P$42,'KM POR UNIDAD'!A14,'ESTRADA ARELLANO ARTURO'!T$40:T$42)+SUMIF('HERNANDEZ CONTRERAS JOSE FERNAN'!P$37:P$39,'KM POR UNIDAD'!A14,'HERNANDEZ CONTRERAS JOSE FERNAN'!T$37:T$39)+SUMIF('SALAZAR PEREZ JUAN CARLOS'!P$38:P$40,'KM POR UNIDAD'!A14,'SALAZAR PEREZ JUAN CARLOS'!T$38:T$40)+SUMIF('HARO IMPERIAL JOSÉ ANTONIO'!P$41:P$43,'KM POR UNIDAD'!A14,'HARO IMPERIAL JOSÉ ANTONIO'!T$41:T$43)+SUMIF('ESCARCEGA GALDEAN JESUS OMAR'!P$38:P$40,'KM POR UNIDAD'!A14,'ESCARCEGA GALDEAN JESUS OMAR'!T$38:T$40)</f>
        <v>0</v>
      </c>
      <c r="D14" s="189">
        <f>+SUMIF('LIRA TRISTAN JOSE ANGEL'!P$36:P$38,'KM POR UNIDAD'!A14,'LIRA TRISTAN JOSE ANGEL'!V$36:V$38)+SUMIF('TORRES GARAY LUIS HUMBERTO'!P$38:P$40,'KM POR UNIDAD'!A14,'TORRES GARAY LUIS HUMBERTO'!V$38:V$40)+SUMIF('CERDA HERNANDEZ JOSE LUIS'!P$35:P$37,'KM POR UNIDAD'!A14,'CERDA HERNANDEZ JOSE LUIS'!V$35:V$37)+SUMIF('RUIZ ALVARADO PEDRO'!P$32:P$34,'KM POR UNIDAD'!A14,'RUIZ ALVARADO PEDRO'!V$32:V$34)+SUMIF('NEVAREZ JUAN MANUEL'!P$37:P$39,'KM POR UNIDAD'!A14,'NEVAREZ JUAN MANUEL'!V$37:V$39)+SUMIF('CHAVEZ VARELA NESTOR ADRIAN'!P$35:P$37,'KM POR UNIDAD'!A14,'CHAVEZ VARELA NESTOR ADRIAN'!V$35:V$37)+SUMIF('PAYAN ESTRADA JOSE ANGEL'!P$37:P$39,'KM POR UNIDAD'!A14,'PAYAN ESTRADA JOSE ANGEL'!V$37:V$39)+SUMIF('RUIZ HERRERA ERICK '!P$33:P$35,'KM POR UNIDAD'!A14,'RUIZ HERRERA ERICK '!V$33:V$35)+SUMIF('GONZALEZ LOZANO ENRIQUE '!P$38:P$40,'KM POR UNIDAD'!A14,'GONZALEZ LOZANO ENRIQUE '!V$38:V$40)+SUMIF('GONZALEZ MARTINEZ MAURICIO'!P$38:P$40,'KM POR UNIDAD'!A14,'GONZALEZ MARTINEZ MAURICIO'!V$38:V$40)+SUMIF('GONZALEZ SOTO JOEL'!P$39:P$41,'KM POR UNIDAD'!A14,'GONZALEZ SOTO JOEL'!V$39:V$41)+SUMIF('MARTA RUBIO MARTIN'!P$39:P$41,'KM POR UNIDAD'!A14,'MARTA RUBIO MARTIN'!V$39:V$41)+SUMIF('GRIJALVA VALDEZ CESAR EUSEBIO'!P$35:P$37,'KM POR UNIDAD'!A14,'GRIJALVA VALDEZ CESAR EUSEBIO'!V$35:V$37)+SUMIF('PACHECO BAÑUELOS ALFONSO'!P$39:P$41,'KM POR UNIDAD'!A14,'PACHECO BAÑUELOS ALFONSO'!V$39:V$41)+SUMIF('RODRIGUEZ VALLES JOSE FRANCISCO'!P$40:P$42,'KM POR UNIDAD'!A14,'RODRIGUEZ VALLES JOSE FRANCISCO'!V$40:V$42)+SUMIF('SANCHEZ GUERRERO JOSE LUIS'!P$40:P$42,A14,'SANCHEZ GUERRERO JOSE LUIS'!V$40:V$42)+SUMIF('RUEDA SALAZAR ISMAEL'!P$35:P$37,'KM POR UNIDAD'!A14,'RUEDA SALAZAR ISMAEL'!V$35:V$37)+SUMIF('GUZMAN MORALES'!P$40:P$42,'KM POR UNIDAD'!A14,'GUZMAN MORALES'!V$40:V$42)+SUMIF('RODRIGUEZ RAMIREZ FERNANDO'!P$35:P$37,'KM POR UNIDAD'!A14,'RODRIGUEZ RAMIREZ FERNANDO'!V$35:V$37)+SUMIF('ESTRADA ARELLANO ARTURO'!P$40:P$42,'KM POR UNIDAD'!A14,'ESTRADA ARELLANO ARTURO'!V$40:V$42)+SUMIF('HERNANDEZ CONTRERAS JOSE FERNAN'!P$37:P$39,'KM POR UNIDAD'!A14,'HERNANDEZ CONTRERAS JOSE FERNAN'!V$38:V$40)+SUMIF('SALAZAR PEREZ JUAN CARLOS'!P$38:P$40,'KM POR UNIDAD'!A14,'SALAZAR PEREZ JUAN CARLOS'!V$38:V$40)+SUMIF('HARO IMPERIAL JOSÉ ANTONIO'!P$41:P$43,'KM POR UNIDAD'!A14,'HARO IMPERIAL JOSÉ ANTONIO'!V$41:V$43)+SUMIF('ESCARCEGA GALDEAN JESUS OMAR'!P$38:P$40,'KM POR UNIDAD'!A14,'ESCARCEGA GALDEAN JESUS OMAR'!V$38:V$40)</f>
        <v>0</v>
      </c>
      <c r="E14" s="167">
        <f t="shared" si="1"/>
        <v>0</v>
      </c>
      <c r="F14" s="168">
        <v>0</v>
      </c>
      <c r="G14" s="168">
        <v>0</v>
      </c>
      <c r="H14" s="168">
        <v>0</v>
      </c>
      <c r="I14" s="169">
        <f t="shared" si="0"/>
        <v>0</v>
      </c>
      <c r="J14" s="170"/>
      <c r="K14" s="171"/>
    </row>
    <row r="15" spans="1:11" x14ac:dyDescent="0.25">
      <c r="A15" s="165" t="s">
        <v>138</v>
      </c>
      <c r="B15" s="166">
        <f>SUMIF('LIRA TRISTAN JOSE ANGEL'!P$36:P$38,'KM POR UNIDAD'!A15,'LIRA TRISTAN JOSE ANGEL'!U$36:U$38)+SUMIF('TORRES GARAY LUIS HUMBERTO'!P$38:P$40,'KM POR UNIDAD'!A15,'TORRES GARAY LUIS HUMBERTO'!U$38:U$40)+SUMIF('CERDA HERNANDEZ JOSE LUIS'!P$35:P$37,'KM POR UNIDAD'!A15,'CERDA HERNANDEZ JOSE LUIS'!U$35:U$37)+SUMIF('RUIZ ALVARADO PEDRO'!P$32:P$34,'KM POR UNIDAD'!A15,'RUIZ ALVARADO PEDRO'!U$32:U$34)+SUMIF('NEVAREZ JUAN MANUEL'!P$37:P$39,'KM POR UNIDAD'!A15,'NEVAREZ JUAN MANUEL'!U$37:U$39)+SUMIF('CHAVEZ VARELA NESTOR ADRIAN'!P$35:P$37,'KM POR UNIDAD'!A15,'CHAVEZ VARELA NESTOR ADRIAN'!U$35:U$37)+SUMIF('PAYAN ESTRADA JOSE ANGEL'!P$37:P$39,'KM POR UNIDAD'!A15,'PAYAN ESTRADA JOSE ANGEL'!U$37:U$39)+SUMIF('RUIZ HERRERA ERICK '!P$33:P$35,'KM POR UNIDAD'!A15,'RUIZ HERRERA ERICK '!U$33:U$35)+SUMIF('GONZALEZ LOZANO ENRIQUE '!P$38:P$40,'KM POR UNIDAD'!A15,'GONZALEZ LOZANO ENRIQUE '!U$38:U$40)+SUMIF('GONZALEZ MARTINEZ MAURICIO'!P$38:P$40,'KM POR UNIDAD'!A15,'GONZALEZ MARTINEZ MAURICIO'!U$38:U$40)+SUMIF('GONZALEZ SOTO JOEL'!P$39:P$41,'KM POR UNIDAD'!A15,'GONZALEZ SOTO JOEL'!U$39:U$41)+SUMIF('MARTA RUBIO MARTIN'!P$39:P$41,'KM POR UNIDAD'!A15,'MARTA RUBIO MARTIN'!U$39:U$41)+SUMIF('GRIJALVA VALDEZ CESAR EUSEBIO'!P$35:P$37,'KM POR UNIDAD'!A15,'GRIJALVA VALDEZ CESAR EUSEBIO'!U$35:U$37)+SUMIF('PACHECO BAÑUELOS ALFONSO'!P$39:P$41,'KM POR UNIDAD'!A15,'PACHECO BAÑUELOS ALFONSO'!U$39:U$41)+SUMIF('RODRIGUEZ VALLES JOSE FRANCISCO'!P$40:P$42,'KM POR UNIDAD'!A15,'RODRIGUEZ VALLES JOSE FRANCISCO'!U$40:U$42)+SUMIF('SANCHEZ GUERRERO JOSE LUIS'!P$40:P$42,A15,'SANCHEZ GUERRERO JOSE LUIS'!U$40:U$42)+SUMIF('RUEDA SALAZAR ISMAEL'!P$35:P$37,'KM POR UNIDAD'!A15,'RUEDA SALAZAR ISMAEL'!U$35:U$37)+SUMIF('GUZMAN MORALES'!P$40:P$42,'KM POR UNIDAD'!A15,'GUZMAN MORALES'!U$40:U$42)+SUMIF('RODRIGUEZ RAMIREZ FERNANDO'!P$35:P$37,'KM POR UNIDAD'!A15,'RODRIGUEZ RAMIREZ FERNANDO'!U$35:U$37)+SUMIF('ESTRADA ARELLANO ARTURO'!P$40:P$42,'KM POR UNIDAD'!A15,'ESTRADA ARELLANO ARTURO'!U$40:U$42)+SUMIF('HERNANDEZ CONTRERAS JOSE FERNAN'!P$37:P$39,'KM POR UNIDAD'!A15,'HERNANDEZ CONTRERAS JOSE FERNAN'!U$37:U$39)+SUMIF('SALAZAR PEREZ JUAN CARLOS'!P$38:P$40,'KM POR UNIDAD'!A15,'SALAZAR PEREZ JUAN CARLOS'!U$38:U$40)+SUMIF('HARO IMPERIAL JOSÉ ANTONIO'!P$41:P$43,'KM POR UNIDAD'!A15,'HARO IMPERIAL JOSÉ ANTONIO'!U$41:$U55)+SUMIF('ESCARCEGA GALDEAN JESUS OMAR'!P$38:P$40,'KM POR UNIDAD'!A15,'ESCARCEGA GALDEAN JESUS OMAR'!U$38:U$40)</f>
        <v>0</v>
      </c>
      <c r="C15" s="166">
        <f>+SUMIF('LIRA TRISTAN JOSE ANGEL'!P$36:P$38,'KM POR UNIDAD'!A15,'LIRA TRISTAN JOSE ANGEL'!T$36:T$38)+SUMIF('TORRES GARAY LUIS HUMBERTO'!P$38:P$40,'KM POR UNIDAD'!A15,'TORRES GARAY LUIS HUMBERTO'!T$38:T$40)+SUMIF('CERDA HERNANDEZ JOSE LUIS'!P$35:P$37,'KM POR UNIDAD'!A15,'CERDA HERNANDEZ JOSE LUIS'!T$35:T$37)+SUMIF('RUIZ ALVARADO PEDRO'!P$32:P$34,'KM POR UNIDAD'!A15,'RUIZ ALVARADO PEDRO'!T$32:T$34)+SUMIF('NEVAREZ JUAN MANUEL'!P$37:P$39,'KM POR UNIDAD'!A15,'NEVAREZ JUAN MANUEL'!T$37:T$39)+SUMIF('CHAVEZ VARELA NESTOR ADRIAN'!P$35:P$37,'KM POR UNIDAD'!A15,'CHAVEZ VARELA NESTOR ADRIAN'!T$35:T$37)+SUMIF('PAYAN ESTRADA JOSE ANGEL'!P$37:P$39,'KM POR UNIDAD'!A15,'PAYAN ESTRADA JOSE ANGEL'!T$37:T$39)+SUMIF('RUIZ HERRERA ERICK '!P$33:P$35,'KM POR UNIDAD'!A15,'RUIZ HERRERA ERICK '!T$33:T$35)+SUMIF('GONZALEZ LOZANO ENRIQUE '!P$38:P$40,'KM POR UNIDAD'!A15,'GONZALEZ LOZANO ENRIQUE '!T$38:T$40)+SUMIF('GONZALEZ MARTINEZ MAURICIO'!P$38:P$40,'KM POR UNIDAD'!A15,'GONZALEZ MARTINEZ MAURICIO'!T$38:T$40)+SUMIF('GONZALEZ SOTO JOEL'!P$39:P$41,'KM POR UNIDAD'!A15,'GONZALEZ SOTO JOEL'!T$39:T$41)+SUMIF('MARTA RUBIO MARTIN'!P$39:P$41,'KM POR UNIDAD'!A15,'MARTA RUBIO MARTIN'!T$39:T$41)+SUMIF('GRIJALVA VALDEZ CESAR EUSEBIO'!P$35:P$37,'KM POR UNIDAD'!A15,'GRIJALVA VALDEZ CESAR EUSEBIO'!T$35:T$37)+SUMIF('PACHECO BAÑUELOS ALFONSO'!P$39:P$41,'KM POR UNIDAD'!A15,'PACHECO BAÑUELOS ALFONSO'!T$39:T$41)+SUMIF('RODRIGUEZ VALLES JOSE FRANCISCO'!P$40:P$42,'KM POR UNIDAD'!A15,'RODRIGUEZ VALLES JOSE FRANCISCO'!T$40:T$42)+SUMIF('SANCHEZ GUERRERO JOSE LUIS'!P$40:P$42,A15,'SANCHEZ GUERRERO JOSE LUIS'!T$40:T$42)+SUMIF('RUEDA SALAZAR ISMAEL'!P$35:P$37,'KM POR UNIDAD'!A15,'RUEDA SALAZAR ISMAEL'!T$35:T$37)+SUMIF('GUZMAN MORALES'!P$40:P$42,'KM POR UNIDAD'!A15,'GUZMAN MORALES'!T$40:T$42)+SUMIF('RODRIGUEZ RAMIREZ FERNANDO'!P$35:P$37,'KM POR UNIDAD'!A15,'RODRIGUEZ RAMIREZ FERNANDO'!T$35:T$37)+SUMIF('ESTRADA ARELLANO ARTURO'!P$40:P$42,'KM POR UNIDAD'!A15,'ESTRADA ARELLANO ARTURO'!T$40:T$42)+SUMIF('HERNANDEZ CONTRERAS JOSE FERNAN'!P$37:P$39,'KM POR UNIDAD'!A15,'HERNANDEZ CONTRERAS JOSE FERNAN'!T$37:T$39)+SUMIF('SALAZAR PEREZ JUAN CARLOS'!P$38:P$40,'KM POR UNIDAD'!A15,'SALAZAR PEREZ JUAN CARLOS'!T$38:T$40)+SUMIF('HARO IMPERIAL JOSÉ ANTONIO'!P$41:P$43,'KM POR UNIDAD'!A15,'HARO IMPERIAL JOSÉ ANTONIO'!T$41:T$43)+SUMIF('ESCARCEGA GALDEAN JESUS OMAR'!P$38:P$40,'KM POR UNIDAD'!A15,'ESCARCEGA GALDEAN JESUS OMAR'!T$38:T$40)</f>
        <v>0</v>
      </c>
      <c r="D15" s="189">
        <f>+SUMIF('LIRA TRISTAN JOSE ANGEL'!P$36:P$38,'KM POR UNIDAD'!A15,'LIRA TRISTAN JOSE ANGEL'!V$36:V$38)+SUMIF('TORRES GARAY LUIS HUMBERTO'!P$38:P$40,'KM POR UNIDAD'!A15,'TORRES GARAY LUIS HUMBERTO'!V$38:V$40)+SUMIF('CERDA HERNANDEZ JOSE LUIS'!P$35:P$37,'KM POR UNIDAD'!A15,'CERDA HERNANDEZ JOSE LUIS'!V$35:V$37)+SUMIF('RUIZ ALVARADO PEDRO'!P$32:P$34,'KM POR UNIDAD'!A15,'RUIZ ALVARADO PEDRO'!V$32:V$34)+SUMIF('NEVAREZ JUAN MANUEL'!P$37:P$39,'KM POR UNIDAD'!A15,'NEVAREZ JUAN MANUEL'!V$37:V$39)+SUMIF('CHAVEZ VARELA NESTOR ADRIAN'!P$35:P$37,'KM POR UNIDAD'!A15,'CHAVEZ VARELA NESTOR ADRIAN'!V$35:V$37)+SUMIF('PAYAN ESTRADA JOSE ANGEL'!P$37:P$39,'KM POR UNIDAD'!A15,'PAYAN ESTRADA JOSE ANGEL'!V$37:V$39)+SUMIF('RUIZ HERRERA ERICK '!P$33:P$35,'KM POR UNIDAD'!A15,'RUIZ HERRERA ERICK '!V$33:V$35)+SUMIF('GONZALEZ LOZANO ENRIQUE '!P$38:P$40,'KM POR UNIDAD'!A15,'GONZALEZ LOZANO ENRIQUE '!V$38:V$40)+SUMIF('GONZALEZ MARTINEZ MAURICIO'!P$38:P$40,'KM POR UNIDAD'!A15,'GONZALEZ MARTINEZ MAURICIO'!V$38:V$40)+SUMIF('GONZALEZ SOTO JOEL'!P$39:P$41,'KM POR UNIDAD'!A15,'GONZALEZ SOTO JOEL'!V$39:V$41)+SUMIF('MARTA RUBIO MARTIN'!P$39:P$41,'KM POR UNIDAD'!A15,'MARTA RUBIO MARTIN'!V$39:V$41)+SUMIF('GRIJALVA VALDEZ CESAR EUSEBIO'!P$35:P$37,'KM POR UNIDAD'!A15,'GRIJALVA VALDEZ CESAR EUSEBIO'!V$35:V$37)+SUMIF('PACHECO BAÑUELOS ALFONSO'!P$39:P$41,'KM POR UNIDAD'!A15,'PACHECO BAÑUELOS ALFONSO'!V$39:V$41)+SUMIF('RODRIGUEZ VALLES JOSE FRANCISCO'!P$40:P$42,'KM POR UNIDAD'!A15,'RODRIGUEZ VALLES JOSE FRANCISCO'!V$40:V$42)+SUMIF('SANCHEZ GUERRERO JOSE LUIS'!P$40:P$42,A15,'SANCHEZ GUERRERO JOSE LUIS'!V$40:V$42)+SUMIF('RUEDA SALAZAR ISMAEL'!P$35:P$37,'KM POR UNIDAD'!A15,'RUEDA SALAZAR ISMAEL'!V$35:V$37)+SUMIF('GUZMAN MORALES'!P$40:P$42,'KM POR UNIDAD'!A15,'GUZMAN MORALES'!V$40:V$42)+SUMIF('RODRIGUEZ RAMIREZ FERNANDO'!P$35:P$37,'KM POR UNIDAD'!A15,'RODRIGUEZ RAMIREZ FERNANDO'!V$35:V$37)+SUMIF('ESTRADA ARELLANO ARTURO'!P$40:P$42,'KM POR UNIDAD'!A15,'ESTRADA ARELLANO ARTURO'!V$40:V$42)+SUMIF('HERNANDEZ CONTRERAS JOSE FERNAN'!P$37:P$39,'KM POR UNIDAD'!A15,'HERNANDEZ CONTRERAS JOSE FERNAN'!V$38:V$40)+SUMIF('SALAZAR PEREZ JUAN CARLOS'!P$38:P$40,'KM POR UNIDAD'!A15,'SALAZAR PEREZ JUAN CARLOS'!V$38:V$40)+SUMIF('HARO IMPERIAL JOSÉ ANTONIO'!P$41:P$43,'KM POR UNIDAD'!A15,'HARO IMPERIAL JOSÉ ANTONIO'!V$41:V$43)+SUMIF('ESCARCEGA GALDEAN JESUS OMAR'!P$38:P$40,'KM POR UNIDAD'!A15,'ESCARCEGA GALDEAN JESUS OMAR'!V$38:V$40)</f>
        <v>0</v>
      </c>
      <c r="E15" s="167">
        <f t="shared" si="1"/>
        <v>0</v>
      </c>
      <c r="F15" s="168">
        <v>0</v>
      </c>
      <c r="G15" s="168">
        <v>0</v>
      </c>
      <c r="H15" s="168">
        <v>0</v>
      </c>
      <c r="I15" s="169">
        <f t="shared" si="0"/>
        <v>0</v>
      </c>
      <c r="J15" s="170"/>
      <c r="K15" s="171"/>
    </row>
    <row r="16" spans="1:11" x14ac:dyDescent="0.25">
      <c r="A16" s="165" t="s">
        <v>139</v>
      </c>
      <c r="B16" s="166">
        <f>SUMIF('LIRA TRISTAN JOSE ANGEL'!P$36:P$38,'KM POR UNIDAD'!A16,'LIRA TRISTAN JOSE ANGEL'!U$36:U$38)+SUMIF('TORRES GARAY LUIS HUMBERTO'!P$38:P$40,'KM POR UNIDAD'!A16,'TORRES GARAY LUIS HUMBERTO'!U$38:U$40)+SUMIF('CERDA HERNANDEZ JOSE LUIS'!P$35:P$37,'KM POR UNIDAD'!A16,'CERDA HERNANDEZ JOSE LUIS'!U$35:U$37)+SUMIF('RUIZ ALVARADO PEDRO'!P$32:P$34,'KM POR UNIDAD'!A16,'RUIZ ALVARADO PEDRO'!U$32:U$34)+SUMIF('NEVAREZ JUAN MANUEL'!P$37:P$39,'KM POR UNIDAD'!A16,'NEVAREZ JUAN MANUEL'!U$37:U$39)+SUMIF('CHAVEZ VARELA NESTOR ADRIAN'!P$35:P$37,'KM POR UNIDAD'!A16,'CHAVEZ VARELA NESTOR ADRIAN'!U$35:U$37)+SUMIF('PAYAN ESTRADA JOSE ANGEL'!P$37:P$39,'KM POR UNIDAD'!A16,'PAYAN ESTRADA JOSE ANGEL'!U$37:U$39)+SUMIF('RUIZ HERRERA ERICK '!P$33:P$35,'KM POR UNIDAD'!A16,'RUIZ HERRERA ERICK '!U$33:U$35)+SUMIF('GONZALEZ LOZANO ENRIQUE '!P$38:P$40,'KM POR UNIDAD'!A16,'GONZALEZ LOZANO ENRIQUE '!U$38:U$40)+SUMIF('GONZALEZ MARTINEZ MAURICIO'!P$38:P$40,'KM POR UNIDAD'!A16,'GONZALEZ MARTINEZ MAURICIO'!U$38:U$40)+SUMIF('GONZALEZ SOTO JOEL'!P$39:P$41,'KM POR UNIDAD'!A16,'GONZALEZ SOTO JOEL'!U$39:U$41)+SUMIF('MARTA RUBIO MARTIN'!P$39:P$41,'KM POR UNIDAD'!A16,'MARTA RUBIO MARTIN'!U$39:U$41)+SUMIF('GRIJALVA VALDEZ CESAR EUSEBIO'!P$35:P$37,'KM POR UNIDAD'!A16,'GRIJALVA VALDEZ CESAR EUSEBIO'!U$35:U$37)+SUMIF('PACHECO BAÑUELOS ALFONSO'!P$39:P$41,'KM POR UNIDAD'!A16,'PACHECO BAÑUELOS ALFONSO'!U$39:U$41)+SUMIF('RODRIGUEZ VALLES JOSE FRANCISCO'!P$40:P$42,'KM POR UNIDAD'!A16,'RODRIGUEZ VALLES JOSE FRANCISCO'!U$40:U$42)+SUMIF('SANCHEZ GUERRERO JOSE LUIS'!P$40:P$42,A16,'SANCHEZ GUERRERO JOSE LUIS'!U$40:U$42)+SUMIF('RUEDA SALAZAR ISMAEL'!P$35:P$37,'KM POR UNIDAD'!A16,'RUEDA SALAZAR ISMAEL'!U$35:U$37)+SUMIF('GUZMAN MORALES'!P$40:P$42,'KM POR UNIDAD'!A16,'GUZMAN MORALES'!U$40:U$42)+SUMIF('RODRIGUEZ RAMIREZ FERNANDO'!P$35:P$37,'KM POR UNIDAD'!A16,'RODRIGUEZ RAMIREZ FERNANDO'!U$35:U$37)+SUMIF('ESTRADA ARELLANO ARTURO'!P$40:P$42,'KM POR UNIDAD'!A16,'ESTRADA ARELLANO ARTURO'!U$40:U$42)+SUMIF('HERNANDEZ CONTRERAS JOSE FERNAN'!P$37:P$39,'KM POR UNIDAD'!A16,'HERNANDEZ CONTRERAS JOSE FERNAN'!U$37:U$39)+SUMIF('SALAZAR PEREZ JUAN CARLOS'!P$38:P$40,'KM POR UNIDAD'!A16,'SALAZAR PEREZ JUAN CARLOS'!U$38:U$40)+SUMIF('HARO IMPERIAL JOSÉ ANTONIO'!P$41:P$43,'KM POR UNIDAD'!A16,'HARO IMPERIAL JOSÉ ANTONIO'!U$41:$U56)+SUMIF('ESCARCEGA GALDEAN JESUS OMAR'!P$38:P$40,'KM POR UNIDAD'!A16,'ESCARCEGA GALDEAN JESUS OMAR'!U$38:U$40)</f>
        <v>0</v>
      </c>
      <c r="C16" s="166">
        <f>+SUMIF('LIRA TRISTAN JOSE ANGEL'!P$36:P$38,'KM POR UNIDAD'!A16,'LIRA TRISTAN JOSE ANGEL'!T$36:T$38)+SUMIF('TORRES GARAY LUIS HUMBERTO'!P$38:P$40,'KM POR UNIDAD'!A16,'TORRES GARAY LUIS HUMBERTO'!T$38:T$40)+SUMIF('CERDA HERNANDEZ JOSE LUIS'!P$35:P$37,'KM POR UNIDAD'!A16,'CERDA HERNANDEZ JOSE LUIS'!T$35:T$37)+SUMIF('RUIZ ALVARADO PEDRO'!P$32:P$34,'KM POR UNIDAD'!A16,'RUIZ ALVARADO PEDRO'!T$32:T$34)+SUMIF('NEVAREZ JUAN MANUEL'!P$37:P$39,'KM POR UNIDAD'!A16,'NEVAREZ JUAN MANUEL'!T$37:T$39)+SUMIF('CHAVEZ VARELA NESTOR ADRIAN'!P$35:P$37,'KM POR UNIDAD'!A16,'CHAVEZ VARELA NESTOR ADRIAN'!T$35:T$37)+SUMIF('PAYAN ESTRADA JOSE ANGEL'!P$37:P$39,'KM POR UNIDAD'!A16,'PAYAN ESTRADA JOSE ANGEL'!T$37:T$39)+SUMIF('RUIZ HERRERA ERICK '!P$33:P$35,'KM POR UNIDAD'!A16,'RUIZ HERRERA ERICK '!T$33:T$35)+SUMIF('GONZALEZ LOZANO ENRIQUE '!P$38:P$40,'KM POR UNIDAD'!A16,'GONZALEZ LOZANO ENRIQUE '!T$38:T$40)+SUMIF('GONZALEZ MARTINEZ MAURICIO'!P$38:P$40,'KM POR UNIDAD'!A16,'GONZALEZ MARTINEZ MAURICIO'!T$38:T$40)+SUMIF('GONZALEZ SOTO JOEL'!P$39:P$41,'KM POR UNIDAD'!A16,'GONZALEZ SOTO JOEL'!T$39:T$41)+SUMIF('MARTA RUBIO MARTIN'!P$39:P$41,'KM POR UNIDAD'!A16,'MARTA RUBIO MARTIN'!T$39:T$41)+SUMIF('GRIJALVA VALDEZ CESAR EUSEBIO'!P$35:P$37,'KM POR UNIDAD'!A16,'GRIJALVA VALDEZ CESAR EUSEBIO'!T$35:T$37)+SUMIF('PACHECO BAÑUELOS ALFONSO'!P$39:P$41,'KM POR UNIDAD'!A16,'PACHECO BAÑUELOS ALFONSO'!T$39:T$41)+SUMIF('RODRIGUEZ VALLES JOSE FRANCISCO'!P$40:P$42,'KM POR UNIDAD'!A16,'RODRIGUEZ VALLES JOSE FRANCISCO'!T$40:T$42)+SUMIF('SANCHEZ GUERRERO JOSE LUIS'!P$40:P$42,A16,'SANCHEZ GUERRERO JOSE LUIS'!T$40:T$42)+SUMIF('RUEDA SALAZAR ISMAEL'!P$35:P$37,'KM POR UNIDAD'!A16,'RUEDA SALAZAR ISMAEL'!T$35:T$37)+SUMIF('GUZMAN MORALES'!P$40:P$42,'KM POR UNIDAD'!A16,'GUZMAN MORALES'!T$40:T$42)+SUMIF('RODRIGUEZ RAMIREZ FERNANDO'!P$35:P$37,'KM POR UNIDAD'!A16,'RODRIGUEZ RAMIREZ FERNANDO'!T$35:T$37)+SUMIF('ESTRADA ARELLANO ARTURO'!P$40:P$42,'KM POR UNIDAD'!A16,'ESTRADA ARELLANO ARTURO'!T$40:T$42)+SUMIF('HERNANDEZ CONTRERAS JOSE FERNAN'!P$37:P$39,'KM POR UNIDAD'!A16,'HERNANDEZ CONTRERAS JOSE FERNAN'!T$37:T$39)+SUMIF('SALAZAR PEREZ JUAN CARLOS'!P$38:P$40,'KM POR UNIDAD'!A16,'SALAZAR PEREZ JUAN CARLOS'!T$38:T$40)+SUMIF('HARO IMPERIAL JOSÉ ANTONIO'!P$41:P$43,'KM POR UNIDAD'!A16,'HARO IMPERIAL JOSÉ ANTONIO'!T$41:T$43)+SUMIF('ESCARCEGA GALDEAN JESUS OMAR'!P$38:P$40,'KM POR UNIDAD'!A16,'ESCARCEGA GALDEAN JESUS OMAR'!T$38:T$40)</f>
        <v>0</v>
      </c>
      <c r="D16" s="189">
        <f>+SUMIF('LIRA TRISTAN JOSE ANGEL'!P$36:P$38,'KM POR UNIDAD'!A16,'LIRA TRISTAN JOSE ANGEL'!V$36:V$38)+SUMIF('TORRES GARAY LUIS HUMBERTO'!P$38:P$40,'KM POR UNIDAD'!A16,'TORRES GARAY LUIS HUMBERTO'!V$38:V$40)+SUMIF('CERDA HERNANDEZ JOSE LUIS'!P$35:P$37,'KM POR UNIDAD'!A16,'CERDA HERNANDEZ JOSE LUIS'!V$35:V$37)+SUMIF('RUIZ ALVARADO PEDRO'!P$32:P$34,'KM POR UNIDAD'!A16,'RUIZ ALVARADO PEDRO'!V$32:V$34)+SUMIF('NEVAREZ JUAN MANUEL'!P$37:P$39,'KM POR UNIDAD'!A16,'NEVAREZ JUAN MANUEL'!V$37:V$39)+SUMIF('CHAVEZ VARELA NESTOR ADRIAN'!P$35:P$37,'KM POR UNIDAD'!A16,'CHAVEZ VARELA NESTOR ADRIAN'!V$35:V$37)+SUMIF('PAYAN ESTRADA JOSE ANGEL'!P$37:P$39,'KM POR UNIDAD'!A16,'PAYAN ESTRADA JOSE ANGEL'!V$37:V$39)+SUMIF('RUIZ HERRERA ERICK '!P$33:P$35,'KM POR UNIDAD'!A16,'RUIZ HERRERA ERICK '!V$33:V$35)+SUMIF('GONZALEZ LOZANO ENRIQUE '!P$38:P$40,'KM POR UNIDAD'!A16,'GONZALEZ LOZANO ENRIQUE '!V$38:V$40)+SUMIF('GONZALEZ MARTINEZ MAURICIO'!P$38:P$40,'KM POR UNIDAD'!A16,'GONZALEZ MARTINEZ MAURICIO'!V$38:V$40)+SUMIF('GONZALEZ SOTO JOEL'!P$39:P$41,'KM POR UNIDAD'!A16,'GONZALEZ SOTO JOEL'!V$39:V$41)+SUMIF('MARTA RUBIO MARTIN'!P$39:P$41,'KM POR UNIDAD'!A16,'MARTA RUBIO MARTIN'!V$39:V$41)+SUMIF('GRIJALVA VALDEZ CESAR EUSEBIO'!P$35:P$37,'KM POR UNIDAD'!A16,'GRIJALVA VALDEZ CESAR EUSEBIO'!V$35:V$37)+SUMIF('PACHECO BAÑUELOS ALFONSO'!P$39:P$41,'KM POR UNIDAD'!A16,'PACHECO BAÑUELOS ALFONSO'!V$39:V$41)+SUMIF('RODRIGUEZ VALLES JOSE FRANCISCO'!P$40:P$42,'KM POR UNIDAD'!A16,'RODRIGUEZ VALLES JOSE FRANCISCO'!V$40:V$42)+SUMIF('SANCHEZ GUERRERO JOSE LUIS'!P$40:P$42,A16,'SANCHEZ GUERRERO JOSE LUIS'!V$40:V$42)+SUMIF('RUEDA SALAZAR ISMAEL'!P$35:P$37,'KM POR UNIDAD'!A16,'RUEDA SALAZAR ISMAEL'!V$35:V$37)+SUMIF('GUZMAN MORALES'!P$40:P$42,'KM POR UNIDAD'!A16,'GUZMAN MORALES'!V$40:V$42)+SUMIF('RODRIGUEZ RAMIREZ FERNANDO'!P$35:P$37,'KM POR UNIDAD'!A16,'RODRIGUEZ RAMIREZ FERNANDO'!V$35:V$37)+SUMIF('ESTRADA ARELLANO ARTURO'!P$40:P$42,'KM POR UNIDAD'!A16,'ESTRADA ARELLANO ARTURO'!V$40:V$42)+SUMIF('HERNANDEZ CONTRERAS JOSE FERNAN'!P$37:P$39,'KM POR UNIDAD'!A16,'HERNANDEZ CONTRERAS JOSE FERNAN'!V$38:V$40)+SUMIF('SALAZAR PEREZ JUAN CARLOS'!P$38:P$40,'KM POR UNIDAD'!A16,'SALAZAR PEREZ JUAN CARLOS'!V$38:V$40)+SUMIF('HARO IMPERIAL JOSÉ ANTONIO'!P$41:P$43,'KM POR UNIDAD'!A16,'HARO IMPERIAL JOSÉ ANTONIO'!V$41:V$43)+SUMIF('ESCARCEGA GALDEAN JESUS OMAR'!P$38:P$40,'KM POR UNIDAD'!A16,'ESCARCEGA GALDEAN JESUS OMAR'!V$38:V$40)</f>
        <v>0</v>
      </c>
      <c r="E16" s="167">
        <f t="shared" si="1"/>
        <v>0</v>
      </c>
      <c r="F16" s="168">
        <v>0</v>
      </c>
      <c r="G16" s="168">
        <v>0</v>
      </c>
      <c r="H16" s="168">
        <v>0</v>
      </c>
      <c r="I16" s="169">
        <f t="shared" si="0"/>
        <v>0</v>
      </c>
      <c r="J16" s="170"/>
      <c r="K16" s="171"/>
    </row>
    <row r="17" spans="1:11" x14ac:dyDescent="0.25">
      <c r="A17" s="165" t="s">
        <v>140</v>
      </c>
      <c r="B17" s="166">
        <f>SUMIF('LIRA TRISTAN JOSE ANGEL'!P$36:P$38,'KM POR UNIDAD'!A17,'LIRA TRISTAN JOSE ANGEL'!U$36:U$38)+SUMIF('TORRES GARAY LUIS HUMBERTO'!P$38:P$40,'KM POR UNIDAD'!A17,'TORRES GARAY LUIS HUMBERTO'!U$38:U$40)+SUMIF('CERDA HERNANDEZ JOSE LUIS'!P$35:P$37,'KM POR UNIDAD'!A17,'CERDA HERNANDEZ JOSE LUIS'!U$35:U$37)+SUMIF('RUIZ ALVARADO PEDRO'!P$32:P$34,'KM POR UNIDAD'!A17,'RUIZ ALVARADO PEDRO'!U$32:U$34)+SUMIF('NEVAREZ JUAN MANUEL'!P$37:P$39,'KM POR UNIDAD'!A17,'NEVAREZ JUAN MANUEL'!U$37:U$39)+SUMIF('CHAVEZ VARELA NESTOR ADRIAN'!P$35:P$37,'KM POR UNIDAD'!A17,'CHAVEZ VARELA NESTOR ADRIAN'!U$35:U$37)+SUMIF('PAYAN ESTRADA JOSE ANGEL'!P$37:P$39,'KM POR UNIDAD'!A17,'PAYAN ESTRADA JOSE ANGEL'!U$37:U$39)+SUMIF('RUIZ HERRERA ERICK '!P$33:P$35,'KM POR UNIDAD'!A17,'RUIZ HERRERA ERICK '!U$33:U$35)+SUMIF('GONZALEZ LOZANO ENRIQUE '!P$38:P$40,'KM POR UNIDAD'!A17,'GONZALEZ LOZANO ENRIQUE '!U$38:U$40)+SUMIF('GONZALEZ MARTINEZ MAURICIO'!P$38:P$40,'KM POR UNIDAD'!A17,'GONZALEZ MARTINEZ MAURICIO'!U$38:U$40)+SUMIF('GONZALEZ SOTO JOEL'!P$39:P$41,'KM POR UNIDAD'!A17,'GONZALEZ SOTO JOEL'!U$39:U$41)+SUMIF('MARTA RUBIO MARTIN'!P$39:P$41,'KM POR UNIDAD'!A17,'MARTA RUBIO MARTIN'!U$39:U$41)+SUMIF('GRIJALVA VALDEZ CESAR EUSEBIO'!P$35:P$37,'KM POR UNIDAD'!A17,'GRIJALVA VALDEZ CESAR EUSEBIO'!U$35:U$37)+SUMIF('PACHECO BAÑUELOS ALFONSO'!P$39:P$41,'KM POR UNIDAD'!A17,'PACHECO BAÑUELOS ALFONSO'!U$39:U$41)+SUMIF('RODRIGUEZ VALLES JOSE FRANCISCO'!P$40:P$42,'KM POR UNIDAD'!A17,'RODRIGUEZ VALLES JOSE FRANCISCO'!U$40:U$42)+SUMIF('SANCHEZ GUERRERO JOSE LUIS'!P$40:P$42,A17,'SANCHEZ GUERRERO JOSE LUIS'!U$40:U$42)+SUMIF('RUEDA SALAZAR ISMAEL'!P$35:P$37,'KM POR UNIDAD'!A17,'RUEDA SALAZAR ISMAEL'!U$35:U$37)+SUMIF('GUZMAN MORALES'!P$40:P$42,'KM POR UNIDAD'!A17,'GUZMAN MORALES'!U$40:U$42)+SUMIF('RODRIGUEZ RAMIREZ FERNANDO'!P$35:P$37,'KM POR UNIDAD'!A17,'RODRIGUEZ RAMIREZ FERNANDO'!U$35:U$37)+SUMIF('ESTRADA ARELLANO ARTURO'!P$40:P$42,'KM POR UNIDAD'!A17,'ESTRADA ARELLANO ARTURO'!U$40:U$42)+SUMIF('HERNANDEZ CONTRERAS JOSE FERNAN'!P$37:P$39,'KM POR UNIDAD'!A17,'HERNANDEZ CONTRERAS JOSE FERNAN'!U$37:U$39)+SUMIF('SALAZAR PEREZ JUAN CARLOS'!P$38:P$40,'KM POR UNIDAD'!A17,'SALAZAR PEREZ JUAN CARLOS'!U$38:U$40)+SUMIF('HARO IMPERIAL JOSÉ ANTONIO'!P$41:P$43,'KM POR UNIDAD'!A17,'HARO IMPERIAL JOSÉ ANTONIO'!U$41:$U57)+SUMIF('ESCARCEGA GALDEAN JESUS OMAR'!P$38:P$40,'KM POR UNIDAD'!A17,'ESCARCEGA GALDEAN JESUS OMAR'!U$38:U$40)</f>
        <v>2792</v>
      </c>
      <c r="C17" s="166">
        <f>+SUMIF('LIRA TRISTAN JOSE ANGEL'!P$36:P$38,'KM POR UNIDAD'!A17,'LIRA TRISTAN JOSE ANGEL'!T$36:T$38)+SUMIF('TORRES GARAY LUIS HUMBERTO'!P$38:P$40,'KM POR UNIDAD'!A17,'TORRES GARAY LUIS HUMBERTO'!T$38:T$40)+SUMIF('CERDA HERNANDEZ JOSE LUIS'!P$35:P$37,'KM POR UNIDAD'!A17,'CERDA HERNANDEZ JOSE LUIS'!T$35:T$37)+SUMIF('RUIZ ALVARADO PEDRO'!P$32:P$34,'KM POR UNIDAD'!A17,'RUIZ ALVARADO PEDRO'!T$32:T$34)+SUMIF('NEVAREZ JUAN MANUEL'!P$37:P$39,'KM POR UNIDAD'!A17,'NEVAREZ JUAN MANUEL'!T$37:T$39)+SUMIF('CHAVEZ VARELA NESTOR ADRIAN'!P$35:P$37,'KM POR UNIDAD'!A17,'CHAVEZ VARELA NESTOR ADRIAN'!T$35:T$37)+SUMIF('PAYAN ESTRADA JOSE ANGEL'!P$37:P$39,'KM POR UNIDAD'!A17,'PAYAN ESTRADA JOSE ANGEL'!T$37:T$39)+SUMIF('RUIZ HERRERA ERICK '!P$33:P$35,'KM POR UNIDAD'!A17,'RUIZ HERRERA ERICK '!T$33:T$35)+SUMIF('GONZALEZ LOZANO ENRIQUE '!P$38:P$40,'KM POR UNIDAD'!A17,'GONZALEZ LOZANO ENRIQUE '!T$38:T$40)+SUMIF('GONZALEZ MARTINEZ MAURICIO'!P$38:P$40,'KM POR UNIDAD'!A17,'GONZALEZ MARTINEZ MAURICIO'!T$38:T$40)+SUMIF('GONZALEZ SOTO JOEL'!P$39:P$41,'KM POR UNIDAD'!A17,'GONZALEZ SOTO JOEL'!T$39:T$41)+SUMIF('MARTA RUBIO MARTIN'!P$39:P$41,'KM POR UNIDAD'!A17,'MARTA RUBIO MARTIN'!T$39:T$41)+SUMIF('GRIJALVA VALDEZ CESAR EUSEBIO'!P$35:P$37,'KM POR UNIDAD'!A17,'GRIJALVA VALDEZ CESAR EUSEBIO'!T$35:T$37)+SUMIF('PACHECO BAÑUELOS ALFONSO'!P$39:P$41,'KM POR UNIDAD'!A17,'PACHECO BAÑUELOS ALFONSO'!T$39:T$41)+SUMIF('RODRIGUEZ VALLES JOSE FRANCISCO'!P$40:P$42,'KM POR UNIDAD'!A17,'RODRIGUEZ VALLES JOSE FRANCISCO'!T$40:T$42)+SUMIF('SANCHEZ GUERRERO JOSE LUIS'!P$40:P$42,A17,'SANCHEZ GUERRERO JOSE LUIS'!T$40:T$42)+SUMIF('RUEDA SALAZAR ISMAEL'!P$35:P$37,'KM POR UNIDAD'!A17,'RUEDA SALAZAR ISMAEL'!T$35:T$37)+SUMIF('GUZMAN MORALES'!P$40:P$42,'KM POR UNIDAD'!A17,'GUZMAN MORALES'!T$40:T$42)+SUMIF('RODRIGUEZ RAMIREZ FERNANDO'!P$35:P$37,'KM POR UNIDAD'!A17,'RODRIGUEZ RAMIREZ FERNANDO'!T$35:T$37)+SUMIF('ESTRADA ARELLANO ARTURO'!P$40:P$42,'KM POR UNIDAD'!A17,'ESTRADA ARELLANO ARTURO'!T$40:T$42)+SUMIF('HERNANDEZ CONTRERAS JOSE FERNAN'!P$37:P$39,'KM POR UNIDAD'!A17,'HERNANDEZ CONTRERAS JOSE FERNAN'!T$37:T$39)+SUMIF('SALAZAR PEREZ JUAN CARLOS'!P$38:P$40,'KM POR UNIDAD'!A17,'SALAZAR PEREZ JUAN CARLOS'!T$38:T$40)+SUMIF('HARO IMPERIAL JOSÉ ANTONIO'!P$41:P$43,'KM POR UNIDAD'!A17,'HARO IMPERIAL JOSÉ ANTONIO'!T$41:T$43)+SUMIF('ESCARCEGA GALDEAN JESUS OMAR'!P$38:P$40,'KM POR UNIDAD'!A17,'ESCARCEGA GALDEAN JESUS OMAR'!T$38:T$40)</f>
        <v>697</v>
      </c>
      <c r="D17" s="189">
        <f>+SUMIF('LIRA TRISTAN JOSE ANGEL'!P$36:P$38,'KM POR UNIDAD'!A17,'LIRA TRISTAN JOSE ANGEL'!V$36:V$38)+SUMIF('TORRES GARAY LUIS HUMBERTO'!P$38:P$40,'KM POR UNIDAD'!A17,'TORRES GARAY LUIS HUMBERTO'!V$38:V$40)+SUMIF('CERDA HERNANDEZ JOSE LUIS'!P$35:P$37,'KM POR UNIDAD'!A17,'CERDA HERNANDEZ JOSE LUIS'!V$35:V$37)+SUMIF('RUIZ ALVARADO PEDRO'!P$32:P$34,'KM POR UNIDAD'!A17,'RUIZ ALVARADO PEDRO'!V$32:V$34)+SUMIF('NEVAREZ JUAN MANUEL'!P$37:P$39,'KM POR UNIDAD'!A17,'NEVAREZ JUAN MANUEL'!V$37:V$39)+SUMIF('CHAVEZ VARELA NESTOR ADRIAN'!P$35:P$37,'KM POR UNIDAD'!A17,'CHAVEZ VARELA NESTOR ADRIAN'!V$35:V$37)+SUMIF('PAYAN ESTRADA JOSE ANGEL'!P$37:P$39,'KM POR UNIDAD'!A17,'PAYAN ESTRADA JOSE ANGEL'!V$37:V$39)+SUMIF('RUIZ HERRERA ERICK '!P$33:P$35,'KM POR UNIDAD'!A17,'RUIZ HERRERA ERICK '!V$33:V$35)+SUMIF('GONZALEZ LOZANO ENRIQUE '!P$38:P$40,'KM POR UNIDAD'!A17,'GONZALEZ LOZANO ENRIQUE '!V$38:V$40)+SUMIF('GONZALEZ MARTINEZ MAURICIO'!P$38:P$40,'KM POR UNIDAD'!A17,'GONZALEZ MARTINEZ MAURICIO'!V$38:V$40)+SUMIF('GONZALEZ SOTO JOEL'!P$39:P$41,'KM POR UNIDAD'!A17,'GONZALEZ SOTO JOEL'!V$39:V$41)+SUMIF('MARTA RUBIO MARTIN'!P$39:P$41,'KM POR UNIDAD'!A17,'MARTA RUBIO MARTIN'!V$39:V$41)+SUMIF('GRIJALVA VALDEZ CESAR EUSEBIO'!P$35:P$37,'KM POR UNIDAD'!A17,'GRIJALVA VALDEZ CESAR EUSEBIO'!V$35:V$37)+SUMIF('PACHECO BAÑUELOS ALFONSO'!P$39:P$41,'KM POR UNIDAD'!A17,'PACHECO BAÑUELOS ALFONSO'!V$39:V$41)+SUMIF('RODRIGUEZ VALLES JOSE FRANCISCO'!P$40:P$42,'KM POR UNIDAD'!A17,'RODRIGUEZ VALLES JOSE FRANCISCO'!V$40:V$42)+SUMIF('SANCHEZ GUERRERO JOSE LUIS'!P$40:P$42,A17,'SANCHEZ GUERRERO JOSE LUIS'!V$40:V$42)+SUMIF('RUEDA SALAZAR ISMAEL'!P$35:P$37,'KM POR UNIDAD'!A17,'RUEDA SALAZAR ISMAEL'!V$35:V$37)+SUMIF('GUZMAN MORALES'!P$40:P$42,'KM POR UNIDAD'!A17,'GUZMAN MORALES'!V$40:V$42)+SUMIF('RODRIGUEZ RAMIREZ FERNANDO'!P$35:P$37,'KM POR UNIDAD'!A17,'RODRIGUEZ RAMIREZ FERNANDO'!V$35:V$37)+SUMIF('ESTRADA ARELLANO ARTURO'!P$40:P$42,'KM POR UNIDAD'!A17,'ESTRADA ARELLANO ARTURO'!V$40:V$42)+SUMIF('HERNANDEZ CONTRERAS JOSE FERNAN'!P$37:P$39,'KM POR UNIDAD'!A17,'HERNANDEZ CONTRERAS JOSE FERNAN'!V$38:V$40)+SUMIF('SALAZAR PEREZ JUAN CARLOS'!P$38:P$40,'KM POR UNIDAD'!A17,'SALAZAR PEREZ JUAN CARLOS'!V$38:V$40)+SUMIF('HARO IMPERIAL JOSÉ ANTONIO'!P$41:P$43,'KM POR UNIDAD'!A17,'HARO IMPERIAL JOSÉ ANTONIO'!V$41:V$43)+SUMIF('ESCARCEGA GALDEAN JESUS OMAR'!P$38:P$40,'KM POR UNIDAD'!A17,'ESCARCEGA GALDEAN JESUS OMAR'!V$38:V$40)</f>
        <v>964.03099999999995</v>
      </c>
      <c r="E17" s="167">
        <f t="shared" si="1"/>
        <v>2.8961724259904509</v>
      </c>
      <c r="F17" s="168">
        <v>0</v>
      </c>
      <c r="G17" s="168">
        <v>0</v>
      </c>
      <c r="H17" s="168">
        <v>0</v>
      </c>
      <c r="I17" s="169">
        <f t="shared" si="0"/>
        <v>0</v>
      </c>
      <c r="J17" s="170"/>
      <c r="K17" s="171"/>
    </row>
    <row r="18" spans="1:11" x14ac:dyDescent="0.25">
      <c r="A18" s="165" t="s">
        <v>141</v>
      </c>
      <c r="B18" s="166">
        <f>SUMIF('LIRA TRISTAN JOSE ANGEL'!P$36:P$38,'KM POR UNIDAD'!A18,'LIRA TRISTAN JOSE ANGEL'!U$36:U$38)+SUMIF('TORRES GARAY LUIS HUMBERTO'!P$38:P$40,'KM POR UNIDAD'!A18,'TORRES GARAY LUIS HUMBERTO'!U$38:U$40)+SUMIF('CERDA HERNANDEZ JOSE LUIS'!P$35:P$37,'KM POR UNIDAD'!A18,'CERDA HERNANDEZ JOSE LUIS'!U$35:U$37)+SUMIF('RUIZ ALVARADO PEDRO'!P$32:P$34,'KM POR UNIDAD'!A18,'RUIZ ALVARADO PEDRO'!U$32:U$34)+SUMIF('NEVAREZ JUAN MANUEL'!P$37:P$39,'KM POR UNIDAD'!A18,'NEVAREZ JUAN MANUEL'!U$37:U$39)+SUMIF('CHAVEZ VARELA NESTOR ADRIAN'!P$35:P$37,'KM POR UNIDAD'!A18,'CHAVEZ VARELA NESTOR ADRIAN'!U$35:U$37)+SUMIF('PAYAN ESTRADA JOSE ANGEL'!P$37:P$39,'KM POR UNIDAD'!A18,'PAYAN ESTRADA JOSE ANGEL'!U$37:U$39)+SUMIF('RUIZ HERRERA ERICK '!P$33:P$35,'KM POR UNIDAD'!A18,'RUIZ HERRERA ERICK '!U$33:U$35)+SUMIF('GONZALEZ LOZANO ENRIQUE '!P$38:P$40,'KM POR UNIDAD'!A18,'GONZALEZ LOZANO ENRIQUE '!U$38:U$40)+SUMIF('GONZALEZ MARTINEZ MAURICIO'!P$38:P$40,'KM POR UNIDAD'!A18,'GONZALEZ MARTINEZ MAURICIO'!U$38:U$40)+SUMIF('GONZALEZ SOTO JOEL'!P$39:P$41,'KM POR UNIDAD'!A18,'GONZALEZ SOTO JOEL'!U$39:U$41)+SUMIF('MARTA RUBIO MARTIN'!P$39:P$41,'KM POR UNIDAD'!A18,'MARTA RUBIO MARTIN'!U$39:U$41)+SUMIF('GRIJALVA VALDEZ CESAR EUSEBIO'!P$35:P$37,'KM POR UNIDAD'!A18,'GRIJALVA VALDEZ CESAR EUSEBIO'!U$35:U$37)+SUMIF('PACHECO BAÑUELOS ALFONSO'!P$39:P$41,'KM POR UNIDAD'!A18,'PACHECO BAÑUELOS ALFONSO'!U$39:U$41)+SUMIF('RODRIGUEZ VALLES JOSE FRANCISCO'!P$40:P$42,'KM POR UNIDAD'!A18,'RODRIGUEZ VALLES JOSE FRANCISCO'!U$40:U$42)+SUMIF('SANCHEZ GUERRERO JOSE LUIS'!P$40:P$42,A18,'SANCHEZ GUERRERO JOSE LUIS'!U$40:U$42)+SUMIF('RUEDA SALAZAR ISMAEL'!P$35:P$37,'KM POR UNIDAD'!A18,'RUEDA SALAZAR ISMAEL'!U$35:U$37)+SUMIF('GUZMAN MORALES'!P$40:P$42,'KM POR UNIDAD'!A18,'GUZMAN MORALES'!U$40:U$42)+SUMIF('RODRIGUEZ RAMIREZ FERNANDO'!P$35:P$37,'KM POR UNIDAD'!A18,'RODRIGUEZ RAMIREZ FERNANDO'!U$35:U$37)+SUMIF('ESTRADA ARELLANO ARTURO'!P$40:P$42,'KM POR UNIDAD'!A18,'ESTRADA ARELLANO ARTURO'!U$40:U$42)+SUMIF('HERNANDEZ CONTRERAS JOSE FERNAN'!P$37:P$39,'KM POR UNIDAD'!A18,'HERNANDEZ CONTRERAS JOSE FERNAN'!U$37:U$39)+SUMIF('SALAZAR PEREZ JUAN CARLOS'!P$38:P$40,'KM POR UNIDAD'!A18,'SALAZAR PEREZ JUAN CARLOS'!U$38:U$40)+SUMIF('HARO IMPERIAL JOSÉ ANTONIO'!P$41:P$43,'KM POR UNIDAD'!A18,'HARO IMPERIAL JOSÉ ANTONIO'!U$41:$U58)+SUMIF('ESCARCEGA GALDEAN JESUS OMAR'!P$38:P$40,'KM POR UNIDAD'!A18,'ESCARCEGA GALDEAN JESUS OMAR'!U$38:U$40)</f>
        <v>0</v>
      </c>
      <c r="C18" s="166">
        <f>+SUMIF('LIRA TRISTAN JOSE ANGEL'!P$36:P$38,'KM POR UNIDAD'!A18,'LIRA TRISTAN JOSE ANGEL'!T$36:T$38)+SUMIF('TORRES GARAY LUIS HUMBERTO'!P$38:P$40,'KM POR UNIDAD'!A18,'TORRES GARAY LUIS HUMBERTO'!T$38:T$40)+SUMIF('CERDA HERNANDEZ JOSE LUIS'!P$35:P$37,'KM POR UNIDAD'!A18,'CERDA HERNANDEZ JOSE LUIS'!T$35:T$37)+SUMIF('RUIZ ALVARADO PEDRO'!P$32:P$34,'KM POR UNIDAD'!A18,'RUIZ ALVARADO PEDRO'!T$32:T$34)+SUMIF('NEVAREZ JUAN MANUEL'!P$37:P$39,'KM POR UNIDAD'!A18,'NEVAREZ JUAN MANUEL'!T$37:T$39)+SUMIF('CHAVEZ VARELA NESTOR ADRIAN'!P$35:P$37,'KM POR UNIDAD'!A18,'CHAVEZ VARELA NESTOR ADRIAN'!T$35:T$37)+SUMIF('PAYAN ESTRADA JOSE ANGEL'!P$37:P$39,'KM POR UNIDAD'!A18,'PAYAN ESTRADA JOSE ANGEL'!T$37:T$39)+SUMIF('RUIZ HERRERA ERICK '!P$33:P$35,'KM POR UNIDAD'!A18,'RUIZ HERRERA ERICK '!T$33:T$35)+SUMIF('GONZALEZ LOZANO ENRIQUE '!P$38:P$40,'KM POR UNIDAD'!A18,'GONZALEZ LOZANO ENRIQUE '!T$38:T$40)+SUMIF('GONZALEZ MARTINEZ MAURICIO'!P$38:P$40,'KM POR UNIDAD'!A18,'GONZALEZ MARTINEZ MAURICIO'!T$38:T$40)+SUMIF('GONZALEZ SOTO JOEL'!P$39:P$41,'KM POR UNIDAD'!A18,'GONZALEZ SOTO JOEL'!T$39:T$41)+SUMIF('MARTA RUBIO MARTIN'!P$39:P$41,'KM POR UNIDAD'!A18,'MARTA RUBIO MARTIN'!T$39:T$41)+SUMIF('GRIJALVA VALDEZ CESAR EUSEBIO'!P$35:P$37,'KM POR UNIDAD'!A18,'GRIJALVA VALDEZ CESAR EUSEBIO'!T$35:T$37)+SUMIF('PACHECO BAÑUELOS ALFONSO'!P$39:P$41,'KM POR UNIDAD'!A18,'PACHECO BAÑUELOS ALFONSO'!T$39:T$41)+SUMIF('RODRIGUEZ VALLES JOSE FRANCISCO'!P$40:P$42,'KM POR UNIDAD'!A18,'RODRIGUEZ VALLES JOSE FRANCISCO'!T$40:T$42)+SUMIF('SANCHEZ GUERRERO JOSE LUIS'!P$40:P$42,A18,'SANCHEZ GUERRERO JOSE LUIS'!T$40:T$42)+SUMIF('RUEDA SALAZAR ISMAEL'!P$35:P$37,'KM POR UNIDAD'!A18,'RUEDA SALAZAR ISMAEL'!T$35:T$37)+SUMIF('GUZMAN MORALES'!P$40:P$42,'KM POR UNIDAD'!A18,'GUZMAN MORALES'!T$40:T$42)+SUMIF('RODRIGUEZ RAMIREZ FERNANDO'!P$35:P$37,'KM POR UNIDAD'!A18,'RODRIGUEZ RAMIREZ FERNANDO'!T$35:T$37)+SUMIF('ESTRADA ARELLANO ARTURO'!P$40:P$42,'KM POR UNIDAD'!A18,'ESTRADA ARELLANO ARTURO'!T$40:T$42)+SUMIF('HERNANDEZ CONTRERAS JOSE FERNAN'!P$37:P$39,'KM POR UNIDAD'!A18,'HERNANDEZ CONTRERAS JOSE FERNAN'!T$37:T$39)+SUMIF('SALAZAR PEREZ JUAN CARLOS'!P$38:P$40,'KM POR UNIDAD'!A18,'SALAZAR PEREZ JUAN CARLOS'!T$38:T$40)+SUMIF('HARO IMPERIAL JOSÉ ANTONIO'!P$41:P$43,'KM POR UNIDAD'!A18,'HARO IMPERIAL JOSÉ ANTONIO'!T$41:T$43)+SUMIF('ESCARCEGA GALDEAN JESUS OMAR'!P$38:P$40,'KM POR UNIDAD'!A18,'ESCARCEGA GALDEAN JESUS OMAR'!T$38:T$40)</f>
        <v>0</v>
      </c>
      <c r="D18" s="189">
        <f>+SUMIF('LIRA TRISTAN JOSE ANGEL'!P$36:P$38,'KM POR UNIDAD'!A18,'LIRA TRISTAN JOSE ANGEL'!V$36:V$38)+SUMIF('TORRES GARAY LUIS HUMBERTO'!P$38:P$40,'KM POR UNIDAD'!A18,'TORRES GARAY LUIS HUMBERTO'!V$38:V$40)+SUMIF('CERDA HERNANDEZ JOSE LUIS'!P$35:P$37,'KM POR UNIDAD'!A18,'CERDA HERNANDEZ JOSE LUIS'!V$35:V$37)+SUMIF('RUIZ ALVARADO PEDRO'!P$32:P$34,'KM POR UNIDAD'!A18,'RUIZ ALVARADO PEDRO'!V$32:V$34)+SUMIF('NEVAREZ JUAN MANUEL'!P$37:P$39,'KM POR UNIDAD'!A18,'NEVAREZ JUAN MANUEL'!V$37:V$39)+SUMIF('CHAVEZ VARELA NESTOR ADRIAN'!P$35:P$37,'KM POR UNIDAD'!A18,'CHAVEZ VARELA NESTOR ADRIAN'!V$35:V$37)+SUMIF('PAYAN ESTRADA JOSE ANGEL'!P$37:P$39,'KM POR UNIDAD'!A18,'PAYAN ESTRADA JOSE ANGEL'!V$37:V$39)+SUMIF('RUIZ HERRERA ERICK '!P$33:P$35,'KM POR UNIDAD'!A18,'RUIZ HERRERA ERICK '!V$33:V$35)+SUMIF('GONZALEZ LOZANO ENRIQUE '!P$38:P$40,'KM POR UNIDAD'!A18,'GONZALEZ LOZANO ENRIQUE '!V$38:V$40)+SUMIF('GONZALEZ MARTINEZ MAURICIO'!P$38:P$40,'KM POR UNIDAD'!A18,'GONZALEZ MARTINEZ MAURICIO'!V$38:V$40)+SUMIF('GONZALEZ SOTO JOEL'!P$39:P$41,'KM POR UNIDAD'!A18,'GONZALEZ SOTO JOEL'!V$39:V$41)+SUMIF('MARTA RUBIO MARTIN'!P$39:P$41,'KM POR UNIDAD'!A18,'MARTA RUBIO MARTIN'!V$39:V$41)+SUMIF('GRIJALVA VALDEZ CESAR EUSEBIO'!P$35:P$37,'KM POR UNIDAD'!A18,'GRIJALVA VALDEZ CESAR EUSEBIO'!V$35:V$37)+SUMIF('PACHECO BAÑUELOS ALFONSO'!P$39:P$41,'KM POR UNIDAD'!A18,'PACHECO BAÑUELOS ALFONSO'!V$39:V$41)+SUMIF('RODRIGUEZ VALLES JOSE FRANCISCO'!P$40:P$42,'KM POR UNIDAD'!A18,'RODRIGUEZ VALLES JOSE FRANCISCO'!V$40:V$42)+SUMIF('SANCHEZ GUERRERO JOSE LUIS'!P$40:P$42,A18,'SANCHEZ GUERRERO JOSE LUIS'!V$40:V$42)+SUMIF('RUEDA SALAZAR ISMAEL'!P$35:P$37,'KM POR UNIDAD'!A18,'RUEDA SALAZAR ISMAEL'!V$35:V$37)+SUMIF('GUZMAN MORALES'!P$40:P$42,'KM POR UNIDAD'!A18,'GUZMAN MORALES'!V$40:V$42)+SUMIF('RODRIGUEZ RAMIREZ FERNANDO'!P$35:P$37,'KM POR UNIDAD'!A18,'RODRIGUEZ RAMIREZ FERNANDO'!V$35:V$37)+SUMIF('ESTRADA ARELLANO ARTURO'!P$40:P$42,'KM POR UNIDAD'!A18,'ESTRADA ARELLANO ARTURO'!V$40:V$42)+SUMIF('HERNANDEZ CONTRERAS JOSE FERNAN'!P$37:P$39,'KM POR UNIDAD'!A18,'HERNANDEZ CONTRERAS JOSE FERNAN'!V$38:V$40)+SUMIF('SALAZAR PEREZ JUAN CARLOS'!P$38:P$40,'KM POR UNIDAD'!A18,'SALAZAR PEREZ JUAN CARLOS'!V$38:V$40)+SUMIF('HARO IMPERIAL JOSÉ ANTONIO'!P$41:P$43,'KM POR UNIDAD'!A18,'HARO IMPERIAL JOSÉ ANTONIO'!V$41:V$43)+SUMIF('ESCARCEGA GALDEAN JESUS OMAR'!P$38:P$40,'KM POR UNIDAD'!A18,'ESCARCEGA GALDEAN JESUS OMAR'!V$38:V$40)</f>
        <v>0</v>
      </c>
      <c r="E18" s="167">
        <f t="shared" si="1"/>
        <v>0</v>
      </c>
      <c r="F18" s="168">
        <v>0</v>
      </c>
      <c r="G18" s="168">
        <v>0</v>
      </c>
      <c r="H18" s="168">
        <v>0</v>
      </c>
      <c r="I18" s="169">
        <f t="shared" si="0"/>
        <v>0</v>
      </c>
      <c r="J18" s="170"/>
      <c r="K18" s="171"/>
    </row>
    <row r="19" spans="1:11" x14ac:dyDescent="0.25">
      <c r="A19" s="165" t="s">
        <v>142</v>
      </c>
      <c r="B19" s="166">
        <f>SUMIF('LIRA TRISTAN JOSE ANGEL'!P$36:P$38,'KM POR UNIDAD'!A19,'LIRA TRISTAN JOSE ANGEL'!U$36:U$38)+SUMIF('TORRES GARAY LUIS HUMBERTO'!P$38:P$40,'KM POR UNIDAD'!A19,'TORRES GARAY LUIS HUMBERTO'!U$38:U$40)+SUMIF('CERDA HERNANDEZ JOSE LUIS'!P$35:P$37,'KM POR UNIDAD'!A19,'CERDA HERNANDEZ JOSE LUIS'!U$35:U$37)+SUMIF('RUIZ ALVARADO PEDRO'!P$32:P$34,'KM POR UNIDAD'!A19,'RUIZ ALVARADO PEDRO'!U$32:U$34)+SUMIF('NEVAREZ JUAN MANUEL'!P$37:P$39,'KM POR UNIDAD'!A19,'NEVAREZ JUAN MANUEL'!U$37:U$39)+SUMIF('CHAVEZ VARELA NESTOR ADRIAN'!P$35:P$37,'KM POR UNIDAD'!A19,'CHAVEZ VARELA NESTOR ADRIAN'!U$35:U$37)+SUMIF('PAYAN ESTRADA JOSE ANGEL'!P$37:P$39,'KM POR UNIDAD'!A19,'PAYAN ESTRADA JOSE ANGEL'!U$37:U$39)+SUMIF('RUIZ HERRERA ERICK '!P$33:P$35,'KM POR UNIDAD'!A19,'RUIZ HERRERA ERICK '!U$33:U$35)+SUMIF('GONZALEZ LOZANO ENRIQUE '!P$38:P$40,'KM POR UNIDAD'!A19,'GONZALEZ LOZANO ENRIQUE '!U$38:U$40)+SUMIF('GONZALEZ MARTINEZ MAURICIO'!P$38:P$40,'KM POR UNIDAD'!A19,'GONZALEZ MARTINEZ MAURICIO'!U$38:U$40)+SUMIF('GONZALEZ SOTO JOEL'!P$39:P$41,'KM POR UNIDAD'!A19,'GONZALEZ SOTO JOEL'!U$39:U$41)+SUMIF('MARTA RUBIO MARTIN'!P$39:P$41,'KM POR UNIDAD'!A19,'MARTA RUBIO MARTIN'!U$39:U$41)+SUMIF('GRIJALVA VALDEZ CESAR EUSEBIO'!P$35:P$37,'KM POR UNIDAD'!A19,'GRIJALVA VALDEZ CESAR EUSEBIO'!U$35:U$37)+SUMIF('PACHECO BAÑUELOS ALFONSO'!P$39:P$41,'KM POR UNIDAD'!A19,'PACHECO BAÑUELOS ALFONSO'!U$39:U$41)+SUMIF('RODRIGUEZ VALLES JOSE FRANCISCO'!P$40:P$42,'KM POR UNIDAD'!A19,'RODRIGUEZ VALLES JOSE FRANCISCO'!U$40:U$42)+SUMIF('SANCHEZ GUERRERO JOSE LUIS'!P$40:P$42,A19,'SANCHEZ GUERRERO JOSE LUIS'!U$40:U$42)+SUMIF('RUEDA SALAZAR ISMAEL'!P$35:P$37,'KM POR UNIDAD'!A19,'RUEDA SALAZAR ISMAEL'!U$35:U$37)+SUMIF('GUZMAN MORALES'!P$40:P$42,'KM POR UNIDAD'!A19,'GUZMAN MORALES'!U$40:U$42)+SUMIF('RODRIGUEZ RAMIREZ FERNANDO'!P$35:P$37,'KM POR UNIDAD'!A19,'RODRIGUEZ RAMIREZ FERNANDO'!U$35:U$37)+SUMIF('ESTRADA ARELLANO ARTURO'!P$40:P$42,'KM POR UNIDAD'!A19,'ESTRADA ARELLANO ARTURO'!U$40:U$42)+SUMIF('HERNANDEZ CONTRERAS JOSE FERNAN'!P$37:P$39,'KM POR UNIDAD'!A19,'HERNANDEZ CONTRERAS JOSE FERNAN'!U$37:U$39)+SUMIF('SALAZAR PEREZ JUAN CARLOS'!P$38:P$40,'KM POR UNIDAD'!A19,'SALAZAR PEREZ JUAN CARLOS'!U$38:U$40)+SUMIF('HARO IMPERIAL JOSÉ ANTONIO'!P$41:P$43,'KM POR UNIDAD'!A19,'HARO IMPERIAL JOSÉ ANTONIO'!U$41:$U59)+SUMIF('ESCARCEGA GALDEAN JESUS OMAR'!P$38:P$40,'KM POR UNIDAD'!A19,'ESCARCEGA GALDEAN JESUS OMAR'!U$38:U$40)</f>
        <v>0</v>
      </c>
      <c r="C19" s="166">
        <f>+SUMIF('LIRA TRISTAN JOSE ANGEL'!P$36:P$38,'KM POR UNIDAD'!A19,'LIRA TRISTAN JOSE ANGEL'!T$36:T$38)+SUMIF('TORRES GARAY LUIS HUMBERTO'!P$38:P$40,'KM POR UNIDAD'!A19,'TORRES GARAY LUIS HUMBERTO'!T$38:T$40)+SUMIF('CERDA HERNANDEZ JOSE LUIS'!P$35:P$37,'KM POR UNIDAD'!A19,'CERDA HERNANDEZ JOSE LUIS'!T$35:T$37)+SUMIF('RUIZ ALVARADO PEDRO'!P$32:P$34,'KM POR UNIDAD'!A19,'RUIZ ALVARADO PEDRO'!T$32:T$34)+SUMIF('NEVAREZ JUAN MANUEL'!P$37:P$39,'KM POR UNIDAD'!A19,'NEVAREZ JUAN MANUEL'!T$37:T$39)+SUMIF('CHAVEZ VARELA NESTOR ADRIAN'!P$35:P$37,'KM POR UNIDAD'!A19,'CHAVEZ VARELA NESTOR ADRIAN'!T$35:T$37)+SUMIF('PAYAN ESTRADA JOSE ANGEL'!P$37:P$39,'KM POR UNIDAD'!A19,'PAYAN ESTRADA JOSE ANGEL'!T$37:T$39)+SUMIF('RUIZ HERRERA ERICK '!P$33:P$35,'KM POR UNIDAD'!A19,'RUIZ HERRERA ERICK '!T$33:T$35)+SUMIF('GONZALEZ LOZANO ENRIQUE '!P$38:P$40,'KM POR UNIDAD'!A19,'GONZALEZ LOZANO ENRIQUE '!T$38:T$40)+SUMIF('GONZALEZ MARTINEZ MAURICIO'!P$38:P$40,'KM POR UNIDAD'!A19,'GONZALEZ MARTINEZ MAURICIO'!T$38:T$40)+SUMIF('GONZALEZ SOTO JOEL'!P$39:P$41,'KM POR UNIDAD'!A19,'GONZALEZ SOTO JOEL'!T$39:T$41)+SUMIF('MARTA RUBIO MARTIN'!P$39:P$41,'KM POR UNIDAD'!A19,'MARTA RUBIO MARTIN'!T$39:T$41)+SUMIF('GRIJALVA VALDEZ CESAR EUSEBIO'!P$35:P$37,'KM POR UNIDAD'!A19,'GRIJALVA VALDEZ CESAR EUSEBIO'!T$35:T$37)+SUMIF('PACHECO BAÑUELOS ALFONSO'!P$39:P$41,'KM POR UNIDAD'!A19,'PACHECO BAÑUELOS ALFONSO'!T$39:T$41)+SUMIF('RODRIGUEZ VALLES JOSE FRANCISCO'!P$40:P$42,'KM POR UNIDAD'!A19,'RODRIGUEZ VALLES JOSE FRANCISCO'!T$40:T$42)+SUMIF('SANCHEZ GUERRERO JOSE LUIS'!P$40:P$42,A19,'SANCHEZ GUERRERO JOSE LUIS'!T$40:T$42)+SUMIF('RUEDA SALAZAR ISMAEL'!P$35:P$37,'KM POR UNIDAD'!A19,'RUEDA SALAZAR ISMAEL'!T$35:T$37)+SUMIF('GUZMAN MORALES'!P$40:P$42,'KM POR UNIDAD'!A19,'GUZMAN MORALES'!T$40:T$42)+SUMIF('RODRIGUEZ RAMIREZ FERNANDO'!P$35:P$37,'KM POR UNIDAD'!A19,'RODRIGUEZ RAMIREZ FERNANDO'!T$35:T$37)+SUMIF('ESTRADA ARELLANO ARTURO'!P$40:P$42,'KM POR UNIDAD'!A19,'ESTRADA ARELLANO ARTURO'!T$40:T$42)+SUMIF('HERNANDEZ CONTRERAS JOSE FERNAN'!P$37:P$39,'KM POR UNIDAD'!A19,'HERNANDEZ CONTRERAS JOSE FERNAN'!T$37:T$39)+SUMIF('SALAZAR PEREZ JUAN CARLOS'!P$38:P$40,'KM POR UNIDAD'!A19,'SALAZAR PEREZ JUAN CARLOS'!T$38:T$40)+SUMIF('HARO IMPERIAL JOSÉ ANTONIO'!P$41:P$43,'KM POR UNIDAD'!A19,'HARO IMPERIAL JOSÉ ANTONIO'!T$41:T$43)+SUMIF('ESCARCEGA GALDEAN JESUS OMAR'!P$38:P$40,'KM POR UNIDAD'!A19,'ESCARCEGA GALDEAN JESUS OMAR'!T$38:T$40)</f>
        <v>0</v>
      </c>
      <c r="D19" s="189">
        <f>+SUMIF('LIRA TRISTAN JOSE ANGEL'!P$36:P$38,'KM POR UNIDAD'!A19,'LIRA TRISTAN JOSE ANGEL'!V$36:V$38)+SUMIF('TORRES GARAY LUIS HUMBERTO'!P$38:P$40,'KM POR UNIDAD'!A19,'TORRES GARAY LUIS HUMBERTO'!V$38:V$40)+SUMIF('CERDA HERNANDEZ JOSE LUIS'!P$35:P$37,'KM POR UNIDAD'!A19,'CERDA HERNANDEZ JOSE LUIS'!V$35:V$37)+SUMIF('RUIZ ALVARADO PEDRO'!P$32:P$34,'KM POR UNIDAD'!A19,'RUIZ ALVARADO PEDRO'!V$32:V$34)+SUMIF('NEVAREZ JUAN MANUEL'!P$37:P$39,'KM POR UNIDAD'!A19,'NEVAREZ JUAN MANUEL'!V$37:V$39)+SUMIF('CHAVEZ VARELA NESTOR ADRIAN'!P$35:P$37,'KM POR UNIDAD'!A19,'CHAVEZ VARELA NESTOR ADRIAN'!V$35:V$37)+SUMIF('PAYAN ESTRADA JOSE ANGEL'!P$37:P$39,'KM POR UNIDAD'!A19,'PAYAN ESTRADA JOSE ANGEL'!V$37:V$39)+SUMIF('RUIZ HERRERA ERICK '!P$33:P$35,'KM POR UNIDAD'!A19,'RUIZ HERRERA ERICK '!V$33:V$35)+SUMIF('GONZALEZ LOZANO ENRIQUE '!P$38:P$40,'KM POR UNIDAD'!A19,'GONZALEZ LOZANO ENRIQUE '!V$38:V$40)+SUMIF('GONZALEZ MARTINEZ MAURICIO'!P$38:P$40,'KM POR UNIDAD'!A19,'GONZALEZ MARTINEZ MAURICIO'!V$38:V$40)+SUMIF('GONZALEZ SOTO JOEL'!P$39:P$41,'KM POR UNIDAD'!A19,'GONZALEZ SOTO JOEL'!V$39:V$41)+SUMIF('MARTA RUBIO MARTIN'!P$39:P$41,'KM POR UNIDAD'!A19,'MARTA RUBIO MARTIN'!V$39:V$41)+SUMIF('GRIJALVA VALDEZ CESAR EUSEBIO'!P$35:P$37,'KM POR UNIDAD'!A19,'GRIJALVA VALDEZ CESAR EUSEBIO'!V$35:V$37)+SUMIF('PACHECO BAÑUELOS ALFONSO'!P$39:P$41,'KM POR UNIDAD'!A19,'PACHECO BAÑUELOS ALFONSO'!V$39:V$41)+SUMIF('RODRIGUEZ VALLES JOSE FRANCISCO'!P$40:P$42,'KM POR UNIDAD'!A19,'RODRIGUEZ VALLES JOSE FRANCISCO'!V$40:V$42)+SUMIF('SANCHEZ GUERRERO JOSE LUIS'!P$40:P$42,A19,'SANCHEZ GUERRERO JOSE LUIS'!V$40:V$42)+SUMIF('RUEDA SALAZAR ISMAEL'!P$35:P$37,'KM POR UNIDAD'!A19,'RUEDA SALAZAR ISMAEL'!V$35:V$37)+SUMIF('GUZMAN MORALES'!P$40:P$42,'KM POR UNIDAD'!A19,'GUZMAN MORALES'!V$40:V$42)+SUMIF('RODRIGUEZ RAMIREZ FERNANDO'!P$35:P$37,'KM POR UNIDAD'!A19,'RODRIGUEZ RAMIREZ FERNANDO'!V$35:V$37)+SUMIF('ESTRADA ARELLANO ARTURO'!P$40:P$42,'KM POR UNIDAD'!A19,'ESTRADA ARELLANO ARTURO'!V$40:V$42)+SUMIF('HERNANDEZ CONTRERAS JOSE FERNAN'!P$37:P$39,'KM POR UNIDAD'!A19,'HERNANDEZ CONTRERAS JOSE FERNAN'!V$38:V$40)+SUMIF('SALAZAR PEREZ JUAN CARLOS'!P$38:P$40,'KM POR UNIDAD'!A19,'SALAZAR PEREZ JUAN CARLOS'!V$38:V$40)+SUMIF('HARO IMPERIAL JOSÉ ANTONIO'!P$41:P$43,'KM POR UNIDAD'!A19,'HARO IMPERIAL JOSÉ ANTONIO'!V$41:V$43)+SUMIF('ESCARCEGA GALDEAN JESUS OMAR'!P$38:P$40,'KM POR UNIDAD'!A19,'ESCARCEGA GALDEAN JESUS OMAR'!V$38:V$40)</f>
        <v>0</v>
      </c>
      <c r="E19" s="167">
        <f t="shared" si="1"/>
        <v>0</v>
      </c>
      <c r="F19" s="168"/>
      <c r="G19" s="168"/>
      <c r="H19" s="168"/>
      <c r="I19" s="169"/>
      <c r="J19" s="170"/>
      <c r="K19" s="171"/>
    </row>
    <row r="20" spans="1:11" x14ac:dyDescent="0.25">
      <c r="A20" s="165" t="s">
        <v>92</v>
      </c>
      <c r="B20" s="166">
        <f>SUMIF('LIRA TRISTAN JOSE ANGEL'!P$36:P$38,'KM POR UNIDAD'!A20,'LIRA TRISTAN JOSE ANGEL'!U$36:U$38)+SUMIF('TORRES GARAY LUIS HUMBERTO'!P$38:P$40,'KM POR UNIDAD'!A20,'TORRES GARAY LUIS HUMBERTO'!U$38:U$40)+SUMIF('CERDA HERNANDEZ JOSE LUIS'!P$35:P$37,'KM POR UNIDAD'!A20,'CERDA HERNANDEZ JOSE LUIS'!U$35:U$37)+SUMIF('RUIZ ALVARADO PEDRO'!P$32:P$34,'KM POR UNIDAD'!A20,'RUIZ ALVARADO PEDRO'!U$32:U$34)+SUMIF('NEVAREZ JUAN MANUEL'!P$37:P$39,'KM POR UNIDAD'!A20,'NEVAREZ JUAN MANUEL'!U$37:U$39)+SUMIF('CHAVEZ VARELA NESTOR ADRIAN'!P$35:P$37,'KM POR UNIDAD'!A20,'CHAVEZ VARELA NESTOR ADRIAN'!U$35:U$37)+SUMIF('PAYAN ESTRADA JOSE ANGEL'!P$37:P$39,'KM POR UNIDAD'!A20,'PAYAN ESTRADA JOSE ANGEL'!U$37:U$39)+SUMIF('RUIZ HERRERA ERICK '!P$33:P$35,'KM POR UNIDAD'!A20,'RUIZ HERRERA ERICK '!U$33:U$35)+SUMIF('GONZALEZ LOZANO ENRIQUE '!P$38:P$40,'KM POR UNIDAD'!A20,'GONZALEZ LOZANO ENRIQUE '!U$38:U$40)+SUMIF('GONZALEZ MARTINEZ MAURICIO'!P$38:P$40,'KM POR UNIDAD'!A20,'GONZALEZ MARTINEZ MAURICIO'!U$38:U$40)+SUMIF('GONZALEZ SOTO JOEL'!P$39:P$41,'KM POR UNIDAD'!A20,'GONZALEZ SOTO JOEL'!U$39:U$41)+SUMIF('MARTA RUBIO MARTIN'!P$39:P$41,'KM POR UNIDAD'!A20,'MARTA RUBIO MARTIN'!U$39:U$41)+SUMIF('GRIJALVA VALDEZ CESAR EUSEBIO'!P$35:P$37,'KM POR UNIDAD'!A20,'GRIJALVA VALDEZ CESAR EUSEBIO'!U$35:U$37)+SUMIF('PACHECO BAÑUELOS ALFONSO'!P$39:P$41,'KM POR UNIDAD'!A20,'PACHECO BAÑUELOS ALFONSO'!U$39:U$41)+SUMIF('RODRIGUEZ VALLES JOSE FRANCISCO'!P$40:P$42,'KM POR UNIDAD'!A20,'RODRIGUEZ VALLES JOSE FRANCISCO'!U$40:U$42)+SUMIF('SANCHEZ GUERRERO JOSE LUIS'!P$40:P$42,A20,'SANCHEZ GUERRERO JOSE LUIS'!U$40:U$42)+SUMIF('RUEDA SALAZAR ISMAEL'!P$35:P$37,'KM POR UNIDAD'!A20,'RUEDA SALAZAR ISMAEL'!U$35:U$37)+SUMIF('GUZMAN MORALES'!P$40:P$42,'KM POR UNIDAD'!A20,'GUZMAN MORALES'!U$40:U$42)+SUMIF('RODRIGUEZ RAMIREZ FERNANDO'!P$35:P$37,'KM POR UNIDAD'!A20,'RODRIGUEZ RAMIREZ FERNANDO'!U$35:U$37)+SUMIF('ESTRADA ARELLANO ARTURO'!P$40:P$42,'KM POR UNIDAD'!A20,'ESTRADA ARELLANO ARTURO'!U$40:U$42)+SUMIF('HERNANDEZ CONTRERAS JOSE FERNAN'!P$37:P$39,'KM POR UNIDAD'!A20,'HERNANDEZ CONTRERAS JOSE FERNAN'!U$37:U$39)+SUMIF('SALAZAR PEREZ JUAN CARLOS'!P$38:P$40,'KM POR UNIDAD'!A20,'SALAZAR PEREZ JUAN CARLOS'!U$38:U$40)+SUMIF('HARO IMPERIAL JOSÉ ANTONIO'!P$41:P$43,'KM POR UNIDAD'!A20,'HARO IMPERIAL JOSÉ ANTONIO'!U$41:$U60)+SUMIF('ESCARCEGA GALDEAN JESUS OMAR'!P$38:P$40,'KM POR UNIDAD'!A20,'ESCARCEGA GALDEAN JESUS OMAR'!U$38:U$40)</f>
        <v>0</v>
      </c>
      <c r="C20" s="166">
        <f>+SUMIF('LIRA TRISTAN JOSE ANGEL'!P$36:P$38,'KM POR UNIDAD'!A20,'LIRA TRISTAN JOSE ANGEL'!T$36:T$38)+SUMIF('TORRES GARAY LUIS HUMBERTO'!P$38:P$40,'KM POR UNIDAD'!A20,'TORRES GARAY LUIS HUMBERTO'!T$38:T$40)+SUMIF('CERDA HERNANDEZ JOSE LUIS'!P$35:P$37,'KM POR UNIDAD'!A20,'CERDA HERNANDEZ JOSE LUIS'!T$35:T$37)+SUMIF('RUIZ ALVARADO PEDRO'!P$32:P$34,'KM POR UNIDAD'!A20,'RUIZ ALVARADO PEDRO'!T$32:T$34)+SUMIF('NEVAREZ JUAN MANUEL'!P$37:P$39,'KM POR UNIDAD'!A20,'NEVAREZ JUAN MANUEL'!T$37:T$39)+SUMIF('CHAVEZ VARELA NESTOR ADRIAN'!P$35:P$37,'KM POR UNIDAD'!A20,'CHAVEZ VARELA NESTOR ADRIAN'!T$35:T$37)+SUMIF('PAYAN ESTRADA JOSE ANGEL'!P$37:P$39,'KM POR UNIDAD'!A20,'PAYAN ESTRADA JOSE ANGEL'!T$37:T$39)+SUMIF('RUIZ HERRERA ERICK '!P$33:P$35,'KM POR UNIDAD'!A20,'RUIZ HERRERA ERICK '!T$33:T$35)+SUMIF('GONZALEZ LOZANO ENRIQUE '!P$38:P$40,'KM POR UNIDAD'!A20,'GONZALEZ LOZANO ENRIQUE '!T$38:T$40)+SUMIF('GONZALEZ MARTINEZ MAURICIO'!P$38:P$40,'KM POR UNIDAD'!A20,'GONZALEZ MARTINEZ MAURICIO'!T$38:T$40)+SUMIF('GONZALEZ SOTO JOEL'!P$39:P$41,'KM POR UNIDAD'!A20,'GONZALEZ SOTO JOEL'!T$39:T$41)+SUMIF('MARTA RUBIO MARTIN'!P$39:P$41,'KM POR UNIDAD'!A20,'MARTA RUBIO MARTIN'!T$39:T$41)+SUMIF('GRIJALVA VALDEZ CESAR EUSEBIO'!P$35:P$37,'KM POR UNIDAD'!A20,'GRIJALVA VALDEZ CESAR EUSEBIO'!T$35:T$37)+SUMIF('PACHECO BAÑUELOS ALFONSO'!P$39:P$41,'KM POR UNIDAD'!A20,'PACHECO BAÑUELOS ALFONSO'!T$39:T$41)+SUMIF('RODRIGUEZ VALLES JOSE FRANCISCO'!P$40:P$42,'KM POR UNIDAD'!A20,'RODRIGUEZ VALLES JOSE FRANCISCO'!T$40:T$42)+SUMIF('SANCHEZ GUERRERO JOSE LUIS'!P$40:P$42,A20,'SANCHEZ GUERRERO JOSE LUIS'!T$40:T$42)+SUMIF('RUEDA SALAZAR ISMAEL'!P$35:P$37,'KM POR UNIDAD'!A20,'RUEDA SALAZAR ISMAEL'!T$35:T$37)+SUMIF('GUZMAN MORALES'!P$40:P$42,'KM POR UNIDAD'!A20,'GUZMAN MORALES'!T$40:T$42)+SUMIF('RODRIGUEZ RAMIREZ FERNANDO'!P$35:P$37,'KM POR UNIDAD'!A20,'RODRIGUEZ RAMIREZ FERNANDO'!T$35:T$37)+SUMIF('ESTRADA ARELLANO ARTURO'!P$40:P$42,'KM POR UNIDAD'!A20,'ESTRADA ARELLANO ARTURO'!T$40:T$42)+SUMIF('HERNANDEZ CONTRERAS JOSE FERNAN'!P$37:P$39,'KM POR UNIDAD'!A20,'HERNANDEZ CONTRERAS JOSE FERNAN'!T$37:T$39)+SUMIF('SALAZAR PEREZ JUAN CARLOS'!P$38:P$40,'KM POR UNIDAD'!A20,'SALAZAR PEREZ JUAN CARLOS'!T$38:T$40)+SUMIF('HARO IMPERIAL JOSÉ ANTONIO'!P$41:P$43,'KM POR UNIDAD'!A20,'HARO IMPERIAL JOSÉ ANTONIO'!T$41:T$43)+SUMIF('ESCARCEGA GALDEAN JESUS OMAR'!P$38:P$40,'KM POR UNIDAD'!A20,'ESCARCEGA GALDEAN JESUS OMAR'!T$38:T$40)</f>
        <v>0</v>
      </c>
      <c r="D20" s="189">
        <f>+SUMIF('LIRA TRISTAN JOSE ANGEL'!P$36:P$38,'KM POR UNIDAD'!A20,'LIRA TRISTAN JOSE ANGEL'!V$36:V$38)+SUMIF('TORRES GARAY LUIS HUMBERTO'!P$38:P$40,'KM POR UNIDAD'!A20,'TORRES GARAY LUIS HUMBERTO'!V$38:V$40)+SUMIF('CERDA HERNANDEZ JOSE LUIS'!P$35:P$37,'KM POR UNIDAD'!A20,'CERDA HERNANDEZ JOSE LUIS'!V$35:V$37)+SUMIF('RUIZ ALVARADO PEDRO'!P$32:P$34,'KM POR UNIDAD'!A20,'RUIZ ALVARADO PEDRO'!V$32:V$34)+SUMIF('NEVAREZ JUAN MANUEL'!P$37:P$39,'KM POR UNIDAD'!A20,'NEVAREZ JUAN MANUEL'!V$37:V$39)+SUMIF('CHAVEZ VARELA NESTOR ADRIAN'!P$35:P$37,'KM POR UNIDAD'!A20,'CHAVEZ VARELA NESTOR ADRIAN'!V$35:V$37)+SUMIF('PAYAN ESTRADA JOSE ANGEL'!P$37:P$39,'KM POR UNIDAD'!A20,'PAYAN ESTRADA JOSE ANGEL'!V$37:V$39)+SUMIF('RUIZ HERRERA ERICK '!P$33:P$35,'KM POR UNIDAD'!A20,'RUIZ HERRERA ERICK '!V$33:V$35)+SUMIF('GONZALEZ LOZANO ENRIQUE '!P$38:P$40,'KM POR UNIDAD'!A20,'GONZALEZ LOZANO ENRIQUE '!V$38:V$40)+SUMIF('GONZALEZ MARTINEZ MAURICIO'!P$38:P$40,'KM POR UNIDAD'!A20,'GONZALEZ MARTINEZ MAURICIO'!V$38:V$40)+SUMIF('GONZALEZ SOTO JOEL'!P$39:P$41,'KM POR UNIDAD'!A20,'GONZALEZ SOTO JOEL'!V$39:V$41)+SUMIF('MARTA RUBIO MARTIN'!P$39:P$41,'KM POR UNIDAD'!A20,'MARTA RUBIO MARTIN'!V$39:V$41)+SUMIF('GRIJALVA VALDEZ CESAR EUSEBIO'!P$35:P$37,'KM POR UNIDAD'!A20,'GRIJALVA VALDEZ CESAR EUSEBIO'!V$35:V$37)+SUMIF('PACHECO BAÑUELOS ALFONSO'!P$39:P$41,'KM POR UNIDAD'!A20,'PACHECO BAÑUELOS ALFONSO'!V$39:V$41)+SUMIF('RODRIGUEZ VALLES JOSE FRANCISCO'!P$40:P$42,'KM POR UNIDAD'!A20,'RODRIGUEZ VALLES JOSE FRANCISCO'!V$40:V$42)+SUMIF('SANCHEZ GUERRERO JOSE LUIS'!P$40:P$42,A20,'SANCHEZ GUERRERO JOSE LUIS'!V$40:V$42)+SUMIF('RUEDA SALAZAR ISMAEL'!P$35:P$37,'KM POR UNIDAD'!A20,'RUEDA SALAZAR ISMAEL'!V$35:V$37)+SUMIF('GUZMAN MORALES'!P$40:P$42,'KM POR UNIDAD'!A20,'GUZMAN MORALES'!V$40:V$42)+SUMIF('RODRIGUEZ RAMIREZ FERNANDO'!P$35:P$37,'KM POR UNIDAD'!A20,'RODRIGUEZ RAMIREZ FERNANDO'!V$35:V$37)+SUMIF('ESTRADA ARELLANO ARTURO'!P$40:P$42,'KM POR UNIDAD'!A20,'ESTRADA ARELLANO ARTURO'!V$40:V$42)+SUMIF('HERNANDEZ CONTRERAS JOSE FERNAN'!P$37:P$39,'KM POR UNIDAD'!A20,'HERNANDEZ CONTRERAS JOSE FERNAN'!V$38:V$40)+SUMIF('SALAZAR PEREZ JUAN CARLOS'!P$38:P$40,'KM POR UNIDAD'!A20,'SALAZAR PEREZ JUAN CARLOS'!V$38:V$40)+SUMIF('HARO IMPERIAL JOSÉ ANTONIO'!P$41:P$43,'KM POR UNIDAD'!A20,'HARO IMPERIAL JOSÉ ANTONIO'!V$41:V$43)+SUMIF('ESCARCEGA GALDEAN JESUS OMAR'!P$38:P$40,'KM POR UNIDAD'!A20,'ESCARCEGA GALDEAN JESUS OMAR'!V$38:V$40)</f>
        <v>0</v>
      </c>
      <c r="E20" s="167">
        <f t="shared" si="1"/>
        <v>0</v>
      </c>
      <c r="F20" s="168"/>
      <c r="G20" s="168"/>
      <c r="H20" s="168"/>
      <c r="I20" s="169"/>
      <c r="J20" s="170"/>
      <c r="K20" s="171"/>
    </row>
    <row r="21" spans="1:11" x14ac:dyDescent="0.25">
      <c r="A21" s="165" t="s">
        <v>143</v>
      </c>
      <c r="B21" s="166">
        <f>SUMIF('LIRA TRISTAN JOSE ANGEL'!P$36:P$38,'KM POR UNIDAD'!A21,'LIRA TRISTAN JOSE ANGEL'!U$36:U$38)+SUMIF('TORRES GARAY LUIS HUMBERTO'!P$38:P$40,'KM POR UNIDAD'!A21,'TORRES GARAY LUIS HUMBERTO'!U$38:U$40)+SUMIF('CERDA HERNANDEZ JOSE LUIS'!P$35:P$37,'KM POR UNIDAD'!A21,'CERDA HERNANDEZ JOSE LUIS'!U$35:U$37)+SUMIF('RUIZ ALVARADO PEDRO'!P$32:P$34,'KM POR UNIDAD'!A21,'RUIZ ALVARADO PEDRO'!U$32:U$34)+SUMIF('NEVAREZ JUAN MANUEL'!P$37:P$39,'KM POR UNIDAD'!A21,'NEVAREZ JUAN MANUEL'!U$37:U$39)+SUMIF('CHAVEZ VARELA NESTOR ADRIAN'!P$35:P$37,'KM POR UNIDAD'!A21,'CHAVEZ VARELA NESTOR ADRIAN'!U$35:U$37)+SUMIF('PAYAN ESTRADA JOSE ANGEL'!P$37:P$39,'KM POR UNIDAD'!A21,'PAYAN ESTRADA JOSE ANGEL'!U$37:U$39)+SUMIF('RUIZ HERRERA ERICK '!P$33:P$35,'KM POR UNIDAD'!A21,'RUIZ HERRERA ERICK '!U$33:U$35)+SUMIF('GONZALEZ LOZANO ENRIQUE '!P$38:P$40,'KM POR UNIDAD'!A21,'GONZALEZ LOZANO ENRIQUE '!U$38:U$40)+SUMIF('GONZALEZ MARTINEZ MAURICIO'!P$38:P$40,'KM POR UNIDAD'!A21,'GONZALEZ MARTINEZ MAURICIO'!U$38:U$40)+SUMIF('GONZALEZ SOTO JOEL'!P$39:P$41,'KM POR UNIDAD'!A21,'GONZALEZ SOTO JOEL'!U$39:U$41)+SUMIF('MARTA RUBIO MARTIN'!P$39:P$41,'KM POR UNIDAD'!A21,'MARTA RUBIO MARTIN'!U$39:U$41)+SUMIF('GRIJALVA VALDEZ CESAR EUSEBIO'!P$35:P$37,'KM POR UNIDAD'!A21,'GRIJALVA VALDEZ CESAR EUSEBIO'!U$35:U$37)+SUMIF('PACHECO BAÑUELOS ALFONSO'!P$39:P$41,'KM POR UNIDAD'!A21,'PACHECO BAÑUELOS ALFONSO'!U$39:U$41)+SUMIF('RODRIGUEZ VALLES JOSE FRANCISCO'!P$40:P$42,'KM POR UNIDAD'!A21,'RODRIGUEZ VALLES JOSE FRANCISCO'!U$40:U$42)+SUMIF('SANCHEZ GUERRERO JOSE LUIS'!P$40:P$42,A21,'SANCHEZ GUERRERO JOSE LUIS'!U$40:U$42)+SUMIF('RUEDA SALAZAR ISMAEL'!P$35:P$37,'KM POR UNIDAD'!A21,'RUEDA SALAZAR ISMAEL'!U$35:U$37)+SUMIF('GUZMAN MORALES'!P$40:P$42,'KM POR UNIDAD'!A21,'GUZMAN MORALES'!U$40:U$42)+SUMIF('RODRIGUEZ RAMIREZ FERNANDO'!P$35:P$37,'KM POR UNIDAD'!A21,'RODRIGUEZ RAMIREZ FERNANDO'!U$35:U$37)+SUMIF('ESTRADA ARELLANO ARTURO'!P$40:P$42,'KM POR UNIDAD'!A21,'ESTRADA ARELLANO ARTURO'!U$40:U$42)+SUMIF('HERNANDEZ CONTRERAS JOSE FERNAN'!P$37:P$39,'KM POR UNIDAD'!A21,'HERNANDEZ CONTRERAS JOSE FERNAN'!U$37:U$39)+SUMIF('SALAZAR PEREZ JUAN CARLOS'!P$38:P$40,'KM POR UNIDAD'!A21,'SALAZAR PEREZ JUAN CARLOS'!U$38:U$40)+SUMIF('HARO IMPERIAL JOSÉ ANTONIO'!P$41:P$43,'KM POR UNIDAD'!A21,'HARO IMPERIAL JOSÉ ANTONIO'!U$41:$U61)+SUMIF('ESCARCEGA GALDEAN JESUS OMAR'!P$38:P$40,'KM POR UNIDAD'!A21,'ESCARCEGA GALDEAN JESUS OMAR'!U$38:U$40)</f>
        <v>800</v>
      </c>
      <c r="C21" s="166">
        <f>+SUMIF('LIRA TRISTAN JOSE ANGEL'!P$36:P$38,'KM POR UNIDAD'!A21,'LIRA TRISTAN JOSE ANGEL'!T$36:T$38)+SUMIF('TORRES GARAY LUIS HUMBERTO'!P$38:P$40,'KM POR UNIDAD'!A21,'TORRES GARAY LUIS HUMBERTO'!T$38:T$40)+SUMIF('CERDA HERNANDEZ JOSE LUIS'!P$35:P$37,'KM POR UNIDAD'!A21,'CERDA HERNANDEZ JOSE LUIS'!T$35:T$37)+SUMIF('RUIZ ALVARADO PEDRO'!P$32:P$34,'KM POR UNIDAD'!A21,'RUIZ ALVARADO PEDRO'!T$32:T$34)+SUMIF('NEVAREZ JUAN MANUEL'!P$37:P$39,'KM POR UNIDAD'!A21,'NEVAREZ JUAN MANUEL'!T$37:T$39)+SUMIF('CHAVEZ VARELA NESTOR ADRIAN'!P$35:P$37,'KM POR UNIDAD'!A21,'CHAVEZ VARELA NESTOR ADRIAN'!T$35:T$37)+SUMIF('PAYAN ESTRADA JOSE ANGEL'!P$37:P$39,'KM POR UNIDAD'!A21,'PAYAN ESTRADA JOSE ANGEL'!T$37:T$39)+SUMIF('RUIZ HERRERA ERICK '!P$33:P$35,'KM POR UNIDAD'!A21,'RUIZ HERRERA ERICK '!T$33:T$35)+SUMIF('GONZALEZ LOZANO ENRIQUE '!P$38:P$40,'KM POR UNIDAD'!A21,'GONZALEZ LOZANO ENRIQUE '!T$38:T$40)+SUMIF('GONZALEZ MARTINEZ MAURICIO'!P$38:P$40,'KM POR UNIDAD'!A21,'GONZALEZ MARTINEZ MAURICIO'!T$38:T$40)+SUMIF('GONZALEZ SOTO JOEL'!P$39:P$41,'KM POR UNIDAD'!A21,'GONZALEZ SOTO JOEL'!T$39:T$41)+SUMIF('MARTA RUBIO MARTIN'!P$39:P$41,'KM POR UNIDAD'!A21,'MARTA RUBIO MARTIN'!T$39:T$41)+SUMIF('GRIJALVA VALDEZ CESAR EUSEBIO'!P$35:P$37,'KM POR UNIDAD'!A21,'GRIJALVA VALDEZ CESAR EUSEBIO'!T$35:T$37)+SUMIF('PACHECO BAÑUELOS ALFONSO'!P$39:P$41,'KM POR UNIDAD'!A21,'PACHECO BAÑUELOS ALFONSO'!T$39:T$41)+SUMIF('RODRIGUEZ VALLES JOSE FRANCISCO'!P$40:P$42,'KM POR UNIDAD'!A21,'RODRIGUEZ VALLES JOSE FRANCISCO'!T$40:T$42)+SUMIF('SANCHEZ GUERRERO JOSE LUIS'!P$40:P$42,A21,'SANCHEZ GUERRERO JOSE LUIS'!T$40:T$42)+SUMIF('RUEDA SALAZAR ISMAEL'!P$35:P$37,'KM POR UNIDAD'!A21,'RUEDA SALAZAR ISMAEL'!T$35:T$37)+SUMIF('GUZMAN MORALES'!P$40:P$42,'KM POR UNIDAD'!A21,'GUZMAN MORALES'!T$40:T$42)+SUMIF('RODRIGUEZ RAMIREZ FERNANDO'!P$35:P$37,'KM POR UNIDAD'!A21,'RODRIGUEZ RAMIREZ FERNANDO'!T$35:T$37)+SUMIF('ESTRADA ARELLANO ARTURO'!P$40:P$42,'KM POR UNIDAD'!A21,'ESTRADA ARELLANO ARTURO'!T$40:T$42)+SUMIF('HERNANDEZ CONTRERAS JOSE FERNAN'!P$37:P$39,'KM POR UNIDAD'!A21,'HERNANDEZ CONTRERAS JOSE FERNAN'!T$37:T$39)+SUMIF('SALAZAR PEREZ JUAN CARLOS'!P$38:P$40,'KM POR UNIDAD'!A21,'SALAZAR PEREZ JUAN CARLOS'!T$38:T$40)+SUMIF('HARO IMPERIAL JOSÉ ANTONIO'!P$41:P$43,'KM POR UNIDAD'!A21,'HARO IMPERIAL JOSÉ ANTONIO'!T$41:T$43)+SUMIF('ESCARCEGA GALDEAN JESUS OMAR'!P$38:P$40,'KM POR UNIDAD'!A21,'ESCARCEGA GALDEAN JESUS OMAR'!T$38:T$40)</f>
        <v>-1109493</v>
      </c>
      <c r="D21" s="189">
        <f>+SUMIF('LIRA TRISTAN JOSE ANGEL'!P$36:P$38,'KM POR UNIDAD'!A21,'LIRA TRISTAN JOSE ANGEL'!V$36:V$38)+SUMIF('TORRES GARAY LUIS HUMBERTO'!P$38:P$40,'KM POR UNIDAD'!A21,'TORRES GARAY LUIS HUMBERTO'!V$38:V$40)+SUMIF('CERDA HERNANDEZ JOSE LUIS'!P$35:P$37,'KM POR UNIDAD'!A21,'CERDA HERNANDEZ JOSE LUIS'!V$35:V$37)+SUMIF('RUIZ ALVARADO PEDRO'!P$32:P$34,'KM POR UNIDAD'!A21,'RUIZ ALVARADO PEDRO'!V$32:V$34)+SUMIF('NEVAREZ JUAN MANUEL'!P$37:P$39,'KM POR UNIDAD'!A21,'NEVAREZ JUAN MANUEL'!V$37:V$39)+SUMIF('CHAVEZ VARELA NESTOR ADRIAN'!P$35:P$37,'KM POR UNIDAD'!A21,'CHAVEZ VARELA NESTOR ADRIAN'!V$35:V$37)+SUMIF('PAYAN ESTRADA JOSE ANGEL'!P$37:P$39,'KM POR UNIDAD'!A21,'PAYAN ESTRADA JOSE ANGEL'!V$37:V$39)+SUMIF('RUIZ HERRERA ERICK '!P$33:P$35,'KM POR UNIDAD'!A21,'RUIZ HERRERA ERICK '!V$33:V$35)+SUMIF('GONZALEZ LOZANO ENRIQUE '!P$38:P$40,'KM POR UNIDAD'!A21,'GONZALEZ LOZANO ENRIQUE '!V$38:V$40)+SUMIF('GONZALEZ MARTINEZ MAURICIO'!P$38:P$40,'KM POR UNIDAD'!A21,'GONZALEZ MARTINEZ MAURICIO'!V$38:V$40)+SUMIF('GONZALEZ SOTO JOEL'!P$39:P$41,'KM POR UNIDAD'!A21,'GONZALEZ SOTO JOEL'!V$39:V$41)+SUMIF('MARTA RUBIO MARTIN'!P$39:P$41,'KM POR UNIDAD'!A21,'MARTA RUBIO MARTIN'!V$39:V$41)+SUMIF('GRIJALVA VALDEZ CESAR EUSEBIO'!P$35:P$37,'KM POR UNIDAD'!A21,'GRIJALVA VALDEZ CESAR EUSEBIO'!V$35:V$37)+SUMIF('PACHECO BAÑUELOS ALFONSO'!P$39:P$41,'KM POR UNIDAD'!A21,'PACHECO BAÑUELOS ALFONSO'!V$39:V$41)+SUMIF('RODRIGUEZ VALLES JOSE FRANCISCO'!P$40:P$42,'KM POR UNIDAD'!A21,'RODRIGUEZ VALLES JOSE FRANCISCO'!V$40:V$42)+SUMIF('SANCHEZ GUERRERO JOSE LUIS'!P$40:P$42,A21,'SANCHEZ GUERRERO JOSE LUIS'!V$40:V$42)+SUMIF('RUEDA SALAZAR ISMAEL'!P$35:P$37,'KM POR UNIDAD'!A21,'RUEDA SALAZAR ISMAEL'!V$35:V$37)+SUMIF('GUZMAN MORALES'!P$40:P$42,'KM POR UNIDAD'!A21,'GUZMAN MORALES'!V$40:V$42)+SUMIF('RODRIGUEZ RAMIREZ FERNANDO'!P$35:P$37,'KM POR UNIDAD'!A21,'RODRIGUEZ RAMIREZ FERNANDO'!V$35:V$37)+SUMIF('ESTRADA ARELLANO ARTURO'!P$40:P$42,'KM POR UNIDAD'!A21,'ESTRADA ARELLANO ARTURO'!V$40:V$42)+SUMIF('HERNANDEZ CONTRERAS JOSE FERNAN'!P$37:P$39,'KM POR UNIDAD'!A21,'HERNANDEZ CONTRERAS JOSE FERNAN'!V$38:V$40)+SUMIF('SALAZAR PEREZ JUAN CARLOS'!P$38:P$40,'KM POR UNIDAD'!A21,'SALAZAR PEREZ JUAN CARLOS'!V$38:V$40)+SUMIF('HARO IMPERIAL JOSÉ ANTONIO'!P$41:P$43,'KM POR UNIDAD'!A21,'HARO IMPERIAL JOSÉ ANTONIO'!V$41:V$43)+SUMIF('ESCARCEGA GALDEAN JESUS OMAR'!P$38:P$40,'KM POR UNIDAD'!A21,'ESCARCEGA GALDEAN JESUS OMAR'!V$38:V$40)</f>
        <v>208.346</v>
      </c>
      <c r="E21" s="167">
        <f t="shared" si="1"/>
        <v>3.8397665421942344</v>
      </c>
      <c r="F21" s="168">
        <v>0</v>
      </c>
      <c r="G21" s="168">
        <v>0</v>
      </c>
      <c r="H21" s="168">
        <v>0</v>
      </c>
      <c r="I21" s="169">
        <f t="shared" si="0"/>
        <v>0</v>
      </c>
      <c r="J21" s="170"/>
      <c r="K21" s="171"/>
    </row>
    <row r="22" spans="1:11" x14ac:dyDescent="0.25">
      <c r="A22" s="165" t="s">
        <v>90</v>
      </c>
      <c r="B22" s="166">
        <f>SUMIF('LIRA TRISTAN JOSE ANGEL'!P$36:P$38,'KM POR UNIDAD'!A22,'LIRA TRISTAN JOSE ANGEL'!U$36:U$38)+SUMIF('TORRES GARAY LUIS HUMBERTO'!P$38:P$40,'KM POR UNIDAD'!A22,'TORRES GARAY LUIS HUMBERTO'!U$38:U$40)+SUMIF('CERDA HERNANDEZ JOSE LUIS'!P$35:P$37,'KM POR UNIDAD'!A22,'CERDA HERNANDEZ JOSE LUIS'!U$35:U$37)+SUMIF('RUIZ ALVARADO PEDRO'!P$32:P$34,'KM POR UNIDAD'!A22,'RUIZ ALVARADO PEDRO'!U$32:U$34)+SUMIF('NEVAREZ JUAN MANUEL'!P$37:P$39,'KM POR UNIDAD'!A22,'NEVAREZ JUAN MANUEL'!U$37:U$39)+SUMIF('CHAVEZ VARELA NESTOR ADRIAN'!P$35:P$37,'KM POR UNIDAD'!A22,'CHAVEZ VARELA NESTOR ADRIAN'!U$35:U$37)+SUMIF('PAYAN ESTRADA JOSE ANGEL'!P$37:P$39,'KM POR UNIDAD'!A22,'PAYAN ESTRADA JOSE ANGEL'!U$37:U$39)+SUMIF('RUIZ HERRERA ERICK '!P$33:P$35,'KM POR UNIDAD'!A22,'RUIZ HERRERA ERICK '!U$33:U$35)+SUMIF('GONZALEZ LOZANO ENRIQUE '!P$38:P$40,'KM POR UNIDAD'!A22,'GONZALEZ LOZANO ENRIQUE '!U$38:U$40)+SUMIF('GONZALEZ MARTINEZ MAURICIO'!P$38:P$40,'KM POR UNIDAD'!A22,'GONZALEZ MARTINEZ MAURICIO'!U$38:U$40)+SUMIF('GONZALEZ SOTO JOEL'!P$39:P$41,'KM POR UNIDAD'!A22,'GONZALEZ SOTO JOEL'!U$39:U$41)+SUMIF('MARTA RUBIO MARTIN'!P$39:P$41,'KM POR UNIDAD'!A22,'MARTA RUBIO MARTIN'!U$39:U$41)+SUMIF('GRIJALVA VALDEZ CESAR EUSEBIO'!P$35:P$37,'KM POR UNIDAD'!A22,'GRIJALVA VALDEZ CESAR EUSEBIO'!U$35:U$37)+SUMIF('PACHECO BAÑUELOS ALFONSO'!P$39:P$41,'KM POR UNIDAD'!A22,'PACHECO BAÑUELOS ALFONSO'!U$39:U$41)+SUMIF('RODRIGUEZ VALLES JOSE FRANCISCO'!P$40:P$42,'KM POR UNIDAD'!A22,'RODRIGUEZ VALLES JOSE FRANCISCO'!U$40:U$42)+SUMIF('SANCHEZ GUERRERO JOSE LUIS'!P$40:P$42,A22,'SANCHEZ GUERRERO JOSE LUIS'!U$40:U$42)+SUMIF('RUEDA SALAZAR ISMAEL'!P$35:P$37,'KM POR UNIDAD'!A22,'RUEDA SALAZAR ISMAEL'!U$35:U$37)+SUMIF('GUZMAN MORALES'!P$40:P$42,'KM POR UNIDAD'!A22,'GUZMAN MORALES'!U$40:U$42)+SUMIF('RODRIGUEZ RAMIREZ FERNANDO'!P$35:P$37,'KM POR UNIDAD'!A22,'RODRIGUEZ RAMIREZ FERNANDO'!U$35:U$37)+SUMIF('ESTRADA ARELLANO ARTURO'!P$40:P$42,'KM POR UNIDAD'!A22,'ESTRADA ARELLANO ARTURO'!U$40:U$42)+SUMIF('HERNANDEZ CONTRERAS JOSE FERNAN'!P$37:P$39,'KM POR UNIDAD'!A22,'HERNANDEZ CONTRERAS JOSE FERNAN'!U$37:U$39)+SUMIF('SALAZAR PEREZ JUAN CARLOS'!P$38:P$40,'KM POR UNIDAD'!A22,'SALAZAR PEREZ JUAN CARLOS'!U$38:U$40)+SUMIF('HARO IMPERIAL JOSÉ ANTONIO'!P$41:P$43,'KM POR UNIDAD'!A22,'HARO IMPERIAL JOSÉ ANTONIO'!U$41:$U62)+SUMIF('ESCARCEGA GALDEAN JESUS OMAR'!P$38:P$40,'KM POR UNIDAD'!A22,'ESCARCEGA GALDEAN JESUS OMAR'!U$38:U$40)</f>
        <v>0</v>
      </c>
      <c r="C22" s="166">
        <f>+SUMIF('LIRA TRISTAN JOSE ANGEL'!P$36:P$38,'KM POR UNIDAD'!A22,'LIRA TRISTAN JOSE ANGEL'!T$36:T$38)+SUMIF('TORRES GARAY LUIS HUMBERTO'!P$38:P$40,'KM POR UNIDAD'!A22,'TORRES GARAY LUIS HUMBERTO'!T$38:T$40)+SUMIF('CERDA HERNANDEZ JOSE LUIS'!P$35:P$37,'KM POR UNIDAD'!A22,'CERDA HERNANDEZ JOSE LUIS'!T$35:T$37)+SUMIF('RUIZ ALVARADO PEDRO'!P$32:P$34,'KM POR UNIDAD'!A22,'RUIZ ALVARADO PEDRO'!T$32:T$34)+SUMIF('NEVAREZ JUAN MANUEL'!P$37:P$39,'KM POR UNIDAD'!A22,'NEVAREZ JUAN MANUEL'!T$37:T$39)+SUMIF('CHAVEZ VARELA NESTOR ADRIAN'!P$35:P$37,'KM POR UNIDAD'!A22,'CHAVEZ VARELA NESTOR ADRIAN'!T$35:T$37)+SUMIF('PAYAN ESTRADA JOSE ANGEL'!P$37:P$39,'KM POR UNIDAD'!A22,'PAYAN ESTRADA JOSE ANGEL'!T$37:T$39)+SUMIF('RUIZ HERRERA ERICK '!P$33:P$35,'KM POR UNIDAD'!A22,'RUIZ HERRERA ERICK '!T$33:T$35)+SUMIF('GONZALEZ LOZANO ENRIQUE '!P$38:P$40,'KM POR UNIDAD'!A22,'GONZALEZ LOZANO ENRIQUE '!T$38:T$40)+SUMIF('GONZALEZ MARTINEZ MAURICIO'!P$38:P$40,'KM POR UNIDAD'!A22,'GONZALEZ MARTINEZ MAURICIO'!T$38:T$40)+SUMIF('GONZALEZ SOTO JOEL'!P$39:P$41,'KM POR UNIDAD'!A22,'GONZALEZ SOTO JOEL'!T$39:T$41)+SUMIF('MARTA RUBIO MARTIN'!P$39:P$41,'KM POR UNIDAD'!A22,'MARTA RUBIO MARTIN'!T$39:T$41)+SUMIF('GRIJALVA VALDEZ CESAR EUSEBIO'!P$35:P$37,'KM POR UNIDAD'!A22,'GRIJALVA VALDEZ CESAR EUSEBIO'!T$35:T$37)+SUMIF('PACHECO BAÑUELOS ALFONSO'!P$39:P$41,'KM POR UNIDAD'!A22,'PACHECO BAÑUELOS ALFONSO'!T$39:T$41)+SUMIF('RODRIGUEZ VALLES JOSE FRANCISCO'!P$40:P$42,'KM POR UNIDAD'!A22,'RODRIGUEZ VALLES JOSE FRANCISCO'!T$40:T$42)+SUMIF('SANCHEZ GUERRERO JOSE LUIS'!P$40:P$42,A22,'SANCHEZ GUERRERO JOSE LUIS'!T$40:T$42)+SUMIF('RUEDA SALAZAR ISMAEL'!P$35:P$37,'KM POR UNIDAD'!A22,'RUEDA SALAZAR ISMAEL'!T$35:T$37)+SUMIF('GUZMAN MORALES'!P$40:P$42,'KM POR UNIDAD'!A22,'GUZMAN MORALES'!T$40:T$42)+SUMIF('RODRIGUEZ RAMIREZ FERNANDO'!P$35:P$37,'KM POR UNIDAD'!A22,'RODRIGUEZ RAMIREZ FERNANDO'!T$35:T$37)+SUMIF('ESTRADA ARELLANO ARTURO'!P$40:P$42,'KM POR UNIDAD'!A22,'ESTRADA ARELLANO ARTURO'!T$40:T$42)+SUMIF('HERNANDEZ CONTRERAS JOSE FERNAN'!P$37:P$39,'KM POR UNIDAD'!A22,'HERNANDEZ CONTRERAS JOSE FERNAN'!T$37:T$39)+SUMIF('SALAZAR PEREZ JUAN CARLOS'!P$38:P$40,'KM POR UNIDAD'!A22,'SALAZAR PEREZ JUAN CARLOS'!T$38:T$40)+SUMIF('HARO IMPERIAL JOSÉ ANTONIO'!P$41:P$43,'KM POR UNIDAD'!A22,'HARO IMPERIAL JOSÉ ANTONIO'!T$41:T$43)+SUMIF('ESCARCEGA GALDEAN JESUS OMAR'!P$38:P$40,'KM POR UNIDAD'!A22,'ESCARCEGA GALDEAN JESUS OMAR'!T$38:T$40)</f>
        <v>0</v>
      </c>
      <c r="D22" s="189">
        <f>+SUMIF('LIRA TRISTAN JOSE ANGEL'!P$36:P$38,'KM POR UNIDAD'!A22,'LIRA TRISTAN JOSE ANGEL'!V$36:V$38)+SUMIF('TORRES GARAY LUIS HUMBERTO'!P$38:P$40,'KM POR UNIDAD'!A22,'TORRES GARAY LUIS HUMBERTO'!V$38:V$40)+SUMIF('CERDA HERNANDEZ JOSE LUIS'!P$35:P$37,'KM POR UNIDAD'!A22,'CERDA HERNANDEZ JOSE LUIS'!V$35:V$37)+SUMIF('RUIZ ALVARADO PEDRO'!P$32:P$34,'KM POR UNIDAD'!A22,'RUIZ ALVARADO PEDRO'!V$32:V$34)+SUMIF('NEVAREZ JUAN MANUEL'!P$37:P$39,'KM POR UNIDAD'!A22,'NEVAREZ JUAN MANUEL'!V$37:V$39)+SUMIF('CHAVEZ VARELA NESTOR ADRIAN'!P$35:P$37,'KM POR UNIDAD'!A22,'CHAVEZ VARELA NESTOR ADRIAN'!V$35:V$37)+SUMIF('PAYAN ESTRADA JOSE ANGEL'!P$37:P$39,'KM POR UNIDAD'!A22,'PAYAN ESTRADA JOSE ANGEL'!V$37:V$39)+SUMIF('RUIZ HERRERA ERICK '!P$33:P$35,'KM POR UNIDAD'!A22,'RUIZ HERRERA ERICK '!V$33:V$35)+SUMIF('GONZALEZ LOZANO ENRIQUE '!P$38:P$40,'KM POR UNIDAD'!A22,'GONZALEZ LOZANO ENRIQUE '!V$38:V$40)+SUMIF('GONZALEZ MARTINEZ MAURICIO'!P$38:P$40,'KM POR UNIDAD'!A22,'GONZALEZ MARTINEZ MAURICIO'!V$38:V$40)+SUMIF('GONZALEZ SOTO JOEL'!P$39:P$41,'KM POR UNIDAD'!A22,'GONZALEZ SOTO JOEL'!V$39:V$41)+SUMIF('MARTA RUBIO MARTIN'!P$39:P$41,'KM POR UNIDAD'!A22,'MARTA RUBIO MARTIN'!V$39:V$41)+SUMIF('GRIJALVA VALDEZ CESAR EUSEBIO'!P$35:P$37,'KM POR UNIDAD'!A22,'GRIJALVA VALDEZ CESAR EUSEBIO'!V$35:V$37)+SUMIF('PACHECO BAÑUELOS ALFONSO'!P$39:P$41,'KM POR UNIDAD'!A22,'PACHECO BAÑUELOS ALFONSO'!V$39:V$41)+SUMIF('RODRIGUEZ VALLES JOSE FRANCISCO'!P$40:P$42,'KM POR UNIDAD'!A22,'RODRIGUEZ VALLES JOSE FRANCISCO'!V$40:V$42)+SUMIF('SANCHEZ GUERRERO JOSE LUIS'!P$40:P$42,A22,'SANCHEZ GUERRERO JOSE LUIS'!V$40:V$42)+SUMIF('RUEDA SALAZAR ISMAEL'!P$35:P$37,'KM POR UNIDAD'!A22,'RUEDA SALAZAR ISMAEL'!V$35:V$37)+SUMIF('GUZMAN MORALES'!P$40:P$42,'KM POR UNIDAD'!A22,'GUZMAN MORALES'!V$40:V$42)+SUMIF('RODRIGUEZ RAMIREZ FERNANDO'!P$35:P$37,'KM POR UNIDAD'!A22,'RODRIGUEZ RAMIREZ FERNANDO'!V$35:V$37)+SUMIF('ESTRADA ARELLANO ARTURO'!P$40:P$42,'KM POR UNIDAD'!A22,'ESTRADA ARELLANO ARTURO'!V$40:V$42)+SUMIF('HERNANDEZ CONTRERAS JOSE FERNAN'!P$37:P$39,'KM POR UNIDAD'!A22,'HERNANDEZ CONTRERAS JOSE FERNAN'!V$38:V$40)+SUMIF('SALAZAR PEREZ JUAN CARLOS'!P$38:P$40,'KM POR UNIDAD'!A22,'SALAZAR PEREZ JUAN CARLOS'!V$38:V$40)+SUMIF('HARO IMPERIAL JOSÉ ANTONIO'!P$41:P$43,'KM POR UNIDAD'!A22,'HARO IMPERIAL JOSÉ ANTONIO'!V$41:V$43)+SUMIF('ESCARCEGA GALDEAN JESUS OMAR'!P$38:P$40,'KM POR UNIDAD'!A22,'ESCARCEGA GALDEAN JESUS OMAR'!V$38:V$40)</f>
        <v>0</v>
      </c>
      <c r="E22" s="167">
        <f t="shared" si="1"/>
        <v>0</v>
      </c>
      <c r="F22" s="168">
        <v>0</v>
      </c>
      <c r="G22" s="168">
        <v>0</v>
      </c>
      <c r="H22" s="168">
        <v>0</v>
      </c>
      <c r="I22" s="169">
        <f t="shared" si="0"/>
        <v>0</v>
      </c>
      <c r="J22" s="170"/>
      <c r="K22" s="171"/>
    </row>
    <row r="23" spans="1:11" x14ac:dyDescent="0.25">
      <c r="A23" s="165" t="s">
        <v>63</v>
      </c>
      <c r="B23" s="166">
        <f>SUMIF('LIRA TRISTAN JOSE ANGEL'!P$36:P$38,'KM POR UNIDAD'!A23,'LIRA TRISTAN JOSE ANGEL'!U$36:U$38)+SUMIF('TORRES GARAY LUIS HUMBERTO'!P$38:P$40,'KM POR UNIDAD'!A23,'TORRES GARAY LUIS HUMBERTO'!U$38:U$40)+SUMIF('CERDA HERNANDEZ JOSE LUIS'!P$35:P$37,'KM POR UNIDAD'!A23,'CERDA HERNANDEZ JOSE LUIS'!U$35:U$37)+SUMIF('RUIZ ALVARADO PEDRO'!P$32:P$34,'KM POR UNIDAD'!A23,'RUIZ ALVARADO PEDRO'!U$32:U$34)+SUMIF('NEVAREZ JUAN MANUEL'!P$37:P$39,'KM POR UNIDAD'!A23,'NEVAREZ JUAN MANUEL'!U$37:U$39)+SUMIF('CHAVEZ VARELA NESTOR ADRIAN'!P$35:P$37,'KM POR UNIDAD'!A23,'CHAVEZ VARELA NESTOR ADRIAN'!U$35:U$37)+SUMIF('PAYAN ESTRADA JOSE ANGEL'!P$37:P$39,'KM POR UNIDAD'!A23,'PAYAN ESTRADA JOSE ANGEL'!U$37:U$39)+SUMIF('RUIZ HERRERA ERICK '!P$33:P$35,'KM POR UNIDAD'!A23,'RUIZ HERRERA ERICK '!U$33:U$35)+SUMIF('GONZALEZ LOZANO ENRIQUE '!P$38:P$40,'KM POR UNIDAD'!A23,'GONZALEZ LOZANO ENRIQUE '!U$38:U$40)+SUMIF('GONZALEZ MARTINEZ MAURICIO'!P$38:P$40,'KM POR UNIDAD'!A23,'GONZALEZ MARTINEZ MAURICIO'!U$38:U$40)+SUMIF('GONZALEZ SOTO JOEL'!P$39:P$41,'KM POR UNIDAD'!A23,'GONZALEZ SOTO JOEL'!U$39:U$41)+SUMIF('MARTA RUBIO MARTIN'!P$39:P$41,'KM POR UNIDAD'!A23,'MARTA RUBIO MARTIN'!U$39:U$41)+SUMIF('GRIJALVA VALDEZ CESAR EUSEBIO'!P$35:P$37,'KM POR UNIDAD'!A23,'GRIJALVA VALDEZ CESAR EUSEBIO'!U$35:U$37)+SUMIF('PACHECO BAÑUELOS ALFONSO'!P$39:P$41,'KM POR UNIDAD'!A23,'PACHECO BAÑUELOS ALFONSO'!U$39:U$41)+SUMIF('RODRIGUEZ VALLES JOSE FRANCISCO'!P$40:P$42,'KM POR UNIDAD'!A23,'RODRIGUEZ VALLES JOSE FRANCISCO'!U$40:U$42)+SUMIF('SANCHEZ GUERRERO JOSE LUIS'!P$40:P$42,A23,'SANCHEZ GUERRERO JOSE LUIS'!U$40:U$42)+SUMIF('RUEDA SALAZAR ISMAEL'!P$35:P$37,'KM POR UNIDAD'!A23,'RUEDA SALAZAR ISMAEL'!U$35:U$37)+SUMIF('GUZMAN MORALES'!P$40:P$42,'KM POR UNIDAD'!A23,'GUZMAN MORALES'!U$40:U$42)+SUMIF('RODRIGUEZ RAMIREZ FERNANDO'!P$35:P$37,'KM POR UNIDAD'!A23,'RODRIGUEZ RAMIREZ FERNANDO'!U$35:U$37)+SUMIF('ESTRADA ARELLANO ARTURO'!P$40:P$42,'KM POR UNIDAD'!A23,'ESTRADA ARELLANO ARTURO'!U$40:U$42)+SUMIF('HERNANDEZ CONTRERAS JOSE FERNAN'!P$37:P$39,'KM POR UNIDAD'!A23,'HERNANDEZ CONTRERAS JOSE FERNAN'!U$37:U$39)+SUMIF('SALAZAR PEREZ JUAN CARLOS'!P$38:P$40,'KM POR UNIDAD'!A23,'SALAZAR PEREZ JUAN CARLOS'!U$38:U$40)+SUMIF('HARO IMPERIAL JOSÉ ANTONIO'!P$41:P$43,'KM POR UNIDAD'!A23,'HARO IMPERIAL JOSÉ ANTONIO'!U$41:$U63)+SUMIF('ESCARCEGA GALDEAN JESUS OMAR'!P$38:P$40,'KM POR UNIDAD'!A23,'ESCARCEGA GALDEAN JESUS OMAR'!U$38:U$40)</f>
        <v>0</v>
      </c>
      <c r="C23" s="166">
        <f>+SUMIF('LIRA TRISTAN JOSE ANGEL'!P$36:P$38,'KM POR UNIDAD'!A23,'LIRA TRISTAN JOSE ANGEL'!T$36:T$38)+SUMIF('TORRES GARAY LUIS HUMBERTO'!P$38:P$40,'KM POR UNIDAD'!A23,'TORRES GARAY LUIS HUMBERTO'!T$38:T$40)+SUMIF('CERDA HERNANDEZ JOSE LUIS'!P$35:P$37,'KM POR UNIDAD'!A23,'CERDA HERNANDEZ JOSE LUIS'!T$35:T$37)+SUMIF('RUIZ ALVARADO PEDRO'!P$32:P$34,'KM POR UNIDAD'!A23,'RUIZ ALVARADO PEDRO'!T$32:T$34)+SUMIF('NEVAREZ JUAN MANUEL'!P$37:P$39,'KM POR UNIDAD'!A23,'NEVAREZ JUAN MANUEL'!T$37:T$39)+SUMIF('CHAVEZ VARELA NESTOR ADRIAN'!P$35:P$37,'KM POR UNIDAD'!A23,'CHAVEZ VARELA NESTOR ADRIAN'!T$35:T$37)+SUMIF('PAYAN ESTRADA JOSE ANGEL'!P$37:P$39,'KM POR UNIDAD'!A23,'PAYAN ESTRADA JOSE ANGEL'!T$37:T$39)+SUMIF('RUIZ HERRERA ERICK '!P$33:P$35,'KM POR UNIDAD'!A23,'RUIZ HERRERA ERICK '!T$33:T$35)+SUMIF('GONZALEZ LOZANO ENRIQUE '!P$38:P$40,'KM POR UNIDAD'!A23,'GONZALEZ LOZANO ENRIQUE '!T$38:T$40)+SUMIF('GONZALEZ MARTINEZ MAURICIO'!P$38:P$40,'KM POR UNIDAD'!A23,'GONZALEZ MARTINEZ MAURICIO'!T$38:T$40)+SUMIF('GONZALEZ SOTO JOEL'!P$39:P$41,'KM POR UNIDAD'!A23,'GONZALEZ SOTO JOEL'!T$39:T$41)+SUMIF('MARTA RUBIO MARTIN'!P$39:P$41,'KM POR UNIDAD'!A23,'MARTA RUBIO MARTIN'!T$39:T$41)+SUMIF('GRIJALVA VALDEZ CESAR EUSEBIO'!P$35:P$37,'KM POR UNIDAD'!A23,'GRIJALVA VALDEZ CESAR EUSEBIO'!T$35:T$37)+SUMIF('PACHECO BAÑUELOS ALFONSO'!P$39:P$41,'KM POR UNIDAD'!A23,'PACHECO BAÑUELOS ALFONSO'!T$39:T$41)+SUMIF('RODRIGUEZ VALLES JOSE FRANCISCO'!P$40:P$42,'KM POR UNIDAD'!A23,'RODRIGUEZ VALLES JOSE FRANCISCO'!T$40:T$42)+SUMIF('SANCHEZ GUERRERO JOSE LUIS'!P$40:P$42,A23,'SANCHEZ GUERRERO JOSE LUIS'!T$40:T$42)+SUMIF('RUEDA SALAZAR ISMAEL'!P$35:P$37,'KM POR UNIDAD'!A23,'RUEDA SALAZAR ISMAEL'!T$35:T$37)+SUMIF('GUZMAN MORALES'!P$40:P$42,'KM POR UNIDAD'!A23,'GUZMAN MORALES'!T$40:T$42)+SUMIF('RODRIGUEZ RAMIREZ FERNANDO'!P$35:P$37,'KM POR UNIDAD'!A23,'RODRIGUEZ RAMIREZ FERNANDO'!T$35:T$37)+SUMIF('ESTRADA ARELLANO ARTURO'!P$40:P$42,'KM POR UNIDAD'!A23,'ESTRADA ARELLANO ARTURO'!T$40:T$42)+SUMIF('HERNANDEZ CONTRERAS JOSE FERNAN'!P$37:P$39,'KM POR UNIDAD'!A23,'HERNANDEZ CONTRERAS JOSE FERNAN'!T$37:T$39)+SUMIF('SALAZAR PEREZ JUAN CARLOS'!P$38:P$40,'KM POR UNIDAD'!A23,'SALAZAR PEREZ JUAN CARLOS'!T$38:T$40)+SUMIF('HARO IMPERIAL JOSÉ ANTONIO'!P$41:P$43,'KM POR UNIDAD'!A23,'HARO IMPERIAL JOSÉ ANTONIO'!T$41:T$43)+SUMIF('ESCARCEGA GALDEAN JESUS OMAR'!P$38:P$40,'KM POR UNIDAD'!A23,'ESCARCEGA GALDEAN JESUS OMAR'!T$38:T$40)</f>
        <v>0</v>
      </c>
      <c r="D23" s="189">
        <f>+SUMIF('LIRA TRISTAN JOSE ANGEL'!P$36:P$38,'KM POR UNIDAD'!A23,'LIRA TRISTAN JOSE ANGEL'!V$36:V$38)+SUMIF('TORRES GARAY LUIS HUMBERTO'!P$38:P$40,'KM POR UNIDAD'!A23,'TORRES GARAY LUIS HUMBERTO'!V$38:V$40)+SUMIF('CERDA HERNANDEZ JOSE LUIS'!P$35:P$37,'KM POR UNIDAD'!A23,'CERDA HERNANDEZ JOSE LUIS'!V$35:V$37)+SUMIF('RUIZ ALVARADO PEDRO'!P$32:P$34,'KM POR UNIDAD'!A23,'RUIZ ALVARADO PEDRO'!V$32:V$34)+SUMIF('NEVAREZ JUAN MANUEL'!P$37:P$39,'KM POR UNIDAD'!A23,'NEVAREZ JUAN MANUEL'!V$37:V$39)+SUMIF('CHAVEZ VARELA NESTOR ADRIAN'!P$35:P$37,'KM POR UNIDAD'!A23,'CHAVEZ VARELA NESTOR ADRIAN'!V$35:V$37)+SUMIF('PAYAN ESTRADA JOSE ANGEL'!P$37:P$39,'KM POR UNIDAD'!A23,'PAYAN ESTRADA JOSE ANGEL'!V$37:V$39)+SUMIF('RUIZ HERRERA ERICK '!P$33:P$35,'KM POR UNIDAD'!A23,'RUIZ HERRERA ERICK '!V$33:V$35)+SUMIF('GONZALEZ LOZANO ENRIQUE '!P$38:P$40,'KM POR UNIDAD'!A23,'GONZALEZ LOZANO ENRIQUE '!V$38:V$40)+SUMIF('GONZALEZ MARTINEZ MAURICIO'!P$38:P$40,'KM POR UNIDAD'!A23,'GONZALEZ MARTINEZ MAURICIO'!V$38:V$40)+SUMIF('GONZALEZ SOTO JOEL'!P$39:P$41,'KM POR UNIDAD'!A23,'GONZALEZ SOTO JOEL'!V$39:V$41)+SUMIF('MARTA RUBIO MARTIN'!P$39:P$41,'KM POR UNIDAD'!A23,'MARTA RUBIO MARTIN'!V$39:V$41)+SUMIF('GRIJALVA VALDEZ CESAR EUSEBIO'!P$35:P$37,'KM POR UNIDAD'!A23,'GRIJALVA VALDEZ CESAR EUSEBIO'!V$35:V$37)+SUMIF('PACHECO BAÑUELOS ALFONSO'!P$39:P$41,'KM POR UNIDAD'!A23,'PACHECO BAÑUELOS ALFONSO'!V$39:V$41)+SUMIF('RODRIGUEZ VALLES JOSE FRANCISCO'!P$40:P$42,'KM POR UNIDAD'!A23,'RODRIGUEZ VALLES JOSE FRANCISCO'!V$40:V$42)+SUMIF('SANCHEZ GUERRERO JOSE LUIS'!P$40:P$42,A23,'SANCHEZ GUERRERO JOSE LUIS'!V$40:V$42)+SUMIF('RUEDA SALAZAR ISMAEL'!P$35:P$37,'KM POR UNIDAD'!A23,'RUEDA SALAZAR ISMAEL'!V$35:V$37)+SUMIF('GUZMAN MORALES'!P$40:P$42,'KM POR UNIDAD'!A23,'GUZMAN MORALES'!V$40:V$42)+SUMIF('RODRIGUEZ RAMIREZ FERNANDO'!P$35:P$37,'KM POR UNIDAD'!A23,'RODRIGUEZ RAMIREZ FERNANDO'!V$35:V$37)+SUMIF('ESTRADA ARELLANO ARTURO'!P$40:P$42,'KM POR UNIDAD'!A23,'ESTRADA ARELLANO ARTURO'!V$40:V$42)+SUMIF('HERNANDEZ CONTRERAS JOSE FERNAN'!P$37:P$39,'KM POR UNIDAD'!A23,'HERNANDEZ CONTRERAS JOSE FERNAN'!V$38:V$40)+SUMIF('SALAZAR PEREZ JUAN CARLOS'!P$38:P$40,'KM POR UNIDAD'!A23,'SALAZAR PEREZ JUAN CARLOS'!V$38:V$40)+SUMIF('HARO IMPERIAL JOSÉ ANTONIO'!P$41:P$43,'KM POR UNIDAD'!A23,'HARO IMPERIAL JOSÉ ANTONIO'!V$41:V$43)+SUMIF('ESCARCEGA GALDEAN JESUS OMAR'!P$38:P$40,'KM POR UNIDAD'!A23,'ESCARCEGA GALDEAN JESUS OMAR'!V$38:V$40)</f>
        <v>0</v>
      </c>
      <c r="E23" s="167">
        <f t="shared" si="1"/>
        <v>0</v>
      </c>
      <c r="F23" s="168">
        <v>0</v>
      </c>
      <c r="G23" s="168">
        <v>0</v>
      </c>
      <c r="H23" s="168">
        <v>0</v>
      </c>
      <c r="I23" s="169">
        <f t="shared" si="0"/>
        <v>0</v>
      </c>
      <c r="J23" s="170"/>
      <c r="K23" s="171"/>
    </row>
    <row r="24" spans="1:11" x14ac:dyDescent="0.25">
      <c r="A24" s="165" t="s">
        <v>68</v>
      </c>
      <c r="B24" s="166">
        <f>SUMIF('LIRA TRISTAN JOSE ANGEL'!P$36:P$38,'KM POR UNIDAD'!A24,'LIRA TRISTAN JOSE ANGEL'!U$36:U$38)+SUMIF('TORRES GARAY LUIS HUMBERTO'!P$38:P$40,'KM POR UNIDAD'!A24,'TORRES GARAY LUIS HUMBERTO'!U$38:U$40)+SUMIF('CERDA HERNANDEZ JOSE LUIS'!P$35:P$37,'KM POR UNIDAD'!A24,'CERDA HERNANDEZ JOSE LUIS'!U$35:U$37)+SUMIF('RUIZ ALVARADO PEDRO'!P$32:P$34,'KM POR UNIDAD'!A24,'RUIZ ALVARADO PEDRO'!U$32:U$34)+SUMIF('NEVAREZ JUAN MANUEL'!P$37:P$39,'KM POR UNIDAD'!A24,'NEVAREZ JUAN MANUEL'!U$37:U$39)+SUMIF('CHAVEZ VARELA NESTOR ADRIAN'!P$35:P$37,'KM POR UNIDAD'!A24,'CHAVEZ VARELA NESTOR ADRIAN'!U$35:U$37)+SUMIF('PAYAN ESTRADA JOSE ANGEL'!P$37:P$39,'KM POR UNIDAD'!A24,'PAYAN ESTRADA JOSE ANGEL'!U$37:U$39)+SUMIF('RUIZ HERRERA ERICK '!P$33:P$35,'KM POR UNIDAD'!A24,'RUIZ HERRERA ERICK '!U$33:U$35)+SUMIF('GONZALEZ LOZANO ENRIQUE '!P$38:P$40,'KM POR UNIDAD'!A24,'GONZALEZ LOZANO ENRIQUE '!U$38:U$40)+SUMIF('GONZALEZ MARTINEZ MAURICIO'!P$38:P$40,'KM POR UNIDAD'!A24,'GONZALEZ MARTINEZ MAURICIO'!U$38:U$40)+SUMIF('GONZALEZ SOTO JOEL'!P$39:P$41,'KM POR UNIDAD'!A24,'GONZALEZ SOTO JOEL'!U$39:U$41)+SUMIF('MARTA RUBIO MARTIN'!P$39:P$41,'KM POR UNIDAD'!A24,'MARTA RUBIO MARTIN'!U$39:U$41)+SUMIF('GRIJALVA VALDEZ CESAR EUSEBIO'!P$35:P$37,'KM POR UNIDAD'!A24,'GRIJALVA VALDEZ CESAR EUSEBIO'!U$35:U$37)+SUMIF('PACHECO BAÑUELOS ALFONSO'!P$39:P$41,'KM POR UNIDAD'!A24,'PACHECO BAÑUELOS ALFONSO'!U$39:U$41)+SUMIF('RODRIGUEZ VALLES JOSE FRANCISCO'!P$40:P$42,'KM POR UNIDAD'!A24,'RODRIGUEZ VALLES JOSE FRANCISCO'!U$40:U$42)+SUMIF('SANCHEZ GUERRERO JOSE LUIS'!P$40:P$42,A24,'SANCHEZ GUERRERO JOSE LUIS'!U$40:U$42)+SUMIF('RUEDA SALAZAR ISMAEL'!P$35:P$37,'KM POR UNIDAD'!A24,'RUEDA SALAZAR ISMAEL'!U$35:U$37)+SUMIF('GUZMAN MORALES'!P$40:P$42,'KM POR UNIDAD'!A24,'GUZMAN MORALES'!U$40:U$42)+SUMIF('RODRIGUEZ RAMIREZ FERNANDO'!P$35:P$37,'KM POR UNIDAD'!A24,'RODRIGUEZ RAMIREZ FERNANDO'!U$35:U$37)+SUMIF('ESTRADA ARELLANO ARTURO'!P$40:P$42,'KM POR UNIDAD'!A24,'ESTRADA ARELLANO ARTURO'!U$40:U$42)+SUMIF('HERNANDEZ CONTRERAS JOSE FERNAN'!P$37:P$39,'KM POR UNIDAD'!A24,'HERNANDEZ CONTRERAS JOSE FERNAN'!U$37:U$39)+SUMIF('SALAZAR PEREZ JUAN CARLOS'!P$38:P$40,'KM POR UNIDAD'!A24,'SALAZAR PEREZ JUAN CARLOS'!U$38:U$40)+SUMIF('HARO IMPERIAL JOSÉ ANTONIO'!P$41:P$43,'KM POR UNIDAD'!A24,'HARO IMPERIAL JOSÉ ANTONIO'!U$41:$U64)+SUMIF('ESCARCEGA GALDEAN JESUS OMAR'!P$38:P$40,'KM POR UNIDAD'!A24,'ESCARCEGA GALDEAN JESUS OMAR'!U$38:U$40)</f>
        <v>0</v>
      </c>
      <c r="C24" s="166">
        <f>+SUMIF('LIRA TRISTAN JOSE ANGEL'!P$36:P$38,'KM POR UNIDAD'!A24,'LIRA TRISTAN JOSE ANGEL'!T$36:T$38)+SUMIF('TORRES GARAY LUIS HUMBERTO'!P$38:P$40,'KM POR UNIDAD'!A24,'TORRES GARAY LUIS HUMBERTO'!T$38:T$40)+SUMIF('CERDA HERNANDEZ JOSE LUIS'!P$35:P$37,'KM POR UNIDAD'!A24,'CERDA HERNANDEZ JOSE LUIS'!T$35:T$37)+SUMIF('RUIZ ALVARADO PEDRO'!P$32:P$34,'KM POR UNIDAD'!A24,'RUIZ ALVARADO PEDRO'!T$32:T$34)+SUMIF('NEVAREZ JUAN MANUEL'!P$37:P$39,'KM POR UNIDAD'!A24,'NEVAREZ JUAN MANUEL'!T$37:T$39)+SUMIF('CHAVEZ VARELA NESTOR ADRIAN'!P$35:P$37,'KM POR UNIDAD'!A24,'CHAVEZ VARELA NESTOR ADRIAN'!T$35:T$37)+SUMIF('PAYAN ESTRADA JOSE ANGEL'!P$37:P$39,'KM POR UNIDAD'!A24,'PAYAN ESTRADA JOSE ANGEL'!T$37:T$39)+SUMIF('RUIZ HERRERA ERICK '!P$33:P$35,'KM POR UNIDAD'!A24,'RUIZ HERRERA ERICK '!T$33:T$35)+SUMIF('GONZALEZ LOZANO ENRIQUE '!P$38:P$40,'KM POR UNIDAD'!A24,'GONZALEZ LOZANO ENRIQUE '!T$38:T$40)+SUMIF('GONZALEZ MARTINEZ MAURICIO'!P$38:P$40,'KM POR UNIDAD'!A24,'GONZALEZ MARTINEZ MAURICIO'!T$38:T$40)+SUMIF('GONZALEZ SOTO JOEL'!P$39:P$41,'KM POR UNIDAD'!A24,'GONZALEZ SOTO JOEL'!T$39:T$41)+SUMIF('MARTA RUBIO MARTIN'!P$39:P$41,'KM POR UNIDAD'!A24,'MARTA RUBIO MARTIN'!T$39:T$41)+SUMIF('GRIJALVA VALDEZ CESAR EUSEBIO'!P$35:P$37,'KM POR UNIDAD'!A24,'GRIJALVA VALDEZ CESAR EUSEBIO'!T$35:T$37)+SUMIF('PACHECO BAÑUELOS ALFONSO'!P$39:P$41,'KM POR UNIDAD'!A24,'PACHECO BAÑUELOS ALFONSO'!T$39:T$41)+SUMIF('RODRIGUEZ VALLES JOSE FRANCISCO'!P$40:P$42,'KM POR UNIDAD'!A24,'RODRIGUEZ VALLES JOSE FRANCISCO'!T$40:T$42)+SUMIF('SANCHEZ GUERRERO JOSE LUIS'!P$40:P$42,A24,'SANCHEZ GUERRERO JOSE LUIS'!T$40:T$42)+SUMIF('RUEDA SALAZAR ISMAEL'!P$35:P$37,'KM POR UNIDAD'!A24,'RUEDA SALAZAR ISMAEL'!T$35:T$37)+SUMIF('GUZMAN MORALES'!P$40:P$42,'KM POR UNIDAD'!A24,'GUZMAN MORALES'!T$40:T$42)+SUMIF('RODRIGUEZ RAMIREZ FERNANDO'!P$35:P$37,'KM POR UNIDAD'!A24,'RODRIGUEZ RAMIREZ FERNANDO'!T$35:T$37)+SUMIF('ESTRADA ARELLANO ARTURO'!P$40:P$42,'KM POR UNIDAD'!A24,'ESTRADA ARELLANO ARTURO'!T$40:T$42)+SUMIF('HERNANDEZ CONTRERAS JOSE FERNAN'!P$37:P$39,'KM POR UNIDAD'!A24,'HERNANDEZ CONTRERAS JOSE FERNAN'!T$37:T$39)+SUMIF('SALAZAR PEREZ JUAN CARLOS'!P$38:P$40,'KM POR UNIDAD'!A24,'SALAZAR PEREZ JUAN CARLOS'!T$38:T$40)+SUMIF('HARO IMPERIAL JOSÉ ANTONIO'!P$41:P$43,'KM POR UNIDAD'!A24,'HARO IMPERIAL JOSÉ ANTONIO'!T$41:T$43)+SUMIF('ESCARCEGA GALDEAN JESUS OMAR'!P$38:P$40,'KM POR UNIDAD'!A24,'ESCARCEGA GALDEAN JESUS OMAR'!T$38:T$40)</f>
        <v>0</v>
      </c>
      <c r="D24" s="189">
        <f>+SUMIF('LIRA TRISTAN JOSE ANGEL'!P$36:P$38,'KM POR UNIDAD'!A24,'LIRA TRISTAN JOSE ANGEL'!V$36:V$38)+SUMIF('TORRES GARAY LUIS HUMBERTO'!P$38:P$40,'KM POR UNIDAD'!A24,'TORRES GARAY LUIS HUMBERTO'!V$38:V$40)+SUMIF('CERDA HERNANDEZ JOSE LUIS'!P$35:P$37,'KM POR UNIDAD'!A24,'CERDA HERNANDEZ JOSE LUIS'!V$35:V$37)+SUMIF('RUIZ ALVARADO PEDRO'!P$32:P$34,'KM POR UNIDAD'!A24,'RUIZ ALVARADO PEDRO'!V$32:V$34)+SUMIF('NEVAREZ JUAN MANUEL'!P$37:P$39,'KM POR UNIDAD'!A24,'NEVAREZ JUAN MANUEL'!V$37:V$39)+SUMIF('CHAVEZ VARELA NESTOR ADRIAN'!P$35:P$37,'KM POR UNIDAD'!A24,'CHAVEZ VARELA NESTOR ADRIAN'!V$35:V$37)+SUMIF('PAYAN ESTRADA JOSE ANGEL'!P$37:P$39,'KM POR UNIDAD'!A24,'PAYAN ESTRADA JOSE ANGEL'!V$37:V$39)+SUMIF('RUIZ HERRERA ERICK '!P$33:P$35,'KM POR UNIDAD'!A24,'RUIZ HERRERA ERICK '!V$33:V$35)+SUMIF('GONZALEZ LOZANO ENRIQUE '!P$38:P$40,'KM POR UNIDAD'!A24,'GONZALEZ LOZANO ENRIQUE '!V$38:V$40)+SUMIF('GONZALEZ MARTINEZ MAURICIO'!P$38:P$40,'KM POR UNIDAD'!A24,'GONZALEZ MARTINEZ MAURICIO'!V$38:V$40)+SUMIF('GONZALEZ SOTO JOEL'!P$39:P$41,'KM POR UNIDAD'!A24,'GONZALEZ SOTO JOEL'!V$39:V$41)+SUMIF('MARTA RUBIO MARTIN'!P$39:P$41,'KM POR UNIDAD'!A24,'MARTA RUBIO MARTIN'!V$39:V$41)+SUMIF('GRIJALVA VALDEZ CESAR EUSEBIO'!P$35:P$37,'KM POR UNIDAD'!A24,'GRIJALVA VALDEZ CESAR EUSEBIO'!V$35:V$37)+SUMIF('PACHECO BAÑUELOS ALFONSO'!P$39:P$41,'KM POR UNIDAD'!A24,'PACHECO BAÑUELOS ALFONSO'!V$39:V$41)+SUMIF('RODRIGUEZ VALLES JOSE FRANCISCO'!P$40:P$42,'KM POR UNIDAD'!A24,'RODRIGUEZ VALLES JOSE FRANCISCO'!V$40:V$42)+SUMIF('SANCHEZ GUERRERO JOSE LUIS'!P$40:P$42,A24,'SANCHEZ GUERRERO JOSE LUIS'!V$40:V$42)+SUMIF('RUEDA SALAZAR ISMAEL'!P$35:P$37,'KM POR UNIDAD'!A24,'RUEDA SALAZAR ISMAEL'!V$35:V$37)+SUMIF('GUZMAN MORALES'!P$40:P$42,'KM POR UNIDAD'!A24,'GUZMAN MORALES'!V$40:V$42)+SUMIF('RODRIGUEZ RAMIREZ FERNANDO'!P$35:P$37,'KM POR UNIDAD'!A24,'RODRIGUEZ RAMIREZ FERNANDO'!V$35:V$37)+SUMIF('ESTRADA ARELLANO ARTURO'!P$40:P$42,'KM POR UNIDAD'!A24,'ESTRADA ARELLANO ARTURO'!V$40:V$42)+SUMIF('HERNANDEZ CONTRERAS JOSE FERNAN'!P$37:P$39,'KM POR UNIDAD'!A24,'HERNANDEZ CONTRERAS JOSE FERNAN'!V$38:V$40)+SUMIF('SALAZAR PEREZ JUAN CARLOS'!P$38:P$40,'KM POR UNIDAD'!A24,'SALAZAR PEREZ JUAN CARLOS'!V$38:V$40)+SUMIF('HARO IMPERIAL JOSÉ ANTONIO'!P$41:P$43,'KM POR UNIDAD'!A24,'HARO IMPERIAL JOSÉ ANTONIO'!V$41:V$43)+SUMIF('ESCARCEGA GALDEAN JESUS OMAR'!P$38:P$40,'KM POR UNIDAD'!A24,'ESCARCEGA GALDEAN JESUS OMAR'!V$38:V$40)</f>
        <v>0</v>
      </c>
      <c r="E24" s="167">
        <f t="shared" si="1"/>
        <v>0</v>
      </c>
      <c r="F24" s="168">
        <v>0</v>
      </c>
      <c r="G24" s="168">
        <v>0</v>
      </c>
      <c r="H24" s="168">
        <v>0</v>
      </c>
      <c r="I24" s="169">
        <f t="shared" si="0"/>
        <v>0</v>
      </c>
      <c r="J24" s="170"/>
      <c r="K24" s="171"/>
    </row>
    <row r="25" spans="1:11" x14ac:dyDescent="0.25">
      <c r="A25" s="165" t="s">
        <v>55</v>
      </c>
      <c r="B25" s="166">
        <f>SUMIF('LIRA TRISTAN JOSE ANGEL'!P$36:P$38,'KM POR UNIDAD'!A25,'LIRA TRISTAN JOSE ANGEL'!U$36:U$38)+SUMIF('TORRES GARAY LUIS HUMBERTO'!P$38:P$40,'KM POR UNIDAD'!A25,'TORRES GARAY LUIS HUMBERTO'!U$38:U$40)+SUMIF('CERDA HERNANDEZ JOSE LUIS'!P$35:P$37,'KM POR UNIDAD'!A25,'CERDA HERNANDEZ JOSE LUIS'!U$35:U$37)+SUMIF('RUIZ ALVARADO PEDRO'!P$32:P$34,'KM POR UNIDAD'!A25,'RUIZ ALVARADO PEDRO'!U$32:U$34)+SUMIF('NEVAREZ JUAN MANUEL'!P$37:P$39,'KM POR UNIDAD'!A25,'NEVAREZ JUAN MANUEL'!U$37:U$39)+SUMIF('CHAVEZ VARELA NESTOR ADRIAN'!P$35:P$37,'KM POR UNIDAD'!A25,'CHAVEZ VARELA NESTOR ADRIAN'!U$35:U$37)+SUMIF('PAYAN ESTRADA JOSE ANGEL'!P$37:P$39,'KM POR UNIDAD'!A25,'PAYAN ESTRADA JOSE ANGEL'!U$37:U$39)+SUMIF('RUIZ HERRERA ERICK '!P$33:P$35,'KM POR UNIDAD'!A25,'RUIZ HERRERA ERICK '!U$33:U$35)+SUMIF('GONZALEZ LOZANO ENRIQUE '!P$38:P$40,'KM POR UNIDAD'!A25,'GONZALEZ LOZANO ENRIQUE '!U$38:U$40)+SUMIF('GONZALEZ MARTINEZ MAURICIO'!P$38:P$40,'KM POR UNIDAD'!A25,'GONZALEZ MARTINEZ MAURICIO'!U$38:U$40)+SUMIF('GONZALEZ SOTO JOEL'!P$39:P$41,'KM POR UNIDAD'!A25,'GONZALEZ SOTO JOEL'!U$39:U$41)+SUMIF('MARTA RUBIO MARTIN'!P$39:P$41,'KM POR UNIDAD'!A25,'MARTA RUBIO MARTIN'!U$39:U$41)+SUMIF('GRIJALVA VALDEZ CESAR EUSEBIO'!P$35:P$37,'KM POR UNIDAD'!A25,'GRIJALVA VALDEZ CESAR EUSEBIO'!U$35:U$37)+SUMIF('PACHECO BAÑUELOS ALFONSO'!P$39:P$41,'KM POR UNIDAD'!A25,'PACHECO BAÑUELOS ALFONSO'!U$39:U$41)+SUMIF('RODRIGUEZ VALLES JOSE FRANCISCO'!P$40:P$42,'KM POR UNIDAD'!A25,'RODRIGUEZ VALLES JOSE FRANCISCO'!U$40:U$42)+SUMIF('SANCHEZ GUERRERO JOSE LUIS'!P$40:P$42,A25,'SANCHEZ GUERRERO JOSE LUIS'!U$40:U$42)+SUMIF('RUEDA SALAZAR ISMAEL'!P$35:P$37,'KM POR UNIDAD'!A25,'RUEDA SALAZAR ISMAEL'!U$35:U$37)+SUMIF('GUZMAN MORALES'!P$40:P$42,'KM POR UNIDAD'!A25,'GUZMAN MORALES'!U$40:U$42)+SUMIF('RODRIGUEZ RAMIREZ FERNANDO'!P$35:P$37,'KM POR UNIDAD'!A25,'RODRIGUEZ RAMIREZ FERNANDO'!U$35:U$37)+SUMIF('ESTRADA ARELLANO ARTURO'!P$40:P$42,'KM POR UNIDAD'!A25,'ESTRADA ARELLANO ARTURO'!U$40:U$42)+SUMIF('HERNANDEZ CONTRERAS JOSE FERNAN'!P$37:P$39,'KM POR UNIDAD'!A25,'HERNANDEZ CONTRERAS JOSE FERNAN'!U$37:U$39)+SUMIF('SALAZAR PEREZ JUAN CARLOS'!P$38:P$40,'KM POR UNIDAD'!A25,'SALAZAR PEREZ JUAN CARLOS'!U$38:U$40)+SUMIF('HARO IMPERIAL JOSÉ ANTONIO'!P$41:P$43,'KM POR UNIDAD'!A25,'HARO IMPERIAL JOSÉ ANTONIO'!U$41:$U65)+SUMIF('ESCARCEGA GALDEAN JESUS OMAR'!P$38:P$40,'KM POR UNIDAD'!A25,'ESCARCEGA GALDEAN JESUS OMAR'!U$38:U$40)</f>
        <v>0</v>
      </c>
      <c r="C25" s="166">
        <f>+SUMIF('LIRA TRISTAN JOSE ANGEL'!P$36:P$38,'KM POR UNIDAD'!A25,'LIRA TRISTAN JOSE ANGEL'!T$36:T$38)+SUMIF('TORRES GARAY LUIS HUMBERTO'!P$38:P$40,'KM POR UNIDAD'!A25,'TORRES GARAY LUIS HUMBERTO'!T$38:T$40)+SUMIF('CERDA HERNANDEZ JOSE LUIS'!P$35:P$37,'KM POR UNIDAD'!A25,'CERDA HERNANDEZ JOSE LUIS'!T$35:T$37)+SUMIF('RUIZ ALVARADO PEDRO'!P$32:P$34,'KM POR UNIDAD'!A25,'RUIZ ALVARADO PEDRO'!T$32:T$34)+SUMIF('NEVAREZ JUAN MANUEL'!P$37:P$39,'KM POR UNIDAD'!A25,'NEVAREZ JUAN MANUEL'!T$37:T$39)+SUMIF('CHAVEZ VARELA NESTOR ADRIAN'!P$35:P$37,'KM POR UNIDAD'!A25,'CHAVEZ VARELA NESTOR ADRIAN'!T$35:T$37)+SUMIF('PAYAN ESTRADA JOSE ANGEL'!P$37:P$39,'KM POR UNIDAD'!A25,'PAYAN ESTRADA JOSE ANGEL'!T$37:T$39)+SUMIF('RUIZ HERRERA ERICK '!P$33:P$35,'KM POR UNIDAD'!A25,'RUIZ HERRERA ERICK '!T$33:T$35)+SUMIF('GONZALEZ LOZANO ENRIQUE '!P$38:P$40,'KM POR UNIDAD'!A25,'GONZALEZ LOZANO ENRIQUE '!T$38:T$40)+SUMIF('GONZALEZ MARTINEZ MAURICIO'!P$38:P$40,'KM POR UNIDAD'!A25,'GONZALEZ MARTINEZ MAURICIO'!T$38:T$40)+SUMIF('GONZALEZ SOTO JOEL'!P$39:P$41,'KM POR UNIDAD'!A25,'GONZALEZ SOTO JOEL'!T$39:T$41)+SUMIF('MARTA RUBIO MARTIN'!P$39:P$41,'KM POR UNIDAD'!A25,'MARTA RUBIO MARTIN'!T$39:T$41)+SUMIF('GRIJALVA VALDEZ CESAR EUSEBIO'!P$35:P$37,'KM POR UNIDAD'!A25,'GRIJALVA VALDEZ CESAR EUSEBIO'!T$35:T$37)+SUMIF('PACHECO BAÑUELOS ALFONSO'!P$39:P$41,'KM POR UNIDAD'!A25,'PACHECO BAÑUELOS ALFONSO'!T$39:T$41)+SUMIF('RODRIGUEZ VALLES JOSE FRANCISCO'!P$40:P$42,'KM POR UNIDAD'!A25,'RODRIGUEZ VALLES JOSE FRANCISCO'!T$40:T$42)+SUMIF('SANCHEZ GUERRERO JOSE LUIS'!P$40:P$42,A25,'SANCHEZ GUERRERO JOSE LUIS'!T$40:T$42)+SUMIF('RUEDA SALAZAR ISMAEL'!P$35:P$37,'KM POR UNIDAD'!A25,'RUEDA SALAZAR ISMAEL'!T$35:T$37)+SUMIF('GUZMAN MORALES'!P$40:P$42,'KM POR UNIDAD'!A25,'GUZMAN MORALES'!T$40:T$42)+SUMIF('RODRIGUEZ RAMIREZ FERNANDO'!P$35:P$37,'KM POR UNIDAD'!A25,'RODRIGUEZ RAMIREZ FERNANDO'!T$35:T$37)+SUMIF('ESTRADA ARELLANO ARTURO'!P$40:P$42,'KM POR UNIDAD'!A25,'ESTRADA ARELLANO ARTURO'!T$40:T$42)+SUMIF('HERNANDEZ CONTRERAS JOSE FERNAN'!P$37:P$39,'KM POR UNIDAD'!A25,'HERNANDEZ CONTRERAS JOSE FERNAN'!T$37:T$39)+SUMIF('SALAZAR PEREZ JUAN CARLOS'!P$38:P$40,'KM POR UNIDAD'!A25,'SALAZAR PEREZ JUAN CARLOS'!T$38:T$40)+SUMIF('HARO IMPERIAL JOSÉ ANTONIO'!P$41:P$43,'KM POR UNIDAD'!A25,'HARO IMPERIAL JOSÉ ANTONIO'!T$41:T$43)+SUMIF('ESCARCEGA GALDEAN JESUS OMAR'!P$38:P$40,'KM POR UNIDAD'!A25,'ESCARCEGA GALDEAN JESUS OMAR'!T$38:T$40)</f>
        <v>0</v>
      </c>
      <c r="D25" s="189">
        <f>+SUMIF('LIRA TRISTAN JOSE ANGEL'!P$36:P$38,'KM POR UNIDAD'!A25,'LIRA TRISTAN JOSE ANGEL'!V$36:V$38)+SUMIF('TORRES GARAY LUIS HUMBERTO'!P$38:P$40,'KM POR UNIDAD'!A25,'TORRES GARAY LUIS HUMBERTO'!V$38:V$40)+SUMIF('CERDA HERNANDEZ JOSE LUIS'!P$35:P$37,'KM POR UNIDAD'!A25,'CERDA HERNANDEZ JOSE LUIS'!V$35:V$37)+SUMIF('RUIZ ALVARADO PEDRO'!P$32:P$34,'KM POR UNIDAD'!A25,'RUIZ ALVARADO PEDRO'!V$32:V$34)+SUMIF('NEVAREZ JUAN MANUEL'!P$37:P$39,'KM POR UNIDAD'!A25,'NEVAREZ JUAN MANUEL'!V$37:V$39)+SUMIF('CHAVEZ VARELA NESTOR ADRIAN'!P$35:P$37,'KM POR UNIDAD'!A25,'CHAVEZ VARELA NESTOR ADRIAN'!V$35:V$37)+SUMIF('PAYAN ESTRADA JOSE ANGEL'!P$37:P$39,'KM POR UNIDAD'!A25,'PAYAN ESTRADA JOSE ANGEL'!V$37:V$39)+SUMIF('RUIZ HERRERA ERICK '!P$33:P$35,'KM POR UNIDAD'!A25,'RUIZ HERRERA ERICK '!V$33:V$35)+SUMIF('GONZALEZ LOZANO ENRIQUE '!P$38:P$40,'KM POR UNIDAD'!A25,'GONZALEZ LOZANO ENRIQUE '!V$38:V$40)+SUMIF('GONZALEZ MARTINEZ MAURICIO'!P$38:P$40,'KM POR UNIDAD'!A25,'GONZALEZ MARTINEZ MAURICIO'!V$38:V$40)+SUMIF('GONZALEZ SOTO JOEL'!P$39:P$41,'KM POR UNIDAD'!A25,'GONZALEZ SOTO JOEL'!V$39:V$41)+SUMIF('MARTA RUBIO MARTIN'!P$39:P$41,'KM POR UNIDAD'!A25,'MARTA RUBIO MARTIN'!V$39:V$41)+SUMIF('GRIJALVA VALDEZ CESAR EUSEBIO'!P$35:P$37,'KM POR UNIDAD'!A25,'GRIJALVA VALDEZ CESAR EUSEBIO'!V$35:V$37)+SUMIF('PACHECO BAÑUELOS ALFONSO'!P$39:P$41,'KM POR UNIDAD'!A25,'PACHECO BAÑUELOS ALFONSO'!V$39:V$41)+SUMIF('RODRIGUEZ VALLES JOSE FRANCISCO'!P$40:P$42,'KM POR UNIDAD'!A25,'RODRIGUEZ VALLES JOSE FRANCISCO'!V$40:V$42)+SUMIF('SANCHEZ GUERRERO JOSE LUIS'!P$40:P$42,A25,'SANCHEZ GUERRERO JOSE LUIS'!V$40:V$42)+SUMIF('RUEDA SALAZAR ISMAEL'!P$35:P$37,'KM POR UNIDAD'!A25,'RUEDA SALAZAR ISMAEL'!V$35:V$37)+SUMIF('GUZMAN MORALES'!P$40:P$42,'KM POR UNIDAD'!A25,'GUZMAN MORALES'!V$40:V$42)+SUMIF('RODRIGUEZ RAMIREZ FERNANDO'!P$35:P$37,'KM POR UNIDAD'!A25,'RODRIGUEZ RAMIREZ FERNANDO'!V$35:V$37)+SUMIF('ESTRADA ARELLANO ARTURO'!P$40:P$42,'KM POR UNIDAD'!A25,'ESTRADA ARELLANO ARTURO'!V$40:V$42)+SUMIF('HERNANDEZ CONTRERAS JOSE FERNAN'!P$37:P$39,'KM POR UNIDAD'!A25,'HERNANDEZ CONTRERAS JOSE FERNAN'!V$38:V$40)+SUMIF('SALAZAR PEREZ JUAN CARLOS'!P$38:P$40,'KM POR UNIDAD'!A25,'SALAZAR PEREZ JUAN CARLOS'!V$38:V$40)+SUMIF('HARO IMPERIAL JOSÉ ANTONIO'!P$41:P$43,'KM POR UNIDAD'!A25,'HARO IMPERIAL JOSÉ ANTONIO'!V$41:V$43)+SUMIF('ESCARCEGA GALDEAN JESUS OMAR'!P$38:P$40,'KM POR UNIDAD'!A25,'ESCARCEGA GALDEAN JESUS OMAR'!V$38:V$40)</f>
        <v>0</v>
      </c>
      <c r="E25" s="167">
        <f t="shared" si="1"/>
        <v>0</v>
      </c>
      <c r="F25" s="168">
        <v>0</v>
      </c>
      <c r="G25" s="168">
        <v>0</v>
      </c>
      <c r="H25" s="168">
        <v>0</v>
      </c>
      <c r="I25" s="169">
        <f t="shared" si="0"/>
        <v>0</v>
      </c>
      <c r="J25" s="170"/>
      <c r="K25" s="171"/>
    </row>
    <row r="26" spans="1:11" x14ac:dyDescent="0.25">
      <c r="A26" s="165" t="s">
        <v>87</v>
      </c>
      <c r="B26" s="166">
        <f>SUMIF('LIRA TRISTAN JOSE ANGEL'!P$36:P$38,'KM POR UNIDAD'!A26,'LIRA TRISTAN JOSE ANGEL'!U$36:U$38)+SUMIF('TORRES GARAY LUIS HUMBERTO'!P$38:P$40,'KM POR UNIDAD'!A26,'TORRES GARAY LUIS HUMBERTO'!U$38:U$40)+SUMIF('CERDA HERNANDEZ JOSE LUIS'!P$35:P$37,'KM POR UNIDAD'!A26,'CERDA HERNANDEZ JOSE LUIS'!U$35:U$37)+SUMIF('RUIZ ALVARADO PEDRO'!P$32:P$34,'KM POR UNIDAD'!A26,'RUIZ ALVARADO PEDRO'!U$32:U$34)+SUMIF('NEVAREZ JUAN MANUEL'!P$37:P$39,'KM POR UNIDAD'!A26,'NEVAREZ JUAN MANUEL'!U$37:U$39)+SUMIF('CHAVEZ VARELA NESTOR ADRIAN'!P$35:P$37,'KM POR UNIDAD'!A26,'CHAVEZ VARELA NESTOR ADRIAN'!U$35:U$37)+SUMIF('PAYAN ESTRADA JOSE ANGEL'!P$37:P$39,'KM POR UNIDAD'!A26,'PAYAN ESTRADA JOSE ANGEL'!U$37:U$39)+SUMIF('RUIZ HERRERA ERICK '!P$33:P$35,'KM POR UNIDAD'!A26,'RUIZ HERRERA ERICK '!U$33:U$35)+SUMIF('GONZALEZ LOZANO ENRIQUE '!P$38:P$40,'KM POR UNIDAD'!A26,'GONZALEZ LOZANO ENRIQUE '!U$38:U$40)+SUMIF('GONZALEZ MARTINEZ MAURICIO'!P$38:P$40,'KM POR UNIDAD'!A26,'GONZALEZ MARTINEZ MAURICIO'!U$38:U$40)+SUMIF('GONZALEZ SOTO JOEL'!P$39:P$41,'KM POR UNIDAD'!A26,'GONZALEZ SOTO JOEL'!U$39:U$41)+SUMIF('MARTA RUBIO MARTIN'!P$39:P$41,'KM POR UNIDAD'!A26,'MARTA RUBIO MARTIN'!U$39:U$41)+SUMIF('GRIJALVA VALDEZ CESAR EUSEBIO'!P$35:P$37,'KM POR UNIDAD'!A26,'GRIJALVA VALDEZ CESAR EUSEBIO'!U$35:U$37)+SUMIF('PACHECO BAÑUELOS ALFONSO'!P$39:P$41,'KM POR UNIDAD'!A26,'PACHECO BAÑUELOS ALFONSO'!U$39:U$41)+SUMIF('RODRIGUEZ VALLES JOSE FRANCISCO'!P$40:P$42,'KM POR UNIDAD'!A26,'RODRIGUEZ VALLES JOSE FRANCISCO'!U$40:U$42)+SUMIF('SANCHEZ GUERRERO JOSE LUIS'!P$40:P$42,A26,'SANCHEZ GUERRERO JOSE LUIS'!U$40:U$42)+SUMIF('RUEDA SALAZAR ISMAEL'!P$35:P$37,'KM POR UNIDAD'!A26,'RUEDA SALAZAR ISMAEL'!U$35:U$37)+SUMIF('GUZMAN MORALES'!P$40:P$42,'KM POR UNIDAD'!A26,'GUZMAN MORALES'!U$40:U$42)+SUMIF('RODRIGUEZ RAMIREZ FERNANDO'!P$35:P$37,'KM POR UNIDAD'!A26,'RODRIGUEZ RAMIREZ FERNANDO'!U$35:U$37)+SUMIF('ESTRADA ARELLANO ARTURO'!P$40:P$42,'KM POR UNIDAD'!A26,'ESTRADA ARELLANO ARTURO'!U$40:U$42)+SUMIF('HERNANDEZ CONTRERAS JOSE FERNAN'!P$37:P$39,'KM POR UNIDAD'!A26,'HERNANDEZ CONTRERAS JOSE FERNAN'!U$37:U$39)+SUMIF('SALAZAR PEREZ JUAN CARLOS'!P$38:P$40,'KM POR UNIDAD'!A26,'SALAZAR PEREZ JUAN CARLOS'!U$38:U$40)+SUMIF('HARO IMPERIAL JOSÉ ANTONIO'!P$41:P$43,'KM POR UNIDAD'!A26,'HARO IMPERIAL JOSÉ ANTONIO'!U$41:$U66)+SUMIF('ESCARCEGA GALDEAN JESUS OMAR'!P$38:P$40,'KM POR UNIDAD'!A26,'ESCARCEGA GALDEAN JESUS OMAR'!U$38:U$40)</f>
        <v>0</v>
      </c>
      <c r="C26" s="166">
        <f>+SUMIF('LIRA TRISTAN JOSE ANGEL'!P$36:P$38,'KM POR UNIDAD'!A26,'LIRA TRISTAN JOSE ANGEL'!T$36:T$38)+SUMIF('TORRES GARAY LUIS HUMBERTO'!P$38:P$40,'KM POR UNIDAD'!A26,'TORRES GARAY LUIS HUMBERTO'!T$38:T$40)+SUMIF('CERDA HERNANDEZ JOSE LUIS'!P$35:P$37,'KM POR UNIDAD'!A26,'CERDA HERNANDEZ JOSE LUIS'!T$35:T$37)+SUMIF('RUIZ ALVARADO PEDRO'!P$32:P$34,'KM POR UNIDAD'!A26,'RUIZ ALVARADO PEDRO'!T$32:T$34)+SUMIF('NEVAREZ JUAN MANUEL'!P$37:P$39,'KM POR UNIDAD'!A26,'NEVAREZ JUAN MANUEL'!T$37:T$39)+SUMIF('CHAVEZ VARELA NESTOR ADRIAN'!P$35:P$37,'KM POR UNIDAD'!A26,'CHAVEZ VARELA NESTOR ADRIAN'!T$35:T$37)+SUMIF('PAYAN ESTRADA JOSE ANGEL'!P$37:P$39,'KM POR UNIDAD'!A26,'PAYAN ESTRADA JOSE ANGEL'!T$37:T$39)+SUMIF('RUIZ HERRERA ERICK '!P$33:P$35,'KM POR UNIDAD'!A26,'RUIZ HERRERA ERICK '!T$33:T$35)+SUMIF('GONZALEZ LOZANO ENRIQUE '!P$38:P$40,'KM POR UNIDAD'!A26,'GONZALEZ LOZANO ENRIQUE '!T$38:T$40)+SUMIF('GONZALEZ MARTINEZ MAURICIO'!P$38:P$40,'KM POR UNIDAD'!A26,'GONZALEZ MARTINEZ MAURICIO'!T$38:T$40)+SUMIF('GONZALEZ SOTO JOEL'!P$39:P$41,'KM POR UNIDAD'!A26,'GONZALEZ SOTO JOEL'!T$39:T$41)+SUMIF('MARTA RUBIO MARTIN'!P$39:P$41,'KM POR UNIDAD'!A26,'MARTA RUBIO MARTIN'!T$39:T$41)+SUMIF('GRIJALVA VALDEZ CESAR EUSEBIO'!P$35:P$37,'KM POR UNIDAD'!A26,'GRIJALVA VALDEZ CESAR EUSEBIO'!T$35:T$37)+SUMIF('PACHECO BAÑUELOS ALFONSO'!P$39:P$41,'KM POR UNIDAD'!A26,'PACHECO BAÑUELOS ALFONSO'!T$39:T$41)+SUMIF('RODRIGUEZ VALLES JOSE FRANCISCO'!P$40:P$42,'KM POR UNIDAD'!A26,'RODRIGUEZ VALLES JOSE FRANCISCO'!T$40:T$42)+SUMIF('SANCHEZ GUERRERO JOSE LUIS'!P$40:P$42,A26,'SANCHEZ GUERRERO JOSE LUIS'!T$40:T$42)+SUMIF('RUEDA SALAZAR ISMAEL'!P$35:P$37,'KM POR UNIDAD'!A26,'RUEDA SALAZAR ISMAEL'!T$35:T$37)+SUMIF('GUZMAN MORALES'!P$40:P$42,'KM POR UNIDAD'!A26,'GUZMAN MORALES'!T$40:T$42)+SUMIF('RODRIGUEZ RAMIREZ FERNANDO'!P$35:P$37,'KM POR UNIDAD'!A26,'RODRIGUEZ RAMIREZ FERNANDO'!T$35:T$37)+SUMIF('ESTRADA ARELLANO ARTURO'!P$40:P$42,'KM POR UNIDAD'!A26,'ESTRADA ARELLANO ARTURO'!T$40:T$42)+SUMIF('HERNANDEZ CONTRERAS JOSE FERNAN'!P$37:P$39,'KM POR UNIDAD'!A26,'HERNANDEZ CONTRERAS JOSE FERNAN'!T$37:T$39)+SUMIF('SALAZAR PEREZ JUAN CARLOS'!P$38:P$40,'KM POR UNIDAD'!A26,'SALAZAR PEREZ JUAN CARLOS'!T$38:T$40)+SUMIF('HARO IMPERIAL JOSÉ ANTONIO'!P$41:P$43,'KM POR UNIDAD'!A26,'HARO IMPERIAL JOSÉ ANTONIO'!T$41:T$43)+SUMIF('ESCARCEGA GALDEAN JESUS OMAR'!P$38:P$40,'KM POR UNIDAD'!A26,'ESCARCEGA GALDEAN JESUS OMAR'!T$38:T$40)</f>
        <v>0</v>
      </c>
      <c r="D26" s="189">
        <f>+SUMIF('LIRA TRISTAN JOSE ANGEL'!P$36:P$38,'KM POR UNIDAD'!A26,'LIRA TRISTAN JOSE ANGEL'!V$36:V$38)+SUMIF('TORRES GARAY LUIS HUMBERTO'!P$38:P$40,'KM POR UNIDAD'!A26,'TORRES GARAY LUIS HUMBERTO'!V$38:V$40)+SUMIF('CERDA HERNANDEZ JOSE LUIS'!P$35:P$37,'KM POR UNIDAD'!A26,'CERDA HERNANDEZ JOSE LUIS'!V$35:V$37)+SUMIF('RUIZ ALVARADO PEDRO'!P$32:P$34,'KM POR UNIDAD'!A26,'RUIZ ALVARADO PEDRO'!V$32:V$34)+SUMIF('NEVAREZ JUAN MANUEL'!P$37:P$39,'KM POR UNIDAD'!A26,'NEVAREZ JUAN MANUEL'!V$37:V$39)+SUMIF('CHAVEZ VARELA NESTOR ADRIAN'!P$35:P$37,'KM POR UNIDAD'!A26,'CHAVEZ VARELA NESTOR ADRIAN'!V$35:V$37)+SUMIF('PAYAN ESTRADA JOSE ANGEL'!P$37:P$39,'KM POR UNIDAD'!A26,'PAYAN ESTRADA JOSE ANGEL'!V$37:V$39)+SUMIF('RUIZ HERRERA ERICK '!P$33:P$35,'KM POR UNIDAD'!A26,'RUIZ HERRERA ERICK '!V$33:V$35)+SUMIF('GONZALEZ LOZANO ENRIQUE '!P$38:P$40,'KM POR UNIDAD'!A26,'GONZALEZ LOZANO ENRIQUE '!V$38:V$40)+SUMIF('GONZALEZ MARTINEZ MAURICIO'!P$38:P$40,'KM POR UNIDAD'!A26,'GONZALEZ MARTINEZ MAURICIO'!V$38:V$40)+SUMIF('GONZALEZ SOTO JOEL'!P$39:P$41,'KM POR UNIDAD'!A26,'GONZALEZ SOTO JOEL'!V$39:V$41)+SUMIF('MARTA RUBIO MARTIN'!P$39:P$41,'KM POR UNIDAD'!A26,'MARTA RUBIO MARTIN'!V$39:V$41)+SUMIF('GRIJALVA VALDEZ CESAR EUSEBIO'!P$35:P$37,'KM POR UNIDAD'!A26,'GRIJALVA VALDEZ CESAR EUSEBIO'!V$35:V$37)+SUMIF('PACHECO BAÑUELOS ALFONSO'!P$39:P$41,'KM POR UNIDAD'!A26,'PACHECO BAÑUELOS ALFONSO'!V$39:V$41)+SUMIF('RODRIGUEZ VALLES JOSE FRANCISCO'!P$40:P$42,'KM POR UNIDAD'!A26,'RODRIGUEZ VALLES JOSE FRANCISCO'!V$40:V$42)+SUMIF('SANCHEZ GUERRERO JOSE LUIS'!P$40:P$42,A26,'SANCHEZ GUERRERO JOSE LUIS'!V$40:V$42)+SUMIF('RUEDA SALAZAR ISMAEL'!P$35:P$37,'KM POR UNIDAD'!A26,'RUEDA SALAZAR ISMAEL'!V$35:V$37)+SUMIF('GUZMAN MORALES'!P$40:P$42,'KM POR UNIDAD'!A26,'GUZMAN MORALES'!V$40:V$42)+SUMIF('RODRIGUEZ RAMIREZ FERNANDO'!P$35:P$37,'KM POR UNIDAD'!A26,'RODRIGUEZ RAMIREZ FERNANDO'!V$35:V$37)+SUMIF('ESTRADA ARELLANO ARTURO'!P$40:P$42,'KM POR UNIDAD'!A26,'ESTRADA ARELLANO ARTURO'!V$40:V$42)+SUMIF('HERNANDEZ CONTRERAS JOSE FERNAN'!P$37:P$39,'KM POR UNIDAD'!A26,'HERNANDEZ CONTRERAS JOSE FERNAN'!V$38:V$40)+SUMIF('SALAZAR PEREZ JUAN CARLOS'!P$38:P$40,'KM POR UNIDAD'!A26,'SALAZAR PEREZ JUAN CARLOS'!V$38:V$40)+SUMIF('HARO IMPERIAL JOSÉ ANTONIO'!P$41:P$43,'KM POR UNIDAD'!A26,'HARO IMPERIAL JOSÉ ANTONIO'!V$41:V$43)+SUMIF('ESCARCEGA GALDEAN JESUS OMAR'!P$38:P$40,'KM POR UNIDAD'!A26,'ESCARCEGA GALDEAN JESUS OMAR'!V$38:V$40)</f>
        <v>0</v>
      </c>
      <c r="E26" s="167">
        <f t="shared" si="1"/>
        <v>0</v>
      </c>
      <c r="F26" s="168">
        <v>0</v>
      </c>
      <c r="G26" s="168">
        <v>0</v>
      </c>
      <c r="H26" s="168">
        <v>0</v>
      </c>
      <c r="I26" s="169">
        <f t="shared" si="0"/>
        <v>0</v>
      </c>
      <c r="J26" s="170"/>
      <c r="K26" s="171"/>
    </row>
    <row r="27" spans="1:11" x14ac:dyDescent="0.25">
      <c r="A27" s="165" t="s">
        <v>89</v>
      </c>
      <c r="B27" s="166">
        <f>SUMIF('LIRA TRISTAN JOSE ANGEL'!P$36:P$38,'KM POR UNIDAD'!A27,'LIRA TRISTAN JOSE ANGEL'!U$36:U$38)+SUMIF('TORRES GARAY LUIS HUMBERTO'!P$38:P$40,'KM POR UNIDAD'!A27,'TORRES GARAY LUIS HUMBERTO'!U$38:U$40)+SUMIF('CERDA HERNANDEZ JOSE LUIS'!P$35:P$37,'KM POR UNIDAD'!A27,'CERDA HERNANDEZ JOSE LUIS'!U$35:U$37)+SUMIF('RUIZ ALVARADO PEDRO'!P$32:P$34,'KM POR UNIDAD'!A27,'RUIZ ALVARADO PEDRO'!U$32:U$34)+SUMIF('NEVAREZ JUAN MANUEL'!P$37:P$39,'KM POR UNIDAD'!A27,'NEVAREZ JUAN MANUEL'!U$37:U$39)+SUMIF('CHAVEZ VARELA NESTOR ADRIAN'!P$35:P$37,'KM POR UNIDAD'!A27,'CHAVEZ VARELA NESTOR ADRIAN'!U$35:U$37)+SUMIF('PAYAN ESTRADA JOSE ANGEL'!P$37:P$39,'KM POR UNIDAD'!A27,'PAYAN ESTRADA JOSE ANGEL'!U$37:U$39)+SUMIF('RUIZ HERRERA ERICK '!P$33:P$35,'KM POR UNIDAD'!A27,'RUIZ HERRERA ERICK '!U$33:U$35)+SUMIF('GONZALEZ LOZANO ENRIQUE '!P$38:P$40,'KM POR UNIDAD'!A27,'GONZALEZ LOZANO ENRIQUE '!U$38:U$40)+SUMIF('GONZALEZ MARTINEZ MAURICIO'!P$38:P$40,'KM POR UNIDAD'!A27,'GONZALEZ MARTINEZ MAURICIO'!U$38:U$40)+SUMIF('GONZALEZ SOTO JOEL'!P$39:P$41,'KM POR UNIDAD'!A27,'GONZALEZ SOTO JOEL'!U$39:U$41)+SUMIF('MARTA RUBIO MARTIN'!P$39:P$41,'KM POR UNIDAD'!A27,'MARTA RUBIO MARTIN'!U$39:U$41)+SUMIF('GRIJALVA VALDEZ CESAR EUSEBIO'!P$35:P$37,'KM POR UNIDAD'!A27,'GRIJALVA VALDEZ CESAR EUSEBIO'!U$35:U$37)+SUMIF('PACHECO BAÑUELOS ALFONSO'!P$39:P$41,'KM POR UNIDAD'!A27,'PACHECO BAÑUELOS ALFONSO'!U$39:U$41)+SUMIF('RODRIGUEZ VALLES JOSE FRANCISCO'!P$40:P$42,'KM POR UNIDAD'!A27,'RODRIGUEZ VALLES JOSE FRANCISCO'!U$40:U$42)+SUMIF('SANCHEZ GUERRERO JOSE LUIS'!P$40:P$42,A27,'SANCHEZ GUERRERO JOSE LUIS'!U$40:U$42)+SUMIF('RUEDA SALAZAR ISMAEL'!P$35:P$37,'KM POR UNIDAD'!A27,'RUEDA SALAZAR ISMAEL'!U$35:U$37)+SUMIF('GUZMAN MORALES'!P$40:P$42,'KM POR UNIDAD'!A27,'GUZMAN MORALES'!U$40:U$42)+SUMIF('RODRIGUEZ RAMIREZ FERNANDO'!P$35:P$37,'KM POR UNIDAD'!A27,'RODRIGUEZ RAMIREZ FERNANDO'!U$35:U$37)+SUMIF('ESTRADA ARELLANO ARTURO'!P$40:P$42,'KM POR UNIDAD'!A27,'ESTRADA ARELLANO ARTURO'!U$40:U$42)+SUMIF('HERNANDEZ CONTRERAS JOSE FERNAN'!P$37:P$39,'KM POR UNIDAD'!A27,'HERNANDEZ CONTRERAS JOSE FERNAN'!U$37:U$39)+SUMIF('SALAZAR PEREZ JUAN CARLOS'!P$38:P$40,'KM POR UNIDAD'!A27,'SALAZAR PEREZ JUAN CARLOS'!U$38:U$40)+SUMIF('HARO IMPERIAL JOSÉ ANTONIO'!P$41:P$43,'KM POR UNIDAD'!A27,'HARO IMPERIAL JOSÉ ANTONIO'!U$41:$U67)+SUMIF('ESCARCEGA GALDEAN JESUS OMAR'!P$38:P$40,'KM POR UNIDAD'!A27,'ESCARCEGA GALDEAN JESUS OMAR'!U$38:U$40)</f>
        <v>0</v>
      </c>
      <c r="C27" s="166">
        <f>+SUMIF('LIRA TRISTAN JOSE ANGEL'!P$36:P$38,'KM POR UNIDAD'!A27,'LIRA TRISTAN JOSE ANGEL'!T$36:T$38)+SUMIF('TORRES GARAY LUIS HUMBERTO'!P$38:P$40,'KM POR UNIDAD'!A27,'TORRES GARAY LUIS HUMBERTO'!T$38:T$40)+SUMIF('CERDA HERNANDEZ JOSE LUIS'!P$35:P$37,'KM POR UNIDAD'!A27,'CERDA HERNANDEZ JOSE LUIS'!T$35:T$37)+SUMIF('RUIZ ALVARADO PEDRO'!P$32:P$34,'KM POR UNIDAD'!A27,'RUIZ ALVARADO PEDRO'!T$32:T$34)+SUMIF('NEVAREZ JUAN MANUEL'!P$37:P$39,'KM POR UNIDAD'!A27,'NEVAREZ JUAN MANUEL'!T$37:T$39)+SUMIF('CHAVEZ VARELA NESTOR ADRIAN'!P$35:P$37,'KM POR UNIDAD'!A27,'CHAVEZ VARELA NESTOR ADRIAN'!T$35:T$37)+SUMIF('PAYAN ESTRADA JOSE ANGEL'!P$37:P$39,'KM POR UNIDAD'!A27,'PAYAN ESTRADA JOSE ANGEL'!T$37:T$39)+SUMIF('RUIZ HERRERA ERICK '!P$33:P$35,'KM POR UNIDAD'!A27,'RUIZ HERRERA ERICK '!T$33:T$35)+SUMIF('GONZALEZ LOZANO ENRIQUE '!P$38:P$40,'KM POR UNIDAD'!A27,'GONZALEZ LOZANO ENRIQUE '!T$38:T$40)+SUMIF('GONZALEZ MARTINEZ MAURICIO'!P$38:P$40,'KM POR UNIDAD'!A27,'GONZALEZ MARTINEZ MAURICIO'!T$38:T$40)+SUMIF('GONZALEZ SOTO JOEL'!P$39:P$41,'KM POR UNIDAD'!A27,'GONZALEZ SOTO JOEL'!T$39:T$41)+SUMIF('MARTA RUBIO MARTIN'!P$39:P$41,'KM POR UNIDAD'!A27,'MARTA RUBIO MARTIN'!T$39:T$41)+SUMIF('GRIJALVA VALDEZ CESAR EUSEBIO'!P$35:P$37,'KM POR UNIDAD'!A27,'GRIJALVA VALDEZ CESAR EUSEBIO'!T$35:T$37)+SUMIF('PACHECO BAÑUELOS ALFONSO'!P$39:P$41,'KM POR UNIDAD'!A27,'PACHECO BAÑUELOS ALFONSO'!T$39:T$41)+SUMIF('RODRIGUEZ VALLES JOSE FRANCISCO'!P$40:P$42,'KM POR UNIDAD'!A27,'RODRIGUEZ VALLES JOSE FRANCISCO'!T$40:T$42)+SUMIF('SANCHEZ GUERRERO JOSE LUIS'!P$40:P$42,A27,'SANCHEZ GUERRERO JOSE LUIS'!T$40:T$42)+SUMIF('RUEDA SALAZAR ISMAEL'!P$35:P$37,'KM POR UNIDAD'!A27,'RUEDA SALAZAR ISMAEL'!T$35:T$37)+SUMIF('GUZMAN MORALES'!P$40:P$42,'KM POR UNIDAD'!A27,'GUZMAN MORALES'!T$40:T$42)+SUMIF('RODRIGUEZ RAMIREZ FERNANDO'!P$35:P$37,'KM POR UNIDAD'!A27,'RODRIGUEZ RAMIREZ FERNANDO'!T$35:T$37)+SUMIF('ESTRADA ARELLANO ARTURO'!P$40:P$42,'KM POR UNIDAD'!A27,'ESTRADA ARELLANO ARTURO'!T$40:T$42)+SUMIF('HERNANDEZ CONTRERAS JOSE FERNAN'!P$37:P$39,'KM POR UNIDAD'!A27,'HERNANDEZ CONTRERAS JOSE FERNAN'!T$37:T$39)+SUMIF('SALAZAR PEREZ JUAN CARLOS'!P$38:P$40,'KM POR UNIDAD'!A27,'SALAZAR PEREZ JUAN CARLOS'!T$38:T$40)+SUMIF('HARO IMPERIAL JOSÉ ANTONIO'!P$41:P$43,'KM POR UNIDAD'!A27,'HARO IMPERIAL JOSÉ ANTONIO'!T$41:T$43)+SUMIF('ESCARCEGA GALDEAN JESUS OMAR'!P$38:P$40,'KM POR UNIDAD'!A27,'ESCARCEGA GALDEAN JESUS OMAR'!T$38:T$40)</f>
        <v>0</v>
      </c>
      <c r="D27" s="189">
        <f>+SUMIF('LIRA TRISTAN JOSE ANGEL'!P$36:P$38,'KM POR UNIDAD'!A27,'LIRA TRISTAN JOSE ANGEL'!V$36:V$38)+SUMIF('TORRES GARAY LUIS HUMBERTO'!P$38:P$40,'KM POR UNIDAD'!A27,'TORRES GARAY LUIS HUMBERTO'!V$38:V$40)+SUMIF('CERDA HERNANDEZ JOSE LUIS'!P$35:P$37,'KM POR UNIDAD'!A27,'CERDA HERNANDEZ JOSE LUIS'!V$35:V$37)+SUMIF('RUIZ ALVARADO PEDRO'!P$32:P$34,'KM POR UNIDAD'!A27,'RUIZ ALVARADO PEDRO'!V$32:V$34)+SUMIF('NEVAREZ JUAN MANUEL'!P$37:P$39,'KM POR UNIDAD'!A27,'NEVAREZ JUAN MANUEL'!V$37:V$39)+SUMIF('CHAVEZ VARELA NESTOR ADRIAN'!P$35:P$37,'KM POR UNIDAD'!A27,'CHAVEZ VARELA NESTOR ADRIAN'!V$35:V$37)+SUMIF('PAYAN ESTRADA JOSE ANGEL'!P$37:P$39,'KM POR UNIDAD'!A27,'PAYAN ESTRADA JOSE ANGEL'!V$37:V$39)+SUMIF('RUIZ HERRERA ERICK '!P$33:P$35,'KM POR UNIDAD'!A27,'RUIZ HERRERA ERICK '!V$33:V$35)+SUMIF('GONZALEZ LOZANO ENRIQUE '!P$38:P$40,'KM POR UNIDAD'!A27,'GONZALEZ LOZANO ENRIQUE '!V$38:V$40)+SUMIF('GONZALEZ MARTINEZ MAURICIO'!P$38:P$40,'KM POR UNIDAD'!A27,'GONZALEZ MARTINEZ MAURICIO'!V$38:V$40)+SUMIF('GONZALEZ SOTO JOEL'!P$39:P$41,'KM POR UNIDAD'!A27,'GONZALEZ SOTO JOEL'!V$39:V$41)+SUMIF('MARTA RUBIO MARTIN'!P$39:P$41,'KM POR UNIDAD'!A27,'MARTA RUBIO MARTIN'!V$39:V$41)+SUMIF('GRIJALVA VALDEZ CESAR EUSEBIO'!P$35:P$37,'KM POR UNIDAD'!A27,'GRIJALVA VALDEZ CESAR EUSEBIO'!V$35:V$37)+SUMIF('PACHECO BAÑUELOS ALFONSO'!P$39:P$41,'KM POR UNIDAD'!A27,'PACHECO BAÑUELOS ALFONSO'!V$39:V$41)+SUMIF('RODRIGUEZ VALLES JOSE FRANCISCO'!P$40:P$42,'KM POR UNIDAD'!A27,'RODRIGUEZ VALLES JOSE FRANCISCO'!V$40:V$42)+SUMIF('SANCHEZ GUERRERO JOSE LUIS'!P$40:P$42,A27,'SANCHEZ GUERRERO JOSE LUIS'!V$40:V$42)+SUMIF('RUEDA SALAZAR ISMAEL'!P$35:P$37,'KM POR UNIDAD'!A27,'RUEDA SALAZAR ISMAEL'!V$35:V$37)+SUMIF('GUZMAN MORALES'!P$40:P$42,'KM POR UNIDAD'!A27,'GUZMAN MORALES'!V$40:V$42)+SUMIF('RODRIGUEZ RAMIREZ FERNANDO'!P$35:P$37,'KM POR UNIDAD'!A27,'RODRIGUEZ RAMIREZ FERNANDO'!V$35:V$37)+SUMIF('ESTRADA ARELLANO ARTURO'!P$40:P$42,'KM POR UNIDAD'!A27,'ESTRADA ARELLANO ARTURO'!V$40:V$42)+SUMIF('HERNANDEZ CONTRERAS JOSE FERNAN'!P$37:P$39,'KM POR UNIDAD'!A27,'HERNANDEZ CONTRERAS JOSE FERNAN'!V$38:V$40)+SUMIF('SALAZAR PEREZ JUAN CARLOS'!P$38:P$40,'KM POR UNIDAD'!A27,'SALAZAR PEREZ JUAN CARLOS'!V$38:V$40)+SUMIF('HARO IMPERIAL JOSÉ ANTONIO'!P$41:P$43,'KM POR UNIDAD'!A27,'HARO IMPERIAL JOSÉ ANTONIO'!V$41:V$43)+SUMIF('ESCARCEGA GALDEAN JESUS OMAR'!P$38:P$40,'KM POR UNIDAD'!A27,'ESCARCEGA GALDEAN JESUS OMAR'!V$38:V$40)</f>
        <v>0</v>
      </c>
      <c r="E27" s="167">
        <f t="shared" si="1"/>
        <v>0</v>
      </c>
      <c r="F27" s="168">
        <v>0</v>
      </c>
      <c r="G27" s="168">
        <v>0</v>
      </c>
      <c r="H27" s="168">
        <v>0</v>
      </c>
      <c r="I27" s="169">
        <f t="shared" si="0"/>
        <v>0</v>
      </c>
      <c r="J27" s="170"/>
      <c r="K27" s="171"/>
    </row>
    <row r="28" spans="1:11" x14ac:dyDescent="0.25">
      <c r="A28" s="165" t="s">
        <v>144</v>
      </c>
      <c r="B28" s="166">
        <f>SUMIF('LIRA TRISTAN JOSE ANGEL'!P$36:P$38,'KM POR UNIDAD'!A28,'LIRA TRISTAN JOSE ANGEL'!U$36:U$38)+SUMIF('TORRES GARAY LUIS HUMBERTO'!P$38:P$40,'KM POR UNIDAD'!A28,'TORRES GARAY LUIS HUMBERTO'!U$38:U$40)+SUMIF('CERDA HERNANDEZ JOSE LUIS'!P$35:P$37,'KM POR UNIDAD'!A28,'CERDA HERNANDEZ JOSE LUIS'!U$35:U$37)+SUMIF('RUIZ ALVARADO PEDRO'!P$32:P$34,'KM POR UNIDAD'!A28,'RUIZ ALVARADO PEDRO'!U$32:U$34)+SUMIF('NEVAREZ JUAN MANUEL'!P$37:P$39,'KM POR UNIDAD'!A28,'NEVAREZ JUAN MANUEL'!U$37:U$39)+SUMIF('CHAVEZ VARELA NESTOR ADRIAN'!P$35:P$37,'KM POR UNIDAD'!A28,'CHAVEZ VARELA NESTOR ADRIAN'!U$35:U$37)+SUMIF('PAYAN ESTRADA JOSE ANGEL'!P$37:P$39,'KM POR UNIDAD'!A28,'PAYAN ESTRADA JOSE ANGEL'!U$37:U$39)+SUMIF('RUIZ HERRERA ERICK '!P$33:P$35,'KM POR UNIDAD'!A28,'RUIZ HERRERA ERICK '!U$33:U$35)+SUMIF('GONZALEZ LOZANO ENRIQUE '!P$38:P$40,'KM POR UNIDAD'!A28,'GONZALEZ LOZANO ENRIQUE '!U$38:U$40)+SUMIF('GONZALEZ MARTINEZ MAURICIO'!P$38:P$40,'KM POR UNIDAD'!A28,'GONZALEZ MARTINEZ MAURICIO'!U$38:U$40)+SUMIF('GONZALEZ SOTO JOEL'!P$39:P$41,'KM POR UNIDAD'!A28,'GONZALEZ SOTO JOEL'!U$39:U$41)+SUMIF('MARTA RUBIO MARTIN'!P$39:P$41,'KM POR UNIDAD'!A28,'MARTA RUBIO MARTIN'!U$39:U$41)+SUMIF('GRIJALVA VALDEZ CESAR EUSEBIO'!P$35:P$37,'KM POR UNIDAD'!A28,'GRIJALVA VALDEZ CESAR EUSEBIO'!U$35:U$37)+SUMIF('PACHECO BAÑUELOS ALFONSO'!P$39:P$41,'KM POR UNIDAD'!A28,'PACHECO BAÑUELOS ALFONSO'!U$39:U$41)+SUMIF('RODRIGUEZ VALLES JOSE FRANCISCO'!P$40:P$42,'KM POR UNIDAD'!A28,'RODRIGUEZ VALLES JOSE FRANCISCO'!U$40:U$42)+SUMIF('SANCHEZ GUERRERO JOSE LUIS'!P$40:P$42,A28,'SANCHEZ GUERRERO JOSE LUIS'!U$40:U$42)+SUMIF('RUEDA SALAZAR ISMAEL'!P$35:P$37,'KM POR UNIDAD'!A28,'RUEDA SALAZAR ISMAEL'!U$35:U$37)+SUMIF('GUZMAN MORALES'!P$40:P$42,'KM POR UNIDAD'!A28,'GUZMAN MORALES'!U$40:U$42)+SUMIF('RODRIGUEZ RAMIREZ FERNANDO'!P$35:P$37,'KM POR UNIDAD'!A28,'RODRIGUEZ RAMIREZ FERNANDO'!U$35:U$37)+SUMIF('ESTRADA ARELLANO ARTURO'!P$40:P$42,'KM POR UNIDAD'!A28,'ESTRADA ARELLANO ARTURO'!U$40:U$42)+SUMIF('HERNANDEZ CONTRERAS JOSE FERNAN'!P$37:P$39,'KM POR UNIDAD'!A28,'HERNANDEZ CONTRERAS JOSE FERNAN'!U$37:U$39)+SUMIF('SALAZAR PEREZ JUAN CARLOS'!P$38:P$40,'KM POR UNIDAD'!A28,'SALAZAR PEREZ JUAN CARLOS'!U$38:U$40)+SUMIF('HARO IMPERIAL JOSÉ ANTONIO'!P$41:P$43,'KM POR UNIDAD'!A28,'HARO IMPERIAL JOSÉ ANTONIO'!U$41:$U68)+SUMIF('ESCARCEGA GALDEAN JESUS OMAR'!P$38:P$40,'KM POR UNIDAD'!A28,'ESCARCEGA GALDEAN JESUS OMAR'!U$38:U$40)</f>
        <v>0</v>
      </c>
      <c r="C28" s="166">
        <f>+SUMIF('LIRA TRISTAN JOSE ANGEL'!P$36:P$38,'KM POR UNIDAD'!A28,'LIRA TRISTAN JOSE ANGEL'!T$36:T$38)+SUMIF('TORRES GARAY LUIS HUMBERTO'!P$38:P$40,'KM POR UNIDAD'!A28,'TORRES GARAY LUIS HUMBERTO'!T$38:T$40)+SUMIF('CERDA HERNANDEZ JOSE LUIS'!P$35:P$37,'KM POR UNIDAD'!A28,'CERDA HERNANDEZ JOSE LUIS'!T$35:T$37)+SUMIF('RUIZ ALVARADO PEDRO'!P$32:P$34,'KM POR UNIDAD'!A28,'RUIZ ALVARADO PEDRO'!T$32:T$34)+SUMIF('NEVAREZ JUAN MANUEL'!P$37:P$39,'KM POR UNIDAD'!A28,'NEVAREZ JUAN MANUEL'!T$37:T$39)+SUMIF('CHAVEZ VARELA NESTOR ADRIAN'!P$35:P$37,'KM POR UNIDAD'!A28,'CHAVEZ VARELA NESTOR ADRIAN'!T$35:T$37)+SUMIF('PAYAN ESTRADA JOSE ANGEL'!P$37:P$39,'KM POR UNIDAD'!A28,'PAYAN ESTRADA JOSE ANGEL'!T$37:T$39)+SUMIF('RUIZ HERRERA ERICK '!P$33:P$35,'KM POR UNIDAD'!A28,'RUIZ HERRERA ERICK '!T$33:T$35)+SUMIF('GONZALEZ LOZANO ENRIQUE '!P$38:P$40,'KM POR UNIDAD'!A28,'GONZALEZ LOZANO ENRIQUE '!T$38:T$40)+SUMIF('GONZALEZ MARTINEZ MAURICIO'!P$38:P$40,'KM POR UNIDAD'!A28,'GONZALEZ MARTINEZ MAURICIO'!T$38:T$40)+SUMIF('GONZALEZ SOTO JOEL'!P$39:P$41,'KM POR UNIDAD'!A28,'GONZALEZ SOTO JOEL'!T$39:T$41)+SUMIF('MARTA RUBIO MARTIN'!P$39:P$41,'KM POR UNIDAD'!A28,'MARTA RUBIO MARTIN'!T$39:T$41)+SUMIF('GRIJALVA VALDEZ CESAR EUSEBIO'!P$35:P$37,'KM POR UNIDAD'!A28,'GRIJALVA VALDEZ CESAR EUSEBIO'!T$35:T$37)+SUMIF('PACHECO BAÑUELOS ALFONSO'!P$39:P$41,'KM POR UNIDAD'!A28,'PACHECO BAÑUELOS ALFONSO'!T$39:T$41)+SUMIF('RODRIGUEZ VALLES JOSE FRANCISCO'!P$40:P$42,'KM POR UNIDAD'!A28,'RODRIGUEZ VALLES JOSE FRANCISCO'!T$40:T$42)+SUMIF('SANCHEZ GUERRERO JOSE LUIS'!P$40:P$42,A28,'SANCHEZ GUERRERO JOSE LUIS'!T$40:T$42)+SUMIF('RUEDA SALAZAR ISMAEL'!P$35:P$37,'KM POR UNIDAD'!A28,'RUEDA SALAZAR ISMAEL'!T$35:T$37)+SUMIF('GUZMAN MORALES'!P$40:P$42,'KM POR UNIDAD'!A28,'GUZMAN MORALES'!T$40:T$42)+SUMIF('RODRIGUEZ RAMIREZ FERNANDO'!P$35:P$37,'KM POR UNIDAD'!A28,'RODRIGUEZ RAMIREZ FERNANDO'!T$35:T$37)+SUMIF('ESTRADA ARELLANO ARTURO'!P$40:P$42,'KM POR UNIDAD'!A28,'ESTRADA ARELLANO ARTURO'!T$40:T$42)+SUMIF('HERNANDEZ CONTRERAS JOSE FERNAN'!P$37:P$39,'KM POR UNIDAD'!A28,'HERNANDEZ CONTRERAS JOSE FERNAN'!T$37:T$39)+SUMIF('SALAZAR PEREZ JUAN CARLOS'!P$38:P$40,'KM POR UNIDAD'!A28,'SALAZAR PEREZ JUAN CARLOS'!T$38:T$40)+SUMIF('HARO IMPERIAL JOSÉ ANTONIO'!P$41:P$43,'KM POR UNIDAD'!A28,'HARO IMPERIAL JOSÉ ANTONIO'!T$41:T$43)+SUMIF('ESCARCEGA GALDEAN JESUS OMAR'!P$38:P$40,'KM POR UNIDAD'!A28,'ESCARCEGA GALDEAN JESUS OMAR'!T$38:T$40)</f>
        <v>0</v>
      </c>
      <c r="D28" s="189">
        <f>+SUMIF('LIRA TRISTAN JOSE ANGEL'!P$36:P$38,'KM POR UNIDAD'!A28,'LIRA TRISTAN JOSE ANGEL'!V$36:V$38)+SUMIF('TORRES GARAY LUIS HUMBERTO'!P$38:P$40,'KM POR UNIDAD'!A28,'TORRES GARAY LUIS HUMBERTO'!V$38:V$40)+SUMIF('CERDA HERNANDEZ JOSE LUIS'!P$35:P$37,'KM POR UNIDAD'!A28,'CERDA HERNANDEZ JOSE LUIS'!V$35:V$37)+SUMIF('RUIZ ALVARADO PEDRO'!P$32:P$34,'KM POR UNIDAD'!A28,'RUIZ ALVARADO PEDRO'!V$32:V$34)+SUMIF('NEVAREZ JUAN MANUEL'!P$37:P$39,'KM POR UNIDAD'!A28,'NEVAREZ JUAN MANUEL'!V$37:V$39)+SUMIF('CHAVEZ VARELA NESTOR ADRIAN'!P$35:P$37,'KM POR UNIDAD'!A28,'CHAVEZ VARELA NESTOR ADRIAN'!V$35:V$37)+SUMIF('PAYAN ESTRADA JOSE ANGEL'!P$37:P$39,'KM POR UNIDAD'!A28,'PAYAN ESTRADA JOSE ANGEL'!V$37:V$39)+SUMIF('RUIZ HERRERA ERICK '!P$33:P$35,'KM POR UNIDAD'!A28,'RUIZ HERRERA ERICK '!V$33:V$35)+SUMIF('GONZALEZ LOZANO ENRIQUE '!P$38:P$40,'KM POR UNIDAD'!A28,'GONZALEZ LOZANO ENRIQUE '!V$38:V$40)+SUMIF('GONZALEZ MARTINEZ MAURICIO'!P$38:P$40,'KM POR UNIDAD'!A28,'GONZALEZ MARTINEZ MAURICIO'!V$38:V$40)+SUMIF('GONZALEZ SOTO JOEL'!P$39:P$41,'KM POR UNIDAD'!A28,'GONZALEZ SOTO JOEL'!V$39:V$41)+SUMIF('MARTA RUBIO MARTIN'!P$39:P$41,'KM POR UNIDAD'!A28,'MARTA RUBIO MARTIN'!V$39:V$41)+SUMIF('GRIJALVA VALDEZ CESAR EUSEBIO'!P$35:P$37,'KM POR UNIDAD'!A28,'GRIJALVA VALDEZ CESAR EUSEBIO'!V$35:V$37)+SUMIF('PACHECO BAÑUELOS ALFONSO'!P$39:P$41,'KM POR UNIDAD'!A28,'PACHECO BAÑUELOS ALFONSO'!V$39:V$41)+SUMIF('RODRIGUEZ VALLES JOSE FRANCISCO'!P$40:P$42,'KM POR UNIDAD'!A28,'RODRIGUEZ VALLES JOSE FRANCISCO'!V$40:V$42)+SUMIF('SANCHEZ GUERRERO JOSE LUIS'!P$40:P$42,A28,'SANCHEZ GUERRERO JOSE LUIS'!V$40:V$42)+SUMIF('RUEDA SALAZAR ISMAEL'!P$35:P$37,'KM POR UNIDAD'!A28,'RUEDA SALAZAR ISMAEL'!V$35:V$37)+SUMIF('GUZMAN MORALES'!P$40:P$42,'KM POR UNIDAD'!A28,'GUZMAN MORALES'!V$40:V$42)+SUMIF('RODRIGUEZ RAMIREZ FERNANDO'!P$35:P$37,'KM POR UNIDAD'!A28,'RODRIGUEZ RAMIREZ FERNANDO'!V$35:V$37)+SUMIF('ESTRADA ARELLANO ARTURO'!P$40:P$42,'KM POR UNIDAD'!A28,'ESTRADA ARELLANO ARTURO'!V$40:V$42)+SUMIF('HERNANDEZ CONTRERAS JOSE FERNAN'!P$37:P$39,'KM POR UNIDAD'!A28,'HERNANDEZ CONTRERAS JOSE FERNAN'!V$38:V$40)+SUMIF('SALAZAR PEREZ JUAN CARLOS'!P$38:P$40,'KM POR UNIDAD'!A28,'SALAZAR PEREZ JUAN CARLOS'!V$38:V$40)+SUMIF('HARO IMPERIAL JOSÉ ANTONIO'!P$41:P$43,'KM POR UNIDAD'!A28,'HARO IMPERIAL JOSÉ ANTONIO'!V$41:V$43)+SUMIF('ESCARCEGA GALDEAN JESUS OMAR'!P$38:P$40,'KM POR UNIDAD'!A28,'ESCARCEGA GALDEAN JESUS OMAR'!V$38:V$40)</f>
        <v>0</v>
      </c>
      <c r="E28" s="167">
        <f t="shared" si="1"/>
        <v>0</v>
      </c>
      <c r="F28" s="168">
        <v>0</v>
      </c>
      <c r="G28" s="168">
        <v>0</v>
      </c>
      <c r="H28" s="168">
        <v>0</v>
      </c>
      <c r="I28" s="169">
        <f t="shared" si="0"/>
        <v>0</v>
      </c>
      <c r="J28" s="170"/>
      <c r="K28" s="171"/>
    </row>
    <row r="29" spans="1:11" x14ac:dyDescent="0.25">
      <c r="A29" s="165" t="s">
        <v>60</v>
      </c>
      <c r="B29" s="166">
        <f>SUMIF('LIRA TRISTAN JOSE ANGEL'!P$36:P$38,'KM POR UNIDAD'!A29,'LIRA TRISTAN JOSE ANGEL'!U$36:U$38)+SUMIF('TORRES GARAY LUIS HUMBERTO'!P$38:P$40,'KM POR UNIDAD'!A29,'TORRES GARAY LUIS HUMBERTO'!U$38:U$40)+SUMIF('CERDA HERNANDEZ JOSE LUIS'!P$35:P$37,'KM POR UNIDAD'!A29,'CERDA HERNANDEZ JOSE LUIS'!U$35:U$37)+SUMIF('RUIZ ALVARADO PEDRO'!P$32:P$34,'KM POR UNIDAD'!A29,'RUIZ ALVARADO PEDRO'!U$32:U$34)+SUMIF('NEVAREZ JUAN MANUEL'!P$37:P$39,'KM POR UNIDAD'!A29,'NEVAREZ JUAN MANUEL'!U$37:U$39)+SUMIF('CHAVEZ VARELA NESTOR ADRIAN'!P$35:P$37,'KM POR UNIDAD'!A29,'CHAVEZ VARELA NESTOR ADRIAN'!U$35:U$37)+SUMIF('PAYAN ESTRADA JOSE ANGEL'!P$37:P$39,'KM POR UNIDAD'!A29,'PAYAN ESTRADA JOSE ANGEL'!U$37:U$39)+SUMIF('RUIZ HERRERA ERICK '!P$33:P$35,'KM POR UNIDAD'!A29,'RUIZ HERRERA ERICK '!U$33:U$35)+SUMIF('GONZALEZ LOZANO ENRIQUE '!P$38:P$40,'KM POR UNIDAD'!A29,'GONZALEZ LOZANO ENRIQUE '!U$38:U$40)+SUMIF('GONZALEZ MARTINEZ MAURICIO'!P$38:P$40,'KM POR UNIDAD'!A29,'GONZALEZ MARTINEZ MAURICIO'!U$38:U$40)+SUMIF('GONZALEZ SOTO JOEL'!P$39:P$41,'KM POR UNIDAD'!A29,'GONZALEZ SOTO JOEL'!U$39:U$41)+SUMIF('MARTA RUBIO MARTIN'!P$39:P$41,'KM POR UNIDAD'!A29,'MARTA RUBIO MARTIN'!U$39:U$41)+SUMIF('GRIJALVA VALDEZ CESAR EUSEBIO'!P$35:P$37,'KM POR UNIDAD'!A29,'GRIJALVA VALDEZ CESAR EUSEBIO'!U$35:U$37)+SUMIF('PACHECO BAÑUELOS ALFONSO'!P$39:P$41,'KM POR UNIDAD'!A29,'PACHECO BAÑUELOS ALFONSO'!U$39:U$41)+SUMIF('RODRIGUEZ VALLES JOSE FRANCISCO'!P$40:P$42,'KM POR UNIDAD'!A29,'RODRIGUEZ VALLES JOSE FRANCISCO'!U$40:U$42)+SUMIF('SANCHEZ GUERRERO JOSE LUIS'!P$40:P$42,A29,'SANCHEZ GUERRERO JOSE LUIS'!U$40:U$42)+SUMIF('RUEDA SALAZAR ISMAEL'!P$35:P$37,'KM POR UNIDAD'!A29,'RUEDA SALAZAR ISMAEL'!U$35:U$37)+SUMIF('GUZMAN MORALES'!P$40:P$42,'KM POR UNIDAD'!A29,'GUZMAN MORALES'!U$40:U$42)+SUMIF('RODRIGUEZ RAMIREZ FERNANDO'!P$35:P$37,'KM POR UNIDAD'!A29,'RODRIGUEZ RAMIREZ FERNANDO'!U$35:U$37)+SUMIF('ESTRADA ARELLANO ARTURO'!P$40:P$42,'KM POR UNIDAD'!A29,'ESTRADA ARELLANO ARTURO'!U$40:U$42)+SUMIF('HERNANDEZ CONTRERAS JOSE FERNAN'!P$37:P$39,'KM POR UNIDAD'!A29,'HERNANDEZ CONTRERAS JOSE FERNAN'!U$37:U$39)+SUMIF('SALAZAR PEREZ JUAN CARLOS'!P$38:P$40,'KM POR UNIDAD'!A29,'SALAZAR PEREZ JUAN CARLOS'!U$38:U$40)+SUMIF('HARO IMPERIAL JOSÉ ANTONIO'!P$41:P$43,'KM POR UNIDAD'!A29,'HARO IMPERIAL JOSÉ ANTONIO'!U$41:$U69)+SUMIF('ESCARCEGA GALDEAN JESUS OMAR'!P$38:P$40,'KM POR UNIDAD'!A29,'ESCARCEGA GALDEAN JESUS OMAR'!U$38:U$40)</f>
        <v>0</v>
      </c>
      <c r="C29" s="166">
        <f>+SUMIF('LIRA TRISTAN JOSE ANGEL'!P$36:P$38,'KM POR UNIDAD'!A29,'LIRA TRISTAN JOSE ANGEL'!T$36:T$38)+SUMIF('TORRES GARAY LUIS HUMBERTO'!P$38:P$40,'KM POR UNIDAD'!A29,'TORRES GARAY LUIS HUMBERTO'!T$38:T$40)+SUMIF('CERDA HERNANDEZ JOSE LUIS'!P$35:P$37,'KM POR UNIDAD'!A29,'CERDA HERNANDEZ JOSE LUIS'!T$35:T$37)+SUMIF('RUIZ ALVARADO PEDRO'!P$32:P$34,'KM POR UNIDAD'!A29,'RUIZ ALVARADO PEDRO'!T$32:T$34)+SUMIF('NEVAREZ JUAN MANUEL'!P$37:P$39,'KM POR UNIDAD'!A29,'NEVAREZ JUAN MANUEL'!T$37:T$39)+SUMIF('CHAVEZ VARELA NESTOR ADRIAN'!P$35:P$37,'KM POR UNIDAD'!A29,'CHAVEZ VARELA NESTOR ADRIAN'!T$35:T$37)+SUMIF('PAYAN ESTRADA JOSE ANGEL'!P$37:P$39,'KM POR UNIDAD'!A29,'PAYAN ESTRADA JOSE ANGEL'!T$37:T$39)+SUMIF('RUIZ HERRERA ERICK '!P$33:P$35,'KM POR UNIDAD'!A29,'RUIZ HERRERA ERICK '!T$33:T$35)+SUMIF('GONZALEZ LOZANO ENRIQUE '!P$38:P$40,'KM POR UNIDAD'!A29,'GONZALEZ LOZANO ENRIQUE '!T$38:T$40)+SUMIF('GONZALEZ MARTINEZ MAURICIO'!P$38:P$40,'KM POR UNIDAD'!A29,'GONZALEZ MARTINEZ MAURICIO'!T$38:T$40)+SUMIF('GONZALEZ SOTO JOEL'!P$39:P$41,'KM POR UNIDAD'!A29,'GONZALEZ SOTO JOEL'!T$39:T$41)+SUMIF('MARTA RUBIO MARTIN'!P$39:P$41,'KM POR UNIDAD'!A29,'MARTA RUBIO MARTIN'!T$39:T$41)+SUMIF('GRIJALVA VALDEZ CESAR EUSEBIO'!P$35:P$37,'KM POR UNIDAD'!A29,'GRIJALVA VALDEZ CESAR EUSEBIO'!T$35:T$37)+SUMIF('PACHECO BAÑUELOS ALFONSO'!P$39:P$41,'KM POR UNIDAD'!A29,'PACHECO BAÑUELOS ALFONSO'!T$39:T$41)+SUMIF('RODRIGUEZ VALLES JOSE FRANCISCO'!P$40:P$42,'KM POR UNIDAD'!A29,'RODRIGUEZ VALLES JOSE FRANCISCO'!T$40:T$42)+SUMIF('SANCHEZ GUERRERO JOSE LUIS'!P$40:P$42,A29,'SANCHEZ GUERRERO JOSE LUIS'!T$40:T$42)+SUMIF('RUEDA SALAZAR ISMAEL'!P$35:P$37,'KM POR UNIDAD'!A29,'RUEDA SALAZAR ISMAEL'!T$35:T$37)+SUMIF('GUZMAN MORALES'!P$40:P$42,'KM POR UNIDAD'!A29,'GUZMAN MORALES'!T$40:T$42)+SUMIF('RODRIGUEZ RAMIREZ FERNANDO'!P$35:P$37,'KM POR UNIDAD'!A29,'RODRIGUEZ RAMIREZ FERNANDO'!T$35:T$37)+SUMIF('ESTRADA ARELLANO ARTURO'!P$40:P$42,'KM POR UNIDAD'!A29,'ESTRADA ARELLANO ARTURO'!T$40:T$42)+SUMIF('HERNANDEZ CONTRERAS JOSE FERNAN'!P$37:P$39,'KM POR UNIDAD'!A29,'HERNANDEZ CONTRERAS JOSE FERNAN'!T$37:T$39)+SUMIF('SALAZAR PEREZ JUAN CARLOS'!P$38:P$40,'KM POR UNIDAD'!A29,'SALAZAR PEREZ JUAN CARLOS'!T$38:T$40)+SUMIF('HARO IMPERIAL JOSÉ ANTONIO'!P$41:P$43,'KM POR UNIDAD'!A29,'HARO IMPERIAL JOSÉ ANTONIO'!T$41:T$43)+SUMIF('ESCARCEGA GALDEAN JESUS OMAR'!P$38:P$40,'KM POR UNIDAD'!A29,'ESCARCEGA GALDEAN JESUS OMAR'!T$38:T$40)</f>
        <v>0</v>
      </c>
      <c r="D29" s="189">
        <f>+SUMIF('LIRA TRISTAN JOSE ANGEL'!P$36:P$38,'KM POR UNIDAD'!A29,'LIRA TRISTAN JOSE ANGEL'!V$36:V$38)+SUMIF('TORRES GARAY LUIS HUMBERTO'!P$38:P$40,'KM POR UNIDAD'!A29,'TORRES GARAY LUIS HUMBERTO'!V$38:V$40)+SUMIF('CERDA HERNANDEZ JOSE LUIS'!P$35:P$37,'KM POR UNIDAD'!A29,'CERDA HERNANDEZ JOSE LUIS'!V$35:V$37)+SUMIF('RUIZ ALVARADO PEDRO'!P$32:P$34,'KM POR UNIDAD'!A29,'RUIZ ALVARADO PEDRO'!V$32:V$34)+SUMIF('NEVAREZ JUAN MANUEL'!P$37:P$39,'KM POR UNIDAD'!A29,'NEVAREZ JUAN MANUEL'!V$37:V$39)+SUMIF('CHAVEZ VARELA NESTOR ADRIAN'!P$35:P$37,'KM POR UNIDAD'!A29,'CHAVEZ VARELA NESTOR ADRIAN'!V$35:V$37)+SUMIF('PAYAN ESTRADA JOSE ANGEL'!P$37:P$39,'KM POR UNIDAD'!A29,'PAYAN ESTRADA JOSE ANGEL'!V$37:V$39)+SUMIF('RUIZ HERRERA ERICK '!P$33:P$35,'KM POR UNIDAD'!A29,'RUIZ HERRERA ERICK '!V$33:V$35)+SUMIF('GONZALEZ LOZANO ENRIQUE '!P$38:P$40,'KM POR UNIDAD'!A29,'GONZALEZ LOZANO ENRIQUE '!V$38:V$40)+SUMIF('GONZALEZ MARTINEZ MAURICIO'!P$38:P$40,'KM POR UNIDAD'!A29,'GONZALEZ MARTINEZ MAURICIO'!V$38:V$40)+SUMIF('GONZALEZ SOTO JOEL'!P$39:P$41,'KM POR UNIDAD'!A29,'GONZALEZ SOTO JOEL'!V$39:V$41)+SUMIF('MARTA RUBIO MARTIN'!P$39:P$41,'KM POR UNIDAD'!A29,'MARTA RUBIO MARTIN'!V$39:V$41)+SUMIF('GRIJALVA VALDEZ CESAR EUSEBIO'!P$35:P$37,'KM POR UNIDAD'!A29,'GRIJALVA VALDEZ CESAR EUSEBIO'!V$35:V$37)+SUMIF('PACHECO BAÑUELOS ALFONSO'!P$39:P$41,'KM POR UNIDAD'!A29,'PACHECO BAÑUELOS ALFONSO'!V$39:V$41)+SUMIF('RODRIGUEZ VALLES JOSE FRANCISCO'!P$40:P$42,'KM POR UNIDAD'!A29,'RODRIGUEZ VALLES JOSE FRANCISCO'!V$40:V$42)+SUMIF('SANCHEZ GUERRERO JOSE LUIS'!P$40:P$42,A29,'SANCHEZ GUERRERO JOSE LUIS'!V$40:V$42)+SUMIF('RUEDA SALAZAR ISMAEL'!P$35:P$37,'KM POR UNIDAD'!A29,'RUEDA SALAZAR ISMAEL'!V$35:V$37)+SUMIF('GUZMAN MORALES'!P$40:P$42,'KM POR UNIDAD'!A29,'GUZMAN MORALES'!V$40:V$42)+SUMIF('RODRIGUEZ RAMIREZ FERNANDO'!P$35:P$37,'KM POR UNIDAD'!A29,'RODRIGUEZ RAMIREZ FERNANDO'!V$35:V$37)+SUMIF('ESTRADA ARELLANO ARTURO'!P$40:P$42,'KM POR UNIDAD'!A29,'ESTRADA ARELLANO ARTURO'!V$40:V$42)+SUMIF('HERNANDEZ CONTRERAS JOSE FERNAN'!P$37:P$39,'KM POR UNIDAD'!A29,'HERNANDEZ CONTRERAS JOSE FERNAN'!V$38:V$40)+SUMIF('SALAZAR PEREZ JUAN CARLOS'!P$38:P$40,'KM POR UNIDAD'!A29,'SALAZAR PEREZ JUAN CARLOS'!V$38:V$40)+SUMIF('HARO IMPERIAL JOSÉ ANTONIO'!P$41:P$43,'KM POR UNIDAD'!A29,'HARO IMPERIAL JOSÉ ANTONIO'!V$41:V$43)+SUMIF('ESCARCEGA GALDEAN JESUS OMAR'!P$38:P$40,'KM POR UNIDAD'!A29,'ESCARCEGA GALDEAN JESUS OMAR'!V$38:V$40)</f>
        <v>0</v>
      </c>
      <c r="E29" s="167">
        <f>IFERROR(B29/D29,0)</f>
        <v>0</v>
      </c>
      <c r="F29" s="168">
        <v>0</v>
      </c>
      <c r="G29" s="168">
        <v>0</v>
      </c>
      <c r="H29" s="168">
        <v>0</v>
      </c>
      <c r="I29" s="169">
        <f t="shared" si="0"/>
        <v>0</v>
      </c>
      <c r="J29" s="170"/>
      <c r="K29" s="171"/>
    </row>
    <row r="30" spans="1:11" x14ac:dyDescent="0.25">
      <c r="A30" s="165" t="s">
        <v>91</v>
      </c>
      <c r="B30" s="166">
        <f>SUMIF('LIRA TRISTAN JOSE ANGEL'!P$36:P$38,'KM POR UNIDAD'!A30,'LIRA TRISTAN JOSE ANGEL'!U$36:U$38)+SUMIF('TORRES GARAY LUIS HUMBERTO'!P$38:P$40,'KM POR UNIDAD'!A30,'TORRES GARAY LUIS HUMBERTO'!U$38:U$40)+SUMIF('CERDA HERNANDEZ JOSE LUIS'!P$35:P$37,'KM POR UNIDAD'!A30,'CERDA HERNANDEZ JOSE LUIS'!U$35:U$37)+SUMIF('RUIZ ALVARADO PEDRO'!P$32:P$34,'KM POR UNIDAD'!A30,'RUIZ ALVARADO PEDRO'!U$32:U$34)+SUMIF('NEVAREZ JUAN MANUEL'!P$37:P$39,'KM POR UNIDAD'!A30,'NEVAREZ JUAN MANUEL'!U$37:U$39)+SUMIF('CHAVEZ VARELA NESTOR ADRIAN'!P$35:P$37,'KM POR UNIDAD'!A30,'CHAVEZ VARELA NESTOR ADRIAN'!U$35:U$37)+SUMIF('PAYAN ESTRADA JOSE ANGEL'!P$37:P$39,'KM POR UNIDAD'!A30,'PAYAN ESTRADA JOSE ANGEL'!U$37:U$39)+SUMIF('RUIZ HERRERA ERICK '!P$33:P$35,'KM POR UNIDAD'!A30,'RUIZ HERRERA ERICK '!U$33:U$35)+SUMIF('GONZALEZ LOZANO ENRIQUE '!P$38:P$40,'KM POR UNIDAD'!A30,'GONZALEZ LOZANO ENRIQUE '!U$38:U$40)+SUMIF('GONZALEZ MARTINEZ MAURICIO'!P$38:P$40,'KM POR UNIDAD'!A30,'GONZALEZ MARTINEZ MAURICIO'!U$38:U$40)+SUMIF('GONZALEZ SOTO JOEL'!P$39:P$41,'KM POR UNIDAD'!A30,'GONZALEZ SOTO JOEL'!U$39:U$41)+SUMIF('MARTA RUBIO MARTIN'!P$39:P$41,'KM POR UNIDAD'!A30,'MARTA RUBIO MARTIN'!U$39:U$41)+SUMIF('GRIJALVA VALDEZ CESAR EUSEBIO'!P$35:P$37,'KM POR UNIDAD'!A30,'GRIJALVA VALDEZ CESAR EUSEBIO'!U$35:U$37)+SUMIF('PACHECO BAÑUELOS ALFONSO'!P$39:P$41,'KM POR UNIDAD'!A30,'PACHECO BAÑUELOS ALFONSO'!U$39:U$41)+SUMIF('RODRIGUEZ VALLES JOSE FRANCISCO'!P$40:P$42,'KM POR UNIDAD'!A30,'RODRIGUEZ VALLES JOSE FRANCISCO'!U$40:U$42)+SUMIF('SANCHEZ GUERRERO JOSE LUIS'!P$40:P$42,A30,'SANCHEZ GUERRERO JOSE LUIS'!U$40:U$42)+SUMIF('RUEDA SALAZAR ISMAEL'!P$35:P$37,'KM POR UNIDAD'!A30,'RUEDA SALAZAR ISMAEL'!U$35:U$37)+SUMIF('GUZMAN MORALES'!P$40:P$42,'KM POR UNIDAD'!A30,'GUZMAN MORALES'!U$40:U$42)+SUMIF('RODRIGUEZ RAMIREZ FERNANDO'!P$35:P$37,'KM POR UNIDAD'!A30,'RODRIGUEZ RAMIREZ FERNANDO'!U$35:U$37)+SUMIF('ESTRADA ARELLANO ARTURO'!P$40:P$42,'KM POR UNIDAD'!A30,'ESTRADA ARELLANO ARTURO'!U$40:U$42)+SUMIF('HERNANDEZ CONTRERAS JOSE FERNAN'!P$37:P$39,'KM POR UNIDAD'!A30,'HERNANDEZ CONTRERAS JOSE FERNAN'!U$37:U$39)+SUMIF('SALAZAR PEREZ JUAN CARLOS'!P$38:P$40,'KM POR UNIDAD'!A30,'SALAZAR PEREZ JUAN CARLOS'!U$38:U$40)+SUMIF('HARO IMPERIAL JOSÉ ANTONIO'!P$41:P$43,'KM POR UNIDAD'!A30,'HARO IMPERIAL JOSÉ ANTONIO'!U$41:$U70)+SUMIF('ESCARCEGA GALDEAN JESUS OMAR'!P$38:P$40,'KM POR UNIDAD'!A30,'ESCARCEGA GALDEAN JESUS OMAR'!U$38:U$40)</f>
        <v>0</v>
      </c>
      <c r="C30" s="166">
        <f>+SUMIF('LIRA TRISTAN JOSE ANGEL'!P$36:P$38,'KM POR UNIDAD'!A30,'LIRA TRISTAN JOSE ANGEL'!T$36:T$38)+SUMIF('TORRES GARAY LUIS HUMBERTO'!P$38:P$40,'KM POR UNIDAD'!A30,'TORRES GARAY LUIS HUMBERTO'!T$38:T$40)+SUMIF('CERDA HERNANDEZ JOSE LUIS'!P$35:P$37,'KM POR UNIDAD'!A30,'CERDA HERNANDEZ JOSE LUIS'!T$35:T$37)+SUMIF('RUIZ ALVARADO PEDRO'!P$32:P$34,'KM POR UNIDAD'!A30,'RUIZ ALVARADO PEDRO'!T$32:T$34)+SUMIF('NEVAREZ JUAN MANUEL'!P$37:P$39,'KM POR UNIDAD'!A30,'NEVAREZ JUAN MANUEL'!T$37:T$39)+SUMIF('CHAVEZ VARELA NESTOR ADRIAN'!P$35:P$37,'KM POR UNIDAD'!A30,'CHAVEZ VARELA NESTOR ADRIAN'!T$35:T$37)+SUMIF('PAYAN ESTRADA JOSE ANGEL'!P$37:P$39,'KM POR UNIDAD'!A30,'PAYAN ESTRADA JOSE ANGEL'!T$37:T$39)+SUMIF('RUIZ HERRERA ERICK '!P$33:P$35,'KM POR UNIDAD'!A30,'RUIZ HERRERA ERICK '!T$33:T$35)+SUMIF('GONZALEZ LOZANO ENRIQUE '!P$38:P$40,'KM POR UNIDAD'!A30,'GONZALEZ LOZANO ENRIQUE '!T$38:T$40)+SUMIF('GONZALEZ MARTINEZ MAURICIO'!P$38:P$40,'KM POR UNIDAD'!A30,'GONZALEZ MARTINEZ MAURICIO'!T$38:T$40)+SUMIF('GONZALEZ SOTO JOEL'!P$39:P$41,'KM POR UNIDAD'!A30,'GONZALEZ SOTO JOEL'!T$39:T$41)+SUMIF('MARTA RUBIO MARTIN'!P$39:P$41,'KM POR UNIDAD'!A30,'MARTA RUBIO MARTIN'!T$39:T$41)+SUMIF('GRIJALVA VALDEZ CESAR EUSEBIO'!P$35:P$37,'KM POR UNIDAD'!A30,'GRIJALVA VALDEZ CESAR EUSEBIO'!T$35:T$37)+SUMIF('PACHECO BAÑUELOS ALFONSO'!P$39:P$41,'KM POR UNIDAD'!A30,'PACHECO BAÑUELOS ALFONSO'!T$39:T$41)+SUMIF('RODRIGUEZ VALLES JOSE FRANCISCO'!P$40:P$42,'KM POR UNIDAD'!A30,'RODRIGUEZ VALLES JOSE FRANCISCO'!T$40:T$42)+SUMIF('SANCHEZ GUERRERO JOSE LUIS'!P$40:P$42,A30,'SANCHEZ GUERRERO JOSE LUIS'!T$40:T$42)+SUMIF('RUEDA SALAZAR ISMAEL'!P$35:P$37,'KM POR UNIDAD'!A30,'RUEDA SALAZAR ISMAEL'!T$35:T$37)+SUMIF('GUZMAN MORALES'!P$40:P$42,'KM POR UNIDAD'!A30,'GUZMAN MORALES'!T$40:T$42)+SUMIF('RODRIGUEZ RAMIREZ FERNANDO'!P$35:P$37,'KM POR UNIDAD'!A30,'RODRIGUEZ RAMIREZ FERNANDO'!T$35:T$37)+SUMIF('ESTRADA ARELLANO ARTURO'!P$40:P$42,'KM POR UNIDAD'!A30,'ESTRADA ARELLANO ARTURO'!T$40:T$42)+SUMIF('HERNANDEZ CONTRERAS JOSE FERNAN'!P$37:P$39,'KM POR UNIDAD'!A30,'HERNANDEZ CONTRERAS JOSE FERNAN'!T$37:T$39)+SUMIF('SALAZAR PEREZ JUAN CARLOS'!P$38:P$40,'KM POR UNIDAD'!A30,'SALAZAR PEREZ JUAN CARLOS'!T$38:T$40)+SUMIF('HARO IMPERIAL JOSÉ ANTONIO'!P$41:P$43,'KM POR UNIDAD'!A30,'HARO IMPERIAL JOSÉ ANTONIO'!T$41:T$43)+SUMIF('ESCARCEGA GALDEAN JESUS OMAR'!P$38:P$40,'KM POR UNIDAD'!A30,'ESCARCEGA GALDEAN JESUS OMAR'!T$38:T$40)</f>
        <v>0</v>
      </c>
      <c r="D30" s="189">
        <f>+SUMIF('LIRA TRISTAN JOSE ANGEL'!P$36:P$38,'KM POR UNIDAD'!A30,'LIRA TRISTAN JOSE ANGEL'!V$36:V$38)+SUMIF('TORRES GARAY LUIS HUMBERTO'!P$38:P$40,'KM POR UNIDAD'!A30,'TORRES GARAY LUIS HUMBERTO'!V$38:V$40)+SUMIF('CERDA HERNANDEZ JOSE LUIS'!P$35:P$37,'KM POR UNIDAD'!A30,'CERDA HERNANDEZ JOSE LUIS'!V$35:V$37)+SUMIF('RUIZ ALVARADO PEDRO'!P$32:P$34,'KM POR UNIDAD'!A30,'RUIZ ALVARADO PEDRO'!V$32:V$34)+SUMIF('NEVAREZ JUAN MANUEL'!P$37:P$39,'KM POR UNIDAD'!A30,'NEVAREZ JUAN MANUEL'!V$37:V$39)+SUMIF('CHAVEZ VARELA NESTOR ADRIAN'!P$35:P$37,'KM POR UNIDAD'!A30,'CHAVEZ VARELA NESTOR ADRIAN'!V$35:V$37)+SUMIF('PAYAN ESTRADA JOSE ANGEL'!P$37:P$39,'KM POR UNIDAD'!A30,'PAYAN ESTRADA JOSE ANGEL'!V$37:V$39)+SUMIF('RUIZ HERRERA ERICK '!P$33:P$35,'KM POR UNIDAD'!A30,'RUIZ HERRERA ERICK '!V$33:V$35)+SUMIF('GONZALEZ LOZANO ENRIQUE '!P$38:P$40,'KM POR UNIDAD'!A30,'GONZALEZ LOZANO ENRIQUE '!V$38:V$40)+SUMIF('GONZALEZ MARTINEZ MAURICIO'!P$38:P$40,'KM POR UNIDAD'!A30,'GONZALEZ MARTINEZ MAURICIO'!V$38:V$40)+SUMIF('GONZALEZ SOTO JOEL'!P$39:P$41,'KM POR UNIDAD'!A30,'GONZALEZ SOTO JOEL'!V$39:V$41)+SUMIF('MARTA RUBIO MARTIN'!P$39:P$41,'KM POR UNIDAD'!A30,'MARTA RUBIO MARTIN'!V$39:V$41)+SUMIF('GRIJALVA VALDEZ CESAR EUSEBIO'!P$35:P$37,'KM POR UNIDAD'!A30,'GRIJALVA VALDEZ CESAR EUSEBIO'!V$35:V$37)+SUMIF('PACHECO BAÑUELOS ALFONSO'!P$39:P$41,'KM POR UNIDAD'!A30,'PACHECO BAÑUELOS ALFONSO'!V$39:V$41)+SUMIF('RODRIGUEZ VALLES JOSE FRANCISCO'!P$40:P$42,'KM POR UNIDAD'!A30,'RODRIGUEZ VALLES JOSE FRANCISCO'!V$40:V$42)+SUMIF('SANCHEZ GUERRERO JOSE LUIS'!P$40:P$42,A30,'SANCHEZ GUERRERO JOSE LUIS'!V$40:V$42)+SUMIF('RUEDA SALAZAR ISMAEL'!P$35:P$37,'KM POR UNIDAD'!A30,'RUEDA SALAZAR ISMAEL'!V$35:V$37)+SUMIF('GUZMAN MORALES'!P$40:P$42,'KM POR UNIDAD'!A30,'GUZMAN MORALES'!V$40:V$42)+SUMIF('RODRIGUEZ RAMIREZ FERNANDO'!P$35:P$37,'KM POR UNIDAD'!A30,'RODRIGUEZ RAMIREZ FERNANDO'!V$35:V$37)+SUMIF('ESTRADA ARELLANO ARTURO'!P$40:P$42,'KM POR UNIDAD'!A30,'ESTRADA ARELLANO ARTURO'!V$40:V$42)+SUMIF('HERNANDEZ CONTRERAS JOSE FERNAN'!P$37:P$39,'KM POR UNIDAD'!A30,'HERNANDEZ CONTRERAS JOSE FERNAN'!V$38:V$40)+SUMIF('SALAZAR PEREZ JUAN CARLOS'!P$38:P$40,'KM POR UNIDAD'!A30,'SALAZAR PEREZ JUAN CARLOS'!V$38:V$40)+SUMIF('HARO IMPERIAL JOSÉ ANTONIO'!P$41:P$43,'KM POR UNIDAD'!A30,'HARO IMPERIAL JOSÉ ANTONIO'!V$41:V$43)+SUMIF('ESCARCEGA GALDEAN JESUS OMAR'!P$38:P$40,'KM POR UNIDAD'!A30,'ESCARCEGA GALDEAN JESUS OMAR'!V$38:V$40)</f>
        <v>0</v>
      </c>
      <c r="E30" s="167">
        <f t="shared" si="1"/>
        <v>0</v>
      </c>
      <c r="F30" s="168">
        <v>0</v>
      </c>
      <c r="G30" s="168">
        <v>0</v>
      </c>
      <c r="H30" s="168">
        <v>0</v>
      </c>
      <c r="I30" s="169">
        <f t="shared" si="0"/>
        <v>0</v>
      </c>
      <c r="J30" s="170"/>
      <c r="K30" s="171"/>
    </row>
    <row r="31" spans="1:11" x14ac:dyDescent="0.25">
      <c r="A31" s="165" t="s">
        <v>111</v>
      </c>
      <c r="B31" s="166">
        <f>SUMIF('LIRA TRISTAN JOSE ANGEL'!P$36:P$38,'KM POR UNIDAD'!A31,'LIRA TRISTAN JOSE ANGEL'!U$36:U$38)+SUMIF('TORRES GARAY LUIS HUMBERTO'!P$38:P$40,'KM POR UNIDAD'!A31,'TORRES GARAY LUIS HUMBERTO'!U$38:U$40)+SUMIF('CERDA HERNANDEZ JOSE LUIS'!P$35:P$37,'KM POR UNIDAD'!A31,'CERDA HERNANDEZ JOSE LUIS'!U$35:U$37)+SUMIF('RUIZ ALVARADO PEDRO'!P$32:P$34,'KM POR UNIDAD'!A31,'RUIZ ALVARADO PEDRO'!U$32:U$34)+SUMIF('NEVAREZ JUAN MANUEL'!P$37:P$39,'KM POR UNIDAD'!A31,'NEVAREZ JUAN MANUEL'!U$37:U$39)+SUMIF('CHAVEZ VARELA NESTOR ADRIAN'!P$35:P$37,'KM POR UNIDAD'!A31,'CHAVEZ VARELA NESTOR ADRIAN'!U$35:U$37)+SUMIF('PAYAN ESTRADA JOSE ANGEL'!P$37:P$39,'KM POR UNIDAD'!A31,'PAYAN ESTRADA JOSE ANGEL'!U$37:U$39)+SUMIF('RUIZ HERRERA ERICK '!P$33:P$35,'KM POR UNIDAD'!A31,'RUIZ HERRERA ERICK '!U$33:U$35)+SUMIF('GONZALEZ LOZANO ENRIQUE '!P$38:P$40,'KM POR UNIDAD'!A31,'GONZALEZ LOZANO ENRIQUE '!U$38:U$40)+SUMIF('GONZALEZ MARTINEZ MAURICIO'!P$38:P$40,'KM POR UNIDAD'!A31,'GONZALEZ MARTINEZ MAURICIO'!U$38:U$40)+SUMIF('GONZALEZ SOTO JOEL'!P$39:P$41,'KM POR UNIDAD'!A31,'GONZALEZ SOTO JOEL'!U$39:U$41)+SUMIF('MARTA RUBIO MARTIN'!P$39:P$41,'KM POR UNIDAD'!A31,'MARTA RUBIO MARTIN'!U$39:U$41)+SUMIF('GRIJALVA VALDEZ CESAR EUSEBIO'!P$35:P$37,'KM POR UNIDAD'!A31,'GRIJALVA VALDEZ CESAR EUSEBIO'!U$35:U$37)+SUMIF('PACHECO BAÑUELOS ALFONSO'!P$39:P$41,'KM POR UNIDAD'!A31,'PACHECO BAÑUELOS ALFONSO'!U$39:U$41)+SUMIF('RODRIGUEZ VALLES JOSE FRANCISCO'!P$40:P$42,'KM POR UNIDAD'!A31,'RODRIGUEZ VALLES JOSE FRANCISCO'!U$40:U$42)+SUMIF('SANCHEZ GUERRERO JOSE LUIS'!P$40:P$42,A31,'SANCHEZ GUERRERO JOSE LUIS'!U$40:U$42)+SUMIF('RUEDA SALAZAR ISMAEL'!P$35:P$37,'KM POR UNIDAD'!A31,'RUEDA SALAZAR ISMAEL'!U$35:U$37)+SUMIF('GUZMAN MORALES'!P$40:P$42,'KM POR UNIDAD'!A31,'GUZMAN MORALES'!U$40:U$42)+SUMIF('RODRIGUEZ RAMIREZ FERNANDO'!P$35:P$37,'KM POR UNIDAD'!A31,'RODRIGUEZ RAMIREZ FERNANDO'!U$35:U$37)+SUMIF('ESTRADA ARELLANO ARTURO'!P$40:P$42,'KM POR UNIDAD'!A31,'ESTRADA ARELLANO ARTURO'!U$40:U$42)+SUMIF('HERNANDEZ CONTRERAS JOSE FERNAN'!P$37:P$39,'KM POR UNIDAD'!A31,'HERNANDEZ CONTRERAS JOSE FERNAN'!U$37:U$39)+SUMIF('SALAZAR PEREZ JUAN CARLOS'!P$38:P$40,'KM POR UNIDAD'!A31,'SALAZAR PEREZ JUAN CARLOS'!U$38:U$40)+SUMIF('HARO IMPERIAL JOSÉ ANTONIO'!P$41:P$43,'KM POR UNIDAD'!A31,'HARO IMPERIAL JOSÉ ANTONIO'!U$41:$U72)+SUMIF('ESCARCEGA GALDEAN JESUS OMAR'!P$38:P$40,'KM POR UNIDAD'!A31,'ESCARCEGA GALDEAN JESUS OMAR'!U$38:U$40)</f>
        <v>0</v>
      </c>
      <c r="C31" s="166">
        <f>+SUMIF('LIRA TRISTAN JOSE ANGEL'!P$36:P$38,'KM POR UNIDAD'!A31,'LIRA TRISTAN JOSE ANGEL'!T$36:T$38)+SUMIF('TORRES GARAY LUIS HUMBERTO'!P$38:P$40,'KM POR UNIDAD'!A31,'TORRES GARAY LUIS HUMBERTO'!T$38:T$40)+SUMIF('CERDA HERNANDEZ JOSE LUIS'!P$35:P$37,'KM POR UNIDAD'!A31,'CERDA HERNANDEZ JOSE LUIS'!T$35:T$37)+SUMIF('RUIZ ALVARADO PEDRO'!P$32:P$34,'KM POR UNIDAD'!A31,'RUIZ ALVARADO PEDRO'!T$32:T$34)+SUMIF('NEVAREZ JUAN MANUEL'!P$37:P$39,'KM POR UNIDAD'!A31,'NEVAREZ JUAN MANUEL'!T$37:T$39)+SUMIF('CHAVEZ VARELA NESTOR ADRIAN'!P$35:P$37,'KM POR UNIDAD'!A31,'CHAVEZ VARELA NESTOR ADRIAN'!T$35:T$37)+SUMIF('PAYAN ESTRADA JOSE ANGEL'!P$37:P$39,'KM POR UNIDAD'!A31,'PAYAN ESTRADA JOSE ANGEL'!T$37:T$39)+SUMIF('RUIZ HERRERA ERICK '!P$33:P$35,'KM POR UNIDAD'!A31,'RUIZ HERRERA ERICK '!T$33:T$35)+SUMIF('GONZALEZ LOZANO ENRIQUE '!P$38:P$40,'KM POR UNIDAD'!A31,'GONZALEZ LOZANO ENRIQUE '!T$38:T$40)+SUMIF('GONZALEZ MARTINEZ MAURICIO'!P$38:P$40,'KM POR UNIDAD'!A31,'GONZALEZ MARTINEZ MAURICIO'!T$38:T$40)+SUMIF('GONZALEZ SOTO JOEL'!P$39:P$41,'KM POR UNIDAD'!A31,'GONZALEZ SOTO JOEL'!T$39:T$41)+SUMIF('MARTA RUBIO MARTIN'!P$39:P$41,'KM POR UNIDAD'!A31,'MARTA RUBIO MARTIN'!T$39:T$41)+SUMIF('GRIJALVA VALDEZ CESAR EUSEBIO'!P$35:P$37,'KM POR UNIDAD'!A31,'GRIJALVA VALDEZ CESAR EUSEBIO'!T$35:T$37)+SUMIF('PACHECO BAÑUELOS ALFONSO'!P$39:P$41,'KM POR UNIDAD'!A31,'PACHECO BAÑUELOS ALFONSO'!T$39:T$41)+SUMIF('RODRIGUEZ VALLES JOSE FRANCISCO'!P$40:P$42,'KM POR UNIDAD'!A31,'RODRIGUEZ VALLES JOSE FRANCISCO'!T$40:T$42)+SUMIF('SANCHEZ GUERRERO JOSE LUIS'!P$40:P$42,A31,'SANCHEZ GUERRERO JOSE LUIS'!T$40:T$42)+SUMIF('RUEDA SALAZAR ISMAEL'!P$35:P$37,'KM POR UNIDAD'!A31,'RUEDA SALAZAR ISMAEL'!T$35:T$37)+SUMIF('GUZMAN MORALES'!P$40:P$42,'KM POR UNIDAD'!A31,'GUZMAN MORALES'!T$40:T$42)+SUMIF('RODRIGUEZ RAMIREZ FERNANDO'!P$35:P$37,'KM POR UNIDAD'!A31,'RODRIGUEZ RAMIREZ FERNANDO'!T$35:T$37)+SUMIF('ESTRADA ARELLANO ARTURO'!P$40:P$42,'KM POR UNIDAD'!A31,'ESTRADA ARELLANO ARTURO'!T$40:T$42)+SUMIF('HERNANDEZ CONTRERAS JOSE FERNAN'!P$37:P$39,'KM POR UNIDAD'!A31,'HERNANDEZ CONTRERAS JOSE FERNAN'!T$37:T$39)+SUMIF('SALAZAR PEREZ JUAN CARLOS'!P$38:P$40,'KM POR UNIDAD'!A31,'SALAZAR PEREZ JUAN CARLOS'!T$38:T$40)+SUMIF('HARO IMPERIAL JOSÉ ANTONIO'!P$41:P$43,'KM POR UNIDAD'!A31,'HARO IMPERIAL JOSÉ ANTONIO'!T$41:T$43)+SUMIF('ESCARCEGA GALDEAN JESUS OMAR'!P$38:P$40,'KM POR UNIDAD'!A31,'ESCARCEGA GALDEAN JESUS OMAR'!T$38:T$40)</f>
        <v>0</v>
      </c>
      <c r="D31" s="189">
        <f>+SUMIF('LIRA TRISTAN JOSE ANGEL'!P$36:P$38,'KM POR UNIDAD'!A31,'LIRA TRISTAN JOSE ANGEL'!V$36:V$38)+SUMIF('TORRES GARAY LUIS HUMBERTO'!P$38:P$40,'KM POR UNIDAD'!A31,'TORRES GARAY LUIS HUMBERTO'!V$38:V$40)+SUMIF('CERDA HERNANDEZ JOSE LUIS'!P$35:P$37,'KM POR UNIDAD'!A31,'CERDA HERNANDEZ JOSE LUIS'!V$35:V$37)+SUMIF('RUIZ ALVARADO PEDRO'!P$32:P$34,'KM POR UNIDAD'!A31,'RUIZ ALVARADO PEDRO'!V$32:V$34)+SUMIF('NEVAREZ JUAN MANUEL'!P$37:P$39,'KM POR UNIDAD'!A31,'NEVAREZ JUAN MANUEL'!V$37:V$39)+SUMIF('CHAVEZ VARELA NESTOR ADRIAN'!P$35:P$37,'KM POR UNIDAD'!A31,'CHAVEZ VARELA NESTOR ADRIAN'!V$35:V$37)+SUMIF('PAYAN ESTRADA JOSE ANGEL'!P$37:P$39,'KM POR UNIDAD'!A31,'PAYAN ESTRADA JOSE ANGEL'!V$37:V$39)+SUMIF('RUIZ HERRERA ERICK '!P$33:P$35,'KM POR UNIDAD'!A31,'RUIZ HERRERA ERICK '!V$33:V$35)+SUMIF('GONZALEZ LOZANO ENRIQUE '!P$38:P$40,'KM POR UNIDAD'!A31,'GONZALEZ LOZANO ENRIQUE '!V$38:V$40)+SUMIF('GONZALEZ MARTINEZ MAURICIO'!P$38:P$40,'KM POR UNIDAD'!A31,'GONZALEZ MARTINEZ MAURICIO'!V$38:V$40)+SUMIF('GONZALEZ SOTO JOEL'!P$39:P$41,'KM POR UNIDAD'!A31,'GONZALEZ SOTO JOEL'!V$39:V$41)+SUMIF('MARTA RUBIO MARTIN'!P$39:P$41,'KM POR UNIDAD'!A31,'MARTA RUBIO MARTIN'!V$39:V$41)+SUMIF('GRIJALVA VALDEZ CESAR EUSEBIO'!P$35:P$37,'KM POR UNIDAD'!A31,'GRIJALVA VALDEZ CESAR EUSEBIO'!V$35:V$37)+SUMIF('PACHECO BAÑUELOS ALFONSO'!P$39:P$41,'KM POR UNIDAD'!A31,'PACHECO BAÑUELOS ALFONSO'!V$39:V$41)+SUMIF('RODRIGUEZ VALLES JOSE FRANCISCO'!P$40:P$42,'KM POR UNIDAD'!A31,'RODRIGUEZ VALLES JOSE FRANCISCO'!V$40:V$42)+SUMIF('SANCHEZ GUERRERO JOSE LUIS'!P$40:P$42,A31,'SANCHEZ GUERRERO JOSE LUIS'!V$40:V$42)+SUMIF('RUEDA SALAZAR ISMAEL'!P$35:P$37,'KM POR UNIDAD'!A31,'RUEDA SALAZAR ISMAEL'!V$35:V$37)+SUMIF('GUZMAN MORALES'!P$40:P$42,'KM POR UNIDAD'!A31,'GUZMAN MORALES'!V$40:V$42)+SUMIF('RODRIGUEZ RAMIREZ FERNANDO'!P$35:P$37,'KM POR UNIDAD'!A31,'RODRIGUEZ RAMIREZ FERNANDO'!V$35:V$37)+SUMIF('ESTRADA ARELLANO ARTURO'!P$40:P$42,'KM POR UNIDAD'!A31,'ESTRADA ARELLANO ARTURO'!V$40:V$42)+SUMIF('HERNANDEZ CONTRERAS JOSE FERNAN'!P$37:P$39,'KM POR UNIDAD'!A31,'HERNANDEZ CONTRERAS JOSE FERNAN'!V$38:V$40)+SUMIF('SALAZAR PEREZ JUAN CARLOS'!P$38:P$40,'KM POR UNIDAD'!A31,'SALAZAR PEREZ JUAN CARLOS'!V$38:V$40)+SUMIF('HARO IMPERIAL JOSÉ ANTONIO'!P$41:P$43,'KM POR UNIDAD'!A31,'HARO IMPERIAL JOSÉ ANTONIO'!V$41:V$43)+SUMIF('ESCARCEGA GALDEAN JESUS OMAR'!P$38:P$40,'KM POR UNIDAD'!A31,'ESCARCEGA GALDEAN JESUS OMAR'!V$38:V$40)</f>
        <v>0</v>
      </c>
      <c r="E31" s="167">
        <f t="shared" si="1"/>
        <v>0</v>
      </c>
      <c r="F31" s="168">
        <v>0</v>
      </c>
      <c r="G31" s="168">
        <v>0</v>
      </c>
      <c r="H31" s="168">
        <v>0</v>
      </c>
      <c r="I31" s="169">
        <f t="shared" si="0"/>
        <v>0</v>
      </c>
      <c r="J31" s="170"/>
      <c r="K31" s="171"/>
    </row>
    <row r="32" spans="1:11" x14ac:dyDescent="0.25">
      <c r="A32" s="165" t="s">
        <v>105</v>
      </c>
      <c r="B32" s="166">
        <f>SUMIF('LIRA TRISTAN JOSE ANGEL'!P$36:P$38,'KM POR UNIDAD'!A32,'LIRA TRISTAN JOSE ANGEL'!U$36:U$38)+SUMIF('TORRES GARAY LUIS HUMBERTO'!P$38:P$40,'KM POR UNIDAD'!A32,'TORRES GARAY LUIS HUMBERTO'!U$38:U$40)+SUMIF('CERDA HERNANDEZ JOSE LUIS'!P$35:P$37,'KM POR UNIDAD'!A32,'CERDA HERNANDEZ JOSE LUIS'!U$35:U$37)+SUMIF('RUIZ ALVARADO PEDRO'!P$32:P$34,'KM POR UNIDAD'!A32,'RUIZ ALVARADO PEDRO'!U$32:U$34)+SUMIF('NEVAREZ JUAN MANUEL'!P$37:P$39,'KM POR UNIDAD'!A32,'NEVAREZ JUAN MANUEL'!U$37:U$39)+SUMIF('CHAVEZ VARELA NESTOR ADRIAN'!P$35:P$37,'KM POR UNIDAD'!A32,'CHAVEZ VARELA NESTOR ADRIAN'!U$35:U$37)+SUMIF('PAYAN ESTRADA JOSE ANGEL'!P$37:P$39,'KM POR UNIDAD'!A32,'PAYAN ESTRADA JOSE ANGEL'!U$37:U$39)+SUMIF('RUIZ HERRERA ERICK '!P$33:P$35,'KM POR UNIDAD'!A32,'RUIZ HERRERA ERICK '!U$33:U$35)+SUMIF('GONZALEZ LOZANO ENRIQUE '!P$38:P$40,'KM POR UNIDAD'!A32,'GONZALEZ LOZANO ENRIQUE '!U$38:U$40)+SUMIF('GONZALEZ MARTINEZ MAURICIO'!P$38:P$40,'KM POR UNIDAD'!A32,'GONZALEZ MARTINEZ MAURICIO'!U$38:U$40)+SUMIF('GONZALEZ SOTO JOEL'!P$39:P$41,'KM POR UNIDAD'!A32,'GONZALEZ SOTO JOEL'!U$39:U$41)+SUMIF('MARTA RUBIO MARTIN'!P$39:P$41,'KM POR UNIDAD'!A32,'MARTA RUBIO MARTIN'!U$39:U$41)+SUMIF('GRIJALVA VALDEZ CESAR EUSEBIO'!P$35:P$37,'KM POR UNIDAD'!A32,'GRIJALVA VALDEZ CESAR EUSEBIO'!U$35:U$37)+SUMIF('PACHECO BAÑUELOS ALFONSO'!P$39:P$41,'KM POR UNIDAD'!A32,'PACHECO BAÑUELOS ALFONSO'!U$39:U$41)+SUMIF('RODRIGUEZ VALLES JOSE FRANCISCO'!P$40:P$42,'KM POR UNIDAD'!A32,'RODRIGUEZ VALLES JOSE FRANCISCO'!U$40:U$42)+SUMIF('SANCHEZ GUERRERO JOSE LUIS'!P$40:P$42,A32,'SANCHEZ GUERRERO JOSE LUIS'!U$40:U$42)+SUMIF('RUEDA SALAZAR ISMAEL'!P$35:P$37,'KM POR UNIDAD'!A32,'RUEDA SALAZAR ISMAEL'!U$35:U$37)+SUMIF('GUZMAN MORALES'!P$40:P$42,'KM POR UNIDAD'!A32,'GUZMAN MORALES'!U$40:U$42)+SUMIF('RODRIGUEZ RAMIREZ FERNANDO'!P$35:P$37,'KM POR UNIDAD'!A32,'RODRIGUEZ RAMIREZ FERNANDO'!U$35:U$37)+SUMIF('ESTRADA ARELLANO ARTURO'!P$40:P$42,'KM POR UNIDAD'!A32,'ESTRADA ARELLANO ARTURO'!U$40:U$42)+SUMIF('HERNANDEZ CONTRERAS JOSE FERNAN'!P$37:P$39,'KM POR UNIDAD'!A32,'HERNANDEZ CONTRERAS JOSE FERNAN'!U$37:U$39)+SUMIF('SALAZAR PEREZ JUAN CARLOS'!P$38:P$40,'KM POR UNIDAD'!A32,'SALAZAR PEREZ JUAN CARLOS'!U$38:U$40)+SUMIF('HARO IMPERIAL JOSÉ ANTONIO'!P$41:P$43,'KM POR UNIDAD'!A32,'HARO IMPERIAL JOSÉ ANTONIO'!U$41:$U73)+SUMIF('ESCARCEGA GALDEAN JESUS OMAR'!P$38:P$40,'KM POR UNIDAD'!A32,'ESCARCEGA GALDEAN JESUS OMAR'!U$38:U$40)</f>
        <v>6787</v>
      </c>
      <c r="C32" s="166">
        <f>+SUMIF('LIRA TRISTAN JOSE ANGEL'!P$36:P$38,'KM POR UNIDAD'!A32,'LIRA TRISTAN JOSE ANGEL'!T$36:T$38)+SUMIF('TORRES GARAY LUIS HUMBERTO'!P$38:P$40,'KM POR UNIDAD'!A32,'TORRES GARAY LUIS HUMBERTO'!T$38:T$40)+SUMIF('CERDA HERNANDEZ JOSE LUIS'!P$35:P$37,'KM POR UNIDAD'!A32,'CERDA HERNANDEZ JOSE LUIS'!T$35:T$37)+SUMIF('RUIZ ALVARADO PEDRO'!P$32:P$34,'KM POR UNIDAD'!A32,'RUIZ ALVARADO PEDRO'!T$32:T$34)+SUMIF('NEVAREZ JUAN MANUEL'!P$37:P$39,'KM POR UNIDAD'!A32,'NEVAREZ JUAN MANUEL'!T$37:T$39)+SUMIF('CHAVEZ VARELA NESTOR ADRIAN'!P$35:P$37,'KM POR UNIDAD'!A32,'CHAVEZ VARELA NESTOR ADRIAN'!T$35:T$37)+SUMIF('PAYAN ESTRADA JOSE ANGEL'!P$37:P$39,'KM POR UNIDAD'!A32,'PAYAN ESTRADA JOSE ANGEL'!T$37:T$39)+SUMIF('RUIZ HERRERA ERICK '!P$33:P$35,'KM POR UNIDAD'!A32,'RUIZ HERRERA ERICK '!T$33:T$35)+SUMIF('GONZALEZ LOZANO ENRIQUE '!P$38:P$40,'KM POR UNIDAD'!A32,'GONZALEZ LOZANO ENRIQUE '!T$38:T$40)+SUMIF('GONZALEZ MARTINEZ MAURICIO'!P$38:P$40,'KM POR UNIDAD'!A32,'GONZALEZ MARTINEZ MAURICIO'!T$38:T$40)+SUMIF('GONZALEZ SOTO JOEL'!P$39:P$41,'KM POR UNIDAD'!A32,'GONZALEZ SOTO JOEL'!T$39:T$41)+SUMIF('MARTA RUBIO MARTIN'!P$39:P$41,'KM POR UNIDAD'!A32,'MARTA RUBIO MARTIN'!T$39:T$41)+SUMIF('GRIJALVA VALDEZ CESAR EUSEBIO'!P$35:P$37,'KM POR UNIDAD'!A32,'GRIJALVA VALDEZ CESAR EUSEBIO'!T$35:T$37)+SUMIF('PACHECO BAÑUELOS ALFONSO'!P$39:P$41,'KM POR UNIDAD'!A32,'PACHECO BAÑUELOS ALFONSO'!T$39:T$41)+SUMIF('RODRIGUEZ VALLES JOSE FRANCISCO'!P$40:P$42,'KM POR UNIDAD'!A32,'RODRIGUEZ VALLES JOSE FRANCISCO'!T$40:T$42)+SUMIF('SANCHEZ GUERRERO JOSE LUIS'!P$40:P$42,A32,'SANCHEZ GUERRERO JOSE LUIS'!T$40:T$42)+SUMIF('RUEDA SALAZAR ISMAEL'!P$35:P$37,'KM POR UNIDAD'!A32,'RUEDA SALAZAR ISMAEL'!T$35:T$37)+SUMIF('GUZMAN MORALES'!P$40:P$42,'KM POR UNIDAD'!A32,'GUZMAN MORALES'!T$40:T$42)+SUMIF('RODRIGUEZ RAMIREZ FERNANDO'!P$35:P$37,'KM POR UNIDAD'!A32,'RODRIGUEZ RAMIREZ FERNANDO'!T$35:T$37)+SUMIF('ESTRADA ARELLANO ARTURO'!P$40:P$42,'KM POR UNIDAD'!A32,'ESTRADA ARELLANO ARTURO'!T$40:T$42)+SUMIF('HERNANDEZ CONTRERAS JOSE FERNAN'!P$37:P$39,'KM POR UNIDAD'!A32,'HERNANDEZ CONTRERAS JOSE FERNAN'!T$37:T$39)+SUMIF('SALAZAR PEREZ JUAN CARLOS'!P$38:P$40,'KM POR UNIDAD'!A32,'SALAZAR PEREZ JUAN CARLOS'!T$38:T$40)+SUMIF('HARO IMPERIAL JOSÉ ANTONIO'!P$41:P$43,'KM POR UNIDAD'!A32,'HARO IMPERIAL JOSÉ ANTONIO'!T$41:T$43)+SUMIF('ESCARCEGA GALDEAN JESUS OMAR'!P$38:P$40,'KM POR UNIDAD'!A32,'ESCARCEGA GALDEAN JESUS OMAR'!T$38:T$40)</f>
        <v>6870</v>
      </c>
      <c r="D32" s="189">
        <f>+SUMIF('LIRA TRISTAN JOSE ANGEL'!P$36:P$38,'KM POR UNIDAD'!A32,'LIRA TRISTAN JOSE ANGEL'!V$36:V$38)+SUMIF('TORRES GARAY LUIS HUMBERTO'!P$38:P$40,'KM POR UNIDAD'!A32,'TORRES GARAY LUIS HUMBERTO'!V$38:V$40)+SUMIF('CERDA HERNANDEZ JOSE LUIS'!P$35:P$37,'KM POR UNIDAD'!A32,'CERDA HERNANDEZ JOSE LUIS'!V$35:V$37)+SUMIF('RUIZ ALVARADO PEDRO'!P$32:P$34,'KM POR UNIDAD'!A32,'RUIZ ALVARADO PEDRO'!V$32:V$34)+SUMIF('NEVAREZ JUAN MANUEL'!P$37:P$39,'KM POR UNIDAD'!A32,'NEVAREZ JUAN MANUEL'!V$37:V$39)+SUMIF('CHAVEZ VARELA NESTOR ADRIAN'!P$35:P$37,'KM POR UNIDAD'!A32,'CHAVEZ VARELA NESTOR ADRIAN'!V$35:V$37)+SUMIF('PAYAN ESTRADA JOSE ANGEL'!P$37:P$39,'KM POR UNIDAD'!A32,'PAYAN ESTRADA JOSE ANGEL'!V$37:V$39)+SUMIF('RUIZ HERRERA ERICK '!P$33:P$35,'KM POR UNIDAD'!A32,'RUIZ HERRERA ERICK '!V$33:V$35)+SUMIF('GONZALEZ LOZANO ENRIQUE '!P$38:P$40,'KM POR UNIDAD'!A32,'GONZALEZ LOZANO ENRIQUE '!V$38:V$40)+SUMIF('GONZALEZ MARTINEZ MAURICIO'!P$38:P$40,'KM POR UNIDAD'!A32,'GONZALEZ MARTINEZ MAURICIO'!V$38:V$40)+SUMIF('GONZALEZ SOTO JOEL'!P$39:P$41,'KM POR UNIDAD'!A32,'GONZALEZ SOTO JOEL'!V$39:V$41)+SUMIF('MARTA RUBIO MARTIN'!P$39:P$41,'KM POR UNIDAD'!A32,'MARTA RUBIO MARTIN'!V$39:V$41)+SUMIF('GRIJALVA VALDEZ CESAR EUSEBIO'!P$35:P$37,'KM POR UNIDAD'!A32,'GRIJALVA VALDEZ CESAR EUSEBIO'!V$35:V$37)+SUMIF('PACHECO BAÑUELOS ALFONSO'!P$39:P$41,'KM POR UNIDAD'!A32,'PACHECO BAÑUELOS ALFONSO'!V$39:V$41)+SUMIF('RODRIGUEZ VALLES JOSE FRANCISCO'!P$40:P$42,'KM POR UNIDAD'!A32,'RODRIGUEZ VALLES JOSE FRANCISCO'!V$40:V$42)+SUMIF('SANCHEZ GUERRERO JOSE LUIS'!P$40:P$42,A32,'SANCHEZ GUERRERO JOSE LUIS'!V$40:V$42)+SUMIF('RUEDA SALAZAR ISMAEL'!P$35:P$37,'KM POR UNIDAD'!A32,'RUEDA SALAZAR ISMAEL'!V$35:V$37)+SUMIF('GUZMAN MORALES'!P$40:P$42,'KM POR UNIDAD'!A32,'GUZMAN MORALES'!V$40:V$42)+SUMIF('RODRIGUEZ RAMIREZ FERNANDO'!P$35:P$37,'KM POR UNIDAD'!A32,'RODRIGUEZ RAMIREZ FERNANDO'!V$35:V$37)+SUMIF('ESTRADA ARELLANO ARTURO'!P$40:P$42,'KM POR UNIDAD'!A32,'ESTRADA ARELLANO ARTURO'!V$40:V$42)+SUMIF('HERNANDEZ CONTRERAS JOSE FERNAN'!P$37:P$39,'KM POR UNIDAD'!A32,'HERNANDEZ CONTRERAS JOSE FERNAN'!V$38:V$40)+SUMIF('SALAZAR PEREZ JUAN CARLOS'!P$38:P$40,'KM POR UNIDAD'!A32,'SALAZAR PEREZ JUAN CARLOS'!V$38:V$40)+SUMIF('HARO IMPERIAL JOSÉ ANTONIO'!P$41:P$43,'KM POR UNIDAD'!A32,'HARO IMPERIAL JOSÉ ANTONIO'!V$41:V$43)+SUMIF('ESCARCEGA GALDEAN JESUS OMAR'!P$38:P$40,'KM POR UNIDAD'!A32,'ESCARCEGA GALDEAN JESUS OMAR'!V$38:V$40)</f>
        <v>1899.56</v>
      </c>
      <c r="E32" s="167">
        <f t="shared" si="1"/>
        <v>3.5729326791467497</v>
      </c>
      <c r="F32" s="168"/>
      <c r="G32" s="168"/>
      <c r="H32" s="168"/>
      <c r="I32" s="169"/>
      <c r="J32" s="170"/>
      <c r="K32" s="171"/>
    </row>
    <row r="33" spans="1:11" x14ac:dyDescent="0.25">
      <c r="A33" s="165" t="s">
        <v>102</v>
      </c>
      <c r="B33" s="166">
        <f>SUMIF('LIRA TRISTAN JOSE ANGEL'!P$36:P$38,'KM POR UNIDAD'!A33,'LIRA TRISTAN JOSE ANGEL'!U$36:U$38)+SUMIF('TORRES GARAY LUIS HUMBERTO'!P$38:P$40,'KM POR UNIDAD'!A33,'TORRES GARAY LUIS HUMBERTO'!U$38:U$40)+SUMIF('CERDA HERNANDEZ JOSE LUIS'!P$35:P$37,'KM POR UNIDAD'!A33,'CERDA HERNANDEZ JOSE LUIS'!U$35:U$37)+SUMIF('RUIZ ALVARADO PEDRO'!P$32:P$34,'KM POR UNIDAD'!A33,'RUIZ ALVARADO PEDRO'!U$32:U$34)+SUMIF('NEVAREZ JUAN MANUEL'!P$37:P$39,'KM POR UNIDAD'!A33,'NEVAREZ JUAN MANUEL'!U$37:U$39)+SUMIF('CHAVEZ VARELA NESTOR ADRIAN'!P$35:P$37,'KM POR UNIDAD'!A33,'CHAVEZ VARELA NESTOR ADRIAN'!U$35:U$37)+SUMIF('PAYAN ESTRADA JOSE ANGEL'!P$37:P$39,'KM POR UNIDAD'!A33,'PAYAN ESTRADA JOSE ANGEL'!U$37:U$39)+SUMIF('RUIZ HERRERA ERICK '!P$33:P$35,'KM POR UNIDAD'!A33,'RUIZ HERRERA ERICK '!U$33:U$35)+SUMIF('GONZALEZ LOZANO ENRIQUE '!P$38:P$40,'KM POR UNIDAD'!A33,'GONZALEZ LOZANO ENRIQUE '!U$38:U$40)+SUMIF('GONZALEZ MARTINEZ MAURICIO'!P$38:P$40,'KM POR UNIDAD'!A33,'GONZALEZ MARTINEZ MAURICIO'!U$38:U$40)+SUMIF('GONZALEZ SOTO JOEL'!P$39:P$41,'KM POR UNIDAD'!A33,'GONZALEZ SOTO JOEL'!U$39:U$41)+SUMIF('MARTA RUBIO MARTIN'!P$39:P$41,'KM POR UNIDAD'!A33,'MARTA RUBIO MARTIN'!U$39:U$41)+SUMIF('GRIJALVA VALDEZ CESAR EUSEBIO'!P$35:P$37,'KM POR UNIDAD'!A33,'GRIJALVA VALDEZ CESAR EUSEBIO'!U$35:U$37)+SUMIF('PACHECO BAÑUELOS ALFONSO'!P$39:P$41,'KM POR UNIDAD'!A33,'PACHECO BAÑUELOS ALFONSO'!U$39:U$41)+SUMIF('RODRIGUEZ VALLES JOSE FRANCISCO'!P$40:P$42,'KM POR UNIDAD'!A33,'RODRIGUEZ VALLES JOSE FRANCISCO'!U$40:U$42)+SUMIF('SANCHEZ GUERRERO JOSE LUIS'!P$40:P$42,A33,'SANCHEZ GUERRERO JOSE LUIS'!U$40:U$42)+SUMIF('RUEDA SALAZAR ISMAEL'!P$35:P$37,'KM POR UNIDAD'!A33,'RUEDA SALAZAR ISMAEL'!U$35:U$37)+SUMIF('GUZMAN MORALES'!P$40:P$42,'KM POR UNIDAD'!A33,'GUZMAN MORALES'!U$40:U$42)+SUMIF('RODRIGUEZ RAMIREZ FERNANDO'!P$35:P$37,'KM POR UNIDAD'!A33,'RODRIGUEZ RAMIREZ FERNANDO'!U$35:U$37)+SUMIF('ESTRADA ARELLANO ARTURO'!P$40:P$42,'KM POR UNIDAD'!A33,'ESTRADA ARELLANO ARTURO'!U$40:U$42)+SUMIF('HERNANDEZ CONTRERAS JOSE FERNAN'!P$37:P$39,'KM POR UNIDAD'!A33,'HERNANDEZ CONTRERAS JOSE FERNAN'!U$37:U$39)+SUMIF('SALAZAR PEREZ JUAN CARLOS'!P$38:P$40,'KM POR UNIDAD'!A33,'SALAZAR PEREZ JUAN CARLOS'!U$38:U$40)+SUMIF('HARO IMPERIAL JOSÉ ANTONIO'!P$41:P$43,'KM POR UNIDAD'!A33,'HARO IMPERIAL JOSÉ ANTONIO'!U$41:$U74)+SUMIF('ESCARCEGA GALDEAN JESUS OMAR'!P$38:P$40,'KM POR UNIDAD'!A33,'ESCARCEGA GALDEAN JESUS OMAR'!U$38:U$40)</f>
        <v>4084</v>
      </c>
      <c r="C33" s="166">
        <f>+SUMIF('LIRA TRISTAN JOSE ANGEL'!P$36:P$38,'KM POR UNIDAD'!A33,'LIRA TRISTAN JOSE ANGEL'!T$36:T$38)+SUMIF('TORRES GARAY LUIS HUMBERTO'!P$38:P$40,'KM POR UNIDAD'!A33,'TORRES GARAY LUIS HUMBERTO'!T$38:T$40)+SUMIF('CERDA HERNANDEZ JOSE LUIS'!P$35:P$37,'KM POR UNIDAD'!A33,'CERDA HERNANDEZ JOSE LUIS'!T$35:T$37)+SUMIF('RUIZ ALVARADO PEDRO'!P$32:P$34,'KM POR UNIDAD'!A33,'RUIZ ALVARADO PEDRO'!T$32:T$34)+SUMIF('NEVAREZ JUAN MANUEL'!P$37:P$39,'KM POR UNIDAD'!A33,'NEVAREZ JUAN MANUEL'!T$37:T$39)+SUMIF('CHAVEZ VARELA NESTOR ADRIAN'!P$35:P$37,'KM POR UNIDAD'!A33,'CHAVEZ VARELA NESTOR ADRIAN'!T$35:T$37)+SUMIF('PAYAN ESTRADA JOSE ANGEL'!P$37:P$39,'KM POR UNIDAD'!A33,'PAYAN ESTRADA JOSE ANGEL'!T$37:T$39)+SUMIF('RUIZ HERRERA ERICK '!P$33:P$35,'KM POR UNIDAD'!A33,'RUIZ HERRERA ERICK '!T$33:T$35)+SUMIF('GONZALEZ LOZANO ENRIQUE '!P$38:P$40,'KM POR UNIDAD'!A33,'GONZALEZ LOZANO ENRIQUE '!T$38:T$40)+SUMIF('GONZALEZ MARTINEZ MAURICIO'!P$38:P$40,'KM POR UNIDAD'!A33,'GONZALEZ MARTINEZ MAURICIO'!T$38:T$40)+SUMIF('GONZALEZ SOTO JOEL'!P$39:P$41,'KM POR UNIDAD'!A33,'GONZALEZ SOTO JOEL'!T$39:T$41)+SUMIF('MARTA RUBIO MARTIN'!P$39:P$41,'KM POR UNIDAD'!A33,'MARTA RUBIO MARTIN'!T$39:T$41)+SUMIF('GRIJALVA VALDEZ CESAR EUSEBIO'!P$35:P$37,'KM POR UNIDAD'!A33,'GRIJALVA VALDEZ CESAR EUSEBIO'!T$35:T$37)+SUMIF('PACHECO BAÑUELOS ALFONSO'!P$39:P$41,'KM POR UNIDAD'!A33,'PACHECO BAÑUELOS ALFONSO'!T$39:T$41)+SUMIF('RODRIGUEZ VALLES JOSE FRANCISCO'!P$40:P$42,'KM POR UNIDAD'!A33,'RODRIGUEZ VALLES JOSE FRANCISCO'!T$40:T$42)+SUMIF('SANCHEZ GUERRERO JOSE LUIS'!P$40:P$42,A33,'SANCHEZ GUERRERO JOSE LUIS'!T$40:T$42)+SUMIF('RUEDA SALAZAR ISMAEL'!P$35:P$37,'KM POR UNIDAD'!A33,'RUEDA SALAZAR ISMAEL'!T$35:T$37)+SUMIF('GUZMAN MORALES'!P$40:P$42,'KM POR UNIDAD'!A33,'GUZMAN MORALES'!T$40:T$42)+SUMIF('RODRIGUEZ RAMIREZ FERNANDO'!P$35:P$37,'KM POR UNIDAD'!A33,'RODRIGUEZ RAMIREZ FERNANDO'!T$35:T$37)+SUMIF('ESTRADA ARELLANO ARTURO'!P$40:P$42,'KM POR UNIDAD'!A33,'ESTRADA ARELLANO ARTURO'!T$40:T$42)+SUMIF('HERNANDEZ CONTRERAS JOSE FERNAN'!P$37:P$39,'KM POR UNIDAD'!A33,'HERNANDEZ CONTRERAS JOSE FERNAN'!T$37:T$39)+SUMIF('SALAZAR PEREZ JUAN CARLOS'!P$38:P$40,'KM POR UNIDAD'!A33,'SALAZAR PEREZ JUAN CARLOS'!T$38:T$40)+SUMIF('HARO IMPERIAL JOSÉ ANTONIO'!P$41:P$43,'KM POR UNIDAD'!A33,'HARO IMPERIAL JOSÉ ANTONIO'!T$41:T$43)+SUMIF('ESCARCEGA GALDEAN JESUS OMAR'!P$38:P$40,'KM POR UNIDAD'!A33,'ESCARCEGA GALDEAN JESUS OMAR'!T$38:T$40)</f>
        <v>4200</v>
      </c>
      <c r="D33" s="189">
        <f>+SUMIF('LIRA TRISTAN JOSE ANGEL'!P$36:P$38,'KM POR UNIDAD'!A33,'LIRA TRISTAN JOSE ANGEL'!V$36:V$38)+SUMIF('TORRES GARAY LUIS HUMBERTO'!P$38:P$40,'KM POR UNIDAD'!A33,'TORRES GARAY LUIS HUMBERTO'!V$38:V$40)+SUMIF('CERDA HERNANDEZ JOSE LUIS'!P$35:P$37,'KM POR UNIDAD'!A33,'CERDA HERNANDEZ JOSE LUIS'!V$35:V$37)+SUMIF('RUIZ ALVARADO PEDRO'!P$32:P$34,'KM POR UNIDAD'!A33,'RUIZ ALVARADO PEDRO'!V$32:V$34)+SUMIF('NEVAREZ JUAN MANUEL'!P$37:P$39,'KM POR UNIDAD'!A33,'NEVAREZ JUAN MANUEL'!V$37:V$39)+SUMIF('CHAVEZ VARELA NESTOR ADRIAN'!P$35:P$37,'KM POR UNIDAD'!A33,'CHAVEZ VARELA NESTOR ADRIAN'!V$35:V$37)+SUMIF('PAYAN ESTRADA JOSE ANGEL'!P$37:P$39,'KM POR UNIDAD'!A33,'PAYAN ESTRADA JOSE ANGEL'!V$37:V$39)+SUMIF('RUIZ HERRERA ERICK '!P$33:P$35,'KM POR UNIDAD'!A33,'RUIZ HERRERA ERICK '!V$33:V$35)+SUMIF('GONZALEZ LOZANO ENRIQUE '!P$38:P$40,'KM POR UNIDAD'!A33,'GONZALEZ LOZANO ENRIQUE '!V$38:V$40)+SUMIF('GONZALEZ MARTINEZ MAURICIO'!P$38:P$40,'KM POR UNIDAD'!A33,'GONZALEZ MARTINEZ MAURICIO'!V$38:V$40)+SUMIF('GONZALEZ SOTO JOEL'!P$39:P$41,'KM POR UNIDAD'!A33,'GONZALEZ SOTO JOEL'!V$39:V$41)+SUMIF('MARTA RUBIO MARTIN'!P$39:P$41,'KM POR UNIDAD'!A33,'MARTA RUBIO MARTIN'!V$39:V$41)+SUMIF('GRIJALVA VALDEZ CESAR EUSEBIO'!P$35:P$37,'KM POR UNIDAD'!A33,'GRIJALVA VALDEZ CESAR EUSEBIO'!V$35:V$37)+SUMIF('PACHECO BAÑUELOS ALFONSO'!P$39:P$41,'KM POR UNIDAD'!A33,'PACHECO BAÑUELOS ALFONSO'!V$39:V$41)+SUMIF('RODRIGUEZ VALLES JOSE FRANCISCO'!P$40:P$42,'KM POR UNIDAD'!A33,'RODRIGUEZ VALLES JOSE FRANCISCO'!V$40:V$42)+SUMIF('SANCHEZ GUERRERO JOSE LUIS'!P$40:P$42,A33,'SANCHEZ GUERRERO JOSE LUIS'!V$40:V$42)+SUMIF('RUEDA SALAZAR ISMAEL'!P$35:P$37,'KM POR UNIDAD'!A33,'RUEDA SALAZAR ISMAEL'!V$35:V$37)+SUMIF('GUZMAN MORALES'!P$40:P$42,'KM POR UNIDAD'!A33,'GUZMAN MORALES'!V$40:V$42)+SUMIF('RODRIGUEZ RAMIREZ FERNANDO'!P$35:P$37,'KM POR UNIDAD'!A33,'RODRIGUEZ RAMIREZ FERNANDO'!V$35:V$37)+SUMIF('ESTRADA ARELLANO ARTURO'!P$40:P$42,'KM POR UNIDAD'!A33,'ESTRADA ARELLANO ARTURO'!V$40:V$42)+SUMIF('HERNANDEZ CONTRERAS JOSE FERNAN'!P$37:P$39,'KM POR UNIDAD'!A33,'HERNANDEZ CONTRERAS JOSE FERNAN'!V$38:V$40)+SUMIF('SALAZAR PEREZ JUAN CARLOS'!P$38:P$40,'KM POR UNIDAD'!A33,'SALAZAR PEREZ JUAN CARLOS'!V$38:V$40)+SUMIF('HARO IMPERIAL JOSÉ ANTONIO'!P$41:P$43,'KM POR UNIDAD'!A33,'HARO IMPERIAL JOSÉ ANTONIO'!V$41:V$43)+SUMIF('ESCARCEGA GALDEAN JESUS OMAR'!P$38:P$40,'KM POR UNIDAD'!A33,'ESCARCEGA GALDEAN JESUS OMAR'!V$38:V$40)</f>
        <v>1231.904</v>
      </c>
      <c r="E33" s="167">
        <f t="shared" si="1"/>
        <v>3.3151933916928593</v>
      </c>
      <c r="F33" s="168"/>
      <c r="G33" s="168"/>
      <c r="H33" s="168"/>
      <c r="I33" s="169"/>
      <c r="J33" s="170"/>
      <c r="K33" s="171"/>
    </row>
    <row r="34" spans="1:11" x14ac:dyDescent="0.25">
      <c r="A34" s="165" t="s">
        <v>101</v>
      </c>
      <c r="B34" s="166">
        <f>SUMIF('LIRA TRISTAN JOSE ANGEL'!P$36:P$38,'KM POR UNIDAD'!A34,'LIRA TRISTAN JOSE ANGEL'!U$36:U$38)+SUMIF('TORRES GARAY LUIS HUMBERTO'!P$38:P$40,'KM POR UNIDAD'!A34,'TORRES GARAY LUIS HUMBERTO'!U$38:U$40)+SUMIF('CERDA HERNANDEZ JOSE LUIS'!P$35:P$37,'KM POR UNIDAD'!A34,'CERDA HERNANDEZ JOSE LUIS'!U$35:U$37)+SUMIF('RUIZ ALVARADO PEDRO'!P$32:P$34,'KM POR UNIDAD'!A34,'RUIZ ALVARADO PEDRO'!U$32:U$34)+SUMIF('NEVAREZ JUAN MANUEL'!P$37:P$39,'KM POR UNIDAD'!A34,'NEVAREZ JUAN MANUEL'!U$37:U$39)+SUMIF('CHAVEZ VARELA NESTOR ADRIAN'!P$35:P$37,'KM POR UNIDAD'!A34,'CHAVEZ VARELA NESTOR ADRIAN'!U$35:U$37)+SUMIF('PAYAN ESTRADA JOSE ANGEL'!P$37:P$39,'KM POR UNIDAD'!A34,'PAYAN ESTRADA JOSE ANGEL'!U$37:U$39)+SUMIF('RUIZ HERRERA ERICK '!P$33:P$35,'KM POR UNIDAD'!A34,'RUIZ HERRERA ERICK '!U$33:U$35)+SUMIF('GONZALEZ LOZANO ENRIQUE '!P$38:P$40,'KM POR UNIDAD'!A34,'GONZALEZ LOZANO ENRIQUE '!U$38:U$40)+SUMIF('GONZALEZ MARTINEZ MAURICIO'!P$38:P$40,'KM POR UNIDAD'!A34,'GONZALEZ MARTINEZ MAURICIO'!U$38:U$40)+SUMIF('GONZALEZ SOTO JOEL'!P$39:P$41,'KM POR UNIDAD'!A34,'GONZALEZ SOTO JOEL'!U$39:U$41)+SUMIF('MARTA RUBIO MARTIN'!P$39:P$41,'KM POR UNIDAD'!A34,'MARTA RUBIO MARTIN'!U$39:U$41)+SUMIF('GRIJALVA VALDEZ CESAR EUSEBIO'!P$35:P$37,'KM POR UNIDAD'!A34,'GRIJALVA VALDEZ CESAR EUSEBIO'!U$35:U$37)+SUMIF('PACHECO BAÑUELOS ALFONSO'!P$39:P$41,'KM POR UNIDAD'!A34,'PACHECO BAÑUELOS ALFONSO'!U$39:U$41)+SUMIF('RODRIGUEZ VALLES JOSE FRANCISCO'!P$40:P$42,'KM POR UNIDAD'!A34,'RODRIGUEZ VALLES JOSE FRANCISCO'!U$40:U$42)+SUMIF('SANCHEZ GUERRERO JOSE LUIS'!P$40:P$42,A34,'SANCHEZ GUERRERO JOSE LUIS'!U$40:U$42)+SUMIF('RUEDA SALAZAR ISMAEL'!P$35:P$37,'KM POR UNIDAD'!A34,'RUEDA SALAZAR ISMAEL'!U$35:U$37)+SUMIF('GUZMAN MORALES'!P$40:P$42,'KM POR UNIDAD'!A34,'GUZMAN MORALES'!U$40:U$42)+SUMIF('RODRIGUEZ RAMIREZ FERNANDO'!P$35:P$37,'KM POR UNIDAD'!A34,'RODRIGUEZ RAMIREZ FERNANDO'!U$35:U$37)+SUMIF('ESTRADA ARELLANO ARTURO'!P$40:P$42,'KM POR UNIDAD'!A34,'ESTRADA ARELLANO ARTURO'!U$40:U$42)+SUMIF('HERNANDEZ CONTRERAS JOSE FERNAN'!P$37:P$39,'KM POR UNIDAD'!A34,'HERNANDEZ CONTRERAS JOSE FERNAN'!U$37:U$39)+SUMIF('SALAZAR PEREZ JUAN CARLOS'!P$38:P$40,'KM POR UNIDAD'!A34,'SALAZAR PEREZ JUAN CARLOS'!U$38:U$40)+SUMIF('HARO IMPERIAL JOSÉ ANTONIO'!P$41:P$43,'KM POR UNIDAD'!A34,'HARO IMPERIAL JOSÉ ANTONIO'!U$41:$U75)+SUMIF('ESCARCEGA GALDEAN JESUS OMAR'!P$38:P$40,'KM POR UNIDAD'!A34,'ESCARCEGA GALDEAN JESUS OMAR'!U$38:U$40)</f>
        <v>0</v>
      </c>
      <c r="C34" s="166">
        <f>+SUMIF('LIRA TRISTAN JOSE ANGEL'!P$36:P$38,'KM POR UNIDAD'!A34,'LIRA TRISTAN JOSE ANGEL'!T$36:T$38)+SUMIF('TORRES GARAY LUIS HUMBERTO'!P$38:P$40,'KM POR UNIDAD'!A34,'TORRES GARAY LUIS HUMBERTO'!T$38:T$40)+SUMIF('CERDA HERNANDEZ JOSE LUIS'!P$35:P$37,'KM POR UNIDAD'!A34,'CERDA HERNANDEZ JOSE LUIS'!T$35:T$37)+SUMIF('RUIZ ALVARADO PEDRO'!P$32:P$34,'KM POR UNIDAD'!A34,'RUIZ ALVARADO PEDRO'!T$32:T$34)+SUMIF('NEVAREZ JUAN MANUEL'!P$37:P$39,'KM POR UNIDAD'!A34,'NEVAREZ JUAN MANUEL'!T$37:T$39)+SUMIF('CHAVEZ VARELA NESTOR ADRIAN'!P$35:P$37,'KM POR UNIDAD'!A34,'CHAVEZ VARELA NESTOR ADRIAN'!T$35:T$37)+SUMIF('PAYAN ESTRADA JOSE ANGEL'!P$37:P$39,'KM POR UNIDAD'!A34,'PAYAN ESTRADA JOSE ANGEL'!T$37:T$39)+SUMIF('RUIZ HERRERA ERICK '!P$33:P$35,'KM POR UNIDAD'!A34,'RUIZ HERRERA ERICK '!T$33:T$35)+SUMIF('GONZALEZ LOZANO ENRIQUE '!P$38:P$40,'KM POR UNIDAD'!A34,'GONZALEZ LOZANO ENRIQUE '!T$38:T$40)+SUMIF('GONZALEZ MARTINEZ MAURICIO'!P$38:P$40,'KM POR UNIDAD'!A34,'GONZALEZ MARTINEZ MAURICIO'!T$38:T$40)+SUMIF('GONZALEZ SOTO JOEL'!P$39:P$41,'KM POR UNIDAD'!A34,'GONZALEZ SOTO JOEL'!T$39:T$41)+SUMIF('MARTA RUBIO MARTIN'!P$39:P$41,'KM POR UNIDAD'!A34,'MARTA RUBIO MARTIN'!T$39:T$41)+SUMIF('GRIJALVA VALDEZ CESAR EUSEBIO'!P$35:P$37,'KM POR UNIDAD'!A34,'GRIJALVA VALDEZ CESAR EUSEBIO'!T$35:T$37)+SUMIF('PACHECO BAÑUELOS ALFONSO'!P$39:P$41,'KM POR UNIDAD'!A34,'PACHECO BAÑUELOS ALFONSO'!T$39:T$41)+SUMIF('RODRIGUEZ VALLES JOSE FRANCISCO'!P$40:P$42,'KM POR UNIDAD'!A34,'RODRIGUEZ VALLES JOSE FRANCISCO'!T$40:T$42)+SUMIF('SANCHEZ GUERRERO JOSE LUIS'!P$40:P$42,A34,'SANCHEZ GUERRERO JOSE LUIS'!T$40:T$42)+SUMIF('RUEDA SALAZAR ISMAEL'!P$35:P$37,'KM POR UNIDAD'!A34,'RUEDA SALAZAR ISMAEL'!T$35:T$37)+SUMIF('GUZMAN MORALES'!P$40:P$42,'KM POR UNIDAD'!A34,'GUZMAN MORALES'!T$40:T$42)+SUMIF('RODRIGUEZ RAMIREZ FERNANDO'!P$35:P$37,'KM POR UNIDAD'!A34,'RODRIGUEZ RAMIREZ FERNANDO'!T$35:T$37)+SUMIF('ESTRADA ARELLANO ARTURO'!P$40:P$42,'KM POR UNIDAD'!A34,'ESTRADA ARELLANO ARTURO'!T$40:T$42)+SUMIF('HERNANDEZ CONTRERAS JOSE FERNAN'!P$37:P$39,'KM POR UNIDAD'!A34,'HERNANDEZ CONTRERAS JOSE FERNAN'!T$37:T$39)+SUMIF('SALAZAR PEREZ JUAN CARLOS'!P$38:P$40,'KM POR UNIDAD'!A34,'SALAZAR PEREZ JUAN CARLOS'!T$38:T$40)+SUMIF('HARO IMPERIAL JOSÉ ANTONIO'!P$41:P$43,'KM POR UNIDAD'!A34,'HARO IMPERIAL JOSÉ ANTONIO'!T$41:T$43)+SUMIF('ESCARCEGA GALDEAN JESUS OMAR'!P$38:P$40,'KM POR UNIDAD'!A34,'ESCARCEGA GALDEAN JESUS OMAR'!T$38:T$40)</f>
        <v>0</v>
      </c>
      <c r="D34" s="189">
        <f>+SUMIF('LIRA TRISTAN JOSE ANGEL'!P$36:P$38,'KM POR UNIDAD'!A34,'LIRA TRISTAN JOSE ANGEL'!V$36:V$38)+SUMIF('TORRES GARAY LUIS HUMBERTO'!P$38:P$40,'KM POR UNIDAD'!A34,'TORRES GARAY LUIS HUMBERTO'!V$38:V$40)+SUMIF('CERDA HERNANDEZ JOSE LUIS'!P$35:P$37,'KM POR UNIDAD'!A34,'CERDA HERNANDEZ JOSE LUIS'!V$35:V$37)+SUMIF('RUIZ ALVARADO PEDRO'!P$32:P$34,'KM POR UNIDAD'!A34,'RUIZ ALVARADO PEDRO'!V$32:V$34)+SUMIF('NEVAREZ JUAN MANUEL'!P$37:P$39,'KM POR UNIDAD'!A34,'NEVAREZ JUAN MANUEL'!V$37:V$39)+SUMIF('CHAVEZ VARELA NESTOR ADRIAN'!P$35:P$37,'KM POR UNIDAD'!A34,'CHAVEZ VARELA NESTOR ADRIAN'!V$35:V$37)+SUMIF('PAYAN ESTRADA JOSE ANGEL'!P$37:P$39,'KM POR UNIDAD'!A34,'PAYAN ESTRADA JOSE ANGEL'!V$37:V$39)+SUMIF('RUIZ HERRERA ERICK '!P$33:P$35,'KM POR UNIDAD'!A34,'RUIZ HERRERA ERICK '!V$33:V$35)+SUMIF('GONZALEZ LOZANO ENRIQUE '!P$38:P$40,'KM POR UNIDAD'!A34,'GONZALEZ LOZANO ENRIQUE '!V$38:V$40)+SUMIF('GONZALEZ MARTINEZ MAURICIO'!P$38:P$40,'KM POR UNIDAD'!A34,'GONZALEZ MARTINEZ MAURICIO'!V$38:V$40)+SUMIF('GONZALEZ SOTO JOEL'!P$39:P$41,'KM POR UNIDAD'!A34,'GONZALEZ SOTO JOEL'!V$39:V$41)+SUMIF('MARTA RUBIO MARTIN'!P$39:P$41,'KM POR UNIDAD'!A34,'MARTA RUBIO MARTIN'!V$39:V$41)+SUMIF('GRIJALVA VALDEZ CESAR EUSEBIO'!P$35:P$37,'KM POR UNIDAD'!A34,'GRIJALVA VALDEZ CESAR EUSEBIO'!V$35:V$37)+SUMIF('PACHECO BAÑUELOS ALFONSO'!P$39:P$41,'KM POR UNIDAD'!A34,'PACHECO BAÑUELOS ALFONSO'!V$39:V$41)+SUMIF('RODRIGUEZ VALLES JOSE FRANCISCO'!P$40:P$42,'KM POR UNIDAD'!A34,'RODRIGUEZ VALLES JOSE FRANCISCO'!V$40:V$42)+SUMIF('SANCHEZ GUERRERO JOSE LUIS'!P$40:P$42,A34,'SANCHEZ GUERRERO JOSE LUIS'!V$40:V$42)+SUMIF('RUEDA SALAZAR ISMAEL'!P$35:P$37,'KM POR UNIDAD'!A34,'RUEDA SALAZAR ISMAEL'!V$35:V$37)+SUMIF('GUZMAN MORALES'!P$40:P$42,'KM POR UNIDAD'!A34,'GUZMAN MORALES'!V$40:V$42)+SUMIF('RODRIGUEZ RAMIREZ FERNANDO'!P$35:P$37,'KM POR UNIDAD'!A34,'RODRIGUEZ RAMIREZ FERNANDO'!V$35:V$37)+SUMIF('ESTRADA ARELLANO ARTURO'!P$40:P$42,'KM POR UNIDAD'!A34,'ESTRADA ARELLANO ARTURO'!V$40:V$42)+SUMIF('HERNANDEZ CONTRERAS JOSE FERNAN'!P$37:P$39,'KM POR UNIDAD'!A34,'HERNANDEZ CONTRERAS JOSE FERNAN'!V$38:V$40)+SUMIF('SALAZAR PEREZ JUAN CARLOS'!P$38:P$40,'KM POR UNIDAD'!A34,'SALAZAR PEREZ JUAN CARLOS'!V$38:V$40)+SUMIF('HARO IMPERIAL JOSÉ ANTONIO'!P$41:P$43,'KM POR UNIDAD'!A34,'HARO IMPERIAL JOSÉ ANTONIO'!V$41:V$43)+SUMIF('ESCARCEGA GALDEAN JESUS OMAR'!P$38:P$40,'KM POR UNIDAD'!A34,'ESCARCEGA GALDEAN JESUS OMAR'!V$38:V$40)</f>
        <v>0</v>
      </c>
      <c r="E34" s="167">
        <f t="shared" si="1"/>
        <v>0</v>
      </c>
      <c r="F34" s="168"/>
      <c r="G34" s="168"/>
      <c r="H34" s="168"/>
      <c r="I34" s="169"/>
      <c r="J34" s="170"/>
      <c r="K34" s="171"/>
    </row>
    <row r="35" spans="1:11" x14ac:dyDescent="0.25">
      <c r="A35" s="165" t="s">
        <v>166</v>
      </c>
      <c r="B35" s="166">
        <f>SUMIF('LIRA TRISTAN JOSE ANGEL'!P$36:P$38,'KM POR UNIDAD'!A35,'LIRA TRISTAN JOSE ANGEL'!U$36:U$38)+SUMIF('TORRES GARAY LUIS HUMBERTO'!P$38:P$40,'KM POR UNIDAD'!A35,'TORRES GARAY LUIS HUMBERTO'!U$38:U$40)+SUMIF('CERDA HERNANDEZ JOSE LUIS'!P$35:P$37,'KM POR UNIDAD'!A35,'CERDA HERNANDEZ JOSE LUIS'!U$35:U$37)+SUMIF('RUIZ ALVARADO PEDRO'!P$32:P$34,'KM POR UNIDAD'!A35,'RUIZ ALVARADO PEDRO'!U$32:U$34)+SUMIF('NEVAREZ JUAN MANUEL'!P$37:P$39,'KM POR UNIDAD'!A35,'NEVAREZ JUAN MANUEL'!U$37:U$39)+SUMIF('CHAVEZ VARELA NESTOR ADRIAN'!P$35:P$37,'KM POR UNIDAD'!A35,'CHAVEZ VARELA NESTOR ADRIAN'!U$35:U$37)+SUMIF('PAYAN ESTRADA JOSE ANGEL'!P$37:P$39,'KM POR UNIDAD'!A35,'PAYAN ESTRADA JOSE ANGEL'!U$37:U$39)+SUMIF('RUIZ HERRERA ERICK '!P$33:P$35,'KM POR UNIDAD'!A35,'RUIZ HERRERA ERICK '!U$33:U$35)+SUMIF('GONZALEZ LOZANO ENRIQUE '!P$38:P$40,'KM POR UNIDAD'!A35,'GONZALEZ LOZANO ENRIQUE '!U$38:U$40)+SUMIF('GONZALEZ MARTINEZ MAURICIO'!P$38:P$40,'KM POR UNIDAD'!A35,'GONZALEZ MARTINEZ MAURICIO'!U$38:U$40)+SUMIF('GONZALEZ SOTO JOEL'!P$39:P$41,'KM POR UNIDAD'!A35,'GONZALEZ SOTO JOEL'!U$39:U$41)+SUMIF('MARTA RUBIO MARTIN'!P$39:P$41,'KM POR UNIDAD'!A35,'MARTA RUBIO MARTIN'!U$39:U$41)+SUMIF('GRIJALVA VALDEZ CESAR EUSEBIO'!P$35:P$37,'KM POR UNIDAD'!A35,'GRIJALVA VALDEZ CESAR EUSEBIO'!U$35:U$37)+SUMIF('PACHECO BAÑUELOS ALFONSO'!P$39:P$41,'KM POR UNIDAD'!A35,'PACHECO BAÑUELOS ALFONSO'!U$39:U$41)+SUMIF('RODRIGUEZ VALLES JOSE FRANCISCO'!P$40:P$42,'KM POR UNIDAD'!A35,'RODRIGUEZ VALLES JOSE FRANCISCO'!U$40:U$42)+SUMIF('SANCHEZ GUERRERO JOSE LUIS'!P$40:P$42,A35,'SANCHEZ GUERRERO JOSE LUIS'!U$40:U$42)+SUMIF('RUEDA SALAZAR ISMAEL'!P$35:P$37,'KM POR UNIDAD'!A35,'RUEDA SALAZAR ISMAEL'!U$35:U$37)+SUMIF('GUZMAN MORALES'!P$40:P$42,'KM POR UNIDAD'!A35,'GUZMAN MORALES'!U$40:U$42)+SUMIF('RODRIGUEZ RAMIREZ FERNANDO'!P$35:P$37,'KM POR UNIDAD'!A35,'RODRIGUEZ RAMIREZ FERNANDO'!U$35:U$37)+SUMIF('ESTRADA ARELLANO ARTURO'!P$40:P$42,'KM POR UNIDAD'!A35,'ESTRADA ARELLANO ARTURO'!U$40:U$42)+SUMIF('HERNANDEZ CONTRERAS JOSE FERNAN'!P$37:P$39,'KM POR UNIDAD'!A35,'HERNANDEZ CONTRERAS JOSE FERNAN'!U$37:U$39)+SUMIF('SALAZAR PEREZ JUAN CARLOS'!P$38:P$40,'KM POR UNIDAD'!A35,'SALAZAR PEREZ JUAN CARLOS'!U$38:U$40)+SUMIF('HARO IMPERIAL JOSÉ ANTONIO'!P$41:P$43,'KM POR UNIDAD'!A35,'HARO IMPERIAL JOSÉ ANTONIO'!U$41:$U76)+SUMIF('ESCARCEGA GALDEAN JESUS OMAR'!P$38:P$40,'KM POR UNIDAD'!A35,'ESCARCEGA GALDEAN JESUS OMAR'!U$38:U$40)</f>
        <v>0</v>
      </c>
      <c r="C35" s="166">
        <f>+SUMIF('LIRA TRISTAN JOSE ANGEL'!P$36:P$38,'KM POR UNIDAD'!A35,'LIRA TRISTAN JOSE ANGEL'!T$36:T$38)+SUMIF('TORRES GARAY LUIS HUMBERTO'!P$38:P$40,'KM POR UNIDAD'!A35,'TORRES GARAY LUIS HUMBERTO'!T$38:T$40)+SUMIF('CERDA HERNANDEZ JOSE LUIS'!P$35:P$37,'KM POR UNIDAD'!A35,'CERDA HERNANDEZ JOSE LUIS'!T$35:T$37)+SUMIF('RUIZ ALVARADO PEDRO'!P$32:P$34,'KM POR UNIDAD'!A35,'RUIZ ALVARADO PEDRO'!T$32:T$34)+SUMIF('NEVAREZ JUAN MANUEL'!P$37:P$39,'KM POR UNIDAD'!A35,'NEVAREZ JUAN MANUEL'!T$37:T$39)+SUMIF('CHAVEZ VARELA NESTOR ADRIAN'!P$35:P$37,'KM POR UNIDAD'!A35,'CHAVEZ VARELA NESTOR ADRIAN'!T$35:T$37)+SUMIF('PAYAN ESTRADA JOSE ANGEL'!P$37:P$39,'KM POR UNIDAD'!A35,'PAYAN ESTRADA JOSE ANGEL'!T$37:T$39)+SUMIF('RUIZ HERRERA ERICK '!P$33:P$35,'KM POR UNIDAD'!A35,'RUIZ HERRERA ERICK '!T$33:T$35)+SUMIF('GONZALEZ LOZANO ENRIQUE '!P$38:P$40,'KM POR UNIDAD'!A35,'GONZALEZ LOZANO ENRIQUE '!T$38:T$40)+SUMIF('GONZALEZ MARTINEZ MAURICIO'!P$38:P$40,'KM POR UNIDAD'!A35,'GONZALEZ MARTINEZ MAURICIO'!T$38:T$40)+SUMIF('GONZALEZ SOTO JOEL'!P$39:P$41,'KM POR UNIDAD'!A35,'GONZALEZ SOTO JOEL'!T$39:T$41)+SUMIF('MARTA RUBIO MARTIN'!P$39:P$41,'KM POR UNIDAD'!A35,'MARTA RUBIO MARTIN'!T$39:T$41)+SUMIF('GRIJALVA VALDEZ CESAR EUSEBIO'!P$35:P$37,'KM POR UNIDAD'!A35,'GRIJALVA VALDEZ CESAR EUSEBIO'!T$35:T$37)+SUMIF('PACHECO BAÑUELOS ALFONSO'!P$39:P$41,'KM POR UNIDAD'!A35,'PACHECO BAÑUELOS ALFONSO'!T$39:T$41)+SUMIF('RODRIGUEZ VALLES JOSE FRANCISCO'!P$40:P$42,'KM POR UNIDAD'!A35,'RODRIGUEZ VALLES JOSE FRANCISCO'!T$40:T$42)+SUMIF('SANCHEZ GUERRERO JOSE LUIS'!P$40:P$42,A35,'SANCHEZ GUERRERO JOSE LUIS'!T$40:T$42)+SUMIF('RUEDA SALAZAR ISMAEL'!P$35:P$37,'KM POR UNIDAD'!A35,'RUEDA SALAZAR ISMAEL'!T$35:T$37)+SUMIF('GUZMAN MORALES'!P$40:P$42,'KM POR UNIDAD'!A35,'GUZMAN MORALES'!T$40:T$42)+SUMIF('RODRIGUEZ RAMIREZ FERNANDO'!P$35:P$37,'KM POR UNIDAD'!A35,'RODRIGUEZ RAMIREZ FERNANDO'!T$35:T$37)+SUMIF('ESTRADA ARELLANO ARTURO'!P$40:P$42,'KM POR UNIDAD'!A35,'ESTRADA ARELLANO ARTURO'!T$40:T$42)+SUMIF('HERNANDEZ CONTRERAS JOSE FERNAN'!P$37:P$39,'KM POR UNIDAD'!A35,'HERNANDEZ CONTRERAS JOSE FERNAN'!T$37:T$39)+SUMIF('SALAZAR PEREZ JUAN CARLOS'!P$38:P$40,'KM POR UNIDAD'!A35,'SALAZAR PEREZ JUAN CARLOS'!T$38:T$40)+SUMIF('HARO IMPERIAL JOSÉ ANTONIO'!P$41:P$43,'KM POR UNIDAD'!A35,'HARO IMPERIAL JOSÉ ANTONIO'!T$41:T$43)+SUMIF('ESCARCEGA GALDEAN JESUS OMAR'!P$38:P$40,'KM POR UNIDAD'!A35,'ESCARCEGA GALDEAN JESUS OMAR'!T$38:T$40)</f>
        <v>0</v>
      </c>
      <c r="D35" s="189">
        <f>+SUMIF('LIRA TRISTAN JOSE ANGEL'!P$36:P$38,'KM POR UNIDAD'!A35,'LIRA TRISTAN JOSE ANGEL'!V$36:V$38)+SUMIF('TORRES GARAY LUIS HUMBERTO'!P$38:P$40,'KM POR UNIDAD'!A35,'TORRES GARAY LUIS HUMBERTO'!V$38:V$40)+SUMIF('CERDA HERNANDEZ JOSE LUIS'!P$35:P$37,'KM POR UNIDAD'!A35,'CERDA HERNANDEZ JOSE LUIS'!V$35:V$37)+SUMIF('RUIZ ALVARADO PEDRO'!P$32:P$34,'KM POR UNIDAD'!A35,'RUIZ ALVARADO PEDRO'!V$32:V$34)+SUMIF('NEVAREZ JUAN MANUEL'!P$37:P$39,'KM POR UNIDAD'!A35,'NEVAREZ JUAN MANUEL'!V$37:V$39)+SUMIF('CHAVEZ VARELA NESTOR ADRIAN'!P$35:P$37,'KM POR UNIDAD'!A35,'CHAVEZ VARELA NESTOR ADRIAN'!V$35:V$37)+SUMIF('PAYAN ESTRADA JOSE ANGEL'!P$37:P$39,'KM POR UNIDAD'!A35,'PAYAN ESTRADA JOSE ANGEL'!V$37:V$39)+SUMIF('RUIZ HERRERA ERICK '!P$33:P$35,'KM POR UNIDAD'!A35,'RUIZ HERRERA ERICK '!V$33:V$35)+SUMIF('GONZALEZ LOZANO ENRIQUE '!P$38:P$40,'KM POR UNIDAD'!A35,'GONZALEZ LOZANO ENRIQUE '!V$38:V$40)+SUMIF('GONZALEZ MARTINEZ MAURICIO'!P$38:P$40,'KM POR UNIDAD'!A35,'GONZALEZ MARTINEZ MAURICIO'!V$38:V$40)+SUMIF('GONZALEZ SOTO JOEL'!P$39:P$41,'KM POR UNIDAD'!A35,'GONZALEZ SOTO JOEL'!V$39:V$41)+SUMIF('MARTA RUBIO MARTIN'!P$39:P$41,'KM POR UNIDAD'!A35,'MARTA RUBIO MARTIN'!V$39:V$41)+SUMIF('GRIJALVA VALDEZ CESAR EUSEBIO'!P$35:P$37,'KM POR UNIDAD'!A35,'GRIJALVA VALDEZ CESAR EUSEBIO'!V$35:V$37)+SUMIF('PACHECO BAÑUELOS ALFONSO'!P$39:P$41,'KM POR UNIDAD'!A35,'PACHECO BAÑUELOS ALFONSO'!V$39:V$41)+SUMIF('RODRIGUEZ VALLES JOSE FRANCISCO'!P$40:P$42,'KM POR UNIDAD'!A35,'RODRIGUEZ VALLES JOSE FRANCISCO'!V$40:V$42)+SUMIF('SANCHEZ GUERRERO JOSE LUIS'!P$40:P$42,A35,'SANCHEZ GUERRERO JOSE LUIS'!V$40:V$42)+SUMIF('RUEDA SALAZAR ISMAEL'!P$35:P$37,'KM POR UNIDAD'!A35,'RUEDA SALAZAR ISMAEL'!V$35:V$37)+SUMIF('GUZMAN MORALES'!P$40:P$42,'KM POR UNIDAD'!A35,'GUZMAN MORALES'!V$40:V$42)+SUMIF('RODRIGUEZ RAMIREZ FERNANDO'!P$35:P$37,'KM POR UNIDAD'!A35,'RODRIGUEZ RAMIREZ FERNANDO'!V$35:V$37)+SUMIF('ESTRADA ARELLANO ARTURO'!P$40:P$42,'KM POR UNIDAD'!A35,'ESTRADA ARELLANO ARTURO'!V$40:V$42)+SUMIF('HERNANDEZ CONTRERAS JOSE FERNAN'!P$37:P$39,'KM POR UNIDAD'!A35,'HERNANDEZ CONTRERAS JOSE FERNAN'!V$38:V$40)+SUMIF('SALAZAR PEREZ JUAN CARLOS'!P$38:P$40,'KM POR UNIDAD'!A35,'SALAZAR PEREZ JUAN CARLOS'!V$38:V$40)+SUMIF('HARO IMPERIAL JOSÉ ANTONIO'!P$41:P$43,'KM POR UNIDAD'!A35,'HARO IMPERIAL JOSÉ ANTONIO'!V$41:V$43)+SUMIF('ESCARCEGA GALDEAN JESUS OMAR'!P$38:P$40,'KM POR UNIDAD'!A35,'ESCARCEGA GALDEAN JESUS OMAR'!V$38:V$40)</f>
        <v>0</v>
      </c>
      <c r="E35" s="167">
        <f>IFERROR(B35/D35,0)</f>
        <v>0</v>
      </c>
      <c r="F35" s="168"/>
      <c r="G35" s="168"/>
      <c r="H35" s="168"/>
      <c r="I35" s="169"/>
      <c r="J35" s="170"/>
      <c r="K35" s="171"/>
    </row>
    <row r="36" spans="1:11" x14ac:dyDescent="0.25">
      <c r="A36" s="165" t="s">
        <v>167</v>
      </c>
      <c r="B36" s="166">
        <f>SUMIF('LIRA TRISTAN JOSE ANGEL'!P$36:P$38,'KM POR UNIDAD'!A36,'LIRA TRISTAN JOSE ANGEL'!U$36:U$38)+SUMIF('TORRES GARAY LUIS HUMBERTO'!P$38:P$40,'KM POR UNIDAD'!A36,'TORRES GARAY LUIS HUMBERTO'!U$38:U$40)+SUMIF('CERDA HERNANDEZ JOSE LUIS'!P$35:P$37,'KM POR UNIDAD'!A36,'CERDA HERNANDEZ JOSE LUIS'!U$35:U$37)+SUMIF('RUIZ ALVARADO PEDRO'!P$32:P$34,'KM POR UNIDAD'!A36,'RUIZ ALVARADO PEDRO'!U$32:U$34)+SUMIF('NEVAREZ JUAN MANUEL'!P$37:P$39,'KM POR UNIDAD'!A36,'NEVAREZ JUAN MANUEL'!U$37:U$39)+SUMIF('CHAVEZ VARELA NESTOR ADRIAN'!P$35:P$37,'KM POR UNIDAD'!A36,'CHAVEZ VARELA NESTOR ADRIAN'!U$35:U$37)+SUMIF('PAYAN ESTRADA JOSE ANGEL'!P$37:P$39,'KM POR UNIDAD'!A36,'PAYAN ESTRADA JOSE ANGEL'!U$37:U$39)+SUMIF('RUIZ HERRERA ERICK '!P$33:P$35,'KM POR UNIDAD'!A36,'RUIZ HERRERA ERICK '!U$33:U$35)+SUMIF('GONZALEZ LOZANO ENRIQUE '!P$38:P$40,'KM POR UNIDAD'!A36,'GONZALEZ LOZANO ENRIQUE '!U$38:U$40)+SUMIF('GONZALEZ MARTINEZ MAURICIO'!P$38:P$40,'KM POR UNIDAD'!A36,'GONZALEZ MARTINEZ MAURICIO'!U$38:U$40)+SUMIF('GONZALEZ SOTO JOEL'!P$39:P$41,'KM POR UNIDAD'!A36,'GONZALEZ SOTO JOEL'!U$39:U$41)+SUMIF('MARTA RUBIO MARTIN'!P$39:P$41,'KM POR UNIDAD'!A36,'MARTA RUBIO MARTIN'!U$39:U$41)+SUMIF('GRIJALVA VALDEZ CESAR EUSEBIO'!P$35:P$37,'KM POR UNIDAD'!A36,'GRIJALVA VALDEZ CESAR EUSEBIO'!U$35:U$37)+SUMIF('PACHECO BAÑUELOS ALFONSO'!P$39:P$41,'KM POR UNIDAD'!A36,'PACHECO BAÑUELOS ALFONSO'!U$39:U$41)+SUMIF('RODRIGUEZ VALLES JOSE FRANCISCO'!P$40:P$42,'KM POR UNIDAD'!A36,'RODRIGUEZ VALLES JOSE FRANCISCO'!U$40:U$42)+SUMIF('SANCHEZ GUERRERO JOSE LUIS'!P$40:P$42,A36,'SANCHEZ GUERRERO JOSE LUIS'!U$40:U$42)+SUMIF('RUEDA SALAZAR ISMAEL'!P$35:P$37,'KM POR UNIDAD'!A36,'RUEDA SALAZAR ISMAEL'!U$35:U$37)+SUMIF('GUZMAN MORALES'!P$40:P$42,'KM POR UNIDAD'!A36,'GUZMAN MORALES'!U$40:U$42)+SUMIF('RODRIGUEZ RAMIREZ FERNANDO'!P$35:P$37,'KM POR UNIDAD'!A36,'RODRIGUEZ RAMIREZ FERNANDO'!U$35:U$37)+SUMIF('ESTRADA ARELLANO ARTURO'!P$40:P$42,'KM POR UNIDAD'!A36,'ESTRADA ARELLANO ARTURO'!U$40:U$42)+SUMIF('HERNANDEZ CONTRERAS JOSE FERNAN'!P$37:P$39,'KM POR UNIDAD'!A36,'HERNANDEZ CONTRERAS JOSE FERNAN'!U$37:U$39)+SUMIF('SALAZAR PEREZ JUAN CARLOS'!P$38:P$40,'KM POR UNIDAD'!A36,'SALAZAR PEREZ JUAN CARLOS'!U$38:U$40)+SUMIF('HARO IMPERIAL JOSÉ ANTONIO'!P$41:P$43,'KM POR UNIDAD'!A36,'HARO IMPERIAL JOSÉ ANTONIO'!U$41:$U77)+SUMIF('ESCARCEGA GALDEAN JESUS OMAR'!P$38:P$40,'KM POR UNIDAD'!A36,'ESCARCEGA GALDEAN JESUS OMAR'!U$38:U$40)</f>
        <v>4702</v>
      </c>
      <c r="C36" s="166">
        <f>+SUMIF('LIRA TRISTAN JOSE ANGEL'!P$36:P$38,'KM POR UNIDAD'!A36,'LIRA TRISTAN JOSE ANGEL'!T$36:T$38)+SUMIF('TORRES GARAY LUIS HUMBERTO'!P$38:P$40,'KM POR UNIDAD'!A36,'TORRES GARAY LUIS HUMBERTO'!T$38:T$40)+SUMIF('CERDA HERNANDEZ JOSE LUIS'!P$35:P$37,'KM POR UNIDAD'!A36,'CERDA HERNANDEZ JOSE LUIS'!T$35:T$37)+SUMIF('RUIZ ALVARADO PEDRO'!P$32:P$34,'KM POR UNIDAD'!A36,'RUIZ ALVARADO PEDRO'!T$32:T$34)+SUMIF('NEVAREZ JUAN MANUEL'!P$37:P$39,'KM POR UNIDAD'!A36,'NEVAREZ JUAN MANUEL'!T$37:T$39)+SUMIF('CHAVEZ VARELA NESTOR ADRIAN'!P$35:P$37,'KM POR UNIDAD'!A36,'CHAVEZ VARELA NESTOR ADRIAN'!T$35:T$37)+SUMIF('PAYAN ESTRADA JOSE ANGEL'!P$37:P$39,'KM POR UNIDAD'!A36,'PAYAN ESTRADA JOSE ANGEL'!T$37:T$39)+SUMIF('RUIZ HERRERA ERICK '!P$33:P$35,'KM POR UNIDAD'!A36,'RUIZ HERRERA ERICK '!T$33:T$35)+SUMIF('GONZALEZ LOZANO ENRIQUE '!P$38:P$40,'KM POR UNIDAD'!A36,'GONZALEZ LOZANO ENRIQUE '!T$38:T$40)+SUMIF('GONZALEZ MARTINEZ MAURICIO'!P$38:P$40,'KM POR UNIDAD'!A36,'GONZALEZ MARTINEZ MAURICIO'!T$38:T$40)+SUMIF('GONZALEZ SOTO JOEL'!P$39:P$41,'KM POR UNIDAD'!A36,'GONZALEZ SOTO JOEL'!T$39:T$41)+SUMIF('MARTA RUBIO MARTIN'!P$39:P$41,'KM POR UNIDAD'!A36,'MARTA RUBIO MARTIN'!T$39:T$41)+SUMIF('GRIJALVA VALDEZ CESAR EUSEBIO'!P$35:P$37,'KM POR UNIDAD'!A36,'GRIJALVA VALDEZ CESAR EUSEBIO'!T$35:T$37)+SUMIF('PACHECO BAÑUELOS ALFONSO'!P$39:P$41,'KM POR UNIDAD'!A36,'PACHECO BAÑUELOS ALFONSO'!T$39:T$41)+SUMIF('RODRIGUEZ VALLES JOSE FRANCISCO'!P$40:P$42,'KM POR UNIDAD'!A36,'RODRIGUEZ VALLES JOSE FRANCISCO'!T$40:T$42)+SUMIF('SANCHEZ GUERRERO JOSE LUIS'!P$40:P$42,A36,'SANCHEZ GUERRERO JOSE LUIS'!T$40:T$42)+SUMIF('RUEDA SALAZAR ISMAEL'!P$35:P$37,'KM POR UNIDAD'!A36,'RUEDA SALAZAR ISMAEL'!T$35:T$37)+SUMIF('GUZMAN MORALES'!P$40:P$42,'KM POR UNIDAD'!A36,'GUZMAN MORALES'!T$40:T$42)+SUMIF('RODRIGUEZ RAMIREZ FERNANDO'!P$35:P$37,'KM POR UNIDAD'!A36,'RODRIGUEZ RAMIREZ FERNANDO'!T$35:T$37)+SUMIF('ESTRADA ARELLANO ARTURO'!P$40:P$42,'KM POR UNIDAD'!A36,'ESTRADA ARELLANO ARTURO'!T$40:T$42)+SUMIF('HERNANDEZ CONTRERAS JOSE FERNAN'!P$37:P$39,'KM POR UNIDAD'!A36,'HERNANDEZ CONTRERAS JOSE FERNAN'!T$37:T$39)+SUMIF('SALAZAR PEREZ JUAN CARLOS'!P$38:P$40,'KM POR UNIDAD'!A36,'SALAZAR PEREZ JUAN CARLOS'!T$38:T$40)+SUMIF('HARO IMPERIAL JOSÉ ANTONIO'!P$41:P$43,'KM POR UNIDAD'!A36,'HARO IMPERIAL JOSÉ ANTONIO'!T$41:T$43)+SUMIF('ESCARCEGA GALDEAN JESUS OMAR'!P$38:P$40,'KM POR UNIDAD'!A36,'ESCARCEGA GALDEAN JESUS OMAR'!T$38:T$40)</f>
        <v>4848</v>
      </c>
      <c r="D36" s="189">
        <f>+SUMIF('LIRA TRISTAN JOSE ANGEL'!P$36:P$38,'KM POR UNIDAD'!A36,'LIRA TRISTAN JOSE ANGEL'!V$36:V$38)+SUMIF('TORRES GARAY LUIS HUMBERTO'!P$38:P$40,'KM POR UNIDAD'!A36,'TORRES GARAY LUIS HUMBERTO'!V$38:V$40)+SUMIF('CERDA HERNANDEZ JOSE LUIS'!P$35:P$37,'KM POR UNIDAD'!A36,'CERDA HERNANDEZ JOSE LUIS'!V$35:V$37)+SUMIF('RUIZ ALVARADO PEDRO'!P$32:P$34,'KM POR UNIDAD'!A36,'RUIZ ALVARADO PEDRO'!V$32:V$34)+SUMIF('NEVAREZ JUAN MANUEL'!P$37:P$39,'KM POR UNIDAD'!A36,'NEVAREZ JUAN MANUEL'!V$37:V$39)+SUMIF('CHAVEZ VARELA NESTOR ADRIAN'!P$35:P$37,'KM POR UNIDAD'!A36,'CHAVEZ VARELA NESTOR ADRIAN'!V$35:V$37)+SUMIF('PAYAN ESTRADA JOSE ANGEL'!P$37:P$39,'KM POR UNIDAD'!A36,'PAYAN ESTRADA JOSE ANGEL'!V$37:V$39)+SUMIF('RUIZ HERRERA ERICK '!P$33:P$35,'KM POR UNIDAD'!A36,'RUIZ HERRERA ERICK '!V$33:V$35)+SUMIF('GONZALEZ LOZANO ENRIQUE '!P$38:P$40,'KM POR UNIDAD'!A36,'GONZALEZ LOZANO ENRIQUE '!V$38:V$40)+SUMIF('GONZALEZ MARTINEZ MAURICIO'!P$38:P$40,'KM POR UNIDAD'!A36,'GONZALEZ MARTINEZ MAURICIO'!V$38:V$40)+SUMIF('GONZALEZ SOTO JOEL'!P$39:P$41,'KM POR UNIDAD'!A36,'GONZALEZ SOTO JOEL'!V$39:V$41)+SUMIF('MARTA RUBIO MARTIN'!P$39:P$41,'KM POR UNIDAD'!A36,'MARTA RUBIO MARTIN'!V$39:V$41)+SUMIF('GRIJALVA VALDEZ CESAR EUSEBIO'!P$35:P$37,'KM POR UNIDAD'!A36,'GRIJALVA VALDEZ CESAR EUSEBIO'!V$35:V$37)+SUMIF('PACHECO BAÑUELOS ALFONSO'!P$39:P$41,'KM POR UNIDAD'!A36,'PACHECO BAÑUELOS ALFONSO'!V$39:V$41)+SUMIF('RODRIGUEZ VALLES JOSE FRANCISCO'!P$40:P$42,'KM POR UNIDAD'!A36,'RODRIGUEZ VALLES JOSE FRANCISCO'!V$40:V$42)+SUMIF('SANCHEZ GUERRERO JOSE LUIS'!P$40:P$42,A36,'SANCHEZ GUERRERO JOSE LUIS'!V$40:V$42)+SUMIF('RUEDA SALAZAR ISMAEL'!P$35:P$37,'KM POR UNIDAD'!A36,'RUEDA SALAZAR ISMAEL'!V$35:V$37)+SUMIF('GUZMAN MORALES'!P$40:P$42,'KM POR UNIDAD'!A36,'GUZMAN MORALES'!V$40:V$42)+SUMIF('RODRIGUEZ RAMIREZ FERNANDO'!P$35:P$37,'KM POR UNIDAD'!A36,'RODRIGUEZ RAMIREZ FERNANDO'!V$35:V$37)+SUMIF('ESTRADA ARELLANO ARTURO'!P$40:P$42,'KM POR UNIDAD'!A36,'ESTRADA ARELLANO ARTURO'!V$40:V$42)+SUMIF('HERNANDEZ CONTRERAS JOSE FERNAN'!P$35:P$39,'KM POR UNIDAD'!A36,'HERNANDEZ CONTRERAS JOSE FERNAN'!V$35:V$40)+SUMIF('SALAZAR PEREZ JUAN CARLOS'!P$38:P$40,'KM POR UNIDAD'!A36,'SALAZAR PEREZ JUAN CARLOS'!V$38:V$40)+SUMIF('HARO IMPERIAL JOSÉ ANTONIO'!P$41:P$43,'KM POR UNIDAD'!A36,'HARO IMPERIAL JOSÉ ANTONIO'!V$41:V$43)+SUMIF('ESCARCEGA GALDEAN JESUS OMAR'!P$38:P$40,'KM POR UNIDAD'!A36,'ESCARCEGA GALDEAN JESUS OMAR'!V$38:V$40)</f>
        <v>1501.835</v>
      </c>
      <c r="E36" s="167">
        <f>IFERROR(B36/D36,0)</f>
        <v>3.1308366098805793</v>
      </c>
      <c r="F36" s="168"/>
      <c r="G36" s="168"/>
      <c r="H36" s="168"/>
      <c r="I36" s="169"/>
      <c r="J36" s="170"/>
      <c r="K36" s="171"/>
    </row>
    <row r="37" spans="1:11" x14ac:dyDescent="0.25">
      <c r="A37" s="165" t="s">
        <v>217</v>
      </c>
      <c r="B37" s="166">
        <f>SUMIF('LIRA TRISTAN JOSE ANGEL'!P$36:P$38,'KM POR UNIDAD'!A37,'LIRA TRISTAN JOSE ANGEL'!U$36:U$38)+SUMIF('TORRES GARAY LUIS HUMBERTO'!P$38:P$40,'KM POR UNIDAD'!A37,'TORRES GARAY LUIS HUMBERTO'!U$38:U$40)+SUMIF('CERDA HERNANDEZ JOSE LUIS'!P$35:P$37,'KM POR UNIDAD'!A37,'CERDA HERNANDEZ JOSE LUIS'!U$35:U$37)+SUMIF('RUIZ ALVARADO PEDRO'!P$32:P$34,'KM POR UNIDAD'!A37,'RUIZ ALVARADO PEDRO'!U$32:U$34)+SUMIF('NEVAREZ JUAN MANUEL'!P$37:P$39,'KM POR UNIDAD'!A37,'NEVAREZ JUAN MANUEL'!U$37:U$39)+SUMIF('CHAVEZ VARELA NESTOR ADRIAN'!P$35:P$37,'KM POR UNIDAD'!A37,'CHAVEZ VARELA NESTOR ADRIAN'!U$35:U$37)+SUMIF('PAYAN ESTRADA JOSE ANGEL'!P$37:P$39,'KM POR UNIDAD'!A37,'PAYAN ESTRADA JOSE ANGEL'!U$37:U$39)+SUMIF('RUIZ HERRERA ERICK '!P$33:P$35,'KM POR UNIDAD'!A37,'RUIZ HERRERA ERICK '!U$33:U$35)+SUMIF('GONZALEZ LOZANO ENRIQUE '!P$38:P$40,'KM POR UNIDAD'!A37,'GONZALEZ LOZANO ENRIQUE '!U$38:U$40)+SUMIF('GONZALEZ MARTINEZ MAURICIO'!P$38:P$40,'KM POR UNIDAD'!A37,'GONZALEZ MARTINEZ MAURICIO'!U$38:U$40)+SUMIF('GONZALEZ SOTO JOEL'!P$39:P$41,'KM POR UNIDAD'!A37,'GONZALEZ SOTO JOEL'!U$39:U$41)+SUMIF('MARTA RUBIO MARTIN'!P$39:P$41,'KM POR UNIDAD'!A37,'MARTA RUBIO MARTIN'!U$39:U$41)+SUMIF('GRIJALVA VALDEZ CESAR EUSEBIO'!P$35:P$37,'KM POR UNIDAD'!A37,'GRIJALVA VALDEZ CESAR EUSEBIO'!U$35:U$37)+SUMIF('PACHECO BAÑUELOS ALFONSO'!P$39:P$41,'KM POR UNIDAD'!A37,'PACHECO BAÑUELOS ALFONSO'!U$39:U$41)+SUMIF('RODRIGUEZ VALLES JOSE FRANCISCO'!P$40:P$42,'KM POR UNIDAD'!A37,'RODRIGUEZ VALLES JOSE FRANCISCO'!U$40:U$42)+SUMIF('SANCHEZ GUERRERO JOSE LUIS'!P$40:P$42,A37,'SANCHEZ GUERRERO JOSE LUIS'!U$40:U$42)+SUMIF('RUEDA SALAZAR ISMAEL'!P$35:P$37,'KM POR UNIDAD'!A37,'RUEDA SALAZAR ISMAEL'!U$35:U$37)+SUMIF('GUZMAN MORALES'!P$40:P$42,'KM POR UNIDAD'!A37,'GUZMAN MORALES'!U$40:U$42)+SUMIF('RODRIGUEZ RAMIREZ FERNANDO'!P$35:P$37,'KM POR UNIDAD'!A37,'RODRIGUEZ RAMIREZ FERNANDO'!U$35:U$37)+SUMIF('ESTRADA ARELLANO ARTURO'!P$40:P$42,'KM POR UNIDAD'!A37,'ESTRADA ARELLANO ARTURO'!U$40:U$42)+SUMIF('HERNANDEZ CONTRERAS JOSE FERNAN'!P$37:P$39,'KM POR UNIDAD'!A37,'HERNANDEZ CONTRERAS JOSE FERNAN'!U$37:U$39)+SUMIF('SALAZAR PEREZ JUAN CARLOS'!P$38:P$40,'KM POR UNIDAD'!A37,'SALAZAR PEREZ JUAN CARLOS'!U$38:U$40)+SUMIF('HARO IMPERIAL JOSÉ ANTONIO'!P$41:P$43,'KM POR UNIDAD'!A37,'HARO IMPERIAL JOSÉ ANTONIO'!U$41:$U78)+SUMIF('ESCARCEGA GALDEAN JESUS OMAR'!P$38:P$40,'KM POR UNIDAD'!A37,'ESCARCEGA GALDEAN JESUS OMAR'!U$38:U$40)</f>
        <v>0</v>
      </c>
      <c r="C37" s="166">
        <f>+SUMIF('LIRA TRISTAN JOSE ANGEL'!P$36:P$38,'KM POR UNIDAD'!A37,'LIRA TRISTAN JOSE ANGEL'!T$36:T$38)+SUMIF('TORRES GARAY LUIS HUMBERTO'!P$38:P$40,'KM POR UNIDAD'!A37,'TORRES GARAY LUIS HUMBERTO'!T$38:T$40)+SUMIF('CERDA HERNANDEZ JOSE LUIS'!P$35:P$37,'KM POR UNIDAD'!A37,'CERDA HERNANDEZ JOSE LUIS'!T$35:T$37)+SUMIF('RUIZ ALVARADO PEDRO'!P$32:P$34,'KM POR UNIDAD'!A37,'RUIZ ALVARADO PEDRO'!T$32:T$34)+SUMIF('NEVAREZ JUAN MANUEL'!P$37:P$39,'KM POR UNIDAD'!A37,'NEVAREZ JUAN MANUEL'!T$37:T$39)+SUMIF('CHAVEZ VARELA NESTOR ADRIAN'!P$35:P$37,'KM POR UNIDAD'!A37,'CHAVEZ VARELA NESTOR ADRIAN'!T$35:T$37)+SUMIF('PAYAN ESTRADA JOSE ANGEL'!P$37:P$39,'KM POR UNIDAD'!A37,'PAYAN ESTRADA JOSE ANGEL'!T$37:T$39)+SUMIF('RUIZ HERRERA ERICK '!P$33:P$35,'KM POR UNIDAD'!A37,'RUIZ HERRERA ERICK '!T$33:T$35)+SUMIF('GONZALEZ LOZANO ENRIQUE '!P$38:P$40,'KM POR UNIDAD'!A37,'GONZALEZ LOZANO ENRIQUE '!T$38:T$40)+SUMIF('GONZALEZ MARTINEZ MAURICIO'!P$38:P$40,'KM POR UNIDAD'!A37,'GONZALEZ MARTINEZ MAURICIO'!T$38:T$40)+SUMIF('GONZALEZ SOTO JOEL'!P$39:P$41,'KM POR UNIDAD'!A37,'GONZALEZ SOTO JOEL'!T$39:T$41)+SUMIF('MARTA RUBIO MARTIN'!P$39:P$41,'KM POR UNIDAD'!A37,'MARTA RUBIO MARTIN'!T$39:T$41)+SUMIF('GRIJALVA VALDEZ CESAR EUSEBIO'!P$35:P$37,'KM POR UNIDAD'!A37,'GRIJALVA VALDEZ CESAR EUSEBIO'!T$35:T$37)+SUMIF('PACHECO BAÑUELOS ALFONSO'!P$39:P$41,'KM POR UNIDAD'!A37,'PACHECO BAÑUELOS ALFONSO'!T$39:T$41)+SUMIF('RODRIGUEZ VALLES JOSE FRANCISCO'!P$40:P$42,'KM POR UNIDAD'!A37,'RODRIGUEZ VALLES JOSE FRANCISCO'!T$40:T$42)+SUMIF('SANCHEZ GUERRERO JOSE LUIS'!P$40:P$42,A37,'SANCHEZ GUERRERO JOSE LUIS'!T$40:T$42)+SUMIF('RUEDA SALAZAR ISMAEL'!P$35:P$37,'KM POR UNIDAD'!A37,'RUEDA SALAZAR ISMAEL'!T$35:T$37)+SUMIF('GUZMAN MORALES'!P$40:P$42,'KM POR UNIDAD'!A37,'GUZMAN MORALES'!T$40:T$42)+SUMIF('RODRIGUEZ RAMIREZ FERNANDO'!P$35:P$37,'KM POR UNIDAD'!A37,'RODRIGUEZ RAMIREZ FERNANDO'!T$35:T$37)+SUMIF('ESTRADA ARELLANO ARTURO'!P$40:P$42,'KM POR UNIDAD'!A37,'ESTRADA ARELLANO ARTURO'!T$40:T$42)+SUMIF('HERNANDEZ CONTRERAS JOSE FERNAN'!P$37:P$39,'KM POR UNIDAD'!A37,'HERNANDEZ CONTRERAS JOSE FERNAN'!T$37:T$39)+SUMIF('SALAZAR PEREZ JUAN CARLOS'!P$38:P$40,'KM POR UNIDAD'!A37,'SALAZAR PEREZ JUAN CARLOS'!T$38:T$40)+SUMIF('HARO IMPERIAL JOSÉ ANTONIO'!P$41:P$43,'KM POR UNIDAD'!A37,'HARO IMPERIAL JOSÉ ANTONIO'!T$41:T$43)+SUMIF('ESCARCEGA GALDEAN JESUS OMAR'!P$38:P$40,'KM POR UNIDAD'!A37,'ESCARCEGA GALDEAN JESUS OMAR'!T$38:T$40)</f>
        <v>0</v>
      </c>
      <c r="D37" s="189">
        <f>+SUMIF('LIRA TRISTAN JOSE ANGEL'!P$36:P$38,'KM POR UNIDAD'!A37,'LIRA TRISTAN JOSE ANGEL'!V$36:V$38)+SUMIF('TORRES GARAY LUIS HUMBERTO'!P$38:P$40,'KM POR UNIDAD'!A37,'TORRES GARAY LUIS HUMBERTO'!V$38:V$40)+SUMIF('CERDA HERNANDEZ JOSE LUIS'!P$35:P$37,'KM POR UNIDAD'!A37,'CERDA HERNANDEZ JOSE LUIS'!V$35:V$37)+SUMIF('RUIZ ALVARADO PEDRO'!P$32:P$34,'KM POR UNIDAD'!A37,'RUIZ ALVARADO PEDRO'!V$32:V$34)+SUMIF('NEVAREZ JUAN MANUEL'!P$37:P$39,'KM POR UNIDAD'!A37,'NEVAREZ JUAN MANUEL'!V$37:V$39)+SUMIF('CHAVEZ VARELA NESTOR ADRIAN'!P$35:P$37,'KM POR UNIDAD'!A37,'CHAVEZ VARELA NESTOR ADRIAN'!V$35:V$37)+SUMIF('PAYAN ESTRADA JOSE ANGEL'!P$37:P$39,'KM POR UNIDAD'!A37,'PAYAN ESTRADA JOSE ANGEL'!V$37:V$39)+SUMIF('RUIZ HERRERA ERICK '!P$33:P$35,'KM POR UNIDAD'!A37,'RUIZ HERRERA ERICK '!V$33:V$35)+SUMIF('GONZALEZ LOZANO ENRIQUE '!P$38:P$40,'KM POR UNIDAD'!A37,'GONZALEZ LOZANO ENRIQUE '!V$38:V$40)+SUMIF('GONZALEZ MARTINEZ MAURICIO'!P$38:P$40,'KM POR UNIDAD'!A37,'GONZALEZ MARTINEZ MAURICIO'!V$38:V$40)+SUMIF('GONZALEZ SOTO JOEL'!P$39:P$41,'KM POR UNIDAD'!A37,'GONZALEZ SOTO JOEL'!V$39:V$41)+SUMIF('MARTA RUBIO MARTIN'!P$39:P$41,'KM POR UNIDAD'!A37,'MARTA RUBIO MARTIN'!V$39:V$41)+SUMIF('GRIJALVA VALDEZ CESAR EUSEBIO'!P$35:P$37,'KM POR UNIDAD'!A37,'GRIJALVA VALDEZ CESAR EUSEBIO'!V$35:V$37)+SUMIF('PACHECO BAÑUELOS ALFONSO'!P$39:P$41,'KM POR UNIDAD'!A37,'PACHECO BAÑUELOS ALFONSO'!V$39:V$41)+SUMIF('RODRIGUEZ VALLES JOSE FRANCISCO'!P$40:P$42,'KM POR UNIDAD'!A37,'RODRIGUEZ VALLES JOSE FRANCISCO'!V$40:V$42)+SUMIF('SANCHEZ GUERRERO JOSE LUIS'!P$40:P$42,A37,'SANCHEZ GUERRERO JOSE LUIS'!V$40:V$42)+SUMIF('RUEDA SALAZAR ISMAEL'!P$35:P$37,'KM POR UNIDAD'!A37,'RUEDA SALAZAR ISMAEL'!V$35:V$37)+SUMIF('GUZMAN MORALES'!P$40:P$42,'KM POR UNIDAD'!A37,'GUZMAN MORALES'!V$40:V$42)+SUMIF('RODRIGUEZ RAMIREZ FERNANDO'!P$35:P$37,'KM POR UNIDAD'!A37,'RODRIGUEZ RAMIREZ FERNANDO'!V$35:V$37)+SUMIF('ESTRADA ARELLANO ARTURO'!P$40:P$42,'KM POR UNIDAD'!A37,'ESTRADA ARELLANO ARTURO'!V$40:V$42)+SUMIF('HERNANDEZ CONTRERAS JOSE FERNAN'!P$37:P$39,'KM POR UNIDAD'!A37,'HERNANDEZ CONTRERAS JOSE FERNAN'!V$38:V$40)+SUMIF('SALAZAR PEREZ JUAN CARLOS'!P$38:P$40,'KM POR UNIDAD'!A37,'SALAZAR PEREZ JUAN CARLOS'!V$38:V$40)+SUMIF('HARO IMPERIAL JOSÉ ANTONIO'!P$41:P$43,'KM POR UNIDAD'!A37,'HARO IMPERIAL JOSÉ ANTONIO'!V$41:V$43)+SUMIF('ESCARCEGA GALDEAN JESUS OMAR'!P$38:P$40,'KM POR UNIDAD'!A37,'ESCARCEGA GALDEAN JESUS OMAR'!V$38:V$40)</f>
        <v>0</v>
      </c>
      <c r="E37" s="167">
        <f>IFERROR(B37/D37,0)</f>
        <v>0</v>
      </c>
      <c r="F37" s="168"/>
      <c r="G37" s="168"/>
      <c r="H37" s="168"/>
      <c r="I37" s="169"/>
      <c r="J37" s="170"/>
      <c r="K37" s="171"/>
    </row>
    <row r="38" spans="1:11" x14ac:dyDescent="0.25">
      <c r="A38" s="165" t="s">
        <v>146</v>
      </c>
      <c r="B38" s="166">
        <f>SUMIF('LIRA TRISTAN JOSE ANGEL'!P$36:P$38,'KM POR UNIDAD'!A38,'LIRA TRISTAN JOSE ANGEL'!U$36:U$38)+SUMIF('TORRES GARAY LUIS HUMBERTO'!P$38:P$40,'KM POR UNIDAD'!A38,'TORRES GARAY LUIS HUMBERTO'!U$38:U$40)+SUMIF('CERDA HERNANDEZ JOSE LUIS'!P$35:P$37,'KM POR UNIDAD'!A38,'CERDA HERNANDEZ JOSE LUIS'!U$35:U$37)+SUMIF('RUIZ ALVARADO PEDRO'!P$32:P$34,'KM POR UNIDAD'!A38,'RUIZ ALVARADO PEDRO'!U$32:U$34)+SUMIF('NEVAREZ JUAN MANUEL'!P$37:P$39,'KM POR UNIDAD'!A38,'NEVAREZ JUAN MANUEL'!U$37:U$39)+SUMIF('CHAVEZ VARELA NESTOR ADRIAN'!P$35:P$37,'KM POR UNIDAD'!A38,'CHAVEZ VARELA NESTOR ADRIAN'!U$35:U$37)+SUMIF('PAYAN ESTRADA JOSE ANGEL'!P$37:P$39,'KM POR UNIDAD'!A38,'PAYAN ESTRADA JOSE ANGEL'!U$37:U$39)+SUMIF('RUIZ HERRERA ERICK '!P$33:P$35,'KM POR UNIDAD'!A38,'RUIZ HERRERA ERICK '!U$33:U$35)+SUMIF('GONZALEZ LOZANO ENRIQUE '!P$38:P$40,'KM POR UNIDAD'!A38,'GONZALEZ LOZANO ENRIQUE '!U$38:U$40)+SUMIF('GONZALEZ MARTINEZ MAURICIO'!P$38:P$40,'KM POR UNIDAD'!A38,'GONZALEZ MARTINEZ MAURICIO'!U$38:U$40)+SUMIF('GONZALEZ SOTO JOEL'!P$39:P$41,'KM POR UNIDAD'!A38,'GONZALEZ SOTO JOEL'!U$39:U$41)+SUMIF('MARTA RUBIO MARTIN'!P$39:P$41,'KM POR UNIDAD'!A38,'MARTA RUBIO MARTIN'!U$39:U$41)+SUMIF('GRIJALVA VALDEZ CESAR EUSEBIO'!P$35:P$37,'KM POR UNIDAD'!A38,'GRIJALVA VALDEZ CESAR EUSEBIO'!U$35:U$37)+SUMIF('PACHECO BAÑUELOS ALFONSO'!P$39:P$41,'KM POR UNIDAD'!A38,'PACHECO BAÑUELOS ALFONSO'!U$39:U$41)+SUMIF('RODRIGUEZ VALLES JOSE FRANCISCO'!P$40:P$42,'KM POR UNIDAD'!A38,'RODRIGUEZ VALLES JOSE FRANCISCO'!U$40:U$42)+SUMIF('SANCHEZ GUERRERO JOSE LUIS'!P$40:P$42,A38,'SANCHEZ GUERRERO JOSE LUIS'!U$40:U$42)+SUMIF('RUEDA SALAZAR ISMAEL'!P$35:P$37,'KM POR UNIDAD'!A38,'RUEDA SALAZAR ISMAEL'!U$35:U$37)+SUMIF('GUZMAN MORALES'!P$40:P$42,'KM POR UNIDAD'!A38,'GUZMAN MORALES'!U$40:U$42)+SUMIF('RODRIGUEZ RAMIREZ FERNANDO'!P$35:P$37,'KM POR UNIDAD'!A38,'RODRIGUEZ RAMIREZ FERNANDO'!U$35:U$37)+SUMIF('ESTRADA ARELLANO ARTURO'!P$40:P$42,'KM POR UNIDAD'!A38,'ESTRADA ARELLANO ARTURO'!U$40:U$42)+SUMIF('HERNANDEZ CONTRERAS JOSE FERNAN'!P$37:P$39,'KM POR UNIDAD'!A38,'HERNANDEZ CONTRERAS JOSE FERNAN'!U$37:U$39)+SUMIF('SALAZAR PEREZ JUAN CARLOS'!P$38:P$40,'KM POR UNIDAD'!A38,'SALAZAR PEREZ JUAN CARLOS'!U$38:U$40)+SUMIF('HARO IMPERIAL JOSÉ ANTONIO'!P$41:P$43,'KM POR UNIDAD'!A38,'HARO IMPERIAL JOSÉ ANTONIO'!U$41:$U76)+SUMIF('ESCARCEGA GALDEAN JESUS OMAR'!P$38:P$40,'KM POR UNIDAD'!A38,'ESCARCEGA GALDEAN JESUS OMAR'!U$38:U$40)</f>
        <v>0</v>
      </c>
      <c r="C38" s="166">
        <f>+SUMIF('LIRA TRISTAN JOSE ANGEL'!P$36:P$38,'KM POR UNIDAD'!A38,'LIRA TRISTAN JOSE ANGEL'!T$36:T$38)+SUMIF('TORRES GARAY LUIS HUMBERTO'!P$38:P$40,'KM POR UNIDAD'!A38,'TORRES GARAY LUIS HUMBERTO'!T$38:T$40)+SUMIF('CERDA HERNANDEZ JOSE LUIS'!P$35:P$37,'KM POR UNIDAD'!A38,'CERDA HERNANDEZ JOSE LUIS'!T$35:T$37)+SUMIF('RUIZ ALVARADO PEDRO'!P$32:P$34,'KM POR UNIDAD'!A38,'RUIZ ALVARADO PEDRO'!T$32:T$34)+SUMIF('NEVAREZ JUAN MANUEL'!P$37:P$39,'KM POR UNIDAD'!A38,'NEVAREZ JUAN MANUEL'!T$37:T$39)+SUMIF('CHAVEZ VARELA NESTOR ADRIAN'!P$35:P$37,'KM POR UNIDAD'!A38,'CHAVEZ VARELA NESTOR ADRIAN'!T$35:T$37)+SUMIF('PAYAN ESTRADA JOSE ANGEL'!P$37:P$39,'KM POR UNIDAD'!A38,'PAYAN ESTRADA JOSE ANGEL'!T$37:T$39)+SUMIF('RUIZ HERRERA ERICK '!P$33:P$35,'KM POR UNIDAD'!A38,'RUIZ HERRERA ERICK '!T$33:T$35)+SUMIF('GONZALEZ LOZANO ENRIQUE '!P$38:P$40,'KM POR UNIDAD'!A38,'GONZALEZ LOZANO ENRIQUE '!T$38:T$40)+SUMIF('GONZALEZ MARTINEZ MAURICIO'!P$38:P$40,'KM POR UNIDAD'!A38,'GONZALEZ MARTINEZ MAURICIO'!T$38:T$40)+SUMIF('GONZALEZ SOTO JOEL'!P$39:P$41,'KM POR UNIDAD'!A38,'GONZALEZ SOTO JOEL'!T$39:T$41)+SUMIF('MARTA RUBIO MARTIN'!P$39:P$41,'KM POR UNIDAD'!A38,'MARTA RUBIO MARTIN'!T$39:T$41)+SUMIF('GRIJALVA VALDEZ CESAR EUSEBIO'!P$35:P$37,'KM POR UNIDAD'!A38,'GRIJALVA VALDEZ CESAR EUSEBIO'!T$35:T$37)+SUMIF('PACHECO BAÑUELOS ALFONSO'!P$39:P$41,'KM POR UNIDAD'!A38,'PACHECO BAÑUELOS ALFONSO'!T$39:T$41)+SUMIF('RODRIGUEZ VALLES JOSE FRANCISCO'!P$40:P$42,'KM POR UNIDAD'!A38,'RODRIGUEZ VALLES JOSE FRANCISCO'!T$40:T$42)+SUMIF('SANCHEZ GUERRERO JOSE LUIS'!P$40:P$42,A38,'SANCHEZ GUERRERO JOSE LUIS'!T$40:T$42)+SUMIF('RUEDA SALAZAR ISMAEL'!P$35:P$37,'KM POR UNIDAD'!A38,'RUEDA SALAZAR ISMAEL'!T$35:T$37)+SUMIF('GUZMAN MORALES'!P$40:P$42,'KM POR UNIDAD'!A38,'GUZMAN MORALES'!T$40:T$42)+SUMIF('RODRIGUEZ RAMIREZ FERNANDO'!P$35:P$37,'KM POR UNIDAD'!A38,'RODRIGUEZ RAMIREZ FERNANDO'!T$35:T$37)+SUMIF('ESTRADA ARELLANO ARTURO'!P$40:P$42,'KM POR UNIDAD'!A38,'ESTRADA ARELLANO ARTURO'!T$40:T$42)+SUMIF('HERNANDEZ CONTRERAS JOSE FERNAN'!P$37:P$39,'KM POR UNIDAD'!A38,'HERNANDEZ CONTRERAS JOSE FERNAN'!T$37:T$39)+SUMIF('SALAZAR PEREZ JUAN CARLOS'!P$38:P$40,'KM POR UNIDAD'!A38,'SALAZAR PEREZ JUAN CARLOS'!T$38:T$40)+SUMIF('HARO IMPERIAL JOSÉ ANTONIO'!P$41:P$43,'KM POR UNIDAD'!A38,'HARO IMPERIAL JOSÉ ANTONIO'!T$41:T$43)+SUMIF('ESCARCEGA GALDEAN JESUS OMAR'!P$38:P$40,'KM POR UNIDAD'!A38,'ESCARCEGA GALDEAN JESUS OMAR'!T$38:T$40)</f>
        <v>0</v>
      </c>
      <c r="D38" s="189">
        <f>+SUMIF('LIRA TRISTAN JOSE ANGEL'!P$36:P$38,'KM POR UNIDAD'!A38,'LIRA TRISTAN JOSE ANGEL'!V$36:V$38)+SUMIF('TORRES GARAY LUIS HUMBERTO'!P$38:P$40,'KM POR UNIDAD'!A38,'TORRES GARAY LUIS HUMBERTO'!V$38:V$40)+SUMIF('CERDA HERNANDEZ JOSE LUIS'!P$35:P$37,'KM POR UNIDAD'!A38,'CERDA HERNANDEZ JOSE LUIS'!V$35:V$37)+SUMIF('RUIZ ALVARADO PEDRO'!P$32:P$34,'KM POR UNIDAD'!A38,'RUIZ ALVARADO PEDRO'!V$32:V$34)+SUMIF('NEVAREZ JUAN MANUEL'!P$37:P$39,'KM POR UNIDAD'!A38,'NEVAREZ JUAN MANUEL'!V$37:V$39)+SUMIF('CHAVEZ VARELA NESTOR ADRIAN'!P$35:P$37,'KM POR UNIDAD'!A38,'CHAVEZ VARELA NESTOR ADRIAN'!V$35:V$37)+SUMIF('PAYAN ESTRADA JOSE ANGEL'!P$37:P$39,'KM POR UNIDAD'!A38,'PAYAN ESTRADA JOSE ANGEL'!V$37:V$39)+SUMIF('RUIZ HERRERA ERICK '!P$33:P$35,'KM POR UNIDAD'!A38,'RUIZ HERRERA ERICK '!V$33:V$35)+SUMIF('GONZALEZ LOZANO ENRIQUE '!P$38:P$40,'KM POR UNIDAD'!A38,'GONZALEZ LOZANO ENRIQUE '!V$38:V$40)+SUMIF('GONZALEZ MARTINEZ MAURICIO'!P$38:P$40,'KM POR UNIDAD'!A38,'GONZALEZ MARTINEZ MAURICIO'!V$38:V$40)+SUMIF('GONZALEZ SOTO JOEL'!P$39:P$41,'KM POR UNIDAD'!A38,'GONZALEZ SOTO JOEL'!V$39:V$41)+SUMIF('MARTA RUBIO MARTIN'!P$39:P$41,'KM POR UNIDAD'!A38,'MARTA RUBIO MARTIN'!V$39:V$41)+SUMIF('GRIJALVA VALDEZ CESAR EUSEBIO'!P$35:P$37,'KM POR UNIDAD'!A38,'GRIJALVA VALDEZ CESAR EUSEBIO'!V$35:V$37)+SUMIF('PACHECO BAÑUELOS ALFONSO'!P$39:P$41,'KM POR UNIDAD'!A38,'PACHECO BAÑUELOS ALFONSO'!V$39:V$41)+SUMIF('RODRIGUEZ VALLES JOSE FRANCISCO'!P$40:P$42,'KM POR UNIDAD'!A38,'RODRIGUEZ VALLES JOSE FRANCISCO'!V$40:V$42)+SUMIF('SANCHEZ GUERRERO JOSE LUIS'!P$40:P$42,A38,'SANCHEZ GUERRERO JOSE LUIS'!V$40:V$42)+SUMIF('RUEDA SALAZAR ISMAEL'!P$35:P$37,'KM POR UNIDAD'!A38,'RUEDA SALAZAR ISMAEL'!V$35:V$37)+SUMIF('GUZMAN MORALES'!P$40:P$42,'KM POR UNIDAD'!A38,'GUZMAN MORALES'!V$40:V$42)+SUMIF('RODRIGUEZ RAMIREZ FERNANDO'!P$35:P$37,'KM POR UNIDAD'!A38,'RODRIGUEZ RAMIREZ FERNANDO'!V$35:V$37)+SUMIF('ESTRADA ARELLANO ARTURO'!P$40:P$42,'KM POR UNIDAD'!A38,'ESTRADA ARELLANO ARTURO'!V$40:V$42)+SUMIF('HERNANDEZ CONTRERAS JOSE FERNAN'!P$37:P$39,'KM POR UNIDAD'!A38,'HERNANDEZ CONTRERAS JOSE FERNAN'!V$38:V$40)+SUMIF('SALAZAR PEREZ JUAN CARLOS'!P$38:P$40,'KM POR UNIDAD'!A38,'SALAZAR PEREZ JUAN CARLOS'!V$38:V$40)+SUMIF('HARO IMPERIAL JOSÉ ANTONIO'!P$41:P$43,'KM POR UNIDAD'!A38,'HARO IMPERIAL JOSÉ ANTONIO'!V$41:V$43)+SUMIF('ESCARCEGA GALDEAN JESUS OMAR'!P$38:P$40,'KM POR UNIDAD'!A38,'ESCARCEGA GALDEAN JESUS OMAR'!V$38:V$40)</f>
        <v>0</v>
      </c>
      <c r="E38" s="167">
        <f t="shared" si="1"/>
        <v>0</v>
      </c>
      <c r="F38" s="168">
        <v>0</v>
      </c>
      <c r="G38" s="168">
        <v>0</v>
      </c>
      <c r="H38" s="168">
        <v>0</v>
      </c>
      <c r="I38" s="169">
        <f t="shared" si="0"/>
        <v>0</v>
      </c>
      <c r="J38" s="170"/>
      <c r="K38" s="171"/>
    </row>
    <row r="39" spans="1:11" x14ac:dyDescent="0.25">
      <c r="A39" s="165" t="s">
        <v>148</v>
      </c>
      <c r="B39" s="166">
        <f>SUMIF('LIRA TRISTAN JOSE ANGEL'!P$36:P$38,'KM POR UNIDAD'!A39,'LIRA TRISTAN JOSE ANGEL'!U$36:U$38)+SUMIF('TORRES GARAY LUIS HUMBERTO'!P$38:P$40,'KM POR UNIDAD'!A39,'TORRES GARAY LUIS HUMBERTO'!U$38:U$40)+SUMIF('CERDA HERNANDEZ JOSE LUIS'!P$35:P$37,'KM POR UNIDAD'!A39,'CERDA HERNANDEZ JOSE LUIS'!U$35:U$37)+SUMIF('RUIZ ALVARADO PEDRO'!P$32:P$34,'KM POR UNIDAD'!A39,'RUIZ ALVARADO PEDRO'!U$32:U$34)+SUMIF('NEVAREZ JUAN MANUEL'!P$37:P$39,'KM POR UNIDAD'!A39,'NEVAREZ JUAN MANUEL'!U$37:U$39)+SUMIF('CHAVEZ VARELA NESTOR ADRIAN'!P$35:P$37,'KM POR UNIDAD'!A39,'CHAVEZ VARELA NESTOR ADRIAN'!U$35:U$37)+SUMIF('PAYAN ESTRADA JOSE ANGEL'!P$37:P$39,'KM POR UNIDAD'!A39,'PAYAN ESTRADA JOSE ANGEL'!U$37:U$39)+SUMIF('RUIZ HERRERA ERICK '!P$33:P$35,'KM POR UNIDAD'!A39,'RUIZ HERRERA ERICK '!U$33:U$35)+SUMIF('GONZALEZ LOZANO ENRIQUE '!P$38:P$40,'KM POR UNIDAD'!A39,'GONZALEZ LOZANO ENRIQUE '!U$38:U$40)+SUMIF('GONZALEZ MARTINEZ MAURICIO'!P$38:P$40,'KM POR UNIDAD'!A39,'GONZALEZ MARTINEZ MAURICIO'!U$38:U$40)+SUMIF('GONZALEZ SOTO JOEL'!P$39:P$41,'KM POR UNIDAD'!A39,'GONZALEZ SOTO JOEL'!U$39:U$41)+SUMIF('MARTA RUBIO MARTIN'!P$39:P$41,'KM POR UNIDAD'!A39,'MARTA RUBIO MARTIN'!U$39:U$41)+SUMIF('GRIJALVA VALDEZ CESAR EUSEBIO'!P$35:P$37,'KM POR UNIDAD'!A39,'GRIJALVA VALDEZ CESAR EUSEBIO'!U$35:U$37)+SUMIF('PACHECO BAÑUELOS ALFONSO'!P$39:P$41,'KM POR UNIDAD'!A39,'PACHECO BAÑUELOS ALFONSO'!U$39:U$41)+SUMIF('RODRIGUEZ VALLES JOSE FRANCISCO'!P$40:P$42,'KM POR UNIDAD'!A39,'RODRIGUEZ VALLES JOSE FRANCISCO'!U$40:U$42)+SUMIF('SANCHEZ GUERRERO JOSE LUIS'!P$40:P$42,A39,'SANCHEZ GUERRERO JOSE LUIS'!U$40:U$42)+SUMIF('RUEDA SALAZAR ISMAEL'!P$35:P$37,'KM POR UNIDAD'!A39,'RUEDA SALAZAR ISMAEL'!U$35:U$37)+SUMIF('GUZMAN MORALES'!P$40:P$42,'KM POR UNIDAD'!A39,'GUZMAN MORALES'!U$40:U$42)+SUMIF('RODRIGUEZ RAMIREZ FERNANDO'!P$35:P$37,'KM POR UNIDAD'!A39,'RODRIGUEZ RAMIREZ FERNANDO'!U$35:U$37)+SUMIF('ESTRADA ARELLANO ARTURO'!P$40:P$42,'KM POR UNIDAD'!A39,'ESTRADA ARELLANO ARTURO'!U$40:U$42)+SUMIF('HERNANDEZ CONTRERAS JOSE FERNAN'!P$37:P$39,'KM POR UNIDAD'!A39,'HERNANDEZ CONTRERAS JOSE FERNAN'!U$37:U$39)+SUMIF('SALAZAR PEREZ JUAN CARLOS'!P$38:P$40,'KM POR UNIDAD'!A39,'SALAZAR PEREZ JUAN CARLOS'!U$38:U$40)+SUMIF('HARO IMPERIAL JOSÉ ANTONIO'!P$41:P$43,'KM POR UNIDAD'!A39,'HARO IMPERIAL JOSÉ ANTONIO'!U$41:$U78)+SUMIF('ESCARCEGA GALDEAN JESUS OMAR'!P$38:P$40,'KM POR UNIDAD'!A39,'ESCARCEGA GALDEAN JESUS OMAR'!U$38:U$40)</f>
        <v>0</v>
      </c>
      <c r="C39" s="166">
        <f>+SUMIF('LIRA TRISTAN JOSE ANGEL'!P$36:P$38,'KM POR UNIDAD'!A39,'LIRA TRISTAN JOSE ANGEL'!T$36:T$38)+SUMIF('TORRES GARAY LUIS HUMBERTO'!P$38:P$40,'KM POR UNIDAD'!A39,'TORRES GARAY LUIS HUMBERTO'!T$38:T$40)+SUMIF('CERDA HERNANDEZ JOSE LUIS'!P$35:P$37,'KM POR UNIDAD'!A39,'CERDA HERNANDEZ JOSE LUIS'!T$35:T$37)+SUMIF('RUIZ ALVARADO PEDRO'!P$32:P$34,'KM POR UNIDAD'!A39,'RUIZ ALVARADO PEDRO'!T$32:T$34)+SUMIF('NEVAREZ JUAN MANUEL'!P$37:P$39,'KM POR UNIDAD'!A39,'NEVAREZ JUAN MANUEL'!T$37:T$39)+SUMIF('CHAVEZ VARELA NESTOR ADRIAN'!P$35:P$37,'KM POR UNIDAD'!A39,'CHAVEZ VARELA NESTOR ADRIAN'!T$35:T$37)+SUMIF('PAYAN ESTRADA JOSE ANGEL'!P$37:P$39,'KM POR UNIDAD'!A39,'PAYAN ESTRADA JOSE ANGEL'!T$37:T$39)+SUMIF('RUIZ HERRERA ERICK '!P$33:P$35,'KM POR UNIDAD'!A39,'RUIZ HERRERA ERICK '!T$33:T$35)+SUMIF('GONZALEZ LOZANO ENRIQUE '!P$38:P$40,'KM POR UNIDAD'!A39,'GONZALEZ LOZANO ENRIQUE '!T$38:T$40)+SUMIF('GONZALEZ MARTINEZ MAURICIO'!P$38:P$40,'KM POR UNIDAD'!A39,'GONZALEZ MARTINEZ MAURICIO'!T$38:T$40)+SUMIF('GONZALEZ SOTO JOEL'!P$39:P$41,'KM POR UNIDAD'!A39,'GONZALEZ SOTO JOEL'!T$39:T$41)+SUMIF('MARTA RUBIO MARTIN'!P$39:P$41,'KM POR UNIDAD'!A39,'MARTA RUBIO MARTIN'!T$39:T$41)+SUMIF('GRIJALVA VALDEZ CESAR EUSEBIO'!P$35:P$37,'KM POR UNIDAD'!A39,'GRIJALVA VALDEZ CESAR EUSEBIO'!T$35:T$37)+SUMIF('PACHECO BAÑUELOS ALFONSO'!P$39:P$41,'KM POR UNIDAD'!A39,'PACHECO BAÑUELOS ALFONSO'!T$39:T$41)+SUMIF('RODRIGUEZ VALLES JOSE FRANCISCO'!P$40:P$42,'KM POR UNIDAD'!A39,'RODRIGUEZ VALLES JOSE FRANCISCO'!T$40:T$42)+SUMIF('SANCHEZ GUERRERO JOSE LUIS'!P$40:P$42,A39,'SANCHEZ GUERRERO JOSE LUIS'!T$40:T$42)+SUMIF('RUEDA SALAZAR ISMAEL'!P$35:P$37,'KM POR UNIDAD'!A39,'RUEDA SALAZAR ISMAEL'!T$35:T$37)+SUMIF('GUZMAN MORALES'!P$40:P$42,'KM POR UNIDAD'!A39,'GUZMAN MORALES'!T$40:T$42)+SUMIF('RODRIGUEZ RAMIREZ FERNANDO'!P$35:P$37,'KM POR UNIDAD'!A39,'RODRIGUEZ RAMIREZ FERNANDO'!T$35:T$37)+SUMIF('ESTRADA ARELLANO ARTURO'!P$40:P$42,'KM POR UNIDAD'!A39,'ESTRADA ARELLANO ARTURO'!T$40:T$42)+SUMIF('HERNANDEZ CONTRERAS JOSE FERNAN'!P$37:P$39,'KM POR UNIDAD'!A39,'HERNANDEZ CONTRERAS JOSE FERNAN'!T$37:T$39)+SUMIF('SALAZAR PEREZ JUAN CARLOS'!P$38:P$40,'KM POR UNIDAD'!A39,'SALAZAR PEREZ JUAN CARLOS'!T$38:T$40)+SUMIF('HARO IMPERIAL JOSÉ ANTONIO'!P$41:P$43,'KM POR UNIDAD'!A39,'HARO IMPERIAL JOSÉ ANTONIO'!T$41:T$43)+SUMIF('ESCARCEGA GALDEAN JESUS OMAR'!P$38:P$40,'KM POR UNIDAD'!A39,'ESCARCEGA GALDEAN JESUS OMAR'!T$38:T$40)</f>
        <v>0</v>
      </c>
      <c r="D39" s="189">
        <f>+SUMIF('LIRA TRISTAN JOSE ANGEL'!P$36:P$38,'KM POR UNIDAD'!A39,'LIRA TRISTAN JOSE ANGEL'!V$36:V$38)+SUMIF('TORRES GARAY LUIS HUMBERTO'!P$38:P$40,'KM POR UNIDAD'!A39,'TORRES GARAY LUIS HUMBERTO'!V$38:V$40)+SUMIF('CERDA HERNANDEZ JOSE LUIS'!P$35:P$37,'KM POR UNIDAD'!A39,'CERDA HERNANDEZ JOSE LUIS'!V$35:V$37)+SUMIF('RUIZ ALVARADO PEDRO'!P$32:P$34,'KM POR UNIDAD'!A39,'RUIZ ALVARADO PEDRO'!V$32:V$34)+SUMIF('NEVAREZ JUAN MANUEL'!P$37:P$39,'KM POR UNIDAD'!A39,'NEVAREZ JUAN MANUEL'!V$37:V$39)+SUMIF('CHAVEZ VARELA NESTOR ADRIAN'!P$35:P$37,'KM POR UNIDAD'!A39,'CHAVEZ VARELA NESTOR ADRIAN'!V$35:V$37)+SUMIF('PAYAN ESTRADA JOSE ANGEL'!P$37:P$39,'KM POR UNIDAD'!A39,'PAYAN ESTRADA JOSE ANGEL'!V$37:V$39)+SUMIF('RUIZ HERRERA ERICK '!P$33:P$35,'KM POR UNIDAD'!A39,'RUIZ HERRERA ERICK '!V$33:V$35)+SUMIF('GONZALEZ LOZANO ENRIQUE '!P$38:P$40,'KM POR UNIDAD'!A39,'GONZALEZ LOZANO ENRIQUE '!V$38:V$40)+SUMIF('GONZALEZ MARTINEZ MAURICIO'!P$38:P$40,'KM POR UNIDAD'!A39,'GONZALEZ MARTINEZ MAURICIO'!V$38:V$40)+SUMIF('GONZALEZ SOTO JOEL'!P$39:P$41,'KM POR UNIDAD'!A39,'GONZALEZ SOTO JOEL'!V$39:V$41)+SUMIF('MARTA RUBIO MARTIN'!P$39:P$41,'KM POR UNIDAD'!A39,'MARTA RUBIO MARTIN'!V$39:V$41)+SUMIF('GRIJALVA VALDEZ CESAR EUSEBIO'!P$35:P$37,'KM POR UNIDAD'!A39,'GRIJALVA VALDEZ CESAR EUSEBIO'!V$35:V$37)+SUMIF('PACHECO BAÑUELOS ALFONSO'!P$39:P$41,'KM POR UNIDAD'!A39,'PACHECO BAÑUELOS ALFONSO'!V$39:V$41)+SUMIF('RODRIGUEZ VALLES JOSE FRANCISCO'!P$40:P$42,'KM POR UNIDAD'!A39,'RODRIGUEZ VALLES JOSE FRANCISCO'!V$40:V$42)+SUMIF('SANCHEZ GUERRERO JOSE LUIS'!P$40:P$42,A39,'SANCHEZ GUERRERO JOSE LUIS'!V$40:V$42)+SUMIF('RUEDA SALAZAR ISMAEL'!P$35:P$37,'KM POR UNIDAD'!A39,'RUEDA SALAZAR ISMAEL'!V$35:V$37)+SUMIF('GUZMAN MORALES'!P$40:P$42,'KM POR UNIDAD'!A39,'GUZMAN MORALES'!V$40:V$42)+SUMIF('RODRIGUEZ RAMIREZ FERNANDO'!P$35:P$37,'KM POR UNIDAD'!A39,'RODRIGUEZ RAMIREZ FERNANDO'!V$35:V$37)+SUMIF('ESTRADA ARELLANO ARTURO'!P$40:P$42,'KM POR UNIDAD'!A39,'ESTRADA ARELLANO ARTURO'!V$40:V$42)+SUMIF('HERNANDEZ CONTRERAS JOSE FERNAN'!P$37:P$39,'KM POR UNIDAD'!A39,'HERNANDEZ CONTRERAS JOSE FERNAN'!V$38:V$40)+SUMIF('SALAZAR PEREZ JUAN CARLOS'!P$38:P$40,'KM POR UNIDAD'!A39,'SALAZAR PEREZ JUAN CARLOS'!V$38:V$40)+SUMIF('HARO IMPERIAL JOSÉ ANTONIO'!P$41:P$43,'KM POR UNIDAD'!A39,'HARO IMPERIAL JOSÉ ANTONIO'!V$41:V$43)+SUMIF('ESCARCEGA GALDEAN JESUS OMAR'!P$38:P$40,'KM POR UNIDAD'!A39,'ESCARCEGA GALDEAN JESUS OMAR'!V$38:V$40)</f>
        <v>0</v>
      </c>
      <c r="E39" s="167">
        <f t="shared" si="1"/>
        <v>0</v>
      </c>
      <c r="F39" s="168">
        <v>0</v>
      </c>
      <c r="G39" s="168">
        <v>0</v>
      </c>
      <c r="H39" s="168">
        <v>0</v>
      </c>
      <c r="I39" s="169">
        <f t="shared" si="0"/>
        <v>0</v>
      </c>
      <c r="J39" s="170"/>
      <c r="K39" s="171"/>
    </row>
    <row r="40" spans="1:11" x14ac:dyDescent="0.25">
      <c r="A40" s="165" t="s">
        <v>149</v>
      </c>
      <c r="B40" s="166">
        <f>SUMIF('LIRA TRISTAN JOSE ANGEL'!P$36:P$38,'KM POR UNIDAD'!A40,'LIRA TRISTAN JOSE ANGEL'!U$36:U$38)+SUMIF('TORRES GARAY LUIS HUMBERTO'!P$38:P$40,'KM POR UNIDAD'!A40,'TORRES GARAY LUIS HUMBERTO'!U$38:U$40)+SUMIF('CERDA HERNANDEZ JOSE LUIS'!P$35:P$37,'KM POR UNIDAD'!A40,'CERDA HERNANDEZ JOSE LUIS'!U$35:U$37)+SUMIF('RUIZ ALVARADO PEDRO'!P$32:P$34,'KM POR UNIDAD'!A40,'RUIZ ALVARADO PEDRO'!U$32:U$34)+SUMIF('NEVAREZ JUAN MANUEL'!P$37:P$39,'KM POR UNIDAD'!A40,'NEVAREZ JUAN MANUEL'!U$37:U$39)+SUMIF('CHAVEZ VARELA NESTOR ADRIAN'!P$35:P$37,'KM POR UNIDAD'!A40,'CHAVEZ VARELA NESTOR ADRIAN'!U$35:U$37)+SUMIF('PAYAN ESTRADA JOSE ANGEL'!P$37:P$39,'KM POR UNIDAD'!A40,'PAYAN ESTRADA JOSE ANGEL'!U$37:U$39)+SUMIF('RUIZ HERRERA ERICK '!P$33:P$35,'KM POR UNIDAD'!A40,'RUIZ HERRERA ERICK '!U$33:U$35)+SUMIF('GONZALEZ LOZANO ENRIQUE '!P$38:P$40,'KM POR UNIDAD'!A40,'GONZALEZ LOZANO ENRIQUE '!U$38:U$40)+SUMIF('GONZALEZ MARTINEZ MAURICIO'!P$38:P$40,'KM POR UNIDAD'!A40,'GONZALEZ MARTINEZ MAURICIO'!U$38:U$40)+SUMIF('GONZALEZ SOTO JOEL'!P$39:P$41,'KM POR UNIDAD'!A40,'GONZALEZ SOTO JOEL'!U$39:U$41)+SUMIF('MARTA RUBIO MARTIN'!P$39:P$41,'KM POR UNIDAD'!A40,'MARTA RUBIO MARTIN'!U$39:U$41)+SUMIF('GRIJALVA VALDEZ CESAR EUSEBIO'!P$35:P$37,'KM POR UNIDAD'!A40,'GRIJALVA VALDEZ CESAR EUSEBIO'!U$35:U$37)+SUMIF('PACHECO BAÑUELOS ALFONSO'!P$39:P$41,'KM POR UNIDAD'!A40,'PACHECO BAÑUELOS ALFONSO'!U$39:U$41)+SUMIF('RODRIGUEZ VALLES JOSE FRANCISCO'!P$40:P$42,'KM POR UNIDAD'!A40,'RODRIGUEZ VALLES JOSE FRANCISCO'!U$40:U$42)+SUMIF('SANCHEZ GUERRERO JOSE LUIS'!P$40:P$42,A40,'SANCHEZ GUERRERO JOSE LUIS'!U$40:U$42)+SUMIF('RUEDA SALAZAR ISMAEL'!P$35:P$37,'KM POR UNIDAD'!A40,'RUEDA SALAZAR ISMAEL'!U$35:U$37)+SUMIF('GUZMAN MORALES'!P$40:P$42,'KM POR UNIDAD'!A40,'GUZMAN MORALES'!U$40:U$42)+SUMIF('RODRIGUEZ RAMIREZ FERNANDO'!P$35:P$37,'KM POR UNIDAD'!A40,'RODRIGUEZ RAMIREZ FERNANDO'!U$35:U$37)+SUMIF('ESTRADA ARELLANO ARTURO'!P$40:P$42,'KM POR UNIDAD'!A40,'ESTRADA ARELLANO ARTURO'!U$40:U$42)+SUMIF('HERNANDEZ CONTRERAS JOSE FERNAN'!P$37:P$39,'KM POR UNIDAD'!A40,'HERNANDEZ CONTRERAS JOSE FERNAN'!U$37:U$39)+SUMIF('SALAZAR PEREZ JUAN CARLOS'!P$38:P$40,'KM POR UNIDAD'!A40,'SALAZAR PEREZ JUAN CARLOS'!U$38:U$40)+SUMIF('HARO IMPERIAL JOSÉ ANTONIO'!P$41:P$43,'KM POR UNIDAD'!A40,'HARO IMPERIAL JOSÉ ANTONIO'!U$41:$U79)+SUMIF('ESCARCEGA GALDEAN JESUS OMAR'!P$38:P$40,'KM POR UNIDAD'!A40,'ESCARCEGA GALDEAN JESUS OMAR'!U$38:U$40)</f>
        <v>0</v>
      </c>
      <c r="C40" s="166">
        <f>+SUMIF('LIRA TRISTAN JOSE ANGEL'!P$36:P$38,'KM POR UNIDAD'!A40,'LIRA TRISTAN JOSE ANGEL'!T$36:T$38)+SUMIF('TORRES GARAY LUIS HUMBERTO'!P$38:P$40,'KM POR UNIDAD'!A40,'TORRES GARAY LUIS HUMBERTO'!T$38:T$40)+SUMIF('CERDA HERNANDEZ JOSE LUIS'!P$35:P$37,'KM POR UNIDAD'!A40,'CERDA HERNANDEZ JOSE LUIS'!T$35:T$37)+SUMIF('RUIZ ALVARADO PEDRO'!P$32:P$34,'KM POR UNIDAD'!A40,'RUIZ ALVARADO PEDRO'!T$32:T$34)+SUMIF('NEVAREZ JUAN MANUEL'!P$37:P$39,'KM POR UNIDAD'!A40,'NEVAREZ JUAN MANUEL'!T$37:T$39)+SUMIF('CHAVEZ VARELA NESTOR ADRIAN'!P$35:P$37,'KM POR UNIDAD'!A40,'CHAVEZ VARELA NESTOR ADRIAN'!T$35:T$37)+SUMIF('PAYAN ESTRADA JOSE ANGEL'!P$37:P$39,'KM POR UNIDAD'!A40,'PAYAN ESTRADA JOSE ANGEL'!T$37:T$39)+SUMIF('RUIZ HERRERA ERICK '!P$33:P$35,'KM POR UNIDAD'!A40,'RUIZ HERRERA ERICK '!T$33:T$35)+SUMIF('GONZALEZ LOZANO ENRIQUE '!P$38:P$40,'KM POR UNIDAD'!A40,'GONZALEZ LOZANO ENRIQUE '!T$38:T$40)+SUMIF('GONZALEZ MARTINEZ MAURICIO'!P$38:P$40,'KM POR UNIDAD'!A40,'GONZALEZ MARTINEZ MAURICIO'!T$38:T$40)+SUMIF('GONZALEZ SOTO JOEL'!P$39:P$41,'KM POR UNIDAD'!A40,'GONZALEZ SOTO JOEL'!T$39:T$41)+SUMIF('MARTA RUBIO MARTIN'!P$39:P$41,'KM POR UNIDAD'!A40,'MARTA RUBIO MARTIN'!T$39:T$41)+SUMIF('GRIJALVA VALDEZ CESAR EUSEBIO'!P$35:P$37,'KM POR UNIDAD'!A40,'GRIJALVA VALDEZ CESAR EUSEBIO'!T$35:T$37)+SUMIF('PACHECO BAÑUELOS ALFONSO'!P$39:P$41,'KM POR UNIDAD'!A40,'PACHECO BAÑUELOS ALFONSO'!T$39:T$41)+SUMIF('RODRIGUEZ VALLES JOSE FRANCISCO'!P$40:P$42,'KM POR UNIDAD'!A40,'RODRIGUEZ VALLES JOSE FRANCISCO'!T$40:T$42)+SUMIF('SANCHEZ GUERRERO JOSE LUIS'!P$40:P$42,A40,'SANCHEZ GUERRERO JOSE LUIS'!T$40:T$42)+SUMIF('RUEDA SALAZAR ISMAEL'!P$35:P$37,'KM POR UNIDAD'!A40,'RUEDA SALAZAR ISMAEL'!T$35:T$37)+SUMIF('GUZMAN MORALES'!P$40:P$42,'KM POR UNIDAD'!A40,'GUZMAN MORALES'!T$40:T$42)+SUMIF('RODRIGUEZ RAMIREZ FERNANDO'!P$35:P$37,'KM POR UNIDAD'!A40,'RODRIGUEZ RAMIREZ FERNANDO'!T$35:T$37)+SUMIF('ESTRADA ARELLANO ARTURO'!P$40:P$42,'KM POR UNIDAD'!A40,'ESTRADA ARELLANO ARTURO'!T$40:T$42)+SUMIF('HERNANDEZ CONTRERAS JOSE FERNAN'!P$37:P$39,'KM POR UNIDAD'!A40,'HERNANDEZ CONTRERAS JOSE FERNAN'!T$37:T$39)+SUMIF('SALAZAR PEREZ JUAN CARLOS'!P$38:P$40,'KM POR UNIDAD'!A40,'SALAZAR PEREZ JUAN CARLOS'!T$38:T$40)+SUMIF('HARO IMPERIAL JOSÉ ANTONIO'!P$41:P$43,'KM POR UNIDAD'!A40,'HARO IMPERIAL JOSÉ ANTONIO'!T$41:T$43)+SUMIF('ESCARCEGA GALDEAN JESUS OMAR'!P$38:P$40,'KM POR UNIDAD'!A40,'ESCARCEGA GALDEAN JESUS OMAR'!T$38:T$40)</f>
        <v>0</v>
      </c>
      <c r="D40" s="189">
        <f>+SUMIF('LIRA TRISTAN JOSE ANGEL'!P$36:P$38,'KM POR UNIDAD'!A40,'LIRA TRISTAN JOSE ANGEL'!V$36:V$38)+SUMIF('TORRES GARAY LUIS HUMBERTO'!P$38:P$40,'KM POR UNIDAD'!A40,'TORRES GARAY LUIS HUMBERTO'!V$38:V$40)+SUMIF('CERDA HERNANDEZ JOSE LUIS'!P$35:P$37,'KM POR UNIDAD'!A40,'CERDA HERNANDEZ JOSE LUIS'!V$35:V$37)+SUMIF('RUIZ ALVARADO PEDRO'!P$32:P$34,'KM POR UNIDAD'!A40,'RUIZ ALVARADO PEDRO'!V$32:V$34)+SUMIF('NEVAREZ JUAN MANUEL'!P$37:P$39,'KM POR UNIDAD'!A40,'NEVAREZ JUAN MANUEL'!V$37:V$39)+SUMIF('CHAVEZ VARELA NESTOR ADRIAN'!P$35:P$37,'KM POR UNIDAD'!A40,'CHAVEZ VARELA NESTOR ADRIAN'!V$35:V$37)+SUMIF('PAYAN ESTRADA JOSE ANGEL'!P$37:P$39,'KM POR UNIDAD'!A40,'PAYAN ESTRADA JOSE ANGEL'!V$37:V$39)+SUMIF('RUIZ HERRERA ERICK '!P$33:P$35,'KM POR UNIDAD'!A40,'RUIZ HERRERA ERICK '!V$33:V$35)+SUMIF('GONZALEZ LOZANO ENRIQUE '!P$38:P$40,'KM POR UNIDAD'!A40,'GONZALEZ LOZANO ENRIQUE '!V$38:V$40)+SUMIF('GONZALEZ MARTINEZ MAURICIO'!P$38:P$40,'KM POR UNIDAD'!A40,'GONZALEZ MARTINEZ MAURICIO'!V$38:V$40)+SUMIF('GONZALEZ SOTO JOEL'!P$39:P$41,'KM POR UNIDAD'!A40,'GONZALEZ SOTO JOEL'!V$39:V$41)+SUMIF('MARTA RUBIO MARTIN'!P$39:P$41,'KM POR UNIDAD'!A40,'MARTA RUBIO MARTIN'!V$39:V$41)+SUMIF('GRIJALVA VALDEZ CESAR EUSEBIO'!P$35:P$37,'KM POR UNIDAD'!A40,'GRIJALVA VALDEZ CESAR EUSEBIO'!V$35:V$37)+SUMIF('PACHECO BAÑUELOS ALFONSO'!P$39:P$41,'KM POR UNIDAD'!A40,'PACHECO BAÑUELOS ALFONSO'!V$39:V$41)+SUMIF('RODRIGUEZ VALLES JOSE FRANCISCO'!P$40:P$42,'KM POR UNIDAD'!A40,'RODRIGUEZ VALLES JOSE FRANCISCO'!V$40:V$42)+SUMIF('SANCHEZ GUERRERO JOSE LUIS'!P$40:P$42,A40,'SANCHEZ GUERRERO JOSE LUIS'!V$40:V$42)+SUMIF('RUEDA SALAZAR ISMAEL'!P$35:P$37,'KM POR UNIDAD'!A40,'RUEDA SALAZAR ISMAEL'!V$35:V$37)+SUMIF('GUZMAN MORALES'!P$40:P$42,'KM POR UNIDAD'!A40,'GUZMAN MORALES'!V$40:V$42)+SUMIF('RODRIGUEZ RAMIREZ FERNANDO'!P$35:P$37,'KM POR UNIDAD'!A40,'RODRIGUEZ RAMIREZ FERNANDO'!V$35:V$37)+SUMIF('ESTRADA ARELLANO ARTURO'!P$40:P$42,'KM POR UNIDAD'!A40,'ESTRADA ARELLANO ARTURO'!V$40:V$42)+SUMIF('HERNANDEZ CONTRERAS JOSE FERNAN'!P$37:P$39,'KM POR UNIDAD'!A40,'HERNANDEZ CONTRERAS JOSE FERNAN'!V$38:V$40)+SUMIF('SALAZAR PEREZ JUAN CARLOS'!P$38:P$40,'KM POR UNIDAD'!A40,'SALAZAR PEREZ JUAN CARLOS'!V$38:V$40)+SUMIF('HARO IMPERIAL JOSÉ ANTONIO'!P$41:P$43,'KM POR UNIDAD'!A40,'HARO IMPERIAL JOSÉ ANTONIO'!V$41:V$43)+SUMIF('ESCARCEGA GALDEAN JESUS OMAR'!P$38:P$40,'KM POR UNIDAD'!A40,'ESCARCEGA GALDEAN JESUS OMAR'!V$38:V$40)</f>
        <v>0</v>
      </c>
      <c r="E40" s="167">
        <f t="shared" si="1"/>
        <v>0</v>
      </c>
      <c r="F40" s="168">
        <v>0</v>
      </c>
      <c r="G40" s="168">
        <v>0</v>
      </c>
      <c r="H40" s="168">
        <v>0</v>
      </c>
      <c r="I40" s="169">
        <f t="shared" si="0"/>
        <v>0</v>
      </c>
      <c r="J40" s="170"/>
      <c r="K40" s="171"/>
    </row>
    <row r="41" spans="1:11" x14ac:dyDescent="0.25">
      <c r="A41" s="165" t="s">
        <v>150</v>
      </c>
      <c r="B41" s="166">
        <f>SUMIF('LIRA TRISTAN JOSE ANGEL'!P$36:P$38,'KM POR UNIDAD'!A41,'LIRA TRISTAN JOSE ANGEL'!U$36:U$38)+SUMIF('TORRES GARAY LUIS HUMBERTO'!P$38:P$40,'KM POR UNIDAD'!A41,'TORRES GARAY LUIS HUMBERTO'!U$38:U$40)+SUMIF('CERDA HERNANDEZ JOSE LUIS'!P$35:P$37,'KM POR UNIDAD'!A41,'CERDA HERNANDEZ JOSE LUIS'!U$35:U$37)+SUMIF('RUIZ ALVARADO PEDRO'!P$32:P$34,'KM POR UNIDAD'!A41,'RUIZ ALVARADO PEDRO'!U$32:U$34)+SUMIF('NEVAREZ JUAN MANUEL'!P$37:P$39,'KM POR UNIDAD'!A41,'NEVAREZ JUAN MANUEL'!U$37:U$39)+SUMIF('CHAVEZ VARELA NESTOR ADRIAN'!P$35:P$37,'KM POR UNIDAD'!A41,'CHAVEZ VARELA NESTOR ADRIAN'!U$35:U$37)+SUMIF('PAYAN ESTRADA JOSE ANGEL'!P$37:P$39,'KM POR UNIDAD'!A41,'PAYAN ESTRADA JOSE ANGEL'!U$37:U$39)+SUMIF('RUIZ HERRERA ERICK '!P$33:P$35,'KM POR UNIDAD'!A41,'RUIZ HERRERA ERICK '!U$33:U$35)+SUMIF('GONZALEZ LOZANO ENRIQUE '!P$38:P$40,'KM POR UNIDAD'!A41,'GONZALEZ LOZANO ENRIQUE '!U$38:U$40)+SUMIF('GONZALEZ MARTINEZ MAURICIO'!P$38:P$40,'KM POR UNIDAD'!A41,'GONZALEZ MARTINEZ MAURICIO'!U$38:U$40)+SUMIF('GONZALEZ SOTO JOEL'!P$39:P$41,'KM POR UNIDAD'!A41,'GONZALEZ SOTO JOEL'!U$39:U$41)+SUMIF('MARTA RUBIO MARTIN'!P$39:P$41,'KM POR UNIDAD'!A41,'MARTA RUBIO MARTIN'!U$39:U$41)+SUMIF('GRIJALVA VALDEZ CESAR EUSEBIO'!P$35:P$37,'KM POR UNIDAD'!A41,'GRIJALVA VALDEZ CESAR EUSEBIO'!U$35:U$37)+SUMIF('PACHECO BAÑUELOS ALFONSO'!P$39:P$41,'KM POR UNIDAD'!A41,'PACHECO BAÑUELOS ALFONSO'!U$39:U$41)+SUMIF('RODRIGUEZ VALLES JOSE FRANCISCO'!P$40:P$42,'KM POR UNIDAD'!A41,'RODRIGUEZ VALLES JOSE FRANCISCO'!U$40:U$42)+SUMIF('SANCHEZ GUERRERO JOSE LUIS'!P$40:P$42,A41,'SANCHEZ GUERRERO JOSE LUIS'!U$40:U$42)+SUMIF('RUEDA SALAZAR ISMAEL'!P$35:P$37,'KM POR UNIDAD'!A41,'RUEDA SALAZAR ISMAEL'!U$35:U$37)+SUMIF('GUZMAN MORALES'!P$40:P$42,'KM POR UNIDAD'!A41,'GUZMAN MORALES'!U$40:U$42)+SUMIF('RODRIGUEZ RAMIREZ FERNANDO'!P$35:P$37,'KM POR UNIDAD'!A41,'RODRIGUEZ RAMIREZ FERNANDO'!U$35:U$37)+SUMIF('ESTRADA ARELLANO ARTURO'!P$40:P$42,'KM POR UNIDAD'!A41,'ESTRADA ARELLANO ARTURO'!U$40:U$42)+SUMIF('HERNANDEZ CONTRERAS JOSE FERNAN'!P$37:P$39,'KM POR UNIDAD'!A41,'HERNANDEZ CONTRERAS JOSE FERNAN'!U$37:U$39)+SUMIF('SALAZAR PEREZ JUAN CARLOS'!P$38:P$40,'KM POR UNIDAD'!A41,'SALAZAR PEREZ JUAN CARLOS'!U$38:U$40)+SUMIF('HARO IMPERIAL JOSÉ ANTONIO'!P$41:P$43,'KM POR UNIDAD'!A41,'HARO IMPERIAL JOSÉ ANTONIO'!U$41:$U81)+SUMIF('ESCARCEGA GALDEAN JESUS OMAR'!P$38:P$40,'KM POR UNIDAD'!A41,'ESCARCEGA GALDEAN JESUS OMAR'!U$38:U$40)</f>
        <v>0</v>
      </c>
      <c r="C41" s="166">
        <f>+SUMIF('LIRA TRISTAN JOSE ANGEL'!P$36:P$38,'KM POR UNIDAD'!A41,'LIRA TRISTAN JOSE ANGEL'!T$36:T$38)+SUMIF('TORRES GARAY LUIS HUMBERTO'!P$38:P$40,'KM POR UNIDAD'!A41,'TORRES GARAY LUIS HUMBERTO'!T$38:T$40)+SUMIF('CERDA HERNANDEZ JOSE LUIS'!P$35:P$37,'KM POR UNIDAD'!A41,'CERDA HERNANDEZ JOSE LUIS'!T$35:T$37)+SUMIF('RUIZ ALVARADO PEDRO'!P$32:P$34,'KM POR UNIDAD'!A41,'RUIZ ALVARADO PEDRO'!T$32:T$34)+SUMIF('NEVAREZ JUAN MANUEL'!P$37:P$39,'KM POR UNIDAD'!A41,'NEVAREZ JUAN MANUEL'!T$37:T$39)+SUMIF('CHAVEZ VARELA NESTOR ADRIAN'!P$35:P$37,'KM POR UNIDAD'!A41,'CHAVEZ VARELA NESTOR ADRIAN'!T$35:T$37)+SUMIF('PAYAN ESTRADA JOSE ANGEL'!P$37:P$39,'KM POR UNIDAD'!A41,'PAYAN ESTRADA JOSE ANGEL'!T$37:T$39)+SUMIF('RUIZ HERRERA ERICK '!P$33:P$35,'KM POR UNIDAD'!A41,'RUIZ HERRERA ERICK '!T$33:T$35)+SUMIF('GONZALEZ LOZANO ENRIQUE '!P$38:P$40,'KM POR UNIDAD'!A41,'GONZALEZ LOZANO ENRIQUE '!T$38:T$40)+SUMIF('GONZALEZ MARTINEZ MAURICIO'!P$38:P$40,'KM POR UNIDAD'!A41,'GONZALEZ MARTINEZ MAURICIO'!T$38:T$40)+SUMIF('GONZALEZ SOTO JOEL'!P$39:P$41,'KM POR UNIDAD'!A41,'GONZALEZ SOTO JOEL'!T$39:T$41)+SUMIF('MARTA RUBIO MARTIN'!P$39:P$41,'KM POR UNIDAD'!A41,'MARTA RUBIO MARTIN'!T$39:T$41)+SUMIF('GRIJALVA VALDEZ CESAR EUSEBIO'!P$35:P$37,'KM POR UNIDAD'!A41,'GRIJALVA VALDEZ CESAR EUSEBIO'!T$35:T$37)+SUMIF('PACHECO BAÑUELOS ALFONSO'!P$39:P$41,'KM POR UNIDAD'!A41,'PACHECO BAÑUELOS ALFONSO'!T$39:T$41)+SUMIF('RODRIGUEZ VALLES JOSE FRANCISCO'!P$40:P$42,'KM POR UNIDAD'!A41,'RODRIGUEZ VALLES JOSE FRANCISCO'!T$40:T$42)+SUMIF('SANCHEZ GUERRERO JOSE LUIS'!P$40:P$42,A41,'SANCHEZ GUERRERO JOSE LUIS'!T$40:T$42)+SUMIF('RUEDA SALAZAR ISMAEL'!P$35:P$37,'KM POR UNIDAD'!A41,'RUEDA SALAZAR ISMAEL'!T$35:T$37)+SUMIF('GUZMAN MORALES'!P$40:P$42,'KM POR UNIDAD'!A41,'GUZMAN MORALES'!T$40:T$42)+SUMIF('RODRIGUEZ RAMIREZ FERNANDO'!P$35:P$37,'KM POR UNIDAD'!A41,'RODRIGUEZ RAMIREZ FERNANDO'!T$35:T$37)+SUMIF('ESTRADA ARELLANO ARTURO'!P$40:P$42,'KM POR UNIDAD'!A41,'ESTRADA ARELLANO ARTURO'!T$40:T$42)+SUMIF('HERNANDEZ CONTRERAS JOSE FERNAN'!P$37:P$39,'KM POR UNIDAD'!A41,'HERNANDEZ CONTRERAS JOSE FERNAN'!T$37:T$39)+SUMIF('SALAZAR PEREZ JUAN CARLOS'!P$38:P$40,'KM POR UNIDAD'!A41,'SALAZAR PEREZ JUAN CARLOS'!T$38:T$40)+SUMIF('HARO IMPERIAL JOSÉ ANTONIO'!P$41:P$43,'KM POR UNIDAD'!A41,'HARO IMPERIAL JOSÉ ANTONIO'!T$41:T$43)+SUMIF('ESCARCEGA GALDEAN JESUS OMAR'!P$38:P$40,'KM POR UNIDAD'!A41,'ESCARCEGA GALDEAN JESUS OMAR'!T$38:T$40)</f>
        <v>0</v>
      </c>
      <c r="D41" s="189">
        <f>+SUMIF('LIRA TRISTAN JOSE ANGEL'!P$36:P$38,'KM POR UNIDAD'!A41,'LIRA TRISTAN JOSE ANGEL'!V$36:V$38)+SUMIF('TORRES GARAY LUIS HUMBERTO'!P$38:P$40,'KM POR UNIDAD'!A41,'TORRES GARAY LUIS HUMBERTO'!V$38:V$40)+SUMIF('CERDA HERNANDEZ JOSE LUIS'!P$35:P$37,'KM POR UNIDAD'!A41,'CERDA HERNANDEZ JOSE LUIS'!V$35:V$37)+SUMIF('RUIZ ALVARADO PEDRO'!P$32:P$34,'KM POR UNIDAD'!A41,'RUIZ ALVARADO PEDRO'!V$32:V$34)+SUMIF('NEVAREZ JUAN MANUEL'!P$37:P$39,'KM POR UNIDAD'!A41,'NEVAREZ JUAN MANUEL'!V$37:V$39)+SUMIF('CHAVEZ VARELA NESTOR ADRIAN'!P$35:P$37,'KM POR UNIDAD'!A41,'CHAVEZ VARELA NESTOR ADRIAN'!V$35:V$37)+SUMIF('PAYAN ESTRADA JOSE ANGEL'!P$37:P$39,'KM POR UNIDAD'!A41,'PAYAN ESTRADA JOSE ANGEL'!V$37:V$39)+SUMIF('RUIZ HERRERA ERICK '!P$33:P$35,'KM POR UNIDAD'!A41,'RUIZ HERRERA ERICK '!V$33:V$35)+SUMIF('GONZALEZ LOZANO ENRIQUE '!P$38:P$40,'KM POR UNIDAD'!A41,'GONZALEZ LOZANO ENRIQUE '!V$38:V$40)+SUMIF('GONZALEZ MARTINEZ MAURICIO'!P$38:P$40,'KM POR UNIDAD'!A41,'GONZALEZ MARTINEZ MAURICIO'!V$38:V$40)+SUMIF('GONZALEZ SOTO JOEL'!P$39:P$41,'KM POR UNIDAD'!A41,'GONZALEZ SOTO JOEL'!V$39:V$41)+SUMIF('MARTA RUBIO MARTIN'!P$39:P$41,'KM POR UNIDAD'!A41,'MARTA RUBIO MARTIN'!V$39:V$41)+SUMIF('GRIJALVA VALDEZ CESAR EUSEBIO'!P$35:P$37,'KM POR UNIDAD'!A41,'GRIJALVA VALDEZ CESAR EUSEBIO'!V$35:V$37)+SUMIF('PACHECO BAÑUELOS ALFONSO'!P$39:P$41,'KM POR UNIDAD'!A41,'PACHECO BAÑUELOS ALFONSO'!V$39:V$41)+SUMIF('RODRIGUEZ VALLES JOSE FRANCISCO'!P$40:P$42,'KM POR UNIDAD'!A41,'RODRIGUEZ VALLES JOSE FRANCISCO'!V$40:V$42)+SUMIF('SANCHEZ GUERRERO JOSE LUIS'!P$40:P$42,A41,'SANCHEZ GUERRERO JOSE LUIS'!V$40:V$42)+SUMIF('RUEDA SALAZAR ISMAEL'!P$35:P$37,'KM POR UNIDAD'!A41,'RUEDA SALAZAR ISMAEL'!V$35:V$37)+SUMIF('GUZMAN MORALES'!P$40:P$42,'KM POR UNIDAD'!A41,'GUZMAN MORALES'!V$40:V$42)+SUMIF('RODRIGUEZ RAMIREZ FERNANDO'!P$35:P$37,'KM POR UNIDAD'!A41,'RODRIGUEZ RAMIREZ FERNANDO'!V$35:V$37)+SUMIF('ESTRADA ARELLANO ARTURO'!P$40:P$42,'KM POR UNIDAD'!A41,'ESTRADA ARELLANO ARTURO'!V$40:V$42)+SUMIF('HERNANDEZ CONTRERAS JOSE FERNAN'!P$37:P$39,'KM POR UNIDAD'!A41,'HERNANDEZ CONTRERAS JOSE FERNAN'!V$38:V$40)+SUMIF('SALAZAR PEREZ JUAN CARLOS'!P$38:P$40,'KM POR UNIDAD'!A41,'SALAZAR PEREZ JUAN CARLOS'!V$38:V$40)+SUMIF('HARO IMPERIAL JOSÉ ANTONIO'!P$41:P$43,'KM POR UNIDAD'!A41,'HARO IMPERIAL JOSÉ ANTONIO'!V$41:V$43)+SUMIF('ESCARCEGA GALDEAN JESUS OMAR'!P$38:P$40,'KM POR UNIDAD'!A41,'ESCARCEGA GALDEAN JESUS OMAR'!V$38:V$40)</f>
        <v>0</v>
      </c>
      <c r="E41" s="167">
        <f t="shared" si="1"/>
        <v>0</v>
      </c>
      <c r="F41" s="168">
        <v>0</v>
      </c>
      <c r="G41" s="168">
        <v>0</v>
      </c>
      <c r="H41" s="168">
        <v>0</v>
      </c>
      <c r="I41" s="169">
        <f t="shared" si="0"/>
        <v>0</v>
      </c>
      <c r="J41" s="170"/>
      <c r="K41" s="171"/>
    </row>
    <row r="42" spans="1:11" x14ac:dyDescent="0.25">
      <c r="A42" s="165" t="s">
        <v>151</v>
      </c>
      <c r="B42" s="166">
        <f>SUMIF('LIRA TRISTAN JOSE ANGEL'!P$36:P$38,'KM POR UNIDAD'!A42,'LIRA TRISTAN JOSE ANGEL'!U$36:U$38)+SUMIF('TORRES GARAY LUIS HUMBERTO'!P$38:P$40,'KM POR UNIDAD'!A42,'TORRES GARAY LUIS HUMBERTO'!U$38:U$40)+SUMIF('CERDA HERNANDEZ JOSE LUIS'!P$35:P$37,'KM POR UNIDAD'!A42,'CERDA HERNANDEZ JOSE LUIS'!U$35:U$37)+SUMIF('RUIZ ALVARADO PEDRO'!P$32:P$34,'KM POR UNIDAD'!A42,'RUIZ ALVARADO PEDRO'!U$32:U$34)+SUMIF('NEVAREZ JUAN MANUEL'!P$37:P$39,'KM POR UNIDAD'!A42,'NEVAREZ JUAN MANUEL'!U$37:U$39)+SUMIF('CHAVEZ VARELA NESTOR ADRIAN'!P$35:P$37,'KM POR UNIDAD'!A42,'CHAVEZ VARELA NESTOR ADRIAN'!U$35:U$37)+SUMIF('PAYAN ESTRADA JOSE ANGEL'!P$37:P$39,'KM POR UNIDAD'!A42,'PAYAN ESTRADA JOSE ANGEL'!U$37:U$39)+SUMIF('RUIZ HERRERA ERICK '!P$33:P$35,'KM POR UNIDAD'!A42,'RUIZ HERRERA ERICK '!U$33:U$35)+SUMIF('GONZALEZ LOZANO ENRIQUE '!P$38:P$40,'KM POR UNIDAD'!A42,'GONZALEZ LOZANO ENRIQUE '!U$38:U$40)+SUMIF('GONZALEZ MARTINEZ MAURICIO'!P$38:P$40,'KM POR UNIDAD'!A42,'GONZALEZ MARTINEZ MAURICIO'!U$38:U$40)+SUMIF('GONZALEZ SOTO JOEL'!P$39:P$41,'KM POR UNIDAD'!A42,'GONZALEZ SOTO JOEL'!U$39:U$41)+SUMIF('MARTA RUBIO MARTIN'!P$39:P$41,'KM POR UNIDAD'!A42,'MARTA RUBIO MARTIN'!U$39:U$41)+SUMIF('GRIJALVA VALDEZ CESAR EUSEBIO'!P$35:P$37,'KM POR UNIDAD'!A42,'GRIJALVA VALDEZ CESAR EUSEBIO'!U$35:U$37)+SUMIF('PACHECO BAÑUELOS ALFONSO'!P$39:P$41,'KM POR UNIDAD'!A42,'PACHECO BAÑUELOS ALFONSO'!U$39:U$41)+SUMIF('RODRIGUEZ VALLES JOSE FRANCISCO'!P$40:P$42,'KM POR UNIDAD'!A42,'RODRIGUEZ VALLES JOSE FRANCISCO'!U$40:U$42)+SUMIF('SANCHEZ GUERRERO JOSE LUIS'!P$40:P$42,A42,'SANCHEZ GUERRERO JOSE LUIS'!U$40:U$42)+SUMIF('RUEDA SALAZAR ISMAEL'!P$35:P$37,'KM POR UNIDAD'!A42,'RUEDA SALAZAR ISMAEL'!U$35:U$37)+SUMIF('GUZMAN MORALES'!P$40:P$42,'KM POR UNIDAD'!A42,'GUZMAN MORALES'!U$40:U$42)+SUMIF('RODRIGUEZ RAMIREZ FERNANDO'!P$35:P$37,'KM POR UNIDAD'!A42,'RODRIGUEZ RAMIREZ FERNANDO'!U$35:U$37)+SUMIF('ESTRADA ARELLANO ARTURO'!P$40:P$42,'KM POR UNIDAD'!A42,'ESTRADA ARELLANO ARTURO'!U$40:U$42)+SUMIF('HERNANDEZ CONTRERAS JOSE FERNAN'!P$37:P$39,'KM POR UNIDAD'!A42,'HERNANDEZ CONTRERAS JOSE FERNAN'!U$37:U$39)+SUMIF('SALAZAR PEREZ JUAN CARLOS'!P$38:P$40,'KM POR UNIDAD'!A42,'SALAZAR PEREZ JUAN CARLOS'!U$38:U$40)+SUMIF('HARO IMPERIAL JOSÉ ANTONIO'!P$41:P$43,'KM POR UNIDAD'!A42,'HARO IMPERIAL JOSÉ ANTONIO'!U$41:$U82)+SUMIF('ESCARCEGA GALDEAN JESUS OMAR'!P$38:P$40,'KM POR UNIDAD'!A42,'ESCARCEGA GALDEAN JESUS OMAR'!U$38:U$40)</f>
        <v>0</v>
      </c>
      <c r="C42" s="166">
        <f>+SUMIF('LIRA TRISTAN JOSE ANGEL'!P$36:P$38,'KM POR UNIDAD'!A42,'LIRA TRISTAN JOSE ANGEL'!T$36:T$38)+SUMIF('TORRES GARAY LUIS HUMBERTO'!P$38:P$40,'KM POR UNIDAD'!A42,'TORRES GARAY LUIS HUMBERTO'!T$38:T$40)+SUMIF('CERDA HERNANDEZ JOSE LUIS'!P$35:P$37,'KM POR UNIDAD'!A42,'CERDA HERNANDEZ JOSE LUIS'!T$35:T$37)+SUMIF('RUIZ ALVARADO PEDRO'!P$32:P$34,'KM POR UNIDAD'!A42,'RUIZ ALVARADO PEDRO'!T$32:T$34)+SUMIF('NEVAREZ JUAN MANUEL'!P$37:P$39,'KM POR UNIDAD'!A42,'NEVAREZ JUAN MANUEL'!T$37:T$39)+SUMIF('CHAVEZ VARELA NESTOR ADRIAN'!P$35:P$37,'KM POR UNIDAD'!A42,'CHAVEZ VARELA NESTOR ADRIAN'!T$35:T$37)+SUMIF('PAYAN ESTRADA JOSE ANGEL'!P$37:P$39,'KM POR UNIDAD'!A42,'PAYAN ESTRADA JOSE ANGEL'!T$37:T$39)+SUMIF('RUIZ HERRERA ERICK '!P$33:P$35,'KM POR UNIDAD'!A42,'RUIZ HERRERA ERICK '!T$33:T$35)+SUMIF('GONZALEZ LOZANO ENRIQUE '!P$38:P$40,'KM POR UNIDAD'!A42,'GONZALEZ LOZANO ENRIQUE '!T$38:T$40)+SUMIF('GONZALEZ MARTINEZ MAURICIO'!P$38:P$40,'KM POR UNIDAD'!A42,'GONZALEZ MARTINEZ MAURICIO'!T$38:T$40)+SUMIF('GONZALEZ SOTO JOEL'!P$39:P$41,'KM POR UNIDAD'!A42,'GONZALEZ SOTO JOEL'!T$39:T$41)+SUMIF('MARTA RUBIO MARTIN'!P$39:P$41,'KM POR UNIDAD'!A42,'MARTA RUBIO MARTIN'!T$39:T$41)+SUMIF('GRIJALVA VALDEZ CESAR EUSEBIO'!P$35:P$37,'KM POR UNIDAD'!A42,'GRIJALVA VALDEZ CESAR EUSEBIO'!T$35:T$37)+SUMIF('PACHECO BAÑUELOS ALFONSO'!P$39:P$41,'KM POR UNIDAD'!A42,'PACHECO BAÑUELOS ALFONSO'!T$39:T$41)+SUMIF('RODRIGUEZ VALLES JOSE FRANCISCO'!P$40:P$42,'KM POR UNIDAD'!A42,'RODRIGUEZ VALLES JOSE FRANCISCO'!T$40:T$42)+SUMIF('SANCHEZ GUERRERO JOSE LUIS'!P$40:P$42,A42,'SANCHEZ GUERRERO JOSE LUIS'!T$40:T$42)+SUMIF('RUEDA SALAZAR ISMAEL'!P$35:P$37,'KM POR UNIDAD'!A42,'RUEDA SALAZAR ISMAEL'!T$35:T$37)+SUMIF('GUZMAN MORALES'!P$40:P$42,'KM POR UNIDAD'!A42,'GUZMAN MORALES'!T$40:T$42)+SUMIF('RODRIGUEZ RAMIREZ FERNANDO'!P$35:P$37,'KM POR UNIDAD'!A42,'RODRIGUEZ RAMIREZ FERNANDO'!T$35:T$37)+SUMIF('ESTRADA ARELLANO ARTURO'!P$40:P$42,'KM POR UNIDAD'!A42,'ESTRADA ARELLANO ARTURO'!T$40:T$42)+SUMIF('HERNANDEZ CONTRERAS JOSE FERNAN'!P$37:P$39,'KM POR UNIDAD'!A42,'HERNANDEZ CONTRERAS JOSE FERNAN'!T$37:T$39)+SUMIF('SALAZAR PEREZ JUAN CARLOS'!P$38:P$40,'KM POR UNIDAD'!A42,'SALAZAR PEREZ JUAN CARLOS'!T$38:T$40)+SUMIF('HARO IMPERIAL JOSÉ ANTONIO'!P$41:P$43,'KM POR UNIDAD'!A42,'HARO IMPERIAL JOSÉ ANTONIO'!T$41:T$43)+SUMIF('ESCARCEGA GALDEAN JESUS OMAR'!P$38:P$40,'KM POR UNIDAD'!A42,'ESCARCEGA GALDEAN JESUS OMAR'!T$38:T$40)</f>
        <v>0</v>
      </c>
      <c r="D42" s="189">
        <f>+SUMIF('LIRA TRISTAN JOSE ANGEL'!P$36:P$38,'KM POR UNIDAD'!A42,'LIRA TRISTAN JOSE ANGEL'!V$36:V$38)+SUMIF('TORRES GARAY LUIS HUMBERTO'!P$38:P$40,'KM POR UNIDAD'!A42,'TORRES GARAY LUIS HUMBERTO'!V$38:V$40)+SUMIF('CERDA HERNANDEZ JOSE LUIS'!P$35:P$37,'KM POR UNIDAD'!A42,'CERDA HERNANDEZ JOSE LUIS'!V$35:V$37)+SUMIF('RUIZ ALVARADO PEDRO'!P$32:P$34,'KM POR UNIDAD'!A42,'RUIZ ALVARADO PEDRO'!V$32:V$34)+SUMIF('NEVAREZ JUAN MANUEL'!P$37:P$39,'KM POR UNIDAD'!A42,'NEVAREZ JUAN MANUEL'!V$37:V$39)+SUMIF('CHAVEZ VARELA NESTOR ADRIAN'!P$35:P$37,'KM POR UNIDAD'!A42,'CHAVEZ VARELA NESTOR ADRIAN'!V$35:V$37)+SUMIF('PAYAN ESTRADA JOSE ANGEL'!P$37:P$39,'KM POR UNIDAD'!A42,'PAYAN ESTRADA JOSE ANGEL'!V$37:V$39)+SUMIF('RUIZ HERRERA ERICK '!P$33:P$35,'KM POR UNIDAD'!A42,'RUIZ HERRERA ERICK '!V$33:V$35)+SUMIF('GONZALEZ LOZANO ENRIQUE '!P$38:P$40,'KM POR UNIDAD'!A42,'GONZALEZ LOZANO ENRIQUE '!V$38:V$40)+SUMIF('GONZALEZ MARTINEZ MAURICIO'!P$38:P$40,'KM POR UNIDAD'!A42,'GONZALEZ MARTINEZ MAURICIO'!V$38:V$40)+SUMIF('GONZALEZ SOTO JOEL'!P$39:P$41,'KM POR UNIDAD'!A42,'GONZALEZ SOTO JOEL'!V$39:V$41)+SUMIF('MARTA RUBIO MARTIN'!P$39:P$41,'KM POR UNIDAD'!A42,'MARTA RUBIO MARTIN'!V$39:V$41)+SUMIF('GRIJALVA VALDEZ CESAR EUSEBIO'!P$35:P$37,'KM POR UNIDAD'!A42,'GRIJALVA VALDEZ CESAR EUSEBIO'!V$35:V$37)+SUMIF('PACHECO BAÑUELOS ALFONSO'!P$39:P$41,'KM POR UNIDAD'!A42,'PACHECO BAÑUELOS ALFONSO'!V$39:V$41)+SUMIF('RODRIGUEZ VALLES JOSE FRANCISCO'!P$40:P$42,'KM POR UNIDAD'!A42,'RODRIGUEZ VALLES JOSE FRANCISCO'!V$40:V$42)+SUMIF('SANCHEZ GUERRERO JOSE LUIS'!P$40:P$42,A42,'SANCHEZ GUERRERO JOSE LUIS'!V$40:V$42)+SUMIF('RUEDA SALAZAR ISMAEL'!P$35:P$37,'KM POR UNIDAD'!A42,'RUEDA SALAZAR ISMAEL'!V$35:V$37)+SUMIF('GUZMAN MORALES'!P$40:P$42,'KM POR UNIDAD'!A42,'GUZMAN MORALES'!V$40:V$42)+SUMIF('RODRIGUEZ RAMIREZ FERNANDO'!P$35:P$37,'KM POR UNIDAD'!A42,'RODRIGUEZ RAMIREZ FERNANDO'!V$35:V$37)+SUMIF('ESTRADA ARELLANO ARTURO'!P$40:P$42,'KM POR UNIDAD'!A42,'ESTRADA ARELLANO ARTURO'!V$40:V$42)+SUMIF('HERNANDEZ CONTRERAS JOSE FERNAN'!P$37:P$39,'KM POR UNIDAD'!A42,'HERNANDEZ CONTRERAS JOSE FERNAN'!V$38:V$40)+SUMIF('SALAZAR PEREZ JUAN CARLOS'!P$38:P$40,'KM POR UNIDAD'!A42,'SALAZAR PEREZ JUAN CARLOS'!V$38:V$40)+SUMIF('HARO IMPERIAL JOSÉ ANTONIO'!P$41:P$43,'KM POR UNIDAD'!A42,'HARO IMPERIAL JOSÉ ANTONIO'!V$41:V$43)+SUMIF('ESCARCEGA GALDEAN JESUS OMAR'!P$38:P$40,'KM POR UNIDAD'!A42,'ESCARCEGA GALDEAN JESUS OMAR'!V$38:V$40)</f>
        <v>0</v>
      </c>
      <c r="E42" s="167">
        <f t="shared" si="1"/>
        <v>0</v>
      </c>
      <c r="F42" s="168">
        <v>0</v>
      </c>
      <c r="G42" s="168">
        <v>0</v>
      </c>
      <c r="H42" s="168">
        <v>0</v>
      </c>
      <c r="I42" s="169">
        <f t="shared" si="0"/>
        <v>0</v>
      </c>
      <c r="J42" s="170"/>
      <c r="K42" s="171"/>
    </row>
    <row r="43" spans="1:11" x14ac:dyDescent="0.25">
      <c r="A43" s="165" t="s">
        <v>152</v>
      </c>
      <c r="B43" s="166">
        <f>SUMIF('LIRA TRISTAN JOSE ANGEL'!P$36:P$38,'KM POR UNIDAD'!A43,'LIRA TRISTAN JOSE ANGEL'!U$36:U$38)+SUMIF('TORRES GARAY LUIS HUMBERTO'!P$38:P$40,'KM POR UNIDAD'!A43,'TORRES GARAY LUIS HUMBERTO'!U$38:U$40)+SUMIF('CERDA HERNANDEZ JOSE LUIS'!P$35:P$37,'KM POR UNIDAD'!A43,'CERDA HERNANDEZ JOSE LUIS'!U$35:U$37)+SUMIF('RUIZ ALVARADO PEDRO'!P$32:P$34,'KM POR UNIDAD'!A43,'RUIZ ALVARADO PEDRO'!U$32:U$34)+SUMIF('NEVAREZ JUAN MANUEL'!P$37:P$39,'KM POR UNIDAD'!A43,'NEVAREZ JUAN MANUEL'!U$37:U$39)+SUMIF('CHAVEZ VARELA NESTOR ADRIAN'!P$35:P$37,'KM POR UNIDAD'!A43,'CHAVEZ VARELA NESTOR ADRIAN'!U$35:U$37)+SUMIF('PAYAN ESTRADA JOSE ANGEL'!P$37:P$39,'KM POR UNIDAD'!A43,'PAYAN ESTRADA JOSE ANGEL'!U$37:U$39)+SUMIF('RUIZ HERRERA ERICK '!P$33:P$35,'KM POR UNIDAD'!A43,'RUIZ HERRERA ERICK '!U$33:U$35)+SUMIF('GONZALEZ LOZANO ENRIQUE '!P$38:P$40,'KM POR UNIDAD'!A43,'GONZALEZ LOZANO ENRIQUE '!U$38:U$40)+SUMIF('GONZALEZ MARTINEZ MAURICIO'!P$38:P$40,'KM POR UNIDAD'!A43,'GONZALEZ MARTINEZ MAURICIO'!U$38:U$40)+SUMIF('GONZALEZ SOTO JOEL'!P$39:P$41,'KM POR UNIDAD'!A43,'GONZALEZ SOTO JOEL'!U$39:U$41)+SUMIF('MARTA RUBIO MARTIN'!P$39:P$41,'KM POR UNIDAD'!A43,'MARTA RUBIO MARTIN'!U$39:U$41)+SUMIF('GRIJALVA VALDEZ CESAR EUSEBIO'!P$35:P$37,'KM POR UNIDAD'!A43,'GRIJALVA VALDEZ CESAR EUSEBIO'!U$35:U$37)+SUMIF('PACHECO BAÑUELOS ALFONSO'!P$39:P$41,'KM POR UNIDAD'!A43,'PACHECO BAÑUELOS ALFONSO'!U$39:U$41)+SUMIF('RODRIGUEZ VALLES JOSE FRANCISCO'!P$40:P$42,'KM POR UNIDAD'!A43,'RODRIGUEZ VALLES JOSE FRANCISCO'!U$40:U$42)+SUMIF('SANCHEZ GUERRERO JOSE LUIS'!P$40:P$42,A43,'SANCHEZ GUERRERO JOSE LUIS'!U$40:U$42)+SUMIF('RUEDA SALAZAR ISMAEL'!P$35:P$37,'KM POR UNIDAD'!A43,'RUEDA SALAZAR ISMAEL'!U$35:U$37)+SUMIF('GUZMAN MORALES'!P$40:P$42,'KM POR UNIDAD'!A43,'GUZMAN MORALES'!U$40:U$42)+SUMIF('RODRIGUEZ RAMIREZ FERNANDO'!P$35:P$37,'KM POR UNIDAD'!A43,'RODRIGUEZ RAMIREZ FERNANDO'!U$35:U$37)+SUMIF('ESTRADA ARELLANO ARTURO'!P$40:P$42,'KM POR UNIDAD'!A43,'ESTRADA ARELLANO ARTURO'!U$40:U$42)+SUMIF('HERNANDEZ CONTRERAS JOSE FERNAN'!P$37:P$39,'KM POR UNIDAD'!A43,'HERNANDEZ CONTRERAS JOSE FERNAN'!U$37:U$39)+SUMIF('SALAZAR PEREZ JUAN CARLOS'!P$38:P$40,'KM POR UNIDAD'!A43,'SALAZAR PEREZ JUAN CARLOS'!U$38:U$40)+SUMIF('HARO IMPERIAL JOSÉ ANTONIO'!P$41:P$43,'KM POR UNIDAD'!A43,'HARO IMPERIAL JOSÉ ANTONIO'!U$41:$U83)+SUMIF('ESCARCEGA GALDEAN JESUS OMAR'!P$38:P$40,'KM POR UNIDAD'!A43,'ESCARCEGA GALDEAN JESUS OMAR'!U$38:U$40)</f>
        <v>0</v>
      </c>
      <c r="C43" s="166">
        <f>+SUMIF('LIRA TRISTAN JOSE ANGEL'!P$36:P$38,'KM POR UNIDAD'!A43,'LIRA TRISTAN JOSE ANGEL'!T$36:T$38)+SUMIF('TORRES GARAY LUIS HUMBERTO'!P$38:P$40,'KM POR UNIDAD'!A43,'TORRES GARAY LUIS HUMBERTO'!T$38:T$40)+SUMIF('CERDA HERNANDEZ JOSE LUIS'!P$35:P$37,'KM POR UNIDAD'!A43,'CERDA HERNANDEZ JOSE LUIS'!T$35:T$37)+SUMIF('RUIZ ALVARADO PEDRO'!P$32:P$34,'KM POR UNIDAD'!A43,'RUIZ ALVARADO PEDRO'!T$32:T$34)+SUMIF('NEVAREZ JUAN MANUEL'!P$37:P$39,'KM POR UNIDAD'!A43,'NEVAREZ JUAN MANUEL'!T$37:T$39)+SUMIF('CHAVEZ VARELA NESTOR ADRIAN'!P$35:P$37,'KM POR UNIDAD'!A43,'CHAVEZ VARELA NESTOR ADRIAN'!T$35:T$37)+SUMIF('PAYAN ESTRADA JOSE ANGEL'!P$37:P$39,'KM POR UNIDAD'!A43,'PAYAN ESTRADA JOSE ANGEL'!T$37:T$39)+SUMIF('RUIZ HERRERA ERICK '!P$33:P$35,'KM POR UNIDAD'!A43,'RUIZ HERRERA ERICK '!T$33:T$35)+SUMIF('GONZALEZ LOZANO ENRIQUE '!P$38:P$40,'KM POR UNIDAD'!A43,'GONZALEZ LOZANO ENRIQUE '!T$38:T$40)+SUMIF('GONZALEZ MARTINEZ MAURICIO'!P$38:P$40,'KM POR UNIDAD'!A43,'GONZALEZ MARTINEZ MAURICIO'!T$38:T$40)+SUMIF('GONZALEZ SOTO JOEL'!P$39:P$41,'KM POR UNIDAD'!A43,'GONZALEZ SOTO JOEL'!T$39:T$41)+SUMIF('MARTA RUBIO MARTIN'!P$39:P$41,'KM POR UNIDAD'!A43,'MARTA RUBIO MARTIN'!T$39:T$41)+SUMIF('GRIJALVA VALDEZ CESAR EUSEBIO'!P$35:P$37,'KM POR UNIDAD'!A43,'GRIJALVA VALDEZ CESAR EUSEBIO'!T$35:T$37)+SUMIF('PACHECO BAÑUELOS ALFONSO'!P$39:P$41,'KM POR UNIDAD'!A43,'PACHECO BAÑUELOS ALFONSO'!T$39:T$41)+SUMIF('RODRIGUEZ VALLES JOSE FRANCISCO'!P$40:P$42,'KM POR UNIDAD'!A43,'RODRIGUEZ VALLES JOSE FRANCISCO'!T$40:T$42)+SUMIF('SANCHEZ GUERRERO JOSE LUIS'!P$40:P$42,A43,'SANCHEZ GUERRERO JOSE LUIS'!T$40:T$42)+SUMIF('RUEDA SALAZAR ISMAEL'!P$35:P$37,'KM POR UNIDAD'!A43,'RUEDA SALAZAR ISMAEL'!T$35:T$37)+SUMIF('GUZMAN MORALES'!P$40:P$42,'KM POR UNIDAD'!A43,'GUZMAN MORALES'!T$40:T$42)+SUMIF('RODRIGUEZ RAMIREZ FERNANDO'!P$35:P$37,'KM POR UNIDAD'!A43,'RODRIGUEZ RAMIREZ FERNANDO'!T$35:T$37)+SUMIF('ESTRADA ARELLANO ARTURO'!P$40:P$42,'KM POR UNIDAD'!A43,'ESTRADA ARELLANO ARTURO'!T$40:T$42)+SUMIF('HERNANDEZ CONTRERAS JOSE FERNAN'!P$37:P$39,'KM POR UNIDAD'!A43,'HERNANDEZ CONTRERAS JOSE FERNAN'!T$37:T$39)+SUMIF('SALAZAR PEREZ JUAN CARLOS'!P$38:P$40,'KM POR UNIDAD'!A43,'SALAZAR PEREZ JUAN CARLOS'!T$38:T$40)+SUMIF('HARO IMPERIAL JOSÉ ANTONIO'!P$41:P$43,'KM POR UNIDAD'!A43,'HARO IMPERIAL JOSÉ ANTONIO'!T$41:T$43)+SUMIF('ESCARCEGA GALDEAN JESUS OMAR'!P$38:P$40,'KM POR UNIDAD'!A43,'ESCARCEGA GALDEAN JESUS OMAR'!T$38:T$40)</f>
        <v>0</v>
      </c>
      <c r="D43" s="189">
        <f>+SUMIF('LIRA TRISTAN JOSE ANGEL'!P$36:P$38,'KM POR UNIDAD'!A43,'LIRA TRISTAN JOSE ANGEL'!V$36:V$38)+SUMIF('TORRES GARAY LUIS HUMBERTO'!P$38:P$40,'KM POR UNIDAD'!A43,'TORRES GARAY LUIS HUMBERTO'!V$38:V$40)+SUMIF('CERDA HERNANDEZ JOSE LUIS'!P$35:P$37,'KM POR UNIDAD'!A43,'CERDA HERNANDEZ JOSE LUIS'!V$35:V$37)+SUMIF('RUIZ ALVARADO PEDRO'!P$32:P$34,'KM POR UNIDAD'!A43,'RUIZ ALVARADO PEDRO'!V$32:V$34)+SUMIF('NEVAREZ JUAN MANUEL'!P$37:P$39,'KM POR UNIDAD'!A43,'NEVAREZ JUAN MANUEL'!V$37:V$39)+SUMIF('CHAVEZ VARELA NESTOR ADRIAN'!P$35:P$37,'KM POR UNIDAD'!A43,'CHAVEZ VARELA NESTOR ADRIAN'!V$35:V$37)+SUMIF('PAYAN ESTRADA JOSE ANGEL'!P$37:P$39,'KM POR UNIDAD'!A43,'PAYAN ESTRADA JOSE ANGEL'!V$37:V$39)+SUMIF('RUIZ HERRERA ERICK '!P$33:P$35,'KM POR UNIDAD'!A43,'RUIZ HERRERA ERICK '!V$33:V$35)+SUMIF('GONZALEZ LOZANO ENRIQUE '!P$38:P$40,'KM POR UNIDAD'!A43,'GONZALEZ LOZANO ENRIQUE '!V$38:V$40)+SUMIF('GONZALEZ MARTINEZ MAURICIO'!P$38:P$40,'KM POR UNIDAD'!A43,'GONZALEZ MARTINEZ MAURICIO'!V$38:V$40)+SUMIF('GONZALEZ SOTO JOEL'!P$39:P$41,'KM POR UNIDAD'!A43,'GONZALEZ SOTO JOEL'!V$39:V$41)+SUMIF('MARTA RUBIO MARTIN'!P$39:P$41,'KM POR UNIDAD'!A43,'MARTA RUBIO MARTIN'!V$39:V$41)+SUMIF('GRIJALVA VALDEZ CESAR EUSEBIO'!P$35:P$37,'KM POR UNIDAD'!A43,'GRIJALVA VALDEZ CESAR EUSEBIO'!V$35:V$37)+SUMIF('PACHECO BAÑUELOS ALFONSO'!P$39:P$41,'KM POR UNIDAD'!A43,'PACHECO BAÑUELOS ALFONSO'!V$39:V$41)+SUMIF('RODRIGUEZ VALLES JOSE FRANCISCO'!P$40:P$42,'KM POR UNIDAD'!A43,'RODRIGUEZ VALLES JOSE FRANCISCO'!V$40:V$42)+SUMIF('SANCHEZ GUERRERO JOSE LUIS'!P$40:P$42,A43,'SANCHEZ GUERRERO JOSE LUIS'!V$40:V$42)+SUMIF('RUEDA SALAZAR ISMAEL'!P$35:P$37,'KM POR UNIDAD'!A43,'RUEDA SALAZAR ISMAEL'!V$35:V$37)+SUMIF('GUZMAN MORALES'!P$40:P$42,'KM POR UNIDAD'!A43,'GUZMAN MORALES'!V$40:V$42)+SUMIF('RODRIGUEZ RAMIREZ FERNANDO'!P$35:P$37,'KM POR UNIDAD'!A43,'RODRIGUEZ RAMIREZ FERNANDO'!V$35:V$37)+SUMIF('ESTRADA ARELLANO ARTURO'!P$40:P$42,'KM POR UNIDAD'!A43,'ESTRADA ARELLANO ARTURO'!V$40:V$42)+SUMIF('HERNANDEZ CONTRERAS JOSE FERNAN'!P$37:P$39,'KM POR UNIDAD'!A43,'HERNANDEZ CONTRERAS JOSE FERNAN'!V$38:V$40)+SUMIF('SALAZAR PEREZ JUAN CARLOS'!P$38:P$40,'KM POR UNIDAD'!A43,'SALAZAR PEREZ JUAN CARLOS'!V$38:V$40)+SUMIF('HARO IMPERIAL JOSÉ ANTONIO'!P$41:P$43,'KM POR UNIDAD'!A43,'HARO IMPERIAL JOSÉ ANTONIO'!V$41:V$43)+SUMIF('ESCARCEGA GALDEAN JESUS OMAR'!P$38:P$40,'KM POR UNIDAD'!A43,'ESCARCEGA GALDEAN JESUS OMAR'!V$38:V$40)</f>
        <v>0</v>
      </c>
      <c r="E43" s="167">
        <f t="shared" si="1"/>
        <v>0</v>
      </c>
      <c r="F43" s="168">
        <v>0</v>
      </c>
      <c r="G43" s="168">
        <v>0</v>
      </c>
      <c r="H43" s="168">
        <v>0</v>
      </c>
      <c r="I43" s="169">
        <f t="shared" si="0"/>
        <v>0</v>
      </c>
      <c r="J43" s="170"/>
      <c r="K43" s="171"/>
    </row>
    <row r="44" spans="1:11" x14ac:dyDescent="0.25">
      <c r="A44" s="165" t="s">
        <v>153</v>
      </c>
      <c r="B44" s="166">
        <f>SUMIF('LIRA TRISTAN JOSE ANGEL'!P$36:P$38,'KM POR UNIDAD'!A44,'LIRA TRISTAN JOSE ANGEL'!U$36:U$38)+SUMIF('TORRES GARAY LUIS HUMBERTO'!P$38:P$40,'KM POR UNIDAD'!A44,'TORRES GARAY LUIS HUMBERTO'!U$38:U$40)+SUMIF('CERDA HERNANDEZ JOSE LUIS'!P$35:P$37,'KM POR UNIDAD'!A44,'CERDA HERNANDEZ JOSE LUIS'!U$35:U$37)+SUMIF('RUIZ ALVARADO PEDRO'!P$32:P$34,'KM POR UNIDAD'!A44,'RUIZ ALVARADO PEDRO'!U$32:U$34)+SUMIF('NEVAREZ JUAN MANUEL'!P$37:P$39,'KM POR UNIDAD'!A44,'NEVAREZ JUAN MANUEL'!U$37:U$39)+SUMIF('CHAVEZ VARELA NESTOR ADRIAN'!P$35:P$37,'KM POR UNIDAD'!A44,'CHAVEZ VARELA NESTOR ADRIAN'!U$35:U$37)+SUMIF('PAYAN ESTRADA JOSE ANGEL'!P$37:P$39,'KM POR UNIDAD'!A44,'PAYAN ESTRADA JOSE ANGEL'!U$37:U$39)+SUMIF('RUIZ HERRERA ERICK '!P$33:P$35,'KM POR UNIDAD'!A44,'RUIZ HERRERA ERICK '!U$33:U$35)+SUMIF('GONZALEZ LOZANO ENRIQUE '!P$38:P$40,'KM POR UNIDAD'!A44,'GONZALEZ LOZANO ENRIQUE '!U$38:U$40)+SUMIF('GONZALEZ MARTINEZ MAURICIO'!P$38:P$40,'KM POR UNIDAD'!A44,'GONZALEZ MARTINEZ MAURICIO'!U$38:U$40)+SUMIF('GONZALEZ SOTO JOEL'!P$39:P$41,'KM POR UNIDAD'!A44,'GONZALEZ SOTO JOEL'!U$39:U$41)+SUMIF('MARTA RUBIO MARTIN'!P$39:P$41,'KM POR UNIDAD'!A44,'MARTA RUBIO MARTIN'!U$39:U$41)+SUMIF('GRIJALVA VALDEZ CESAR EUSEBIO'!P$35:P$37,'KM POR UNIDAD'!A44,'GRIJALVA VALDEZ CESAR EUSEBIO'!U$35:U$37)+SUMIF('PACHECO BAÑUELOS ALFONSO'!P$39:P$41,'KM POR UNIDAD'!A44,'PACHECO BAÑUELOS ALFONSO'!U$39:U$41)+SUMIF('RODRIGUEZ VALLES JOSE FRANCISCO'!P$40:P$42,'KM POR UNIDAD'!A44,'RODRIGUEZ VALLES JOSE FRANCISCO'!U$40:U$42)+SUMIF('SANCHEZ GUERRERO JOSE LUIS'!P$40:P$42,A44,'SANCHEZ GUERRERO JOSE LUIS'!U$40:U$42)+SUMIF('RUEDA SALAZAR ISMAEL'!P$35:P$37,'KM POR UNIDAD'!A44,'RUEDA SALAZAR ISMAEL'!U$35:U$37)+SUMIF('GUZMAN MORALES'!P$40:P$42,'KM POR UNIDAD'!A44,'GUZMAN MORALES'!U$40:U$42)+SUMIF('RODRIGUEZ RAMIREZ FERNANDO'!P$35:P$37,'KM POR UNIDAD'!A44,'RODRIGUEZ RAMIREZ FERNANDO'!U$35:U$37)+SUMIF('ESTRADA ARELLANO ARTURO'!P$40:P$42,'KM POR UNIDAD'!A44,'ESTRADA ARELLANO ARTURO'!U$40:U$42)+SUMIF('HERNANDEZ CONTRERAS JOSE FERNAN'!P$37:P$39,'KM POR UNIDAD'!A44,'HERNANDEZ CONTRERAS JOSE FERNAN'!U$37:U$39)+SUMIF('SALAZAR PEREZ JUAN CARLOS'!P$38:P$40,'KM POR UNIDAD'!A44,'SALAZAR PEREZ JUAN CARLOS'!U$38:U$40)+SUMIF('HARO IMPERIAL JOSÉ ANTONIO'!P$41:P$43,'KM POR UNIDAD'!A44,'HARO IMPERIAL JOSÉ ANTONIO'!U$41:$U84)+SUMIF('ESCARCEGA GALDEAN JESUS OMAR'!P$38:P$40,'KM POR UNIDAD'!A44,'ESCARCEGA GALDEAN JESUS OMAR'!U$38:U$40)</f>
        <v>0</v>
      </c>
      <c r="C44" s="166">
        <f>+SUMIF('LIRA TRISTAN JOSE ANGEL'!P$36:P$38,'KM POR UNIDAD'!A44,'LIRA TRISTAN JOSE ANGEL'!T$36:T$38)+SUMIF('TORRES GARAY LUIS HUMBERTO'!P$38:P$40,'KM POR UNIDAD'!A44,'TORRES GARAY LUIS HUMBERTO'!T$38:T$40)+SUMIF('CERDA HERNANDEZ JOSE LUIS'!P$35:P$37,'KM POR UNIDAD'!A44,'CERDA HERNANDEZ JOSE LUIS'!T$35:T$37)+SUMIF('RUIZ ALVARADO PEDRO'!P$32:P$34,'KM POR UNIDAD'!A44,'RUIZ ALVARADO PEDRO'!T$32:T$34)+SUMIF('NEVAREZ JUAN MANUEL'!P$37:P$39,'KM POR UNIDAD'!A44,'NEVAREZ JUAN MANUEL'!T$37:T$39)+SUMIF('CHAVEZ VARELA NESTOR ADRIAN'!P$35:P$37,'KM POR UNIDAD'!A44,'CHAVEZ VARELA NESTOR ADRIAN'!T$35:T$37)+SUMIF('PAYAN ESTRADA JOSE ANGEL'!P$37:P$39,'KM POR UNIDAD'!A44,'PAYAN ESTRADA JOSE ANGEL'!T$37:T$39)+SUMIF('RUIZ HERRERA ERICK '!P$33:P$35,'KM POR UNIDAD'!A44,'RUIZ HERRERA ERICK '!T$33:T$35)+SUMIF('GONZALEZ LOZANO ENRIQUE '!P$38:P$40,'KM POR UNIDAD'!A44,'GONZALEZ LOZANO ENRIQUE '!T$38:T$40)+SUMIF('GONZALEZ MARTINEZ MAURICIO'!P$38:P$40,'KM POR UNIDAD'!A44,'GONZALEZ MARTINEZ MAURICIO'!T$38:T$40)+SUMIF('GONZALEZ SOTO JOEL'!P$39:P$41,'KM POR UNIDAD'!A44,'GONZALEZ SOTO JOEL'!T$39:T$41)+SUMIF('MARTA RUBIO MARTIN'!P$39:P$41,'KM POR UNIDAD'!A44,'MARTA RUBIO MARTIN'!T$39:T$41)+SUMIF('GRIJALVA VALDEZ CESAR EUSEBIO'!P$35:P$37,'KM POR UNIDAD'!A44,'GRIJALVA VALDEZ CESAR EUSEBIO'!T$35:T$37)+SUMIF('PACHECO BAÑUELOS ALFONSO'!P$39:P$41,'KM POR UNIDAD'!A44,'PACHECO BAÑUELOS ALFONSO'!T$39:T$41)+SUMIF('RODRIGUEZ VALLES JOSE FRANCISCO'!P$40:P$42,'KM POR UNIDAD'!A44,'RODRIGUEZ VALLES JOSE FRANCISCO'!T$40:T$42)+SUMIF('SANCHEZ GUERRERO JOSE LUIS'!P$40:P$42,A44,'SANCHEZ GUERRERO JOSE LUIS'!T$40:T$42)+SUMIF('RUEDA SALAZAR ISMAEL'!P$35:P$37,'KM POR UNIDAD'!A44,'RUEDA SALAZAR ISMAEL'!T$35:T$37)+SUMIF('GUZMAN MORALES'!P$40:P$42,'KM POR UNIDAD'!A44,'GUZMAN MORALES'!T$40:T$42)+SUMIF('RODRIGUEZ RAMIREZ FERNANDO'!P$35:P$37,'KM POR UNIDAD'!A44,'RODRIGUEZ RAMIREZ FERNANDO'!T$35:T$37)+SUMIF('ESTRADA ARELLANO ARTURO'!P$40:P$42,'KM POR UNIDAD'!A44,'ESTRADA ARELLANO ARTURO'!T$40:T$42)+SUMIF('HERNANDEZ CONTRERAS JOSE FERNAN'!P$37:P$39,'KM POR UNIDAD'!A44,'HERNANDEZ CONTRERAS JOSE FERNAN'!T$37:T$39)+SUMIF('SALAZAR PEREZ JUAN CARLOS'!P$38:P$40,'KM POR UNIDAD'!A44,'SALAZAR PEREZ JUAN CARLOS'!T$38:T$40)+SUMIF('HARO IMPERIAL JOSÉ ANTONIO'!P$41:P$43,'KM POR UNIDAD'!A44,'HARO IMPERIAL JOSÉ ANTONIO'!T$41:T$43)+SUMIF('ESCARCEGA GALDEAN JESUS OMAR'!P$38:P$40,'KM POR UNIDAD'!A44,'ESCARCEGA GALDEAN JESUS OMAR'!T$38:T$40)</f>
        <v>0</v>
      </c>
      <c r="D44" s="189">
        <f>+SUMIF('LIRA TRISTAN JOSE ANGEL'!P$36:P$38,'KM POR UNIDAD'!A44,'LIRA TRISTAN JOSE ANGEL'!V$36:V$38)+SUMIF('TORRES GARAY LUIS HUMBERTO'!P$38:P$40,'KM POR UNIDAD'!A44,'TORRES GARAY LUIS HUMBERTO'!V$38:V$40)+SUMIF('CERDA HERNANDEZ JOSE LUIS'!P$35:P$37,'KM POR UNIDAD'!A44,'CERDA HERNANDEZ JOSE LUIS'!V$35:V$37)+SUMIF('RUIZ ALVARADO PEDRO'!P$32:P$34,'KM POR UNIDAD'!A44,'RUIZ ALVARADO PEDRO'!V$32:V$34)+SUMIF('NEVAREZ JUAN MANUEL'!P$37:P$39,'KM POR UNIDAD'!A44,'NEVAREZ JUAN MANUEL'!V$37:V$39)+SUMIF('CHAVEZ VARELA NESTOR ADRIAN'!P$35:P$37,'KM POR UNIDAD'!A44,'CHAVEZ VARELA NESTOR ADRIAN'!V$35:V$37)+SUMIF('PAYAN ESTRADA JOSE ANGEL'!P$37:P$39,'KM POR UNIDAD'!A44,'PAYAN ESTRADA JOSE ANGEL'!V$37:V$39)+SUMIF('RUIZ HERRERA ERICK '!P$33:P$35,'KM POR UNIDAD'!A44,'RUIZ HERRERA ERICK '!V$33:V$35)+SUMIF('GONZALEZ LOZANO ENRIQUE '!P$38:P$40,'KM POR UNIDAD'!A44,'GONZALEZ LOZANO ENRIQUE '!V$38:V$40)+SUMIF('GONZALEZ MARTINEZ MAURICIO'!P$38:P$40,'KM POR UNIDAD'!A44,'GONZALEZ MARTINEZ MAURICIO'!V$38:V$40)+SUMIF('GONZALEZ SOTO JOEL'!P$39:P$41,'KM POR UNIDAD'!A44,'GONZALEZ SOTO JOEL'!V$39:V$41)+SUMIF('MARTA RUBIO MARTIN'!P$39:P$41,'KM POR UNIDAD'!A44,'MARTA RUBIO MARTIN'!V$39:V$41)+SUMIF('GRIJALVA VALDEZ CESAR EUSEBIO'!P$35:P$37,'KM POR UNIDAD'!A44,'GRIJALVA VALDEZ CESAR EUSEBIO'!V$35:V$37)+SUMIF('PACHECO BAÑUELOS ALFONSO'!P$39:P$41,'KM POR UNIDAD'!A44,'PACHECO BAÑUELOS ALFONSO'!V$39:V$41)+SUMIF('RODRIGUEZ VALLES JOSE FRANCISCO'!P$40:P$42,'KM POR UNIDAD'!A44,'RODRIGUEZ VALLES JOSE FRANCISCO'!V$40:V$42)+SUMIF('SANCHEZ GUERRERO JOSE LUIS'!P$40:P$42,A44,'SANCHEZ GUERRERO JOSE LUIS'!V$40:V$42)+SUMIF('RUEDA SALAZAR ISMAEL'!P$35:P$37,'KM POR UNIDAD'!A44,'RUEDA SALAZAR ISMAEL'!V$35:V$37)+SUMIF('GUZMAN MORALES'!P$40:P$42,'KM POR UNIDAD'!A44,'GUZMAN MORALES'!V$40:V$42)+SUMIF('RODRIGUEZ RAMIREZ FERNANDO'!P$35:P$37,'KM POR UNIDAD'!A44,'RODRIGUEZ RAMIREZ FERNANDO'!V$35:V$37)+SUMIF('ESTRADA ARELLANO ARTURO'!P$40:P$42,'KM POR UNIDAD'!A44,'ESTRADA ARELLANO ARTURO'!V$40:V$42)+SUMIF('HERNANDEZ CONTRERAS JOSE FERNAN'!P$37:P$39,'KM POR UNIDAD'!A44,'HERNANDEZ CONTRERAS JOSE FERNAN'!V$38:V$40)+SUMIF('SALAZAR PEREZ JUAN CARLOS'!P$38:P$40,'KM POR UNIDAD'!A44,'SALAZAR PEREZ JUAN CARLOS'!V$38:V$40)+SUMIF('HARO IMPERIAL JOSÉ ANTONIO'!P$41:P$43,'KM POR UNIDAD'!A44,'HARO IMPERIAL JOSÉ ANTONIO'!V$41:V$43)+SUMIF('ESCARCEGA GALDEAN JESUS OMAR'!P$38:P$40,'KM POR UNIDAD'!A44,'ESCARCEGA GALDEAN JESUS OMAR'!V$38:V$40)</f>
        <v>0</v>
      </c>
      <c r="E44" s="167">
        <f t="shared" si="1"/>
        <v>0</v>
      </c>
      <c r="F44" s="168">
        <v>0</v>
      </c>
      <c r="G44" s="168">
        <v>0</v>
      </c>
      <c r="H44" s="168">
        <v>0</v>
      </c>
      <c r="I44" s="169">
        <f t="shared" si="0"/>
        <v>0</v>
      </c>
      <c r="J44" s="170"/>
      <c r="K44" s="171"/>
    </row>
    <row r="45" spans="1:11" x14ac:dyDescent="0.25">
      <c r="A45" s="165" t="s">
        <v>154</v>
      </c>
      <c r="B45" s="166">
        <f>SUMIF('LIRA TRISTAN JOSE ANGEL'!P$36:P$38,'KM POR UNIDAD'!A45,'LIRA TRISTAN JOSE ANGEL'!U$36:U$38)+SUMIF('TORRES GARAY LUIS HUMBERTO'!P$38:P$40,'KM POR UNIDAD'!A45,'TORRES GARAY LUIS HUMBERTO'!U$38:U$40)+SUMIF('CERDA HERNANDEZ JOSE LUIS'!P$35:P$37,'KM POR UNIDAD'!A45,'CERDA HERNANDEZ JOSE LUIS'!U$35:U$37)+SUMIF('RUIZ ALVARADO PEDRO'!P$32:P$34,'KM POR UNIDAD'!A45,'RUIZ ALVARADO PEDRO'!U$32:U$34)+SUMIF('NEVAREZ JUAN MANUEL'!P$37:P$39,'KM POR UNIDAD'!A45,'NEVAREZ JUAN MANUEL'!U$37:U$39)+SUMIF('CHAVEZ VARELA NESTOR ADRIAN'!P$35:P$37,'KM POR UNIDAD'!A45,'CHAVEZ VARELA NESTOR ADRIAN'!U$35:U$37)+SUMIF('PAYAN ESTRADA JOSE ANGEL'!P$37:P$39,'KM POR UNIDAD'!A45,'PAYAN ESTRADA JOSE ANGEL'!U$37:U$39)+SUMIF('RUIZ HERRERA ERICK '!P$33:P$35,'KM POR UNIDAD'!A45,'RUIZ HERRERA ERICK '!U$33:U$35)+SUMIF('GONZALEZ LOZANO ENRIQUE '!P$38:P$40,'KM POR UNIDAD'!A45,'GONZALEZ LOZANO ENRIQUE '!U$38:U$40)+SUMIF('GONZALEZ MARTINEZ MAURICIO'!P$38:P$40,'KM POR UNIDAD'!A45,'GONZALEZ MARTINEZ MAURICIO'!U$38:U$40)+SUMIF('GONZALEZ SOTO JOEL'!P$39:P$41,'KM POR UNIDAD'!A45,'GONZALEZ SOTO JOEL'!U$39:U$41)+SUMIF('MARTA RUBIO MARTIN'!P$39:P$41,'KM POR UNIDAD'!A45,'MARTA RUBIO MARTIN'!U$39:U$41)+SUMIF('GRIJALVA VALDEZ CESAR EUSEBIO'!P$35:P$37,'KM POR UNIDAD'!A45,'GRIJALVA VALDEZ CESAR EUSEBIO'!U$35:U$37)+SUMIF('PACHECO BAÑUELOS ALFONSO'!P$39:P$41,'KM POR UNIDAD'!A45,'PACHECO BAÑUELOS ALFONSO'!U$39:U$41)+SUMIF('RODRIGUEZ VALLES JOSE FRANCISCO'!P$40:P$42,'KM POR UNIDAD'!A45,'RODRIGUEZ VALLES JOSE FRANCISCO'!U$40:U$42)+SUMIF('SANCHEZ GUERRERO JOSE LUIS'!P$40:P$42,A45,'SANCHEZ GUERRERO JOSE LUIS'!U$40:U$42)+SUMIF('RUEDA SALAZAR ISMAEL'!P$35:P$37,'KM POR UNIDAD'!A45,'RUEDA SALAZAR ISMAEL'!U$35:U$37)+SUMIF('GUZMAN MORALES'!P$40:P$42,'KM POR UNIDAD'!A45,'GUZMAN MORALES'!U$40:U$42)+SUMIF('RODRIGUEZ RAMIREZ FERNANDO'!P$35:P$37,'KM POR UNIDAD'!A45,'RODRIGUEZ RAMIREZ FERNANDO'!U$35:U$37)+SUMIF('ESTRADA ARELLANO ARTURO'!P$40:P$42,'KM POR UNIDAD'!A45,'ESTRADA ARELLANO ARTURO'!U$40:U$42)+SUMIF('HERNANDEZ CONTRERAS JOSE FERNAN'!P$37:P$39,'KM POR UNIDAD'!A45,'HERNANDEZ CONTRERAS JOSE FERNAN'!U$37:U$39)+SUMIF('SALAZAR PEREZ JUAN CARLOS'!P$38:P$40,'KM POR UNIDAD'!A45,'SALAZAR PEREZ JUAN CARLOS'!U$38:U$40)+SUMIF('HARO IMPERIAL JOSÉ ANTONIO'!P$41:P$43,'KM POR UNIDAD'!A45,'HARO IMPERIAL JOSÉ ANTONIO'!U$41:$U85)+SUMIF('ESCARCEGA GALDEAN JESUS OMAR'!P$38:P$40,'KM POR UNIDAD'!A45,'ESCARCEGA GALDEAN JESUS OMAR'!U$38:U$40)</f>
        <v>0</v>
      </c>
      <c r="C45" s="166">
        <f>+SUMIF('LIRA TRISTAN JOSE ANGEL'!P$36:P$38,'KM POR UNIDAD'!A45,'LIRA TRISTAN JOSE ANGEL'!T$36:T$38)+SUMIF('TORRES GARAY LUIS HUMBERTO'!P$38:P$40,'KM POR UNIDAD'!A45,'TORRES GARAY LUIS HUMBERTO'!T$38:T$40)+SUMIF('CERDA HERNANDEZ JOSE LUIS'!P$35:P$37,'KM POR UNIDAD'!A45,'CERDA HERNANDEZ JOSE LUIS'!T$35:T$37)+SUMIF('RUIZ ALVARADO PEDRO'!P$32:P$34,'KM POR UNIDAD'!A45,'RUIZ ALVARADO PEDRO'!T$32:T$34)+SUMIF('NEVAREZ JUAN MANUEL'!P$37:P$39,'KM POR UNIDAD'!A45,'NEVAREZ JUAN MANUEL'!T$37:T$39)+SUMIF('CHAVEZ VARELA NESTOR ADRIAN'!P$35:P$37,'KM POR UNIDAD'!A45,'CHAVEZ VARELA NESTOR ADRIAN'!T$35:T$37)+SUMIF('PAYAN ESTRADA JOSE ANGEL'!P$37:P$39,'KM POR UNIDAD'!A45,'PAYAN ESTRADA JOSE ANGEL'!T$37:T$39)+SUMIF('RUIZ HERRERA ERICK '!P$33:P$35,'KM POR UNIDAD'!A45,'RUIZ HERRERA ERICK '!T$33:T$35)+SUMIF('GONZALEZ LOZANO ENRIQUE '!P$38:P$40,'KM POR UNIDAD'!A45,'GONZALEZ LOZANO ENRIQUE '!T$38:T$40)+SUMIF('GONZALEZ MARTINEZ MAURICIO'!P$38:P$40,'KM POR UNIDAD'!A45,'GONZALEZ MARTINEZ MAURICIO'!T$38:T$40)+SUMIF('GONZALEZ SOTO JOEL'!P$39:P$41,'KM POR UNIDAD'!A45,'GONZALEZ SOTO JOEL'!T$39:T$41)+SUMIF('MARTA RUBIO MARTIN'!P$39:P$41,'KM POR UNIDAD'!A45,'MARTA RUBIO MARTIN'!T$39:T$41)+SUMIF('GRIJALVA VALDEZ CESAR EUSEBIO'!P$35:P$37,'KM POR UNIDAD'!A45,'GRIJALVA VALDEZ CESAR EUSEBIO'!T$35:T$37)+SUMIF('PACHECO BAÑUELOS ALFONSO'!P$39:P$41,'KM POR UNIDAD'!A45,'PACHECO BAÑUELOS ALFONSO'!T$39:T$41)+SUMIF('RODRIGUEZ VALLES JOSE FRANCISCO'!P$40:P$42,'KM POR UNIDAD'!A45,'RODRIGUEZ VALLES JOSE FRANCISCO'!T$40:T$42)+SUMIF('SANCHEZ GUERRERO JOSE LUIS'!P$40:P$42,A45,'SANCHEZ GUERRERO JOSE LUIS'!T$40:T$42)+SUMIF('RUEDA SALAZAR ISMAEL'!P$35:P$37,'KM POR UNIDAD'!A45,'RUEDA SALAZAR ISMAEL'!T$35:T$37)+SUMIF('GUZMAN MORALES'!P$40:P$42,'KM POR UNIDAD'!A45,'GUZMAN MORALES'!T$40:T$42)+SUMIF('RODRIGUEZ RAMIREZ FERNANDO'!P$35:P$37,'KM POR UNIDAD'!A45,'RODRIGUEZ RAMIREZ FERNANDO'!T$35:T$37)+SUMIF('ESTRADA ARELLANO ARTURO'!P$40:P$42,'KM POR UNIDAD'!A45,'ESTRADA ARELLANO ARTURO'!T$40:T$42)+SUMIF('HERNANDEZ CONTRERAS JOSE FERNAN'!P$37:P$39,'KM POR UNIDAD'!A45,'HERNANDEZ CONTRERAS JOSE FERNAN'!T$37:T$39)+SUMIF('SALAZAR PEREZ JUAN CARLOS'!P$38:P$40,'KM POR UNIDAD'!A45,'SALAZAR PEREZ JUAN CARLOS'!T$38:T$40)+SUMIF('HARO IMPERIAL JOSÉ ANTONIO'!P$41:P$43,'KM POR UNIDAD'!A45,'HARO IMPERIAL JOSÉ ANTONIO'!T$41:T$43)+SUMIF('ESCARCEGA GALDEAN JESUS OMAR'!P$38:P$40,'KM POR UNIDAD'!A45,'ESCARCEGA GALDEAN JESUS OMAR'!T$38:T$40)</f>
        <v>0</v>
      </c>
      <c r="D45" s="189">
        <f>+SUMIF('LIRA TRISTAN JOSE ANGEL'!P$36:P$38,'KM POR UNIDAD'!A45,'LIRA TRISTAN JOSE ANGEL'!V$36:V$38)+SUMIF('TORRES GARAY LUIS HUMBERTO'!P$38:P$40,'KM POR UNIDAD'!A45,'TORRES GARAY LUIS HUMBERTO'!V$38:V$40)+SUMIF('CERDA HERNANDEZ JOSE LUIS'!P$35:P$37,'KM POR UNIDAD'!A45,'CERDA HERNANDEZ JOSE LUIS'!V$35:V$37)+SUMIF('RUIZ ALVARADO PEDRO'!P$32:P$34,'KM POR UNIDAD'!A45,'RUIZ ALVARADO PEDRO'!V$32:V$34)+SUMIF('NEVAREZ JUAN MANUEL'!P$37:P$39,'KM POR UNIDAD'!A45,'NEVAREZ JUAN MANUEL'!V$37:V$39)+SUMIF('CHAVEZ VARELA NESTOR ADRIAN'!P$35:P$37,'KM POR UNIDAD'!A45,'CHAVEZ VARELA NESTOR ADRIAN'!V$35:V$37)+SUMIF('PAYAN ESTRADA JOSE ANGEL'!P$37:P$39,'KM POR UNIDAD'!A45,'PAYAN ESTRADA JOSE ANGEL'!V$37:V$39)+SUMIF('RUIZ HERRERA ERICK '!P$33:P$35,'KM POR UNIDAD'!A45,'RUIZ HERRERA ERICK '!V$33:V$35)+SUMIF('GONZALEZ LOZANO ENRIQUE '!P$38:P$40,'KM POR UNIDAD'!A45,'GONZALEZ LOZANO ENRIQUE '!V$38:V$40)+SUMIF('GONZALEZ MARTINEZ MAURICIO'!P$38:P$40,'KM POR UNIDAD'!A45,'GONZALEZ MARTINEZ MAURICIO'!V$38:V$40)+SUMIF('GONZALEZ SOTO JOEL'!P$39:P$41,'KM POR UNIDAD'!A45,'GONZALEZ SOTO JOEL'!V$39:V$41)+SUMIF('MARTA RUBIO MARTIN'!P$39:P$41,'KM POR UNIDAD'!A45,'MARTA RUBIO MARTIN'!V$39:V$41)+SUMIF('GRIJALVA VALDEZ CESAR EUSEBIO'!P$35:P$37,'KM POR UNIDAD'!A45,'GRIJALVA VALDEZ CESAR EUSEBIO'!V$35:V$37)+SUMIF('PACHECO BAÑUELOS ALFONSO'!P$39:P$41,'KM POR UNIDAD'!A45,'PACHECO BAÑUELOS ALFONSO'!V$39:V$41)+SUMIF('RODRIGUEZ VALLES JOSE FRANCISCO'!P$40:P$42,'KM POR UNIDAD'!A45,'RODRIGUEZ VALLES JOSE FRANCISCO'!V$40:V$42)+SUMIF('SANCHEZ GUERRERO JOSE LUIS'!P$40:P$42,A45,'SANCHEZ GUERRERO JOSE LUIS'!V$40:V$42)+SUMIF('RUEDA SALAZAR ISMAEL'!P$35:P$37,'KM POR UNIDAD'!A45,'RUEDA SALAZAR ISMAEL'!V$35:V$37)+SUMIF('GUZMAN MORALES'!P$40:P$42,'KM POR UNIDAD'!A45,'GUZMAN MORALES'!V$40:V$42)+SUMIF('RODRIGUEZ RAMIREZ FERNANDO'!P$35:P$37,'KM POR UNIDAD'!A45,'RODRIGUEZ RAMIREZ FERNANDO'!V$35:V$37)+SUMIF('ESTRADA ARELLANO ARTURO'!P$40:P$42,'KM POR UNIDAD'!A45,'ESTRADA ARELLANO ARTURO'!V$40:V$42)+SUMIF('HERNANDEZ CONTRERAS JOSE FERNAN'!P$37:P$39,'KM POR UNIDAD'!A45,'HERNANDEZ CONTRERAS JOSE FERNAN'!V$38:V$40)+SUMIF('SALAZAR PEREZ JUAN CARLOS'!P$38:P$40,'KM POR UNIDAD'!A45,'SALAZAR PEREZ JUAN CARLOS'!V$38:V$40)+SUMIF('HARO IMPERIAL JOSÉ ANTONIO'!P$41:P$43,'KM POR UNIDAD'!A45,'HARO IMPERIAL JOSÉ ANTONIO'!V$41:V$43)+SUMIF('ESCARCEGA GALDEAN JESUS OMAR'!P$38:P$40,'KM POR UNIDAD'!A45,'ESCARCEGA GALDEAN JESUS OMAR'!V$38:V$40)</f>
        <v>0</v>
      </c>
      <c r="E45" s="167">
        <f t="shared" si="1"/>
        <v>0</v>
      </c>
      <c r="F45" s="168">
        <v>0</v>
      </c>
      <c r="G45" s="168">
        <v>0</v>
      </c>
      <c r="H45" s="168">
        <v>0</v>
      </c>
      <c r="I45" s="169">
        <f t="shared" si="0"/>
        <v>0</v>
      </c>
      <c r="J45" s="170"/>
      <c r="K45" s="171"/>
    </row>
    <row r="46" spans="1:11" x14ac:dyDescent="0.25">
      <c r="A46" s="165" t="s">
        <v>155</v>
      </c>
      <c r="B46" s="166">
        <f>SUMIF('LIRA TRISTAN JOSE ANGEL'!P$36:P$38,'KM POR UNIDAD'!A46,'LIRA TRISTAN JOSE ANGEL'!U$36:U$38)+SUMIF('TORRES GARAY LUIS HUMBERTO'!P$38:P$40,'KM POR UNIDAD'!A46,'TORRES GARAY LUIS HUMBERTO'!U$38:U$40)+SUMIF('CERDA HERNANDEZ JOSE LUIS'!P$35:P$37,'KM POR UNIDAD'!A46,'CERDA HERNANDEZ JOSE LUIS'!U$35:U$37)+SUMIF('RUIZ ALVARADO PEDRO'!P$32:P$34,'KM POR UNIDAD'!A46,'RUIZ ALVARADO PEDRO'!U$32:U$34)+SUMIF('NEVAREZ JUAN MANUEL'!P$37:P$39,'KM POR UNIDAD'!A46,'NEVAREZ JUAN MANUEL'!U$37:U$39)+SUMIF('CHAVEZ VARELA NESTOR ADRIAN'!P$35:P$37,'KM POR UNIDAD'!A46,'CHAVEZ VARELA NESTOR ADRIAN'!U$35:U$37)+SUMIF('PAYAN ESTRADA JOSE ANGEL'!P$37:P$39,'KM POR UNIDAD'!A46,'PAYAN ESTRADA JOSE ANGEL'!U$37:U$39)+SUMIF('RUIZ HERRERA ERICK '!P$33:P$35,'KM POR UNIDAD'!A46,'RUIZ HERRERA ERICK '!U$33:U$35)+SUMIF('GONZALEZ LOZANO ENRIQUE '!P$38:P$40,'KM POR UNIDAD'!A46,'GONZALEZ LOZANO ENRIQUE '!U$38:U$40)+SUMIF('GONZALEZ MARTINEZ MAURICIO'!P$38:P$40,'KM POR UNIDAD'!A46,'GONZALEZ MARTINEZ MAURICIO'!U$38:U$40)+SUMIF('GONZALEZ SOTO JOEL'!P$39:P$41,'KM POR UNIDAD'!A46,'GONZALEZ SOTO JOEL'!U$39:U$41)+SUMIF('MARTA RUBIO MARTIN'!P$39:P$41,'KM POR UNIDAD'!A46,'MARTA RUBIO MARTIN'!U$39:U$41)+SUMIF('GRIJALVA VALDEZ CESAR EUSEBIO'!P$35:P$37,'KM POR UNIDAD'!A46,'GRIJALVA VALDEZ CESAR EUSEBIO'!U$35:U$37)+SUMIF('PACHECO BAÑUELOS ALFONSO'!P$39:P$41,'KM POR UNIDAD'!A46,'PACHECO BAÑUELOS ALFONSO'!U$39:U$41)+SUMIF('RODRIGUEZ VALLES JOSE FRANCISCO'!P$40:P$42,'KM POR UNIDAD'!A46,'RODRIGUEZ VALLES JOSE FRANCISCO'!U$40:U$42)+SUMIF('SANCHEZ GUERRERO JOSE LUIS'!P$40:P$42,A46,'SANCHEZ GUERRERO JOSE LUIS'!U$40:U$42)+SUMIF('RUEDA SALAZAR ISMAEL'!P$35:P$37,'KM POR UNIDAD'!A46,'RUEDA SALAZAR ISMAEL'!U$35:U$37)+SUMIF('GUZMAN MORALES'!P$40:P$42,'KM POR UNIDAD'!A46,'GUZMAN MORALES'!U$40:U$42)+SUMIF('RODRIGUEZ RAMIREZ FERNANDO'!P$35:P$37,'KM POR UNIDAD'!A46,'RODRIGUEZ RAMIREZ FERNANDO'!U$35:U$37)+SUMIF('ESTRADA ARELLANO ARTURO'!P$40:P$42,'KM POR UNIDAD'!A46,'ESTRADA ARELLANO ARTURO'!U$40:U$42)+SUMIF('HERNANDEZ CONTRERAS JOSE FERNAN'!P$37:P$39,'KM POR UNIDAD'!A46,'HERNANDEZ CONTRERAS JOSE FERNAN'!U$37:U$39)+SUMIF('SALAZAR PEREZ JUAN CARLOS'!P$38:P$40,'KM POR UNIDAD'!A46,'SALAZAR PEREZ JUAN CARLOS'!U$38:U$40)+SUMIF('HARO IMPERIAL JOSÉ ANTONIO'!P$41:P$43,'KM POR UNIDAD'!A46,'HARO IMPERIAL JOSÉ ANTONIO'!U$41:$U86)+SUMIF('ESCARCEGA GALDEAN JESUS OMAR'!P$38:P$40,'KM POR UNIDAD'!A46,'ESCARCEGA GALDEAN JESUS OMAR'!U$38:U$40)</f>
        <v>0</v>
      </c>
      <c r="C46" s="166">
        <f>+SUMIF('LIRA TRISTAN JOSE ANGEL'!P$36:P$38,'KM POR UNIDAD'!A46,'LIRA TRISTAN JOSE ANGEL'!T$36:T$38)+SUMIF('TORRES GARAY LUIS HUMBERTO'!P$38:P$40,'KM POR UNIDAD'!A46,'TORRES GARAY LUIS HUMBERTO'!T$38:T$40)+SUMIF('CERDA HERNANDEZ JOSE LUIS'!P$35:P$37,'KM POR UNIDAD'!A46,'CERDA HERNANDEZ JOSE LUIS'!T$35:T$37)+SUMIF('RUIZ ALVARADO PEDRO'!P$32:P$34,'KM POR UNIDAD'!A46,'RUIZ ALVARADO PEDRO'!T$32:T$34)+SUMIF('NEVAREZ JUAN MANUEL'!P$37:P$39,'KM POR UNIDAD'!A46,'NEVAREZ JUAN MANUEL'!T$37:T$39)+SUMIF('CHAVEZ VARELA NESTOR ADRIAN'!P$35:P$37,'KM POR UNIDAD'!A46,'CHAVEZ VARELA NESTOR ADRIAN'!T$35:T$37)+SUMIF('PAYAN ESTRADA JOSE ANGEL'!P$37:P$39,'KM POR UNIDAD'!A46,'PAYAN ESTRADA JOSE ANGEL'!T$37:T$39)+SUMIF('RUIZ HERRERA ERICK '!P$33:P$35,'KM POR UNIDAD'!A46,'RUIZ HERRERA ERICK '!T$33:T$35)+SUMIF('GONZALEZ LOZANO ENRIQUE '!P$38:P$40,'KM POR UNIDAD'!A46,'GONZALEZ LOZANO ENRIQUE '!T$38:T$40)+SUMIF('GONZALEZ MARTINEZ MAURICIO'!P$38:P$40,'KM POR UNIDAD'!A46,'GONZALEZ MARTINEZ MAURICIO'!T$38:T$40)+SUMIF('GONZALEZ SOTO JOEL'!P$39:P$41,'KM POR UNIDAD'!A46,'GONZALEZ SOTO JOEL'!T$39:T$41)+SUMIF('MARTA RUBIO MARTIN'!P$39:P$41,'KM POR UNIDAD'!A46,'MARTA RUBIO MARTIN'!T$39:T$41)+SUMIF('GRIJALVA VALDEZ CESAR EUSEBIO'!P$35:P$37,'KM POR UNIDAD'!A46,'GRIJALVA VALDEZ CESAR EUSEBIO'!T$35:T$37)+SUMIF('PACHECO BAÑUELOS ALFONSO'!P$39:P$41,'KM POR UNIDAD'!A46,'PACHECO BAÑUELOS ALFONSO'!T$39:T$41)+SUMIF('RODRIGUEZ VALLES JOSE FRANCISCO'!P$40:P$42,'KM POR UNIDAD'!A46,'RODRIGUEZ VALLES JOSE FRANCISCO'!T$40:T$42)+SUMIF('SANCHEZ GUERRERO JOSE LUIS'!P$40:P$42,A46,'SANCHEZ GUERRERO JOSE LUIS'!T$40:T$42)+SUMIF('RUEDA SALAZAR ISMAEL'!P$35:P$37,'KM POR UNIDAD'!A46,'RUEDA SALAZAR ISMAEL'!T$35:T$37)+SUMIF('GUZMAN MORALES'!P$40:P$42,'KM POR UNIDAD'!A46,'GUZMAN MORALES'!T$40:T$42)+SUMIF('RODRIGUEZ RAMIREZ FERNANDO'!P$35:P$37,'KM POR UNIDAD'!A46,'RODRIGUEZ RAMIREZ FERNANDO'!T$35:T$37)+SUMIF('ESTRADA ARELLANO ARTURO'!P$40:P$42,'KM POR UNIDAD'!A46,'ESTRADA ARELLANO ARTURO'!T$40:T$42)+SUMIF('HERNANDEZ CONTRERAS JOSE FERNAN'!P$37:P$39,'KM POR UNIDAD'!A46,'HERNANDEZ CONTRERAS JOSE FERNAN'!T$37:T$39)+SUMIF('SALAZAR PEREZ JUAN CARLOS'!P$38:P$40,'KM POR UNIDAD'!A46,'SALAZAR PEREZ JUAN CARLOS'!T$38:T$40)+SUMIF('HARO IMPERIAL JOSÉ ANTONIO'!P$41:P$43,'KM POR UNIDAD'!A46,'HARO IMPERIAL JOSÉ ANTONIO'!T$41:T$43)+SUMIF('ESCARCEGA GALDEAN JESUS OMAR'!P$38:P$40,'KM POR UNIDAD'!A46,'ESCARCEGA GALDEAN JESUS OMAR'!T$38:T$40)</f>
        <v>0</v>
      </c>
      <c r="D46" s="189">
        <f>+SUMIF('LIRA TRISTAN JOSE ANGEL'!P$36:P$38,'KM POR UNIDAD'!A46,'LIRA TRISTAN JOSE ANGEL'!V$36:V$38)+SUMIF('TORRES GARAY LUIS HUMBERTO'!P$38:P$40,'KM POR UNIDAD'!A46,'TORRES GARAY LUIS HUMBERTO'!V$38:V$40)+SUMIF('CERDA HERNANDEZ JOSE LUIS'!P$35:P$37,'KM POR UNIDAD'!A46,'CERDA HERNANDEZ JOSE LUIS'!V$35:V$37)+SUMIF('RUIZ ALVARADO PEDRO'!P$32:P$34,'KM POR UNIDAD'!A46,'RUIZ ALVARADO PEDRO'!V$32:V$34)+SUMIF('NEVAREZ JUAN MANUEL'!P$37:P$39,'KM POR UNIDAD'!A46,'NEVAREZ JUAN MANUEL'!V$37:V$39)+SUMIF('CHAVEZ VARELA NESTOR ADRIAN'!P$35:P$37,'KM POR UNIDAD'!A46,'CHAVEZ VARELA NESTOR ADRIAN'!V$35:V$37)+SUMIF('PAYAN ESTRADA JOSE ANGEL'!P$37:P$39,'KM POR UNIDAD'!A46,'PAYAN ESTRADA JOSE ANGEL'!V$37:V$39)+SUMIF('RUIZ HERRERA ERICK '!P$33:P$35,'KM POR UNIDAD'!A46,'RUIZ HERRERA ERICK '!V$33:V$35)+SUMIF('GONZALEZ LOZANO ENRIQUE '!P$38:P$40,'KM POR UNIDAD'!A46,'GONZALEZ LOZANO ENRIQUE '!V$38:V$40)+SUMIF('GONZALEZ MARTINEZ MAURICIO'!P$38:P$40,'KM POR UNIDAD'!A46,'GONZALEZ MARTINEZ MAURICIO'!V$38:V$40)+SUMIF('GONZALEZ SOTO JOEL'!P$39:P$41,'KM POR UNIDAD'!A46,'GONZALEZ SOTO JOEL'!V$39:V$41)+SUMIF('MARTA RUBIO MARTIN'!P$39:P$41,'KM POR UNIDAD'!A46,'MARTA RUBIO MARTIN'!V$39:V$41)+SUMIF('GRIJALVA VALDEZ CESAR EUSEBIO'!P$35:P$37,'KM POR UNIDAD'!A46,'GRIJALVA VALDEZ CESAR EUSEBIO'!V$35:V$37)+SUMIF('PACHECO BAÑUELOS ALFONSO'!P$39:P$41,'KM POR UNIDAD'!A46,'PACHECO BAÑUELOS ALFONSO'!V$39:V$41)+SUMIF('RODRIGUEZ VALLES JOSE FRANCISCO'!P$40:P$42,'KM POR UNIDAD'!A46,'RODRIGUEZ VALLES JOSE FRANCISCO'!V$40:V$42)+SUMIF('SANCHEZ GUERRERO JOSE LUIS'!P$40:P$42,A46,'SANCHEZ GUERRERO JOSE LUIS'!V$40:V$42)+SUMIF('RUEDA SALAZAR ISMAEL'!P$35:P$37,'KM POR UNIDAD'!A46,'RUEDA SALAZAR ISMAEL'!V$35:V$37)+SUMIF('GUZMAN MORALES'!P$40:P$42,'KM POR UNIDAD'!A46,'GUZMAN MORALES'!V$40:V$42)+SUMIF('RODRIGUEZ RAMIREZ FERNANDO'!P$35:P$37,'KM POR UNIDAD'!A46,'RODRIGUEZ RAMIREZ FERNANDO'!V$35:V$37)+SUMIF('ESTRADA ARELLANO ARTURO'!P$40:P$42,'KM POR UNIDAD'!A46,'ESTRADA ARELLANO ARTURO'!V$40:V$42)+SUMIF('HERNANDEZ CONTRERAS JOSE FERNAN'!P$37:P$39,'KM POR UNIDAD'!A46,'HERNANDEZ CONTRERAS JOSE FERNAN'!V$38:V$40)+SUMIF('SALAZAR PEREZ JUAN CARLOS'!P$38:P$40,'KM POR UNIDAD'!A46,'SALAZAR PEREZ JUAN CARLOS'!V$38:V$40)+SUMIF('HARO IMPERIAL JOSÉ ANTONIO'!P$41:P$43,'KM POR UNIDAD'!A46,'HARO IMPERIAL JOSÉ ANTONIO'!V$41:V$43)+SUMIF('ESCARCEGA GALDEAN JESUS OMAR'!P$38:P$40,'KM POR UNIDAD'!A46,'ESCARCEGA GALDEAN JESUS OMAR'!V$38:V$40)</f>
        <v>0</v>
      </c>
      <c r="E46" s="167">
        <f>IFERROR(B46/D46,0)</f>
        <v>0</v>
      </c>
      <c r="F46" s="168">
        <v>0</v>
      </c>
      <c r="G46" s="168">
        <v>0</v>
      </c>
      <c r="H46" s="168">
        <v>0</v>
      </c>
      <c r="I46" s="169">
        <f t="shared" si="0"/>
        <v>0</v>
      </c>
      <c r="J46" s="170"/>
      <c r="K46" s="171"/>
    </row>
    <row r="47" spans="1:11" x14ac:dyDescent="0.25">
      <c r="A47" s="165" t="s">
        <v>156</v>
      </c>
      <c r="B47" s="166">
        <f>SUMIF('LIRA TRISTAN JOSE ANGEL'!P$36:P$38,'KM POR UNIDAD'!A47,'LIRA TRISTAN JOSE ANGEL'!U$36:U$38)+SUMIF('TORRES GARAY LUIS HUMBERTO'!P$38:P$40,'KM POR UNIDAD'!A47,'TORRES GARAY LUIS HUMBERTO'!U$38:U$40)+SUMIF('CERDA HERNANDEZ JOSE LUIS'!P$35:P$37,'KM POR UNIDAD'!A47,'CERDA HERNANDEZ JOSE LUIS'!U$35:U$37)+SUMIF('RUIZ ALVARADO PEDRO'!P$32:P$34,'KM POR UNIDAD'!A47,'RUIZ ALVARADO PEDRO'!U$32:U$34)+SUMIF('NEVAREZ JUAN MANUEL'!P$37:P$39,'KM POR UNIDAD'!A47,'NEVAREZ JUAN MANUEL'!U$37:U$39)+SUMIF('CHAVEZ VARELA NESTOR ADRIAN'!P$35:P$37,'KM POR UNIDAD'!A47,'CHAVEZ VARELA NESTOR ADRIAN'!U$35:U$37)+SUMIF('PAYAN ESTRADA JOSE ANGEL'!P$37:P$39,'KM POR UNIDAD'!A47,'PAYAN ESTRADA JOSE ANGEL'!U$37:U$39)+SUMIF('RUIZ HERRERA ERICK '!P$33:P$35,'KM POR UNIDAD'!A47,'RUIZ HERRERA ERICK '!U$33:U$35)+SUMIF('GONZALEZ LOZANO ENRIQUE '!P$38:P$40,'KM POR UNIDAD'!A47,'GONZALEZ LOZANO ENRIQUE '!U$38:U$40)+SUMIF('GONZALEZ MARTINEZ MAURICIO'!P$38:P$40,'KM POR UNIDAD'!A47,'GONZALEZ MARTINEZ MAURICIO'!U$38:U$40)+SUMIF('GONZALEZ SOTO JOEL'!P$39:P$41,'KM POR UNIDAD'!A47,'GONZALEZ SOTO JOEL'!U$39:U$41)+SUMIF('MARTA RUBIO MARTIN'!P$39:P$41,'KM POR UNIDAD'!A47,'MARTA RUBIO MARTIN'!U$39:U$41)+SUMIF('GRIJALVA VALDEZ CESAR EUSEBIO'!P$35:P$37,'KM POR UNIDAD'!A47,'GRIJALVA VALDEZ CESAR EUSEBIO'!U$35:U$37)+SUMIF('PACHECO BAÑUELOS ALFONSO'!P$39:P$41,'KM POR UNIDAD'!A47,'PACHECO BAÑUELOS ALFONSO'!U$39:U$41)+SUMIF('RODRIGUEZ VALLES JOSE FRANCISCO'!P$40:P$42,'KM POR UNIDAD'!A47,'RODRIGUEZ VALLES JOSE FRANCISCO'!U$40:U$42)+SUMIF('SANCHEZ GUERRERO JOSE LUIS'!P$40:P$42,A47,'SANCHEZ GUERRERO JOSE LUIS'!U$40:U$42)+SUMIF('RUEDA SALAZAR ISMAEL'!P$35:P$37,'KM POR UNIDAD'!A47,'RUEDA SALAZAR ISMAEL'!U$35:U$37)+SUMIF('GUZMAN MORALES'!P$40:P$42,'KM POR UNIDAD'!A47,'GUZMAN MORALES'!U$40:U$42)+SUMIF('RODRIGUEZ RAMIREZ FERNANDO'!P$35:P$37,'KM POR UNIDAD'!A47,'RODRIGUEZ RAMIREZ FERNANDO'!U$35:U$37)+SUMIF('ESTRADA ARELLANO ARTURO'!P$40:P$42,'KM POR UNIDAD'!A47,'ESTRADA ARELLANO ARTURO'!U$40:U$42)+SUMIF('HERNANDEZ CONTRERAS JOSE FERNAN'!P$37:P$39,'KM POR UNIDAD'!A47,'HERNANDEZ CONTRERAS JOSE FERNAN'!U$37:U$39)+SUMIF('SALAZAR PEREZ JUAN CARLOS'!P$38:P$40,'KM POR UNIDAD'!A47,'SALAZAR PEREZ JUAN CARLOS'!U$38:U$40)+SUMIF('HARO IMPERIAL JOSÉ ANTONIO'!P$41:P$43,'KM POR UNIDAD'!A47,'HARO IMPERIAL JOSÉ ANTONIO'!U$41:$U87)+SUMIF('ESCARCEGA GALDEAN JESUS OMAR'!P$38:P$40,'KM POR UNIDAD'!A47,'ESCARCEGA GALDEAN JESUS OMAR'!U$38:U$40)</f>
        <v>0</v>
      </c>
      <c r="C47" s="166">
        <f>+SUMIF('LIRA TRISTAN JOSE ANGEL'!P$36:P$38,'KM POR UNIDAD'!A47,'LIRA TRISTAN JOSE ANGEL'!T$36:T$38)+SUMIF('TORRES GARAY LUIS HUMBERTO'!P$38:P$40,'KM POR UNIDAD'!A47,'TORRES GARAY LUIS HUMBERTO'!T$38:T$40)+SUMIF('CERDA HERNANDEZ JOSE LUIS'!P$35:P$37,'KM POR UNIDAD'!A47,'CERDA HERNANDEZ JOSE LUIS'!T$35:T$37)+SUMIF('RUIZ ALVARADO PEDRO'!P$32:P$34,'KM POR UNIDAD'!A47,'RUIZ ALVARADO PEDRO'!T$32:T$34)+SUMIF('NEVAREZ JUAN MANUEL'!P$37:P$39,'KM POR UNIDAD'!A47,'NEVAREZ JUAN MANUEL'!T$37:T$39)+SUMIF('CHAVEZ VARELA NESTOR ADRIAN'!P$35:P$37,'KM POR UNIDAD'!A47,'CHAVEZ VARELA NESTOR ADRIAN'!T$35:T$37)+SUMIF('PAYAN ESTRADA JOSE ANGEL'!P$37:P$39,'KM POR UNIDAD'!A47,'PAYAN ESTRADA JOSE ANGEL'!T$37:T$39)+SUMIF('RUIZ HERRERA ERICK '!P$33:P$35,'KM POR UNIDAD'!A47,'RUIZ HERRERA ERICK '!T$33:T$35)+SUMIF('GONZALEZ LOZANO ENRIQUE '!P$38:P$40,'KM POR UNIDAD'!A47,'GONZALEZ LOZANO ENRIQUE '!T$38:T$40)+SUMIF('GONZALEZ MARTINEZ MAURICIO'!P$38:P$40,'KM POR UNIDAD'!A47,'GONZALEZ MARTINEZ MAURICIO'!T$38:T$40)+SUMIF('GONZALEZ SOTO JOEL'!P$39:P$41,'KM POR UNIDAD'!A47,'GONZALEZ SOTO JOEL'!T$39:T$41)+SUMIF('MARTA RUBIO MARTIN'!P$39:P$41,'KM POR UNIDAD'!A47,'MARTA RUBIO MARTIN'!T$39:T$41)+SUMIF('GRIJALVA VALDEZ CESAR EUSEBIO'!P$35:P$37,'KM POR UNIDAD'!A47,'GRIJALVA VALDEZ CESAR EUSEBIO'!T$35:T$37)+SUMIF('PACHECO BAÑUELOS ALFONSO'!P$39:P$41,'KM POR UNIDAD'!A47,'PACHECO BAÑUELOS ALFONSO'!T$39:T$41)+SUMIF('RODRIGUEZ VALLES JOSE FRANCISCO'!P$40:P$42,'KM POR UNIDAD'!A47,'RODRIGUEZ VALLES JOSE FRANCISCO'!T$40:T$42)+SUMIF('SANCHEZ GUERRERO JOSE LUIS'!P$40:P$42,A47,'SANCHEZ GUERRERO JOSE LUIS'!T$40:T$42)+SUMIF('RUEDA SALAZAR ISMAEL'!P$35:P$37,'KM POR UNIDAD'!A47,'RUEDA SALAZAR ISMAEL'!T$35:T$37)+SUMIF('GUZMAN MORALES'!P$40:P$42,'KM POR UNIDAD'!A47,'GUZMAN MORALES'!T$40:T$42)+SUMIF('RODRIGUEZ RAMIREZ FERNANDO'!P$35:P$37,'KM POR UNIDAD'!A47,'RODRIGUEZ RAMIREZ FERNANDO'!T$35:T$37)+SUMIF('ESTRADA ARELLANO ARTURO'!P$40:P$42,'KM POR UNIDAD'!A47,'ESTRADA ARELLANO ARTURO'!T$40:T$42)+SUMIF('HERNANDEZ CONTRERAS JOSE FERNAN'!P$37:P$39,'KM POR UNIDAD'!A47,'HERNANDEZ CONTRERAS JOSE FERNAN'!T$37:T$39)+SUMIF('SALAZAR PEREZ JUAN CARLOS'!P$38:P$40,'KM POR UNIDAD'!A47,'SALAZAR PEREZ JUAN CARLOS'!T$38:T$40)+SUMIF('HARO IMPERIAL JOSÉ ANTONIO'!P$41:P$43,'KM POR UNIDAD'!A47,'HARO IMPERIAL JOSÉ ANTONIO'!T$41:T$43)+SUMIF('ESCARCEGA GALDEAN JESUS OMAR'!P$38:P$40,'KM POR UNIDAD'!A47,'ESCARCEGA GALDEAN JESUS OMAR'!T$38:T$40)</f>
        <v>0</v>
      </c>
      <c r="D47" s="189">
        <f>+SUMIF('LIRA TRISTAN JOSE ANGEL'!P$36:P$38,'KM POR UNIDAD'!A47,'LIRA TRISTAN JOSE ANGEL'!V$36:V$38)+SUMIF('TORRES GARAY LUIS HUMBERTO'!P$38:P$40,'KM POR UNIDAD'!A47,'TORRES GARAY LUIS HUMBERTO'!V$38:V$40)+SUMIF('CERDA HERNANDEZ JOSE LUIS'!P$35:P$37,'KM POR UNIDAD'!A47,'CERDA HERNANDEZ JOSE LUIS'!V$35:V$37)+SUMIF('RUIZ ALVARADO PEDRO'!P$32:P$34,'KM POR UNIDAD'!A47,'RUIZ ALVARADO PEDRO'!V$32:V$34)+SUMIF('NEVAREZ JUAN MANUEL'!P$37:P$39,'KM POR UNIDAD'!A47,'NEVAREZ JUAN MANUEL'!V$37:V$39)+SUMIF('CHAVEZ VARELA NESTOR ADRIAN'!P$35:P$37,'KM POR UNIDAD'!A47,'CHAVEZ VARELA NESTOR ADRIAN'!V$35:V$37)+SUMIF('PAYAN ESTRADA JOSE ANGEL'!P$37:P$39,'KM POR UNIDAD'!A47,'PAYAN ESTRADA JOSE ANGEL'!V$37:V$39)+SUMIF('RUIZ HERRERA ERICK '!P$33:P$35,'KM POR UNIDAD'!A47,'RUIZ HERRERA ERICK '!V$33:V$35)+SUMIF('GONZALEZ LOZANO ENRIQUE '!P$38:P$40,'KM POR UNIDAD'!A47,'GONZALEZ LOZANO ENRIQUE '!V$38:V$40)+SUMIF('GONZALEZ MARTINEZ MAURICIO'!P$38:P$40,'KM POR UNIDAD'!A47,'GONZALEZ MARTINEZ MAURICIO'!V$38:V$40)+SUMIF('GONZALEZ SOTO JOEL'!P$39:P$41,'KM POR UNIDAD'!A47,'GONZALEZ SOTO JOEL'!V$39:V$41)+SUMIF('MARTA RUBIO MARTIN'!P$39:P$41,'KM POR UNIDAD'!A47,'MARTA RUBIO MARTIN'!V$39:V$41)+SUMIF('GRIJALVA VALDEZ CESAR EUSEBIO'!P$35:P$37,'KM POR UNIDAD'!A47,'GRIJALVA VALDEZ CESAR EUSEBIO'!V$35:V$37)+SUMIF('PACHECO BAÑUELOS ALFONSO'!P$39:P$41,'KM POR UNIDAD'!A47,'PACHECO BAÑUELOS ALFONSO'!V$39:V$41)+SUMIF('RODRIGUEZ VALLES JOSE FRANCISCO'!P$40:P$42,'KM POR UNIDAD'!A47,'RODRIGUEZ VALLES JOSE FRANCISCO'!V$40:V$42)+SUMIF('SANCHEZ GUERRERO JOSE LUIS'!P$40:P$42,A47,'SANCHEZ GUERRERO JOSE LUIS'!V$40:V$42)+SUMIF('RUEDA SALAZAR ISMAEL'!P$35:P$37,'KM POR UNIDAD'!A47,'RUEDA SALAZAR ISMAEL'!V$35:V$37)+SUMIF('GUZMAN MORALES'!P$40:P$42,'KM POR UNIDAD'!A47,'GUZMAN MORALES'!V$40:V$42)+SUMIF('RODRIGUEZ RAMIREZ FERNANDO'!P$35:P$37,'KM POR UNIDAD'!A47,'RODRIGUEZ RAMIREZ FERNANDO'!V$35:V$37)+SUMIF('ESTRADA ARELLANO ARTURO'!P$40:P$42,'KM POR UNIDAD'!A47,'ESTRADA ARELLANO ARTURO'!V$40:V$42)+SUMIF('HERNANDEZ CONTRERAS JOSE FERNAN'!P$37:P$39,'KM POR UNIDAD'!A47,'HERNANDEZ CONTRERAS JOSE FERNAN'!V$38:V$40)+SUMIF('SALAZAR PEREZ JUAN CARLOS'!P$38:P$40,'KM POR UNIDAD'!A47,'SALAZAR PEREZ JUAN CARLOS'!V$38:V$40)+SUMIF('HARO IMPERIAL JOSÉ ANTONIO'!P$41:P$43,'KM POR UNIDAD'!A47,'HARO IMPERIAL JOSÉ ANTONIO'!V$41:V$43)+SUMIF('ESCARCEGA GALDEAN JESUS OMAR'!P$38:P$40,'KM POR UNIDAD'!A47,'ESCARCEGA GALDEAN JESUS OMAR'!V$38:V$40)</f>
        <v>0</v>
      </c>
      <c r="E47" s="167">
        <f t="shared" si="1"/>
        <v>0</v>
      </c>
      <c r="F47" s="168">
        <v>0</v>
      </c>
      <c r="G47" s="168">
        <v>0</v>
      </c>
      <c r="H47" s="168">
        <v>0</v>
      </c>
      <c r="I47" s="169">
        <f t="shared" si="0"/>
        <v>0</v>
      </c>
      <c r="J47" s="170"/>
      <c r="K47" s="171"/>
    </row>
    <row r="48" spans="1:11" x14ac:dyDescent="0.25">
      <c r="A48" s="165" t="s">
        <v>157</v>
      </c>
      <c r="B48" s="166">
        <f>SUMIF('LIRA TRISTAN JOSE ANGEL'!P$36:P$38,'KM POR UNIDAD'!A48,'LIRA TRISTAN JOSE ANGEL'!U$36:U$38)+SUMIF('TORRES GARAY LUIS HUMBERTO'!P$38:P$40,'KM POR UNIDAD'!A48,'TORRES GARAY LUIS HUMBERTO'!U$38:U$40)+SUMIF('CERDA HERNANDEZ JOSE LUIS'!P$35:P$37,'KM POR UNIDAD'!A48,'CERDA HERNANDEZ JOSE LUIS'!U$35:U$37)+SUMIF('RUIZ ALVARADO PEDRO'!P$32:P$34,'KM POR UNIDAD'!A48,'RUIZ ALVARADO PEDRO'!U$32:U$34)+SUMIF('NEVAREZ JUAN MANUEL'!P$37:P$39,'KM POR UNIDAD'!A48,'NEVAREZ JUAN MANUEL'!U$37:U$39)+SUMIF('CHAVEZ VARELA NESTOR ADRIAN'!P$35:P$37,'KM POR UNIDAD'!A48,'CHAVEZ VARELA NESTOR ADRIAN'!U$35:U$37)+SUMIF('PAYAN ESTRADA JOSE ANGEL'!P$37:P$39,'KM POR UNIDAD'!A48,'PAYAN ESTRADA JOSE ANGEL'!U$37:U$39)+SUMIF('RUIZ HERRERA ERICK '!P$33:P$35,'KM POR UNIDAD'!A48,'RUIZ HERRERA ERICK '!U$33:U$35)+SUMIF('GONZALEZ LOZANO ENRIQUE '!P$38:P$40,'KM POR UNIDAD'!A48,'GONZALEZ LOZANO ENRIQUE '!U$38:U$40)+SUMIF('GONZALEZ MARTINEZ MAURICIO'!P$38:P$40,'KM POR UNIDAD'!A48,'GONZALEZ MARTINEZ MAURICIO'!U$38:U$40)+SUMIF('GONZALEZ SOTO JOEL'!P$39:P$41,'KM POR UNIDAD'!A48,'GONZALEZ SOTO JOEL'!U$39:U$41)+SUMIF('MARTA RUBIO MARTIN'!P$39:P$41,'KM POR UNIDAD'!A48,'MARTA RUBIO MARTIN'!U$39:U$41)+SUMIF('GRIJALVA VALDEZ CESAR EUSEBIO'!P$35:P$37,'KM POR UNIDAD'!A48,'GRIJALVA VALDEZ CESAR EUSEBIO'!U$35:U$37)+SUMIF('PACHECO BAÑUELOS ALFONSO'!P$39:P$41,'KM POR UNIDAD'!A48,'PACHECO BAÑUELOS ALFONSO'!U$39:U$41)+SUMIF('RODRIGUEZ VALLES JOSE FRANCISCO'!P$40:P$42,'KM POR UNIDAD'!A48,'RODRIGUEZ VALLES JOSE FRANCISCO'!U$40:U$42)+SUMIF('SANCHEZ GUERRERO JOSE LUIS'!P$40:P$42,A48,'SANCHEZ GUERRERO JOSE LUIS'!U$40:U$42)+SUMIF('RUEDA SALAZAR ISMAEL'!P$35:P$37,'KM POR UNIDAD'!A48,'RUEDA SALAZAR ISMAEL'!U$35:U$37)+SUMIF('GUZMAN MORALES'!P$40:P$42,'KM POR UNIDAD'!A48,'GUZMAN MORALES'!U$40:U$42)+SUMIF('RODRIGUEZ RAMIREZ FERNANDO'!P$35:P$37,'KM POR UNIDAD'!A48,'RODRIGUEZ RAMIREZ FERNANDO'!U$35:U$37)+SUMIF('ESTRADA ARELLANO ARTURO'!P$40:P$42,'KM POR UNIDAD'!A48,'ESTRADA ARELLANO ARTURO'!U$40:U$42)+SUMIF('HERNANDEZ CONTRERAS JOSE FERNAN'!P$37:P$39,'KM POR UNIDAD'!A48,'HERNANDEZ CONTRERAS JOSE FERNAN'!U$37:U$39)+SUMIF('SALAZAR PEREZ JUAN CARLOS'!P$38:P$40,'KM POR UNIDAD'!A48,'SALAZAR PEREZ JUAN CARLOS'!U$38:U$40)+SUMIF('HARO IMPERIAL JOSÉ ANTONIO'!P$41:P$43,'KM POR UNIDAD'!A48,'HARO IMPERIAL JOSÉ ANTONIO'!U$41:$U88)+SUMIF('ESCARCEGA GALDEAN JESUS OMAR'!P$38:P$40,'KM POR UNIDAD'!A48,'ESCARCEGA GALDEAN JESUS OMAR'!U$38:U$40)</f>
        <v>0</v>
      </c>
      <c r="C48" s="166">
        <f>+SUMIF('LIRA TRISTAN JOSE ANGEL'!P$36:P$38,'KM POR UNIDAD'!A48,'LIRA TRISTAN JOSE ANGEL'!T$36:T$38)+SUMIF('TORRES GARAY LUIS HUMBERTO'!P$38:P$40,'KM POR UNIDAD'!A48,'TORRES GARAY LUIS HUMBERTO'!T$38:T$40)+SUMIF('CERDA HERNANDEZ JOSE LUIS'!P$35:P$37,'KM POR UNIDAD'!A48,'CERDA HERNANDEZ JOSE LUIS'!T$35:T$37)+SUMIF('RUIZ ALVARADO PEDRO'!P$32:P$34,'KM POR UNIDAD'!A48,'RUIZ ALVARADO PEDRO'!T$32:T$34)+SUMIF('NEVAREZ JUAN MANUEL'!P$37:P$39,'KM POR UNIDAD'!A48,'NEVAREZ JUAN MANUEL'!T$37:T$39)+SUMIF('CHAVEZ VARELA NESTOR ADRIAN'!P$35:P$37,'KM POR UNIDAD'!A48,'CHAVEZ VARELA NESTOR ADRIAN'!T$35:T$37)+SUMIF('PAYAN ESTRADA JOSE ANGEL'!P$37:P$39,'KM POR UNIDAD'!A48,'PAYAN ESTRADA JOSE ANGEL'!T$37:T$39)+SUMIF('RUIZ HERRERA ERICK '!P$33:P$35,'KM POR UNIDAD'!A48,'RUIZ HERRERA ERICK '!T$33:T$35)+SUMIF('GONZALEZ LOZANO ENRIQUE '!P$38:P$40,'KM POR UNIDAD'!A48,'GONZALEZ LOZANO ENRIQUE '!T$38:T$40)+SUMIF('GONZALEZ MARTINEZ MAURICIO'!P$38:P$40,'KM POR UNIDAD'!A48,'GONZALEZ MARTINEZ MAURICIO'!T$38:T$40)+SUMIF('GONZALEZ SOTO JOEL'!P$39:P$41,'KM POR UNIDAD'!A48,'GONZALEZ SOTO JOEL'!T$39:T$41)+SUMIF('MARTA RUBIO MARTIN'!P$39:P$41,'KM POR UNIDAD'!A48,'MARTA RUBIO MARTIN'!T$39:T$41)+SUMIF('GRIJALVA VALDEZ CESAR EUSEBIO'!P$35:P$37,'KM POR UNIDAD'!A48,'GRIJALVA VALDEZ CESAR EUSEBIO'!T$35:T$37)+SUMIF('PACHECO BAÑUELOS ALFONSO'!P$39:P$41,'KM POR UNIDAD'!A48,'PACHECO BAÑUELOS ALFONSO'!T$39:T$41)+SUMIF('RODRIGUEZ VALLES JOSE FRANCISCO'!P$40:P$42,'KM POR UNIDAD'!A48,'RODRIGUEZ VALLES JOSE FRANCISCO'!T$40:T$42)+SUMIF('SANCHEZ GUERRERO JOSE LUIS'!P$40:P$42,A48,'SANCHEZ GUERRERO JOSE LUIS'!T$40:T$42)+SUMIF('RUEDA SALAZAR ISMAEL'!P$35:P$37,'KM POR UNIDAD'!A48,'RUEDA SALAZAR ISMAEL'!T$35:T$37)+SUMIF('GUZMAN MORALES'!P$40:P$42,'KM POR UNIDAD'!A48,'GUZMAN MORALES'!T$40:T$42)+SUMIF('RODRIGUEZ RAMIREZ FERNANDO'!P$35:P$37,'KM POR UNIDAD'!A48,'RODRIGUEZ RAMIREZ FERNANDO'!T$35:T$37)+SUMIF('ESTRADA ARELLANO ARTURO'!P$40:P$42,'KM POR UNIDAD'!A48,'ESTRADA ARELLANO ARTURO'!T$40:T$42)+SUMIF('HERNANDEZ CONTRERAS JOSE FERNAN'!P$37:P$39,'KM POR UNIDAD'!A48,'HERNANDEZ CONTRERAS JOSE FERNAN'!T$37:T$39)+SUMIF('SALAZAR PEREZ JUAN CARLOS'!P$38:P$40,'KM POR UNIDAD'!A48,'SALAZAR PEREZ JUAN CARLOS'!T$38:T$40)+SUMIF('HARO IMPERIAL JOSÉ ANTONIO'!P$41:P$43,'KM POR UNIDAD'!A48,'HARO IMPERIAL JOSÉ ANTONIO'!T$41:T$43)+SUMIF('ESCARCEGA GALDEAN JESUS OMAR'!P$38:P$40,'KM POR UNIDAD'!A48,'ESCARCEGA GALDEAN JESUS OMAR'!T$38:T$40)</f>
        <v>0</v>
      </c>
      <c r="D48" s="189">
        <f>+SUMIF('LIRA TRISTAN JOSE ANGEL'!P$36:P$38,'KM POR UNIDAD'!A48,'LIRA TRISTAN JOSE ANGEL'!V$36:V$38)+SUMIF('TORRES GARAY LUIS HUMBERTO'!P$38:P$40,'KM POR UNIDAD'!A48,'TORRES GARAY LUIS HUMBERTO'!V$38:V$40)+SUMIF('CERDA HERNANDEZ JOSE LUIS'!P$35:P$37,'KM POR UNIDAD'!A48,'CERDA HERNANDEZ JOSE LUIS'!V$35:V$37)+SUMIF('RUIZ ALVARADO PEDRO'!P$32:P$34,'KM POR UNIDAD'!A48,'RUIZ ALVARADO PEDRO'!V$32:V$34)+SUMIF('NEVAREZ JUAN MANUEL'!P$37:P$39,'KM POR UNIDAD'!A48,'NEVAREZ JUAN MANUEL'!V$37:V$39)+SUMIF('CHAVEZ VARELA NESTOR ADRIAN'!P$35:P$37,'KM POR UNIDAD'!A48,'CHAVEZ VARELA NESTOR ADRIAN'!V$35:V$37)+SUMIF('PAYAN ESTRADA JOSE ANGEL'!P$37:P$39,'KM POR UNIDAD'!A48,'PAYAN ESTRADA JOSE ANGEL'!V$37:V$39)+SUMIF('RUIZ HERRERA ERICK '!P$33:P$35,'KM POR UNIDAD'!A48,'RUIZ HERRERA ERICK '!V$33:V$35)+SUMIF('GONZALEZ LOZANO ENRIQUE '!P$38:P$40,'KM POR UNIDAD'!A48,'GONZALEZ LOZANO ENRIQUE '!V$38:V$40)+SUMIF('GONZALEZ MARTINEZ MAURICIO'!P$38:P$40,'KM POR UNIDAD'!A48,'GONZALEZ MARTINEZ MAURICIO'!V$38:V$40)+SUMIF('GONZALEZ SOTO JOEL'!P$39:P$41,'KM POR UNIDAD'!A48,'GONZALEZ SOTO JOEL'!V$39:V$41)+SUMIF('MARTA RUBIO MARTIN'!P$39:P$41,'KM POR UNIDAD'!A48,'MARTA RUBIO MARTIN'!V$39:V$41)+SUMIF('GRIJALVA VALDEZ CESAR EUSEBIO'!P$35:P$37,'KM POR UNIDAD'!A48,'GRIJALVA VALDEZ CESAR EUSEBIO'!V$35:V$37)+SUMIF('PACHECO BAÑUELOS ALFONSO'!P$39:P$41,'KM POR UNIDAD'!A48,'PACHECO BAÑUELOS ALFONSO'!V$39:V$41)+SUMIF('RODRIGUEZ VALLES JOSE FRANCISCO'!P$40:P$42,'KM POR UNIDAD'!A48,'RODRIGUEZ VALLES JOSE FRANCISCO'!V$40:V$42)+SUMIF('SANCHEZ GUERRERO JOSE LUIS'!P$40:P$42,A48,'SANCHEZ GUERRERO JOSE LUIS'!V$40:V$42)+SUMIF('RUEDA SALAZAR ISMAEL'!P$35:P$37,'KM POR UNIDAD'!A48,'RUEDA SALAZAR ISMAEL'!V$35:V$37)+SUMIF('GUZMAN MORALES'!P$40:P$42,'KM POR UNIDAD'!A48,'GUZMAN MORALES'!V$40:V$42)+SUMIF('RODRIGUEZ RAMIREZ FERNANDO'!P$35:P$37,'KM POR UNIDAD'!A48,'RODRIGUEZ RAMIREZ FERNANDO'!V$35:V$37)+SUMIF('ESTRADA ARELLANO ARTURO'!P$40:P$42,'KM POR UNIDAD'!A48,'ESTRADA ARELLANO ARTURO'!V$40:V$42)+SUMIF('HERNANDEZ CONTRERAS JOSE FERNAN'!P$37:P$39,'KM POR UNIDAD'!A48,'HERNANDEZ CONTRERAS JOSE FERNAN'!V$38:V$40)+SUMIF('SALAZAR PEREZ JUAN CARLOS'!P$38:P$40,'KM POR UNIDAD'!A48,'SALAZAR PEREZ JUAN CARLOS'!V$38:V$40)+SUMIF('HARO IMPERIAL JOSÉ ANTONIO'!P$41:P$43,'KM POR UNIDAD'!A48,'HARO IMPERIAL JOSÉ ANTONIO'!V$41:V$43)+SUMIF('ESCARCEGA GALDEAN JESUS OMAR'!P$38:P$40,'KM POR UNIDAD'!A48,'ESCARCEGA GALDEAN JESUS OMAR'!V$38:V$40)</f>
        <v>0</v>
      </c>
      <c r="E48" s="167">
        <f t="shared" si="1"/>
        <v>0</v>
      </c>
      <c r="F48" s="168">
        <v>0</v>
      </c>
      <c r="G48" s="168">
        <v>0</v>
      </c>
      <c r="H48" s="168">
        <v>0</v>
      </c>
      <c r="I48" s="169">
        <f t="shared" si="0"/>
        <v>0</v>
      </c>
      <c r="J48" s="170"/>
      <c r="K48" s="171"/>
    </row>
    <row r="49" spans="1:11" x14ac:dyDescent="0.25">
      <c r="A49" s="165" t="s">
        <v>160</v>
      </c>
      <c r="B49" s="166">
        <f>SUMIF('LIRA TRISTAN JOSE ANGEL'!P$36:P$38,'KM POR UNIDAD'!A49,'LIRA TRISTAN JOSE ANGEL'!U$36:U$38)+SUMIF('TORRES GARAY LUIS HUMBERTO'!P$38:P$40,'KM POR UNIDAD'!A49,'TORRES GARAY LUIS HUMBERTO'!U$38:U$40)+SUMIF('CERDA HERNANDEZ JOSE LUIS'!P$35:P$37,'KM POR UNIDAD'!A49,'CERDA HERNANDEZ JOSE LUIS'!U$35:U$37)+SUMIF('RUIZ ALVARADO PEDRO'!P$32:P$34,'KM POR UNIDAD'!A49,'RUIZ ALVARADO PEDRO'!U$32:U$34)+SUMIF('NEVAREZ JUAN MANUEL'!P$37:P$39,'KM POR UNIDAD'!A49,'NEVAREZ JUAN MANUEL'!U$37:U$39)+SUMIF('CHAVEZ VARELA NESTOR ADRIAN'!P$35:P$37,'KM POR UNIDAD'!A49,'CHAVEZ VARELA NESTOR ADRIAN'!U$35:U$37)+SUMIF('PAYAN ESTRADA JOSE ANGEL'!P$37:P$39,'KM POR UNIDAD'!A49,'PAYAN ESTRADA JOSE ANGEL'!U$37:U$39)+SUMIF('RUIZ HERRERA ERICK '!P$33:P$35,'KM POR UNIDAD'!A49,'RUIZ HERRERA ERICK '!U$33:U$35)+SUMIF('GONZALEZ LOZANO ENRIQUE '!P$38:P$40,'KM POR UNIDAD'!A49,'GONZALEZ LOZANO ENRIQUE '!U$38:U$40)+SUMIF('GONZALEZ MARTINEZ MAURICIO'!P$38:P$40,'KM POR UNIDAD'!A49,'GONZALEZ MARTINEZ MAURICIO'!U$38:U$40)+SUMIF('GONZALEZ SOTO JOEL'!P$39:P$41,'KM POR UNIDAD'!A49,'GONZALEZ SOTO JOEL'!U$39:U$41)+SUMIF('MARTA RUBIO MARTIN'!P$39:P$41,'KM POR UNIDAD'!A49,'MARTA RUBIO MARTIN'!U$39:U$41)+SUMIF('GRIJALVA VALDEZ CESAR EUSEBIO'!P$35:P$37,'KM POR UNIDAD'!A49,'GRIJALVA VALDEZ CESAR EUSEBIO'!U$35:U$37)+SUMIF('PACHECO BAÑUELOS ALFONSO'!P$39:P$41,'KM POR UNIDAD'!A49,'PACHECO BAÑUELOS ALFONSO'!U$39:U$41)+SUMIF('RODRIGUEZ VALLES JOSE FRANCISCO'!P$40:P$42,'KM POR UNIDAD'!A49,'RODRIGUEZ VALLES JOSE FRANCISCO'!U$40:U$42)+SUMIF('SANCHEZ GUERRERO JOSE LUIS'!P$40:P$42,A49,'SANCHEZ GUERRERO JOSE LUIS'!U$40:U$42)+SUMIF('RUEDA SALAZAR ISMAEL'!P$35:P$37,'KM POR UNIDAD'!A49,'RUEDA SALAZAR ISMAEL'!U$35:U$37)+SUMIF('GUZMAN MORALES'!P$40:P$42,'KM POR UNIDAD'!A49,'GUZMAN MORALES'!U$40:U$42)+SUMIF('RODRIGUEZ RAMIREZ FERNANDO'!P$35:P$37,'KM POR UNIDAD'!A49,'RODRIGUEZ RAMIREZ FERNANDO'!U$35:U$37)+SUMIF('ESTRADA ARELLANO ARTURO'!P$40:P$42,'KM POR UNIDAD'!A49,'ESTRADA ARELLANO ARTURO'!U$40:U$42)+SUMIF('HERNANDEZ CONTRERAS JOSE FERNAN'!P$37:P$39,'KM POR UNIDAD'!A49,'HERNANDEZ CONTRERAS JOSE FERNAN'!U$37:U$39)+SUMIF('SALAZAR PEREZ JUAN CARLOS'!P$38:P$40,'KM POR UNIDAD'!A49,'SALAZAR PEREZ JUAN CARLOS'!U$38:U$40)+SUMIF('HARO IMPERIAL JOSÉ ANTONIO'!P$41:P$43,'KM POR UNIDAD'!A49,'HARO IMPERIAL JOSÉ ANTONIO'!U$41:$U91)+SUMIF('ESCARCEGA GALDEAN JESUS OMAR'!P$38:P$40,'KM POR UNIDAD'!A49,'ESCARCEGA GALDEAN JESUS OMAR'!U$38:U$40)</f>
        <v>0</v>
      </c>
      <c r="C49" s="166">
        <f>+SUMIF('LIRA TRISTAN JOSE ANGEL'!P$36:P$38,'KM POR UNIDAD'!A49,'LIRA TRISTAN JOSE ANGEL'!T$36:T$38)+SUMIF('TORRES GARAY LUIS HUMBERTO'!P$38:P$40,'KM POR UNIDAD'!A49,'TORRES GARAY LUIS HUMBERTO'!T$38:T$40)+SUMIF('CERDA HERNANDEZ JOSE LUIS'!P$35:P$37,'KM POR UNIDAD'!A49,'CERDA HERNANDEZ JOSE LUIS'!T$35:T$37)+SUMIF('RUIZ ALVARADO PEDRO'!P$32:P$34,'KM POR UNIDAD'!A49,'RUIZ ALVARADO PEDRO'!T$32:T$34)+SUMIF('NEVAREZ JUAN MANUEL'!P$37:P$39,'KM POR UNIDAD'!A49,'NEVAREZ JUAN MANUEL'!T$37:T$39)+SUMIF('CHAVEZ VARELA NESTOR ADRIAN'!P$35:P$37,'KM POR UNIDAD'!A49,'CHAVEZ VARELA NESTOR ADRIAN'!T$35:T$37)+SUMIF('PAYAN ESTRADA JOSE ANGEL'!P$37:P$39,'KM POR UNIDAD'!A49,'PAYAN ESTRADA JOSE ANGEL'!T$37:T$39)+SUMIF('RUIZ HERRERA ERICK '!P$33:P$35,'KM POR UNIDAD'!A49,'RUIZ HERRERA ERICK '!T$33:T$35)+SUMIF('GONZALEZ LOZANO ENRIQUE '!P$38:P$40,'KM POR UNIDAD'!A49,'GONZALEZ LOZANO ENRIQUE '!T$38:T$40)+SUMIF('GONZALEZ MARTINEZ MAURICIO'!P$38:P$40,'KM POR UNIDAD'!A49,'GONZALEZ MARTINEZ MAURICIO'!T$38:T$40)+SUMIF('GONZALEZ SOTO JOEL'!P$39:P$41,'KM POR UNIDAD'!A49,'GONZALEZ SOTO JOEL'!T$39:T$41)+SUMIF('MARTA RUBIO MARTIN'!P$39:P$41,'KM POR UNIDAD'!A49,'MARTA RUBIO MARTIN'!T$39:T$41)+SUMIF('GRIJALVA VALDEZ CESAR EUSEBIO'!P$35:P$37,'KM POR UNIDAD'!A49,'GRIJALVA VALDEZ CESAR EUSEBIO'!T$35:T$37)+SUMIF('PACHECO BAÑUELOS ALFONSO'!P$39:P$41,'KM POR UNIDAD'!A49,'PACHECO BAÑUELOS ALFONSO'!T$39:T$41)+SUMIF('RODRIGUEZ VALLES JOSE FRANCISCO'!P$40:P$42,'KM POR UNIDAD'!A49,'RODRIGUEZ VALLES JOSE FRANCISCO'!T$40:T$42)+SUMIF('SANCHEZ GUERRERO JOSE LUIS'!P$40:P$42,A49,'SANCHEZ GUERRERO JOSE LUIS'!T$40:T$42)+SUMIF('RUEDA SALAZAR ISMAEL'!P$35:P$37,'KM POR UNIDAD'!A49,'RUEDA SALAZAR ISMAEL'!T$35:T$37)+SUMIF('GUZMAN MORALES'!P$40:P$42,'KM POR UNIDAD'!A49,'GUZMAN MORALES'!T$40:T$42)+SUMIF('RODRIGUEZ RAMIREZ FERNANDO'!P$35:P$37,'KM POR UNIDAD'!A49,'RODRIGUEZ RAMIREZ FERNANDO'!T$35:T$37)+SUMIF('ESTRADA ARELLANO ARTURO'!P$40:P$42,'KM POR UNIDAD'!A49,'ESTRADA ARELLANO ARTURO'!T$40:T$42)+SUMIF('HERNANDEZ CONTRERAS JOSE FERNAN'!P$37:P$39,'KM POR UNIDAD'!A49,'HERNANDEZ CONTRERAS JOSE FERNAN'!T$37:T$39)+SUMIF('SALAZAR PEREZ JUAN CARLOS'!P$38:P$40,'KM POR UNIDAD'!A49,'SALAZAR PEREZ JUAN CARLOS'!T$38:T$40)+SUMIF('HARO IMPERIAL JOSÉ ANTONIO'!P$41:P$43,'KM POR UNIDAD'!A49,'HARO IMPERIAL JOSÉ ANTONIO'!T$41:T$43)+SUMIF('ESCARCEGA GALDEAN JESUS OMAR'!P$38:P$40,'KM POR UNIDAD'!A49,'ESCARCEGA GALDEAN JESUS OMAR'!T$38:T$40)</f>
        <v>0</v>
      </c>
      <c r="D49" s="189">
        <f>+SUMIF('LIRA TRISTAN JOSE ANGEL'!P$36:P$38,'KM POR UNIDAD'!A49,'LIRA TRISTAN JOSE ANGEL'!V$36:V$38)+SUMIF('TORRES GARAY LUIS HUMBERTO'!P$38:P$40,'KM POR UNIDAD'!A49,'TORRES GARAY LUIS HUMBERTO'!V$38:V$40)+SUMIF('CERDA HERNANDEZ JOSE LUIS'!P$35:P$37,'KM POR UNIDAD'!A49,'CERDA HERNANDEZ JOSE LUIS'!V$35:V$37)+SUMIF('RUIZ ALVARADO PEDRO'!P$32:P$34,'KM POR UNIDAD'!A49,'RUIZ ALVARADO PEDRO'!V$32:V$34)+SUMIF('NEVAREZ JUAN MANUEL'!P$37:P$39,'KM POR UNIDAD'!A49,'NEVAREZ JUAN MANUEL'!V$37:V$39)+SUMIF('CHAVEZ VARELA NESTOR ADRIAN'!P$35:P$37,'KM POR UNIDAD'!A49,'CHAVEZ VARELA NESTOR ADRIAN'!V$35:V$37)+SUMIF('PAYAN ESTRADA JOSE ANGEL'!P$37:P$39,'KM POR UNIDAD'!A49,'PAYAN ESTRADA JOSE ANGEL'!V$37:V$39)+SUMIF('RUIZ HERRERA ERICK '!P$33:P$35,'KM POR UNIDAD'!A49,'RUIZ HERRERA ERICK '!V$33:V$35)+SUMIF('GONZALEZ LOZANO ENRIQUE '!P$38:P$40,'KM POR UNIDAD'!A49,'GONZALEZ LOZANO ENRIQUE '!V$38:V$40)+SUMIF('GONZALEZ MARTINEZ MAURICIO'!P$38:P$40,'KM POR UNIDAD'!A49,'GONZALEZ MARTINEZ MAURICIO'!V$38:V$40)+SUMIF('GONZALEZ SOTO JOEL'!P$39:P$41,'KM POR UNIDAD'!A49,'GONZALEZ SOTO JOEL'!V$39:V$41)+SUMIF('MARTA RUBIO MARTIN'!P$39:P$41,'KM POR UNIDAD'!A49,'MARTA RUBIO MARTIN'!V$39:V$41)+SUMIF('GRIJALVA VALDEZ CESAR EUSEBIO'!P$35:P$37,'KM POR UNIDAD'!A49,'GRIJALVA VALDEZ CESAR EUSEBIO'!V$35:V$37)+SUMIF('PACHECO BAÑUELOS ALFONSO'!P$39:P$41,'KM POR UNIDAD'!A49,'PACHECO BAÑUELOS ALFONSO'!V$39:V$41)+SUMIF('RODRIGUEZ VALLES JOSE FRANCISCO'!P$40:P$42,'KM POR UNIDAD'!A49,'RODRIGUEZ VALLES JOSE FRANCISCO'!V$40:V$42)+SUMIF('SANCHEZ GUERRERO JOSE LUIS'!P$40:P$42,A49,'SANCHEZ GUERRERO JOSE LUIS'!V$40:V$42)+SUMIF('RUEDA SALAZAR ISMAEL'!P$35:P$37,'KM POR UNIDAD'!A49,'RUEDA SALAZAR ISMAEL'!V$35:V$37)+SUMIF('GUZMAN MORALES'!P$40:P$42,'KM POR UNIDAD'!A49,'GUZMAN MORALES'!V$40:V$42)+SUMIF('RODRIGUEZ RAMIREZ FERNANDO'!P$35:P$37,'KM POR UNIDAD'!A49,'RODRIGUEZ RAMIREZ FERNANDO'!V$35:V$37)+SUMIF('ESTRADA ARELLANO ARTURO'!P$40:P$42,'KM POR UNIDAD'!A49,'ESTRADA ARELLANO ARTURO'!V$40:V$42)+SUMIF('HERNANDEZ CONTRERAS JOSE FERNAN'!P$37:P$39,'KM POR UNIDAD'!A49,'HERNANDEZ CONTRERAS JOSE FERNAN'!V$38:V$40)+SUMIF('SALAZAR PEREZ JUAN CARLOS'!P$38:P$40,'KM POR UNIDAD'!A49,'SALAZAR PEREZ JUAN CARLOS'!V$38:V$40)+SUMIF('HARO IMPERIAL JOSÉ ANTONIO'!P$41:P$43,'KM POR UNIDAD'!A49,'HARO IMPERIAL JOSÉ ANTONIO'!V$41:V$43)+SUMIF('ESCARCEGA GALDEAN JESUS OMAR'!P$38:P$40,'KM POR UNIDAD'!A49,'ESCARCEGA GALDEAN JESUS OMAR'!V$38:V$40)</f>
        <v>0</v>
      </c>
      <c r="E49" s="167">
        <f t="shared" si="1"/>
        <v>0</v>
      </c>
      <c r="F49" s="168">
        <v>0</v>
      </c>
      <c r="G49" s="168">
        <v>0</v>
      </c>
      <c r="H49" s="168">
        <v>0</v>
      </c>
      <c r="I49" s="169">
        <f t="shared" si="0"/>
        <v>0</v>
      </c>
      <c r="J49" s="170"/>
      <c r="K49" s="171"/>
    </row>
    <row r="50" spans="1:11" x14ac:dyDescent="0.25">
      <c r="A50" s="165" t="s">
        <v>103</v>
      </c>
      <c r="B50" s="166">
        <f>SUMIF('LIRA TRISTAN JOSE ANGEL'!P$36:P$38,'KM POR UNIDAD'!A50,'LIRA TRISTAN JOSE ANGEL'!U$36:U$38)+SUMIF('TORRES GARAY LUIS HUMBERTO'!P$38:P$40,'KM POR UNIDAD'!A50,'TORRES GARAY LUIS HUMBERTO'!U$38:U$40)+SUMIF('CERDA HERNANDEZ JOSE LUIS'!P$35:P$37,'KM POR UNIDAD'!A50,'CERDA HERNANDEZ JOSE LUIS'!U$35:U$37)+SUMIF('RUIZ ALVARADO PEDRO'!P$32:P$34,'KM POR UNIDAD'!A50,'RUIZ ALVARADO PEDRO'!U$32:U$34)+SUMIF('NEVAREZ JUAN MANUEL'!P$37:P$39,'KM POR UNIDAD'!A50,'NEVAREZ JUAN MANUEL'!U$37:U$39)+SUMIF('CHAVEZ VARELA NESTOR ADRIAN'!P$35:P$37,'KM POR UNIDAD'!A50,'CHAVEZ VARELA NESTOR ADRIAN'!U$35:U$37)+SUMIF('PAYAN ESTRADA JOSE ANGEL'!P$37:P$39,'KM POR UNIDAD'!A50,'PAYAN ESTRADA JOSE ANGEL'!U$37:U$39)+SUMIF('RUIZ HERRERA ERICK '!P$33:P$35,'KM POR UNIDAD'!A50,'RUIZ HERRERA ERICK '!U$33:U$35)+SUMIF('GONZALEZ LOZANO ENRIQUE '!P$38:P$40,'KM POR UNIDAD'!A50,'GONZALEZ LOZANO ENRIQUE '!U$38:U$40)+SUMIF('GONZALEZ MARTINEZ MAURICIO'!P$38:P$40,'KM POR UNIDAD'!A50,'GONZALEZ MARTINEZ MAURICIO'!U$38:U$40)+SUMIF('GONZALEZ SOTO JOEL'!P$39:P$41,'KM POR UNIDAD'!A50,'GONZALEZ SOTO JOEL'!U$39:U$41)+SUMIF('MARTA RUBIO MARTIN'!P$39:P$41,'KM POR UNIDAD'!A50,'MARTA RUBIO MARTIN'!U$39:U$41)+SUMIF('GRIJALVA VALDEZ CESAR EUSEBIO'!P$35:P$37,'KM POR UNIDAD'!A50,'GRIJALVA VALDEZ CESAR EUSEBIO'!U$35:U$37)+SUMIF('PACHECO BAÑUELOS ALFONSO'!P$39:P$41,'KM POR UNIDAD'!A50,'PACHECO BAÑUELOS ALFONSO'!U$39:U$41)+SUMIF('RODRIGUEZ VALLES JOSE FRANCISCO'!P$40:P$42,'KM POR UNIDAD'!A50,'RODRIGUEZ VALLES JOSE FRANCISCO'!U$40:U$42)+SUMIF('SANCHEZ GUERRERO JOSE LUIS'!P$40:P$42,A50,'SANCHEZ GUERRERO JOSE LUIS'!U$40:U$42)+SUMIF('RUEDA SALAZAR ISMAEL'!P$35:P$37,'KM POR UNIDAD'!A50,'RUEDA SALAZAR ISMAEL'!U$35:U$37)+SUMIF('GUZMAN MORALES'!P$40:P$42,'KM POR UNIDAD'!A50,'GUZMAN MORALES'!U$40:U$42)+SUMIF('RODRIGUEZ RAMIREZ FERNANDO'!P$35:P$37,'KM POR UNIDAD'!A50,'RODRIGUEZ RAMIREZ FERNANDO'!U$35:U$37)+SUMIF('ESTRADA ARELLANO ARTURO'!P$40:P$42,'KM POR UNIDAD'!A50,'ESTRADA ARELLANO ARTURO'!U$40:U$42)+SUMIF('HERNANDEZ CONTRERAS JOSE FERNAN'!P$37:P$39,'KM POR UNIDAD'!A50,'HERNANDEZ CONTRERAS JOSE FERNAN'!U$37:U$39)+SUMIF('SALAZAR PEREZ JUAN CARLOS'!P$38:P$40,'KM POR UNIDAD'!A50,'SALAZAR PEREZ JUAN CARLOS'!U$38:U$40)+SUMIF('HARO IMPERIAL JOSÉ ANTONIO'!P$41:P$43,'KM POR UNIDAD'!A50,'HARO IMPERIAL JOSÉ ANTONIO'!U$41:$U92)+SUMIF('ESCARCEGA GALDEAN JESUS OMAR'!P$38:P$40,'KM POR UNIDAD'!A50,'ESCARCEGA GALDEAN JESUS OMAR'!U$38:U$40)</f>
        <v>0</v>
      </c>
      <c r="C50" s="166">
        <f>+SUMIF('LIRA TRISTAN JOSE ANGEL'!P$36:P$38,'KM POR UNIDAD'!A50,'LIRA TRISTAN JOSE ANGEL'!T$36:T$38)+SUMIF('TORRES GARAY LUIS HUMBERTO'!P$38:P$40,'KM POR UNIDAD'!A50,'TORRES GARAY LUIS HUMBERTO'!T$38:T$40)+SUMIF('CERDA HERNANDEZ JOSE LUIS'!P$35:P$37,'KM POR UNIDAD'!A50,'CERDA HERNANDEZ JOSE LUIS'!T$35:T$37)+SUMIF('RUIZ ALVARADO PEDRO'!P$32:P$34,'KM POR UNIDAD'!A50,'RUIZ ALVARADO PEDRO'!T$32:T$34)+SUMIF('NEVAREZ JUAN MANUEL'!P$37:P$39,'KM POR UNIDAD'!A50,'NEVAREZ JUAN MANUEL'!T$37:T$39)+SUMIF('CHAVEZ VARELA NESTOR ADRIAN'!P$35:P$37,'KM POR UNIDAD'!A50,'CHAVEZ VARELA NESTOR ADRIAN'!T$35:T$37)+SUMIF('PAYAN ESTRADA JOSE ANGEL'!P$37:P$39,'KM POR UNIDAD'!A50,'PAYAN ESTRADA JOSE ANGEL'!T$37:T$39)+SUMIF('RUIZ HERRERA ERICK '!P$33:P$35,'KM POR UNIDAD'!A50,'RUIZ HERRERA ERICK '!T$33:T$35)+SUMIF('GONZALEZ LOZANO ENRIQUE '!P$38:P$40,'KM POR UNIDAD'!A50,'GONZALEZ LOZANO ENRIQUE '!T$38:T$40)+SUMIF('GONZALEZ MARTINEZ MAURICIO'!P$38:P$40,'KM POR UNIDAD'!A50,'GONZALEZ MARTINEZ MAURICIO'!T$38:T$40)+SUMIF('GONZALEZ SOTO JOEL'!P$39:P$41,'KM POR UNIDAD'!A50,'GONZALEZ SOTO JOEL'!T$39:T$41)+SUMIF('MARTA RUBIO MARTIN'!P$39:P$41,'KM POR UNIDAD'!A50,'MARTA RUBIO MARTIN'!T$39:T$41)+SUMIF('GRIJALVA VALDEZ CESAR EUSEBIO'!P$35:P$37,'KM POR UNIDAD'!A50,'GRIJALVA VALDEZ CESAR EUSEBIO'!T$35:T$37)+SUMIF('PACHECO BAÑUELOS ALFONSO'!P$39:P$41,'KM POR UNIDAD'!A50,'PACHECO BAÑUELOS ALFONSO'!T$39:T$41)+SUMIF('RODRIGUEZ VALLES JOSE FRANCISCO'!P$40:P$42,'KM POR UNIDAD'!A50,'RODRIGUEZ VALLES JOSE FRANCISCO'!T$40:T$42)+SUMIF('SANCHEZ GUERRERO JOSE LUIS'!P$40:P$42,A50,'SANCHEZ GUERRERO JOSE LUIS'!T$40:T$42)+SUMIF('RUEDA SALAZAR ISMAEL'!P$35:P$37,'KM POR UNIDAD'!A50,'RUEDA SALAZAR ISMAEL'!T$35:T$37)+SUMIF('GUZMAN MORALES'!P$40:P$42,'KM POR UNIDAD'!A50,'GUZMAN MORALES'!T$40:T$42)+SUMIF('RODRIGUEZ RAMIREZ FERNANDO'!P$35:P$37,'KM POR UNIDAD'!A50,'RODRIGUEZ RAMIREZ FERNANDO'!T$35:T$37)+SUMIF('ESTRADA ARELLANO ARTURO'!P$40:P$42,'KM POR UNIDAD'!A50,'ESTRADA ARELLANO ARTURO'!T$40:T$42)+SUMIF('HERNANDEZ CONTRERAS JOSE FERNAN'!P$37:P$39,'KM POR UNIDAD'!A50,'HERNANDEZ CONTRERAS JOSE FERNAN'!T$37:T$39)+SUMIF('SALAZAR PEREZ JUAN CARLOS'!P$38:P$40,'KM POR UNIDAD'!A50,'SALAZAR PEREZ JUAN CARLOS'!T$38:T$40)+SUMIF('HARO IMPERIAL JOSÉ ANTONIO'!P$41:P$43,'KM POR UNIDAD'!A50,'HARO IMPERIAL JOSÉ ANTONIO'!T$41:T$43)+SUMIF('ESCARCEGA GALDEAN JESUS OMAR'!P$38:P$40,'KM POR UNIDAD'!A50,'ESCARCEGA GALDEAN JESUS OMAR'!T$38:T$40)</f>
        <v>0</v>
      </c>
      <c r="D50" s="189">
        <f>+SUMIF('LIRA TRISTAN JOSE ANGEL'!P$36:P$38,'KM POR UNIDAD'!A50,'LIRA TRISTAN JOSE ANGEL'!V$36:V$38)+SUMIF('TORRES GARAY LUIS HUMBERTO'!P$38:P$40,'KM POR UNIDAD'!A50,'TORRES GARAY LUIS HUMBERTO'!V$38:V$40)+SUMIF('CERDA HERNANDEZ JOSE LUIS'!P$35:P$37,'KM POR UNIDAD'!A50,'CERDA HERNANDEZ JOSE LUIS'!V$35:V$37)+SUMIF('RUIZ ALVARADO PEDRO'!P$32:P$34,'KM POR UNIDAD'!A50,'RUIZ ALVARADO PEDRO'!V$32:V$34)+SUMIF('NEVAREZ JUAN MANUEL'!P$37:P$39,'KM POR UNIDAD'!A50,'NEVAREZ JUAN MANUEL'!V$37:V$39)+SUMIF('CHAVEZ VARELA NESTOR ADRIAN'!P$35:P$37,'KM POR UNIDAD'!A50,'CHAVEZ VARELA NESTOR ADRIAN'!V$35:V$37)+SUMIF('PAYAN ESTRADA JOSE ANGEL'!P$37:P$39,'KM POR UNIDAD'!A50,'PAYAN ESTRADA JOSE ANGEL'!V$37:V$39)+SUMIF('RUIZ HERRERA ERICK '!P$33:P$35,'KM POR UNIDAD'!A50,'RUIZ HERRERA ERICK '!V$33:V$35)+SUMIF('GONZALEZ LOZANO ENRIQUE '!P$38:P$40,'KM POR UNIDAD'!A50,'GONZALEZ LOZANO ENRIQUE '!V$38:V$40)+SUMIF('GONZALEZ MARTINEZ MAURICIO'!P$38:P$40,'KM POR UNIDAD'!A50,'GONZALEZ MARTINEZ MAURICIO'!V$38:V$40)+SUMIF('GONZALEZ SOTO JOEL'!P$39:P$41,'KM POR UNIDAD'!A50,'GONZALEZ SOTO JOEL'!V$39:V$41)+SUMIF('MARTA RUBIO MARTIN'!P$39:P$41,'KM POR UNIDAD'!A50,'MARTA RUBIO MARTIN'!V$39:V$41)+SUMIF('GRIJALVA VALDEZ CESAR EUSEBIO'!P$35:P$37,'KM POR UNIDAD'!A50,'GRIJALVA VALDEZ CESAR EUSEBIO'!V$35:V$37)+SUMIF('PACHECO BAÑUELOS ALFONSO'!P$39:P$41,'KM POR UNIDAD'!A50,'PACHECO BAÑUELOS ALFONSO'!V$39:V$41)+SUMIF('RODRIGUEZ VALLES JOSE FRANCISCO'!P$40:P$42,'KM POR UNIDAD'!A50,'RODRIGUEZ VALLES JOSE FRANCISCO'!V$40:V$42)+SUMIF('SANCHEZ GUERRERO JOSE LUIS'!P$40:P$42,A50,'SANCHEZ GUERRERO JOSE LUIS'!V$40:V$42)+SUMIF('RUEDA SALAZAR ISMAEL'!P$35:P$37,'KM POR UNIDAD'!A50,'RUEDA SALAZAR ISMAEL'!V$35:V$37)+SUMIF('GUZMAN MORALES'!P$40:P$42,'KM POR UNIDAD'!A50,'GUZMAN MORALES'!V$40:V$42)+SUMIF('RODRIGUEZ RAMIREZ FERNANDO'!P$35:P$37,'KM POR UNIDAD'!A50,'RODRIGUEZ RAMIREZ FERNANDO'!V$35:V$37)+SUMIF('ESTRADA ARELLANO ARTURO'!P$40:P$42,'KM POR UNIDAD'!A50,'ESTRADA ARELLANO ARTURO'!V$40:V$42)+SUMIF('HERNANDEZ CONTRERAS JOSE FERNAN'!P$37:P$39,'KM POR UNIDAD'!A50,'HERNANDEZ CONTRERAS JOSE FERNAN'!V$38:V$40)+SUMIF('SALAZAR PEREZ JUAN CARLOS'!P$38:P$40,'KM POR UNIDAD'!A50,'SALAZAR PEREZ JUAN CARLOS'!V$38:V$40)+SUMIF('HARO IMPERIAL JOSÉ ANTONIO'!P$41:P$43,'KM POR UNIDAD'!A50,'HARO IMPERIAL JOSÉ ANTONIO'!V$41:V$43)+SUMIF('ESCARCEGA GALDEAN JESUS OMAR'!P$38:P$40,'KM POR UNIDAD'!A50,'ESCARCEGA GALDEAN JESUS OMAR'!V$38:V$40)</f>
        <v>0</v>
      </c>
      <c r="E50" s="167">
        <f t="shared" si="1"/>
        <v>0</v>
      </c>
      <c r="F50" s="168">
        <v>0</v>
      </c>
      <c r="G50" s="168">
        <v>0</v>
      </c>
      <c r="H50" s="168">
        <v>0</v>
      </c>
      <c r="I50" s="169">
        <f t="shared" si="0"/>
        <v>0</v>
      </c>
      <c r="J50" s="170"/>
      <c r="K50" s="171"/>
    </row>
    <row r="51" spans="1:11" x14ac:dyDescent="0.25">
      <c r="A51" s="165" t="s">
        <v>112</v>
      </c>
      <c r="B51" s="166">
        <f>SUMIF('LIRA TRISTAN JOSE ANGEL'!P$36:P$38,'KM POR UNIDAD'!A51,'LIRA TRISTAN JOSE ANGEL'!U$36:U$38)+SUMIF('TORRES GARAY LUIS HUMBERTO'!P$38:P$40,'KM POR UNIDAD'!A51,'TORRES GARAY LUIS HUMBERTO'!U$38:U$40)+SUMIF('CERDA HERNANDEZ JOSE LUIS'!P$35:P$37,'KM POR UNIDAD'!A51,'CERDA HERNANDEZ JOSE LUIS'!U$35:U$37)+SUMIF('RUIZ ALVARADO PEDRO'!P$32:P$34,'KM POR UNIDAD'!A51,'RUIZ ALVARADO PEDRO'!U$32:U$34)+SUMIF('NEVAREZ JUAN MANUEL'!P$37:P$39,'KM POR UNIDAD'!A51,'NEVAREZ JUAN MANUEL'!U$37:U$39)+SUMIF('CHAVEZ VARELA NESTOR ADRIAN'!P$35:P$37,'KM POR UNIDAD'!A51,'CHAVEZ VARELA NESTOR ADRIAN'!U$35:U$37)+SUMIF('PAYAN ESTRADA JOSE ANGEL'!P$37:P$39,'KM POR UNIDAD'!A51,'PAYAN ESTRADA JOSE ANGEL'!U$37:U$39)+SUMIF('RUIZ HERRERA ERICK '!P$33:P$35,'KM POR UNIDAD'!A51,'RUIZ HERRERA ERICK '!U$33:U$35)+SUMIF('GONZALEZ LOZANO ENRIQUE '!P$38:P$40,'KM POR UNIDAD'!A51,'GONZALEZ LOZANO ENRIQUE '!U$38:U$40)+SUMIF('GONZALEZ MARTINEZ MAURICIO'!P$38:P$40,'KM POR UNIDAD'!A51,'GONZALEZ MARTINEZ MAURICIO'!U$38:U$40)+SUMIF('GONZALEZ SOTO JOEL'!P$39:P$41,'KM POR UNIDAD'!A51,'GONZALEZ SOTO JOEL'!U$39:U$41)+SUMIF('MARTA RUBIO MARTIN'!P$39:P$41,'KM POR UNIDAD'!A51,'MARTA RUBIO MARTIN'!U$39:U$41)+SUMIF('GRIJALVA VALDEZ CESAR EUSEBIO'!P$35:P$37,'KM POR UNIDAD'!A51,'GRIJALVA VALDEZ CESAR EUSEBIO'!U$35:U$37)+SUMIF('PACHECO BAÑUELOS ALFONSO'!P$39:P$41,'KM POR UNIDAD'!A51,'PACHECO BAÑUELOS ALFONSO'!U$39:U$41)+SUMIF('RODRIGUEZ VALLES JOSE FRANCISCO'!P$40:P$42,'KM POR UNIDAD'!A51,'RODRIGUEZ VALLES JOSE FRANCISCO'!U$40:U$42)+SUMIF('SANCHEZ GUERRERO JOSE LUIS'!P$40:P$42,A51,'SANCHEZ GUERRERO JOSE LUIS'!U$40:U$42)+SUMIF('RUEDA SALAZAR ISMAEL'!P$35:P$37,'KM POR UNIDAD'!A51,'RUEDA SALAZAR ISMAEL'!U$35:U$37)+SUMIF('GUZMAN MORALES'!P$40:P$42,'KM POR UNIDAD'!A51,'GUZMAN MORALES'!U$40:U$42)+SUMIF('RODRIGUEZ RAMIREZ FERNANDO'!P$35:P$37,'KM POR UNIDAD'!A51,'RODRIGUEZ RAMIREZ FERNANDO'!U$35:U$37)+SUMIF('ESTRADA ARELLANO ARTURO'!P$40:P$42,'KM POR UNIDAD'!A51,'ESTRADA ARELLANO ARTURO'!U$40:U$42)+SUMIF('HERNANDEZ CONTRERAS JOSE FERNAN'!P$37:P$39,'KM POR UNIDAD'!A51,'HERNANDEZ CONTRERAS JOSE FERNAN'!U$37:U$39)+SUMIF('SALAZAR PEREZ JUAN CARLOS'!P$38:P$40,'KM POR UNIDAD'!A51,'SALAZAR PEREZ JUAN CARLOS'!U$38:U$40)+SUMIF('HARO IMPERIAL JOSÉ ANTONIO'!P$41:P$43,'KM POR UNIDAD'!A51,'HARO IMPERIAL JOSÉ ANTONIO'!U$41:$U93)+SUMIF('ESCARCEGA GALDEAN JESUS OMAR'!P$38:P$40,'KM POR UNIDAD'!A51,'ESCARCEGA GALDEAN JESUS OMAR'!U$38:U$40)</f>
        <v>0</v>
      </c>
      <c r="C51" s="166">
        <f>+SUMIF('LIRA TRISTAN JOSE ANGEL'!P$36:P$38,'KM POR UNIDAD'!A51,'LIRA TRISTAN JOSE ANGEL'!T$36:T$38)+SUMIF('TORRES GARAY LUIS HUMBERTO'!P$38:P$40,'KM POR UNIDAD'!A51,'TORRES GARAY LUIS HUMBERTO'!T$38:T$40)+SUMIF('CERDA HERNANDEZ JOSE LUIS'!P$35:P$37,'KM POR UNIDAD'!A51,'CERDA HERNANDEZ JOSE LUIS'!T$35:T$37)+SUMIF('RUIZ ALVARADO PEDRO'!P$32:P$34,'KM POR UNIDAD'!A51,'RUIZ ALVARADO PEDRO'!T$32:T$34)+SUMIF('NEVAREZ JUAN MANUEL'!P$37:P$39,'KM POR UNIDAD'!A51,'NEVAREZ JUAN MANUEL'!T$37:T$39)+SUMIF('CHAVEZ VARELA NESTOR ADRIAN'!P$35:P$37,'KM POR UNIDAD'!A51,'CHAVEZ VARELA NESTOR ADRIAN'!T$35:T$37)+SUMIF('PAYAN ESTRADA JOSE ANGEL'!P$37:P$39,'KM POR UNIDAD'!A51,'PAYAN ESTRADA JOSE ANGEL'!T$37:T$39)+SUMIF('RUIZ HERRERA ERICK '!P$33:P$35,'KM POR UNIDAD'!A51,'RUIZ HERRERA ERICK '!T$33:T$35)+SUMIF('GONZALEZ LOZANO ENRIQUE '!P$38:P$40,'KM POR UNIDAD'!A51,'GONZALEZ LOZANO ENRIQUE '!T$38:T$40)+SUMIF('GONZALEZ MARTINEZ MAURICIO'!P$38:P$40,'KM POR UNIDAD'!A51,'GONZALEZ MARTINEZ MAURICIO'!T$38:T$40)+SUMIF('GONZALEZ SOTO JOEL'!P$39:P$41,'KM POR UNIDAD'!A51,'GONZALEZ SOTO JOEL'!T$39:T$41)+SUMIF('MARTA RUBIO MARTIN'!P$39:P$41,'KM POR UNIDAD'!A51,'MARTA RUBIO MARTIN'!T$39:T$41)+SUMIF('GRIJALVA VALDEZ CESAR EUSEBIO'!P$35:P$37,'KM POR UNIDAD'!A51,'GRIJALVA VALDEZ CESAR EUSEBIO'!T$35:T$37)+SUMIF('PACHECO BAÑUELOS ALFONSO'!P$39:P$41,'KM POR UNIDAD'!A51,'PACHECO BAÑUELOS ALFONSO'!T$39:T$41)+SUMIF('RODRIGUEZ VALLES JOSE FRANCISCO'!P$40:P$42,'KM POR UNIDAD'!A51,'RODRIGUEZ VALLES JOSE FRANCISCO'!T$40:T$42)+SUMIF('SANCHEZ GUERRERO JOSE LUIS'!P$40:P$42,A51,'SANCHEZ GUERRERO JOSE LUIS'!T$40:T$42)+SUMIF('RUEDA SALAZAR ISMAEL'!P$35:P$37,'KM POR UNIDAD'!A51,'RUEDA SALAZAR ISMAEL'!T$35:T$37)+SUMIF('GUZMAN MORALES'!P$40:P$42,'KM POR UNIDAD'!A51,'GUZMAN MORALES'!T$40:T$42)+SUMIF('RODRIGUEZ RAMIREZ FERNANDO'!P$35:P$37,'KM POR UNIDAD'!A51,'RODRIGUEZ RAMIREZ FERNANDO'!T$35:T$37)+SUMIF('ESTRADA ARELLANO ARTURO'!P$40:P$42,'KM POR UNIDAD'!A51,'ESTRADA ARELLANO ARTURO'!T$40:T$42)+SUMIF('HERNANDEZ CONTRERAS JOSE FERNAN'!P$37:P$39,'KM POR UNIDAD'!A51,'HERNANDEZ CONTRERAS JOSE FERNAN'!T$37:T$39)+SUMIF('SALAZAR PEREZ JUAN CARLOS'!P$38:P$40,'KM POR UNIDAD'!A51,'SALAZAR PEREZ JUAN CARLOS'!T$38:T$40)+SUMIF('HARO IMPERIAL JOSÉ ANTONIO'!P$41:P$43,'KM POR UNIDAD'!A51,'HARO IMPERIAL JOSÉ ANTONIO'!T$41:T$43)+SUMIF('ESCARCEGA GALDEAN JESUS OMAR'!P$38:P$40,'KM POR UNIDAD'!A51,'ESCARCEGA GALDEAN JESUS OMAR'!T$38:T$40)</f>
        <v>0</v>
      </c>
      <c r="D51" s="189">
        <f>+SUMIF('LIRA TRISTAN JOSE ANGEL'!P$36:P$38,'KM POR UNIDAD'!A51,'LIRA TRISTAN JOSE ANGEL'!V$36:V$38)+SUMIF('TORRES GARAY LUIS HUMBERTO'!P$38:P$40,'KM POR UNIDAD'!A51,'TORRES GARAY LUIS HUMBERTO'!V$38:V$40)+SUMIF('CERDA HERNANDEZ JOSE LUIS'!P$35:P$37,'KM POR UNIDAD'!A51,'CERDA HERNANDEZ JOSE LUIS'!V$35:V$37)+SUMIF('RUIZ ALVARADO PEDRO'!P$32:P$34,'KM POR UNIDAD'!A51,'RUIZ ALVARADO PEDRO'!V$32:V$34)+SUMIF('NEVAREZ JUAN MANUEL'!P$37:P$39,'KM POR UNIDAD'!A51,'NEVAREZ JUAN MANUEL'!V$37:V$39)+SUMIF('CHAVEZ VARELA NESTOR ADRIAN'!P$35:P$37,'KM POR UNIDAD'!A51,'CHAVEZ VARELA NESTOR ADRIAN'!V$35:V$37)+SUMIF('PAYAN ESTRADA JOSE ANGEL'!P$37:P$39,'KM POR UNIDAD'!A51,'PAYAN ESTRADA JOSE ANGEL'!V$37:V$39)+SUMIF('RUIZ HERRERA ERICK '!P$33:P$35,'KM POR UNIDAD'!A51,'RUIZ HERRERA ERICK '!V$33:V$35)+SUMIF('GONZALEZ LOZANO ENRIQUE '!P$38:P$40,'KM POR UNIDAD'!A51,'GONZALEZ LOZANO ENRIQUE '!V$38:V$40)+SUMIF('GONZALEZ MARTINEZ MAURICIO'!P$38:P$40,'KM POR UNIDAD'!A51,'GONZALEZ MARTINEZ MAURICIO'!V$38:V$40)+SUMIF('GONZALEZ SOTO JOEL'!P$39:P$41,'KM POR UNIDAD'!A51,'GONZALEZ SOTO JOEL'!V$39:V$41)+SUMIF('MARTA RUBIO MARTIN'!P$39:P$41,'KM POR UNIDAD'!A51,'MARTA RUBIO MARTIN'!V$39:V$41)+SUMIF('GRIJALVA VALDEZ CESAR EUSEBIO'!P$35:P$37,'KM POR UNIDAD'!A51,'GRIJALVA VALDEZ CESAR EUSEBIO'!V$35:V$37)+SUMIF('PACHECO BAÑUELOS ALFONSO'!P$39:P$41,'KM POR UNIDAD'!A51,'PACHECO BAÑUELOS ALFONSO'!V$39:V$41)+SUMIF('RODRIGUEZ VALLES JOSE FRANCISCO'!P$40:P$42,'KM POR UNIDAD'!A51,'RODRIGUEZ VALLES JOSE FRANCISCO'!V$40:V$42)+SUMIF('SANCHEZ GUERRERO JOSE LUIS'!P$40:P$42,A51,'SANCHEZ GUERRERO JOSE LUIS'!V$40:V$42)+SUMIF('RUEDA SALAZAR ISMAEL'!P$35:P$37,'KM POR UNIDAD'!A51,'RUEDA SALAZAR ISMAEL'!V$35:V$37)+SUMIF('GUZMAN MORALES'!P$40:P$42,'KM POR UNIDAD'!A51,'GUZMAN MORALES'!V$40:V$42)+SUMIF('RODRIGUEZ RAMIREZ FERNANDO'!P$35:P$37,'KM POR UNIDAD'!A51,'RODRIGUEZ RAMIREZ FERNANDO'!V$35:V$37)+SUMIF('ESTRADA ARELLANO ARTURO'!P$40:P$42,'KM POR UNIDAD'!A51,'ESTRADA ARELLANO ARTURO'!V$40:V$42)+SUMIF('HERNANDEZ CONTRERAS JOSE FERNAN'!P$37:P$39,'KM POR UNIDAD'!A51,'HERNANDEZ CONTRERAS JOSE FERNAN'!V$38:V$40)+SUMIF('SALAZAR PEREZ JUAN CARLOS'!P$38:P$40,'KM POR UNIDAD'!A51,'SALAZAR PEREZ JUAN CARLOS'!V$38:V$40)+SUMIF('HARO IMPERIAL JOSÉ ANTONIO'!P$41:P$43,'KM POR UNIDAD'!A51,'HARO IMPERIAL JOSÉ ANTONIO'!V$41:V$43)+SUMIF('ESCARCEGA GALDEAN JESUS OMAR'!P$38:P$40,'KM POR UNIDAD'!A51,'ESCARCEGA GALDEAN JESUS OMAR'!V$38:V$40)</f>
        <v>0</v>
      </c>
      <c r="E51" s="167">
        <f>IFERROR(B51/D51,0)</f>
        <v>0</v>
      </c>
      <c r="F51" s="168">
        <v>0</v>
      </c>
      <c r="G51" s="168">
        <v>0</v>
      </c>
      <c r="H51" s="168">
        <v>0</v>
      </c>
      <c r="I51" s="169">
        <f t="shared" si="0"/>
        <v>0</v>
      </c>
      <c r="J51" s="170"/>
      <c r="K51" s="171"/>
    </row>
    <row r="52" spans="1:11" x14ac:dyDescent="0.25">
      <c r="A52" s="165" t="s">
        <v>88</v>
      </c>
      <c r="B52" s="166">
        <f>SUMIF('LIRA TRISTAN JOSE ANGEL'!P$36:P$38,'KM POR UNIDAD'!A52,'LIRA TRISTAN JOSE ANGEL'!U$36:U$38)+SUMIF('TORRES GARAY LUIS HUMBERTO'!P$38:P$40,'KM POR UNIDAD'!A52,'TORRES GARAY LUIS HUMBERTO'!U$38:U$40)+SUMIF('CERDA HERNANDEZ JOSE LUIS'!P$35:P$37,'KM POR UNIDAD'!A52,'CERDA HERNANDEZ JOSE LUIS'!U$35:U$37)+SUMIF('RUIZ ALVARADO PEDRO'!P$32:P$34,'KM POR UNIDAD'!A52,'RUIZ ALVARADO PEDRO'!U$32:U$34)+SUMIF('NEVAREZ JUAN MANUEL'!P$37:P$39,'KM POR UNIDAD'!A52,'NEVAREZ JUAN MANUEL'!U$37:U$39)+SUMIF('CHAVEZ VARELA NESTOR ADRIAN'!P$35:P$37,'KM POR UNIDAD'!A52,'CHAVEZ VARELA NESTOR ADRIAN'!U$35:U$37)+SUMIF('PAYAN ESTRADA JOSE ANGEL'!P$37:P$39,'KM POR UNIDAD'!A52,'PAYAN ESTRADA JOSE ANGEL'!U$37:U$39)+SUMIF('RUIZ HERRERA ERICK '!P$33:P$35,'KM POR UNIDAD'!A52,'RUIZ HERRERA ERICK '!U$33:U$35)+SUMIF('GONZALEZ LOZANO ENRIQUE '!P$38:P$40,'KM POR UNIDAD'!A52,'GONZALEZ LOZANO ENRIQUE '!U$38:U$40)+SUMIF('GONZALEZ MARTINEZ MAURICIO'!P$38:P$40,'KM POR UNIDAD'!A52,'GONZALEZ MARTINEZ MAURICIO'!U$38:U$40)+SUMIF('GONZALEZ SOTO JOEL'!P$39:P$41,'KM POR UNIDAD'!A52,'GONZALEZ SOTO JOEL'!U$39:U$41)+SUMIF('MARTA RUBIO MARTIN'!P$39:P$41,'KM POR UNIDAD'!A52,'MARTA RUBIO MARTIN'!U$39:U$41)+SUMIF('GRIJALVA VALDEZ CESAR EUSEBIO'!P$35:P$37,'KM POR UNIDAD'!A52,'GRIJALVA VALDEZ CESAR EUSEBIO'!U$35:U$37)+SUMIF('PACHECO BAÑUELOS ALFONSO'!P$39:P$41,'KM POR UNIDAD'!A52,'PACHECO BAÑUELOS ALFONSO'!U$39:U$41)+SUMIF('RODRIGUEZ VALLES JOSE FRANCISCO'!P$40:P$42,'KM POR UNIDAD'!A52,'RODRIGUEZ VALLES JOSE FRANCISCO'!U$40:U$42)+SUMIF('SANCHEZ GUERRERO JOSE LUIS'!P$40:P$42,A52,'SANCHEZ GUERRERO JOSE LUIS'!U$40:U$42)+SUMIF('RUEDA SALAZAR ISMAEL'!P$35:P$37,'KM POR UNIDAD'!A52,'RUEDA SALAZAR ISMAEL'!U$35:U$37)+SUMIF('GUZMAN MORALES'!P$40:P$42,'KM POR UNIDAD'!A52,'GUZMAN MORALES'!U$40:U$42)+SUMIF('RODRIGUEZ RAMIREZ FERNANDO'!P$35:P$37,'KM POR UNIDAD'!A52,'RODRIGUEZ RAMIREZ FERNANDO'!U$35:U$37)+SUMIF('ESTRADA ARELLANO ARTURO'!P$40:P$42,'KM POR UNIDAD'!A52,'ESTRADA ARELLANO ARTURO'!U$40:U$42)+SUMIF('HERNANDEZ CONTRERAS JOSE FERNAN'!P$37:P$39,'KM POR UNIDAD'!A52,'HERNANDEZ CONTRERAS JOSE FERNAN'!U$37:U$39)+SUMIF('SALAZAR PEREZ JUAN CARLOS'!P$38:P$40,'KM POR UNIDAD'!A52,'SALAZAR PEREZ JUAN CARLOS'!U$38:U$40)+SUMIF('HARO IMPERIAL JOSÉ ANTONIO'!P$41:P$43,'KM POR UNIDAD'!A52,'HARO IMPERIAL JOSÉ ANTONIO'!U$41:$U94)+SUMIF('ESCARCEGA GALDEAN JESUS OMAR'!P$38:P$40,'KM POR UNIDAD'!A52,'ESCARCEGA GALDEAN JESUS OMAR'!U$38:U$40)</f>
        <v>0</v>
      </c>
      <c r="C52" s="166">
        <f>+SUMIF('LIRA TRISTAN JOSE ANGEL'!P$36:P$38,'KM POR UNIDAD'!A52,'LIRA TRISTAN JOSE ANGEL'!T$36:T$38)+SUMIF('TORRES GARAY LUIS HUMBERTO'!P$38:P$40,'KM POR UNIDAD'!A52,'TORRES GARAY LUIS HUMBERTO'!T$38:T$40)+SUMIF('CERDA HERNANDEZ JOSE LUIS'!P$35:P$37,'KM POR UNIDAD'!A52,'CERDA HERNANDEZ JOSE LUIS'!T$35:T$37)+SUMIF('RUIZ ALVARADO PEDRO'!P$32:P$34,'KM POR UNIDAD'!A52,'RUIZ ALVARADO PEDRO'!T$32:T$34)+SUMIF('NEVAREZ JUAN MANUEL'!P$37:P$39,'KM POR UNIDAD'!A52,'NEVAREZ JUAN MANUEL'!T$37:T$39)+SUMIF('CHAVEZ VARELA NESTOR ADRIAN'!P$35:P$37,'KM POR UNIDAD'!A52,'CHAVEZ VARELA NESTOR ADRIAN'!T$35:T$37)+SUMIF('PAYAN ESTRADA JOSE ANGEL'!P$37:P$39,'KM POR UNIDAD'!A52,'PAYAN ESTRADA JOSE ANGEL'!T$37:T$39)+SUMIF('RUIZ HERRERA ERICK '!P$33:P$35,'KM POR UNIDAD'!A52,'RUIZ HERRERA ERICK '!T$33:T$35)+SUMIF('GONZALEZ LOZANO ENRIQUE '!P$38:P$40,'KM POR UNIDAD'!A52,'GONZALEZ LOZANO ENRIQUE '!T$38:T$40)+SUMIF('GONZALEZ MARTINEZ MAURICIO'!P$38:P$40,'KM POR UNIDAD'!A52,'GONZALEZ MARTINEZ MAURICIO'!T$38:T$40)+SUMIF('GONZALEZ SOTO JOEL'!P$39:P$41,'KM POR UNIDAD'!A52,'GONZALEZ SOTO JOEL'!T$39:T$41)+SUMIF('MARTA RUBIO MARTIN'!P$39:P$41,'KM POR UNIDAD'!A52,'MARTA RUBIO MARTIN'!T$39:T$41)+SUMIF('GRIJALVA VALDEZ CESAR EUSEBIO'!P$35:P$37,'KM POR UNIDAD'!A52,'GRIJALVA VALDEZ CESAR EUSEBIO'!T$35:T$37)+SUMIF('PACHECO BAÑUELOS ALFONSO'!P$39:P$41,'KM POR UNIDAD'!A52,'PACHECO BAÑUELOS ALFONSO'!T$39:T$41)+SUMIF('RODRIGUEZ VALLES JOSE FRANCISCO'!P$40:P$42,'KM POR UNIDAD'!A52,'RODRIGUEZ VALLES JOSE FRANCISCO'!T$40:T$42)+SUMIF('SANCHEZ GUERRERO JOSE LUIS'!P$40:P$42,A52,'SANCHEZ GUERRERO JOSE LUIS'!T$40:T$42)+SUMIF('RUEDA SALAZAR ISMAEL'!P$35:P$37,'KM POR UNIDAD'!A52,'RUEDA SALAZAR ISMAEL'!T$35:T$37)+SUMIF('GUZMAN MORALES'!P$40:P$42,'KM POR UNIDAD'!A52,'GUZMAN MORALES'!T$40:T$42)+SUMIF('RODRIGUEZ RAMIREZ FERNANDO'!P$35:P$37,'KM POR UNIDAD'!A52,'RODRIGUEZ RAMIREZ FERNANDO'!T$35:T$37)+SUMIF('ESTRADA ARELLANO ARTURO'!P$40:P$42,'KM POR UNIDAD'!A52,'ESTRADA ARELLANO ARTURO'!T$40:T$42)+SUMIF('HERNANDEZ CONTRERAS JOSE FERNAN'!P$37:P$39,'KM POR UNIDAD'!A52,'HERNANDEZ CONTRERAS JOSE FERNAN'!T$37:T$39)+SUMIF('SALAZAR PEREZ JUAN CARLOS'!P$38:P$40,'KM POR UNIDAD'!A52,'SALAZAR PEREZ JUAN CARLOS'!T$38:T$40)+SUMIF('HARO IMPERIAL JOSÉ ANTONIO'!P$41:P$43,'KM POR UNIDAD'!A52,'HARO IMPERIAL JOSÉ ANTONIO'!T$41:T$43)+SUMIF('ESCARCEGA GALDEAN JESUS OMAR'!P$38:P$40,'KM POR UNIDAD'!A52,'ESCARCEGA GALDEAN JESUS OMAR'!T$38:T$40)</f>
        <v>0</v>
      </c>
      <c r="D52" s="189">
        <f>+SUMIF('LIRA TRISTAN JOSE ANGEL'!P$36:P$38,'KM POR UNIDAD'!A52,'LIRA TRISTAN JOSE ANGEL'!V$36:V$38)+SUMIF('TORRES GARAY LUIS HUMBERTO'!P$38:P$40,'KM POR UNIDAD'!A52,'TORRES GARAY LUIS HUMBERTO'!V$38:V$40)+SUMIF('CERDA HERNANDEZ JOSE LUIS'!P$35:P$37,'KM POR UNIDAD'!A52,'CERDA HERNANDEZ JOSE LUIS'!V$35:V$37)+SUMIF('RUIZ ALVARADO PEDRO'!P$32:P$34,'KM POR UNIDAD'!A52,'RUIZ ALVARADO PEDRO'!V$32:V$34)+SUMIF('NEVAREZ JUAN MANUEL'!P$37:P$39,'KM POR UNIDAD'!A52,'NEVAREZ JUAN MANUEL'!V$37:V$39)+SUMIF('CHAVEZ VARELA NESTOR ADRIAN'!P$35:P$37,'KM POR UNIDAD'!A52,'CHAVEZ VARELA NESTOR ADRIAN'!V$35:V$37)+SUMIF('PAYAN ESTRADA JOSE ANGEL'!P$37:P$39,'KM POR UNIDAD'!A52,'PAYAN ESTRADA JOSE ANGEL'!V$37:V$39)+SUMIF('RUIZ HERRERA ERICK '!P$33:P$35,'KM POR UNIDAD'!A52,'RUIZ HERRERA ERICK '!V$33:V$35)+SUMIF('GONZALEZ LOZANO ENRIQUE '!P$38:P$40,'KM POR UNIDAD'!A52,'GONZALEZ LOZANO ENRIQUE '!V$38:V$40)+SUMIF('GONZALEZ MARTINEZ MAURICIO'!P$38:P$40,'KM POR UNIDAD'!A52,'GONZALEZ MARTINEZ MAURICIO'!V$38:V$40)+SUMIF('GONZALEZ SOTO JOEL'!P$39:P$41,'KM POR UNIDAD'!A52,'GONZALEZ SOTO JOEL'!V$39:V$41)+SUMIF('MARTA RUBIO MARTIN'!P$39:P$41,'KM POR UNIDAD'!A52,'MARTA RUBIO MARTIN'!V$39:V$41)+SUMIF('GRIJALVA VALDEZ CESAR EUSEBIO'!P$35:P$37,'KM POR UNIDAD'!A52,'GRIJALVA VALDEZ CESAR EUSEBIO'!V$35:V$37)+SUMIF('PACHECO BAÑUELOS ALFONSO'!P$39:P$41,'KM POR UNIDAD'!A52,'PACHECO BAÑUELOS ALFONSO'!V$39:V$41)+SUMIF('RODRIGUEZ VALLES JOSE FRANCISCO'!P$40:P$42,'KM POR UNIDAD'!A52,'RODRIGUEZ VALLES JOSE FRANCISCO'!V$40:V$42)+SUMIF('SANCHEZ GUERRERO JOSE LUIS'!P$40:P$42,A52,'SANCHEZ GUERRERO JOSE LUIS'!V$40:V$42)+SUMIF('RUEDA SALAZAR ISMAEL'!P$35:P$37,'KM POR UNIDAD'!A52,'RUEDA SALAZAR ISMAEL'!V$35:V$37)+SUMIF('GUZMAN MORALES'!P$40:P$42,'KM POR UNIDAD'!A52,'GUZMAN MORALES'!V$40:V$42)+SUMIF('RODRIGUEZ RAMIREZ FERNANDO'!P$35:P$37,'KM POR UNIDAD'!A52,'RODRIGUEZ RAMIREZ FERNANDO'!V$35:V$37)+SUMIF('ESTRADA ARELLANO ARTURO'!P$40:P$42,'KM POR UNIDAD'!A52,'ESTRADA ARELLANO ARTURO'!V$40:V$42)+SUMIF('HERNANDEZ CONTRERAS JOSE FERNAN'!P$37:P$39,'KM POR UNIDAD'!A52,'HERNANDEZ CONTRERAS JOSE FERNAN'!V$38:V$40)+SUMIF('SALAZAR PEREZ JUAN CARLOS'!P$38:P$40,'KM POR UNIDAD'!A52,'SALAZAR PEREZ JUAN CARLOS'!V$38:V$40)+SUMIF('HARO IMPERIAL JOSÉ ANTONIO'!P$41:P$43,'KM POR UNIDAD'!A52,'HARO IMPERIAL JOSÉ ANTONIO'!V$41:V$43)+SUMIF('ESCARCEGA GALDEAN JESUS OMAR'!P$38:P$40,'KM POR UNIDAD'!A52,'ESCARCEGA GALDEAN JESUS OMAR'!V$38:V$40)</f>
        <v>0</v>
      </c>
      <c r="E52" s="167">
        <f t="shared" si="1"/>
        <v>0</v>
      </c>
      <c r="F52" s="168">
        <v>0</v>
      </c>
      <c r="G52" s="168">
        <v>0</v>
      </c>
      <c r="H52" s="168">
        <v>0</v>
      </c>
      <c r="I52" s="169">
        <f t="shared" si="0"/>
        <v>0</v>
      </c>
      <c r="J52" s="170"/>
      <c r="K52" s="171"/>
    </row>
    <row r="53" spans="1:11" x14ac:dyDescent="0.25">
      <c r="A53" s="165" t="s">
        <v>100</v>
      </c>
      <c r="B53" s="166">
        <f>SUMIF('LIRA TRISTAN JOSE ANGEL'!P$36:P$38,'KM POR UNIDAD'!A53,'LIRA TRISTAN JOSE ANGEL'!U$36:U$38)+SUMIF('TORRES GARAY LUIS HUMBERTO'!P$38:P$40,'KM POR UNIDAD'!A53,'TORRES GARAY LUIS HUMBERTO'!U$38:U$40)+SUMIF('CERDA HERNANDEZ JOSE LUIS'!P$35:P$37,'KM POR UNIDAD'!A53,'CERDA HERNANDEZ JOSE LUIS'!U$35:U$37)+SUMIF('RUIZ ALVARADO PEDRO'!P$32:P$34,'KM POR UNIDAD'!A53,'RUIZ ALVARADO PEDRO'!U$32:U$34)+SUMIF('NEVAREZ JUAN MANUEL'!P$37:P$39,'KM POR UNIDAD'!A53,'NEVAREZ JUAN MANUEL'!U$37:U$39)+SUMIF('CHAVEZ VARELA NESTOR ADRIAN'!P$35:P$37,'KM POR UNIDAD'!A53,'CHAVEZ VARELA NESTOR ADRIAN'!U$35:U$37)+SUMIF('PAYAN ESTRADA JOSE ANGEL'!P$37:P$39,'KM POR UNIDAD'!A53,'PAYAN ESTRADA JOSE ANGEL'!U$37:U$39)+SUMIF('RUIZ HERRERA ERICK '!P$33:P$35,'KM POR UNIDAD'!A53,'RUIZ HERRERA ERICK '!U$33:U$35)+SUMIF('GONZALEZ LOZANO ENRIQUE '!P$38:P$40,'KM POR UNIDAD'!A53,'GONZALEZ LOZANO ENRIQUE '!U$38:U$40)+SUMIF('GONZALEZ MARTINEZ MAURICIO'!P$38:P$40,'KM POR UNIDAD'!A53,'GONZALEZ MARTINEZ MAURICIO'!U$38:U$40)+SUMIF('GONZALEZ SOTO JOEL'!P$39:P$41,'KM POR UNIDAD'!A53,'GONZALEZ SOTO JOEL'!U$39:U$41)+SUMIF('MARTA RUBIO MARTIN'!P$39:P$41,'KM POR UNIDAD'!A53,'MARTA RUBIO MARTIN'!U$39:U$41)+SUMIF('GRIJALVA VALDEZ CESAR EUSEBIO'!P$35:P$37,'KM POR UNIDAD'!A53,'GRIJALVA VALDEZ CESAR EUSEBIO'!U$35:U$37)+SUMIF('PACHECO BAÑUELOS ALFONSO'!P$39:P$41,'KM POR UNIDAD'!A53,'PACHECO BAÑUELOS ALFONSO'!U$39:U$41)+SUMIF('RODRIGUEZ VALLES JOSE FRANCISCO'!P$40:P$42,'KM POR UNIDAD'!A53,'RODRIGUEZ VALLES JOSE FRANCISCO'!U$40:U$42)+SUMIF('SANCHEZ GUERRERO JOSE LUIS'!P$40:P$42,A53,'SANCHEZ GUERRERO JOSE LUIS'!U$40:U$42)+SUMIF('RUEDA SALAZAR ISMAEL'!P$35:P$37,'KM POR UNIDAD'!A53,'RUEDA SALAZAR ISMAEL'!U$35:U$37)+SUMIF('GUZMAN MORALES'!P$40:P$42,'KM POR UNIDAD'!A53,'GUZMAN MORALES'!U$40:U$42)+SUMIF('RODRIGUEZ RAMIREZ FERNANDO'!P$35:P$37,'KM POR UNIDAD'!A53,'RODRIGUEZ RAMIREZ FERNANDO'!U$35:U$37)+SUMIF('ESTRADA ARELLANO ARTURO'!P$40:P$42,'KM POR UNIDAD'!A53,'ESTRADA ARELLANO ARTURO'!U$40:U$42)+SUMIF('HERNANDEZ CONTRERAS JOSE FERNAN'!P$37:P$39,'KM POR UNIDAD'!A53,'HERNANDEZ CONTRERAS JOSE FERNAN'!U$37:U$39)+SUMIF('SALAZAR PEREZ JUAN CARLOS'!P$38:P$40,'KM POR UNIDAD'!A53,'SALAZAR PEREZ JUAN CARLOS'!U$38:U$40)+SUMIF('HARO IMPERIAL JOSÉ ANTONIO'!P$41:P$43,'KM POR UNIDAD'!A53,'HARO IMPERIAL JOSÉ ANTONIO'!U$41:$U95)+SUMIF('ESCARCEGA GALDEAN JESUS OMAR'!P$38:P$40,'KM POR UNIDAD'!A53,'ESCARCEGA GALDEAN JESUS OMAR'!U$38:U$40)</f>
        <v>0</v>
      </c>
      <c r="C53" s="166">
        <f>+SUMIF('LIRA TRISTAN JOSE ANGEL'!P$36:P$38,'KM POR UNIDAD'!A53,'LIRA TRISTAN JOSE ANGEL'!T$36:T$38)+SUMIF('TORRES GARAY LUIS HUMBERTO'!P$38:P$40,'KM POR UNIDAD'!A53,'TORRES GARAY LUIS HUMBERTO'!T$38:T$40)+SUMIF('CERDA HERNANDEZ JOSE LUIS'!P$35:P$37,'KM POR UNIDAD'!A53,'CERDA HERNANDEZ JOSE LUIS'!T$35:T$37)+SUMIF('RUIZ ALVARADO PEDRO'!P$32:P$34,'KM POR UNIDAD'!A53,'RUIZ ALVARADO PEDRO'!T$32:T$34)+SUMIF('NEVAREZ JUAN MANUEL'!P$37:P$39,'KM POR UNIDAD'!A53,'NEVAREZ JUAN MANUEL'!T$37:T$39)+SUMIF('CHAVEZ VARELA NESTOR ADRIAN'!P$35:P$37,'KM POR UNIDAD'!A53,'CHAVEZ VARELA NESTOR ADRIAN'!T$35:T$37)+SUMIF('PAYAN ESTRADA JOSE ANGEL'!P$37:P$39,'KM POR UNIDAD'!A53,'PAYAN ESTRADA JOSE ANGEL'!T$37:T$39)+SUMIF('RUIZ HERRERA ERICK '!P$33:P$35,'KM POR UNIDAD'!A53,'RUIZ HERRERA ERICK '!T$33:T$35)+SUMIF('GONZALEZ LOZANO ENRIQUE '!P$38:P$40,'KM POR UNIDAD'!A53,'GONZALEZ LOZANO ENRIQUE '!T$38:T$40)+SUMIF('GONZALEZ MARTINEZ MAURICIO'!P$38:P$40,'KM POR UNIDAD'!A53,'GONZALEZ MARTINEZ MAURICIO'!T$38:T$40)+SUMIF('GONZALEZ SOTO JOEL'!P$39:P$41,'KM POR UNIDAD'!A53,'GONZALEZ SOTO JOEL'!T$39:T$41)+SUMIF('MARTA RUBIO MARTIN'!P$39:P$41,'KM POR UNIDAD'!A53,'MARTA RUBIO MARTIN'!T$39:T$41)+SUMIF('GRIJALVA VALDEZ CESAR EUSEBIO'!P$35:P$37,'KM POR UNIDAD'!A53,'GRIJALVA VALDEZ CESAR EUSEBIO'!T$35:T$37)+SUMIF('PACHECO BAÑUELOS ALFONSO'!P$39:P$41,'KM POR UNIDAD'!A53,'PACHECO BAÑUELOS ALFONSO'!T$39:T$41)+SUMIF('RODRIGUEZ VALLES JOSE FRANCISCO'!P$40:P$42,'KM POR UNIDAD'!A53,'RODRIGUEZ VALLES JOSE FRANCISCO'!T$40:T$42)+SUMIF('SANCHEZ GUERRERO JOSE LUIS'!P$40:P$42,A53,'SANCHEZ GUERRERO JOSE LUIS'!T$40:T$42)+SUMIF('RUEDA SALAZAR ISMAEL'!P$35:P$37,'KM POR UNIDAD'!A53,'RUEDA SALAZAR ISMAEL'!T$35:T$37)+SUMIF('GUZMAN MORALES'!P$40:P$42,'KM POR UNIDAD'!A53,'GUZMAN MORALES'!T$40:T$42)+SUMIF('RODRIGUEZ RAMIREZ FERNANDO'!P$35:P$37,'KM POR UNIDAD'!A53,'RODRIGUEZ RAMIREZ FERNANDO'!T$35:T$37)+SUMIF('ESTRADA ARELLANO ARTURO'!P$40:P$42,'KM POR UNIDAD'!A53,'ESTRADA ARELLANO ARTURO'!T$40:T$42)+SUMIF('HERNANDEZ CONTRERAS JOSE FERNAN'!P$37:P$39,'KM POR UNIDAD'!A53,'HERNANDEZ CONTRERAS JOSE FERNAN'!T$37:T$39)+SUMIF('SALAZAR PEREZ JUAN CARLOS'!P$38:P$40,'KM POR UNIDAD'!A53,'SALAZAR PEREZ JUAN CARLOS'!T$38:T$40)+SUMIF('HARO IMPERIAL JOSÉ ANTONIO'!P$41:P$43,'KM POR UNIDAD'!A53,'HARO IMPERIAL JOSÉ ANTONIO'!T$41:T$43)+SUMIF('ESCARCEGA GALDEAN JESUS OMAR'!P$38:P$40,'KM POR UNIDAD'!A53,'ESCARCEGA GALDEAN JESUS OMAR'!T$38:T$40)</f>
        <v>0</v>
      </c>
      <c r="D53" s="189">
        <f>+SUMIF('LIRA TRISTAN JOSE ANGEL'!P$36:P$38,'KM POR UNIDAD'!A53,'LIRA TRISTAN JOSE ANGEL'!V$36:V$38)+SUMIF('TORRES GARAY LUIS HUMBERTO'!P$38:P$40,'KM POR UNIDAD'!A53,'TORRES GARAY LUIS HUMBERTO'!V$38:V$40)+SUMIF('CERDA HERNANDEZ JOSE LUIS'!P$35:P$37,'KM POR UNIDAD'!A53,'CERDA HERNANDEZ JOSE LUIS'!V$35:V$37)+SUMIF('RUIZ ALVARADO PEDRO'!P$32:P$34,'KM POR UNIDAD'!A53,'RUIZ ALVARADO PEDRO'!V$32:V$34)+SUMIF('NEVAREZ JUAN MANUEL'!P$37:P$39,'KM POR UNIDAD'!A53,'NEVAREZ JUAN MANUEL'!V$37:V$39)+SUMIF('CHAVEZ VARELA NESTOR ADRIAN'!P$35:P$37,'KM POR UNIDAD'!A53,'CHAVEZ VARELA NESTOR ADRIAN'!V$35:V$37)+SUMIF('PAYAN ESTRADA JOSE ANGEL'!P$37:P$39,'KM POR UNIDAD'!A53,'PAYAN ESTRADA JOSE ANGEL'!V$37:V$39)+SUMIF('RUIZ HERRERA ERICK '!P$33:P$35,'KM POR UNIDAD'!A53,'RUIZ HERRERA ERICK '!V$33:V$35)+SUMIF('GONZALEZ LOZANO ENRIQUE '!P$38:P$40,'KM POR UNIDAD'!A53,'GONZALEZ LOZANO ENRIQUE '!V$38:V$40)+SUMIF('GONZALEZ MARTINEZ MAURICIO'!P$38:P$40,'KM POR UNIDAD'!A53,'GONZALEZ MARTINEZ MAURICIO'!V$38:V$40)+SUMIF('GONZALEZ SOTO JOEL'!P$39:P$41,'KM POR UNIDAD'!A53,'GONZALEZ SOTO JOEL'!V$39:V$41)+SUMIF('MARTA RUBIO MARTIN'!P$39:P$41,'KM POR UNIDAD'!A53,'MARTA RUBIO MARTIN'!V$39:V$41)+SUMIF('GRIJALVA VALDEZ CESAR EUSEBIO'!P$35:P$37,'KM POR UNIDAD'!A53,'GRIJALVA VALDEZ CESAR EUSEBIO'!V$35:V$37)+SUMIF('PACHECO BAÑUELOS ALFONSO'!P$39:P$41,'KM POR UNIDAD'!A53,'PACHECO BAÑUELOS ALFONSO'!V$39:V$41)+SUMIF('RODRIGUEZ VALLES JOSE FRANCISCO'!P$40:P$42,'KM POR UNIDAD'!A53,'RODRIGUEZ VALLES JOSE FRANCISCO'!V$40:V$42)+SUMIF('SANCHEZ GUERRERO JOSE LUIS'!P$40:P$42,A53,'SANCHEZ GUERRERO JOSE LUIS'!V$40:V$42)+SUMIF('RUEDA SALAZAR ISMAEL'!P$35:P$37,'KM POR UNIDAD'!A53,'RUEDA SALAZAR ISMAEL'!V$35:V$37)+SUMIF('GUZMAN MORALES'!P$40:P$42,'KM POR UNIDAD'!A53,'GUZMAN MORALES'!V$40:V$42)+SUMIF('RODRIGUEZ RAMIREZ FERNANDO'!P$35:P$37,'KM POR UNIDAD'!A53,'RODRIGUEZ RAMIREZ FERNANDO'!V$35:V$37)+SUMIF('ESTRADA ARELLANO ARTURO'!P$40:P$42,'KM POR UNIDAD'!A53,'ESTRADA ARELLANO ARTURO'!V$40:V$42)+SUMIF('HERNANDEZ CONTRERAS JOSE FERNAN'!P$37:P$39,'KM POR UNIDAD'!A53,'HERNANDEZ CONTRERAS JOSE FERNAN'!V$38:V$40)+SUMIF('SALAZAR PEREZ JUAN CARLOS'!P$38:P$40,'KM POR UNIDAD'!A53,'SALAZAR PEREZ JUAN CARLOS'!V$38:V$40)+SUMIF('HARO IMPERIAL JOSÉ ANTONIO'!P$41:P$43,'KM POR UNIDAD'!A53,'HARO IMPERIAL JOSÉ ANTONIO'!V$41:V$43)+SUMIF('ESCARCEGA GALDEAN JESUS OMAR'!P$38:P$40,'KM POR UNIDAD'!A53,'ESCARCEGA GALDEAN JESUS OMAR'!V$38:V$40)</f>
        <v>0</v>
      </c>
      <c r="E53" s="167">
        <f t="shared" si="1"/>
        <v>0</v>
      </c>
      <c r="F53" s="168">
        <v>0</v>
      </c>
      <c r="G53" s="168">
        <v>0</v>
      </c>
      <c r="H53" s="168">
        <v>0</v>
      </c>
      <c r="I53" s="169">
        <f t="shared" si="0"/>
        <v>0</v>
      </c>
      <c r="J53" s="170"/>
      <c r="K53" s="171"/>
    </row>
    <row r="54" spans="1:11" x14ac:dyDescent="0.25">
      <c r="A54" s="165" t="s">
        <v>104</v>
      </c>
      <c r="B54" s="166">
        <f>SUMIF('LIRA TRISTAN JOSE ANGEL'!P$36:P$38,'KM POR UNIDAD'!A54,'LIRA TRISTAN JOSE ANGEL'!U$36:U$38)+SUMIF('TORRES GARAY LUIS HUMBERTO'!P$38:P$40,'KM POR UNIDAD'!A54,'TORRES GARAY LUIS HUMBERTO'!U$38:U$40)+SUMIF('CERDA HERNANDEZ JOSE LUIS'!P$35:P$37,'KM POR UNIDAD'!A54,'CERDA HERNANDEZ JOSE LUIS'!U$35:U$37)+SUMIF('RUIZ ALVARADO PEDRO'!P$32:P$34,'KM POR UNIDAD'!A54,'RUIZ ALVARADO PEDRO'!U$32:U$34)+SUMIF('NEVAREZ JUAN MANUEL'!P$37:P$39,'KM POR UNIDAD'!A54,'NEVAREZ JUAN MANUEL'!U$37:U$39)+SUMIF('CHAVEZ VARELA NESTOR ADRIAN'!P$35:P$37,'KM POR UNIDAD'!A54,'CHAVEZ VARELA NESTOR ADRIAN'!U$35:U$37)+SUMIF('PAYAN ESTRADA JOSE ANGEL'!P$37:P$39,'KM POR UNIDAD'!A54,'PAYAN ESTRADA JOSE ANGEL'!U$37:U$39)+SUMIF('RUIZ HERRERA ERICK '!P$33:P$35,'KM POR UNIDAD'!A54,'RUIZ HERRERA ERICK '!U$33:U$35)+SUMIF('GONZALEZ LOZANO ENRIQUE '!P$38:P$40,'KM POR UNIDAD'!A54,'GONZALEZ LOZANO ENRIQUE '!U$38:U$40)+SUMIF('GONZALEZ MARTINEZ MAURICIO'!P$38:P$40,'KM POR UNIDAD'!A54,'GONZALEZ MARTINEZ MAURICIO'!U$38:U$40)+SUMIF('GONZALEZ SOTO JOEL'!P$39:P$41,'KM POR UNIDAD'!A54,'GONZALEZ SOTO JOEL'!U$39:U$41)+SUMIF('MARTA RUBIO MARTIN'!P$39:P$41,'KM POR UNIDAD'!A54,'MARTA RUBIO MARTIN'!U$39:U$41)+SUMIF('GRIJALVA VALDEZ CESAR EUSEBIO'!P$35:P$37,'KM POR UNIDAD'!A54,'GRIJALVA VALDEZ CESAR EUSEBIO'!U$35:U$37)+SUMIF('PACHECO BAÑUELOS ALFONSO'!P$39:P$41,'KM POR UNIDAD'!A54,'PACHECO BAÑUELOS ALFONSO'!U$39:U$41)+SUMIF('RODRIGUEZ VALLES JOSE FRANCISCO'!P$40:P$42,'KM POR UNIDAD'!A54,'RODRIGUEZ VALLES JOSE FRANCISCO'!U$40:U$42)+SUMIF('SANCHEZ GUERRERO JOSE LUIS'!P$40:P$42,A54,'SANCHEZ GUERRERO JOSE LUIS'!U$40:U$42)+SUMIF('RUEDA SALAZAR ISMAEL'!P$35:P$37,'KM POR UNIDAD'!A54,'RUEDA SALAZAR ISMAEL'!U$35:U$37)+SUMIF('GUZMAN MORALES'!P$40:P$42,'KM POR UNIDAD'!A54,'GUZMAN MORALES'!U$40:U$42)+SUMIF('RODRIGUEZ RAMIREZ FERNANDO'!P$35:P$37,'KM POR UNIDAD'!A54,'RODRIGUEZ RAMIREZ FERNANDO'!U$35:U$37)+SUMIF('ESTRADA ARELLANO ARTURO'!P$40:P$42,'KM POR UNIDAD'!A54,'ESTRADA ARELLANO ARTURO'!U$40:U$42)+SUMIF('HERNANDEZ CONTRERAS JOSE FERNAN'!P$37:P$39,'KM POR UNIDAD'!A54,'HERNANDEZ CONTRERAS JOSE FERNAN'!U$37:U$39)+SUMIF('SALAZAR PEREZ JUAN CARLOS'!P$38:P$40,'KM POR UNIDAD'!A54,'SALAZAR PEREZ JUAN CARLOS'!U$38:U$40)+SUMIF('HARO IMPERIAL JOSÉ ANTONIO'!P$41:P$43,'KM POR UNIDAD'!A54,'HARO IMPERIAL JOSÉ ANTONIO'!U$41:$U97)+SUMIF('ESCARCEGA GALDEAN JESUS OMAR'!P$38:P$40,'KM POR UNIDAD'!A54,'ESCARCEGA GALDEAN JESUS OMAR'!U$38:U$40)</f>
        <v>0</v>
      </c>
      <c r="C54" s="166">
        <f>+SUMIF('LIRA TRISTAN JOSE ANGEL'!P$36:P$38,'KM POR UNIDAD'!A54,'LIRA TRISTAN JOSE ANGEL'!T$36:T$38)+SUMIF('TORRES GARAY LUIS HUMBERTO'!P$38:P$40,'KM POR UNIDAD'!A54,'TORRES GARAY LUIS HUMBERTO'!T$38:T$40)+SUMIF('CERDA HERNANDEZ JOSE LUIS'!P$35:P$37,'KM POR UNIDAD'!A54,'CERDA HERNANDEZ JOSE LUIS'!T$35:T$37)+SUMIF('RUIZ ALVARADO PEDRO'!P$32:P$34,'KM POR UNIDAD'!A54,'RUIZ ALVARADO PEDRO'!T$32:T$34)+SUMIF('NEVAREZ JUAN MANUEL'!P$37:P$39,'KM POR UNIDAD'!A54,'NEVAREZ JUAN MANUEL'!T$37:T$39)+SUMIF('CHAVEZ VARELA NESTOR ADRIAN'!P$35:P$37,'KM POR UNIDAD'!A54,'CHAVEZ VARELA NESTOR ADRIAN'!T$35:T$37)+SUMIF('PAYAN ESTRADA JOSE ANGEL'!P$37:P$39,'KM POR UNIDAD'!A54,'PAYAN ESTRADA JOSE ANGEL'!T$37:T$39)+SUMIF('RUIZ HERRERA ERICK '!P$33:P$35,'KM POR UNIDAD'!A54,'RUIZ HERRERA ERICK '!T$33:T$35)+SUMIF('GONZALEZ LOZANO ENRIQUE '!P$38:P$40,'KM POR UNIDAD'!A54,'GONZALEZ LOZANO ENRIQUE '!T$38:T$40)+SUMIF('GONZALEZ MARTINEZ MAURICIO'!P$38:P$40,'KM POR UNIDAD'!A54,'GONZALEZ MARTINEZ MAURICIO'!T$38:T$40)+SUMIF('GONZALEZ SOTO JOEL'!P$39:P$41,'KM POR UNIDAD'!A54,'GONZALEZ SOTO JOEL'!T$39:T$41)+SUMIF('MARTA RUBIO MARTIN'!P$39:P$41,'KM POR UNIDAD'!A54,'MARTA RUBIO MARTIN'!T$39:T$41)+SUMIF('GRIJALVA VALDEZ CESAR EUSEBIO'!P$35:P$37,'KM POR UNIDAD'!A54,'GRIJALVA VALDEZ CESAR EUSEBIO'!T$35:T$37)+SUMIF('PACHECO BAÑUELOS ALFONSO'!P$39:P$41,'KM POR UNIDAD'!A54,'PACHECO BAÑUELOS ALFONSO'!T$39:T$41)+SUMIF('RODRIGUEZ VALLES JOSE FRANCISCO'!P$40:P$42,'KM POR UNIDAD'!A54,'RODRIGUEZ VALLES JOSE FRANCISCO'!T$40:T$42)+SUMIF('SANCHEZ GUERRERO JOSE LUIS'!P$40:P$42,A54,'SANCHEZ GUERRERO JOSE LUIS'!T$40:T$42)+SUMIF('RUEDA SALAZAR ISMAEL'!P$35:P$37,'KM POR UNIDAD'!A54,'RUEDA SALAZAR ISMAEL'!T$35:T$37)+SUMIF('GUZMAN MORALES'!P$40:P$42,'KM POR UNIDAD'!A54,'GUZMAN MORALES'!T$40:T$42)+SUMIF('RODRIGUEZ RAMIREZ FERNANDO'!P$35:P$37,'KM POR UNIDAD'!A54,'RODRIGUEZ RAMIREZ FERNANDO'!T$35:T$37)+SUMIF('ESTRADA ARELLANO ARTURO'!P$40:P$42,'KM POR UNIDAD'!A54,'ESTRADA ARELLANO ARTURO'!T$40:T$42)+SUMIF('HERNANDEZ CONTRERAS JOSE FERNAN'!P$37:P$39,'KM POR UNIDAD'!A54,'HERNANDEZ CONTRERAS JOSE FERNAN'!T$37:T$39)+SUMIF('SALAZAR PEREZ JUAN CARLOS'!P$38:P$40,'KM POR UNIDAD'!A54,'SALAZAR PEREZ JUAN CARLOS'!T$38:T$40)+SUMIF('HARO IMPERIAL JOSÉ ANTONIO'!P$41:P$43,'KM POR UNIDAD'!A54,'HARO IMPERIAL JOSÉ ANTONIO'!T$41:T$43)+SUMIF('ESCARCEGA GALDEAN JESUS OMAR'!P$38:P$40,'KM POR UNIDAD'!A54,'ESCARCEGA GALDEAN JESUS OMAR'!T$38:T$40)</f>
        <v>0</v>
      </c>
      <c r="D54" s="189">
        <f>+SUMIF('LIRA TRISTAN JOSE ANGEL'!P$36:P$38,'KM POR UNIDAD'!A54,'LIRA TRISTAN JOSE ANGEL'!V$36:V$38)+SUMIF('TORRES GARAY LUIS HUMBERTO'!P$38:P$40,'KM POR UNIDAD'!A54,'TORRES GARAY LUIS HUMBERTO'!V$38:V$40)+SUMIF('CERDA HERNANDEZ JOSE LUIS'!P$35:P$37,'KM POR UNIDAD'!A54,'CERDA HERNANDEZ JOSE LUIS'!V$35:V$37)+SUMIF('RUIZ ALVARADO PEDRO'!P$32:P$34,'KM POR UNIDAD'!A54,'RUIZ ALVARADO PEDRO'!V$32:V$34)+SUMIF('NEVAREZ JUAN MANUEL'!P$37:P$39,'KM POR UNIDAD'!A54,'NEVAREZ JUAN MANUEL'!V$37:V$39)+SUMIF('CHAVEZ VARELA NESTOR ADRIAN'!P$35:P$37,'KM POR UNIDAD'!A54,'CHAVEZ VARELA NESTOR ADRIAN'!V$35:V$37)+SUMIF('PAYAN ESTRADA JOSE ANGEL'!P$37:P$39,'KM POR UNIDAD'!A54,'PAYAN ESTRADA JOSE ANGEL'!V$37:V$39)+SUMIF('RUIZ HERRERA ERICK '!P$33:P$35,'KM POR UNIDAD'!A54,'RUIZ HERRERA ERICK '!V$33:V$35)+SUMIF('GONZALEZ LOZANO ENRIQUE '!P$38:P$40,'KM POR UNIDAD'!A54,'GONZALEZ LOZANO ENRIQUE '!V$38:V$40)+SUMIF('GONZALEZ MARTINEZ MAURICIO'!P$38:P$40,'KM POR UNIDAD'!A54,'GONZALEZ MARTINEZ MAURICIO'!V$38:V$40)+SUMIF('GONZALEZ SOTO JOEL'!P$39:P$41,'KM POR UNIDAD'!A54,'GONZALEZ SOTO JOEL'!V$39:V$41)+SUMIF('MARTA RUBIO MARTIN'!P$39:P$41,'KM POR UNIDAD'!A54,'MARTA RUBIO MARTIN'!V$39:V$41)+SUMIF('GRIJALVA VALDEZ CESAR EUSEBIO'!P$35:P$37,'KM POR UNIDAD'!A54,'GRIJALVA VALDEZ CESAR EUSEBIO'!V$35:V$37)+SUMIF('PACHECO BAÑUELOS ALFONSO'!P$39:P$41,'KM POR UNIDAD'!A54,'PACHECO BAÑUELOS ALFONSO'!V$39:V$41)+SUMIF('RODRIGUEZ VALLES JOSE FRANCISCO'!P$40:P$42,'KM POR UNIDAD'!A54,'RODRIGUEZ VALLES JOSE FRANCISCO'!V$40:V$42)+SUMIF('SANCHEZ GUERRERO JOSE LUIS'!P$40:P$42,A54,'SANCHEZ GUERRERO JOSE LUIS'!V$40:V$42)+SUMIF('RUEDA SALAZAR ISMAEL'!P$35:P$37,'KM POR UNIDAD'!A54,'RUEDA SALAZAR ISMAEL'!V$35:V$37)+SUMIF('GUZMAN MORALES'!P$40:P$42,'KM POR UNIDAD'!A54,'GUZMAN MORALES'!V$40:V$42)+SUMIF('RODRIGUEZ RAMIREZ FERNANDO'!P$35:P$37,'KM POR UNIDAD'!A54,'RODRIGUEZ RAMIREZ FERNANDO'!V$35:V$37)+SUMIF('ESTRADA ARELLANO ARTURO'!P$40:P$42,'KM POR UNIDAD'!A54,'ESTRADA ARELLANO ARTURO'!V$40:V$42)+SUMIF('HERNANDEZ CONTRERAS JOSE FERNAN'!P$37:P$39,'KM POR UNIDAD'!A54,'HERNANDEZ CONTRERAS JOSE FERNAN'!V$38:V$40)+SUMIF('SALAZAR PEREZ JUAN CARLOS'!P$38:P$40,'KM POR UNIDAD'!A54,'SALAZAR PEREZ JUAN CARLOS'!V$38:V$40)+SUMIF('HARO IMPERIAL JOSÉ ANTONIO'!P$41:P$43,'KM POR UNIDAD'!A54,'HARO IMPERIAL JOSÉ ANTONIO'!V$41:V$43)+SUMIF('ESCARCEGA GALDEAN JESUS OMAR'!P$38:P$40,'KM POR UNIDAD'!A54,'ESCARCEGA GALDEAN JESUS OMAR'!V$38:V$40)</f>
        <v>0</v>
      </c>
      <c r="E54" s="167">
        <f t="shared" si="1"/>
        <v>0</v>
      </c>
      <c r="F54" s="168">
        <v>0</v>
      </c>
      <c r="G54" s="168">
        <v>0</v>
      </c>
      <c r="H54" s="168">
        <v>0</v>
      </c>
      <c r="I54" s="169">
        <f t="shared" si="0"/>
        <v>0</v>
      </c>
      <c r="J54" s="170"/>
      <c r="K54" s="171"/>
    </row>
    <row r="55" spans="1:11" x14ac:dyDescent="0.25">
      <c r="A55" s="165" t="s">
        <v>86</v>
      </c>
      <c r="B55" s="166">
        <f>SUMIF('LIRA TRISTAN JOSE ANGEL'!P$36:P$38,'KM POR UNIDAD'!A55,'LIRA TRISTAN JOSE ANGEL'!U$36:U$38)+SUMIF('TORRES GARAY LUIS HUMBERTO'!P$38:P$40,'KM POR UNIDAD'!A55,'TORRES GARAY LUIS HUMBERTO'!U$38:U$40)+SUMIF('CERDA HERNANDEZ JOSE LUIS'!P$35:P$37,'KM POR UNIDAD'!A55,'CERDA HERNANDEZ JOSE LUIS'!U$35:U$37)+SUMIF('RUIZ ALVARADO PEDRO'!P$32:P$34,'KM POR UNIDAD'!A55,'RUIZ ALVARADO PEDRO'!U$32:U$34)+SUMIF('NEVAREZ JUAN MANUEL'!P$37:P$39,'KM POR UNIDAD'!A55,'NEVAREZ JUAN MANUEL'!U$37:U$39)+SUMIF('CHAVEZ VARELA NESTOR ADRIAN'!P$35:P$37,'KM POR UNIDAD'!A55,'CHAVEZ VARELA NESTOR ADRIAN'!U$35:U$37)+SUMIF('PAYAN ESTRADA JOSE ANGEL'!P$37:P$39,'KM POR UNIDAD'!A55,'PAYAN ESTRADA JOSE ANGEL'!U$37:U$39)+SUMIF('RUIZ HERRERA ERICK '!P$33:P$35,'KM POR UNIDAD'!A55,'RUIZ HERRERA ERICK '!U$33:U$35)+SUMIF('GONZALEZ LOZANO ENRIQUE '!P$38:P$40,'KM POR UNIDAD'!A55,'GONZALEZ LOZANO ENRIQUE '!U$38:U$40)+SUMIF('GONZALEZ MARTINEZ MAURICIO'!P$38:P$40,'KM POR UNIDAD'!A55,'GONZALEZ MARTINEZ MAURICIO'!U$38:U$40)+SUMIF('GONZALEZ SOTO JOEL'!P$39:P$41,'KM POR UNIDAD'!A55,'GONZALEZ SOTO JOEL'!U$39:U$41)+SUMIF('MARTA RUBIO MARTIN'!P$39:P$41,'KM POR UNIDAD'!A55,'MARTA RUBIO MARTIN'!U$39:U$41)+SUMIF('GRIJALVA VALDEZ CESAR EUSEBIO'!P$35:P$37,'KM POR UNIDAD'!A55,'GRIJALVA VALDEZ CESAR EUSEBIO'!U$35:U$37)+SUMIF('PACHECO BAÑUELOS ALFONSO'!P$39:P$41,'KM POR UNIDAD'!A55,'PACHECO BAÑUELOS ALFONSO'!U$39:U$41)+SUMIF('RODRIGUEZ VALLES JOSE FRANCISCO'!P$40:P$42,'KM POR UNIDAD'!A55,'RODRIGUEZ VALLES JOSE FRANCISCO'!U$40:U$42)+SUMIF('SANCHEZ GUERRERO JOSE LUIS'!P$40:P$42,A55,'SANCHEZ GUERRERO JOSE LUIS'!U$40:U$42)+SUMIF('RUEDA SALAZAR ISMAEL'!P$35:P$37,'KM POR UNIDAD'!A55,'RUEDA SALAZAR ISMAEL'!U$35:U$37)+SUMIF('GUZMAN MORALES'!P$40:P$42,'KM POR UNIDAD'!A55,'GUZMAN MORALES'!U$40:U$42)+SUMIF('RODRIGUEZ RAMIREZ FERNANDO'!P$35:P$37,'KM POR UNIDAD'!A55,'RODRIGUEZ RAMIREZ FERNANDO'!U$35:U$37)+SUMIF('ESTRADA ARELLANO ARTURO'!P$40:P$42,'KM POR UNIDAD'!A55,'ESTRADA ARELLANO ARTURO'!U$40:U$42)+SUMIF('HERNANDEZ CONTRERAS JOSE FERNAN'!P$37:P$39,'KM POR UNIDAD'!A55,'HERNANDEZ CONTRERAS JOSE FERNAN'!U$37:U$39)+SUMIF('SALAZAR PEREZ JUAN CARLOS'!P$38:P$40,'KM POR UNIDAD'!A55,'SALAZAR PEREZ JUAN CARLOS'!U$38:U$40)+SUMIF('HARO IMPERIAL JOSÉ ANTONIO'!P$41:P$43,'KM POR UNIDAD'!A55,'HARO IMPERIAL JOSÉ ANTONIO'!U$41:$U98)+SUMIF('ESCARCEGA GALDEAN JESUS OMAR'!P$38:P$40,'KM POR UNIDAD'!A55,'ESCARCEGA GALDEAN JESUS OMAR'!U$38:U$40)</f>
        <v>0</v>
      </c>
      <c r="C55" s="166">
        <f>+SUMIF('LIRA TRISTAN JOSE ANGEL'!P$36:P$38,'KM POR UNIDAD'!A55,'LIRA TRISTAN JOSE ANGEL'!T$36:T$38)+SUMIF('TORRES GARAY LUIS HUMBERTO'!P$38:P$40,'KM POR UNIDAD'!A55,'TORRES GARAY LUIS HUMBERTO'!T$38:T$40)+SUMIF('CERDA HERNANDEZ JOSE LUIS'!P$35:P$37,'KM POR UNIDAD'!A55,'CERDA HERNANDEZ JOSE LUIS'!T$35:T$37)+SUMIF('RUIZ ALVARADO PEDRO'!P$32:P$34,'KM POR UNIDAD'!A55,'RUIZ ALVARADO PEDRO'!T$32:T$34)+SUMIF('NEVAREZ JUAN MANUEL'!P$37:P$39,'KM POR UNIDAD'!A55,'NEVAREZ JUAN MANUEL'!T$37:T$39)+SUMIF('CHAVEZ VARELA NESTOR ADRIAN'!P$35:P$37,'KM POR UNIDAD'!A55,'CHAVEZ VARELA NESTOR ADRIAN'!T$35:T$37)+SUMIF('PAYAN ESTRADA JOSE ANGEL'!P$37:P$39,'KM POR UNIDAD'!A55,'PAYAN ESTRADA JOSE ANGEL'!T$37:T$39)+SUMIF('RUIZ HERRERA ERICK '!P$33:P$35,'KM POR UNIDAD'!A55,'RUIZ HERRERA ERICK '!T$33:T$35)+SUMIF('GONZALEZ LOZANO ENRIQUE '!P$38:P$40,'KM POR UNIDAD'!A55,'GONZALEZ LOZANO ENRIQUE '!T$38:T$40)+SUMIF('GONZALEZ MARTINEZ MAURICIO'!P$38:P$40,'KM POR UNIDAD'!A55,'GONZALEZ MARTINEZ MAURICIO'!T$38:T$40)+SUMIF('GONZALEZ SOTO JOEL'!P$39:P$41,'KM POR UNIDAD'!A55,'GONZALEZ SOTO JOEL'!T$39:T$41)+SUMIF('MARTA RUBIO MARTIN'!P$39:P$41,'KM POR UNIDAD'!A55,'MARTA RUBIO MARTIN'!T$39:T$41)+SUMIF('GRIJALVA VALDEZ CESAR EUSEBIO'!P$35:P$37,'KM POR UNIDAD'!A55,'GRIJALVA VALDEZ CESAR EUSEBIO'!T$35:T$37)+SUMIF('PACHECO BAÑUELOS ALFONSO'!P$39:P$41,'KM POR UNIDAD'!A55,'PACHECO BAÑUELOS ALFONSO'!T$39:T$41)+SUMIF('RODRIGUEZ VALLES JOSE FRANCISCO'!P$40:P$42,'KM POR UNIDAD'!A55,'RODRIGUEZ VALLES JOSE FRANCISCO'!T$40:T$42)+SUMIF('SANCHEZ GUERRERO JOSE LUIS'!P$40:P$42,A55,'SANCHEZ GUERRERO JOSE LUIS'!T$40:T$42)+SUMIF('RUEDA SALAZAR ISMAEL'!P$35:P$37,'KM POR UNIDAD'!A55,'RUEDA SALAZAR ISMAEL'!T$35:T$37)+SUMIF('GUZMAN MORALES'!P$40:P$42,'KM POR UNIDAD'!A55,'GUZMAN MORALES'!T$40:T$42)+SUMIF('RODRIGUEZ RAMIREZ FERNANDO'!P$35:P$37,'KM POR UNIDAD'!A55,'RODRIGUEZ RAMIREZ FERNANDO'!T$35:T$37)+SUMIF('ESTRADA ARELLANO ARTURO'!P$40:P$42,'KM POR UNIDAD'!A55,'ESTRADA ARELLANO ARTURO'!T$40:T$42)+SUMIF('HERNANDEZ CONTRERAS JOSE FERNAN'!P$37:P$39,'KM POR UNIDAD'!A55,'HERNANDEZ CONTRERAS JOSE FERNAN'!T$37:T$39)+SUMIF('SALAZAR PEREZ JUAN CARLOS'!P$38:P$40,'KM POR UNIDAD'!A55,'SALAZAR PEREZ JUAN CARLOS'!T$38:T$40)+SUMIF('HARO IMPERIAL JOSÉ ANTONIO'!P$41:P$43,'KM POR UNIDAD'!A55,'HARO IMPERIAL JOSÉ ANTONIO'!T$41:T$43)+SUMIF('ESCARCEGA GALDEAN JESUS OMAR'!P$38:P$40,'KM POR UNIDAD'!A55,'ESCARCEGA GALDEAN JESUS OMAR'!T$38:T$40)</f>
        <v>0</v>
      </c>
      <c r="D55" s="189">
        <f>+SUMIF('LIRA TRISTAN JOSE ANGEL'!P$36:P$38,'KM POR UNIDAD'!A55,'LIRA TRISTAN JOSE ANGEL'!V$36:V$38)+SUMIF('TORRES GARAY LUIS HUMBERTO'!P$38:P$40,'KM POR UNIDAD'!A55,'TORRES GARAY LUIS HUMBERTO'!V$38:V$40)+SUMIF('CERDA HERNANDEZ JOSE LUIS'!P$35:P$37,'KM POR UNIDAD'!A55,'CERDA HERNANDEZ JOSE LUIS'!V$35:V$37)+SUMIF('RUIZ ALVARADO PEDRO'!P$32:P$34,'KM POR UNIDAD'!A55,'RUIZ ALVARADO PEDRO'!V$32:V$34)+SUMIF('NEVAREZ JUAN MANUEL'!P$37:P$39,'KM POR UNIDAD'!A55,'NEVAREZ JUAN MANUEL'!V$37:V$39)+SUMIF('CHAVEZ VARELA NESTOR ADRIAN'!P$35:P$37,'KM POR UNIDAD'!A55,'CHAVEZ VARELA NESTOR ADRIAN'!V$35:V$37)+SUMIF('PAYAN ESTRADA JOSE ANGEL'!P$37:P$39,'KM POR UNIDAD'!A55,'PAYAN ESTRADA JOSE ANGEL'!V$37:V$39)+SUMIF('RUIZ HERRERA ERICK '!P$33:P$35,'KM POR UNIDAD'!A55,'RUIZ HERRERA ERICK '!V$33:V$35)+SUMIF('GONZALEZ LOZANO ENRIQUE '!P$38:P$40,'KM POR UNIDAD'!A55,'GONZALEZ LOZANO ENRIQUE '!V$38:V$40)+SUMIF('GONZALEZ MARTINEZ MAURICIO'!P$38:P$40,'KM POR UNIDAD'!A55,'GONZALEZ MARTINEZ MAURICIO'!V$38:V$40)+SUMIF('GONZALEZ SOTO JOEL'!P$39:P$41,'KM POR UNIDAD'!A55,'GONZALEZ SOTO JOEL'!V$39:V$41)+SUMIF('MARTA RUBIO MARTIN'!P$39:P$41,'KM POR UNIDAD'!A55,'MARTA RUBIO MARTIN'!V$39:V$41)+SUMIF('GRIJALVA VALDEZ CESAR EUSEBIO'!P$35:P$37,'KM POR UNIDAD'!A55,'GRIJALVA VALDEZ CESAR EUSEBIO'!V$35:V$37)+SUMIF('PACHECO BAÑUELOS ALFONSO'!P$39:P$41,'KM POR UNIDAD'!A55,'PACHECO BAÑUELOS ALFONSO'!V$39:V$41)+SUMIF('RODRIGUEZ VALLES JOSE FRANCISCO'!P$40:P$42,'KM POR UNIDAD'!A55,'RODRIGUEZ VALLES JOSE FRANCISCO'!V$40:V$42)+SUMIF('SANCHEZ GUERRERO JOSE LUIS'!P$40:P$42,A55,'SANCHEZ GUERRERO JOSE LUIS'!V$40:V$42)+SUMIF('RUEDA SALAZAR ISMAEL'!P$35:P$37,'KM POR UNIDAD'!A55,'RUEDA SALAZAR ISMAEL'!V$35:V$37)+SUMIF('GUZMAN MORALES'!P$40:P$42,'KM POR UNIDAD'!A55,'GUZMAN MORALES'!V$40:V$42)+SUMIF('RODRIGUEZ RAMIREZ FERNANDO'!P$35:P$37,'KM POR UNIDAD'!A55,'RODRIGUEZ RAMIREZ FERNANDO'!V$35:V$37)+SUMIF('ESTRADA ARELLANO ARTURO'!P$40:P$42,'KM POR UNIDAD'!A55,'ESTRADA ARELLANO ARTURO'!V$40:V$42)+SUMIF('HERNANDEZ CONTRERAS JOSE FERNAN'!P$37:P$39,'KM POR UNIDAD'!A55,'HERNANDEZ CONTRERAS JOSE FERNAN'!V$38:V$40)+SUMIF('SALAZAR PEREZ JUAN CARLOS'!P$38:P$40,'KM POR UNIDAD'!A55,'SALAZAR PEREZ JUAN CARLOS'!V$38:V$40)+SUMIF('HARO IMPERIAL JOSÉ ANTONIO'!P$41:P$43,'KM POR UNIDAD'!A55,'HARO IMPERIAL JOSÉ ANTONIO'!V$41:V$43)+SUMIF('ESCARCEGA GALDEAN JESUS OMAR'!P$38:P$40,'KM POR UNIDAD'!A55,'ESCARCEGA GALDEAN JESUS OMAR'!V$38:V$40)</f>
        <v>0</v>
      </c>
      <c r="E55" s="167">
        <f t="shared" si="1"/>
        <v>0</v>
      </c>
      <c r="F55" s="168">
        <v>0</v>
      </c>
      <c r="G55" s="168">
        <v>0</v>
      </c>
      <c r="H55" s="168">
        <v>0</v>
      </c>
      <c r="I55" s="169">
        <f t="shared" si="0"/>
        <v>0</v>
      </c>
      <c r="J55" s="170"/>
      <c r="K55" s="171"/>
    </row>
    <row r="56" spans="1:11" x14ac:dyDescent="0.25">
      <c r="A56" s="165" t="s">
        <v>67</v>
      </c>
      <c r="B56" s="166">
        <f>SUMIF('LIRA TRISTAN JOSE ANGEL'!P$36:P$38,'KM POR UNIDAD'!A56,'LIRA TRISTAN JOSE ANGEL'!U$36:U$38)+SUMIF('TORRES GARAY LUIS HUMBERTO'!P$38:P$40,'KM POR UNIDAD'!A56,'TORRES GARAY LUIS HUMBERTO'!U$38:U$40)+SUMIF('CERDA HERNANDEZ JOSE LUIS'!P$35:P$37,'KM POR UNIDAD'!A56,'CERDA HERNANDEZ JOSE LUIS'!U$35:U$37)+SUMIF('RUIZ ALVARADO PEDRO'!P$32:P$34,'KM POR UNIDAD'!A56,'RUIZ ALVARADO PEDRO'!U$32:U$34)+SUMIF('NEVAREZ JUAN MANUEL'!P$37:P$39,'KM POR UNIDAD'!A56,'NEVAREZ JUAN MANUEL'!U$37:U$39)+SUMIF('CHAVEZ VARELA NESTOR ADRIAN'!P$35:P$37,'KM POR UNIDAD'!A56,'CHAVEZ VARELA NESTOR ADRIAN'!U$35:U$37)+SUMIF('PAYAN ESTRADA JOSE ANGEL'!P$37:P$39,'KM POR UNIDAD'!A56,'PAYAN ESTRADA JOSE ANGEL'!U$37:U$39)+SUMIF('RUIZ HERRERA ERICK '!P$33:P$35,'KM POR UNIDAD'!A56,'RUIZ HERRERA ERICK '!U$33:U$35)+SUMIF('GONZALEZ LOZANO ENRIQUE '!P$38:P$40,'KM POR UNIDAD'!A56,'GONZALEZ LOZANO ENRIQUE '!U$38:U$40)+SUMIF('GONZALEZ MARTINEZ MAURICIO'!P$38:P$40,'KM POR UNIDAD'!A56,'GONZALEZ MARTINEZ MAURICIO'!U$38:U$40)+SUMIF('GONZALEZ SOTO JOEL'!P$39:P$41,'KM POR UNIDAD'!A56,'GONZALEZ SOTO JOEL'!U$39:U$41)+SUMIF('MARTA RUBIO MARTIN'!P$39:P$41,'KM POR UNIDAD'!A56,'MARTA RUBIO MARTIN'!U$39:U$41)+SUMIF('GRIJALVA VALDEZ CESAR EUSEBIO'!P$35:P$37,'KM POR UNIDAD'!A56,'GRIJALVA VALDEZ CESAR EUSEBIO'!U$35:U$37)+SUMIF('PACHECO BAÑUELOS ALFONSO'!P$39:P$41,'KM POR UNIDAD'!A56,'PACHECO BAÑUELOS ALFONSO'!U$39:U$41)+SUMIF('RODRIGUEZ VALLES JOSE FRANCISCO'!P$40:P$42,'KM POR UNIDAD'!A56,'RODRIGUEZ VALLES JOSE FRANCISCO'!U$40:U$42)+SUMIF('SANCHEZ GUERRERO JOSE LUIS'!P$40:P$42,A56,'SANCHEZ GUERRERO JOSE LUIS'!U$40:U$42)+SUMIF('RUEDA SALAZAR ISMAEL'!P$35:P$37,'KM POR UNIDAD'!A56,'RUEDA SALAZAR ISMAEL'!U$35:U$37)+SUMIF('GUZMAN MORALES'!P$40:P$42,'KM POR UNIDAD'!A56,'GUZMAN MORALES'!U$40:U$42)+SUMIF('RODRIGUEZ RAMIREZ FERNANDO'!P$35:P$37,'KM POR UNIDAD'!A56,'RODRIGUEZ RAMIREZ FERNANDO'!U$35:U$37)+SUMIF('ESTRADA ARELLANO ARTURO'!P$40:P$42,'KM POR UNIDAD'!A56,'ESTRADA ARELLANO ARTURO'!U$40:U$42)+SUMIF('HERNANDEZ CONTRERAS JOSE FERNAN'!P$37:P$39,'KM POR UNIDAD'!A56,'HERNANDEZ CONTRERAS JOSE FERNAN'!U$37:U$39)+SUMIF('SALAZAR PEREZ JUAN CARLOS'!P$38:P$40,'KM POR UNIDAD'!A56,'SALAZAR PEREZ JUAN CARLOS'!U$38:U$40)+SUMIF('HARO IMPERIAL JOSÉ ANTONIO'!P$41:P$43,'KM POR UNIDAD'!A56,'HARO IMPERIAL JOSÉ ANTONIO'!U$41:$U99)+SUMIF('ESCARCEGA GALDEAN JESUS OMAR'!P$38:P$40,'KM POR UNIDAD'!A56,'ESCARCEGA GALDEAN JESUS OMAR'!U$38:U$40)</f>
        <v>0</v>
      </c>
      <c r="C56" s="166">
        <f>+SUMIF('LIRA TRISTAN JOSE ANGEL'!P$36:P$38,'KM POR UNIDAD'!A56,'LIRA TRISTAN JOSE ANGEL'!T$36:T$38)+SUMIF('TORRES GARAY LUIS HUMBERTO'!P$38:P$40,'KM POR UNIDAD'!A56,'TORRES GARAY LUIS HUMBERTO'!T$38:T$40)+SUMIF('CERDA HERNANDEZ JOSE LUIS'!P$35:P$37,'KM POR UNIDAD'!A56,'CERDA HERNANDEZ JOSE LUIS'!T$35:T$37)+SUMIF('RUIZ ALVARADO PEDRO'!P$32:P$34,'KM POR UNIDAD'!A56,'RUIZ ALVARADO PEDRO'!T$32:T$34)+SUMIF('NEVAREZ JUAN MANUEL'!P$37:P$39,'KM POR UNIDAD'!A56,'NEVAREZ JUAN MANUEL'!T$37:T$39)+SUMIF('CHAVEZ VARELA NESTOR ADRIAN'!P$35:P$37,'KM POR UNIDAD'!A56,'CHAVEZ VARELA NESTOR ADRIAN'!T$35:T$37)+SUMIF('PAYAN ESTRADA JOSE ANGEL'!P$37:P$39,'KM POR UNIDAD'!A56,'PAYAN ESTRADA JOSE ANGEL'!T$37:T$39)+SUMIF('RUIZ HERRERA ERICK '!P$33:P$35,'KM POR UNIDAD'!A56,'RUIZ HERRERA ERICK '!T$33:T$35)+SUMIF('GONZALEZ LOZANO ENRIQUE '!P$38:P$40,'KM POR UNIDAD'!A56,'GONZALEZ LOZANO ENRIQUE '!T$38:T$40)+SUMIF('GONZALEZ MARTINEZ MAURICIO'!P$38:P$40,'KM POR UNIDAD'!A56,'GONZALEZ MARTINEZ MAURICIO'!T$38:T$40)+SUMIF('GONZALEZ SOTO JOEL'!P$39:P$41,'KM POR UNIDAD'!A56,'GONZALEZ SOTO JOEL'!T$39:T$41)+SUMIF('MARTA RUBIO MARTIN'!P$39:P$41,'KM POR UNIDAD'!A56,'MARTA RUBIO MARTIN'!T$39:T$41)+SUMIF('GRIJALVA VALDEZ CESAR EUSEBIO'!P$35:P$37,'KM POR UNIDAD'!A56,'GRIJALVA VALDEZ CESAR EUSEBIO'!T$35:T$37)+SUMIF('PACHECO BAÑUELOS ALFONSO'!P$39:P$41,'KM POR UNIDAD'!A56,'PACHECO BAÑUELOS ALFONSO'!T$39:T$41)+SUMIF('RODRIGUEZ VALLES JOSE FRANCISCO'!P$40:P$42,'KM POR UNIDAD'!A56,'RODRIGUEZ VALLES JOSE FRANCISCO'!T$40:T$42)+SUMIF('SANCHEZ GUERRERO JOSE LUIS'!P$40:P$42,A56,'SANCHEZ GUERRERO JOSE LUIS'!T$40:T$42)+SUMIF('RUEDA SALAZAR ISMAEL'!P$35:P$37,'KM POR UNIDAD'!A56,'RUEDA SALAZAR ISMAEL'!T$35:T$37)+SUMIF('GUZMAN MORALES'!P$40:P$42,'KM POR UNIDAD'!A56,'GUZMAN MORALES'!T$40:T$42)+SUMIF('RODRIGUEZ RAMIREZ FERNANDO'!P$35:P$37,'KM POR UNIDAD'!A56,'RODRIGUEZ RAMIREZ FERNANDO'!T$35:T$37)+SUMIF('ESTRADA ARELLANO ARTURO'!P$40:P$42,'KM POR UNIDAD'!A56,'ESTRADA ARELLANO ARTURO'!T$40:T$42)+SUMIF('HERNANDEZ CONTRERAS JOSE FERNAN'!P$37:P$39,'KM POR UNIDAD'!A56,'HERNANDEZ CONTRERAS JOSE FERNAN'!T$37:T$39)+SUMIF('SALAZAR PEREZ JUAN CARLOS'!P$38:P$40,'KM POR UNIDAD'!A56,'SALAZAR PEREZ JUAN CARLOS'!T$38:T$40)+SUMIF('HARO IMPERIAL JOSÉ ANTONIO'!P$41:P$43,'KM POR UNIDAD'!A56,'HARO IMPERIAL JOSÉ ANTONIO'!T$41:T$43)+SUMIF('ESCARCEGA GALDEAN JESUS OMAR'!P$38:P$40,'KM POR UNIDAD'!A56,'ESCARCEGA GALDEAN JESUS OMAR'!T$38:T$40)</f>
        <v>0</v>
      </c>
      <c r="D56" s="189">
        <f>+SUMIF('LIRA TRISTAN JOSE ANGEL'!P$36:P$38,'KM POR UNIDAD'!A56,'LIRA TRISTAN JOSE ANGEL'!V$36:V$38)+SUMIF('TORRES GARAY LUIS HUMBERTO'!P$38:P$40,'KM POR UNIDAD'!A56,'TORRES GARAY LUIS HUMBERTO'!V$38:V$40)+SUMIF('CERDA HERNANDEZ JOSE LUIS'!P$35:P$37,'KM POR UNIDAD'!A56,'CERDA HERNANDEZ JOSE LUIS'!V$35:V$37)+SUMIF('RUIZ ALVARADO PEDRO'!P$32:P$34,'KM POR UNIDAD'!A56,'RUIZ ALVARADO PEDRO'!V$32:V$34)+SUMIF('NEVAREZ JUAN MANUEL'!P$37:P$39,'KM POR UNIDAD'!A56,'NEVAREZ JUAN MANUEL'!V$37:V$39)+SUMIF('CHAVEZ VARELA NESTOR ADRIAN'!P$35:P$37,'KM POR UNIDAD'!A56,'CHAVEZ VARELA NESTOR ADRIAN'!V$35:V$37)+SUMIF('PAYAN ESTRADA JOSE ANGEL'!P$37:P$39,'KM POR UNIDAD'!A56,'PAYAN ESTRADA JOSE ANGEL'!V$37:V$39)+SUMIF('RUIZ HERRERA ERICK '!P$33:P$35,'KM POR UNIDAD'!A56,'RUIZ HERRERA ERICK '!V$33:V$35)+SUMIF('GONZALEZ LOZANO ENRIQUE '!P$38:P$40,'KM POR UNIDAD'!A56,'GONZALEZ LOZANO ENRIQUE '!V$38:V$40)+SUMIF('GONZALEZ MARTINEZ MAURICIO'!P$38:P$40,'KM POR UNIDAD'!A56,'GONZALEZ MARTINEZ MAURICIO'!V$38:V$40)+SUMIF('GONZALEZ SOTO JOEL'!P$39:P$41,'KM POR UNIDAD'!A56,'GONZALEZ SOTO JOEL'!V$39:V$41)+SUMIF('MARTA RUBIO MARTIN'!P$39:P$41,'KM POR UNIDAD'!A56,'MARTA RUBIO MARTIN'!V$39:V$41)+SUMIF('GRIJALVA VALDEZ CESAR EUSEBIO'!P$35:P$37,'KM POR UNIDAD'!A56,'GRIJALVA VALDEZ CESAR EUSEBIO'!V$35:V$37)+SUMIF('PACHECO BAÑUELOS ALFONSO'!P$39:P$41,'KM POR UNIDAD'!A56,'PACHECO BAÑUELOS ALFONSO'!V$39:V$41)+SUMIF('RODRIGUEZ VALLES JOSE FRANCISCO'!P$40:P$42,'KM POR UNIDAD'!A56,'RODRIGUEZ VALLES JOSE FRANCISCO'!V$40:V$42)+SUMIF('SANCHEZ GUERRERO JOSE LUIS'!P$40:P$42,A56,'SANCHEZ GUERRERO JOSE LUIS'!V$40:V$42)+SUMIF('RUEDA SALAZAR ISMAEL'!P$35:P$37,'KM POR UNIDAD'!A56,'RUEDA SALAZAR ISMAEL'!V$35:V$37)+SUMIF('GUZMAN MORALES'!P$40:P$42,'KM POR UNIDAD'!A56,'GUZMAN MORALES'!V$40:V$42)+SUMIF('RODRIGUEZ RAMIREZ FERNANDO'!P$35:P$37,'KM POR UNIDAD'!A56,'RODRIGUEZ RAMIREZ FERNANDO'!V$35:V$37)+SUMIF('ESTRADA ARELLANO ARTURO'!P$40:P$42,'KM POR UNIDAD'!A56,'ESTRADA ARELLANO ARTURO'!V$40:V$42)+SUMIF('HERNANDEZ CONTRERAS JOSE FERNAN'!P$37:P$39,'KM POR UNIDAD'!A56,'HERNANDEZ CONTRERAS JOSE FERNAN'!V$38:V$40)+SUMIF('SALAZAR PEREZ JUAN CARLOS'!P$38:P$40,'KM POR UNIDAD'!A56,'SALAZAR PEREZ JUAN CARLOS'!V$38:V$40)+SUMIF('HARO IMPERIAL JOSÉ ANTONIO'!P$41:P$43,'KM POR UNIDAD'!A56,'HARO IMPERIAL JOSÉ ANTONIO'!V$41:V$43)+SUMIF('ESCARCEGA GALDEAN JESUS OMAR'!P$38:P$40,'KM POR UNIDAD'!A56,'ESCARCEGA GALDEAN JESUS OMAR'!V$38:V$40)</f>
        <v>0</v>
      </c>
      <c r="E56" s="167">
        <f t="shared" ref="E56:E69" si="2">IFERROR(B56/D56,0)</f>
        <v>0</v>
      </c>
      <c r="F56" s="168"/>
      <c r="G56" s="168"/>
      <c r="H56" s="168"/>
      <c r="I56" s="169"/>
      <c r="J56" s="170"/>
      <c r="K56" s="171"/>
    </row>
    <row r="57" spans="1:11" x14ac:dyDescent="0.25">
      <c r="A57" s="165" t="s">
        <v>220</v>
      </c>
      <c r="B57" s="166">
        <f>SUMIF('LIRA TRISTAN JOSE ANGEL'!P$36:P$38,'KM POR UNIDAD'!A57,'LIRA TRISTAN JOSE ANGEL'!U$36:U$38)+SUMIF('TORRES GARAY LUIS HUMBERTO'!P$38:P$40,'KM POR UNIDAD'!A57,'TORRES GARAY LUIS HUMBERTO'!U$38:U$40)+SUMIF('CERDA HERNANDEZ JOSE LUIS'!P$35:P$37,'KM POR UNIDAD'!A57,'CERDA HERNANDEZ JOSE LUIS'!U$35:U$37)+SUMIF('RUIZ ALVARADO PEDRO'!P$32:P$34,'KM POR UNIDAD'!A57,'RUIZ ALVARADO PEDRO'!U$32:U$34)+SUMIF('NEVAREZ JUAN MANUEL'!P$37:P$39,'KM POR UNIDAD'!A57,'NEVAREZ JUAN MANUEL'!U$37:U$39)+SUMIF('CHAVEZ VARELA NESTOR ADRIAN'!P$35:P$37,'KM POR UNIDAD'!A57,'CHAVEZ VARELA NESTOR ADRIAN'!U$35:U$37)+SUMIF('PAYAN ESTRADA JOSE ANGEL'!P$37:P$39,'KM POR UNIDAD'!A57,'PAYAN ESTRADA JOSE ANGEL'!U$37:U$39)+SUMIF('RUIZ HERRERA ERICK '!P$33:P$35,'KM POR UNIDAD'!A57,'RUIZ HERRERA ERICK '!U$33:U$35)+SUMIF('GONZALEZ LOZANO ENRIQUE '!P$38:P$40,'KM POR UNIDAD'!A57,'GONZALEZ LOZANO ENRIQUE '!U$38:U$40)+SUMIF('GONZALEZ MARTINEZ MAURICIO'!P$38:P$40,'KM POR UNIDAD'!A57,'GONZALEZ MARTINEZ MAURICIO'!U$38:U$40)+SUMIF('GONZALEZ SOTO JOEL'!P$39:P$41,'KM POR UNIDAD'!A57,'GONZALEZ SOTO JOEL'!U$39:U$41)+SUMIF('MARTA RUBIO MARTIN'!P$39:P$41,'KM POR UNIDAD'!A57,'MARTA RUBIO MARTIN'!U$39:U$41)+SUMIF('GRIJALVA VALDEZ CESAR EUSEBIO'!P$35:P$37,'KM POR UNIDAD'!A57,'GRIJALVA VALDEZ CESAR EUSEBIO'!U$35:U$37)+SUMIF('PACHECO BAÑUELOS ALFONSO'!P$39:P$41,'KM POR UNIDAD'!A57,'PACHECO BAÑUELOS ALFONSO'!U$39:U$41)+SUMIF('RODRIGUEZ VALLES JOSE FRANCISCO'!P$40:P$42,'KM POR UNIDAD'!A57,'RODRIGUEZ VALLES JOSE FRANCISCO'!U$40:U$42)+SUMIF('SANCHEZ GUERRERO JOSE LUIS'!P$40:P$42,A57,'SANCHEZ GUERRERO JOSE LUIS'!U$40:U$42)+SUMIF('RUEDA SALAZAR ISMAEL'!P$35:P$37,'KM POR UNIDAD'!A57,'RUEDA SALAZAR ISMAEL'!U$35:U$37)+SUMIF('GUZMAN MORALES'!P$40:P$42,'KM POR UNIDAD'!A57,'GUZMAN MORALES'!U$40:U$42)+SUMIF('RODRIGUEZ RAMIREZ FERNANDO'!P$35:P$37,'KM POR UNIDAD'!A57,'RODRIGUEZ RAMIREZ FERNANDO'!U$35:U$37)+SUMIF('ESTRADA ARELLANO ARTURO'!P$40:P$42,'KM POR UNIDAD'!A57,'ESTRADA ARELLANO ARTURO'!U$40:U$42)+SUMIF('HERNANDEZ CONTRERAS JOSE FERNAN'!P$37:P$39,'KM POR UNIDAD'!A57,'HERNANDEZ CONTRERAS JOSE FERNAN'!U$37:U$39)+SUMIF('SALAZAR PEREZ JUAN CARLOS'!P$38:P$40,'KM POR UNIDAD'!A57,'SALAZAR PEREZ JUAN CARLOS'!U$38:U$40)+SUMIF('HARO IMPERIAL JOSÉ ANTONIO'!P$41:P$43,'KM POR UNIDAD'!A57,'HARO IMPERIAL JOSÉ ANTONIO'!U$41:$U100)+SUMIF('ESCARCEGA GALDEAN JESUS OMAR'!P$38:P$40,'KM POR UNIDAD'!A57,'ESCARCEGA GALDEAN JESUS OMAR'!U$38:U$40)</f>
        <v>2042</v>
      </c>
      <c r="C57" s="166">
        <f>+SUMIF('LIRA TRISTAN JOSE ANGEL'!P$36:P$38,'KM POR UNIDAD'!A57,'LIRA TRISTAN JOSE ANGEL'!T$36:T$38)+SUMIF('TORRES GARAY LUIS HUMBERTO'!P$38:P$40,'KM POR UNIDAD'!A57,'TORRES GARAY LUIS HUMBERTO'!T$38:T$40)+SUMIF('CERDA HERNANDEZ JOSE LUIS'!P$35:P$37,'KM POR UNIDAD'!A57,'CERDA HERNANDEZ JOSE LUIS'!T$35:T$37)+SUMIF('RUIZ ALVARADO PEDRO'!P$32:P$34,'KM POR UNIDAD'!A57,'RUIZ ALVARADO PEDRO'!T$32:T$34)+SUMIF('NEVAREZ JUAN MANUEL'!P$37:P$39,'KM POR UNIDAD'!A57,'NEVAREZ JUAN MANUEL'!T$37:T$39)+SUMIF('CHAVEZ VARELA NESTOR ADRIAN'!P$35:P$37,'KM POR UNIDAD'!A57,'CHAVEZ VARELA NESTOR ADRIAN'!T$35:T$37)+SUMIF('PAYAN ESTRADA JOSE ANGEL'!P$37:P$39,'KM POR UNIDAD'!A57,'PAYAN ESTRADA JOSE ANGEL'!T$37:T$39)+SUMIF('RUIZ HERRERA ERICK '!P$33:P$35,'KM POR UNIDAD'!A57,'RUIZ HERRERA ERICK '!T$33:T$35)+SUMIF('GONZALEZ LOZANO ENRIQUE '!P$38:P$40,'KM POR UNIDAD'!A57,'GONZALEZ LOZANO ENRIQUE '!T$38:T$40)+SUMIF('GONZALEZ MARTINEZ MAURICIO'!P$38:P$40,'KM POR UNIDAD'!A57,'GONZALEZ MARTINEZ MAURICIO'!T$38:T$40)+SUMIF('GONZALEZ SOTO JOEL'!P$39:P$41,'KM POR UNIDAD'!A57,'GONZALEZ SOTO JOEL'!T$39:T$41)+SUMIF('MARTA RUBIO MARTIN'!P$39:P$41,'KM POR UNIDAD'!A57,'MARTA RUBIO MARTIN'!T$39:T$41)+SUMIF('GRIJALVA VALDEZ CESAR EUSEBIO'!P$35:P$37,'KM POR UNIDAD'!A57,'GRIJALVA VALDEZ CESAR EUSEBIO'!T$35:T$37)+SUMIF('PACHECO BAÑUELOS ALFONSO'!P$39:P$41,'KM POR UNIDAD'!A57,'PACHECO BAÑUELOS ALFONSO'!T$39:T$41)+SUMIF('RODRIGUEZ VALLES JOSE FRANCISCO'!P$40:P$42,'KM POR UNIDAD'!A57,'RODRIGUEZ VALLES JOSE FRANCISCO'!T$40:T$42)+SUMIF('SANCHEZ GUERRERO JOSE LUIS'!P$40:P$42,A57,'SANCHEZ GUERRERO JOSE LUIS'!T$40:T$42)+SUMIF('RUEDA SALAZAR ISMAEL'!P$35:P$37,'KM POR UNIDAD'!A57,'RUEDA SALAZAR ISMAEL'!T$35:T$37)+SUMIF('GUZMAN MORALES'!P$40:P$42,'KM POR UNIDAD'!A57,'GUZMAN MORALES'!T$40:T$42)+SUMIF('RODRIGUEZ RAMIREZ FERNANDO'!P$35:P$37,'KM POR UNIDAD'!A57,'RODRIGUEZ RAMIREZ FERNANDO'!T$35:T$37)+SUMIF('ESTRADA ARELLANO ARTURO'!P$40:P$42,'KM POR UNIDAD'!A57,'ESTRADA ARELLANO ARTURO'!T$40:T$42)+SUMIF('HERNANDEZ CONTRERAS JOSE FERNAN'!P$37:P$39,'KM POR UNIDAD'!A57,'HERNANDEZ CONTRERAS JOSE FERNAN'!T$37:T$39)+SUMIF('SALAZAR PEREZ JUAN CARLOS'!P$38:P$40,'KM POR UNIDAD'!A57,'SALAZAR PEREZ JUAN CARLOS'!T$38:T$40)+SUMIF('HARO IMPERIAL JOSÉ ANTONIO'!P$41:P$43,'KM POR UNIDAD'!A57,'HARO IMPERIAL JOSÉ ANTONIO'!T$41:T$43)+SUMIF('ESCARCEGA GALDEAN JESUS OMAR'!P$38:P$40,'KM POR UNIDAD'!A57,'ESCARCEGA GALDEAN JESUS OMAR'!T$38:T$40)</f>
        <v>2073</v>
      </c>
      <c r="D57" s="189">
        <f>+SUMIF('LIRA TRISTAN JOSE ANGEL'!P$36:P$38,'KM POR UNIDAD'!A57,'LIRA TRISTAN JOSE ANGEL'!V$36:V$38)+SUMIF('TORRES GARAY LUIS HUMBERTO'!P$38:P$40,'KM POR UNIDAD'!A57,'TORRES GARAY LUIS HUMBERTO'!V$38:V$40)+SUMIF('CERDA HERNANDEZ JOSE LUIS'!P$35:P$37,'KM POR UNIDAD'!A57,'CERDA HERNANDEZ JOSE LUIS'!V$35:V$37)+SUMIF('RUIZ ALVARADO PEDRO'!P$32:P$34,'KM POR UNIDAD'!A57,'RUIZ ALVARADO PEDRO'!V$32:V$34)+SUMIF('NEVAREZ JUAN MANUEL'!P$37:P$39,'KM POR UNIDAD'!A57,'NEVAREZ JUAN MANUEL'!V$37:V$39)+SUMIF('CHAVEZ VARELA NESTOR ADRIAN'!P$35:P$37,'KM POR UNIDAD'!A57,'CHAVEZ VARELA NESTOR ADRIAN'!V$35:V$37)+SUMIF('PAYAN ESTRADA JOSE ANGEL'!P$37:P$39,'KM POR UNIDAD'!A57,'PAYAN ESTRADA JOSE ANGEL'!V$37:V$39)+SUMIF('RUIZ HERRERA ERICK '!P$33:P$35,'KM POR UNIDAD'!A57,'RUIZ HERRERA ERICK '!V$33:V$35)+SUMIF('GONZALEZ LOZANO ENRIQUE '!P$38:P$40,'KM POR UNIDAD'!A57,'GONZALEZ LOZANO ENRIQUE '!V$38:V$40)+SUMIF('GONZALEZ MARTINEZ MAURICIO'!P$38:P$40,'KM POR UNIDAD'!A57,'GONZALEZ MARTINEZ MAURICIO'!V$38:V$40)+SUMIF('GONZALEZ SOTO JOEL'!P$39:P$41,'KM POR UNIDAD'!A57,'GONZALEZ SOTO JOEL'!V$39:V$41)+SUMIF('MARTA RUBIO MARTIN'!P$39:P$41,'KM POR UNIDAD'!A57,'MARTA RUBIO MARTIN'!V$39:V$41)+SUMIF('GRIJALVA VALDEZ CESAR EUSEBIO'!P$35:P$37,'KM POR UNIDAD'!A57,'GRIJALVA VALDEZ CESAR EUSEBIO'!V$35:V$37)+SUMIF('PACHECO BAÑUELOS ALFONSO'!P$39:P$41,'KM POR UNIDAD'!A57,'PACHECO BAÑUELOS ALFONSO'!V$39:V$41)+SUMIF('RODRIGUEZ VALLES JOSE FRANCISCO'!P$40:P$42,'KM POR UNIDAD'!A57,'RODRIGUEZ VALLES JOSE FRANCISCO'!V$40:V$42)+SUMIF('SANCHEZ GUERRERO JOSE LUIS'!P$40:P$42,A57,'SANCHEZ GUERRERO JOSE LUIS'!V$40:V$42)+SUMIF('RUEDA SALAZAR ISMAEL'!P$35:P$37,'KM POR UNIDAD'!A57,'RUEDA SALAZAR ISMAEL'!V$35:V$37)+SUMIF('GUZMAN MORALES'!P$40:P$42,'KM POR UNIDAD'!A57,'GUZMAN MORALES'!V$40:V$42)+SUMIF('RODRIGUEZ RAMIREZ FERNANDO'!P$35:P$37,'KM POR UNIDAD'!A57,'RODRIGUEZ RAMIREZ FERNANDO'!V$35:V$37)+SUMIF('ESTRADA ARELLANO ARTURO'!P$40:P$42,'KM POR UNIDAD'!A57,'ESTRADA ARELLANO ARTURO'!V$40:V$42)+SUMIF('HERNANDEZ CONTRERAS JOSE FERNAN'!P$37:P$39,'KM POR UNIDAD'!A57,'HERNANDEZ CONTRERAS JOSE FERNAN'!V$38:V$40)+SUMIF('SALAZAR PEREZ JUAN CARLOS'!P$38:P$40,'KM POR UNIDAD'!A57,'SALAZAR PEREZ JUAN CARLOS'!V$38:V$40)+SUMIF('HARO IMPERIAL JOSÉ ANTONIO'!P$41:P$43,'KM POR UNIDAD'!A57,'HARO IMPERIAL JOSÉ ANTONIO'!V$41:V$43)+SUMIF('ESCARCEGA GALDEAN JESUS OMAR'!P$38:P$40,'KM POR UNIDAD'!A57,'ESCARCEGA GALDEAN JESUS OMAR'!V$38:V$40)</f>
        <v>597.88300000000004</v>
      </c>
      <c r="E57" s="167">
        <f t="shared" ref="E57:E59" si="3">IFERROR(B57/D57,0)</f>
        <v>3.4153839463573976</v>
      </c>
      <c r="F57" s="168"/>
      <c r="G57" s="168"/>
      <c r="H57" s="168"/>
      <c r="I57" s="169"/>
      <c r="J57" s="170"/>
      <c r="K57" s="171"/>
    </row>
    <row r="58" spans="1:11" x14ac:dyDescent="0.25">
      <c r="A58" s="165" t="s">
        <v>221</v>
      </c>
      <c r="B58" s="166">
        <f>SUMIF('LIRA TRISTAN JOSE ANGEL'!P$36:P$38,'KM POR UNIDAD'!A58,'LIRA TRISTAN JOSE ANGEL'!U$36:U$38)+SUMIF('TORRES GARAY LUIS HUMBERTO'!P$38:P$40,'KM POR UNIDAD'!A58,'TORRES GARAY LUIS HUMBERTO'!U$38:U$40)+SUMIF('CERDA HERNANDEZ JOSE LUIS'!P$35:P$37,'KM POR UNIDAD'!A58,'CERDA HERNANDEZ JOSE LUIS'!U$35:U$37)+SUMIF('RUIZ ALVARADO PEDRO'!P$32:P$34,'KM POR UNIDAD'!A58,'RUIZ ALVARADO PEDRO'!U$32:U$34)+SUMIF('NEVAREZ JUAN MANUEL'!P$37:P$39,'KM POR UNIDAD'!A58,'NEVAREZ JUAN MANUEL'!U$37:U$39)+SUMIF('CHAVEZ VARELA NESTOR ADRIAN'!P$35:P$37,'KM POR UNIDAD'!A58,'CHAVEZ VARELA NESTOR ADRIAN'!U$35:U$37)+SUMIF('PAYAN ESTRADA JOSE ANGEL'!P$37:P$39,'KM POR UNIDAD'!A58,'PAYAN ESTRADA JOSE ANGEL'!U$37:U$39)+SUMIF('RUIZ HERRERA ERICK '!P$33:P$35,'KM POR UNIDAD'!A58,'RUIZ HERRERA ERICK '!U$33:U$35)+SUMIF('GONZALEZ LOZANO ENRIQUE '!P$38:P$40,'KM POR UNIDAD'!A58,'GONZALEZ LOZANO ENRIQUE '!U$38:U$40)+SUMIF('GONZALEZ MARTINEZ MAURICIO'!P$38:P$40,'KM POR UNIDAD'!A58,'GONZALEZ MARTINEZ MAURICIO'!U$38:U$40)+SUMIF('GONZALEZ SOTO JOEL'!P$39:P$41,'KM POR UNIDAD'!A58,'GONZALEZ SOTO JOEL'!U$39:U$41)+SUMIF('MARTA RUBIO MARTIN'!P$39:P$41,'KM POR UNIDAD'!A58,'MARTA RUBIO MARTIN'!U$39:U$41)+SUMIF('GRIJALVA VALDEZ CESAR EUSEBIO'!P$35:P$37,'KM POR UNIDAD'!A58,'GRIJALVA VALDEZ CESAR EUSEBIO'!U$35:U$37)+SUMIF('PACHECO BAÑUELOS ALFONSO'!P$39:P$41,'KM POR UNIDAD'!A58,'PACHECO BAÑUELOS ALFONSO'!U$39:U$41)+SUMIF('RODRIGUEZ VALLES JOSE FRANCISCO'!P$40:P$42,'KM POR UNIDAD'!A58,'RODRIGUEZ VALLES JOSE FRANCISCO'!U$40:U$42)+SUMIF('SANCHEZ GUERRERO JOSE LUIS'!P$40:P$42,A58,'SANCHEZ GUERRERO JOSE LUIS'!U$40:U$42)+SUMIF('RUEDA SALAZAR ISMAEL'!P$35:P$37,'KM POR UNIDAD'!A58,'RUEDA SALAZAR ISMAEL'!U$35:U$37)+SUMIF('GUZMAN MORALES'!P$40:P$42,'KM POR UNIDAD'!A58,'GUZMAN MORALES'!U$40:U$42)+SUMIF('RODRIGUEZ RAMIREZ FERNANDO'!P$35:P$37,'KM POR UNIDAD'!A58,'RODRIGUEZ RAMIREZ FERNANDO'!U$35:U$37)+SUMIF('ESTRADA ARELLANO ARTURO'!P$40:P$42,'KM POR UNIDAD'!A58,'ESTRADA ARELLANO ARTURO'!U$40:U$42)+SUMIF('HERNANDEZ CONTRERAS JOSE FERNAN'!P$37:P$39,'KM POR UNIDAD'!A58,'HERNANDEZ CONTRERAS JOSE FERNAN'!U$37:U$39)+SUMIF('SALAZAR PEREZ JUAN CARLOS'!P$38:P$40,'KM POR UNIDAD'!A58,'SALAZAR PEREZ JUAN CARLOS'!U$38:U$40)+SUMIF('HARO IMPERIAL JOSÉ ANTONIO'!P$41:P$43,'KM POR UNIDAD'!A58,'HARO IMPERIAL JOSÉ ANTONIO'!U$41:$U101)+SUMIF('ESCARCEGA GALDEAN JESUS OMAR'!P$38:P$40,'KM POR UNIDAD'!A58,'ESCARCEGA GALDEAN JESUS OMAR'!U$38:U$40)</f>
        <v>4084</v>
      </c>
      <c r="C58" s="166">
        <f>+SUMIF('LIRA TRISTAN JOSE ANGEL'!P$36:P$38,'KM POR UNIDAD'!A58,'LIRA TRISTAN JOSE ANGEL'!T$36:T$38)+SUMIF('TORRES GARAY LUIS HUMBERTO'!P$38:P$40,'KM POR UNIDAD'!A58,'TORRES GARAY LUIS HUMBERTO'!T$38:T$40)+SUMIF('CERDA HERNANDEZ JOSE LUIS'!P$35:P$37,'KM POR UNIDAD'!A58,'CERDA HERNANDEZ JOSE LUIS'!T$35:T$37)+SUMIF('RUIZ ALVARADO PEDRO'!P$32:P$34,'KM POR UNIDAD'!A58,'RUIZ ALVARADO PEDRO'!T$32:T$34)+SUMIF('NEVAREZ JUAN MANUEL'!P$37:P$39,'KM POR UNIDAD'!A58,'NEVAREZ JUAN MANUEL'!T$37:T$39)+SUMIF('CHAVEZ VARELA NESTOR ADRIAN'!P$35:P$37,'KM POR UNIDAD'!A58,'CHAVEZ VARELA NESTOR ADRIAN'!T$35:T$37)+SUMIF('PAYAN ESTRADA JOSE ANGEL'!P$37:P$39,'KM POR UNIDAD'!A58,'PAYAN ESTRADA JOSE ANGEL'!T$37:T$39)+SUMIF('RUIZ HERRERA ERICK '!P$33:P$35,'KM POR UNIDAD'!A58,'RUIZ HERRERA ERICK '!T$33:T$35)+SUMIF('GONZALEZ LOZANO ENRIQUE '!P$38:P$40,'KM POR UNIDAD'!A58,'GONZALEZ LOZANO ENRIQUE '!T$38:T$40)+SUMIF('GONZALEZ MARTINEZ MAURICIO'!P$38:P$40,'KM POR UNIDAD'!A58,'GONZALEZ MARTINEZ MAURICIO'!T$38:T$40)+SUMIF('GONZALEZ SOTO JOEL'!P$39:P$41,'KM POR UNIDAD'!A58,'GONZALEZ SOTO JOEL'!T$39:T$41)+SUMIF('MARTA RUBIO MARTIN'!P$39:P$41,'KM POR UNIDAD'!A58,'MARTA RUBIO MARTIN'!T$39:T$41)+SUMIF('GRIJALVA VALDEZ CESAR EUSEBIO'!P$35:P$37,'KM POR UNIDAD'!A58,'GRIJALVA VALDEZ CESAR EUSEBIO'!T$35:T$37)+SUMIF('PACHECO BAÑUELOS ALFONSO'!P$39:P$41,'KM POR UNIDAD'!A58,'PACHECO BAÑUELOS ALFONSO'!T$39:T$41)+SUMIF('RODRIGUEZ VALLES JOSE FRANCISCO'!P$40:P$42,'KM POR UNIDAD'!A58,'RODRIGUEZ VALLES JOSE FRANCISCO'!T$40:T$42)+SUMIF('SANCHEZ GUERRERO JOSE LUIS'!P$40:P$42,A58,'SANCHEZ GUERRERO JOSE LUIS'!T$40:T$42)+SUMIF('RUEDA SALAZAR ISMAEL'!P$35:P$37,'KM POR UNIDAD'!A58,'RUEDA SALAZAR ISMAEL'!T$35:T$37)+SUMIF('GUZMAN MORALES'!P$40:P$42,'KM POR UNIDAD'!A58,'GUZMAN MORALES'!T$40:T$42)+SUMIF('RODRIGUEZ RAMIREZ FERNANDO'!P$35:P$37,'KM POR UNIDAD'!A58,'RODRIGUEZ RAMIREZ FERNANDO'!T$35:T$37)+SUMIF('ESTRADA ARELLANO ARTURO'!P$40:P$42,'KM POR UNIDAD'!A58,'ESTRADA ARELLANO ARTURO'!T$40:T$42)+SUMIF('HERNANDEZ CONTRERAS JOSE FERNAN'!P$37:P$39,'KM POR UNIDAD'!A58,'HERNANDEZ CONTRERAS JOSE FERNAN'!T$37:T$39)+SUMIF('SALAZAR PEREZ JUAN CARLOS'!P$38:P$40,'KM POR UNIDAD'!A58,'SALAZAR PEREZ JUAN CARLOS'!T$38:T$40)+SUMIF('HARO IMPERIAL JOSÉ ANTONIO'!P$41:P$43,'KM POR UNIDAD'!A58,'HARO IMPERIAL JOSÉ ANTONIO'!T$41:T$43)+SUMIF('ESCARCEGA GALDEAN JESUS OMAR'!P$38:P$40,'KM POR UNIDAD'!A58,'ESCARCEGA GALDEAN JESUS OMAR'!T$38:T$40)</f>
        <v>4114</v>
      </c>
      <c r="D58" s="189">
        <f>+SUMIF('LIRA TRISTAN JOSE ANGEL'!P$36:P$38,'KM POR UNIDAD'!A58,'LIRA TRISTAN JOSE ANGEL'!V$36:V$38)+SUMIF('TORRES GARAY LUIS HUMBERTO'!P$38:P$40,'KM POR UNIDAD'!A58,'TORRES GARAY LUIS HUMBERTO'!V$38:V$40)+SUMIF('CERDA HERNANDEZ JOSE LUIS'!P$35:P$37,'KM POR UNIDAD'!A58,'CERDA HERNANDEZ JOSE LUIS'!V$35:V$37)+SUMIF('RUIZ ALVARADO PEDRO'!P$32:P$34,'KM POR UNIDAD'!A58,'RUIZ ALVARADO PEDRO'!V$32:V$34)+SUMIF('NEVAREZ JUAN MANUEL'!P$37:P$39,'KM POR UNIDAD'!A58,'NEVAREZ JUAN MANUEL'!V$37:V$39)+SUMIF('CHAVEZ VARELA NESTOR ADRIAN'!P$35:P$37,'KM POR UNIDAD'!A58,'CHAVEZ VARELA NESTOR ADRIAN'!V$35:V$37)+SUMIF('PAYAN ESTRADA JOSE ANGEL'!P$37:P$39,'KM POR UNIDAD'!A58,'PAYAN ESTRADA JOSE ANGEL'!V$37:V$39)+SUMIF('RUIZ HERRERA ERICK '!P$33:P$35,'KM POR UNIDAD'!A58,'RUIZ HERRERA ERICK '!V$33:V$35)+SUMIF('GONZALEZ LOZANO ENRIQUE '!P$38:P$40,'KM POR UNIDAD'!A58,'GONZALEZ LOZANO ENRIQUE '!V$38:V$40)+SUMIF('GONZALEZ MARTINEZ MAURICIO'!P$38:P$40,'KM POR UNIDAD'!A58,'GONZALEZ MARTINEZ MAURICIO'!V$38:V$40)+SUMIF('GONZALEZ SOTO JOEL'!P$39:P$41,'KM POR UNIDAD'!A58,'GONZALEZ SOTO JOEL'!V$39:V$41)+SUMIF('MARTA RUBIO MARTIN'!P$39:P$41,'KM POR UNIDAD'!A58,'MARTA RUBIO MARTIN'!V$39:V$41)+SUMIF('GRIJALVA VALDEZ CESAR EUSEBIO'!P$35:P$37,'KM POR UNIDAD'!A58,'GRIJALVA VALDEZ CESAR EUSEBIO'!V$35:V$37)+SUMIF('PACHECO BAÑUELOS ALFONSO'!P$39:P$41,'KM POR UNIDAD'!A58,'PACHECO BAÑUELOS ALFONSO'!V$39:V$41)+SUMIF('RODRIGUEZ VALLES JOSE FRANCISCO'!P$40:P$42,'KM POR UNIDAD'!A58,'RODRIGUEZ VALLES JOSE FRANCISCO'!V$40:V$42)+SUMIF('SANCHEZ GUERRERO JOSE LUIS'!P$40:P$42,A58,'SANCHEZ GUERRERO JOSE LUIS'!V$40:V$42)+SUMIF('RUEDA SALAZAR ISMAEL'!P$35:P$37,'KM POR UNIDAD'!A58,'RUEDA SALAZAR ISMAEL'!V$35:V$37)+SUMIF('GUZMAN MORALES'!P$40:P$42,'KM POR UNIDAD'!A58,'GUZMAN MORALES'!V$40:V$42)+SUMIF('RODRIGUEZ RAMIREZ FERNANDO'!P$35:P$37,'KM POR UNIDAD'!A58,'RODRIGUEZ RAMIREZ FERNANDO'!V$35:V$37)+SUMIF('ESTRADA ARELLANO ARTURO'!P$40:P$42,'KM POR UNIDAD'!A58,'ESTRADA ARELLANO ARTURO'!V$40:V$42)+SUMIF('HERNANDEZ CONTRERAS JOSE FERNAN'!P$37:P$39,'KM POR UNIDAD'!A58,'HERNANDEZ CONTRERAS JOSE FERNAN'!V$38:V$40)+SUMIF('SALAZAR PEREZ JUAN CARLOS'!P$38:P$40,'KM POR UNIDAD'!A58,'SALAZAR PEREZ JUAN CARLOS'!V$38:V$40)+SUMIF('HARO IMPERIAL JOSÉ ANTONIO'!P$41:P$43,'KM POR UNIDAD'!A58,'HARO IMPERIAL JOSÉ ANTONIO'!V$41:V$43)+SUMIF('ESCARCEGA GALDEAN JESUS OMAR'!P$38:P$40,'KM POR UNIDAD'!A58,'ESCARCEGA GALDEAN JESUS OMAR'!V$38:V$40)</f>
        <v>1243.386</v>
      </c>
      <c r="E58" s="167">
        <f t="shared" si="3"/>
        <v>3.2845793663431953</v>
      </c>
      <c r="F58" s="168"/>
      <c r="G58" s="168"/>
      <c r="H58" s="168"/>
      <c r="I58" s="169"/>
      <c r="J58" s="170"/>
      <c r="K58" s="171"/>
    </row>
    <row r="59" spans="1:11" x14ac:dyDescent="0.25">
      <c r="A59" s="165" t="s">
        <v>222</v>
      </c>
      <c r="B59" s="166">
        <f>SUMIF('LIRA TRISTAN JOSE ANGEL'!P$36:P$38,'KM POR UNIDAD'!A59,'LIRA TRISTAN JOSE ANGEL'!U$36:U$38)+SUMIF('TORRES GARAY LUIS HUMBERTO'!P$38:P$40,'KM POR UNIDAD'!A59,'TORRES GARAY LUIS HUMBERTO'!U$38:U$40)+SUMIF('CERDA HERNANDEZ JOSE LUIS'!P$35:P$37,'KM POR UNIDAD'!A59,'CERDA HERNANDEZ JOSE LUIS'!U$35:U$37)+SUMIF('RUIZ ALVARADO PEDRO'!P$32:P$34,'KM POR UNIDAD'!A59,'RUIZ ALVARADO PEDRO'!U$32:U$34)+SUMIF('NEVAREZ JUAN MANUEL'!P$37:P$39,'KM POR UNIDAD'!A59,'NEVAREZ JUAN MANUEL'!U$37:U$39)+SUMIF('CHAVEZ VARELA NESTOR ADRIAN'!P$35:P$37,'KM POR UNIDAD'!A59,'CHAVEZ VARELA NESTOR ADRIAN'!U$35:U$37)+SUMIF('PAYAN ESTRADA JOSE ANGEL'!P$37:P$39,'KM POR UNIDAD'!A59,'PAYAN ESTRADA JOSE ANGEL'!U$37:U$39)+SUMIF('RUIZ HERRERA ERICK '!P$33:P$35,'KM POR UNIDAD'!A59,'RUIZ HERRERA ERICK '!U$33:U$35)+SUMIF('GONZALEZ LOZANO ENRIQUE '!P$38:P$40,'KM POR UNIDAD'!A59,'GONZALEZ LOZANO ENRIQUE '!U$38:U$40)+SUMIF('GONZALEZ MARTINEZ MAURICIO'!P$38:P$40,'KM POR UNIDAD'!A59,'GONZALEZ MARTINEZ MAURICIO'!U$38:U$40)+SUMIF('GONZALEZ SOTO JOEL'!P$39:P$41,'KM POR UNIDAD'!A59,'GONZALEZ SOTO JOEL'!U$39:U$41)+SUMIF('MARTA RUBIO MARTIN'!P$39:P$41,'KM POR UNIDAD'!A59,'MARTA RUBIO MARTIN'!U$39:U$41)+SUMIF('GRIJALVA VALDEZ CESAR EUSEBIO'!P$35:P$37,'KM POR UNIDAD'!A59,'GRIJALVA VALDEZ CESAR EUSEBIO'!U$35:U$37)+SUMIF('PACHECO BAÑUELOS ALFONSO'!P$39:P$41,'KM POR UNIDAD'!A59,'PACHECO BAÑUELOS ALFONSO'!U$39:U$41)+SUMIF('RODRIGUEZ VALLES JOSE FRANCISCO'!P$40:P$42,'KM POR UNIDAD'!A59,'RODRIGUEZ VALLES JOSE FRANCISCO'!U$40:U$42)+SUMIF('SANCHEZ GUERRERO JOSE LUIS'!P$40:P$42,A59,'SANCHEZ GUERRERO JOSE LUIS'!U$40:U$42)+SUMIF('RUEDA SALAZAR ISMAEL'!P$35:P$37,'KM POR UNIDAD'!A59,'RUEDA SALAZAR ISMAEL'!U$35:U$37)+SUMIF('GUZMAN MORALES'!P$40:P$42,'KM POR UNIDAD'!A59,'GUZMAN MORALES'!U$40:U$42)+SUMIF('RODRIGUEZ RAMIREZ FERNANDO'!P$35:P$37,'KM POR UNIDAD'!A59,'RODRIGUEZ RAMIREZ FERNANDO'!U$35:U$37)+SUMIF('ESTRADA ARELLANO ARTURO'!P$40:P$42,'KM POR UNIDAD'!A59,'ESTRADA ARELLANO ARTURO'!U$40:U$42)+SUMIF('HERNANDEZ CONTRERAS JOSE FERNAN'!P$37:P$39,'KM POR UNIDAD'!A59,'HERNANDEZ CONTRERAS JOSE FERNAN'!U$37:U$39)+SUMIF('SALAZAR PEREZ JUAN CARLOS'!P$38:P$40,'KM POR UNIDAD'!A59,'SALAZAR PEREZ JUAN CARLOS'!U$38:U$40)+SUMIF('HARO IMPERIAL JOSÉ ANTONIO'!P$41:P$43,'KM POR UNIDAD'!A59,'HARO IMPERIAL JOSÉ ANTONIO'!U$41:$U102)+SUMIF('ESCARCEGA GALDEAN JESUS OMAR'!P$38:P$40,'KM POR UNIDAD'!A59,'ESCARCEGA GALDEAN JESUS OMAR'!U$38:U$40)</f>
        <v>2042</v>
      </c>
      <c r="C59" s="166">
        <f>+SUMIF('LIRA TRISTAN JOSE ANGEL'!P$36:P$38,'KM POR UNIDAD'!A59,'LIRA TRISTAN JOSE ANGEL'!T$36:T$38)+SUMIF('TORRES GARAY LUIS HUMBERTO'!P$38:P$40,'KM POR UNIDAD'!A59,'TORRES GARAY LUIS HUMBERTO'!T$38:T$40)+SUMIF('CERDA HERNANDEZ JOSE LUIS'!P$35:P$37,'KM POR UNIDAD'!A59,'CERDA HERNANDEZ JOSE LUIS'!T$35:T$37)+SUMIF('RUIZ ALVARADO PEDRO'!P$32:P$34,'KM POR UNIDAD'!A59,'RUIZ ALVARADO PEDRO'!T$32:T$34)+SUMIF('NEVAREZ JUAN MANUEL'!P$37:P$39,'KM POR UNIDAD'!A59,'NEVAREZ JUAN MANUEL'!T$37:T$39)+SUMIF('CHAVEZ VARELA NESTOR ADRIAN'!P$35:P$37,'KM POR UNIDAD'!A59,'CHAVEZ VARELA NESTOR ADRIAN'!T$35:T$37)+SUMIF('PAYAN ESTRADA JOSE ANGEL'!P$37:P$39,'KM POR UNIDAD'!A59,'PAYAN ESTRADA JOSE ANGEL'!T$37:T$39)+SUMIF('RUIZ HERRERA ERICK '!P$33:P$35,'KM POR UNIDAD'!A59,'RUIZ HERRERA ERICK '!T$33:T$35)+SUMIF('GONZALEZ LOZANO ENRIQUE '!P$38:P$40,'KM POR UNIDAD'!A59,'GONZALEZ LOZANO ENRIQUE '!T$38:T$40)+SUMIF('GONZALEZ MARTINEZ MAURICIO'!P$38:P$40,'KM POR UNIDAD'!A59,'GONZALEZ MARTINEZ MAURICIO'!T$38:T$40)+SUMIF('GONZALEZ SOTO JOEL'!P$39:P$41,'KM POR UNIDAD'!A59,'GONZALEZ SOTO JOEL'!T$39:T$41)+SUMIF('MARTA RUBIO MARTIN'!P$39:P$41,'KM POR UNIDAD'!A59,'MARTA RUBIO MARTIN'!T$39:T$41)+SUMIF('GRIJALVA VALDEZ CESAR EUSEBIO'!P$35:P$37,'KM POR UNIDAD'!A59,'GRIJALVA VALDEZ CESAR EUSEBIO'!T$35:T$37)+SUMIF('PACHECO BAÑUELOS ALFONSO'!P$39:P$41,'KM POR UNIDAD'!A59,'PACHECO BAÑUELOS ALFONSO'!T$39:T$41)+SUMIF('RODRIGUEZ VALLES JOSE FRANCISCO'!P$40:P$42,'KM POR UNIDAD'!A59,'RODRIGUEZ VALLES JOSE FRANCISCO'!T$40:T$42)+SUMIF('SANCHEZ GUERRERO JOSE LUIS'!P$40:P$42,A59,'SANCHEZ GUERRERO JOSE LUIS'!T$40:T$42)+SUMIF('RUEDA SALAZAR ISMAEL'!P$35:P$37,'KM POR UNIDAD'!A59,'RUEDA SALAZAR ISMAEL'!T$35:T$37)+SUMIF('GUZMAN MORALES'!P$40:P$42,'KM POR UNIDAD'!A59,'GUZMAN MORALES'!T$40:T$42)+SUMIF('RODRIGUEZ RAMIREZ FERNANDO'!P$35:P$37,'KM POR UNIDAD'!A59,'RODRIGUEZ RAMIREZ FERNANDO'!T$35:T$37)+SUMIF('ESTRADA ARELLANO ARTURO'!P$40:P$42,'KM POR UNIDAD'!A59,'ESTRADA ARELLANO ARTURO'!T$40:T$42)+SUMIF('HERNANDEZ CONTRERAS JOSE FERNAN'!P$37:P$39,'KM POR UNIDAD'!A59,'HERNANDEZ CONTRERAS JOSE FERNAN'!T$37:T$39)+SUMIF('SALAZAR PEREZ JUAN CARLOS'!P$38:P$40,'KM POR UNIDAD'!A59,'SALAZAR PEREZ JUAN CARLOS'!T$38:T$40)+SUMIF('HARO IMPERIAL JOSÉ ANTONIO'!P$41:P$43,'KM POR UNIDAD'!A59,'HARO IMPERIAL JOSÉ ANTONIO'!T$41:T$43)+SUMIF('ESCARCEGA GALDEAN JESUS OMAR'!P$38:P$40,'KM POR UNIDAD'!A59,'ESCARCEGA GALDEAN JESUS OMAR'!T$38:T$40)</f>
        <v>2045</v>
      </c>
      <c r="D59" s="189">
        <f>+SUMIF('LIRA TRISTAN JOSE ANGEL'!P$36:P$38,'KM POR UNIDAD'!A59,'LIRA TRISTAN JOSE ANGEL'!V$36:V$38)+SUMIF('TORRES GARAY LUIS HUMBERTO'!P$38:P$40,'KM POR UNIDAD'!A59,'TORRES GARAY LUIS HUMBERTO'!V$38:V$40)+SUMIF('CERDA HERNANDEZ JOSE LUIS'!P$35:P$37,'KM POR UNIDAD'!A59,'CERDA HERNANDEZ JOSE LUIS'!V$35:V$37)+SUMIF('RUIZ ALVARADO PEDRO'!P$32:P$34,'KM POR UNIDAD'!A59,'RUIZ ALVARADO PEDRO'!V$32:V$34)+SUMIF('NEVAREZ JUAN MANUEL'!P$37:P$39,'KM POR UNIDAD'!A59,'NEVAREZ JUAN MANUEL'!V$37:V$39)+SUMIF('CHAVEZ VARELA NESTOR ADRIAN'!P$35:P$37,'KM POR UNIDAD'!A59,'CHAVEZ VARELA NESTOR ADRIAN'!V$35:V$37)+SUMIF('PAYAN ESTRADA JOSE ANGEL'!P$37:P$39,'KM POR UNIDAD'!A59,'PAYAN ESTRADA JOSE ANGEL'!V$37:V$39)+SUMIF('RUIZ HERRERA ERICK '!P$33:P$35,'KM POR UNIDAD'!A59,'RUIZ HERRERA ERICK '!V$33:V$35)+SUMIF('GONZALEZ LOZANO ENRIQUE '!P$38:P$40,'KM POR UNIDAD'!A59,'GONZALEZ LOZANO ENRIQUE '!V$38:V$40)+SUMIF('GONZALEZ MARTINEZ MAURICIO'!P$38:P$40,'KM POR UNIDAD'!A59,'GONZALEZ MARTINEZ MAURICIO'!V$38:V$40)+SUMIF('GONZALEZ SOTO JOEL'!P$39:P$41,'KM POR UNIDAD'!A59,'GONZALEZ SOTO JOEL'!V$39:V$41)+SUMIF('MARTA RUBIO MARTIN'!P$39:P$41,'KM POR UNIDAD'!A59,'MARTA RUBIO MARTIN'!V$39:V$41)+SUMIF('GRIJALVA VALDEZ CESAR EUSEBIO'!P$35:P$37,'KM POR UNIDAD'!A59,'GRIJALVA VALDEZ CESAR EUSEBIO'!V$35:V$37)+SUMIF('PACHECO BAÑUELOS ALFONSO'!P$39:P$41,'KM POR UNIDAD'!A59,'PACHECO BAÑUELOS ALFONSO'!V$39:V$41)+SUMIF('RODRIGUEZ VALLES JOSE FRANCISCO'!P$40:P$42,'KM POR UNIDAD'!A59,'RODRIGUEZ VALLES JOSE FRANCISCO'!V$40:V$42)+SUMIF('SANCHEZ GUERRERO JOSE LUIS'!P$40:P$42,A59,'SANCHEZ GUERRERO JOSE LUIS'!V$40:V$42)+SUMIF('RUEDA SALAZAR ISMAEL'!P$35:P$37,'KM POR UNIDAD'!A59,'RUEDA SALAZAR ISMAEL'!V$35:V$37)+SUMIF('GUZMAN MORALES'!P$40:P$42,'KM POR UNIDAD'!A59,'GUZMAN MORALES'!V$40:V$42)+SUMIF('RODRIGUEZ RAMIREZ FERNANDO'!P$35:P$37,'KM POR UNIDAD'!A59,'RODRIGUEZ RAMIREZ FERNANDO'!V$35:V$37)+SUMIF('ESTRADA ARELLANO ARTURO'!P$40:P$42,'KM POR UNIDAD'!A59,'ESTRADA ARELLANO ARTURO'!V$40:V$42)+SUMIF('HERNANDEZ CONTRERAS JOSE FERNAN'!P$37:P$39,'KM POR UNIDAD'!A59,'HERNANDEZ CONTRERAS JOSE FERNAN'!V$38:V$40)+SUMIF('SALAZAR PEREZ JUAN CARLOS'!P$38:P$40,'KM POR UNIDAD'!A59,'SALAZAR PEREZ JUAN CARLOS'!V$38:V$40)+SUMIF('HARO IMPERIAL JOSÉ ANTONIO'!P$41:P$43,'KM POR UNIDAD'!A59,'HARO IMPERIAL JOSÉ ANTONIO'!V$41:V$43)+SUMIF('ESCARCEGA GALDEAN JESUS OMAR'!P$38:P$40,'KM POR UNIDAD'!A59,'ESCARCEGA GALDEAN JESUS OMAR'!V$38:V$40)</f>
        <v>534.67499999999995</v>
      </c>
      <c r="E59" s="167">
        <f t="shared" si="3"/>
        <v>3.8191424697245995</v>
      </c>
      <c r="F59" s="168"/>
      <c r="G59" s="168"/>
      <c r="H59" s="168"/>
      <c r="I59" s="169"/>
      <c r="J59" s="170"/>
      <c r="K59" s="171"/>
    </row>
    <row r="60" spans="1:11" x14ac:dyDescent="0.25">
      <c r="A60" s="165" t="s">
        <v>223</v>
      </c>
      <c r="B60" s="166">
        <f>SUMIF('LIRA TRISTAN JOSE ANGEL'!P$36:P$38,'KM POR UNIDAD'!A60,'LIRA TRISTAN JOSE ANGEL'!U$36:U$38)+SUMIF('TORRES GARAY LUIS HUMBERTO'!P$38:P$40,'KM POR UNIDAD'!A60,'TORRES GARAY LUIS HUMBERTO'!U$38:U$40)+SUMIF('CERDA HERNANDEZ JOSE LUIS'!P$35:P$37,'KM POR UNIDAD'!A60,'CERDA HERNANDEZ JOSE LUIS'!U$35:U$37)+SUMIF('RUIZ ALVARADO PEDRO'!P$32:P$34,'KM POR UNIDAD'!A60,'RUIZ ALVARADO PEDRO'!U$32:U$34)+SUMIF('NEVAREZ JUAN MANUEL'!P$37:P$39,'KM POR UNIDAD'!A60,'NEVAREZ JUAN MANUEL'!U$37:U$39)+SUMIF('CHAVEZ VARELA NESTOR ADRIAN'!P$35:P$37,'KM POR UNIDAD'!A60,'CHAVEZ VARELA NESTOR ADRIAN'!U$35:U$37)+SUMIF('PAYAN ESTRADA JOSE ANGEL'!P$37:P$39,'KM POR UNIDAD'!A60,'PAYAN ESTRADA JOSE ANGEL'!U$37:U$39)+SUMIF('RUIZ HERRERA ERICK '!P$33:P$35,'KM POR UNIDAD'!A60,'RUIZ HERRERA ERICK '!U$33:U$35)+SUMIF('GONZALEZ LOZANO ENRIQUE '!P$38:P$40,'KM POR UNIDAD'!A60,'GONZALEZ LOZANO ENRIQUE '!U$38:U$40)+SUMIF('GONZALEZ MARTINEZ MAURICIO'!P$38:P$40,'KM POR UNIDAD'!A60,'GONZALEZ MARTINEZ MAURICIO'!U$38:U$40)+SUMIF('GONZALEZ SOTO JOEL'!P$39:P$41,'KM POR UNIDAD'!A60,'GONZALEZ SOTO JOEL'!U$39:U$41)+SUMIF('MARTA RUBIO MARTIN'!P$39:P$41,'KM POR UNIDAD'!A60,'MARTA RUBIO MARTIN'!U$39:U$41)+SUMIF('GRIJALVA VALDEZ CESAR EUSEBIO'!P$35:P$37,'KM POR UNIDAD'!A60,'GRIJALVA VALDEZ CESAR EUSEBIO'!U$35:U$37)+SUMIF('PACHECO BAÑUELOS ALFONSO'!P$39:P$41,'KM POR UNIDAD'!A60,'PACHECO BAÑUELOS ALFONSO'!U$39:U$41)+SUMIF('RODRIGUEZ VALLES JOSE FRANCISCO'!P$40:P$42,'KM POR UNIDAD'!A60,'RODRIGUEZ VALLES JOSE FRANCISCO'!U$40:U$42)+SUMIF('SANCHEZ GUERRERO JOSE LUIS'!P$40:P$42,A60,'SANCHEZ GUERRERO JOSE LUIS'!U$40:U$42)+SUMIF('RUEDA SALAZAR ISMAEL'!P$35:P$37,'KM POR UNIDAD'!A60,'RUEDA SALAZAR ISMAEL'!U$35:U$37)+SUMIF('GUZMAN MORALES'!P$40:P$42,'KM POR UNIDAD'!A60,'GUZMAN MORALES'!U$40:U$42)+SUMIF('RODRIGUEZ RAMIREZ FERNANDO'!P$35:P$37,'KM POR UNIDAD'!A60,'RODRIGUEZ RAMIREZ FERNANDO'!U$35:U$37)+SUMIF('ESTRADA ARELLANO ARTURO'!P$40:P$42,'KM POR UNIDAD'!A60,'ESTRADA ARELLANO ARTURO'!U$40:U$42)+SUMIF('HERNANDEZ CONTRERAS JOSE FERNAN'!P$37:P$39,'KM POR UNIDAD'!A60,'HERNANDEZ CONTRERAS JOSE FERNAN'!U$37:U$39)+SUMIF('SALAZAR PEREZ JUAN CARLOS'!P$38:P$40,'KM POR UNIDAD'!A60,'SALAZAR PEREZ JUAN CARLOS'!U$38:U$40)+SUMIF('HARO IMPERIAL JOSÉ ANTONIO'!P$41:P$43,'KM POR UNIDAD'!A60,'HARO IMPERIAL JOSÉ ANTONIO'!U$41:$U103)+SUMIF('ESCARCEGA GALDEAN JESUS OMAR'!P$38:P$40,'KM POR UNIDAD'!A60,'ESCARCEGA GALDEAN JESUS OMAR'!U$38:U$40)</f>
        <v>4760</v>
      </c>
      <c r="C60" s="166">
        <f>+SUMIF('LIRA TRISTAN JOSE ANGEL'!P$36:P$38,'KM POR UNIDAD'!A60,'LIRA TRISTAN JOSE ANGEL'!T$36:T$38)+SUMIF('TORRES GARAY LUIS HUMBERTO'!P$38:P$40,'KM POR UNIDAD'!A60,'TORRES GARAY LUIS HUMBERTO'!T$38:T$40)+SUMIF('CERDA HERNANDEZ JOSE LUIS'!P$35:P$37,'KM POR UNIDAD'!A60,'CERDA HERNANDEZ JOSE LUIS'!T$35:T$37)+SUMIF('RUIZ ALVARADO PEDRO'!P$32:P$34,'KM POR UNIDAD'!A60,'RUIZ ALVARADO PEDRO'!T$32:T$34)+SUMIF('NEVAREZ JUAN MANUEL'!P$37:P$39,'KM POR UNIDAD'!A60,'NEVAREZ JUAN MANUEL'!T$37:T$39)+SUMIF('CHAVEZ VARELA NESTOR ADRIAN'!P$35:P$37,'KM POR UNIDAD'!A60,'CHAVEZ VARELA NESTOR ADRIAN'!T$35:T$37)+SUMIF('PAYAN ESTRADA JOSE ANGEL'!P$37:P$39,'KM POR UNIDAD'!A60,'PAYAN ESTRADA JOSE ANGEL'!T$37:T$39)+SUMIF('RUIZ HERRERA ERICK '!P$33:P$35,'KM POR UNIDAD'!A60,'RUIZ HERRERA ERICK '!T$33:T$35)+SUMIF('GONZALEZ LOZANO ENRIQUE '!P$38:P$40,'KM POR UNIDAD'!A60,'GONZALEZ LOZANO ENRIQUE '!T$38:T$40)+SUMIF('GONZALEZ MARTINEZ MAURICIO'!P$38:P$40,'KM POR UNIDAD'!A60,'GONZALEZ MARTINEZ MAURICIO'!T$38:T$40)+SUMIF('GONZALEZ SOTO JOEL'!P$39:P$41,'KM POR UNIDAD'!A60,'GONZALEZ SOTO JOEL'!T$39:T$41)+SUMIF('MARTA RUBIO MARTIN'!P$39:P$41,'KM POR UNIDAD'!A60,'MARTA RUBIO MARTIN'!T$39:T$41)+SUMIF('GRIJALVA VALDEZ CESAR EUSEBIO'!P$35:P$37,'KM POR UNIDAD'!A60,'GRIJALVA VALDEZ CESAR EUSEBIO'!T$35:T$37)+SUMIF('PACHECO BAÑUELOS ALFONSO'!P$39:P$41,'KM POR UNIDAD'!A60,'PACHECO BAÑUELOS ALFONSO'!T$39:T$41)+SUMIF('RODRIGUEZ VALLES JOSE FRANCISCO'!P$40:P$42,'KM POR UNIDAD'!A60,'RODRIGUEZ VALLES JOSE FRANCISCO'!T$40:T$42)+SUMIF('SANCHEZ GUERRERO JOSE LUIS'!P$40:P$42,A60,'SANCHEZ GUERRERO JOSE LUIS'!T$40:T$42)+SUMIF('RUEDA SALAZAR ISMAEL'!P$35:P$37,'KM POR UNIDAD'!A60,'RUEDA SALAZAR ISMAEL'!T$35:T$37)+SUMIF('GUZMAN MORALES'!P$40:P$42,'KM POR UNIDAD'!A60,'GUZMAN MORALES'!T$40:T$42)+SUMIF('RODRIGUEZ RAMIREZ FERNANDO'!P$35:P$37,'KM POR UNIDAD'!A60,'RODRIGUEZ RAMIREZ FERNANDO'!T$35:T$37)+SUMIF('ESTRADA ARELLANO ARTURO'!P$40:P$42,'KM POR UNIDAD'!A60,'ESTRADA ARELLANO ARTURO'!T$40:T$42)+SUMIF('HERNANDEZ CONTRERAS JOSE FERNAN'!P$37:P$39,'KM POR UNIDAD'!A60,'HERNANDEZ CONTRERAS JOSE FERNAN'!T$37:T$39)+SUMIF('SALAZAR PEREZ JUAN CARLOS'!P$38:P$40,'KM POR UNIDAD'!A60,'SALAZAR PEREZ JUAN CARLOS'!T$38:T$40)+SUMIF('HARO IMPERIAL JOSÉ ANTONIO'!P$41:P$43,'KM POR UNIDAD'!A60,'HARO IMPERIAL JOSÉ ANTONIO'!T$41:T$43)+SUMIF('ESCARCEGA GALDEAN JESUS OMAR'!P$38:P$40,'KM POR UNIDAD'!A60,'ESCARCEGA GALDEAN JESUS OMAR'!T$38:T$40)</f>
        <v>4799</v>
      </c>
      <c r="D60" s="189">
        <f>+SUMIF('LIRA TRISTAN JOSE ANGEL'!P$36:P$38,'KM POR UNIDAD'!A60,'LIRA TRISTAN JOSE ANGEL'!V$36:V$38)+SUMIF('TORRES GARAY LUIS HUMBERTO'!P$38:P$40,'KM POR UNIDAD'!A60,'TORRES GARAY LUIS HUMBERTO'!V$38:V$40)+SUMIF('CERDA HERNANDEZ JOSE LUIS'!P$35:P$37,'KM POR UNIDAD'!A60,'CERDA HERNANDEZ JOSE LUIS'!V$35:V$37)+SUMIF('RUIZ ALVARADO PEDRO'!P$32:P$34,'KM POR UNIDAD'!A60,'RUIZ ALVARADO PEDRO'!V$32:V$34)+SUMIF('NEVAREZ JUAN MANUEL'!P$37:P$39,'KM POR UNIDAD'!A60,'NEVAREZ JUAN MANUEL'!V$37:V$39)+SUMIF('CHAVEZ VARELA NESTOR ADRIAN'!P$35:P$37,'KM POR UNIDAD'!A60,'CHAVEZ VARELA NESTOR ADRIAN'!V$35:V$37)+SUMIF('PAYAN ESTRADA JOSE ANGEL'!P$37:P$39,'KM POR UNIDAD'!A60,'PAYAN ESTRADA JOSE ANGEL'!V$37:V$39)+SUMIF('RUIZ HERRERA ERICK '!P$33:P$35,'KM POR UNIDAD'!A60,'RUIZ HERRERA ERICK '!V$33:V$35)+SUMIF('GONZALEZ LOZANO ENRIQUE '!P$38:P$40,'KM POR UNIDAD'!A60,'GONZALEZ LOZANO ENRIQUE '!V$38:V$40)+SUMIF('GONZALEZ MARTINEZ MAURICIO'!P$38:P$40,'KM POR UNIDAD'!A60,'GONZALEZ MARTINEZ MAURICIO'!V$38:V$40)+SUMIF('GONZALEZ SOTO JOEL'!P$39:P$41,'KM POR UNIDAD'!A60,'GONZALEZ SOTO JOEL'!V$39:V$41)+SUMIF('MARTA RUBIO MARTIN'!P$39:P$41,'KM POR UNIDAD'!A60,'MARTA RUBIO MARTIN'!V$39:V$41)+SUMIF('GRIJALVA VALDEZ CESAR EUSEBIO'!P$35:P$37,'KM POR UNIDAD'!A60,'GRIJALVA VALDEZ CESAR EUSEBIO'!V$35:V$37)+SUMIF('PACHECO BAÑUELOS ALFONSO'!P$39:P$41,'KM POR UNIDAD'!A60,'PACHECO BAÑUELOS ALFONSO'!V$39:V$41)+SUMIF('RODRIGUEZ VALLES JOSE FRANCISCO'!P$40:P$42,'KM POR UNIDAD'!A60,'RODRIGUEZ VALLES JOSE FRANCISCO'!V$40:V$42)+SUMIF('SANCHEZ GUERRERO JOSE LUIS'!P$40:P$42,A60,'SANCHEZ GUERRERO JOSE LUIS'!V$40:V$42)+SUMIF('RUEDA SALAZAR ISMAEL'!P$35:P$37,'KM POR UNIDAD'!A60,'RUEDA SALAZAR ISMAEL'!V$35:V$37)+SUMIF('GUZMAN MORALES'!P$40:P$42,'KM POR UNIDAD'!A60,'GUZMAN MORALES'!V$40:V$42)+SUMIF('RODRIGUEZ RAMIREZ FERNANDO'!P$35:P$37,'KM POR UNIDAD'!A60,'RODRIGUEZ RAMIREZ FERNANDO'!V$35:V$37)+SUMIF('ESTRADA ARELLANO ARTURO'!P$40:P$42,'KM POR UNIDAD'!A60,'ESTRADA ARELLANO ARTURO'!V$40:V$42)+SUMIF('HERNANDEZ CONTRERAS JOSE FERNAN'!P$37:P$39,'KM POR UNIDAD'!A60,'HERNANDEZ CONTRERAS JOSE FERNAN'!V$38:V$40)+SUMIF('SALAZAR PEREZ JUAN CARLOS'!P$38:P$40,'KM POR UNIDAD'!A60,'SALAZAR PEREZ JUAN CARLOS'!V$38:V$40)+SUMIF('HARO IMPERIAL JOSÉ ANTONIO'!P$41:P$43,'KM POR UNIDAD'!A60,'HARO IMPERIAL JOSÉ ANTONIO'!V$41:V$43)+SUMIF('ESCARCEGA GALDEAN JESUS OMAR'!P$38:P$40,'KM POR UNIDAD'!A60,'ESCARCEGA GALDEAN JESUS OMAR'!V$38:V$40)</f>
        <v>1422.6590000000001</v>
      </c>
      <c r="E60" s="167">
        <f t="shared" ref="E60:E67" si="4">IFERROR(B60/D60,0)</f>
        <v>3.3458474588780582</v>
      </c>
      <c r="F60" s="168"/>
      <c r="G60" s="168"/>
      <c r="H60" s="168"/>
      <c r="I60" s="169"/>
      <c r="J60" s="170"/>
      <c r="K60" s="171"/>
    </row>
    <row r="61" spans="1:11" x14ac:dyDescent="0.25">
      <c r="A61" s="165" t="s">
        <v>232</v>
      </c>
      <c r="B61" s="166">
        <f>SUMIF('LIRA TRISTAN JOSE ANGEL'!P$36:P$38,'KM POR UNIDAD'!A61,'LIRA TRISTAN JOSE ANGEL'!U$36:U$38)+SUMIF('TORRES GARAY LUIS HUMBERTO'!P$38:P$40,'KM POR UNIDAD'!A61,'TORRES GARAY LUIS HUMBERTO'!U$38:U$40)+SUMIF('CERDA HERNANDEZ JOSE LUIS'!P$35:P$37,'KM POR UNIDAD'!A61,'CERDA HERNANDEZ JOSE LUIS'!U$35:U$37)+SUMIF('RUIZ ALVARADO PEDRO'!P$32:P$34,'KM POR UNIDAD'!A61,'RUIZ ALVARADO PEDRO'!U$32:U$34)+SUMIF('NEVAREZ JUAN MANUEL'!P$37:P$39,'KM POR UNIDAD'!A61,'NEVAREZ JUAN MANUEL'!U$37:U$39)+SUMIF('CHAVEZ VARELA NESTOR ADRIAN'!P$35:P$37,'KM POR UNIDAD'!A61,'CHAVEZ VARELA NESTOR ADRIAN'!U$35:U$37)+SUMIF('PAYAN ESTRADA JOSE ANGEL'!P$37:P$39,'KM POR UNIDAD'!A61,'PAYAN ESTRADA JOSE ANGEL'!U$37:U$39)+SUMIF('RUIZ HERRERA ERICK '!P$33:P$35,'KM POR UNIDAD'!A61,'RUIZ HERRERA ERICK '!U$33:U$35)+SUMIF('GONZALEZ LOZANO ENRIQUE '!P$38:P$40,'KM POR UNIDAD'!A61,'GONZALEZ LOZANO ENRIQUE '!U$38:U$40)+SUMIF('GONZALEZ MARTINEZ MAURICIO'!P$38:P$40,'KM POR UNIDAD'!A61,'GONZALEZ MARTINEZ MAURICIO'!U$38:U$40)+SUMIF('GONZALEZ SOTO JOEL'!P$39:P$41,'KM POR UNIDAD'!A61,'GONZALEZ SOTO JOEL'!U$39:U$41)+SUMIF('MARTA RUBIO MARTIN'!P$39:P$41,'KM POR UNIDAD'!A61,'MARTA RUBIO MARTIN'!U$39:U$41)+SUMIF('GRIJALVA VALDEZ CESAR EUSEBIO'!P$35:P$37,'KM POR UNIDAD'!A61,'GRIJALVA VALDEZ CESAR EUSEBIO'!U$35:U$37)+SUMIF('PACHECO BAÑUELOS ALFONSO'!P$39:P$41,'KM POR UNIDAD'!A61,'PACHECO BAÑUELOS ALFONSO'!U$39:U$41)+SUMIF('RODRIGUEZ VALLES JOSE FRANCISCO'!P$40:P$42,'KM POR UNIDAD'!A61,'RODRIGUEZ VALLES JOSE FRANCISCO'!U$40:U$42)+SUMIF('SANCHEZ GUERRERO JOSE LUIS'!P$40:P$42,A61,'SANCHEZ GUERRERO JOSE LUIS'!U$40:U$42)+SUMIF('RUEDA SALAZAR ISMAEL'!P$35:P$37,'KM POR UNIDAD'!A61,'RUEDA SALAZAR ISMAEL'!U$35:U$37)+SUMIF('GUZMAN MORALES'!P$40:P$42,'KM POR UNIDAD'!A61,'GUZMAN MORALES'!U$40:U$42)+SUMIF('RODRIGUEZ RAMIREZ FERNANDO'!P$35:P$37,'KM POR UNIDAD'!A61,'RODRIGUEZ RAMIREZ FERNANDO'!U$35:U$37)+SUMIF('ESTRADA ARELLANO ARTURO'!P$40:P$42,'KM POR UNIDAD'!A61,'ESTRADA ARELLANO ARTURO'!U$40:U$42)+SUMIF('HERNANDEZ CONTRERAS JOSE FERNAN'!P$37:P$39,'KM POR UNIDAD'!A61,'HERNANDEZ CONTRERAS JOSE FERNAN'!U$37:U$39)+SUMIF('SALAZAR PEREZ JUAN CARLOS'!P$38:P$40,'KM POR UNIDAD'!A61,'SALAZAR PEREZ JUAN CARLOS'!U$38:U$40)+SUMIF('HARO IMPERIAL JOSÉ ANTONIO'!P$41:P$43,'KM POR UNIDAD'!A61,'HARO IMPERIAL JOSÉ ANTONIO'!U$41:$U104)+SUMIF('ESCARCEGA GALDEAN JESUS OMAR'!P$38:P$40,'KM POR UNIDAD'!A61,'ESCARCEGA GALDEAN JESUS OMAR'!U$38:U$40)</f>
        <v>2660</v>
      </c>
      <c r="C61" s="166">
        <f>+SUMIF('LIRA TRISTAN JOSE ANGEL'!P$36:P$38,'KM POR UNIDAD'!A61,'LIRA TRISTAN JOSE ANGEL'!T$36:T$38)+SUMIF('TORRES GARAY LUIS HUMBERTO'!P$38:P$40,'KM POR UNIDAD'!A61,'TORRES GARAY LUIS HUMBERTO'!T$38:T$40)+SUMIF('CERDA HERNANDEZ JOSE LUIS'!P$35:P$37,'KM POR UNIDAD'!A61,'CERDA HERNANDEZ JOSE LUIS'!T$35:T$37)+SUMIF('RUIZ ALVARADO PEDRO'!P$32:P$34,'KM POR UNIDAD'!A61,'RUIZ ALVARADO PEDRO'!T$32:T$34)+SUMIF('NEVAREZ JUAN MANUEL'!P$37:P$39,'KM POR UNIDAD'!A61,'NEVAREZ JUAN MANUEL'!T$37:T$39)+SUMIF('CHAVEZ VARELA NESTOR ADRIAN'!P$35:P$37,'KM POR UNIDAD'!A61,'CHAVEZ VARELA NESTOR ADRIAN'!T$35:T$37)+SUMIF('PAYAN ESTRADA JOSE ANGEL'!P$37:P$39,'KM POR UNIDAD'!A61,'PAYAN ESTRADA JOSE ANGEL'!T$37:T$39)+SUMIF('RUIZ HERRERA ERICK '!P$33:P$35,'KM POR UNIDAD'!A61,'RUIZ HERRERA ERICK '!T$33:T$35)+SUMIF('GONZALEZ LOZANO ENRIQUE '!P$38:P$40,'KM POR UNIDAD'!A61,'GONZALEZ LOZANO ENRIQUE '!T$38:T$40)+SUMIF('GONZALEZ MARTINEZ MAURICIO'!P$38:P$40,'KM POR UNIDAD'!A61,'GONZALEZ MARTINEZ MAURICIO'!T$38:T$40)+SUMIF('GONZALEZ SOTO JOEL'!P$39:P$41,'KM POR UNIDAD'!A61,'GONZALEZ SOTO JOEL'!T$39:T$41)+SUMIF('MARTA RUBIO MARTIN'!P$39:P$41,'KM POR UNIDAD'!A61,'MARTA RUBIO MARTIN'!T$39:T$41)+SUMIF('GRIJALVA VALDEZ CESAR EUSEBIO'!P$35:P$37,'KM POR UNIDAD'!A61,'GRIJALVA VALDEZ CESAR EUSEBIO'!T$35:T$37)+SUMIF('PACHECO BAÑUELOS ALFONSO'!P$39:P$41,'KM POR UNIDAD'!A61,'PACHECO BAÑUELOS ALFONSO'!T$39:T$41)+SUMIF('RODRIGUEZ VALLES JOSE FRANCISCO'!P$40:P$42,'KM POR UNIDAD'!A61,'RODRIGUEZ VALLES JOSE FRANCISCO'!T$40:T$42)+SUMIF('SANCHEZ GUERRERO JOSE LUIS'!P$40:P$42,A61,'SANCHEZ GUERRERO JOSE LUIS'!T$40:T$42)+SUMIF('RUEDA SALAZAR ISMAEL'!P$35:P$37,'KM POR UNIDAD'!A61,'RUEDA SALAZAR ISMAEL'!T$35:T$37)+SUMIF('GUZMAN MORALES'!P$40:P$42,'KM POR UNIDAD'!A61,'GUZMAN MORALES'!T$40:T$42)+SUMIF('RODRIGUEZ RAMIREZ FERNANDO'!P$35:P$37,'KM POR UNIDAD'!A61,'RODRIGUEZ RAMIREZ FERNANDO'!T$35:T$37)+SUMIF('ESTRADA ARELLANO ARTURO'!P$40:P$42,'KM POR UNIDAD'!A61,'ESTRADA ARELLANO ARTURO'!T$40:T$42)+SUMIF('HERNANDEZ CONTRERAS JOSE FERNAN'!P$37:P$39,'KM POR UNIDAD'!A61,'HERNANDEZ CONTRERAS JOSE FERNAN'!T$37:T$39)+SUMIF('SALAZAR PEREZ JUAN CARLOS'!P$38:P$40,'KM POR UNIDAD'!A61,'SALAZAR PEREZ JUAN CARLOS'!T$38:T$40)+SUMIF('HARO IMPERIAL JOSÉ ANTONIO'!P$41:P$43,'KM POR UNIDAD'!A61,'HARO IMPERIAL JOSÉ ANTONIO'!T$41:T$43)+SUMIF('ESCARCEGA GALDEAN JESUS OMAR'!P$38:P$40,'KM POR UNIDAD'!A61,'ESCARCEGA GALDEAN JESUS OMAR'!T$38:T$40)</f>
        <v>2731</v>
      </c>
      <c r="D61" s="189">
        <f>+SUMIF('LIRA TRISTAN JOSE ANGEL'!P$36:P$38,'KM POR UNIDAD'!A61,'LIRA TRISTAN JOSE ANGEL'!V$36:V$38)+SUMIF('TORRES GARAY LUIS HUMBERTO'!P$38:P$40,'KM POR UNIDAD'!A61,'TORRES GARAY LUIS HUMBERTO'!V$38:V$40)+SUMIF('CERDA HERNANDEZ JOSE LUIS'!P$35:P$37,'KM POR UNIDAD'!A61,'CERDA HERNANDEZ JOSE LUIS'!V$35:V$37)+SUMIF('RUIZ ALVARADO PEDRO'!P$32:P$34,'KM POR UNIDAD'!A61,'RUIZ ALVARADO PEDRO'!V$32:V$34)+SUMIF('NEVAREZ JUAN MANUEL'!P$37:P$39,'KM POR UNIDAD'!A61,'NEVAREZ JUAN MANUEL'!V$37:V$39)+SUMIF('CHAVEZ VARELA NESTOR ADRIAN'!P$35:P$37,'KM POR UNIDAD'!A61,'CHAVEZ VARELA NESTOR ADRIAN'!V$35:V$37)+SUMIF('PAYAN ESTRADA JOSE ANGEL'!P$37:P$39,'KM POR UNIDAD'!A61,'PAYAN ESTRADA JOSE ANGEL'!V$37:V$39)+SUMIF('RUIZ HERRERA ERICK '!P$33:P$35,'KM POR UNIDAD'!A61,'RUIZ HERRERA ERICK '!V$33:V$35)+SUMIF('GONZALEZ LOZANO ENRIQUE '!P$38:P$40,'KM POR UNIDAD'!A61,'GONZALEZ LOZANO ENRIQUE '!V$38:V$40)+SUMIF('GONZALEZ MARTINEZ MAURICIO'!P$38:P$40,'KM POR UNIDAD'!A61,'GONZALEZ MARTINEZ MAURICIO'!V$38:V$40)+SUMIF('GONZALEZ SOTO JOEL'!P$39:P$41,'KM POR UNIDAD'!A61,'GONZALEZ SOTO JOEL'!V$39:V$41)+SUMIF('MARTA RUBIO MARTIN'!P$39:P$41,'KM POR UNIDAD'!A61,'MARTA RUBIO MARTIN'!V$39:V$41)+SUMIF('GRIJALVA VALDEZ CESAR EUSEBIO'!P$35:P$37,'KM POR UNIDAD'!A61,'GRIJALVA VALDEZ CESAR EUSEBIO'!V$35:V$37)+SUMIF('PACHECO BAÑUELOS ALFONSO'!P$39:P$41,'KM POR UNIDAD'!A61,'PACHECO BAÑUELOS ALFONSO'!V$39:V$41)+SUMIF('RODRIGUEZ VALLES JOSE FRANCISCO'!P$40:P$42,'KM POR UNIDAD'!A61,'RODRIGUEZ VALLES JOSE FRANCISCO'!V$40:V$42)+SUMIF('SANCHEZ GUERRERO JOSE LUIS'!P$40:P$42,A61,'SANCHEZ GUERRERO JOSE LUIS'!V$40:V$42)+SUMIF('RUEDA SALAZAR ISMAEL'!P$35:P$37,'KM POR UNIDAD'!A61,'RUEDA SALAZAR ISMAEL'!V$35:V$37)+SUMIF('GUZMAN MORALES'!P$40:P$42,'KM POR UNIDAD'!A61,'GUZMAN MORALES'!V$40:V$42)+SUMIF('RODRIGUEZ RAMIREZ FERNANDO'!P$35:P$37,'KM POR UNIDAD'!A61,'RODRIGUEZ RAMIREZ FERNANDO'!V$35:V$37)+SUMIF('ESTRADA ARELLANO ARTURO'!P$40:P$42,'KM POR UNIDAD'!A61,'ESTRADA ARELLANO ARTURO'!V$40:V$42)+SUMIF('HERNANDEZ CONTRERAS JOSE FERNAN'!P$37:P$39,'KM POR UNIDAD'!A61,'HERNANDEZ CONTRERAS JOSE FERNAN'!V$38:V$40)+SUMIF('SALAZAR PEREZ JUAN CARLOS'!P$38:P$40,'KM POR UNIDAD'!A61,'SALAZAR PEREZ JUAN CARLOS'!V$38:V$40)+SUMIF('HARO IMPERIAL JOSÉ ANTONIO'!P$41:P$43,'KM POR UNIDAD'!A61,'HARO IMPERIAL JOSÉ ANTONIO'!V$41:V$43)+SUMIF('ESCARCEGA GALDEAN JESUS OMAR'!P$38:P$40,'KM POR UNIDAD'!A61,'ESCARCEGA GALDEAN JESUS OMAR'!V$38:V$40)</f>
        <v>801.54</v>
      </c>
      <c r="E61" s="167">
        <f t="shared" si="4"/>
        <v>3.3186116725303791</v>
      </c>
      <c r="F61" s="168"/>
      <c r="G61" s="168"/>
      <c r="H61" s="168"/>
      <c r="I61" s="169"/>
      <c r="J61" s="170"/>
      <c r="K61" s="171"/>
    </row>
    <row r="62" spans="1:11" x14ac:dyDescent="0.25">
      <c r="A62" s="165" t="s">
        <v>233</v>
      </c>
      <c r="B62" s="166">
        <f>SUMIF('LIRA TRISTAN JOSE ANGEL'!P$36:P$38,'KM POR UNIDAD'!A62,'LIRA TRISTAN JOSE ANGEL'!U$36:U$38)+SUMIF('TORRES GARAY LUIS HUMBERTO'!P$38:P$40,'KM POR UNIDAD'!A62,'TORRES GARAY LUIS HUMBERTO'!U$38:U$40)+SUMIF('CERDA HERNANDEZ JOSE LUIS'!P$35:P$37,'KM POR UNIDAD'!A62,'CERDA HERNANDEZ JOSE LUIS'!U$35:U$37)+SUMIF('RUIZ ALVARADO PEDRO'!P$32:P$34,'KM POR UNIDAD'!A62,'RUIZ ALVARADO PEDRO'!U$32:U$34)+SUMIF('NEVAREZ JUAN MANUEL'!P$37:P$39,'KM POR UNIDAD'!A62,'NEVAREZ JUAN MANUEL'!U$37:U$39)+SUMIF('CHAVEZ VARELA NESTOR ADRIAN'!P$35:P$37,'KM POR UNIDAD'!A62,'CHAVEZ VARELA NESTOR ADRIAN'!U$35:U$37)+SUMIF('PAYAN ESTRADA JOSE ANGEL'!P$37:P$39,'KM POR UNIDAD'!A62,'PAYAN ESTRADA JOSE ANGEL'!U$37:U$39)+SUMIF('RUIZ HERRERA ERICK '!P$33:P$35,'KM POR UNIDAD'!A62,'RUIZ HERRERA ERICK '!U$33:U$35)+SUMIF('GONZALEZ LOZANO ENRIQUE '!P$38:P$40,'KM POR UNIDAD'!A62,'GONZALEZ LOZANO ENRIQUE '!U$38:U$40)+SUMIF('GONZALEZ MARTINEZ MAURICIO'!P$38:P$40,'KM POR UNIDAD'!A62,'GONZALEZ MARTINEZ MAURICIO'!U$38:U$40)+SUMIF('GONZALEZ SOTO JOEL'!P$39:P$41,'KM POR UNIDAD'!A62,'GONZALEZ SOTO JOEL'!U$39:U$41)+SUMIF('MARTA RUBIO MARTIN'!P$39:P$41,'KM POR UNIDAD'!A62,'MARTA RUBIO MARTIN'!U$39:U$41)+SUMIF('GRIJALVA VALDEZ CESAR EUSEBIO'!P$35:P$37,'KM POR UNIDAD'!A62,'GRIJALVA VALDEZ CESAR EUSEBIO'!U$35:U$37)+SUMIF('PACHECO BAÑUELOS ALFONSO'!P$39:P$41,'KM POR UNIDAD'!A62,'PACHECO BAÑUELOS ALFONSO'!U$39:U$41)+SUMIF('RODRIGUEZ VALLES JOSE FRANCISCO'!P$40:P$42,'KM POR UNIDAD'!A62,'RODRIGUEZ VALLES JOSE FRANCISCO'!U$40:U$42)+SUMIF('SANCHEZ GUERRERO JOSE LUIS'!P$40:P$42,A62,'SANCHEZ GUERRERO JOSE LUIS'!U$40:U$42)+SUMIF('RUEDA SALAZAR ISMAEL'!P$35:P$37,'KM POR UNIDAD'!A62,'RUEDA SALAZAR ISMAEL'!U$35:U$37)+SUMIF('GUZMAN MORALES'!P$40:P$42,'KM POR UNIDAD'!A62,'GUZMAN MORALES'!U$40:U$42)+SUMIF('RODRIGUEZ RAMIREZ FERNANDO'!P$35:P$37,'KM POR UNIDAD'!A62,'RODRIGUEZ RAMIREZ FERNANDO'!U$35:U$37)+SUMIF('ESTRADA ARELLANO ARTURO'!P$40:P$42,'KM POR UNIDAD'!A62,'ESTRADA ARELLANO ARTURO'!U$40:U$42)+SUMIF('HERNANDEZ CONTRERAS JOSE FERNAN'!P$37:P$39,'KM POR UNIDAD'!A62,'HERNANDEZ CONTRERAS JOSE FERNAN'!U$37:U$39)+SUMIF('SALAZAR PEREZ JUAN CARLOS'!P$38:P$40,'KM POR UNIDAD'!A62,'SALAZAR PEREZ JUAN CARLOS'!U$38:U$40)+SUMIF('HARO IMPERIAL JOSÉ ANTONIO'!P$41:P$43,'KM POR UNIDAD'!A62,'HARO IMPERIAL JOSÉ ANTONIO'!U$41:$U105)+SUMIF('ESCARCEGA GALDEAN JESUS OMAR'!P$38:P$40,'KM POR UNIDAD'!A62,'ESCARCEGA GALDEAN JESUS OMAR'!U$38:U$40)</f>
        <v>0</v>
      </c>
      <c r="C62" s="166">
        <f>+SUMIF('LIRA TRISTAN JOSE ANGEL'!P$36:P$38,'KM POR UNIDAD'!A62,'LIRA TRISTAN JOSE ANGEL'!T$36:T$38)+SUMIF('TORRES GARAY LUIS HUMBERTO'!P$38:P$40,'KM POR UNIDAD'!A62,'TORRES GARAY LUIS HUMBERTO'!T$38:T$40)+SUMIF('CERDA HERNANDEZ JOSE LUIS'!P$35:P$37,'KM POR UNIDAD'!A62,'CERDA HERNANDEZ JOSE LUIS'!T$35:T$37)+SUMIF('RUIZ ALVARADO PEDRO'!P$32:P$34,'KM POR UNIDAD'!A62,'RUIZ ALVARADO PEDRO'!T$32:T$34)+SUMIF('NEVAREZ JUAN MANUEL'!P$37:P$39,'KM POR UNIDAD'!A62,'NEVAREZ JUAN MANUEL'!T$37:T$39)+SUMIF('CHAVEZ VARELA NESTOR ADRIAN'!P$35:P$37,'KM POR UNIDAD'!A62,'CHAVEZ VARELA NESTOR ADRIAN'!T$35:T$37)+SUMIF('PAYAN ESTRADA JOSE ANGEL'!P$37:P$39,'KM POR UNIDAD'!A62,'PAYAN ESTRADA JOSE ANGEL'!T$37:T$39)+SUMIF('RUIZ HERRERA ERICK '!P$33:P$35,'KM POR UNIDAD'!A62,'RUIZ HERRERA ERICK '!T$33:T$35)+SUMIF('GONZALEZ LOZANO ENRIQUE '!P$38:P$40,'KM POR UNIDAD'!A62,'GONZALEZ LOZANO ENRIQUE '!T$38:T$40)+SUMIF('GONZALEZ MARTINEZ MAURICIO'!P$38:P$40,'KM POR UNIDAD'!A62,'GONZALEZ MARTINEZ MAURICIO'!T$38:T$40)+SUMIF('GONZALEZ SOTO JOEL'!P$39:P$41,'KM POR UNIDAD'!A62,'GONZALEZ SOTO JOEL'!T$39:T$41)+SUMIF('MARTA RUBIO MARTIN'!P$39:P$41,'KM POR UNIDAD'!A62,'MARTA RUBIO MARTIN'!T$39:T$41)+SUMIF('GRIJALVA VALDEZ CESAR EUSEBIO'!P$35:P$37,'KM POR UNIDAD'!A62,'GRIJALVA VALDEZ CESAR EUSEBIO'!T$35:T$37)+SUMIF('PACHECO BAÑUELOS ALFONSO'!P$39:P$41,'KM POR UNIDAD'!A62,'PACHECO BAÑUELOS ALFONSO'!T$39:T$41)+SUMIF('RODRIGUEZ VALLES JOSE FRANCISCO'!P$40:P$42,'KM POR UNIDAD'!A62,'RODRIGUEZ VALLES JOSE FRANCISCO'!T$40:T$42)+SUMIF('SANCHEZ GUERRERO JOSE LUIS'!P$40:P$42,A62,'SANCHEZ GUERRERO JOSE LUIS'!T$40:T$42)+SUMIF('RUEDA SALAZAR ISMAEL'!P$35:P$37,'KM POR UNIDAD'!A62,'RUEDA SALAZAR ISMAEL'!T$35:T$37)+SUMIF('GUZMAN MORALES'!P$40:P$42,'KM POR UNIDAD'!A62,'GUZMAN MORALES'!T$40:T$42)+SUMIF('RODRIGUEZ RAMIREZ FERNANDO'!P$35:P$37,'KM POR UNIDAD'!A62,'RODRIGUEZ RAMIREZ FERNANDO'!T$35:T$37)+SUMIF('ESTRADA ARELLANO ARTURO'!P$40:P$42,'KM POR UNIDAD'!A62,'ESTRADA ARELLANO ARTURO'!T$40:T$42)+SUMIF('HERNANDEZ CONTRERAS JOSE FERNAN'!P$37:P$39,'KM POR UNIDAD'!A62,'HERNANDEZ CONTRERAS JOSE FERNAN'!T$37:T$39)+SUMIF('SALAZAR PEREZ JUAN CARLOS'!P$38:P$40,'KM POR UNIDAD'!A62,'SALAZAR PEREZ JUAN CARLOS'!T$38:T$40)+SUMIF('HARO IMPERIAL JOSÉ ANTONIO'!P$41:P$43,'KM POR UNIDAD'!A62,'HARO IMPERIAL JOSÉ ANTONIO'!T$41:T$43)+SUMIF('ESCARCEGA GALDEAN JESUS OMAR'!P$38:P$40,'KM POR UNIDAD'!A62,'ESCARCEGA GALDEAN JESUS OMAR'!T$38:T$40)</f>
        <v>0</v>
      </c>
      <c r="D62" s="189">
        <f>+SUMIF('LIRA TRISTAN JOSE ANGEL'!P$36:P$38,'KM POR UNIDAD'!A62,'LIRA TRISTAN JOSE ANGEL'!V$36:V$38)+SUMIF('TORRES GARAY LUIS HUMBERTO'!P$38:P$40,'KM POR UNIDAD'!A62,'TORRES GARAY LUIS HUMBERTO'!V$38:V$40)+SUMIF('CERDA HERNANDEZ JOSE LUIS'!P$35:P$37,'KM POR UNIDAD'!A62,'CERDA HERNANDEZ JOSE LUIS'!V$35:V$37)+SUMIF('RUIZ ALVARADO PEDRO'!P$32:P$34,'KM POR UNIDAD'!A62,'RUIZ ALVARADO PEDRO'!V$32:V$34)+SUMIF('NEVAREZ JUAN MANUEL'!P$37:P$39,'KM POR UNIDAD'!A62,'NEVAREZ JUAN MANUEL'!V$37:V$39)+SUMIF('CHAVEZ VARELA NESTOR ADRIAN'!P$35:P$37,'KM POR UNIDAD'!A62,'CHAVEZ VARELA NESTOR ADRIAN'!V$35:V$37)+SUMIF('PAYAN ESTRADA JOSE ANGEL'!P$37:P$39,'KM POR UNIDAD'!A62,'PAYAN ESTRADA JOSE ANGEL'!V$37:V$39)+SUMIF('RUIZ HERRERA ERICK '!P$33:P$35,'KM POR UNIDAD'!A62,'RUIZ HERRERA ERICK '!V$33:V$35)+SUMIF('GONZALEZ LOZANO ENRIQUE '!P$38:P$40,'KM POR UNIDAD'!A62,'GONZALEZ LOZANO ENRIQUE '!V$38:V$40)+SUMIF('GONZALEZ MARTINEZ MAURICIO'!P$38:P$40,'KM POR UNIDAD'!A62,'GONZALEZ MARTINEZ MAURICIO'!V$38:V$40)+SUMIF('GONZALEZ SOTO JOEL'!P$39:P$41,'KM POR UNIDAD'!A62,'GONZALEZ SOTO JOEL'!V$39:V$41)+SUMIF('MARTA RUBIO MARTIN'!P$39:P$41,'KM POR UNIDAD'!A62,'MARTA RUBIO MARTIN'!V$39:V$41)+SUMIF('GRIJALVA VALDEZ CESAR EUSEBIO'!P$35:P$37,'KM POR UNIDAD'!A62,'GRIJALVA VALDEZ CESAR EUSEBIO'!V$35:V$37)+SUMIF('PACHECO BAÑUELOS ALFONSO'!P$39:P$41,'KM POR UNIDAD'!A62,'PACHECO BAÑUELOS ALFONSO'!V$39:V$41)+SUMIF('RODRIGUEZ VALLES JOSE FRANCISCO'!P$40:P$42,'KM POR UNIDAD'!A62,'RODRIGUEZ VALLES JOSE FRANCISCO'!V$40:V$42)+SUMIF('SANCHEZ GUERRERO JOSE LUIS'!P$40:P$42,A62,'SANCHEZ GUERRERO JOSE LUIS'!V$40:V$42)+SUMIF('RUEDA SALAZAR ISMAEL'!P$35:P$37,'KM POR UNIDAD'!A62,'RUEDA SALAZAR ISMAEL'!V$35:V$37)+SUMIF('GUZMAN MORALES'!P$40:P$42,'KM POR UNIDAD'!A62,'GUZMAN MORALES'!V$40:V$42)+SUMIF('RODRIGUEZ RAMIREZ FERNANDO'!P$35:P$37,'KM POR UNIDAD'!A62,'RODRIGUEZ RAMIREZ FERNANDO'!V$35:V$37)+SUMIF('ESTRADA ARELLANO ARTURO'!P$40:P$42,'KM POR UNIDAD'!A62,'ESTRADA ARELLANO ARTURO'!V$40:V$42)+SUMIF('HERNANDEZ CONTRERAS JOSE FERNAN'!P$37:P$39,'KM POR UNIDAD'!A62,'HERNANDEZ CONTRERAS JOSE FERNAN'!V$38:V$40)+SUMIF('SALAZAR PEREZ JUAN CARLOS'!P$38:P$40,'KM POR UNIDAD'!A62,'SALAZAR PEREZ JUAN CARLOS'!V$38:V$40)+SUMIF('HARO IMPERIAL JOSÉ ANTONIO'!P$41:P$43,'KM POR UNIDAD'!A62,'HARO IMPERIAL JOSÉ ANTONIO'!V$41:V$43)+SUMIF('ESCARCEGA GALDEAN JESUS OMAR'!P$38:P$40,'KM POR UNIDAD'!A62,'ESCARCEGA GALDEAN JESUS OMAR'!V$38:V$40)</f>
        <v>0</v>
      </c>
      <c r="E62" s="167">
        <f t="shared" si="4"/>
        <v>0</v>
      </c>
      <c r="F62" s="168"/>
      <c r="G62" s="168"/>
      <c r="H62" s="168"/>
      <c r="I62" s="169"/>
      <c r="J62" s="170"/>
      <c r="K62" s="171"/>
    </row>
    <row r="63" spans="1:11" x14ac:dyDescent="0.25">
      <c r="A63" s="165" t="s">
        <v>234</v>
      </c>
      <c r="B63" s="166">
        <f>SUMIF('LIRA TRISTAN JOSE ANGEL'!P$36:P$38,'KM POR UNIDAD'!A63,'LIRA TRISTAN JOSE ANGEL'!U$36:U$38)+SUMIF('TORRES GARAY LUIS HUMBERTO'!P$38:P$40,'KM POR UNIDAD'!A63,'TORRES GARAY LUIS HUMBERTO'!U$38:U$40)+SUMIF('CERDA HERNANDEZ JOSE LUIS'!P$35:P$37,'KM POR UNIDAD'!A63,'CERDA HERNANDEZ JOSE LUIS'!U$35:U$37)+SUMIF('RUIZ ALVARADO PEDRO'!P$32:P$34,'KM POR UNIDAD'!A63,'RUIZ ALVARADO PEDRO'!U$32:U$34)+SUMIF('NEVAREZ JUAN MANUEL'!P$37:P$39,'KM POR UNIDAD'!A63,'NEVAREZ JUAN MANUEL'!U$37:U$39)+SUMIF('CHAVEZ VARELA NESTOR ADRIAN'!P$35:P$37,'KM POR UNIDAD'!A63,'CHAVEZ VARELA NESTOR ADRIAN'!U$35:U$37)+SUMIF('PAYAN ESTRADA JOSE ANGEL'!P$37:P$39,'KM POR UNIDAD'!A63,'PAYAN ESTRADA JOSE ANGEL'!U$37:U$39)+SUMIF('RUIZ HERRERA ERICK '!P$33:P$35,'KM POR UNIDAD'!A63,'RUIZ HERRERA ERICK '!U$33:U$35)+SUMIF('GONZALEZ LOZANO ENRIQUE '!P$38:P$40,'KM POR UNIDAD'!A63,'GONZALEZ LOZANO ENRIQUE '!U$38:U$40)+SUMIF('GONZALEZ MARTINEZ MAURICIO'!P$38:P$40,'KM POR UNIDAD'!A63,'GONZALEZ MARTINEZ MAURICIO'!U$38:U$40)+SUMIF('GONZALEZ SOTO JOEL'!P$39:P$41,'KM POR UNIDAD'!A63,'GONZALEZ SOTO JOEL'!U$39:U$41)+SUMIF('MARTA RUBIO MARTIN'!P$39:P$41,'KM POR UNIDAD'!A63,'MARTA RUBIO MARTIN'!U$39:U$41)+SUMIF('GRIJALVA VALDEZ CESAR EUSEBIO'!P$35:P$37,'KM POR UNIDAD'!A63,'GRIJALVA VALDEZ CESAR EUSEBIO'!U$35:U$37)+SUMIF('PACHECO BAÑUELOS ALFONSO'!P$39:P$41,'KM POR UNIDAD'!A63,'PACHECO BAÑUELOS ALFONSO'!U$39:U$41)+SUMIF('RODRIGUEZ VALLES JOSE FRANCISCO'!P$40:P$42,'KM POR UNIDAD'!A63,'RODRIGUEZ VALLES JOSE FRANCISCO'!U$40:U$42)+SUMIF('SANCHEZ GUERRERO JOSE LUIS'!P$40:P$42,A63,'SANCHEZ GUERRERO JOSE LUIS'!U$40:U$42)+SUMIF('RUEDA SALAZAR ISMAEL'!P$35:P$37,'KM POR UNIDAD'!A63,'RUEDA SALAZAR ISMAEL'!U$35:U$37)+SUMIF('GUZMAN MORALES'!P$40:P$42,'KM POR UNIDAD'!A63,'GUZMAN MORALES'!U$40:U$42)+SUMIF('RODRIGUEZ RAMIREZ FERNANDO'!P$35:P$37,'KM POR UNIDAD'!A63,'RODRIGUEZ RAMIREZ FERNANDO'!U$35:U$37)+SUMIF('ESTRADA ARELLANO ARTURO'!P$40:P$42,'KM POR UNIDAD'!A63,'ESTRADA ARELLANO ARTURO'!U$40:U$42)+SUMIF('HERNANDEZ CONTRERAS JOSE FERNAN'!P$37:P$39,'KM POR UNIDAD'!A63,'HERNANDEZ CONTRERAS JOSE FERNAN'!U$37:U$39)+SUMIF('SALAZAR PEREZ JUAN CARLOS'!P$38:P$40,'KM POR UNIDAD'!A63,'SALAZAR PEREZ JUAN CARLOS'!U$38:U$40)+SUMIF('HARO IMPERIAL JOSÉ ANTONIO'!P$41:P$43,'KM POR UNIDAD'!A63,'HARO IMPERIAL JOSÉ ANTONIO'!U$41:$U106)+SUMIF('ESCARCEGA GALDEAN JESUS OMAR'!P$38:P$40,'KM POR UNIDAD'!A63,'ESCARCEGA GALDEAN JESUS OMAR'!U$38:U$40)</f>
        <v>4084</v>
      </c>
      <c r="C63" s="166">
        <f>+SUMIF('LIRA TRISTAN JOSE ANGEL'!P$36:P$38,'KM POR UNIDAD'!A63,'LIRA TRISTAN JOSE ANGEL'!T$36:T$38)+SUMIF('TORRES GARAY LUIS HUMBERTO'!P$38:P$40,'KM POR UNIDAD'!A63,'TORRES GARAY LUIS HUMBERTO'!T$38:T$40)+SUMIF('CERDA HERNANDEZ JOSE LUIS'!P$35:P$37,'KM POR UNIDAD'!A63,'CERDA HERNANDEZ JOSE LUIS'!T$35:T$37)+SUMIF('RUIZ ALVARADO PEDRO'!P$32:P$34,'KM POR UNIDAD'!A63,'RUIZ ALVARADO PEDRO'!T$32:T$34)+SUMIF('NEVAREZ JUAN MANUEL'!P$37:P$39,'KM POR UNIDAD'!A63,'NEVAREZ JUAN MANUEL'!T$37:T$39)+SUMIF('CHAVEZ VARELA NESTOR ADRIAN'!P$35:P$37,'KM POR UNIDAD'!A63,'CHAVEZ VARELA NESTOR ADRIAN'!T$35:T$37)+SUMIF('PAYAN ESTRADA JOSE ANGEL'!P$37:P$39,'KM POR UNIDAD'!A63,'PAYAN ESTRADA JOSE ANGEL'!T$37:T$39)+SUMIF('RUIZ HERRERA ERICK '!P$33:P$35,'KM POR UNIDAD'!A63,'RUIZ HERRERA ERICK '!T$33:T$35)+SUMIF('GONZALEZ LOZANO ENRIQUE '!P$38:P$40,'KM POR UNIDAD'!A63,'GONZALEZ LOZANO ENRIQUE '!T$38:T$40)+SUMIF('GONZALEZ MARTINEZ MAURICIO'!P$38:P$40,'KM POR UNIDAD'!A63,'GONZALEZ MARTINEZ MAURICIO'!T$38:T$40)+SUMIF('GONZALEZ SOTO JOEL'!P$39:P$41,'KM POR UNIDAD'!A63,'GONZALEZ SOTO JOEL'!T$39:T$41)+SUMIF('MARTA RUBIO MARTIN'!P$39:P$41,'KM POR UNIDAD'!A63,'MARTA RUBIO MARTIN'!T$39:T$41)+SUMIF('GRIJALVA VALDEZ CESAR EUSEBIO'!P$35:P$37,'KM POR UNIDAD'!A63,'GRIJALVA VALDEZ CESAR EUSEBIO'!T$35:T$37)+SUMIF('PACHECO BAÑUELOS ALFONSO'!P$39:P$41,'KM POR UNIDAD'!A63,'PACHECO BAÑUELOS ALFONSO'!T$39:T$41)+SUMIF('RODRIGUEZ VALLES JOSE FRANCISCO'!P$40:P$42,'KM POR UNIDAD'!A63,'RODRIGUEZ VALLES JOSE FRANCISCO'!T$40:T$42)+SUMIF('SANCHEZ GUERRERO JOSE LUIS'!P$40:P$42,A63,'SANCHEZ GUERRERO JOSE LUIS'!T$40:T$42)+SUMIF('RUEDA SALAZAR ISMAEL'!P$35:P$37,'KM POR UNIDAD'!A63,'RUEDA SALAZAR ISMAEL'!T$35:T$37)+SUMIF('GUZMAN MORALES'!P$40:P$42,'KM POR UNIDAD'!A63,'GUZMAN MORALES'!T$40:T$42)+SUMIF('RODRIGUEZ RAMIREZ FERNANDO'!P$35:P$37,'KM POR UNIDAD'!A63,'RODRIGUEZ RAMIREZ FERNANDO'!T$35:T$37)+SUMIF('ESTRADA ARELLANO ARTURO'!P$40:P$42,'KM POR UNIDAD'!A63,'ESTRADA ARELLANO ARTURO'!T$40:T$42)+SUMIF('HERNANDEZ CONTRERAS JOSE FERNAN'!P$37:P$39,'KM POR UNIDAD'!A63,'HERNANDEZ CONTRERAS JOSE FERNAN'!T$37:T$39)+SUMIF('SALAZAR PEREZ JUAN CARLOS'!P$38:P$40,'KM POR UNIDAD'!A63,'SALAZAR PEREZ JUAN CARLOS'!T$38:T$40)+SUMIF('HARO IMPERIAL JOSÉ ANTONIO'!P$41:P$43,'KM POR UNIDAD'!A63,'HARO IMPERIAL JOSÉ ANTONIO'!T$41:T$43)+SUMIF('ESCARCEGA GALDEAN JESUS OMAR'!P$38:P$40,'KM POR UNIDAD'!A63,'ESCARCEGA GALDEAN JESUS OMAR'!T$38:T$40)</f>
        <v>-736789</v>
      </c>
      <c r="D63" s="189">
        <f>+SUMIF('LIRA TRISTAN JOSE ANGEL'!P$36:P$38,'KM POR UNIDAD'!A63,'LIRA TRISTAN JOSE ANGEL'!V$36:V$38)+SUMIF('TORRES GARAY LUIS HUMBERTO'!P$38:P$40,'KM POR UNIDAD'!A63,'TORRES GARAY LUIS HUMBERTO'!V$38:V$40)+SUMIF('CERDA HERNANDEZ JOSE LUIS'!P$35:P$37,'KM POR UNIDAD'!A63,'CERDA HERNANDEZ JOSE LUIS'!V$35:V$37)+SUMIF('RUIZ ALVARADO PEDRO'!P$32:P$34,'KM POR UNIDAD'!A63,'RUIZ ALVARADO PEDRO'!V$32:V$34)+SUMIF('NEVAREZ JUAN MANUEL'!P$37:P$39,'KM POR UNIDAD'!A63,'NEVAREZ JUAN MANUEL'!V$37:V$39)+SUMIF('CHAVEZ VARELA NESTOR ADRIAN'!P$35:P$37,'KM POR UNIDAD'!A63,'CHAVEZ VARELA NESTOR ADRIAN'!V$35:V$37)+SUMIF('PAYAN ESTRADA JOSE ANGEL'!P$37:P$39,'KM POR UNIDAD'!A63,'PAYAN ESTRADA JOSE ANGEL'!V$37:V$39)+SUMIF('RUIZ HERRERA ERICK '!P$33:P$35,'KM POR UNIDAD'!A63,'RUIZ HERRERA ERICK '!V$33:V$35)+SUMIF('GONZALEZ LOZANO ENRIQUE '!P$38:P$40,'KM POR UNIDAD'!A63,'GONZALEZ LOZANO ENRIQUE '!V$38:V$40)+SUMIF('GONZALEZ MARTINEZ MAURICIO'!P$38:P$40,'KM POR UNIDAD'!A63,'GONZALEZ MARTINEZ MAURICIO'!V$38:V$40)+SUMIF('GONZALEZ SOTO JOEL'!P$39:P$41,'KM POR UNIDAD'!A63,'GONZALEZ SOTO JOEL'!V$39:V$41)+SUMIF('MARTA RUBIO MARTIN'!P$39:P$41,'KM POR UNIDAD'!A63,'MARTA RUBIO MARTIN'!V$39:V$41)+SUMIF('GRIJALVA VALDEZ CESAR EUSEBIO'!P$35:P$37,'KM POR UNIDAD'!A63,'GRIJALVA VALDEZ CESAR EUSEBIO'!V$35:V$37)+SUMIF('PACHECO BAÑUELOS ALFONSO'!P$39:P$41,'KM POR UNIDAD'!A63,'PACHECO BAÑUELOS ALFONSO'!V$39:V$41)+SUMIF('RODRIGUEZ VALLES JOSE FRANCISCO'!P$40:P$42,'KM POR UNIDAD'!A63,'RODRIGUEZ VALLES JOSE FRANCISCO'!V$40:V$42)+SUMIF('SANCHEZ GUERRERO JOSE LUIS'!P$40:P$42,A63,'SANCHEZ GUERRERO JOSE LUIS'!V$40:V$42)+SUMIF('RUEDA SALAZAR ISMAEL'!P$35:P$37,'KM POR UNIDAD'!A63,'RUEDA SALAZAR ISMAEL'!V$35:V$37)+SUMIF('GUZMAN MORALES'!P$40:P$42,'KM POR UNIDAD'!A63,'GUZMAN MORALES'!V$40:V$42)+SUMIF('RODRIGUEZ RAMIREZ FERNANDO'!P$35:P$37,'KM POR UNIDAD'!A63,'RODRIGUEZ RAMIREZ FERNANDO'!V$35:V$37)+SUMIF('ESTRADA ARELLANO ARTURO'!P$40:P$42,'KM POR UNIDAD'!A63,'ESTRADA ARELLANO ARTURO'!V$40:V$42)+SUMIF('HERNANDEZ CONTRERAS JOSE FERNAN'!P$37:P$39,'KM POR UNIDAD'!A63,'HERNANDEZ CONTRERAS JOSE FERNAN'!V$38:V$40)+SUMIF('SALAZAR PEREZ JUAN CARLOS'!P$38:P$40,'KM POR UNIDAD'!A63,'SALAZAR PEREZ JUAN CARLOS'!V$38:V$40)+SUMIF('HARO IMPERIAL JOSÉ ANTONIO'!P$41:P$43,'KM POR UNIDAD'!A63,'HARO IMPERIAL JOSÉ ANTONIO'!V$41:V$43)+SUMIF('ESCARCEGA GALDEAN JESUS OMAR'!P$38:P$40,'KM POR UNIDAD'!A63,'ESCARCEGA GALDEAN JESUS OMAR'!V$38:V$40)</f>
        <v>1159.0899999999999</v>
      </c>
      <c r="E63" s="167">
        <f t="shared" si="4"/>
        <v>3.5234537438852898</v>
      </c>
      <c r="F63" s="168"/>
      <c r="G63" s="168"/>
      <c r="H63" s="168"/>
      <c r="I63" s="169"/>
      <c r="J63" s="170"/>
      <c r="K63" s="171"/>
    </row>
    <row r="64" spans="1:11" x14ac:dyDescent="0.25">
      <c r="A64" s="165" t="s">
        <v>235</v>
      </c>
      <c r="B64" s="166">
        <f>SUMIF('LIRA TRISTAN JOSE ANGEL'!P$36:P$38,'KM POR UNIDAD'!A64,'LIRA TRISTAN JOSE ANGEL'!U$36:U$38)+SUMIF('TORRES GARAY LUIS HUMBERTO'!P$38:P$40,'KM POR UNIDAD'!A64,'TORRES GARAY LUIS HUMBERTO'!U$38:U$40)+SUMIF('CERDA HERNANDEZ JOSE LUIS'!P$35:P$37,'KM POR UNIDAD'!A64,'CERDA HERNANDEZ JOSE LUIS'!U$35:U$37)+SUMIF('RUIZ ALVARADO PEDRO'!P$32:P$34,'KM POR UNIDAD'!A64,'RUIZ ALVARADO PEDRO'!U$32:U$34)+SUMIF('NEVAREZ JUAN MANUEL'!P$37:P$39,'KM POR UNIDAD'!A64,'NEVAREZ JUAN MANUEL'!U$37:U$39)+SUMIF('CHAVEZ VARELA NESTOR ADRIAN'!P$35:P$37,'KM POR UNIDAD'!A64,'CHAVEZ VARELA NESTOR ADRIAN'!U$35:U$37)+SUMIF('PAYAN ESTRADA JOSE ANGEL'!P$37:P$39,'KM POR UNIDAD'!A64,'PAYAN ESTRADA JOSE ANGEL'!U$37:U$39)+SUMIF('RUIZ HERRERA ERICK '!P$33:P$35,'KM POR UNIDAD'!A64,'RUIZ HERRERA ERICK '!U$33:U$35)+SUMIF('GONZALEZ LOZANO ENRIQUE '!P$38:P$40,'KM POR UNIDAD'!A64,'GONZALEZ LOZANO ENRIQUE '!U$38:U$40)+SUMIF('GONZALEZ MARTINEZ MAURICIO'!P$38:P$40,'KM POR UNIDAD'!A64,'GONZALEZ MARTINEZ MAURICIO'!U$38:U$40)+SUMIF('GONZALEZ SOTO JOEL'!P$39:P$41,'KM POR UNIDAD'!A64,'GONZALEZ SOTO JOEL'!U$39:U$41)+SUMIF('MARTA RUBIO MARTIN'!P$39:P$41,'KM POR UNIDAD'!A64,'MARTA RUBIO MARTIN'!U$39:U$41)+SUMIF('GRIJALVA VALDEZ CESAR EUSEBIO'!P$35:P$37,'KM POR UNIDAD'!A64,'GRIJALVA VALDEZ CESAR EUSEBIO'!U$35:U$37)+SUMIF('PACHECO BAÑUELOS ALFONSO'!P$39:P$41,'KM POR UNIDAD'!A64,'PACHECO BAÑUELOS ALFONSO'!U$39:U$41)+SUMIF('RODRIGUEZ VALLES JOSE FRANCISCO'!P$40:P$42,'KM POR UNIDAD'!A64,'RODRIGUEZ VALLES JOSE FRANCISCO'!U$40:U$42)+SUMIF('SANCHEZ GUERRERO JOSE LUIS'!P$40:P$42,A64,'SANCHEZ GUERRERO JOSE LUIS'!U$40:U$42)+SUMIF('RUEDA SALAZAR ISMAEL'!P$35:P$37,'KM POR UNIDAD'!A64,'RUEDA SALAZAR ISMAEL'!U$35:U$37)+SUMIF('GUZMAN MORALES'!P$40:P$42,'KM POR UNIDAD'!A64,'GUZMAN MORALES'!U$40:U$42)+SUMIF('RODRIGUEZ RAMIREZ FERNANDO'!P$35:P$37,'KM POR UNIDAD'!A64,'RODRIGUEZ RAMIREZ FERNANDO'!U$35:U$37)+SUMIF('ESTRADA ARELLANO ARTURO'!P$40:P$42,'KM POR UNIDAD'!A64,'ESTRADA ARELLANO ARTURO'!U$40:U$42)+SUMIF('HERNANDEZ CONTRERAS JOSE FERNAN'!P$37:P$39,'KM POR UNIDAD'!A64,'HERNANDEZ CONTRERAS JOSE FERNAN'!U$37:U$39)+SUMIF('SALAZAR PEREZ JUAN CARLOS'!P$38:P$40,'KM POR UNIDAD'!A64,'SALAZAR PEREZ JUAN CARLOS'!U$38:U$40)+SUMIF('HARO IMPERIAL JOSÉ ANTONIO'!P$41:P$43,'KM POR UNIDAD'!A64,'HARO IMPERIAL JOSÉ ANTONIO'!U$41:$U107)+SUMIF('ESCARCEGA GALDEAN JESUS OMAR'!P$38:P$40,'KM POR UNIDAD'!A64,'ESCARCEGA GALDEAN JESUS OMAR'!U$38:U$40)</f>
        <v>4732</v>
      </c>
      <c r="C64" s="166">
        <f>+SUMIF('LIRA TRISTAN JOSE ANGEL'!P$36:P$38,'KM POR UNIDAD'!A64,'LIRA TRISTAN JOSE ANGEL'!T$36:T$38)+SUMIF('TORRES GARAY LUIS HUMBERTO'!P$38:P$40,'KM POR UNIDAD'!A64,'TORRES GARAY LUIS HUMBERTO'!T$38:T$40)+SUMIF('CERDA HERNANDEZ JOSE LUIS'!P$35:P$37,'KM POR UNIDAD'!A64,'CERDA HERNANDEZ JOSE LUIS'!T$35:T$37)+SUMIF('RUIZ ALVARADO PEDRO'!P$32:P$34,'KM POR UNIDAD'!A64,'RUIZ ALVARADO PEDRO'!T$32:T$34)+SUMIF('NEVAREZ JUAN MANUEL'!P$37:P$39,'KM POR UNIDAD'!A64,'NEVAREZ JUAN MANUEL'!T$37:T$39)+SUMIF('CHAVEZ VARELA NESTOR ADRIAN'!P$35:P$37,'KM POR UNIDAD'!A64,'CHAVEZ VARELA NESTOR ADRIAN'!T$35:T$37)+SUMIF('PAYAN ESTRADA JOSE ANGEL'!P$37:P$39,'KM POR UNIDAD'!A64,'PAYAN ESTRADA JOSE ANGEL'!T$37:T$39)+SUMIF('RUIZ HERRERA ERICK '!P$33:P$35,'KM POR UNIDAD'!A64,'RUIZ HERRERA ERICK '!T$33:T$35)+SUMIF('GONZALEZ LOZANO ENRIQUE '!P$38:P$40,'KM POR UNIDAD'!A64,'GONZALEZ LOZANO ENRIQUE '!T$38:T$40)+SUMIF('GONZALEZ MARTINEZ MAURICIO'!P$38:P$40,'KM POR UNIDAD'!A64,'GONZALEZ MARTINEZ MAURICIO'!T$38:T$40)+SUMIF('GONZALEZ SOTO JOEL'!P$39:P$41,'KM POR UNIDAD'!A64,'GONZALEZ SOTO JOEL'!T$39:T$41)+SUMIF('MARTA RUBIO MARTIN'!P$39:P$41,'KM POR UNIDAD'!A64,'MARTA RUBIO MARTIN'!T$39:T$41)+SUMIF('GRIJALVA VALDEZ CESAR EUSEBIO'!P$35:P$37,'KM POR UNIDAD'!A64,'GRIJALVA VALDEZ CESAR EUSEBIO'!T$35:T$37)+SUMIF('PACHECO BAÑUELOS ALFONSO'!P$39:P$41,'KM POR UNIDAD'!A64,'PACHECO BAÑUELOS ALFONSO'!T$39:T$41)+SUMIF('RODRIGUEZ VALLES JOSE FRANCISCO'!P$40:P$42,'KM POR UNIDAD'!A64,'RODRIGUEZ VALLES JOSE FRANCISCO'!T$40:T$42)+SUMIF('SANCHEZ GUERRERO JOSE LUIS'!P$40:P$42,A64,'SANCHEZ GUERRERO JOSE LUIS'!T$40:T$42)+SUMIF('RUEDA SALAZAR ISMAEL'!P$35:P$37,'KM POR UNIDAD'!A64,'RUEDA SALAZAR ISMAEL'!T$35:T$37)+SUMIF('GUZMAN MORALES'!P$40:P$42,'KM POR UNIDAD'!A64,'GUZMAN MORALES'!T$40:T$42)+SUMIF('RODRIGUEZ RAMIREZ FERNANDO'!P$35:P$37,'KM POR UNIDAD'!A64,'RODRIGUEZ RAMIREZ FERNANDO'!T$35:T$37)+SUMIF('ESTRADA ARELLANO ARTURO'!P$40:P$42,'KM POR UNIDAD'!A64,'ESTRADA ARELLANO ARTURO'!T$40:T$42)+SUMIF('HERNANDEZ CONTRERAS JOSE FERNAN'!P$37:P$39,'KM POR UNIDAD'!A64,'HERNANDEZ CONTRERAS JOSE FERNAN'!T$37:T$39)+SUMIF('SALAZAR PEREZ JUAN CARLOS'!P$38:P$40,'KM POR UNIDAD'!A64,'SALAZAR PEREZ JUAN CARLOS'!T$38:T$40)+SUMIF('HARO IMPERIAL JOSÉ ANTONIO'!P$41:P$43,'KM POR UNIDAD'!A64,'HARO IMPERIAL JOSÉ ANTONIO'!T$41:T$43)+SUMIF('ESCARCEGA GALDEAN JESUS OMAR'!P$38:P$40,'KM POR UNIDAD'!A64,'ESCARCEGA GALDEAN JESUS OMAR'!T$38:T$40)</f>
        <v>4831</v>
      </c>
      <c r="D64" s="189">
        <f>+SUMIF('LIRA TRISTAN JOSE ANGEL'!P$36:P$38,'KM POR UNIDAD'!A64,'LIRA TRISTAN JOSE ANGEL'!V$36:V$38)+SUMIF('TORRES GARAY LUIS HUMBERTO'!P$38:P$40,'KM POR UNIDAD'!A64,'TORRES GARAY LUIS HUMBERTO'!V$38:V$40)+SUMIF('CERDA HERNANDEZ JOSE LUIS'!P$35:P$37,'KM POR UNIDAD'!A64,'CERDA HERNANDEZ JOSE LUIS'!V$35:V$37)+SUMIF('RUIZ ALVARADO PEDRO'!P$32:P$34,'KM POR UNIDAD'!A64,'RUIZ ALVARADO PEDRO'!V$32:V$34)+SUMIF('NEVAREZ JUAN MANUEL'!P$37:P$39,'KM POR UNIDAD'!A64,'NEVAREZ JUAN MANUEL'!V$37:V$39)+SUMIF('CHAVEZ VARELA NESTOR ADRIAN'!P$35:P$37,'KM POR UNIDAD'!A64,'CHAVEZ VARELA NESTOR ADRIAN'!V$35:V$37)+SUMIF('PAYAN ESTRADA JOSE ANGEL'!P$37:P$39,'KM POR UNIDAD'!A64,'PAYAN ESTRADA JOSE ANGEL'!V$37:V$39)+SUMIF('RUIZ HERRERA ERICK '!P$33:P$35,'KM POR UNIDAD'!A64,'RUIZ HERRERA ERICK '!V$33:V$35)+SUMIF('GONZALEZ LOZANO ENRIQUE '!P$38:P$40,'KM POR UNIDAD'!A64,'GONZALEZ LOZANO ENRIQUE '!V$38:V$40)+SUMIF('GONZALEZ MARTINEZ MAURICIO'!P$38:P$40,'KM POR UNIDAD'!A64,'GONZALEZ MARTINEZ MAURICIO'!V$38:V$40)+SUMIF('GONZALEZ SOTO JOEL'!P$39:P$41,'KM POR UNIDAD'!A64,'GONZALEZ SOTO JOEL'!V$39:V$41)+SUMIF('MARTA RUBIO MARTIN'!P$39:P$41,'KM POR UNIDAD'!A64,'MARTA RUBIO MARTIN'!V$39:V$41)+SUMIF('GRIJALVA VALDEZ CESAR EUSEBIO'!P$35:P$37,'KM POR UNIDAD'!A64,'GRIJALVA VALDEZ CESAR EUSEBIO'!V$35:V$37)+SUMIF('PACHECO BAÑUELOS ALFONSO'!P$39:P$41,'KM POR UNIDAD'!A64,'PACHECO BAÑUELOS ALFONSO'!V$39:V$41)+SUMIF('RODRIGUEZ VALLES JOSE FRANCISCO'!P$40:P$42,'KM POR UNIDAD'!A64,'RODRIGUEZ VALLES JOSE FRANCISCO'!V$40:V$42)+SUMIF('SANCHEZ GUERRERO JOSE LUIS'!P$40:P$42,A64,'SANCHEZ GUERRERO JOSE LUIS'!V$40:V$42)+SUMIF('RUEDA SALAZAR ISMAEL'!P$35:P$37,'KM POR UNIDAD'!A64,'RUEDA SALAZAR ISMAEL'!V$35:V$37)+SUMIF('GUZMAN MORALES'!P$40:P$42,'KM POR UNIDAD'!A64,'GUZMAN MORALES'!V$40:V$42)+SUMIF('RODRIGUEZ RAMIREZ FERNANDO'!P$35:P$37,'KM POR UNIDAD'!A64,'RODRIGUEZ RAMIREZ FERNANDO'!V$35:V$37)+SUMIF('ESTRADA ARELLANO ARTURO'!P$40:P$42,'KM POR UNIDAD'!A64,'ESTRADA ARELLANO ARTURO'!V$40:V$42)+SUMIF('HERNANDEZ CONTRERAS JOSE FERNAN'!P$37:P$39,'KM POR UNIDAD'!A64,'HERNANDEZ CONTRERAS JOSE FERNAN'!V$38:V$40)+SUMIF('SALAZAR PEREZ JUAN CARLOS'!P$38:P$40,'KM POR UNIDAD'!A64,'SALAZAR PEREZ JUAN CARLOS'!V$38:V$40)+SUMIF('HARO IMPERIAL JOSÉ ANTONIO'!P$41:P$43,'KM POR UNIDAD'!A64,'HARO IMPERIAL JOSÉ ANTONIO'!V$41:V$43)+SUMIF('ESCARCEGA GALDEAN JESUS OMAR'!P$38:P$40,'KM POR UNIDAD'!A64,'ESCARCEGA GALDEAN JESUS OMAR'!V$38:V$40)</f>
        <v>1462.0810000000001</v>
      </c>
      <c r="E64" s="167">
        <f t="shared" si="4"/>
        <v>3.2364827940449259</v>
      </c>
      <c r="F64" s="168"/>
      <c r="G64" s="168"/>
      <c r="H64" s="168"/>
      <c r="I64" s="169"/>
      <c r="J64" s="170"/>
      <c r="K64" s="171"/>
    </row>
    <row r="65" spans="1:11" x14ac:dyDescent="0.25">
      <c r="A65" s="165" t="s">
        <v>236</v>
      </c>
      <c r="B65" s="166">
        <f>SUMIF('LIRA TRISTAN JOSE ANGEL'!P$36:P$38,'KM POR UNIDAD'!A65,'LIRA TRISTAN JOSE ANGEL'!U$36:U$38)+SUMIF('TORRES GARAY LUIS HUMBERTO'!P$38:P$40,'KM POR UNIDAD'!A65,'TORRES GARAY LUIS HUMBERTO'!U$38:U$40)+SUMIF('CERDA HERNANDEZ JOSE LUIS'!P$35:P$37,'KM POR UNIDAD'!A65,'CERDA HERNANDEZ JOSE LUIS'!U$35:U$37)+SUMIF('RUIZ ALVARADO PEDRO'!P$32:P$34,'KM POR UNIDAD'!A65,'RUIZ ALVARADO PEDRO'!U$32:U$34)+SUMIF('NEVAREZ JUAN MANUEL'!P$37:P$39,'KM POR UNIDAD'!A65,'NEVAREZ JUAN MANUEL'!U$37:U$39)+SUMIF('CHAVEZ VARELA NESTOR ADRIAN'!P$35:P$37,'KM POR UNIDAD'!A65,'CHAVEZ VARELA NESTOR ADRIAN'!U$35:U$37)+SUMIF('PAYAN ESTRADA JOSE ANGEL'!P$37:P$39,'KM POR UNIDAD'!A65,'PAYAN ESTRADA JOSE ANGEL'!U$37:U$39)+SUMIF('RUIZ HERRERA ERICK '!P$33:P$35,'KM POR UNIDAD'!A65,'RUIZ HERRERA ERICK '!U$33:U$35)+SUMIF('GONZALEZ LOZANO ENRIQUE '!P$38:P$40,'KM POR UNIDAD'!A65,'GONZALEZ LOZANO ENRIQUE '!U$38:U$40)+SUMIF('GONZALEZ MARTINEZ MAURICIO'!P$38:P$40,'KM POR UNIDAD'!A65,'GONZALEZ MARTINEZ MAURICIO'!U$38:U$40)+SUMIF('GONZALEZ SOTO JOEL'!P$39:P$41,'KM POR UNIDAD'!A65,'GONZALEZ SOTO JOEL'!U$39:U$41)+SUMIF('MARTA RUBIO MARTIN'!P$39:P$41,'KM POR UNIDAD'!A65,'MARTA RUBIO MARTIN'!U$39:U$41)+SUMIF('GRIJALVA VALDEZ CESAR EUSEBIO'!P$35:P$37,'KM POR UNIDAD'!A65,'GRIJALVA VALDEZ CESAR EUSEBIO'!U$35:U$37)+SUMIF('PACHECO BAÑUELOS ALFONSO'!P$39:P$41,'KM POR UNIDAD'!A65,'PACHECO BAÑUELOS ALFONSO'!U$39:U$41)+SUMIF('RODRIGUEZ VALLES JOSE FRANCISCO'!P$40:P$42,'KM POR UNIDAD'!A65,'RODRIGUEZ VALLES JOSE FRANCISCO'!U$40:U$42)+SUMIF('SANCHEZ GUERRERO JOSE LUIS'!P$40:P$42,A65,'SANCHEZ GUERRERO JOSE LUIS'!U$40:U$42)+SUMIF('RUEDA SALAZAR ISMAEL'!P$35:P$37,'KM POR UNIDAD'!A65,'RUEDA SALAZAR ISMAEL'!U$35:U$37)+SUMIF('GUZMAN MORALES'!P$40:P$42,'KM POR UNIDAD'!A65,'GUZMAN MORALES'!U$40:U$42)+SUMIF('RODRIGUEZ RAMIREZ FERNANDO'!P$35:P$37,'KM POR UNIDAD'!A65,'RODRIGUEZ RAMIREZ FERNANDO'!U$35:U$37)+SUMIF('ESTRADA ARELLANO ARTURO'!P$40:P$42,'KM POR UNIDAD'!A65,'ESTRADA ARELLANO ARTURO'!U$40:U$42)+SUMIF('HERNANDEZ CONTRERAS JOSE FERNAN'!P$37:P$39,'KM POR UNIDAD'!A65,'HERNANDEZ CONTRERAS JOSE FERNAN'!U$37:U$39)+SUMIF('SALAZAR PEREZ JUAN CARLOS'!P$38:P$40,'KM POR UNIDAD'!A65,'SALAZAR PEREZ JUAN CARLOS'!U$38:U$40)+SUMIF('HARO IMPERIAL JOSÉ ANTONIO'!P$41:P$43,'KM POR UNIDAD'!A65,'HARO IMPERIAL JOSÉ ANTONIO'!U$41:$U108)+SUMIF('ESCARCEGA GALDEAN JESUS OMAR'!P$38:P$40,'KM POR UNIDAD'!A65,'ESCARCEGA GALDEAN JESUS OMAR'!U$38:U$40)</f>
        <v>4702</v>
      </c>
      <c r="C65" s="166">
        <f>+SUMIF('LIRA TRISTAN JOSE ANGEL'!P$36:P$38,'KM POR UNIDAD'!A65,'LIRA TRISTAN JOSE ANGEL'!T$36:T$38)+SUMIF('TORRES GARAY LUIS HUMBERTO'!P$38:P$40,'KM POR UNIDAD'!A65,'TORRES GARAY LUIS HUMBERTO'!T$38:T$40)+SUMIF('CERDA HERNANDEZ JOSE LUIS'!P$35:P$37,'KM POR UNIDAD'!A65,'CERDA HERNANDEZ JOSE LUIS'!T$35:T$37)+SUMIF('RUIZ ALVARADO PEDRO'!P$32:P$34,'KM POR UNIDAD'!A65,'RUIZ ALVARADO PEDRO'!T$32:T$34)+SUMIF('NEVAREZ JUAN MANUEL'!P$37:P$39,'KM POR UNIDAD'!A65,'NEVAREZ JUAN MANUEL'!T$37:T$39)+SUMIF('CHAVEZ VARELA NESTOR ADRIAN'!P$35:P$37,'KM POR UNIDAD'!A65,'CHAVEZ VARELA NESTOR ADRIAN'!T$35:T$37)+SUMIF('PAYAN ESTRADA JOSE ANGEL'!P$37:P$39,'KM POR UNIDAD'!A65,'PAYAN ESTRADA JOSE ANGEL'!T$37:T$39)+SUMIF('RUIZ HERRERA ERICK '!P$33:P$35,'KM POR UNIDAD'!A65,'RUIZ HERRERA ERICK '!T$33:T$35)+SUMIF('GONZALEZ LOZANO ENRIQUE '!P$38:P$40,'KM POR UNIDAD'!A65,'GONZALEZ LOZANO ENRIQUE '!T$38:T$40)+SUMIF('GONZALEZ MARTINEZ MAURICIO'!P$38:P$40,'KM POR UNIDAD'!A65,'GONZALEZ MARTINEZ MAURICIO'!T$38:T$40)+SUMIF('GONZALEZ SOTO JOEL'!P$39:P$41,'KM POR UNIDAD'!A65,'GONZALEZ SOTO JOEL'!T$39:T$41)+SUMIF('MARTA RUBIO MARTIN'!P$39:P$41,'KM POR UNIDAD'!A65,'MARTA RUBIO MARTIN'!T$39:T$41)+SUMIF('GRIJALVA VALDEZ CESAR EUSEBIO'!P$35:P$37,'KM POR UNIDAD'!A65,'GRIJALVA VALDEZ CESAR EUSEBIO'!T$35:T$37)+SUMIF('PACHECO BAÑUELOS ALFONSO'!P$39:P$41,'KM POR UNIDAD'!A65,'PACHECO BAÑUELOS ALFONSO'!T$39:T$41)+SUMIF('RODRIGUEZ VALLES JOSE FRANCISCO'!P$40:P$42,'KM POR UNIDAD'!A65,'RODRIGUEZ VALLES JOSE FRANCISCO'!T$40:T$42)+SUMIF('SANCHEZ GUERRERO JOSE LUIS'!P$40:P$42,A65,'SANCHEZ GUERRERO JOSE LUIS'!T$40:T$42)+SUMIF('RUEDA SALAZAR ISMAEL'!P$35:P$37,'KM POR UNIDAD'!A65,'RUEDA SALAZAR ISMAEL'!T$35:T$37)+SUMIF('GUZMAN MORALES'!P$40:P$42,'KM POR UNIDAD'!A65,'GUZMAN MORALES'!T$40:T$42)+SUMIF('RODRIGUEZ RAMIREZ FERNANDO'!P$35:P$37,'KM POR UNIDAD'!A65,'RODRIGUEZ RAMIREZ FERNANDO'!T$35:T$37)+SUMIF('ESTRADA ARELLANO ARTURO'!P$40:P$42,'KM POR UNIDAD'!A65,'ESTRADA ARELLANO ARTURO'!T$40:T$42)+SUMIF('HERNANDEZ CONTRERAS JOSE FERNAN'!P$37:P$39,'KM POR UNIDAD'!A65,'HERNANDEZ CONTRERAS JOSE FERNAN'!T$37:T$39)+SUMIF('SALAZAR PEREZ JUAN CARLOS'!P$38:P$40,'KM POR UNIDAD'!A65,'SALAZAR PEREZ JUAN CARLOS'!T$38:T$40)+SUMIF('HARO IMPERIAL JOSÉ ANTONIO'!P$41:P$43,'KM POR UNIDAD'!A65,'HARO IMPERIAL JOSÉ ANTONIO'!T$41:T$43)+SUMIF('ESCARCEGA GALDEAN JESUS OMAR'!P$38:P$40,'KM POR UNIDAD'!A65,'ESCARCEGA GALDEAN JESUS OMAR'!T$38:T$40)</f>
        <v>4810</v>
      </c>
      <c r="D65" s="189">
        <f>+SUMIF('LIRA TRISTAN JOSE ANGEL'!P$36:P$38,'KM POR UNIDAD'!A65,'LIRA TRISTAN JOSE ANGEL'!V$36:V$38)+SUMIF('TORRES GARAY LUIS HUMBERTO'!P$38:P$40,'KM POR UNIDAD'!A65,'TORRES GARAY LUIS HUMBERTO'!V$38:V$40)+SUMIF('CERDA HERNANDEZ JOSE LUIS'!P$35:P$37,'KM POR UNIDAD'!A65,'CERDA HERNANDEZ JOSE LUIS'!V$35:V$37)+SUMIF('RUIZ ALVARADO PEDRO'!P$32:P$34,'KM POR UNIDAD'!A65,'RUIZ ALVARADO PEDRO'!V$32:V$34)+SUMIF('NEVAREZ JUAN MANUEL'!P$37:P$39,'KM POR UNIDAD'!A65,'NEVAREZ JUAN MANUEL'!V$37:V$39)+SUMIF('CHAVEZ VARELA NESTOR ADRIAN'!P$35:P$37,'KM POR UNIDAD'!A65,'CHAVEZ VARELA NESTOR ADRIAN'!V$35:V$37)+SUMIF('PAYAN ESTRADA JOSE ANGEL'!P$37:P$39,'KM POR UNIDAD'!A65,'PAYAN ESTRADA JOSE ANGEL'!V$37:V$39)+SUMIF('RUIZ HERRERA ERICK '!P$33:P$35,'KM POR UNIDAD'!A65,'RUIZ HERRERA ERICK '!V$33:V$35)+SUMIF('GONZALEZ LOZANO ENRIQUE '!P$38:P$40,'KM POR UNIDAD'!A65,'GONZALEZ LOZANO ENRIQUE '!V$38:V$40)+SUMIF('GONZALEZ MARTINEZ MAURICIO'!P$38:P$40,'KM POR UNIDAD'!A65,'GONZALEZ MARTINEZ MAURICIO'!V$38:V$40)+SUMIF('GONZALEZ SOTO JOEL'!P$39:P$41,'KM POR UNIDAD'!A65,'GONZALEZ SOTO JOEL'!V$39:V$41)+SUMIF('MARTA RUBIO MARTIN'!P$39:P$41,'KM POR UNIDAD'!A65,'MARTA RUBIO MARTIN'!V$39:V$41)+SUMIF('GRIJALVA VALDEZ CESAR EUSEBIO'!P$35:P$37,'KM POR UNIDAD'!A65,'GRIJALVA VALDEZ CESAR EUSEBIO'!V$35:V$37)+SUMIF('PACHECO BAÑUELOS ALFONSO'!P$39:P$41,'KM POR UNIDAD'!A65,'PACHECO BAÑUELOS ALFONSO'!V$39:V$41)+SUMIF('RODRIGUEZ VALLES JOSE FRANCISCO'!P$40:P$42,'KM POR UNIDAD'!A65,'RODRIGUEZ VALLES JOSE FRANCISCO'!V$40:V$42)+SUMIF('SANCHEZ GUERRERO JOSE LUIS'!P$40:P$42,A65,'SANCHEZ GUERRERO JOSE LUIS'!V$40:V$42)+SUMIF('RUEDA SALAZAR ISMAEL'!P$35:P$37,'KM POR UNIDAD'!A65,'RUEDA SALAZAR ISMAEL'!V$35:V$37)+SUMIF('GUZMAN MORALES'!P$40:P$42,'KM POR UNIDAD'!A65,'GUZMAN MORALES'!V$40:V$42)+SUMIF('RODRIGUEZ RAMIREZ FERNANDO'!P$35:P$37,'KM POR UNIDAD'!A65,'RODRIGUEZ RAMIREZ FERNANDO'!V$35:V$37)+SUMIF('ESTRADA ARELLANO ARTURO'!P$40:P$42,'KM POR UNIDAD'!A65,'ESTRADA ARELLANO ARTURO'!V$40:V$42)+SUMIF('HERNANDEZ CONTRERAS JOSE FERNAN'!P$37:P$39,'KM POR UNIDAD'!A65,'HERNANDEZ CONTRERAS JOSE FERNAN'!V$38:V$40)+SUMIF('SALAZAR PEREZ JUAN CARLOS'!P$38:P$40,'KM POR UNIDAD'!A65,'SALAZAR PEREZ JUAN CARLOS'!V$38:V$40)+SUMIF('HARO IMPERIAL JOSÉ ANTONIO'!P$41:P$43,'KM POR UNIDAD'!A65,'HARO IMPERIAL JOSÉ ANTONIO'!V$41:V$43)+SUMIF('ESCARCEGA GALDEAN JESUS OMAR'!P$38:P$40,'KM POR UNIDAD'!A65,'ESCARCEGA GALDEAN JESUS OMAR'!V$38:V$40)</f>
        <v>1444.673</v>
      </c>
      <c r="E65" s="167">
        <f t="shared" si="4"/>
        <v>3.2547157730503717</v>
      </c>
      <c r="F65" s="168"/>
      <c r="G65" s="168"/>
      <c r="H65" s="168"/>
      <c r="I65" s="169"/>
      <c r="J65" s="170"/>
      <c r="K65" s="171"/>
    </row>
    <row r="66" spans="1:11" x14ac:dyDescent="0.25">
      <c r="A66" s="165" t="s">
        <v>237</v>
      </c>
      <c r="B66" s="166">
        <f>SUMIF('LIRA TRISTAN JOSE ANGEL'!P$36:P$38,'KM POR UNIDAD'!A66,'LIRA TRISTAN JOSE ANGEL'!U$36:U$38)+SUMIF('TORRES GARAY LUIS HUMBERTO'!P$38:P$40,'KM POR UNIDAD'!A66,'TORRES GARAY LUIS HUMBERTO'!U$38:U$40)+SUMIF('CERDA HERNANDEZ JOSE LUIS'!P$35:P$37,'KM POR UNIDAD'!A66,'CERDA HERNANDEZ JOSE LUIS'!U$35:U$37)+SUMIF('RUIZ ALVARADO PEDRO'!P$32:P$34,'KM POR UNIDAD'!A66,'RUIZ ALVARADO PEDRO'!U$32:U$34)+SUMIF('NEVAREZ JUAN MANUEL'!P$37:P$39,'KM POR UNIDAD'!A66,'NEVAREZ JUAN MANUEL'!U$37:U$39)+SUMIF('CHAVEZ VARELA NESTOR ADRIAN'!P$35:P$37,'KM POR UNIDAD'!A66,'CHAVEZ VARELA NESTOR ADRIAN'!U$35:U$37)+SUMIF('PAYAN ESTRADA JOSE ANGEL'!P$37:P$39,'KM POR UNIDAD'!A66,'PAYAN ESTRADA JOSE ANGEL'!U$37:U$39)+SUMIF('RUIZ HERRERA ERICK '!P$33:P$35,'KM POR UNIDAD'!A66,'RUIZ HERRERA ERICK '!U$33:U$35)+SUMIF('GONZALEZ LOZANO ENRIQUE '!P$38:P$40,'KM POR UNIDAD'!A66,'GONZALEZ LOZANO ENRIQUE '!U$38:U$40)+SUMIF('GONZALEZ MARTINEZ MAURICIO'!P$38:P$40,'KM POR UNIDAD'!A66,'GONZALEZ MARTINEZ MAURICIO'!U$38:U$40)+SUMIF('GONZALEZ SOTO JOEL'!P$39:P$41,'KM POR UNIDAD'!A66,'GONZALEZ SOTO JOEL'!U$39:U$41)+SUMIF('MARTA RUBIO MARTIN'!P$39:P$41,'KM POR UNIDAD'!A66,'MARTA RUBIO MARTIN'!U$39:U$41)+SUMIF('GRIJALVA VALDEZ CESAR EUSEBIO'!P$35:P$37,'KM POR UNIDAD'!A66,'GRIJALVA VALDEZ CESAR EUSEBIO'!U$35:U$37)+SUMIF('PACHECO BAÑUELOS ALFONSO'!P$39:P$41,'KM POR UNIDAD'!A66,'PACHECO BAÑUELOS ALFONSO'!U$39:U$41)+SUMIF('RODRIGUEZ VALLES JOSE FRANCISCO'!P$40:P$42,'KM POR UNIDAD'!A66,'RODRIGUEZ VALLES JOSE FRANCISCO'!U$40:U$42)+SUMIF('SANCHEZ GUERRERO JOSE LUIS'!P$40:P$42,A66,'SANCHEZ GUERRERO JOSE LUIS'!U$40:U$42)+SUMIF('RUEDA SALAZAR ISMAEL'!P$35:P$37,'KM POR UNIDAD'!A66,'RUEDA SALAZAR ISMAEL'!U$35:U$37)+SUMIF('GUZMAN MORALES'!P$40:P$42,'KM POR UNIDAD'!A66,'GUZMAN MORALES'!U$40:U$42)+SUMIF('RODRIGUEZ RAMIREZ FERNANDO'!P$35:P$37,'KM POR UNIDAD'!A66,'RODRIGUEZ RAMIREZ FERNANDO'!U$35:U$37)+SUMIF('ESTRADA ARELLANO ARTURO'!P$40:P$42,'KM POR UNIDAD'!A66,'ESTRADA ARELLANO ARTURO'!U$40:U$42)+SUMIF('HERNANDEZ CONTRERAS JOSE FERNAN'!P$37:P$39,'KM POR UNIDAD'!A66,'HERNANDEZ CONTRERAS JOSE FERNAN'!U$37:U$39)+SUMIF('SALAZAR PEREZ JUAN CARLOS'!P$38:P$40,'KM POR UNIDAD'!A66,'SALAZAR PEREZ JUAN CARLOS'!U$38:U$40)+SUMIF('HARO IMPERIAL JOSÉ ANTONIO'!P$41:P$43,'KM POR UNIDAD'!A66,'HARO IMPERIAL JOSÉ ANTONIO'!U$41:$U98)+SUMIF('ESCARCEGA GALDEAN JESUS OMAR'!P$38:P$40,'KM POR UNIDAD'!A66,'ESCARCEGA GALDEAN JESUS OMAR'!U$38:U$40)</f>
        <v>2690</v>
      </c>
      <c r="C66" s="166">
        <f>+SUMIF('LIRA TRISTAN JOSE ANGEL'!P$36:P$38,'KM POR UNIDAD'!A66,'LIRA TRISTAN JOSE ANGEL'!T$36:T$38)+SUMIF('TORRES GARAY LUIS HUMBERTO'!P$38:P$40,'KM POR UNIDAD'!A66,'TORRES GARAY LUIS HUMBERTO'!T$38:T$40)+SUMIF('CERDA HERNANDEZ JOSE LUIS'!P$35:P$37,'KM POR UNIDAD'!A66,'CERDA HERNANDEZ JOSE LUIS'!T$35:T$37)+SUMIF('RUIZ ALVARADO PEDRO'!P$32:P$34,'KM POR UNIDAD'!A66,'RUIZ ALVARADO PEDRO'!T$32:T$34)+SUMIF('NEVAREZ JUAN MANUEL'!P$37:P$39,'KM POR UNIDAD'!A66,'NEVAREZ JUAN MANUEL'!T$37:T$39)+SUMIF('CHAVEZ VARELA NESTOR ADRIAN'!P$35:P$37,'KM POR UNIDAD'!A66,'CHAVEZ VARELA NESTOR ADRIAN'!T$35:T$37)+SUMIF('PAYAN ESTRADA JOSE ANGEL'!P$37:P$39,'KM POR UNIDAD'!A66,'PAYAN ESTRADA JOSE ANGEL'!T$37:T$39)+SUMIF('RUIZ HERRERA ERICK '!P$33:P$35,'KM POR UNIDAD'!A66,'RUIZ HERRERA ERICK '!T$33:T$35)+SUMIF('GONZALEZ LOZANO ENRIQUE '!P$38:P$40,'KM POR UNIDAD'!A66,'GONZALEZ LOZANO ENRIQUE '!T$38:T$40)+SUMIF('GONZALEZ MARTINEZ MAURICIO'!P$38:P$40,'KM POR UNIDAD'!A66,'GONZALEZ MARTINEZ MAURICIO'!T$38:T$40)+SUMIF('GONZALEZ SOTO JOEL'!P$39:P$41,'KM POR UNIDAD'!A66,'GONZALEZ SOTO JOEL'!T$39:T$41)+SUMIF('MARTA RUBIO MARTIN'!P$39:P$41,'KM POR UNIDAD'!A66,'MARTA RUBIO MARTIN'!T$39:T$41)+SUMIF('GRIJALVA VALDEZ CESAR EUSEBIO'!P$35:P$37,'KM POR UNIDAD'!A66,'GRIJALVA VALDEZ CESAR EUSEBIO'!T$35:T$37)+SUMIF('PACHECO BAÑUELOS ALFONSO'!P$39:P$41,'KM POR UNIDAD'!A66,'PACHECO BAÑUELOS ALFONSO'!T$39:T$41)+SUMIF('RODRIGUEZ VALLES JOSE FRANCISCO'!P$40:P$42,'KM POR UNIDAD'!A66,'RODRIGUEZ VALLES JOSE FRANCISCO'!T$40:T$42)+SUMIF('SANCHEZ GUERRERO JOSE LUIS'!P$40:P$42,A66,'SANCHEZ GUERRERO JOSE LUIS'!T$40:T$42)+SUMIF('RUEDA SALAZAR ISMAEL'!P$35:P$37,'KM POR UNIDAD'!A66,'RUEDA SALAZAR ISMAEL'!T$35:T$37)+SUMIF('GUZMAN MORALES'!P$40:P$42,'KM POR UNIDAD'!A66,'GUZMAN MORALES'!T$40:T$42)+SUMIF('RODRIGUEZ RAMIREZ FERNANDO'!P$35:P$37,'KM POR UNIDAD'!A66,'RODRIGUEZ RAMIREZ FERNANDO'!T$35:T$37)+SUMIF('ESTRADA ARELLANO ARTURO'!P$40:P$42,'KM POR UNIDAD'!A66,'ESTRADA ARELLANO ARTURO'!T$40:T$42)+SUMIF('HERNANDEZ CONTRERAS JOSE FERNAN'!P$37:P$39,'KM POR UNIDAD'!A66,'HERNANDEZ CONTRERAS JOSE FERNAN'!T$37:T$39)+SUMIF('SALAZAR PEREZ JUAN CARLOS'!P$38:P$40,'KM POR UNIDAD'!A66,'SALAZAR PEREZ JUAN CARLOS'!T$38:T$40)+SUMIF('HARO IMPERIAL JOSÉ ANTONIO'!P$41:P$43,'KM POR UNIDAD'!A66,'HARO IMPERIAL JOSÉ ANTONIO'!T$41:T$43)+SUMIF('ESCARCEGA GALDEAN JESUS OMAR'!P$38:P$40,'KM POR UNIDAD'!A66,'ESCARCEGA GALDEAN JESUS OMAR'!T$38:T$40)</f>
        <v>2751</v>
      </c>
      <c r="D66" s="189">
        <f>+SUMIF('LIRA TRISTAN JOSE ANGEL'!P$36:P$38,'KM POR UNIDAD'!A66,'LIRA TRISTAN JOSE ANGEL'!V$36:V$38)+SUMIF('TORRES GARAY LUIS HUMBERTO'!P$38:P$40,'KM POR UNIDAD'!A66,'TORRES GARAY LUIS HUMBERTO'!V$38:V$40)+SUMIF('CERDA HERNANDEZ JOSE LUIS'!P$35:P$37,'KM POR UNIDAD'!A66,'CERDA HERNANDEZ JOSE LUIS'!V$35:V$37)+SUMIF('RUIZ ALVARADO PEDRO'!P$32:P$34,'KM POR UNIDAD'!A66,'RUIZ ALVARADO PEDRO'!V$32:V$34)+SUMIF('NEVAREZ JUAN MANUEL'!P$37:P$39,'KM POR UNIDAD'!A66,'NEVAREZ JUAN MANUEL'!V$37:V$39)+SUMIF('CHAVEZ VARELA NESTOR ADRIAN'!P$35:P$37,'KM POR UNIDAD'!A66,'CHAVEZ VARELA NESTOR ADRIAN'!V$35:V$37)+SUMIF('PAYAN ESTRADA JOSE ANGEL'!P$37:P$39,'KM POR UNIDAD'!A66,'PAYAN ESTRADA JOSE ANGEL'!V$37:V$39)+SUMIF('RUIZ HERRERA ERICK '!P$33:P$35,'KM POR UNIDAD'!A66,'RUIZ HERRERA ERICK '!V$33:V$35)+SUMIF('GONZALEZ LOZANO ENRIQUE '!P$38:P$40,'KM POR UNIDAD'!A66,'GONZALEZ LOZANO ENRIQUE '!V$38:V$40)+SUMIF('GONZALEZ MARTINEZ MAURICIO'!P$38:P$40,'KM POR UNIDAD'!A66,'GONZALEZ MARTINEZ MAURICIO'!V$38:V$40)+SUMIF('GONZALEZ SOTO JOEL'!P$39:P$41,'KM POR UNIDAD'!A66,'GONZALEZ SOTO JOEL'!V$39:V$41)+SUMIF('MARTA RUBIO MARTIN'!P$39:P$41,'KM POR UNIDAD'!A66,'MARTA RUBIO MARTIN'!V$39:V$41)+SUMIF('GRIJALVA VALDEZ CESAR EUSEBIO'!P$35:P$37,'KM POR UNIDAD'!A66,'GRIJALVA VALDEZ CESAR EUSEBIO'!V$35:V$37)+SUMIF('PACHECO BAÑUELOS ALFONSO'!P$39:P$41,'KM POR UNIDAD'!A66,'PACHECO BAÑUELOS ALFONSO'!V$39:V$41)+SUMIF('RODRIGUEZ VALLES JOSE FRANCISCO'!P$40:P$42,'KM POR UNIDAD'!A66,'RODRIGUEZ VALLES JOSE FRANCISCO'!V$40:V$42)+SUMIF('SANCHEZ GUERRERO JOSE LUIS'!P$40:P$42,A66,'SANCHEZ GUERRERO JOSE LUIS'!V$40:V$42)+SUMIF('RUEDA SALAZAR ISMAEL'!P$35:P$37,'KM POR UNIDAD'!A66,'RUEDA SALAZAR ISMAEL'!V$35:V$37)+SUMIF('GUZMAN MORALES'!P$40:P$42,'KM POR UNIDAD'!A66,'GUZMAN MORALES'!V$40:V$42)+SUMIF('RODRIGUEZ RAMIREZ FERNANDO'!P$35:P$37,'KM POR UNIDAD'!A66,'RODRIGUEZ RAMIREZ FERNANDO'!V$35:V$37)+SUMIF('ESTRADA ARELLANO ARTURO'!P$40:P$42,'KM POR UNIDAD'!A66,'ESTRADA ARELLANO ARTURO'!V$40:V$42)+SUMIF('HERNANDEZ CONTRERAS JOSE FERNAN'!P$37:P$39,'KM POR UNIDAD'!A66,'HERNANDEZ CONTRERAS JOSE FERNAN'!V$38:V$40)+SUMIF('SALAZAR PEREZ JUAN CARLOS'!P$38:P$40,'KM POR UNIDAD'!A66,'SALAZAR PEREZ JUAN CARLOS'!V$38:V$40)+SUMIF('HARO IMPERIAL JOSÉ ANTONIO'!P$41:P$43,'KM POR UNIDAD'!A66,'HARO IMPERIAL JOSÉ ANTONIO'!V$41:V$43)+SUMIF('ESCARCEGA GALDEAN JESUS OMAR'!P$38:P$40,'KM POR UNIDAD'!A66,'ESCARCEGA GALDEAN JESUS OMAR'!V$38:V$40)</f>
        <v>772.41300000000001</v>
      </c>
      <c r="E66" s="167">
        <f t="shared" si="4"/>
        <v>3.4825928615908848</v>
      </c>
      <c r="F66" s="168"/>
      <c r="G66" s="168"/>
      <c r="H66" s="168"/>
      <c r="I66" s="169"/>
      <c r="J66" s="170"/>
      <c r="K66" s="171"/>
    </row>
    <row r="67" spans="1:11" x14ac:dyDescent="0.25">
      <c r="A67" s="165" t="s">
        <v>238</v>
      </c>
      <c r="B67" s="166">
        <f>SUMIF('LIRA TRISTAN JOSE ANGEL'!P$36:P$38,'KM POR UNIDAD'!A67,'LIRA TRISTAN JOSE ANGEL'!U$36:U$38)+SUMIF('TORRES GARAY LUIS HUMBERTO'!P$38:P$40,'KM POR UNIDAD'!A67,'TORRES GARAY LUIS HUMBERTO'!U$38:U$40)+SUMIF('CERDA HERNANDEZ JOSE LUIS'!P$35:P$37,'KM POR UNIDAD'!A67,'CERDA HERNANDEZ JOSE LUIS'!U$35:U$37)+SUMIF('RUIZ ALVARADO PEDRO'!P$32:P$34,'KM POR UNIDAD'!A67,'RUIZ ALVARADO PEDRO'!U$32:U$34)+SUMIF('NEVAREZ JUAN MANUEL'!P$37:P$39,'KM POR UNIDAD'!A67,'NEVAREZ JUAN MANUEL'!U$37:U$39)+SUMIF('CHAVEZ VARELA NESTOR ADRIAN'!P$35:P$37,'KM POR UNIDAD'!A67,'CHAVEZ VARELA NESTOR ADRIAN'!U$35:U$37)+SUMIF('PAYAN ESTRADA JOSE ANGEL'!P$37:P$39,'KM POR UNIDAD'!A67,'PAYAN ESTRADA JOSE ANGEL'!U$37:U$39)+SUMIF('RUIZ HERRERA ERICK '!P$33:P$35,'KM POR UNIDAD'!A67,'RUIZ HERRERA ERICK '!U$33:U$35)+SUMIF('GONZALEZ LOZANO ENRIQUE '!P$38:P$40,'KM POR UNIDAD'!A67,'GONZALEZ LOZANO ENRIQUE '!U$38:U$40)+SUMIF('GONZALEZ MARTINEZ MAURICIO'!P$38:P$40,'KM POR UNIDAD'!A67,'GONZALEZ MARTINEZ MAURICIO'!U$38:U$40)+SUMIF('GONZALEZ SOTO JOEL'!P$39:P$41,'KM POR UNIDAD'!A67,'GONZALEZ SOTO JOEL'!U$39:U$41)+SUMIF('MARTA RUBIO MARTIN'!P$39:P$41,'KM POR UNIDAD'!A67,'MARTA RUBIO MARTIN'!U$39:U$41)+SUMIF('GRIJALVA VALDEZ CESAR EUSEBIO'!P$35:P$37,'KM POR UNIDAD'!A67,'GRIJALVA VALDEZ CESAR EUSEBIO'!U$35:U$37)+SUMIF('PACHECO BAÑUELOS ALFONSO'!P$39:P$41,'KM POR UNIDAD'!A67,'PACHECO BAÑUELOS ALFONSO'!U$39:U$41)+SUMIF('RODRIGUEZ VALLES JOSE FRANCISCO'!P$40:P$42,'KM POR UNIDAD'!A67,'RODRIGUEZ VALLES JOSE FRANCISCO'!U$40:U$42)+SUMIF('SANCHEZ GUERRERO JOSE LUIS'!P$40:P$42,A67,'SANCHEZ GUERRERO JOSE LUIS'!U$40:U$42)+SUMIF('RUEDA SALAZAR ISMAEL'!P$35:P$37,'KM POR UNIDAD'!A67,'RUEDA SALAZAR ISMAEL'!U$35:U$37)+SUMIF('GUZMAN MORALES'!P$40:P$42,'KM POR UNIDAD'!A67,'GUZMAN MORALES'!U$40:U$42)+SUMIF('RODRIGUEZ RAMIREZ FERNANDO'!P$35:P$37,'KM POR UNIDAD'!A67,'RODRIGUEZ RAMIREZ FERNANDO'!U$35:U$37)+SUMIF('ESTRADA ARELLANO ARTURO'!P$40:P$42,'KM POR UNIDAD'!A67,'ESTRADA ARELLANO ARTURO'!U$40:U$42)+SUMIF('HERNANDEZ CONTRERAS JOSE FERNAN'!P$37:P$39,'KM POR UNIDAD'!A67,'HERNANDEZ CONTRERAS JOSE FERNAN'!U$37:U$39)+SUMIF('SALAZAR PEREZ JUAN CARLOS'!P$38:P$40,'KM POR UNIDAD'!A67,'SALAZAR PEREZ JUAN CARLOS'!U$38:U$40)+SUMIF('HARO IMPERIAL JOSÉ ANTONIO'!P$41:P$43,'KM POR UNIDAD'!A67,'HARO IMPERIAL JOSÉ ANTONIO'!U$41:$U99)+SUMIF('ESCARCEGA GALDEAN JESUS OMAR'!P$38:P$40,'KM POR UNIDAD'!A67,'ESCARCEGA GALDEAN JESUS OMAR'!U$38:U$40)</f>
        <v>0</v>
      </c>
      <c r="C67" s="166">
        <f>+SUMIF('LIRA TRISTAN JOSE ANGEL'!P$36:P$38,'KM POR UNIDAD'!A67,'LIRA TRISTAN JOSE ANGEL'!T$36:T$38)+SUMIF('TORRES GARAY LUIS HUMBERTO'!P$38:P$40,'KM POR UNIDAD'!A67,'TORRES GARAY LUIS HUMBERTO'!T$38:T$40)+SUMIF('CERDA HERNANDEZ JOSE LUIS'!P$35:P$37,'KM POR UNIDAD'!A67,'CERDA HERNANDEZ JOSE LUIS'!T$35:T$37)+SUMIF('RUIZ ALVARADO PEDRO'!P$32:P$34,'KM POR UNIDAD'!A67,'RUIZ ALVARADO PEDRO'!T$32:T$34)+SUMIF('NEVAREZ JUAN MANUEL'!P$37:P$39,'KM POR UNIDAD'!A67,'NEVAREZ JUAN MANUEL'!T$37:T$39)+SUMIF('CHAVEZ VARELA NESTOR ADRIAN'!P$35:P$37,'KM POR UNIDAD'!A67,'CHAVEZ VARELA NESTOR ADRIAN'!T$35:T$37)+SUMIF('PAYAN ESTRADA JOSE ANGEL'!P$37:P$39,'KM POR UNIDAD'!A67,'PAYAN ESTRADA JOSE ANGEL'!T$37:T$39)+SUMIF('RUIZ HERRERA ERICK '!P$33:P$35,'KM POR UNIDAD'!A67,'RUIZ HERRERA ERICK '!T$33:T$35)+SUMIF('GONZALEZ LOZANO ENRIQUE '!P$38:P$40,'KM POR UNIDAD'!A67,'GONZALEZ LOZANO ENRIQUE '!T$38:T$40)+SUMIF('GONZALEZ MARTINEZ MAURICIO'!P$38:P$40,'KM POR UNIDAD'!A67,'GONZALEZ MARTINEZ MAURICIO'!T$38:T$40)+SUMIF('GONZALEZ SOTO JOEL'!P$39:P$41,'KM POR UNIDAD'!A67,'GONZALEZ SOTO JOEL'!T$39:T$41)+SUMIF('MARTA RUBIO MARTIN'!P$39:P$41,'KM POR UNIDAD'!A67,'MARTA RUBIO MARTIN'!T$39:T$41)+SUMIF('GRIJALVA VALDEZ CESAR EUSEBIO'!P$35:P$37,'KM POR UNIDAD'!A67,'GRIJALVA VALDEZ CESAR EUSEBIO'!T$35:T$37)+SUMIF('PACHECO BAÑUELOS ALFONSO'!P$39:P$41,'KM POR UNIDAD'!A67,'PACHECO BAÑUELOS ALFONSO'!T$39:T$41)+SUMIF('RODRIGUEZ VALLES JOSE FRANCISCO'!P$40:P$42,'KM POR UNIDAD'!A67,'RODRIGUEZ VALLES JOSE FRANCISCO'!T$40:T$42)+SUMIF('SANCHEZ GUERRERO JOSE LUIS'!P$40:P$42,A67,'SANCHEZ GUERRERO JOSE LUIS'!T$40:T$42)+SUMIF('RUEDA SALAZAR ISMAEL'!P$35:P$37,'KM POR UNIDAD'!A67,'RUEDA SALAZAR ISMAEL'!T$35:T$37)+SUMIF('GUZMAN MORALES'!P$40:P$42,'KM POR UNIDAD'!A67,'GUZMAN MORALES'!T$40:T$42)+SUMIF('RODRIGUEZ RAMIREZ FERNANDO'!P$35:P$37,'KM POR UNIDAD'!A67,'RODRIGUEZ RAMIREZ FERNANDO'!T$35:T$37)+SUMIF('ESTRADA ARELLANO ARTURO'!P$40:P$42,'KM POR UNIDAD'!A67,'ESTRADA ARELLANO ARTURO'!T$40:T$42)+SUMIF('HERNANDEZ CONTRERAS JOSE FERNAN'!P$37:P$39,'KM POR UNIDAD'!A67,'HERNANDEZ CONTRERAS JOSE FERNAN'!T$37:T$39)+SUMIF('SALAZAR PEREZ JUAN CARLOS'!P$38:P$40,'KM POR UNIDAD'!A67,'SALAZAR PEREZ JUAN CARLOS'!T$38:T$40)+SUMIF('HARO IMPERIAL JOSÉ ANTONIO'!P$41:P$43,'KM POR UNIDAD'!A67,'HARO IMPERIAL JOSÉ ANTONIO'!T$41:T$43)+SUMIF('ESCARCEGA GALDEAN JESUS OMAR'!P$38:P$40,'KM POR UNIDAD'!A67,'ESCARCEGA GALDEAN JESUS OMAR'!T$38:T$40)</f>
        <v>0</v>
      </c>
      <c r="D67" s="189">
        <f>+SUMIF('LIRA TRISTAN JOSE ANGEL'!P$36:P$38,'KM POR UNIDAD'!A67,'LIRA TRISTAN JOSE ANGEL'!V$36:V$38)+SUMIF('TORRES GARAY LUIS HUMBERTO'!P$38:P$40,'KM POR UNIDAD'!A67,'TORRES GARAY LUIS HUMBERTO'!V$38:V$40)+SUMIF('CERDA HERNANDEZ JOSE LUIS'!P$35:P$37,'KM POR UNIDAD'!A67,'CERDA HERNANDEZ JOSE LUIS'!V$35:V$37)+SUMIF('RUIZ ALVARADO PEDRO'!P$32:P$34,'KM POR UNIDAD'!A67,'RUIZ ALVARADO PEDRO'!V$32:V$34)+SUMIF('NEVAREZ JUAN MANUEL'!P$37:P$39,'KM POR UNIDAD'!A67,'NEVAREZ JUAN MANUEL'!V$37:V$39)+SUMIF('CHAVEZ VARELA NESTOR ADRIAN'!P$35:P$37,'KM POR UNIDAD'!A67,'CHAVEZ VARELA NESTOR ADRIAN'!V$35:V$37)+SUMIF('PAYAN ESTRADA JOSE ANGEL'!P$37:P$39,'KM POR UNIDAD'!A67,'PAYAN ESTRADA JOSE ANGEL'!V$37:V$39)+SUMIF('RUIZ HERRERA ERICK '!P$33:P$35,'KM POR UNIDAD'!A67,'RUIZ HERRERA ERICK '!V$33:V$35)+SUMIF('GONZALEZ LOZANO ENRIQUE '!P$38:P$40,'KM POR UNIDAD'!A67,'GONZALEZ LOZANO ENRIQUE '!V$38:V$40)+SUMIF('GONZALEZ MARTINEZ MAURICIO'!P$38:P$40,'KM POR UNIDAD'!A67,'GONZALEZ MARTINEZ MAURICIO'!V$38:V$40)+SUMIF('GONZALEZ SOTO JOEL'!P$39:P$41,'KM POR UNIDAD'!A67,'GONZALEZ SOTO JOEL'!V$39:V$41)+SUMIF('MARTA RUBIO MARTIN'!P$39:P$41,'KM POR UNIDAD'!A67,'MARTA RUBIO MARTIN'!V$39:V$41)+SUMIF('GRIJALVA VALDEZ CESAR EUSEBIO'!P$35:P$37,'KM POR UNIDAD'!A67,'GRIJALVA VALDEZ CESAR EUSEBIO'!V$35:V$37)+SUMIF('PACHECO BAÑUELOS ALFONSO'!P$39:P$41,'KM POR UNIDAD'!A67,'PACHECO BAÑUELOS ALFONSO'!V$39:V$41)+SUMIF('RODRIGUEZ VALLES JOSE FRANCISCO'!P$40:P$42,'KM POR UNIDAD'!A67,'RODRIGUEZ VALLES JOSE FRANCISCO'!V$40:V$42)+SUMIF('SANCHEZ GUERRERO JOSE LUIS'!P$40:P$42,A67,'SANCHEZ GUERRERO JOSE LUIS'!V$40:V$42)+SUMIF('RUEDA SALAZAR ISMAEL'!P$35:P$37,'KM POR UNIDAD'!A67,'RUEDA SALAZAR ISMAEL'!V$35:V$37)+SUMIF('GUZMAN MORALES'!P$40:P$42,'KM POR UNIDAD'!A67,'GUZMAN MORALES'!V$40:V$42)+SUMIF('RODRIGUEZ RAMIREZ FERNANDO'!P$35:P$37,'KM POR UNIDAD'!A67,'RODRIGUEZ RAMIREZ FERNANDO'!V$35:V$37)+SUMIF('ESTRADA ARELLANO ARTURO'!P$40:P$42,'KM POR UNIDAD'!A67,'ESTRADA ARELLANO ARTURO'!V$40:V$42)+SUMIF('HERNANDEZ CONTRERAS JOSE FERNAN'!P$37:P$39,'KM POR UNIDAD'!A67,'HERNANDEZ CONTRERAS JOSE FERNAN'!V$38:V$40)+SUMIF('SALAZAR PEREZ JUAN CARLOS'!P$38:P$40,'KM POR UNIDAD'!A67,'SALAZAR PEREZ JUAN CARLOS'!V$38:V$40)+SUMIF('HARO IMPERIAL JOSÉ ANTONIO'!P$41:P$43,'KM POR UNIDAD'!A67,'HARO IMPERIAL JOSÉ ANTONIO'!V$41:V$43)+SUMIF('ESCARCEGA GALDEAN JESUS OMAR'!P$38:P$40,'KM POR UNIDAD'!A67,'ESCARCEGA GALDEAN JESUS OMAR'!V$38:V$40)</f>
        <v>0</v>
      </c>
      <c r="E67" s="167">
        <f t="shared" si="4"/>
        <v>0</v>
      </c>
      <c r="F67" s="168"/>
      <c r="G67" s="168"/>
      <c r="H67" s="168"/>
      <c r="I67" s="169"/>
      <c r="J67" s="170"/>
      <c r="K67" s="171"/>
    </row>
    <row r="68" spans="1:11" x14ac:dyDescent="0.25">
      <c r="A68" s="165" t="s">
        <v>294</v>
      </c>
      <c r="B68" s="166">
        <f>SUMIF('LIRA TRISTAN JOSE ANGEL'!P$36:P$38,'KM POR UNIDAD'!A68,'LIRA TRISTAN JOSE ANGEL'!U$36:U$38)+SUMIF('TORRES GARAY LUIS HUMBERTO'!P$38:P$40,'KM POR UNIDAD'!A68,'TORRES GARAY LUIS HUMBERTO'!U$38:U$40)+SUMIF('CERDA HERNANDEZ JOSE LUIS'!P$35:P$37,'KM POR UNIDAD'!A68,'CERDA HERNANDEZ JOSE LUIS'!U$35:U$37)+SUMIF('RUIZ ALVARADO PEDRO'!P$32:P$34,'KM POR UNIDAD'!A68,'RUIZ ALVARADO PEDRO'!U$32:U$34)+SUMIF('NEVAREZ JUAN MANUEL'!P$37:P$39,'KM POR UNIDAD'!A68,'NEVAREZ JUAN MANUEL'!U$37:U$39)+SUMIF('CHAVEZ VARELA NESTOR ADRIAN'!P$35:P$37,'KM POR UNIDAD'!A68,'CHAVEZ VARELA NESTOR ADRIAN'!U$35:U$37)+SUMIF('PAYAN ESTRADA JOSE ANGEL'!P$37:P$39,'KM POR UNIDAD'!A68,'PAYAN ESTRADA JOSE ANGEL'!U$37:U$39)+SUMIF('RUIZ HERRERA ERICK '!P$33:P$35,'KM POR UNIDAD'!A68,'RUIZ HERRERA ERICK '!U$33:U$35)+SUMIF('GONZALEZ LOZANO ENRIQUE '!P$38:P$40,'KM POR UNIDAD'!A68,'GONZALEZ LOZANO ENRIQUE '!U$38:U$40)+SUMIF('GONZALEZ MARTINEZ MAURICIO'!P$38:P$40,'KM POR UNIDAD'!A68,'GONZALEZ MARTINEZ MAURICIO'!U$38:U$40)+SUMIF('GONZALEZ SOTO JOEL'!P$39:P$41,'KM POR UNIDAD'!A68,'GONZALEZ SOTO JOEL'!U$39:U$41)+SUMIF('MARTA RUBIO MARTIN'!P$39:P$41,'KM POR UNIDAD'!A68,'MARTA RUBIO MARTIN'!U$39:U$41)+SUMIF('GRIJALVA VALDEZ CESAR EUSEBIO'!P$35:P$37,'KM POR UNIDAD'!A68,'GRIJALVA VALDEZ CESAR EUSEBIO'!U$35:U$37)+SUMIF('PACHECO BAÑUELOS ALFONSO'!P$39:P$41,'KM POR UNIDAD'!A68,'PACHECO BAÑUELOS ALFONSO'!U$39:U$41)+SUMIF('RODRIGUEZ VALLES JOSE FRANCISCO'!P$40:P$42,'KM POR UNIDAD'!A68,'RODRIGUEZ VALLES JOSE FRANCISCO'!U$40:U$42)+SUMIF('SANCHEZ GUERRERO JOSE LUIS'!P$40:P$42,A68,'SANCHEZ GUERRERO JOSE LUIS'!U$40:U$42)+SUMIF('RUEDA SALAZAR ISMAEL'!P$35:P$37,'KM POR UNIDAD'!A68,'RUEDA SALAZAR ISMAEL'!U$35:U$37)+SUMIF('GUZMAN MORALES'!P$40:P$42,'KM POR UNIDAD'!A68,'GUZMAN MORALES'!U$40:U$42)+SUMIF('RODRIGUEZ RAMIREZ FERNANDO'!P$35:P$37,'KM POR UNIDAD'!A68,'RODRIGUEZ RAMIREZ FERNANDO'!U$35:U$37)+SUMIF('ESTRADA ARELLANO ARTURO'!P$40:P$42,'KM POR UNIDAD'!A68,'ESTRADA ARELLANO ARTURO'!U$40:U$42)+SUMIF('HERNANDEZ CONTRERAS JOSE FERNAN'!P$37:P$39,'KM POR UNIDAD'!A68,'HERNANDEZ CONTRERAS JOSE FERNAN'!U$37:U$39)+SUMIF('SALAZAR PEREZ JUAN CARLOS'!P$38:P$40,'KM POR UNIDAD'!A68,'SALAZAR PEREZ JUAN CARLOS'!U$38:U$40)+SUMIF('HARO IMPERIAL JOSÉ ANTONIO'!P$41:P$43,'KM POR UNIDAD'!A68,'HARO IMPERIAL JOSÉ ANTONIO'!U$41:$U100)+SUMIF('ESCARCEGA GALDEAN JESUS OMAR'!P$38:P$40,'KM POR UNIDAD'!A68,'ESCARCEGA GALDEAN JESUS OMAR'!U$38:U$40)</f>
        <v>0</v>
      </c>
      <c r="C68" s="166">
        <f>+SUMIF('LIRA TRISTAN JOSE ANGEL'!P$36:P$38,'KM POR UNIDAD'!A68,'LIRA TRISTAN JOSE ANGEL'!T$36:T$38)+SUMIF('TORRES GARAY LUIS HUMBERTO'!P$38:P$40,'KM POR UNIDAD'!A68,'TORRES GARAY LUIS HUMBERTO'!T$38:T$40)+SUMIF('CERDA HERNANDEZ JOSE LUIS'!P$35:P$37,'KM POR UNIDAD'!A68,'CERDA HERNANDEZ JOSE LUIS'!T$35:T$37)+SUMIF('RUIZ ALVARADO PEDRO'!P$32:P$34,'KM POR UNIDAD'!A68,'RUIZ ALVARADO PEDRO'!T$32:T$34)+SUMIF('NEVAREZ JUAN MANUEL'!P$37:P$39,'KM POR UNIDAD'!A68,'NEVAREZ JUAN MANUEL'!T$37:T$39)+SUMIF('CHAVEZ VARELA NESTOR ADRIAN'!P$35:P$37,'KM POR UNIDAD'!A68,'CHAVEZ VARELA NESTOR ADRIAN'!T$35:T$37)+SUMIF('PAYAN ESTRADA JOSE ANGEL'!P$37:P$39,'KM POR UNIDAD'!A68,'PAYAN ESTRADA JOSE ANGEL'!T$37:T$39)+SUMIF('RUIZ HERRERA ERICK '!P$33:P$35,'KM POR UNIDAD'!A68,'RUIZ HERRERA ERICK '!T$33:T$35)+SUMIF('GONZALEZ LOZANO ENRIQUE '!P$38:P$40,'KM POR UNIDAD'!A68,'GONZALEZ LOZANO ENRIQUE '!T$38:T$40)+SUMIF('GONZALEZ MARTINEZ MAURICIO'!P$38:P$40,'KM POR UNIDAD'!A68,'GONZALEZ MARTINEZ MAURICIO'!T$38:T$40)+SUMIF('GONZALEZ SOTO JOEL'!P$39:P$41,'KM POR UNIDAD'!A68,'GONZALEZ SOTO JOEL'!T$39:T$41)+SUMIF('MARTA RUBIO MARTIN'!P$39:P$41,'KM POR UNIDAD'!A68,'MARTA RUBIO MARTIN'!T$39:T$41)+SUMIF('GRIJALVA VALDEZ CESAR EUSEBIO'!P$35:P$37,'KM POR UNIDAD'!A68,'GRIJALVA VALDEZ CESAR EUSEBIO'!T$35:T$37)+SUMIF('PACHECO BAÑUELOS ALFONSO'!P$39:P$41,'KM POR UNIDAD'!A68,'PACHECO BAÑUELOS ALFONSO'!T$39:T$41)+SUMIF('RODRIGUEZ VALLES JOSE FRANCISCO'!P$40:P$42,'KM POR UNIDAD'!A68,'RODRIGUEZ VALLES JOSE FRANCISCO'!T$40:T$42)+SUMIF('SANCHEZ GUERRERO JOSE LUIS'!P$40:P$42,A68,'SANCHEZ GUERRERO JOSE LUIS'!T$40:T$42)+SUMIF('RUEDA SALAZAR ISMAEL'!P$35:P$37,'KM POR UNIDAD'!A68,'RUEDA SALAZAR ISMAEL'!T$35:T$37)+SUMIF('GUZMAN MORALES'!P$40:P$42,'KM POR UNIDAD'!A68,'GUZMAN MORALES'!T$40:T$42)+SUMIF('RODRIGUEZ RAMIREZ FERNANDO'!P$35:P$37,'KM POR UNIDAD'!A68,'RODRIGUEZ RAMIREZ FERNANDO'!T$35:T$37)+SUMIF('ESTRADA ARELLANO ARTURO'!P$40:P$42,'KM POR UNIDAD'!A68,'ESTRADA ARELLANO ARTURO'!T$40:T$42)+SUMIF('HERNANDEZ CONTRERAS JOSE FERNAN'!P$37:P$39,'KM POR UNIDAD'!A68,'HERNANDEZ CONTRERAS JOSE FERNAN'!T$37:T$39)+SUMIF('SALAZAR PEREZ JUAN CARLOS'!P$38:P$40,'KM POR UNIDAD'!A68,'SALAZAR PEREZ JUAN CARLOS'!T$38:T$40)+SUMIF('HARO IMPERIAL JOSÉ ANTONIO'!P$41:P$43,'KM POR UNIDAD'!A68,'HARO IMPERIAL JOSÉ ANTONIO'!T$41:T$43)+SUMIF('ESCARCEGA GALDEAN JESUS OMAR'!P$38:P$40,'KM POR UNIDAD'!A68,'ESCARCEGA GALDEAN JESUS OMAR'!T$38:T$40)</f>
        <v>0</v>
      </c>
      <c r="D68" s="189">
        <f>+SUMIF('LIRA TRISTAN JOSE ANGEL'!P$36:P$38,'KM POR UNIDAD'!A68,'LIRA TRISTAN JOSE ANGEL'!V$36:V$38)+SUMIF('TORRES GARAY LUIS HUMBERTO'!P$38:P$40,'KM POR UNIDAD'!A68,'TORRES GARAY LUIS HUMBERTO'!V$38:V$40)+SUMIF('CERDA HERNANDEZ JOSE LUIS'!P$35:P$37,'KM POR UNIDAD'!A68,'CERDA HERNANDEZ JOSE LUIS'!V$35:V$37)+SUMIF('RUIZ ALVARADO PEDRO'!P$32:P$34,'KM POR UNIDAD'!A68,'RUIZ ALVARADO PEDRO'!V$32:V$34)+SUMIF('NEVAREZ JUAN MANUEL'!P$37:P$39,'KM POR UNIDAD'!A68,'NEVAREZ JUAN MANUEL'!V$37:V$39)+SUMIF('CHAVEZ VARELA NESTOR ADRIAN'!P$35:P$37,'KM POR UNIDAD'!A68,'CHAVEZ VARELA NESTOR ADRIAN'!V$35:V$37)+SUMIF('PAYAN ESTRADA JOSE ANGEL'!P$37:P$39,'KM POR UNIDAD'!A68,'PAYAN ESTRADA JOSE ANGEL'!V$37:V$39)+SUMIF('RUIZ HERRERA ERICK '!P$33:P$35,'KM POR UNIDAD'!A68,'RUIZ HERRERA ERICK '!V$33:V$35)+SUMIF('GONZALEZ LOZANO ENRIQUE '!P$38:P$40,'KM POR UNIDAD'!A68,'GONZALEZ LOZANO ENRIQUE '!V$38:V$40)+SUMIF('GONZALEZ MARTINEZ MAURICIO'!P$38:P$40,'KM POR UNIDAD'!A68,'GONZALEZ MARTINEZ MAURICIO'!V$38:V$40)+SUMIF('GONZALEZ SOTO JOEL'!P$39:P$41,'KM POR UNIDAD'!A68,'GONZALEZ SOTO JOEL'!V$39:V$41)+SUMIF('MARTA RUBIO MARTIN'!P$39:P$41,'KM POR UNIDAD'!A68,'MARTA RUBIO MARTIN'!V$39:V$41)+SUMIF('GRIJALVA VALDEZ CESAR EUSEBIO'!P$35:P$37,'KM POR UNIDAD'!A68,'GRIJALVA VALDEZ CESAR EUSEBIO'!V$35:V$37)+SUMIF('PACHECO BAÑUELOS ALFONSO'!P$39:P$41,'KM POR UNIDAD'!A68,'PACHECO BAÑUELOS ALFONSO'!V$39:V$41)+SUMIF('RODRIGUEZ VALLES JOSE FRANCISCO'!P$40:P$42,'KM POR UNIDAD'!A68,'RODRIGUEZ VALLES JOSE FRANCISCO'!V$40:V$42)+SUMIF('SANCHEZ GUERRERO JOSE LUIS'!P$40:P$42,A68,'SANCHEZ GUERRERO JOSE LUIS'!V$40:V$42)+SUMIF('RUEDA SALAZAR ISMAEL'!P$35:P$37,'KM POR UNIDAD'!A68,'RUEDA SALAZAR ISMAEL'!V$35:V$37)+SUMIF('GUZMAN MORALES'!P$40:P$42,'KM POR UNIDAD'!A68,'GUZMAN MORALES'!V$40:V$42)+SUMIF('RODRIGUEZ RAMIREZ FERNANDO'!P$35:P$37,'KM POR UNIDAD'!A68,'RODRIGUEZ RAMIREZ FERNANDO'!V$35:V$37)+SUMIF('ESTRADA ARELLANO ARTURO'!P$40:P$42,'KM POR UNIDAD'!A68,'ESTRADA ARELLANO ARTURO'!V$40:V$42)+SUMIF('HERNANDEZ CONTRERAS JOSE FERNAN'!P$37:P$39,'KM POR UNIDAD'!A68,'HERNANDEZ CONTRERAS JOSE FERNAN'!V$38:V$40)+SUMIF('SALAZAR PEREZ JUAN CARLOS'!P$38:P$40,'KM POR UNIDAD'!A68,'SALAZAR PEREZ JUAN CARLOS'!V$38:V$40)+SUMIF('HARO IMPERIAL JOSÉ ANTONIO'!P$41:P$43,'KM POR UNIDAD'!A68,'HARO IMPERIAL JOSÉ ANTONIO'!V$41:V$43)+SUMIF('ESCARCEGA GALDEAN JESUS OMAR'!P$38:P$40,'KM POR UNIDAD'!A68,'ESCARCEGA GALDEAN JESUS OMAR'!V$38:V$40)</f>
        <v>0</v>
      </c>
      <c r="E68" s="167">
        <f t="shared" ref="E68" si="5">IFERROR(B68/D68,0)</f>
        <v>0</v>
      </c>
      <c r="F68" s="168"/>
      <c r="G68" s="168"/>
      <c r="H68" s="168"/>
      <c r="I68" s="169"/>
      <c r="J68" s="170"/>
      <c r="K68" s="171"/>
    </row>
    <row r="69" spans="1:11" x14ac:dyDescent="0.25">
      <c r="A69" s="165" t="s">
        <v>266</v>
      </c>
      <c r="B69" s="166">
        <f>SUMIF('LIRA TRISTAN JOSE ANGEL'!P$36:P$38,'KM POR UNIDAD'!A69,'LIRA TRISTAN JOSE ANGEL'!U$36:U$38)+SUMIF('TORRES GARAY LUIS HUMBERTO'!P$38:P$40,'KM POR UNIDAD'!A69,'TORRES GARAY LUIS HUMBERTO'!U$38:U$40)+SUMIF('CERDA HERNANDEZ JOSE LUIS'!P$35:P$37,'KM POR UNIDAD'!A69,'CERDA HERNANDEZ JOSE LUIS'!U$35:U$37)+SUMIF('RUIZ ALVARADO PEDRO'!P$32:P$34,'KM POR UNIDAD'!A69,'RUIZ ALVARADO PEDRO'!U$32:U$34)+SUMIF('NEVAREZ JUAN MANUEL'!P$37:P$39,'KM POR UNIDAD'!A69,'NEVAREZ JUAN MANUEL'!U$37:U$39)+SUMIF('CHAVEZ VARELA NESTOR ADRIAN'!P$35:P$37,'KM POR UNIDAD'!A69,'CHAVEZ VARELA NESTOR ADRIAN'!U$35:U$37)+SUMIF('PAYAN ESTRADA JOSE ANGEL'!P$37:P$39,'KM POR UNIDAD'!A69,'PAYAN ESTRADA JOSE ANGEL'!U$37:U$39)+SUMIF('RUIZ HERRERA ERICK '!P$33:P$35,'KM POR UNIDAD'!A69,'RUIZ HERRERA ERICK '!U$33:U$35)+SUMIF('GONZALEZ LOZANO ENRIQUE '!P$38:P$40,'KM POR UNIDAD'!A69,'GONZALEZ LOZANO ENRIQUE '!U$38:U$40)+SUMIF('GONZALEZ MARTINEZ MAURICIO'!P$38:P$40,'KM POR UNIDAD'!A69,'GONZALEZ MARTINEZ MAURICIO'!U$38:U$40)+SUMIF('GONZALEZ SOTO JOEL'!P$39:P$41,'KM POR UNIDAD'!A69,'GONZALEZ SOTO JOEL'!U$39:U$41)+SUMIF('MARTA RUBIO MARTIN'!P$39:P$41,'KM POR UNIDAD'!A69,'MARTA RUBIO MARTIN'!U$39:U$41)+SUMIF('GRIJALVA VALDEZ CESAR EUSEBIO'!P$35:P$37,'KM POR UNIDAD'!A69,'GRIJALVA VALDEZ CESAR EUSEBIO'!U$35:U$37)+SUMIF('PACHECO BAÑUELOS ALFONSO'!P$39:P$41,'KM POR UNIDAD'!A69,'PACHECO BAÑUELOS ALFONSO'!U$39:U$41)+SUMIF('RODRIGUEZ VALLES JOSE FRANCISCO'!P$40:P$42,'KM POR UNIDAD'!A69,'RODRIGUEZ VALLES JOSE FRANCISCO'!U$40:U$42)+SUMIF('SANCHEZ GUERRERO JOSE LUIS'!P$40:P$42,A69,'SANCHEZ GUERRERO JOSE LUIS'!U$40:U$42)+SUMIF('RUEDA SALAZAR ISMAEL'!P$35:P$37,'KM POR UNIDAD'!A69,'RUEDA SALAZAR ISMAEL'!U$35:U$37)+SUMIF('GUZMAN MORALES'!P$40:P$42,'KM POR UNIDAD'!A69,'GUZMAN MORALES'!U$40:U$42)+SUMIF('RODRIGUEZ RAMIREZ FERNANDO'!P$35:P$37,'KM POR UNIDAD'!A69,'RODRIGUEZ RAMIREZ FERNANDO'!U$35:U$37)+SUMIF('ESTRADA ARELLANO ARTURO'!P$40:P$42,'KM POR UNIDAD'!A69,'ESTRADA ARELLANO ARTURO'!U$40:U$42)+SUMIF('HERNANDEZ CONTRERAS JOSE FERNAN'!P$37:P$39,'KM POR UNIDAD'!A69,'HERNANDEZ CONTRERAS JOSE FERNAN'!U$37:U$39)+SUMIF('SALAZAR PEREZ JUAN CARLOS'!P$38:P$40,'KM POR UNIDAD'!A69,'SALAZAR PEREZ JUAN CARLOS'!U$38:U$40)+SUMIF('HARO IMPERIAL JOSÉ ANTONIO'!P$41:P$43,'KM POR UNIDAD'!A69,'HARO IMPERIAL JOSÉ ANTONIO'!U$41:$U100)+SUMIF('ESCARCEGA GALDEAN JESUS OMAR'!P$38:P$40,'KM POR UNIDAD'!A69,'ESCARCEGA GALDEAN JESUS OMAR'!U$38:U$40)</f>
        <v>2660</v>
      </c>
      <c r="C69" s="166">
        <f>+SUMIF('LIRA TRISTAN JOSE ANGEL'!P$36:P$38,'KM POR UNIDAD'!A69,'LIRA TRISTAN JOSE ANGEL'!T$36:T$38)+SUMIF('TORRES GARAY LUIS HUMBERTO'!P$38:P$40,'KM POR UNIDAD'!A69,'TORRES GARAY LUIS HUMBERTO'!T$38:T$40)+SUMIF('CERDA HERNANDEZ JOSE LUIS'!P$35:P$37,'KM POR UNIDAD'!A69,'CERDA HERNANDEZ JOSE LUIS'!T$35:T$37)+SUMIF('RUIZ ALVARADO PEDRO'!P$32:P$34,'KM POR UNIDAD'!A69,'RUIZ ALVARADO PEDRO'!T$32:T$34)+SUMIF('NEVAREZ JUAN MANUEL'!P$37:P$39,'KM POR UNIDAD'!A69,'NEVAREZ JUAN MANUEL'!T$37:T$39)+SUMIF('CHAVEZ VARELA NESTOR ADRIAN'!P$35:P$37,'KM POR UNIDAD'!A69,'CHAVEZ VARELA NESTOR ADRIAN'!T$35:T$37)+SUMIF('PAYAN ESTRADA JOSE ANGEL'!P$37:P$39,'KM POR UNIDAD'!A69,'PAYAN ESTRADA JOSE ANGEL'!T$37:T$39)+SUMIF('RUIZ HERRERA ERICK '!P$33:P$35,'KM POR UNIDAD'!A69,'RUIZ HERRERA ERICK '!T$33:T$35)+SUMIF('GONZALEZ LOZANO ENRIQUE '!P$38:P$40,'KM POR UNIDAD'!A69,'GONZALEZ LOZANO ENRIQUE '!T$38:T$40)+SUMIF('GONZALEZ MARTINEZ MAURICIO'!P$38:P$40,'KM POR UNIDAD'!A69,'GONZALEZ MARTINEZ MAURICIO'!T$38:T$40)+SUMIF('GONZALEZ SOTO JOEL'!P$39:P$41,'KM POR UNIDAD'!A69,'GONZALEZ SOTO JOEL'!T$39:T$41)+SUMIF('MARTA RUBIO MARTIN'!P$39:P$41,'KM POR UNIDAD'!A69,'MARTA RUBIO MARTIN'!T$39:T$41)+SUMIF('GRIJALVA VALDEZ CESAR EUSEBIO'!P$35:P$37,'KM POR UNIDAD'!A69,'GRIJALVA VALDEZ CESAR EUSEBIO'!T$35:T$37)+SUMIF('PACHECO BAÑUELOS ALFONSO'!P$39:P$41,'KM POR UNIDAD'!A69,'PACHECO BAÑUELOS ALFONSO'!T$39:T$41)+SUMIF('RODRIGUEZ VALLES JOSE FRANCISCO'!P$40:P$42,'KM POR UNIDAD'!A69,'RODRIGUEZ VALLES JOSE FRANCISCO'!T$40:T$42)+SUMIF('SANCHEZ GUERRERO JOSE LUIS'!P$40:P$42,A69,'SANCHEZ GUERRERO JOSE LUIS'!T$40:T$42)+SUMIF('RUEDA SALAZAR ISMAEL'!P$35:P$37,'KM POR UNIDAD'!A69,'RUEDA SALAZAR ISMAEL'!T$35:T$37)+SUMIF('GUZMAN MORALES'!P$40:P$42,'KM POR UNIDAD'!A69,'GUZMAN MORALES'!T$40:T$42)+SUMIF('RODRIGUEZ RAMIREZ FERNANDO'!P$35:P$37,'KM POR UNIDAD'!A69,'RODRIGUEZ RAMIREZ FERNANDO'!T$35:T$37)+SUMIF('ESTRADA ARELLANO ARTURO'!P$40:P$42,'KM POR UNIDAD'!A69,'ESTRADA ARELLANO ARTURO'!T$40:T$42)+SUMIF('HERNANDEZ CONTRERAS JOSE FERNAN'!P$37:P$39,'KM POR UNIDAD'!A69,'HERNANDEZ CONTRERAS JOSE FERNAN'!T$37:T$39)+SUMIF('SALAZAR PEREZ JUAN CARLOS'!P$38:P$40,'KM POR UNIDAD'!A69,'SALAZAR PEREZ JUAN CARLOS'!T$38:T$40)+SUMIF('HARO IMPERIAL JOSÉ ANTONIO'!P$41:P$43,'KM POR UNIDAD'!A69,'HARO IMPERIAL JOSÉ ANTONIO'!T$41:T$43)+SUMIF('ESCARCEGA GALDEAN JESUS OMAR'!P$38:P$40,'KM POR UNIDAD'!A69,'ESCARCEGA GALDEAN JESUS OMAR'!T$38:T$40)</f>
        <v>2729</v>
      </c>
      <c r="D69" s="189">
        <f>+SUMIF('LIRA TRISTAN JOSE ANGEL'!P$36:P$38,'KM POR UNIDAD'!A69,'LIRA TRISTAN JOSE ANGEL'!V$36:V$38)+SUMIF('TORRES GARAY LUIS HUMBERTO'!P$38:P$40,'KM POR UNIDAD'!A69,'TORRES GARAY LUIS HUMBERTO'!V$38:V$40)+SUMIF('CERDA HERNANDEZ JOSE LUIS'!P$35:P$37,'KM POR UNIDAD'!A69,'CERDA HERNANDEZ JOSE LUIS'!V$35:V$37)+SUMIF('RUIZ ALVARADO PEDRO'!P$32:P$34,'KM POR UNIDAD'!A69,'RUIZ ALVARADO PEDRO'!V$32:V$34)+SUMIF('NEVAREZ JUAN MANUEL'!P$37:P$39,'KM POR UNIDAD'!A69,'NEVAREZ JUAN MANUEL'!V$37:V$39)+SUMIF('CHAVEZ VARELA NESTOR ADRIAN'!P$35:P$37,'KM POR UNIDAD'!A69,'CHAVEZ VARELA NESTOR ADRIAN'!V$35:V$37)+SUMIF('PAYAN ESTRADA JOSE ANGEL'!P$37:P$39,'KM POR UNIDAD'!A69,'PAYAN ESTRADA JOSE ANGEL'!V$37:V$39)+SUMIF('RUIZ HERRERA ERICK '!P$33:P$35,'KM POR UNIDAD'!A69,'RUIZ HERRERA ERICK '!V$33:V$35)+SUMIF('GONZALEZ LOZANO ENRIQUE '!P$38:P$40,'KM POR UNIDAD'!A69,'GONZALEZ LOZANO ENRIQUE '!V$38:V$40)+SUMIF('GONZALEZ MARTINEZ MAURICIO'!P$38:P$40,'KM POR UNIDAD'!A69,'GONZALEZ MARTINEZ MAURICIO'!V$38:V$40)+SUMIF('GONZALEZ SOTO JOEL'!P$39:P$41,'KM POR UNIDAD'!A69,'GONZALEZ SOTO JOEL'!V$39:V$41)+SUMIF('MARTA RUBIO MARTIN'!P$39:P$41,'KM POR UNIDAD'!A69,'MARTA RUBIO MARTIN'!V$39:V$41)+SUMIF('GRIJALVA VALDEZ CESAR EUSEBIO'!P$35:P$37,'KM POR UNIDAD'!A69,'GRIJALVA VALDEZ CESAR EUSEBIO'!V$35:V$37)+SUMIF('PACHECO BAÑUELOS ALFONSO'!P$39:P$41,'KM POR UNIDAD'!A69,'PACHECO BAÑUELOS ALFONSO'!V$39:V$41)+SUMIF('RODRIGUEZ VALLES JOSE FRANCISCO'!P$40:P$42,'KM POR UNIDAD'!A69,'RODRIGUEZ VALLES JOSE FRANCISCO'!V$40:V$42)+SUMIF('SANCHEZ GUERRERO JOSE LUIS'!P$40:P$42,A69,'SANCHEZ GUERRERO JOSE LUIS'!V$40:V$42)+SUMIF('RUEDA SALAZAR ISMAEL'!P$35:P$37,'KM POR UNIDAD'!A69,'RUEDA SALAZAR ISMAEL'!V$35:V$37)+SUMIF('GUZMAN MORALES'!P$40:P$42,'KM POR UNIDAD'!A69,'GUZMAN MORALES'!V$40:V$42)+SUMIF('RODRIGUEZ RAMIREZ FERNANDO'!P$35:P$37,'KM POR UNIDAD'!A69,'RODRIGUEZ RAMIREZ FERNANDO'!V$35:V$37)+SUMIF('ESTRADA ARELLANO ARTURO'!P$40:P$42,'KM POR UNIDAD'!A69,'ESTRADA ARELLANO ARTURO'!V$40:V$42)+SUMIF('HERNANDEZ CONTRERAS JOSE FERNAN'!P$37:P$39,'KM POR UNIDAD'!A69,'HERNANDEZ CONTRERAS JOSE FERNAN'!V$38:V$40)+SUMIF('SALAZAR PEREZ JUAN CARLOS'!P$38:P$40,'KM POR UNIDAD'!A69,'SALAZAR PEREZ JUAN CARLOS'!V$38:V$40)+SUMIF('HARO IMPERIAL JOSÉ ANTONIO'!P$41:P$43,'KM POR UNIDAD'!A69,'HARO IMPERIAL JOSÉ ANTONIO'!V$41:V$43)+SUMIF('ESCARCEGA GALDEAN JESUS OMAR'!P$38:P$40,'KM POR UNIDAD'!A69,'ESCARCEGA GALDEAN JESUS OMAR'!V$38:V$40)</f>
        <v>810.29600000000005</v>
      </c>
      <c r="E69" s="167">
        <f t="shared" si="2"/>
        <v>3.2827509946982336</v>
      </c>
      <c r="F69" s="168">
        <v>0</v>
      </c>
      <c r="G69" s="168">
        <v>0</v>
      </c>
      <c r="H69" s="168">
        <v>0</v>
      </c>
      <c r="I69" s="169">
        <f t="shared" si="0"/>
        <v>0</v>
      </c>
      <c r="J69" s="170"/>
      <c r="K69" s="171"/>
    </row>
    <row r="70" spans="1:11" x14ac:dyDescent="0.25">
      <c r="B70" s="190">
        <f>SUM(B3:B69)</f>
        <v>53621</v>
      </c>
      <c r="C70" s="190"/>
      <c r="D70" s="190">
        <f>SUM(D3:D69)</f>
        <v>16054.372000000001</v>
      </c>
      <c r="E70" s="161"/>
    </row>
    <row r="71" spans="1:11" x14ac:dyDescent="0.25">
      <c r="B71" s="190">
        <f>+'KM POR CHOFER'!I28</f>
        <v>53621</v>
      </c>
      <c r="C71" s="161"/>
      <c r="D71" s="190"/>
      <c r="E71" s="161"/>
    </row>
    <row r="72" spans="1:11" x14ac:dyDescent="0.25">
      <c r="B72" s="461">
        <f>B70-B71</f>
        <v>0</v>
      </c>
      <c r="C72" s="161"/>
      <c r="D72" s="190"/>
      <c r="E72" s="161"/>
    </row>
    <row r="73" spans="1:11" x14ac:dyDescent="0.25">
      <c r="B73" s="161"/>
      <c r="C73" s="161"/>
      <c r="D73" s="190"/>
      <c r="E73" s="161"/>
    </row>
    <row r="74" spans="1:11" x14ac:dyDescent="0.25">
      <c r="B74" s="173"/>
      <c r="C74" s="173"/>
      <c r="D74" s="191"/>
      <c r="E74" s="174"/>
    </row>
    <row r="75" spans="1:11" x14ac:dyDescent="0.25">
      <c r="B75" s="173"/>
      <c r="C75" s="173"/>
      <c r="D75" s="191"/>
      <c r="E75" s="174"/>
    </row>
  </sheetData>
  <mergeCells count="1">
    <mergeCell ref="A1:E1"/>
  </mergeCells>
  <phoneticPr fontId="49" type="noConversion"/>
  <pageMargins left="0.7" right="0.7" top="0.75" bottom="0.75" header="0.3" footer="0.3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30"/>
  <dimension ref="B1:I38"/>
  <sheetViews>
    <sheetView zoomScaleNormal="100" workbookViewId="0">
      <selection activeCell="B3" sqref="B3:C35"/>
    </sheetView>
  </sheetViews>
  <sheetFormatPr baseColWidth="10" defaultColWidth="9.140625" defaultRowHeight="15" x14ac:dyDescent="0.25"/>
  <cols>
    <col min="1" max="1" width="9.140625" style="247"/>
    <col min="2" max="2" width="27.7109375" style="245" bestFit="1" customWidth="1"/>
    <col min="3" max="3" width="17.140625" style="246" bestFit="1" customWidth="1"/>
    <col min="4" max="246" width="9.140625" style="247"/>
    <col min="247" max="247" width="10.7109375" style="247" bestFit="1" customWidth="1"/>
    <col min="248" max="248" width="10" style="247" customWidth="1"/>
    <col min="249" max="249" width="13" style="247" customWidth="1"/>
    <col min="250" max="250" width="10.85546875" style="247" customWidth="1"/>
    <col min="251" max="251" width="11.7109375" style="247" customWidth="1"/>
    <col min="252" max="252" width="9.140625" style="247"/>
    <col min="253" max="253" width="11.5703125" style="247" customWidth="1"/>
    <col min="254" max="254" width="13.85546875" style="247" customWidth="1"/>
    <col min="255" max="502" width="9.140625" style="247"/>
    <col min="503" max="503" width="10.7109375" style="247" bestFit="1" customWidth="1"/>
    <col min="504" max="504" width="10" style="247" customWidth="1"/>
    <col min="505" max="505" width="13" style="247" customWidth="1"/>
    <col min="506" max="506" width="10.85546875" style="247" customWidth="1"/>
    <col min="507" max="507" width="11.7109375" style="247" customWidth="1"/>
    <col min="508" max="508" width="9.140625" style="247"/>
    <col min="509" max="509" width="11.5703125" style="247" customWidth="1"/>
    <col min="510" max="510" width="13.85546875" style="247" customWidth="1"/>
    <col min="511" max="758" width="9.140625" style="247"/>
    <col min="759" max="759" width="10.7109375" style="247" bestFit="1" customWidth="1"/>
    <col min="760" max="760" width="10" style="247" customWidth="1"/>
    <col min="761" max="761" width="13" style="247" customWidth="1"/>
    <col min="762" max="762" width="10.85546875" style="247" customWidth="1"/>
    <col min="763" max="763" width="11.7109375" style="247" customWidth="1"/>
    <col min="764" max="764" width="9.140625" style="247"/>
    <col min="765" max="765" width="11.5703125" style="247" customWidth="1"/>
    <col min="766" max="766" width="13.85546875" style="247" customWidth="1"/>
    <col min="767" max="1014" width="9.140625" style="247"/>
    <col min="1015" max="1015" width="10.7109375" style="247" bestFit="1" customWidth="1"/>
    <col min="1016" max="1016" width="10" style="247" customWidth="1"/>
    <col min="1017" max="1017" width="13" style="247" customWidth="1"/>
    <col min="1018" max="1018" width="10.85546875" style="247" customWidth="1"/>
    <col min="1019" max="1019" width="11.7109375" style="247" customWidth="1"/>
    <col min="1020" max="1020" width="9.140625" style="247"/>
    <col min="1021" max="1021" width="11.5703125" style="247" customWidth="1"/>
    <col min="1022" max="1022" width="13.85546875" style="247" customWidth="1"/>
    <col min="1023" max="1270" width="9.140625" style="247"/>
    <col min="1271" max="1271" width="10.7109375" style="247" bestFit="1" customWidth="1"/>
    <col min="1272" max="1272" width="10" style="247" customWidth="1"/>
    <col min="1273" max="1273" width="13" style="247" customWidth="1"/>
    <col min="1274" max="1274" width="10.85546875" style="247" customWidth="1"/>
    <col min="1275" max="1275" width="11.7109375" style="247" customWidth="1"/>
    <col min="1276" max="1276" width="9.140625" style="247"/>
    <col min="1277" max="1277" width="11.5703125" style="247" customWidth="1"/>
    <col min="1278" max="1278" width="13.85546875" style="247" customWidth="1"/>
    <col min="1279" max="1526" width="9.140625" style="247"/>
    <col min="1527" max="1527" width="10.7109375" style="247" bestFit="1" customWidth="1"/>
    <col min="1528" max="1528" width="10" style="247" customWidth="1"/>
    <col min="1529" max="1529" width="13" style="247" customWidth="1"/>
    <col min="1530" max="1530" width="10.85546875" style="247" customWidth="1"/>
    <col min="1531" max="1531" width="11.7109375" style="247" customWidth="1"/>
    <col min="1532" max="1532" width="9.140625" style="247"/>
    <col min="1533" max="1533" width="11.5703125" style="247" customWidth="1"/>
    <col min="1534" max="1534" width="13.85546875" style="247" customWidth="1"/>
    <col min="1535" max="1782" width="9.140625" style="247"/>
    <col min="1783" max="1783" width="10.7109375" style="247" bestFit="1" customWidth="1"/>
    <col min="1784" max="1784" width="10" style="247" customWidth="1"/>
    <col min="1785" max="1785" width="13" style="247" customWidth="1"/>
    <col min="1786" max="1786" width="10.85546875" style="247" customWidth="1"/>
    <col min="1787" max="1787" width="11.7109375" style="247" customWidth="1"/>
    <col min="1788" max="1788" width="9.140625" style="247"/>
    <col min="1789" max="1789" width="11.5703125" style="247" customWidth="1"/>
    <col min="1790" max="1790" width="13.85546875" style="247" customWidth="1"/>
    <col min="1791" max="2038" width="9.140625" style="247"/>
    <col min="2039" max="2039" width="10.7109375" style="247" bestFit="1" customWidth="1"/>
    <col min="2040" max="2040" width="10" style="247" customWidth="1"/>
    <col min="2041" max="2041" width="13" style="247" customWidth="1"/>
    <col min="2042" max="2042" width="10.85546875" style="247" customWidth="1"/>
    <col min="2043" max="2043" width="11.7109375" style="247" customWidth="1"/>
    <col min="2044" max="2044" width="9.140625" style="247"/>
    <col min="2045" max="2045" width="11.5703125" style="247" customWidth="1"/>
    <col min="2046" max="2046" width="13.85546875" style="247" customWidth="1"/>
    <col min="2047" max="2294" width="9.140625" style="247"/>
    <col min="2295" max="2295" width="10.7109375" style="247" bestFit="1" customWidth="1"/>
    <col min="2296" max="2296" width="10" style="247" customWidth="1"/>
    <col min="2297" max="2297" width="13" style="247" customWidth="1"/>
    <col min="2298" max="2298" width="10.85546875" style="247" customWidth="1"/>
    <col min="2299" max="2299" width="11.7109375" style="247" customWidth="1"/>
    <col min="2300" max="2300" width="9.140625" style="247"/>
    <col min="2301" max="2301" width="11.5703125" style="247" customWidth="1"/>
    <col min="2302" max="2302" width="13.85546875" style="247" customWidth="1"/>
    <col min="2303" max="2550" width="9.140625" style="247"/>
    <col min="2551" max="2551" width="10.7109375" style="247" bestFit="1" customWidth="1"/>
    <col min="2552" max="2552" width="10" style="247" customWidth="1"/>
    <col min="2553" max="2553" width="13" style="247" customWidth="1"/>
    <col min="2554" max="2554" width="10.85546875" style="247" customWidth="1"/>
    <col min="2555" max="2555" width="11.7109375" style="247" customWidth="1"/>
    <col min="2556" max="2556" width="9.140625" style="247"/>
    <col min="2557" max="2557" width="11.5703125" style="247" customWidth="1"/>
    <col min="2558" max="2558" width="13.85546875" style="247" customWidth="1"/>
    <col min="2559" max="2806" width="9.140625" style="247"/>
    <col min="2807" max="2807" width="10.7109375" style="247" bestFit="1" customWidth="1"/>
    <col min="2808" max="2808" width="10" style="247" customWidth="1"/>
    <col min="2809" max="2809" width="13" style="247" customWidth="1"/>
    <col min="2810" max="2810" width="10.85546875" style="247" customWidth="1"/>
    <col min="2811" max="2811" width="11.7109375" style="247" customWidth="1"/>
    <col min="2812" max="2812" width="9.140625" style="247"/>
    <col min="2813" max="2813" width="11.5703125" style="247" customWidth="1"/>
    <col min="2814" max="2814" width="13.85546875" style="247" customWidth="1"/>
    <col min="2815" max="3062" width="9.140625" style="247"/>
    <col min="3063" max="3063" width="10.7109375" style="247" bestFit="1" customWidth="1"/>
    <col min="3064" max="3064" width="10" style="247" customWidth="1"/>
    <col min="3065" max="3065" width="13" style="247" customWidth="1"/>
    <col min="3066" max="3066" width="10.85546875" style="247" customWidth="1"/>
    <col min="3067" max="3067" width="11.7109375" style="247" customWidth="1"/>
    <col min="3068" max="3068" width="9.140625" style="247"/>
    <col min="3069" max="3069" width="11.5703125" style="247" customWidth="1"/>
    <col min="3070" max="3070" width="13.85546875" style="247" customWidth="1"/>
    <col min="3071" max="3318" width="9.140625" style="247"/>
    <col min="3319" max="3319" width="10.7109375" style="247" bestFit="1" customWidth="1"/>
    <col min="3320" max="3320" width="10" style="247" customWidth="1"/>
    <col min="3321" max="3321" width="13" style="247" customWidth="1"/>
    <col min="3322" max="3322" width="10.85546875" style="247" customWidth="1"/>
    <col min="3323" max="3323" width="11.7109375" style="247" customWidth="1"/>
    <col min="3324" max="3324" width="9.140625" style="247"/>
    <col min="3325" max="3325" width="11.5703125" style="247" customWidth="1"/>
    <col min="3326" max="3326" width="13.85546875" style="247" customWidth="1"/>
    <col min="3327" max="3574" width="9.140625" style="247"/>
    <col min="3575" max="3575" width="10.7109375" style="247" bestFit="1" customWidth="1"/>
    <col min="3576" max="3576" width="10" style="247" customWidth="1"/>
    <col min="3577" max="3577" width="13" style="247" customWidth="1"/>
    <col min="3578" max="3578" width="10.85546875" style="247" customWidth="1"/>
    <col min="3579" max="3579" width="11.7109375" style="247" customWidth="1"/>
    <col min="3580" max="3580" width="9.140625" style="247"/>
    <col min="3581" max="3581" width="11.5703125" style="247" customWidth="1"/>
    <col min="3582" max="3582" width="13.85546875" style="247" customWidth="1"/>
    <col min="3583" max="3830" width="9.140625" style="247"/>
    <col min="3831" max="3831" width="10.7109375" style="247" bestFit="1" customWidth="1"/>
    <col min="3832" max="3832" width="10" style="247" customWidth="1"/>
    <col min="3833" max="3833" width="13" style="247" customWidth="1"/>
    <col min="3834" max="3834" width="10.85546875" style="247" customWidth="1"/>
    <col min="3835" max="3835" width="11.7109375" style="247" customWidth="1"/>
    <col min="3836" max="3836" width="9.140625" style="247"/>
    <col min="3837" max="3837" width="11.5703125" style="247" customWidth="1"/>
    <col min="3838" max="3838" width="13.85546875" style="247" customWidth="1"/>
    <col min="3839" max="4086" width="9.140625" style="247"/>
    <col min="4087" max="4087" width="10.7109375" style="247" bestFit="1" customWidth="1"/>
    <col min="4088" max="4088" width="10" style="247" customWidth="1"/>
    <col min="4089" max="4089" width="13" style="247" customWidth="1"/>
    <col min="4090" max="4090" width="10.85546875" style="247" customWidth="1"/>
    <col min="4091" max="4091" width="11.7109375" style="247" customWidth="1"/>
    <col min="4092" max="4092" width="9.140625" style="247"/>
    <col min="4093" max="4093" width="11.5703125" style="247" customWidth="1"/>
    <col min="4094" max="4094" width="13.85546875" style="247" customWidth="1"/>
    <col min="4095" max="4342" width="9.140625" style="247"/>
    <col min="4343" max="4343" width="10.7109375" style="247" bestFit="1" customWidth="1"/>
    <col min="4344" max="4344" width="10" style="247" customWidth="1"/>
    <col min="4345" max="4345" width="13" style="247" customWidth="1"/>
    <col min="4346" max="4346" width="10.85546875" style="247" customWidth="1"/>
    <col min="4347" max="4347" width="11.7109375" style="247" customWidth="1"/>
    <col min="4348" max="4348" width="9.140625" style="247"/>
    <col min="4349" max="4349" width="11.5703125" style="247" customWidth="1"/>
    <col min="4350" max="4350" width="13.85546875" style="247" customWidth="1"/>
    <col min="4351" max="4598" width="9.140625" style="247"/>
    <col min="4599" max="4599" width="10.7109375" style="247" bestFit="1" customWidth="1"/>
    <col min="4600" max="4600" width="10" style="247" customWidth="1"/>
    <col min="4601" max="4601" width="13" style="247" customWidth="1"/>
    <col min="4602" max="4602" width="10.85546875" style="247" customWidth="1"/>
    <col min="4603" max="4603" width="11.7109375" style="247" customWidth="1"/>
    <col min="4604" max="4604" width="9.140625" style="247"/>
    <col min="4605" max="4605" width="11.5703125" style="247" customWidth="1"/>
    <col min="4606" max="4606" width="13.85546875" style="247" customWidth="1"/>
    <col min="4607" max="4854" width="9.140625" style="247"/>
    <col min="4855" max="4855" width="10.7109375" style="247" bestFit="1" customWidth="1"/>
    <col min="4856" max="4856" width="10" style="247" customWidth="1"/>
    <col min="4857" max="4857" width="13" style="247" customWidth="1"/>
    <col min="4858" max="4858" width="10.85546875" style="247" customWidth="1"/>
    <col min="4859" max="4859" width="11.7109375" style="247" customWidth="1"/>
    <col min="4860" max="4860" width="9.140625" style="247"/>
    <col min="4861" max="4861" width="11.5703125" style="247" customWidth="1"/>
    <col min="4862" max="4862" width="13.85546875" style="247" customWidth="1"/>
    <col min="4863" max="5110" width="9.140625" style="247"/>
    <col min="5111" max="5111" width="10.7109375" style="247" bestFit="1" customWidth="1"/>
    <col min="5112" max="5112" width="10" style="247" customWidth="1"/>
    <col min="5113" max="5113" width="13" style="247" customWidth="1"/>
    <col min="5114" max="5114" width="10.85546875" style="247" customWidth="1"/>
    <col min="5115" max="5115" width="11.7109375" style="247" customWidth="1"/>
    <col min="5116" max="5116" width="9.140625" style="247"/>
    <col min="5117" max="5117" width="11.5703125" style="247" customWidth="1"/>
    <col min="5118" max="5118" width="13.85546875" style="247" customWidth="1"/>
    <col min="5119" max="5366" width="9.140625" style="247"/>
    <col min="5367" max="5367" width="10.7109375" style="247" bestFit="1" customWidth="1"/>
    <col min="5368" max="5368" width="10" style="247" customWidth="1"/>
    <col min="5369" max="5369" width="13" style="247" customWidth="1"/>
    <col min="5370" max="5370" width="10.85546875" style="247" customWidth="1"/>
    <col min="5371" max="5371" width="11.7109375" style="247" customWidth="1"/>
    <col min="5372" max="5372" width="9.140625" style="247"/>
    <col min="5373" max="5373" width="11.5703125" style="247" customWidth="1"/>
    <col min="5374" max="5374" width="13.85546875" style="247" customWidth="1"/>
    <col min="5375" max="5622" width="9.140625" style="247"/>
    <col min="5623" max="5623" width="10.7109375" style="247" bestFit="1" customWidth="1"/>
    <col min="5624" max="5624" width="10" style="247" customWidth="1"/>
    <col min="5625" max="5625" width="13" style="247" customWidth="1"/>
    <col min="5626" max="5626" width="10.85546875" style="247" customWidth="1"/>
    <col min="5627" max="5627" width="11.7109375" style="247" customWidth="1"/>
    <col min="5628" max="5628" width="9.140625" style="247"/>
    <col min="5629" max="5629" width="11.5703125" style="247" customWidth="1"/>
    <col min="5630" max="5630" width="13.85546875" style="247" customWidth="1"/>
    <col min="5631" max="5878" width="9.140625" style="247"/>
    <col min="5879" max="5879" width="10.7109375" style="247" bestFit="1" customWidth="1"/>
    <col min="5880" max="5880" width="10" style="247" customWidth="1"/>
    <col min="5881" max="5881" width="13" style="247" customWidth="1"/>
    <col min="5882" max="5882" width="10.85546875" style="247" customWidth="1"/>
    <col min="5883" max="5883" width="11.7109375" style="247" customWidth="1"/>
    <col min="5884" max="5884" width="9.140625" style="247"/>
    <col min="5885" max="5885" width="11.5703125" style="247" customWidth="1"/>
    <col min="5886" max="5886" width="13.85546875" style="247" customWidth="1"/>
    <col min="5887" max="6134" width="9.140625" style="247"/>
    <col min="6135" max="6135" width="10.7109375" style="247" bestFit="1" customWidth="1"/>
    <col min="6136" max="6136" width="10" style="247" customWidth="1"/>
    <col min="6137" max="6137" width="13" style="247" customWidth="1"/>
    <col min="6138" max="6138" width="10.85546875" style="247" customWidth="1"/>
    <col min="6139" max="6139" width="11.7109375" style="247" customWidth="1"/>
    <col min="6140" max="6140" width="9.140625" style="247"/>
    <col min="6141" max="6141" width="11.5703125" style="247" customWidth="1"/>
    <col min="6142" max="6142" width="13.85546875" style="247" customWidth="1"/>
    <col min="6143" max="6390" width="9.140625" style="247"/>
    <col min="6391" max="6391" width="10.7109375" style="247" bestFit="1" customWidth="1"/>
    <col min="6392" max="6392" width="10" style="247" customWidth="1"/>
    <col min="6393" max="6393" width="13" style="247" customWidth="1"/>
    <col min="6394" max="6394" width="10.85546875" style="247" customWidth="1"/>
    <col min="6395" max="6395" width="11.7109375" style="247" customWidth="1"/>
    <col min="6396" max="6396" width="9.140625" style="247"/>
    <col min="6397" max="6397" width="11.5703125" style="247" customWidth="1"/>
    <col min="6398" max="6398" width="13.85546875" style="247" customWidth="1"/>
    <col min="6399" max="6646" width="9.140625" style="247"/>
    <col min="6647" max="6647" width="10.7109375" style="247" bestFit="1" customWidth="1"/>
    <col min="6648" max="6648" width="10" style="247" customWidth="1"/>
    <col min="6649" max="6649" width="13" style="247" customWidth="1"/>
    <col min="6650" max="6650" width="10.85546875" style="247" customWidth="1"/>
    <col min="6651" max="6651" width="11.7109375" style="247" customWidth="1"/>
    <col min="6652" max="6652" width="9.140625" style="247"/>
    <col min="6653" max="6653" width="11.5703125" style="247" customWidth="1"/>
    <col min="6654" max="6654" width="13.85546875" style="247" customWidth="1"/>
    <col min="6655" max="6902" width="9.140625" style="247"/>
    <col min="6903" max="6903" width="10.7109375" style="247" bestFit="1" customWidth="1"/>
    <col min="6904" max="6904" width="10" style="247" customWidth="1"/>
    <col min="6905" max="6905" width="13" style="247" customWidth="1"/>
    <col min="6906" max="6906" width="10.85546875" style="247" customWidth="1"/>
    <col min="6907" max="6907" width="11.7109375" style="247" customWidth="1"/>
    <col min="6908" max="6908" width="9.140625" style="247"/>
    <col min="6909" max="6909" width="11.5703125" style="247" customWidth="1"/>
    <col min="6910" max="6910" width="13.85546875" style="247" customWidth="1"/>
    <col min="6911" max="7158" width="9.140625" style="247"/>
    <col min="7159" max="7159" width="10.7109375" style="247" bestFit="1" customWidth="1"/>
    <col min="7160" max="7160" width="10" style="247" customWidth="1"/>
    <col min="7161" max="7161" width="13" style="247" customWidth="1"/>
    <col min="7162" max="7162" width="10.85546875" style="247" customWidth="1"/>
    <col min="7163" max="7163" width="11.7109375" style="247" customWidth="1"/>
    <col min="7164" max="7164" width="9.140625" style="247"/>
    <col min="7165" max="7165" width="11.5703125" style="247" customWidth="1"/>
    <col min="7166" max="7166" width="13.85546875" style="247" customWidth="1"/>
    <col min="7167" max="7414" width="9.140625" style="247"/>
    <col min="7415" max="7415" width="10.7109375" style="247" bestFit="1" customWidth="1"/>
    <col min="7416" max="7416" width="10" style="247" customWidth="1"/>
    <col min="7417" max="7417" width="13" style="247" customWidth="1"/>
    <col min="7418" max="7418" width="10.85546875" style="247" customWidth="1"/>
    <col min="7419" max="7419" width="11.7109375" style="247" customWidth="1"/>
    <col min="7420" max="7420" width="9.140625" style="247"/>
    <col min="7421" max="7421" width="11.5703125" style="247" customWidth="1"/>
    <col min="7422" max="7422" width="13.85546875" style="247" customWidth="1"/>
    <col min="7423" max="7670" width="9.140625" style="247"/>
    <col min="7671" max="7671" width="10.7109375" style="247" bestFit="1" customWidth="1"/>
    <col min="7672" max="7672" width="10" style="247" customWidth="1"/>
    <col min="7673" max="7673" width="13" style="247" customWidth="1"/>
    <col min="7674" max="7674" width="10.85546875" style="247" customWidth="1"/>
    <col min="7675" max="7675" width="11.7109375" style="247" customWidth="1"/>
    <col min="7676" max="7676" width="9.140625" style="247"/>
    <col min="7677" max="7677" width="11.5703125" style="247" customWidth="1"/>
    <col min="7678" max="7678" width="13.85546875" style="247" customWidth="1"/>
    <col min="7679" max="7926" width="9.140625" style="247"/>
    <col min="7927" max="7927" width="10.7109375" style="247" bestFit="1" customWidth="1"/>
    <col min="7928" max="7928" width="10" style="247" customWidth="1"/>
    <col min="7929" max="7929" width="13" style="247" customWidth="1"/>
    <col min="7930" max="7930" width="10.85546875" style="247" customWidth="1"/>
    <col min="7931" max="7931" width="11.7109375" style="247" customWidth="1"/>
    <col min="7932" max="7932" width="9.140625" style="247"/>
    <col min="7933" max="7933" width="11.5703125" style="247" customWidth="1"/>
    <col min="7934" max="7934" width="13.85546875" style="247" customWidth="1"/>
    <col min="7935" max="8182" width="9.140625" style="247"/>
    <col min="8183" max="8183" width="10.7109375" style="247" bestFit="1" customWidth="1"/>
    <col min="8184" max="8184" width="10" style="247" customWidth="1"/>
    <col min="8185" max="8185" width="13" style="247" customWidth="1"/>
    <col min="8186" max="8186" width="10.85546875" style="247" customWidth="1"/>
    <col min="8187" max="8187" width="11.7109375" style="247" customWidth="1"/>
    <col min="8188" max="8188" width="9.140625" style="247"/>
    <col min="8189" max="8189" width="11.5703125" style="247" customWidth="1"/>
    <col min="8190" max="8190" width="13.85546875" style="247" customWidth="1"/>
    <col min="8191" max="8438" width="9.140625" style="247"/>
    <col min="8439" max="8439" width="10.7109375" style="247" bestFit="1" customWidth="1"/>
    <col min="8440" max="8440" width="10" style="247" customWidth="1"/>
    <col min="8441" max="8441" width="13" style="247" customWidth="1"/>
    <col min="8442" max="8442" width="10.85546875" style="247" customWidth="1"/>
    <col min="8443" max="8443" width="11.7109375" style="247" customWidth="1"/>
    <col min="8444" max="8444" width="9.140625" style="247"/>
    <col min="8445" max="8445" width="11.5703125" style="247" customWidth="1"/>
    <col min="8446" max="8446" width="13.85546875" style="247" customWidth="1"/>
    <col min="8447" max="8694" width="9.140625" style="247"/>
    <col min="8695" max="8695" width="10.7109375" style="247" bestFit="1" customWidth="1"/>
    <col min="8696" max="8696" width="10" style="247" customWidth="1"/>
    <col min="8697" max="8697" width="13" style="247" customWidth="1"/>
    <col min="8698" max="8698" width="10.85546875" style="247" customWidth="1"/>
    <col min="8699" max="8699" width="11.7109375" style="247" customWidth="1"/>
    <col min="8700" max="8700" width="9.140625" style="247"/>
    <col min="8701" max="8701" width="11.5703125" style="247" customWidth="1"/>
    <col min="8702" max="8702" width="13.85546875" style="247" customWidth="1"/>
    <col min="8703" max="8950" width="9.140625" style="247"/>
    <col min="8951" max="8951" width="10.7109375" style="247" bestFit="1" customWidth="1"/>
    <col min="8952" max="8952" width="10" style="247" customWidth="1"/>
    <col min="8953" max="8953" width="13" style="247" customWidth="1"/>
    <col min="8954" max="8954" width="10.85546875" style="247" customWidth="1"/>
    <col min="8955" max="8955" width="11.7109375" style="247" customWidth="1"/>
    <col min="8956" max="8956" width="9.140625" style="247"/>
    <col min="8957" max="8957" width="11.5703125" style="247" customWidth="1"/>
    <col min="8958" max="8958" width="13.85546875" style="247" customWidth="1"/>
    <col min="8959" max="9206" width="9.140625" style="247"/>
    <col min="9207" max="9207" width="10.7109375" style="247" bestFit="1" customWidth="1"/>
    <col min="9208" max="9208" width="10" style="247" customWidth="1"/>
    <col min="9209" max="9209" width="13" style="247" customWidth="1"/>
    <col min="9210" max="9210" width="10.85546875" style="247" customWidth="1"/>
    <col min="9211" max="9211" width="11.7109375" style="247" customWidth="1"/>
    <col min="9212" max="9212" width="9.140625" style="247"/>
    <col min="9213" max="9213" width="11.5703125" style="247" customWidth="1"/>
    <col min="9214" max="9214" width="13.85546875" style="247" customWidth="1"/>
    <col min="9215" max="9462" width="9.140625" style="247"/>
    <col min="9463" max="9463" width="10.7109375" style="247" bestFit="1" customWidth="1"/>
    <col min="9464" max="9464" width="10" style="247" customWidth="1"/>
    <col min="9465" max="9465" width="13" style="247" customWidth="1"/>
    <col min="9466" max="9466" width="10.85546875" style="247" customWidth="1"/>
    <col min="9467" max="9467" width="11.7109375" style="247" customWidth="1"/>
    <col min="9468" max="9468" width="9.140625" style="247"/>
    <col min="9469" max="9469" width="11.5703125" style="247" customWidth="1"/>
    <col min="9470" max="9470" width="13.85546875" style="247" customWidth="1"/>
    <col min="9471" max="9718" width="9.140625" style="247"/>
    <col min="9719" max="9719" width="10.7109375" style="247" bestFit="1" customWidth="1"/>
    <col min="9720" max="9720" width="10" style="247" customWidth="1"/>
    <col min="9721" max="9721" width="13" style="247" customWidth="1"/>
    <col min="9722" max="9722" width="10.85546875" style="247" customWidth="1"/>
    <col min="9723" max="9723" width="11.7109375" style="247" customWidth="1"/>
    <col min="9724" max="9724" width="9.140625" style="247"/>
    <col min="9725" max="9725" width="11.5703125" style="247" customWidth="1"/>
    <col min="9726" max="9726" width="13.85546875" style="247" customWidth="1"/>
    <col min="9727" max="9974" width="9.140625" style="247"/>
    <col min="9975" max="9975" width="10.7109375" style="247" bestFit="1" customWidth="1"/>
    <col min="9976" max="9976" width="10" style="247" customWidth="1"/>
    <col min="9977" max="9977" width="13" style="247" customWidth="1"/>
    <col min="9978" max="9978" width="10.85546875" style="247" customWidth="1"/>
    <col min="9979" max="9979" width="11.7109375" style="247" customWidth="1"/>
    <col min="9980" max="9980" width="9.140625" style="247"/>
    <col min="9981" max="9981" width="11.5703125" style="247" customWidth="1"/>
    <col min="9982" max="9982" width="13.85546875" style="247" customWidth="1"/>
    <col min="9983" max="10230" width="9.140625" style="247"/>
    <col min="10231" max="10231" width="10.7109375" style="247" bestFit="1" customWidth="1"/>
    <col min="10232" max="10232" width="10" style="247" customWidth="1"/>
    <col min="10233" max="10233" width="13" style="247" customWidth="1"/>
    <col min="10234" max="10234" width="10.85546875" style="247" customWidth="1"/>
    <col min="10235" max="10235" width="11.7109375" style="247" customWidth="1"/>
    <col min="10236" max="10236" width="9.140625" style="247"/>
    <col min="10237" max="10237" width="11.5703125" style="247" customWidth="1"/>
    <col min="10238" max="10238" width="13.85546875" style="247" customWidth="1"/>
    <col min="10239" max="10486" width="9.140625" style="247"/>
    <col min="10487" max="10487" width="10.7109375" style="247" bestFit="1" customWidth="1"/>
    <col min="10488" max="10488" width="10" style="247" customWidth="1"/>
    <col min="10489" max="10489" width="13" style="247" customWidth="1"/>
    <col min="10490" max="10490" width="10.85546875" style="247" customWidth="1"/>
    <col min="10491" max="10491" width="11.7109375" style="247" customWidth="1"/>
    <col min="10492" max="10492" width="9.140625" style="247"/>
    <col min="10493" max="10493" width="11.5703125" style="247" customWidth="1"/>
    <col min="10494" max="10494" width="13.85546875" style="247" customWidth="1"/>
    <col min="10495" max="10742" width="9.140625" style="247"/>
    <col min="10743" max="10743" width="10.7109375" style="247" bestFit="1" customWidth="1"/>
    <col min="10744" max="10744" width="10" style="247" customWidth="1"/>
    <col min="10745" max="10745" width="13" style="247" customWidth="1"/>
    <col min="10746" max="10746" width="10.85546875" style="247" customWidth="1"/>
    <col min="10747" max="10747" width="11.7109375" style="247" customWidth="1"/>
    <col min="10748" max="10748" width="9.140625" style="247"/>
    <col min="10749" max="10749" width="11.5703125" style="247" customWidth="1"/>
    <col min="10750" max="10750" width="13.85546875" style="247" customWidth="1"/>
    <col min="10751" max="10998" width="9.140625" style="247"/>
    <col min="10999" max="10999" width="10.7109375" style="247" bestFit="1" customWidth="1"/>
    <col min="11000" max="11000" width="10" style="247" customWidth="1"/>
    <col min="11001" max="11001" width="13" style="247" customWidth="1"/>
    <col min="11002" max="11002" width="10.85546875" style="247" customWidth="1"/>
    <col min="11003" max="11003" width="11.7109375" style="247" customWidth="1"/>
    <col min="11004" max="11004" width="9.140625" style="247"/>
    <col min="11005" max="11005" width="11.5703125" style="247" customWidth="1"/>
    <col min="11006" max="11006" width="13.85546875" style="247" customWidth="1"/>
    <col min="11007" max="11254" width="9.140625" style="247"/>
    <col min="11255" max="11255" width="10.7109375" style="247" bestFit="1" customWidth="1"/>
    <col min="11256" max="11256" width="10" style="247" customWidth="1"/>
    <col min="11257" max="11257" width="13" style="247" customWidth="1"/>
    <col min="11258" max="11258" width="10.85546875" style="247" customWidth="1"/>
    <col min="11259" max="11259" width="11.7109375" style="247" customWidth="1"/>
    <col min="11260" max="11260" width="9.140625" style="247"/>
    <col min="11261" max="11261" width="11.5703125" style="247" customWidth="1"/>
    <col min="11262" max="11262" width="13.85546875" style="247" customWidth="1"/>
    <col min="11263" max="11510" width="9.140625" style="247"/>
    <col min="11511" max="11511" width="10.7109375" style="247" bestFit="1" customWidth="1"/>
    <col min="11512" max="11512" width="10" style="247" customWidth="1"/>
    <col min="11513" max="11513" width="13" style="247" customWidth="1"/>
    <col min="11514" max="11514" width="10.85546875" style="247" customWidth="1"/>
    <col min="11515" max="11515" width="11.7109375" style="247" customWidth="1"/>
    <col min="11516" max="11516" width="9.140625" style="247"/>
    <col min="11517" max="11517" width="11.5703125" style="247" customWidth="1"/>
    <col min="11518" max="11518" width="13.85546875" style="247" customWidth="1"/>
    <col min="11519" max="11766" width="9.140625" style="247"/>
    <col min="11767" max="11767" width="10.7109375" style="247" bestFit="1" customWidth="1"/>
    <col min="11768" max="11768" width="10" style="247" customWidth="1"/>
    <col min="11769" max="11769" width="13" style="247" customWidth="1"/>
    <col min="11770" max="11770" width="10.85546875" style="247" customWidth="1"/>
    <col min="11771" max="11771" width="11.7109375" style="247" customWidth="1"/>
    <col min="11772" max="11772" width="9.140625" style="247"/>
    <col min="11773" max="11773" width="11.5703125" style="247" customWidth="1"/>
    <col min="11774" max="11774" width="13.85546875" style="247" customWidth="1"/>
    <col min="11775" max="12022" width="9.140625" style="247"/>
    <col min="12023" max="12023" width="10.7109375" style="247" bestFit="1" customWidth="1"/>
    <col min="12024" max="12024" width="10" style="247" customWidth="1"/>
    <col min="12025" max="12025" width="13" style="247" customWidth="1"/>
    <col min="12026" max="12026" width="10.85546875" style="247" customWidth="1"/>
    <col min="12027" max="12027" width="11.7109375" style="247" customWidth="1"/>
    <col min="12028" max="12028" width="9.140625" style="247"/>
    <col min="12029" max="12029" width="11.5703125" style="247" customWidth="1"/>
    <col min="12030" max="12030" width="13.85546875" style="247" customWidth="1"/>
    <col min="12031" max="12278" width="9.140625" style="247"/>
    <col min="12279" max="12279" width="10.7109375" style="247" bestFit="1" customWidth="1"/>
    <col min="12280" max="12280" width="10" style="247" customWidth="1"/>
    <col min="12281" max="12281" width="13" style="247" customWidth="1"/>
    <col min="12282" max="12282" width="10.85546875" style="247" customWidth="1"/>
    <col min="12283" max="12283" width="11.7109375" style="247" customWidth="1"/>
    <col min="12284" max="12284" width="9.140625" style="247"/>
    <col min="12285" max="12285" width="11.5703125" style="247" customWidth="1"/>
    <col min="12286" max="12286" width="13.85546875" style="247" customWidth="1"/>
    <col min="12287" max="12534" width="9.140625" style="247"/>
    <col min="12535" max="12535" width="10.7109375" style="247" bestFit="1" customWidth="1"/>
    <col min="12536" max="12536" width="10" style="247" customWidth="1"/>
    <col min="12537" max="12537" width="13" style="247" customWidth="1"/>
    <col min="12538" max="12538" width="10.85546875" style="247" customWidth="1"/>
    <col min="12539" max="12539" width="11.7109375" style="247" customWidth="1"/>
    <col min="12540" max="12540" width="9.140625" style="247"/>
    <col min="12541" max="12541" width="11.5703125" style="247" customWidth="1"/>
    <col min="12542" max="12542" width="13.85546875" style="247" customWidth="1"/>
    <col min="12543" max="12790" width="9.140625" style="247"/>
    <col min="12791" max="12791" width="10.7109375" style="247" bestFit="1" customWidth="1"/>
    <col min="12792" max="12792" width="10" style="247" customWidth="1"/>
    <col min="12793" max="12793" width="13" style="247" customWidth="1"/>
    <col min="12794" max="12794" width="10.85546875" style="247" customWidth="1"/>
    <col min="12795" max="12795" width="11.7109375" style="247" customWidth="1"/>
    <col min="12796" max="12796" width="9.140625" style="247"/>
    <col min="12797" max="12797" width="11.5703125" style="247" customWidth="1"/>
    <col min="12798" max="12798" width="13.85546875" style="247" customWidth="1"/>
    <col min="12799" max="13046" width="9.140625" style="247"/>
    <col min="13047" max="13047" width="10.7109375" style="247" bestFit="1" customWidth="1"/>
    <col min="13048" max="13048" width="10" style="247" customWidth="1"/>
    <col min="13049" max="13049" width="13" style="247" customWidth="1"/>
    <col min="13050" max="13050" width="10.85546875" style="247" customWidth="1"/>
    <col min="13051" max="13051" width="11.7109375" style="247" customWidth="1"/>
    <col min="13052" max="13052" width="9.140625" style="247"/>
    <col min="13053" max="13053" width="11.5703125" style="247" customWidth="1"/>
    <col min="13054" max="13054" width="13.85546875" style="247" customWidth="1"/>
    <col min="13055" max="13302" width="9.140625" style="247"/>
    <col min="13303" max="13303" width="10.7109375" style="247" bestFit="1" customWidth="1"/>
    <col min="13304" max="13304" width="10" style="247" customWidth="1"/>
    <col min="13305" max="13305" width="13" style="247" customWidth="1"/>
    <col min="13306" max="13306" width="10.85546875" style="247" customWidth="1"/>
    <col min="13307" max="13307" width="11.7109375" style="247" customWidth="1"/>
    <col min="13308" max="13308" width="9.140625" style="247"/>
    <col min="13309" max="13309" width="11.5703125" style="247" customWidth="1"/>
    <col min="13310" max="13310" width="13.85546875" style="247" customWidth="1"/>
    <col min="13311" max="13558" width="9.140625" style="247"/>
    <col min="13559" max="13559" width="10.7109375" style="247" bestFit="1" customWidth="1"/>
    <col min="13560" max="13560" width="10" style="247" customWidth="1"/>
    <col min="13561" max="13561" width="13" style="247" customWidth="1"/>
    <col min="13562" max="13562" width="10.85546875" style="247" customWidth="1"/>
    <col min="13563" max="13563" width="11.7109375" style="247" customWidth="1"/>
    <col min="13564" max="13564" width="9.140625" style="247"/>
    <col min="13565" max="13565" width="11.5703125" style="247" customWidth="1"/>
    <col min="13566" max="13566" width="13.85546875" style="247" customWidth="1"/>
    <col min="13567" max="13814" width="9.140625" style="247"/>
    <col min="13815" max="13815" width="10.7109375" style="247" bestFit="1" customWidth="1"/>
    <col min="13816" max="13816" width="10" style="247" customWidth="1"/>
    <col min="13817" max="13817" width="13" style="247" customWidth="1"/>
    <col min="13818" max="13818" width="10.85546875" style="247" customWidth="1"/>
    <col min="13819" max="13819" width="11.7109375" style="247" customWidth="1"/>
    <col min="13820" max="13820" width="9.140625" style="247"/>
    <col min="13821" max="13821" width="11.5703125" style="247" customWidth="1"/>
    <col min="13822" max="13822" width="13.85546875" style="247" customWidth="1"/>
    <col min="13823" max="14070" width="9.140625" style="247"/>
    <col min="14071" max="14071" width="10.7109375" style="247" bestFit="1" customWidth="1"/>
    <col min="14072" max="14072" width="10" style="247" customWidth="1"/>
    <col min="14073" max="14073" width="13" style="247" customWidth="1"/>
    <col min="14074" max="14074" width="10.85546875" style="247" customWidth="1"/>
    <col min="14075" max="14075" width="11.7109375" style="247" customWidth="1"/>
    <col min="14076" max="14076" width="9.140625" style="247"/>
    <col min="14077" max="14077" width="11.5703125" style="247" customWidth="1"/>
    <col min="14078" max="14078" width="13.85546875" style="247" customWidth="1"/>
    <col min="14079" max="14326" width="9.140625" style="247"/>
    <col min="14327" max="14327" width="10.7109375" style="247" bestFit="1" customWidth="1"/>
    <col min="14328" max="14328" width="10" style="247" customWidth="1"/>
    <col min="14329" max="14329" width="13" style="247" customWidth="1"/>
    <col min="14330" max="14330" width="10.85546875" style="247" customWidth="1"/>
    <col min="14331" max="14331" width="11.7109375" style="247" customWidth="1"/>
    <col min="14332" max="14332" width="9.140625" style="247"/>
    <col min="14333" max="14333" width="11.5703125" style="247" customWidth="1"/>
    <col min="14334" max="14334" width="13.85546875" style="247" customWidth="1"/>
    <col min="14335" max="14582" width="9.140625" style="247"/>
    <col min="14583" max="14583" width="10.7109375" style="247" bestFit="1" customWidth="1"/>
    <col min="14584" max="14584" width="10" style="247" customWidth="1"/>
    <col min="14585" max="14585" width="13" style="247" customWidth="1"/>
    <col min="14586" max="14586" width="10.85546875" style="247" customWidth="1"/>
    <col min="14587" max="14587" width="11.7109375" style="247" customWidth="1"/>
    <col min="14588" max="14588" width="9.140625" style="247"/>
    <col min="14589" max="14589" width="11.5703125" style="247" customWidth="1"/>
    <col min="14590" max="14590" width="13.85546875" style="247" customWidth="1"/>
    <col min="14591" max="14838" width="9.140625" style="247"/>
    <col min="14839" max="14839" width="10.7109375" style="247" bestFit="1" customWidth="1"/>
    <col min="14840" max="14840" width="10" style="247" customWidth="1"/>
    <col min="14841" max="14841" width="13" style="247" customWidth="1"/>
    <col min="14842" max="14842" width="10.85546875" style="247" customWidth="1"/>
    <col min="14843" max="14843" width="11.7109375" style="247" customWidth="1"/>
    <col min="14844" max="14844" width="9.140625" style="247"/>
    <col min="14845" max="14845" width="11.5703125" style="247" customWidth="1"/>
    <col min="14846" max="14846" width="13.85546875" style="247" customWidth="1"/>
    <col min="14847" max="15094" width="9.140625" style="247"/>
    <col min="15095" max="15095" width="10.7109375" style="247" bestFit="1" customWidth="1"/>
    <col min="15096" max="15096" width="10" style="247" customWidth="1"/>
    <col min="15097" max="15097" width="13" style="247" customWidth="1"/>
    <col min="15098" max="15098" width="10.85546875" style="247" customWidth="1"/>
    <col min="15099" max="15099" width="11.7109375" style="247" customWidth="1"/>
    <col min="15100" max="15100" width="9.140625" style="247"/>
    <col min="15101" max="15101" width="11.5703125" style="247" customWidth="1"/>
    <col min="15102" max="15102" width="13.85546875" style="247" customWidth="1"/>
    <col min="15103" max="15350" width="9.140625" style="247"/>
    <col min="15351" max="15351" width="10.7109375" style="247" bestFit="1" customWidth="1"/>
    <col min="15352" max="15352" width="10" style="247" customWidth="1"/>
    <col min="15353" max="15353" width="13" style="247" customWidth="1"/>
    <col min="15354" max="15354" width="10.85546875" style="247" customWidth="1"/>
    <col min="15355" max="15355" width="11.7109375" style="247" customWidth="1"/>
    <col min="15356" max="15356" width="9.140625" style="247"/>
    <col min="15357" max="15357" width="11.5703125" style="247" customWidth="1"/>
    <col min="15358" max="15358" width="13.85546875" style="247" customWidth="1"/>
    <col min="15359" max="15606" width="9.140625" style="247"/>
    <col min="15607" max="15607" width="10.7109375" style="247" bestFit="1" customWidth="1"/>
    <col min="15608" max="15608" width="10" style="247" customWidth="1"/>
    <col min="15609" max="15609" width="13" style="247" customWidth="1"/>
    <col min="15610" max="15610" width="10.85546875" style="247" customWidth="1"/>
    <col min="15611" max="15611" width="11.7109375" style="247" customWidth="1"/>
    <col min="15612" max="15612" width="9.140625" style="247"/>
    <col min="15613" max="15613" width="11.5703125" style="247" customWidth="1"/>
    <col min="15614" max="15614" width="13.85546875" style="247" customWidth="1"/>
    <col min="15615" max="15862" width="9.140625" style="247"/>
    <col min="15863" max="15863" width="10.7109375" style="247" bestFit="1" customWidth="1"/>
    <col min="15864" max="15864" width="10" style="247" customWidth="1"/>
    <col min="15865" max="15865" width="13" style="247" customWidth="1"/>
    <col min="15866" max="15866" width="10.85546875" style="247" customWidth="1"/>
    <col min="15867" max="15867" width="11.7109375" style="247" customWidth="1"/>
    <col min="15868" max="15868" width="9.140625" style="247"/>
    <col min="15869" max="15869" width="11.5703125" style="247" customWidth="1"/>
    <col min="15870" max="15870" width="13.85546875" style="247" customWidth="1"/>
    <col min="15871" max="16118" width="9.140625" style="247"/>
    <col min="16119" max="16119" width="10.7109375" style="247" bestFit="1" customWidth="1"/>
    <col min="16120" max="16120" width="10" style="247" customWidth="1"/>
    <col min="16121" max="16121" width="13" style="247" customWidth="1"/>
    <col min="16122" max="16122" width="10.85546875" style="247" customWidth="1"/>
    <col min="16123" max="16123" width="11.7109375" style="247" customWidth="1"/>
    <col min="16124" max="16124" width="9.140625" style="247"/>
    <col min="16125" max="16125" width="11.5703125" style="247" customWidth="1"/>
    <col min="16126" max="16126" width="13.85546875" style="247" customWidth="1"/>
    <col min="16127" max="16384" width="9.140625" style="247"/>
  </cols>
  <sheetData>
    <row r="1" spans="2:3" ht="15.75" thickBot="1" x14ac:dyDescent="0.3"/>
    <row r="2" spans="2:3" ht="15.75" thickBot="1" x14ac:dyDescent="0.3">
      <c r="B2" s="349" t="s">
        <v>32</v>
      </c>
      <c r="C2" s="350" t="s">
        <v>181</v>
      </c>
    </row>
    <row r="3" spans="2:3" x14ac:dyDescent="0.25">
      <c r="B3" s="347" t="s">
        <v>176</v>
      </c>
      <c r="C3" s="348">
        <f>+SUMIF('CERDA HERNANDEZ JOSE LUIS'!P$19:P$27,'KM POR CLIENTE'!B3,'CERDA HERNANDEZ JOSE LUIS'!J$19:J$27)+SUMIF('GONZALEZ LOZANO ENRIQUE '!P$19:P$30,'KM POR CLIENTE'!B3,'GONZALEZ LOZANO ENRIQUE '!J$19:J$30)+SUMIF('NEVAREZ JUAN MANUEL'!P$19:P$29,'KM POR CLIENTE'!B3,'NEVAREZ JUAN MANUEL'!J$19:J$29)+SUMIF('MARTA RUBIO MARTIN'!P$19:P$32,'KM POR CLIENTE'!B3,'MARTA RUBIO MARTIN'!J$19:J$32)+SUMIF('ESCARCEGA GALDEAN JESUS OMAR'!P$19:P$30,'KM POR CLIENTE'!B3,'ESCARCEGA GALDEAN JESUS OMAR'!J$19:J$30)+SUMIF('CHAVEZ VARELA NESTOR ADRIAN'!P$19:P$27,'KM POR CLIENTE'!B3,'CHAVEZ VARELA NESTOR ADRIAN'!J$19:J$27)+SUMIF('GUZMAN MORALES'!P$19:P$32,'KM POR CLIENTE'!B3,'GUZMAN MORALES'!J$19:J$32)+SUMIF('SANCHEZ GUERRERO JOSE LUIS'!P$19:P$32,'KM POR CLIENTE'!B3,'SANCHEZ GUERRERO JOSE LUIS'!J$19:J$32)+SUMIF('GONZALEZ MARTINEZ MAURICIO'!P$19:P$30,'KM POR CLIENTE'!B3,'GONZALEZ MARTINEZ MAURICIO'!J$19:J$30)+SUMIF('GONZALEZ SOTO JOEL'!P$19:P$31,'KM POR CLIENTE'!B3,'GONZALEZ SOTO JOEL'!J$19:J$31)+SUMIF('RUIZ ALVARADO PEDRO'!P$19:P$24,'KM POR CLIENTE'!B3,'RUIZ ALVARADO PEDRO'!J$19:J$24)+SUMIF('GRIJALVA VALDEZ CESAR EUSEBIO'!P$19:P$27,'KM POR CLIENTE'!B3,'GRIJALVA VALDEZ CESAR EUSEBIO'!J$19:J$27)+SUMIF('RUIZ HERRERA ERICK '!P$19:P$25,'KM POR CLIENTE'!B3,'RUIZ HERRERA ERICK '!J$19:J$25)+SUMIF('RODRIGUEZ VALLES JOSE FRANCISCO'!P$19:P$32,'KM POR CLIENTE'!B3,'RODRIGUEZ VALLES JOSE FRANCISCO'!J$19:J$32)+SUMIF('HERNANDEZ CONTRERAS JOSE FERNAN'!P$19:P$29,'KM POR CLIENTE'!B3,'HERNANDEZ CONTRERAS JOSE FERNAN'!J$19:J$29)+SUMIF('PAYAN ESTRADA JOSE ANGEL'!P$19:P$29,'KM POR CLIENTE'!B3,'PAYAN ESTRADA JOSE ANGEL'!J$19:J$29)+SUMIF('RODRIGUEZ RAMIREZ FERNANDO'!P$19:P$27,'KM POR CLIENTE'!B3,'RODRIGUEZ RAMIREZ FERNANDO'!J$19:J$27)+SUMIF('ESTRADA ARELLANO ARTURO'!P$19:P$32,'KM POR CLIENTE'!B3,'ESTRADA ARELLANO ARTURO'!J$19:J$32)+SUMIF('SALAZAR PEREZ JUAN CARLOS'!P$19:P$30,'KM POR CLIENTE'!B3,'SALAZAR PEREZ JUAN CARLOS'!J$19:J$30)+SUMIF('HARO IMPERIAL JOSÉ ANTONIO'!P$19:P$33,'KM POR CLIENTE'!B3,'HARO IMPERIAL JOSÉ ANTONIO'!J$19:J$33)+SUMIF('LIRA TRISTAN JOSE ANGEL'!P$19:P$28,'KM POR CLIENTE'!B3,'LIRA TRISTAN JOSE ANGEL'!J$19:J$28)+SUMIF('TORRES GARAY LUIS HUMBERTO'!P$19:P$30,'KM POR CLIENTE'!B3,'TORRES GARAY LUIS HUMBERTO'!J$19:J$30)+SUMIF('RUEDA SALAZAR ISMAEL'!P$19:P$27,'KM POR CLIENTE'!B3,'RUEDA SALAZAR ISMAEL'!J$19:J$27)+SUMIF('PACHECO BAÑUELOS ALFONSO'!P$19:P$31,'KM POR CLIENTE'!B3,'PACHECO BAÑUELOS ALFONSO'!J$19:J$31)</f>
        <v>25596</v>
      </c>
    </row>
    <row r="4" spans="2:3" x14ac:dyDescent="0.25">
      <c r="B4" s="248" t="s">
        <v>174</v>
      </c>
      <c r="C4" s="348">
        <f>+SUMIF('CERDA HERNANDEZ JOSE LUIS'!P$19:P$27,'KM POR CLIENTE'!B4,'CERDA HERNANDEZ JOSE LUIS'!J$19:J$27)+SUMIF('GONZALEZ LOZANO ENRIQUE '!P$19:P$30,'KM POR CLIENTE'!B4,'GONZALEZ LOZANO ENRIQUE '!J$19:J$30)+SUMIF('NEVAREZ JUAN MANUEL'!P$19:P$29,'KM POR CLIENTE'!B4,'NEVAREZ JUAN MANUEL'!J$19:J$29)+SUMIF('MARTA RUBIO MARTIN'!P$19:P$32,'KM POR CLIENTE'!B4,'MARTA RUBIO MARTIN'!J$19:J$32)+SUMIF('ESCARCEGA GALDEAN JESUS OMAR'!P$19:P$30,'KM POR CLIENTE'!B4,'ESCARCEGA GALDEAN JESUS OMAR'!J$19:J$30)+SUMIF('CHAVEZ VARELA NESTOR ADRIAN'!P$19:P$27,'KM POR CLIENTE'!B4,'CHAVEZ VARELA NESTOR ADRIAN'!J$19:J$27)+SUMIF('GUZMAN MORALES'!P$19:P$32,'KM POR CLIENTE'!B4,'GUZMAN MORALES'!J$19:J$32)+SUMIF('SANCHEZ GUERRERO JOSE LUIS'!P$19:P$32,'KM POR CLIENTE'!B4,'SANCHEZ GUERRERO JOSE LUIS'!J$19:J$32)+SUMIF('GONZALEZ MARTINEZ MAURICIO'!P$19:P$30,'KM POR CLIENTE'!B4,'GONZALEZ MARTINEZ MAURICIO'!J$19:J$30)+SUMIF('GONZALEZ SOTO JOEL'!P$19:P$31,'KM POR CLIENTE'!B4,'GONZALEZ SOTO JOEL'!J$19:J$31)+SUMIF('RUIZ ALVARADO PEDRO'!P$19:P$24,'KM POR CLIENTE'!B4,'RUIZ ALVARADO PEDRO'!J$19:J$24)+SUMIF('GRIJALVA VALDEZ CESAR EUSEBIO'!P$19:P$27,'KM POR CLIENTE'!B4,'GRIJALVA VALDEZ CESAR EUSEBIO'!J$19:J$27)+SUMIF('RUIZ HERRERA ERICK '!P$19:P$25,'KM POR CLIENTE'!B4,'RUIZ HERRERA ERICK '!J$19:J$25)+SUMIF('RODRIGUEZ VALLES JOSE FRANCISCO'!P$19:P$32,'KM POR CLIENTE'!B4,'RODRIGUEZ VALLES JOSE FRANCISCO'!J$19:J$32)+SUMIF('HERNANDEZ CONTRERAS JOSE FERNAN'!P$19:P$29,'KM POR CLIENTE'!B4,'HERNANDEZ CONTRERAS JOSE FERNAN'!J$19:J$29)+SUMIF('PAYAN ESTRADA JOSE ANGEL'!P$19:P$29,'KM POR CLIENTE'!B4,'PAYAN ESTRADA JOSE ANGEL'!J$19:J$29)+SUMIF('RODRIGUEZ RAMIREZ FERNANDO'!P$19:P$27,'KM POR CLIENTE'!B4,'RODRIGUEZ RAMIREZ FERNANDO'!J$19:J$27)+SUMIF('ESTRADA ARELLANO ARTURO'!P$19:P$32,'KM POR CLIENTE'!B4,'ESTRADA ARELLANO ARTURO'!J$19:J$32)+SUMIF('SALAZAR PEREZ JUAN CARLOS'!P$19:P$30,'KM POR CLIENTE'!B4,'SALAZAR PEREZ JUAN CARLOS'!J$19:J$30)+SUMIF('HARO IMPERIAL JOSÉ ANTONIO'!P$19:P$33,'KM POR CLIENTE'!B4,'HARO IMPERIAL JOSÉ ANTONIO'!J$19:J$33)+SUMIF('LIRA TRISTAN JOSE ANGEL'!P$19:P$28,'KM POR CLIENTE'!B4,'LIRA TRISTAN JOSE ANGEL'!J$19:J$28)+SUMIF('TORRES GARAY LUIS HUMBERTO'!P$19:P$30,'KM POR CLIENTE'!B4,'TORRES GARAY LUIS HUMBERTO'!J$19:J$30)+SUMIF('RUEDA SALAZAR ISMAEL'!P$19:P$27,'KM POR CLIENTE'!B4,'RUEDA SALAZAR ISMAEL'!J$19:J$27)+SUMIF('PACHECO BAÑUELOS ALFONSO'!P$19:P$31,'KM POR CLIENTE'!B4,'PACHECO BAÑUELOS ALFONSO'!J$19:J$31)</f>
        <v>21370</v>
      </c>
    </row>
    <row r="5" spans="2:3" x14ac:dyDescent="0.25">
      <c r="B5" s="248" t="s">
        <v>182</v>
      </c>
      <c r="C5" s="249">
        <f>+SUMIF('CERDA HERNANDEZ JOSE LUIS'!P$19:P$27,'KM POR CLIENTE'!B5,'CERDA HERNANDEZ JOSE LUIS'!J$19:J$27)+SUMIF('GONZALEZ LOZANO ENRIQUE '!P$19:P$30,'KM POR CLIENTE'!B5,'GONZALEZ LOZANO ENRIQUE '!J$19:J$30)+SUMIF('NEVAREZ JUAN MANUEL'!P$19:P$29,'KM POR CLIENTE'!B5,'NEVAREZ JUAN MANUEL'!J$19:J$29)+SUMIF('MARTA RUBIO MARTIN'!P$20:P$31,'KM POR CLIENTE'!B5,'MARTA RUBIO MARTIN'!J$20:J$31)+SUMIF('ESCARCEGA GALDEAN JESUS OMAR'!P$20:P$30,'KM POR CLIENTE'!B5,'ESCARCEGA GALDEAN JESUS OMAR'!J$20:J$30)+SUMIF('CHAVEZ VARELA NESTOR ADRIAN'!P$19:P$27,'KM POR CLIENTE'!B5,'CHAVEZ VARELA NESTOR ADRIAN'!J$19:J$27)+SUMIF('GUZMAN MORALES'!P$19:P$32,'KM POR CLIENTE'!B5,'GUZMAN MORALES'!J$19:J$32)+SUMIF('SANCHEZ GUERRERO JOSE LUIS'!P$19:P$32,'KM POR CLIENTE'!B5,'SANCHEZ GUERRERO JOSE LUIS'!J$19:J$32)+SUMIF('GONZALEZ MARTINEZ MAURICIO'!P$19:P$30,'KM POR CLIENTE'!B5,'GONZALEZ MARTINEZ MAURICIO'!J$19:J$30)+SUMIF('GONZALEZ SOTO JOEL'!P$19:P$31,'KM POR CLIENTE'!B5,'GONZALEZ SOTO JOEL'!J$19:J$31)+SUMIF('RUIZ ALVARADO PEDRO'!P$19:P$24,'KM POR CLIENTE'!B5,'RUIZ ALVARADO PEDRO'!J$19:J$24)+SUMIF('GRIJALVA VALDEZ CESAR EUSEBIO'!P$19:P$27,'KM POR CLIENTE'!B5,'GRIJALVA VALDEZ CESAR EUSEBIO'!J$19:J$27)+SUMIF('RUIZ HERRERA ERICK '!P$19:P$25,'KM POR CLIENTE'!B5,'RUIZ HERRERA ERICK '!J$19:J$25)+SUMIF('RODRIGUEZ VALLES JOSE FRANCISCO'!P$19:P$32,'KM POR CLIENTE'!B5,'RODRIGUEZ VALLES JOSE FRANCISCO'!J$19:J$32)+SUMIF('HERNANDEZ CONTRERAS JOSE FERNAN'!P$19:P$29,'KM POR CLIENTE'!B5,'HERNANDEZ CONTRERAS JOSE FERNAN'!J$19:J$29)+SUMIF('PAYAN ESTRADA JOSE ANGEL'!P$19:P$29,'KM POR CLIENTE'!B5,'PAYAN ESTRADA JOSE ANGEL'!J$19:J$29)+SUMIF('RODRIGUEZ RAMIREZ FERNANDO'!P$19:P$27,'KM POR CLIENTE'!B5,'RODRIGUEZ RAMIREZ FERNANDO'!J$19:J$27)+SUMIF('ESTRADA ARELLANO ARTURO'!P$19:P$32,'KM POR CLIENTE'!B5,'ESTRADA ARELLANO ARTURO'!J$19:J$32)+SUMIF('SALAZAR PEREZ JUAN CARLOS'!P$19:P$30,'KM POR CLIENTE'!B5,'SALAZAR PEREZ JUAN CARLOS'!J$19:J$30)+SUMIF('HARO IMPERIAL JOSÉ ANTONIO'!P$19:P$33,'KM POR CLIENTE'!B5,'HARO IMPERIAL JOSÉ ANTONIO'!J$19:J$33)+SUMIF('LIRA TRISTAN JOSE ANGEL'!P$19:P$28,'KM POR CLIENTE'!B5,'LIRA TRISTAN JOSE ANGEL'!J$19:J$28)+SUMIF('TORRES GARAY LUIS HUMBERTO'!P$19:P$30,'KM POR CLIENTE'!B5,'TORRES GARAY LUIS HUMBERTO'!J$19:J$30)+SUMIF('RUEDA SALAZAR ISMAEL'!P$19:P$27,'KM POR CLIENTE'!B5,'RUEDA SALAZAR ISMAEL'!J$19:J$27)+SUMIF('PACHECO BAÑUELOS ALFONSO'!P$19:P$31,'KM POR CLIENTE'!B5,'PACHECO BAÑUELOS ALFONSO'!J$19:J$31)</f>
        <v>0</v>
      </c>
    </row>
    <row r="6" spans="2:3" x14ac:dyDescent="0.25">
      <c r="B6" s="248" t="s">
        <v>175</v>
      </c>
      <c r="C6" s="348">
        <f>+SUMIF('CERDA HERNANDEZ JOSE LUIS'!P$19:P$27,'KM POR CLIENTE'!B6,'CERDA HERNANDEZ JOSE LUIS'!J$19:J$27)+SUMIF('GONZALEZ LOZANO ENRIQUE '!P$19:P$30,'KM POR CLIENTE'!B6,'GONZALEZ LOZANO ENRIQUE '!J$19:J$30)+SUMIF('NEVAREZ JUAN MANUEL'!P$19:P$29,'KM POR CLIENTE'!B6,'NEVAREZ JUAN MANUEL'!J$19:J$29)+SUMIF('MARTA RUBIO MARTIN'!P$19:P$32,'KM POR CLIENTE'!B6,'MARTA RUBIO MARTIN'!J$19:J$32)+SUMIF('ESCARCEGA GALDEAN JESUS OMAR'!P$19:P$30,'KM POR CLIENTE'!B6,'ESCARCEGA GALDEAN JESUS OMAR'!J$19:J$30)+SUMIF('CHAVEZ VARELA NESTOR ADRIAN'!P$19:P$27,'KM POR CLIENTE'!B6,'CHAVEZ VARELA NESTOR ADRIAN'!J$19:J$27)+SUMIF('GUZMAN MORALES'!P$19:P$32,'KM POR CLIENTE'!B6,'GUZMAN MORALES'!J$19:J$32)+SUMIF('SANCHEZ GUERRERO JOSE LUIS'!P$19:P$32,'KM POR CLIENTE'!B6,'SANCHEZ GUERRERO JOSE LUIS'!J$19:J$32)+SUMIF('GONZALEZ MARTINEZ MAURICIO'!P$19:P$30,'KM POR CLIENTE'!B6,'GONZALEZ MARTINEZ MAURICIO'!J$19:J$30)+SUMIF('GONZALEZ SOTO JOEL'!P$19:P$31,'KM POR CLIENTE'!B6,'GONZALEZ SOTO JOEL'!J$19:J$31)+SUMIF('RUIZ ALVARADO PEDRO'!P$19:P$24,'KM POR CLIENTE'!B6,'RUIZ ALVARADO PEDRO'!J$19:J$24)+SUMIF('GRIJALVA VALDEZ CESAR EUSEBIO'!P$19:P$27,'KM POR CLIENTE'!B6,'GRIJALVA VALDEZ CESAR EUSEBIO'!J$19:J$27)+SUMIF('RUIZ HERRERA ERICK '!P$19:P$25,'KM POR CLIENTE'!B6,'RUIZ HERRERA ERICK '!J$19:J$25)+SUMIF('RODRIGUEZ VALLES JOSE FRANCISCO'!P$19:P$32,'KM POR CLIENTE'!B6,'RODRIGUEZ VALLES JOSE FRANCISCO'!J$19:J$32)+SUMIF('HERNANDEZ CONTRERAS JOSE FERNAN'!P$19:P$29,'KM POR CLIENTE'!B6,'HERNANDEZ CONTRERAS JOSE FERNAN'!J$19:J$29)+SUMIF('PAYAN ESTRADA JOSE ANGEL'!P$19:P$29,'KM POR CLIENTE'!B6,'PAYAN ESTRADA JOSE ANGEL'!J$19:J$29)+SUMIF('RODRIGUEZ RAMIREZ FERNANDO'!P$19:P$27,'KM POR CLIENTE'!B6,'RODRIGUEZ RAMIREZ FERNANDO'!J$19:J$27)+SUMIF('ESTRADA ARELLANO ARTURO'!P$19:P$32,'KM POR CLIENTE'!B6,'ESTRADA ARELLANO ARTURO'!J$19:J$32)+SUMIF('SALAZAR PEREZ JUAN CARLOS'!P$19:P$30,'KM POR CLIENTE'!B6,'SALAZAR PEREZ JUAN CARLOS'!J$19:J$30)+SUMIF('HARO IMPERIAL JOSÉ ANTONIO'!P$19:P$33,'KM POR CLIENTE'!B6,'HARO IMPERIAL JOSÉ ANTONIO'!J$19:J$33)+SUMIF('LIRA TRISTAN JOSE ANGEL'!P$19:P$28,'KM POR CLIENTE'!B6,'LIRA TRISTAN JOSE ANGEL'!J$19:J$28)+SUMIF('TORRES GARAY LUIS HUMBERTO'!P$19:P$30,'KM POR CLIENTE'!B6,'TORRES GARAY LUIS HUMBERTO'!J$19:J$30)+SUMIF('RUEDA SALAZAR ISMAEL'!P$19:P$27,'KM POR CLIENTE'!B6,'RUEDA SALAZAR ISMAEL'!J$19:J$27)+SUMIF('PACHECO BAÑUELOS ALFONSO'!P$19:P$31,'KM POR CLIENTE'!B6,'PACHECO BAÑUELOS ALFONSO'!J$19:J$31)</f>
        <v>5480</v>
      </c>
    </row>
    <row r="7" spans="2:3" x14ac:dyDescent="0.25">
      <c r="B7" s="248" t="s">
        <v>183</v>
      </c>
      <c r="C7" s="249">
        <f>+SUMIF('CERDA HERNANDEZ JOSE LUIS'!P$19:P$27,'KM POR CLIENTE'!B7,'CERDA HERNANDEZ JOSE LUIS'!J$19:J$27)+SUMIF('GONZALEZ LOZANO ENRIQUE '!P$19:P$30,'KM POR CLIENTE'!B7,'GONZALEZ LOZANO ENRIQUE '!J$19:J$30)+SUMIF('NEVAREZ JUAN MANUEL'!P$19:P$29,'KM POR CLIENTE'!B7,'NEVAREZ JUAN MANUEL'!J$19:J$29)+SUMIF('MARTA RUBIO MARTIN'!P$20:P$31,'KM POR CLIENTE'!B7,'MARTA RUBIO MARTIN'!J$20:J$31)+SUMIF('ESCARCEGA GALDEAN JESUS OMAR'!P$20:P$30,'KM POR CLIENTE'!B7,'ESCARCEGA GALDEAN JESUS OMAR'!J$20:J$30)+SUMIF('CHAVEZ VARELA NESTOR ADRIAN'!P$19:P$27,'KM POR CLIENTE'!B7,'CHAVEZ VARELA NESTOR ADRIAN'!J$19:J$27)+SUMIF('GUZMAN MORALES'!P$19:P$32,'KM POR CLIENTE'!B7,'GUZMAN MORALES'!J$19:J$32)+SUMIF('SANCHEZ GUERRERO JOSE LUIS'!P$19:P$32,'KM POR CLIENTE'!B7,'SANCHEZ GUERRERO JOSE LUIS'!J$19:J$32)+SUMIF('GONZALEZ MARTINEZ MAURICIO'!P$19:P$30,'KM POR CLIENTE'!B7,'GONZALEZ MARTINEZ MAURICIO'!J$19:J$30)+SUMIF('GONZALEZ SOTO JOEL'!P$19:P$31,'KM POR CLIENTE'!B7,'GONZALEZ SOTO JOEL'!J$19:J$31)+SUMIF('RUIZ ALVARADO PEDRO'!P$19:P$24,'KM POR CLIENTE'!B7,'RUIZ ALVARADO PEDRO'!J$19:J$24)+SUMIF('GRIJALVA VALDEZ CESAR EUSEBIO'!P$19:P$27,'KM POR CLIENTE'!B7,'GRIJALVA VALDEZ CESAR EUSEBIO'!J$19:J$27)+SUMIF('RUIZ HERRERA ERICK '!P$19:P$25,'KM POR CLIENTE'!B7,'RUIZ HERRERA ERICK '!J$19:J$25)+SUMIF('RODRIGUEZ VALLES JOSE FRANCISCO'!P$19:P$32,'KM POR CLIENTE'!B7,'RODRIGUEZ VALLES JOSE FRANCISCO'!J$19:J$32)+SUMIF('HERNANDEZ CONTRERAS JOSE FERNAN'!P$19:P$29,'KM POR CLIENTE'!B7,'HERNANDEZ CONTRERAS JOSE FERNAN'!J$19:J$29)+SUMIF('PAYAN ESTRADA JOSE ANGEL'!P$19:P$29,'KM POR CLIENTE'!B7,'PAYAN ESTRADA JOSE ANGEL'!J$19:J$29)+SUMIF('RODRIGUEZ RAMIREZ FERNANDO'!P$19:P$27,'KM POR CLIENTE'!B7,'RODRIGUEZ RAMIREZ FERNANDO'!J$19:J$27)+SUMIF('ESTRADA ARELLANO ARTURO'!P$19:P$32,'KM POR CLIENTE'!B7,'ESTRADA ARELLANO ARTURO'!J$19:J$32)+SUMIF('SALAZAR PEREZ JUAN CARLOS'!P$19:P$30,'KM POR CLIENTE'!B7,'SALAZAR PEREZ JUAN CARLOS'!J$19:J$30)+SUMIF('HARO IMPERIAL JOSÉ ANTONIO'!P$19:P$33,'KM POR CLIENTE'!B7,'HARO IMPERIAL JOSÉ ANTONIO'!J$19:J$33)+SUMIF('LIRA TRISTAN JOSE ANGEL'!P$19:P$28,'KM POR CLIENTE'!B7,'LIRA TRISTAN JOSE ANGEL'!J$19:J$28)+SUMIF('TORRES GARAY LUIS HUMBERTO'!P$19:P$30,'KM POR CLIENTE'!B7,'TORRES GARAY LUIS HUMBERTO'!J$19:J$30)+SUMIF('RUEDA SALAZAR ISMAEL'!P$19:P$27,'KM POR CLIENTE'!B7,'RUEDA SALAZAR ISMAEL'!J$19:J$27)+SUMIF('PACHECO BAÑUELOS ALFONSO'!P$19:P$31,'KM POR CLIENTE'!B7,'PACHECO BAÑUELOS ALFONSO'!J$19:J$31)</f>
        <v>0</v>
      </c>
    </row>
    <row r="8" spans="2:3" x14ac:dyDescent="0.25">
      <c r="B8" s="248" t="s">
        <v>184</v>
      </c>
      <c r="C8" s="249">
        <f>+SUMIF('CERDA HERNANDEZ JOSE LUIS'!P$19:P$27,'KM POR CLIENTE'!B8,'CERDA HERNANDEZ JOSE LUIS'!J$19:J$27)+SUMIF('GONZALEZ LOZANO ENRIQUE '!P$19:P$30,'KM POR CLIENTE'!B8,'GONZALEZ LOZANO ENRIQUE '!J$19:J$30)+SUMIF('NEVAREZ JUAN MANUEL'!P$19:P$29,'KM POR CLIENTE'!B8,'NEVAREZ JUAN MANUEL'!J$19:J$29)+SUMIF('MARTA RUBIO MARTIN'!P$20:P$31,'KM POR CLIENTE'!B8,'MARTA RUBIO MARTIN'!J$20:J$31)+SUMIF('ESCARCEGA GALDEAN JESUS OMAR'!P$20:P$30,'KM POR CLIENTE'!B8,'ESCARCEGA GALDEAN JESUS OMAR'!J$20:J$30)+SUMIF('CHAVEZ VARELA NESTOR ADRIAN'!P$19:P$27,'KM POR CLIENTE'!B8,'CHAVEZ VARELA NESTOR ADRIAN'!J$19:J$27)+SUMIF('GUZMAN MORALES'!P$19:P$32,'KM POR CLIENTE'!B8,'GUZMAN MORALES'!J$19:J$32)+SUMIF('SANCHEZ GUERRERO JOSE LUIS'!P$19:P$32,'KM POR CLIENTE'!B8,'SANCHEZ GUERRERO JOSE LUIS'!J$19:J$32)+SUMIF('GONZALEZ MARTINEZ MAURICIO'!P$19:P$30,'KM POR CLIENTE'!B8,'GONZALEZ MARTINEZ MAURICIO'!J$19:J$30)+SUMIF('GONZALEZ SOTO JOEL'!P$19:P$31,'KM POR CLIENTE'!B8,'GONZALEZ SOTO JOEL'!J$19:J$31)+SUMIF('RUIZ ALVARADO PEDRO'!P$19:P$24,'KM POR CLIENTE'!B8,'RUIZ ALVARADO PEDRO'!J$19:J$24)+SUMIF('GRIJALVA VALDEZ CESAR EUSEBIO'!P$19:P$27,'KM POR CLIENTE'!B8,'GRIJALVA VALDEZ CESAR EUSEBIO'!J$19:J$27)+SUMIF('RUIZ HERRERA ERICK '!P$19:P$25,'KM POR CLIENTE'!B8,'RUIZ HERRERA ERICK '!J$19:J$25)+SUMIF('RODRIGUEZ VALLES JOSE FRANCISCO'!P$19:P$32,'KM POR CLIENTE'!B8,'RODRIGUEZ VALLES JOSE FRANCISCO'!J$19:J$32)+SUMIF('HERNANDEZ CONTRERAS JOSE FERNAN'!P$19:P$29,'KM POR CLIENTE'!B8,'HERNANDEZ CONTRERAS JOSE FERNAN'!J$19:J$29)+SUMIF('PAYAN ESTRADA JOSE ANGEL'!P$19:P$29,'KM POR CLIENTE'!B8,'PAYAN ESTRADA JOSE ANGEL'!J$19:J$29)+SUMIF('RODRIGUEZ RAMIREZ FERNANDO'!P$19:P$27,'KM POR CLIENTE'!B8,'RODRIGUEZ RAMIREZ FERNANDO'!J$19:J$27)+SUMIF('ESTRADA ARELLANO ARTURO'!P$19:P$32,'KM POR CLIENTE'!B8,'ESTRADA ARELLANO ARTURO'!J$19:J$32)+SUMIF('SALAZAR PEREZ JUAN CARLOS'!P$19:P$30,'KM POR CLIENTE'!B8,'SALAZAR PEREZ JUAN CARLOS'!J$19:J$30)+SUMIF('HARO IMPERIAL JOSÉ ANTONIO'!P$19:P$33,'KM POR CLIENTE'!B8,'HARO IMPERIAL JOSÉ ANTONIO'!J$19:J$33)+SUMIF('LIRA TRISTAN JOSE ANGEL'!P$19:P$28,'KM POR CLIENTE'!B8,'LIRA TRISTAN JOSE ANGEL'!J$19:J$28)+SUMIF('TORRES GARAY LUIS HUMBERTO'!P$19:P$30,'KM POR CLIENTE'!B8,'TORRES GARAY LUIS HUMBERTO'!J$19:J$30)+SUMIF('RUEDA SALAZAR ISMAEL'!P$19:P$27,'KM POR CLIENTE'!B8,'RUEDA SALAZAR ISMAEL'!J$19:J$27)+SUMIF('PACHECO BAÑUELOS ALFONSO'!P$19:P$31,'KM POR CLIENTE'!B8,'PACHECO BAÑUELOS ALFONSO'!J$19:J$31)</f>
        <v>0</v>
      </c>
    </row>
    <row r="9" spans="2:3" x14ac:dyDescent="0.25">
      <c r="B9" s="248" t="s">
        <v>185</v>
      </c>
      <c r="C9" s="249">
        <f>+SUMIF('CERDA HERNANDEZ JOSE LUIS'!P$19:P$27,'KM POR CLIENTE'!B9,'CERDA HERNANDEZ JOSE LUIS'!J$19:J$27)+SUMIF('GONZALEZ LOZANO ENRIQUE '!P$19:P$30,'KM POR CLIENTE'!B9,'GONZALEZ LOZANO ENRIQUE '!J$19:J$30)+SUMIF('NEVAREZ JUAN MANUEL'!P$19:P$29,'KM POR CLIENTE'!B9,'NEVAREZ JUAN MANUEL'!J$19:J$29)+SUMIF('MARTA RUBIO MARTIN'!P$20:P$31,'KM POR CLIENTE'!B9,'MARTA RUBIO MARTIN'!J$20:J$31)+SUMIF('ESCARCEGA GALDEAN JESUS OMAR'!P$20:P$30,'KM POR CLIENTE'!B9,'ESCARCEGA GALDEAN JESUS OMAR'!J$20:J$30)+SUMIF('CHAVEZ VARELA NESTOR ADRIAN'!P$19:P$27,'KM POR CLIENTE'!B9,'CHAVEZ VARELA NESTOR ADRIAN'!J$19:J$27)+SUMIF('GUZMAN MORALES'!P$19:P$32,'KM POR CLIENTE'!B9,'GUZMAN MORALES'!J$19:J$32)+SUMIF('SANCHEZ GUERRERO JOSE LUIS'!P$19:P$32,'KM POR CLIENTE'!B9,'SANCHEZ GUERRERO JOSE LUIS'!J$19:J$32)+SUMIF('GONZALEZ MARTINEZ MAURICIO'!P$19:P$30,'KM POR CLIENTE'!B9,'GONZALEZ MARTINEZ MAURICIO'!J$19:J$30)+SUMIF('GONZALEZ SOTO JOEL'!P$19:P$31,'KM POR CLIENTE'!B9,'GONZALEZ SOTO JOEL'!J$19:J$31)+SUMIF('RUIZ ALVARADO PEDRO'!P$19:P$24,'KM POR CLIENTE'!B9,'RUIZ ALVARADO PEDRO'!J$19:J$24)+SUMIF('GRIJALVA VALDEZ CESAR EUSEBIO'!P$19:P$27,'KM POR CLIENTE'!B9,'GRIJALVA VALDEZ CESAR EUSEBIO'!J$19:J$27)+SUMIF('RUIZ HERRERA ERICK '!P$19:P$25,'KM POR CLIENTE'!B9,'RUIZ HERRERA ERICK '!J$19:J$25)+SUMIF('RODRIGUEZ VALLES JOSE FRANCISCO'!P$19:P$32,'KM POR CLIENTE'!B9,'RODRIGUEZ VALLES JOSE FRANCISCO'!J$19:J$32)+SUMIF('HERNANDEZ CONTRERAS JOSE FERNAN'!P$19:P$29,'KM POR CLIENTE'!B9,'HERNANDEZ CONTRERAS JOSE FERNAN'!J$19:J$29)+SUMIF('PAYAN ESTRADA JOSE ANGEL'!P$19:P$29,'KM POR CLIENTE'!B9,'PAYAN ESTRADA JOSE ANGEL'!J$19:J$29)+SUMIF('RODRIGUEZ RAMIREZ FERNANDO'!P$19:P$27,'KM POR CLIENTE'!B9,'RODRIGUEZ RAMIREZ FERNANDO'!J$19:J$27)+SUMIF('ESTRADA ARELLANO ARTURO'!P$19:P$32,'KM POR CLIENTE'!B9,'ESTRADA ARELLANO ARTURO'!J$19:J$32)+SUMIF('SALAZAR PEREZ JUAN CARLOS'!P$19:P$30,'KM POR CLIENTE'!B9,'SALAZAR PEREZ JUAN CARLOS'!J$19:J$30)+SUMIF('HARO IMPERIAL JOSÉ ANTONIO'!P$19:P$33,'KM POR CLIENTE'!B9,'HARO IMPERIAL JOSÉ ANTONIO'!J$19:J$33)+SUMIF('LIRA TRISTAN JOSE ANGEL'!P$19:P$28,'KM POR CLIENTE'!B9,'LIRA TRISTAN JOSE ANGEL'!J$19:J$28)+SUMIF('TORRES GARAY LUIS HUMBERTO'!P$19:P$30,'KM POR CLIENTE'!B9,'TORRES GARAY LUIS HUMBERTO'!J$19:J$30)+SUMIF('RUEDA SALAZAR ISMAEL'!P$19:P$27,'KM POR CLIENTE'!B9,'RUEDA SALAZAR ISMAEL'!J$19:J$27)+SUMIF('PACHECO BAÑUELOS ALFONSO'!P$19:P$31,'KM POR CLIENTE'!B9,'PACHECO BAÑUELOS ALFONSO'!J$19:J$31)</f>
        <v>0</v>
      </c>
    </row>
    <row r="10" spans="2:3" x14ac:dyDescent="0.25">
      <c r="B10" s="248" t="s">
        <v>186</v>
      </c>
      <c r="C10" s="249">
        <f>+SUMIF('CERDA HERNANDEZ JOSE LUIS'!P$19:P$27,'KM POR CLIENTE'!B10,'CERDA HERNANDEZ JOSE LUIS'!J$19:J$27)+SUMIF('GONZALEZ LOZANO ENRIQUE '!P$19:P$30,'KM POR CLIENTE'!B10,'GONZALEZ LOZANO ENRIQUE '!J$19:J$30)+SUMIF('NEVAREZ JUAN MANUEL'!P$19:P$29,'KM POR CLIENTE'!B10,'NEVAREZ JUAN MANUEL'!J$19:J$29)+SUMIF('MARTA RUBIO MARTIN'!P$20:P$31,'KM POR CLIENTE'!B10,'MARTA RUBIO MARTIN'!J$20:J$31)+SUMIF('ESCARCEGA GALDEAN JESUS OMAR'!P$20:P$30,'KM POR CLIENTE'!B10,'ESCARCEGA GALDEAN JESUS OMAR'!J$20:J$30)+SUMIF('CHAVEZ VARELA NESTOR ADRIAN'!P$19:P$27,'KM POR CLIENTE'!B10,'CHAVEZ VARELA NESTOR ADRIAN'!J$19:J$27)+SUMIF('GUZMAN MORALES'!P$19:P$32,'KM POR CLIENTE'!B10,'GUZMAN MORALES'!J$19:J$32)+SUMIF('SANCHEZ GUERRERO JOSE LUIS'!P$19:P$32,'KM POR CLIENTE'!B10,'SANCHEZ GUERRERO JOSE LUIS'!J$19:J$32)+SUMIF('GONZALEZ MARTINEZ MAURICIO'!P$19:P$30,'KM POR CLIENTE'!B10,'GONZALEZ MARTINEZ MAURICIO'!J$19:J$30)+SUMIF('GONZALEZ SOTO JOEL'!P$19:P$31,'KM POR CLIENTE'!B10,'GONZALEZ SOTO JOEL'!J$19:J$31)+SUMIF('RUIZ ALVARADO PEDRO'!P$19:P$24,'KM POR CLIENTE'!B10,'RUIZ ALVARADO PEDRO'!J$19:J$24)+SUMIF('GRIJALVA VALDEZ CESAR EUSEBIO'!P$19:P$27,'KM POR CLIENTE'!B10,'GRIJALVA VALDEZ CESAR EUSEBIO'!J$19:J$27)+SUMIF('RUIZ HERRERA ERICK '!P$19:P$25,'KM POR CLIENTE'!B10,'RUIZ HERRERA ERICK '!J$19:J$25)+SUMIF('RODRIGUEZ VALLES JOSE FRANCISCO'!P$19:P$32,'KM POR CLIENTE'!B10,'RODRIGUEZ VALLES JOSE FRANCISCO'!J$19:J$32)+SUMIF('HERNANDEZ CONTRERAS JOSE FERNAN'!P$19:P$29,'KM POR CLIENTE'!B10,'HERNANDEZ CONTRERAS JOSE FERNAN'!J$19:J$29)+SUMIF('PAYAN ESTRADA JOSE ANGEL'!P$19:P$29,'KM POR CLIENTE'!B10,'PAYAN ESTRADA JOSE ANGEL'!J$19:J$29)+SUMIF('RODRIGUEZ RAMIREZ FERNANDO'!P$19:P$27,'KM POR CLIENTE'!B10,'RODRIGUEZ RAMIREZ FERNANDO'!J$19:J$27)+SUMIF('ESTRADA ARELLANO ARTURO'!P$19:P$32,'KM POR CLIENTE'!B10,'ESTRADA ARELLANO ARTURO'!J$19:J$32)+SUMIF('SALAZAR PEREZ JUAN CARLOS'!P$19:P$30,'KM POR CLIENTE'!B10,'SALAZAR PEREZ JUAN CARLOS'!J$19:J$30)+SUMIF('HARO IMPERIAL JOSÉ ANTONIO'!P$19:P$33,'KM POR CLIENTE'!B10,'HARO IMPERIAL JOSÉ ANTONIO'!J$19:J$33)+SUMIF('LIRA TRISTAN JOSE ANGEL'!P$19:P$28,'KM POR CLIENTE'!B10,'LIRA TRISTAN JOSE ANGEL'!J$19:J$28)+SUMIF('TORRES GARAY LUIS HUMBERTO'!P$19:P$30,'KM POR CLIENTE'!B10,'TORRES GARAY LUIS HUMBERTO'!J$19:J$30)+SUMIF('RUEDA SALAZAR ISMAEL'!P$19:P$27,'KM POR CLIENTE'!B10,'RUEDA SALAZAR ISMAEL'!J$19:J$27)+SUMIF('PACHECO BAÑUELOS ALFONSO'!P$19:P$31,'KM POR CLIENTE'!B10,'PACHECO BAÑUELOS ALFONSO'!J$19:J$31)</f>
        <v>0</v>
      </c>
    </row>
    <row r="11" spans="2:3" x14ac:dyDescent="0.25">
      <c r="B11" s="248" t="s">
        <v>224</v>
      </c>
      <c r="C11" s="249">
        <f>+SUMIF('CERDA HERNANDEZ JOSE LUIS'!P$19:P$27,'KM POR CLIENTE'!B11,'CERDA HERNANDEZ JOSE LUIS'!J$19:J$27)+SUMIF('GONZALEZ LOZANO ENRIQUE '!P$19:P$30,'KM POR CLIENTE'!B11,'GONZALEZ LOZANO ENRIQUE '!J$19:J$30)+SUMIF('NEVAREZ JUAN MANUEL'!P$19:P$29,'KM POR CLIENTE'!B11,'NEVAREZ JUAN MANUEL'!J$19:J$29)+SUMIF('MARTA RUBIO MARTIN'!P$20:P$31,'KM POR CLIENTE'!B11,'MARTA RUBIO MARTIN'!J$20:J$31)+SUMIF('ESCARCEGA GALDEAN JESUS OMAR'!P$20:P$30,'KM POR CLIENTE'!B11,'ESCARCEGA GALDEAN JESUS OMAR'!J$20:J$30)+SUMIF('CHAVEZ VARELA NESTOR ADRIAN'!P$19:P$27,'KM POR CLIENTE'!B11,'CHAVEZ VARELA NESTOR ADRIAN'!J$19:J$27)+SUMIF('GUZMAN MORALES'!P$19:P$32,'KM POR CLIENTE'!B11,'GUZMAN MORALES'!J$19:J$32)+SUMIF('SANCHEZ GUERRERO JOSE LUIS'!P$19:P$32,'KM POR CLIENTE'!B11,'SANCHEZ GUERRERO JOSE LUIS'!J$19:J$32)+SUMIF('GONZALEZ MARTINEZ MAURICIO'!P$19:P$30,'KM POR CLIENTE'!B11,'GONZALEZ MARTINEZ MAURICIO'!J$19:J$30)+SUMIF('GONZALEZ SOTO JOEL'!P$19:P$31,'KM POR CLIENTE'!B11,'GONZALEZ SOTO JOEL'!J$19:J$31)+SUMIF('RUIZ ALVARADO PEDRO'!P$19:P$24,'KM POR CLIENTE'!B11,'RUIZ ALVARADO PEDRO'!J$19:J$24)+SUMIF('GRIJALVA VALDEZ CESAR EUSEBIO'!P$19:P$27,'KM POR CLIENTE'!B11,'GRIJALVA VALDEZ CESAR EUSEBIO'!J$19:J$27)+SUMIF('RUIZ HERRERA ERICK '!P$19:P$25,'KM POR CLIENTE'!B11,'RUIZ HERRERA ERICK '!J$19:J$25)+SUMIF('RODRIGUEZ VALLES JOSE FRANCISCO'!P$19:P$32,'KM POR CLIENTE'!B11,'RODRIGUEZ VALLES JOSE FRANCISCO'!J$19:J$32)+SUMIF('HERNANDEZ CONTRERAS JOSE FERNAN'!P$19:P$29,'KM POR CLIENTE'!B11,'HERNANDEZ CONTRERAS JOSE FERNAN'!J$19:J$29)+SUMIF('PAYAN ESTRADA JOSE ANGEL'!P$19:P$29,'KM POR CLIENTE'!B11,'PAYAN ESTRADA JOSE ANGEL'!J$19:J$29)+SUMIF('RODRIGUEZ RAMIREZ FERNANDO'!P$19:P$27,'KM POR CLIENTE'!B11,'RODRIGUEZ RAMIREZ FERNANDO'!J$19:J$27)+SUMIF('ESTRADA ARELLANO ARTURO'!P$19:P$32,'KM POR CLIENTE'!B11,'ESTRADA ARELLANO ARTURO'!J$19:J$32)+SUMIF('SALAZAR PEREZ JUAN CARLOS'!P$19:P$30,'KM POR CLIENTE'!B11,'SALAZAR PEREZ JUAN CARLOS'!J$19:J$30)+SUMIF('HARO IMPERIAL JOSÉ ANTONIO'!P$19:P$33,'KM POR CLIENTE'!B11,'HARO IMPERIAL JOSÉ ANTONIO'!J$19:J$33)+SUMIF('LIRA TRISTAN JOSE ANGEL'!P$19:P$28,'KM POR CLIENTE'!B11,'LIRA TRISTAN JOSE ANGEL'!J$19:J$28)+SUMIF('TORRES GARAY LUIS HUMBERTO'!P$19:P$30,'KM POR CLIENTE'!B11,'TORRES GARAY LUIS HUMBERTO'!J$19:J$30)+SUMIF('RUEDA SALAZAR ISMAEL'!P$19:P$27,'KM POR CLIENTE'!B11,'RUEDA SALAZAR ISMAEL'!J$19:J$27)+SUMIF('PACHECO BAÑUELOS ALFONSO'!P$19:P$31,'KM POR CLIENTE'!B11,'PACHECO BAÑUELOS ALFONSO'!J$19:J$31)</f>
        <v>0</v>
      </c>
    </row>
    <row r="12" spans="2:3" x14ac:dyDescent="0.25">
      <c r="B12" s="248" t="s">
        <v>187</v>
      </c>
      <c r="C12" s="249">
        <f>+SUMIF('CERDA HERNANDEZ JOSE LUIS'!P$19:P$27,'KM POR CLIENTE'!B12,'CERDA HERNANDEZ JOSE LUIS'!J$19:J$27)+SUMIF('GONZALEZ LOZANO ENRIQUE '!P$19:P$30,'KM POR CLIENTE'!B12,'GONZALEZ LOZANO ENRIQUE '!J$19:J$30)+SUMIF('NEVAREZ JUAN MANUEL'!P$19:P$29,'KM POR CLIENTE'!B12,'NEVAREZ JUAN MANUEL'!J$19:J$29)+SUMIF('MARTA RUBIO MARTIN'!P$20:P$31,'KM POR CLIENTE'!B12,'MARTA RUBIO MARTIN'!J$20:J$31)+SUMIF('ESCARCEGA GALDEAN JESUS OMAR'!P$20:P$30,'KM POR CLIENTE'!B12,'ESCARCEGA GALDEAN JESUS OMAR'!J$20:J$30)+SUMIF('CHAVEZ VARELA NESTOR ADRIAN'!P$19:P$27,'KM POR CLIENTE'!B12,'CHAVEZ VARELA NESTOR ADRIAN'!J$19:J$27)+SUMIF('GUZMAN MORALES'!P$19:P$32,'KM POR CLIENTE'!B12,'GUZMAN MORALES'!J$19:J$32)+SUMIF('SANCHEZ GUERRERO JOSE LUIS'!P$19:P$32,'KM POR CLIENTE'!B12,'SANCHEZ GUERRERO JOSE LUIS'!J$19:J$32)+SUMIF('GONZALEZ MARTINEZ MAURICIO'!P$19:P$30,'KM POR CLIENTE'!B12,'GONZALEZ MARTINEZ MAURICIO'!J$19:J$30)+SUMIF('GONZALEZ SOTO JOEL'!P$19:P$31,'KM POR CLIENTE'!B12,'GONZALEZ SOTO JOEL'!J$19:J$31)+SUMIF('RUIZ ALVARADO PEDRO'!P$19:P$24,'KM POR CLIENTE'!B12,'RUIZ ALVARADO PEDRO'!J$19:J$24)+SUMIF('GRIJALVA VALDEZ CESAR EUSEBIO'!P$19:P$27,'KM POR CLIENTE'!B12,'GRIJALVA VALDEZ CESAR EUSEBIO'!J$19:J$27)+SUMIF('RUIZ HERRERA ERICK '!P$19:P$25,'KM POR CLIENTE'!B12,'RUIZ HERRERA ERICK '!J$19:J$25)+SUMIF('RODRIGUEZ VALLES JOSE FRANCISCO'!P$19:P$32,'KM POR CLIENTE'!B12,'RODRIGUEZ VALLES JOSE FRANCISCO'!J$19:J$32)+SUMIF('HERNANDEZ CONTRERAS JOSE FERNAN'!P$19:P$29,'KM POR CLIENTE'!B12,'HERNANDEZ CONTRERAS JOSE FERNAN'!J$19:J$29)+SUMIF('PAYAN ESTRADA JOSE ANGEL'!P$19:P$29,'KM POR CLIENTE'!B12,'PAYAN ESTRADA JOSE ANGEL'!J$19:J$29)+SUMIF('RODRIGUEZ RAMIREZ FERNANDO'!P$19:P$27,'KM POR CLIENTE'!B12,'RODRIGUEZ RAMIREZ FERNANDO'!J$19:J$27)+SUMIF('ESTRADA ARELLANO ARTURO'!P$19:P$32,'KM POR CLIENTE'!B12,'ESTRADA ARELLANO ARTURO'!J$19:J$32)+SUMIF('SALAZAR PEREZ JUAN CARLOS'!P$19:P$30,'KM POR CLIENTE'!B12,'SALAZAR PEREZ JUAN CARLOS'!J$19:J$30)+SUMIF('HARO IMPERIAL JOSÉ ANTONIO'!P$19:P$33,'KM POR CLIENTE'!B12,'HARO IMPERIAL JOSÉ ANTONIO'!J$19:J$33)+SUMIF('LIRA TRISTAN JOSE ANGEL'!P$19:P$28,'KM POR CLIENTE'!B12,'LIRA TRISTAN JOSE ANGEL'!J$19:J$28)+SUMIF('TORRES GARAY LUIS HUMBERTO'!P$19:P$30,'KM POR CLIENTE'!B12,'TORRES GARAY LUIS HUMBERTO'!J$19:J$30)+SUMIF('RUEDA SALAZAR ISMAEL'!P$19:P$27,'KM POR CLIENTE'!B12,'RUEDA SALAZAR ISMAEL'!J$19:J$27)+SUMIF('PACHECO BAÑUELOS ALFONSO'!P$19:P$31,'KM POR CLIENTE'!B12,'PACHECO BAÑUELOS ALFONSO'!J$19:J$31)</f>
        <v>0</v>
      </c>
    </row>
    <row r="13" spans="2:3" x14ac:dyDescent="0.25">
      <c r="B13" s="248" t="s">
        <v>188</v>
      </c>
      <c r="C13" s="249">
        <f>+SUMIF('CERDA HERNANDEZ JOSE LUIS'!P$19:P$27,'KM POR CLIENTE'!B13,'CERDA HERNANDEZ JOSE LUIS'!J$19:J$27)+SUMIF('GONZALEZ LOZANO ENRIQUE '!P$19:P$30,'KM POR CLIENTE'!B13,'GONZALEZ LOZANO ENRIQUE '!J$19:J$30)+SUMIF('NEVAREZ JUAN MANUEL'!P$19:P$29,'KM POR CLIENTE'!B13,'NEVAREZ JUAN MANUEL'!J$19:J$29)+SUMIF('MARTA RUBIO MARTIN'!P$20:P$31,'KM POR CLIENTE'!B13,'MARTA RUBIO MARTIN'!J$20:J$31)+SUMIF('ESCARCEGA GALDEAN JESUS OMAR'!P$20:P$30,'KM POR CLIENTE'!B13,'ESCARCEGA GALDEAN JESUS OMAR'!J$20:J$30)+SUMIF('CHAVEZ VARELA NESTOR ADRIAN'!P$19:P$27,'KM POR CLIENTE'!B13,'CHAVEZ VARELA NESTOR ADRIAN'!J$19:J$27)+SUMIF('GUZMAN MORALES'!P$19:P$32,'KM POR CLIENTE'!B13,'GUZMAN MORALES'!J$19:J$32)+SUMIF('SANCHEZ GUERRERO JOSE LUIS'!P$19:P$32,'KM POR CLIENTE'!B13,'SANCHEZ GUERRERO JOSE LUIS'!J$19:J$32)+SUMIF('GONZALEZ MARTINEZ MAURICIO'!P$19:P$30,'KM POR CLIENTE'!B13,'GONZALEZ MARTINEZ MAURICIO'!J$19:J$30)+SUMIF('GONZALEZ SOTO JOEL'!P$19:P$31,'KM POR CLIENTE'!B13,'GONZALEZ SOTO JOEL'!J$19:J$31)+SUMIF('RUIZ ALVARADO PEDRO'!P$19:P$24,'KM POR CLIENTE'!B13,'RUIZ ALVARADO PEDRO'!J$19:J$24)+SUMIF('GRIJALVA VALDEZ CESAR EUSEBIO'!P$19:P$27,'KM POR CLIENTE'!B13,'GRIJALVA VALDEZ CESAR EUSEBIO'!J$19:J$27)+SUMIF('RUIZ HERRERA ERICK '!P$19:P$25,'KM POR CLIENTE'!B13,'RUIZ HERRERA ERICK '!J$19:J$25)+SUMIF('RODRIGUEZ VALLES JOSE FRANCISCO'!P$19:P$32,'KM POR CLIENTE'!B13,'RODRIGUEZ VALLES JOSE FRANCISCO'!J$19:J$32)+SUMIF('HERNANDEZ CONTRERAS JOSE FERNAN'!P$19:P$29,'KM POR CLIENTE'!B13,'HERNANDEZ CONTRERAS JOSE FERNAN'!J$19:J$29)+SUMIF('PAYAN ESTRADA JOSE ANGEL'!P$19:P$29,'KM POR CLIENTE'!B13,'PAYAN ESTRADA JOSE ANGEL'!J$19:J$29)+SUMIF('RODRIGUEZ RAMIREZ FERNANDO'!P$19:P$27,'KM POR CLIENTE'!B13,'RODRIGUEZ RAMIREZ FERNANDO'!J$19:J$27)+SUMIF('ESTRADA ARELLANO ARTURO'!P$19:P$32,'KM POR CLIENTE'!B13,'ESTRADA ARELLANO ARTURO'!J$19:J$32)+SUMIF('SALAZAR PEREZ JUAN CARLOS'!P$19:P$30,'KM POR CLIENTE'!B13,'SALAZAR PEREZ JUAN CARLOS'!J$19:J$30)+SUMIF('HARO IMPERIAL JOSÉ ANTONIO'!P$19:P$33,'KM POR CLIENTE'!B13,'HARO IMPERIAL JOSÉ ANTONIO'!J$19:J$33)+SUMIF('LIRA TRISTAN JOSE ANGEL'!P$19:P$28,'KM POR CLIENTE'!B13,'LIRA TRISTAN JOSE ANGEL'!J$19:J$28)+SUMIF('TORRES GARAY LUIS HUMBERTO'!P$19:P$30,'KM POR CLIENTE'!B13,'TORRES GARAY LUIS HUMBERTO'!J$19:J$30)+SUMIF('RUEDA SALAZAR ISMAEL'!P$19:P$27,'KM POR CLIENTE'!B13,'RUEDA SALAZAR ISMAEL'!J$19:J$27)+SUMIF('PACHECO BAÑUELOS ALFONSO'!P$19:P$31,'KM POR CLIENTE'!B13,'PACHECO BAÑUELOS ALFONSO'!J$19:J$31)</f>
        <v>0</v>
      </c>
    </row>
    <row r="14" spans="2:3" x14ac:dyDescent="0.25">
      <c r="B14" s="248" t="s">
        <v>189</v>
      </c>
      <c r="C14" s="249">
        <f>+SUMIF('CERDA HERNANDEZ JOSE LUIS'!P$19:P$27,'KM POR CLIENTE'!B14,'CERDA HERNANDEZ JOSE LUIS'!J$19:J$27)+SUMIF('GONZALEZ LOZANO ENRIQUE '!P$19:P$30,'KM POR CLIENTE'!B14,'GONZALEZ LOZANO ENRIQUE '!J$19:J$30)+SUMIF('NEVAREZ JUAN MANUEL'!P$19:P$29,'KM POR CLIENTE'!B14,'NEVAREZ JUAN MANUEL'!J$19:J$29)+SUMIF('MARTA RUBIO MARTIN'!P$20:P$31,'KM POR CLIENTE'!B14,'MARTA RUBIO MARTIN'!J$20:J$31)+SUMIF('ESCARCEGA GALDEAN JESUS OMAR'!P$20:P$30,'KM POR CLIENTE'!B14,'ESCARCEGA GALDEAN JESUS OMAR'!J$20:J$30)+SUMIF('CHAVEZ VARELA NESTOR ADRIAN'!P$19:P$27,'KM POR CLIENTE'!B14,'CHAVEZ VARELA NESTOR ADRIAN'!J$19:J$27)+SUMIF('GUZMAN MORALES'!P$19:P$32,'KM POR CLIENTE'!B14,'GUZMAN MORALES'!J$19:J$32)+SUMIF('SANCHEZ GUERRERO JOSE LUIS'!P$19:P$32,'KM POR CLIENTE'!B14,'SANCHEZ GUERRERO JOSE LUIS'!J$19:J$32)+SUMIF('GONZALEZ MARTINEZ MAURICIO'!P$19:P$30,'KM POR CLIENTE'!B14,'GONZALEZ MARTINEZ MAURICIO'!J$19:J$30)+SUMIF('GONZALEZ SOTO JOEL'!P$19:P$31,'KM POR CLIENTE'!B14,'GONZALEZ SOTO JOEL'!J$19:J$31)+SUMIF('RUIZ ALVARADO PEDRO'!P$19:P$24,'KM POR CLIENTE'!B14,'RUIZ ALVARADO PEDRO'!J$19:J$24)+SUMIF('GRIJALVA VALDEZ CESAR EUSEBIO'!P$19:P$27,'KM POR CLIENTE'!B14,'GRIJALVA VALDEZ CESAR EUSEBIO'!J$19:J$27)+SUMIF('RUIZ HERRERA ERICK '!P$19:P$25,'KM POR CLIENTE'!B14,'RUIZ HERRERA ERICK '!J$19:J$25)+SUMIF('RODRIGUEZ VALLES JOSE FRANCISCO'!P$19:P$32,'KM POR CLIENTE'!B14,'RODRIGUEZ VALLES JOSE FRANCISCO'!J$19:J$32)+SUMIF('HERNANDEZ CONTRERAS JOSE FERNAN'!P$19:P$29,'KM POR CLIENTE'!B14,'HERNANDEZ CONTRERAS JOSE FERNAN'!J$19:J$29)+SUMIF('PAYAN ESTRADA JOSE ANGEL'!P$19:P$29,'KM POR CLIENTE'!B14,'PAYAN ESTRADA JOSE ANGEL'!J$19:J$29)+SUMIF('RODRIGUEZ RAMIREZ FERNANDO'!P$19:P$27,'KM POR CLIENTE'!B14,'RODRIGUEZ RAMIREZ FERNANDO'!J$19:J$27)+SUMIF('ESTRADA ARELLANO ARTURO'!P$19:P$32,'KM POR CLIENTE'!B14,'ESTRADA ARELLANO ARTURO'!J$19:J$32)+SUMIF('SALAZAR PEREZ JUAN CARLOS'!P$19:P$30,'KM POR CLIENTE'!B14,'SALAZAR PEREZ JUAN CARLOS'!J$19:J$30)+SUMIF('HARO IMPERIAL JOSÉ ANTONIO'!P$19:P$33,'KM POR CLIENTE'!B14,'HARO IMPERIAL JOSÉ ANTONIO'!J$19:J$33)+SUMIF('LIRA TRISTAN JOSE ANGEL'!P$19:P$28,'KM POR CLIENTE'!B14,'LIRA TRISTAN JOSE ANGEL'!J$19:J$28)+SUMIF('TORRES GARAY LUIS HUMBERTO'!P$19:P$30,'KM POR CLIENTE'!B14,'TORRES GARAY LUIS HUMBERTO'!J$19:J$30)+SUMIF('RUEDA SALAZAR ISMAEL'!P$19:P$27,'KM POR CLIENTE'!B14,'RUEDA SALAZAR ISMAEL'!J$19:J$27)+SUMIF('PACHECO BAÑUELOS ALFONSO'!P$19:P$31,'KM POR CLIENTE'!B14,'PACHECO BAÑUELOS ALFONSO'!J$19:J$31)</f>
        <v>0</v>
      </c>
    </row>
    <row r="15" spans="2:3" x14ac:dyDescent="0.25">
      <c r="B15" s="248" t="s">
        <v>190</v>
      </c>
      <c r="C15" s="249">
        <f>+SUMIF('CERDA HERNANDEZ JOSE LUIS'!P$19:P$27,'KM POR CLIENTE'!B15,'CERDA HERNANDEZ JOSE LUIS'!J$19:J$27)+SUMIF('GONZALEZ LOZANO ENRIQUE '!P$19:P$30,'KM POR CLIENTE'!B15,'GONZALEZ LOZANO ENRIQUE '!J$19:J$30)+SUMIF('NEVAREZ JUAN MANUEL'!P$19:P$29,'KM POR CLIENTE'!B15,'NEVAREZ JUAN MANUEL'!J$19:J$29)+SUMIF('MARTA RUBIO MARTIN'!P$20:P$31,'KM POR CLIENTE'!B15,'MARTA RUBIO MARTIN'!J$20:J$31)+SUMIF('ESCARCEGA GALDEAN JESUS OMAR'!P$20:P$30,'KM POR CLIENTE'!B15,'ESCARCEGA GALDEAN JESUS OMAR'!J$20:J$30)+SUMIF('CHAVEZ VARELA NESTOR ADRIAN'!P$19:P$27,'KM POR CLIENTE'!B15,'CHAVEZ VARELA NESTOR ADRIAN'!J$19:J$27)+SUMIF('GUZMAN MORALES'!P$19:P$32,'KM POR CLIENTE'!B15,'GUZMAN MORALES'!J$19:J$32)+SUMIF('SANCHEZ GUERRERO JOSE LUIS'!P$19:P$32,'KM POR CLIENTE'!B15,'SANCHEZ GUERRERO JOSE LUIS'!J$19:J$32)+SUMIF('GONZALEZ MARTINEZ MAURICIO'!P$19:P$30,'KM POR CLIENTE'!B15,'GONZALEZ MARTINEZ MAURICIO'!J$19:J$30)+SUMIF('GONZALEZ SOTO JOEL'!P$19:P$31,'KM POR CLIENTE'!B15,'GONZALEZ SOTO JOEL'!J$19:J$31)+SUMIF('RUIZ ALVARADO PEDRO'!P$19:P$24,'KM POR CLIENTE'!B15,'RUIZ ALVARADO PEDRO'!J$19:J$24)+SUMIF('GRIJALVA VALDEZ CESAR EUSEBIO'!P$19:P$27,'KM POR CLIENTE'!B15,'GRIJALVA VALDEZ CESAR EUSEBIO'!J$19:J$27)+SUMIF('RUIZ HERRERA ERICK '!P$19:P$25,'KM POR CLIENTE'!B15,'RUIZ HERRERA ERICK '!J$19:J$25)+SUMIF('RODRIGUEZ VALLES JOSE FRANCISCO'!P$19:P$32,'KM POR CLIENTE'!B15,'RODRIGUEZ VALLES JOSE FRANCISCO'!J$19:J$32)+SUMIF('HERNANDEZ CONTRERAS JOSE FERNAN'!P$19:P$29,'KM POR CLIENTE'!B15,'HERNANDEZ CONTRERAS JOSE FERNAN'!J$19:J$29)+SUMIF('PAYAN ESTRADA JOSE ANGEL'!P$19:P$29,'KM POR CLIENTE'!B15,'PAYAN ESTRADA JOSE ANGEL'!J$19:J$29)+SUMIF('RODRIGUEZ RAMIREZ FERNANDO'!P$19:P$27,'KM POR CLIENTE'!B15,'RODRIGUEZ RAMIREZ FERNANDO'!J$19:J$27)+SUMIF('ESTRADA ARELLANO ARTURO'!P$19:P$32,'KM POR CLIENTE'!B15,'ESTRADA ARELLANO ARTURO'!J$19:J$32)+SUMIF('SALAZAR PEREZ JUAN CARLOS'!P$19:P$30,'KM POR CLIENTE'!B15,'SALAZAR PEREZ JUAN CARLOS'!J$19:J$30)+SUMIF('HARO IMPERIAL JOSÉ ANTONIO'!P$19:P$33,'KM POR CLIENTE'!B15,'HARO IMPERIAL JOSÉ ANTONIO'!J$19:J$33)+SUMIF('LIRA TRISTAN JOSE ANGEL'!P$19:P$28,'KM POR CLIENTE'!B15,'LIRA TRISTAN JOSE ANGEL'!J$19:J$28)+SUMIF('TORRES GARAY LUIS HUMBERTO'!P$19:P$30,'KM POR CLIENTE'!B15,'TORRES GARAY LUIS HUMBERTO'!J$19:J$30)+SUMIF('RUEDA SALAZAR ISMAEL'!P$19:P$27,'KM POR CLIENTE'!B15,'RUEDA SALAZAR ISMAEL'!J$19:J$27)+SUMIF('PACHECO BAÑUELOS ALFONSO'!P$19:P$31,'KM POR CLIENTE'!B15,'PACHECO BAÑUELOS ALFONSO'!J$19:J$31)</f>
        <v>0</v>
      </c>
    </row>
    <row r="16" spans="2:3" x14ac:dyDescent="0.25">
      <c r="B16" s="248" t="s">
        <v>191</v>
      </c>
      <c r="C16" s="249">
        <f>+SUMIF('CERDA HERNANDEZ JOSE LUIS'!P$19:P$27,'KM POR CLIENTE'!B16,'CERDA HERNANDEZ JOSE LUIS'!J$19:J$27)+SUMIF('GONZALEZ LOZANO ENRIQUE '!P$19:P$30,'KM POR CLIENTE'!B16,'GONZALEZ LOZANO ENRIQUE '!J$19:J$30)+SUMIF('NEVAREZ JUAN MANUEL'!P$19:P$29,'KM POR CLIENTE'!B16,'NEVAREZ JUAN MANUEL'!J$19:J$29)+SUMIF('MARTA RUBIO MARTIN'!P$20:P$31,'KM POR CLIENTE'!B16,'MARTA RUBIO MARTIN'!J$20:J$31)+SUMIF('ESCARCEGA GALDEAN JESUS OMAR'!P$20:P$30,'KM POR CLIENTE'!B16,'ESCARCEGA GALDEAN JESUS OMAR'!J$20:J$30)+SUMIF('CHAVEZ VARELA NESTOR ADRIAN'!P$19:P$27,'KM POR CLIENTE'!B16,'CHAVEZ VARELA NESTOR ADRIAN'!J$19:J$27)+SUMIF('GUZMAN MORALES'!P$19:P$32,'KM POR CLIENTE'!B16,'GUZMAN MORALES'!J$19:J$32)+SUMIF('SANCHEZ GUERRERO JOSE LUIS'!P$19:P$32,'KM POR CLIENTE'!B16,'SANCHEZ GUERRERO JOSE LUIS'!J$19:J$32)+SUMIF('GONZALEZ MARTINEZ MAURICIO'!P$19:P$30,'KM POR CLIENTE'!B16,'GONZALEZ MARTINEZ MAURICIO'!J$19:J$30)+SUMIF('GONZALEZ SOTO JOEL'!P$19:P$31,'KM POR CLIENTE'!B16,'GONZALEZ SOTO JOEL'!J$19:J$31)+SUMIF('RUIZ ALVARADO PEDRO'!P$19:P$24,'KM POR CLIENTE'!B16,'RUIZ ALVARADO PEDRO'!J$19:J$24)+SUMIF('GRIJALVA VALDEZ CESAR EUSEBIO'!P$19:P$27,'KM POR CLIENTE'!B16,'GRIJALVA VALDEZ CESAR EUSEBIO'!J$19:J$27)+SUMIF('RUIZ HERRERA ERICK '!P$19:P$25,'KM POR CLIENTE'!B16,'RUIZ HERRERA ERICK '!J$19:J$25)+SUMIF('RODRIGUEZ VALLES JOSE FRANCISCO'!P$19:P$32,'KM POR CLIENTE'!B16,'RODRIGUEZ VALLES JOSE FRANCISCO'!J$19:J$32)+SUMIF('HERNANDEZ CONTRERAS JOSE FERNAN'!P$19:P$29,'KM POR CLIENTE'!B16,'HERNANDEZ CONTRERAS JOSE FERNAN'!J$19:J$29)+SUMIF('PAYAN ESTRADA JOSE ANGEL'!P$19:P$29,'KM POR CLIENTE'!B16,'PAYAN ESTRADA JOSE ANGEL'!J$19:J$29)+SUMIF('RODRIGUEZ RAMIREZ FERNANDO'!P$19:P$27,'KM POR CLIENTE'!B16,'RODRIGUEZ RAMIREZ FERNANDO'!J$19:J$27)+SUMIF('ESTRADA ARELLANO ARTURO'!P$19:P$32,'KM POR CLIENTE'!B16,'ESTRADA ARELLANO ARTURO'!J$19:J$32)+SUMIF('SALAZAR PEREZ JUAN CARLOS'!P$19:P$30,'KM POR CLIENTE'!B16,'SALAZAR PEREZ JUAN CARLOS'!J$19:J$30)+SUMIF('HARO IMPERIAL JOSÉ ANTONIO'!P$19:P$33,'KM POR CLIENTE'!B16,'HARO IMPERIAL JOSÉ ANTONIO'!J$19:J$33)+SUMIF('LIRA TRISTAN JOSE ANGEL'!P$19:P$28,'KM POR CLIENTE'!B16,'LIRA TRISTAN JOSE ANGEL'!J$19:J$28)+SUMIF('TORRES GARAY LUIS HUMBERTO'!P$19:P$30,'KM POR CLIENTE'!B16,'TORRES GARAY LUIS HUMBERTO'!J$19:J$30)+SUMIF('RUEDA SALAZAR ISMAEL'!P$19:P$27,'KM POR CLIENTE'!B16,'RUEDA SALAZAR ISMAEL'!J$19:J$27)+SUMIF('PACHECO BAÑUELOS ALFONSO'!P$19:P$31,'KM POR CLIENTE'!B16,'PACHECO BAÑUELOS ALFONSO'!J$19:J$31)</f>
        <v>375</v>
      </c>
    </row>
    <row r="17" spans="2:9" x14ac:dyDescent="0.25">
      <c r="B17" s="248" t="s">
        <v>192</v>
      </c>
      <c r="C17" s="249">
        <f>+SUMIF('CERDA HERNANDEZ JOSE LUIS'!P$19:P$27,'KM POR CLIENTE'!B17,'CERDA HERNANDEZ JOSE LUIS'!J$19:J$27)+SUMIF('GONZALEZ LOZANO ENRIQUE '!P$19:P$30,'KM POR CLIENTE'!B17,'GONZALEZ LOZANO ENRIQUE '!J$19:J$30)+SUMIF('NEVAREZ JUAN MANUEL'!P$19:P$29,'KM POR CLIENTE'!B17,'NEVAREZ JUAN MANUEL'!J$19:J$29)+SUMIF('MARTA RUBIO MARTIN'!P$20:P$31,'KM POR CLIENTE'!B17,'MARTA RUBIO MARTIN'!J$20:J$31)+SUMIF('ESCARCEGA GALDEAN JESUS OMAR'!P$20:P$30,'KM POR CLIENTE'!B17,'ESCARCEGA GALDEAN JESUS OMAR'!J$20:J$30)+SUMIF('CHAVEZ VARELA NESTOR ADRIAN'!P$19:P$27,'KM POR CLIENTE'!B17,'CHAVEZ VARELA NESTOR ADRIAN'!J$19:J$27)+SUMIF('GUZMAN MORALES'!P$19:P$32,'KM POR CLIENTE'!B17,'GUZMAN MORALES'!J$19:J$32)+SUMIF('SANCHEZ GUERRERO JOSE LUIS'!P$19:P$32,'KM POR CLIENTE'!B17,'SANCHEZ GUERRERO JOSE LUIS'!J$19:J$32)+SUMIF('GONZALEZ MARTINEZ MAURICIO'!P$19:P$30,'KM POR CLIENTE'!B17,'GONZALEZ MARTINEZ MAURICIO'!J$19:J$30)+SUMIF('GONZALEZ SOTO JOEL'!P$19:P$31,'KM POR CLIENTE'!B17,'GONZALEZ SOTO JOEL'!J$19:J$31)+SUMIF('RUIZ ALVARADO PEDRO'!P$19:P$24,'KM POR CLIENTE'!B17,'RUIZ ALVARADO PEDRO'!J$19:J$24)+SUMIF('GRIJALVA VALDEZ CESAR EUSEBIO'!P$19:P$27,'KM POR CLIENTE'!B17,'GRIJALVA VALDEZ CESAR EUSEBIO'!J$19:J$27)+SUMIF('RUIZ HERRERA ERICK '!P$19:P$25,'KM POR CLIENTE'!B17,'RUIZ HERRERA ERICK '!J$19:J$25)+SUMIF('RODRIGUEZ VALLES JOSE FRANCISCO'!P$19:P$32,'KM POR CLIENTE'!B17,'RODRIGUEZ VALLES JOSE FRANCISCO'!J$19:J$32)+SUMIF('HERNANDEZ CONTRERAS JOSE FERNAN'!P$19:P$29,'KM POR CLIENTE'!B17,'HERNANDEZ CONTRERAS JOSE FERNAN'!J$19:J$29)+SUMIF('PAYAN ESTRADA JOSE ANGEL'!P$19:P$29,'KM POR CLIENTE'!B17,'PAYAN ESTRADA JOSE ANGEL'!J$19:J$29)+SUMIF('RODRIGUEZ RAMIREZ FERNANDO'!P$19:P$27,'KM POR CLIENTE'!B17,'RODRIGUEZ RAMIREZ FERNANDO'!J$19:J$27)+SUMIF('ESTRADA ARELLANO ARTURO'!P$19:P$32,'KM POR CLIENTE'!B17,'ESTRADA ARELLANO ARTURO'!J$19:J$32)+SUMIF('SALAZAR PEREZ JUAN CARLOS'!P$19:P$30,'KM POR CLIENTE'!B17,'SALAZAR PEREZ JUAN CARLOS'!J$19:J$30)+SUMIF('HARO IMPERIAL JOSÉ ANTONIO'!P$19:P$33,'KM POR CLIENTE'!B17,'HARO IMPERIAL JOSÉ ANTONIO'!J$19:J$33)+SUMIF('LIRA TRISTAN JOSE ANGEL'!P$19:P$28,'KM POR CLIENTE'!B17,'LIRA TRISTAN JOSE ANGEL'!J$19:J$28)+SUMIF('TORRES GARAY LUIS HUMBERTO'!P$19:P$30,'KM POR CLIENTE'!B17,'TORRES GARAY LUIS HUMBERTO'!J$19:J$30)+SUMIF('RUEDA SALAZAR ISMAEL'!P$19:P$27,'KM POR CLIENTE'!B17,'RUEDA SALAZAR ISMAEL'!J$19:J$27)+SUMIF('PACHECO BAÑUELOS ALFONSO'!P$19:P$31,'KM POR CLIENTE'!B17,'PACHECO BAÑUELOS ALFONSO'!J$19:J$31)</f>
        <v>0</v>
      </c>
      <c r="I17" s="245"/>
    </row>
    <row r="18" spans="2:9" x14ac:dyDescent="0.25">
      <c r="B18" s="248" t="s">
        <v>193</v>
      </c>
      <c r="C18" s="249">
        <f>+SUMIF('CERDA HERNANDEZ JOSE LUIS'!P$19:P$27,'KM POR CLIENTE'!B18,'CERDA HERNANDEZ JOSE LUIS'!J$19:J$27)+SUMIF('GONZALEZ LOZANO ENRIQUE '!P$19:P$30,'KM POR CLIENTE'!B18,'GONZALEZ LOZANO ENRIQUE '!J$19:J$30)+SUMIF('NEVAREZ JUAN MANUEL'!P$19:P$29,'KM POR CLIENTE'!B18,'NEVAREZ JUAN MANUEL'!J$19:J$29)+SUMIF('MARTA RUBIO MARTIN'!P$20:P$31,'KM POR CLIENTE'!B18,'MARTA RUBIO MARTIN'!J$20:J$31)+SUMIF('ESCARCEGA GALDEAN JESUS OMAR'!P$20:P$30,'KM POR CLIENTE'!B18,'ESCARCEGA GALDEAN JESUS OMAR'!J$20:J$30)+SUMIF('CHAVEZ VARELA NESTOR ADRIAN'!P$19:P$27,'KM POR CLIENTE'!B18,'CHAVEZ VARELA NESTOR ADRIAN'!J$19:J$27)+SUMIF('GUZMAN MORALES'!P$19:P$32,'KM POR CLIENTE'!B18,'GUZMAN MORALES'!J$19:J$32)+SUMIF('SANCHEZ GUERRERO JOSE LUIS'!P$19:P$32,'KM POR CLIENTE'!B18,'SANCHEZ GUERRERO JOSE LUIS'!J$19:J$32)+SUMIF('GONZALEZ MARTINEZ MAURICIO'!P$19:P$30,'KM POR CLIENTE'!B18,'GONZALEZ MARTINEZ MAURICIO'!J$19:J$30)+SUMIF('GONZALEZ SOTO JOEL'!P$19:P$31,'KM POR CLIENTE'!B18,'GONZALEZ SOTO JOEL'!J$19:J$31)+SUMIF('RUIZ ALVARADO PEDRO'!P$19:P$24,'KM POR CLIENTE'!B18,'RUIZ ALVARADO PEDRO'!J$19:J$24)+SUMIF('GRIJALVA VALDEZ CESAR EUSEBIO'!P$19:P$27,'KM POR CLIENTE'!B18,'GRIJALVA VALDEZ CESAR EUSEBIO'!J$19:J$27)+SUMIF('RUIZ HERRERA ERICK '!P$19:P$25,'KM POR CLIENTE'!B18,'RUIZ HERRERA ERICK '!J$19:J$25)+SUMIF('RODRIGUEZ VALLES JOSE FRANCISCO'!P$19:P$32,'KM POR CLIENTE'!B18,'RODRIGUEZ VALLES JOSE FRANCISCO'!J$19:J$32)+SUMIF('HERNANDEZ CONTRERAS JOSE FERNAN'!P$19:P$29,'KM POR CLIENTE'!B18,'HERNANDEZ CONTRERAS JOSE FERNAN'!J$19:J$29)+SUMIF('PAYAN ESTRADA JOSE ANGEL'!P$19:P$29,'KM POR CLIENTE'!B18,'PAYAN ESTRADA JOSE ANGEL'!J$19:J$29)+SUMIF('RODRIGUEZ RAMIREZ FERNANDO'!P$19:P$27,'KM POR CLIENTE'!B18,'RODRIGUEZ RAMIREZ FERNANDO'!J$19:J$27)+SUMIF('ESTRADA ARELLANO ARTURO'!P$19:P$32,'KM POR CLIENTE'!B18,'ESTRADA ARELLANO ARTURO'!J$19:J$32)+SUMIF('SALAZAR PEREZ JUAN CARLOS'!P$19:P$30,'KM POR CLIENTE'!B18,'SALAZAR PEREZ JUAN CARLOS'!J$19:J$30)+SUMIF('HARO IMPERIAL JOSÉ ANTONIO'!P$19:P$33,'KM POR CLIENTE'!B18,'HARO IMPERIAL JOSÉ ANTONIO'!J$19:J$33)+SUMIF('LIRA TRISTAN JOSE ANGEL'!P$19:P$28,'KM POR CLIENTE'!B18,'LIRA TRISTAN JOSE ANGEL'!J$19:J$28)+SUMIF('TORRES GARAY LUIS HUMBERTO'!P$19:P$30,'KM POR CLIENTE'!B18,'TORRES GARAY LUIS HUMBERTO'!J$19:J$30)+SUMIF('RUEDA SALAZAR ISMAEL'!P$19:P$27,'KM POR CLIENTE'!B18,'RUEDA SALAZAR ISMAEL'!J$19:J$27)+SUMIF('PACHECO BAÑUELOS ALFONSO'!P$19:P$31,'KM POR CLIENTE'!B18,'PACHECO BAÑUELOS ALFONSO'!J$19:J$31)</f>
        <v>0</v>
      </c>
    </row>
    <row r="19" spans="2:9" x14ac:dyDescent="0.25">
      <c r="B19" s="248" t="s">
        <v>194</v>
      </c>
      <c r="C19" s="249">
        <f>+SUMIF('CERDA HERNANDEZ JOSE LUIS'!P$19:P$27,'KM POR CLIENTE'!B19,'CERDA HERNANDEZ JOSE LUIS'!J$19:J$27)+SUMIF('GONZALEZ LOZANO ENRIQUE '!P$19:P$30,'KM POR CLIENTE'!B19,'GONZALEZ LOZANO ENRIQUE '!J$19:J$30)+SUMIF('NEVAREZ JUAN MANUEL'!P$19:P$29,'KM POR CLIENTE'!B19,'NEVAREZ JUAN MANUEL'!J$19:J$29)+SUMIF('MARTA RUBIO MARTIN'!P$20:P$31,'KM POR CLIENTE'!B19,'MARTA RUBIO MARTIN'!J$20:J$31)+SUMIF('ESCARCEGA GALDEAN JESUS OMAR'!P$20:P$30,'KM POR CLIENTE'!B19,'ESCARCEGA GALDEAN JESUS OMAR'!J$20:J$30)+SUMIF('CHAVEZ VARELA NESTOR ADRIAN'!P$19:P$27,'KM POR CLIENTE'!B19,'CHAVEZ VARELA NESTOR ADRIAN'!J$19:J$27)+SUMIF('GUZMAN MORALES'!P$19:P$32,'KM POR CLIENTE'!B19,'GUZMAN MORALES'!J$19:J$32)+SUMIF('SANCHEZ GUERRERO JOSE LUIS'!P$19:P$32,'KM POR CLIENTE'!B19,'SANCHEZ GUERRERO JOSE LUIS'!J$19:J$32)+SUMIF('GONZALEZ MARTINEZ MAURICIO'!P$19:P$30,'KM POR CLIENTE'!B19,'GONZALEZ MARTINEZ MAURICIO'!J$19:J$30)+SUMIF('GONZALEZ SOTO JOEL'!P$19:P$31,'KM POR CLIENTE'!B19,'GONZALEZ SOTO JOEL'!J$19:J$31)+SUMIF('RUIZ ALVARADO PEDRO'!P$19:P$24,'KM POR CLIENTE'!B19,'RUIZ ALVARADO PEDRO'!J$19:J$24)+SUMIF('GRIJALVA VALDEZ CESAR EUSEBIO'!P$19:P$27,'KM POR CLIENTE'!B19,'GRIJALVA VALDEZ CESAR EUSEBIO'!J$19:J$27)+SUMIF('RUIZ HERRERA ERICK '!P$19:P$25,'KM POR CLIENTE'!B19,'RUIZ HERRERA ERICK '!J$19:J$25)+SUMIF('RODRIGUEZ VALLES JOSE FRANCISCO'!P$19:P$32,'KM POR CLIENTE'!B19,'RODRIGUEZ VALLES JOSE FRANCISCO'!J$19:J$32)+SUMIF('HERNANDEZ CONTRERAS JOSE FERNAN'!P$19:P$29,'KM POR CLIENTE'!B19,'HERNANDEZ CONTRERAS JOSE FERNAN'!J$19:J$29)+SUMIF('PAYAN ESTRADA JOSE ANGEL'!P$19:P$29,'KM POR CLIENTE'!B19,'PAYAN ESTRADA JOSE ANGEL'!J$19:J$29)+SUMIF('RODRIGUEZ RAMIREZ FERNANDO'!P$19:P$27,'KM POR CLIENTE'!B19,'RODRIGUEZ RAMIREZ FERNANDO'!J$19:J$27)+SUMIF('ESTRADA ARELLANO ARTURO'!P$19:P$32,'KM POR CLIENTE'!B19,'ESTRADA ARELLANO ARTURO'!J$19:J$32)+SUMIF('SALAZAR PEREZ JUAN CARLOS'!P$19:P$30,'KM POR CLIENTE'!B19,'SALAZAR PEREZ JUAN CARLOS'!J$19:J$30)+SUMIF('HARO IMPERIAL JOSÉ ANTONIO'!P$19:P$33,'KM POR CLIENTE'!B19,'HARO IMPERIAL JOSÉ ANTONIO'!J$19:J$33)+SUMIF('LIRA TRISTAN JOSE ANGEL'!P$19:P$28,'KM POR CLIENTE'!B19,'LIRA TRISTAN JOSE ANGEL'!J$19:J$28)+SUMIF('TORRES GARAY LUIS HUMBERTO'!P$19:P$30,'KM POR CLIENTE'!B19,'TORRES GARAY LUIS HUMBERTO'!J$19:J$30)+SUMIF('RUEDA SALAZAR ISMAEL'!P$19:P$27,'KM POR CLIENTE'!B19,'RUEDA SALAZAR ISMAEL'!J$19:J$27)+SUMIF('PACHECO BAÑUELOS ALFONSO'!P$19:P$31,'KM POR CLIENTE'!B19,'PACHECO BAÑUELOS ALFONSO'!J$19:J$31)</f>
        <v>0</v>
      </c>
    </row>
    <row r="20" spans="2:9" x14ac:dyDescent="0.25">
      <c r="B20" s="248" t="s">
        <v>195</v>
      </c>
      <c r="C20" s="249">
        <f>+SUMIF('CERDA HERNANDEZ JOSE LUIS'!P$19:P$27,'KM POR CLIENTE'!B20,'CERDA HERNANDEZ JOSE LUIS'!J$19:J$27)+SUMIF('GONZALEZ LOZANO ENRIQUE '!P$19:P$30,'KM POR CLIENTE'!B20,'GONZALEZ LOZANO ENRIQUE '!J$19:J$30)+SUMIF('NEVAREZ JUAN MANUEL'!P$19:P$29,'KM POR CLIENTE'!B20,'NEVAREZ JUAN MANUEL'!J$19:J$29)+SUMIF('MARTA RUBIO MARTIN'!P$20:P$31,'KM POR CLIENTE'!B20,'MARTA RUBIO MARTIN'!J$20:J$31)+SUMIF('ESCARCEGA GALDEAN JESUS OMAR'!P$20:P$30,'KM POR CLIENTE'!B20,'ESCARCEGA GALDEAN JESUS OMAR'!J$20:J$30)+SUMIF('CHAVEZ VARELA NESTOR ADRIAN'!P$19:P$27,'KM POR CLIENTE'!B20,'CHAVEZ VARELA NESTOR ADRIAN'!J$19:J$27)+SUMIF('GUZMAN MORALES'!P$19:P$32,'KM POR CLIENTE'!B20,'GUZMAN MORALES'!J$19:J$32)+SUMIF('SANCHEZ GUERRERO JOSE LUIS'!P$19:P$32,'KM POR CLIENTE'!B20,'SANCHEZ GUERRERO JOSE LUIS'!J$19:J$32)+SUMIF('GONZALEZ MARTINEZ MAURICIO'!P$19:P$30,'KM POR CLIENTE'!B20,'GONZALEZ MARTINEZ MAURICIO'!J$19:J$30)+SUMIF('GONZALEZ SOTO JOEL'!P$19:P$31,'KM POR CLIENTE'!B20,'GONZALEZ SOTO JOEL'!J$19:J$31)+SUMIF('RUIZ ALVARADO PEDRO'!P$19:P$24,'KM POR CLIENTE'!B20,'RUIZ ALVARADO PEDRO'!J$19:J$24)+SUMIF('GRIJALVA VALDEZ CESAR EUSEBIO'!P$19:P$27,'KM POR CLIENTE'!B20,'GRIJALVA VALDEZ CESAR EUSEBIO'!J$19:J$27)+SUMIF('RUIZ HERRERA ERICK '!P$19:P$25,'KM POR CLIENTE'!B20,'RUIZ HERRERA ERICK '!J$19:J$25)+SUMIF('RODRIGUEZ VALLES JOSE FRANCISCO'!P$19:P$32,'KM POR CLIENTE'!B20,'RODRIGUEZ VALLES JOSE FRANCISCO'!J$19:J$32)+SUMIF('HERNANDEZ CONTRERAS JOSE FERNAN'!P$19:P$29,'KM POR CLIENTE'!B20,'HERNANDEZ CONTRERAS JOSE FERNAN'!J$19:J$29)+SUMIF('PAYAN ESTRADA JOSE ANGEL'!P$19:P$29,'KM POR CLIENTE'!B20,'PAYAN ESTRADA JOSE ANGEL'!J$19:J$29)+SUMIF('RODRIGUEZ RAMIREZ FERNANDO'!P$19:P$27,'KM POR CLIENTE'!B20,'RODRIGUEZ RAMIREZ FERNANDO'!J$19:J$27)+SUMIF('ESTRADA ARELLANO ARTURO'!P$19:P$32,'KM POR CLIENTE'!B20,'ESTRADA ARELLANO ARTURO'!J$19:J$32)+SUMIF('SALAZAR PEREZ JUAN CARLOS'!P$19:P$30,'KM POR CLIENTE'!B20,'SALAZAR PEREZ JUAN CARLOS'!J$19:J$30)+SUMIF('HARO IMPERIAL JOSÉ ANTONIO'!P$19:P$33,'KM POR CLIENTE'!B20,'HARO IMPERIAL JOSÉ ANTONIO'!J$19:J$33)+SUMIF('LIRA TRISTAN JOSE ANGEL'!P$19:P$28,'KM POR CLIENTE'!B20,'LIRA TRISTAN JOSE ANGEL'!J$19:J$28)+SUMIF('TORRES GARAY LUIS HUMBERTO'!P$19:P$30,'KM POR CLIENTE'!B20,'TORRES GARAY LUIS HUMBERTO'!J$19:J$30)+SUMIF('RUEDA SALAZAR ISMAEL'!P$19:P$27,'KM POR CLIENTE'!B20,'RUEDA SALAZAR ISMAEL'!J$19:J$27)+SUMIF('PACHECO BAÑUELOS ALFONSO'!P$19:P$31,'KM POR CLIENTE'!B20,'PACHECO BAÑUELOS ALFONSO'!J$19:J$31)</f>
        <v>0</v>
      </c>
    </row>
    <row r="21" spans="2:9" x14ac:dyDescent="0.25">
      <c r="B21" s="542"/>
      <c r="C21" s="249">
        <f>+SUMIF('CERDA HERNANDEZ JOSE LUIS'!P$19:P$27,'KM POR CLIENTE'!B21,'CERDA HERNANDEZ JOSE LUIS'!J$19:J$27)+SUMIF('GONZALEZ LOZANO ENRIQUE '!P$19:P$30,'KM POR CLIENTE'!B21,'GONZALEZ LOZANO ENRIQUE '!J$19:J$30)+SUMIF('NEVAREZ JUAN MANUEL'!P$19:P$29,'KM POR CLIENTE'!B21,'NEVAREZ JUAN MANUEL'!J$19:J$29)+SUMIF('MARTA RUBIO MARTIN'!P$20:P$31,'KM POR CLIENTE'!B21,'MARTA RUBIO MARTIN'!J$20:J$31)+SUMIF('ESCARCEGA GALDEAN JESUS OMAR'!P$20:P$30,'KM POR CLIENTE'!B21,'ESCARCEGA GALDEAN JESUS OMAR'!J$20:J$30)+SUMIF('CHAVEZ VARELA NESTOR ADRIAN'!P$19:P$27,'KM POR CLIENTE'!B21,'CHAVEZ VARELA NESTOR ADRIAN'!J$19:J$27)+SUMIF('GUZMAN MORALES'!P$19:P$32,'KM POR CLIENTE'!B21,'GUZMAN MORALES'!J$19:J$32)+SUMIF('SANCHEZ GUERRERO JOSE LUIS'!P$19:P$32,'KM POR CLIENTE'!B21,'SANCHEZ GUERRERO JOSE LUIS'!J$19:J$32)+SUMIF('GONZALEZ MARTINEZ MAURICIO'!P$19:P$30,'KM POR CLIENTE'!B21,'GONZALEZ MARTINEZ MAURICIO'!J$19:J$30)+SUMIF('GONZALEZ SOTO JOEL'!P$19:P$31,'KM POR CLIENTE'!B21,'GONZALEZ SOTO JOEL'!J$19:J$31)+SUMIF('RUIZ ALVARADO PEDRO'!P$19:P$24,'KM POR CLIENTE'!B21,'RUIZ ALVARADO PEDRO'!J$19:J$24)+SUMIF('GRIJALVA VALDEZ CESAR EUSEBIO'!P$19:P$27,'KM POR CLIENTE'!B21,'GRIJALVA VALDEZ CESAR EUSEBIO'!J$19:J$27)+SUMIF('RUIZ HERRERA ERICK '!P$19:P$25,'KM POR CLIENTE'!B21,'RUIZ HERRERA ERICK '!J$19:J$25)+SUMIF('RODRIGUEZ VALLES JOSE FRANCISCO'!P$19:P$32,'KM POR CLIENTE'!B21,'RODRIGUEZ VALLES JOSE FRANCISCO'!J$19:J$32)+SUMIF('HERNANDEZ CONTRERAS JOSE FERNAN'!P$19:P$29,'KM POR CLIENTE'!B21,'HERNANDEZ CONTRERAS JOSE FERNAN'!J$19:J$29)+SUMIF('PAYAN ESTRADA JOSE ANGEL'!P$19:P$29,'KM POR CLIENTE'!B21,'PAYAN ESTRADA JOSE ANGEL'!J$19:J$29)+SUMIF('RODRIGUEZ RAMIREZ FERNANDO'!P$19:P$27,'KM POR CLIENTE'!B21,'RODRIGUEZ RAMIREZ FERNANDO'!J$19:J$27)+SUMIF('ESTRADA ARELLANO ARTURO'!P$19:P$32,'KM POR CLIENTE'!B21,'ESTRADA ARELLANO ARTURO'!J$19:J$32)+SUMIF('SALAZAR PEREZ JUAN CARLOS'!P$19:P$30,'KM POR CLIENTE'!B21,'SALAZAR PEREZ JUAN CARLOS'!J$19:J$30)+SUMIF('HARO IMPERIAL JOSÉ ANTONIO'!P$19:P$33,'KM POR CLIENTE'!B21,'HARO IMPERIAL JOSÉ ANTONIO'!J$19:J$33)+SUMIF('LIRA TRISTAN JOSE ANGEL'!P$19:P$28,'KM POR CLIENTE'!B21,'LIRA TRISTAN JOSE ANGEL'!J$19:J$28)+SUMIF('TORRES GARAY LUIS HUMBERTO'!P$19:P$30,'KM POR CLIENTE'!B21,'TORRES GARAY LUIS HUMBERTO'!J$19:J$30)+SUMIF('RUEDA SALAZAR ISMAEL'!P$19:P$27,'KM POR CLIENTE'!B21,'RUEDA SALAZAR ISMAEL'!J$19:J$27)+SUMIF('PACHECO BAÑUELOS ALFONSO'!P$19:P$31,'KM POR CLIENTE'!B21,'PACHECO BAÑUELOS ALFONSO'!J$19:J$31)</f>
        <v>0</v>
      </c>
    </row>
    <row r="22" spans="2:9" x14ac:dyDescent="0.25">
      <c r="B22" s="248" t="s">
        <v>196</v>
      </c>
      <c r="C22" s="249">
        <f>+SUMIF('CERDA HERNANDEZ JOSE LUIS'!P$19:P$27,'KM POR CLIENTE'!B22,'CERDA HERNANDEZ JOSE LUIS'!J$19:J$27)+SUMIF('GONZALEZ LOZANO ENRIQUE '!P$19:P$30,'KM POR CLIENTE'!B22,'GONZALEZ LOZANO ENRIQUE '!J$19:J$30)+SUMIF('NEVAREZ JUAN MANUEL'!P$19:P$29,'KM POR CLIENTE'!B22,'NEVAREZ JUAN MANUEL'!J$19:J$29)+SUMIF('MARTA RUBIO MARTIN'!P$20:P$31,'KM POR CLIENTE'!B22,'MARTA RUBIO MARTIN'!J$20:J$31)+SUMIF('ESCARCEGA GALDEAN JESUS OMAR'!P$20:P$30,'KM POR CLIENTE'!B22,'ESCARCEGA GALDEAN JESUS OMAR'!J$20:J$30)+SUMIF('CHAVEZ VARELA NESTOR ADRIAN'!P$19:P$27,'KM POR CLIENTE'!B22,'CHAVEZ VARELA NESTOR ADRIAN'!J$19:J$27)+SUMIF('GUZMAN MORALES'!P$19:P$32,'KM POR CLIENTE'!B22,'GUZMAN MORALES'!J$19:J$32)+SUMIF('SANCHEZ GUERRERO JOSE LUIS'!P$19:P$32,'KM POR CLIENTE'!B22,'SANCHEZ GUERRERO JOSE LUIS'!J$19:J$32)+SUMIF('GONZALEZ MARTINEZ MAURICIO'!P$19:P$30,'KM POR CLIENTE'!B22,'GONZALEZ MARTINEZ MAURICIO'!J$19:J$30)+SUMIF('GONZALEZ SOTO JOEL'!P$19:P$31,'KM POR CLIENTE'!B22,'GONZALEZ SOTO JOEL'!J$19:J$31)+SUMIF('RUIZ ALVARADO PEDRO'!P$19:P$24,'KM POR CLIENTE'!B22,'RUIZ ALVARADO PEDRO'!J$19:J$24)+SUMIF('GRIJALVA VALDEZ CESAR EUSEBIO'!P$19:P$27,'KM POR CLIENTE'!B22,'GRIJALVA VALDEZ CESAR EUSEBIO'!J$19:J$27)+SUMIF('RUIZ HERRERA ERICK '!P$19:P$25,'KM POR CLIENTE'!B22,'RUIZ HERRERA ERICK '!J$19:J$25)+SUMIF('RODRIGUEZ VALLES JOSE FRANCISCO'!P$19:P$32,'KM POR CLIENTE'!B22,'RODRIGUEZ VALLES JOSE FRANCISCO'!J$19:J$32)+SUMIF('HERNANDEZ CONTRERAS JOSE FERNAN'!P$19:P$29,'KM POR CLIENTE'!B22,'HERNANDEZ CONTRERAS JOSE FERNAN'!J$19:J$29)+SUMIF('PAYAN ESTRADA JOSE ANGEL'!P$19:P$29,'KM POR CLIENTE'!B22,'PAYAN ESTRADA JOSE ANGEL'!J$19:J$29)+SUMIF('RODRIGUEZ RAMIREZ FERNANDO'!P$19:P$27,'KM POR CLIENTE'!B22,'RODRIGUEZ RAMIREZ FERNANDO'!J$19:J$27)+SUMIF('ESTRADA ARELLANO ARTURO'!P$19:P$32,'KM POR CLIENTE'!B22,'ESTRADA ARELLANO ARTURO'!J$19:J$32)+SUMIF('SALAZAR PEREZ JUAN CARLOS'!P$19:P$30,'KM POR CLIENTE'!B22,'SALAZAR PEREZ JUAN CARLOS'!J$19:J$30)+SUMIF('HARO IMPERIAL JOSÉ ANTONIO'!P$19:P$33,'KM POR CLIENTE'!B22,'HARO IMPERIAL JOSÉ ANTONIO'!J$19:J$33)+SUMIF('LIRA TRISTAN JOSE ANGEL'!P$19:P$28,'KM POR CLIENTE'!B22,'LIRA TRISTAN JOSE ANGEL'!J$19:J$28)+SUMIF('TORRES GARAY LUIS HUMBERTO'!P$19:P$30,'KM POR CLIENTE'!B22,'TORRES GARAY LUIS HUMBERTO'!J$19:J$30)+SUMIF('RUEDA SALAZAR ISMAEL'!P$19:P$27,'KM POR CLIENTE'!B22,'RUEDA SALAZAR ISMAEL'!J$19:J$27)+SUMIF('PACHECO BAÑUELOS ALFONSO'!P$19:P$31,'KM POR CLIENTE'!B22,'PACHECO BAÑUELOS ALFONSO'!J$19:J$31)</f>
        <v>0</v>
      </c>
    </row>
    <row r="23" spans="2:9" x14ac:dyDescent="0.25">
      <c r="B23" s="248" t="s">
        <v>197</v>
      </c>
      <c r="C23" s="249">
        <f>+SUMIF('CERDA HERNANDEZ JOSE LUIS'!P$19:P$27,'KM POR CLIENTE'!B23,'CERDA HERNANDEZ JOSE LUIS'!J$19:J$27)+SUMIF('GONZALEZ LOZANO ENRIQUE '!P$19:P$30,'KM POR CLIENTE'!B23,'GONZALEZ LOZANO ENRIQUE '!J$19:J$30)+SUMIF('NEVAREZ JUAN MANUEL'!P$19:P$29,'KM POR CLIENTE'!B23,'NEVAREZ JUAN MANUEL'!J$19:J$29)+SUMIF('MARTA RUBIO MARTIN'!P$20:P$31,'KM POR CLIENTE'!B23,'MARTA RUBIO MARTIN'!J$20:J$31)+SUMIF('ESCARCEGA GALDEAN JESUS OMAR'!P$20:P$30,'KM POR CLIENTE'!B23,'ESCARCEGA GALDEAN JESUS OMAR'!J$20:J$30)+SUMIF('CHAVEZ VARELA NESTOR ADRIAN'!P$19:P$27,'KM POR CLIENTE'!B23,'CHAVEZ VARELA NESTOR ADRIAN'!J$19:J$27)+SUMIF('GUZMAN MORALES'!P$19:P$32,'KM POR CLIENTE'!B23,'GUZMAN MORALES'!J$19:J$32)+SUMIF('SANCHEZ GUERRERO JOSE LUIS'!P$19:P$32,'KM POR CLIENTE'!B23,'SANCHEZ GUERRERO JOSE LUIS'!J$19:J$32)+SUMIF('GONZALEZ MARTINEZ MAURICIO'!P$19:P$30,'KM POR CLIENTE'!B23,'GONZALEZ MARTINEZ MAURICIO'!J$19:J$30)+SUMIF('GONZALEZ SOTO JOEL'!P$19:P$31,'KM POR CLIENTE'!B23,'GONZALEZ SOTO JOEL'!J$19:J$31)+SUMIF('RUIZ ALVARADO PEDRO'!P$19:P$24,'KM POR CLIENTE'!B23,'RUIZ ALVARADO PEDRO'!J$19:J$24)+SUMIF('GRIJALVA VALDEZ CESAR EUSEBIO'!P$19:P$27,'KM POR CLIENTE'!B23,'GRIJALVA VALDEZ CESAR EUSEBIO'!J$19:J$27)+SUMIF('RUIZ HERRERA ERICK '!P$19:P$25,'KM POR CLIENTE'!B23,'RUIZ HERRERA ERICK '!J$19:J$25)+SUMIF('RODRIGUEZ VALLES JOSE FRANCISCO'!P$19:P$32,'KM POR CLIENTE'!B23,'RODRIGUEZ VALLES JOSE FRANCISCO'!J$19:J$32)+SUMIF('HERNANDEZ CONTRERAS JOSE FERNAN'!P$19:P$29,'KM POR CLIENTE'!B23,'HERNANDEZ CONTRERAS JOSE FERNAN'!J$19:J$29)+SUMIF('PAYAN ESTRADA JOSE ANGEL'!P$19:P$29,'KM POR CLIENTE'!B23,'PAYAN ESTRADA JOSE ANGEL'!J$19:J$29)+SUMIF('RODRIGUEZ RAMIREZ FERNANDO'!P$19:P$27,'KM POR CLIENTE'!B23,'RODRIGUEZ RAMIREZ FERNANDO'!J$19:J$27)+SUMIF('ESTRADA ARELLANO ARTURO'!P$19:P$32,'KM POR CLIENTE'!B23,'ESTRADA ARELLANO ARTURO'!J$19:J$32)+SUMIF('SALAZAR PEREZ JUAN CARLOS'!P$19:P$30,'KM POR CLIENTE'!B23,'SALAZAR PEREZ JUAN CARLOS'!J$19:J$30)+SUMIF('HARO IMPERIAL JOSÉ ANTONIO'!P$19:P$33,'KM POR CLIENTE'!B23,'HARO IMPERIAL JOSÉ ANTONIO'!J$19:J$33)+SUMIF('LIRA TRISTAN JOSE ANGEL'!P$19:P$28,'KM POR CLIENTE'!B23,'LIRA TRISTAN JOSE ANGEL'!J$19:J$28)+SUMIF('TORRES GARAY LUIS HUMBERTO'!P$19:P$30,'KM POR CLIENTE'!B23,'TORRES GARAY LUIS HUMBERTO'!J$19:J$30)+SUMIF('RUEDA SALAZAR ISMAEL'!P$19:P$27,'KM POR CLIENTE'!B23,'RUEDA SALAZAR ISMAEL'!J$19:J$27)+SUMIF('PACHECO BAÑUELOS ALFONSO'!P$19:P$31,'KM POR CLIENTE'!B23,'PACHECO BAÑUELOS ALFONSO'!J$19:J$31)</f>
        <v>0</v>
      </c>
    </row>
    <row r="24" spans="2:9" x14ac:dyDescent="0.25">
      <c r="B24" s="248" t="s">
        <v>198</v>
      </c>
      <c r="C24" s="249">
        <f>+SUMIF('CERDA HERNANDEZ JOSE LUIS'!P$19:P$27,'KM POR CLIENTE'!B24,'CERDA HERNANDEZ JOSE LUIS'!J$19:J$27)+SUMIF('GONZALEZ LOZANO ENRIQUE '!P$19:P$30,'KM POR CLIENTE'!B24,'GONZALEZ LOZANO ENRIQUE '!J$19:J$30)+SUMIF('NEVAREZ JUAN MANUEL'!P$19:P$29,'KM POR CLIENTE'!B24,'NEVAREZ JUAN MANUEL'!J$19:J$29)+SUMIF('MARTA RUBIO MARTIN'!P$20:P$31,'KM POR CLIENTE'!B24,'MARTA RUBIO MARTIN'!J$20:J$31)+SUMIF('ESCARCEGA GALDEAN JESUS OMAR'!P$20:P$30,'KM POR CLIENTE'!B24,'ESCARCEGA GALDEAN JESUS OMAR'!J$20:J$30)+SUMIF('CHAVEZ VARELA NESTOR ADRIAN'!P$19:P$27,'KM POR CLIENTE'!B24,'CHAVEZ VARELA NESTOR ADRIAN'!J$19:J$27)+SUMIF('GUZMAN MORALES'!P$19:P$32,'KM POR CLIENTE'!B24,'GUZMAN MORALES'!J$19:J$32)+SUMIF('SANCHEZ GUERRERO JOSE LUIS'!P$19:P$32,'KM POR CLIENTE'!B24,'SANCHEZ GUERRERO JOSE LUIS'!J$19:J$32)+SUMIF('GONZALEZ MARTINEZ MAURICIO'!P$19:P$30,'KM POR CLIENTE'!B24,'GONZALEZ MARTINEZ MAURICIO'!J$19:J$30)+SUMIF('GONZALEZ SOTO JOEL'!P$19:P$31,'KM POR CLIENTE'!B24,'GONZALEZ SOTO JOEL'!J$19:J$31)+SUMIF('RUIZ ALVARADO PEDRO'!P$19:P$24,'KM POR CLIENTE'!B24,'RUIZ ALVARADO PEDRO'!J$19:J$24)+SUMIF('GRIJALVA VALDEZ CESAR EUSEBIO'!P$19:P$27,'KM POR CLIENTE'!B24,'GRIJALVA VALDEZ CESAR EUSEBIO'!J$19:J$27)+SUMIF('RUIZ HERRERA ERICK '!P$19:P$25,'KM POR CLIENTE'!B24,'RUIZ HERRERA ERICK '!J$19:J$25)+SUMIF('RODRIGUEZ VALLES JOSE FRANCISCO'!P$19:P$32,'KM POR CLIENTE'!B24,'RODRIGUEZ VALLES JOSE FRANCISCO'!J$19:J$32)+SUMIF('HERNANDEZ CONTRERAS JOSE FERNAN'!P$19:P$29,'KM POR CLIENTE'!B24,'HERNANDEZ CONTRERAS JOSE FERNAN'!J$19:J$29)+SUMIF('PAYAN ESTRADA JOSE ANGEL'!P$19:P$29,'KM POR CLIENTE'!B24,'PAYAN ESTRADA JOSE ANGEL'!J$19:J$29)+SUMIF('RODRIGUEZ RAMIREZ FERNANDO'!P$19:P$27,'KM POR CLIENTE'!B24,'RODRIGUEZ RAMIREZ FERNANDO'!J$19:J$27)+SUMIF('ESTRADA ARELLANO ARTURO'!P$19:P$32,'KM POR CLIENTE'!B24,'ESTRADA ARELLANO ARTURO'!J$19:J$32)+SUMIF('SALAZAR PEREZ JUAN CARLOS'!P$19:P$30,'KM POR CLIENTE'!B24,'SALAZAR PEREZ JUAN CARLOS'!J$19:J$30)+SUMIF('HARO IMPERIAL JOSÉ ANTONIO'!P$19:P$33,'KM POR CLIENTE'!B24,'HARO IMPERIAL JOSÉ ANTONIO'!J$19:J$33)+SUMIF('LIRA TRISTAN JOSE ANGEL'!P$19:P$28,'KM POR CLIENTE'!B24,'LIRA TRISTAN JOSE ANGEL'!J$19:J$28)+SUMIF('TORRES GARAY LUIS HUMBERTO'!P$19:P$30,'KM POR CLIENTE'!B24,'TORRES GARAY LUIS HUMBERTO'!J$19:J$30)+SUMIF('RUEDA SALAZAR ISMAEL'!P$19:P$27,'KM POR CLIENTE'!B24,'RUEDA SALAZAR ISMAEL'!J$19:J$27)+SUMIF('PACHECO BAÑUELOS ALFONSO'!P$19:P$31,'KM POR CLIENTE'!B24,'PACHECO BAÑUELOS ALFONSO'!J$19:J$31)</f>
        <v>0</v>
      </c>
    </row>
    <row r="25" spans="2:9" x14ac:dyDescent="0.25">
      <c r="B25" s="248" t="s">
        <v>280</v>
      </c>
      <c r="C25" s="249">
        <f>+SUMIF('CERDA HERNANDEZ JOSE LUIS'!P$19:P$27,'KM POR CLIENTE'!B25,'CERDA HERNANDEZ JOSE LUIS'!J$19:J$27)+SUMIF('GONZALEZ LOZANO ENRIQUE '!P$19:P$30,'KM POR CLIENTE'!B25,'GONZALEZ LOZANO ENRIQUE '!J$19:J$30)+SUMIF('NEVAREZ JUAN MANUEL'!P$19:P$29,'KM POR CLIENTE'!B25,'NEVAREZ JUAN MANUEL'!J$19:J$29)+SUMIF('MARTA RUBIO MARTIN'!P$20:P$31,'KM POR CLIENTE'!B25,'MARTA RUBIO MARTIN'!J$20:J$31)+SUMIF('ESCARCEGA GALDEAN JESUS OMAR'!P$20:P$30,'KM POR CLIENTE'!B25,'ESCARCEGA GALDEAN JESUS OMAR'!J$20:J$30)+SUMIF('CHAVEZ VARELA NESTOR ADRIAN'!P$19:P$27,'KM POR CLIENTE'!B25,'CHAVEZ VARELA NESTOR ADRIAN'!J$19:J$27)+SUMIF('GUZMAN MORALES'!P$19:P$32,'KM POR CLIENTE'!B25,'GUZMAN MORALES'!J$19:J$32)+SUMIF('SANCHEZ GUERRERO JOSE LUIS'!P$19:P$32,'KM POR CLIENTE'!B25,'SANCHEZ GUERRERO JOSE LUIS'!J$19:J$32)+SUMIF('GONZALEZ MARTINEZ MAURICIO'!P$19:P$30,'KM POR CLIENTE'!B25,'GONZALEZ MARTINEZ MAURICIO'!J$19:J$30)+SUMIF('GONZALEZ SOTO JOEL'!P$19:P$31,'KM POR CLIENTE'!B25,'GONZALEZ SOTO JOEL'!J$19:J$31)+SUMIF('RUIZ ALVARADO PEDRO'!P$19:P$24,'KM POR CLIENTE'!B25,'RUIZ ALVARADO PEDRO'!J$19:J$24)+SUMIF('GRIJALVA VALDEZ CESAR EUSEBIO'!P$19:P$27,'KM POR CLIENTE'!B25,'GRIJALVA VALDEZ CESAR EUSEBIO'!J$19:J$27)+SUMIF('RUIZ HERRERA ERICK '!P$19:P$25,'KM POR CLIENTE'!B25,'RUIZ HERRERA ERICK '!J$19:J$25)+SUMIF('RODRIGUEZ VALLES JOSE FRANCISCO'!P$19:P$32,'KM POR CLIENTE'!B25,'RODRIGUEZ VALLES JOSE FRANCISCO'!J$19:J$32)+SUMIF('HERNANDEZ CONTRERAS JOSE FERNAN'!P$19:P$29,'KM POR CLIENTE'!B25,'HERNANDEZ CONTRERAS JOSE FERNAN'!J$19:J$29)+SUMIF('PAYAN ESTRADA JOSE ANGEL'!P$19:P$29,'KM POR CLIENTE'!B25,'PAYAN ESTRADA JOSE ANGEL'!J$19:J$29)+SUMIF('RODRIGUEZ RAMIREZ FERNANDO'!P$19:P$27,'KM POR CLIENTE'!B25,'RODRIGUEZ RAMIREZ FERNANDO'!J$19:J$27)+SUMIF('ESTRADA ARELLANO ARTURO'!P$19:P$32,'KM POR CLIENTE'!B25,'ESTRADA ARELLANO ARTURO'!J$19:J$32)+SUMIF('SALAZAR PEREZ JUAN CARLOS'!P$19:P$30,'KM POR CLIENTE'!B25,'SALAZAR PEREZ JUAN CARLOS'!J$19:J$30)+SUMIF('HARO IMPERIAL JOSÉ ANTONIO'!P$19:P$33,'KM POR CLIENTE'!B25,'HARO IMPERIAL JOSÉ ANTONIO'!J$19:J$33)+SUMIF('LIRA TRISTAN JOSE ANGEL'!P$19:P$28,'KM POR CLIENTE'!B25,'LIRA TRISTAN JOSE ANGEL'!J$19:J$28)+SUMIF('TORRES GARAY LUIS HUMBERTO'!P$19:P$30,'KM POR CLIENTE'!B25,'TORRES GARAY LUIS HUMBERTO'!J$19:J$30)+SUMIF('RUEDA SALAZAR ISMAEL'!P$19:P$27,'KM POR CLIENTE'!B25,'RUEDA SALAZAR ISMAEL'!J$19:J$27)+SUMIF('PACHECO BAÑUELOS ALFONSO'!P$19:P$31,'KM POR CLIENTE'!B25,'PACHECO BAÑUELOS ALFONSO'!J$19:J$31)</f>
        <v>0</v>
      </c>
    </row>
    <row r="26" spans="2:9" x14ac:dyDescent="0.25">
      <c r="B26" s="248" t="s">
        <v>199</v>
      </c>
      <c r="C26" s="249">
        <f>+SUMIF('CERDA HERNANDEZ JOSE LUIS'!P$19:P$27,'KM POR CLIENTE'!B26,'CERDA HERNANDEZ JOSE LUIS'!J$19:J$27)+SUMIF('GONZALEZ LOZANO ENRIQUE '!P$19:P$30,'KM POR CLIENTE'!B26,'GONZALEZ LOZANO ENRIQUE '!J$19:J$30)+SUMIF('NEVAREZ JUAN MANUEL'!P$19:P$29,'KM POR CLIENTE'!B26,'NEVAREZ JUAN MANUEL'!J$19:J$29)+SUMIF('MARTA RUBIO MARTIN'!P$20:P$31,'KM POR CLIENTE'!B26,'MARTA RUBIO MARTIN'!J$20:J$31)+SUMIF('ESCARCEGA GALDEAN JESUS OMAR'!P$20:P$30,'KM POR CLIENTE'!B26,'ESCARCEGA GALDEAN JESUS OMAR'!J$20:J$30)+SUMIF('CHAVEZ VARELA NESTOR ADRIAN'!P$19:P$27,'KM POR CLIENTE'!B26,'CHAVEZ VARELA NESTOR ADRIAN'!J$19:J$27)+SUMIF('GUZMAN MORALES'!P$19:P$32,'KM POR CLIENTE'!B26,'GUZMAN MORALES'!J$19:J$32)+SUMIF('SANCHEZ GUERRERO JOSE LUIS'!P$19:P$32,'KM POR CLIENTE'!B26,'SANCHEZ GUERRERO JOSE LUIS'!J$19:J$32)+SUMIF('GONZALEZ MARTINEZ MAURICIO'!P$19:P$30,'KM POR CLIENTE'!B26,'GONZALEZ MARTINEZ MAURICIO'!J$19:J$30)+SUMIF('GONZALEZ SOTO JOEL'!P$19:P$31,'KM POR CLIENTE'!B26,'GONZALEZ SOTO JOEL'!J$19:J$31)+SUMIF('RUIZ ALVARADO PEDRO'!P$19:P$24,'KM POR CLIENTE'!B26,'RUIZ ALVARADO PEDRO'!J$19:J$24)+SUMIF('GRIJALVA VALDEZ CESAR EUSEBIO'!P$19:P$27,'KM POR CLIENTE'!B26,'GRIJALVA VALDEZ CESAR EUSEBIO'!J$19:J$27)+SUMIF('RUIZ HERRERA ERICK '!P$19:P$25,'KM POR CLIENTE'!B26,'RUIZ HERRERA ERICK '!J$19:J$25)+SUMIF('RODRIGUEZ VALLES JOSE FRANCISCO'!P$19:P$32,'KM POR CLIENTE'!B26,'RODRIGUEZ VALLES JOSE FRANCISCO'!J$19:J$32)+SUMIF('HERNANDEZ CONTRERAS JOSE FERNAN'!P$19:P$29,'KM POR CLIENTE'!B26,'HERNANDEZ CONTRERAS JOSE FERNAN'!J$19:J$29)+SUMIF('PAYAN ESTRADA JOSE ANGEL'!P$19:P$29,'KM POR CLIENTE'!B26,'PAYAN ESTRADA JOSE ANGEL'!J$19:J$29)+SUMIF('RODRIGUEZ RAMIREZ FERNANDO'!P$19:P$27,'KM POR CLIENTE'!B26,'RODRIGUEZ RAMIREZ FERNANDO'!J$19:J$27)+SUMIF('ESTRADA ARELLANO ARTURO'!P$19:P$32,'KM POR CLIENTE'!B26,'ESTRADA ARELLANO ARTURO'!J$19:J$32)+SUMIF('SALAZAR PEREZ JUAN CARLOS'!P$19:P$30,'KM POR CLIENTE'!B26,'SALAZAR PEREZ JUAN CARLOS'!J$19:J$30)+SUMIF('HARO IMPERIAL JOSÉ ANTONIO'!P$19:P$33,'KM POR CLIENTE'!B26,'HARO IMPERIAL JOSÉ ANTONIO'!J$19:J$33)+SUMIF('LIRA TRISTAN JOSE ANGEL'!P$19:P$28,'KM POR CLIENTE'!B26,'LIRA TRISTAN JOSE ANGEL'!J$19:J$28)+SUMIF('TORRES GARAY LUIS HUMBERTO'!P$19:P$30,'KM POR CLIENTE'!B26,'TORRES GARAY LUIS HUMBERTO'!J$19:J$30)+SUMIF('RUEDA SALAZAR ISMAEL'!P$19:P$27,'KM POR CLIENTE'!B26,'RUEDA SALAZAR ISMAEL'!J$19:J$27)+SUMIF('PACHECO BAÑUELOS ALFONSO'!P$19:P$31,'KM POR CLIENTE'!B26,'PACHECO BAÑUELOS ALFONSO'!J$19:J$31)</f>
        <v>425</v>
      </c>
    </row>
    <row r="27" spans="2:9" x14ac:dyDescent="0.25">
      <c r="B27" s="248" t="s">
        <v>200</v>
      </c>
      <c r="C27" s="249">
        <f>+SUMIF('CERDA HERNANDEZ JOSE LUIS'!P$19:P$27,'KM POR CLIENTE'!B27,'CERDA HERNANDEZ JOSE LUIS'!J$19:J$27)+SUMIF('GONZALEZ LOZANO ENRIQUE '!P$19:P$30,'KM POR CLIENTE'!B27,'GONZALEZ LOZANO ENRIQUE '!J$19:J$30)+SUMIF('NEVAREZ JUAN MANUEL'!P$19:P$29,'KM POR CLIENTE'!B27,'NEVAREZ JUAN MANUEL'!J$19:J$29)+SUMIF('MARTA RUBIO MARTIN'!P$20:P$31,'KM POR CLIENTE'!B27,'MARTA RUBIO MARTIN'!J$20:J$31)+SUMIF('ESCARCEGA GALDEAN JESUS OMAR'!P$20:P$30,'KM POR CLIENTE'!B27,'ESCARCEGA GALDEAN JESUS OMAR'!J$20:J$30)+SUMIF('CHAVEZ VARELA NESTOR ADRIAN'!P$19:P$27,'KM POR CLIENTE'!B27,'CHAVEZ VARELA NESTOR ADRIAN'!J$19:J$27)+SUMIF('GUZMAN MORALES'!P$19:P$32,'KM POR CLIENTE'!B27,'GUZMAN MORALES'!J$19:J$32)+SUMIF('SANCHEZ GUERRERO JOSE LUIS'!P$19:P$32,'KM POR CLIENTE'!B27,'SANCHEZ GUERRERO JOSE LUIS'!J$19:J$32)+SUMIF('GONZALEZ MARTINEZ MAURICIO'!P$19:P$30,'KM POR CLIENTE'!B27,'GONZALEZ MARTINEZ MAURICIO'!J$19:J$30)+SUMIF('GONZALEZ SOTO JOEL'!P$19:P$31,'KM POR CLIENTE'!B27,'GONZALEZ SOTO JOEL'!J$19:J$31)+SUMIF('RUIZ ALVARADO PEDRO'!P$19:P$24,'KM POR CLIENTE'!B27,'RUIZ ALVARADO PEDRO'!J$19:J$24)+SUMIF('GRIJALVA VALDEZ CESAR EUSEBIO'!P$19:P$27,'KM POR CLIENTE'!B27,'GRIJALVA VALDEZ CESAR EUSEBIO'!J$19:J$27)+SUMIF('RUIZ HERRERA ERICK '!P$19:P$25,'KM POR CLIENTE'!B27,'RUIZ HERRERA ERICK '!J$19:J$25)+SUMIF('RODRIGUEZ VALLES JOSE FRANCISCO'!P$19:P$32,'KM POR CLIENTE'!B27,'RODRIGUEZ VALLES JOSE FRANCISCO'!J$19:J$32)+SUMIF('HERNANDEZ CONTRERAS JOSE FERNAN'!P$19:P$29,'KM POR CLIENTE'!B27,'HERNANDEZ CONTRERAS JOSE FERNAN'!J$19:J$29)+SUMIF('PAYAN ESTRADA JOSE ANGEL'!P$19:P$29,'KM POR CLIENTE'!B27,'PAYAN ESTRADA JOSE ANGEL'!J$19:J$29)+SUMIF('RODRIGUEZ RAMIREZ FERNANDO'!P$19:P$27,'KM POR CLIENTE'!B27,'RODRIGUEZ RAMIREZ FERNANDO'!J$19:J$27)+SUMIF('ESTRADA ARELLANO ARTURO'!P$19:P$32,'KM POR CLIENTE'!B27,'ESTRADA ARELLANO ARTURO'!J$19:J$32)+SUMIF('SALAZAR PEREZ JUAN CARLOS'!P$19:P$30,'KM POR CLIENTE'!B27,'SALAZAR PEREZ JUAN CARLOS'!J$19:J$30)+SUMIF('HARO IMPERIAL JOSÉ ANTONIO'!P$19:P$33,'KM POR CLIENTE'!B27,'HARO IMPERIAL JOSÉ ANTONIO'!J$19:J$33)+SUMIF('LIRA TRISTAN JOSE ANGEL'!P$19:P$28,'KM POR CLIENTE'!B27,'LIRA TRISTAN JOSE ANGEL'!J$19:J$28)+SUMIF('TORRES GARAY LUIS HUMBERTO'!P$19:P$30,'KM POR CLIENTE'!B27,'TORRES GARAY LUIS HUMBERTO'!J$19:J$30)+SUMIF('RUEDA SALAZAR ISMAEL'!P$19:P$27,'KM POR CLIENTE'!B27,'RUEDA SALAZAR ISMAEL'!J$19:J$27)+SUMIF('PACHECO BAÑUELOS ALFONSO'!P$19:P$31,'KM POR CLIENTE'!B27,'PACHECO BAÑUELOS ALFONSO'!J$19:J$31)</f>
        <v>0</v>
      </c>
    </row>
    <row r="28" spans="2:9" x14ac:dyDescent="0.25">
      <c r="B28" s="248" t="s">
        <v>201</v>
      </c>
      <c r="C28" s="249">
        <f>+SUMIF('CERDA HERNANDEZ JOSE LUIS'!P$19:P$27,'KM POR CLIENTE'!B28,'CERDA HERNANDEZ JOSE LUIS'!J$19:J$27)+SUMIF('GONZALEZ LOZANO ENRIQUE '!P$19:P$30,'KM POR CLIENTE'!B28,'GONZALEZ LOZANO ENRIQUE '!J$19:J$30)+SUMIF('NEVAREZ JUAN MANUEL'!P$19:P$29,'KM POR CLIENTE'!B28,'NEVAREZ JUAN MANUEL'!J$19:J$29)+SUMIF('MARTA RUBIO MARTIN'!P$20:P$31,'KM POR CLIENTE'!B28,'MARTA RUBIO MARTIN'!J$20:J$31)+SUMIF('ESCARCEGA GALDEAN JESUS OMAR'!P$20:P$30,'KM POR CLIENTE'!B28,'ESCARCEGA GALDEAN JESUS OMAR'!J$20:J$30)+SUMIF('CHAVEZ VARELA NESTOR ADRIAN'!P$19:P$27,'KM POR CLIENTE'!B28,'CHAVEZ VARELA NESTOR ADRIAN'!J$19:J$27)+SUMIF('GUZMAN MORALES'!P$19:P$32,'KM POR CLIENTE'!B28,'GUZMAN MORALES'!J$19:J$32)+SUMIF('SANCHEZ GUERRERO JOSE LUIS'!P$19:P$32,'KM POR CLIENTE'!B28,'SANCHEZ GUERRERO JOSE LUIS'!J$19:J$32)+SUMIF('GONZALEZ MARTINEZ MAURICIO'!P$19:P$30,'KM POR CLIENTE'!B28,'GONZALEZ MARTINEZ MAURICIO'!J$19:J$30)+SUMIF('GONZALEZ SOTO JOEL'!P$19:P$31,'KM POR CLIENTE'!B28,'GONZALEZ SOTO JOEL'!J$19:J$31)+SUMIF('RUIZ ALVARADO PEDRO'!P$19:P$24,'KM POR CLIENTE'!B28,'RUIZ ALVARADO PEDRO'!J$19:J$24)+SUMIF('GRIJALVA VALDEZ CESAR EUSEBIO'!P$19:P$27,'KM POR CLIENTE'!B28,'GRIJALVA VALDEZ CESAR EUSEBIO'!J$19:J$27)+SUMIF('RUIZ HERRERA ERICK '!P$19:P$25,'KM POR CLIENTE'!B28,'RUIZ HERRERA ERICK '!J$19:J$25)+SUMIF('RODRIGUEZ VALLES JOSE FRANCISCO'!P$19:P$32,'KM POR CLIENTE'!B28,'RODRIGUEZ VALLES JOSE FRANCISCO'!J$19:J$32)+SUMIF('HERNANDEZ CONTRERAS JOSE FERNAN'!P$19:P$29,'KM POR CLIENTE'!B28,'HERNANDEZ CONTRERAS JOSE FERNAN'!J$19:J$29)+SUMIF('PAYAN ESTRADA JOSE ANGEL'!P$19:P$29,'KM POR CLIENTE'!B28,'PAYAN ESTRADA JOSE ANGEL'!J$19:J$29)+SUMIF('RODRIGUEZ RAMIREZ FERNANDO'!P$19:P$27,'KM POR CLIENTE'!B28,'RODRIGUEZ RAMIREZ FERNANDO'!J$19:J$27)+SUMIF('ESTRADA ARELLANO ARTURO'!P$19:P$32,'KM POR CLIENTE'!B28,'ESTRADA ARELLANO ARTURO'!J$19:J$32)+SUMIF('SALAZAR PEREZ JUAN CARLOS'!P$19:P$30,'KM POR CLIENTE'!B28,'SALAZAR PEREZ JUAN CARLOS'!J$19:J$30)+SUMIF('HARO IMPERIAL JOSÉ ANTONIO'!P$19:P$33,'KM POR CLIENTE'!B28,'HARO IMPERIAL JOSÉ ANTONIO'!J$19:J$33)+SUMIF('LIRA TRISTAN JOSE ANGEL'!P$19:P$28,'KM POR CLIENTE'!B28,'LIRA TRISTAN JOSE ANGEL'!J$19:J$28)+SUMIF('TORRES GARAY LUIS HUMBERTO'!P$19:P$30,'KM POR CLIENTE'!B28,'TORRES GARAY LUIS HUMBERTO'!J$19:J$30)+SUMIF('RUEDA SALAZAR ISMAEL'!P$19:P$27,'KM POR CLIENTE'!B28,'RUEDA SALAZAR ISMAEL'!J$19:J$27)+SUMIF('PACHECO BAÑUELOS ALFONSO'!P$19:P$31,'KM POR CLIENTE'!B28,'PACHECO BAÑUELOS ALFONSO'!J$19:J$31)</f>
        <v>0</v>
      </c>
    </row>
    <row r="29" spans="2:9" x14ac:dyDescent="0.25">
      <c r="B29" s="248" t="s">
        <v>202</v>
      </c>
      <c r="C29" s="249">
        <f>+SUMIF('CERDA HERNANDEZ JOSE LUIS'!P$19:P$27,'KM POR CLIENTE'!B29,'CERDA HERNANDEZ JOSE LUIS'!J$19:J$27)+SUMIF('GONZALEZ LOZANO ENRIQUE '!P$19:P$30,'KM POR CLIENTE'!B29,'GONZALEZ LOZANO ENRIQUE '!J$19:J$30)+SUMIF('NEVAREZ JUAN MANUEL'!P$19:P$29,'KM POR CLIENTE'!B29,'NEVAREZ JUAN MANUEL'!J$19:J$29)+SUMIF('MARTA RUBIO MARTIN'!P$20:P$31,'KM POR CLIENTE'!B29,'MARTA RUBIO MARTIN'!J$20:J$31)+SUMIF('ESCARCEGA GALDEAN JESUS OMAR'!P$20:P$30,'KM POR CLIENTE'!B29,'ESCARCEGA GALDEAN JESUS OMAR'!J$20:J$30)+SUMIF('CHAVEZ VARELA NESTOR ADRIAN'!P$19:P$27,'KM POR CLIENTE'!B29,'CHAVEZ VARELA NESTOR ADRIAN'!J$19:J$27)+SUMIF('GUZMAN MORALES'!P$19:P$32,'KM POR CLIENTE'!B29,'GUZMAN MORALES'!J$19:J$32)+SUMIF('SANCHEZ GUERRERO JOSE LUIS'!P$19:P$32,'KM POR CLIENTE'!B29,'SANCHEZ GUERRERO JOSE LUIS'!J$19:J$32)+SUMIF('GONZALEZ MARTINEZ MAURICIO'!P$19:P$30,'KM POR CLIENTE'!B29,'GONZALEZ MARTINEZ MAURICIO'!J$19:J$30)+SUMIF('GONZALEZ SOTO JOEL'!P$19:P$31,'KM POR CLIENTE'!B29,'GONZALEZ SOTO JOEL'!J$19:J$31)+SUMIF('RUIZ ALVARADO PEDRO'!P$19:P$24,'KM POR CLIENTE'!B29,'RUIZ ALVARADO PEDRO'!J$19:J$24)+SUMIF('GRIJALVA VALDEZ CESAR EUSEBIO'!P$19:P$27,'KM POR CLIENTE'!B29,'GRIJALVA VALDEZ CESAR EUSEBIO'!J$19:J$27)+SUMIF('RUIZ HERRERA ERICK '!P$19:P$25,'KM POR CLIENTE'!B29,'RUIZ HERRERA ERICK '!J$19:J$25)+SUMIF('RODRIGUEZ VALLES JOSE FRANCISCO'!P$19:P$32,'KM POR CLIENTE'!B29,'RODRIGUEZ VALLES JOSE FRANCISCO'!J$19:J$32)+SUMIF('HERNANDEZ CONTRERAS JOSE FERNAN'!P$19:P$29,'KM POR CLIENTE'!B29,'HERNANDEZ CONTRERAS JOSE FERNAN'!J$19:J$29)+SUMIF('PAYAN ESTRADA JOSE ANGEL'!P$19:P$29,'KM POR CLIENTE'!B29,'PAYAN ESTRADA JOSE ANGEL'!J$19:J$29)+SUMIF('RODRIGUEZ RAMIREZ FERNANDO'!P$19:P$27,'KM POR CLIENTE'!B29,'RODRIGUEZ RAMIREZ FERNANDO'!J$19:J$27)+SUMIF('ESTRADA ARELLANO ARTURO'!P$19:P$32,'KM POR CLIENTE'!B29,'ESTRADA ARELLANO ARTURO'!J$19:J$32)+SUMIF('SALAZAR PEREZ JUAN CARLOS'!P$19:P$30,'KM POR CLIENTE'!B29,'SALAZAR PEREZ JUAN CARLOS'!J$19:J$30)+SUMIF('HARO IMPERIAL JOSÉ ANTONIO'!P$19:P$33,'KM POR CLIENTE'!B29,'HARO IMPERIAL JOSÉ ANTONIO'!J$19:J$33)+SUMIF('LIRA TRISTAN JOSE ANGEL'!P$19:P$28,'KM POR CLIENTE'!B29,'LIRA TRISTAN JOSE ANGEL'!J$19:J$28)+SUMIF('TORRES GARAY LUIS HUMBERTO'!P$19:P$30,'KM POR CLIENTE'!B29,'TORRES GARAY LUIS HUMBERTO'!J$19:J$30)+SUMIF('RUEDA SALAZAR ISMAEL'!P$19:P$27,'KM POR CLIENTE'!B29,'RUEDA SALAZAR ISMAEL'!J$19:J$27)+SUMIF('PACHECO BAÑUELOS ALFONSO'!P$19:P$31,'KM POR CLIENTE'!B29,'PACHECO BAÑUELOS ALFONSO'!J$19:J$31)</f>
        <v>0</v>
      </c>
    </row>
    <row r="30" spans="2:9" x14ac:dyDescent="0.25">
      <c r="B30" s="248" t="s">
        <v>203</v>
      </c>
      <c r="C30" s="249">
        <f>+SUMIF('CERDA HERNANDEZ JOSE LUIS'!P$19:P$27,'KM POR CLIENTE'!B30,'CERDA HERNANDEZ JOSE LUIS'!J$19:J$27)+SUMIF('GONZALEZ LOZANO ENRIQUE '!P$19:P$30,'KM POR CLIENTE'!B30,'GONZALEZ LOZANO ENRIQUE '!J$19:J$30)+SUMIF('NEVAREZ JUAN MANUEL'!P$19:P$29,'KM POR CLIENTE'!B30,'NEVAREZ JUAN MANUEL'!J$19:J$29)+SUMIF('MARTA RUBIO MARTIN'!P$20:P$31,'KM POR CLIENTE'!B30,'MARTA RUBIO MARTIN'!J$20:J$31)+SUMIF('ESCARCEGA GALDEAN JESUS OMAR'!P$20:P$30,'KM POR CLIENTE'!B30,'ESCARCEGA GALDEAN JESUS OMAR'!J$20:J$30)+SUMIF('CHAVEZ VARELA NESTOR ADRIAN'!P$19:P$27,'KM POR CLIENTE'!B30,'CHAVEZ VARELA NESTOR ADRIAN'!J$19:J$27)+SUMIF('GUZMAN MORALES'!P$19:P$32,'KM POR CLIENTE'!B30,'GUZMAN MORALES'!J$19:J$32)+SUMIF('SANCHEZ GUERRERO JOSE LUIS'!P$19:P$32,'KM POR CLIENTE'!B30,'SANCHEZ GUERRERO JOSE LUIS'!J$19:J$32)+SUMIF('GONZALEZ MARTINEZ MAURICIO'!P$19:P$30,'KM POR CLIENTE'!B30,'GONZALEZ MARTINEZ MAURICIO'!J$19:J$30)+SUMIF('GONZALEZ SOTO JOEL'!P$19:P$31,'KM POR CLIENTE'!B30,'GONZALEZ SOTO JOEL'!J$19:J$31)+SUMIF('RUIZ ALVARADO PEDRO'!P$19:P$24,'KM POR CLIENTE'!B30,'RUIZ ALVARADO PEDRO'!J$19:J$24)+SUMIF('GRIJALVA VALDEZ CESAR EUSEBIO'!P$19:P$27,'KM POR CLIENTE'!B30,'GRIJALVA VALDEZ CESAR EUSEBIO'!J$19:J$27)+SUMIF('RUIZ HERRERA ERICK '!P$19:P$25,'KM POR CLIENTE'!B30,'RUIZ HERRERA ERICK '!J$19:J$25)+SUMIF('RODRIGUEZ VALLES JOSE FRANCISCO'!P$19:P$32,'KM POR CLIENTE'!B30,'RODRIGUEZ VALLES JOSE FRANCISCO'!J$19:J$32)+SUMIF('HERNANDEZ CONTRERAS JOSE FERNAN'!P$19:P$29,'KM POR CLIENTE'!B30,'HERNANDEZ CONTRERAS JOSE FERNAN'!J$19:J$29)+SUMIF('PAYAN ESTRADA JOSE ANGEL'!P$19:P$29,'KM POR CLIENTE'!B30,'PAYAN ESTRADA JOSE ANGEL'!J$19:J$29)+SUMIF('RODRIGUEZ RAMIREZ FERNANDO'!P$19:P$27,'KM POR CLIENTE'!B30,'RODRIGUEZ RAMIREZ FERNANDO'!J$19:J$27)+SUMIF('ESTRADA ARELLANO ARTURO'!P$19:P$32,'KM POR CLIENTE'!B30,'ESTRADA ARELLANO ARTURO'!J$19:J$32)+SUMIF('SALAZAR PEREZ JUAN CARLOS'!P$19:P$30,'KM POR CLIENTE'!B30,'SALAZAR PEREZ JUAN CARLOS'!J$19:J$30)+SUMIF('HARO IMPERIAL JOSÉ ANTONIO'!P$19:P$33,'KM POR CLIENTE'!B30,'HARO IMPERIAL JOSÉ ANTONIO'!J$19:J$33)+SUMIF('LIRA TRISTAN JOSE ANGEL'!P$19:P$28,'KM POR CLIENTE'!B30,'LIRA TRISTAN JOSE ANGEL'!J$19:J$28)+SUMIF('TORRES GARAY LUIS HUMBERTO'!P$19:P$30,'KM POR CLIENTE'!B30,'TORRES GARAY LUIS HUMBERTO'!J$19:J$30)+SUMIF('RUEDA SALAZAR ISMAEL'!P$19:P$27,'KM POR CLIENTE'!B30,'RUEDA SALAZAR ISMAEL'!J$19:J$27)+SUMIF('PACHECO BAÑUELOS ALFONSO'!P$19:P$31,'KM POR CLIENTE'!B30,'PACHECO BAÑUELOS ALFONSO'!J$19:J$31)</f>
        <v>0</v>
      </c>
    </row>
    <row r="31" spans="2:9" x14ac:dyDescent="0.25">
      <c r="B31" s="248" t="s">
        <v>212</v>
      </c>
      <c r="C31" s="249">
        <f>+SUMIF('CERDA HERNANDEZ JOSE LUIS'!P$19:P$27,'KM POR CLIENTE'!B31,'CERDA HERNANDEZ JOSE LUIS'!J$19:J$27)+SUMIF('GONZALEZ LOZANO ENRIQUE '!P$19:P$30,'KM POR CLIENTE'!B31,'GONZALEZ LOZANO ENRIQUE '!J$19:J$30)+SUMIF('NEVAREZ JUAN MANUEL'!P$19:P$29,'KM POR CLIENTE'!B31,'NEVAREZ JUAN MANUEL'!J$19:J$29)+SUMIF('MARTA RUBIO MARTIN'!P$20:P$31,'KM POR CLIENTE'!B31,'MARTA RUBIO MARTIN'!J$20:J$31)+SUMIF('ESCARCEGA GALDEAN JESUS OMAR'!P$20:P$30,'KM POR CLIENTE'!B31,'ESCARCEGA GALDEAN JESUS OMAR'!J$20:J$30)+SUMIF('CHAVEZ VARELA NESTOR ADRIAN'!P$19:P$27,'KM POR CLIENTE'!B31,'CHAVEZ VARELA NESTOR ADRIAN'!J$19:J$27)+SUMIF('GUZMAN MORALES'!P$19:P$32,'KM POR CLIENTE'!B31,'GUZMAN MORALES'!J$19:J$32)+SUMIF('SANCHEZ GUERRERO JOSE LUIS'!P$19:P$32,'KM POR CLIENTE'!B31,'SANCHEZ GUERRERO JOSE LUIS'!J$19:J$32)+SUMIF('GONZALEZ MARTINEZ MAURICIO'!P$19:P$30,'KM POR CLIENTE'!B31,'GONZALEZ MARTINEZ MAURICIO'!J$19:J$30)+SUMIF('GONZALEZ SOTO JOEL'!P$19:P$31,'KM POR CLIENTE'!B31,'GONZALEZ SOTO JOEL'!J$19:J$31)+SUMIF('RUIZ ALVARADO PEDRO'!P$19:P$24,'KM POR CLIENTE'!B31,'RUIZ ALVARADO PEDRO'!J$19:J$24)+SUMIF('GRIJALVA VALDEZ CESAR EUSEBIO'!P$19:P$27,'KM POR CLIENTE'!B31,'GRIJALVA VALDEZ CESAR EUSEBIO'!J$19:J$27)+SUMIF('RUIZ HERRERA ERICK '!P$19:P$25,'KM POR CLIENTE'!B31,'RUIZ HERRERA ERICK '!J$19:J$25)+SUMIF('RODRIGUEZ VALLES JOSE FRANCISCO'!P$19:P$32,'KM POR CLIENTE'!B31,'RODRIGUEZ VALLES JOSE FRANCISCO'!J$19:J$32)+SUMIF('HERNANDEZ CONTRERAS JOSE FERNAN'!P$19:P$29,'KM POR CLIENTE'!B31,'HERNANDEZ CONTRERAS JOSE FERNAN'!J$19:J$29)+SUMIF('PAYAN ESTRADA JOSE ANGEL'!P$19:P$29,'KM POR CLIENTE'!B31,'PAYAN ESTRADA JOSE ANGEL'!J$19:J$29)+SUMIF('RODRIGUEZ RAMIREZ FERNANDO'!P$19:P$27,'KM POR CLIENTE'!B31,'RODRIGUEZ RAMIREZ FERNANDO'!J$19:J$27)+SUMIF('ESTRADA ARELLANO ARTURO'!P$19:P$32,'KM POR CLIENTE'!B31,'ESTRADA ARELLANO ARTURO'!J$19:J$32)+SUMIF('SALAZAR PEREZ JUAN CARLOS'!P$19:P$30,'KM POR CLIENTE'!B31,'SALAZAR PEREZ JUAN CARLOS'!J$19:J$30)+SUMIF('HARO IMPERIAL JOSÉ ANTONIO'!P$19:P$33,'KM POR CLIENTE'!B31,'HARO IMPERIAL JOSÉ ANTONIO'!J$19:J$33)+SUMIF('LIRA TRISTAN JOSE ANGEL'!P$19:P$28,'KM POR CLIENTE'!B31,'LIRA TRISTAN JOSE ANGEL'!J$19:J$28)+SUMIF('TORRES GARAY LUIS HUMBERTO'!P$19:P$30,'KM POR CLIENTE'!B31,'TORRES GARAY LUIS HUMBERTO'!J$19:J$30)+SUMIF('RUEDA SALAZAR ISMAEL'!P$19:P$27,'KM POR CLIENTE'!B31,'RUEDA SALAZAR ISMAEL'!J$19:J$27)+SUMIF('PACHECO BAÑUELOS ALFONSO'!P$19:P$31,'KM POR CLIENTE'!B31,'PACHECO BAÑUELOS ALFONSO'!J$19:J$31)</f>
        <v>0</v>
      </c>
    </row>
    <row r="32" spans="2:9" x14ac:dyDescent="0.25">
      <c r="B32" s="248" t="s">
        <v>204</v>
      </c>
      <c r="C32" s="249">
        <f>+SUMIF('CERDA HERNANDEZ JOSE LUIS'!P$19:P$27,'KM POR CLIENTE'!B32,'CERDA HERNANDEZ JOSE LUIS'!J$19:J$27)+SUMIF('GONZALEZ LOZANO ENRIQUE '!P$19:P$30,'KM POR CLIENTE'!B32,'GONZALEZ LOZANO ENRIQUE '!J$19:J$30)+SUMIF('NEVAREZ JUAN MANUEL'!P$19:P$29,'KM POR CLIENTE'!B32,'NEVAREZ JUAN MANUEL'!J$19:J$29)+SUMIF('MARTA RUBIO MARTIN'!P$20:P$31,'KM POR CLIENTE'!B32,'MARTA RUBIO MARTIN'!J$20:J$31)+SUMIF('ESCARCEGA GALDEAN JESUS OMAR'!P$20:P$30,'KM POR CLIENTE'!B32,'ESCARCEGA GALDEAN JESUS OMAR'!J$20:J$30)+SUMIF('CHAVEZ VARELA NESTOR ADRIAN'!P$19:P$27,'KM POR CLIENTE'!B32,'CHAVEZ VARELA NESTOR ADRIAN'!J$19:J$27)+SUMIF('GUZMAN MORALES'!P$19:P$32,'KM POR CLIENTE'!B32,'GUZMAN MORALES'!J$19:J$32)+SUMIF('SANCHEZ GUERRERO JOSE LUIS'!P$19:P$32,'KM POR CLIENTE'!B32,'SANCHEZ GUERRERO JOSE LUIS'!J$19:J$32)+SUMIF('GONZALEZ MARTINEZ MAURICIO'!P$19:P$30,'KM POR CLIENTE'!B32,'GONZALEZ MARTINEZ MAURICIO'!J$19:J$30)+SUMIF('GONZALEZ SOTO JOEL'!P$19:P$31,'KM POR CLIENTE'!B32,'GONZALEZ SOTO JOEL'!J$19:J$31)+SUMIF('RUIZ ALVARADO PEDRO'!P$19:P$24,'KM POR CLIENTE'!B32,'RUIZ ALVARADO PEDRO'!J$19:J$24)+SUMIF('GRIJALVA VALDEZ CESAR EUSEBIO'!P$19:P$27,'KM POR CLIENTE'!B32,'GRIJALVA VALDEZ CESAR EUSEBIO'!J$19:J$27)+SUMIF('RUIZ HERRERA ERICK '!P$19:P$25,'KM POR CLIENTE'!B32,'RUIZ HERRERA ERICK '!J$19:J$25)+SUMIF('RODRIGUEZ VALLES JOSE FRANCISCO'!P$19:P$32,'KM POR CLIENTE'!B32,'RODRIGUEZ VALLES JOSE FRANCISCO'!J$19:J$32)+SUMIF('HERNANDEZ CONTRERAS JOSE FERNAN'!P$19:P$29,'KM POR CLIENTE'!B32,'HERNANDEZ CONTRERAS JOSE FERNAN'!J$19:J$29)+SUMIF('PAYAN ESTRADA JOSE ANGEL'!P$19:P$29,'KM POR CLIENTE'!B32,'PAYAN ESTRADA JOSE ANGEL'!J$19:J$29)+SUMIF('RODRIGUEZ RAMIREZ FERNANDO'!P$19:P$27,'KM POR CLIENTE'!B32,'RODRIGUEZ RAMIREZ FERNANDO'!J$19:J$27)+SUMIF('ESTRADA ARELLANO ARTURO'!P$19:P$32,'KM POR CLIENTE'!B32,'ESTRADA ARELLANO ARTURO'!J$19:J$32)+SUMIF('SALAZAR PEREZ JUAN CARLOS'!P$19:P$30,'KM POR CLIENTE'!B32,'SALAZAR PEREZ JUAN CARLOS'!J$19:J$30)+SUMIF('HARO IMPERIAL JOSÉ ANTONIO'!P$19:P$33,'KM POR CLIENTE'!B32,'HARO IMPERIAL JOSÉ ANTONIO'!J$19:J$33)+SUMIF('LIRA TRISTAN JOSE ANGEL'!P$19:P$28,'KM POR CLIENTE'!B32,'LIRA TRISTAN JOSE ANGEL'!J$19:J$28)+SUMIF('TORRES GARAY LUIS HUMBERTO'!P$19:P$30,'KM POR CLIENTE'!B32,'TORRES GARAY LUIS HUMBERTO'!J$19:J$30)+SUMIF('RUEDA SALAZAR ISMAEL'!P$19:P$27,'KM POR CLIENTE'!B32,'RUEDA SALAZAR ISMAEL'!J$19:J$27)+SUMIF('PACHECO BAÑUELOS ALFONSO'!P$19:P$31,'KM POR CLIENTE'!B32,'PACHECO BAÑUELOS ALFONSO'!J$19:J$31)</f>
        <v>0</v>
      </c>
    </row>
    <row r="33" spans="2:3" x14ac:dyDescent="0.25">
      <c r="B33" s="248" t="s">
        <v>205</v>
      </c>
      <c r="C33" s="249">
        <f>+SUMIF('CERDA HERNANDEZ JOSE LUIS'!P$19:P$27,'KM POR CLIENTE'!B33,'CERDA HERNANDEZ JOSE LUIS'!J$19:J$27)+SUMIF('GONZALEZ LOZANO ENRIQUE '!P$19:P$30,'KM POR CLIENTE'!B33,'GONZALEZ LOZANO ENRIQUE '!J$19:J$30)+SUMIF('NEVAREZ JUAN MANUEL'!P$19:P$29,'KM POR CLIENTE'!B33,'NEVAREZ JUAN MANUEL'!J$19:J$29)+SUMIF('MARTA RUBIO MARTIN'!P$20:P$31,'KM POR CLIENTE'!B33,'MARTA RUBIO MARTIN'!J$20:J$31)+SUMIF('ESCARCEGA GALDEAN JESUS OMAR'!P$20:P$30,'KM POR CLIENTE'!B33,'ESCARCEGA GALDEAN JESUS OMAR'!J$20:J$30)+SUMIF('CHAVEZ VARELA NESTOR ADRIAN'!P$19:P$27,'KM POR CLIENTE'!B33,'CHAVEZ VARELA NESTOR ADRIAN'!J$19:J$27)+SUMIF('GUZMAN MORALES'!P$19:P$32,'KM POR CLIENTE'!B33,'GUZMAN MORALES'!J$19:J$32)+SUMIF('SANCHEZ GUERRERO JOSE LUIS'!P$19:P$32,'KM POR CLIENTE'!B33,'SANCHEZ GUERRERO JOSE LUIS'!J$19:J$32)+SUMIF('GONZALEZ MARTINEZ MAURICIO'!P$19:P$30,'KM POR CLIENTE'!B33,'GONZALEZ MARTINEZ MAURICIO'!J$19:J$30)+SUMIF('GONZALEZ SOTO JOEL'!P$19:P$31,'KM POR CLIENTE'!B33,'GONZALEZ SOTO JOEL'!J$19:J$31)+SUMIF('RUIZ ALVARADO PEDRO'!P$19:P$24,'KM POR CLIENTE'!B33,'RUIZ ALVARADO PEDRO'!J$19:J$24)+SUMIF('GRIJALVA VALDEZ CESAR EUSEBIO'!P$19:P$27,'KM POR CLIENTE'!B33,'GRIJALVA VALDEZ CESAR EUSEBIO'!J$19:J$27)+SUMIF('RUIZ HERRERA ERICK '!P$19:P$25,'KM POR CLIENTE'!B33,'RUIZ HERRERA ERICK '!J$19:J$25)+SUMIF('RODRIGUEZ VALLES JOSE FRANCISCO'!P$19:P$32,'KM POR CLIENTE'!B33,'RODRIGUEZ VALLES JOSE FRANCISCO'!J$19:J$32)+SUMIF('HERNANDEZ CONTRERAS JOSE FERNAN'!P$19:P$29,'KM POR CLIENTE'!B33,'HERNANDEZ CONTRERAS JOSE FERNAN'!J$19:J$29)+SUMIF('PAYAN ESTRADA JOSE ANGEL'!P$19:P$29,'KM POR CLIENTE'!B33,'PAYAN ESTRADA JOSE ANGEL'!J$19:J$29)+SUMIF('RODRIGUEZ RAMIREZ FERNANDO'!P$19:P$27,'KM POR CLIENTE'!B33,'RODRIGUEZ RAMIREZ FERNANDO'!J$19:J$27)+SUMIF('ESTRADA ARELLANO ARTURO'!P$19:P$32,'KM POR CLIENTE'!B33,'ESTRADA ARELLANO ARTURO'!J$19:J$32)+SUMIF('SALAZAR PEREZ JUAN CARLOS'!P$19:P$30,'KM POR CLIENTE'!B33,'SALAZAR PEREZ JUAN CARLOS'!J$19:J$30)+SUMIF('HARO IMPERIAL JOSÉ ANTONIO'!P$19:P$33,'KM POR CLIENTE'!B33,'HARO IMPERIAL JOSÉ ANTONIO'!J$19:J$33)+SUMIF('LIRA TRISTAN JOSE ANGEL'!P$19:P$28,'KM POR CLIENTE'!B33,'LIRA TRISTAN JOSE ANGEL'!J$19:J$28)+SUMIF('TORRES GARAY LUIS HUMBERTO'!P$19:P$30,'KM POR CLIENTE'!B33,'TORRES GARAY LUIS HUMBERTO'!J$19:J$30)+SUMIF('RUEDA SALAZAR ISMAEL'!P$19:P$27,'KM POR CLIENTE'!B33,'RUEDA SALAZAR ISMAEL'!J$19:J$27)+SUMIF('PACHECO BAÑUELOS ALFONSO'!P$19:P$31,'KM POR CLIENTE'!B33,'PACHECO BAÑUELOS ALFONSO'!J$19:J$31)</f>
        <v>0</v>
      </c>
    </row>
    <row r="34" spans="2:3" x14ac:dyDescent="0.25">
      <c r="B34" s="425" t="s">
        <v>251</v>
      </c>
      <c r="C34" s="345">
        <f>+SUMIF('CERDA HERNANDEZ JOSE LUIS'!P$19:P$27,'KM POR CLIENTE'!B34,'CERDA HERNANDEZ JOSE LUIS'!J$19:J$27)+SUMIF('GONZALEZ LOZANO ENRIQUE '!P$19:P$30,'KM POR CLIENTE'!B34,'GONZALEZ LOZANO ENRIQUE '!J$19:J$30)+SUMIF('NEVAREZ JUAN MANUEL'!P$19:P$29,'KM POR CLIENTE'!B34,'NEVAREZ JUAN MANUEL'!J$19:J$29)+SUMIF('MARTA RUBIO MARTIN'!P$20:P$31,'KM POR CLIENTE'!B34,'MARTA RUBIO MARTIN'!J$20:J$31)+SUMIF('ESCARCEGA GALDEAN JESUS OMAR'!P$20:P$30,'KM POR CLIENTE'!B34,'ESCARCEGA GALDEAN JESUS OMAR'!J$20:J$30)+SUMIF('CHAVEZ VARELA NESTOR ADRIAN'!P$19:P$27,'KM POR CLIENTE'!B34,'CHAVEZ VARELA NESTOR ADRIAN'!J$19:J$27)+SUMIF('GUZMAN MORALES'!P$19:P$32,'KM POR CLIENTE'!B34,'GUZMAN MORALES'!J$19:J$32)+SUMIF('SANCHEZ GUERRERO JOSE LUIS'!P$19:P$32,'KM POR CLIENTE'!B34,'SANCHEZ GUERRERO JOSE LUIS'!J$19:J$32)+SUMIF('GONZALEZ MARTINEZ MAURICIO'!P$19:P$30,'KM POR CLIENTE'!B34,'GONZALEZ MARTINEZ MAURICIO'!J$19:J$30)+SUMIF('GONZALEZ SOTO JOEL'!P$19:P$31,'KM POR CLIENTE'!B34,'GONZALEZ SOTO JOEL'!J$19:J$31)+SUMIF('RUIZ ALVARADO PEDRO'!P$19:P$24,'KM POR CLIENTE'!B34,'RUIZ ALVARADO PEDRO'!J$19:J$24)+SUMIF('GRIJALVA VALDEZ CESAR EUSEBIO'!P$19:P$27,'KM POR CLIENTE'!B34,'GRIJALVA VALDEZ CESAR EUSEBIO'!J$19:J$27)+SUMIF('RUIZ HERRERA ERICK '!P$19:P$25,'KM POR CLIENTE'!B34,'RUIZ HERRERA ERICK '!J$19:J$25)+SUMIF('RODRIGUEZ VALLES JOSE FRANCISCO'!P$19:P$32,'KM POR CLIENTE'!B34,'RODRIGUEZ VALLES JOSE FRANCISCO'!J$19:J$32)+SUMIF('HERNANDEZ CONTRERAS JOSE FERNAN'!P$19:P$29,'KM POR CLIENTE'!B34,'HERNANDEZ CONTRERAS JOSE FERNAN'!J$19:J$29)+SUMIF('PAYAN ESTRADA JOSE ANGEL'!P$19:P$29,'KM POR CLIENTE'!B34,'PAYAN ESTRADA JOSE ANGEL'!J$19:J$29)+SUMIF('RODRIGUEZ RAMIREZ FERNANDO'!P$19:P$27,'KM POR CLIENTE'!B34,'RODRIGUEZ RAMIREZ FERNANDO'!J$19:J$27)+SUMIF('ESTRADA ARELLANO ARTURO'!P$19:P$32,'KM POR CLIENTE'!B34,'ESTRADA ARELLANO ARTURO'!J$19:J$32)+SUMIF('SALAZAR PEREZ JUAN CARLOS'!P$19:P$30,'KM POR CLIENTE'!B34,'SALAZAR PEREZ JUAN CARLOS'!J$19:J$30)+SUMIF('HARO IMPERIAL JOSÉ ANTONIO'!P$19:P$33,'KM POR CLIENTE'!B34,'HARO IMPERIAL JOSÉ ANTONIO'!J$19:J$33)+SUMIF('LIRA TRISTAN JOSE ANGEL'!P$19:P$28,'KM POR CLIENTE'!B34,'LIRA TRISTAN JOSE ANGEL'!J$19:J$28)+SUMIF('TORRES GARAY LUIS HUMBERTO'!P$19:P$30,'KM POR CLIENTE'!B34,'TORRES GARAY LUIS HUMBERTO'!J$19:J$30)+SUMIF('RUEDA SALAZAR ISMAEL'!P$19:P$27,'KM POR CLIENTE'!B34,'RUEDA SALAZAR ISMAEL'!J$19:J$27)+SUMIF('PACHECO BAÑUELOS ALFONSO'!P$19:P$31,'KM POR CLIENTE'!B34,'PACHECO BAÑUELOS ALFONSO'!J$19:J$31)</f>
        <v>375</v>
      </c>
    </row>
    <row r="35" spans="2:3" ht="15.75" thickBot="1" x14ac:dyDescent="0.3">
      <c r="B35" s="250" t="s">
        <v>206</v>
      </c>
      <c r="C35" s="345">
        <f>+SUMIF('CERDA HERNANDEZ JOSE LUIS'!P$19:P$27,'KM POR CLIENTE'!B35,'CERDA HERNANDEZ JOSE LUIS'!J$19:J$27)+SUMIF('GONZALEZ LOZANO ENRIQUE '!P$19:P$30,'KM POR CLIENTE'!B35,'GONZALEZ LOZANO ENRIQUE '!J$19:J$30)+SUMIF('NEVAREZ JUAN MANUEL'!P$19:P$29,'KM POR CLIENTE'!B35,'NEVAREZ JUAN MANUEL'!J$19:J$29)+SUMIF('MARTA RUBIO MARTIN'!P$20:P$31,'KM POR CLIENTE'!B35,'MARTA RUBIO MARTIN'!J$20:J$31)+SUMIF('ESCARCEGA GALDEAN JESUS OMAR'!P$20:P$30,'KM POR CLIENTE'!B35,'ESCARCEGA GALDEAN JESUS OMAR'!J$20:J$30)+SUMIF('CHAVEZ VARELA NESTOR ADRIAN'!P$19:P$27,'KM POR CLIENTE'!B35,'CHAVEZ VARELA NESTOR ADRIAN'!J$19:J$27)+SUMIF('GUZMAN MORALES'!P$19:P$32,'KM POR CLIENTE'!B35,'GUZMAN MORALES'!J$19:J$32)+SUMIF('SANCHEZ GUERRERO JOSE LUIS'!P$19:P$32,'KM POR CLIENTE'!B35,'SANCHEZ GUERRERO JOSE LUIS'!J$19:J$32)+SUMIF('GONZALEZ MARTINEZ MAURICIO'!P$19:P$30,'KM POR CLIENTE'!B35,'GONZALEZ MARTINEZ MAURICIO'!J$19:J$30)+SUMIF('GONZALEZ SOTO JOEL'!P$19:P$31,'KM POR CLIENTE'!B35,'GONZALEZ SOTO JOEL'!J$19:J$31)+SUMIF('RUIZ ALVARADO PEDRO'!P$19:P$24,'KM POR CLIENTE'!B35,'RUIZ ALVARADO PEDRO'!J$19:J$24)+SUMIF('GRIJALVA VALDEZ CESAR EUSEBIO'!P$19:P$27,'KM POR CLIENTE'!B35,'GRIJALVA VALDEZ CESAR EUSEBIO'!J$19:J$27)+SUMIF('RUIZ HERRERA ERICK '!P$19:P$25,'KM POR CLIENTE'!B35,'RUIZ HERRERA ERICK '!J$19:J$25)+SUMIF('RODRIGUEZ VALLES JOSE FRANCISCO'!P$19:P$32,'KM POR CLIENTE'!B35,'RODRIGUEZ VALLES JOSE FRANCISCO'!J$19:J$32)+SUMIF('HERNANDEZ CONTRERAS JOSE FERNAN'!P$19:P$29,'KM POR CLIENTE'!B35,'HERNANDEZ CONTRERAS JOSE FERNAN'!J$19:J$29)+SUMIF('PAYAN ESTRADA JOSE ANGEL'!P$19:P$29,'KM POR CLIENTE'!B35,'PAYAN ESTRADA JOSE ANGEL'!J$19:J$29)+SUMIF('RODRIGUEZ RAMIREZ FERNANDO'!P$19:P$27,'KM POR CLIENTE'!B35,'RODRIGUEZ RAMIREZ FERNANDO'!J$19:J$27)+SUMIF('ESTRADA ARELLANO ARTURO'!P$19:P$32,'KM POR CLIENTE'!B35,'ESTRADA ARELLANO ARTURO'!J$19:J$32)+SUMIF('SALAZAR PEREZ JUAN CARLOS'!P$19:P$30,'KM POR CLIENTE'!B35,'SALAZAR PEREZ JUAN CARLOS'!J$19:J$30)+SUMIF('HARO IMPERIAL JOSÉ ANTONIO'!P$19:P$33,'KM POR CLIENTE'!B35,'HARO IMPERIAL JOSÉ ANTONIO'!J$19:J$33)+SUMIF('LIRA TRISTAN JOSE ANGEL'!P$19:P$28,'KM POR CLIENTE'!B35,'LIRA TRISTAN JOSE ANGEL'!J$19:J$28)+SUMIF('TORRES GARAY LUIS HUMBERTO'!P$19:P$30,'KM POR CLIENTE'!B35,'TORRES GARAY LUIS HUMBERTO'!J$19:J$30)+SUMIF('RUEDA SALAZAR ISMAEL'!P$19:P$27,'KM POR CLIENTE'!B35,'RUEDA SALAZAR ISMAEL'!J$19:J$27)+SUMIF('PACHECO BAÑUELOS ALFONSO'!P$19:P$31,'KM POR CLIENTE'!B35,'PACHECO BAÑUELOS ALFONSO'!J$19:J$31)</f>
        <v>0</v>
      </c>
    </row>
    <row r="36" spans="2:3" ht="15.75" thickBot="1" x14ac:dyDescent="0.3">
      <c r="B36" s="344" t="s">
        <v>180</v>
      </c>
      <c r="C36" s="346">
        <f>SUM(C3:C35)</f>
        <v>53621</v>
      </c>
    </row>
    <row r="37" spans="2:3" x14ac:dyDescent="0.25">
      <c r="C37" s="190">
        <f>+'KM POR CHOFER'!I28</f>
        <v>53621</v>
      </c>
    </row>
    <row r="38" spans="2:3" x14ac:dyDescent="0.25">
      <c r="C38" s="246">
        <f>C36-C37</f>
        <v>0</v>
      </c>
    </row>
  </sheetData>
  <pageMargins left="0.7" right="0.7" top="0.75" bottom="0.75" header="0.3" footer="0.3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B1:T65"/>
  <sheetViews>
    <sheetView zoomScale="85" zoomScaleNormal="85" workbookViewId="0">
      <selection activeCell="S34" sqref="S34"/>
    </sheetView>
  </sheetViews>
  <sheetFormatPr baseColWidth="10" defaultRowHeight="15" x14ac:dyDescent="0.25"/>
  <cols>
    <col min="1" max="1" width="6.7109375" style="57" customWidth="1"/>
    <col min="2" max="2" width="3" style="57" bestFit="1" customWidth="1"/>
    <col min="3" max="6" width="6.7109375" style="57" customWidth="1"/>
    <col min="7" max="7" width="6.7109375" style="58" customWidth="1"/>
    <col min="8" max="8" width="3.28515625" style="57" customWidth="1"/>
    <col min="9" max="9" width="11.42578125" style="57"/>
    <col min="10" max="10" width="13.7109375" style="57" bestFit="1" customWidth="1"/>
    <col min="11" max="11" width="11.42578125" style="57"/>
    <col min="12" max="12" width="10.5703125" style="57" bestFit="1" customWidth="1"/>
    <col min="13" max="13" width="13.140625" style="57" bestFit="1" customWidth="1"/>
    <col min="14" max="14" width="12.5703125" style="57" bestFit="1" customWidth="1"/>
    <col min="15" max="15" width="12.5703125" style="57" customWidth="1"/>
    <col min="16" max="16" width="13" style="57" bestFit="1" customWidth="1"/>
    <col min="17" max="17" width="11.42578125" style="57"/>
    <col min="18" max="18" width="12.5703125" style="57" bestFit="1" customWidth="1"/>
    <col min="19" max="16384" width="11.42578125" style="57"/>
  </cols>
  <sheetData>
    <row r="1" spans="2:20" ht="15.75" thickBot="1" x14ac:dyDescent="0.3"/>
    <row r="2" spans="2:20" ht="15.75" thickBot="1" x14ac:dyDescent="0.3">
      <c r="B2" s="922" t="s">
        <v>95</v>
      </c>
      <c r="C2" s="923"/>
      <c r="D2" s="923"/>
      <c r="E2" s="923"/>
      <c r="F2" s="923"/>
      <c r="G2" s="924"/>
      <c r="L2" s="423" t="s">
        <v>28</v>
      </c>
    </row>
    <row r="3" spans="2:20" ht="15.75" thickBot="1" x14ac:dyDescent="0.3">
      <c r="B3" s="87" t="s">
        <v>96</v>
      </c>
      <c r="C3" s="918" t="s">
        <v>25</v>
      </c>
      <c r="D3" s="919"/>
      <c r="E3" s="920" t="s">
        <v>26</v>
      </c>
      <c r="F3" s="921"/>
      <c r="G3" s="88" t="s">
        <v>27</v>
      </c>
      <c r="I3" s="413" t="s">
        <v>243</v>
      </c>
      <c r="J3" s="413" t="s">
        <v>29</v>
      </c>
      <c r="K3" s="413" t="s">
        <v>114</v>
      </c>
      <c r="L3" s="57">
        <v>3.4</v>
      </c>
      <c r="M3" s="525" t="s">
        <v>275</v>
      </c>
      <c r="N3" s="423" t="s">
        <v>245</v>
      </c>
      <c r="O3" s="633" t="s">
        <v>300</v>
      </c>
      <c r="P3" s="423" t="s">
        <v>246</v>
      </c>
      <c r="Q3" s="423" t="s">
        <v>247</v>
      </c>
      <c r="R3" s="423" t="s">
        <v>84</v>
      </c>
    </row>
    <row r="4" spans="2:20" x14ac:dyDescent="0.25">
      <c r="B4" s="78">
        <v>1</v>
      </c>
      <c r="C4" s="910" t="s">
        <v>58</v>
      </c>
      <c r="D4" s="910"/>
      <c r="E4" s="910" t="s">
        <v>59</v>
      </c>
      <c r="F4" s="910"/>
      <c r="G4" s="79">
        <v>1021</v>
      </c>
      <c r="I4" s="414">
        <v>2042</v>
      </c>
      <c r="J4" s="414">
        <v>2.7</v>
      </c>
      <c r="K4" s="414">
        <v>756</v>
      </c>
      <c r="L4" s="414">
        <f>+I4/L3</f>
        <v>600.58823529411768</v>
      </c>
      <c r="M4" s="414">
        <f>+K4-L4</f>
        <v>155.41176470588232</v>
      </c>
      <c r="N4" s="424">
        <f>+M4*18.86</f>
        <v>2931.0658823529407</v>
      </c>
      <c r="O4" s="424">
        <v>300</v>
      </c>
      <c r="P4" s="424">
        <v>500</v>
      </c>
      <c r="Q4" s="424">
        <v>612.6</v>
      </c>
      <c r="R4" s="424">
        <f>+Q4+P4+N4+O4</f>
        <v>4343.6658823529406</v>
      </c>
    </row>
    <row r="5" spans="2:20" ht="15.75" thickBot="1" x14ac:dyDescent="0.3">
      <c r="B5" s="80">
        <v>2</v>
      </c>
      <c r="C5" s="911" t="s">
        <v>59</v>
      </c>
      <c r="D5" s="911"/>
      <c r="E5" s="911" t="s">
        <v>58</v>
      </c>
      <c r="F5" s="911"/>
      <c r="G5" s="81">
        <v>1021</v>
      </c>
      <c r="I5" s="414">
        <v>2042</v>
      </c>
      <c r="J5" s="414">
        <v>2.6</v>
      </c>
      <c r="K5" s="414">
        <v>785</v>
      </c>
      <c r="L5" s="414">
        <f>+I5/L3</f>
        <v>600.58823529411768</v>
      </c>
      <c r="M5" s="414">
        <f>+K5-L5</f>
        <v>184.41176470588232</v>
      </c>
      <c r="N5" s="424">
        <f>+M5*18.86</f>
        <v>3478.0058823529403</v>
      </c>
      <c r="O5" s="424">
        <v>300</v>
      </c>
      <c r="P5" s="424">
        <v>500</v>
      </c>
      <c r="Q5" s="424">
        <v>612.6</v>
      </c>
      <c r="R5" s="424">
        <f>+Q5+P5+N5+O5</f>
        <v>4890.6058823529402</v>
      </c>
    </row>
    <row r="6" spans="2:20" x14ac:dyDescent="0.25">
      <c r="B6" s="78">
        <v>3</v>
      </c>
      <c r="C6" s="910" t="s">
        <v>58</v>
      </c>
      <c r="D6" s="910"/>
      <c r="E6" s="910" t="s">
        <v>51</v>
      </c>
      <c r="F6" s="910"/>
      <c r="G6" s="79">
        <v>1330</v>
      </c>
      <c r="I6" s="414">
        <v>2042</v>
      </c>
      <c r="J6" s="414">
        <v>2.37</v>
      </c>
      <c r="K6" s="414">
        <v>861</v>
      </c>
      <c r="L6" s="414">
        <f>+I6/L3</f>
        <v>600.58823529411768</v>
      </c>
      <c r="M6" s="414">
        <f>+K6-L6</f>
        <v>260.41176470588232</v>
      </c>
      <c r="N6" s="424">
        <f>+M6*18.86</f>
        <v>4911.3658823529404</v>
      </c>
      <c r="O6" s="424">
        <v>300</v>
      </c>
      <c r="P6" s="424">
        <v>500</v>
      </c>
      <c r="Q6" s="424">
        <v>612.6</v>
      </c>
      <c r="R6" s="424">
        <f>+Q6+P6+N6+O6</f>
        <v>6323.9658823529408</v>
      </c>
    </row>
    <row r="7" spans="2:20" ht="15.75" thickBot="1" x14ac:dyDescent="0.3">
      <c r="B7" s="80">
        <v>4</v>
      </c>
      <c r="C7" s="911" t="s">
        <v>51</v>
      </c>
      <c r="D7" s="911"/>
      <c r="E7" s="911" t="s">
        <v>58</v>
      </c>
      <c r="F7" s="911"/>
      <c r="G7" s="81">
        <v>1330</v>
      </c>
    </row>
    <row r="8" spans="2:20" x14ac:dyDescent="0.25">
      <c r="B8" s="78">
        <v>5</v>
      </c>
      <c r="C8" s="910" t="s">
        <v>59</v>
      </c>
      <c r="D8" s="910"/>
      <c r="E8" s="910" t="s">
        <v>51</v>
      </c>
      <c r="F8" s="910"/>
      <c r="G8" s="79">
        <v>328</v>
      </c>
    </row>
    <row r="9" spans="2:20" ht="15.75" thickBot="1" x14ac:dyDescent="0.3">
      <c r="B9" s="80">
        <v>6</v>
      </c>
      <c r="C9" s="911" t="s">
        <v>51</v>
      </c>
      <c r="D9" s="911"/>
      <c r="E9" s="911" t="s">
        <v>59</v>
      </c>
      <c r="F9" s="911"/>
      <c r="G9" s="81">
        <v>328</v>
      </c>
      <c r="I9" s="413" t="s">
        <v>243</v>
      </c>
      <c r="J9" s="423" t="s">
        <v>248</v>
      </c>
      <c r="L9" s="423" t="s">
        <v>247</v>
      </c>
      <c r="M9" s="423" t="s">
        <v>246</v>
      </c>
      <c r="N9" s="423" t="s">
        <v>84</v>
      </c>
      <c r="O9" s="423"/>
    </row>
    <row r="10" spans="2:20" x14ac:dyDescent="0.25">
      <c r="B10" s="78">
        <v>7</v>
      </c>
      <c r="C10" s="910" t="s">
        <v>56</v>
      </c>
      <c r="D10" s="910"/>
      <c r="E10" s="910" t="s">
        <v>59</v>
      </c>
      <c r="F10" s="910"/>
      <c r="G10" s="79">
        <v>1131</v>
      </c>
      <c r="I10" s="414">
        <v>2042</v>
      </c>
      <c r="J10" s="57">
        <v>3.5</v>
      </c>
      <c r="K10" s="57">
        <v>1.75</v>
      </c>
      <c r="L10" s="424">
        <f>+K10*I10</f>
        <v>3573.5</v>
      </c>
      <c r="M10" s="424">
        <v>500</v>
      </c>
      <c r="N10" s="424">
        <f>+L10+M10</f>
        <v>4073.5</v>
      </c>
      <c r="O10" s="424"/>
      <c r="Q10">
        <v>1</v>
      </c>
      <c r="R10" s="23">
        <v>2.9</v>
      </c>
      <c r="S10" s="546">
        <v>16</v>
      </c>
    </row>
    <row r="11" spans="2:20" ht="15.75" thickBot="1" x14ac:dyDescent="0.3">
      <c r="B11" s="80">
        <v>8</v>
      </c>
      <c r="C11" s="911" t="s">
        <v>59</v>
      </c>
      <c r="D11" s="911"/>
      <c r="E11" s="911" t="s">
        <v>56</v>
      </c>
      <c r="F11" s="911"/>
      <c r="G11" s="81">
        <v>1131</v>
      </c>
      <c r="I11" s="414">
        <v>2042</v>
      </c>
      <c r="J11" s="423" t="s">
        <v>249</v>
      </c>
      <c r="K11" s="57">
        <v>1.45</v>
      </c>
      <c r="L11" s="424">
        <f>+K11*I11</f>
        <v>2960.9</v>
      </c>
      <c r="M11" s="424">
        <v>500</v>
      </c>
      <c r="N11" s="424">
        <f>+M11+L11</f>
        <v>3460.9</v>
      </c>
      <c r="O11" s="424"/>
      <c r="Q11">
        <v>2</v>
      </c>
      <c r="R11" s="23">
        <v>3</v>
      </c>
      <c r="S11" s="546">
        <v>17.260000000000002</v>
      </c>
    </row>
    <row r="12" spans="2:20" x14ac:dyDescent="0.25">
      <c r="B12" s="78">
        <v>9</v>
      </c>
      <c r="C12" s="910" t="s">
        <v>49</v>
      </c>
      <c r="D12" s="910"/>
      <c r="E12" s="910" t="s">
        <v>51</v>
      </c>
      <c r="F12" s="910"/>
      <c r="G12" s="79">
        <v>106</v>
      </c>
      <c r="I12" s="414">
        <v>2042</v>
      </c>
      <c r="J12" s="57">
        <v>3.2</v>
      </c>
      <c r="K12" s="57">
        <v>1.35</v>
      </c>
      <c r="L12" s="424">
        <f>+I12*K12</f>
        <v>2756.7000000000003</v>
      </c>
      <c r="M12" s="424">
        <v>500</v>
      </c>
      <c r="N12" s="424">
        <f>+M12+L12</f>
        <v>3256.7000000000003</v>
      </c>
      <c r="O12" s="424"/>
      <c r="Q12">
        <v>3</v>
      </c>
      <c r="R12" s="23">
        <v>3.1</v>
      </c>
      <c r="S12" s="546">
        <v>17.66</v>
      </c>
      <c r="T12" s="57">
        <v>300</v>
      </c>
    </row>
    <row r="13" spans="2:20" ht="15.75" thickBot="1" x14ac:dyDescent="0.3">
      <c r="B13" s="80">
        <v>10</v>
      </c>
      <c r="C13" s="911" t="s">
        <v>51</v>
      </c>
      <c r="D13" s="911"/>
      <c r="E13" s="911" t="s">
        <v>49</v>
      </c>
      <c r="F13" s="911"/>
      <c r="G13" s="81">
        <v>106</v>
      </c>
      <c r="Q13">
        <v>4</v>
      </c>
      <c r="R13" s="23">
        <v>3.2</v>
      </c>
      <c r="S13" s="546">
        <v>18.059999999999999</v>
      </c>
    </row>
    <row r="14" spans="2:20" x14ac:dyDescent="0.25">
      <c r="B14" s="78">
        <v>11</v>
      </c>
      <c r="C14" s="912" t="s">
        <v>58</v>
      </c>
      <c r="D14" s="913"/>
      <c r="E14" s="912" t="s">
        <v>54</v>
      </c>
      <c r="F14" s="913"/>
      <c r="G14" s="79">
        <v>1004</v>
      </c>
      <c r="Q14">
        <v>5</v>
      </c>
      <c r="R14" s="23">
        <v>3.3</v>
      </c>
      <c r="S14" s="546">
        <v>18.46</v>
      </c>
    </row>
    <row r="15" spans="2:20" ht="15.75" thickBot="1" x14ac:dyDescent="0.3">
      <c r="B15" s="80">
        <v>12</v>
      </c>
      <c r="C15" s="914" t="s">
        <v>54</v>
      </c>
      <c r="D15" s="915"/>
      <c r="E15" s="914" t="s">
        <v>58</v>
      </c>
      <c r="F15" s="915"/>
      <c r="G15" s="81">
        <v>1004</v>
      </c>
      <c r="Q15">
        <v>6</v>
      </c>
      <c r="R15" s="23">
        <v>3.4</v>
      </c>
      <c r="S15" s="546">
        <v>18.86</v>
      </c>
    </row>
    <row r="16" spans="2:20" x14ac:dyDescent="0.25">
      <c r="B16" s="78">
        <v>13</v>
      </c>
      <c r="C16" s="916" t="s">
        <v>49</v>
      </c>
      <c r="D16" s="913"/>
      <c r="E16" s="917" t="s">
        <v>59</v>
      </c>
      <c r="F16" s="913"/>
      <c r="G16" s="79">
        <v>232</v>
      </c>
      <c r="Q16">
        <v>7</v>
      </c>
      <c r="R16" s="23">
        <v>3.5</v>
      </c>
      <c r="S16" s="546">
        <v>19.260000000000002</v>
      </c>
    </row>
    <row r="17" spans="2:7" ht="15.75" thickBot="1" x14ac:dyDescent="0.3">
      <c r="B17" s="80">
        <v>14</v>
      </c>
      <c r="C17" s="914" t="s">
        <v>59</v>
      </c>
      <c r="D17" s="915"/>
      <c r="E17" s="914" t="s">
        <v>49</v>
      </c>
      <c r="F17" s="915"/>
      <c r="G17" s="81">
        <v>232</v>
      </c>
    </row>
    <row r="18" spans="2:7" x14ac:dyDescent="0.25">
      <c r="B18" s="78">
        <v>15</v>
      </c>
      <c r="C18" s="912" t="s">
        <v>54</v>
      </c>
      <c r="D18" s="913"/>
      <c r="E18" s="912" t="s">
        <v>59</v>
      </c>
      <c r="F18" s="913"/>
      <c r="G18" s="79">
        <v>45</v>
      </c>
    </row>
    <row r="19" spans="2:7" ht="15.75" thickBot="1" x14ac:dyDescent="0.3">
      <c r="B19" s="80">
        <v>16</v>
      </c>
      <c r="C19" s="914" t="s">
        <v>59</v>
      </c>
      <c r="D19" s="915"/>
      <c r="E19" s="914" t="s">
        <v>54</v>
      </c>
      <c r="F19" s="915"/>
      <c r="G19" s="81">
        <v>45</v>
      </c>
    </row>
    <row r="20" spans="2:7" x14ac:dyDescent="0.25">
      <c r="B20" s="78">
        <v>17</v>
      </c>
      <c r="C20" s="910" t="s">
        <v>56</v>
      </c>
      <c r="D20" s="910"/>
      <c r="E20" s="910" t="s">
        <v>49</v>
      </c>
      <c r="F20" s="910"/>
      <c r="G20" s="79">
        <v>1363</v>
      </c>
    </row>
    <row r="21" spans="2:7" ht="15.75" thickBot="1" x14ac:dyDescent="0.3">
      <c r="B21" s="80">
        <v>18</v>
      </c>
      <c r="C21" s="911" t="s">
        <v>49</v>
      </c>
      <c r="D21" s="911"/>
      <c r="E21" s="911" t="s">
        <v>56</v>
      </c>
      <c r="F21" s="911"/>
      <c r="G21" s="81">
        <v>1363</v>
      </c>
    </row>
    <row r="22" spans="2:7" x14ac:dyDescent="0.25">
      <c r="B22" s="78">
        <v>19</v>
      </c>
      <c r="C22" s="910" t="s">
        <v>58</v>
      </c>
      <c r="D22" s="910"/>
      <c r="E22" s="910" t="s">
        <v>53</v>
      </c>
      <c r="F22" s="910"/>
      <c r="G22" s="79">
        <v>1081</v>
      </c>
    </row>
    <row r="23" spans="2:7" ht="15.75" thickBot="1" x14ac:dyDescent="0.3">
      <c r="B23" s="80">
        <v>20</v>
      </c>
      <c r="C23" s="911" t="s">
        <v>53</v>
      </c>
      <c r="D23" s="911"/>
      <c r="E23" s="911" t="s">
        <v>58</v>
      </c>
      <c r="F23" s="911"/>
      <c r="G23" s="81">
        <v>1081</v>
      </c>
    </row>
    <row r="24" spans="2:7" x14ac:dyDescent="0.25">
      <c r="B24" s="78">
        <v>21</v>
      </c>
      <c r="C24" s="910" t="s">
        <v>93</v>
      </c>
      <c r="D24" s="910"/>
      <c r="E24" s="910" t="s">
        <v>59</v>
      </c>
      <c r="F24" s="910"/>
      <c r="G24" s="79">
        <v>551</v>
      </c>
    </row>
    <row r="25" spans="2:7" ht="15.75" thickBot="1" x14ac:dyDescent="0.3">
      <c r="B25" s="80">
        <v>22</v>
      </c>
      <c r="C25" s="911" t="s">
        <v>59</v>
      </c>
      <c r="D25" s="911"/>
      <c r="E25" s="911" t="s">
        <v>85</v>
      </c>
      <c r="F25" s="911"/>
      <c r="G25" s="81">
        <v>551</v>
      </c>
    </row>
    <row r="26" spans="2:7" x14ac:dyDescent="0.25">
      <c r="B26" s="78">
        <v>23</v>
      </c>
      <c r="C26" s="910" t="s">
        <v>58</v>
      </c>
      <c r="D26" s="910"/>
      <c r="E26" s="910" t="s">
        <v>85</v>
      </c>
      <c r="F26" s="910"/>
      <c r="G26" s="79">
        <v>457</v>
      </c>
    </row>
    <row r="27" spans="2:7" ht="15.75" thickBot="1" x14ac:dyDescent="0.3">
      <c r="B27" s="82">
        <v>24</v>
      </c>
      <c r="C27" s="925" t="s">
        <v>93</v>
      </c>
      <c r="D27" s="925"/>
      <c r="E27" s="925" t="s">
        <v>58</v>
      </c>
      <c r="F27" s="925"/>
      <c r="G27" s="83">
        <v>457</v>
      </c>
    </row>
    <row r="28" spans="2:7" x14ac:dyDescent="0.25">
      <c r="B28" s="78">
        <v>25</v>
      </c>
      <c r="C28" s="910" t="s">
        <v>58</v>
      </c>
      <c r="D28" s="910"/>
      <c r="E28" s="910" t="s">
        <v>94</v>
      </c>
      <c r="F28" s="910"/>
      <c r="G28" s="79">
        <v>1118</v>
      </c>
    </row>
    <row r="29" spans="2:7" ht="15.75" thickBot="1" x14ac:dyDescent="0.3">
      <c r="B29" s="80">
        <v>26</v>
      </c>
      <c r="C29" s="911" t="s">
        <v>94</v>
      </c>
      <c r="D29" s="911"/>
      <c r="E29" s="911" t="s">
        <v>58</v>
      </c>
      <c r="F29" s="911"/>
      <c r="G29" s="81">
        <v>1118</v>
      </c>
    </row>
    <row r="30" spans="2:7" x14ac:dyDescent="0.25">
      <c r="B30" s="78">
        <v>27</v>
      </c>
      <c r="C30" s="910" t="s">
        <v>94</v>
      </c>
      <c r="D30" s="910"/>
      <c r="E30" s="910" t="s">
        <v>59</v>
      </c>
      <c r="F30" s="910"/>
      <c r="G30" s="79">
        <v>97</v>
      </c>
    </row>
    <row r="31" spans="2:7" ht="15.75" thickBot="1" x14ac:dyDescent="0.3">
      <c r="B31" s="80">
        <v>28</v>
      </c>
      <c r="C31" s="911" t="s">
        <v>59</v>
      </c>
      <c r="D31" s="911"/>
      <c r="E31" s="911" t="s">
        <v>94</v>
      </c>
      <c r="F31" s="911"/>
      <c r="G31" s="81">
        <v>97</v>
      </c>
    </row>
    <row r="32" spans="2:7" x14ac:dyDescent="0.25">
      <c r="B32" s="78">
        <v>29</v>
      </c>
      <c r="C32" s="910" t="s">
        <v>59</v>
      </c>
      <c r="D32" s="910"/>
      <c r="E32" s="910" t="s">
        <v>53</v>
      </c>
      <c r="F32" s="910"/>
      <c r="G32" s="79">
        <v>67</v>
      </c>
    </row>
    <row r="33" spans="2:7" ht="15.75" thickBot="1" x14ac:dyDescent="0.3">
      <c r="B33" s="80">
        <v>30</v>
      </c>
      <c r="C33" s="911" t="s">
        <v>53</v>
      </c>
      <c r="D33" s="911"/>
      <c r="E33" s="911" t="s">
        <v>59</v>
      </c>
      <c r="F33" s="911"/>
      <c r="G33" s="81">
        <v>67</v>
      </c>
    </row>
    <row r="34" spans="2:7" x14ac:dyDescent="0.25">
      <c r="B34" s="78">
        <v>31</v>
      </c>
      <c r="C34" s="910" t="s">
        <v>94</v>
      </c>
      <c r="D34" s="910"/>
      <c r="E34" s="910" t="s">
        <v>53</v>
      </c>
      <c r="F34" s="910"/>
      <c r="G34" s="79">
        <v>30</v>
      </c>
    </row>
    <row r="35" spans="2:7" ht="15.75" thickBot="1" x14ac:dyDescent="0.3">
      <c r="B35" s="82">
        <v>32</v>
      </c>
      <c r="C35" s="925" t="s">
        <v>53</v>
      </c>
      <c r="D35" s="925"/>
      <c r="E35" s="925" t="s">
        <v>94</v>
      </c>
      <c r="F35" s="925"/>
      <c r="G35" s="83">
        <v>30</v>
      </c>
    </row>
    <row r="36" spans="2:7" x14ac:dyDescent="0.25">
      <c r="B36" s="78">
        <v>33</v>
      </c>
      <c r="C36" s="926" t="s">
        <v>59</v>
      </c>
      <c r="D36" s="926"/>
      <c r="E36" s="926" t="s">
        <v>57</v>
      </c>
      <c r="F36" s="926"/>
      <c r="G36" s="84">
        <v>1236</v>
      </c>
    </row>
    <row r="37" spans="2:7" ht="15.75" thickBot="1" x14ac:dyDescent="0.3">
      <c r="B37" s="80">
        <v>34</v>
      </c>
      <c r="C37" s="911" t="s">
        <v>57</v>
      </c>
      <c r="D37" s="911"/>
      <c r="E37" s="911" t="s">
        <v>59</v>
      </c>
      <c r="F37" s="911"/>
      <c r="G37" s="81">
        <v>1236</v>
      </c>
    </row>
    <row r="38" spans="2:7" ht="15.75" thickBot="1" x14ac:dyDescent="0.3">
      <c r="B38" s="78">
        <v>35</v>
      </c>
      <c r="C38" s="927" t="s">
        <v>94</v>
      </c>
      <c r="D38" s="911"/>
      <c r="E38" s="927" t="s">
        <v>50</v>
      </c>
      <c r="F38" s="911"/>
      <c r="G38" s="81">
        <v>888</v>
      </c>
    </row>
    <row r="39" spans="2:7" ht="15.75" thickBot="1" x14ac:dyDescent="0.3">
      <c r="B39" s="82">
        <v>36</v>
      </c>
      <c r="C39" s="927" t="s">
        <v>50</v>
      </c>
      <c r="D39" s="911"/>
      <c r="E39" s="927" t="s">
        <v>94</v>
      </c>
      <c r="F39" s="911"/>
      <c r="G39" s="81">
        <v>888</v>
      </c>
    </row>
    <row r="40" spans="2:7" ht="15.75" thickBot="1" x14ac:dyDescent="0.3">
      <c r="B40" s="78">
        <v>37</v>
      </c>
      <c r="C40" s="927" t="s">
        <v>50</v>
      </c>
      <c r="D40" s="911"/>
      <c r="E40" s="927" t="s">
        <v>59</v>
      </c>
      <c r="F40" s="911"/>
      <c r="G40" s="81">
        <v>795</v>
      </c>
    </row>
    <row r="41" spans="2:7" ht="15.75" thickBot="1" x14ac:dyDescent="0.3">
      <c r="B41" s="80">
        <v>38</v>
      </c>
      <c r="C41" s="927" t="s">
        <v>59</v>
      </c>
      <c r="D41" s="911"/>
      <c r="E41" s="927" t="s">
        <v>50</v>
      </c>
      <c r="F41" s="911"/>
      <c r="G41" s="81">
        <v>795</v>
      </c>
    </row>
    <row r="42" spans="2:7" x14ac:dyDescent="0.25">
      <c r="B42" s="78">
        <v>39</v>
      </c>
      <c r="C42" s="910" t="s">
        <v>52</v>
      </c>
      <c r="D42" s="910"/>
      <c r="E42" s="910" t="s">
        <v>58</v>
      </c>
      <c r="F42" s="910"/>
      <c r="G42" s="79">
        <v>603</v>
      </c>
    </row>
    <row r="43" spans="2:7" ht="15.75" thickBot="1" x14ac:dyDescent="0.3">
      <c r="B43" s="82">
        <v>40</v>
      </c>
      <c r="C43" s="911" t="s">
        <v>58</v>
      </c>
      <c r="D43" s="911"/>
      <c r="E43" s="911" t="s">
        <v>52</v>
      </c>
      <c r="F43" s="911"/>
      <c r="G43" s="81">
        <v>603</v>
      </c>
    </row>
    <row r="44" spans="2:7" x14ac:dyDescent="0.25">
      <c r="B44" s="78">
        <v>41</v>
      </c>
      <c r="C44" s="929" t="s">
        <v>172</v>
      </c>
      <c r="D44" s="910"/>
      <c r="E44" s="929" t="s">
        <v>173</v>
      </c>
      <c r="F44" s="910"/>
      <c r="G44" s="79">
        <v>630</v>
      </c>
    </row>
    <row r="45" spans="2:7" ht="15.75" thickBot="1" x14ac:dyDescent="0.3">
      <c r="B45" s="85">
        <v>42</v>
      </c>
      <c r="C45" s="930" t="s">
        <v>173</v>
      </c>
      <c r="D45" s="925"/>
      <c r="E45" s="930" t="s">
        <v>59</v>
      </c>
      <c r="F45" s="925"/>
      <c r="G45" s="83">
        <v>255</v>
      </c>
    </row>
    <row r="46" spans="2:7" x14ac:dyDescent="0.25">
      <c r="B46" s="78">
        <v>43</v>
      </c>
      <c r="C46" s="910" t="s">
        <v>56</v>
      </c>
      <c r="D46" s="910"/>
      <c r="E46" s="928" t="s">
        <v>57</v>
      </c>
      <c r="F46" s="910"/>
      <c r="G46" s="79">
        <v>145</v>
      </c>
    </row>
    <row r="47" spans="2:7" ht="15.75" thickBot="1" x14ac:dyDescent="0.3">
      <c r="B47" s="85">
        <v>44</v>
      </c>
      <c r="C47" s="931" t="s">
        <v>172</v>
      </c>
      <c r="D47" s="911"/>
      <c r="E47" s="931" t="s">
        <v>210</v>
      </c>
      <c r="F47" s="911"/>
      <c r="G47" s="81">
        <v>772</v>
      </c>
    </row>
    <row r="48" spans="2:7" ht="15.75" thickBot="1" x14ac:dyDescent="0.3">
      <c r="B48" s="78">
        <v>45</v>
      </c>
      <c r="C48" s="932" t="s">
        <v>210</v>
      </c>
      <c r="D48" s="910"/>
      <c r="E48" s="933" t="s">
        <v>59</v>
      </c>
      <c r="F48" s="934"/>
      <c r="G48" s="79">
        <v>120</v>
      </c>
    </row>
    <row r="49" spans="2:9" ht="15.75" thickBot="1" x14ac:dyDescent="0.3">
      <c r="B49" s="85">
        <v>46</v>
      </c>
      <c r="C49" s="938" t="s">
        <v>50</v>
      </c>
      <c r="D49" s="925"/>
      <c r="E49" s="938" t="s">
        <v>51</v>
      </c>
      <c r="F49" s="925"/>
      <c r="G49" s="83">
        <v>1120</v>
      </c>
    </row>
    <row r="50" spans="2:9" x14ac:dyDescent="0.25">
      <c r="B50" s="78">
        <v>47</v>
      </c>
      <c r="C50" s="939" t="s">
        <v>58</v>
      </c>
      <c r="D50" s="910"/>
      <c r="E50" s="939" t="s">
        <v>50</v>
      </c>
      <c r="F50" s="910"/>
      <c r="G50" s="79">
        <v>219</v>
      </c>
    </row>
    <row r="51" spans="2:9" ht="15.75" thickBot="1" x14ac:dyDescent="0.3">
      <c r="B51" s="85">
        <v>48</v>
      </c>
      <c r="C51" s="935" t="s">
        <v>98</v>
      </c>
      <c r="D51" s="934"/>
      <c r="E51" s="935" t="s">
        <v>49</v>
      </c>
      <c r="F51" s="934"/>
      <c r="G51" s="86">
        <v>1027</v>
      </c>
    </row>
    <row r="52" spans="2:9" x14ac:dyDescent="0.25">
      <c r="B52" s="78">
        <v>49</v>
      </c>
      <c r="C52" s="910" t="s">
        <v>58</v>
      </c>
      <c r="D52" s="910"/>
      <c r="E52" s="936" t="s">
        <v>57</v>
      </c>
      <c r="F52" s="910"/>
      <c r="G52" s="79">
        <v>480</v>
      </c>
    </row>
    <row r="53" spans="2:9" ht="15.75" thickBot="1" x14ac:dyDescent="0.3">
      <c r="B53" s="85">
        <v>50</v>
      </c>
      <c r="C53" s="937" t="s">
        <v>172</v>
      </c>
      <c r="D53" s="934"/>
      <c r="E53" s="937" t="s">
        <v>58</v>
      </c>
      <c r="F53" s="934"/>
      <c r="G53" s="86">
        <v>1037</v>
      </c>
    </row>
    <row r="54" spans="2:9" x14ac:dyDescent="0.25">
      <c r="B54" s="78">
        <v>51</v>
      </c>
      <c r="C54" s="912" t="s">
        <v>58</v>
      </c>
      <c r="D54" s="913"/>
      <c r="E54" s="912" t="s">
        <v>56</v>
      </c>
      <c r="F54" s="913"/>
      <c r="G54" s="79">
        <v>375</v>
      </c>
    </row>
    <row r="55" spans="2:9" ht="15.75" thickBot="1" x14ac:dyDescent="0.3">
      <c r="B55" s="89">
        <v>52</v>
      </c>
      <c r="C55" s="943" t="s">
        <v>56</v>
      </c>
      <c r="D55" s="944"/>
      <c r="E55" s="943" t="s">
        <v>58</v>
      </c>
      <c r="F55" s="944"/>
      <c r="G55" s="90">
        <v>375</v>
      </c>
    </row>
    <row r="56" spans="2:9" x14ac:dyDescent="0.25">
      <c r="B56" s="91">
        <v>53</v>
      </c>
      <c r="C56" s="945" t="s">
        <v>56</v>
      </c>
      <c r="D56" s="910"/>
      <c r="E56" s="945" t="s">
        <v>50</v>
      </c>
      <c r="F56" s="910"/>
      <c r="G56" s="79">
        <v>348</v>
      </c>
    </row>
    <row r="57" spans="2:9" ht="15.75" thickBot="1" x14ac:dyDescent="0.3">
      <c r="B57" s="93">
        <v>54</v>
      </c>
      <c r="C57" s="952" t="s">
        <v>50</v>
      </c>
      <c r="D57" s="925"/>
      <c r="E57" s="952" t="s">
        <v>56</v>
      </c>
      <c r="F57" s="925"/>
      <c r="G57" s="83">
        <v>348</v>
      </c>
    </row>
    <row r="58" spans="2:9" x14ac:dyDescent="0.25">
      <c r="B58" s="91">
        <v>55</v>
      </c>
      <c r="C58" s="956" t="s">
        <v>58</v>
      </c>
      <c r="D58" s="910"/>
      <c r="E58" s="956" t="s">
        <v>172</v>
      </c>
      <c r="F58" s="910"/>
      <c r="G58" s="79">
        <v>1037</v>
      </c>
    </row>
    <row r="59" spans="2:9" ht="15.75" thickBot="1" x14ac:dyDescent="0.3">
      <c r="B59" s="92">
        <v>56</v>
      </c>
      <c r="C59" s="946" t="s">
        <v>172</v>
      </c>
      <c r="D59" s="947"/>
      <c r="E59" s="948" t="s">
        <v>59</v>
      </c>
      <c r="F59" s="911"/>
      <c r="G59" s="81">
        <v>885</v>
      </c>
    </row>
    <row r="60" spans="2:9" x14ac:dyDescent="0.25">
      <c r="B60" s="94">
        <v>57</v>
      </c>
      <c r="C60" s="949" t="s">
        <v>58</v>
      </c>
      <c r="D60" s="950"/>
      <c r="E60" s="949" t="s">
        <v>49</v>
      </c>
      <c r="F60" s="950"/>
      <c r="G60" s="95">
        <v>1254</v>
      </c>
    </row>
    <row r="61" spans="2:9" ht="15.75" thickBot="1" x14ac:dyDescent="0.3">
      <c r="B61" s="93">
        <v>58</v>
      </c>
      <c r="C61" s="955" t="s">
        <v>49</v>
      </c>
      <c r="D61" s="925"/>
      <c r="E61" s="954" t="s">
        <v>58</v>
      </c>
      <c r="F61" s="925"/>
      <c r="G61" s="101">
        <v>1224</v>
      </c>
    </row>
    <row r="62" spans="2:9" ht="15.75" thickBot="1" x14ac:dyDescent="0.3">
      <c r="B62" s="102">
        <v>59</v>
      </c>
      <c r="C62" s="953" t="s">
        <v>98</v>
      </c>
      <c r="D62" s="941"/>
      <c r="E62" s="953" t="s">
        <v>58</v>
      </c>
      <c r="F62" s="941"/>
      <c r="G62" s="103">
        <v>219</v>
      </c>
    </row>
    <row r="63" spans="2:9" ht="15.75" thickBot="1" x14ac:dyDescent="0.3">
      <c r="B63" s="102">
        <v>60</v>
      </c>
      <c r="C63" s="942" t="s">
        <v>57</v>
      </c>
      <c r="D63" s="941"/>
      <c r="E63" s="942" t="s">
        <v>56</v>
      </c>
      <c r="F63" s="941"/>
      <c r="G63" s="103">
        <v>105</v>
      </c>
    </row>
    <row r="64" spans="2:9" ht="15.75" thickBot="1" x14ac:dyDescent="0.3">
      <c r="B64" s="102">
        <v>61</v>
      </c>
      <c r="C64" s="951" t="s">
        <v>51</v>
      </c>
      <c r="D64" s="941"/>
      <c r="E64" s="951" t="s">
        <v>50</v>
      </c>
      <c r="F64" s="941"/>
      <c r="G64" s="103">
        <v>1120</v>
      </c>
      <c r="I64" s="117"/>
    </row>
    <row r="65" spans="2:7" ht="15.75" thickBot="1" x14ac:dyDescent="0.3">
      <c r="B65" s="102">
        <v>62</v>
      </c>
      <c r="C65" s="940" t="s">
        <v>58</v>
      </c>
      <c r="D65" s="941"/>
      <c r="E65" s="940" t="s">
        <v>173</v>
      </c>
      <c r="F65" s="941"/>
      <c r="G65" s="103">
        <v>800</v>
      </c>
    </row>
  </sheetData>
  <mergeCells count="127">
    <mergeCell ref="C50:D50"/>
    <mergeCell ref="E50:F50"/>
    <mergeCell ref="C65:D65"/>
    <mergeCell ref="E65:F65"/>
    <mergeCell ref="C63:D63"/>
    <mergeCell ref="E63:F63"/>
    <mergeCell ref="C55:D55"/>
    <mergeCell ref="E55:F55"/>
    <mergeCell ref="C56:D56"/>
    <mergeCell ref="E56:F56"/>
    <mergeCell ref="C59:D59"/>
    <mergeCell ref="E59:F59"/>
    <mergeCell ref="C60:D60"/>
    <mergeCell ref="E60:F60"/>
    <mergeCell ref="C64:D64"/>
    <mergeCell ref="E64:F64"/>
    <mergeCell ref="C57:D57"/>
    <mergeCell ref="E57:F57"/>
    <mergeCell ref="E62:F62"/>
    <mergeCell ref="C62:D62"/>
    <mergeCell ref="E61:F61"/>
    <mergeCell ref="C61:D61"/>
    <mergeCell ref="C58:D58"/>
    <mergeCell ref="E58:F58"/>
    <mergeCell ref="C54:D54"/>
    <mergeCell ref="E54:F54"/>
    <mergeCell ref="C42:D42"/>
    <mergeCell ref="E42:F42"/>
    <mergeCell ref="C46:D46"/>
    <mergeCell ref="E46:F46"/>
    <mergeCell ref="C43:D43"/>
    <mergeCell ref="E43:F43"/>
    <mergeCell ref="C44:D44"/>
    <mergeCell ref="E44:F44"/>
    <mergeCell ref="C45:D45"/>
    <mergeCell ref="E45:F45"/>
    <mergeCell ref="C47:D47"/>
    <mergeCell ref="E47:F47"/>
    <mergeCell ref="C48:D48"/>
    <mergeCell ref="E48:F48"/>
    <mergeCell ref="C51:D51"/>
    <mergeCell ref="E51:F51"/>
    <mergeCell ref="C52:D52"/>
    <mergeCell ref="E52:F52"/>
    <mergeCell ref="C53:D53"/>
    <mergeCell ref="E53:F53"/>
    <mergeCell ref="C49:D49"/>
    <mergeCell ref="E49:F49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5:D5"/>
    <mergeCell ref="E5:F5"/>
    <mergeCell ref="C3:D3"/>
    <mergeCell ref="E3:F3"/>
    <mergeCell ref="C4:D4"/>
    <mergeCell ref="E4:F4"/>
    <mergeCell ref="C6:D6"/>
    <mergeCell ref="E6:F6"/>
    <mergeCell ref="B2:G2"/>
    <mergeCell ref="C7:D7"/>
    <mergeCell ref="E7:F7"/>
    <mergeCell ref="C9:D9"/>
    <mergeCell ref="E9:F9"/>
    <mergeCell ref="C8:D8"/>
    <mergeCell ref="E8:F8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</mergeCells>
  <pageMargins left="0.11811023622047245" right="0.11811023622047245" top="0.15748031496062992" bottom="0.35433070866141736" header="0.31496062992125984" footer="0.31496062992125984"/>
  <pageSetup paperSize="9" scale="77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31"/>
  <dimension ref="B1:C73"/>
  <sheetViews>
    <sheetView topLeftCell="A43" workbookViewId="0">
      <selection activeCell="B62" sqref="B62"/>
    </sheetView>
  </sheetViews>
  <sheetFormatPr baseColWidth="10" defaultRowHeight="12.75" x14ac:dyDescent="0.2"/>
  <cols>
    <col min="2" max="2" width="9.140625" bestFit="1" customWidth="1"/>
    <col min="3" max="3" width="16.42578125" bestFit="1" customWidth="1"/>
  </cols>
  <sheetData>
    <row r="1" spans="2:3" ht="13.5" thickBot="1" x14ac:dyDescent="0.25"/>
    <row r="2" spans="2:3" ht="15.75" thickBot="1" x14ac:dyDescent="0.3">
      <c r="B2" s="208" t="s">
        <v>70</v>
      </c>
      <c r="C2" s="209" t="s">
        <v>165</v>
      </c>
    </row>
    <row r="3" spans="2:3" ht="14.25" x14ac:dyDescent="0.2">
      <c r="B3" s="210" t="s">
        <v>126</v>
      </c>
      <c r="C3" s="211">
        <v>2.3744100000000001</v>
      </c>
    </row>
    <row r="4" spans="2:3" ht="14.25" x14ac:dyDescent="0.2">
      <c r="B4" s="212" t="s">
        <v>127</v>
      </c>
      <c r="C4" s="211">
        <v>2.3744100000000001</v>
      </c>
    </row>
    <row r="5" spans="2:3" ht="14.25" x14ac:dyDescent="0.2">
      <c r="B5" s="212" t="s">
        <v>128</v>
      </c>
      <c r="C5" s="211">
        <v>2.3744100000000001</v>
      </c>
    </row>
    <row r="6" spans="2:3" ht="14.25" x14ac:dyDescent="0.2">
      <c r="B6" s="212" t="s">
        <v>129</v>
      </c>
      <c r="C6" s="211">
        <v>2.3744100000000001</v>
      </c>
    </row>
    <row r="7" spans="2:3" ht="14.25" x14ac:dyDescent="0.2">
      <c r="B7" s="212" t="s">
        <v>130</v>
      </c>
      <c r="C7" s="211">
        <v>2.3744100000000001</v>
      </c>
    </row>
    <row r="8" spans="2:3" ht="14.25" x14ac:dyDescent="0.2">
      <c r="B8" s="212" t="s">
        <v>131</v>
      </c>
      <c r="C8" s="211">
        <v>2.3744100000000001</v>
      </c>
    </row>
    <row r="9" spans="2:3" ht="14.25" x14ac:dyDescent="0.2">
      <c r="B9" s="212" t="s">
        <v>132</v>
      </c>
      <c r="C9" s="211">
        <v>2.3744100000000001</v>
      </c>
    </row>
    <row r="10" spans="2:3" ht="14.25" x14ac:dyDescent="0.2">
      <c r="B10" s="212" t="s">
        <v>133</v>
      </c>
      <c r="C10" s="211">
        <v>2.3744100000000001</v>
      </c>
    </row>
    <row r="11" spans="2:3" ht="14.25" x14ac:dyDescent="0.2">
      <c r="B11" s="212" t="s">
        <v>134</v>
      </c>
      <c r="C11" s="211">
        <v>2.3744100000000001</v>
      </c>
    </row>
    <row r="12" spans="2:3" ht="14.25" x14ac:dyDescent="0.2">
      <c r="B12" s="212" t="s">
        <v>135</v>
      </c>
      <c r="C12" s="211">
        <v>2.3744100000000001</v>
      </c>
    </row>
    <row r="13" spans="2:3" ht="14.25" x14ac:dyDescent="0.2">
      <c r="B13" s="212" t="s">
        <v>136</v>
      </c>
      <c r="C13" s="211">
        <v>2.3744100000000001</v>
      </c>
    </row>
    <row r="14" spans="2:3" ht="14.25" x14ac:dyDescent="0.2">
      <c r="B14" s="212" t="s">
        <v>137</v>
      </c>
      <c r="C14" s="211">
        <v>2.3744100000000001</v>
      </c>
    </row>
    <row r="15" spans="2:3" ht="14.25" x14ac:dyDescent="0.2">
      <c r="B15" s="212" t="s">
        <v>138</v>
      </c>
      <c r="C15" s="211">
        <v>2.3744100000000001</v>
      </c>
    </row>
    <row r="16" spans="2:3" ht="14.25" x14ac:dyDescent="0.2">
      <c r="B16" s="212" t="s">
        <v>139</v>
      </c>
      <c r="C16" s="211">
        <v>2.3744100000000001</v>
      </c>
    </row>
    <row r="17" spans="2:3" ht="14.25" x14ac:dyDescent="0.2">
      <c r="B17" s="212" t="s">
        <v>140</v>
      </c>
      <c r="C17" s="211">
        <v>2.3744100000000001</v>
      </c>
    </row>
    <row r="18" spans="2:3" ht="14.25" x14ac:dyDescent="0.2">
      <c r="B18" s="212" t="s">
        <v>141</v>
      </c>
      <c r="C18" s="211">
        <v>2.3744100000000001</v>
      </c>
    </row>
    <row r="19" spans="2:3" ht="14.25" x14ac:dyDescent="0.2">
      <c r="B19" s="212" t="s">
        <v>142</v>
      </c>
      <c r="C19" s="211">
        <v>2.3744100000000001</v>
      </c>
    </row>
    <row r="20" spans="2:3" ht="14.25" x14ac:dyDescent="0.2">
      <c r="B20" s="212" t="s">
        <v>92</v>
      </c>
      <c r="C20" s="213">
        <v>2.60127</v>
      </c>
    </row>
    <row r="21" spans="2:3" ht="14.25" x14ac:dyDescent="0.2">
      <c r="B21" s="212" t="s">
        <v>143</v>
      </c>
      <c r="C21" s="213">
        <v>2.60127</v>
      </c>
    </row>
    <row r="22" spans="2:3" ht="14.25" x14ac:dyDescent="0.2">
      <c r="B22" s="212" t="s">
        <v>90</v>
      </c>
      <c r="C22" s="213">
        <v>2.60127</v>
      </c>
    </row>
    <row r="23" spans="2:3" ht="14.25" x14ac:dyDescent="0.2">
      <c r="B23" s="212" t="s">
        <v>63</v>
      </c>
      <c r="C23" s="213">
        <v>2.60127</v>
      </c>
    </row>
    <row r="24" spans="2:3" ht="14.25" x14ac:dyDescent="0.2">
      <c r="B24" s="212" t="s">
        <v>68</v>
      </c>
      <c r="C24" s="213">
        <v>2.60127</v>
      </c>
    </row>
    <row r="25" spans="2:3" ht="14.25" x14ac:dyDescent="0.2">
      <c r="B25" s="212" t="s">
        <v>55</v>
      </c>
      <c r="C25" s="213">
        <v>2.60127</v>
      </c>
    </row>
    <row r="26" spans="2:3" ht="14.25" x14ac:dyDescent="0.2">
      <c r="B26" s="212" t="s">
        <v>87</v>
      </c>
      <c r="C26" s="213">
        <v>2.60127</v>
      </c>
    </row>
    <row r="27" spans="2:3" ht="14.25" x14ac:dyDescent="0.2">
      <c r="B27" s="212" t="s">
        <v>89</v>
      </c>
      <c r="C27" s="213">
        <v>2.60127</v>
      </c>
    </row>
    <row r="28" spans="2:3" ht="14.25" x14ac:dyDescent="0.2">
      <c r="B28" s="212" t="s">
        <v>144</v>
      </c>
      <c r="C28" s="213">
        <v>2.60127</v>
      </c>
    </row>
    <row r="29" spans="2:3" ht="14.25" x14ac:dyDescent="0.2">
      <c r="B29" s="212" t="s">
        <v>60</v>
      </c>
      <c r="C29" s="213">
        <v>2.60127</v>
      </c>
    </row>
    <row r="30" spans="2:3" ht="14.25" x14ac:dyDescent="0.2">
      <c r="B30" s="212" t="s">
        <v>91</v>
      </c>
      <c r="C30" s="213">
        <v>2.60127</v>
      </c>
    </row>
    <row r="31" spans="2:3" ht="14.25" x14ac:dyDescent="0.2">
      <c r="B31" s="212" t="s">
        <v>145</v>
      </c>
      <c r="C31" s="213">
        <v>2.60127</v>
      </c>
    </row>
    <row r="32" spans="2:3" ht="14.25" x14ac:dyDescent="0.2">
      <c r="B32" s="212" t="s">
        <v>111</v>
      </c>
      <c r="C32" s="213">
        <v>2.60127</v>
      </c>
    </row>
    <row r="33" spans="2:3" ht="14.25" x14ac:dyDescent="0.2">
      <c r="B33" s="212" t="s">
        <v>105</v>
      </c>
      <c r="C33" s="213">
        <v>2.60127</v>
      </c>
    </row>
    <row r="34" spans="2:3" ht="14.25" x14ac:dyDescent="0.2">
      <c r="B34" s="212" t="s">
        <v>102</v>
      </c>
      <c r="C34" s="213">
        <v>2.60127</v>
      </c>
    </row>
    <row r="35" spans="2:3" ht="14.25" x14ac:dyDescent="0.2">
      <c r="B35" s="212" t="s">
        <v>101</v>
      </c>
      <c r="C35" s="213">
        <v>2.60127</v>
      </c>
    </row>
    <row r="36" spans="2:3" ht="14.25" x14ac:dyDescent="0.2">
      <c r="B36" s="212" t="s">
        <v>166</v>
      </c>
      <c r="C36" s="213">
        <v>2.60127</v>
      </c>
    </row>
    <row r="37" spans="2:3" ht="14.25" x14ac:dyDescent="0.2">
      <c r="B37" s="212" t="s">
        <v>167</v>
      </c>
      <c r="C37" s="213">
        <v>2.60127</v>
      </c>
    </row>
    <row r="38" spans="2:3" ht="14.25" x14ac:dyDescent="0.2">
      <c r="B38" s="212" t="s">
        <v>217</v>
      </c>
      <c r="C38" s="213">
        <v>2.60127</v>
      </c>
    </row>
    <row r="39" spans="2:3" ht="14.25" x14ac:dyDescent="0.2">
      <c r="B39" s="212" t="s">
        <v>146</v>
      </c>
      <c r="C39" s="213">
        <v>2.11267</v>
      </c>
    </row>
    <row r="40" spans="2:3" ht="14.25" x14ac:dyDescent="0.2">
      <c r="B40" s="212" t="s">
        <v>147</v>
      </c>
      <c r="C40" s="213">
        <v>2.11267</v>
      </c>
    </row>
    <row r="41" spans="2:3" ht="14.25" x14ac:dyDescent="0.2">
      <c r="B41" s="212" t="s">
        <v>148</v>
      </c>
      <c r="C41" s="211">
        <v>2.3744100000000001</v>
      </c>
    </row>
    <row r="42" spans="2:3" ht="14.25" x14ac:dyDescent="0.2">
      <c r="B42" s="212" t="s">
        <v>149</v>
      </c>
      <c r="C42" s="213">
        <v>2.11267</v>
      </c>
    </row>
    <row r="43" spans="2:3" ht="14.25" x14ac:dyDescent="0.2">
      <c r="B43" s="212" t="s">
        <v>150</v>
      </c>
      <c r="C43" s="213">
        <v>2.11267</v>
      </c>
    </row>
    <row r="44" spans="2:3" ht="14.25" x14ac:dyDescent="0.2">
      <c r="B44" s="212" t="s">
        <v>151</v>
      </c>
      <c r="C44" s="211">
        <v>2.3744100000000001</v>
      </c>
    </row>
    <row r="45" spans="2:3" ht="14.25" x14ac:dyDescent="0.2">
      <c r="B45" s="212" t="s">
        <v>152</v>
      </c>
      <c r="C45" s="211">
        <v>2.3744100000000001</v>
      </c>
    </row>
    <row r="46" spans="2:3" ht="14.25" x14ac:dyDescent="0.2">
      <c r="B46" s="212" t="s">
        <v>153</v>
      </c>
      <c r="C46" s="211">
        <v>2.11267</v>
      </c>
    </row>
    <row r="47" spans="2:3" ht="14.25" x14ac:dyDescent="0.2">
      <c r="B47" s="212" t="s">
        <v>154</v>
      </c>
      <c r="C47" s="213">
        <v>2.11267</v>
      </c>
    </row>
    <row r="48" spans="2:3" ht="14.25" x14ac:dyDescent="0.2">
      <c r="B48" s="212" t="s">
        <v>155</v>
      </c>
      <c r="C48" s="213">
        <v>2.11267</v>
      </c>
    </row>
    <row r="49" spans="2:3" ht="14.25" x14ac:dyDescent="0.2">
      <c r="B49" s="212" t="s">
        <v>156</v>
      </c>
      <c r="C49" s="211">
        <v>2.3744100000000001</v>
      </c>
    </row>
    <row r="50" spans="2:3" ht="14.25" x14ac:dyDescent="0.2">
      <c r="B50" s="212" t="s">
        <v>157</v>
      </c>
      <c r="C50" s="211">
        <v>2.3744100000000001</v>
      </c>
    </row>
    <row r="51" spans="2:3" ht="14.25" x14ac:dyDescent="0.2">
      <c r="B51" s="212" t="s">
        <v>158</v>
      </c>
      <c r="C51" s="211">
        <v>2.3744100000000001</v>
      </c>
    </row>
    <row r="52" spans="2:3" ht="14.25" x14ac:dyDescent="0.2">
      <c r="B52" s="212" t="s">
        <v>159</v>
      </c>
      <c r="C52" s="211">
        <v>2.3744100000000001</v>
      </c>
    </row>
    <row r="53" spans="2:3" ht="14.25" x14ac:dyDescent="0.2">
      <c r="B53" s="212" t="s">
        <v>160</v>
      </c>
      <c r="C53" s="211">
        <v>2.3744100000000001</v>
      </c>
    </row>
    <row r="54" spans="2:3" ht="14.25" x14ac:dyDescent="0.2">
      <c r="B54" s="212" t="s">
        <v>103</v>
      </c>
      <c r="C54" s="211">
        <v>2.3744100000000001</v>
      </c>
    </row>
    <row r="55" spans="2:3" ht="14.25" x14ac:dyDescent="0.2">
      <c r="B55" s="212" t="s">
        <v>112</v>
      </c>
      <c r="C55" s="211">
        <v>2.3744100000000001</v>
      </c>
    </row>
    <row r="56" spans="2:3" ht="14.25" x14ac:dyDescent="0.2">
      <c r="B56" s="212" t="s">
        <v>88</v>
      </c>
      <c r="C56" s="211">
        <v>2.3744100000000001</v>
      </c>
    </row>
    <row r="57" spans="2:3" ht="14.25" x14ac:dyDescent="0.2">
      <c r="B57" s="212" t="s">
        <v>100</v>
      </c>
      <c r="C57" s="211">
        <v>2.3744100000000001</v>
      </c>
    </row>
    <row r="58" spans="2:3" ht="14.25" x14ac:dyDescent="0.2">
      <c r="B58" s="212" t="s">
        <v>64</v>
      </c>
      <c r="C58" s="211">
        <v>2.3744100000000001</v>
      </c>
    </row>
    <row r="59" spans="2:3" ht="14.25" x14ac:dyDescent="0.2">
      <c r="B59" s="212" t="s">
        <v>104</v>
      </c>
      <c r="C59" s="211">
        <v>2.3744100000000001</v>
      </c>
    </row>
    <row r="60" spans="2:3" ht="14.25" x14ac:dyDescent="0.2">
      <c r="B60" s="212" t="s">
        <v>86</v>
      </c>
      <c r="C60" s="211">
        <v>2.3744100000000001</v>
      </c>
    </row>
    <row r="61" spans="2:3" ht="14.25" x14ac:dyDescent="0.2">
      <c r="B61" s="330" t="s">
        <v>67</v>
      </c>
      <c r="C61" s="211">
        <v>2.3744100000000001</v>
      </c>
    </row>
    <row r="62" spans="2:3" ht="14.25" x14ac:dyDescent="0.2">
      <c r="B62" s="330" t="s">
        <v>220</v>
      </c>
      <c r="C62" s="211">
        <v>2.7010580000000002</v>
      </c>
    </row>
    <row r="63" spans="2:3" ht="14.25" x14ac:dyDescent="0.2">
      <c r="B63" s="330" t="s">
        <v>221</v>
      </c>
      <c r="C63" s="211">
        <v>2.7010580000000002</v>
      </c>
    </row>
    <row r="64" spans="2:3" ht="14.25" x14ac:dyDescent="0.2">
      <c r="B64" s="330" t="s">
        <v>222</v>
      </c>
      <c r="C64" s="211">
        <v>2.7010580000000002</v>
      </c>
    </row>
    <row r="65" spans="2:3" ht="14.25" x14ac:dyDescent="0.2">
      <c r="B65" s="330" t="s">
        <v>223</v>
      </c>
      <c r="C65" s="211">
        <v>2.7010580000000002</v>
      </c>
    </row>
    <row r="66" spans="2:3" ht="14.25" x14ac:dyDescent="0.2">
      <c r="B66" s="330" t="s">
        <v>232</v>
      </c>
      <c r="C66" s="211">
        <v>2.7010580000000002</v>
      </c>
    </row>
    <row r="67" spans="2:3" ht="14.25" x14ac:dyDescent="0.2">
      <c r="B67" s="330" t="s">
        <v>233</v>
      </c>
      <c r="C67" s="211">
        <v>2.7010580000000002</v>
      </c>
    </row>
    <row r="68" spans="2:3" ht="14.25" x14ac:dyDescent="0.2">
      <c r="B68" s="330" t="s">
        <v>234</v>
      </c>
      <c r="C68" s="211">
        <v>2.7010580000000002</v>
      </c>
    </row>
    <row r="69" spans="2:3" ht="14.25" x14ac:dyDescent="0.2">
      <c r="B69" s="330" t="s">
        <v>235</v>
      </c>
      <c r="C69" s="211">
        <v>2.7010580000000002</v>
      </c>
    </row>
    <row r="70" spans="2:3" ht="14.25" x14ac:dyDescent="0.2">
      <c r="B70" s="330" t="s">
        <v>236</v>
      </c>
      <c r="C70" s="211">
        <v>2.7010580000000002</v>
      </c>
    </row>
    <row r="71" spans="2:3" ht="14.25" x14ac:dyDescent="0.2">
      <c r="B71" s="330" t="s">
        <v>237</v>
      </c>
      <c r="C71" s="211">
        <v>2.7010580000000002</v>
      </c>
    </row>
    <row r="72" spans="2:3" ht="14.25" x14ac:dyDescent="0.2">
      <c r="B72" s="330" t="s">
        <v>238</v>
      </c>
      <c r="C72" s="211">
        <v>2.7010580000000002</v>
      </c>
    </row>
    <row r="73" spans="2:3" ht="15" thickBot="1" x14ac:dyDescent="0.25">
      <c r="B73" s="214" t="s">
        <v>266</v>
      </c>
      <c r="C73" s="213">
        <v>2.7010580000000002</v>
      </c>
    </row>
  </sheetData>
  <phoneticPr fontId="5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6"/>
  <dimension ref="B3:L5"/>
  <sheetViews>
    <sheetView workbookViewId="0">
      <selection activeCell="J11" sqref="J11"/>
    </sheetView>
  </sheetViews>
  <sheetFormatPr baseColWidth="10" defaultRowHeight="12.75" x14ac:dyDescent="0.2"/>
  <cols>
    <col min="1" max="16384" width="11.42578125" style="56"/>
  </cols>
  <sheetData>
    <row r="3" spans="2:12" x14ac:dyDescent="0.2">
      <c r="B3" s="55"/>
      <c r="C3" s="55"/>
      <c r="D3" s="55"/>
      <c r="E3" s="55"/>
      <c r="J3" s="55" t="s">
        <v>65</v>
      </c>
    </row>
    <row r="4" spans="2:12" x14ac:dyDescent="0.2">
      <c r="I4" s="56">
        <f>((IF(F4=1,((C4-40)*0.3)))+(IF(F4=2,((C4-40)*0.15))))/2</f>
        <v>0</v>
      </c>
      <c r="K4" s="957" t="s">
        <v>33</v>
      </c>
      <c r="L4" s="957"/>
    </row>
    <row r="5" spans="2:12" x14ac:dyDescent="0.2">
      <c r="I5" s="56">
        <f>((SUM(B4:B5)-40)/2.37)-C5</f>
        <v>-16.877637130801688</v>
      </c>
      <c r="K5" s="957" t="s">
        <v>66</v>
      </c>
      <c r="L5" s="957"/>
    </row>
  </sheetData>
  <mergeCells count="2">
    <mergeCell ref="K4:L4"/>
    <mergeCell ref="K5:L5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32"/>
  <dimension ref="C1:I14"/>
  <sheetViews>
    <sheetView workbookViewId="0">
      <selection activeCell="I15" sqref="I15"/>
    </sheetView>
  </sheetViews>
  <sheetFormatPr baseColWidth="10" defaultRowHeight="12.75" x14ac:dyDescent="0.2"/>
  <cols>
    <col min="3" max="3" width="4.42578125" bestFit="1" customWidth="1"/>
    <col min="4" max="4" width="9.85546875" bestFit="1" customWidth="1"/>
    <col min="5" max="5" width="10.28515625" bestFit="1" customWidth="1"/>
  </cols>
  <sheetData>
    <row r="1" spans="3:9" ht="13.5" thickBot="1" x14ac:dyDescent="0.25"/>
    <row r="2" spans="3:9" ht="13.5" thickBot="1" x14ac:dyDescent="0.25">
      <c r="C2" s="332"/>
      <c r="D2" s="334" t="s">
        <v>226</v>
      </c>
      <c r="E2" s="335" t="s">
        <v>225</v>
      </c>
    </row>
    <row r="3" spans="3:9" ht="15" x14ac:dyDescent="0.25">
      <c r="C3" s="336">
        <v>1</v>
      </c>
      <c r="D3" s="334" t="s">
        <v>227</v>
      </c>
      <c r="E3" s="340">
        <v>1.7</v>
      </c>
      <c r="G3">
        <f>+E3*1021</f>
        <v>1735.7</v>
      </c>
    </row>
    <row r="4" spans="3:9" ht="15" x14ac:dyDescent="0.25">
      <c r="C4" s="337">
        <v>1.1000000000000001</v>
      </c>
      <c r="D4" s="331" t="s">
        <v>227</v>
      </c>
      <c r="E4" s="341">
        <v>1.45</v>
      </c>
      <c r="G4">
        <f t="shared" ref="G4:G5" si="0">+E4*1021</f>
        <v>1480.45</v>
      </c>
      <c r="H4">
        <f>+G4+G3</f>
        <v>3216.15</v>
      </c>
    </row>
    <row r="5" spans="3:9" ht="15.75" thickBot="1" x14ac:dyDescent="0.3">
      <c r="C5" s="338">
        <v>1.2</v>
      </c>
      <c r="D5" s="339" t="s">
        <v>227</v>
      </c>
      <c r="E5" s="342">
        <v>1.35</v>
      </c>
      <c r="G5">
        <f t="shared" si="0"/>
        <v>1378.3500000000001</v>
      </c>
    </row>
    <row r="6" spans="3:9" ht="15" x14ac:dyDescent="0.25">
      <c r="C6" s="336">
        <v>2</v>
      </c>
      <c r="D6" s="334" t="s">
        <v>228</v>
      </c>
      <c r="E6" s="340">
        <v>1.7</v>
      </c>
      <c r="H6">
        <f>+G6+G4+G5</f>
        <v>2858.8</v>
      </c>
    </row>
    <row r="7" spans="3:9" ht="15" x14ac:dyDescent="0.25">
      <c r="C7" s="337">
        <v>2.1</v>
      </c>
      <c r="D7" s="331" t="s">
        <v>228</v>
      </c>
      <c r="E7" s="341">
        <v>1.45</v>
      </c>
    </row>
    <row r="8" spans="3:9" ht="15.75" thickBot="1" x14ac:dyDescent="0.3">
      <c r="C8" s="338">
        <v>2.2000000000000002</v>
      </c>
      <c r="D8" s="339" t="s">
        <v>228</v>
      </c>
      <c r="E8" s="342">
        <v>1.35</v>
      </c>
    </row>
    <row r="9" spans="3:9" ht="15" x14ac:dyDescent="0.25">
      <c r="C9" s="336">
        <v>3</v>
      </c>
      <c r="D9" s="334" t="s">
        <v>229</v>
      </c>
      <c r="E9" s="340">
        <v>1.7</v>
      </c>
    </row>
    <row r="10" spans="3:9" ht="15" x14ac:dyDescent="0.25">
      <c r="C10" s="337">
        <v>3.1</v>
      </c>
      <c r="D10" s="331" t="s">
        <v>229</v>
      </c>
      <c r="E10" s="341">
        <v>1.45</v>
      </c>
    </row>
    <row r="11" spans="3:9" ht="15.75" thickBot="1" x14ac:dyDescent="0.3">
      <c r="C11" s="338">
        <v>3.2</v>
      </c>
      <c r="D11" s="339" t="s">
        <v>229</v>
      </c>
      <c r="E11" s="342">
        <v>1.35</v>
      </c>
    </row>
    <row r="12" spans="3:9" x14ac:dyDescent="0.2">
      <c r="D12" s="333"/>
      <c r="E12" s="333"/>
    </row>
    <row r="13" spans="3:9" x14ac:dyDescent="0.2">
      <c r="F13">
        <v>1021</v>
      </c>
    </row>
    <row r="14" spans="3:9" x14ac:dyDescent="0.2">
      <c r="G14" s="22">
        <v>3.1</v>
      </c>
      <c r="I14">
        <f>(IF(G14&gt;=3.5,(F13*1.7)))+(IF(G14&lt;=3.19,(F13*1.35)))</f>
        <v>1378.3500000000001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18">
    <pageSetUpPr fitToPage="1"/>
  </sheetPr>
  <dimension ref="C1:Y59"/>
  <sheetViews>
    <sheetView zoomScale="90" zoomScaleNormal="90" workbookViewId="0">
      <selection activeCell="I19" sqref="I19"/>
    </sheetView>
  </sheetViews>
  <sheetFormatPr baseColWidth="10" defaultColWidth="9.140625" defaultRowHeight="12.75" x14ac:dyDescent="0.2"/>
  <cols>
    <col min="1" max="1" width="1.7109375" customWidth="1"/>
    <col min="2" max="2" width="1.5703125" customWidth="1"/>
    <col min="3" max="3" width="11.7109375" customWidth="1"/>
    <col min="4" max="4" width="11.42578125" customWidth="1"/>
    <col min="5" max="5" width="7.7109375" bestFit="1" customWidth="1"/>
    <col min="6" max="6" width="9" customWidth="1"/>
    <col min="7" max="7" width="3" bestFit="1" customWidth="1"/>
    <col min="8" max="9" width="10.42578125" customWidth="1"/>
    <col min="10" max="10" width="10" customWidth="1"/>
    <col min="11" max="11" width="9.7109375" customWidth="1"/>
    <col min="12" max="13" width="12.28515625" customWidth="1"/>
    <col min="14" max="14" width="9" customWidth="1"/>
    <col min="15" max="15" width="10.7109375" customWidth="1"/>
    <col min="16" max="16" width="9.42578125" customWidth="1"/>
    <col min="17" max="18" width="10.85546875" customWidth="1"/>
    <col min="19" max="19" width="9.7109375" customWidth="1"/>
    <col min="20" max="20" width="11.5703125" bestFit="1" customWidth="1"/>
    <col min="21" max="21" width="10.28515625" customWidth="1"/>
    <col min="22" max="22" width="7" customWidth="1"/>
    <col min="23" max="23" width="6.140625" customWidth="1"/>
    <col min="24" max="24" width="7.710937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6.5" customHeight="1" thickBot="1" x14ac:dyDescent="0.3">
      <c r="Q2" s="796" t="s">
        <v>0</v>
      </c>
      <c r="R2" s="797"/>
      <c r="S2" s="798"/>
    </row>
    <row r="3" spans="4:19" ht="19.5" thickBot="1" x14ac:dyDescent="0.35">
      <c r="I3" s="799" t="s">
        <v>1</v>
      </c>
      <c r="J3" s="800"/>
      <c r="K3" s="800"/>
      <c r="L3" s="800"/>
      <c r="M3" s="800"/>
      <c r="N3" s="800"/>
      <c r="O3" s="801"/>
      <c r="Q3" s="802">
        <f>+'GONZALEZ SOTO JOEL'!Q3:S3</f>
        <v>42</v>
      </c>
      <c r="R3" s="803"/>
      <c r="S3" s="804"/>
    </row>
    <row r="4" spans="4:19" ht="16.5" thickBot="1" x14ac:dyDescent="0.3">
      <c r="I4" s="805" t="s">
        <v>2</v>
      </c>
      <c r="J4" s="806"/>
      <c r="K4" s="806"/>
      <c r="L4" s="806"/>
      <c r="M4" s="806"/>
      <c r="N4" s="806"/>
      <c r="O4" s="807"/>
      <c r="Q4" s="811"/>
      <c r="R4" s="811"/>
      <c r="S4" s="811"/>
    </row>
    <row r="5" spans="4:19" ht="13.5" thickBot="1" x14ac:dyDescent="0.25">
      <c r="I5" s="808" t="s">
        <v>3</v>
      </c>
      <c r="J5" s="809"/>
      <c r="K5" s="809"/>
      <c r="L5" s="809"/>
      <c r="M5" s="809"/>
      <c r="N5" s="809"/>
      <c r="O5" s="810"/>
      <c r="Q5" s="783" t="s">
        <v>4</v>
      </c>
      <c r="R5" s="784"/>
      <c r="S5" s="785"/>
    </row>
    <row r="6" spans="4:19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884">
        <v>1994</v>
      </c>
      <c r="R6" s="781"/>
      <c r="S6" s="782"/>
    </row>
    <row r="7" spans="4:19" ht="9" customHeight="1" x14ac:dyDescent="0.2"/>
    <row r="8" spans="4:19" ht="6.75" customHeight="1" thickBot="1" x14ac:dyDescent="0.25"/>
    <row r="9" spans="4:19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19" ht="11.25" customHeight="1" thickBot="1" x14ac:dyDescent="0.25"/>
    <row r="11" spans="4:19" x14ac:dyDescent="0.2">
      <c r="D11" s="1" t="s">
        <v>7</v>
      </c>
      <c r="E11" s="2" t="s">
        <v>277</v>
      </c>
      <c r="F11" s="2"/>
      <c r="G11" s="2"/>
      <c r="H11" s="2"/>
      <c r="I11" s="2"/>
      <c r="J11" s="3"/>
      <c r="K11" s="4" t="s">
        <v>9</v>
      </c>
      <c r="L11" s="786" t="str">
        <f>+NOMINA!B3</f>
        <v>SEMANA #42 PERIODO DEL 06 AL 12 DE OCTUBRE  DEL 2025</v>
      </c>
      <c r="M11" s="786"/>
      <c r="N11" s="786"/>
      <c r="O11" s="786"/>
      <c r="P11" s="786"/>
      <c r="Q11" s="786"/>
      <c r="R11" s="786"/>
      <c r="S11" s="787"/>
    </row>
    <row r="12" spans="4:19" x14ac:dyDescent="0.2">
      <c r="D12" s="5" t="s">
        <v>10</v>
      </c>
      <c r="E12" s="788" t="s">
        <v>144</v>
      </c>
      <c r="F12" s="78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90" t="s">
        <v>11</v>
      </c>
      <c r="E14" s="791"/>
      <c r="F14" s="7">
        <v>449468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90" t="s">
        <v>14</v>
      </c>
      <c r="E15" s="791"/>
      <c r="F15" s="7">
        <v>451575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92" t="s">
        <v>17</v>
      </c>
      <c r="E16" s="793"/>
      <c r="F16" s="12">
        <f>SUM(J19:J32)</f>
        <v>0</v>
      </c>
      <c r="G16" s="12"/>
      <c r="H16" s="12"/>
      <c r="I16" s="13" t="s">
        <v>18</v>
      </c>
      <c r="J16" s="12">
        <f>SUM(K19:K32)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ht="13.5" thickBot="1" x14ac:dyDescent="0.25">
      <c r="C19" s="52"/>
      <c r="D19" s="279"/>
      <c r="E19" s="280"/>
      <c r="F19" s="280"/>
      <c r="G19" s="279"/>
      <c r="H19" s="53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53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75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131"/>
      <c r="L19" s="193"/>
      <c r="M19" s="193"/>
      <c r="N19" s="131"/>
      <c r="O19" s="131"/>
      <c r="P19" s="131"/>
      <c r="Q19" s="194">
        <f t="shared" ref="Q19" si="0">(IF(N19=1,(J19*0.3)))+(IF(N19=2,(J19*0.15))+(IF(N19=3,(J19*0.15))))</f>
        <v>0</v>
      </c>
      <c r="R19" s="215"/>
      <c r="S19" s="195"/>
      <c r="T19" s="196"/>
      <c r="X19" t="s">
        <v>29</v>
      </c>
      <c r="Y19" t="s">
        <v>245</v>
      </c>
    </row>
    <row r="20" spans="3:25" ht="13.5" thickBot="1" x14ac:dyDescent="0.25">
      <c r="C20" s="40"/>
      <c r="D20" s="283"/>
      <c r="E20" s="284"/>
      <c r="F20" s="284"/>
      <c r="G20" s="283"/>
      <c r="H20" s="74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74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75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06"/>
      <c r="L20" s="255" t="e">
        <f>SUM(J19:J20)/K20</f>
        <v>#DIV/0!</v>
      </c>
      <c r="M20" s="255"/>
      <c r="N20" s="106"/>
      <c r="O20" s="106"/>
      <c r="P20" s="106"/>
      <c r="Q20" s="256">
        <f>(IF(N20=1,(J20*0.3)))+(IF(N20=2,(J20*0.15))+(IF(N20=3,(J20*0.15))))</f>
        <v>0</v>
      </c>
      <c r="R20" s="216"/>
      <c r="S20" s="202" t="e">
        <f>((SUM(J18:J20)/R20))-K20</f>
        <v>#DIV/0!</v>
      </c>
      <c r="T20" s="257">
        <f>(IF(M20=1,(S20*16)))+(IF(M20=2,(S20*17.26))+(IF(M20=3,(S20*17.66))+(IF(M20=4,(S20*18.06))+(IF(M20=5,(S20*18.46))+(IF(M20=6,(S20*18.86))+(IF(M20=7,(S20*19.26))))))))</f>
        <v>0</v>
      </c>
      <c r="W20">
        <v>1</v>
      </c>
      <c r="X20" s="23">
        <v>2.9</v>
      </c>
      <c r="Y20" s="546">
        <v>16</v>
      </c>
    </row>
    <row r="21" spans="3:25" x14ac:dyDescent="0.2">
      <c r="C21" s="48"/>
      <c r="D21" s="293"/>
      <c r="E21" s="294"/>
      <c r="F21" s="294"/>
      <c r="G21" s="293"/>
      <c r="H21" s="53"/>
      <c r="I21" s="53"/>
      <c r="J21" s="54"/>
      <c r="K21" s="131"/>
      <c r="L21" s="193"/>
      <c r="M21" s="193"/>
      <c r="N21" s="131"/>
      <c r="O21" s="131"/>
      <c r="P21" s="131"/>
      <c r="Q21" s="194"/>
      <c r="R21" s="215"/>
      <c r="S21" s="195"/>
      <c r="T21" s="196"/>
      <c r="W21">
        <v>2</v>
      </c>
      <c r="X21" s="23">
        <v>3</v>
      </c>
      <c r="Y21" s="546">
        <v>17.260000000000002</v>
      </c>
    </row>
    <row r="22" spans="3:25" ht="13.5" thickBot="1" x14ac:dyDescent="0.25">
      <c r="C22" s="40"/>
      <c r="D22" s="283"/>
      <c r="E22" s="284"/>
      <c r="F22" s="284"/>
      <c r="G22" s="283"/>
      <c r="H22" s="74"/>
      <c r="I22" s="74"/>
      <c r="J22" s="75"/>
      <c r="K22" s="106"/>
      <c r="L22" s="255"/>
      <c r="M22" s="255"/>
      <c r="N22" s="106"/>
      <c r="O22" s="106"/>
      <c r="P22" s="106"/>
      <c r="Q22" s="256"/>
      <c r="R22" s="216"/>
      <c r="S22" s="202"/>
      <c r="T22" s="257"/>
      <c r="W22">
        <v>3</v>
      </c>
      <c r="X22" s="23">
        <v>3.1</v>
      </c>
      <c r="Y22" s="546">
        <v>17.66</v>
      </c>
    </row>
    <row r="23" spans="3:25" x14ac:dyDescent="0.2">
      <c r="C23" s="98"/>
      <c r="D23" s="313"/>
      <c r="E23" s="314"/>
      <c r="F23" s="314"/>
      <c r="G23" s="313"/>
      <c r="H23" s="272"/>
      <c r="I23" s="272"/>
      <c r="J23" s="318"/>
      <c r="K23" s="272"/>
      <c r="L23" s="427"/>
      <c r="M23" s="427"/>
      <c r="N23" s="272"/>
      <c r="O23" s="272"/>
      <c r="P23" s="272"/>
      <c r="Q23" s="276"/>
      <c r="R23" s="258"/>
      <c r="S23" s="321"/>
      <c r="T23" s="277"/>
      <c r="W23">
        <v>4</v>
      </c>
      <c r="X23" s="23">
        <v>3.2</v>
      </c>
      <c r="Y23" s="546">
        <v>18.059999999999999</v>
      </c>
    </row>
    <row r="24" spans="3:25" ht="13.5" thickBot="1" x14ac:dyDescent="0.25">
      <c r="C24" s="40"/>
      <c r="D24" s="283"/>
      <c r="E24" s="284"/>
      <c r="F24" s="284"/>
      <c r="G24" s="283"/>
      <c r="H24" s="106"/>
      <c r="I24" s="106"/>
      <c r="J24" s="107"/>
      <c r="K24" s="106"/>
      <c r="L24" s="311"/>
      <c r="M24" s="311"/>
      <c r="N24" s="106"/>
      <c r="O24" s="106"/>
      <c r="P24" s="106"/>
      <c r="Q24" s="256"/>
      <c r="R24" s="216"/>
      <c r="S24" s="312"/>
      <c r="T24" s="257"/>
      <c r="W24">
        <v>5</v>
      </c>
      <c r="X24" s="23">
        <v>3.3</v>
      </c>
      <c r="Y24" s="546">
        <v>18.46</v>
      </c>
    </row>
    <row r="25" spans="3:25" x14ac:dyDescent="0.2">
      <c r="C25" s="48"/>
      <c r="D25" s="293"/>
      <c r="E25" s="294"/>
      <c r="F25" s="294"/>
      <c r="G25" s="293"/>
      <c r="H25" s="180"/>
      <c r="I25" s="180"/>
      <c r="J25" s="181"/>
      <c r="K25" s="180"/>
      <c r="L25" s="307"/>
      <c r="M25" s="307"/>
      <c r="N25" s="180"/>
      <c r="O25" s="180"/>
      <c r="P25" s="180"/>
      <c r="Q25" s="296"/>
      <c r="R25" s="297"/>
      <c r="S25" s="308"/>
      <c r="T25" s="298"/>
      <c r="W25">
        <v>6</v>
      </c>
      <c r="X25" s="23">
        <v>3.4</v>
      </c>
      <c r="Y25" s="546">
        <v>18.86</v>
      </c>
    </row>
    <row r="26" spans="3:25" x14ac:dyDescent="0.2">
      <c r="C26" s="39"/>
      <c r="D26" s="299"/>
      <c r="E26" s="300"/>
      <c r="F26" s="300"/>
      <c r="G26" s="299"/>
      <c r="H26" s="113"/>
      <c r="I26" s="113"/>
      <c r="J26" s="114"/>
      <c r="K26" s="113"/>
      <c r="L26" s="309"/>
      <c r="M26" s="309"/>
      <c r="N26" s="113"/>
      <c r="O26" s="113"/>
      <c r="P26" s="113"/>
      <c r="Q26" s="302"/>
      <c r="R26" s="251"/>
      <c r="S26" s="310"/>
      <c r="T26" s="304"/>
      <c r="W26">
        <v>7</v>
      </c>
      <c r="X26" s="23">
        <v>3.5</v>
      </c>
      <c r="Y26" s="546">
        <v>19.260000000000002</v>
      </c>
    </row>
    <row r="27" spans="3:25" x14ac:dyDescent="0.2">
      <c r="C27" s="39"/>
      <c r="D27" s="299"/>
      <c r="E27" s="300"/>
      <c r="F27" s="300"/>
      <c r="G27" s="299"/>
      <c r="H27" s="113"/>
      <c r="I27" s="113"/>
      <c r="J27" s="114"/>
      <c r="K27" s="113"/>
      <c r="L27" s="309"/>
      <c r="M27" s="309"/>
      <c r="N27" s="113"/>
      <c r="O27" s="113"/>
      <c r="P27" s="113"/>
      <c r="Q27" s="302"/>
      <c r="R27" s="251"/>
      <c r="S27" s="310"/>
      <c r="T27" s="304"/>
    </row>
    <row r="28" spans="3:25" x14ac:dyDescent="0.2">
      <c r="C28" s="39"/>
      <c r="D28" s="299"/>
      <c r="E28" s="300"/>
      <c r="F28" s="300"/>
      <c r="G28" s="299"/>
      <c r="H28" s="113"/>
      <c r="I28" s="113"/>
      <c r="J28" s="114"/>
      <c r="K28" s="113"/>
      <c r="L28" s="309"/>
      <c r="M28" s="309"/>
      <c r="N28" s="113"/>
      <c r="O28" s="113"/>
      <c r="P28" s="113"/>
      <c r="Q28" s="302"/>
      <c r="R28" s="251"/>
      <c r="S28" s="310"/>
      <c r="T28" s="304"/>
    </row>
    <row r="29" spans="3:25" x14ac:dyDescent="0.2">
      <c r="C29" s="39"/>
      <c r="D29" s="299"/>
      <c r="E29" s="300"/>
      <c r="F29" s="300"/>
      <c r="G29" s="299"/>
      <c r="H29" s="113"/>
      <c r="I29" s="113"/>
      <c r="J29" s="114"/>
      <c r="K29" s="113"/>
      <c r="L29" s="309"/>
      <c r="M29" s="309"/>
      <c r="N29" s="113"/>
      <c r="O29" s="113"/>
      <c r="P29" s="113"/>
      <c r="Q29" s="302"/>
      <c r="R29" s="251"/>
      <c r="S29" s="310"/>
      <c r="T29" s="304"/>
    </row>
    <row r="30" spans="3:25" x14ac:dyDescent="0.2">
      <c r="C30" s="39"/>
      <c r="D30" s="299"/>
      <c r="E30" s="300"/>
      <c r="F30" s="300"/>
      <c r="G30" s="299"/>
      <c r="H30" s="113"/>
      <c r="I30" s="113"/>
      <c r="J30" s="114"/>
      <c r="K30" s="113"/>
      <c r="L30" s="309"/>
      <c r="M30" s="309"/>
      <c r="N30" s="113"/>
      <c r="O30" s="113"/>
      <c r="P30" s="113"/>
      <c r="Q30" s="302"/>
      <c r="R30" s="251"/>
      <c r="S30" s="310"/>
      <c r="T30" s="304"/>
    </row>
    <row r="31" spans="3:25" x14ac:dyDescent="0.2">
      <c r="C31" s="39"/>
      <c r="D31" s="299"/>
      <c r="E31" s="300"/>
      <c r="F31" s="300"/>
      <c r="G31" s="299"/>
      <c r="H31" s="113"/>
      <c r="I31" s="113"/>
      <c r="J31" s="114"/>
      <c r="K31" s="113"/>
      <c r="L31" s="309"/>
      <c r="M31" s="309"/>
      <c r="N31" s="113"/>
      <c r="O31" s="113"/>
      <c r="P31" s="113"/>
      <c r="Q31" s="302"/>
      <c r="R31" s="251"/>
      <c r="S31" s="310"/>
      <c r="T31" s="304"/>
    </row>
    <row r="32" spans="3:25" ht="13.5" thickBot="1" x14ac:dyDescent="0.25">
      <c r="C32" s="40"/>
      <c r="D32" s="283"/>
      <c r="E32" s="284"/>
      <c r="F32" s="284"/>
      <c r="G32" s="283"/>
      <c r="H32" s="115"/>
      <c r="I32" s="106"/>
      <c r="J32" s="107"/>
      <c r="K32" s="106"/>
      <c r="L32" s="255"/>
      <c r="M32" s="255"/>
      <c r="N32" s="106"/>
      <c r="O32" s="106"/>
      <c r="P32" s="106"/>
      <c r="Q32" s="256"/>
      <c r="R32" s="216"/>
      <c r="S32" s="312"/>
      <c r="T32" s="257"/>
    </row>
    <row r="33" spans="3:22" ht="11.25" customHeight="1" thickBot="1" x14ac:dyDescent="0.25">
      <c r="C33" s="22"/>
      <c r="D33" s="22"/>
      <c r="E33" s="22"/>
      <c r="F33" s="22"/>
      <c r="G33" s="22"/>
      <c r="H33" s="22"/>
      <c r="I33" s="182"/>
      <c r="J33" s="22"/>
      <c r="K33" s="22"/>
      <c r="L33" s="22"/>
      <c r="M33" s="22"/>
      <c r="N33" s="22"/>
      <c r="O33" s="22"/>
      <c r="P33" s="22"/>
      <c r="Q33" s="22"/>
      <c r="R33" s="305"/>
      <c r="S33" s="22"/>
      <c r="T33" s="22"/>
    </row>
    <row r="34" spans="3:22" x14ac:dyDescent="0.2">
      <c r="E34" s="794" t="s">
        <v>35</v>
      </c>
      <c r="F34" s="773">
        <f>+'CERDA HERNANDEZ JOSE LUIS'!F29</f>
        <v>45936</v>
      </c>
      <c r="G34" s="774"/>
      <c r="H34" s="20">
        <f>+F34+1</f>
        <v>45937</v>
      </c>
      <c r="I34" s="20">
        <f>+H34+1</f>
        <v>45938</v>
      </c>
      <c r="J34" s="20">
        <f>+I34+1</f>
        <v>45939</v>
      </c>
      <c r="K34" s="20">
        <f>+J34+1</f>
        <v>45940</v>
      </c>
      <c r="L34" s="20">
        <f>+K34+2</f>
        <v>45942</v>
      </c>
      <c r="M34" s="547"/>
      <c r="N34" s="21" t="s">
        <v>84</v>
      </c>
    </row>
    <row r="35" spans="3:22" ht="13.5" thickBot="1" x14ac:dyDescent="0.25">
      <c r="C35" s="22"/>
      <c r="E35" s="795"/>
      <c r="F35" s="775"/>
      <c r="G35" s="776"/>
      <c r="H35" s="42">
        <v>0</v>
      </c>
      <c r="I35" s="42">
        <v>0</v>
      </c>
      <c r="J35" s="42">
        <v>0</v>
      </c>
      <c r="K35" s="42">
        <v>0</v>
      </c>
      <c r="L35" s="42"/>
      <c r="M35" s="548"/>
      <c r="N35" s="43">
        <f>SUM(F35:L35)</f>
        <v>0</v>
      </c>
      <c r="S35" s="77"/>
    </row>
    <row r="36" spans="3:22" ht="13.5" thickBot="1" x14ac:dyDescent="0.25">
      <c r="I36" s="23"/>
    </row>
    <row r="37" spans="3:22" ht="15.75" thickBot="1" x14ac:dyDescent="0.3">
      <c r="C37" s="825" t="s">
        <v>37</v>
      </c>
      <c r="D37" s="826"/>
      <c r="E37" s="826"/>
      <c r="F37" s="826"/>
      <c r="G37" s="827"/>
      <c r="I37" s="838" t="s">
        <v>38</v>
      </c>
      <c r="J37" s="839"/>
      <c r="K37" s="839"/>
      <c r="L37" s="840"/>
      <c r="M37" s="545"/>
      <c r="O37" s="828" t="s">
        <v>39</v>
      </c>
      <c r="P37" s="829"/>
      <c r="Q37" s="865">
        <f>+F47-L46</f>
        <v>0</v>
      </c>
      <c r="R37" s="866"/>
      <c r="S37" s="867"/>
      <c r="T37" s="77"/>
    </row>
    <row r="38" spans="3:22" ht="13.5" thickBot="1" x14ac:dyDescent="0.25">
      <c r="C38" s="833" t="s">
        <v>207</v>
      </c>
      <c r="D38" s="834"/>
      <c r="E38" s="835"/>
      <c r="F38" s="836"/>
      <c r="G38" s="837"/>
      <c r="I38" s="121" t="s">
        <v>106</v>
      </c>
      <c r="J38" s="59" t="s">
        <v>107</v>
      </c>
      <c r="K38" s="59" t="s">
        <v>69</v>
      </c>
      <c r="L38" s="119" t="s">
        <v>108</v>
      </c>
      <c r="M38" s="549"/>
    </row>
    <row r="39" spans="3:22" ht="13.5" thickBot="1" x14ac:dyDescent="0.25">
      <c r="C39" s="843" t="s">
        <v>208</v>
      </c>
      <c r="D39" s="844"/>
      <c r="E39" s="845"/>
      <c r="F39" s="846">
        <f>SUM(T19:T32)</f>
        <v>0</v>
      </c>
      <c r="G39" s="847"/>
      <c r="I39" s="122"/>
      <c r="J39" s="123"/>
      <c r="K39" s="49"/>
      <c r="L39" s="120"/>
      <c r="M39" s="549"/>
      <c r="O39" s="62" t="s">
        <v>69</v>
      </c>
      <c r="P39" s="63" t="s">
        <v>70</v>
      </c>
      <c r="Q39" s="64" t="s">
        <v>71</v>
      </c>
      <c r="R39" s="64"/>
      <c r="S39" s="65" t="s">
        <v>72</v>
      </c>
      <c r="T39" s="63" t="s">
        <v>73</v>
      </c>
      <c r="U39" s="154" t="s">
        <v>117</v>
      </c>
      <c r="V39" s="21" t="s">
        <v>118</v>
      </c>
    </row>
    <row r="40" spans="3:22" x14ac:dyDescent="0.2">
      <c r="C40" s="843" t="s">
        <v>35</v>
      </c>
      <c r="D40" s="844"/>
      <c r="E40" s="845"/>
      <c r="F40" s="846">
        <f>+N35</f>
        <v>0</v>
      </c>
      <c r="G40" s="847"/>
      <c r="I40" s="122"/>
      <c r="J40" s="235"/>
      <c r="K40" s="60"/>
      <c r="L40" s="118"/>
      <c r="M40" s="549"/>
      <c r="O40" s="66"/>
      <c r="P40" s="67"/>
      <c r="Q40" s="68"/>
      <c r="R40" s="68"/>
      <c r="S40" s="51"/>
      <c r="T40" s="67">
        <f>+S40-Q40</f>
        <v>0</v>
      </c>
      <c r="U40" s="155"/>
      <c r="V40" s="156"/>
    </row>
    <row r="41" spans="3:22" x14ac:dyDescent="0.2">
      <c r="C41" s="843" t="s">
        <v>40</v>
      </c>
      <c r="D41" s="844"/>
      <c r="E41" s="845"/>
      <c r="F41" s="846">
        <v>0</v>
      </c>
      <c r="G41" s="847"/>
      <c r="I41" s="122"/>
      <c r="J41" s="235"/>
      <c r="K41" s="60"/>
      <c r="L41" s="118"/>
      <c r="M41" s="549"/>
      <c r="O41" s="44"/>
      <c r="P41" s="69"/>
      <c r="Q41" s="70"/>
      <c r="R41" s="70"/>
      <c r="S41" s="17"/>
      <c r="T41" s="69">
        <f>+S41-Q41</f>
        <v>0</v>
      </c>
      <c r="U41" s="157"/>
      <c r="V41" s="156"/>
    </row>
    <row r="42" spans="3:22" ht="13.5" thickBot="1" x14ac:dyDescent="0.25">
      <c r="C42" s="843" t="s">
        <v>41</v>
      </c>
      <c r="D42" s="844"/>
      <c r="E42" s="845"/>
      <c r="F42" s="846">
        <v>0</v>
      </c>
      <c r="G42" s="847"/>
      <c r="I42" s="122"/>
      <c r="J42" s="511"/>
      <c r="K42" s="60"/>
      <c r="L42" s="118"/>
      <c r="M42" s="549"/>
      <c r="O42" s="71"/>
      <c r="P42" s="72"/>
      <c r="Q42" s="73"/>
      <c r="R42" s="73"/>
      <c r="S42" s="41"/>
      <c r="T42" s="72">
        <f>+S42-Q42</f>
        <v>0</v>
      </c>
      <c r="U42" s="158"/>
      <c r="V42" s="159"/>
    </row>
    <row r="43" spans="3:22" ht="15.75" thickBot="1" x14ac:dyDescent="0.3">
      <c r="C43" s="843" t="s">
        <v>42</v>
      </c>
      <c r="D43" s="844"/>
      <c r="E43" s="845"/>
      <c r="F43" s="846"/>
      <c r="G43" s="847"/>
      <c r="I43" s="122"/>
      <c r="J43" s="511"/>
      <c r="K43" s="60"/>
      <c r="L43" s="118"/>
      <c r="M43" s="549"/>
      <c r="P43" s="27"/>
      <c r="Q43" s="27"/>
      <c r="R43" s="27"/>
      <c r="S43" s="27"/>
      <c r="T43" s="27"/>
      <c r="U43" s="26"/>
    </row>
    <row r="44" spans="3:22" ht="15" x14ac:dyDescent="0.25">
      <c r="C44" s="24" t="s">
        <v>171</v>
      </c>
      <c r="D44" s="25"/>
      <c r="E44" s="25"/>
      <c r="F44" s="846">
        <v>0</v>
      </c>
      <c r="G44" s="847"/>
      <c r="I44" s="122"/>
      <c r="J44" s="511"/>
      <c r="K44" s="60"/>
      <c r="L44" s="118"/>
      <c r="M44" s="549"/>
      <c r="P44" s="817" t="s">
        <v>61</v>
      </c>
      <c r="Q44" s="818"/>
      <c r="R44" s="27"/>
      <c r="S44" s="27"/>
      <c r="T44" s="26"/>
    </row>
    <row r="45" spans="3:22" ht="15.75" thickBot="1" x14ac:dyDescent="0.3">
      <c r="C45" s="24" t="s">
        <v>163</v>
      </c>
      <c r="D45" s="25"/>
      <c r="E45" s="25"/>
      <c r="F45" s="846"/>
      <c r="G45" s="847"/>
      <c r="I45" s="122"/>
      <c r="J45" s="511"/>
      <c r="K45" s="60"/>
      <c r="L45" s="118"/>
      <c r="M45" s="549"/>
      <c r="P45" s="44">
        <v>1</v>
      </c>
      <c r="Q45" s="69" t="s">
        <v>62</v>
      </c>
      <c r="R45" s="27"/>
      <c r="S45" s="27"/>
      <c r="T45" s="26"/>
    </row>
    <row r="46" spans="3:22" ht="15.75" thickBot="1" x14ac:dyDescent="0.3">
      <c r="C46" s="241" t="s">
        <v>43</v>
      </c>
      <c r="D46" s="242"/>
      <c r="E46" s="242"/>
      <c r="F46" s="841">
        <v>0</v>
      </c>
      <c r="G46" s="842"/>
      <c r="I46" s="848" t="s">
        <v>44</v>
      </c>
      <c r="J46" s="849"/>
      <c r="K46" s="850"/>
      <c r="L46" s="125">
        <f>SUM(L39:L45)</f>
        <v>0</v>
      </c>
      <c r="M46" s="550"/>
      <c r="P46" s="44">
        <v>2</v>
      </c>
      <c r="Q46" s="69" t="s">
        <v>110</v>
      </c>
      <c r="R46" s="27"/>
      <c r="S46" s="27"/>
      <c r="T46" s="26"/>
    </row>
    <row r="47" spans="3:22" ht="15.75" thickBot="1" x14ac:dyDescent="0.3">
      <c r="C47" s="792" t="s">
        <v>45</v>
      </c>
      <c r="D47" s="793"/>
      <c r="E47" s="813"/>
      <c r="F47" s="814">
        <f>SUM(F38:G46)</f>
        <v>0</v>
      </c>
      <c r="G47" s="815"/>
      <c r="I47" s="19"/>
      <c r="J47" s="126"/>
      <c r="K47" s="126"/>
      <c r="L47" s="127"/>
      <c r="M47" s="127"/>
      <c r="N47" s="19"/>
      <c r="P47" s="71">
        <v>3</v>
      </c>
      <c r="Q47" s="72" t="s">
        <v>109</v>
      </c>
      <c r="R47" s="27"/>
      <c r="S47" s="27"/>
      <c r="T47" s="26"/>
    </row>
    <row r="48" spans="3:22" ht="12" customHeight="1" thickBot="1" x14ac:dyDescent="0.3">
      <c r="I48" s="19"/>
      <c r="J48" s="19"/>
      <c r="K48" s="19"/>
      <c r="L48" s="19"/>
      <c r="M48" s="19"/>
      <c r="P48" s="27"/>
      <c r="Q48" s="27"/>
      <c r="R48" s="27"/>
      <c r="S48" s="27"/>
      <c r="T48" s="26"/>
    </row>
    <row r="49" spans="3:21" ht="33" customHeight="1" x14ac:dyDescent="0.25">
      <c r="C49" s="28" t="s">
        <v>46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P49" s="27"/>
      <c r="Q49" s="27"/>
      <c r="R49" s="27"/>
      <c r="S49" s="27"/>
      <c r="T49" s="26"/>
    </row>
    <row r="50" spans="3:21" ht="15" x14ac:dyDescent="0.25">
      <c r="C50" s="31"/>
      <c r="N50" s="32"/>
      <c r="P50" s="27"/>
      <c r="Q50" s="27"/>
      <c r="R50" s="27"/>
      <c r="S50" s="27"/>
      <c r="T50" s="26"/>
    </row>
    <row r="51" spans="3:21" ht="15.75" thickBot="1" x14ac:dyDescent="0.3"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P51" s="27"/>
      <c r="Q51" s="27"/>
      <c r="R51" s="27"/>
      <c r="S51" s="27"/>
      <c r="T51" s="27"/>
      <c r="U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5" x14ac:dyDescent="0.25">
      <c r="P53" s="27"/>
      <c r="Q53" s="27"/>
      <c r="R53" s="27"/>
      <c r="S53" s="27"/>
      <c r="T53" s="27"/>
      <c r="U53" s="26"/>
    </row>
    <row r="54" spans="3:21" ht="13.5" thickBot="1" x14ac:dyDescent="0.25">
      <c r="P54" s="27"/>
      <c r="Q54" s="27"/>
      <c r="R54" s="27"/>
      <c r="S54" s="27"/>
      <c r="T54" s="27"/>
    </row>
    <row r="55" spans="3:21" ht="13.5" thickTop="1" x14ac:dyDescent="0.2">
      <c r="D55" s="816" t="s">
        <v>47</v>
      </c>
      <c r="E55" s="816"/>
      <c r="F55" s="816"/>
      <c r="G55" s="816"/>
      <c r="H55" s="816"/>
      <c r="J55" s="237" t="s">
        <v>48</v>
      </c>
      <c r="K55" s="237"/>
      <c r="L55" s="237"/>
      <c r="M55" s="237"/>
      <c r="N55" s="237"/>
      <c r="P55" s="812"/>
      <c r="Q55" s="812"/>
      <c r="R55" s="812"/>
      <c r="S55" s="812"/>
      <c r="T55" s="812"/>
    </row>
    <row r="56" spans="3:21" x14ac:dyDescent="0.2">
      <c r="P56" s="812"/>
      <c r="Q56" s="812"/>
      <c r="R56" s="812"/>
      <c r="S56" s="812"/>
      <c r="T56" s="812"/>
    </row>
    <row r="57" spans="3:21" x14ac:dyDescent="0.2">
      <c r="P57" s="812"/>
      <c r="Q57" s="812"/>
      <c r="R57" s="812"/>
      <c r="S57" s="812"/>
      <c r="T57" s="812"/>
    </row>
    <row r="58" spans="3:21" x14ac:dyDescent="0.2">
      <c r="P58" s="812"/>
      <c r="Q58" s="812"/>
      <c r="R58" s="812"/>
      <c r="S58" s="812"/>
      <c r="T58" s="812"/>
    </row>
    <row r="59" spans="3:21" ht="15" customHeight="1" x14ac:dyDescent="0.2">
      <c r="P59" s="36"/>
      <c r="Q59" s="36"/>
      <c r="R59" s="36"/>
      <c r="S59" s="36"/>
      <c r="T59" s="36"/>
    </row>
  </sheetData>
  <mergeCells count="47">
    <mergeCell ref="P44:Q44"/>
    <mergeCell ref="F45:G45"/>
    <mergeCell ref="P57:T57"/>
    <mergeCell ref="P58:T58"/>
    <mergeCell ref="C47:E47"/>
    <mergeCell ref="F47:G47"/>
    <mergeCell ref="D55:H55"/>
    <mergeCell ref="P55:T55"/>
    <mergeCell ref="P56:T56"/>
    <mergeCell ref="I46:K46"/>
    <mergeCell ref="C39:E39"/>
    <mergeCell ref="F39:G39"/>
    <mergeCell ref="C40:E40"/>
    <mergeCell ref="F40:G40"/>
    <mergeCell ref="F46:G46"/>
    <mergeCell ref="C41:E41"/>
    <mergeCell ref="F41:G41"/>
    <mergeCell ref="C42:E42"/>
    <mergeCell ref="F42:G42"/>
    <mergeCell ref="C43:E43"/>
    <mergeCell ref="F43:G43"/>
    <mergeCell ref="F44:G44"/>
    <mergeCell ref="C37:G37"/>
    <mergeCell ref="O37:P37"/>
    <mergeCell ref="C38:E38"/>
    <mergeCell ref="F38:G38"/>
    <mergeCell ref="I37:L37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Q37:S37"/>
    <mergeCell ref="Q2:S2"/>
    <mergeCell ref="I3:O3"/>
    <mergeCell ref="Q3:S3"/>
    <mergeCell ref="I4:O4"/>
    <mergeCell ref="I5:O5"/>
    <mergeCell ref="Q5:S5"/>
    <mergeCell ref="Q4:S4"/>
  </mergeCells>
  <pageMargins left="0.19685039370078741" right="0" top="0.35433070866141736" bottom="0.35433070866141736" header="0.31496062992125984" footer="0.31496062992125984"/>
  <pageSetup paperSize="9" scale="77" fitToWidth="0" orientation="landscape" horizontalDpi="300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16"/>
  <dimension ref="C1:Y58"/>
  <sheetViews>
    <sheetView topLeftCell="A2" zoomScale="90" zoomScaleNormal="90" workbookViewId="0">
      <selection activeCell="T22" sqref="T22"/>
    </sheetView>
  </sheetViews>
  <sheetFormatPr baseColWidth="10" defaultColWidth="9.140625" defaultRowHeight="12.75" x14ac:dyDescent="0.2"/>
  <cols>
    <col min="1" max="1" width="3.7109375" customWidth="1"/>
    <col min="2" max="2" width="4.42578125" customWidth="1"/>
    <col min="3" max="3" width="11.855468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2.140625" customWidth="1"/>
    <col min="9" max="9" width="12.28515625" customWidth="1"/>
    <col min="10" max="10" width="10" customWidth="1"/>
    <col min="11" max="11" width="9.7109375" customWidth="1"/>
    <col min="12" max="13" width="12.28515625" customWidth="1"/>
    <col min="14" max="14" width="8" bestFit="1" customWidth="1"/>
    <col min="15" max="15" width="10.7109375" customWidth="1"/>
    <col min="16" max="16" width="8.5703125" bestFit="1" customWidth="1"/>
    <col min="17" max="17" width="12.140625" bestFit="1" customWidth="1"/>
    <col min="18" max="18" width="10" style="217" customWidth="1"/>
    <col min="19" max="19" width="9.7109375" customWidth="1"/>
    <col min="20" max="20" width="12" customWidth="1"/>
    <col min="21" max="21" width="8.140625" customWidth="1"/>
    <col min="22" max="22" width="7" customWidth="1"/>
    <col min="23" max="23" width="7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6" t="s">
        <v>0</v>
      </c>
      <c r="R2" s="797"/>
      <c r="S2" s="798"/>
    </row>
    <row r="3" spans="4:19" ht="19.5" thickBot="1" x14ac:dyDescent="0.35">
      <c r="I3" s="799" t="s">
        <v>1</v>
      </c>
      <c r="J3" s="800"/>
      <c r="K3" s="800"/>
      <c r="L3" s="800"/>
      <c r="M3" s="800"/>
      <c r="N3" s="800"/>
      <c r="O3" s="801"/>
      <c r="Q3" s="802">
        <f>+'CERDA HERNANDEZ JOSE LUIS'!Q3</f>
        <v>42</v>
      </c>
      <c r="R3" s="803"/>
      <c r="S3" s="804"/>
    </row>
    <row r="4" spans="4:19" ht="16.5" thickBot="1" x14ac:dyDescent="0.3">
      <c r="I4" s="805" t="s">
        <v>2</v>
      </c>
      <c r="J4" s="806"/>
      <c r="K4" s="806"/>
      <c r="L4" s="806"/>
      <c r="M4" s="806"/>
      <c r="N4" s="806"/>
      <c r="O4" s="807"/>
      <c r="Q4" s="811"/>
      <c r="R4" s="811"/>
      <c r="S4" s="811"/>
    </row>
    <row r="5" spans="4:19" ht="13.5" thickBot="1" x14ac:dyDescent="0.25">
      <c r="I5" s="808" t="s">
        <v>3</v>
      </c>
      <c r="J5" s="809"/>
      <c r="K5" s="809"/>
      <c r="L5" s="809"/>
      <c r="M5" s="809"/>
      <c r="N5" s="809"/>
      <c r="O5" s="810"/>
      <c r="Q5" s="783" t="s">
        <v>4</v>
      </c>
      <c r="R5" s="784"/>
      <c r="S5" s="785"/>
    </row>
    <row r="6" spans="4:19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780">
        <f>+'GRIJALVA VALDEZ CESAR EUSEBIO'!Q6+1</f>
        <v>12</v>
      </c>
      <c r="R6" s="781"/>
      <c r="S6" s="782"/>
    </row>
    <row r="7" spans="4:19" ht="9" customHeight="1" x14ac:dyDescent="0.2"/>
    <row r="8" spans="4:19" ht="6.75" customHeight="1" thickBot="1" x14ac:dyDescent="0.25"/>
    <row r="9" spans="4:19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19" ht="11.25" customHeight="1" thickBot="1" x14ac:dyDescent="0.25"/>
    <row r="11" spans="4:19" x14ac:dyDescent="0.2">
      <c r="D11" s="1" t="s">
        <v>7</v>
      </c>
      <c r="E11" s="2" t="s">
        <v>230</v>
      </c>
      <c r="F11" s="2"/>
      <c r="G11" s="2"/>
      <c r="H11" s="2"/>
      <c r="I11" s="2"/>
      <c r="J11" s="3"/>
      <c r="K11" s="4" t="s">
        <v>9</v>
      </c>
      <c r="L11" s="786" t="str">
        <f>+NOMINA!B3</f>
        <v>SEMANA #42 PERIODO DEL 06 AL 12 DE OCTUBRE  DEL 2025</v>
      </c>
      <c r="M11" s="786"/>
      <c r="N11" s="786"/>
      <c r="O11" s="786"/>
      <c r="P11" s="786"/>
      <c r="Q11" s="786"/>
      <c r="R11" s="786"/>
      <c r="S11" s="787"/>
    </row>
    <row r="12" spans="4:19" x14ac:dyDescent="0.2">
      <c r="D12" s="5" t="s">
        <v>10</v>
      </c>
      <c r="E12" s="788" t="s">
        <v>55</v>
      </c>
      <c r="F12" s="78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218"/>
      <c r="S12" s="8"/>
    </row>
    <row r="13" spans="4:19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218"/>
      <c r="S13" s="8"/>
    </row>
    <row r="14" spans="4:19" x14ac:dyDescent="0.2">
      <c r="D14" s="790" t="s">
        <v>11</v>
      </c>
      <c r="E14" s="791"/>
      <c r="F14" s="7">
        <v>449468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219"/>
      <c r="S14" s="11"/>
    </row>
    <row r="15" spans="4:19" x14ac:dyDescent="0.2">
      <c r="D15" s="790" t="s">
        <v>14</v>
      </c>
      <c r="E15" s="791"/>
      <c r="F15" s="7">
        <v>451575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218"/>
      <c r="S15" s="8"/>
    </row>
    <row r="16" spans="4:19" ht="13.5" thickBot="1" x14ac:dyDescent="0.25">
      <c r="D16" s="792" t="s">
        <v>17</v>
      </c>
      <c r="E16" s="793"/>
      <c r="F16" s="12">
        <f>SUM(J19:J32)</f>
        <v>0</v>
      </c>
      <c r="G16" s="12"/>
      <c r="H16" s="12"/>
      <c r="I16" s="13" t="s">
        <v>18</v>
      </c>
      <c r="J16" s="12">
        <f>SUM(K19:K32)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220"/>
      <c r="S16" s="16"/>
    </row>
    <row r="17" spans="3:25" ht="7.5" customHeight="1" thickBot="1" x14ac:dyDescent="0.25">
      <c r="R17"/>
    </row>
    <row r="18" spans="3:25" ht="33" customHeight="1" thickBot="1" x14ac:dyDescent="0.25">
      <c r="C18" s="323" t="s">
        <v>20</v>
      </c>
      <c r="D18" s="267" t="s">
        <v>21</v>
      </c>
      <c r="E18" s="273" t="s">
        <v>22</v>
      </c>
      <c r="F18" s="273" t="s">
        <v>23</v>
      </c>
      <c r="G18" s="273" t="s">
        <v>24</v>
      </c>
      <c r="H18" s="273" t="s">
        <v>25</v>
      </c>
      <c r="I18" s="273" t="s">
        <v>26</v>
      </c>
      <c r="J18" s="273" t="s">
        <v>27</v>
      </c>
      <c r="K18" s="273" t="s">
        <v>28</v>
      </c>
      <c r="L18" s="273" t="s">
        <v>29</v>
      </c>
      <c r="M18" s="273" t="s">
        <v>285</v>
      </c>
      <c r="N18" s="273" t="s">
        <v>30</v>
      </c>
      <c r="O18" s="273" t="s">
        <v>31</v>
      </c>
      <c r="P18" s="267" t="s">
        <v>32</v>
      </c>
      <c r="Q18" s="273" t="s">
        <v>207</v>
      </c>
      <c r="R18" s="274" t="s">
        <v>164</v>
      </c>
      <c r="S18" s="273" t="s">
        <v>34</v>
      </c>
      <c r="T18" s="274" t="s">
        <v>208</v>
      </c>
    </row>
    <row r="19" spans="3:25" x14ac:dyDescent="0.2">
      <c r="C19" s="48"/>
      <c r="D19" s="294"/>
      <c r="E19" s="294"/>
      <c r="F19" s="294"/>
      <c r="G19" s="293"/>
      <c r="H19" s="197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$63))))))))))))))))))))))))))))))))))))))))))))))))))))))))))))</f>
        <v>0</v>
      </c>
      <c r="I19" s="180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$63))))))))))))))))))))))))))))))))))))))))))))))))))))))))))))</f>
        <v>0</v>
      </c>
      <c r="J19" s="181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$63))))))))))))))))))))))))))))))))))))))))))))))))))))))))))))</f>
        <v>0</v>
      </c>
      <c r="K19" s="180"/>
      <c r="L19" s="295"/>
      <c r="M19" s="295"/>
      <c r="N19" s="180"/>
      <c r="O19" s="294"/>
      <c r="P19" s="180"/>
      <c r="Q19" s="296">
        <f>+J19*1.45</f>
        <v>0</v>
      </c>
      <c r="R19" s="297"/>
      <c r="S19" s="308"/>
      <c r="T19" s="298"/>
      <c r="X19" t="s">
        <v>29</v>
      </c>
      <c r="Y19" t="s">
        <v>245</v>
      </c>
    </row>
    <row r="20" spans="3:25" x14ac:dyDescent="0.2">
      <c r="C20" s="39"/>
      <c r="D20" s="300"/>
      <c r="E20" s="300"/>
      <c r="F20" s="300"/>
      <c r="G20" s="299"/>
      <c r="H20" s="278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$63))))))))))))))))))))))))))))))))))))))))))))))))))))))))))))</f>
        <v>0</v>
      </c>
      <c r="I20" s="113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$63))))))))))))))))))))))))))))))))))))))))))))))))))))))))))))</f>
        <v>0</v>
      </c>
      <c r="J20" s="11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$63))))))))))))))))))))))))))))))))))))))))))))))))))))))))))))</f>
        <v>0</v>
      </c>
      <c r="K20" s="113"/>
      <c r="L20" s="301"/>
      <c r="M20" s="301"/>
      <c r="N20" s="113"/>
      <c r="O20" s="300"/>
      <c r="P20" s="113"/>
      <c r="Q20" s="302">
        <f t="shared" ref="Q20:Q21" si="0">+J20*1.45</f>
        <v>0</v>
      </c>
      <c r="R20" s="251"/>
      <c r="S20" s="310"/>
      <c r="T20" s="304"/>
      <c r="W20">
        <v>1</v>
      </c>
      <c r="X20" s="23">
        <v>2.9</v>
      </c>
      <c r="Y20" s="546">
        <v>16</v>
      </c>
    </row>
    <row r="21" spans="3:25" ht="13.5" thickBot="1" x14ac:dyDescent="0.25">
      <c r="C21" s="40"/>
      <c r="D21" s="283"/>
      <c r="E21" s="284"/>
      <c r="F21" s="284"/>
      <c r="G21" s="283"/>
      <c r="H21" s="115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$63))))))))))))))))))))))))))))))))))))))))))))))))))))))))))))</f>
        <v>0</v>
      </c>
      <c r="I21" s="106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$63))))))))))))))))))))))))))))))))))))))))))))))))))))))))))))</f>
        <v>0</v>
      </c>
      <c r="J21" s="107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$63))))))))))))))))))))))))))))))))))))))))))))))))))))))))))))</f>
        <v>0</v>
      </c>
      <c r="K21" s="106"/>
      <c r="L21" s="255" t="e">
        <f>SUM(J19:J21)/K21</f>
        <v>#DIV/0!</v>
      </c>
      <c r="M21" s="255"/>
      <c r="N21" s="106"/>
      <c r="O21" s="106"/>
      <c r="P21" s="106"/>
      <c r="Q21" s="256">
        <f t="shared" si="0"/>
        <v>0</v>
      </c>
      <c r="R21" s="216" t="e">
        <f>+LOOKUP(P40,UNIDADES!B$3:B$73,UNIDADES!C$3:C$73)</f>
        <v>#N/A</v>
      </c>
      <c r="S21" s="312" t="e">
        <f>((SUM(J19:J21)/R21))-K21</f>
        <v>#N/A</v>
      </c>
      <c r="T21" s="257">
        <f>(IF(M21=1,(S21*16)))+(IF(M21=2,(S21*17.26))+(IF(M21=3,(S21*17.66))+(IF(M21=4,(S21*18.06))+(IF(M21=5,(S21*18.46))+(IF(M21=6,(S21*18.86))+(IF(M21=7,(S21*19.26))))))))</f>
        <v>0</v>
      </c>
      <c r="W21">
        <v>2</v>
      </c>
      <c r="X21" s="23">
        <v>3</v>
      </c>
      <c r="Y21" s="546">
        <v>17.260000000000002</v>
      </c>
    </row>
    <row r="22" spans="3:25" x14ac:dyDescent="0.2">
      <c r="C22" s="52"/>
      <c r="D22" s="280"/>
      <c r="E22" s="280"/>
      <c r="F22" s="280"/>
      <c r="G22" s="279"/>
      <c r="H22" s="179"/>
      <c r="I22" s="131"/>
      <c r="J22" s="132"/>
      <c r="K22" s="131"/>
      <c r="L22" s="193"/>
      <c r="M22" s="193"/>
      <c r="N22" s="131"/>
      <c r="O22" s="280"/>
      <c r="P22" s="131"/>
      <c r="Q22" s="194"/>
      <c r="R22" s="215"/>
      <c r="S22" s="306"/>
      <c r="T22" s="196"/>
      <c r="W22">
        <v>3</v>
      </c>
      <c r="X22" s="23">
        <v>3.1</v>
      </c>
      <c r="Y22" s="546">
        <v>17.66</v>
      </c>
    </row>
    <row r="23" spans="3:25" ht="13.5" thickBot="1" x14ac:dyDescent="0.25">
      <c r="C23" s="40"/>
      <c r="D23" s="283"/>
      <c r="E23" s="284"/>
      <c r="F23" s="284"/>
      <c r="G23" s="283"/>
      <c r="H23" s="115"/>
      <c r="I23" s="106"/>
      <c r="J23" s="107"/>
      <c r="K23" s="106"/>
      <c r="L23" s="255"/>
      <c r="M23" s="255"/>
      <c r="N23" s="106"/>
      <c r="O23" s="106"/>
      <c r="P23" s="106"/>
      <c r="Q23" s="256"/>
      <c r="R23" s="216"/>
      <c r="S23" s="312"/>
      <c r="T23" s="257"/>
      <c r="W23">
        <v>4</v>
      </c>
      <c r="X23" s="23">
        <v>3.2</v>
      </c>
      <c r="Y23" s="546">
        <v>18.059999999999999</v>
      </c>
    </row>
    <row r="24" spans="3:25" x14ac:dyDescent="0.2">
      <c r="C24" s="48"/>
      <c r="D24" s="293"/>
      <c r="E24" s="294"/>
      <c r="F24" s="294"/>
      <c r="G24" s="293"/>
      <c r="H24" s="197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08"/>
      <c r="T24" s="298"/>
      <c r="W24">
        <v>5</v>
      </c>
      <c r="X24" s="23">
        <v>3.3</v>
      </c>
      <c r="Y24" s="546">
        <v>18.46</v>
      </c>
    </row>
    <row r="25" spans="3:25" x14ac:dyDescent="0.2">
      <c r="C25" s="39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304"/>
      <c r="W25">
        <v>6</v>
      </c>
      <c r="X25" s="23">
        <v>3.4</v>
      </c>
      <c r="Y25" s="546">
        <v>18.86</v>
      </c>
    </row>
    <row r="26" spans="3:25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304"/>
      <c r="W26">
        <v>7</v>
      </c>
      <c r="X26" s="23">
        <v>3.5</v>
      </c>
      <c r="Y26" s="546">
        <v>19.260000000000002</v>
      </c>
    </row>
    <row r="27" spans="3:25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5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304"/>
    </row>
    <row r="29" spans="3:25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304"/>
    </row>
    <row r="30" spans="3:25" x14ac:dyDescent="0.2">
      <c r="C30" s="39"/>
      <c r="D30" s="299"/>
      <c r="E30" s="300"/>
      <c r="F30" s="300"/>
      <c r="G30" s="299"/>
      <c r="H30" s="278"/>
      <c r="I30" s="113"/>
      <c r="J30" s="114"/>
      <c r="K30" s="113"/>
      <c r="L30" s="301"/>
      <c r="M30" s="301"/>
      <c r="N30" s="113"/>
      <c r="O30" s="113"/>
      <c r="P30" s="113"/>
      <c r="Q30" s="302"/>
      <c r="R30" s="251"/>
      <c r="S30" s="310"/>
      <c r="T30" s="304"/>
    </row>
    <row r="31" spans="3:25" x14ac:dyDescent="0.2">
      <c r="C31" s="39"/>
      <c r="D31" s="299"/>
      <c r="E31" s="300"/>
      <c r="F31" s="300"/>
      <c r="G31" s="299"/>
      <c r="H31" s="278"/>
      <c r="I31" s="113"/>
      <c r="J31" s="114"/>
      <c r="K31" s="113"/>
      <c r="L31" s="301"/>
      <c r="M31" s="301"/>
      <c r="N31" s="113"/>
      <c r="O31" s="113"/>
      <c r="P31" s="113"/>
      <c r="Q31" s="302"/>
      <c r="R31" s="251"/>
      <c r="S31" s="310"/>
      <c r="T31" s="304"/>
    </row>
    <row r="32" spans="3:25" ht="13.5" thickBot="1" x14ac:dyDescent="0.25">
      <c r="C32" s="40"/>
      <c r="D32" s="283"/>
      <c r="E32" s="284"/>
      <c r="F32" s="284"/>
      <c r="G32" s="283"/>
      <c r="H32" s="115"/>
      <c r="I32" s="106"/>
      <c r="J32" s="107"/>
      <c r="K32" s="106"/>
      <c r="L32" s="255"/>
      <c r="M32" s="255"/>
      <c r="N32" s="106"/>
      <c r="O32" s="106"/>
      <c r="P32" s="106"/>
      <c r="Q32" s="256"/>
      <c r="R32" s="216"/>
      <c r="S32" s="312"/>
      <c r="T32" s="257"/>
    </row>
    <row r="33" spans="3:22" ht="13.5" thickBot="1" x14ac:dyDescent="0.25">
      <c r="C33" s="22"/>
      <c r="D33" s="22"/>
      <c r="E33" s="22"/>
      <c r="F33" s="22"/>
      <c r="G33" s="22"/>
      <c r="H33" s="22"/>
      <c r="I33" s="182"/>
      <c r="J33" s="22"/>
      <c r="K33" s="22"/>
      <c r="L33" s="22"/>
      <c r="M33" s="22"/>
      <c r="N33" s="22"/>
      <c r="O33" s="22"/>
      <c r="P33" s="22"/>
      <c r="Q33" s="22"/>
      <c r="R33" s="305"/>
      <c r="S33" s="22"/>
      <c r="T33" s="22"/>
    </row>
    <row r="34" spans="3:22" x14ac:dyDescent="0.2">
      <c r="E34" s="794" t="s">
        <v>35</v>
      </c>
      <c r="F34" s="773">
        <f>+'GRIJALVA VALDEZ CESAR EUSEBIO'!F29:G29</f>
        <v>45936</v>
      </c>
      <c r="G34" s="774"/>
      <c r="H34" s="20">
        <f>+F34+1</f>
        <v>45937</v>
      </c>
      <c r="I34" s="20">
        <f>+H34+1</f>
        <v>45938</v>
      </c>
      <c r="J34" s="20">
        <f>+I34+1</f>
        <v>45939</v>
      </c>
      <c r="K34" s="20">
        <f>+J34+1</f>
        <v>45940</v>
      </c>
      <c r="L34" s="20">
        <f>+K34+2</f>
        <v>45942</v>
      </c>
      <c r="M34" s="547"/>
      <c r="N34" s="21" t="s">
        <v>84</v>
      </c>
    </row>
    <row r="35" spans="3:22" ht="13.5" thickBot="1" x14ac:dyDescent="0.25">
      <c r="C35" s="22"/>
      <c r="E35" s="795"/>
      <c r="F35" s="775">
        <v>0</v>
      </c>
      <c r="G35" s="776"/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548"/>
      <c r="N35" s="61">
        <f>SUM(F35:L35)</f>
        <v>0</v>
      </c>
      <c r="S35" s="77"/>
    </row>
    <row r="36" spans="3:22" ht="13.5" thickBot="1" x14ac:dyDescent="0.25">
      <c r="I36" s="23"/>
    </row>
    <row r="37" spans="3:22" ht="15.75" thickBot="1" x14ac:dyDescent="0.3">
      <c r="C37" s="825" t="s">
        <v>37</v>
      </c>
      <c r="D37" s="826"/>
      <c r="E37" s="826"/>
      <c r="F37" s="826"/>
      <c r="G37" s="827"/>
      <c r="I37" s="838" t="s">
        <v>38</v>
      </c>
      <c r="J37" s="839"/>
      <c r="K37" s="839"/>
      <c r="L37" s="840"/>
      <c r="M37" s="545"/>
      <c r="O37" s="828" t="s">
        <v>39</v>
      </c>
      <c r="P37" s="829"/>
      <c r="Q37" s="958">
        <f>+F47-L45</f>
        <v>0</v>
      </c>
      <c r="R37" s="866"/>
      <c r="S37" s="867"/>
    </row>
    <row r="38" spans="3:22" ht="13.5" thickBot="1" x14ac:dyDescent="0.25">
      <c r="C38" s="833" t="s">
        <v>207</v>
      </c>
      <c r="D38" s="834"/>
      <c r="E38" s="835"/>
      <c r="F38" s="836">
        <f>SUM(Q19:Q32)</f>
        <v>0</v>
      </c>
      <c r="G38" s="837"/>
      <c r="I38" s="417" t="s">
        <v>106</v>
      </c>
      <c r="J38" s="418" t="s">
        <v>107</v>
      </c>
      <c r="K38" s="418" t="s">
        <v>69</v>
      </c>
      <c r="L38" s="416" t="s">
        <v>108</v>
      </c>
      <c r="M38" s="549"/>
    </row>
    <row r="39" spans="3:22" ht="13.5" thickBot="1" x14ac:dyDescent="0.25">
      <c r="C39" s="843" t="s">
        <v>208</v>
      </c>
      <c r="D39" s="844"/>
      <c r="E39" s="845"/>
      <c r="F39" s="846">
        <v>0</v>
      </c>
      <c r="G39" s="847"/>
      <c r="I39" s="420"/>
      <c r="J39" s="421"/>
      <c r="K39" s="131"/>
      <c r="L39" s="415"/>
      <c r="M39" s="549"/>
      <c r="O39" s="62"/>
      <c r="P39" s="63"/>
      <c r="Q39" s="64" t="s">
        <v>71</v>
      </c>
      <c r="R39" s="221"/>
      <c r="S39" s="65" t="s">
        <v>72</v>
      </c>
      <c r="T39" s="63" t="s">
        <v>73</v>
      </c>
      <c r="U39" s="154"/>
      <c r="V39" s="21"/>
    </row>
    <row r="40" spans="3:22" x14ac:dyDescent="0.2">
      <c r="C40" s="843" t="s">
        <v>35</v>
      </c>
      <c r="D40" s="844"/>
      <c r="E40" s="845"/>
      <c r="F40" s="846">
        <v>0</v>
      </c>
      <c r="G40" s="847"/>
      <c r="I40" s="124"/>
      <c r="J40" s="235"/>
      <c r="K40" s="113"/>
      <c r="L40" s="118"/>
      <c r="M40" s="549"/>
      <c r="O40" s="66"/>
      <c r="P40" s="67"/>
      <c r="Q40" s="51"/>
      <c r="R40" s="222"/>
      <c r="S40" s="51"/>
      <c r="T40" s="67">
        <f>+S40-Q40</f>
        <v>0</v>
      </c>
      <c r="U40" s="155"/>
      <c r="V40" s="156"/>
    </row>
    <row r="41" spans="3:22" x14ac:dyDescent="0.2">
      <c r="C41" s="843" t="s">
        <v>40</v>
      </c>
      <c r="D41" s="844"/>
      <c r="E41" s="845"/>
      <c r="F41" s="846">
        <v>0</v>
      </c>
      <c r="G41" s="847"/>
      <c r="I41" s="124"/>
      <c r="J41" s="235"/>
      <c r="K41" s="60"/>
      <c r="L41" s="118"/>
      <c r="M41" s="549"/>
      <c r="O41" s="44"/>
      <c r="P41" s="69"/>
      <c r="Q41" s="70"/>
      <c r="R41" s="223"/>
      <c r="S41" s="17"/>
      <c r="T41" s="69">
        <f>+S41-Q41</f>
        <v>0</v>
      </c>
      <c r="U41" s="157"/>
      <c r="V41" s="156"/>
    </row>
    <row r="42" spans="3:22" ht="13.5" thickBot="1" x14ac:dyDescent="0.25">
      <c r="C42" s="843" t="s">
        <v>41</v>
      </c>
      <c r="D42" s="844"/>
      <c r="E42" s="845"/>
      <c r="F42" s="846">
        <v>0</v>
      </c>
      <c r="G42" s="847"/>
      <c r="I42" s="124"/>
      <c r="J42" s="60"/>
      <c r="K42" s="60"/>
      <c r="L42" s="118"/>
      <c r="M42" s="549"/>
      <c r="O42" s="71"/>
      <c r="P42" s="72"/>
      <c r="Q42" s="73"/>
      <c r="R42" s="224"/>
      <c r="S42" s="41"/>
      <c r="T42" s="72"/>
      <c r="U42" s="158"/>
      <c r="V42" s="159"/>
    </row>
    <row r="43" spans="3:22" ht="15.75" thickBot="1" x14ac:dyDescent="0.3">
      <c r="C43" s="843" t="s">
        <v>42</v>
      </c>
      <c r="D43" s="844"/>
      <c r="E43" s="845"/>
      <c r="F43" s="846">
        <v>0</v>
      </c>
      <c r="G43" s="847"/>
      <c r="I43" s="124"/>
      <c r="J43" s="60"/>
      <c r="K43" s="60"/>
      <c r="L43" s="118"/>
      <c r="M43" s="549"/>
      <c r="P43" s="27"/>
      <c r="Q43" s="27"/>
      <c r="R43" s="225"/>
      <c r="S43" s="27"/>
      <c r="T43" s="27"/>
      <c r="U43" s="26"/>
    </row>
    <row r="44" spans="3:22" ht="15.75" thickBot="1" x14ac:dyDescent="0.3">
      <c r="C44" s="97" t="s">
        <v>209</v>
      </c>
      <c r="D44" s="25"/>
      <c r="E44" s="25"/>
      <c r="F44" s="846">
        <v>0</v>
      </c>
      <c r="G44" s="847"/>
      <c r="I44" s="422"/>
      <c r="J44" s="59"/>
      <c r="K44" s="59"/>
      <c r="L44" s="119"/>
      <c r="M44" s="549"/>
      <c r="P44" s="817" t="s">
        <v>61</v>
      </c>
      <c r="Q44" s="818"/>
      <c r="R44" s="27"/>
      <c r="S44" s="27"/>
      <c r="T44" s="26"/>
    </row>
    <row r="45" spans="3:22" ht="15.75" thickBot="1" x14ac:dyDescent="0.3">
      <c r="C45" s="24" t="s">
        <v>163</v>
      </c>
      <c r="D45" s="25"/>
      <c r="E45" s="25"/>
      <c r="F45" s="846">
        <v>0</v>
      </c>
      <c r="G45" s="847"/>
      <c r="I45" s="860" t="s">
        <v>44</v>
      </c>
      <c r="J45" s="861"/>
      <c r="K45" s="862"/>
      <c r="L45" s="419">
        <f>SUM(L39:L44)</f>
        <v>0</v>
      </c>
      <c r="M45" s="550"/>
      <c r="P45" s="44">
        <v>1</v>
      </c>
      <c r="Q45" s="69" t="s">
        <v>62</v>
      </c>
      <c r="R45" s="27"/>
      <c r="S45" s="27"/>
      <c r="T45" s="26"/>
    </row>
    <row r="46" spans="3:22" ht="15.75" thickBot="1" x14ac:dyDescent="0.3">
      <c r="C46" s="241" t="s">
        <v>43</v>
      </c>
      <c r="D46" s="242"/>
      <c r="E46" s="242"/>
      <c r="F46" s="841">
        <v>0</v>
      </c>
      <c r="G46" s="842"/>
      <c r="N46" s="19"/>
      <c r="P46" s="44">
        <v>2</v>
      </c>
      <c r="Q46" s="69" t="s">
        <v>110</v>
      </c>
      <c r="R46" s="27"/>
      <c r="S46" s="26"/>
    </row>
    <row r="47" spans="3:22" ht="15.75" thickBot="1" x14ac:dyDescent="0.3">
      <c r="C47" s="792" t="s">
        <v>45</v>
      </c>
      <c r="D47" s="793"/>
      <c r="E47" s="813"/>
      <c r="F47" s="814">
        <f>SUM(F38:G46)</f>
        <v>0</v>
      </c>
      <c r="G47" s="815"/>
      <c r="P47" s="71">
        <v>3</v>
      </c>
      <c r="Q47" s="72" t="s">
        <v>109</v>
      </c>
      <c r="R47" s="27"/>
      <c r="S47" s="27"/>
      <c r="T47" s="26"/>
    </row>
    <row r="48" spans="3:22" ht="15.75" thickBot="1" x14ac:dyDescent="0.3">
      <c r="P48" s="27"/>
      <c r="Q48" s="27"/>
      <c r="R48" s="27"/>
      <c r="S48" s="27"/>
      <c r="T48" s="26"/>
    </row>
    <row r="49" spans="3:21" ht="15" x14ac:dyDescent="0.25">
      <c r="C49" s="28" t="s">
        <v>46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P49" s="27"/>
      <c r="Q49" s="27"/>
      <c r="R49" s="27"/>
      <c r="S49" s="27"/>
      <c r="T49" s="26"/>
    </row>
    <row r="50" spans="3:21" ht="15" x14ac:dyDescent="0.25">
      <c r="C50" s="31"/>
      <c r="N50" s="32"/>
      <c r="P50" s="27"/>
      <c r="Q50" s="27"/>
      <c r="R50" s="225"/>
      <c r="S50" s="27"/>
      <c r="T50" s="27"/>
      <c r="U50" s="26"/>
    </row>
    <row r="51" spans="3:21" ht="15.75" thickBot="1" x14ac:dyDescent="0.3"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P51" s="27"/>
      <c r="Q51" s="27"/>
      <c r="R51" s="225"/>
      <c r="S51" s="27"/>
      <c r="T51" s="27"/>
      <c r="U51" s="26"/>
    </row>
    <row r="52" spans="3:21" ht="15" x14ac:dyDescent="0.25">
      <c r="P52" s="27"/>
      <c r="Q52" s="27"/>
      <c r="R52" s="225"/>
      <c r="S52" s="27"/>
      <c r="T52" s="27"/>
      <c r="U52" s="26"/>
    </row>
    <row r="53" spans="3:21" ht="13.5" thickBot="1" x14ac:dyDescent="0.25">
      <c r="P53" s="27"/>
      <c r="Q53" s="27"/>
      <c r="R53" s="225"/>
      <c r="S53" s="27"/>
      <c r="T53" s="27"/>
    </row>
    <row r="54" spans="3:21" ht="13.5" thickTop="1" x14ac:dyDescent="0.2">
      <c r="D54" s="816" t="s">
        <v>47</v>
      </c>
      <c r="E54" s="816"/>
      <c r="F54" s="816"/>
      <c r="G54" s="816"/>
      <c r="H54" s="816"/>
      <c r="J54" s="816" t="s">
        <v>48</v>
      </c>
      <c r="K54" s="816"/>
      <c r="L54" s="816"/>
      <c r="M54" s="816"/>
      <c r="N54" s="816"/>
      <c r="P54" s="812"/>
      <c r="Q54" s="812"/>
      <c r="R54" s="812"/>
      <c r="S54" s="812"/>
      <c r="T54" s="812"/>
    </row>
    <row r="55" spans="3:21" x14ac:dyDescent="0.2">
      <c r="P55" s="812"/>
      <c r="Q55" s="812"/>
      <c r="R55" s="812"/>
      <c r="S55" s="812"/>
      <c r="T55" s="812"/>
    </row>
    <row r="56" spans="3:21" x14ac:dyDescent="0.2">
      <c r="P56" s="812"/>
      <c r="Q56" s="812"/>
      <c r="R56" s="812"/>
      <c r="S56" s="812"/>
      <c r="T56" s="812"/>
    </row>
    <row r="57" spans="3:21" x14ac:dyDescent="0.2">
      <c r="P57" s="812"/>
      <c r="Q57" s="812"/>
      <c r="R57" s="812"/>
      <c r="S57" s="812"/>
      <c r="T57" s="812"/>
    </row>
    <row r="58" spans="3:21" ht="15" customHeight="1" x14ac:dyDescent="0.2">
      <c r="P58" s="36"/>
      <c r="Q58" s="36"/>
      <c r="R58" s="226"/>
      <c r="S58" s="36"/>
      <c r="T58" s="36"/>
    </row>
  </sheetData>
  <mergeCells count="48">
    <mergeCell ref="P54:T54"/>
    <mergeCell ref="P55:T55"/>
    <mergeCell ref="P56:T56"/>
    <mergeCell ref="P57:T57"/>
    <mergeCell ref="F44:G44"/>
    <mergeCell ref="F45:G45"/>
    <mergeCell ref="P44:Q44"/>
    <mergeCell ref="F47:G47"/>
    <mergeCell ref="F46:G46"/>
    <mergeCell ref="D54:H54"/>
    <mergeCell ref="J54:N54"/>
    <mergeCell ref="I45:K45"/>
    <mergeCell ref="C42:E42"/>
    <mergeCell ref="F42:G42"/>
    <mergeCell ref="C43:E43"/>
    <mergeCell ref="F43:G43"/>
    <mergeCell ref="C47:E47"/>
    <mergeCell ref="C39:E39"/>
    <mergeCell ref="F39:G39"/>
    <mergeCell ref="C40:E40"/>
    <mergeCell ref="F40:G40"/>
    <mergeCell ref="C41:E41"/>
    <mergeCell ref="F41:G41"/>
    <mergeCell ref="C37:G37"/>
    <mergeCell ref="O37:P37"/>
    <mergeCell ref="Q37:S37"/>
    <mergeCell ref="C38:E38"/>
    <mergeCell ref="F38:G38"/>
    <mergeCell ref="I37:L37"/>
    <mergeCell ref="D14:E14"/>
    <mergeCell ref="D15:E15"/>
    <mergeCell ref="D16:E16"/>
    <mergeCell ref="E34:E35"/>
    <mergeCell ref="F34:G34"/>
    <mergeCell ref="F35:G3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</mergeCells>
  <phoneticPr fontId="52" type="noConversion"/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11">
    <pageSetUpPr fitToPage="1"/>
  </sheetPr>
  <dimension ref="C1:Y58"/>
  <sheetViews>
    <sheetView topLeftCell="A4" zoomScale="90" zoomScaleNormal="90" workbookViewId="0">
      <selection activeCell="E12" sqref="E12:F12"/>
    </sheetView>
  </sheetViews>
  <sheetFormatPr baseColWidth="10" defaultColWidth="9.140625" defaultRowHeight="12.75" x14ac:dyDescent="0.2"/>
  <cols>
    <col min="1" max="1" width="2.140625" customWidth="1"/>
    <col min="2" max="2" width="4.42578125" customWidth="1"/>
    <col min="3" max="3" width="12" customWidth="1"/>
    <col min="4" max="4" width="12" bestFit="1" customWidth="1"/>
    <col min="5" max="5" width="8.7109375" customWidth="1"/>
    <col min="6" max="6" width="9.140625" bestFit="1" customWidth="1"/>
    <col min="7" max="7" width="3.28515625" bestFit="1" customWidth="1"/>
    <col min="8" max="8" width="10.42578125" customWidth="1"/>
    <col min="9" max="9" width="12" customWidth="1"/>
    <col min="10" max="10" width="9.85546875" bestFit="1" customWidth="1"/>
    <col min="11" max="11" width="9.42578125" customWidth="1"/>
    <col min="12" max="13" width="12.85546875" customWidth="1"/>
    <col min="14" max="14" width="8.7109375" bestFit="1" customWidth="1"/>
    <col min="15" max="15" width="10.85546875" customWidth="1"/>
    <col min="16" max="16" width="10" customWidth="1"/>
    <col min="17" max="17" width="12.140625" bestFit="1" customWidth="1"/>
    <col min="18" max="18" width="12.7109375" customWidth="1"/>
    <col min="19" max="19" width="11" bestFit="1" customWidth="1"/>
    <col min="20" max="20" width="12.5703125" customWidth="1"/>
    <col min="21" max="21" width="10.28515625" customWidth="1"/>
    <col min="22" max="22" width="7" customWidth="1"/>
    <col min="23" max="23" width="3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6" t="s">
        <v>0</v>
      </c>
      <c r="R2" s="797"/>
      <c r="S2" s="798"/>
    </row>
    <row r="3" spans="4:19" ht="19.5" thickBot="1" x14ac:dyDescent="0.35">
      <c r="I3" s="799" t="s">
        <v>1</v>
      </c>
      <c r="J3" s="800"/>
      <c r="K3" s="800"/>
      <c r="L3" s="800"/>
      <c r="M3" s="800"/>
      <c r="N3" s="800"/>
      <c r="O3" s="801"/>
      <c r="Q3" s="802">
        <f>+'SANCHEZ GUERRERO JOSE LUIS'!Q3:S3</f>
        <v>42</v>
      </c>
      <c r="R3" s="803"/>
      <c r="S3" s="804"/>
    </row>
    <row r="4" spans="4:19" ht="16.5" thickBot="1" x14ac:dyDescent="0.3">
      <c r="I4" s="805" t="s">
        <v>2</v>
      </c>
      <c r="J4" s="806"/>
      <c r="K4" s="806"/>
      <c r="L4" s="806"/>
      <c r="M4" s="806"/>
      <c r="N4" s="806"/>
      <c r="O4" s="807"/>
      <c r="Q4" s="811"/>
      <c r="R4" s="811"/>
      <c r="S4" s="811"/>
    </row>
    <row r="5" spans="4:19" ht="13.5" thickBot="1" x14ac:dyDescent="0.25">
      <c r="I5" s="808" t="s">
        <v>3</v>
      </c>
      <c r="J5" s="809"/>
      <c r="K5" s="809"/>
      <c r="L5" s="809"/>
      <c r="M5" s="809"/>
      <c r="N5" s="809"/>
      <c r="O5" s="810"/>
      <c r="Q5" s="783" t="s">
        <v>4</v>
      </c>
      <c r="R5" s="784"/>
      <c r="S5" s="785"/>
    </row>
    <row r="6" spans="4:19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780">
        <f>+'SANCHEZ GUERRERO JOSE LUIS'!Q6+1</f>
        <v>13</v>
      </c>
      <c r="R6" s="781"/>
      <c r="S6" s="782"/>
    </row>
    <row r="7" spans="4:19" ht="9" customHeight="1" x14ac:dyDescent="0.2"/>
    <row r="8" spans="4:19" ht="6.75" customHeight="1" thickBot="1" x14ac:dyDescent="0.25"/>
    <row r="9" spans="4:19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19" ht="11.25" customHeight="1" thickBot="1" x14ac:dyDescent="0.25"/>
    <row r="11" spans="4:19" x14ac:dyDescent="0.2">
      <c r="D11" s="1" t="s">
        <v>7</v>
      </c>
      <c r="E11" s="2" t="s">
        <v>268</v>
      </c>
      <c r="F11" s="2"/>
      <c r="G11" s="2"/>
      <c r="H11" s="2"/>
      <c r="I11" s="2"/>
      <c r="J11" s="3"/>
      <c r="K11" s="4" t="s">
        <v>9</v>
      </c>
      <c r="L11" s="786" t="str">
        <f>+NOMINA!B3</f>
        <v>SEMANA #42 PERIODO DEL 06 AL 12 DE OCTUBRE  DEL 2025</v>
      </c>
      <c r="M11" s="786"/>
      <c r="N11" s="786"/>
      <c r="O11" s="786"/>
      <c r="P11" s="786"/>
      <c r="Q11" s="786"/>
      <c r="R11" s="786"/>
      <c r="S11" s="787"/>
    </row>
    <row r="12" spans="4:19" x14ac:dyDescent="0.2">
      <c r="D12" s="5" t="s">
        <v>10</v>
      </c>
      <c r="E12" s="788" t="s">
        <v>235</v>
      </c>
      <c r="F12" s="78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90" t="s">
        <v>11</v>
      </c>
      <c r="E14" s="791"/>
      <c r="F14" s="7">
        <v>44163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90" t="s">
        <v>14</v>
      </c>
      <c r="E15" s="791"/>
      <c r="F15" s="7">
        <v>46879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92" t="s">
        <v>17</v>
      </c>
      <c r="E16" s="793"/>
      <c r="F16" s="12">
        <f>SUM(J19:J30)</f>
        <v>0</v>
      </c>
      <c r="G16" s="12"/>
      <c r="H16" s="12"/>
      <c r="I16" s="13" t="s">
        <v>18</v>
      </c>
      <c r="J16" s="12">
        <f>SUM(K19:K30)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x14ac:dyDescent="0.2">
      <c r="C19" s="429"/>
      <c r="D19" s="426"/>
      <c r="E19" s="430"/>
      <c r="F19" s="430"/>
      <c r="G19" s="426"/>
      <c r="H19" s="444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38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445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38"/>
      <c r="L19" s="431"/>
      <c r="M19" s="431"/>
      <c r="N19" s="38"/>
      <c r="O19" s="38"/>
      <c r="P19" s="38"/>
      <c r="Q19" s="432">
        <f t="shared" ref="Q19" si="0">(IF(N19=1,(J19*0.3)))+(IF(N19=2,(J19*0.15))+(IF(N19=3,(J19*0.15))))</f>
        <v>0</v>
      </c>
      <c r="R19" s="433"/>
      <c r="S19" s="434"/>
      <c r="T19" s="435"/>
      <c r="X19" t="s">
        <v>29</v>
      </c>
      <c r="Y19" t="s">
        <v>245</v>
      </c>
    </row>
    <row r="20" spans="3:25" x14ac:dyDescent="0.2">
      <c r="C20" s="453"/>
      <c r="D20" s="60"/>
      <c r="E20" s="18"/>
      <c r="F20" s="18"/>
      <c r="G20" s="60"/>
      <c r="H20" s="4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C$60,IF(G20=58,KILOMETRAJE!E$61,IF(G20=59,KILOMETRAJE!E$62,IF(G20=60,KILOMETRAJE!E$63,IF(G20=61,KILOMETRAJE!E$64,IF(G20=62,KILOMETRAJE!E$65))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7"/>
      <c r="L20" s="485" t="e">
        <f>SUM(J18:J20)/K20</f>
        <v>#DIV/0!</v>
      </c>
      <c r="M20" s="485"/>
      <c r="N20" s="17"/>
      <c r="O20" s="17"/>
      <c r="P20" s="17"/>
      <c r="Q20" s="486">
        <f t="shared" ref="Q20" si="1">(IF(N20=1,(J20*0.3)))+(IF(N20=2,(J20*0.15))+(IF(N20=3,(J20*0.15))))</f>
        <v>0</v>
      </c>
      <c r="R20" s="487">
        <f>+LOOKUP(P37,UNIDADES!B$3:B$73,UNIDADES!C$3:C$73)</f>
        <v>2.7010580000000002</v>
      </c>
      <c r="S20" s="488">
        <f>(SUM(J18:J20)/R20)-K20</f>
        <v>0</v>
      </c>
      <c r="T20" s="489">
        <f>(IF(M20=1,(S20*16)))+(IF(M20=2,(S20*17.26))+(IF(M20=3,(S20*17.66))+(IF(M20=4,(S20*18.06))+(IF(M20=5,(S20*18.46))+(IF(M20=6,(S20*18.86))+(IF(M20=7,(S20*19.26))))))))</f>
        <v>0</v>
      </c>
      <c r="W20">
        <v>1</v>
      </c>
      <c r="X20" s="23">
        <v>2.9</v>
      </c>
      <c r="Y20" s="546">
        <v>16</v>
      </c>
    </row>
    <row r="21" spans="3:25" ht="13.5" thickBot="1" x14ac:dyDescent="0.25">
      <c r="C21" s="446"/>
      <c r="D21" s="418"/>
      <c r="E21" s="447"/>
      <c r="F21" s="447"/>
      <c r="G21" s="418"/>
      <c r="H21" s="512"/>
      <c r="I21" s="448"/>
      <c r="J21" s="482"/>
      <c r="K21" s="448"/>
      <c r="L21" s="449"/>
      <c r="M21" s="449"/>
      <c r="N21" s="448"/>
      <c r="O21" s="448"/>
      <c r="P21" s="448"/>
      <c r="Q21" s="450"/>
      <c r="R21" s="451"/>
      <c r="S21" s="513"/>
      <c r="T21" s="452"/>
      <c r="W21">
        <v>2</v>
      </c>
      <c r="X21" s="23">
        <v>3</v>
      </c>
      <c r="Y21" s="546">
        <v>17.260000000000002</v>
      </c>
    </row>
    <row r="22" spans="3:25" x14ac:dyDescent="0.2">
      <c r="C22" s="429"/>
      <c r="D22" s="426"/>
      <c r="E22" s="430"/>
      <c r="F22" s="430"/>
      <c r="G22" s="426"/>
      <c r="H22" s="444"/>
      <c r="I22" s="38"/>
      <c r="J22" s="445"/>
      <c r="K22" s="38"/>
      <c r="L22" s="431"/>
      <c r="M22" s="431"/>
      <c r="N22" s="38"/>
      <c r="O22" s="38"/>
      <c r="P22" s="38"/>
      <c r="Q22" s="432"/>
      <c r="R22" s="433"/>
      <c r="S22" s="434"/>
      <c r="T22" s="435"/>
      <c r="W22">
        <v>3</v>
      </c>
      <c r="X22" s="23">
        <v>3.1</v>
      </c>
      <c r="Y22" s="546">
        <v>17.66</v>
      </c>
    </row>
    <row r="23" spans="3:25" x14ac:dyDescent="0.2">
      <c r="C23" s="453"/>
      <c r="D23" s="60"/>
      <c r="E23" s="18"/>
      <c r="F23" s="18"/>
      <c r="G23" s="60"/>
      <c r="H23" s="483"/>
      <c r="I23" s="17"/>
      <c r="J23" s="484"/>
      <c r="K23" s="17"/>
      <c r="L23" s="485"/>
      <c r="M23" s="485"/>
      <c r="N23" s="17"/>
      <c r="O23" s="17"/>
      <c r="P23" s="17"/>
      <c r="Q23" s="486"/>
      <c r="R23" s="487"/>
      <c r="S23" s="488"/>
      <c r="T23" s="489"/>
      <c r="W23">
        <v>4</v>
      </c>
      <c r="X23" s="23">
        <v>3.2</v>
      </c>
      <c r="Y23" s="546">
        <v>18.059999999999999</v>
      </c>
    </row>
    <row r="24" spans="3:25" ht="13.5" thickBot="1" x14ac:dyDescent="0.25">
      <c r="C24" s="436"/>
      <c r="D24" s="59"/>
      <c r="E24" s="437"/>
      <c r="F24" s="437"/>
      <c r="G24" s="59"/>
      <c r="H24" s="469"/>
      <c r="I24" s="41"/>
      <c r="J24" s="438"/>
      <c r="K24" s="41"/>
      <c r="L24" s="439"/>
      <c r="M24" s="439"/>
      <c r="N24" s="41"/>
      <c r="O24" s="41"/>
      <c r="P24" s="41"/>
      <c r="Q24" s="42"/>
      <c r="R24" s="440"/>
      <c r="S24" s="441"/>
      <c r="T24" s="43"/>
      <c r="W24">
        <v>5</v>
      </c>
      <c r="X24" s="23">
        <v>3.3</v>
      </c>
      <c r="Y24" s="546">
        <v>18.46</v>
      </c>
    </row>
    <row r="25" spans="3:25" ht="13.5" thickBot="1" x14ac:dyDescent="0.25">
      <c r="C25" s="474"/>
      <c r="D25" s="475"/>
      <c r="E25" s="476"/>
      <c r="F25" s="476"/>
      <c r="G25" s="475"/>
      <c r="H25" s="501"/>
      <c r="I25" s="480"/>
      <c r="J25" s="502"/>
      <c r="K25" s="480"/>
      <c r="L25" s="503"/>
      <c r="M25" s="503"/>
      <c r="N25" s="480"/>
      <c r="O25" s="480"/>
      <c r="P25" s="480"/>
      <c r="Q25" s="504"/>
      <c r="R25" s="505"/>
      <c r="S25" s="520"/>
      <c r="T25" s="506"/>
      <c r="W25">
        <v>6</v>
      </c>
      <c r="X25" s="23">
        <v>3.4</v>
      </c>
      <c r="Y25" s="546">
        <v>18.86</v>
      </c>
    </row>
    <row r="26" spans="3:25" x14ac:dyDescent="0.2">
      <c r="C26" s="462"/>
      <c r="D26" s="49"/>
      <c r="E26" s="50"/>
      <c r="F26" s="50"/>
      <c r="G26" s="49"/>
      <c r="H26" s="463"/>
      <c r="I26" s="51"/>
      <c r="J26" s="464"/>
      <c r="K26" s="51"/>
      <c r="L26" s="465"/>
      <c r="M26" s="465"/>
      <c r="N26" s="51"/>
      <c r="O26" s="51"/>
      <c r="P26" s="51"/>
      <c r="Q26" s="466"/>
      <c r="R26" s="467"/>
      <c r="S26" s="472"/>
      <c r="T26" s="473"/>
      <c r="W26">
        <v>7</v>
      </c>
      <c r="X26" s="23">
        <v>3.5</v>
      </c>
      <c r="Y26" s="546">
        <v>19.260000000000002</v>
      </c>
    </row>
    <row r="27" spans="3:25" x14ac:dyDescent="0.2">
      <c r="C27" s="462"/>
      <c r="D27" s="49"/>
      <c r="E27" s="50"/>
      <c r="F27" s="50"/>
      <c r="G27" s="49"/>
      <c r="H27" s="463"/>
      <c r="I27" s="51"/>
      <c r="J27" s="464"/>
      <c r="K27" s="51"/>
      <c r="L27" s="465"/>
      <c r="M27" s="465"/>
      <c r="N27" s="51"/>
      <c r="O27" s="51"/>
      <c r="P27" s="51"/>
      <c r="Q27" s="466"/>
      <c r="R27" s="467"/>
      <c r="S27" s="472"/>
      <c r="T27" s="473"/>
    </row>
    <row r="28" spans="3:25" x14ac:dyDescent="0.2">
      <c r="C28" s="453"/>
      <c r="D28" s="60"/>
      <c r="E28" s="18"/>
      <c r="F28" s="18"/>
      <c r="G28" s="60"/>
      <c r="H28" s="483"/>
      <c r="I28" s="17"/>
      <c r="J28" s="484"/>
      <c r="K28" s="17"/>
      <c r="L28" s="485"/>
      <c r="M28" s="485"/>
      <c r="N28" s="17"/>
      <c r="O28" s="17"/>
      <c r="P28" s="17"/>
      <c r="Q28" s="486"/>
      <c r="R28" s="487"/>
      <c r="S28" s="488"/>
      <c r="T28" s="489"/>
    </row>
    <row r="29" spans="3:25" x14ac:dyDescent="0.2">
      <c r="C29" s="462"/>
      <c r="D29" s="49"/>
      <c r="E29" s="50"/>
      <c r="F29" s="50"/>
      <c r="G29" s="49"/>
      <c r="H29" s="463"/>
      <c r="I29" s="51"/>
      <c r="J29" s="464"/>
      <c r="K29" s="51"/>
      <c r="L29" s="465"/>
      <c r="M29" s="465"/>
      <c r="N29" s="51"/>
      <c r="O29" s="51"/>
      <c r="P29" s="51"/>
      <c r="Q29" s="466"/>
      <c r="R29" s="467"/>
      <c r="S29" s="472"/>
      <c r="T29" s="473"/>
    </row>
    <row r="30" spans="3:25" ht="13.5" thickBot="1" x14ac:dyDescent="0.25">
      <c r="C30" s="436"/>
      <c r="D30" s="59"/>
      <c r="E30" s="437"/>
      <c r="F30" s="437"/>
      <c r="G30" s="59"/>
      <c r="H30" s="469"/>
      <c r="I30" s="41"/>
      <c r="J30" s="438"/>
      <c r="K30" s="41"/>
      <c r="L30" s="439"/>
      <c r="M30" s="439"/>
      <c r="N30" s="41"/>
      <c r="O30" s="41"/>
      <c r="P30" s="41"/>
      <c r="Q30" s="42"/>
      <c r="R30" s="440"/>
      <c r="S30" s="441"/>
      <c r="T30" s="43"/>
    </row>
    <row r="31" spans="3:25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22"/>
      <c r="Q31" s="22"/>
      <c r="R31" s="305"/>
      <c r="S31" s="22"/>
      <c r="T31" s="22"/>
    </row>
    <row r="32" spans="3:25" x14ac:dyDescent="0.2">
      <c r="E32" s="794" t="s">
        <v>35</v>
      </c>
      <c r="F32" s="773">
        <f>+'HERNANDEZ CONTRERAS JOSE FERNAN'!F31</f>
        <v>45936</v>
      </c>
      <c r="G32" s="774"/>
      <c r="H32" s="20">
        <f>+F32+1</f>
        <v>45937</v>
      </c>
      <c r="I32" s="20">
        <f>+H32+1</f>
        <v>45938</v>
      </c>
      <c r="J32" s="20">
        <f>+I32+1</f>
        <v>45939</v>
      </c>
      <c r="K32" s="20">
        <f>+J32+1</f>
        <v>45940</v>
      </c>
      <c r="L32" s="20">
        <f>+K32+2</f>
        <v>45942</v>
      </c>
      <c r="M32" s="547"/>
      <c r="N32" s="21" t="s">
        <v>36</v>
      </c>
    </row>
    <row r="33" spans="3:22" ht="13.5" thickBot="1" x14ac:dyDescent="0.25">
      <c r="C33" s="22"/>
      <c r="E33" s="795"/>
      <c r="F33" s="775">
        <v>0</v>
      </c>
      <c r="G33" s="776"/>
      <c r="H33" s="42">
        <v>0</v>
      </c>
      <c r="I33" s="42">
        <v>0</v>
      </c>
      <c r="J33" s="42">
        <v>0</v>
      </c>
      <c r="K33" s="42">
        <v>0</v>
      </c>
      <c r="L33" s="42"/>
      <c r="M33" s="548"/>
      <c r="N33" s="43">
        <f>SUM(F33:L33)</f>
        <v>0</v>
      </c>
    </row>
    <row r="34" spans="3:22" ht="13.5" thickBot="1" x14ac:dyDescent="0.25">
      <c r="I34" s="23"/>
    </row>
    <row r="35" spans="3:22" ht="15.75" thickBot="1" x14ac:dyDescent="0.3">
      <c r="C35" s="825" t="s">
        <v>37</v>
      </c>
      <c r="D35" s="826"/>
      <c r="E35" s="826"/>
      <c r="F35" s="826"/>
      <c r="G35" s="827"/>
      <c r="I35" s="838" t="s">
        <v>38</v>
      </c>
      <c r="J35" s="839"/>
      <c r="K35" s="839"/>
      <c r="L35" s="840"/>
      <c r="M35" s="545"/>
      <c r="O35" s="828" t="s">
        <v>39</v>
      </c>
      <c r="P35" s="829"/>
      <c r="Q35" s="830">
        <f>+F45-L43</f>
        <v>0</v>
      </c>
      <c r="R35" s="831"/>
      <c r="S35" s="832"/>
    </row>
    <row r="36" spans="3:22" ht="13.5" thickBot="1" x14ac:dyDescent="0.25">
      <c r="C36" s="833" t="s">
        <v>207</v>
      </c>
      <c r="D36" s="834"/>
      <c r="E36" s="835"/>
      <c r="F36" s="836">
        <f>SUM(Q19:Q30)</f>
        <v>0</v>
      </c>
      <c r="G36" s="837"/>
      <c r="I36" s="121" t="s">
        <v>106</v>
      </c>
      <c r="J36" s="59" t="s">
        <v>107</v>
      </c>
      <c r="K36" s="59" t="s">
        <v>69</v>
      </c>
      <c r="L36" s="119" t="s">
        <v>108</v>
      </c>
      <c r="M36" s="549"/>
    </row>
    <row r="37" spans="3:22" ht="13.5" thickBot="1" x14ac:dyDescent="0.25">
      <c r="C37" s="843" t="s">
        <v>208</v>
      </c>
      <c r="D37" s="844"/>
      <c r="E37" s="845"/>
      <c r="F37" s="846">
        <f>SUM(T19:T30)</f>
        <v>0</v>
      </c>
      <c r="G37" s="847"/>
      <c r="I37" s="122"/>
      <c r="J37" s="123"/>
      <c r="K37" s="49"/>
      <c r="L37" s="120"/>
      <c r="M37" s="549"/>
      <c r="O37" s="62" t="s">
        <v>69</v>
      </c>
      <c r="P37" s="63" t="s">
        <v>70</v>
      </c>
      <c r="Q37" s="64" t="s">
        <v>71</v>
      </c>
      <c r="R37" s="64"/>
      <c r="S37" s="65" t="s">
        <v>72</v>
      </c>
      <c r="T37" s="63" t="s">
        <v>73</v>
      </c>
      <c r="U37" s="154" t="s">
        <v>117</v>
      </c>
      <c r="V37" s="21" t="s">
        <v>118</v>
      </c>
    </row>
    <row r="38" spans="3:22" x14ac:dyDescent="0.2">
      <c r="C38" s="843" t="s">
        <v>35</v>
      </c>
      <c r="D38" s="844"/>
      <c r="E38" s="845"/>
      <c r="F38" s="846">
        <f>+N33</f>
        <v>0</v>
      </c>
      <c r="G38" s="847"/>
      <c r="I38" s="122"/>
      <c r="J38" s="235"/>
      <c r="K38" s="60"/>
      <c r="L38" s="118"/>
      <c r="M38" s="549"/>
      <c r="O38" s="66"/>
      <c r="P38" s="67"/>
      <c r="Q38" s="68"/>
      <c r="R38" s="68"/>
      <c r="S38" s="51"/>
      <c r="T38" s="67">
        <f>+S38-Q38</f>
        <v>0</v>
      </c>
      <c r="U38" s="155"/>
      <c r="V38" s="156"/>
    </row>
    <row r="39" spans="3:22" x14ac:dyDescent="0.2">
      <c r="C39" s="843" t="s">
        <v>40</v>
      </c>
      <c r="D39" s="844"/>
      <c r="E39" s="845"/>
      <c r="F39" s="846">
        <v>0</v>
      </c>
      <c r="G39" s="847"/>
      <c r="I39" s="122"/>
      <c r="J39" s="235"/>
      <c r="K39" s="60"/>
      <c r="L39" s="118"/>
      <c r="M39" s="549"/>
      <c r="O39" s="44"/>
      <c r="P39" s="69"/>
      <c r="Q39" s="70"/>
      <c r="R39" s="70"/>
      <c r="S39" s="17"/>
      <c r="T39" s="69">
        <f>+S39-Q39</f>
        <v>0</v>
      </c>
      <c r="U39" s="157"/>
      <c r="V39" s="156"/>
    </row>
    <row r="40" spans="3:22" ht="13.5" thickBot="1" x14ac:dyDescent="0.25">
      <c r="C40" s="843" t="s">
        <v>41</v>
      </c>
      <c r="D40" s="844"/>
      <c r="E40" s="845"/>
      <c r="F40" s="846"/>
      <c r="G40" s="847"/>
      <c r="I40" s="122"/>
      <c r="J40" s="235"/>
      <c r="K40" s="60"/>
      <c r="L40" s="118"/>
      <c r="M40" s="549"/>
      <c r="O40" s="71"/>
      <c r="P40" s="72"/>
      <c r="Q40" s="73"/>
      <c r="R40" s="73"/>
      <c r="S40" s="41"/>
      <c r="T40" s="72">
        <f>+S40-Q40</f>
        <v>0</v>
      </c>
      <c r="U40" s="158"/>
      <c r="V40" s="159"/>
    </row>
    <row r="41" spans="3:22" x14ac:dyDescent="0.2">
      <c r="C41" s="843" t="s">
        <v>42</v>
      </c>
      <c r="D41" s="844"/>
      <c r="E41" s="845"/>
      <c r="F41" s="846"/>
      <c r="G41" s="847"/>
      <c r="I41" s="122"/>
      <c r="J41" s="235"/>
      <c r="K41" s="60"/>
      <c r="L41" s="118"/>
      <c r="M41" s="549"/>
      <c r="P41" s="27"/>
      <c r="Q41" s="27"/>
      <c r="R41" s="27"/>
      <c r="S41" s="27"/>
      <c r="T41" s="27"/>
    </row>
    <row r="42" spans="3:22" ht="15.75" thickBot="1" x14ac:dyDescent="0.3">
      <c r="C42" s="24" t="s">
        <v>161</v>
      </c>
      <c r="D42" s="25"/>
      <c r="E42" s="25"/>
      <c r="F42" s="846"/>
      <c r="G42" s="847"/>
      <c r="I42" s="124"/>
      <c r="J42" s="60"/>
      <c r="K42" s="60"/>
      <c r="L42" s="118"/>
      <c r="M42" s="549"/>
      <c r="S42" s="27"/>
      <c r="T42" s="27"/>
      <c r="U42" s="26"/>
    </row>
    <row r="43" spans="3:22" ht="15.75" thickBot="1" x14ac:dyDescent="0.3">
      <c r="C43" s="24" t="s">
        <v>255</v>
      </c>
      <c r="D43" s="25"/>
      <c r="E43" s="25"/>
      <c r="F43" s="846"/>
      <c r="G43" s="847"/>
      <c r="I43" s="848" t="s">
        <v>44</v>
      </c>
      <c r="J43" s="849"/>
      <c r="K43" s="850"/>
      <c r="L43" s="125">
        <f>SUM(L37:L42)</f>
        <v>0</v>
      </c>
      <c r="M43" s="550"/>
      <c r="S43" s="27"/>
      <c r="T43" s="27"/>
      <c r="U43" s="26"/>
    </row>
    <row r="44" spans="3:22" ht="15.75" thickBot="1" x14ac:dyDescent="0.3">
      <c r="C44" s="241" t="s">
        <v>254</v>
      </c>
      <c r="D44" s="242"/>
      <c r="E44" s="242"/>
      <c r="F44" s="841">
        <v>0</v>
      </c>
      <c r="G44" s="842"/>
      <c r="P44" s="851" t="s">
        <v>61</v>
      </c>
      <c r="Q44" s="871"/>
      <c r="S44" s="27"/>
      <c r="T44" s="27"/>
      <c r="U44" s="26"/>
    </row>
    <row r="45" spans="3:22" ht="15.75" thickBot="1" x14ac:dyDescent="0.3">
      <c r="C45" s="792" t="s">
        <v>45</v>
      </c>
      <c r="D45" s="793"/>
      <c r="E45" s="813"/>
      <c r="F45" s="814">
        <f>SUM(F36:G44)</f>
        <v>0</v>
      </c>
      <c r="G45" s="815"/>
      <c r="I45" s="19"/>
      <c r="J45" s="19"/>
      <c r="K45" s="19"/>
      <c r="L45" s="19"/>
      <c r="M45" s="19"/>
      <c r="N45" s="19"/>
      <c r="P45" s="44">
        <v>1</v>
      </c>
      <c r="Q45" s="69" t="s">
        <v>62</v>
      </c>
      <c r="R45" s="27"/>
      <c r="S45" s="27"/>
      <c r="T45" s="27"/>
      <c r="U45" s="26"/>
    </row>
    <row r="46" spans="3:22" ht="15.75" thickBot="1" x14ac:dyDescent="0.3">
      <c r="P46" s="44">
        <v>2</v>
      </c>
      <c r="Q46" s="69" t="s">
        <v>110</v>
      </c>
      <c r="R46" s="27"/>
      <c r="S46" s="27"/>
      <c r="T46" s="26"/>
      <c r="U46" s="26"/>
    </row>
    <row r="47" spans="3:22" ht="12" customHeight="1" thickBot="1" x14ac:dyDescent="0.3">
      <c r="C47" s="28" t="s">
        <v>46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30"/>
      <c r="P47" s="71">
        <v>3</v>
      </c>
      <c r="Q47" s="72" t="s">
        <v>109</v>
      </c>
      <c r="R47" s="27"/>
      <c r="S47" s="27"/>
      <c r="T47" s="26"/>
    </row>
    <row r="48" spans="3:22" ht="15" x14ac:dyDescent="0.25">
      <c r="C48" s="31"/>
      <c r="N48" s="32"/>
      <c r="R48" s="27"/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  <c r="R49" s="27"/>
      <c r="S49" s="27"/>
      <c r="T49" s="26"/>
    </row>
    <row r="50" spans="3:21" x14ac:dyDescent="0.2">
      <c r="P50" s="27"/>
      <c r="Q50" s="27"/>
      <c r="R50" s="27"/>
      <c r="S50" s="27"/>
      <c r="T50" s="27"/>
    </row>
    <row r="51" spans="3:21" ht="15" x14ac:dyDescent="0.25">
      <c r="P51" s="27"/>
      <c r="Q51" s="27"/>
      <c r="R51" s="27"/>
      <c r="S51" s="27"/>
      <c r="T51" s="27"/>
      <c r="U51" s="26"/>
    </row>
    <row r="52" spans="3:21" ht="15.75" thickBot="1" x14ac:dyDescent="0.3">
      <c r="P52" s="27"/>
      <c r="Q52" s="27"/>
      <c r="R52" s="27"/>
      <c r="S52" s="27"/>
      <c r="T52" s="27"/>
      <c r="U52" s="26"/>
    </row>
    <row r="53" spans="3:21" ht="13.5" thickTop="1" x14ac:dyDescent="0.2">
      <c r="D53" s="816" t="s">
        <v>47</v>
      </c>
      <c r="E53" s="816"/>
      <c r="F53" s="816"/>
      <c r="G53" s="816"/>
      <c r="H53" s="816"/>
      <c r="J53" s="816" t="s">
        <v>48</v>
      </c>
      <c r="K53" s="816"/>
      <c r="L53" s="816"/>
      <c r="M53" s="816"/>
      <c r="N53" s="816"/>
      <c r="P53" s="812"/>
      <c r="Q53" s="812"/>
      <c r="R53" s="812"/>
      <c r="S53" s="812"/>
      <c r="T53" s="812"/>
    </row>
    <row r="54" spans="3:21" x14ac:dyDescent="0.2">
      <c r="P54" s="812"/>
      <c r="Q54" s="812"/>
      <c r="R54" s="812"/>
      <c r="S54" s="812"/>
      <c r="T54" s="812"/>
    </row>
    <row r="55" spans="3:21" x14ac:dyDescent="0.2">
      <c r="P55" s="812"/>
      <c r="Q55" s="812"/>
      <c r="R55" s="812"/>
      <c r="S55" s="812"/>
      <c r="T55" s="812"/>
    </row>
    <row r="56" spans="3:21" x14ac:dyDescent="0.2">
      <c r="P56" s="812"/>
      <c r="Q56" s="812"/>
      <c r="R56" s="812"/>
      <c r="S56" s="812"/>
      <c r="T56" s="812"/>
    </row>
    <row r="57" spans="3:21" x14ac:dyDescent="0.2">
      <c r="P57" s="36"/>
      <c r="Q57" s="36"/>
      <c r="R57" s="36"/>
      <c r="S57" s="36"/>
      <c r="T57" s="36"/>
    </row>
    <row r="58" spans="3:21" ht="15" customHeight="1" x14ac:dyDescent="0.2"/>
  </sheetData>
  <mergeCells count="48">
    <mergeCell ref="P44:Q44"/>
    <mergeCell ref="I43:K43"/>
    <mergeCell ref="F42:G42"/>
    <mergeCell ref="F43:G43"/>
    <mergeCell ref="C37:E37"/>
    <mergeCell ref="F37:G37"/>
    <mergeCell ref="C38:E38"/>
    <mergeCell ref="F38:G38"/>
    <mergeCell ref="F44:G44"/>
    <mergeCell ref="C39:E39"/>
    <mergeCell ref="C41:E41"/>
    <mergeCell ref="F41:G41"/>
    <mergeCell ref="F39:G39"/>
    <mergeCell ref="C40:E40"/>
    <mergeCell ref="F40:G40"/>
    <mergeCell ref="C35:G35"/>
    <mergeCell ref="O35:P35"/>
    <mergeCell ref="Q35:S35"/>
    <mergeCell ref="C36:E36"/>
    <mergeCell ref="F36:G36"/>
    <mergeCell ref="I35:L35"/>
    <mergeCell ref="P56:T56"/>
    <mergeCell ref="C45:E45"/>
    <mergeCell ref="F45:G45"/>
    <mergeCell ref="D53:H53"/>
    <mergeCell ref="J53:N53"/>
    <mergeCell ref="P53:T53"/>
    <mergeCell ref="P54:T54"/>
    <mergeCell ref="P55:T55"/>
    <mergeCell ref="Q2:S2"/>
    <mergeCell ref="I3:O3"/>
    <mergeCell ref="Q3:S3"/>
    <mergeCell ref="I4:O4"/>
    <mergeCell ref="I5:O5"/>
    <mergeCell ref="Q5:S5"/>
    <mergeCell ref="Q4:S4"/>
    <mergeCell ref="F32:G32"/>
    <mergeCell ref="F33:G33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2:E33"/>
  </mergeCells>
  <pageMargins left="0.19685039370078741" right="0.19685039370078741" top="0.35433070866141736" bottom="0.35433070866141736" header="0.31496062992125984" footer="0.31496062992125984"/>
  <pageSetup paperSize="9" scale="85" fitToHeight="0" orientation="landscape" horizontalDpi="300" verticalDpi="3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9"/>
  <dimension ref="C1:Y58"/>
  <sheetViews>
    <sheetView zoomScale="90" zoomScaleNormal="90" workbookViewId="0">
      <selection activeCell="E12" sqref="E12:F12"/>
    </sheetView>
  </sheetViews>
  <sheetFormatPr baseColWidth="10" defaultColWidth="9.140625" defaultRowHeight="12.75" x14ac:dyDescent="0.2"/>
  <cols>
    <col min="1" max="1" width="3.140625" customWidth="1"/>
    <col min="2" max="2" width="2.28515625" customWidth="1"/>
    <col min="3" max="3" width="11.7109375" customWidth="1"/>
    <col min="4" max="4" width="12.28515625" customWidth="1"/>
    <col min="5" max="5" width="7.42578125" customWidth="1"/>
    <col min="6" max="6" width="9" customWidth="1"/>
    <col min="7" max="7" width="3" bestFit="1" customWidth="1"/>
    <col min="8" max="8" width="13.28515625" bestFit="1" customWidth="1"/>
    <col min="9" max="9" width="12.5703125" customWidth="1"/>
    <col min="10" max="10" width="9.42578125" customWidth="1"/>
    <col min="11" max="11" width="11.42578125" customWidth="1"/>
    <col min="12" max="13" width="12.28515625" customWidth="1"/>
    <col min="14" max="14" width="12.5703125" customWidth="1"/>
    <col min="15" max="15" width="10.7109375" customWidth="1"/>
    <col min="16" max="16" width="8.5703125" customWidth="1"/>
    <col min="17" max="17" width="12.140625" customWidth="1"/>
    <col min="18" max="18" width="10" customWidth="1"/>
    <col min="19" max="19" width="10.140625" customWidth="1"/>
    <col min="20" max="20" width="13.85546875" customWidth="1"/>
    <col min="21" max="21" width="9.5703125" customWidth="1"/>
    <col min="22" max="22" width="7" customWidth="1"/>
    <col min="23" max="23" width="9.140625" customWidth="1"/>
    <col min="28" max="28" width="12.7109375" bestFit="1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6" t="s">
        <v>0</v>
      </c>
      <c r="R2" s="797"/>
      <c r="S2" s="798"/>
    </row>
    <row r="3" spans="4:19" ht="19.5" thickBot="1" x14ac:dyDescent="0.35">
      <c r="I3" s="799" t="s">
        <v>1</v>
      </c>
      <c r="J3" s="800"/>
      <c r="K3" s="800"/>
      <c r="L3" s="800"/>
      <c r="M3" s="800"/>
      <c r="N3" s="800"/>
      <c r="O3" s="801"/>
      <c r="Q3" s="802">
        <f>+'GONZALEZ LOZANO ENRIQUE '!Q3:S3</f>
        <v>42</v>
      </c>
      <c r="R3" s="803"/>
      <c r="S3" s="804"/>
    </row>
    <row r="4" spans="4:19" ht="16.5" thickBot="1" x14ac:dyDescent="0.3">
      <c r="I4" s="805" t="s">
        <v>2</v>
      </c>
      <c r="J4" s="806"/>
      <c r="K4" s="806"/>
      <c r="L4" s="806"/>
      <c r="M4" s="806"/>
      <c r="N4" s="806"/>
      <c r="O4" s="807"/>
      <c r="Q4" s="811"/>
      <c r="R4" s="811"/>
      <c r="S4" s="811"/>
    </row>
    <row r="5" spans="4:19" ht="13.5" thickBot="1" x14ac:dyDescent="0.25">
      <c r="I5" s="808" t="s">
        <v>3</v>
      </c>
      <c r="J5" s="809"/>
      <c r="K5" s="809"/>
      <c r="L5" s="809"/>
      <c r="M5" s="809"/>
      <c r="N5" s="809"/>
      <c r="O5" s="810"/>
      <c r="Q5" s="783" t="s">
        <v>4</v>
      </c>
      <c r="R5" s="784"/>
      <c r="S5" s="785"/>
    </row>
    <row r="6" spans="4:19" ht="13.5" thickBot="1" x14ac:dyDescent="0.25">
      <c r="I6" s="777" t="s">
        <v>5</v>
      </c>
      <c r="J6" s="778"/>
      <c r="K6" s="778"/>
      <c r="L6" s="778"/>
      <c r="M6" s="778"/>
      <c r="N6" s="778"/>
      <c r="O6" s="779"/>
      <c r="Q6" s="780">
        <f>+'GONZALEZ MARTINEZ MAURICIO'!Q6+1</f>
        <v>4</v>
      </c>
      <c r="R6" s="781"/>
      <c r="S6" s="782"/>
    </row>
    <row r="7" spans="4:19" ht="9" customHeight="1" x14ac:dyDescent="0.2"/>
    <row r="8" spans="4:19" ht="6.75" customHeight="1" thickBot="1" x14ac:dyDescent="0.25"/>
    <row r="9" spans="4:19" ht="13.5" thickBot="1" x14ac:dyDescent="0.25">
      <c r="I9" s="783" t="s">
        <v>6</v>
      </c>
      <c r="J9" s="784"/>
      <c r="K9" s="784"/>
      <c r="L9" s="784"/>
      <c r="M9" s="784"/>
      <c r="N9" s="784"/>
      <c r="O9" s="785"/>
    </row>
    <row r="10" spans="4:19" ht="11.25" customHeight="1" thickBot="1" x14ac:dyDescent="0.25"/>
    <row r="11" spans="4:19" x14ac:dyDescent="0.2">
      <c r="D11" s="1" t="s">
        <v>7</v>
      </c>
      <c r="E11" s="2" t="s">
        <v>81</v>
      </c>
      <c r="F11" s="2"/>
      <c r="G11" s="2"/>
      <c r="H11" s="2"/>
      <c r="I11" s="2"/>
      <c r="J11" s="3"/>
      <c r="K11" s="4" t="s">
        <v>9</v>
      </c>
      <c r="L11" s="786" t="str">
        <f>+NOMINA!B3</f>
        <v>SEMANA #42 PERIODO DEL 06 AL 12 DE OCTUBRE  DEL 2025</v>
      </c>
      <c r="M11" s="786"/>
      <c r="N11" s="786"/>
      <c r="O11" s="786"/>
      <c r="P11" s="786"/>
      <c r="Q11" s="786"/>
      <c r="R11" s="786"/>
      <c r="S11" s="787"/>
    </row>
    <row r="12" spans="4:19" x14ac:dyDescent="0.2">
      <c r="D12" s="5" t="s">
        <v>10</v>
      </c>
      <c r="E12" s="788" t="s">
        <v>267</v>
      </c>
      <c r="F12" s="78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9"/>
      <c r="E13" s="78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90" t="s">
        <v>11</v>
      </c>
      <c r="E14" s="791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90" t="s">
        <v>14</v>
      </c>
      <c r="E15" s="791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92" t="s">
        <v>17</v>
      </c>
      <c r="E16" s="793"/>
      <c r="F16" s="12">
        <f>SUM(J19:J31)</f>
        <v>0</v>
      </c>
      <c r="G16" s="12"/>
      <c r="H16" s="12"/>
      <c r="I16" s="13" t="s">
        <v>18</v>
      </c>
      <c r="J16" s="12">
        <f>SUM(K19:K31)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ht="12.75" customHeight="1" x14ac:dyDescent="0.2">
      <c r="C19" s="531"/>
      <c r="D19" s="38"/>
      <c r="E19" s="529"/>
      <c r="F19" s="529"/>
      <c r="G19" s="527"/>
      <c r="H19" s="527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527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52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527"/>
      <c r="L19" s="527"/>
      <c r="M19" s="527"/>
      <c r="N19" s="527"/>
      <c r="O19" s="527"/>
      <c r="P19" s="38"/>
      <c r="Q19" s="532">
        <f t="shared" ref="Q19" si="0">(IF(N19=1,(J19*0.3)))+(IF(N19=2,(J19*0.15))+(IF(N19=3,(J19*0.15))))</f>
        <v>0</v>
      </c>
      <c r="R19" s="527"/>
      <c r="S19" s="527"/>
      <c r="T19" s="528"/>
      <c r="X19" t="s">
        <v>29</v>
      </c>
      <c r="Y19" t="s">
        <v>245</v>
      </c>
    </row>
    <row r="20" spans="3:25" ht="15.75" customHeight="1" thickBot="1" x14ac:dyDescent="0.25">
      <c r="C20" s="40"/>
      <c r="D20" s="283"/>
      <c r="E20" s="284"/>
      <c r="F20" s="284"/>
      <c r="G20" s="283"/>
      <c r="H20" s="74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74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75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06"/>
      <c r="L20" s="255" t="e">
        <f>SUM(J19:J20)/K20</f>
        <v>#DIV/0!</v>
      </c>
      <c r="M20" s="255"/>
      <c r="N20" s="106"/>
      <c r="O20" s="106"/>
      <c r="P20" s="106"/>
      <c r="Q20" s="256">
        <f>(IF(N20=1,(J20*0.3)))+(IF(N20=2,(J20*0.15))+(IF(N20=3,(J20*0.15))))</f>
        <v>0</v>
      </c>
      <c r="R20" s="216" t="e">
        <f>+LOOKUP(P39,UNIDADES!B$3:B$73,UNIDADES!C$3:C$73)</f>
        <v>#N/A</v>
      </c>
      <c r="S20" s="202" t="e">
        <f>((SUM(J19:J20)/R20))-K20</f>
        <v>#N/A</v>
      </c>
      <c r="T20" s="257">
        <f>(IF(M20=1,(S20*16)))+(IF(M20=2,(S20*17.26))+(IF(M20=3,(S20*17.66))+(IF(M20=4,(S20*18.06))+(IF(M20=5,(S20*18.46))+(IF(M20=6,(S20*18.86))+(IF(M20=7,(S20*19.26))))))))</f>
        <v>0</v>
      </c>
      <c r="W20">
        <v>1</v>
      </c>
      <c r="X20" s="23">
        <v>2.9</v>
      </c>
      <c r="Y20" s="546">
        <v>16</v>
      </c>
    </row>
    <row r="21" spans="3:25" x14ac:dyDescent="0.2">
      <c r="C21" s="52"/>
      <c r="D21" s="279"/>
      <c r="E21" s="280"/>
      <c r="F21" s="280"/>
      <c r="G21" s="279"/>
      <c r="H21" s="53"/>
      <c r="I21" s="53"/>
      <c r="J21" s="54"/>
      <c r="K21" s="131"/>
      <c r="L21" s="193"/>
      <c r="M21" s="193"/>
      <c r="N21" s="131"/>
      <c r="O21" s="131"/>
      <c r="P21" s="131"/>
      <c r="Q21" s="194"/>
      <c r="R21" s="215"/>
      <c r="S21" s="195"/>
      <c r="T21" s="196"/>
      <c r="W21">
        <v>2</v>
      </c>
      <c r="X21" s="23">
        <v>3</v>
      </c>
      <c r="Y21" s="546">
        <v>17.260000000000002</v>
      </c>
    </row>
    <row r="22" spans="3:25" ht="13.5" thickBot="1" x14ac:dyDescent="0.25">
      <c r="C22" s="40"/>
      <c r="D22" s="283"/>
      <c r="E22" s="284"/>
      <c r="F22" s="284"/>
      <c r="G22" s="283"/>
      <c r="H22" s="74"/>
      <c r="I22" s="74"/>
      <c r="J22" s="75"/>
      <c r="K22" s="106"/>
      <c r="L22" s="255"/>
      <c r="M22" s="255"/>
      <c r="N22" s="106"/>
      <c r="O22" s="106"/>
      <c r="P22" s="106"/>
      <c r="Q22" s="256"/>
      <c r="R22" s="216"/>
      <c r="S22" s="202"/>
      <c r="T22" s="257"/>
      <c r="W22">
        <v>3</v>
      </c>
      <c r="X22" s="23">
        <v>3.1</v>
      </c>
      <c r="Y22" s="546">
        <v>17.66</v>
      </c>
    </row>
    <row r="23" spans="3:25" ht="13.5" thickBot="1" x14ac:dyDescent="0.25">
      <c r="C23" s="76"/>
      <c r="D23" s="286"/>
      <c r="E23" s="287"/>
      <c r="F23" s="287"/>
      <c r="G23" s="286"/>
      <c r="H23" s="514"/>
      <c r="I23" s="514"/>
      <c r="J23" s="515"/>
      <c r="K23" s="288"/>
      <c r="L23" s="289"/>
      <c r="M23" s="289"/>
      <c r="N23" s="288"/>
      <c r="O23" s="288"/>
      <c r="P23" s="288"/>
      <c r="Q23" s="290"/>
      <c r="R23" s="291"/>
      <c r="S23" s="443"/>
      <c r="T23" s="292"/>
      <c r="W23">
        <v>4</v>
      </c>
      <c r="X23" s="23">
        <v>3.2</v>
      </c>
      <c r="Y23" s="546">
        <v>18.059999999999999</v>
      </c>
    </row>
    <row r="24" spans="3:25" x14ac:dyDescent="0.2">
      <c r="C24" s="48"/>
      <c r="D24" s="293"/>
      <c r="E24" s="294"/>
      <c r="F24" s="294"/>
      <c r="G24" s="293"/>
      <c r="H24" s="197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08"/>
      <c r="T24" s="298"/>
      <c r="W24">
        <v>5</v>
      </c>
      <c r="X24" s="23">
        <v>3.3</v>
      </c>
      <c r="Y24" s="546">
        <v>18.46</v>
      </c>
    </row>
    <row r="25" spans="3:25" x14ac:dyDescent="0.2">
      <c r="C25" s="39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304"/>
      <c r="W25">
        <v>6</v>
      </c>
      <c r="X25" s="23">
        <v>3.4</v>
      </c>
      <c r="Y25" s="546">
        <v>18.86</v>
      </c>
    </row>
    <row r="26" spans="3:25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304"/>
      <c r="W26">
        <v>7</v>
      </c>
      <c r="X26" s="23">
        <v>3.5</v>
      </c>
      <c r="Y26" s="546">
        <v>19.260000000000002</v>
      </c>
    </row>
    <row r="27" spans="3:25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5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304"/>
    </row>
    <row r="29" spans="3:25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304"/>
    </row>
    <row r="30" spans="3:25" x14ac:dyDescent="0.2">
      <c r="C30" s="39"/>
      <c r="D30" s="299"/>
      <c r="E30" s="300"/>
      <c r="F30" s="300"/>
      <c r="G30" s="299"/>
      <c r="H30" s="278"/>
      <c r="I30" s="113"/>
      <c r="J30" s="114"/>
      <c r="K30" s="113"/>
      <c r="L30" s="301"/>
      <c r="M30" s="301"/>
      <c r="N30" s="113"/>
      <c r="O30" s="113"/>
      <c r="P30" s="113"/>
      <c r="Q30" s="302"/>
      <c r="R30" s="251"/>
      <c r="S30" s="310"/>
      <c r="T30" s="304"/>
    </row>
    <row r="31" spans="3:25" ht="13.5" thickBot="1" x14ac:dyDescent="0.25">
      <c r="C31" s="40"/>
      <c r="D31" s="283"/>
      <c r="E31" s="284"/>
      <c r="F31" s="284"/>
      <c r="G31" s="283"/>
      <c r="H31" s="115"/>
      <c r="I31" s="106"/>
      <c r="J31" s="107"/>
      <c r="K31" s="106"/>
      <c r="L31" s="255"/>
      <c r="M31" s="255"/>
      <c r="N31" s="106"/>
      <c r="O31" s="106"/>
      <c r="P31" s="106"/>
      <c r="Q31" s="256"/>
      <c r="R31" s="216"/>
      <c r="S31" s="312"/>
      <c r="T31" s="257"/>
    </row>
    <row r="32" spans="3:25" ht="13.5" thickBot="1" x14ac:dyDescent="0.25">
      <c r="C32" s="22"/>
      <c r="D32" s="22"/>
      <c r="E32" s="22"/>
      <c r="F32" s="22"/>
      <c r="G32" s="22"/>
      <c r="H32" s="22"/>
      <c r="I32" s="182"/>
      <c r="J32" s="22"/>
      <c r="K32" s="22"/>
      <c r="L32" s="22"/>
      <c r="M32" s="22"/>
      <c r="N32" s="22"/>
      <c r="O32" s="22"/>
      <c r="P32" s="22"/>
      <c r="Q32" s="22"/>
      <c r="R32" s="305"/>
      <c r="S32" s="22"/>
      <c r="T32" s="22"/>
    </row>
    <row r="33" spans="3:22" x14ac:dyDescent="0.2">
      <c r="E33" s="794" t="s">
        <v>35</v>
      </c>
      <c r="F33" s="773">
        <f>+'GONZALEZ LOZANO ENRIQUE '!F32:G32</f>
        <v>45936</v>
      </c>
      <c r="G33" s="774"/>
      <c r="H33" s="20">
        <f>+F33+1</f>
        <v>45937</v>
      </c>
      <c r="I33" s="20">
        <f>+H33+1</f>
        <v>45938</v>
      </c>
      <c r="J33" s="20">
        <f>+I33+1</f>
        <v>45939</v>
      </c>
      <c r="K33" s="20">
        <f>+J33+1</f>
        <v>45940</v>
      </c>
      <c r="L33" s="20">
        <f>+K33+2</f>
        <v>45942</v>
      </c>
      <c r="M33" s="547"/>
      <c r="N33" s="21" t="s">
        <v>84</v>
      </c>
    </row>
    <row r="34" spans="3:22" ht="13.5" thickBot="1" x14ac:dyDescent="0.25">
      <c r="C34" s="22"/>
      <c r="E34" s="795"/>
      <c r="F34" s="775">
        <v>0</v>
      </c>
      <c r="G34" s="776"/>
      <c r="H34" s="42"/>
      <c r="I34" s="42">
        <v>0</v>
      </c>
      <c r="J34" s="42">
        <v>0</v>
      </c>
      <c r="K34" s="42">
        <v>0</v>
      </c>
      <c r="L34" s="42">
        <v>0</v>
      </c>
      <c r="M34" s="548"/>
      <c r="N34" s="43">
        <f>SUM(F34:L34)</f>
        <v>0</v>
      </c>
    </row>
    <row r="35" spans="3:22" ht="13.5" thickBot="1" x14ac:dyDescent="0.25">
      <c r="I35" s="23"/>
    </row>
    <row r="36" spans="3:22" ht="15.75" thickBot="1" x14ac:dyDescent="0.3">
      <c r="C36" s="825" t="s">
        <v>37</v>
      </c>
      <c r="D36" s="826"/>
      <c r="E36" s="826"/>
      <c r="F36" s="826"/>
      <c r="G36" s="827"/>
      <c r="I36" s="838" t="s">
        <v>38</v>
      </c>
      <c r="J36" s="839"/>
      <c r="K36" s="839"/>
      <c r="L36" s="840"/>
      <c r="M36" s="545"/>
      <c r="O36" s="828" t="s">
        <v>39</v>
      </c>
      <c r="P36" s="829"/>
      <c r="Q36" s="830">
        <f>+F46-L44</f>
        <v>0</v>
      </c>
      <c r="R36" s="831"/>
      <c r="S36" s="832"/>
    </row>
    <row r="37" spans="3:22" ht="13.5" thickBot="1" x14ac:dyDescent="0.25">
      <c r="C37" s="833" t="s">
        <v>207</v>
      </c>
      <c r="D37" s="834"/>
      <c r="E37" s="835"/>
      <c r="F37" s="836">
        <f>SUM(Q19:Q32)</f>
        <v>0</v>
      </c>
      <c r="G37" s="837"/>
      <c r="I37" s="121" t="s">
        <v>106</v>
      </c>
      <c r="J37" s="59" t="s">
        <v>107</v>
      </c>
      <c r="K37" s="59" t="s">
        <v>69</v>
      </c>
      <c r="L37" s="119" t="s">
        <v>108</v>
      </c>
      <c r="M37" s="549"/>
    </row>
    <row r="38" spans="3:22" ht="13.5" thickBot="1" x14ac:dyDescent="0.25">
      <c r="C38" s="843" t="s">
        <v>208</v>
      </c>
      <c r="D38" s="844"/>
      <c r="E38" s="845"/>
      <c r="F38" s="846">
        <f>SUM(T20:T32)</f>
        <v>0</v>
      </c>
      <c r="G38" s="847"/>
      <c r="I38" s="122"/>
      <c r="J38" s="123"/>
      <c r="K38" s="49"/>
      <c r="L38" s="120"/>
      <c r="M38" s="549"/>
      <c r="O38" s="62" t="s">
        <v>258</v>
      </c>
      <c r="P38" s="63" t="s">
        <v>70</v>
      </c>
      <c r="Q38" s="64" t="s">
        <v>71</v>
      </c>
      <c r="R38" s="64"/>
      <c r="S38" s="65" t="s">
        <v>72</v>
      </c>
      <c r="T38" s="63" t="s">
        <v>73</v>
      </c>
      <c r="U38" s="62" t="s">
        <v>259</v>
      </c>
      <c r="V38" s="63" t="s">
        <v>260</v>
      </c>
    </row>
    <row r="39" spans="3:22" x14ac:dyDescent="0.2">
      <c r="C39" s="843" t="s">
        <v>35</v>
      </c>
      <c r="D39" s="844"/>
      <c r="E39" s="845"/>
      <c r="F39" s="846">
        <f>+N34</f>
        <v>0</v>
      </c>
      <c r="G39" s="847"/>
      <c r="I39" s="458"/>
      <c r="J39" s="235"/>
      <c r="K39" s="60"/>
      <c r="L39" s="118"/>
      <c r="M39" s="549"/>
      <c r="O39" s="66"/>
      <c r="P39" s="67"/>
      <c r="Q39" s="68"/>
      <c r="R39" s="68"/>
      <c r="S39" s="51"/>
      <c r="T39" s="67">
        <f>+S39-Q39</f>
        <v>0</v>
      </c>
      <c r="U39" s="155"/>
      <c r="V39" s="156"/>
    </row>
    <row r="40" spans="3:22" x14ac:dyDescent="0.2">
      <c r="C40" s="843" t="s">
        <v>40</v>
      </c>
      <c r="D40" s="844"/>
      <c r="E40" s="845"/>
      <c r="F40" s="846"/>
      <c r="G40" s="847"/>
      <c r="I40" s="458"/>
      <c r="J40" s="235"/>
      <c r="K40" s="60"/>
      <c r="L40" s="118"/>
      <c r="M40" s="549"/>
      <c r="O40" s="44"/>
      <c r="P40" s="69"/>
      <c r="Q40" s="70"/>
      <c r="R40" s="70"/>
      <c r="S40" s="17"/>
      <c r="T40" s="69">
        <f>+S40-Q40</f>
        <v>0</v>
      </c>
      <c r="U40" s="157"/>
      <c r="V40" s="156"/>
    </row>
    <row r="41" spans="3:22" ht="13.5" thickBot="1" x14ac:dyDescent="0.25">
      <c r="C41" s="843" t="s">
        <v>41</v>
      </c>
      <c r="D41" s="844"/>
      <c r="E41" s="845"/>
      <c r="F41" s="846"/>
      <c r="G41" s="847"/>
      <c r="I41" s="458"/>
      <c r="J41" s="235"/>
      <c r="K41" s="60"/>
      <c r="L41" s="118"/>
      <c r="M41" s="549"/>
      <c r="O41" s="71"/>
      <c r="P41" s="72"/>
      <c r="Q41" s="73"/>
      <c r="R41" s="73"/>
      <c r="S41" s="41"/>
      <c r="T41" s="72">
        <f>+S41-Q41</f>
        <v>0</v>
      </c>
      <c r="U41" s="158"/>
      <c r="V41" s="159"/>
    </row>
    <row r="42" spans="3:22" ht="15" x14ac:dyDescent="0.25">
      <c r="C42" s="843" t="s">
        <v>42</v>
      </c>
      <c r="D42" s="844"/>
      <c r="E42" s="845"/>
      <c r="F42" s="846"/>
      <c r="G42" s="847"/>
      <c r="I42" s="124"/>
      <c r="J42" s="235"/>
      <c r="K42" s="60"/>
      <c r="L42" s="118"/>
      <c r="M42" s="549"/>
      <c r="P42" s="27"/>
      <c r="Q42" s="27"/>
      <c r="R42" s="27"/>
      <c r="S42" s="27"/>
      <c r="T42" s="27"/>
      <c r="U42" s="26"/>
    </row>
    <row r="43" spans="3:22" ht="15.75" thickBot="1" x14ac:dyDescent="0.3">
      <c r="C43" s="97" t="s">
        <v>171</v>
      </c>
      <c r="D43" s="25"/>
      <c r="E43" s="25"/>
      <c r="F43" s="846"/>
      <c r="G43" s="847"/>
      <c r="I43" s="124"/>
      <c r="J43" s="60"/>
      <c r="K43" s="60"/>
      <c r="L43" s="118"/>
      <c r="M43" s="549"/>
      <c r="T43" s="27"/>
      <c r="U43" s="26"/>
    </row>
    <row r="44" spans="3:22" ht="15.75" thickBot="1" x14ac:dyDescent="0.3">
      <c r="C44" s="24" t="s">
        <v>215</v>
      </c>
      <c r="D44" s="25"/>
      <c r="E44" s="25"/>
      <c r="F44" s="846"/>
      <c r="G44" s="847"/>
      <c r="I44" s="848" t="s">
        <v>44</v>
      </c>
      <c r="J44" s="849"/>
      <c r="K44" s="850"/>
      <c r="L44" s="125">
        <f>SUM(L38:L43)</f>
        <v>0</v>
      </c>
      <c r="M44" s="550"/>
      <c r="T44" s="27"/>
      <c r="U44" s="26"/>
    </row>
    <row r="45" spans="3:22" ht="15.75" thickBot="1" x14ac:dyDescent="0.3">
      <c r="C45" s="241" t="s">
        <v>274</v>
      </c>
      <c r="D45" s="242"/>
      <c r="E45" s="242"/>
      <c r="F45" s="841"/>
      <c r="G45" s="842"/>
      <c r="T45" s="27"/>
      <c r="U45" s="26"/>
    </row>
    <row r="46" spans="3:22" ht="15.75" thickBot="1" x14ac:dyDescent="0.3">
      <c r="C46" s="792" t="s">
        <v>45</v>
      </c>
      <c r="D46" s="793"/>
      <c r="E46" s="813"/>
      <c r="F46" s="814">
        <f>SUM(F37:G45)</f>
        <v>0</v>
      </c>
      <c r="G46" s="815"/>
      <c r="H46" s="268"/>
      <c r="I46" s="27"/>
      <c r="J46" s="27"/>
      <c r="K46" s="27"/>
      <c r="L46" s="130"/>
      <c r="M46" s="130"/>
      <c r="N46" s="19"/>
      <c r="P46" s="817" t="s">
        <v>61</v>
      </c>
      <c r="Q46" s="818"/>
      <c r="R46" s="27"/>
      <c r="S46" s="27"/>
      <c r="T46" s="26"/>
    </row>
    <row r="47" spans="3:22" ht="12" customHeight="1" thickBot="1" x14ac:dyDescent="0.3">
      <c r="P47" s="44">
        <v>1</v>
      </c>
      <c r="Q47" s="69" t="s">
        <v>62</v>
      </c>
      <c r="R47" s="27"/>
      <c r="S47" s="27"/>
      <c r="T47" s="26"/>
    </row>
    <row r="48" spans="3:22" ht="15" x14ac:dyDescent="0.25">
      <c r="C48" s="28" t="s">
        <v>46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30"/>
      <c r="P48" s="44">
        <v>2</v>
      </c>
      <c r="Q48" s="69" t="s">
        <v>110</v>
      </c>
      <c r="R48" s="27"/>
      <c r="S48" s="27"/>
      <c r="T48" s="26"/>
    </row>
    <row r="49" spans="3:21" ht="15.75" thickBot="1" x14ac:dyDescent="0.3">
      <c r="C49" s="31"/>
      <c r="N49" s="32"/>
      <c r="P49" s="71">
        <v>3</v>
      </c>
      <c r="Q49" s="72" t="s">
        <v>109</v>
      </c>
      <c r="R49" s="27"/>
      <c r="S49" s="27"/>
      <c r="T49" s="26"/>
    </row>
    <row r="50" spans="3:21" ht="15.75" thickBot="1" x14ac:dyDescent="0.3">
      <c r="C50" s="33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5"/>
      <c r="P50" s="27"/>
      <c r="Q50" s="27"/>
      <c r="R50" s="27"/>
      <c r="S50" s="27"/>
      <c r="T50" s="27"/>
      <c r="U50" s="26"/>
    </row>
    <row r="51" spans="3:21" ht="15" x14ac:dyDescent="0.25">
      <c r="P51" s="27"/>
      <c r="Q51" s="27"/>
      <c r="R51" s="27"/>
      <c r="S51" s="27"/>
      <c r="T51" s="37"/>
      <c r="U51" s="26"/>
    </row>
    <row r="52" spans="3:21" ht="15" x14ac:dyDescent="0.25">
      <c r="P52" s="27"/>
      <c r="Q52" s="27"/>
      <c r="R52" s="27"/>
      <c r="S52" s="27"/>
      <c r="T52" s="37"/>
      <c r="U52" s="26"/>
    </row>
    <row r="53" spans="3:21" ht="13.5" thickBot="1" x14ac:dyDescent="0.25">
      <c r="P53" s="27"/>
      <c r="Q53" s="27"/>
      <c r="R53" s="27"/>
      <c r="S53" s="27"/>
      <c r="T53" s="37"/>
    </row>
    <row r="54" spans="3:21" ht="13.5" thickTop="1" x14ac:dyDescent="0.2">
      <c r="D54" s="816" t="s">
        <v>47</v>
      </c>
      <c r="E54" s="816"/>
      <c r="F54" s="816"/>
      <c r="G54" s="816"/>
      <c r="H54" s="816"/>
      <c r="J54" s="816" t="s">
        <v>48</v>
      </c>
      <c r="K54" s="816"/>
      <c r="L54" s="816"/>
      <c r="M54" s="816"/>
      <c r="N54" s="816"/>
      <c r="P54" s="37"/>
      <c r="Q54" s="37"/>
      <c r="R54" s="37"/>
      <c r="S54" s="37"/>
      <c r="T54" s="37"/>
    </row>
    <row r="55" spans="3:21" x14ac:dyDescent="0.2">
      <c r="P55" s="37"/>
      <c r="Q55" s="37"/>
      <c r="R55" s="37"/>
      <c r="S55" s="37"/>
      <c r="T55" s="36"/>
    </row>
    <row r="56" spans="3:21" x14ac:dyDescent="0.2">
      <c r="P56" s="37"/>
      <c r="Q56" s="37"/>
      <c r="R56" s="37"/>
      <c r="S56" s="37"/>
    </row>
    <row r="57" spans="3:21" x14ac:dyDescent="0.2">
      <c r="P57" s="37"/>
      <c r="Q57" s="37"/>
      <c r="R57" s="37"/>
      <c r="S57" s="37"/>
    </row>
    <row r="58" spans="3:21" ht="15" customHeight="1" x14ac:dyDescent="0.2">
      <c r="P58" s="36"/>
      <c r="Q58" s="36"/>
      <c r="R58" s="36"/>
      <c r="S58" s="36"/>
    </row>
  </sheetData>
  <mergeCells count="44">
    <mergeCell ref="I44:K44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  <mergeCell ref="D16:E16"/>
    <mergeCell ref="E33:E34"/>
    <mergeCell ref="F33:G33"/>
    <mergeCell ref="F34:G34"/>
    <mergeCell ref="C36:G36"/>
    <mergeCell ref="O36:P36"/>
    <mergeCell ref="Q36:S36"/>
    <mergeCell ref="C37:E37"/>
    <mergeCell ref="F37:G37"/>
    <mergeCell ref="I36:L36"/>
    <mergeCell ref="F44:G44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F43:G43"/>
    <mergeCell ref="F45:G45"/>
    <mergeCell ref="C46:E46"/>
    <mergeCell ref="F46:G46"/>
    <mergeCell ref="P46:Q46"/>
    <mergeCell ref="D54:H54"/>
    <mergeCell ref="J54:N54"/>
  </mergeCells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32</vt:i4>
      </vt:variant>
    </vt:vector>
  </HeadingPairs>
  <TitlesOfParts>
    <vt:vector size="32" baseType="lpstr">
      <vt:lpstr>NOMINA</vt:lpstr>
      <vt:lpstr>CHAVEZ VARELA NESTOR ADRIAN</vt:lpstr>
      <vt:lpstr>CERDA HERNANDEZ JOSE LUIS</vt:lpstr>
      <vt:lpstr>ESCARCEGA GALDEAN JESUS OMAR</vt:lpstr>
      <vt:lpstr>ESTRADA ARELLANO ARTURO</vt:lpstr>
      <vt:lpstr>GRIJALVA VALDEZ CESAR EUSEBIO</vt:lpstr>
      <vt:lpstr>GONZALEZ LOZANO ENRIQUE </vt:lpstr>
      <vt:lpstr>GONZALEZ MARTINEZ MAURICIO</vt:lpstr>
      <vt:lpstr>TORRES GARAY LUIS HUMBERTO</vt:lpstr>
      <vt:lpstr>HERNANDEZ CONTRERAS JOSE FERNAN</vt:lpstr>
      <vt:lpstr>MARTA RUBIO MARTIN</vt:lpstr>
      <vt:lpstr>NEVAREZ JUAN MANUEL</vt:lpstr>
      <vt:lpstr>PACHECO BAÑUELOS ALFONSO</vt:lpstr>
      <vt:lpstr>PAYAN ESTRADA JOSE ANGEL</vt:lpstr>
      <vt:lpstr>HARO IMPERIAL JOSÉ ANTONIO</vt:lpstr>
      <vt:lpstr>LIRA TRISTAN JOSE ANGEL</vt:lpstr>
      <vt:lpstr>RODRIGUEZ RAMIREZ FERNANDO</vt:lpstr>
      <vt:lpstr>RODRIGUEZ VALLES JOSE FRANCISCO</vt:lpstr>
      <vt:lpstr>RUEDA SALAZAR ISMAEL</vt:lpstr>
      <vt:lpstr>RUIZ ALVARADO PEDRO</vt:lpstr>
      <vt:lpstr>RUIZ HERRERA ERICK </vt:lpstr>
      <vt:lpstr>KM POR CHOFER</vt:lpstr>
      <vt:lpstr>KM POR UNIDAD</vt:lpstr>
      <vt:lpstr>KM POR CLIENTE</vt:lpstr>
      <vt:lpstr>KILOMETRAJE</vt:lpstr>
      <vt:lpstr>UNIDADES</vt:lpstr>
      <vt:lpstr>FORMULAS</vt:lpstr>
      <vt:lpstr>Pago X Km</vt:lpstr>
      <vt:lpstr>GUZMAN MORALES</vt:lpstr>
      <vt:lpstr>SANCHEZ GUERRERO JOSE LUIS</vt:lpstr>
      <vt:lpstr>SALAZAR PEREZ JUAN CARLOS</vt:lpstr>
      <vt:lpstr>GONZALEZ SOTO JOEL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Alejandro Damian Esparza</dc:creator>
  <cp:lastModifiedBy>Heriberto Reyes Olvera</cp:lastModifiedBy>
  <cp:lastPrinted>2025-10-27T15:33:05Z</cp:lastPrinted>
  <dcterms:created xsi:type="dcterms:W3CDTF">2022-05-18T16:55:03Z</dcterms:created>
  <dcterms:modified xsi:type="dcterms:W3CDTF">2025-12-30T22:30:28Z</dcterms:modified>
</cp:coreProperties>
</file>